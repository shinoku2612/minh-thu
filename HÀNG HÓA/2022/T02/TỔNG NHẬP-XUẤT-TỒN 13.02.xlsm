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pivotTables/pivotTable1.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slicers/slicer1.xml" ContentType="application/vnd.ms-excel.slicer+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drawings/drawing5.xml" ContentType="application/vnd.openxmlformats-officedocument.drawing+xml"/>
  <Override PartName="/xl/ctrlProps/ctrlProp5.xml" ContentType="application/vnd.ms-excel.controlproperties+xml"/>
  <Override PartName="/xl/drawings/drawing6.xml" ContentType="application/vnd.openxmlformats-officedocument.drawing+xml"/>
  <Override PartName="/xl/ctrlProps/ctrlProp6.xml" ContentType="application/vnd.ms-excel.controlproperties+xml"/>
  <Override PartName="/xl/drawings/drawing7.xml" ContentType="application/vnd.openxmlformats-officedocument.drawing+xml"/>
  <Override PartName="/xl/ctrlProps/ctrlProp7.xml" ContentType="application/vnd.ms-excel.controlproperties+xml"/>
  <Override PartName="/xl/drawings/drawing8.xml" ContentType="application/vnd.openxmlformats-officedocument.drawing+xml"/>
  <Override PartName="/xl/ctrlProps/ctrlProp8.xml" ContentType="application/vnd.ms-excel.controlproperties+xml"/>
  <Override PartName="/xl/drawings/drawing9.xml" ContentType="application/vnd.openxmlformats-officedocument.drawing+xml"/>
  <Override PartName="/xl/ctrlProps/ctrlProp9.xml" ContentType="application/vnd.ms-excel.controlproperties+xml"/>
  <Override PartName="/xl/drawings/drawing10.xml" ContentType="application/vnd.openxmlformats-officedocument.drawing+xml"/>
  <Override PartName="/xl/ctrlProps/ctrlProp10.xml" ContentType="application/vnd.ms-excel.controlproperties+xml"/>
  <Override PartName="/xl/drawings/drawing11.xml" ContentType="application/vnd.openxmlformats-officedocument.drawing+xml"/>
  <Override PartName="/xl/ctrlProps/ctrlProp11.xml" ContentType="application/vnd.ms-excel.controlproperties+xml"/>
  <Override PartName="/xl/drawings/drawing12.xml" ContentType="application/vnd.openxmlformats-officedocument.drawing+xml"/>
  <Override PartName="/xl/ctrlProps/ctrlProp12.xml" ContentType="application/vnd.ms-excel.controlproperties+xml"/>
  <Override PartName="/xl/drawings/drawing13.xml" ContentType="application/vnd.openxmlformats-officedocument.drawing+xml"/>
  <Override PartName="/xl/ctrlProps/ctrlProp13.xml" ContentType="application/vnd.ms-excel.controlproperties+xml"/>
  <Override PartName="/xl/drawings/drawing14.xml" ContentType="application/vnd.openxmlformats-officedocument.drawing+xml"/>
  <Override PartName="/xl/ctrlProps/ctrlProp14.xml" ContentType="application/vnd.ms-excel.controlproperties+xml"/>
  <Override PartName="/xl/drawings/drawing15.xml" ContentType="application/vnd.openxmlformats-officedocument.drawing+xml"/>
  <Override PartName="/xl/ctrlProps/ctrlProp15.xml" ContentType="application/vnd.ms-excel.controlproperties+xml"/>
  <Override PartName="/xl/drawings/drawing16.xml" ContentType="application/vnd.openxmlformats-officedocument.drawing+xml"/>
  <Override PartName="/xl/ctrlProps/ctrlProp1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hidePivotFieldList="1" defaultThemeVersion="124226"/>
  <mc:AlternateContent xmlns:mc="http://schemas.openxmlformats.org/markup-compatibility/2006">
    <mc:Choice Requires="x15">
      <x15ac:absPath xmlns:x15ac="http://schemas.microsoft.com/office/spreadsheetml/2010/11/ac" url="C:\Users\Thor\Desktop\MINH THƯ\HÀNG HÓA\2022\T02\"/>
    </mc:Choice>
  </mc:AlternateContent>
  <bookViews>
    <workbookView xWindow="240" yWindow="60" windowWidth="20115" windowHeight="8010" tabRatio="925" activeTab="10"/>
  </bookViews>
  <sheets>
    <sheet name="Hàng tặng TVP" sheetId="120" r:id="rId1"/>
    <sheet name="Gà" sheetId="137" r:id="rId2"/>
    <sheet name="TVP" sheetId="5" r:id="rId3"/>
    <sheet name="La Cusina" sheetId="4" r:id="rId4"/>
    <sheet name="Kitkool" sheetId="150" r:id="rId5"/>
    <sheet name="Sheet3" sheetId="3" state="hidden" r:id="rId6"/>
    <sheet name="Giá TVP" sheetId="7" state="hidden" r:id="rId7"/>
    <sheet name="Quốc Nhân" sheetId="1" r:id="rId8"/>
    <sheet name="Chi phí" sheetId="95" r:id="rId9"/>
    <sheet name="Sheet1" sheetId="8" r:id="rId10"/>
    <sheet name="Tổng Đơn" sheetId="50" r:id="rId11"/>
    <sheet name="Thanh Toán" sheetId="9" r:id="rId12"/>
    <sheet name="Thanh Toán (15)" sheetId="185" r:id="rId13"/>
    <sheet name="Thanh Toán (14)" sheetId="184" r:id="rId14"/>
    <sheet name="Thanh Toán (13)" sheetId="183" r:id="rId15"/>
    <sheet name="Thanh Toán (12)" sheetId="182" r:id="rId16"/>
    <sheet name="Thanh Toán (11)" sheetId="181" r:id="rId17"/>
    <sheet name="Thanh Toán (10)" sheetId="180" r:id="rId18"/>
    <sheet name="Thanh Toán (9)" sheetId="179" r:id="rId19"/>
    <sheet name="Thanh Toán (8)" sheetId="178" r:id="rId20"/>
    <sheet name="Thanh Toán (7)" sheetId="177" r:id="rId21"/>
    <sheet name="Thanh Toán (6)" sheetId="176" r:id="rId22"/>
    <sheet name="Thanh Toán (5)" sheetId="175" r:id="rId23"/>
    <sheet name="Thanh Toán (4)" sheetId="174" r:id="rId24"/>
    <sheet name="Thanh Toán (3)" sheetId="173" r:id="rId25"/>
    <sheet name="Thanh Toán (2)" sheetId="172" r:id="rId26"/>
    <sheet name="DS KHÁCH HÀNG KM (2)" sheetId="76" state="hidden" r:id="rId27"/>
  </sheets>
  <definedNames>
    <definedName name="_xlnm._FilterDatabase" localSheetId="8" hidden="1">'Chi phí'!$A$6:$E$29</definedName>
    <definedName name="_xlnm._FilterDatabase" localSheetId="26" hidden="1">'DS KHÁCH HÀNG KM (2)'!$A$2:$G$35</definedName>
    <definedName name="_xlnm._FilterDatabase" localSheetId="1" hidden="1">Gà!$B$4:$M$4</definedName>
    <definedName name="_xlnm._FilterDatabase" localSheetId="6" hidden="1">'Giá TVP'!$A$2:$C$2</definedName>
    <definedName name="_xlnm._FilterDatabase" localSheetId="4" hidden="1">Kitkool!$B$4:$AW$12</definedName>
    <definedName name="_xlnm._FilterDatabase" localSheetId="3" hidden="1">'La Cusina'!$B$4:$M$4</definedName>
    <definedName name="_xlnm._FilterDatabase" localSheetId="7" hidden="1">'Quốc Nhân'!$B$4:$AW$32</definedName>
    <definedName name="_xlnm._FilterDatabase" localSheetId="9" hidden="1">Sheet1!$A$1:$D$77</definedName>
    <definedName name="_xlnm._FilterDatabase" localSheetId="5" hidden="1">Sheet3!$A$2:$C$2</definedName>
    <definedName name="_xlnm._FilterDatabase" localSheetId="10" hidden="1">'Tổng Đơn'!$A$4:$AO$80</definedName>
    <definedName name="_xlnm._FilterDatabase" localSheetId="2" hidden="1">TVP!$B$4:$AW$24</definedName>
    <definedName name="_xlnm.Print_Area" localSheetId="6">'Giá TVP'!$A$1:$G$27</definedName>
    <definedName name="_xlnm.Print_Area" localSheetId="5">Sheet3!$A$2:$G$23</definedName>
    <definedName name="_xlnm.Print_Area" localSheetId="11">'Thanh Toán'!$C$1:$H$38</definedName>
    <definedName name="_xlnm.Print_Area" localSheetId="17">'Thanh Toán (10)'!$C$1:$H$38</definedName>
    <definedName name="_xlnm.Print_Area" localSheetId="16">'Thanh Toán (11)'!$C$1:$H$38</definedName>
    <definedName name="_xlnm.Print_Area" localSheetId="15">'Thanh Toán (12)'!$C$1:$H$38</definedName>
    <definedName name="_xlnm.Print_Area" localSheetId="14">'Thanh Toán (13)'!$C$1:$H$38</definedName>
    <definedName name="_xlnm.Print_Area" localSheetId="13">'Thanh Toán (14)'!$C$1:$H$38</definedName>
    <definedName name="_xlnm.Print_Area" localSheetId="12">'Thanh Toán (15)'!$C$1:$H$38</definedName>
    <definedName name="_xlnm.Print_Area" localSheetId="25">'Thanh Toán (2)'!$C$1:$H$38</definedName>
    <definedName name="_xlnm.Print_Area" localSheetId="24">'Thanh Toán (3)'!$C$1:$H$38</definedName>
    <definedName name="_xlnm.Print_Area" localSheetId="23">'Thanh Toán (4)'!$C$1:$H$38</definedName>
    <definedName name="_xlnm.Print_Area" localSheetId="22">'Thanh Toán (5)'!$C$1:$H$38</definedName>
    <definedName name="_xlnm.Print_Area" localSheetId="21">'Thanh Toán (6)'!$C$1:$H$38</definedName>
    <definedName name="_xlnm.Print_Area" localSheetId="20">'Thanh Toán (7)'!$C$1:$H$38</definedName>
    <definedName name="_xlnm.Print_Area" localSheetId="19">'Thanh Toán (8)'!$C$1:$H$38</definedName>
    <definedName name="_xlnm.Print_Area" localSheetId="18">'Thanh Toán (9)'!$C$1:$H$38</definedName>
    <definedName name="Slicer_Tên_hàng">#N/A</definedName>
  </definedNames>
  <calcPr calcId="162913"/>
  <pivotCaches>
    <pivotCache cacheId="0" r:id="rId28"/>
  </pivotCaches>
  <extLst>
    <ext xmlns:x14="http://schemas.microsoft.com/office/spreadsheetml/2009/9/main" uri="{BBE1A952-AA13-448e-AADC-164F8A28A991}">
      <x14:slicerCaches>
        <x14:slicerCache r:id="rId29"/>
      </x14:slicerCaches>
    </ext>
    <ext xmlns:x14="http://schemas.microsoft.com/office/spreadsheetml/2009/9/main" uri="{79F54976-1DA5-4618-B147-4CDE4B953A38}">
      <x14:workbookPr/>
    </ext>
  </extLst>
</workbook>
</file>

<file path=xl/calcChain.xml><?xml version="1.0" encoding="utf-8"?>
<calcChain xmlns="http://schemas.openxmlformats.org/spreadsheetml/2006/main">
  <c r="I37" i="185" l="1"/>
  <c r="F37" i="185"/>
  <c r="E37" i="185"/>
  <c r="D37" i="185"/>
  <c r="I36" i="185"/>
  <c r="F36" i="185"/>
  <c r="E36" i="185"/>
  <c r="D36" i="185"/>
  <c r="I35" i="185"/>
  <c r="F35" i="185"/>
  <c r="E35" i="185"/>
  <c r="D35" i="185"/>
  <c r="I34" i="185"/>
  <c r="F34" i="185"/>
  <c r="E34" i="185"/>
  <c r="D34" i="185"/>
  <c r="I33" i="185"/>
  <c r="F33" i="185"/>
  <c r="E33" i="185"/>
  <c r="D33" i="185"/>
  <c r="I32" i="185"/>
  <c r="F32" i="185"/>
  <c r="E32" i="185"/>
  <c r="D32" i="185"/>
  <c r="I31" i="185"/>
  <c r="F31" i="185"/>
  <c r="E31" i="185"/>
  <c r="D31" i="185"/>
  <c r="I30" i="185"/>
  <c r="F30" i="185"/>
  <c r="E30" i="185"/>
  <c r="D30" i="185"/>
  <c r="I29" i="185"/>
  <c r="F29" i="185"/>
  <c r="E29" i="185"/>
  <c r="D29" i="185"/>
  <c r="I28" i="185"/>
  <c r="F28" i="185"/>
  <c r="E28" i="185"/>
  <c r="D28" i="185"/>
  <c r="I27" i="185"/>
  <c r="F27" i="185"/>
  <c r="E27" i="185"/>
  <c r="D27" i="185"/>
  <c r="I26" i="185"/>
  <c r="F26" i="185"/>
  <c r="E26" i="185"/>
  <c r="D26" i="185"/>
  <c r="I25" i="185"/>
  <c r="F25" i="185"/>
  <c r="E25" i="185"/>
  <c r="D25" i="185"/>
  <c r="I24" i="185"/>
  <c r="F24" i="185"/>
  <c r="E24" i="185"/>
  <c r="D24" i="185"/>
  <c r="I23" i="185"/>
  <c r="F23" i="185"/>
  <c r="E23" i="185"/>
  <c r="D23" i="185"/>
  <c r="I22" i="185"/>
  <c r="F22" i="185"/>
  <c r="E22" i="185"/>
  <c r="D22" i="185"/>
  <c r="I21" i="185"/>
  <c r="F21" i="185"/>
  <c r="E21" i="185"/>
  <c r="D21" i="185"/>
  <c r="I20" i="185"/>
  <c r="F20" i="185"/>
  <c r="E20" i="185"/>
  <c r="D20" i="185"/>
  <c r="I19" i="185"/>
  <c r="F19" i="185"/>
  <c r="E19" i="185"/>
  <c r="D19" i="185"/>
  <c r="I18" i="185"/>
  <c r="F18" i="185"/>
  <c r="E18" i="185"/>
  <c r="D18" i="185"/>
  <c r="I17" i="185"/>
  <c r="F17" i="185"/>
  <c r="E17" i="185"/>
  <c r="D17" i="185"/>
  <c r="I16" i="185"/>
  <c r="F16" i="185"/>
  <c r="E16" i="185"/>
  <c r="D16" i="185"/>
  <c r="I15" i="185"/>
  <c r="F15" i="185"/>
  <c r="E15" i="185"/>
  <c r="D15" i="185"/>
  <c r="I14" i="185"/>
  <c r="F14" i="185"/>
  <c r="E14" i="185"/>
  <c r="D14" i="185"/>
  <c r="I13" i="185"/>
  <c r="F13" i="185"/>
  <c r="E13" i="185"/>
  <c r="D13" i="185"/>
  <c r="I12" i="185"/>
  <c r="F12" i="185"/>
  <c r="E12" i="185"/>
  <c r="D12" i="185"/>
  <c r="I11" i="185"/>
  <c r="F11" i="185"/>
  <c r="E11" i="185"/>
  <c r="D11" i="185"/>
  <c r="F10" i="185"/>
  <c r="E10" i="185"/>
  <c r="I10" i="185" s="1"/>
  <c r="D10" i="185"/>
  <c r="F9" i="185"/>
  <c r="E9" i="185"/>
  <c r="I9" i="185" s="1"/>
  <c r="D9" i="185"/>
  <c r="G8" i="185"/>
  <c r="F8" i="185"/>
  <c r="I8" i="185" s="1"/>
  <c r="E8" i="185"/>
  <c r="D8" i="185"/>
  <c r="C8" i="185"/>
  <c r="C9" i="185" s="1"/>
  <c r="E7" i="185"/>
  <c r="G6" i="185"/>
  <c r="I7" i="185" l="1"/>
  <c r="G9" i="185"/>
  <c r="C10" i="185"/>
  <c r="I37" i="184"/>
  <c r="F37" i="184"/>
  <c r="E37" i="184"/>
  <c r="D37" i="184"/>
  <c r="I36" i="184"/>
  <c r="F36" i="184"/>
  <c r="E36" i="184"/>
  <c r="D36" i="184"/>
  <c r="I35" i="184"/>
  <c r="F35" i="184"/>
  <c r="E35" i="184"/>
  <c r="D35" i="184"/>
  <c r="I34" i="184"/>
  <c r="F34" i="184"/>
  <c r="E34" i="184"/>
  <c r="D34" i="184"/>
  <c r="I33" i="184"/>
  <c r="F33" i="184"/>
  <c r="E33" i="184"/>
  <c r="D33" i="184"/>
  <c r="I32" i="184"/>
  <c r="F32" i="184"/>
  <c r="E32" i="184"/>
  <c r="D32" i="184"/>
  <c r="I31" i="184"/>
  <c r="F31" i="184"/>
  <c r="E31" i="184"/>
  <c r="D31" i="184"/>
  <c r="I30" i="184"/>
  <c r="F30" i="184"/>
  <c r="E30" i="184"/>
  <c r="D30" i="184"/>
  <c r="I29" i="184"/>
  <c r="F29" i="184"/>
  <c r="E29" i="184"/>
  <c r="D29" i="184"/>
  <c r="I28" i="184"/>
  <c r="F28" i="184"/>
  <c r="E28" i="184"/>
  <c r="D28" i="184"/>
  <c r="I27" i="184"/>
  <c r="F27" i="184"/>
  <c r="E27" i="184"/>
  <c r="D27" i="184"/>
  <c r="I26" i="184"/>
  <c r="F26" i="184"/>
  <c r="E26" i="184"/>
  <c r="D26" i="184"/>
  <c r="I25" i="184"/>
  <c r="F25" i="184"/>
  <c r="E25" i="184"/>
  <c r="D25" i="184"/>
  <c r="I24" i="184"/>
  <c r="F24" i="184"/>
  <c r="E24" i="184"/>
  <c r="D24" i="184"/>
  <c r="I23" i="184"/>
  <c r="F23" i="184"/>
  <c r="E23" i="184"/>
  <c r="D23" i="184"/>
  <c r="I22" i="184"/>
  <c r="F22" i="184"/>
  <c r="E22" i="184"/>
  <c r="D22" i="184"/>
  <c r="I21" i="184"/>
  <c r="F21" i="184"/>
  <c r="E21" i="184"/>
  <c r="D21" i="184"/>
  <c r="I20" i="184"/>
  <c r="F20" i="184"/>
  <c r="E20" i="184"/>
  <c r="D20" i="184"/>
  <c r="I19" i="184"/>
  <c r="F19" i="184"/>
  <c r="E19" i="184"/>
  <c r="D19" i="184"/>
  <c r="I18" i="184"/>
  <c r="F18" i="184"/>
  <c r="E18" i="184"/>
  <c r="D18" i="184"/>
  <c r="I17" i="184"/>
  <c r="F17" i="184"/>
  <c r="E17" i="184"/>
  <c r="D17" i="184"/>
  <c r="I16" i="184"/>
  <c r="F16" i="184"/>
  <c r="E16" i="184"/>
  <c r="D16" i="184"/>
  <c r="I15" i="184"/>
  <c r="F15" i="184"/>
  <c r="E15" i="184"/>
  <c r="D15" i="184"/>
  <c r="I14" i="184"/>
  <c r="F14" i="184"/>
  <c r="E14" i="184"/>
  <c r="D14" i="184"/>
  <c r="I13" i="184"/>
  <c r="F13" i="184"/>
  <c r="E13" i="184"/>
  <c r="D13" i="184"/>
  <c r="F12" i="184"/>
  <c r="E12" i="184"/>
  <c r="I12" i="184" s="1"/>
  <c r="D12" i="184"/>
  <c r="F11" i="184"/>
  <c r="I11" i="184" s="1"/>
  <c r="E11" i="184"/>
  <c r="D11" i="184"/>
  <c r="F10" i="184"/>
  <c r="E10" i="184"/>
  <c r="I10" i="184" s="1"/>
  <c r="D10" i="184"/>
  <c r="F9" i="184"/>
  <c r="E9" i="184"/>
  <c r="I9" i="184" s="1"/>
  <c r="D9" i="184"/>
  <c r="G8" i="184"/>
  <c r="F8" i="184"/>
  <c r="E8" i="184"/>
  <c r="I8" i="184" s="1"/>
  <c r="D8" i="184"/>
  <c r="C8" i="184"/>
  <c r="C9" i="184" s="1"/>
  <c r="E7" i="184"/>
  <c r="G6" i="184"/>
  <c r="I1" i="50"/>
  <c r="I37" i="183"/>
  <c r="F37" i="183"/>
  <c r="E37" i="183"/>
  <c r="D37" i="183"/>
  <c r="I36" i="183"/>
  <c r="F36" i="183"/>
  <c r="E36" i="183"/>
  <c r="D36" i="183"/>
  <c r="I35" i="183"/>
  <c r="F35" i="183"/>
  <c r="E35" i="183"/>
  <c r="D35" i="183"/>
  <c r="I34" i="183"/>
  <c r="F34" i="183"/>
  <c r="E34" i="183"/>
  <c r="D34" i="183"/>
  <c r="I33" i="183"/>
  <c r="F33" i="183"/>
  <c r="E33" i="183"/>
  <c r="D33" i="183"/>
  <c r="I32" i="183"/>
  <c r="F32" i="183"/>
  <c r="E32" i="183"/>
  <c r="D32" i="183"/>
  <c r="I31" i="183"/>
  <c r="F31" i="183"/>
  <c r="E31" i="183"/>
  <c r="D31" i="183"/>
  <c r="I30" i="183"/>
  <c r="F30" i="183"/>
  <c r="E30" i="183"/>
  <c r="D30" i="183"/>
  <c r="I29" i="183"/>
  <c r="F29" i="183"/>
  <c r="E29" i="183"/>
  <c r="D29" i="183"/>
  <c r="I28" i="183"/>
  <c r="F28" i="183"/>
  <c r="E28" i="183"/>
  <c r="D28" i="183"/>
  <c r="I27" i="183"/>
  <c r="F27" i="183"/>
  <c r="E27" i="183"/>
  <c r="D27" i="183"/>
  <c r="I26" i="183"/>
  <c r="F26" i="183"/>
  <c r="E26" i="183"/>
  <c r="D26" i="183"/>
  <c r="I25" i="183"/>
  <c r="F25" i="183"/>
  <c r="E25" i="183"/>
  <c r="D25" i="183"/>
  <c r="I24" i="183"/>
  <c r="F24" i="183"/>
  <c r="E24" i="183"/>
  <c r="D24" i="183"/>
  <c r="I23" i="183"/>
  <c r="F23" i="183"/>
  <c r="E23" i="183"/>
  <c r="D23" i="183"/>
  <c r="I22" i="183"/>
  <c r="F22" i="183"/>
  <c r="E22" i="183"/>
  <c r="D22" i="183"/>
  <c r="I21" i="183"/>
  <c r="F21" i="183"/>
  <c r="E21" i="183"/>
  <c r="D21" i="183"/>
  <c r="I20" i="183"/>
  <c r="F20" i="183"/>
  <c r="E20" i="183"/>
  <c r="D20" i="183"/>
  <c r="I19" i="183"/>
  <c r="F19" i="183"/>
  <c r="E19" i="183"/>
  <c r="D19" i="183"/>
  <c r="I18" i="183"/>
  <c r="F18" i="183"/>
  <c r="E18" i="183"/>
  <c r="D18" i="183"/>
  <c r="I17" i="183"/>
  <c r="F17" i="183"/>
  <c r="E17" i="183"/>
  <c r="D17" i="183"/>
  <c r="I16" i="183"/>
  <c r="F16" i="183"/>
  <c r="E16" i="183"/>
  <c r="D16" i="183"/>
  <c r="I15" i="183"/>
  <c r="F15" i="183"/>
  <c r="E15" i="183"/>
  <c r="D15" i="183"/>
  <c r="I14" i="183"/>
  <c r="F14" i="183"/>
  <c r="E14" i="183"/>
  <c r="D14" i="183"/>
  <c r="I13" i="183"/>
  <c r="F13" i="183"/>
  <c r="E13" i="183"/>
  <c r="D13" i="183"/>
  <c r="I12" i="183"/>
  <c r="F12" i="183"/>
  <c r="E12" i="183"/>
  <c r="D12" i="183"/>
  <c r="F11" i="183"/>
  <c r="I11" i="183" s="1"/>
  <c r="E11" i="183"/>
  <c r="D11" i="183"/>
  <c r="F10" i="183"/>
  <c r="E10" i="183"/>
  <c r="I10" i="183" s="1"/>
  <c r="D10" i="183"/>
  <c r="F9" i="183"/>
  <c r="I9" i="183" s="1"/>
  <c r="E9" i="183"/>
  <c r="D9" i="183"/>
  <c r="G8" i="183"/>
  <c r="F8" i="183"/>
  <c r="E8" i="183"/>
  <c r="I8" i="183" s="1"/>
  <c r="I7" i="183" s="1"/>
  <c r="D8" i="183"/>
  <c r="C8" i="183"/>
  <c r="C9" i="183" s="1"/>
  <c r="E7" i="183"/>
  <c r="G6" i="183"/>
  <c r="I37" i="182"/>
  <c r="F37" i="182"/>
  <c r="E37" i="182"/>
  <c r="D37" i="182"/>
  <c r="I36" i="182"/>
  <c r="F36" i="182"/>
  <c r="E36" i="182"/>
  <c r="D36" i="182"/>
  <c r="I35" i="182"/>
  <c r="F35" i="182"/>
  <c r="E35" i="182"/>
  <c r="D35" i="182"/>
  <c r="I34" i="182"/>
  <c r="F34" i="182"/>
  <c r="E34" i="182"/>
  <c r="D34" i="182"/>
  <c r="I33" i="182"/>
  <c r="F33" i="182"/>
  <c r="E33" i="182"/>
  <c r="D33" i="182"/>
  <c r="I32" i="182"/>
  <c r="F32" i="182"/>
  <c r="E32" i="182"/>
  <c r="D32" i="182"/>
  <c r="I31" i="182"/>
  <c r="F31" i="182"/>
  <c r="E31" i="182"/>
  <c r="D31" i="182"/>
  <c r="I30" i="182"/>
  <c r="F30" i="182"/>
  <c r="E30" i="182"/>
  <c r="D30" i="182"/>
  <c r="I29" i="182"/>
  <c r="F29" i="182"/>
  <c r="E29" i="182"/>
  <c r="D29" i="182"/>
  <c r="I28" i="182"/>
  <c r="F28" i="182"/>
  <c r="E28" i="182"/>
  <c r="D28" i="182"/>
  <c r="I27" i="182"/>
  <c r="F27" i="182"/>
  <c r="E27" i="182"/>
  <c r="D27" i="182"/>
  <c r="I26" i="182"/>
  <c r="F26" i="182"/>
  <c r="E26" i="182"/>
  <c r="D26" i="182"/>
  <c r="I25" i="182"/>
  <c r="F25" i="182"/>
  <c r="E25" i="182"/>
  <c r="D25" i="182"/>
  <c r="I24" i="182"/>
  <c r="F24" i="182"/>
  <c r="E24" i="182"/>
  <c r="D24" i="182"/>
  <c r="I23" i="182"/>
  <c r="F23" i="182"/>
  <c r="E23" i="182"/>
  <c r="D23" i="182"/>
  <c r="I22" i="182"/>
  <c r="F22" i="182"/>
  <c r="E22" i="182"/>
  <c r="D22" i="182"/>
  <c r="I21" i="182"/>
  <c r="F21" i="182"/>
  <c r="E21" i="182"/>
  <c r="D21" i="182"/>
  <c r="I20" i="182"/>
  <c r="F20" i="182"/>
  <c r="E20" i="182"/>
  <c r="D20" i="182"/>
  <c r="I19" i="182"/>
  <c r="F19" i="182"/>
  <c r="E19" i="182"/>
  <c r="D19" i="182"/>
  <c r="I18" i="182"/>
  <c r="F18" i="182"/>
  <c r="E18" i="182"/>
  <c r="D18" i="182"/>
  <c r="I17" i="182"/>
  <c r="F17" i="182"/>
  <c r="E17" i="182"/>
  <c r="D17" i="182"/>
  <c r="I16" i="182"/>
  <c r="F16" i="182"/>
  <c r="E16" i="182"/>
  <c r="D16" i="182"/>
  <c r="I15" i="182"/>
  <c r="F15" i="182"/>
  <c r="E15" i="182"/>
  <c r="D15" i="182"/>
  <c r="I14" i="182"/>
  <c r="F14" i="182"/>
  <c r="E14" i="182"/>
  <c r="D14" i="182"/>
  <c r="I13" i="182"/>
  <c r="F13" i="182"/>
  <c r="E13" i="182"/>
  <c r="D13" i="182"/>
  <c r="I12" i="182"/>
  <c r="F12" i="182"/>
  <c r="E12" i="182"/>
  <c r="D12" i="182"/>
  <c r="I11" i="182"/>
  <c r="F11" i="182"/>
  <c r="E11" i="182"/>
  <c r="D11" i="182"/>
  <c r="I10" i="182"/>
  <c r="F10" i="182"/>
  <c r="E10" i="182"/>
  <c r="D10" i="182"/>
  <c r="I9" i="182"/>
  <c r="F9" i="182"/>
  <c r="E9" i="182"/>
  <c r="D9" i="182"/>
  <c r="G8" i="182"/>
  <c r="F8" i="182"/>
  <c r="E8" i="182"/>
  <c r="I8" i="182" s="1"/>
  <c r="I7" i="182" s="1"/>
  <c r="D8" i="182"/>
  <c r="C8" i="182"/>
  <c r="C9" i="182" s="1"/>
  <c r="E7" i="182"/>
  <c r="G6" i="182"/>
  <c r="I37" i="181"/>
  <c r="F37" i="181"/>
  <c r="E37" i="181"/>
  <c r="D37" i="181"/>
  <c r="I36" i="181"/>
  <c r="F36" i="181"/>
  <c r="E36" i="181"/>
  <c r="D36" i="181"/>
  <c r="I35" i="181"/>
  <c r="F35" i="181"/>
  <c r="E35" i="181"/>
  <c r="D35" i="181"/>
  <c r="I34" i="181"/>
  <c r="F34" i="181"/>
  <c r="E34" i="181"/>
  <c r="D34" i="181"/>
  <c r="I33" i="181"/>
  <c r="F33" i="181"/>
  <c r="E33" i="181"/>
  <c r="D33" i="181"/>
  <c r="I32" i="181"/>
  <c r="F32" i="181"/>
  <c r="E32" i="181"/>
  <c r="D32" i="181"/>
  <c r="I31" i="181"/>
  <c r="F31" i="181"/>
  <c r="E31" i="181"/>
  <c r="D31" i="181"/>
  <c r="I30" i="181"/>
  <c r="F30" i="181"/>
  <c r="E30" i="181"/>
  <c r="D30" i="181"/>
  <c r="I29" i="181"/>
  <c r="F29" i="181"/>
  <c r="E29" i="181"/>
  <c r="D29" i="181"/>
  <c r="I28" i="181"/>
  <c r="F28" i="181"/>
  <c r="E28" i="181"/>
  <c r="D28" i="181"/>
  <c r="I27" i="181"/>
  <c r="F27" i="181"/>
  <c r="E27" i="181"/>
  <c r="D27" i="181"/>
  <c r="I26" i="181"/>
  <c r="F26" i="181"/>
  <c r="E26" i="181"/>
  <c r="D26" i="181"/>
  <c r="I25" i="181"/>
  <c r="F25" i="181"/>
  <c r="E25" i="181"/>
  <c r="D25" i="181"/>
  <c r="I24" i="181"/>
  <c r="F24" i="181"/>
  <c r="E24" i="181"/>
  <c r="D24" i="181"/>
  <c r="I23" i="181"/>
  <c r="F23" i="181"/>
  <c r="E23" i="181"/>
  <c r="D23" i="181"/>
  <c r="I22" i="181"/>
  <c r="F22" i="181"/>
  <c r="E22" i="181"/>
  <c r="D22" i="181"/>
  <c r="I21" i="181"/>
  <c r="F21" i="181"/>
  <c r="E21" i="181"/>
  <c r="D21" i="181"/>
  <c r="I20" i="181"/>
  <c r="F20" i="181"/>
  <c r="E20" i="181"/>
  <c r="D20" i="181"/>
  <c r="I19" i="181"/>
  <c r="F19" i="181"/>
  <c r="E19" i="181"/>
  <c r="D19" i="181"/>
  <c r="I18" i="181"/>
  <c r="F18" i="181"/>
  <c r="E18" i="181"/>
  <c r="D18" i="181"/>
  <c r="I17" i="181"/>
  <c r="F17" i="181"/>
  <c r="E17" i="181"/>
  <c r="D17" i="181"/>
  <c r="I16" i="181"/>
  <c r="F16" i="181"/>
  <c r="E16" i="181"/>
  <c r="D16" i="181"/>
  <c r="I15" i="181"/>
  <c r="F15" i="181"/>
  <c r="E15" i="181"/>
  <c r="D15" i="181"/>
  <c r="I14" i="181"/>
  <c r="F14" i="181"/>
  <c r="E14" i="181"/>
  <c r="D14" i="181"/>
  <c r="I13" i="181"/>
  <c r="F13" i="181"/>
  <c r="E13" i="181"/>
  <c r="D13" i="181"/>
  <c r="I12" i="181"/>
  <c r="F12" i="181"/>
  <c r="E12" i="181"/>
  <c r="D12" i="181"/>
  <c r="I11" i="181"/>
  <c r="F11" i="181"/>
  <c r="E11" i="181"/>
  <c r="D11" i="181"/>
  <c r="I10" i="181"/>
  <c r="F10" i="181"/>
  <c r="E10" i="181"/>
  <c r="D10" i="181"/>
  <c r="F9" i="181"/>
  <c r="I9" i="181" s="1"/>
  <c r="E9" i="181"/>
  <c r="D9" i="181"/>
  <c r="G8" i="181"/>
  <c r="F8" i="181"/>
  <c r="E8" i="181"/>
  <c r="I8" i="181" s="1"/>
  <c r="I7" i="181" s="1"/>
  <c r="D8" i="181"/>
  <c r="C8" i="181"/>
  <c r="C9" i="181" s="1"/>
  <c r="E7" i="181"/>
  <c r="G6" i="181"/>
  <c r="I37" i="180"/>
  <c r="F37" i="180"/>
  <c r="E37" i="180"/>
  <c r="D37" i="180"/>
  <c r="I36" i="180"/>
  <c r="F36" i="180"/>
  <c r="E36" i="180"/>
  <c r="D36" i="180"/>
  <c r="I35" i="180"/>
  <c r="F35" i="180"/>
  <c r="E35" i="180"/>
  <c r="D35" i="180"/>
  <c r="I34" i="180"/>
  <c r="F34" i="180"/>
  <c r="E34" i="180"/>
  <c r="D34" i="180"/>
  <c r="I33" i="180"/>
  <c r="F33" i="180"/>
  <c r="E33" i="180"/>
  <c r="D33" i="180"/>
  <c r="I32" i="180"/>
  <c r="F32" i="180"/>
  <c r="E32" i="180"/>
  <c r="D32" i="180"/>
  <c r="I31" i="180"/>
  <c r="F31" i="180"/>
  <c r="E31" i="180"/>
  <c r="D31" i="180"/>
  <c r="I30" i="180"/>
  <c r="F30" i="180"/>
  <c r="E30" i="180"/>
  <c r="D30" i="180"/>
  <c r="I29" i="180"/>
  <c r="F29" i="180"/>
  <c r="E29" i="180"/>
  <c r="D29" i="180"/>
  <c r="I28" i="180"/>
  <c r="F28" i="180"/>
  <c r="E28" i="180"/>
  <c r="D28" i="180"/>
  <c r="I27" i="180"/>
  <c r="F27" i="180"/>
  <c r="E27" i="180"/>
  <c r="D27" i="180"/>
  <c r="I26" i="180"/>
  <c r="F26" i="180"/>
  <c r="E26" i="180"/>
  <c r="D26" i="180"/>
  <c r="I25" i="180"/>
  <c r="F25" i="180"/>
  <c r="E25" i="180"/>
  <c r="D25" i="180"/>
  <c r="I24" i="180"/>
  <c r="F24" i="180"/>
  <c r="E24" i="180"/>
  <c r="D24" i="180"/>
  <c r="I23" i="180"/>
  <c r="F23" i="180"/>
  <c r="E23" i="180"/>
  <c r="D23" i="180"/>
  <c r="I22" i="180"/>
  <c r="F22" i="180"/>
  <c r="E22" i="180"/>
  <c r="D22" i="180"/>
  <c r="I21" i="180"/>
  <c r="F21" i="180"/>
  <c r="E21" i="180"/>
  <c r="D21" i="180"/>
  <c r="I20" i="180"/>
  <c r="F20" i="180"/>
  <c r="E20" i="180"/>
  <c r="D20" i="180"/>
  <c r="I19" i="180"/>
  <c r="F19" i="180"/>
  <c r="E19" i="180"/>
  <c r="D19" i="180"/>
  <c r="I18" i="180"/>
  <c r="F18" i="180"/>
  <c r="E18" i="180"/>
  <c r="D18" i="180"/>
  <c r="I17" i="180"/>
  <c r="F17" i="180"/>
  <c r="E17" i="180"/>
  <c r="D17" i="180"/>
  <c r="I16" i="180"/>
  <c r="F16" i="180"/>
  <c r="E16" i="180"/>
  <c r="D16" i="180"/>
  <c r="I15" i="180"/>
  <c r="F15" i="180"/>
  <c r="E15" i="180"/>
  <c r="D15" i="180"/>
  <c r="I14" i="180"/>
  <c r="F14" i="180"/>
  <c r="E14" i="180"/>
  <c r="D14" i="180"/>
  <c r="I13" i="180"/>
  <c r="F13" i="180"/>
  <c r="E13" i="180"/>
  <c r="D13" i="180"/>
  <c r="I12" i="180"/>
  <c r="F12" i="180"/>
  <c r="E12" i="180"/>
  <c r="D12" i="180"/>
  <c r="I11" i="180"/>
  <c r="F11" i="180"/>
  <c r="E11" i="180"/>
  <c r="D11" i="180"/>
  <c r="I10" i="180"/>
  <c r="F10" i="180"/>
  <c r="E10" i="180"/>
  <c r="D10" i="180"/>
  <c r="I9" i="180"/>
  <c r="F9" i="180"/>
  <c r="E9" i="180"/>
  <c r="D9" i="180"/>
  <c r="G8" i="180"/>
  <c r="F8" i="180"/>
  <c r="I8" i="180" s="1"/>
  <c r="I7" i="180" s="1"/>
  <c r="E8" i="180"/>
  <c r="D8" i="180"/>
  <c r="C8" i="180"/>
  <c r="C9" i="180" s="1"/>
  <c r="E7" i="180"/>
  <c r="G6" i="180"/>
  <c r="I37" i="179"/>
  <c r="F37" i="179"/>
  <c r="E37" i="179"/>
  <c r="D37" i="179"/>
  <c r="I36" i="179"/>
  <c r="F36" i="179"/>
  <c r="E36" i="179"/>
  <c r="D36" i="179"/>
  <c r="I35" i="179"/>
  <c r="F35" i="179"/>
  <c r="E35" i="179"/>
  <c r="D35" i="179"/>
  <c r="I34" i="179"/>
  <c r="F34" i="179"/>
  <c r="E34" i="179"/>
  <c r="D34" i="179"/>
  <c r="I33" i="179"/>
  <c r="F33" i="179"/>
  <c r="E33" i="179"/>
  <c r="D33" i="179"/>
  <c r="I32" i="179"/>
  <c r="F32" i="179"/>
  <c r="E32" i="179"/>
  <c r="D32" i="179"/>
  <c r="I31" i="179"/>
  <c r="F31" i="179"/>
  <c r="E31" i="179"/>
  <c r="D31" i="179"/>
  <c r="I30" i="179"/>
  <c r="F30" i="179"/>
  <c r="E30" i="179"/>
  <c r="D30" i="179"/>
  <c r="I29" i="179"/>
  <c r="F29" i="179"/>
  <c r="E29" i="179"/>
  <c r="D29" i="179"/>
  <c r="I28" i="179"/>
  <c r="F28" i="179"/>
  <c r="E28" i="179"/>
  <c r="D28" i="179"/>
  <c r="I27" i="179"/>
  <c r="F27" i="179"/>
  <c r="E27" i="179"/>
  <c r="D27" i="179"/>
  <c r="I26" i="179"/>
  <c r="F26" i="179"/>
  <c r="E26" i="179"/>
  <c r="D26" i="179"/>
  <c r="I25" i="179"/>
  <c r="F25" i="179"/>
  <c r="E25" i="179"/>
  <c r="D25" i="179"/>
  <c r="I24" i="179"/>
  <c r="F24" i="179"/>
  <c r="E24" i="179"/>
  <c r="D24" i="179"/>
  <c r="I23" i="179"/>
  <c r="F23" i="179"/>
  <c r="E23" i="179"/>
  <c r="D23" i="179"/>
  <c r="I22" i="179"/>
  <c r="F22" i="179"/>
  <c r="E22" i="179"/>
  <c r="D22" i="179"/>
  <c r="I21" i="179"/>
  <c r="F21" i="179"/>
  <c r="E21" i="179"/>
  <c r="D21" i="179"/>
  <c r="I20" i="179"/>
  <c r="F20" i="179"/>
  <c r="E20" i="179"/>
  <c r="D20" i="179"/>
  <c r="I19" i="179"/>
  <c r="F19" i="179"/>
  <c r="E19" i="179"/>
  <c r="D19" i="179"/>
  <c r="I18" i="179"/>
  <c r="F18" i="179"/>
  <c r="E18" i="179"/>
  <c r="D18" i="179"/>
  <c r="I17" i="179"/>
  <c r="F17" i="179"/>
  <c r="E17" i="179"/>
  <c r="D17" i="179"/>
  <c r="I16" i="179"/>
  <c r="F16" i="179"/>
  <c r="E16" i="179"/>
  <c r="D16" i="179"/>
  <c r="I15" i="179"/>
  <c r="F15" i="179"/>
  <c r="E15" i="179"/>
  <c r="D15" i="179"/>
  <c r="I14" i="179"/>
  <c r="F14" i="179"/>
  <c r="E14" i="179"/>
  <c r="D14" i="179"/>
  <c r="I13" i="179"/>
  <c r="F13" i="179"/>
  <c r="E13" i="179"/>
  <c r="D13" i="179"/>
  <c r="I12" i="179"/>
  <c r="F12" i="179"/>
  <c r="E12" i="179"/>
  <c r="D12" i="179"/>
  <c r="I11" i="179"/>
  <c r="F11" i="179"/>
  <c r="E11" i="179"/>
  <c r="D11" i="179"/>
  <c r="I10" i="179"/>
  <c r="F10" i="179"/>
  <c r="E10" i="179"/>
  <c r="D10" i="179"/>
  <c r="I9" i="179"/>
  <c r="F9" i="179"/>
  <c r="E9" i="179"/>
  <c r="D9" i="179"/>
  <c r="G8" i="179"/>
  <c r="F8" i="179"/>
  <c r="I8" i="179" s="1"/>
  <c r="I7" i="179" s="1"/>
  <c r="E8" i="179"/>
  <c r="D8" i="179"/>
  <c r="C8" i="179"/>
  <c r="C9" i="179" s="1"/>
  <c r="E7" i="179"/>
  <c r="G6" i="179"/>
  <c r="I37" i="178"/>
  <c r="F37" i="178"/>
  <c r="E37" i="178"/>
  <c r="D37" i="178"/>
  <c r="I36" i="178"/>
  <c r="F36" i="178"/>
  <c r="E36" i="178"/>
  <c r="D36" i="178"/>
  <c r="I35" i="178"/>
  <c r="F35" i="178"/>
  <c r="E35" i="178"/>
  <c r="D35" i="178"/>
  <c r="I34" i="178"/>
  <c r="F34" i="178"/>
  <c r="E34" i="178"/>
  <c r="D34" i="178"/>
  <c r="I33" i="178"/>
  <c r="F33" i="178"/>
  <c r="E33" i="178"/>
  <c r="D33" i="178"/>
  <c r="I32" i="178"/>
  <c r="F32" i="178"/>
  <c r="E32" i="178"/>
  <c r="D32" i="178"/>
  <c r="I31" i="178"/>
  <c r="F31" i="178"/>
  <c r="E31" i="178"/>
  <c r="D31" i="178"/>
  <c r="I30" i="178"/>
  <c r="F30" i="178"/>
  <c r="E30" i="178"/>
  <c r="D30" i="178"/>
  <c r="I29" i="178"/>
  <c r="F29" i="178"/>
  <c r="E29" i="178"/>
  <c r="D29" i="178"/>
  <c r="I28" i="178"/>
  <c r="F28" i="178"/>
  <c r="E28" i="178"/>
  <c r="D28" i="178"/>
  <c r="I27" i="178"/>
  <c r="F27" i="178"/>
  <c r="E27" i="178"/>
  <c r="D27" i="178"/>
  <c r="I26" i="178"/>
  <c r="F26" i="178"/>
  <c r="E26" i="178"/>
  <c r="D26" i="178"/>
  <c r="I25" i="178"/>
  <c r="F25" i="178"/>
  <c r="E25" i="178"/>
  <c r="D25" i="178"/>
  <c r="I24" i="178"/>
  <c r="F24" i="178"/>
  <c r="E24" i="178"/>
  <c r="D24" i="178"/>
  <c r="I23" i="178"/>
  <c r="F23" i="178"/>
  <c r="E23" i="178"/>
  <c r="D23" i="178"/>
  <c r="I22" i="178"/>
  <c r="F22" i="178"/>
  <c r="E22" i="178"/>
  <c r="D22" i="178"/>
  <c r="I21" i="178"/>
  <c r="F21" i="178"/>
  <c r="E21" i="178"/>
  <c r="D21" i="178"/>
  <c r="I20" i="178"/>
  <c r="F20" i="178"/>
  <c r="E20" i="178"/>
  <c r="D20" i="178"/>
  <c r="I19" i="178"/>
  <c r="F19" i="178"/>
  <c r="E19" i="178"/>
  <c r="D19" i="178"/>
  <c r="I18" i="178"/>
  <c r="F18" i="178"/>
  <c r="E18" i="178"/>
  <c r="D18" i="178"/>
  <c r="I17" i="178"/>
  <c r="F17" i="178"/>
  <c r="E17" i="178"/>
  <c r="D17" i="178"/>
  <c r="I16" i="178"/>
  <c r="F16" i="178"/>
  <c r="E16" i="178"/>
  <c r="D16" i="178"/>
  <c r="I15" i="178"/>
  <c r="F15" i="178"/>
  <c r="E15" i="178"/>
  <c r="D15" i="178"/>
  <c r="I14" i="178"/>
  <c r="F14" i="178"/>
  <c r="E14" i="178"/>
  <c r="D14" i="178"/>
  <c r="I13" i="178"/>
  <c r="F13" i="178"/>
  <c r="E13" i="178"/>
  <c r="D13" i="178"/>
  <c r="I12" i="178"/>
  <c r="F12" i="178"/>
  <c r="E12" i="178"/>
  <c r="D12" i="178"/>
  <c r="I11" i="178"/>
  <c r="F11" i="178"/>
  <c r="E11" i="178"/>
  <c r="D11" i="178"/>
  <c r="I10" i="178"/>
  <c r="F10" i="178"/>
  <c r="E10" i="178"/>
  <c r="D10" i="178"/>
  <c r="F9" i="178"/>
  <c r="E9" i="178"/>
  <c r="I9" i="178" s="1"/>
  <c r="D9" i="178"/>
  <c r="G8" i="178"/>
  <c r="F8" i="178"/>
  <c r="I8" i="178" s="1"/>
  <c r="E8" i="178"/>
  <c r="D8" i="178"/>
  <c r="C8" i="178"/>
  <c r="C9" i="178" s="1"/>
  <c r="E7" i="178"/>
  <c r="G6" i="178"/>
  <c r="I37" i="177"/>
  <c r="F37" i="177"/>
  <c r="E37" i="177"/>
  <c r="D37" i="177"/>
  <c r="I36" i="177"/>
  <c r="F36" i="177"/>
  <c r="E36" i="177"/>
  <c r="D36" i="177"/>
  <c r="I35" i="177"/>
  <c r="F35" i="177"/>
  <c r="E35" i="177"/>
  <c r="D35" i="177"/>
  <c r="I34" i="177"/>
  <c r="F34" i="177"/>
  <c r="E34" i="177"/>
  <c r="D34" i="177"/>
  <c r="I33" i="177"/>
  <c r="F33" i="177"/>
  <c r="E33" i="177"/>
  <c r="D33" i="177"/>
  <c r="I32" i="177"/>
  <c r="F32" i="177"/>
  <c r="E32" i="177"/>
  <c r="D32" i="177"/>
  <c r="I31" i="177"/>
  <c r="F31" i="177"/>
  <c r="E31" i="177"/>
  <c r="D31" i="177"/>
  <c r="I30" i="177"/>
  <c r="F30" i="177"/>
  <c r="E30" i="177"/>
  <c r="D30" i="177"/>
  <c r="I29" i="177"/>
  <c r="F29" i="177"/>
  <c r="E29" i="177"/>
  <c r="D29" i="177"/>
  <c r="I28" i="177"/>
  <c r="F28" i="177"/>
  <c r="E28" i="177"/>
  <c r="D28" i="177"/>
  <c r="I27" i="177"/>
  <c r="F27" i="177"/>
  <c r="E27" i="177"/>
  <c r="D27" i="177"/>
  <c r="I26" i="177"/>
  <c r="F26" i="177"/>
  <c r="E26" i="177"/>
  <c r="D26" i="177"/>
  <c r="I25" i="177"/>
  <c r="F25" i="177"/>
  <c r="E25" i="177"/>
  <c r="D25" i="177"/>
  <c r="I24" i="177"/>
  <c r="F24" i="177"/>
  <c r="E24" i="177"/>
  <c r="D24" i="177"/>
  <c r="I23" i="177"/>
  <c r="F23" i="177"/>
  <c r="E23" i="177"/>
  <c r="D23" i="177"/>
  <c r="I22" i="177"/>
  <c r="F22" i="177"/>
  <c r="E22" i="177"/>
  <c r="D22" i="177"/>
  <c r="I21" i="177"/>
  <c r="F21" i="177"/>
  <c r="E21" i="177"/>
  <c r="D21" i="177"/>
  <c r="I20" i="177"/>
  <c r="F20" i="177"/>
  <c r="E20" i="177"/>
  <c r="D20" i="177"/>
  <c r="I19" i="177"/>
  <c r="F19" i="177"/>
  <c r="E19" i="177"/>
  <c r="D19" i="177"/>
  <c r="I18" i="177"/>
  <c r="F18" i="177"/>
  <c r="E18" i="177"/>
  <c r="D18" i="177"/>
  <c r="I17" i="177"/>
  <c r="F17" i="177"/>
  <c r="E17" i="177"/>
  <c r="D17" i="177"/>
  <c r="I16" i="177"/>
  <c r="F16" i="177"/>
  <c r="E16" i="177"/>
  <c r="D16" i="177"/>
  <c r="I15" i="177"/>
  <c r="F15" i="177"/>
  <c r="E15" i="177"/>
  <c r="D15" i="177"/>
  <c r="I14" i="177"/>
  <c r="F14" i="177"/>
  <c r="E14" i="177"/>
  <c r="D14" i="177"/>
  <c r="I13" i="177"/>
  <c r="F13" i="177"/>
  <c r="E13" i="177"/>
  <c r="D13" i="177"/>
  <c r="F11" i="177"/>
  <c r="I11" i="177" s="1"/>
  <c r="E11" i="177"/>
  <c r="D11" i="177"/>
  <c r="F10" i="177"/>
  <c r="E10" i="177"/>
  <c r="I10" i="177" s="1"/>
  <c r="D10" i="177"/>
  <c r="F9" i="177"/>
  <c r="I9" i="177" s="1"/>
  <c r="E9" i="177"/>
  <c r="D9" i="177"/>
  <c r="G8" i="177"/>
  <c r="F8" i="177"/>
  <c r="I8" i="177" s="1"/>
  <c r="E8" i="177"/>
  <c r="D8" i="177"/>
  <c r="C8" i="177"/>
  <c r="C9" i="177" s="1"/>
  <c r="E7" i="177"/>
  <c r="G6" i="177"/>
  <c r="G10" i="185" l="1"/>
  <c r="C11" i="185"/>
  <c r="I7" i="184"/>
  <c r="G9" i="184"/>
  <c r="C10" i="184"/>
  <c r="I7" i="178"/>
  <c r="G9" i="183"/>
  <c r="C10" i="183"/>
  <c r="G9" i="182"/>
  <c r="C10" i="182"/>
  <c r="G9" i="181"/>
  <c r="C10" i="181"/>
  <c r="G9" i="180"/>
  <c r="C10" i="180"/>
  <c r="G9" i="179"/>
  <c r="C10" i="179"/>
  <c r="G9" i="178"/>
  <c r="C10" i="178"/>
  <c r="I12" i="177"/>
  <c r="I7" i="177" s="1"/>
  <c r="G9" i="177"/>
  <c r="C10" i="177"/>
  <c r="I37" i="176"/>
  <c r="F37" i="176"/>
  <c r="E37" i="176"/>
  <c r="D37" i="176"/>
  <c r="I36" i="176"/>
  <c r="F36" i="176"/>
  <c r="E36" i="176"/>
  <c r="D36" i="176"/>
  <c r="I35" i="176"/>
  <c r="F35" i="176"/>
  <c r="E35" i="176"/>
  <c r="D35" i="176"/>
  <c r="I34" i="176"/>
  <c r="F34" i="176"/>
  <c r="E34" i="176"/>
  <c r="D34" i="176"/>
  <c r="I33" i="176"/>
  <c r="F33" i="176"/>
  <c r="E33" i="176"/>
  <c r="D33" i="176"/>
  <c r="I32" i="176"/>
  <c r="F32" i="176"/>
  <c r="E32" i="176"/>
  <c r="D32" i="176"/>
  <c r="I31" i="176"/>
  <c r="F31" i="176"/>
  <c r="E31" i="176"/>
  <c r="D31" i="176"/>
  <c r="I30" i="176"/>
  <c r="F30" i="176"/>
  <c r="E30" i="176"/>
  <c r="D30" i="176"/>
  <c r="I29" i="176"/>
  <c r="F29" i="176"/>
  <c r="E29" i="176"/>
  <c r="D29" i="176"/>
  <c r="I28" i="176"/>
  <c r="F28" i="176"/>
  <c r="E28" i="176"/>
  <c r="D28" i="176"/>
  <c r="I27" i="176"/>
  <c r="F27" i="176"/>
  <c r="E27" i="176"/>
  <c r="D27" i="176"/>
  <c r="I26" i="176"/>
  <c r="F26" i="176"/>
  <c r="E26" i="176"/>
  <c r="D26" i="176"/>
  <c r="I25" i="176"/>
  <c r="F25" i="176"/>
  <c r="E25" i="176"/>
  <c r="D25" i="176"/>
  <c r="I24" i="176"/>
  <c r="F24" i="176"/>
  <c r="E24" i="176"/>
  <c r="D24" i="176"/>
  <c r="I23" i="176"/>
  <c r="F23" i="176"/>
  <c r="E23" i="176"/>
  <c r="D23" i="176"/>
  <c r="I22" i="176"/>
  <c r="F22" i="176"/>
  <c r="E22" i="176"/>
  <c r="D22" i="176"/>
  <c r="I21" i="176"/>
  <c r="F21" i="176"/>
  <c r="E21" i="176"/>
  <c r="D21" i="176"/>
  <c r="I20" i="176"/>
  <c r="F20" i="176"/>
  <c r="E20" i="176"/>
  <c r="D20" i="176"/>
  <c r="I19" i="176"/>
  <c r="F19" i="176"/>
  <c r="E19" i="176"/>
  <c r="D19" i="176"/>
  <c r="I18" i="176"/>
  <c r="F18" i="176"/>
  <c r="E18" i="176"/>
  <c r="D18" i="176"/>
  <c r="I17" i="176"/>
  <c r="F17" i="176"/>
  <c r="E17" i="176"/>
  <c r="D17" i="176"/>
  <c r="I16" i="176"/>
  <c r="F16" i="176"/>
  <c r="E16" i="176"/>
  <c r="D16" i="176"/>
  <c r="I15" i="176"/>
  <c r="F15" i="176"/>
  <c r="E15" i="176"/>
  <c r="D15" i="176"/>
  <c r="I14" i="176"/>
  <c r="F14" i="176"/>
  <c r="E14" i="176"/>
  <c r="D14" i="176"/>
  <c r="I13" i="176"/>
  <c r="F13" i="176"/>
  <c r="E13" i="176"/>
  <c r="D13" i="176"/>
  <c r="I12" i="176"/>
  <c r="F12" i="176"/>
  <c r="E12" i="176"/>
  <c r="D12" i="176"/>
  <c r="I11" i="176"/>
  <c r="F11" i="176"/>
  <c r="E11" i="176"/>
  <c r="D11" i="176"/>
  <c r="I10" i="176"/>
  <c r="F10" i="176"/>
  <c r="E10" i="176"/>
  <c r="D10" i="176"/>
  <c r="F9" i="176"/>
  <c r="E9" i="176"/>
  <c r="I9" i="176" s="1"/>
  <c r="D9" i="176"/>
  <c r="G8" i="176"/>
  <c r="F8" i="176"/>
  <c r="I8" i="176" s="1"/>
  <c r="I7" i="176" s="1"/>
  <c r="E8" i="176"/>
  <c r="D8" i="176"/>
  <c r="C8" i="176"/>
  <c r="C9" i="176" s="1"/>
  <c r="E7" i="176"/>
  <c r="G6" i="176"/>
  <c r="I37" i="175"/>
  <c r="F37" i="175"/>
  <c r="E37" i="175"/>
  <c r="D37" i="175"/>
  <c r="I36" i="175"/>
  <c r="F36" i="175"/>
  <c r="E36" i="175"/>
  <c r="D36" i="175"/>
  <c r="I35" i="175"/>
  <c r="F35" i="175"/>
  <c r="E35" i="175"/>
  <c r="D35" i="175"/>
  <c r="I34" i="175"/>
  <c r="F34" i="175"/>
  <c r="E34" i="175"/>
  <c r="D34" i="175"/>
  <c r="I33" i="175"/>
  <c r="F33" i="175"/>
  <c r="E33" i="175"/>
  <c r="D33" i="175"/>
  <c r="I32" i="175"/>
  <c r="F32" i="175"/>
  <c r="E32" i="175"/>
  <c r="D32" i="175"/>
  <c r="I31" i="175"/>
  <c r="F31" i="175"/>
  <c r="E31" i="175"/>
  <c r="D31" i="175"/>
  <c r="I30" i="175"/>
  <c r="F30" i="175"/>
  <c r="E30" i="175"/>
  <c r="D30" i="175"/>
  <c r="I29" i="175"/>
  <c r="F29" i="175"/>
  <c r="E29" i="175"/>
  <c r="D29" i="175"/>
  <c r="I28" i="175"/>
  <c r="F28" i="175"/>
  <c r="E28" i="175"/>
  <c r="D28" i="175"/>
  <c r="I27" i="175"/>
  <c r="F27" i="175"/>
  <c r="E27" i="175"/>
  <c r="D27" i="175"/>
  <c r="I26" i="175"/>
  <c r="F26" i="175"/>
  <c r="E26" i="175"/>
  <c r="D26" i="175"/>
  <c r="I25" i="175"/>
  <c r="F25" i="175"/>
  <c r="E25" i="175"/>
  <c r="D25" i="175"/>
  <c r="I24" i="175"/>
  <c r="F24" i="175"/>
  <c r="E24" i="175"/>
  <c r="D24" i="175"/>
  <c r="I23" i="175"/>
  <c r="F23" i="175"/>
  <c r="E23" i="175"/>
  <c r="D23" i="175"/>
  <c r="I22" i="175"/>
  <c r="F22" i="175"/>
  <c r="E22" i="175"/>
  <c r="D22" i="175"/>
  <c r="I21" i="175"/>
  <c r="F21" i="175"/>
  <c r="E21" i="175"/>
  <c r="D21" i="175"/>
  <c r="I20" i="175"/>
  <c r="F20" i="175"/>
  <c r="E20" i="175"/>
  <c r="D20" i="175"/>
  <c r="I19" i="175"/>
  <c r="F19" i="175"/>
  <c r="E19" i="175"/>
  <c r="D19" i="175"/>
  <c r="I18" i="175"/>
  <c r="F18" i="175"/>
  <c r="E18" i="175"/>
  <c r="D18" i="175"/>
  <c r="I17" i="175"/>
  <c r="F17" i="175"/>
  <c r="E17" i="175"/>
  <c r="D17" i="175"/>
  <c r="I16" i="175"/>
  <c r="F16" i="175"/>
  <c r="E16" i="175"/>
  <c r="D16" i="175"/>
  <c r="I15" i="175"/>
  <c r="F15" i="175"/>
  <c r="E15" i="175"/>
  <c r="D15" i="175"/>
  <c r="I14" i="175"/>
  <c r="F14" i="175"/>
  <c r="E14" i="175"/>
  <c r="D14" i="175"/>
  <c r="I13" i="175"/>
  <c r="F13" i="175"/>
  <c r="E13" i="175"/>
  <c r="D13" i="175"/>
  <c r="F12" i="175"/>
  <c r="E12" i="175"/>
  <c r="I12" i="175" s="1"/>
  <c r="D12" i="175"/>
  <c r="F11" i="175"/>
  <c r="I11" i="175" s="1"/>
  <c r="E11" i="175"/>
  <c r="D11" i="175"/>
  <c r="F10" i="175"/>
  <c r="E10" i="175"/>
  <c r="I10" i="175" s="1"/>
  <c r="D10" i="175"/>
  <c r="F9" i="175"/>
  <c r="I9" i="175" s="1"/>
  <c r="E9" i="175"/>
  <c r="D9" i="175"/>
  <c r="G8" i="175"/>
  <c r="F8" i="175"/>
  <c r="E8" i="175"/>
  <c r="I8" i="175" s="1"/>
  <c r="D8" i="175"/>
  <c r="C8" i="175"/>
  <c r="C9" i="175" s="1"/>
  <c r="E7" i="175"/>
  <c r="G6" i="175"/>
  <c r="I37" i="174"/>
  <c r="F37" i="174"/>
  <c r="E37" i="174"/>
  <c r="D37" i="174"/>
  <c r="I36" i="174"/>
  <c r="F36" i="174"/>
  <c r="E36" i="174"/>
  <c r="D36" i="174"/>
  <c r="I35" i="174"/>
  <c r="F35" i="174"/>
  <c r="E35" i="174"/>
  <c r="D35" i="174"/>
  <c r="I34" i="174"/>
  <c r="F34" i="174"/>
  <c r="E34" i="174"/>
  <c r="D34" i="174"/>
  <c r="I33" i="174"/>
  <c r="F33" i="174"/>
  <c r="E33" i="174"/>
  <c r="D33" i="174"/>
  <c r="I32" i="174"/>
  <c r="F32" i="174"/>
  <c r="E32" i="174"/>
  <c r="D32" i="174"/>
  <c r="I31" i="174"/>
  <c r="F31" i="174"/>
  <c r="E31" i="174"/>
  <c r="D31" i="174"/>
  <c r="I30" i="174"/>
  <c r="F30" i="174"/>
  <c r="E30" i="174"/>
  <c r="D30" i="174"/>
  <c r="I29" i="174"/>
  <c r="F29" i="174"/>
  <c r="E29" i="174"/>
  <c r="D29" i="174"/>
  <c r="I28" i="174"/>
  <c r="F28" i="174"/>
  <c r="E28" i="174"/>
  <c r="D28" i="174"/>
  <c r="I27" i="174"/>
  <c r="F27" i="174"/>
  <c r="E27" i="174"/>
  <c r="D27" i="174"/>
  <c r="I26" i="174"/>
  <c r="F26" i="174"/>
  <c r="E26" i="174"/>
  <c r="D26" i="174"/>
  <c r="I25" i="174"/>
  <c r="F25" i="174"/>
  <c r="E25" i="174"/>
  <c r="D25" i="174"/>
  <c r="I24" i="174"/>
  <c r="F24" i="174"/>
  <c r="E24" i="174"/>
  <c r="D24" i="174"/>
  <c r="I23" i="174"/>
  <c r="F23" i="174"/>
  <c r="E23" i="174"/>
  <c r="D23" i="174"/>
  <c r="I22" i="174"/>
  <c r="F22" i="174"/>
  <c r="E22" i="174"/>
  <c r="D22" i="174"/>
  <c r="I21" i="174"/>
  <c r="F21" i="174"/>
  <c r="E21" i="174"/>
  <c r="D21" i="174"/>
  <c r="I20" i="174"/>
  <c r="F20" i="174"/>
  <c r="E20" i="174"/>
  <c r="D20" i="174"/>
  <c r="I19" i="174"/>
  <c r="F19" i="174"/>
  <c r="E19" i="174"/>
  <c r="D19" i="174"/>
  <c r="I18" i="174"/>
  <c r="F18" i="174"/>
  <c r="E18" i="174"/>
  <c r="D18" i="174"/>
  <c r="I17" i="174"/>
  <c r="F17" i="174"/>
  <c r="E17" i="174"/>
  <c r="D17" i="174"/>
  <c r="I16" i="174"/>
  <c r="F16" i="174"/>
  <c r="E16" i="174"/>
  <c r="D16" i="174"/>
  <c r="I15" i="174"/>
  <c r="F15" i="174"/>
  <c r="E15" i="174"/>
  <c r="D15" i="174"/>
  <c r="I14" i="174"/>
  <c r="F14" i="174"/>
  <c r="E14" i="174"/>
  <c r="D14" i="174"/>
  <c r="I13" i="174"/>
  <c r="F13" i="174"/>
  <c r="E13" i="174"/>
  <c r="D13" i="174"/>
  <c r="I12" i="174"/>
  <c r="F12" i="174"/>
  <c r="E12" i="174"/>
  <c r="D12" i="174"/>
  <c r="F11" i="174"/>
  <c r="I11" i="174" s="1"/>
  <c r="E11" i="174"/>
  <c r="D11" i="174"/>
  <c r="F10" i="174"/>
  <c r="E10" i="174"/>
  <c r="I10" i="174" s="1"/>
  <c r="D10" i="174"/>
  <c r="F9" i="174"/>
  <c r="I9" i="174" s="1"/>
  <c r="E9" i="174"/>
  <c r="D9" i="174"/>
  <c r="G8" i="174"/>
  <c r="F8" i="174"/>
  <c r="E8" i="174"/>
  <c r="I8" i="174" s="1"/>
  <c r="I7" i="174" s="1"/>
  <c r="D8" i="174"/>
  <c r="C8" i="174"/>
  <c r="C9" i="174" s="1"/>
  <c r="E7" i="174"/>
  <c r="G6" i="174"/>
  <c r="C12" i="185" l="1"/>
  <c r="G11" i="185"/>
  <c r="G10" i="184"/>
  <c r="C11" i="184"/>
  <c r="G10" i="183"/>
  <c r="C11" i="183"/>
  <c r="C11" i="182"/>
  <c r="G10" i="182"/>
  <c r="G10" i="181"/>
  <c r="C11" i="181"/>
  <c r="G10" i="180"/>
  <c r="C11" i="180"/>
  <c r="G10" i="179"/>
  <c r="C11" i="179"/>
  <c r="G10" i="178"/>
  <c r="C11" i="178"/>
  <c r="G10" i="177"/>
  <c r="C11" i="177"/>
  <c r="G9" i="176"/>
  <c r="C10" i="176"/>
  <c r="I7" i="175"/>
  <c r="G9" i="175"/>
  <c r="C10" i="175"/>
  <c r="G9" i="174"/>
  <c r="C10" i="174"/>
  <c r="I37" i="173"/>
  <c r="F37" i="173"/>
  <c r="E37" i="173"/>
  <c r="D37" i="173"/>
  <c r="I36" i="173"/>
  <c r="F36" i="173"/>
  <c r="E36" i="173"/>
  <c r="D36" i="173"/>
  <c r="I35" i="173"/>
  <c r="F35" i="173"/>
  <c r="E35" i="173"/>
  <c r="D35" i="173"/>
  <c r="I34" i="173"/>
  <c r="F34" i="173"/>
  <c r="E34" i="173"/>
  <c r="D34" i="173"/>
  <c r="I33" i="173"/>
  <c r="F33" i="173"/>
  <c r="E33" i="173"/>
  <c r="D33" i="173"/>
  <c r="I32" i="173"/>
  <c r="F32" i="173"/>
  <c r="E32" i="173"/>
  <c r="D32" i="173"/>
  <c r="I31" i="173"/>
  <c r="F31" i="173"/>
  <c r="E31" i="173"/>
  <c r="D31" i="173"/>
  <c r="I30" i="173"/>
  <c r="F30" i="173"/>
  <c r="E30" i="173"/>
  <c r="D30" i="173"/>
  <c r="I29" i="173"/>
  <c r="F29" i="173"/>
  <c r="E29" i="173"/>
  <c r="D29" i="173"/>
  <c r="I28" i="173"/>
  <c r="F28" i="173"/>
  <c r="E28" i="173"/>
  <c r="D28" i="173"/>
  <c r="I27" i="173"/>
  <c r="F27" i="173"/>
  <c r="E27" i="173"/>
  <c r="D27" i="173"/>
  <c r="I26" i="173"/>
  <c r="F26" i="173"/>
  <c r="E26" i="173"/>
  <c r="D26" i="173"/>
  <c r="I25" i="173"/>
  <c r="F25" i="173"/>
  <c r="E25" i="173"/>
  <c r="D25" i="173"/>
  <c r="I24" i="173"/>
  <c r="F24" i="173"/>
  <c r="E24" i="173"/>
  <c r="D24" i="173"/>
  <c r="I23" i="173"/>
  <c r="F23" i="173"/>
  <c r="E23" i="173"/>
  <c r="D23" i="173"/>
  <c r="I22" i="173"/>
  <c r="F22" i="173"/>
  <c r="E22" i="173"/>
  <c r="D22" i="173"/>
  <c r="I21" i="173"/>
  <c r="I20" i="173"/>
  <c r="F20" i="173"/>
  <c r="E20" i="173"/>
  <c r="D20" i="173"/>
  <c r="I19" i="173"/>
  <c r="F19" i="173"/>
  <c r="E19" i="173"/>
  <c r="D19" i="173"/>
  <c r="F18" i="173"/>
  <c r="E18" i="173"/>
  <c r="I18" i="173" s="1"/>
  <c r="D18" i="173"/>
  <c r="F17" i="173"/>
  <c r="I17" i="173" s="1"/>
  <c r="E17" i="173"/>
  <c r="D17" i="173"/>
  <c r="F16" i="173"/>
  <c r="E16" i="173"/>
  <c r="I16" i="173" s="1"/>
  <c r="D16" i="173"/>
  <c r="F15" i="173"/>
  <c r="I15" i="173" s="1"/>
  <c r="E15" i="173"/>
  <c r="D15" i="173"/>
  <c r="F14" i="173"/>
  <c r="E14" i="173"/>
  <c r="I14" i="173" s="1"/>
  <c r="D14" i="173"/>
  <c r="F13" i="173"/>
  <c r="I13" i="173" s="1"/>
  <c r="E13" i="173"/>
  <c r="D13" i="173"/>
  <c r="F12" i="173"/>
  <c r="E12" i="173"/>
  <c r="I12" i="173" s="1"/>
  <c r="D12" i="173"/>
  <c r="F11" i="173"/>
  <c r="I11" i="173" s="1"/>
  <c r="E11" i="173"/>
  <c r="D11" i="173"/>
  <c r="F10" i="173"/>
  <c r="E10" i="173"/>
  <c r="I10" i="173" s="1"/>
  <c r="D10" i="173"/>
  <c r="F9" i="173"/>
  <c r="I9" i="173" s="1"/>
  <c r="E9" i="173"/>
  <c r="D9" i="173"/>
  <c r="G8" i="173"/>
  <c r="F8" i="173"/>
  <c r="E8" i="173"/>
  <c r="I8" i="173" s="1"/>
  <c r="D8" i="173"/>
  <c r="C8" i="173"/>
  <c r="C9" i="173" s="1"/>
  <c r="E7" i="173"/>
  <c r="G6" i="173"/>
  <c r="I37" i="172"/>
  <c r="F37" i="172"/>
  <c r="E37" i="172"/>
  <c r="D37" i="172"/>
  <c r="I36" i="172"/>
  <c r="F36" i="172"/>
  <c r="E36" i="172"/>
  <c r="D36" i="172"/>
  <c r="I35" i="172"/>
  <c r="F35" i="172"/>
  <c r="E35" i="172"/>
  <c r="D35" i="172"/>
  <c r="I34" i="172"/>
  <c r="F34" i="172"/>
  <c r="E34" i="172"/>
  <c r="D34" i="172"/>
  <c r="I33" i="172"/>
  <c r="F33" i="172"/>
  <c r="E33" i="172"/>
  <c r="D33" i="172"/>
  <c r="I32" i="172"/>
  <c r="F32" i="172"/>
  <c r="E32" i="172"/>
  <c r="D32" i="172"/>
  <c r="I31" i="172"/>
  <c r="F31" i="172"/>
  <c r="E31" i="172"/>
  <c r="D31" i="172"/>
  <c r="I30" i="172"/>
  <c r="F30" i="172"/>
  <c r="E30" i="172"/>
  <c r="D30" i="172"/>
  <c r="I29" i="172"/>
  <c r="F29" i="172"/>
  <c r="E29" i="172"/>
  <c r="D29" i="172"/>
  <c r="I28" i="172"/>
  <c r="F28" i="172"/>
  <c r="E28" i="172"/>
  <c r="D28" i="172"/>
  <c r="I27" i="172"/>
  <c r="F27" i="172"/>
  <c r="E27" i="172"/>
  <c r="D27" i="172"/>
  <c r="I26" i="172"/>
  <c r="F26" i="172"/>
  <c r="E26" i="172"/>
  <c r="D26" i="172"/>
  <c r="I25" i="172"/>
  <c r="F25" i="172"/>
  <c r="E25" i="172"/>
  <c r="D25" i="172"/>
  <c r="I24" i="172"/>
  <c r="F24" i="172"/>
  <c r="E24" i="172"/>
  <c r="D24" i="172"/>
  <c r="I23" i="172"/>
  <c r="F23" i="172"/>
  <c r="E23" i="172"/>
  <c r="D23" i="172"/>
  <c r="I22" i="172"/>
  <c r="F22" i="172"/>
  <c r="E22" i="172"/>
  <c r="D22" i="172"/>
  <c r="I21" i="172"/>
  <c r="F21" i="172"/>
  <c r="E21" i="172"/>
  <c r="D21" i="172"/>
  <c r="I20" i="172"/>
  <c r="F20" i="172"/>
  <c r="E20" i="172"/>
  <c r="D20" i="172"/>
  <c r="I19" i="172"/>
  <c r="F19" i="172"/>
  <c r="E19" i="172"/>
  <c r="D19" i="172"/>
  <c r="I18" i="172"/>
  <c r="F18" i="172"/>
  <c r="E18" i="172"/>
  <c r="D18" i="172"/>
  <c r="I17" i="172"/>
  <c r="F17" i="172"/>
  <c r="E17" i="172"/>
  <c r="D17" i="172"/>
  <c r="I16" i="172"/>
  <c r="F16" i="172"/>
  <c r="E16" i="172"/>
  <c r="D16" i="172"/>
  <c r="F15" i="172"/>
  <c r="I15" i="172" s="1"/>
  <c r="E15" i="172"/>
  <c r="D15" i="172"/>
  <c r="F14" i="172"/>
  <c r="E14" i="172"/>
  <c r="I14" i="172" s="1"/>
  <c r="D14" i="172"/>
  <c r="F13" i="172"/>
  <c r="I13" i="172" s="1"/>
  <c r="E13" i="172"/>
  <c r="D13" i="172"/>
  <c r="F12" i="172"/>
  <c r="I12" i="172" s="1"/>
  <c r="E12" i="172"/>
  <c r="D12" i="172"/>
  <c r="F11" i="172"/>
  <c r="I11" i="172" s="1"/>
  <c r="E11" i="172"/>
  <c r="D11" i="172"/>
  <c r="F10" i="172"/>
  <c r="E10" i="172"/>
  <c r="I10" i="172" s="1"/>
  <c r="D10" i="172"/>
  <c r="F9" i="172"/>
  <c r="E9" i="172"/>
  <c r="I9" i="172" s="1"/>
  <c r="D9" i="172"/>
  <c r="G8" i="172"/>
  <c r="F8" i="172"/>
  <c r="I8" i="172" s="1"/>
  <c r="I7" i="172" s="1"/>
  <c r="E8" i="172"/>
  <c r="D8" i="172"/>
  <c r="C8" i="172"/>
  <c r="C9" i="172" s="1"/>
  <c r="E7" i="172"/>
  <c r="G6" i="172"/>
  <c r="AD20" i="1"/>
  <c r="AD31" i="1"/>
  <c r="AD32" i="1"/>
  <c r="AD9" i="5"/>
  <c r="C13" i="185" l="1"/>
  <c r="G12" i="185"/>
  <c r="G11" i="184"/>
  <c r="C12" i="184"/>
  <c r="C12" i="183"/>
  <c r="G11" i="183"/>
  <c r="G11" i="182"/>
  <c r="C12" i="182"/>
  <c r="G11" i="181"/>
  <c r="C12" i="181"/>
  <c r="G11" i="180"/>
  <c r="C12" i="180"/>
  <c r="C12" i="179"/>
  <c r="G11" i="179"/>
  <c r="G11" i="178"/>
  <c r="C12" i="178"/>
  <c r="C12" i="177"/>
  <c r="G11" i="177"/>
  <c r="G10" i="176"/>
  <c r="C11" i="176"/>
  <c r="G10" i="175"/>
  <c r="C11" i="175"/>
  <c r="G10" i="174"/>
  <c r="C11" i="174"/>
  <c r="G9" i="173"/>
  <c r="C10" i="173"/>
  <c r="I7" i="173"/>
  <c r="G9" i="172"/>
  <c r="C10" i="172"/>
  <c r="AW2" i="4"/>
  <c r="G13" i="185" l="1"/>
  <c r="C14" i="185"/>
  <c r="C13" i="184"/>
  <c r="G12" i="184"/>
  <c r="C13" i="183"/>
  <c r="G12" i="183"/>
  <c r="C13" i="182"/>
  <c r="G12" i="182"/>
  <c r="C13" i="181"/>
  <c r="G12" i="181"/>
  <c r="C13" i="180"/>
  <c r="G12" i="180"/>
  <c r="C13" i="179"/>
  <c r="G12" i="179"/>
  <c r="C13" i="178"/>
  <c r="G12" i="178"/>
  <c r="C13" i="177"/>
  <c r="C12" i="176"/>
  <c r="G11" i="176"/>
  <c r="C12" i="175"/>
  <c r="G11" i="175"/>
  <c r="C12" i="174"/>
  <c r="G11" i="174"/>
  <c r="G10" i="173"/>
  <c r="C11" i="173"/>
  <c r="G10" i="172"/>
  <c r="C11" i="172"/>
  <c r="F10" i="150"/>
  <c r="F6" i="4"/>
  <c r="F5" i="150"/>
  <c r="F20" i="4"/>
  <c r="F25" i="1"/>
  <c r="F13" i="1"/>
  <c r="F8" i="1"/>
  <c r="F9" i="1"/>
  <c r="A2" i="150"/>
  <c r="A2" i="1"/>
  <c r="G14" i="185" l="1"/>
  <c r="C15" i="185"/>
  <c r="G13" i="184"/>
  <c r="C14" i="184"/>
  <c r="G13" i="183"/>
  <c r="C14" i="183"/>
  <c r="G13" i="182"/>
  <c r="C14" i="182"/>
  <c r="G13" i="181"/>
  <c r="C14" i="181"/>
  <c r="G13" i="180"/>
  <c r="C14" i="180"/>
  <c r="G13" i="179"/>
  <c r="C14" i="179"/>
  <c r="G13" i="178"/>
  <c r="C14" i="178"/>
  <c r="G13" i="177"/>
  <c r="C14" i="177"/>
  <c r="C13" i="176"/>
  <c r="G12" i="176"/>
  <c r="C13" i="175"/>
  <c r="G12" i="175"/>
  <c r="C13" i="174"/>
  <c r="G12" i="174"/>
  <c r="C12" i="173"/>
  <c r="G11" i="173"/>
  <c r="G11" i="172"/>
  <c r="C12" i="172"/>
  <c r="F5" i="4"/>
  <c r="C16" i="185" l="1"/>
  <c r="G15" i="185"/>
  <c r="G14" i="184"/>
  <c r="C15" i="184"/>
  <c r="G14" i="183"/>
  <c r="C15" i="183"/>
  <c r="G14" i="182"/>
  <c r="C15" i="182"/>
  <c r="G14" i="181"/>
  <c r="C15" i="181"/>
  <c r="G14" i="180"/>
  <c r="C15" i="180"/>
  <c r="G14" i="179"/>
  <c r="C15" i="179"/>
  <c r="G14" i="178"/>
  <c r="C15" i="178"/>
  <c r="G14" i="177"/>
  <c r="C15" i="177"/>
  <c r="G13" i="176"/>
  <c r="C14" i="176"/>
  <c r="G13" i="175"/>
  <c r="C14" i="175"/>
  <c r="G13" i="174"/>
  <c r="C14" i="174"/>
  <c r="C13" i="173"/>
  <c r="G12" i="173"/>
  <c r="C13" i="172"/>
  <c r="G12" i="172"/>
  <c r="D17" i="95"/>
  <c r="C17" i="185" l="1"/>
  <c r="G16" i="185"/>
  <c r="C16" i="184"/>
  <c r="G15" i="184"/>
  <c r="C16" i="183"/>
  <c r="G15" i="183"/>
  <c r="G15" i="182"/>
  <c r="C16" i="182"/>
  <c r="C16" i="181"/>
  <c r="G15" i="181"/>
  <c r="G15" i="180"/>
  <c r="C16" i="180"/>
  <c r="C16" i="179"/>
  <c r="G15" i="179"/>
  <c r="C16" i="178"/>
  <c r="G15" i="178"/>
  <c r="C16" i="177"/>
  <c r="G15" i="177"/>
  <c r="G14" i="176"/>
  <c r="C15" i="176"/>
  <c r="G14" i="175"/>
  <c r="C15" i="175"/>
  <c r="G14" i="174"/>
  <c r="C15" i="174"/>
  <c r="G13" i="173"/>
  <c r="C14" i="173"/>
  <c r="G13" i="172"/>
  <c r="C14" i="172"/>
  <c r="G17" i="185" l="1"/>
  <c r="C18" i="185"/>
  <c r="C17" i="184"/>
  <c r="G16" i="184"/>
  <c r="C17" i="183"/>
  <c r="G16" i="183"/>
  <c r="C17" i="182"/>
  <c r="G16" i="182"/>
  <c r="C17" i="181"/>
  <c r="G16" i="181"/>
  <c r="C17" i="180"/>
  <c r="G16" i="180"/>
  <c r="C17" i="179"/>
  <c r="G16" i="179"/>
  <c r="C17" i="178"/>
  <c r="G16" i="178"/>
  <c r="C17" i="177"/>
  <c r="G16" i="177"/>
  <c r="C16" i="176"/>
  <c r="G15" i="176"/>
  <c r="G15" i="175"/>
  <c r="C16" i="175"/>
  <c r="G15" i="174"/>
  <c r="C16" i="174"/>
  <c r="G14" i="173"/>
  <c r="C15" i="173"/>
  <c r="G14" i="172"/>
  <c r="C15" i="172"/>
  <c r="A2" i="137"/>
  <c r="F7" i="137"/>
  <c r="F6" i="137"/>
  <c r="G18" i="185" l="1"/>
  <c r="C19" i="185"/>
  <c r="G17" i="184"/>
  <c r="C18" i="184"/>
  <c r="G17" i="183"/>
  <c r="C18" i="183"/>
  <c r="G17" i="182"/>
  <c r="C18" i="182"/>
  <c r="G17" i="181"/>
  <c r="C18" i="181"/>
  <c r="G17" i="180"/>
  <c r="C18" i="180"/>
  <c r="G17" i="179"/>
  <c r="C18" i="179"/>
  <c r="G17" i="178"/>
  <c r="C18" i="178"/>
  <c r="G17" i="177"/>
  <c r="C18" i="177"/>
  <c r="C17" i="176"/>
  <c r="G16" i="176"/>
  <c r="C17" i="175"/>
  <c r="G16" i="175"/>
  <c r="C17" i="174"/>
  <c r="G16" i="174"/>
  <c r="G15" i="173"/>
  <c r="C16" i="173"/>
  <c r="G15" i="172"/>
  <c r="C16" i="172"/>
  <c r="D14" i="9"/>
  <c r="E14" i="9"/>
  <c r="F14" i="9"/>
  <c r="G36" i="50"/>
  <c r="G37" i="50"/>
  <c r="G38" i="50"/>
  <c r="G39" i="50"/>
  <c r="G40" i="50"/>
  <c r="G41" i="50"/>
  <c r="G42" i="50"/>
  <c r="G43" i="50"/>
  <c r="G44" i="50"/>
  <c r="G45" i="50"/>
  <c r="G46" i="50"/>
  <c r="G47" i="50"/>
  <c r="G48" i="50"/>
  <c r="G49" i="50"/>
  <c r="G50" i="50"/>
  <c r="G51" i="50"/>
  <c r="G52" i="50"/>
  <c r="G55" i="50"/>
  <c r="G58" i="50"/>
  <c r="G59" i="50"/>
  <c r="C20" i="185" l="1"/>
  <c r="G19" i="185"/>
  <c r="G18" i="184"/>
  <c r="C19" i="184"/>
  <c r="G18" i="183"/>
  <c r="C19" i="183"/>
  <c r="C19" i="182"/>
  <c r="G18" i="182"/>
  <c r="G18" i="181"/>
  <c r="C19" i="181"/>
  <c r="G18" i="180"/>
  <c r="C19" i="180"/>
  <c r="G18" i="179"/>
  <c r="C19" i="179"/>
  <c r="G18" i="178"/>
  <c r="C19" i="178"/>
  <c r="G18" i="177"/>
  <c r="C19" i="177"/>
  <c r="G17" i="176"/>
  <c r="C18" i="176"/>
  <c r="G17" i="175"/>
  <c r="C18" i="175"/>
  <c r="G17" i="174"/>
  <c r="C18" i="174"/>
  <c r="C17" i="173"/>
  <c r="G16" i="173"/>
  <c r="C17" i="172"/>
  <c r="G16" i="172"/>
  <c r="P2" i="8"/>
  <c r="C21" i="185" l="1"/>
  <c r="G20" i="185"/>
  <c r="G19" i="184"/>
  <c r="C20" i="184"/>
  <c r="C20" i="183"/>
  <c r="G19" i="183"/>
  <c r="G19" i="182"/>
  <c r="C20" i="182"/>
  <c r="C20" i="181"/>
  <c r="G19" i="181"/>
  <c r="G19" i="180"/>
  <c r="C20" i="180"/>
  <c r="G19" i="179"/>
  <c r="C20" i="179"/>
  <c r="G19" i="178"/>
  <c r="C20" i="178"/>
  <c r="G19" i="177"/>
  <c r="C20" i="177"/>
  <c r="C19" i="176"/>
  <c r="G18" i="176"/>
  <c r="G18" i="175"/>
  <c r="C19" i="175"/>
  <c r="G18" i="174"/>
  <c r="C19" i="174"/>
  <c r="G17" i="173"/>
  <c r="C18" i="173"/>
  <c r="G17" i="172"/>
  <c r="C18" i="172"/>
  <c r="F29" i="1"/>
  <c r="F24" i="1"/>
  <c r="G21" i="185" l="1"/>
  <c r="C22" i="185"/>
  <c r="C21" i="184"/>
  <c r="G20" i="184"/>
  <c r="C21" i="183"/>
  <c r="G20" i="183"/>
  <c r="C21" i="182"/>
  <c r="G20" i="182"/>
  <c r="C21" i="181"/>
  <c r="G20" i="181"/>
  <c r="C21" i="180"/>
  <c r="G20" i="180"/>
  <c r="C21" i="179"/>
  <c r="G20" i="179"/>
  <c r="C21" i="178"/>
  <c r="G20" i="178"/>
  <c r="C21" i="177"/>
  <c r="G20" i="177"/>
  <c r="G19" i="176"/>
  <c r="C20" i="176"/>
  <c r="G19" i="175"/>
  <c r="C20" i="175"/>
  <c r="C20" i="174"/>
  <c r="G19" i="174"/>
  <c r="G18" i="173"/>
  <c r="C19" i="173"/>
  <c r="G18" i="172"/>
  <c r="C19" i="172"/>
  <c r="R5" i="8"/>
  <c r="R6" i="8"/>
  <c r="G22" i="185" l="1"/>
  <c r="C23" i="185"/>
  <c r="G21" i="184"/>
  <c r="C22" i="184"/>
  <c r="G21" i="183"/>
  <c r="C22" i="183"/>
  <c r="G21" i="182"/>
  <c r="C22" i="182"/>
  <c r="G21" i="181"/>
  <c r="C22" i="181"/>
  <c r="G21" i="180"/>
  <c r="C22" i="180"/>
  <c r="G21" i="179"/>
  <c r="C22" i="179"/>
  <c r="G21" i="178"/>
  <c r="C22" i="178"/>
  <c r="G21" i="177"/>
  <c r="C22" i="177"/>
  <c r="C21" i="176"/>
  <c r="G20" i="176"/>
  <c r="C21" i="175"/>
  <c r="G20" i="175"/>
  <c r="C21" i="174"/>
  <c r="G20" i="174"/>
  <c r="C20" i="173"/>
  <c r="G19" i="173"/>
  <c r="G19" i="172"/>
  <c r="C20" i="172"/>
  <c r="A2" i="4"/>
  <c r="C24" i="185" l="1"/>
  <c r="G23" i="185"/>
  <c r="G22" i="184"/>
  <c r="C23" i="184"/>
  <c r="G22" i="183"/>
  <c r="C23" i="183"/>
  <c r="G22" i="182"/>
  <c r="C23" i="182"/>
  <c r="G22" i="181"/>
  <c r="C23" i="181"/>
  <c r="G22" i="180"/>
  <c r="C23" i="180"/>
  <c r="G22" i="179"/>
  <c r="C23" i="179"/>
  <c r="G22" i="178"/>
  <c r="C23" i="178"/>
  <c r="G22" i="177"/>
  <c r="C23" i="177"/>
  <c r="G21" i="176"/>
  <c r="C22" i="176"/>
  <c r="G21" i="175"/>
  <c r="C22" i="175"/>
  <c r="G21" i="174"/>
  <c r="C22" i="174"/>
  <c r="C21" i="173"/>
  <c r="G20" i="173"/>
  <c r="C21" i="172"/>
  <c r="G20" i="172"/>
  <c r="F26" i="1"/>
  <c r="F5" i="1"/>
  <c r="F9" i="150"/>
  <c r="F8" i="150"/>
  <c r="F7" i="150"/>
  <c r="F19" i="4"/>
  <c r="F10" i="4"/>
  <c r="F9" i="4"/>
  <c r="F8" i="4"/>
  <c r="C25" i="185" l="1"/>
  <c r="G24" i="185"/>
  <c r="C24" i="184"/>
  <c r="G23" i="184"/>
  <c r="C24" i="183"/>
  <c r="G23" i="183"/>
  <c r="C24" i="182"/>
  <c r="G23" i="182"/>
  <c r="C24" i="181"/>
  <c r="G23" i="181"/>
  <c r="C24" i="180"/>
  <c r="G23" i="180"/>
  <c r="C24" i="179"/>
  <c r="G23" i="179"/>
  <c r="G23" i="178"/>
  <c r="C24" i="178"/>
  <c r="G23" i="177"/>
  <c r="C24" i="177"/>
  <c r="G22" i="176"/>
  <c r="C23" i="176"/>
  <c r="G22" i="175"/>
  <c r="C23" i="175"/>
  <c r="G22" i="174"/>
  <c r="C23" i="174"/>
  <c r="C22" i="173"/>
  <c r="G21" i="172"/>
  <c r="C22" i="172"/>
  <c r="P2" i="4"/>
  <c r="F23" i="4"/>
  <c r="F22" i="4"/>
  <c r="F21" i="4"/>
  <c r="F18" i="4"/>
  <c r="F12" i="4"/>
  <c r="F7" i="4"/>
  <c r="G25" i="185" l="1"/>
  <c r="C26" i="185"/>
  <c r="C25" i="184"/>
  <c r="G24" i="184"/>
  <c r="C25" i="183"/>
  <c r="G24" i="183"/>
  <c r="C25" i="182"/>
  <c r="G24" i="182"/>
  <c r="C25" i="181"/>
  <c r="G24" i="181"/>
  <c r="C25" i="180"/>
  <c r="G24" i="180"/>
  <c r="C25" i="179"/>
  <c r="G24" i="179"/>
  <c r="C25" i="178"/>
  <c r="G24" i="178"/>
  <c r="C25" i="177"/>
  <c r="G24" i="177"/>
  <c r="C24" i="176"/>
  <c r="G23" i="176"/>
  <c r="C24" i="175"/>
  <c r="G23" i="175"/>
  <c r="G23" i="174"/>
  <c r="C24" i="174"/>
  <c r="G22" i="173"/>
  <c r="C23" i="173"/>
  <c r="G22" i="172"/>
  <c r="C23" i="172"/>
  <c r="B4" i="50"/>
  <c r="D80" i="50"/>
  <c r="P78" i="8"/>
  <c r="M24" i="4"/>
  <c r="AX24" i="4"/>
  <c r="H24" i="4"/>
  <c r="N2" i="4"/>
  <c r="M2" i="4"/>
  <c r="K2" i="4"/>
  <c r="H2" i="4"/>
  <c r="G26" i="185" l="1"/>
  <c r="C27" i="185"/>
  <c r="G25" i="184"/>
  <c r="C26" i="184"/>
  <c r="G25" i="183"/>
  <c r="C26" i="183"/>
  <c r="G25" i="182"/>
  <c r="C26" i="182"/>
  <c r="G25" i="181"/>
  <c r="C26" i="181"/>
  <c r="G25" i="180"/>
  <c r="C26" i="180"/>
  <c r="G25" i="179"/>
  <c r="C26" i="179"/>
  <c r="G25" i="178"/>
  <c r="C26" i="178"/>
  <c r="G25" i="177"/>
  <c r="C26" i="177"/>
  <c r="C25" i="176"/>
  <c r="G24" i="176"/>
  <c r="C25" i="175"/>
  <c r="G24" i="175"/>
  <c r="C25" i="174"/>
  <c r="G24" i="174"/>
  <c r="C24" i="173"/>
  <c r="G23" i="173"/>
  <c r="C24" i="172"/>
  <c r="G23" i="172"/>
  <c r="F5" i="137"/>
  <c r="C28" i="185" l="1"/>
  <c r="G27" i="185"/>
  <c r="G26" i="184"/>
  <c r="C27" i="184"/>
  <c r="G26" i="183"/>
  <c r="C27" i="183"/>
  <c r="C27" i="182"/>
  <c r="G26" i="182"/>
  <c r="G26" i="181"/>
  <c r="C27" i="181"/>
  <c r="G26" i="180"/>
  <c r="C27" i="180"/>
  <c r="G26" i="179"/>
  <c r="C27" i="179"/>
  <c r="G26" i="178"/>
  <c r="C27" i="178"/>
  <c r="G26" i="177"/>
  <c r="C27" i="177"/>
  <c r="G25" i="176"/>
  <c r="C26" i="176"/>
  <c r="G25" i="175"/>
  <c r="C26" i="175"/>
  <c r="G25" i="174"/>
  <c r="C26" i="174"/>
  <c r="C25" i="173"/>
  <c r="G24" i="173"/>
  <c r="C25" i="172"/>
  <c r="G24" i="172"/>
  <c r="P7" i="137"/>
  <c r="C29" i="185" l="1"/>
  <c r="G28" i="185"/>
  <c r="C28" i="184"/>
  <c r="G27" i="184"/>
  <c r="C28" i="183"/>
  <c r="G27" i="183"/>
  <c r="G27" i="182"/>
  <c r="C28" i="182"/>
  <c r="C28" i="181"/>
  <c r="G27" i="181"/>
  <c r="C28" i="180"/>
  <c r="G27" i="180"/>
  <c r="C28" i="179"/>
  <c r="G27" i="179"/>
  <c r="G27" i="178"/>
  <c r="C28" i="178"/>
  <c r="C28" i="177"/>
  <c r="G27" i="177"/>
  <c r="C27" i="176"/>
  <c r="G26" i="176"/>
  <c r="G26" i="175"/>
  <c r="C27" i="175"/>
  <c r="G26" i="174"/>
  <c r="C27" i="174"/>
  <c r="G25" i="173"/>
  <c r="C26" i="173"/>
  <c r="G25" i="172"/>
  <c r="C26" i="172"/>
  <c r="AX5" i="150"/>
  <c r="F11" i="150"/>
  <c r="G29" i="185" l="1"/>
  <c r="C30" i="185"/>
  <c r="C29" i="184"/>
  <c r="G28" i="184"/>
  <c r="C29" i="183"/>
  <c r="G28" i="183"/>
  <c r="C29" i="182"/>
  <c r="G28" i="182"/>
  <c r="C29" i="181"/>
  <c r="G28" i="181"/>
  <c r="C29" i="180"/>
  <c r="G28" i="180"/>
  <c r="C29" i="179"/>
  <c r="G28" i="179"/>
  <c r="C29" i="178"/>
  <c r="G28" i="178"/>
  <c r="C29" i="177"/>
  <c r="G28" i="177"/>
  <c r="G27" i="176"/>
  <c r="C28" i="176"/>
  <c r="C28" i="175"/>
  <c r="G27" i="175"/>
  <c r="C28" i="174"/>
  <c r="G27" i="174"/>
  <c r="G26" i="173"/>
  <c r="C27" i="173"/>
  <c r="G26" i="172"/>
  <c r="C27" i="172"/>
  <c r="D10" i="9"/>
  <c r="E10" i="9"/>
  <c r="F10" i="9"/>
  <c r="G30" i="185" l="1"/>
  <c r="C31" i="185"/>
  <c r="G29" i="184"/>
  <c r="C30" i="184"/>
  <c r="G29" i="183"/>
  <c r="C30" i="183"/>
  <c r="G29" i="182"/>
  <c r="C30" i="182"/>
  <c r="G29" i="181"/>
  <c r="C30" i="181"/>
  <c r="G29" i="180"/>
  <c r="C30" i="180"/>
  <c r="G29" i="179"/>
  <c r="C30" i="179"/>
  <c r="G29" i="178"/>
  <c r="C30" i="178"/>
  <c r="G29" i="177"/>
  <c r="C30" i="177"/>
  <c r="C29" i="176"/>
  <c r="G28" i="176"/>
  <c r="C29" i="175"/>
  <c r="G28" i="175"/>
  <c r="C29" i="174"/>
  <c r="G28" i="174"/>
  <c r="G27" i="173"/>
  <c r="C28" i="173"/>
  <c r="G27" i="172"/>
  <c r="C28" i="172"/>
  <c r="F11" i="9"/>
  <c r="F9" i="9"/>
  <c r="F8" i="9"/>
  <c r="C32" i="185" l="1"/>
  <c r="G31" i="185"/>
  <c r="G30" i="184"/>
  <c r="C31" i="184"/>
  <c r="G30" i="183"/>
  <c r="C31" i="183"/>
  <c r="G30" i="182"/>
  <c r="C31" i="182"/>
  <c r="G30" i="181"/>
  <c r="C31" i="181"/>
  <c r="G30" i="180"/>
  <c r="C31" i="180"/>
  <c r="G30" i="179"/>
  <c r="C31" i="179"/>
  <c r="G30" i="178"/>
  <c r="C31" i="178"/>
  <c r="G30" i="177"/>
  <c r="C31" i="177"/>
  <c r="G29" i="176"/>
  <c r="C30" i="176"/>
  <c r="G29" i="175"/>
  <c r="C30" i="175"/>
  <c r="G29" i="174"/>
  <c r="C30" i="174"/>
  <c r="C29" i="173"/>
  <c r="G28" i="173"/>
  <c r="C29" i="172"/>
  <c r="G28" i="172"/>
  <c r="H4" i="95"/>
  <c r="C33" i="185" l="1"/>
  <c r="G32" i="185"/>
  <c r="G31" i="184"/>
  <c r="C32" i="184"/>
  <c r="C32" i="183"/>
  <c r="G31" i="183"/>
  <c r="C32" i="182"/>
  <c r="G31" i="182"/>
  <c r="C32" i="181"/>
  <c r="G31" i="181"/>
  <c r="C32" i="180"/>
  <c r="G31" i="180"/>
  <c r="C32" i="179"/>
  <c r="G31" i="179"/>
  <c r="G31" i="178"/>
  <c r="C32" i="178"/>
  <c r="C32" i="177"/>
  <c r="G31" i="177"/>
  <c r="C31" i="176"/>
  <c r="G30" i="176"/>
  <c r="G30" i="175"/>
  <c r="C31" i="175"/>
  <c r="G30" i="174"/>
  <c r="C31" i="174"/>
  <c r="G29" i="173"/>
  <c r="C30" i="173"/>
  <c r="G29" i="172"/>
  <c r="C30" i="172"/>
  <c r="AX6" i="137"/>
  <c r="O2" i="150"/>
  <c r="G33" i="185" l="1"/>
  <c r="C34" i="185"/>
  <c r="C33" i="184"/>
  <c r="G32" i="184"/>
  <c r="C33" i="183"/>
  <c r="G32" i="183"/>
  <c r="C33" i="182"/>
  <c r="G32" i="182"/>
  <c r="C33" i="181"/>
  <c r="G32" i="181"/>
  <c r="C33" i="180"/>
  <c r="G32" i="180"/>
  <c r="C33" i="179"/>
  <c r="G32" i="179"/>
  <c r="C33" i="178"/>
  <c r="G32" i="178"/>
  <c r="C33" i="177"/>
  <c r="G32" i="177"/>
  <c r="G31" i="176"/>
  <c r="C32" i="176"/>
  <c r="G31" i="175"/>
  <c r="C32" i="175"/>
  <c r="C32" i="174"/>
  <c r="G31" i="174"/>
  <c r="G30" i="173"/>
  <c r="C31" i="173"/>
  <c r="G30" i="172"/>
  <c r="C31" i="172"/>
  <c r="B25" i="95"/>
  <c r="G34" i="185" l="1"/>
  <c r="C35" i="185"/>
  <c r="G33" i="184"/>
  <c r="C34" i="184"/>
  <c r="G33" i="183"/>
  <c r="C34" i="183"/>
  <c r="G33" i="182"/>
  <c r="C34" i="182"/>
  <c r="G33" i="181"/>
  <c r="C34" i="181"/>
  <c r="G33" i="180"/>
  <c r="C34" i="180"/>
  <c r="G33" i="179"/>
  <c r="C34" i="179"/>
  <c r="G33" i="178"/>
  <c r="C34" i="178"/>
  <c r="G33" i="177"/>
  <c r="C34" i="177"/>
  <c r="C33" i="176"/>
  <c r="G32" i="176"/>
  <c r="C33" i="175"/>
  <c r="G32" i="175"/>
  <c r="C33" i="174"/>
  <c r="G32" i="174"/>
  <c r="C32" i="173"/>
  <c r="G31" i="173"/>
  <c r="G31" i="172"/>
  <c r="C32" i="172"/>
  <c r="G1" i="50"/>
  <c r="G35" i="185" l="1"/>
  <c r="C36" i="185"/>
  <c r="G34" i="184"/>
  <c r="C35" i="184"/>
  <c r="G34" i="183"/>
  <c r="C35" i="183"/>
  <c r="G34" i="182"/>
  <c r="C35" i="182"/>
  <c r="G34" i="181"/>
  <c r="C35" i="181"/>
  <c r="G34" i="180"/>
  <c r="C35" i="180"/>
  <c r="G34" i="179"/>
  <c r="C35" i="179"/>
  <c r="G34" i="178"/>
  <c r="C35" i="178"/>
  <c r="G34" i="177"/>
  <c r="C35" i="177"/>
  <c r="G33" i="176"/>
  <c r="C34" i="176"/>
  <c r="G33" i="175"/>
  <c r="C34" i="175"/>
  <c r="G33" i="174"/>
  <c r="C34" i="174"/>
  <c r="C33" i="173"/>
  <c r="G32" i="173"/>
  <c r="C33" i="172"/>
  <c r="G32" i="172"/>
  <c r="AX6" i="150"/>
  <c r="AX7" i="150"/>
  <c r="AX8" i="150"/>
  <c r="AX9" i="150"/>
  <c r="AX10" i="150"/>
  <c r="AX11" i="150"/>
  <c r="AX12" i="150"/>
  <c r="D9" i="150"/>
  <c r="D10" i="150"/>
  <c r="D11" i="150"/>
  <c r="C37" i="185" l="1"/>
  <c r="G36" i="185"/>
  <c r="G35" i="184"/>
  <c r="C36" i="184"/>
  <c r="C36" i="183"/>
  <c r="G35" i="183"/>
  <c r="G35" i="182"/>
  <c r="C36" i="182"/>
  <c r="G35" i="181"/>
  <c r="C36" i="181"/>
  <c r="C36" i="180"/>
  <c r="G35" i="180"/>
  <c r="C36" i="179"/>
  <c r="G35" i="179"/>
  <c r="C36" i="178"/>
  <c r="G35" i="178"/>
  <c r="C36" i="177"/>
  <c r="G35" i="177"/>
  <c r="G34" i="176"/>
  <c r="C35" i="176"/>
  <c r="G34" i="175"/>
  <c r="C35" i="175"/>
  <c r="G34" i="174"/>
  <c r="C35" i="174"/>
  <c r="G33" i="173"/>
  <c r="C34" i="173"/>
  <c r="G33" i="172"/>
  <c r="C34" i="172"/>
  <c r="P2" i="150"/>
  <c r="H33" i="185" l="1"/>
  <c r="H36" i="185"/>
  <c r="H35" i="185"/>
  <c r="H34" i="185"/>
  <c r="G37" i="185"/>
  <c r="H37" i="185" s="1"/>
  <c r="G38" i="185"/>
  <c r="H38" i="185" s="1"/>
  <c r="H9" i="185"/>
  <c r="H10" i="185"/>
  <c r="H12" i="185"/>
  <c r="H11" i="185"/>
  <c r="H8" i="185"/>
  <c r="H13" i="185"/>
  <c r="H14" i="185"/>
  <c r="H15" i="185"/>
  <c r="H17" i="185"/>
  <c r="H18" i="185"/>
  <c r="H19" i="185"/>
  <c r="H20" i="185"/>
  <c r="H16" i="185"/>
  <c r="H21" i="185"/>
  <c r="H23" i="185"/>
  <c r="H22" i="185"/>
  <c r="H24" i="185"/>
  <c r="H26" i="185"/>
  <c r="H25" i="185"/>
  <c r="H27" i="185"/>
  <c r="H28" i="185"/>
  <c r="H29" i="185"/>
  <c r="H30" i="185"/>
  <c r="H31" i="185"/>
  <c r="H32" i="185"/>
  <c r="C37" i="184"/>
  <c r="G36" i="184"/>
  <c r="H34" i="184"/>
  <c r="H35" i="184"/>
  <c r="H32" i="184"/>
  <c r="H33" i="184"/>
  <c r="H36" i="184"/>
  <c r="C37" i="183"/>
  <c r="G36" i="183"/>
  <c r="C37" i="182"/>
  <c r="H33" i="182" s="1"/>
  <c r="G36" i="182"/>
  <c r="H36" i="182" s="1"/>
  <c r="H31" i="182"/>
  <c r="H35" i="182"/>
  <c r="C37" i="181"/>
  <c r="G36" i="181"/>
  <c r="H31" i="181"/>
  <c r="H36" i="181"/>
  <c r="C37" i="180"/>
  <c r="G36" i="180"/>
  <c r="C37" i="179"/>
  <c r="G36" i="179"/>
  <c r="C37" i="178"/>
  <c r="H35" i="178" s="1"/>
  <c r="G36" i="178"/>
  <c r="C37" i="177"/>
  <c r="G36" i="177"/>
  <c r="C36" i="176"/>
  <c r="G35" i="176"/>
  <c r="G35" i="175"/>
  <c r="C36" i="175"/>
  <c r="C36" i="174"/>
  <c r="G35" i="174"/>
  <c r="G34" i="173"/>
  <c r="C35" i="173"/>
  <c r="G34" i="172"/>
  <c r="C35" i="172"/>
  <c r="H5" i="95"/>
  <c r="G37" i="184" l="1"/>
  <c r="H37" i="184" s="1"/>
  <c r="G38" i="184"/>
  <c r="H38" i="184" s="1"/>
  <c r="H10" i="184"/>
  <c r="H9" i="184"/>
  <c r="H8" i="184"/>
  <c r="H13" i="184" s="1"/>
  <c r="H12" i="184"/>
  <c r="H11" i="184"/>
  <c r="H16" i="184"/>
  <c r="H14" i="184"/>
  <c r="H15" i="184"/>
  <c r="H18" i="184"/>
  <c r="H17" i="184"/>
  <c r="H21" i="184"/>
  <c r="H19" i="184"/>
  <c r="H23" i="184"/>
  <c r="H20" i="184"/>
  <c r="H24" i="184"/>
  <c r="H22" i="184"/>
  <c r="H25" i="184"/>
  <c r="H27" i="184"/>
  <c r="H28" i="184"/>
  <c r="H26" i="184"/>
  <c r="H30" i="184"/>
  <c r="H29" i="184"/>
  <c r="H31" i="184"/>
  <c r="H34" i="183"/>
  <c r="G37" i="183"/>
  <c r="H37" i="183" s="1"/>
  <c r="G38" i="183"/>
  <c r="H38" i="183" s="1"/>
  <c r="H9" i="183"/>
  <c r="H8" i="183"/>
  <c r="H12" i="183" s="1"/>
  <c r="H10" i="183"/>
  <c r="H11" i="183"/>
  <c r="H13" i="183"/>
  <c r="H14" i="183"/>
  <c r="H16" i="183"/>
  <c r="H15" i="183"/>
  <c r="H17" i="183"/>
  <c r="H18" i="183"/>
  <c r="H19" i="183"/>
  <c r="H21" i="183"/>
  <c r="H20" i="183"/>
  <c r="H22" i="183"/>
  <c r="H24" i="183"/>
  <c r="H25" i="183"/>
  <c r="H23" i="183"/>
  <c r="H26" i="183"/>
  <c r="H29" i="183"/>
  <c r="H27" i="183"/>
  <c r="H28" i="183"/>
  <c r="H31" i="183"/>
  <c r="H30" i="183"/>
  <c r="H32" i="183"/>
  <c r="H35" i="183"/>
  <c r="H36" i="183"/>
  <c r="H33" i="183"/>
  <c r="G37" i="182"/>
  <c r="H37" i="182" s="1"/>
  <c r="G38" i="182"/>
  <c r="H38" i="182" s="1"/>
  <c r="H12" i="182"/>
  <c r="H11" i="182"/>
  <c r="H8" i="182"/>
  <c r="H9" i="182"/>
  <c r="H13" i="182"/>
  <c r="H14" i="182"/>
  <c r="H10" i="182"/>
  <c r="H16" i="182"/>
  <c r="H15" i="182"/>
  <c r="H17" i="182"/>
  <c r="H20" i="182"/>
  <c r="H18" i="182"/>
  <c r="H21" i="182"/>
  <c r="H19" i="182"/>
  <c r="H23" i="182"/>
  <c r="H22" i="182"/>
  <c r="H24" i="182"/>
  <c r="H27" i="182"/>
  <c r="H28" i="182"/>
  <c r="H25" i="182"/>
  <c r="H26" i="182"/>
  <c r="H32" i="182"/>
  <c r="H30" i="182"/>
  <c r="H29" i="182"/>
  <c r="H34" i="182"/>
  <c r="G37" i="181"/>
  <c r="G38" i="181"/>
  <c r="H38" i="181" s="1"/>
  <c r="H11" i="181"/>
  <c r="H13" i="181"/>
  <c r="H8" i="181"/>
  <c r="H10" i="181" s="1"/>
  <c r="H9" i="181"/>
  <c r="H14" i="181"/>
  <c r="H12" i="181"/>
  <c r="H17" i="181"/>
  <c r="H15" i="181"/>
  <c r="H16" i="181"/>
  <c r="H18" i="181"/>
  <c r="H20" i="181"/>
  <c r="H19" i="181"/>
  <c r="H22" i="181"/>
  <c r="H21" i="181"/>
  <c r="H24" i="181"/>
  <c r="H23" i="181"/>
  <c r="H25" i="181"/>
  <c r="H28" i="181"/>
  <c r="H26" i="181"/>
  <c r="H27" i="181"/>
  <c r="H29" i="181"/>
  <c r="H32" i="181"/>
  <c r="H30" i="181"/>
  <c r="H34" i="181"/>
  <c r="H33" i="181"/>
  <c r="H35" i="181"/>
  <c r="H37" i="181"/>
  <c r="G37" i="180"/>
  <c r="G38" i="180"/>
  <c r="H38" i="180" s="1"/>
  <c r="H11" i="180"/>
  <c r="H13" i="180"/>
  <c r="H9" i="180"/>
  <c r="H8" i="180"/>
  <c r="H10" i="180" s="1"/>
  <c r="H12" i="180"/>
  <c r="H14" i="180"/>
  <c r="H15" i="180"/>
  <c r="H16" i="180"/>
  <c r="H18" i="180"/>
  <c r="H17" i="180"/>
  <c r="H19" i="180"/>
  <c r="H21" i="180"/>
  <c r="H22" i="180"/>
  <c r="H20" i="180"/>
  <c r="H23" i="180"/>
  <c r="H24" i="180"/>
  <c r="H25" i="180"/>
  <c r="H26" i="180"/>
  <c r="H27" i="180"/>
  <c r="H28" i="180"/>
  <c r="H30" i="180"/>
  <c r="H29" i="180"/>
  <c r="H32" i="180"/>
  <c r="H31" i="180"/>
  <c r="H35" i="180"/>
  <c r="H33" i="180"/>
  <c r="H37" i="180"/>
  <c r="H34" i="180"/>
  <c r="H36" i="180"/>
  <c r="G37" i="179"/>
  <c r="G38" i="179"/>
  <c r="H38" i="179" s="1"/>
  <c r="H10" i="179"/>
  <c r="H11" i="179"/>
  <c r="H12" i="179"/>
  <c r="H8" i="179"/>
  <c r="H9" i="179" s="1"/>
  <c r="H13" i="179"/>
  <c r="H14" i="179"/>
  <c r="H16" i="179"/>
  <c r="H18" i="179"/>
  <c r="H17" i="179"/>
  <c r="H15" i="179"/>
  <c r="H19" i="179"/>
  <c r="H20" i="179"/>
  <c r="H21" i="179"/>
  <c r="H23" i="179"/>
  <c r="H22" i="179"/>
  <c r="H24" i="179"/>
  <c r="H25" i="179"/>
  <c r="H27" i="179"/>
  <c r="H26" i="179"/>
  <c r="H28" i="179"/>
  <c r="H29" i="179"/>
  <c r="H32" i="179"/>
  <c r="H31" i="179"/>
  <c r="H30" i="179"/>
  <c r="H35" i="179"/>
  <c r="H33" i="179"/>
  <c r="H34" i="179"/>
  <c r="H37" i="179"/>
  <c r="H36" i="179"/>
  <c r="H33" i="178"/>
  <c r="H34" i="178"/>
  <c r="G37" i="178"/>
  <c r="H37" i="178" s="1"/>
  <c r="G38" i="178"/>
  <c r="H38" i="178" s="1"/>
  <c r="H11" i="178"/>
  <c r="H13" i="178"/>
  <c r="H8" i="178"/>
  <c r="H9" i="178" s="1"/>
  <c r="H12" i="178"/>
  <c r="H14" i="178"/>
  <c r="H17" i="178"/>
  <c r="H15" i="178"/>
  <c r="H18" i="178"/>
  <c r="H19" i="178"/>
  <c r="H16" i="178"/>
  <c r="H20" i="178"/>
  <c r="H21" i="178"/>
  <c r="H22" i="178"/>
  <c r="H23" i="178"/>
  <c r="H25" i="178"/>
  <c r="H24" i="178"/>
  <c r="H26" i="178"/>
  <c r="H27" i="178"/>
  <c r="H28" i="178"/>
  <c r="H29" i="178"/>
  <c r="H30" i="178"/>
  <c r="H31" i="178"/>
  <c r="H32" i="178"/>
  <c r="H36" i="178"/>
  <c r="G37" i="177"/>
  <c r="G38" i="177"/>
  <c r="H38" i="177" s="1"/>
  <c r="H10" i="177"/>
  <c r="H11" i="177"/>
  <c r="H13" i="177" s="1"/>
  <c r="H9" i="177"/>
  <c r="H8" i="177"/>
  <c r="H15" i="177"/>
  <c r="H14" i="177"/>
  <c r="H16" i="177"/>
  <c r="H20" i="177"/>
  <c r="H18" i="177"/>
  <c r="H17" i="177"/>
  <c r="H19" i="177"/>
  <c r="H21" i="177"/>
  <c r="H22" i="177"/>
  <c r="H23" i="177"/>
  <c r="H24" i="177"/>
  <c r="H25" i="177"/>
  <c r="H26" i="177"/>
  <c r="H27" i="177"/>
  <c r="H28" i="177"/>
  <c r="H29" i="177"/>
  <c r="H30" i="177"/>
  <c r="H31" i="177"/>
  <c r="H32" i="177"/>
  <c r="H35" i="177"/>
  <c r="H34" i="177"/>
  <c r="H33" i="177"/>
  <c r="H37" i="177"/>
  <c r="H36" i="177"/>
  <c r="C37" i="176"/>
  <c r="G36" i="176"/>
  <c r="C37" i="175"/>
  <c r="G36" i="175"/>
  <c r="H35" i="175"/>
  <c r="H36" i="174"/>
  <c r="C37" i="174"/>
  <c r="G36" i="174"/>
  <c r="H35" i="174"/>
  <c r="G35" i="173"/>
  <c r="C36" i="173"/>
  <c r="C36" i="172"/>
  <c r="G35" i="172"/>
  <c r="D20" i="95"/>
  <c r="M8" i="137"/>
  <c r="G8" i="137"/>
  <c r="H10" i="178" l="1"/>
  <c r="G37" i="176"/>
  <c r="H37" i="176" s="1"/>
  <c r="G38" i="176"/>
  <c r="H38" i="176" s="1"/>
  <c r="H9" i="176"/>
  <c r="H8" i="176"/>
  <c r="H10" i="176" s="1"/>
  <c r="H11" i="176"/>
  <c r="H13" i="176"/>
  <c r="H12" i="176"/>
  <c r="H16" i="176"/>
  <c r="H14" i="176"/>
  <c r="H15" i="176"/>
  <c r="H17" i="176"/>
  <c r="H19" i="176"/>
  <c r="H18" i="176"/>
  <c r="H20" i="176"/>
  <c r="H21" i="176"/>
  <c r="H22" i="176"/>
  <c r="H23" i="176"/>
  <c r="H25" i="176"/>
  <c r="H24" i="176"/>
  <c r="H27" i="176"/>
  <c r="H29" i="176"/>
  <c r="H26" i="176"/>
  <c r="H30" i="176"/>
  <c r="H28" i="176"/>
  <c r="H32" i="176"/>
  <c r="H31" i="176"/>
  <c r="H33" i="176"/>
  <c r="H34" i="176"/>
  <c r="H36" i="176"/>
  <c r="H35" i="176"/>
  <c r="H32" i="175"/>
  <c r="G37" i="175"/>
  <c r="H37" i="175" s="1"/>
  <c r="G38" i="175"/>
  <c r="H38" i="175" s="1"/>
  <c r="H8" i="175"/>
  <c r="H13" i="175" s="1"/>
  <c r="H10" i="175"/>
  <c r="H9" i="175"/>
  <c r="H11" i="175"/>
  <c r="H15" i="175"/>
  <c r="H14" i="175"/>
  <c r="H12" i="175"/>
  <c r="H18" i="175"/>
  <c r="H17" i="175"/>
  <c r="H16" i="175"/>
  <c r="H19" i="175"/>
  <c r="H21" i="175"/>
  <c r="H20" i="175"/>
  <c r="H22" i="175"/>
  <c r="H23" i="175"/>
  <c r="H25" i="175"/>
  <c r="H26" i="175"/>
  <c r="H24" i="175"/>
  <c r="H28" i="175"/>
  <c r="H27" i="175"/>
  <c r="H29" i="175"/>
  <c r="H34" i="175"/>
  <c r="H30" i="175"/>
  <c r="H31" i="175"/>
  <c r="H33" i="175"/>
  <c r="H36" i="175"/>
  <c r="G37" i="174"/>
  <c r="H37" i="174" s="1"/>
  <c r="G38" i="174"/>
  <c r="H38" i="174" s="1"/>
  <c r="H9" i="174"/>
  <c r="H8" i="174"/>
  <c r="H12" i="174" s="1"/>
  <c r="H11" i="174"/>
  <c r="H10" i="174"/>
  <c r="H13" i="174"/>
  <c r="H14" i="174"/>
  <c r="H15" i="174"/>
  <c r="H17" i="174"/>
  <c r="H16" i="174"/>
  <c r="H18" i="174"/>
  <c r="H20" i="174"/>
  <c r="H19" i="174"/>
  <c r="H21" i="174"/>
  <c r="H22" i="174"/>
  <c r="H23" i="174"/>
  <c r="H25" i="174"/>
  <c r="H26" i="174"/>
  <c r="H24" i="174"/>
  <c r="H28" i="174"/>
  <c r="H27" i="174"/>
  <c r="H30" i="174"/>
  <c r="H29" i="174"/>
  <c r="H31" i="174"/>
  <c r="H33" i="174"/>
  <c r="H32" i="174"/>
  <c r="H34" i="174"/>
  <c r="C37" i="173"/>
  <c r="H34" i="173" s="1"/>
  <c r="G36" i="173"/>
  <c r="H36" i="173" s="1"/>
  <c r="C37" i="172"/>
  <c r="G36" i="172"/>
  <c r="H33" i="172"/>
  <c r="H34" i="172"/>
  <c r="H8" i="137"/>
  <c r="H2" i="137" s="1"/>
  <c r="G37" i="173" l="1"/>
  <c r="G38" i="173"/>
  <c r="H38" i="173" s="1"/>
  <c r="H10" i="173"/>
  <c r="H8" i="173"/>
  <c r="H9" i="173"/>
  <c r="H11" i="173"/>
  <c r="H12" i="173"/>
  <c r="H13" i="173"/>
  <c r="H15" i="173"/>
  <c r="H17" i="173"/>
  <c r="H14" i="173"/>
  <c r="H16" i="173"/>
  <c r="H18" i="173"/>
  <c r="H20" i="173"/>
  <c r="H19" i="173"/>
  <c r="H24" i="173"/>
  <c r="H22" i="173"/>
  <c r="H26" i="173"/>
  <c r="H25" i="173"/>
  <c r="H23" i="173"/>
  <c r="H27" i="173"/>
  <c r="H28" i="173"/>
  <c r="H29" i="173"/>
  <c r="H31" i="173"/>
  <c r="H30" i="173"/>
  <c r="H32" i="173"/>
  <c r="H35" i="173"/>
  <c r="H33" i="173"/>
  <c r="H37" i="173"/>
  <c r="G37" i="172"/>
  <c r="H37" i="172" s="1"/>
  <c r="G38" i="172"/>
  <c r="H38" i="172" s="1"/>
  <c r="H10" i="172"/>
  <c r="H8" i="172"/>
  <c r="H9" i="172"/>
  <c r="H11" i="172"/>
  <c r="H16" i="172" s="1"/>
  <c r="H12" i="172"/>
  <c r="H13" i="172"/>
  <c r="H15" i="172"/>
  <c r="H17" i="172"/>
  <c r="H18" i="172"/>
  <c r="H14" i="172"/>
  <c r="H19" i="172"/>
  <c r="H20" i="172"/>
  <c r="H24" i="172"/>
  <c r="H21" i="172"/>
  <c r="H22" i="172"/>
  <c r="H26" i="172"/>
  <c r="H23" i="172"/>
  <c r="H25" i="172"/>
  <c r="H27" i="172"/>
  <c r="H29" i="172"/>
  <c r="H28" i="172"/>
  <c r="H30" i="172"/>
  <c r="H31" i="172"/>
  <c r="H32" i="172"/>
  <c r="H36" i="172"/>
  <c r="H35" i="172"/>
  <c r="I8" i="137"/>
  <c r="J8" i="137" s="1"/>
  <c r="K8" i="137" l="1"/>
  <c r="B11" i="95"/>
  <c r="B1" i="95" s="1"/>
  <c r="H7" i="137" l="1"/>
  <c r="K2" i="137"/>
  <c r="P69" i="8" l="1"/>
  <c r="P70" i="8"/>
  <c r="P71" i="8"/>
  <c r="P72" i="8"/>
  <c r="P73" i="8"/>
  <c r="P74" i="8"/>
  <c r="P75" i="8"/>
  <c r="P76" i="8"/>
  <c r="P77" i="8"/>
  <c r="D72" i="50"/>
  <c r="D73" i="50"/>
  <c r="D74" i="50"/>
  <c r="D75" i="50"/>
  <c r="D76" i="50"/>
  <c r="D77" i="50"/>
  <c r="D78" i="50"/>
  <c r="D79" i="50"/>
  <c r="D71" i="50"/>
  <c r="M23" i="4"/>
  <c r="G11" i="150" l="1"/>
  <c r="G9" i="150"/>
  <c r="H9" i="150" s="1"/>
  <c r="G10" i="150"/>
  <c r="H10" i="150" s="1"/>
  <c r="G6" i="150"/>
  <c r="H6" i="150" s="1"/>
  <c r="G7" i="150"/>
  <c r="H7" i="150" s="1"/>
  <c r="G8" i="150"/>
  <c r="G12" i="150"/>
  <c r="M12" i="150"/>
  <c r="M11" i="150"/>
  <c r="M10" i="150"/>
  <c r="M9" i="150"/>
  <c r="M8" i="150"/>
  <c r="M7" i="150"/>
  <c r="M6" i="150"/>
  <c r="M5" i="150"/>
  <c r="AW4" i="150"/>
  <c r="P4" i="150"/>
  <c r="F4" i="150"/>
  <c r="E4" i="150"/>
  <c r="K2" i="150"/>
  <c r="M4" i="150" l="1"/>
  <c r="H8" i="150"/>
  <c r="H11" i="150"/>
  <c r="H12" i="150"/>
  <c r="AQ4" i="150" l="1"/>
  <c r="G6" i="9"/>
  <c r="F12" i="9"/>
  <c r="F13" i="9"/>
  <c r="F15" i="9"/>
  <c r="F16" i="9"/>
  <c r="F17" i="9"/>
  <c r="F18" i="9"/>
  <c r="F19" i="9"/>
  <c r="F20" i="9"/>
  <c r="F21" i="9"/>
  <c r="F22" i="9"/>
  <c r="F23" i="9"/>
  <c r="F24" i="9"/>
  <c r="F25" i="9"/>
  <c r="F26" i="9"/>
  <c r="F27" i="9"/>
  <c r="F28" i="9"/>
  <c r="F29" i="9"/>
  <c r="F30" i="9"/>
  <c r="F31" i="9"/>
  <c r="F32" i="9"/>
  <c r="F33" i="9"/>
  <c r="F34" i="9"/>
  <c r="F35" i="9"/>
  <c r="F36" i="9"/>
  <c r="F37" i="9"/>
  <c r="E7" i="9"/>
  <c r="AE4" i="150" l="1"/>
  <c r="AG4" i="150"/>
  <c r="AF4" i="150"/>
  <c r="AH4" i="150"/>
  <c r="AW4" i="4"/>
  <c r="P3" i="8" l="1"/>
  <c r="P4" i="8"/>
  <c r="P5" i="8"/>
  <c r="P6" i="8"/>
  <c r="P7" i="8"/>
  <c r="P8" i="8"/>
  <c r="P9" i="8"/>
  <c r="P10" i="8"/>
  <c r="P11" i="8"/>
  <c r="P12" i="8"/>
  <c r="P13" i="8"/>
  <c r="P14" i="8"/>
  <c r="P15" i="8"/>
  <c r="P16" i="8"/>
  <c r="P17" i="8"/>
  <c r="P18" i="8"/>
  <c r="P19" i="8"/>
  <c r="P20" i="8"/>
  <c r="P21" i="8"/>
  <c r="P22" i="8"/>
  <c r="P23" i="8"/>
  <c r="P24" i="8"/>
  <c r="P25" i="8"/>
  <c r="P26" i="8"/>
  <c r="P27" i="8"/>
  <c r="P28" i="8"/>
  <c r="P29" i="8"/>
  <c r="P30" i="8"/>
  <c r="P31" i="8"/>
  <c r="P32" i="8"/>
  <c r="P33" i="8"/>
  <c r="P34" i="8"/>
  <c r="P35" i="8"/>
  <c r="P36" i="8"/>
  <c r="P37" i="8"/>
  <c r="P38" i="8"/>
  <c r="P39" i="8"/>
  <c r="P40" i="8"/>
  <c r="P41" i="8"/>
  <c r="P42" i="8"/>
  <c r="P43" i="8"/>
  <c r="P44" i="8"/>
  <c r="P45" i="8"/>
  <c r="P46" i="8"/>
  <c r="P47" i="8"/>
  <c r="P48" i="8"/>
  <c r="P49" i="8"/>
  <c r="P50" i="8"/>
  <c r="P51" i="8"/>
  <c r="P52" i="8"/>
  <c r="P53" i="8"/>
  <c r="P54" i="8"/>
  <c r="P55" i="8"/>
  <c r="P56" i="8"/>
  <c r="P57" i="8"/>
  <c r="P58" i="8"/>
  <c r="P59" i="8"/>
  <c r="P60" i="8"/>
  <c r="P61" i="8"/>
  <c r="P62" i="8"/>
  <c r="P63" i="8"/>
  <c r="P64" i="8"/>
  <c r="P65" i="8"/>
  <c r="P66" i="8"/>
  <c r="P67" i="8"/>
  <c r="P68" i="8"/>
  <c r="D57" i="50"/>
  <c r="D58" i="50"/>
  <c r="D59" i="50"/>
  <c r="D60" i="50"/>
  <c r="D61" i="50"/>
  <c r="D62" i="50"/>
  <c r="D63" i="50"/>
  <c r="D64" i="50"/>
  <c r="D65" i="50"/>
  <c r="D66" i="50"/>
  <c r="D67" i="50"/>
  <c r="D68" i="50"/>
  <c r="D69" i="50"/>
  <c r="D70" i="50"/>
  <c r="I10" i="9" l="1"/>
  <c r="D11" i="9"/>
  <c r="E11" i="9"/>
  <c r="I11" i="9" s="1"/>
  <c r="D12" i="9"/>
  <c r="E12" i="9"/>
  <c r="I12" i="9" s="1"/>
  <c r="D13" i="9"/>
  <c r="E13" i="9"/>
  <c r="I13" i="9" s="1"/>
  <c r="I14" i="9"/>
  <c r="D15" i="9"/>
  <c r="E15" i="9"/>
  <c r="I15" i="9" s="1"/>
  <c r="D16" i="9"/>
  <c r="E16" i="9"/>
  <c r="I16" i="9" s="1"/>
  <c r="D17" i="9"/>
  <c r="E17" i="9"/>
  <c r="I17" i="9" s="1"/>
  <c r="D18" i="9"/>
  <c r="E18" i="9"/>
  <c r="I18" i="9" s="1"/>
  <c r="D19" i="9"/>
  <c r="E19" i="9"/>
  <c r="I19" i="9" s="1"/>
  <c r="D20" i="9"/>
  <c r="E20" i="9"/>
  <c r="I20" i="9" s="1"/>
  <c r="D21" i="9"/>
  <c r="E21" i="9"/>
  <c r="I21" i="9" s="1"/>
  <c r="D22" i="9"/>
  <c r="E22" i="9"/>
  <c r="I22" i="9" s="1"/>
  <c r="D23" i="9"/>
  <c r="E23" i="9"/>
  <c r="I23" i="9" s="1"/>
  <c r="D24" i="9"/>
  <c r="E24" i="9"/>
  <c r="I24" i="9" s="1"/>
  <c r="D25" i="9"/>
  <c r="E25" i="9"/>
  <c r="I25" i="9" s="1"/>
  <c r="D26" i="9"/>
  <c r="E26" i="9"/>
  <c r="I26" i="9" s="1"/>
  <c r="D27" i="9"/>
  <c r="E27" i="9"/>
  <c r="I27" i="9" s="1"/>
  <c r="D28" i="9"/>
  <c r="E28" i="9"/>
  <c r="I28" i="9" s="1"/>
  <c r="D29" i="9"/>
  <c r="E29" i="9"/>
  <c r="I29" i="9" s="1"/>
  <c r="D30" i="9"/>
  <c r="E30" i="9"/>
  <c r="I30" i="9" s="1"/>
  <c r="D31" i="9"/>
  <c r="E31" i="9"/>
  <c r="I31" i="9" s="1"/>
  <c r="D32" i="9"/>
  <c r="E32" i="9"/>
  <c r="I32" i="9" s="1"/>
  <c r="D33" i="9"/>
  <c r="E33" i="9"/>
  <c r="I33" i="9" s="1"/>
  <c r="D34" i="9"/>
  <c r="E34" i="9"/>
  <c r="I34" i="9" s="1"/>
  <c r="D35" i="9"/>
  <c r="E35" i="9"/>
  <c r="I35" i="9" s="1"/>
  <c r="D36" i="9"/>
  <c r="E36" i="9"/>
  <c r="I36" i="9" s="1"/>
  <c r="D37" i="9"/>
  <c r="E37" i="9"/>
  <c r="I37" i="9" s="1"/>
  <c r="E9" i="9"/>
  <c r="I9" i="9" s="1"/>
  <c r="G8" i="9"/>
  <c r="E8" i="9"/>
  <c r="I8" i="9" s="1"/>
  <c r="D9" i="9"/>
  <c r="D8" i="9"/>
  <c r="AX7" i="137"/>
  <c r="M7" i="137"/>
  <c r="M6" i="137"/>
  <c r="H6" i="137"/>
  <c r="AX5" i="137"/>
  <c r="M5" i="137"/>
  <c r="H5" i="137"/>
  <c r="F4" i="137"/>
  <c r="E4" i="137"/>
  <c r="H4" i="137" l="1"/>
  <c r="M4" i="137"/>
  <c r="AX4" i="137"/>
  <c r="I5" i="137" l="1"/>
  <c r="I6" i="137" l="1"/>
  <c r="J6" i="137" s="1"/>
  <c r="G6" i="50" s="1"/>
  <c r="I7" i="137"/>
  <c r="J7" i="137" s="1"/>
  <c r="G7" i="50" s="1"/>
  <c r="J5" i="137"/>
  <c r="G5" i="50" s="1"/>
  <c r="K7" i="137" l="1"/>
  <c r="K6" i="137"/>
  <c r="K5" i="137"/>
  <c r="K4" i="137" s="1"/>
  <c r="M2" i="137" s="1"/>
  <c r="L2" i="137" l="1"/>
  <c r="M22" i="4"/>
  <c r="M30" i="1"/>
  <c r="O13" i="50"/>
  <c r="AD54" i="50"/>
  <c r="AS44" i="50"/>
  <c r="BC10" i="50"/>
  <c r="AN64" i="50"/>
  <c r="AA9" i="50"/>
  <c r="AC24" i="50"/>
  <c r="BA58" i="50"/>
  <c r="AX45" i="50"/>
  <c r="AF21" i="50"/>
  <c r="AA22" i="50"/>
  <c r="AG52" i="50"/>
  <c r="AI31" i="50"/>
  <c r="AC37" i="50"/>
  <c r="AM32" i="50"/>
  <c r="AT22" i="50"/>
  <c r="AW43" i="50"/>
  <c r="AH70" i="50"/>
  <c r="BA25" i="50"/>
  <c r="X42" i="50"/>
  <c r="AE51" i="50"/>
  <c r="Q8" i="50"/>
  <c r="AH39" i="50"/>
  <c r="AT80" i="50"/>
  <c r="Z52" i="50"/>
  <c r="S28" i="50"/>
  <c r="P62" i="50"/>
  <c r="AL44" i="50"/>
  <c r="X54" i="50"/>
  <c r="X72" i="50"/>
  <c r="AE33" i="50"/>
  <c r="S40" i="50"/>
  <c r="AW61" i="50"/>
  <c r="P9" i="50"/>
  <c r="S52" i="50"/>
  <c r="AW68" i="50"/>
  <c r="BC49" i="50"/>
  <c r="AO35" i="50"/>
  <c r="AD43" i="50"/>
  <c r="AE49" i="50"/>
  <c r="T70" i="50"/>
  <c r="AH26" i="50"/>
  <c r="W70" i="50"/>
  <c r="AO21" i="50"/>
  <c r="AS37" i="50"/>
  <c r="AT68" i="50"/>
  <c r="AC14" i="50"/>
  <c r="AS64" i="50"/>
  <c r="AC19" i="50"/>
  <c r="AM39" i="50"/>
  <c r="AD9" i="50"/>
  <c r="BB25" i="50"/>
  <c r="Y45" i="50"/>
  <c r="AW19" i="50"/>
  <c r="O15" i="50"/>
  <c r="AX51" i="50"/>
  <c r="Q38" i="50"/>
  <c r="AO46" i="50"/>
  <c r="AE36" i="50"/>
  <c r="AM64" i="50"/>
  <c r="AC41" i="50"/>
  <c r="AZ65" i="50"/>
  <c r="BC61" i="50"/>
  <c r="AT7" i="50"/>
  <c r="N41" i="50"/>
  <c r="AJ42" i="50"/>
  <c r="Q16" i="50"/>
  <c r="AV41" i="50"/>
  <c r="AC48" i="50"/>
  <c r="AZ52" i="50"/>
  <c r="AI26" i="50"/>
  <c r="AU15" i="50"/>
  <c r="L22" i="50"/>
  <c r="AZ67" i="50"/>
  <c r="Z22" i="50"/>
  <c r="AJ21" i="50"/>
  <c r="AV29" i="50"/>
  <c r="O40" i="50"/>
  <c r="AC49" i="50"/>
  <c r="AI18" i="50"/>
  <c r="AA46" i="50"/>
  <c r="AX27" i="50"/>
  <c r="AQ43" i="50"/>
  <c r="BB80" i="50"/>
  <c r="AM21" i="50"/>
  <c r="V66" i="50"/>
  <c r="AV28" i="50"/>
  <c r="AI12" i="50"/>
  <c r="AE26" i="50"/>
  <c r="AJ61" i="50"/>
  <c r="P59" i="50"/>
  <c r="Z23" i="50"/>
  <c r="AQ49" i="50"/>
  <c r="AG34" i="50"/>
  <c r="AG43" i="50"/>
  <c r="L36" i="50"/>
  <c r="AM52" i="50"/>
  <c r="AG79" i="50"/>
  <c r="T65" i="50"/>
  <c r="AX76" i="50"/>
  <c r="AP28" i="50"/>
  <c r="AM51" i="50"/>
  <c r="AR38" i="50"/>
  <c r="R33" i="50"/>
  <c r="N20" i="50"/>
  <c r="AU72" i="50"/>
  <c r="AT16" i="50"/>
  <c r="AY10" i="50"/>
  <c r="AR28" i="50"/>
  <c r="AZ44" i="50"/>
  <c r="BA38" i="50"/>
  <c r="AX22" i="50"/>
  <c r="X69" i="50"/>
  <c r="AI45" i="50"/>
  <c r="AF53" i="50"/>
  <c r="W25" i="50"/>
  <c r="AJ14" i="50"/>
  <c r="AL45" i="50"/>
  <c r="AI75" i="50"/>
  <c r="AK12" i="50"/>
  <c r="W32" i="50"/>
  <c r="AU9" i="50"/>
  <c r="L50" i="50"/>
  <c r="AK79" i="50"/>
  <c r="Q54" i="50"/>
  <c r="N7" i="50"/>
  <c r="AE71" i="50"/>
  <c r="Q59" i="50"/>
  <c r="AX46" i="50"/>
  <c r="BB34" i="50"/>
  <c r="M28" i="50"/>
  <c r="W9" i="50"/>
  <c r="AS16" i="50"/>
  <c r="S26" i="50"/>
  <c r="AW54" i="50"/>
  <c r="BC80" i="50"/>
  <c r="AY41" i="50"/>
  <c r="AU30" i="50"/>
  <c r="Z10" i="50"/>
  <c r="AU80" i="50"/>
  <c r="AM72" i="50"/>
  <c r="Z70" i="50"/>
  <c r="S23" i="50"/>
  <c r="L46" i="50"/>
  <c r="AV39" i="50"/>
  <c r="AJ49" i="50"/>
  <c r="M21" i="50"/>
  <c r="L14" i="50"/>
  <c r="AS56" i="50"/>
  <c r="T63" i="50"/>
  <c r="Z6" i="50"/>
  <c r="U36" i="50"/>
  <c r="AD28" i="50"/>
  <c r="AR55" i="50"/>
  <c r="AF45" i="50"/>
  <c r="P39" i="50"/>
  <c r="W55" i="50"/>
  <c r="AX16" i="50"/>
  <c r="AM8" i="50"/>
  <c r="P70" i="50"/>
  <c r="AG13" i="50"/>
  <c r="P48" i="50"/>
  <c r="AC16" i="50"/>
  <c r="AG17" i="50"/>
  <c r="AV21" i="50"/>
  <c r="AH12" i="50"/>
  <c r="AP6" i="50"/>
  <c r="AP33" i="50"/>
  <c r="V71" i="50"/>
  <c r="X36" i="50"/>
  <c r="S68" i="50"/>
  <c r="AA44" i="50"/>
  <c r="Q48" i="50"/>
  <c r="V27" i="50"/>
  <c r="N78" i="50"/>
  <c r="BB43" i="50"/>
  <c r="AZ38" i="50"/>
  <c r="AP52" i="50"/>
  <c r="AW17" i="50"/>
  <c r="R16" i="50"/>
  <c r="AI57" i="50"/>
  <c r="M64" i="50"/>
  <c r="AM36" i="50"/>
  <c r="AG26" i="50"/>
  <c r="AK20" i="50"/>
  <c r="AV15" i="50"/>
  <c r="AZ21" i="50"/>
  <c r="S16" i="50"/>
  <c r="V6" i="50"/>
  <c r="AT39" i="50"/>
  <c r="AF57" i="50"/>
  <c r="O50" i="50"/>
  <c r="AQ12" i="50"/>
  <c r="AM59" i="50"/>
  <c r="O10" i="50"/>
  <c r="AY47" i="50"/>
  <c r="AD61" i="50"/>
  <c r="Z19" i="50"/>
  <c r="AM76" i="50"/>
  <c r="AD48" i="50"/>
  <c r="AP26" i="50"/>
  <c r="BC41" i="50"/>
  <c r="AS48" i="50"/>
  <c r="AB55" i="50"/>
  <c r="BC78" i="50"/>
  <c r="AN31" i="50"/>
  <c r="AV70" i="50"/>
  <c r="AI41" i="50"/>
  <c r="Y19" i="50"/>
  <c r="X17" i="50"/>
  <c r="AK23" i="50"/>
  <c r="AY76" i="50"/>
  <c r="AX13" i="50"/>
  <c r="AO29" i="50"/>
  <c r="U44" i="50"/>
  <c r="W41" i="50"/>
  <c r="AI15" i="50"/>
  <c r="AG22" i="50"/>
  <c r="AD30" i="50"/>
  <c r="AQ50" i="50"/>
  <c r="BC65" i="50"/>
  <c r="AL31" i="50"/>
  <c r="Q18" i="50"/>
  <c r="Y31" i="50"/>
  <c r="AM25" i="50"/>
  <c r="AH21" i="50"/>
  <c r="AK40" i="50"/>
  <c r="P24" i="50"/>
  <c r="AG14" i="50"/>
  <c r="AB11" i="50"/>
  <c r="AQ24" i="50"/>
  <c r="AO37" i="50"/>
  <c r="AL10" i="50"/>
  <c r="AN71" i="50"/>
  <c r="AO34" i="50"/>
  <c r="AS68" i="50"/>
  <c r="AR33" i="50"/>
  <c r="BC30" i="50"/>
  <c r="X68" i="50"/>
  <c r="BB59" i="50"/>
  <c r="M52" i="50"/>
  <c r="BB63" i="50"/>
  <c r="AT5" i="50"/>
  <c r="AE38" i="50"/>
  <c r="AG66" i="50"/>
  <c r="AV40" i="50"/>
  <c r="N76" i="50"/>
  <c r="AN55" i="50"/>
  <c r="AD46" i="50"/>
  <c r="Z48" i="50"/>
  <c r="AK26" i="50"/>
  <c r="AI74" i="50"/>
  <c r="M47" i="50"/>
  <c r="AQ61" i="50"/>
  <c r="S80" i="50"/>
  <c r="V64" i="50"/>
  <c r="AT27" i="50"/>
  <c r="AW59" i="50"/>
  <c r="AT31" i="50"/>
  <c r="AP46" i="50"/>
  <c r="V12" i="50"/>
  <c r="W40" i="50"/>
  <c r="BC50" i="50"/>
  <c r="BA32" i="50"/>
  <c r="AR64" i="50"/>
  <c r="N21" i="50"/>
  <c r="AJ68" i="50"/>
  <c r="AD73" i="50"/>
  <c r="AH48" i="50"/>
  <c r="W71" i="50"/>
  <c r="AN38" i="50"/>
  <c r="R11" i="50"/>
  <c r="V79" i="50"/>
  <c r="Y40" i="50"/>
  <c r="AU18" i="50"/>
  <c r="W5" i="50"/>
  <c r="T20" i="50"/>
  <c r="AF17" i="50"/>
  <c r="AY23" i="50"/>
  <c r="R26" i="50"/>
  <c r="W44" i="50"/>
  <c r="AP24" i="50"/>
  <c r="AU33" i="50"/>
  <c r="AR31" i="50"/>
  <c r="AD13" i="50"/>
  <c r="V57" i="50"/>
  <c r="V52" i="50"/>
  <c r="AX37" i="50"/>
  <c r="V48" i="50"/>
  <c r="AE67" i="50"/>
  <c r="AN39" i="50"/>
  <c r="W65" i="50"/>
  <c r="AZ26" i="50"/>
  <c r="AO66" i="50"/>
  <c r="BB53" i="50"/>
  <c r="S37" i="50"/>
  <c r="AI48" i="50"/>
  <c r="AP27" i="50"/>
  <c r="L9" i="50"/>
  <c r="Y39" i="50"/>
  <c r="AB10" i="50"/>
  <c r="U17" i="50"/>
  <c r="R62" i="50"/>
  <c r="AG30" i="50"/>
  <c r="BC71" i="50"/>
  <c r="AB49" i="50"/>
  <c r="AY18" i="50"/>
  <c r="AK5" i="50"/>
  <c r="P60" i="50"/>
  <c r="N67" i="50"/>
  <c r="AL73" i="50"/>
  <c r="AJ17" i="50"/>
  <c r="BB49" i="50"/>
  <c r="V38" i="50"/>
  <c r="AD60" i="50"/>
  <c r="AC15" i="50"/>
  <c r="AK13" i="50"/>
  <c r="N44" i="50"/>
  <c r="AV18" i="50"/>
  <c r="AT49" i="50"/>
  <c r="AO19" i="50"/>
  <c r="AJ72" i="50"/>
  <c r="BB70" i="50"/>
  <c r="AB33" i="50"/>
  <c r="AO11" i="50"/>
  <c r="Q11" i="50"/>
  <c r="AL7" i="50"/>
  <c r="BC9" i="50"/>
  <c r="N16" i="50"/>
  <c r="AY67" i="50"/>
  <c r="N69" i="50"/>
  <c r="AL24" i="50"/>
  <c r="AJ32" i="50"/>
  <c r="Q14" i="50"/>
  <c r="AE45" i="50"/>
  <c r="N39" i="50"/>
  <c r="Y60" i="50"/>
  <c r="AJ67" i="50"/>
  <c r="AB16" i="50"/>
  <c r="AP41" i="50"/>
  <c r="AN7" i="50"/>
  <c r="AF25" i="50"/>
  <c r="AM22" i="50"/>
  <c r="BA71" i="50"/>
  <c r="AT78" i="50"/>
  <c r="BB78" i="50"/>
  <c r="U42" i="50"/>
  <c r="Z28" i="50"/>
  <c r="AT12" i="50"/>
  <c r="AX74" i="50"/>
  <c r="P36" i="50"/>
  <c r="AK80" i="50"/>
  <c r="Z40" i="50"/>
  <c r="L73" i="50"/>
  <c r="R37" i="50"/>
  <c r="Q33" i="50"/>
  <c r="S35" i="50"/>
  <c r="AE16" i="50"/>
  <c r="AQ35" i="50"/>
  <c r="Z41" i="50"/>
  <c r="O76" i="50"/>
  <c r="AL11" i="50"/>
  <c r="AS7" i="50"/>
  <c r="Z18" i="50"/>
  <c r="AC28" i="50"/>
  <c r="AV37" i="50"/>
  <c r="AR16" i="50"/>
  <c r="P34" i="50"/>
  <c r="AT51" i="50"/>
  <c r="AS34" i="50"/>
  <c r="AN57" i="50"/>
  <c r="N17" i="50"/>
  <c r="AY51" i="50"/>
  <c r="Z63" i="50"/>
  <c r="Q60" i="50"/>
  <c r="V49" i="50"/>
  <c r="AB41" i="50"/>
  <c r="AR47" i="50"/>
  <c r="T76" i="50"/>
  <c r="AY12" i="50"/>
  <c r="AI17" i="50"/>
  <c r="AY78" i="50"/>
  <c r="AX28" i="50"/>
  <c r="BB71" i="50"/>
  <c r="AB46" i="50"/>
  <c r="W69" i="50"/>
  <c r="AP43" i="50"/>
  <c r="AA50" i="50"/>
  <c r="Z67" i="50"/>
  <c r="AG45" i="50"/>
  <c r="BC73" i="50"/>
  <c r="AJ46" i="50"/>
  <c r="BC24" i="50"/>
  <c r="AE20" i="50"/>
  <c r="M7" i="50"/>
  <c r="AB36" i="50"/>
  <c r="X75" i="50"/>
  <c r="AU23" i="50"/>
  <c r="R57" i="50"/>
  <c r="R38" i="50"/>
  <c r="AT29" i="50"/>
  <c r="AX15" i="50"/>
  <c r="BB32" i="50"/>
  <c r="AK16" i="50"/>
  <c r="AM31" i="50"/>
  <c r="AX14" i="50"/>
  <c r="AY30" i="50"/>
  <c r="Y13" i="50"/>
  <c r="P72" i="50"/>
  <c r="N73" i="50"/>
  <c r="BA31" i="50"/>
  <c r="AM34" i="50"/>
  <c r="Y71" i="50"/>
  <c r="AO55" i="50"/>
  <c r="BC19" i="50"/>
  <c r="T27" i="50"/>
  <c r="S25" i="50"/>
  <c r="P15" i="50"/>
  <c r="AW60" i="50"/>
  <c r="V29" i="50"/>
  <c r="AJ12" i="50"/>
  <c r="AG25" i="50"/>
  <c r="W45" i="50"/>
  <c r="AK8" i="50"/>
  <c r="M56" i="50"/>
  <c r="V67" i="50"/>
  <c r="AQ55" i="50"/>
  <c r="AE5" i="50"/>
  <c r="M53" i="50"/>
  <c r="V72" i="50"/>
  <c r="AV11" i="50"/>
  <c r="AH38" i="50"/>
  <c r="P30" i="50"/>
  <c r="Y16" i="50"/>
  <c r="AJ78" i="50"/>
  <c r="AA51" i="50"/>
  <c r="AF28" i="50"/>
  <c r="X13" i="50"/>
  <c r="AT77" i="50"/>
  <c r="AN60" i="50"/>
  <c r="Y64" i="50"/>
  <c r="AJ24" i="50"/>
  <c r="Y34" i="50"/>
  <c r="AQ29" i="50"/>
  <c r="AC73" i="50"/>
  <c r="M27" i="50"/>
  <c r="P25" i="50"/>
  <c r="AI13" i="50"/>
  <c r="AG50" i="50"/>
  <c r="AU11" i="50"/>
  <c r="AT48" i="50"/>
  <c r="AN10" i="50"/>
  <c r="AT54" i="50"/>
  <c r="AF36" i="50"/>
  <c r="AB50" i="50"/>
  <c r="BB41" i="50"/>
  <c r="AM17" i="50"/>
  <c r="BC6" i="50"/>
  <c r="Q62" i="50"/>
  <c r="U25" i="50"/>
  <c r="R12" i="50"/>
  <c r="AT47" i="50"/>
  <c r="AQ20" i="50"/>
  <c r="W36" i="50"/>
  <c r="X37" i="50"/>
  <c r="AE70" i="50"/>
  <c r="R32" i="50"/>
  <c r="V5" i="50"/>
  <c r="AZ41" i="50"/>
  <c r="AS47" i="50"/>
  <c r="AB13" i="50"/>
  <c r="T38" i="50"/>
  <c r="AA40" i="50"/>
  <c r="BA24" i="50"/>
  <c r="T21" i="50"/>
  <c r="P68" i="50"/>
  <c r="AG42" i="50"/>
  <c r="AL12" i="50"/>
  <c r="BA60" i="50"/>
  <c r="AI36" i="50"/>
  <c r="BB35" i="50"/>
  <c r="AP12" i="50"/>
  <c r="AE32" i="50"/>
  <c r="AL13" i="50"/>
  <c r="AS54" i="50"/>
  <c r="O28" i="50"/>
  <c r="M29" i="50"/>
  <c r="AW12" i="50"/>
  <c r="AH19" i="50"/>
  <c r="M54" i="50"/>
  <c r="O8" i="50"/>
  <c r="AF23" i="50"/>
  <c r="AY77" i="50"/>
  <c r="L67" i="50"/>
  <c r="AS73" i="50"/>
  <c r="AL35" i="50"/>
  <c r="AV78" i="50"/>
  <c r="AB65" i="50"/>
  <c r="Q65" i="50"/>
  <c r="S42" i="50"/>
  <c r="T9" i="50"/>
  <c r="AF32" i="50"/>
  <c r="BB18" i="50"/>
  <c r="AY36" i="50"/>
  <c r="O20" i="50"/>
  <c r="AQ22" i="50"/>
  <c r="AD26" i="50"/>
  <c r="AL56" i="50"/>
  <c r="AN19" i="50"/>
  <c r="AI42" i="50"/>
  <c r="U28" i="50"/>
  <c r="AE34" i="50"/>
  <c r="R79" i="50"/>
  <c r="Y72" i="50"/>
  <c r="AU66" i="50"/>
  <c r="L23" i="50"/>
  <c r="AK76" i="50"/>
  <c r="Q17" i="50"/>
  <c r="N37" i="50"/>
  <c r="AU55" i="50"/>
  <c r="AJ63" i="50"/>
  <c r="AN27" i="50"/>
  <c r="U54" i="50"/>
  <c r="X76" i="50"/>
  <c r="L65" i="50"/>
  <c r="AO47" i="50"/>
  <c r="AT53" i="50"/>
  <c r="S14" i="50"/>
  <c r="AL79" i="50"/>
  <c r="L13" i="50"/>
  <c r="S49" i="50"/>
  <c r="AB64" i="50"/>
  <c r="AD40" i="50"/>
  <c r="W21" i="50"/>
  <c r="L40" i="50"/>
  <c r="AD14" i="50"/>
  <c r="BA63" i="50"/>
  <c r="U76" i="50"/>
  <c r="AM7" i="50"/>
  <c r="Y56" i="50"/>
  <c r="AL60" i="50"/>
  <c r="AV35" i="50"/>
  <c r="AU10" i="50"/>
  <c r="L6" i="50"/>
  <c r="N65" i="50"/>
  <c r="AR49" i="50"/>
  <c r="AX44" i="50"/>
  <c r="AK27" i="50"/>
  <c r="AE62" i="50"/>
  <c r="AR72" i="50"/>
  <c r="AL39" i="50"/>
  <c r="AV50" i="50"/>
  <c r="AU68" i="50"/>
  <c r="AD63" i="50"/>
  <c r="BA45" i="50"/>
  <c r="BA16" i="50"/>
  <c r="AH64" i="50"/>
  <c r="AG6" i="50"/>
  <c r="AW40" i="50"/>
  <c r="AW27" i="50"/>
  <c r="BB11" i="50"/>
  <c r="AP15" i="50"/>
  <c r="AB73" i="50"/>
  <c r="AZ36" i="50"/>
  <c r="AN66" i="50"/>
  <c r="T11" i="50"/>
  <c r="Q47" i="50"/>
  <c r="X48" i="50"/>
  <c r="AE7" i="50"/>
  <c r="Y41" i="50"/>
  <c r="P41" i="50"/>
  <c r="AY80" i="50"/>
  <c r="AX7" i="50"/>
  <c r="AV51" i="50"/>
  <c r="AE13" i="50"/>
  <c r="AY32" i="50"/>
  <c r="BA37" i="50"/>
  <c r="AZ45" i="50"/>
  <c r="W31" i="50"/>
  <c r="R77" i="50"/>
  <c r="O65" i="50"/>
  <c r="O39" i="50"/>
  <c r="Q13" i="50"/>
  <c r="AN34" i="50"/>
  <c r="T40" i="50"/>
  <c r="AT15" i="50"/>
  <c r="AQ64" i="50"/>
  <c r="AE37" i="50"/>
  <c r="AU54" i="50"/>
  <c r="T41" i="50"/>
  <c r="BA55" i="50"/>
  <c r="AJ77" i="50"/>
  <c r="Y7" i="50"/>
  <c r="AM53" i="50"/>
  <c r="Y18" i="50"/>
  <c r="AW39" i="50"/>
  <c r="AB76" i="50"/>
  <c r="U23" i="50"/>
  <c r="AR41" i="50"/>
  <c r="T50" i="50"/>
  <c r="AP10" i="50"/>
  <c r="Y5" i="50"/>
  <c r="AF63" i="50"/>
  <c r="U8" i="50"/>
  <c r="AK71" i="50"/>
  <c r="AJ62" i="50"/>
  <c r="X57" i="50"/>
  <c r="N26" i="50"/>
  <c r="N57" i="50"/>
  <c r="AW69" i="50"/>
  <c r="AF7" i="50"/>
  <c r="AZ56" i="50"/>
  <c r="AV74" i="50"/>
  <c r="BC15" i="50"/>
  <c r="AG29" i="50"/>
  <c r="AE22" i="50"/>
  <c r="O77" i="50"/>
  <c r="AM9" i="50"/>
  <c r="AH67" i="50"/>
  <c r="AV14" i="50"/>
  <c r="Y10" i="50"/>
  <c r="AB38" i="50"/>
  <c r="N19" i="50"/>
  <c r="O31" i="50"/>
  <c r="AH35" i="50"/>
  <c r="AA63" i="50"/>
  <c r="AH7" i="50"/>
  <c r="Y38" i="50"/>
  <c r="AC50" i="50"/>
  <c r="AC11" i="50"/>
  <c r="V62" i="50"/>
  <c r="W58" i="50"/>
  <c r="AL49" i="50"/>
  <c r="AS41" i="50"/>
  <c r="Q39" i="50"/>
  <c r="AD55" i="50"/>
  <c r="AH66" i="50"/>
  <c r="AM41" i="50"/>
  <c r="AP72" i="50"/>
  <c r="R73" i="50"/>
  <c r="AD67" i="50"/>
  <c r="Q26" i="50"/>
  <c r="AT61" i="50"/>
  <c r="AE31" i="50"/>
  <c r="AX20" i="50"/>
  <c r="AZ13" i="50"/>
  <c r="AV46" i="50"/>
  <c r="AE43" i="50"/>
  <c r="AZ16" i="50"/>
  <c r="X31" i="50"/>
  <c r="AQ33" i="50"/>
  <c r="AC20" i="50"/>
  <c r="R25" i="50"/>
  <c r="AX47" i="50"/>
  <c r="AX63" i="50"/>
  <c r="AL37" i="50"/>
  <c r="AX59" i="50"/>
  <c r="AZ48" i="50"/>
  <c r="AK54" i="50"/>
  <c r="BB17" i="50"/>
  <c r="L39" i="50"/>
  <c r="AC5" i="50"/>
  <c r="L80" i="50"/>
  <c r="AF12" i="50"/>
  <c r="AC38" i="50"/>
  <c r="BA20" i="50"/>
  <c r="AW66" i="50"/>
  <c r="AN56" i="50"/>
  <c r="AL8" i="50"/>
  <c r="AS74" i="50"/>
  <c r="AU65" i="50"/>
  <c r="AQ42" i="50"/>
  <c r="AL29" i="50"/>
  <c r="AI70" i="50"/>
  <c r="AT10" i="50"/>
  <c r="V13" i="50"/>
  <c r="AG62" i="50"/>
  <c r="AG80" i="50"/>
  <c r="BC53" i="50"/>
  <c r="V59" i="50"/>
  <c r="AE55" i="50"/>
  <c r="AC13" i="50"/>
  <c r="AN13" i="50"/>
  <c r="M66" i="50"/>
  <c r="AO18" i="50"/>
  <c r="R78" i="50"/>
  <c r="M48" i="50"/>
  <c r="AK56" i="50"/>
  <c r="AI11" i="50"/>
  <c r="AN73" i="50"/>
  <c r="AL26" i="50"/>
  <c r="O63" i="50"/>
  <c r="AH34" i="50"/>
  <c r="V41" i="50"/>
  <c r="U21" i="50"/>
  <c r="AQ59" i="50"/>
  <c r="L70" i="50"/>
  <c r="AV17" i="50"/>
  <c r="L21" i="50"/>
  <c r="AI46" i="50"/>
  <c r="AN35" i="50"/>
  <c r="AS70" i="50"/>
  <c r="AD16" i="50"/>
  <c r="V28" i="50"/>
  <c r="AB9" i="50"/>
  <c r="AI40" i="50"/>
  <c r="Z72" i="50"/>
  <c r="P71" i="50"/>
  <c r="AD5" i="50"/>
  <c r="V76" i="50"/>
  <c r="AZ57" i="50"/>
  <c r="L45" i="50"/>
  <c r="O33" i="50"/>
  <c r="U77" i="50"/>
  <c r="AS69" i="50"/>
  <c r="R64" i="50"/>
  <c r="R10" i="50"/>
  <c r="V44" i="50"/>
  <c r="BA35" i="50"/>
  <c r="AP56" i="50"/>
  <c r="AQ46" i="50"/>
  <c r="AZ11" i="50"/>
  <c r="AX25" i="50"/>
  <c r="AW53" i="50"/>
  <c r="L35" i="50"/>
  <c r="AQ15" i="50"/>
  <c r="AY16" i="50"/>
  <c r="AY55" i="50"/>
  <c r="AS58" i="50"/>
  <c r="BB30" i="50"/>
  <c r="AW63" i="50"/>
  <c r="O7" i="50"/>
  <c r="AY79" i="50"/>
  <c r="BA74" i="50"/>
  <c r="AW79" i="50"/>
  <c r="AG64" i="50"/>
  <c r="AC29" i="50"/>
  <c r="AS23" i="50"/>
  <c r="T45" i="50"/>
  <c r="P37" i="50"/>
  <c r="AY9" i="50"/>
  <c r="AP62" i="50"/>
  <c r="AT23" i="50"/>
  <c r="M78" i="50"/>
  <c r="Y47" i="50"/>
  <c r="AN47" i="50"/>
  <c r="AQ18" i="50"/>
  <c r="AK63" i="50"/>
  <c r="Y14" i="50"/>
  <c r="Z46" i="50"/>
  <c r="AQ63" i="50"/>
  <c r="R27" i="50"/>
  <c r="AE9" i="50"/>
  <c r="AX75" i="50"/>
  <c r="N56" i="50"/>
  <c r="AT70" i="50"/>
  <c r="AT11" i="50"/>
  <c r="AZ68" i="50"/>
  <c r="Q49" i="50"/>
  <c r="AE54" i="50"/>
  <c r="AP34" i="50"/>
  <c r="AP44" i="50"/>
  <c r="AH16" i="50"/>
  <c r="BA39" i="50"/>
  <c r="AT18" i="50"/>
  <c r="AA32" i="50"/>
  <c r="Q53" i="50"/>
  <c r="S75" i="50"/>
  <c r="AW25" i="50"/>
  <c r="M70" i="50"/>
  <c r="AE52" i="50"/>
  <c r="AV58" i="50"/>
  <c r="AB8" i="50"/>
  <c r="AJ71" i="50"/>
  <c r="AB31" i="50"/>
  <c r="AI10" i="50"/>
  <c r="L32" i="50"/>
  <c r="AI60" i="50"/>
  <c r="AH72" i="50"/>
  <c r="AB35" i="50"/>
  <c r="AF70" i="50"/>
  <c r="AS35" i="50"/>
  <c r="AB56" i="50"/>
  <c r="AY28" i="50"/>
  <c r="Z37" i="50"/>
  <c r="AU63" i="50"/>
  <c r="AI27" i="50"/>
  <c r="M42" i="50"/>
  <c r="AM26" i="50"/>
  <c r="AP74" i="50"/>
  <c r="AK6" i="50"/>
  <c r="N18" i="50"/>
  <c r="AR21" i="50"/>
  <c r="BA36" i="50"/>
  <c r="R15" i="50"/>
  <c r="AY27" i="50"/>
  <c r="O78" i="50"/>
  <c r="T80" i="50"/>
  <c r="AP60" i="50"/>
  <c r="AQ80" i="50"/>
  <c r="AX62" i="50"/>
  <c r="AQ54" i="50"/>
  <c r="AT26" i="50"/>
  <c r="Z34" i="50"/>
  <c r="AO74" i="50"/>
  <c r="AX6" i="50"/>
  <c r="Q63" i="50"/>
  <c r="AK66" i="50"/>
  <c r="W29" i="50"/>
  <c r="AW67" i="50"/>
  <c r="AN22" i="50"/>
  <c r="T59" i="50"/>
  <c r="AC61" i="50"/>
  <c r="AP58" i="50"/>
  <c r="O27" i="50"/>
  <c r="M50" i="50"/>
  <c r="AN45" i="50"/>
  <c r="AC30" i="50"/>
  <c r="AV16" i="50"/>
  <c r="AF34" i="50"/>
  <c r="P18" i="50"/>
  <c r="M60" i="50"/>
  <c r="AJ15" i="50"/>
  <c r="AP20" i="50"/>
  <c r="AB44" i="50"/>
  <c r="L19" i="50"/>
  <c r="O51" i="50"/>
  <c r="AA80" i="50"/>
  <c r="V8" i="50"/>
  <c r="AK21" i="50"/>
  <c r="W48" i="50"/>
  <c r="X11" i="50"/>
  <c r="AS13" i="50"/>
  <c r="AB28" i="50"/>
  <c r="AD20" i="50"/>
  <c r="X7" i="50"/>
  <c r="Q52" i="50"/>
  <c r="AF22" i="50"/>
  <c r="AZ24" i="50"/>
  <c r="AL16" i="50"/>
  <c r="P12" i="50"/>
  <c r="X78" i="50"/>
  <c r="AP11" i="50"/>
  <c r="Y73" i="50"/>
  <c r="AU47" i="50"/>
  <c r="BA18" i="50"/>
  <c r="X47" i="50"/>
  <c r="W57" i="50"/>
  <c r="AF33" i="50"/>
  <c r="AN51" i="50"/>
  <c r="AS27" i="50"/>
  <c r="U10" i="50"/>
  <c r="AL20" i="50"/>
  <c r="AF50" i="50"/>
  <c r="AY37" i="50"/>
  <c r="AN12" i="50"/>
  <c r="AV9" i="50"/>
  <c r="AC44" i="50"/>
  <c r="O9" i="50"/>
  <c r="AB19" i="50"/>
  <c r="AF14" i="50"/>
  <c r="AL58" i="50"/>
  <c r="AI50" i="50"/>
  <c r="AO23" i="50"/>
  <c r="AU21" i="50"/>
  <c r="W34" i="50"/>
  <c r="AC12" i="50"/>
  <c r="R55" i="50"/>
  <c r="AT6" i="50"/>
  <c r="BC63" i="50"/>
  <c r="AI78" i="50"/>
  <c r="AY5" i="50"/>
  <c r="O55" i="50"/>
  <c r="AE29" i="50"/>
  <c r="AX38" i="50"/>
  <c r="BB50" i="50"/>
  <c r="AH27" i="50"/>
  <c r="AM58" i="50"/>
  <c r="AS5" i="50"/>
  <c r="M30" i="50"/>
  <c r="AN28" i="50"/>
  <c r="AC34" i="50"/>
  <c r="AU44" i="50"/>
  <c r="AB66" i="50"/>
  <c r="BB7" i="50"/>
  <c r="AU35" i="50"/>
  <c r="AW34" i="50"/>
  <c r="AC35" i="50"/>
  <c r="Q43" i="50"/>
  <c r="P42" i="50"/>
  <c r="Q72" i="50"/>
  <c r="L10" i="50"/>
  <c r="W23" i="50"/>
  <c r="BC20" i="50"/>
  <c r="P16" i="50"/>
  <c r="AX40" i="50"/>
  <c r="AW7" i="50"/>
  <c r="W16" i="50"/>
  <c r="AE14" i="50"/>
  <c r="BA12" i="50"/>
  <c r="N45" i="50"/>
  <c r="P31" i="50"/>
  <c r="X16" i="50"/>
  <c r="AC32" i="50"/>
  <c r="AW15" i="50"/>
  <c r="S53" i="50"/>
  <c r="AJ64" i="50"/>
  <c r="AX19" i="50"/>
  <c r="V26" i="50"/>
  <c r="S17" i="50"/>
  <c r="AJ18" i="50"/>
  <c r="AW5" i="50"/>
  <c r="S22" i="50"/>
  <c r="AA34" i="50"/>
  <c r="X63" i="50"/>
  <c r="AB32" i="50"/>
  <c r="M14" i="50"/>
  <c r="AC65" i="50"/>
  <c r="P26" i="50"/>
  <c r="AT28" i="50"/>
  <c r="S18" i="50"/>
  <c r="V46" i="50"/>
  <c r="BA65" i="50"/>
  <c r="AV30" i="50"/>
  <c r="AU52" i="50"/>
  <c r="AK14" i="50"/>
  <c r="AJ22" i="50"/>
  <c r="Y51" i="50"/>
  <c r="AG21" i="50"/>
  <c r="BC38" i="50"/>
  <c r="T39" i="50"/>
  <c r="Y48" i="50"/>
  <c r="AI73" i="50"/>
  <c r="AK72" i="50"/>
  <c r="AH44" i="50"/>
  <c r="P7" i="50"/>
  <c r="BB19" i="50"/>
  <c r="T37" i="50"/>
  <c r="BC75" i="50"/>
  <c r="AN43" i="50"/>
  <c r="AG10" i="50"/>
  <c r="L37" i="50"/>
  <c r="M23" i="50"/>
  <c r="BC43" i="50"/>
  <c r="AU59" i="50"/>
  <c r="AW22" i="50"/>
  <c r="BC76" i="50"/>
  <c r="AT46" i="50"/>
  <c r="Q51" i="50"/>
  <c r="AR54" i="50"/>
  <c r="W51" i="50"/>
  <c r="AB75" i="50"/>
  <c r="W76" i="50"/>
  <c r="AU61" i="50"/>
  <c r="AS14" i="50"/>
  <c r="AX72" i="50"/>
  <c r="AZ7" i="50"/>
  <c r="AS17" i="50"/>
  <c r="AN46" i="50"/>
  <c r="S63" i="50"/>
  <c r="AF74" i="50"/>
  <c r="AW52" i="50"/>
  <c r="AM77" i="50"/>
  <c r="AP14" i="50"/>
  <c r="BA46" i="50"/>
  <c r="AP77" i="50"/>
  <c r="U56" i="50"/>
  <c r="Q50" i="50"/>
  <c r="M80" i="50"/>
  <c r="AT52" i="50"/>
  <c r="AX11" i="50"/>
  <c r="T77" i="50"/>
  <c r="W12" i="50"/>
  <c r="O12" i="50"/>
  <c r="AK7" i="50"/>
  <c r="V15" i="50"/>
  <c r="W60" i="50"/>
  <c r="AN67" i="50"/>
  <c r="AF56" i="50"/>
  <c r="AR52" i="50"/>
  <c r="AY19" i="50"/>
  <c r="BA8" i="50"/>
  <c r="S50" i="50"/>
  <c r="AX17" i="50"/>
  <c r="V11" i="50"/>
  <c r="N58" i="50"/>
  <c r="R52" i="50"/>
  <c r="U16" i="50"/>
  <c r="L12" i="50"/>
  <c r="AU77" i="50"/>
  <c r="AW48" i="50"/>
  <c r="L49" i="50"/>
  <c r="AD69" i="50"/>
  <c r="L24" i="50"/>
  <c r="S64" i="50"/>
  <c r="AP31" i="50"/>
  <c r="Q74" i="50"/>
  <c r="N77" i="50"/>
  <c r="Z62" i="50"/>
  <c r="AA73" i="50"/>
  <c r="W77" i="50"/>
  <c r="BA43" i="50"/>
  <c r="Y29" i="50"/>
  <c r="N52" i="50"/>
  <c r="AT25" i="50"/>
  <c r="AR39" i="50"/>
  <c r="AV5" i="50"/>
  <c r="X15" i="50"/>
  <c r="AG35" i="50"/>
  <c r="AK45" i="50"/>
  <c r="AH40" i="50"/>
  <c r="U37" i="50"/>
  <c r="AC36" i="50"/>
  <c r="Y42" i="50"/>
  <c r="O36" i="50"/>
  <c r="AG19" i="50"/>
  <c r="L56" i="50"/>
  <c r="R51" i="50"/>
  <c r="AU73" i="50"/>
  <c r="AE78" i="50"/>
  <c r="AJ45" i="50"/>
  <c r="P65" i="50"/>
  <c r="AX24" i="50"/>
  <c r="AI16" i="50"/>
  <c r="AC66" i="50"/>
  <c r="AW51" i="50"/>
  <c r="AA29" i="50"/>
  <c r="AP37" i="50"/>
  <c r="AH74" i="50"/>
  <c r="AX55" i="50"/>
  <c r="AE48" i="50"/>
  <c r="AY73" i="50"/>
  <c r="AY22" i="50"/>
  <c r="P66" i="50"/>
  <c r="AV64" i="50"/>
  <c r="AC21" i="50"/>
  <c r="Z50" i="50"/>
  <c r="AV34" i="50"/>
  <c r="AA23" i="50"/>
  <c r="AD68" i="50"/>
  <c r="AP49" i="50"/>
  <c r="AU74" i="50"/>
  <c r="L27" i="50"/>
  <c r="X26" i="50"/>
  <c r="AZ18" i="50"/>
  <c r="AS60" i="50"/>
  <c r="T18" i="50"/>
  <c r="AC62" i="50"/>
  <c r="AV10" i="50"/>
  <c r="AM18" i="50"/>
  <c r="AD24" i="50"/>
  <c r="S41" i="50"/>
  <c r="AV49" i="50"/>
  <c r="AE19" i="50"/>
  <c r="AK57" i="50"/>
  <c r="Y65" i="50"/>
  <c r="V68" i="50"/>
  <c r="AH77" i="50"/>
  <c r="AE12" i="50"/>
  <c r="O66" i="50"/>
  <c r="AY44" i="50"/>
  <c r="AG7" i="50"/>
  <c r="X32" i="50"/>
  <c r="AD66" i="50"/>
  <c r="R61" i="50"/>
  <c r="AO77" i="50"/>
  <c r="AJ41" i="50"/>
  <c r="S8" i="50"/>
  <c r="X23" i="50"/>
  <c r="BA34" i="50"/>
  <c r="AI43" i="50"/>
  <c r="AF77" i="50"/>
  <c r="AR18" i="50"/>
  <c r="AN41" i="50"/>
  <c r="AJ35" i="50"/>
  <c r="N36" i="50"/>
  <c r="W39" i="50"/>
  <c r="Q29" i="50"/>
  <c r="P17" i="50"/>
  <c r="AA77" i="50"/>
  <c r="AD74" i="50"/>
  <c r="P51" i="50"/>
  <c r="AF69" i="50"/>
  <c r="AA65" i="50"/>
  <c r="AA36" i="50"/>
  <c r="O22" i="50"/>
  <c r="AA43" i="50"/>
  <c r="AA78" i="50"/>
  <c r="AA30" i="50"/>
  <c r="AF18" i="50"/>
  <c r="AP38" i="50"/>
  <c r="AD31" i="50"/>
  <c r="BB68" i="50"/>
  <c r="AB53" i="50"/>
  <c r="AS59" i="50"/>
  <c r="U73" i="50"/>
  <c r="AK35" i="50"/>
  <c r="N23" i="50"/>
  <c r="T52" i="50"/>
  <c r="AO70" i="50"/>
  <c r="U75" i="50"/>
  <c r="BB79" i="50"/>
  <c r="P47" i="50"/>
  <c r="AZ63" i="50"/>
  <c r="BC45" i="50"/>
  <c r="AU67" i="50"/>
  <c r="AD56" i="50"/>
  <c r="U80" i="50"/>
  <c r="U72" i="50"/>
  <c r="AE72" i="50"/>
  <c r="R7" i="50"/>
  <c r="T51" i="50"/>
  <c r="AS40" i="50"/>
  <c r="AT58" i="50"/>
  <c r="AE21" i="50"/>
  <c r="AO22" i="50"/>
  <c r="AH14" i="50"/>
  <c r="AI37" i="50"/>
  <c r="AH36" i="50"/>
  <c r="AJ37" i="50"/>
  <c r="AA31" i="50"/>
  <c r="P5" i="50"/>
  <c r="M22" i="50"/>
  <c r="BA69" i="50"/>
  <c r="AS32" i="50"/>
  <c r="AK11" i="50"/>
  <c r="AY64" i="50"/>
  <c r="AL30" i="50"/>
  <c r="AK55" i="50"/>
  <c r="AY33" i="50"/>
  <c r="AH29" i="50"/>
  <c r="AH9" i="50"/>
  <c r="AF27" i="50"/>
  <c r="AQ32" i="50"/>
  <c r="AX31" i="50"/>
  <c r="AV56" i="50"/>
  <c r="AF39" i="50"/>
  <c r="W63" i="50"/>
  <c r="L58" i="50"/>
  <c r="AA11" i="50"/>
  <c r="BB42" i="50"/>
  <c r="BB22" i="50"/>
  <c r="AK58" i="50"/>
  <c r="AH75" i="50"/>
  <c r="AQ79" i="50"/>
  <c r="O16" i="50"/>
  <c r="AM20" i="50"/>
  <c r="BA23" i="50"/>
  <c r="AO14" i="50"/>
  <c r="AH33" i="50"/>
  <c r="T22" i="50"/>
  <c r="X53" i="50"/>
  <c r="Y32" i="50"/>
  <c r="AW20" i="50"/>
  <c r="Q27" i="50"/>
  <c r="Q73" i="50"/>
  <c r="Z76" i="50"/>
  <c r="AO16" i="50"/>
  <c r="AD72" i="50"/>
  <c r="Y43" i="50"/>
  <c r="Y61" i="50"/>
  <c r="AV80" i="50"/>
  <c r="M19" i="50"/>
  <c r="AN30" i="50"/>
  <c r="AR5" i="50"/>
  <c r="AG54" i="50"/>
  <c r="AO44" i="50"/>
  <c r="AK39" i="50"/>
  <c r="AN69" i="50"/>
  <c r="T42" i="50"/>
  <c r="AW56" i="50"/>
  <c r="AT62" i="50"/>
  <c r="BC57" i="50"/>
  <c r="T48" i="50"/>
  <c r="AJ43" i="50"/>
  <c r="AC57" i="50"/>
  <c r="AC45" i="50"/>
  <c r="AQ62" i="50"/>
  <c r="M58" i="50"/>
  <c r="AC40" i="50"/>
  <c r="AU62" i="50"/>
  <c r="X58" i="50"/>
  <c r="BC72" i="50"/>
  <c r="N74" i="50"/>
  <c r="R13" i="50"/>
  <c r="BC31" i="50"/>
  <c r="AU43" i="50"/>
  <c r="AT72" i="50"/>
  <c r="Y78" i="50"/>
  <c r="AT71" i="50"/>
  <c r="L59" i="50"/>
  <c r="AU17" i="50"/>
  <c r="L30" i="50"/>
  <c r="BC22" i="50"/>
  <c r="AU27" i="50"/>
  <c r="V23" i="50"/>
  <c r="AD52" i="50"/>
  <c r="AG8" i="50"/>
  <c r="AU56" i="50"/>
  <c r="AO40" i="50"/>
  <c r="AW23" i="50"/>
  <c r="AL36" i="50"/>
  <c r="AZ79" i="50"/>
  <c r="AW33" i="50"/>
  <c r="AY15" i="50"/>
  <c r="AQ56" i="50"/>
  <c r="AW78" i="50"/>
  <c r="Y53" i="50"/>
  <c r="AG78" i="50"/>
  <c r="N43" i="50"/>
  <c r="AJ11" i="50"/>
  <c r="AV44" i="50"/>
  <c r="AO42" i="50"/>
  <c r="AK73" i="50"/>
  <c r="AR23" i="50"/>
  <c r="P57" i="50"/>
  <c r="AO27" i="50"/>
  <c r="AX36" i="50"/>
  <c r="BA70" i="50"/>
  <c r="AG44" i="50"/>
  <c r="AY63" i="50"/>
  <c r="AQ72" i="50"/>
  <c r="AA67" i="50"/>
  <c r="AJ47" i="50"/>
  <c r="AH32" i="50"/>
  <c r="L20" i="50"/>
  <c r="AX57" i="50"/>
  <c r="R71" i="50"/>
  <c r="AJ40" i="50"/>
  <c r="AO52" i="50"/>
  <c r="AV66" i="50"/>
  <c r="AD50" i="50"/>
  <c r="X77" i="50"/>
  <c r="AX5" i="50"/>
  <c r="Y80" i="50"/>
  <c r="AU24" i="50"/>
  <c r="X27" i="50"/>
  <c r="AO50" i="50"/>
  <c r="AQ68" i="50"/>
  <c r="AT74" i="50"/>
  <c r="AZ17" i="50"/>
  <c r="Z42" i="50"/>
  <c r="U26" i="50"/>
  <c r="AD17" i="50"/>
  <c r="AU58" i="50"/>
  <c r="AS15" i="50"/>
  <c r="M37" i="50"/>
  <c r="U34" i="50"/>
  <c r="R9" i="50"/>
  <c r="BA30" i="50"/>
  <c r="O14" i="50"/>
  <c r="U46" i="50"/>
  <c r="V22" i="50"/>
  <c r="AY75" i="50"/>
  <c r="AF73" i="50"/>
  <c r="AG38" i="50"/>
  <c r="AT33" i="50"/>
  <c r="U50" i="50"/>
  <c r="T30" i="50"/>
  <c r="AU13" i="50"/>
  <c r="Q23" i="50"/>
  <c r="Y74" i="50"/>
  <c r="AP36" i="50"/>
  <c r="AK38" i="50"/>
  <c r="T71" i="50"/>
  <c r="N72" i="50"/>
  <c r="AF47" i="50"/>
  <c r="P74" i="50"/>
  <c r="AR25" i="50"/>
  <c r="AV57" i="50"/>
  <c r="AE68" i="50"/>
  <c r="BA75" i="50"/>
  <c r="Z35" i="50"/>
  <c r="AH65" i="50"/>
  <c r="BB45" i="50"/>
  <c r="BC29" i="50"/>
  <c r="BB31" i="50"/>
  <c r="AO78" i="50"/>
  <c r="N61" i="50"/>
  <c r="BB26" i="50"/>
  <c r="Z49" i="50"/>
  <c r="AR71" i="50"/>
  <c r="AR48" i="50"/>
  <c r="M40" i="50"/>
  <c r="AP45" i="50"/>
  <c r="X79" i="50"/>
  <c r="V20" i="50"/>
  <c r="AH10" i="50"/>
  <c r="AN40" i="50"/>
  <c r="AT9" i="50"/>
  <c r="AK32" i="50"/>
  <c r="U70" i="50"/>
  <c r="AR58" i="50"/>
  <c r="AH61" i="50"/>
  <c r="M8" i="50"/>
  <c r="AP16" i="50"/>
  <c r="N22" i="50"/>
  <c r="AA14" i="50"/>
  <c r="AW36" i="50"/>
  <c r="AP79" i="50"/>
  <c r="AS19" i="50"/>
  <c r="X71" i="50"/>
  <c r="AO53" i="50"/>
  <c r="P33" i="50"/>
  <c r="AI76" i="50"/>
  <c r="BC55" i="50"/>
  <c r="U5" i="50"/>
  <c r="Q9" i="50"/>
  <c r="AA47" i="50"/>
  <c r="BA17" i="50"/>
  <c r="N51" i="50"/>
  <c r="AF60" i="50"/>
  <c r="U40" i="50"/>
  <c r="AE24" i="50"/>
  <c r="W33" i="50"/>
  <c r="AF55" i="50"/>
  <c r="T44" i="50"/>
  <c r="AL38" i="50"/>
  <c r="T15" i="50"/>
  <c r="AB26" i="50"/>
  <c r="AZ80" i="50"/>
  <c r="S62" i="50"/>
  <c r="AW72" i="50"/>
  <c r="AV31" i="50"/>
  <c r="Y37" i="50"/>
  <c r="AV12" i="50"/>
  <c r="AR15" i="50"/>
  <c r="AA41" i="50"/>
  <c r="AS42" i="50"/>
  <c r="AM23" i="50"/>
  <c r="W59" i="50"/>
  <c r="AP29" i="50"/>
  <c r="R76" i="50"/>
  <c r="AF68" i="50"/>
  <c r="Z8" i="50"/>
  <c r="AG12" i="50"/>
  <c r="AC18" i="50"/>
  <c r="AX73" i="50"/>
  <c r="AQ39" i="50"/>
  <c r="Q41" i="50"/>
  <c r="Q56" i="50"/>
  <c r="S45" i="50"/>
  <c r="AD35" i="50"/>
  <c r="AV72" i="50"/>
  <c r="S34" i="50"/>
  <c r="AR51" i="50"/>
  <c r="AM6" i="50"/>
  <c r="R68" i="50"/>
  <c r="AT21" i="50"/>
  <c r="BB76" i="50"/>
  <c r="BC17" i="50"/>
  <c r="AN62" i="50"/>
  <c r="P44" i="50"/>
  <c r="AC22" i="50"/>
  <c r="AQ69" i="50"/>
  <c r="P38" i="50"/>
  <c r="AA19" i="50"/>
  <c r="AW49" i="50"/>
  <c r="V61" i="50"/>
  <c r="AI5" i="50"/>
  <c r="AU28" i="50"/>
  <c r="X65" i="50"/>
  <c r="AB17" i="50"/>
  <c r="AE66" i="50"/>
  <c r="W8" i="50"/>
  <c r="AJ80" i="50"/>
  <c r="AK60" i="50"/>
  <c r="AF8" i="50"/>
  <c r="AH22" i="50"/>
  <c r="AD22" i="50"/>
  <c r="Q45" i="50"/>
  <c r="U38" i="50"/>
  <c r="L52" i="50"/>
  <c r="AB47" i="50"/>
  <c r="AL61" i="50"/>
  <c r="AZ12" i="50"/>
  <c r="U53" i="50"/>
  <c r="BB23" i="50"/>
  <c r="AF37" i="50"/>
  <c r="AX78" i="50"/>
  <c r="AL69" i="50"/>
  <c r="AF9" i="50"/>
  <c r="AB6" i="50"/>
  <c r="AS20" i="50"/>
  <c r="AV68" i="50"/>
  <c r="AV48" i="50"/>
  <c r="P35" i="50"/>
  <c r="AQ73" i="50"/>
  <c r="Z59" i="50"/>
  <c r="AS79" i="50"/>
  <c r="W54" i="50"/>
  <c r="AK67" i="50"/>
  <c r="W49" i="50"/>
  <c r="O11" i="50"/>
  <c r="N68" i="50"/>
  <c r="W37" i="50"/>
  <c r="AU46" i="50"/>
  <c r="AN53" i="50"/>
  <c r="L63" i="50"/>
  <c r="R50" i="50"/>
  <c r="AR60" i="50"/>
  <c r="N10" i="50"/>
  <c r="AD78" i="50"/>
  <c r="AC9" i="50"/>
  <c r="AU41" i="50"/>
  <c r="BB24" i="50"/>
  <c r="AS49" i="50"/>
  <c r="M39" i="50"/>
  <c r="AT69" i="50"/>
  <c r="AC43" i="50"/>
  <c r="AO60" i="50"/>
  <c r="Q19" i="50"/>
  <c r="BB39" i="50"/>
  <c r="AO65" i="50"/>
  <c r="AS61" i="50"/>
  <c r="V21" i="50"/>
  <c r="BC8" i="50"/>
  <c r="AI64" i="50"/>
  <c r="AX21" i="50"/>
  <c r="M26" i="50"/>
  <c r="Q6" i="50"/>
  <c r="AX30" i="50"/>
  <c r="AM75" i="50"/>
  <c r="X19" i="50"/>
  <c r="U61" i="50"/>
  <c r="AC72" i="50"/>
  <c r="AX18" i="50"/>
  <c r="AR19" i="50"/>
  <c r="AN6" i="50"/>
  <c r="M9" i="50"/>
  <c r="AC7" i="50"/>
  <c r="AD29" i="50"/>
  <c r="T17" i="50"/>
  <c r="W46" i="50"/>
  <c r="AW11" i="50"/>
  <c r="AL42" i="50"/>
  <c r="AM30" i="50"/>
  <c r="AJ73" i="50"/>
  <c r="BB62" i="50"/>
  <c r="AG58" i="50"/>
  <c r="P20" i="50"/>
  <c r="M69" i="50"/>
  <c r="M34" i="50"/>
  <c r="AV52" i="50"/>
  <c r="AI52" i="50"/>
  <c r="AS45" i="50"/>
  <c r="AS22" i="50"/>
  <c r="AZ20" i="50"/>
  <c r="U71" i="50"/>
  <c r="AH56" i="50"/>
  <c r="AO79" i="50"/>
  <c r="U14" i="50"/>
  <c r="Q55" i="50"/>
  <c r="Z12" i="50"/>
  <c r="AY70" i="50"/>
  <c r="AB20" i="50"/>
  <c r="AY35" i="50"/>
  <c r="AB52" i="50"/>
  <c r="R29" i="50"/>
  <c r="AM13" i="50"/>
  <c r="V43" i="50"/>
  <c r="AN5" i="50"/>
  <c r="M74" i="50"/>
  <c r="S51" i="50"/>
  <c r="AR57" i="50"/>
  <c r="AL23" i="50"/>
  <c r="T47" i="50"/>
  <c r="AG32" i="50"/>
  <c r="BA19" i="50"/>
  <c r="AY17" i="50"/>
  <c r="U15" i="50"/>
  <c r="Z5" i="50"/>
  <c r="Q7" i="50"/>
  <c r="AC80" i="50"/>
  <c r="AR69" i="50"/>
  <c r="AM65" i="50"/>
  <c r="Q36" i="50"/>
  <c r="AP13" i="50"/>
  <c r="P13" i="50"/>
  <c r="AS31" i="50"/>
  <c r="Q66" i="50"/>
  <c r="AB23" i="50"/>
  <c r="AE73" i="50"/>
  <c r="L62" i="50"/>
  <c r="AF52" i="50"/>
  <c r="BB27" i="50"/>
  <c r="AX67" i="50"/>
  <c r="BB66" i="50"/>
  <c r="AY74" i="50"/>
  <c r="O60" i="50"/>
  <c r="AH54" i="50"/>
  <c r="AJ48" i="50"/>
  <c r="AK75" i="50"/>
  <c r="M12" i="50"/>
  <c r="BC44" i="50"/>
  <c r="AD57" i="50"/>
  <c r="N80" i="50"/>
  <c r="AA16" i="50"/>
  <c r="AG73" i="50"/>
  <c r="AJ59" i="50"/>
  <c r="X41" i="50"/>
  <c r="P63" i="50"/>
  <c r="AY58" i="50"/>
  <c r="AD75" i="50"/>
  <c r="T54" i="50"/>
  <c r="S38" i="50"/>
  <c r="AD19" i="50"/>
  <c r="U47" i="50"/>
  <c r="AW74" i="50"/>
  <c r="O80" i="50"/>
  <c r="S78" i="50"/>
  <c r="AE11" i="50"/>
  <c r="AY66" i="50"/>
  <c r="AB37" i="50"/>
  <c r="AW8" i="50"/>
  <c r="AR43" i="50"/>
  <c r="AC27" i="50"/>
  <c r="P75" i="50"/>
  <c r="P23" i="50"/>
  <c r="T55" i="50"/>
  <c r="W74" i="50"/>
  <c r="AU34" i="50"/>
  <c r="O41" i="50"/>
  <c r="AB57" i="50"/>
  <c r="AS52" i="50"/>
  <c r="W22" i="50"/>
  <c r="L16" i="50"/>
  <c r="T79" i="50"/>
  <c r="AB14" i="50"/>
  <c r="AU29" i="50"/>
  <c r="AJ8" i="50"/>
  <c r="AN11" i="50"/>
  <c r="L15" i="50"/>
  <c r="M44" i="50"/>
  <c r="AH28" i="50"/>
  <c r="AO12" i="50"/>
  <c r="AX69" i="50"/>
  <c r="AQ11" i="50"/>
  <c r="X59" i="50"/>
  <c r="AP53" i="50"/>
  <c r="T32" i="50"/>
  <c r="AU36" i="50"/>
  <c r="AD38" i="50"/>
  <c r="AM68" i="50"/>
  <c r="S15" i="50"/>
  <c r="AW35" i="50"/>
  <c r="AN54" i="50"/>
  <c r="AP8" i="50"/>
  <c r="R46" i="50"/>
  <c r="P29" i="50"/>
  <c r="AR61" i="50"/>
  <c r="AO59" i="50"/>
  <c r="AU19" i="50"/>
  <c r="W42" i="50"/>
  <c r="M25" i="50"/>
  <c r="R48" i="50"/>
  <c r="AC78" i="50"/>
  <c r="X10" i="50"/>
  <c r="AN58" i="50"/>
  <c r="AD49" i="50"/>
  <c r="AM40" i="50"/>
  <c r="AI24" i="50"/>
  <c r="Z55" i="50"/>
  <c r="AL68" i="50"/>
  <c r="BA79" i="50"/>
  <c r="AB12" i="50"/>
  <c r="AV79" i="50"/>
  <c r="AX43" i="50"/>
  <c r="AW38" i="50"/>
  <c r="AU20" i="50"/>
  <c r="M35" i="50"/>
  <c r="AS77" i="50"/>
  <c r="R80" i="50"/>
  <c r="AJ75" i="50"/>
  <c r="AG28" i="50"/>
  <c r="Z27" i="50"/>
  <c r="BA5" i="50"/>
  <c r="AS18" i="50"/>
  <c r="AR37" i="50"/>
  <c r="M16" i="50"/>
  <c r="S19" i="50"/>
  <c r="AF26" i="50"/>
  <c r="AQ16" i="50"/>
  <c r="S73" i="50"/>
  <c r="U32" i="50"/>
  <c r="AP75" i="50"/>
  <c r="T6" i="50"/>
  <c r="AY71" i="50"/>
  <c r="AG49" i="50"/>
  <c r="AZ15" i="50"/>
  <c r="S56" i="50"/>
  <c r="T13" i="50"/>
  <c r="BA53" i="50"/>
  <c r="BB28" i="50"/>
  <c r="R49" i="50"/>
  <c r="AH60" i="50"/>
  <c r="AZ6" i="50"/>
  <c r="L41" i="50"/>
  <c r="AY31" i="50"/>
  <c r="T56" i="50"/>
  <c r="M61" i="50"/>
  <c r="BA68" i="50"/>
  <c r="AA39" i="50"/>
  <c r="AD65" i="50"/>
  <c r="AU60" i="50"/>
  <c r="AL67" i="50"/>
  <c r="T14" i="50"/>
  <c r="S57" i="50"/>
  <c r="U48" i="50"/>
  <c r="R56" i="50"/>
  <c r="AW65" i="50"/>
  <c r="AV53" i="50"/>
  <c r="AL6" i="50"/>
  <c r="AE28" i="50"/>
  <c r="AH58" i="50"/>
  <c r="W20" i="50"/>
  <c r="AG5" i="50"/>
  <c r="AR73" i="50"/>
  <c r="AA71" i="50"/>
  <c r="AZ70" i="50"/>
  <c r="AZ40" i="50"/>
  <c r="R35" i="50"/>
  <c r="AG68" i="50"/>
  <c r="X67" i="50"/>
  <c r="S7" i="50"/>
  <c r="Y26" i="50"/>
  <c r="AK47" i="50"/>
  <c r="AX41" i="50"/>
  <c r="Q22" i="50"/>
  <c r="AL52" i="50"/>
  <c r="AN36" i="50"/>
  <c r="X52" i="50"/>
  <c r="AU37" i="50"/>
  <c r="AQ17" i="50"/>
  <c r="AB48" i="50"/>
  <c r="AS33" i="50"/>
  <c r="AL27" i="50"/>
  <c r="AH51" i="50"/>
  <c r="AS80" i="50"/>
  <c r="S76" i="50"/>
  <c r="P79" i="50"/>
  <c r="Z78" i="50"/>
  <c r="AJ70" i="50"/>
  <c r="AC64" i="50"/>
  <c r="AW6" i="50"/>
  <c r="U43" i="50"/>
  <c r="AP70" i="50"/>
  <c r="AI65" i="50"/>
  <c r="AS66" i="50"/>
  <c r="AT34" i="50"/>
  <c r="Z31" i="50"/>
  <c r="Z44" i="50"/>
  <c r="AI14" i="50"/>
  <c r="Q28" i="50"/>
  <c r="BA33" i="50"/>
  <c r="W79" i="50"/>
  <c r="U57" i="50"/>
  <c r="M46" i="50"/>
  <c r="U45" i="50"/>
  <c r="AW29" i="50"/>
  <c r="AM71" i="50"/>
  <c r="L68" i="50"/>
  <c r="AM49" i="50"/>
  <c r="M67" i="50"/>
  <c r="BC62" i="50"/>
  <c r="O56" i="50"/>
  <c r="U20" i="50"/>
  <c r="AO57" i="50"/>
  <c r="AB51" i="50"/>
  <c r="AD32" i="50"/>
  <c r="BC46" i="50"/>
  <c r="W6" i="50"/>
  <c r="O18" i="50"/>
  <c r="T19" i="50"/>
  <c r="AJ16" i="50"/>
  <c r="AA58" i="50"/>
  <c r="AJ50" i="50"/>
  <c r="AU39" i="50"/>
  <c r="AZ69" i="50"/>
  <c r="AU6" i="50"/>
  <c r="AW13" i="50"/>
  <c r="AX49" i="50"/>
  <c r="AZ28" i="50"/>
  <c r="AZ58" i="50"/>
  <c r="AU12" i="50"/>
  <c r="AG39" i="50"/>
  <c r="AJ57" i="50"/>
  <c r="AB80" i="50"/>
  <c r="U24" i="50"/>
  <c r="AT66" i="50"/>
  <c r="V80" i="50"/>
  <c r="U39" i="50"/>
  <c r="N62" i="50"/>
  <c r="S36" i="50"/>
  <c r="N79" i="50"/>
  <c r="BB20" i="50"/>
  <c r="AC71" i="50"/>
  <c r="AJ33" i="50"/>
  <c r="AS76" i="50"/>
  <c r="P61" i="50"/>
  <c r="AD21" i="50"/>
  <c r="AB77" i="50"/>
  <c r="BB5" i="50"/>
  <c r="AU70" i="50"/>
  <c r="BC23" i="50"/>
  <c r="AK62" i="50"/>
  <c r="M71" i="50"/>
  <c r="AC31" i="50"/>
  <c r="AK41" i="50"/>
  <c r="AF80" i="50"/>
  <c r="AL77" i="50"/>
  <c r="AR34" i="50"/>
  <c r="Q24" i="50"/>
  <c r="BB64" i="50"/>
  <c r="Q37" i="50"/>
  <c r="AK9" i="50"/>
  <c r="AV19" i="50"/>
  <c r="AU25" i="50"/>
  <c r="BA9" i="50"/>
  <c r="AE76" i="50"/>
  <c r="AO25" i="50"/>
  <c r="AM42" i="50"/>
  <c r="AH68" i="50"/>
  <c r="AW24" i="50"/>
  <c r="AL78" i="50"/>
  <c r="AN63" i="50"/>
  <c r="BC12" i="50"/>
  <c r="BB47" i="50"/>
  <c r="AD80" i="50"/>
  <c r="AV26" i="50"/>
  <c r="AW45" i="50"/>
  <c r="AS50" i="50"/>
  <c r="AG37" i="50"/>
  <c r="AO67" i="50"/>
  <c r="AG56" i="50"/>
  <c r="AA28" i="50"/>
  <c r="P28" i="50"/>
  <c r="AN70" i="50"/>
  <c r="AI80" i="50"/>
  <c r="AQ53" i="50"/>
  <c r="AO72" i="50"/>
  <c r="X55" i="50"/>
  <c r="AT42" i="50"/>
  <c r="AL15" i="50"/>
  <c r="M63" i="50"/>
  <c r="AR70" i="50"/>
  <c r="Q58" i="50"/>
  <c r="AG31" i="50"/>
  <c r="W72" i="50"/>
  <c r="AY24" i="50"/>
  <c r="AA62" i="50"/>
  <c r="AQ34" i="50"/>
  <c r="T7" i="50"/>
  <c r="AP61" i="50"/>
  <c r="AG9" i="50"/>
  <c r="BB56" i="50"/>
  <c r="AP50" i="50"/>
  <c r="AI69" i="50"/>
  <c r="AJ76" i="50"/>
  <c r="T12" i="50"/>
  <c r="BA62" i="50"/>
  <c r="AN77" i="50"/>
  <c r="AY50" i="50"/>
  <c r="T33" i="50"/>
  <c r="AD47" i="50"/>
  <c r="AA10" i="50"/>
  <c r="AN74" i="50"/>
  <c r="AG59" i="50"/>
  <c r="AY68" i="50"/>
  <c r="AU71" i="50"/>
  <c r="AK50" i="50"/>
  <c r="AG11" i="50"/>
  <c r="AH49" i="50"/>
  <c r="AA7" i="50"/>
  <c r="N66" i="50"/>
  <c r="AQ66" i="50"/>
  <c r="BC16" i="50"/>
  <c r="M43" i="50"/>
  <c r="AK28" i="50"/>
  <c r="O6" i="50"/>
  <c r="V74" i="50"/>
  <c r="AC53" i="50"/>
  <c r="S74" i="50"/>
  <c r="T10" i="50"/>
  <c r="AU53" i="50"/>
  <c r="T24" i="50"/>
  <c r="Q44" i="50"/>
  <c r="AX53" i="50"/>
  <c r="AE41" i="50"/>
  <c r="V78" i="50"/>
  <c r="AF75" i="50"/>
  <c r="BC51" i="50"/>
  <c r="S30" i="50"/>
  <c r="P53" i="50"/>
  <c r="AI28" i="50"/>
  <c r="V9" i="50"/>
  <c r="AP19" i="50"/>
  <c r="M20" i="50"/>
  <c r="P11" i="50"/>
  <c r="M38" i="50"/>
  <c r="AB63" i="50"/>
  <c r="BB74" i="50"/>
  <c r="X40" i="50"/>
  <c r="Y36" i="50"/>
  <c r="X18" i="50"/>
  <c r="AH42" i="50"/>
  <c r="T73" i="50"/>
  <c r="AB7" i="50"/>
  <c r="Q46" i="50"/>
  <c r="BB15" i="50"/>
  <c r="Y46" i="50"/>
  <c r="AH69" i="50"/>
  <c r="AL14" i="50"/>
  <c r="AJ36" i="50"/>
  <c r="AQ71" i="50"/>
  <c r="AS62" i="50"/>
  <c r="Q79" i="50"/>
  <c r="AE53" i="50"/>
  <c r="R14" i="50"/>
  <c r="S9" i="50"/>
  <c r="AD64" i="50"/>
  <c r="S43" i="50"/>
  <c r="R74" i="50"/>
  <c r="AT45" i="50"/>
  <c r="BA56" i="50"/>
  <c r="U30" i="50"/>
  <c r="AX35" i="50"/>
  <c r="AZ29" i="50"/>
  <c r="R63" i="50"/>
  <c r="L34" i="50"/>
  <c r="AB24" i="50"/>
  <c r="BC14" i="50"/>
  <c r="AI77" i="50"/>
  <c r="AT67" i="50"/>
  <c r="AP76" i="50"/>
  <c r="AO36" i="50"/>
  <c r="P56" i="50"/>
  <c r="BA11" i="50"/>
  <c r="N46" i="50"/>
  <c r="AR46" i="50"/>
  <c r="P21" i="50"/>
  <c r="AE69" i="50"/>
  <c r="L43" i="50"/>
  <c r="AL40" i="50"/>
  <c r="AJ27" i="50"/>
  <c r="AT20" i="50"/>
  <c r="BB54" i="50"/>
  <c r="AM33" i="50"/>
  <c r="AB27" i="50"/>
  <c r="AR66" i="50"/>
  <c r="T16" i="50"/>
  <c r="O34" i="50"/>
  <c r="AZ76" i="50"/>
  <c r="N35" i="50"/>
  <c r="AM19" i="50"/>
  <c r="AQ52" i="50"/>
  <c r="AZ14" i="50"/>
  <c r="AM63" i="50"/>
  <c r="AN14" i="50"/>
  <c r="P69" i="50"/>
  <c r="Z26" i="50"/>
  <c r="AU75" i="50"/>
  <c r="AI51" i="50"/>
  <c r="AK10" i="50"/>
  <c r="AQ26" i="50"/>
  <c r="W80" i="50"/>
  <c r="AG75" i="50"/>
  <c r="AT55" i="50"/>
  <c r="T58" i="50"/>
  <c r="AR10" i="50"/>
  <c r="AQ74" i="50"/>
  <c r="AR79" i="50"/>
  <c r="AD15" i="50"/>
  <c r="BC56" i="50"/>
  <c r="AO24" i="50"/>
  <c r="N30" i="50"/>
  <c r="AH13" i="50"/>
  <c r="BC40" i="50"/>
  <c r="AE23" i="50"/>
  <c r="V65" i="50"/>
  <c r="AG15" i="50"/>
  <c r="AT56" i="50"/>
  <c r="Y77" i="50"/>
  <c r="AV20" i="50"/>
  <c r="W47" i="50"/>
  <c r="AS46" i="50"/>
  <c r="AN48" i="50"/>
  <c r="AR78" i="50"/>
  <c r="AJ51" i="50"/>
  <c r="N13" i="50"/>
  <c r="N31" i="50"/>
  <c r="M79" i="50"/>
  <c r="AH80" i="50"/>
  <c r="AF43" i="50"/>
  <c r="S11" i="50"/>
  <c r="N59" i="50"/>
  <c r="Z61" i="50"/>
  <c r="AB74" i="50"/>
  <c r="W27" i="50"/>
  <c r="AW31" i="50"/>
  <c r="V19" i="50"/>
  <c r="Z77" i="50"/>
  <c r="O62" i="50"/>
  <c r="O38" i="50"/>
  <c r="AG51" i="50"/>
  <c r="AV60" i="50"/>
  <c r="AA21" i="50"/>
  <c r="AE6" i="50"/>
  <c r="AQ65" i="50"/>
  <c r="N71" i="50"/>
  <c r="Q21" i="50"/>
  <c r="O42" i="50"/>
  <c r="AR45" i="50"/>
  <c r="AK51" i="50"/>
  <c r="O64" i="50"/>
  <c r="AI61" i="50"/>
  <c r="R42" i="50"/>
  <c r="S33" i="50"/>
  <c r="AG72" i="50"/>
  <c r="AI49" i="50"/>
  <c r="X60" i="50"/>
  <c r="AK49" i="50"/>
  <c r="AW21" i="50"/>
  <c r="AX64" i="50"/>
  <c r="AK37" i="50"/>
  <c r="V25" i="50"/>
  <c r="AK61" i="50"/>
  <c r="O53" i="50"/>
  <c r="AP7" i="50"/>
  <c r="AF54" i="50"/>
  <c r="Y55" i="50"/>
  <c r="O29" i="50"/>
  <c r="AJ30" i="50"/>
  <c r="BB29" i="50"/>
  <c r="AE27" i="50"/>
  <c r="AF48" i="50"/>
  <c r="AE8" i="50"/>
  <c r="AX48" i="50"/>
  <c r="R75" i="50"/>
  <c r="BA21" i="50"/>
  <c r="O69" i="50"/>
  <c r="AO7" i="50"/>
  <c r="AK78" i="50"/>
  <c r="BA26" i="50"/>
  <c r="N48" i="50"/>
  <c r="AC8" i="50"/>
  <c r="BA61" i="50"/>
  <c r="AQ27" i="50"/>
  <c r="AB42" i="50"/>
  <c r="AB30" i="50"/>
  <c r="AG55" i="50"/>
  <c r="AJ9" i="50"/>
  <c r="N6" i="50"/>
  <c r="AJ69" i="50"/>
  <c r="AI25" i="50"/>
  <c r="AJ26" i="50"/>
  <c r="AT63" i="50"/>
  <c r="AP78" i="50"/>
  <c r="U79" i="50"/>
  <c r="AC77" i="50"/>
  <c r="AA54" i="50"/>
  <c r="AK43" i="50"/>
  <c r="AV13" i="50"/>
  <c r="R44" i="50"/>
  <c r="X29" i="50"/>
  <c r="AK69" i="50"/>
  <c r="AZ78" i="50"/>
  <c r="Y24" i="50"/>
  <c r="W26" i="50"/>
  <c r="AO9" i="50"/>
  <c r="AT38" i="50"/>
  <c r="AG47" i="50"/>
  <c r="AK74" i="50"/>
  <c r="AN49" i="50"/>
  <c r="AX61" i="50"/>
  <c r="AF30" i="50"/>
  <c r="AT32" i="50"/>
  <c r="AZ22" i="50"/>
  <c r="AY62" i="50"/>
  <c r="BB57" i="50"/>
  <c r="N38" i="50"/>
  <c r="AQ77" i="50"/>
  <c r="AA27" i="50"/>
  <c r="AX42" i="50"/>
  <c r="X56" i="50"/>
  <c r="AY52" i="50"/>
  <c r="R19" i="50"/>
  <c r="L33" i="50"/>
  <c r="T8" i="50"/>
  <c r="P77" i="50"/>
  <c r="AN61" i="50"/>
  <c r="AT14" i="50"/>
  <c r="P22" i="50"/>
  <c r="AK22" i="50"/>
  <c r="U31" i="50"/>
  <c r="AL62" i="50"/>
  <c r="AF42" i="50"/>
  <c r="AP51" i="50"/>
  <c r="W64" i="50"/>
  <c r="N5" i="50"/>
  <c r="AN23" i="50"/>
  <c r="AV43" i="50"/>
  <c r="AA26" i="50"/>
  <c r="Q5" i="50"/>
  <c r="Q12" i="50"/>
  <c r="T69" i="50"/>
  <c r="Z17" i="50"/>
  <c r="AE46" i="50"/>
  <c r="AI38" i="50"/>
  <c r="W78" i="50"/>
  <c r="T46" i="50"/>
  <c r="U41" i="50"/>
  <c r="N47" i="50"/>
  <c r="AP57" i="50"/>
  <c r="AN29" i="50"/>
  <c r="T67" i="50"/>
  <c r="AE59" i="50"/>
  <c r="R54" i="50"/>
  <c r="L79" i="50"/>
  <c r="Z58" i="50"/>
  <c r="AE56" i="50"/>
  <c r="X39" i="50"/>
  <c r="S71" i="50"/>
  <c r="U55" i="50"/>
  <c r="Z68" i="50"/>
  <c r="AY60" i="50"/>
  <c r="Z21" i="50"/>
  <c r="AW42" i="50"/>
  <c r="AF38" i="50"/>
  <c r="BC39" i="50"/>
  <c r="V37" i="50"/>
  <c r="AR8" i="50"/>
  <c r="W10" i="50"/>
  <c r="BA80" i="50"/>
  <c r="AY21" i="50"/>
  <c r="AE30" i="50"/>
  <c r="AQ13" i="50"/>
  <c r="W52" i="50"/>
  <c r="AC47" i="50"/>
  <c r="AW55" i="50"/>
  <c r="AB45" i="50"/>
  <c r="AD39" i="50"/>
  <c r="V35" i="50"/>
  <c r="AD36" i="50"/>
  <c r="N25" i="50"/>
  <c r="AB71" i="50"/>
  <c r="AT30" i="50"/>
  <c r="AW18" i="50"/>
  <c r="AQ9" i="50"/>
  <c r="AH41" i="50"/>
  <c r="AN25" i="50"/>
  <c r="P8" i="50"/>
  <c r="O21" i="50"/>
  <c r="M55" i="50"/>
  <c r="S48" i="50"/>
  <c r="AO63" i="50"/>
  <c r="U67" i="50"/>
  <c r="Z20" i="50"/>
  <c r="AV45" i="50"/>
  <c r="AO28" i="50"/>
  <c r="W53" i="50"/>
  <c r="AF64" i="50"/>
  <c r="AF62" i="50"/>
  <c r="BB52" i="50"/>
  <c r="M77" i="50"/>
  <c r="AJ54" i="50"/>
  <c r="P6" i="50"/>
  <c r="AH8" i="50"/>
  <c r="R8" i="50"/>
  <c r="AS78" i="50"/>
  <c r="AY13" i="50"/>
  <c r="Z47" i="50"/>
  <c r="AB72" i="50"/>
  <c r="AY26" i="50"/>
  <c r="AQ14" i="50"/>
  <c r="P76" i="50"/>
  <c r="AF51" i="50"/>
  <c r="AP63" i="50"/>
  <c r="W28" i="50"/>
  <c r="V63" i="50"/>
  <c r="R72" i="50"/>
  <c r="AV36" i="50"/>
  <c r="AL41" i="50"/>
  <c r="AH45" i="50"/>
  <c r="AZ5" i="50"/>
  <c r="AI67" i="50"/>
  <c r="AJ66" i="50"/>
  <c r="L75" i="50"/>
  <c r="AJ20" i="50"/>
  <c r="U6" i="50"/>
  <c r="V33" i="50"/>
  <c r="BA78" i="50"/>
  <c r="AP21" i="50"/>
  <c r="AG16" i="50"/>
  <c r="AP39" i="50"/>
  <c r="AG48" i="50"/>
  <c r="U22" i="50"/>
  <c r="O71" i="50"/>
  <c r="X24" i="50"/>
  <c r="AK65" i="50"/>
  <c r="Y22" i="50"/>
  <c r="AU22" i="50"/>
  <c r="AZ54" i="50"/>
  <c r="AX32" i="50"/>
  <c r="Z66" i="50"/>
  <c r="AW64" i="50"/>
  <c r="Y49" i="50"/>
  <c r="AP66" i="50"/>
  <c r="Y25" i="50"/>
  <c r="U7" i="50"/>
  <c r="O68" i="50"/>
  <c r="Z14" i="50"/>
  <c r="U69" i="50"/>
  <c r="X33" i="50"/>
  <c r="T62" i="50"/>
  <c r="L11" i="50"/>
  <c r="AV71" i="50"/>
  <c r="V24" i="50"/>
  <c r="AJ38" i="50"/>
  <c r="AR7" i="50"/>
  <c r="AW28" i="50"/>
  <c r="V18" i="50"/>
  <c r="AI7" i="50"/>
  <c r="AK42" i="50"/>
  <c r="AS21" i="50"/>
  <c r="AM27" i="50"/>
  <c r="AJ7" i="50"/>
  <c r="AH50" i="50"/>
  <c r="AE15" i="50"/>
  <c r="V60" i="50"/>
  <c r="AQ36" i="50"/>
  <c r="AB59" i="50"/>
  <c r="AP17" i="50"/>
  <c r="AD53" i="50"/>
  <c r="Y33" i="50"/>
  <c r="BC42" i="50"/>
  <c r="Y44" i="50"/>
  <c r="AP54" i="50"/>
  <c r="W18" i="50"/>
  <c r="AS72" i="50"/>
  <c r="S59" i="50"/>
  <c r="AO32" i="50"/>
  <c r="W73" i="50"/>
  <c r="W67" i="50"/>
  <c r="Z65" i="50"/>
  <c r="BC79" i="50"/>
  <c r="R67" i="50"/>
  <c r="M73" i="50"/>
  <c r="AE74" i="50"/>
  <c r="AO43" i="50"/>
  <c r="AO15" i="50"/>
  <c r="AA69" i="50"/>
  <c r="AZ32" i="50"/>
  <c r="V40" i="50"/>
  <c r="AU8" i="50"/>
  <c r="AG63" i="50"/>
  <c r="AT13" i="50"/>
  <c r="Q68" i="50"/>
  <c r="AH11" i="50"/>
  <c r="AR14" i="50"/>
  <c r="AM67" i="50"/>
  <c r="AP40" i="50"/>
  <c r="AX12" i="50"/>
  <c r="X6" i="50"/>
  <c r="AW32" i="50"/>
  <c r="AT41" i="50"/>
  <c r="AS8" i="50"/>
  <c r="BA51" i="50"/>
  <c r="AN44" i="50"/>
  <c r="AY61" i="50"/>
  <c r="AO76" i="50"/>
  <c r="AR13" i="50"/>
  <c r="AL63" i="50"/>
  <c r="AD23" i="50"/>
  <c r="AD70" i="50"/>
  <c r="AO58" i="50"/>
  <c r="AZ9" i="50"/>
  <c r="O48" i="50"/>
  <c r="AZ27" i="50"/>
  <c r="AZ46" i="50"/>
  <c r="S66" i="50"/>
  <c r="AG69" i="50"/>
  <c r="O19" i="50"/>
  <c r="AJ5" i="50"/>
  <c r="Z36" i="50"/>
  <c r="Q30" i="50"/>
  <c r="N42" i="50"/>
  <c r="AY45" i="50"/>
  <c r="AZ51" i="50"/>
  <c r="AZ60" i="50"/>
  <c r="AG27" i="50"/>
  <c r="Z43" i="50"/>
  <c r="AA45" i="50"/>
  <c r="BB16" i="50"/>
  <c r="Z69" i="50"/>
  <c r="AM55" i="50"/>
  <c r="N60" i="50"/>
  <c r="BC68" i="50"/>
  <c r="AB39" i="50"/>
  <c r="P32" i="50"/>
  <c r="W68" i="50"/>
  <c r="M41" i="50"/>
  <c r="L42" i="50"/>
  <c r="AY20" i="50"/>
  <c r="BA50" i="50"/>
  <c r="AZ19" i="50"/>
  <c r="S29" i="50"/>
  <c r="AZ74" i="50"/>
  <c r="O73" i="50"/>
  <c r="AX26" i="50"/>
  <c r="AT75" i="50"/>
  <c r="N55" i="50"/>
  <c r="AA6" i="50"/>
  <c r="AU57" i="50"/>
  <c r="AL64" i="50"/>
  <c r="V34" i="50"/>
  <c r="BC66" i="50"/>
  <c r="BA7" i="50"/>
  <c r="V14" i="50"/>
  <c r="AH78" i="50"/>
  <c r="AJ10" i="50"/>
  <c r="AB67" i="50"/>
  <c r="AA17" i="50"/>
  <c r="V16" i="50"/>
  <c r="O67" i="50"/>
  <c r="AE17" i="50"/>
  <c r="AE80" i="50"/>
  <c r="AQ78" i="50"/>
  <c r="M75" i="50"/>
  <c r="AH30" i="50"/>
  <c r="X30" i="50"/>
  <c r="AV75" i="50"/>
  <c r="AG40" i="50"/>
  <c r="Z60" i="50"/>
  <c r="AI23" i="50"/>
  <c r="AA72" i="50"/>
  <c r="AV8" i="50"/>
  <c r="AV77" i="50"/>
  <c r="BB75" i="50"/>
  <c r="AT40" i="50"/>
  <c r="AC33" i="50"/>
  <c r="AY56" i="50"/>
  <c r="AU16" i="50"/>
  <c r="V32" i="50"/>
  <c r="AQ7" i="50"/>
  <c r="AL47" i="50"/>
  <c r="L53" i="50"/>
  <c r="AM5" i="50"/>
  <c r="AR40" i="50"/>
  <c r="AJ58" i="50"/>
  <c r="BA67" i="50"/>
  <c r="AQ40" i="50"/>
  <c r="AR77" i="50"/>
  <c r="AA42" i="50"/>
  <c r="Q76" i="50"/>
  <c r="AU48" i="50"/>
  <c r="AL34" i="50"/>
  <c r="AE58" i="50"/>
  <c r="N12" i="50"/>
  <c r="AT79" i="50"/>
  <c r="T23" i="50"/>
  <c r="AI20" i="50"/>
  <c r="AU26" i="50"/>
  <c r="P19" i="50"/>
  <c r="AG18" i="50"/>
  <c r="AL9" i="50"/>
  <c r="V69" i="50"/>
  <c r="AT36" i="50"/>
  <c r="AS24" i="50"/>
  <c r="AL75" i="50"/>
  <c r="AA48" i="50"/>
  <c r="AC10" i="50"/>
  <c r="AL21" i="50"/>
  <c r="AT65" i="50"/>
  <c r="O59" i="50"/>
  <c r="AB58" i="50"/>
  <c r="AW37" i="50"/>
  <c r="U65" i="50"/>
  <c r="AC51" i="50"/>
  <c r="AT60" i="50"/>
  <c r="AJ65" i="50"/>
  <c r="AB15" i="50"/>
  <c r="T31" i="50"/>
  <c r="AX79" i="50"/>
  <c r="AJ25" i="50"/>
  <c r="X21" i="50"/>
  <c r="AV7" i="50"/>
  <c r="N63" i="50"/>
  <c r="X12" i="50"/>
  <c r="AB68" i="50"/>
  <c r="AH55" i="50"/>
  <c r="AA20" i="50"/>
  <c r="W62" i="50"/>
  <c r="AC55" i="50"/>
  <c r="AF67" i="50"/>
  <c r="AR24" i="50"/>
  <c r="S6" i="50"/>
  <c r="BB38" i="50"/>
  <c r="L51" i="50"/>
  <c r="AL54" i="50"/>
  <c r="Q67" i="50"/>
  <c r="AL25" i="50"/>
  <c r="AC52" i="50"/>
  <c r="AR29" i="50"/>
  <c r="T61" i="50"/>
  <c r="AR42" i="50"/>
  <c r="AZ49" i="50"/>
  <c r="X5" i="50"/>
  <c r="AC60" i="50"/>
  <c r="AD41" i="50"/>
  <c r="AW10" i="50"/>
  <c r="AL55" i="50"/>
  <c r="Q20" i="50"/>
  <c r="AA18" i="50"/>
  <c r="M13" i="50"/>
  <c r="AO75" i="50"/>
  <c r="AT57" i="50"/>
  <c r="AW62" i="50"/>
  <c r="AO6" i="50"/>
  <c r="Z73" i="50"/>
  <c r="AL80" i="50"/>
  <c r="AH23" i="50"/>
  <c r="R36" i="50"/>
  <c r="N75" i="50"/>
  <c r="AT8" i="50"/>
  <c r="BA10" i="50"/>
  <c r="AK64" i="50"/>
  <c r="O24" i="50"/>
  <c r="AI62" i="50"/>
  <c r="T29" i="50"/>
  <c r="AF10" i="50"/>
  <c r="AG74" i="50"/>
  <c r="AL19" i="50"/>
  <c r="AO80" i="50"/>
  <c r="O35" i="50"/>
  <c r="AQ37" i="50"/>
  <c r="AI66" i="50"/>
  <c r="AH79" i="50"/>
  <c r="Y15" i="50"/>
  <c r="AE39" i="50"/>
  <c r="AN52" i="50"/>
  <c r="O32" i="50"/>
  <c r="Z39" i="50"/>
  <c r="Y59" i="50"/>
  <c r="AM66" i="50"/>
  <c r="N14" i="50"/>
  <c r="Y8" i="50"/>
  <c r="AB69" i="50"/>
  <c r="AQ25" i="50"/>
  <c r="AZ37" i="50"/>
  <c r="AH25" i="50"/>
  <c r="BC33" i="50"/>
  <c r="AS39" i="50"/>
  <c r="R21" i="50"/>
  <c r="AA57" i="50"/>
  <c r="AT43" i="50"/>
  <c r="AL74" i="50"/>
  <c r="W66" i="50"/>
  <c r="W13" i="50"/>
  <c r="W50" i="50"/>
  <c r="AP5" i="50"/>
  <c r="AH6" i="50"/>
  <c r="AP48" i="50"/>
  <c r="AE79" i="50"/>
  <c r="Z29" i="50"/>
  <c r="Q70" i="50"/>
  <c r="Y70" i="50"/>
  <c r="AM37" i="50"/>
  <c r="M11" i="50"/>
  <c r="V45" i="50"/>
  <c r="AR35" i="50"/>
  <c r="S10" i="50"/>
  <c r="AZ8" i="50"/>
  <c r="AW80" i="50"/>
  <c r="BC18" i="50"/>
  <c r="AD51" i="50"/>
  <c r="AB54" i="50"/>
  <c r="AR32" i="50"/>
  <c r="AI35" i="50"/>
  <c r="AO64" i="50"/>
  <c r="AL66" i="50"/>
  <c r="AZ64" i="50"/>
  <c r="BA47" i="50"/>
  <c r="W14" i="50"/>
  <c r="Y12" i="50"/>
  <c r="AB79" i="50"/>
  <c r="P49" i="50"/>
  <c r="BC7" i="50"/>
  <c r="S61" i="50"/>
  <c r="AR27" i="50"/>
  <c r="AF61" i="50"/>
  <c r="AU64" i="50"/>
  <c r="AA8" i="50"/>
  <c r="AS11" i="50"/>
  <c r="AR75" i="50"/>
  <c r="V17" i="50"/>
  <c r="AC26" i="50"/>
  <c r="S39" i="50"/>
  <c r="AZ43" i="50"/>
  <c r="AN9" i="50"/>
  <c r="O57" i="50"/>
  <c r="AM54" i="50"/>
  <c r="AJ53" i="50"/>
  <c r="AA60" i="50"/>
  <c r="P40" i="50"/>
  <c r="BC35" i="50"/>
  <c r="AC63" i="50"/>
  <c r="AF6" i="50"/>
  <c r="O70" i="50"/>
  <c r="N8" i="50"/>
  <c r="AT59" i="50"/>
  <c r="Y30" i="50"/>
  <c r="AS43" i="50"/>
  <c r="AO69" i="50"/>
  <c r="AK34" i="50"/>
  <c r="S79" i="50"/>
  <c r="AJ29" i="50"/>
  <c r="AN8" i="50"/>
  <c r="AN21" i="50"/>
  <c r="S21" i="50"/>
  <c r="BC64" i="50"/>
  <c r="AQ30" i="50"/>
  <c r="AA68" i="50"/>
  <c r="AH31" i="50"/>
  <c r="AC75" i="50"/>
  <c r="AA59" i="50"/>
  <c r="AG61" i="50"/>
  <c r="AO61" i="50"/>
  <c r="AB18" i="50"/>
  <c r="AA15" i="50"/>
  <c r="AI59" i="50"/>
  <c r="R47" i="50"/>
  <c r="L69" i="50"/>
  <c r="U60" i="50"/>
  <c r="AD11" i="50"/>
  <c r="AQ44" i="50"/>
  <c r="AR26" i="50"/>
  <c r="AD7" i="50"/>
  <c r="AW70" i="50"/>
  <c r="AS29" i="50"/>
  <c r="U19" i="50"/>
  <c r="N50" i="50"/>
  <c r="AK15" i="50"/>
  <c r="AC42" i="50"/>
  <c r="AL46" i="50"/>
  <c r="AM60" i="50"/>
  <c r="AE25" i="50"/>
  <c r="BC32" i="50"/>
  <c r="Z16" i="50"/>
  <c r="O25" i="50"/>
  <c r="BA44" i="50"/>
  <c r="W38" i="50"/>
  <c r="X43" i="50"/>
  <c r="P14" i="50"/>
  <c r="AL17" i="50"/>
  <c r="AE57" i="50"/>
  <c r="AY72" i="50"/>
  <c r="M15" i="50"/>
  <c r="AS6" i="50"/>
  <c r="O17" i="50"/>
  <c r="AN75" i="50"/>
  <c r="AK44" i="50"/>
  <c r="AR17" i="50"/>
  <c r="AP35" i="50"/>
  <c r="N40" i="50"/>
  <c r="X9" i="50"/>
  <c r="AR44" i="50"/>
  <c r="BB37" i="50"/>
  <c r="BA77" i="50"/>
  <c r="AV69" i="50"/>
  <c r="AO39" i="50"/>
  <c r="AY69" i="50"/>
  <c r="O75" i="50"/>
  <c r="X73" i="50"/>
  <c r="AA52" i="50"/>
  <c r="AH71" i="50"/>
  <c r="AV6" i="50"/>
  <c r="AV73" i="50"/>
  <c r="AQ45" i="50"/>
  <c r="O72" i="50"/>
  <c r="AP59" i="50"/>
  <c r="AY6" i="50"/>
  <c r="AT73" i="50"/>
  <c r="AH17" i="50"/>
  <c r="AM35" i="50"/>
  <c r="AK53" i="50"/>
  <c r="P45" i="50"/>
  <c r="AM45" i="50"/>
  <c r="Q42" i="50"/>
  <c r="AI9" i="50"/>
  <c r="Z51" i="50"/>
  <c r="AE65" i="50"/>
  <c r="AJ28" i="50"/>
  <c r="BB61" i="50"/>
  <c r="BC36" i="50"/>
  <c r="AR65" i="50"/>
  <c r="AV63" i="50"/>
  <c r="BB10" i="50"/>
  <c r="Y52" i="50"/>
  <c r="AA24" i="50"/>
  <c r="Y66" i="50"/>
  <c r="AE64" i="50"/>
  <c r="AO30" i="50"/>
  <c r="T68" i="50"/>
  <c r="Z45" i="50"/>
  <c r="AJ31" i="50"/>
  <c r="AO73" i="50"/>
  <c r="AA56" i="50"/>
  <c r="AY48" i="50"/>
  <c r="X80" i="50"/>
  <c r="O79" i="50"/>
  <c r="AW14" i="50"/>
  <c r="S55" i="50"/>
  <c r="W24" i="50"/>
  <c r="AI54" i="50"/>
  <c r="AQ60" i="50"/>
  <c r="BC26" i="50"/>
  <c r="AJ44" i="50"/>
  <c r="M24" i="50"/>
  <c r="BA64" i="50"/>
  <c r="T34" i="50"/>
  <c r="BA57" i="50"/>
  <c r="O26" i="50"/>
  <c r="AT76" i="50"/>
  <c r="AA13" i="50"/>
  <c r="AR22" i="50"/>
  <c r="Y58" i="50"/>
  <c r="AO20" i="50"/>
  <c r="R31" i="50"/>
  <c r="AO31" i="50"/>
  <c r="S65" i="50"/>
  <c r="R6" i="50"/>
  <c r="AS28" i="50"/>
  <c r="AU14" i="50"/>
  <c r="P80" i="50"/>
  <c r="AU79" i="50"/>
  <c r="AF15" i="50"/>
  <c r="AO10" i="50"/>
  <c r="AQ31" i="50"/>
  <c r="AJ13" i="50"/>
  <c r="AR53" i="50"/>
  <c r="M51" i="50"/>
  <c r="AZ62" i="50"/>
  <c r="AS57" i="50"/>
  <c r="L26" i="50"/>
  <c r="AN37" i="50"/>
  <c r="AX33" i="50"/>
  <c r="X25" i="50"/>
  <c r="S13" i="50"/>
  <c r="AF44" i="50"/>
  <c r="X61" i="50"/>
  <c r="AR68" i="50"/>
  <c r="AY25" i="50"/>
  <c r="BB12" i="50"/>
  <c r="AD44" i="50"/>
  <c r="AA75" i="50"/>
  <c r="AN16" i="50"/>
  <c r="AS67" i="50"/>
  <c r="BB36" i="50"/>
  <c r="AD37" i="50"/>
  <c r="Z9" i="50"/>
  <c r="AI58" i="50"/>
  <c r="AX58" i="50"/>
  <c r="P52" i="50"/>
  <c r="AZ50" i="50"/>
  <c r="AP32" i="50"/>
  <c r="S46" i="50"/>
  <c r="L66" i="50"/>
  <c r="AL48" i="50"/>
  <c r="S54" i="50"/>
  <c r="AG67" i="50"/>
  <c r="N27" i="50"/>
  <c r="AJ56" i="50"/>
  <c r="AS63" i="50"/>
  <c r="AI47" i="50"/>
  <c r="AC25" i="50"/>
  <c r="AM79" i="50"/>
  <c r="U13" i="50"/>
  <c r="AZ66" i="50"/>
  <c r="M65" i="50"/>
  <c r="AL18" i="50"/>
  <c r="P67" i="50"/>
  <c r="AH53" i="50"/>
  <c r="Y9" i="50"/>
  <c r="AQ23" i="50"/>
  <c r="AH46" i="50"/>
  <c r="R60" i="50"/>
  <c r="BB65" i="50"/>
  <c r="AH76" i="50"/>
  <c r="X74" i="50"/>
  <c r="AL65" i="50"/>
  <c r="W61" i="50"/>
  <c r="AA79" i="50"/>
  <c r="O52" i="50"/>
  <c r="V39" i="50"/>
  <c r="W35" i="50"/>
  <c r="AN42" i="50"/>
  <c r="AF24" i="50"/>
  <c r="BA66" i="50"/>
  <c r="AA66" i="50"/>
  <c r="AB78" i="50"/>
  <c r="AV59" i="50"/>
  <c r="AB43" i="50"/>
  <c r="AJ23" i="50"/>
  <c r="AA37" i="50"/>
  <c r="V73" i="50"/>
  <c r="AV61" i="50"/>
  <c r="O37" i="50"/>
  <c r="AF11" i="50"/>
  <c r="BC70" i="50"/>
  <c r="L29" i="50"/>
  <c r="AF20" i="50"/>
  <c r="AN32" i="50"/>
  <c r="Y27" i="50"/>
  <c r="AM10" i="50"/>
  <c r="AV25" i="50"/>
  <c r="Z54" i="50"/>
  <c r="O58" i="50"/>
  <c r="BB6" i="50"/>
  <c r="AM12" i="50"/>
  <c r="S72" i="50"/>
  <c r="AU31" i="50"/>
  <c r="AF41" i="50"/>
  <c r="AH37" i="50"/>
  <c r="Z25" i="50"/>
  <c r="AG23" i="50"/>
  <c r="AO45" i="50"/>
  <c r="L31" i="50"/>
  <c r="AY54" i="50"/>
  <c r="AD79" i="50"/>
  <c r="AI30" i="50"/>
  <c r="AE47" i="50"/>
  <c r="W75" i="50"/>
  <c r="T57" i="50"/>
  <c r="T78" i="50"/>
  <c r="U49" i="50"/>
  <c r="AK48" i="50"/>
  <c r="AJ6" i="50"/>
  <c r="R24" i="50"/>
  <c r="X45" i="50"/>
  <c r="AR62" i="50"/>
  <c r="AO26" i="50"/>
  <c r="AP22" i="50"/>
  <c r="AD10" i="50"/>
  <c r="AF66" i="50"/>
  <c r="BC13" i="50"/>
  <c r="AV65" i="50"/>
  <c r="AY8" i="50"/>
  <c r="BB21" i="50"/>
  <c r="BA52" i="50"/>
  <c r="AS55" i="50"/>
  <c r="AQ38" i="50"/>
  <c r="AV55" i="50"/>
  <c r="Y50" i="50"/>
  <c r="Y67" i="50"/>
  <c r="AZ77" i="50"/>
  <c r="AZ35" i="50"/>
  <c r="AA35" i="50"/>
  <c r="Q32" i="50"/>
  <c r="AY65" i="50"/>
  <c r="BB51" i="50"/>
  <c r="AC76" i="50"/>
  <c r="AC39" i="50"/>
  <c r="AB25" i="50"/>
  <c r="V54" i="50"/>
  <c r="V75" i="50"/>
  <c r="T75" i="50"/>
  <c r="AF46" i="50"/>
  <c r="L78" i="50"/>
  <c r="S44" i="50"/>
  <c r="AB60" i="50"/>
  <c r="AY40" i="50"/>
  <c r="S20" i="50"/>
  <c r="AX9" i="50"/>
  <c r="AG46" i="50"/>
  <c r="AT50" i="50"/>
  <c r="AK70" i="50"/>
  <c r="AJ34" i="50"/>
  <c r="AY29" i="50"/>
  <c r="AR67" i="50"/>
  <c r="V7" i="50"/>
  <c r="Y75" i="50"/>
  <c r="M76" i="50"/>
  <c r="AI21" i="50"/>
  <c r="L72" i="50"/>
  <c r="AC67" i="50"/>
  <c r="Q69" i="50"/>
  <c r="Q35" i="50"/>
  <c r="X44" i="50"/>
  <c r="AQ70" i="50"/>
  <c r="AF65" i="50"/>
  <c r="AP42" i="50"/>
  <c r="AA53" i="50"/>
  <c r="AZ75" i="50"/>
  <c r="AG20" i="50"/>
  <c r="AD18" i="50"/>
  <c r="V47" i="50"/>
  <c r="BA49" i="50"/>
  <c r="AO41" i="50"/>
  <c r="AO51" i="50"/>
  <c r="BB67" i="50"/>
  <c r="AH57" i="50"/>
  <c r="Y20" i="50"/>
  <c r="X8" i="50"/>
  <c r="AZ42" i="50"/>
  <c r="AU40" i="50"/>
  <c r="U27" i="50"/>
  <c r="BA27" i="50"/>
  <c r="R66" i="50"/>
  <c r="U18" i="50"/>
  <c r="N9" i="50"/>
  <c r="U33" i="50"/>
  <c r="AG57" i="50"/>
  <c r="AZ25" i="50"/>
  <c r="AB70" i="50"/>
  <c r="AW75" i="50"/>
  <c r="AX56" i="50"/>
  <c r="S70" i="50"/>
  <c r="AI68" i="50"/>
  <c r="AZ30" i="50"/>
  <c r="L44" i="50"/>
  <c r="AK17" i="50"/>
  <c r="AE60" i="50"/>
  <c r="AK18" i="50"/>
  <c r="AU38" i="50"/>
  <c r="AS26" i="50"/>
  <c r="AM57" i="50"/>
  <c r="AM15" i="50"/>
  <c r="BB13" i="50"/>
  <c r="AD8" i="50"/>
  <c r="AQ47" i="50"/>
  <c r="N34" i="50"/>
  <c r="AR59" i="50"/>
  <c r="Q34" i="50"/>
  <c r="O61" i="50"/>
  <c r="AW16" i="50"/>
  <c r="AM70" i="50"/>
  <c r="Y62" i="50"/>
  <c r="AP65" i="50"/>
  <c r="AZ73" i="50"/>
  <c r="Z30" i="50"/>
  <c r="Z24" i="50"/>
  <c r="AF76" i="50"/>
  <c r="AY49" i="50"/>
  <c r="U9" i="50"/>
  <c r="S77" i="50"/>
  <c r="AG36" i="50"/>
  <c r="Z57" i="50"/>
  <c r="U68" i="50"/>
  <c r="AO54" i="50"/>
  <c r="AX68" i="50"/>
  <c r="AR63" i="50"/>
  <c r="AV24" i="50"/>
  <c r="X14" i="50"/>
  <c r="L71" i="50"/>
  <c r="AF79" i="50"/>
  <c r="BB77" i="50"/>
  <c r="AF29" i="50"/>
  <c r="AG70" i="50"/>
  <c r="Z64" i="50"/>
  <c r="M17" i="50"/>
  <c r="R59" i="50"/>
  <c r="AU45" i="50"/>
  <c r="BB9" i="50"/>
  <c r="AL59" i="50"/>
  <c r="N54" i="50"/>
  <c r="AL5" i="50"/>
  <c r="S24" i="50"/>
  <c r="AW58" i="50"/>
  <c r="O23" i="50"/>
  <c r="AF59" i="50"/>
  <c r="BA6" i="50"/>
  <c r="P27" i="50"/>
  <c r="AD71" i="50"/>
  <c r="AQ75" i="50"/>
  <c r="AP71" i="50"/>
  <c r="AM14" i="50"/>
  <c r="AQ19" i="50"/>
  <c r="U58" i="50"/>
  <c r="AX77" i="50"/>
  <c r="AX23" i="50"/>
  <c r="L64" i="50"/>
  <c r="L60" i="50"/>
  <c r="AH15" i="50"/>
  <c r="AM69" i="50"/>
  <c r="X28" i="50"/>
  <c r="AY14" i="50"/>
  <c r="AP30" i="50"/>
  <c r="AS75" i="50"/>
  <c r="AJ52" i="50"/>
  <c r="AD59" i="50"/>
  <c r="X64" i="50"/>
  <c r="M59" i="50"/>
  <c r="AM50" i="50"/>
  <c r="AS30" i="50"/>
  <c r="AC74" i="50"/>
  <c r="O5" i="50"/>
  <c r="AB29" i="50"/>
  <c r="AG41" i="50"/>
  <c r="AL22" i="50"/>
  <c r="AE77" i="50"/>
  <c r="AW77" i="50"/>
  <c r="AM43" i="50"/>
  <c r="L47" i="50"/>
  <c r="AV62" i="50"/>
  <c r="L76" i="50"/>
  <c r="AL43" i="50"/>
  <c r="AQ5" i="50"/>
  <c r="AI29" i="50"/>
  <c r="Q77" i="50"/>
  <c r="AH24" i="50"/>
  <c r="AS51" i="50"/>
  <c r="AR12" i="50"/>
  <c r="Z33" i="50"/>
  <c r="BA15" i="50"/>
  <c r="BC74" i="50"/>
  <c r="R34" i="50"/>
  <c r="AS53" i="50"/>
  <c r="BC54" i="50"/>
  <c r="Q31" i="50"/>
  <c r="AX29" i="50"/>
  <c r="AQ57" i="50"/>
  <c r="AT44" i="50"/>
  <c r="U59" i="50"/>
  <c r="AV32" i="50"/>
  <c r="AA76" i="50"/>
  <c r="AY34" i="50"/>
  <c r="X20" i="50"/>
  <c r="AZ34" i="50"/>
  <c r="AH18" i="50"/>
  <c r="AN15" i="50"/>
  <c r="T60" i="50"/>
  <c r="R69" i="50"/>
  <c r="R45" i="50"/>
  <c r="AK46" i="50"/>
  <c r="AM56" i="50"/>
  <c r="AX60" i="50"/>
  <c r="AK19" i="50"/>
  <c r="Z53" i="50"/>
  <c r="M49" i="50"/>
  <c r="BB44" i="50"/>
  <c r="P58" i="50"/>
  <c r="Z79" i="50"/>
  <c r="R53" i="50"/>
  <c r="AE35" i="50"/>
  <c r="AH63" i="50"/>
  <c r="R18" i="50"/>
  <c r="L74" i="50"/>
  <c r="AQ8" i="50"/>
  <c r="AE40" i="50"/>
  <c r="T5" i="50"/>
  <c r="AW46" i="50"/>
  <c r="BC77" i="50"/>
  <c r="AC69" i="50"/>
  <c r="AG77" i="50"/>
  <c r="AU69" i="50"/>
  <c r="AW26" i="50"/>
  <c r="O54" i="50"/>
  <c r="AD34" i="50"/>
  <c r="AN79" i="50"/>
  <c r="N32" i="50"/>
  <c r="AY38" i="50"/>
  <c r="AN18" i="50"/>
  <c r="AQ51" i="50"/>
  <c r="Y11" i="50"/>
  <c r="AD12" i="50"/>
  <c r="S27" i="50"/>
  <c r="AD6" i="50"/>
  <c r="AZ72" i="50"/>
  <c r="V51" i="50"/>
  <c r="AO5" i="50"/>
  <c r="Y23" i="50"/>
  <c r="S67" i="50"/>
  <c r="AX54" i="50"/>
  <c r="L7" i="50"/>
  <c r="AQ21" i="50"/>
  <c r="AN20" i="50"/>
  <c r="R65" i="50"/>
  <c r="AC46" i="50"/>
  <c r="AM38" i="50"/>
  <c r="AE18" i="50"/>
  <c r="AD77" i="50"/>
  <c r="T66" i="50"/>
  <c r="AC17" i="50"/>
  <c r="AI19" i="50"/>
  <c r="S12" i="50"/>
  <c r="R28" i="50"/>
  <c r="AF49" i="50"/>
  <c r="AG33" i="50"/>
  <c r="BA28" i="50"/>
  <c r="R20" i="50"/>
  <c r="BB58" i="50"/>
  <c r="AF78" i="50"/>
  <c r="AI34" i="50"/>
  <c r="AP25" i="50"/>
  <c r="BA48" i="50"/>
  <c r="AU7" i="50"/>
  <c r="AN50" i="50"/>
  <c r="BC34" i="50"/>
  <c r="AK29" i="50"/>
  <c r="S69" i="50"/>
  <c r="R39" i="50"/>
  <c r="Q78" i="50"/>
  <c r="AV67" i="50"/>
  <c r="AX71" i="50"/>
  <c r="T28" i="50"/>
  <c r="T64" i="50"/>
  <c r="AP47" i="50"/>
  <c r="R17" i="50"/>
  <c r="R58" i="50"/>
  <c r="AN33" i="50"/>
  <c r="AT24" i="50"/>
  <c r="AO8" i="50"/>
  <c r="AQ48" i="50"/>
  <c r="AL53" i="50"/>
  <c r="BC25" i="50"/>
  <c r="O49" i="50"/>
  <c r="O44" i="50"/>
  <c r="AP73" i="50"/>
  <c r="AD25" i="50"/>
  <c r="AF71" i="50"/>
  <c r="Y6" i="50"/>
  <c r="AQ6" i="50"/>
  <c r="AI56" i="50"/>
  <c r="AT19" i="50"/>
  <c r="AT17" i="50"/>
  <c r="Z75" i="50"/>
  <c r="U35" i="50"/>
  <c r="BB72" i="50"/>
  <c r="AL70" i="50"/>
  <c r="AA12" i="50"/>
  <c r="W56" i="50"/>
  <c r="AD62" i="50"/>
  <c r="L18" i="50"/>
  <c r="W11" i="50"/>
  <c r="AH59" i="50"/>
  <c r="BB48" i="50"/>
  <c r="AZ47" i="50"/>
  <c r="BB8" i="50"/>
  <c r="AS12" i="50"/>
  <c r="AF16" i="50"/>
  <c r="AN78" i="50"/>
  <c r="Y63" i="50"/>
  <c r="AM28" i="50"/>
  <c r="N29" i="50"/>
  <c r="AP18" i="50"/>
  <c r="Q10" i="50"/>
  <c r="S47" i="50"/>
  <c r="Z80" i="50"/>
  <c r="L77" i="50"/>
  <c r="AD58" i="50"/>
  <c r="Y54" i="50"/>
  <c r="BA42" i="50"/>
  <c r="Q75" i="50"/>
  <c r="AV42" i="50"/>
  <c r="AN24" i="50"/>
  <c r="AY46" i="50"/>
  <c r="AU50" i="50"/>
  <c r="AV38" i="50"/>
  <c r="BB55" i="50"/>
  <c r="Z15" i="50"/>
  <c r="AZ33" i="50"/>
  <c r="AZ71" i="50"/>
  <c r="AV22" i="50"/>
  <c r="Q80" i="50"/>
  <c r="AI39" i="50"/>
  <c r="L55" i="50"/>
  <c r="BB40" i="50"/>
  <c r="P10" i="50"/>
  <c r="R43" i="50"/>
  <c r="AU49" i="50"/>
  <c r="M10" i="50"/>
  <c r="AZ53" i="50"/>
  <c r="AQ76" i="50"/>
  <c r="AK30" i="50"/>
  <c r="AP80" i="50"/>
  <c r="Y17" i="50"/>
  <c r="AM73" i="50"/>
  <c r="N15" i="50"/>
  <c r="AT35" i="50"/>
  <c r="AY7" i="50"/>
  <c r="Y35" i="50"/>
  <c r="N64" i="50"/>
  <c r="BC48" i="50"/>
  <c r="AR76" i="50"/>
  <c r="N70" i="50"/>
  <c r="AY43" i="50"/>
  <c r="AZ31" i="50"/>
  <c r="X49" i="50"/>
  <c r="X35" i="50"/>
  <c r="AB34" i="50"/>
  <c r="Z71" i="50"/>
  <c r="AM62" i="50"/>
  <c r="AO13" i="50"/>
  <c r="AH43" i="50"/>
  <c r="AF35" i="50"/>
  <c r="AW9" i="50"/>
  <c r="M33" i="50"/>
  <c r="AH5" i="50"/>
  <c r="AK25" i="50"/>
  <c r="AE61" i="50"/>
  <c r="R22" i="50"/>
  <c r="BC11" i="50"/>
  <c r="AL57" i="50"/>
  <c r="AC56" i="50"/>
  <c r="AL51" i="50"/>
  <c r="L48" i="50"/>
  <c r="Z11" i="50"/>
  <c r="U62" i="50"/>
  <c r="V77" i="50"/>
  <c r="AS9" i="50"/>
  <c r="AN65" i="50"/>
  <c r="AB40" i="50"/>
  <c r="Y79" i="50"/>
  <c r="BC69" i="50"/>
  <c r="L61" i="50"/>
  <c r="U52" i="50"/>
  <c r="AG71" i="50"/>
  <c r="X34" i="50"/>
  <c r="AO48" i="50"/>
  <c r="AW30" i="50"/>
  <c r="AC70" i="50"/>
  <c r="V58" i="50"/>
  <c r="M68" i="50"/>
  <c r="M32" i="50"/>
  <c r="BC28" i="50"/>
  <c r="O74" i="50"/>
  <c r="AK33" i="50"/>
  <c r="BC27" i="50"/>
  <c r="AA70" i="50"/>
  <c r="L54" i="50"/>
  <c r="AM48" i="50"/>
  <c r="AB61" i="50"/>
  <c r="Y28" i="50"/>
  <c r="AY39" i="50"/>
  <c r="AV27" i="50"/>
  <c r="AW73" i="50"/>
  <c r="M31" i="50"/>
  <c r="AP64" i="50"/>
  <c r="U51" i="50"/>
  <c r="O43" i="50"/>
  <c r="AI53" i="50"/>
  <c r="AC54" i="50"/>
  <c r="AD45" i="50"/>
  <c r="AY57" i="50"/>
  <c r="AM78" i="50"/>
  <c r="BA76" i="50"/>
  <c r="AS36" i="50"/>
  <c r="AD33" i="50"/>
  <c r="AU51" i="50"/>
  <c r="R30" i="50"/>
  <c r="BC21" i="50"/>
  <c r="AI79" i="50"/>
  <c r="AQ41" i="50"/>
  <c r="P73" i="50"/>
  <c r="AL50" i="50"/>
  <c r="AO68" i="50"/>
  <c r="AA25" i="50"/>
  <c r="BA29" i="50"/>
  <c r="AM80" i="50"/>
  <c r="AN59" i="50"/>
  <c r="U12" i="50"/>
  <c r="AX80" i="50"/>
  <c r="AF13" i="50"/>
  <c r="AW57" i="50"/>
  <c r="L17" i="50"/>
  <c r="M18" i="50"/>
  <c r="Z32" i="50"/>
  <c r="N11" i="50"/>
  <c r="AV76" i="50"/>
  <c r="T25" i="50"/>
  <c r="Y76" i="50"/>
  <c r="AC79" i="50"/>
  <c r="N24" i="50"/>
  <c r="O45" i="50"/>
  <c r="BB69" i="50"/>
  <c r="BA13" i="50"/>
  <c r="BB14" i="50"/>
  <c r="AH20" i="50"/>
  <c r="X70" i="50"/>
  <c r="AM46" i="50"/>
  <c r="AI72" i="50"/>
  <c r="AL28" i="50"/>
  <c r="O30" i="50"/>
  <c r="AK52" i="50"/>
  <c r="AK68" i="50"/>
  <c r="AN80" i="50"/>
  <c r="X38" i="50"/>
  <c r="AZ23" i="50"/>
  <c r="AQ58" i="50"/>
  <c r="T49" i="50"/>
  <c r="AC58" i="50"/>
  <c r="AJ39" i="50"/>
  <c r="AU76" i="50"/>
  <c r="AN72" i="50"/>
  <c r="Z38" i="50"/>
  <c r="AA49" i="50"/>
  <c r="AI55" i="50"/>
  <c r="AO56" i="50"/>
  <c r="Q25" i="50"/>
  <c r="AF40" i="50"/>
  <c r="AJ74" i="50"/>
  <c r="V70" i="50"/>
  <c r="V31" i="50"/>
  <c r="AC23" i="50"/>
  <c r="O47" i="50"/>
  <c r="AA74" i="50"/>
  <c r="AA64" i="50"/>
  <c r="AD76" i="50"/>
  <c r="W19" i="50"/>
  <c r="U63" i="50"/>
  <c r="AL71" i="50"/>
  <c r="AE50" i="50"/>
  <c r="AW41" i="50"/>
  <c r="AW50" i="50"/>
  <c r="AJ60" i="50"/>
  <c r="AB21" i="50"/>
  <c r="N28" i="50"/>
  <c r="AE75" i="50"/>
  <c r="AK31" i="50"/>
  <c r="AX65" i="50"/>
  <c r="AF5" i="50"/>
  <c r="AX52" i="50"/>
  <c r="S5" i="50"/>
  <c r="BC59" i="50"/>
  <c r="AO71" i="50"/>
  <c r="AO62" i="50"/>
  <c r="W17" i="50"/>
  <c r="AX8" i="50"/>
  <c r="R70" i="50"/>
  <c r="AU42" i="50"/>
  <c r="AA61" i="50"/>
  <c r="AI71" i="50"/>
  <c r="AB5" i="50"/>
  <c r="R40" i="50"/>
  <c r="AG65" i="50"/>
  <c r="AP23" i="50"/>
  <c r="BA41" i="50"/>
  <c r="W30" i="50"/>
  <c r="P50" i="50"/>
  <c r="AM61" i="50"/>
  <c r="BA14" i="50"/>
  <c r="AI44" i="50"/>
  <c r="L38" i="50"/>
  <c r="AU78" i="50"/>
  <c r="V30" i="50"/>
  <c r="Y21" i="50"/>
  <c r="BA72" i="50"/>
  <c r="AK24" i="50"/>
  <c r="AX66" i="50"/>
  <c r="AV33" i="50"/>
  <c r="AQ10" i="50"/>
  <c r="X62" i="50"/>
  <c r="V53" i="50"/>
  <c r="U64" i="50"/>
  <c r="BA73" i="50"/>
  <c r="W43" i="50"/>
  <c r="M57" i="50"/>
  <c r="AR9" i="50"/>
  <c r="AI6" i="50"/>
  <c r="U11" i="50"/>
  <c r="AC68" i="50"/>
  <c r="AR11" i="50"/>
  <c r="L25" i="50"/>
  <c r="X46" i="50"/>
  <c r="BC37" i="50"/>
  <c r="AZ10" i="50"/>
  <c r="V36" i="50"/>
  <c r="AZ59" i="50"/>
  <c r="X50" i="50"/>
  <c r="S60" i="50"/>
  <c r="BA54" i="50"/>
  <c r="AM74" i="50"/>
  <c r="AQ28" i="50"/>
  <c r="M6" i="50"/>
  <c r="AO49" i="50"/>
  <c r="AR56" i="50"/>
  <c r="AK59" i="50"/>
  <c r="BC60" i="50"/>
  <c r="AU5" i="50"/>
  <c r="P78" i="50"/>
  <c r="T35" i="50"/>
  <c r="M72" i="50"/>
  <c r="R41" i="50"/>
  <c r="AY53" i="50"/>
  <c r="AM24" i="50"/>
  <c r="T53" i="50"/>
  <c r="L57" i="50"/>
  <c r="P46" i="50"/>
  <c r="AR6" i="50"/>
  <c r="Q40" i="50"/>
  <c r="AM16" i="50"/>
  <c r="AY42" i="50"/>
  <c r="AN26" i="50"/>
  <c r="AN68" i="50"/>
  <c r="AW76" i="50"/>
  <c r="AZ39" i="50"/>
  <c r="T26" i="50"/>
  <c r="AS71" i="50"/>
  <c r="AE63" i="50"/>
  <c r="AI32" i="50"/>
  <c r="AL72" i="50"/>
  <c r="AF58" i="50"/>
  <c r="AA38" i="50"/>
  <c r="AR36" i="50"/>
  <c r="AE42" i="50"/>
  <c r="AR74" i="50"/>
  <c r="AF19" i="50"/>
  <c r="AX34" i="50"/>
  <c r="AD42" i="50"/>
  <c r="AT37" i="50"/>
  <c r="AP68" i="50"/>
  <c r="O46" i="50"/>
  <c r="Z74" i="50"/>
  <c r="AP69" i="50"/>
  <c r="M45" i="50"/>
  <c r="AJ55" i="50"/>
  <c r="Q57" i="50"/>
  <c r="AV54" i="50"/>
  <c r="AN17" i="50"/>
  <c r="AX39" i="50"/>
  <c r="X22" i="50"/>
  <c r="V56" i="50"/>
  <c r="BB73" i="50"/>
  <c r="Z7" i="50"/>
  <c r="AY59" i="50"/>
  <c r="AV23" i="50"/>
  <c r="AX10" i="50"/>
  <c r="AP55" i="50"/>
  <c r="AK77" i="50"/>
  <c r="V50" i="50"/>
  <c r="V55" i="50"/>
  <c r="AS38" i="50"/>
  <c r="AK36" i="50"/>
  <c r="AC59" i="50"/>
  <c r="AG60" i="50"/>
  <c r="AP9" i="50"/>
  <c r="AM47" i="50"/>
  <c r="BB33" i="50"/>
  <c r="AU32" i="50"/>
  <c r="T74" i="50"/>
  <c r="V10" i="50"/>
  <c r="X66" i="50"/>
  <c r="T36" i="50"/>
  <c r="S32" i="50"/>
  <c r="AN76" i="50"/>
  <c r="R5" i="50"/>
  <c r="AL76" i="50"/>
  <c r="BA59" i="50"/>
  <c r="AT64" i="50"/>
  <c r="AL33" i="50"/>
  <c r="AW71" i="50"/>
  <c r="M5" i="50"/>
  <c r="BC58" i="50"/>
  <c r="AD27" i="50"/>
  <c r="AS10" i="50"/>
  <c r="AL32" i="50"/>
  <c r="Y57" i="50"/>
  <c r="AF31" i="50"/>
  <c r="U78" i="50"/>
  <c r="AX70" i="50"/>
  <c r="AC6" i="50"/>
  <c r="AQ67" i="50"/>
  <c r="W15" i="50"/>
  <c r="M62" i="50"/>
  <c r="AB22" i="50"/>
  <c r="AA55" i="50"/>
  <c r="Q71" i="50"/>
  <c r="N49" i="50"/>
  <c r="BC52" i="50"/>
  <c r="AS65" i="50"/>
  <c r="AI63" i="50"/>
  <c r="BA40" i="50"/>
  <c r="AH62" i="50"/>
  <c r="AF72" i="50"/>
  <c r="AM11" i="50"/>
  <c r="AS25" i="50"/>
  <c r="BC67" i="50"/>
  <c r="AO33" i="50"/>
  <c r="AI8" i="50"/>
  <c r="AP67" i="50"/>
  <c r="T43" i="50"/>
  <c r="AJ79" i="50"/>
  <c r="AR20" i="50"/>
  <c r="X51" i="50"/>
  <c r="Q15" i="50"/>
  <c r="AJ19" i="50"/>
  <c r="S31" i="50"/>
  <c r="S58" i="50"/>
  <c r="BA22" i="50"/>
  <c r="BB46" i="50"/>
  <c r="T72" i="50"/>
  <c r="AA5" i="50"/>
  <c r="N33" i="50"/>
  <c r="W7" i="50"/>
  <c r="U66" i="50"/>
  <c r="AO17" i="50"/>
  <c r="AW44" i="50"/>
  <c r="AX50" i="50"/>
  <c r="P55" i="50"/>
  <c r="AV47" i="50"/>
  <c r="AB62" i="50"/>
  <c r="AI22" i="50"/>
  <c r="AY11" i="50"/>
  <c r="AA33" i="50"/>
  <c r="AO38" i="50"/>
  <c r="L28" i="50"/>
  <c r="Q61" i="50"/>
  <c r="Z13" i="50"/>
  <c r="AH52" i="50"/>
  <c r="AG24" i="50"/>
  <c r="P64" i="50"/>
  <c r="AH47" i="50"/>
  <c r="BB60" i="50"/>
  <c r="R23" i="50"/>
  <c r="Q64" i="50"/>
  <c r="AE10" i="50"/>
  <c r="AM29" i="50"/>
  <c r="P54" i="50"/>
  <c r="M36" i="50"/>
  <c r="AR30" i="50"/>
  <c r="AR80" i="50"/>
  <c r="AR50" i="50"/>
  <c r="AG53" i="50"/>
  <c r="P43" i="50"/>
  <c r="AE44" i="50"/>
  <c r="BC47" i="50"/>
  <c r="V42" i="50"/>
  <c r="AG76" i="50"/>
  <c r="AZ55" i="50"/>
  <c r="AZ61" i="50"/>
  <c r="N53" i="50"/>
  <c r="U74" i="50"/>
  <c r="Z56" i="50"/>
  <c r="U29" i="50"/>
  <c r="BC5" i="50"/>
  <c r="AW47" i="50"/>
  <c r="Y69" i="50"/>
  <c r="AI33" i="50"/>
  <c r="Y68" i="50"/>
  <c r="AH73" i="50"/>
  <c r="AM44" i="50"/>
  <c r="F80" i="50" l="1"/>
  <c r="AD24" i="4" s="1"/>
  <c r="AX6" i="5"/>
  <c r="AX7" i="5"/>
  <c r="AX8" i="5"/>
  <c r="AX9" i="5"/>
  <c r="AX10" i="5"/>
  <c r="AX11" i="5"/>
  <c r="AX12" i="5"/>
  <c r="AX13" i="5"/>
  <c r="AX14" i="5"/>
  <c r="AX15" i="5"/>
  <c r="AX16" i="5"/>
  <c r="AX17" i="5"/>
  <c r="AX18" i="5"/>
  <c r="AX19" i="5"/>
  <c r="AX20" i="5"/>
  <c r="AX21" i="5"/>
  <c r="AX22" i="5"/>
  <c r="AX23" i="5"/>
  <c r="AX24" i="5"/>
  <c r="AX5" i="5"/>
  <c r="AX4" i="5" l="1"/>
  <c r="G31" i="1" l="1"/>
  <c r="AX31" i="1" s="1"/>
  <c r="G32" i="1"/>
  <c r="AX32" i="1" s="1"/>
  <c r="G30" i="1"/>
  <c r="G23" i="4"/>
  <c r="G22" i="4"/>
  <c r="H22" i="4" s="1"/>
  <c r="AX22" i="4"/>
  <c r="AX23" i="4" l="1"/>
  <c r="H23" i="4"/>
  <c r="AX30" i="1"/>
  <c r="H30" i="1"/>
  <c r="M29" i="1"/>
  <c r="G29" i="1"/>
  <c r="AX29" i="1" s="1"/>
  <c r="H29" i="1" l="1"/>
  <c r="AW4" i="1"/>
  <c r="D4" i="5" l="1"/>
  <c r="H1" i="95" l="1"/>
  <c r="AX21" i="4" l="1"/>
  <c r="D56" i="50"/>
  <c r="AU4" i="50"/>
  <c r="AZ4" i="50"/>
  <c r="AP4" i="50"/>
  <c r="AQ4" i="50"/>
  <c r="AR4" i="50"/>
  <c r="AY4" i="50"/>
  <c r="AS4" i="50"/>
  <c r="BC4" i="50"/>
  <c r="BB4" i="50"/>
  <c r="AT4" i="50"/>
  <c r="AX4" i="50"/>
  <c r="AW4" i="50"/>
  <c r="AV4" i="50"/>
  <c r="BA4" i="50"/>
  <c r="F73" i="50" l="1"/>
  <c r="AD6" i="150" s="1"/>
  <c r="F78" i="50"/>
  <c r="AD11" i="150" s="1"/>
  <c r="F71" i="50"/>
  <c r="AD23" i="4" s="1"/>
  <c r="F74" i="50"/>
  <c r="AD7" i="150" s="1"/>
  <c r="F79" i="50"/>
  <c r="AD12" i="150" s="1"/>
  <c r="F72" i="50"/>
  <c r="AD5" i="150" s="1"/>
  <c r="F76" i="50"/>
  <c r="AD9" i="150" s="1"/>
  <c r="F77" i="50"/>
  <c r="AD10" i="150" s="1"/>
  <c r="F75" i="50"/>
  <c r="AD8" i="150" s="1"/>
  <c r="AX20" i="4"/>
  <c r="H20" i="4"/>
  <c r="H21" i="4"/>
  <c r="M20" i="4"/>
  <c r="M21" i="4"/>
  <c r="AD4" i="150" l="1"/>
  <c r="Z4" i="150"/>
  <c r="Q4" i="4"/>
  <c r="Q4" i="5"/>
  <c r="R3" i="8" l="1"/>
  <c r="R4" i="8"/>
  <c r="R7" i="8"/>
  <c r="R8" i="8"/>
  <c r="R9" i="8"/>
  <c r="R10" i="8"/>
  <c r="R11" i="8"/>
  <c r="R12" i="8"/>
  <c r="R13" i="8"/>
  <c r="R14" i="8"/>
  <c r="R15" i="8"/>
  <c r="R16" i="8"/>
  <c r="R17" i="8"/>
  <c r="R18" i="8"/>
  <c r="R19" i="8"/>
  <c r="R20" i="8"/>
  <c r="R21" i="8"/>
  <c r="R22" i="8"/>
  <c r="R23" i="8"/>
  <c r="R24" i="8"/>
  <c r="R25" i="8"/>
  <c r="R26" i="8"/>
  <c r="R27" i="8"/>
  <c r="R28" i="8"/>
  <c r="R29" i="8"/>
  <c r="R30" i="8"/>
  <c r="R31" i="8"/>
  <c r="R2" i="8"/>
  <c r="D43" i="50"/>
  <c r="R1" i="8" l="1"/>
  <c r="AX19" i="4"/>
  <c r="H19" i="4"/>
  <c r="G18" i="4"/>
  <c r="M19" i="4"/>
  <c r="D1" i="95" l="1"/>
  <c r="AX6" i="4"/>
  <c r="AX7" i="4"/>
  <c r="AX8" i="4"/>
  <c r="AX9" i="4"/>
  <c r="AX10" i="4"/>
  <c r="AX13" i="4"/>
  <c r="AX14" i="4"/>
  <c r="AX15" i="4"/>
  <c r="AX16" i="4"/>
  <c r="AX17" i="4"/>
  <c r="AX5" i="4"/>
  <c r="AX18" i="4" l="1"/>
  <c r="G12" i="4"/>
  <c r="AX12" i="4" s="1"/>
  <c r="AX11" i="4"/>
  <c r="AX4" i="4" s="1"/>
  <c r="U4" i="150" l="1"/>
  <c r="M27" i="1"/>
  <c r="M28" i="1"/>
  <c r="G27" i="1"/>
  <c r="G28" i="1"/>
  <c r="M26" i="1"/>
  <c r="G26" i="1"/>
  <c r="E4" i="4"/>
  <c r="E4" i="1"/>
  <c r="M25" i="1"/>
  <c r="M24" i="1"/>
  <c r="G6" i="1"/>
  <c r="G7" i="1"/>
  <c r="G8" i="1"/>
  <c r="G9" i="1"/>
  <c r="G10" i="1"/>
  <c r="G11" i="1"/>
  <c r="G12" i="1"/>
  <c r="G13" i="1"/>
  <c r="G14" i="1"/>
  <c r="G15" i="1"/>
  <c r="G16" i="1"/>
  <c r="G17" i="1"/>
  <c r="G18" i="1"/>
  <c r="G19" i="1"/>
  <c r="G20" i="1"/>
  <c r="G21" i="1"/>
  <c r="G22" i="1"/>
  <c r="G23" i="1"/>
  <c r="AX23" i="1" s="1"/>
  <c r="G24" i="1"/>
  <c r="H24" i="1" s="1"/>
  <c r="G25" i="1"/>
  <c r="G5" i="1"/>
  <c r="M23" i="1"/>
  <c r="H2" i="95"/>
  <c r="H23" i="1" l="1"/>
  <c r="H28" i="1"/>
  <c r="AX28" i="1"/>
  <c r="H25" i="1"/>
  <c r="AX25" i="1"/>
  <c r="H26" i="1"/>
  <c r="AX26" i="1"/>
  <c r="H27" i="1"/>
  <c r="AX27" i="1"/>
  <c r="AX24" i="1"/>
  <c r="L24" i="5" l="1"/>
  <c r="L23" i="5"/>
  <c r="G23" i="5"/>
  <c r="G24" i="5" l="1"/>
  <c r="D9" i="50" l="1"/>
  <c r="D10" i="50"/>
  <c r="D11" i="50"/>
  <c r="D12" i="50"/>
  <c r="D13" i="50"/>
  <c r="D14" i="50"/>
  <c r="D15" i="50"/>
  <c r="D16" i="50"/>
  <c r="D17" i="50"/>
  <c r="D18" i="50"/>
  <c r="D19" i="50"/>
  <c r="D20" i="50"/>
  <c r="D21" i="50"/>
  <c r="D22" i="50"/>
  <c r="D23" i="50"/>
  <c r="D24" i="50"/>
  <c r="D25" i="50"/>
  <c r="D26" i="50"/>
  <c r="D27" i="50"/>
  <c r="D28" i="50"/>
  <c r="D29" i="50"/>
  <c r="D30" i="50"/>
  <c r="D31" i="50"/>
  <c r="D32" i="50"/>
  <c r="D33" i="50"/>
  <c r="D34" i="50"/>
  <c r="D35" i="50"/>
  <c r="D36" i="50"/>
  <c r="D37" i="50"/>
  <c r="D38" i="50"/>
  <c r="D39" i="50"/>
  <c r="D40" i="50"/>
  <c r="D41" i="50"/>
  <c r="D42" i="50"/>
  <c r="D44" i="50"/>
  <c r="D45" i="50"/>
  <c r="D46" i="50"/>
  <c r="D47" i="50"/>
  <c r="D48" i="50"/>
  <c r="D49" i="50"/>
  <c r="D50" i="50"/>
  <c r="D51" i="50"/>
  <c r="D52" i="50"/>
  <c r="D53" i="50"/>
  <c r="D54" i="50"/>
  <c r="D55" i="50"/>
  <c r="D8" i="50"/>
  <c r="L19" i="5"/>
  <c r="L18" i="5"/>
  <c r="L17" i="5"/>
  <c r="L16" i="5"/>
  <c r="L15" i="5"/>
  <c r="L14" i="5"/>
  <c r="L13" i="5"/>
  <c r="L12" i="5"/>
  <c r="L11" i="5"/>
  <c r="L10" i="5"/>
  <c r="L9" i="5"/>
  <c r="L8" i="5"/>
  <c r="L7" i="5"/>
  <c r="L6" i="5"/>
  <c r="F2" i="4"/>
  <c r="M18" i="4"/>
  <c r="H18" i="4"/>
  <c r="M21" i="1"/>
  <c r="M22" i="1"/>
  <c r="AX6" i="1" l="1"/>
  <c r="AX7" i="1"/>
  <c r="AX8" i="1"/>
  <c r="AX9" i="1"/>
  <c r="AX10" i="1"/>
  <c r="AX11" i="1"/>
  <c r="AX12" i="1"/>
  <c r="AX13" i="1"/>
  <c r="AX14" i="1"/>
  <c r="AX15" i="1"/>
  <c r="AX16" i="1"/>
  <c r="AX17" i="1"/>
  <c r="AX18" i="1"/>
  <c r="AX19" i="1"/>
  <c r="AX20" i="1"/>
  <c r="AX21" i="1"/>
  <c r="AX22" i="1"/>
  <c r="AX5" i="1"/>
  <c r="AX4" i="1" l="1"/>
  <c r="P4" i="1"/>
  <c r="F4" i="4"/>
  <c r="P4" i="4"/>
  <c r="P4" i="5"/>
  <c r="E4" i="5"/>
  <c r="F4" i="1" l="1"/>
  <c r="H5" i="1"/>
  <c r="H22" i="1"/>
  <c r="H21" i="1"/>
  <c r="I7" i="9" l="1"/>
  <c r="H20" i="1" l="1"/>
  <c r="M20" i="1"/>
  <c r="F2" i="76" l="1"/>
  <c r="K2" i="76" s="1"/>
  <c r="D2" i="76"/>
  <c r="G2" i="76" l="1"/>
  <c r="I2" i="76" s="1"/>
  <c r="E2" i="76"/>
  <c r="C8" i="9" l="1"/>
  <c r="C9" i="9" l="1"/>
  <c r="G9" i="9" s="1"/>
  <c r="D12" i="4"/>
  <c r="C10" i="9" l="1"/>
  <c r="G10" i="9" s="1"/>
  <c r="C11" i="9" l="1"/>
  <c r="G11" i="9" s="1"/>
  <c r="D7" i="4"/>
  <c r="D8" i="4"/>
  <c r="D9" i="4"/>
  <c r="D10" i="4"/>
  <c r="D13" i="4"/>
  <c r="D14" i="4"/>
  <c r="D15" i="4"/>
  <c r="D16" i="4"/>
  <c r="D17" i="4"/>
  <c r="D5" i="4"/>
  <c r="M6" i="1"/>
  <c r="M7" i="1"/>
  <c r="M8" i="1"/>
  <c r="M9" i="1"/>
  <c r="M10" i="1"/>
  <c r="M11" i="1"/>
  <c r="M12" i="1"/>
  <c r="M13" i="1"/>
  <c r="M14" i="1"/>
  <c r="M15" i="1"/>
  <c r="M16" i="1"/>
  <c r="M17" i="1"/>
  <c r="M18" i="1"/>
  <c r="M19" i="1"/>
  <c r="M5" i="1"/>
  <c r="H6" i="1"/>
  <c r="H7" i="1"/>
  <c r="H8" i="1"/>
  <c r="H9" i="1"/>
  <c r="H10" i="1"/>
  <c r="H11" i="1"/>
  <c r="H12" i="1"/>
  <c r="H13" i="1"/>
  <c r="H14" i="1"/>
  <c r="H15" i="1"/>
  <c r="H16" i="1"/>
  <c r="H17" i="1"/>
  <c r="H18" i="1"/>
  <c r="H19" i="1"/>
  <c r="H4" i="1" l="1"/>
  <c r="M4" i="1"/>
  <c r="C12" i="9"/>
  <c r="G12" i="9" s="1"/>
  <c r="G9" i="5"/>
  <c r="G6" i="5"/>
  <c r="G20" i="5"/>
  <c r="L20" i="5"/>
  <c r="G21" i="5"/>
  <c r="L21" i="5"/>
  <c r="G22" i="5"/>
  <c r="L22" i="5"/>
  <c r="G19" i="5"/>
  <c r="G18" i="5"/>
  <c r="G17" i="5"/>
  <c r="G16" i="5"/>
  <c r="G15" i="5"/>
  <c r="G14" i="5"/>
  <c r="G13" i="5"/>
  <c r="G12" i="5"/>
  <c r="G11" i="5"/>
  <c r="G10" i="5"/>
  <c r="G8" i="5"/>
  <c r="G7" i="5"/>
  <c r="L5" i="5"/>
  <c r="G5" i="5"/>
  <c r="J2" i="5"/>
  <c r="M17" i="4"/>
  <c r="H17" i="4"/>
  <c r="M16" i="4"/>
  <c r="H16" i="4"/>
  <c r="M15" i="4"/>
  <c r="H15" i="4"/>
  <c r="M14" i="4"/>
  <c r="H14" i="4"/>
  <c r="M13" i="4"/>
  <c r="H13" i="4"/>
  <c r="M12" i="4"/>
  <c r="M11" i="4"/>
  <c r="H11" i="4"/>
  <c r="M10" i="4"/>
  <c r="H10" i="4"/>
  <c r="M9" i="4"/>
  <c r="H9" i="4"/>
  <c r="M8" i="4"/>
  <c r="H8" i="4"/>
  <c r="M7" i="4"/>
  <c r="H7" i="4"/>
  <c r="M6" i="4"/>
  <c r="H6" i="4"/>
  <c r="M5" i="4"/>
  <c r="M4" i="4" s="1"/>
  <c r="H5" i="4"/>
  <c r="K2" i="1"/>
  <c r="I29" i="1" l="1"/>
  <c r="J29" i="1" s="1"/>
  <c r="G68" i="50" s="1"/>
  <c r="I30" i="1"/>
  <c r="J30" i="1" s="1"/>
  <c r="G69" i="50" s="1"/>
  <c r="I25" i="1"/>
  <c r="J25" i="1" s="1"/>
  <c r="G62" i="50" s="1"/>
  <c r="I24" i="1"/>
  <c r="J24" i="1" s="1"/>
  <c r="G61" i="50" s="1"/>
  <c r="I27" i="1"/>
  <c r="J27" i="1" s="1"/>
  <c r="G64" i="50" s="1"/>
  <c r="I23" i="1"/>
  <c r="J23" i="1" s="1"/>
  <c r="G60" i="50" s="1"/>
  <c r="I28" i="1"/>
  <c r="J28" i="1" s="1"/>
  <c r="G65" i="50" s="1"/>
  <c r="I26" i="1"/>
  <c r="J26" i="1" s="1"/>
  <c r="G63" i="50" s="1"/>
  <c r="C13" i="9"/>
  <c r="L4" i="5"/>
  <c r="G4" i="5"/>
  <c r="H24" i="5" s="1"/>
  <c r="I5" i="1"/>
  <c r="G13" i="9" l="1"/>
  <c r="C14" i="9"/>
  <c r="G14" i="9" s="1"/>
  <c r="I24" i="5"/>
  <c r="K27" i="1"/>
  <c r="K26" i="1"/>
  <c r="K24" i="1"/>
  <c r="K28" i="1"/>
  <c r="K25" i="1"/>
  <c r="K23" i="1"/>
  <c r="K29" i="1"/>
  <c r="K30" i="1"/>
  <c r="H16" i="5"/>
  <c r="H23" i="5"/>
  <c r="J5" i="1"/>
  <c r="G9" i="50" s="1"/>
  <c r="I22" i="1"/>
  <c r="J22" i="1" s="1"/>
  <c r="G54" i="50" s="1"/>
  <c r="I21" i="1"/>
  <c r="J21" i="1" s="1"/>
  <c r="G53" i="50" s="1"/>
  <c r="I20" i="1"/>
  <c r="J20" i="1" s="1"/>
  <c r="K20" i="1" s="1"/>
  <c r="H9" i="5"/>
  <c r="H6" i="5"/>
  <c r="H20" i="5"/>
  <c r="H22" i="5"/>
  <c r="H21" i="5"/>
  <c r="H17" i="5"/>
  <c r="H13" i="5"/>
  <c r="H8" i="5"/>
  <c r="H14" i="5"/>
  <c r="H10" i="5"/>
  <c r="H18" i="5"/>
  <c r="H7" i="5"/>
  <c r="H5" i="5"/>
  <c r="H19" i="5"/>
  <c r="H15" i="5"/>
  <c r="H11" i="5"/>
  <c r="H12" i="5"/>
  <c r="I16" i="1"/>
  <c r="J16" i="1" s="1"/>
  <c r="G27" i="50" s="1"/>
  <c r="I8" i="1"/>
  <c r="J8" i="1" s="1"/>
  <c r="G24" i="50" s="1"/>
  <c r="I14" i="1"/>
  <c r="J14" i="1" s="1"/>
  <c r="G35" i="50" s="1"/>
  <c r="I13" i="1"/>
  <c r="J13" i="1" s="1"/>
  <c r="G25" i="50" s="1"/>
  <c r="I17" i="1"/>
  <c r="J17" i="1" s="1"/>
  <c r="G26" i="50" s="1"/>
  <c r="I10" i="1"/>
  <c r="J10" i="1" s="1"/>
  <c r="G17" i="50" s="1"/>
  <c r="I18" i="1"/>
  <c r="J18" i="1" s="1"/>
  <c r="G28" i="50" s="1"/>
  <c r="I12" i="1"/>
  <c r="J12" i="1" s="1"/>
  <c r="G30" i="50" s="1"/>
  <c r="I15" i="1"/>
  <c r="J15" i="1" s="1"/>
  <c r="G32" i="50" s="1"/>
  <c r="I11" i="1"/>
  <c r="J11" i="1" s="1"/>
  <c r="G29" i="50" s="1"/>
  <c r="I6" i="1"/>
  <c r="J6" i="1" s="1"/>
  <c r="G10" i="50" s="1"/>
  <c r="I9" i="1"/>
  <c r="J9" i="1" s="1"/>
  <c r="G23" i="50" s="1"/>
  <c r="I7" i="1"/>
  <c r="J7" i="1" s="1"/>
  <c r="G11" i="50" s="1"/>
  <c r="I19" i="1"/>
  <c r="J19" i="1" s="1"/>
  <c r="G34" i="50" s="1"/>
  <c r="J24" i="5" l="1"/>
  <c r="I12" i="5"/>
  <c r="I11" i="5"/>
  <c r="I15" i="5"/>
  <c r="I19" i="5"/>
  <c r="I5" i="5"/>
  <c r="I7" i="5"/>
  <c r="I18" i="5"/>
  <c r="I10" i="5"/>
  <c r="I14" i="5"/>
  <c r="I8" i="5"/>
  <c r="I13" i="5"/>
  <c r="I17" i="5"/>
  <c r="I21" i="5"/>
  <c r="I22" i="5"/>
  <c r="I20" i="5"/>
  <c r="I6" i="5"/>
  <c r="I9" i="5"/>
  <c r="J9" i="5" s="1"/>
  <c r="I23" i="5"/>
  <c r="I16" i="5"/>
  <c r="K15" i="1"/>
  <c r="K22" i="1"/>
  <c r="K7" i="1"/>
  <c r="K17" i="1"/>
  <c r="K16" i="1"/>
  <c r="K6" i="1"/>
  <c r="K18" i="1"/>
  <c r="K14" i="1"/>
  <c r="K19" i="1"/>
  <c r="K11" i="1"/>
  <c r="K10" i="1"/>
  <c r="K8" i="1"/>
  <c r="K21" i="1"/>
  <c r="K9" i="1"/>
  <c r="K12" i="1"/>
  <c r="K13" i="1"/>
  <c r="K5" i="1"/>
  <c r="C15" i="9"/>
  <c r="G15" i="9" l="1"/>
  <c r="J17" i="5"/>
  <c r="J20" i="5"/>
  <c r="J13" i="5"/>
  <c r="J18" i="5"/>
  <c r="J23" i="5"/>
  <c r="J22" i="5"/>
  <c r="J8" i="5"/>
  <c r="J7" i="5"/>
  <c r="J11" i="5"/>
  <c r="J21" i="5"/>
  <c r="J14" i="5"/>
  <c r="J5" i="5"/>
  <c r="J12" i="5"/>
  <c r="J6" i="5"/>
  <c r="J10" i="5"/>
  <c r="J19" i="5"/>
  <c r="J16" i="5"/>
  <c r="J15" i="5"/>
  <c r="J4" i="5"/>
  <c r="K2" i="5" s="1"/>
  <c r="K4" i="1"/>
  <c r="M2" i="1" s="1"/>
  <c r="C16" i="9"/>
  <c r="G16" i="9" s="1"/>
  <c r="L2" i="5" l="1"/>
  <c r="L2" i="1"/>
  <c r="C17" i="9"/>
  <c r="G17" i="9" s="1"/>
  <c r="H12" i="4"/>
  <c r="H4" i="4" s="1"/>
  <c r="I24" i="4" s="1"/>
  <c r="J24" i="4" s="1"/>
  <c r="G80" i="50" s="1"/>
  <c r="K24" i="4" l="1"/>
  <c r="C18" i="9"/>
  <c r="G18" i="9" s="1"/>
  <c r="H80" i="50" l="1"/>
  <c r="J80" i="50"/>
  <c r="I23" i="4"/>
  <c r="J23" i="4" s="1"/>
  <c r="G71" i="50" s="1"/>
  <c r="I22" i="4"/>
  <c r="J22" i="4" s="1"/>
  <c r="G70" i="50" s="1"/>
  <c r="I20" i="4"/>
  <c r="J20" i="4" s="1"/>
  <c r="G56" i="50" s="1"/>
  <c r="I21" i="4"/>
  <c r="J21" i="4" s="1"/>
  <c r="G67" i="50" s="1"/>
  <c r="I19" i="4"/>
  <c r="J19" i="4" s="1"/>
  <c r="G66" i="50" s="1"/>
  <c r="I10" i="4"/>
  <c r="J10" i="4" s="1"/>
  <c r="G15" i="50" s="1"/>
  <c r="I17" i="4"/>
  <c r="J17" i="4" s="1"/>
  <c r="G18" i="50" s="1"/>
  <c r="I11" i="4"/>
  <c r="J11" i="4" s="1"/>
  <c r="G31" i="50" s="1"/>
  <c r="I6" i="4"/>
  <c r="J6" i="4" s="1"/>
  <c r="G8" i="50" s="1"/>
  <c r="I16" i="4"/>
  <c r="J16" i="4" s="1"/>
  <c r="G20" i="50" s="1"/>
  <c r="I5" i="4"/>
  <c r="J5" i="4" s="1"/>
  <c r="G16" i="50" s="1"/>
  <c r="I12" i="4"/>
  <c r="J12" i="4" s="1"/>
  <c r="G14" i="50" s="1"/>
  <c r="I9" i="4"/>
  <c r="J9" i="4" s="1"/>
  <c r="G13" i="50" s="1"/>
  <c r="I7" i="4"/>
  <c r="J7" i="4" s="1"/>
  <c r="G12" i="50" s="1"/>
  <c r="I13" i="4"/>
  <c r="J13" i="4" s="1"/>
  <c r="G19" i="50" s="1"/>
  <c r="I8" i="4"/>
  <c r="J8" i="4" s="1"/>
  <c r="G33" i="50" s="1"/>
  <c r="I15" i="4"/>
  <c r="J15" i="4" s="1"/>
  <c r="G22" i="50" s="1"/>
  <c r="I18" i="4"/>
  <c r="J18" i="4" s="1"/>
  <c r="G57" i="50" s="1"/>
  <c r="I14" i="4"/>
  <c r="J14" i="4" s="1"/>
  <c r="G21" i="50" s="1"/>
  <c r="C19" i="9"/>
  <c r="G19" i="9" s="1"/>
  <c r="J71" i="50" l="1"/>
  <c r="H71" i="50"/>
  <c r="K8" i="4"/>
  <c r="K12" i="4"/>
  <c r="K11" i="4"/>
  <c r="K21" i="4"/>
  <c r="K14" i="4"/>
  <c r="K13" i="4"/>
  <c r="K5" i="4"/>
  <c r="K17" i="4"/>
  <c r="K20" i="4"/>
  <c r="K7" i="4"/>
  <c r="K16" i="4"/>
  <c r="K10" i="4"/>
  <c r="K22" i="4"/>
  <c r="K15" i="4"/>
  <c r="K9" i="4"/>
  <c r="K6" i="4"/>
  <c r="K19" i="4"/>
  <c r="K23" i="4"/>
  <c r="K18" i="4"/>
  <c r="C20" i="9"/>
  <c r="G20" i="9" s="1"/>
  <c r="K4" i="4" l="1"/>
  <c r="C21" i="9"/>
  <c r="G21" i="9" s="1"/>
  <c r="C22" i="9" l="1"/>
  <c r="G22" i="9" s="1"/>
  <c r="C23" i="9" l="1"/>
  <c r="G23" i="9" s="1"/>
  <c r="C24" i="9" l="1"/>
  <c r="G24" i="9" s="1"/>
  <c r="C25" i="9" l="1"/>
  <c r="G25" i="9" s="1"/>
  <c r="C26" i="9" l="1"/>
  <c r="G26" i="9" s="1"/>
  <c r="C27" i="9" l="1"/>
  <c r="G27" i="9" s="1"/>
  <c r="C28" i="9" l="1"/>
  <c r="G28" i="9" s="1"/>
  <c r="C29" i="9" l="1"/>
  <c r="G29" i="9" s="1"/>
  <c r="C30" i="9" l="1"/>
  <c r="G30" i="9" s="1"/>
  <c r="C31" i="9" l="1"/>
  <c r="G31" i="9" s="1"/>
  <c r="C32" i="9" l="1"/>
  <c r="G32" i="9" s="1"/>
  <c r="C33" i="9" l="1"/>
  <c r="G33" i="9" s="1"/>
  <c r="C34" i="9" l="1"/>
  <c r="G34" i="9" s="1"/>
  <c r="C35" i="9" l="1"/>
  <c r="G35" i="9" s="1"/>
  <c r="C36" i="9" l="1"/>
  <c r="G36" i="9" s="1"/>
  <c r="C37" i="9" l="1"/>
  <c r="G37" i="9" l="1"/>
  <c r="H37" i="9" s="1"/>
  <c r="G38" i="9"/>
  <c r="H8" i="9"/>
  <c r="H33" i="9"/>
  <c r="H34" i="9"/>
  <c r="H28" i="9"/>
  <c r="H27" i="9"/>
  <c r="H29" i="9"/>
  <c r="H35" i="9"/>
  <c r="H31" i="9"/>
  <c r="H9" i="9" l="1"/>
  <c r="H10" i="9" s="1"/>
  <c r="H30" i="9"/>
  <c r="H36" i="9" s="1"/>
  <c r="H11" i="9" l="1"/>
  <c r="H12" i="9" l="1"/>
  <c r="H13" i="9" s="1"/>
  <c r="H14" i="9" s="1"/>
  <c r="H32" i="9"/>
  <c r="Q4" i="1" l="1"/>
  <c r="H15" i="9" l="1"/>
  <c r="H16" i="9" s="1"/>
  <c r="H17" i="9" s="1"/>
  <c r="H18" i="9" l="1"/>
  <c r="H19" i="9" l="1"/>
  <c r="H20" i="9" s="1"/>
  <c r="H22" i="9" s="1"/>
  <c r="H21" i="9" l="1"/>
  <c r="H38" i="9" s="1"/>
  <c r="H23" i="9" l="1"/>
  <c r="H24" i="9" s="1"/>
  <c r="H25" i="9" s="1"/>
  <c r="H26" i="9" s="1"/>
  <c r="AQ4" i="1" l="1"/>
  <c r="AQ4" i="5"/>
  <c r="AF4" i="137"/>
  <c r="AI4" i="137"/>
  <c r="AG4" i="137"/>
  <c r="AE4" i="137"/>
  <c r="AH4" i="137"/>
  <c r="AQ4" i="137"/>
  <c r="AQ4" i="4"/>
  <c r="AI4" i="150"/>
  <c r="AG4" i="1" l="1"/>
  <c r="AH4" i="1"/>
  <c r="AF4" i="1"/>
  <c r="AE4" i="1"/>
  <c r="AF4" i="4"/>
  <c r="AG4" i="4"/>
  <c r="AH4" i="4"/>
  <c r="AE4" i="4"/>
  <c r="AG4" i="5"/>
  <c r="AH4" i="5"/>
  <c r="AF4" i="5"/>
  <c r="AE4" i="5"/>
  <c r="AI4" i="5"/>
  <c r="AI4" i="1"/>
  <c r="AI4" i="4"/>
  <c r="G5" i="150" l="1"/>
  <c r="AX4" i="150" s="1"/>
  <c r="U4" i="137" l="1"/>
  <c r="U4" i="5"/>
  <c r="U4" i="1"/>
  <c r="U4" i="4"/>
  <c r="H5" i="150"/>
  <c r="H4" i="150" l="1"/>
  <c r="I5" i="150" s="1"/>
  <c r="I7" i="150" l="1"/>
  <c r="J7" i="150" s="1"/>
  <c r="G74" i="50" s="1"/>
  <c r="J74" i="50" s="1"/>
  <c r="I9" i="150"/>
  <c r="J9" i="150" s="1"/>
  <c r="G76" i="50" s="1"/>
  <c r="I10" i="150"/>
  <c r="J10" i="150" s="1"/>
  <c r="G77" i="50" s="1"/>
  <c r="J77" i="50" s="1"/>
  <c r="I8" i="150"/>
  <c r="J8" i="150" s="1"/>
  <c r="G75" i="50" s="1"/>
  <c r="I12" i="150"/>
  <c r="J12" i="150" s="1"/>
  <c r="G79" i="50" s="1"/>
  <c r="J79" i="50" s="1"/>
  <c r="I6" i="150"/>
  <c r="J6" i="150" s="1"/>
  <c r="G73" i="50" s="1"/>
  <c r="H73" i="50" s="1"/>
  <c r="I11" i="150"/>
  <c r="J11" i="150" s="1"/>
  <c r="G78" i="50" s="1"/>
  <c r="J78" i="50" s="1"/>
  <c r="J76" i="50"/>
  <c r="H76" i="50"/>
  <c r="H75" i="50"/>
  <c r="J75" i="50"/>
  <c r="K6" i="150"/>
  <c r="K7" i="150"/>
  <c r="K9" i="150"/>
  <c r="K8" i="150"/>
  <c r="K11" i="150"/>
  <c r="K10" i="150"/>
  <c r="H79" i="50" l="1"/>
  <c r="H74" i="50"/>
  <c r="J73" i="50"/>
  <c r="H78" i="50"/>
  <c r="K12" i="150"/>
  <c r="H77" i="50"/>
  <c r="AU4" i="137"/>
  <c r="T4" i="4" l="1"/>
  <c r="T4" i="1"/>
  <c r="T4" i="5"/>
  <c r="T4" i="150"/>
  <c r="T4" i="137"/>
  <c r="S4" i="1"/>
  <c r="S4" i="137"/>
  <c r="S4" i="150"/>
  <c r="S4" i="4"/>
  <c r="S4" i="5"/>
  <c r="R4" i="1"/>
  <c r="R4" i="150"/>
  <c r="R4" i="4"/>
  <c r="R4" i="5"/>
  <c r="R4" i="137"/>
  <c r="AV4" i="137"/>
  <c r="AV4" i="1"/>
  <c r="AV4" i="4"/>
  <c r="AV4" i="5"/>
  <c r="AV4" i="150"/>
  <c r="AU4" i="150"/>
  <c r="AU4" i="4"/>
  <c r="AU4" i="5"/>
  <c r="AU4" i="1"/>
  <c r="AT4" i="137"/>
  <c r="AT4" i="150"/>
  <c r="AT4" i="5"/>
  <c r="AT4" i="4"/>
  <c r="AT4" i="1"/>
  <c r="AS4" i="137"/>
  <c r="AS4" i="4"/>
  <c r="AS4" i="5"/>
  <c r="AS4" i="1"/>
  <c r="AS4" i="150"/>
  <c r="AR4" i="137"/>
  <c r="AR4" i="150"/>
  <c r="AR4" i="5"/>
  <c r="AR4" i="4"/>
  <c r="AR4" i="1"/>
  <c r="AP4" i="137"/>
  <c r="AP4" i="4"/>
  <c r="AP4" i="150"/>
  <c r="AP4" i="5"/>
  <c r="AP4" i="1"/>
  <c r="AO4" i="137"/>
  <c r="AO4" i="5"/>
  <c r="AO4" i="1"/>
  <c r="AO4" i="4"/>
  <c r="AO4" i="150"/>
  <c r="AN4" i="5"/>
  <c r="AN4" i="1"/>
  <c r="AN4" i="4"/>
  <c r="AN4" i="137"/>
  <c r="AN4" i="150"/>
  <c r="AM4" i="150"/>
  <c r="AM4" i="137"/>
  <c r="AM4" i="5"/>
  <c r="AM4" i="1"/>
  <c r="AM4" i="4"/>
  <c r="AL4" i="150"/>
  <c r="AL4" i="1"/>
  <c r="AL4" i="137"/>
  <c r="AL4" i="4"/>
  <c r="AL4" i="5"/>
  <c r="AK4" i="137"/>
  <c r="AK4" i="5"/>
  <c r="AK4" i="1"/>
  <c r="AK4" i="4"/>
  <c r="AK4" i="150"/>
  <c r="AJ4" i="5"/>
  <c r="AJ4" i="1"/>
  <c r="AJ4" i="137"/>
  <c r="AJ4" i="4"/>
  <c r="AJ4" i="150"/>
  <c r="N4" i="50"/>
  <c r="AH4" i="50"/>
  <c r="AG4" i="50"/>
  <c r="AA4" i="50"/>
  <c r="O4" i="50"/>
  <c r="R4" i="50"/>
  <c r="L5" i="50"/>
  <c r="AC4" i="50"/>
  <c r="P4" i="50"/>
  <c r="M4" i="50"/>
  <c r="L8" i="50"/>
  <c r="AL4" i="50"/>
  <c r="U4" i="50"/>
  <c r="W4" i="50"/>
  <c r="AK4" i="50"/>
  <c r="V4" i="50"/>
  <c r="T4" i="50"/>
  <c r="Y4" i="50"/>
  <c r="AI4" i="50"/>
  <c r="AE4" i="50"/>
  <c r="S4" i="50"/>
  <c r="AF4" i="50"/>
  <c r="AN4" i="50"/>
  <c r="AO4" i="50"/>
  <c r="L4" i="50"/>
  <c r="AB4" i="50"/>
  <c r="Q4" i="50"/>
  <c r="AD4" i="50"/>
  <c r="X4" i="50"/>
  <c r="AM4" i="50"/>
  <c r="AJ4" i="50"/>
  <c r="Z4" i="50"/>
  <c r="K4" i="50" l="1"/>
  <c r="X4" i="150"/>
  <c r="F66" i="50"/>
  <c r="AD19" i="4" s="1"/>
  <c r="F5" i="50"/>
  <c r="AD5" i="137" s="1"/>
  <c r="F38" i="50"/>
  <c r="AD16" i="5" s="1"/>
  <c r="F60" i="50"/>
  <c r="AD23" i="1" s="1"/>
  <c r="F34" i="50"/>
  <c r="AD19" i="1" s="1"/>
  <c r="F17" i="50"/>
  <c r="AD10" i="1" s="1"/>
  <c r="F33" i="50"/>
  <c r="AD8" i="4" s="1"/>
  <c r="F30" i="50"/>
  <c r="AD12" i="1" s="1"/>
  <c r="F9" i="50"/>
  <c r="AD5" i="1" s="1"/>
  <c r="F16" i="50"/>
  <c r="AD5" i="4" s="1"/>
  <c r="F23" i="50"/>
  <c r="AD9" i="1" s="1"/>
  <c r="F10" i="50"/>
  <c r="AD6" i="1" s="1"/>
  <c r="F32" i="50"/>
  <c r="AD15" i="1" s="1"/>
  <c r="F49" i="50"/>
  <c r="AD7" i="5" s="1"/>
  <c r="F25" i="50"/>
  <c r="AD13" i="1" s="1"/>
  <c r="F63" i="50"/>
  <c r="AD26" i="1" s="1"/>
  <c r="F20" i="50"/>
  <c r="AD16" i="4" s="1"/>
  <c r="F8" i="50"/>
  <c r="AD6" i="4" s="1"/>
  <c r="F14" i="50"/>
  <c r="AD12" i="4" s="1"/>
  <c r="F24" i="50"/>
  <c r="AD8" i="1" s="1"/>
  <c r="F7" i="50"/>
  <c r="AD7" i="137" s="1"/>
  <c r="F18" i="50"/>
  <c r="AD17" i="4" s="1"/>
  <c r="F65" i="50"/>
  <c r="AD28" i="1" s="1"/>
  <c r="F12" i="50"/>
  <c r="AD7" i="4" s="1"/>
  <c r="F26" i="50"/>
  <c r="AD17" i="1" s="1"/>
  <c r="F69" i="50"/>
  <c r="AD30" i="1" s="1"/>
  <c r="F50" i="50"/>
  <c r="AD6" i="5" s="1"/>
  <c r="F47" i="50"/>
  <c r="AD22" i="5" s="1"/>
  <c r="F11" i="50"/>
  <c r="AD7" i="1" s="1"/>
  <c r="F41" i="50"/>
  <c r="AD14" i="5" s="1"/>
  <c r="F51" i="50"/>
  <c r="AD5" i="5" s="1"/>
  <c r="F43" i="50"/>
  <c r="AD18" i="5" s="1"/>
  <c r="F13" i="50"/>
  <c r="AD9" i="4" s="1"/>
  <c r="F58" i="50"/>
  <c r="AD23" i="5" s="1"/>
  <c r="F52" i="50"/>
  <c r="AD21" i="5" s="1"/>
  <c r="F29" i="50"/>
  <c r="AD11" i="1" s="1"/>
  <c r="F67" i="50"/>
  <c r="AD21" i="4" s="1"/>
  <c r="F46" i="50"/>
  <c r="AD17" i="5" s="1"/>
  <c r="F56" i="50"/>
  <c r="AD20" i="4" s="1"/>
  <c r="F55" i="50"/>
  <c r="AD8" i="137" s="1"/>
  <c r="F19" i="50"/>
  <c r="AD13" i="4" s="1"/>
  <c r="F21" i="50"/>
  <c r="AD14" i="4" s="1"/>
  <c r="F39" i="50"/>
  <c r="AD12" i="5" s="1"/>
  <c r="F62" i="50"/>
  <c r="AD25" i="1" s="1"/>
  <c r="F45" i="50"/>
  <c r="AD20" i="5" s="1"/>
  <c r="F6" i="50"/>
  <c r="AD6" i="137" s="1"/>
  <c r="F53" i="50"/>
  <c r="AD21" i="1" s="1"/>
  <c r="F64" i="50"/>
  <c r="AD27" i="1" s="1"/>
  <c r="F15" i="50"/>
  <c r="AD10" i="4" s="1"/>
  <c r="F61" i="50"/>
  <c r="AD24" i="1" s="1"/>
  <c r="F68" i="50"/>
  <c r="AD29" i="1" s="1"/>
  <c r="F22" i="50"/>
  <c r="AD15" i="4" s="1"/>
  <c r="F31" i="50"/>
  <c r="AD11" i="4" s="1"/>
  <c r="F37" i="50"/>
  <c r="AD11" i="5" s="1"/>
  <c r="F42" i="50"/>
  <c r="AD15" i="5" s="1"/>
  <c r="F40" i="50"/>
  <c r="AD13" i="5" s="1"/>
  <c r="F57" i="50"/>
  <c r="AD18" i="4" s="1"/>
  <c r="F44" i="50"/>
  <c r="AD19" i="5" s="1"/>
  <c r="F36" i="50"/>
  <c r="AD10" i="5" s="1"/>
  <c r="F28" i="50"/>
  <c r="AD18" i="1" s="1"/>
  <c r="F48" i="50"/>
  <c r="AD8" i="5" s="1"/>
  <c r="F27" i="50"/>
  <c r="AD16" i="1" s="1"/>
  <c r="F70" i="50"/>
  <c r="AD22" i="4" s="1"/>
  <c r="F35" i="50"/>
  <c r="AD14" i="1" s="1"/>
  <c r="F54" i="50"/>
  <c r="AD22" i="1" s="1"/>
  <c r="F59" i="50"/>
  <c r="AD24" i="5" s="1"/>
  <c r="W4" i="5"/>
  <c r="W4" i="150"/>
  <c r="W4" i="4"/>
  <c r="W4" i="1"/>
  <c r="W4" i="137"/>
  <c r="V4" i="137"/>
  <c r="V4" i="150"/>
  <c r="V4" i="4"/>
  <c r="V4" i="5"/>
  <c r="V4" i="1"/>
  <c r="AD4" i="1" l="1"/>
  <c r="AD4" i="4"/>
  <c r="AD4" i="5"/>
  <c r="AD4" i="137"/>
  <c r="F4" i="50"/>
  <c r="J5" i="50"/>
  <c r="Z4" i="137"/>
  <c r="Z4" i="1"/>
  <c r="Z4" i="4"/>
  <c r="Z4" i="5"/>
  <c r="J26" i="50"/>
  <c r="J24" i="50"/>
  <c r="J63" i="50"/>
  <c r="J35" i="50"/>
  <c r="J64" i="50"/>
  <c r="J68" i="50"/>
  <c r="J53" i="50"/>
  <c r="J27" i="50"/>
  <c r="J61" i="50"/>
  <c r="J69" i="50"/>
  <c r="J18" i="50"/>
  <c r="J15" i="50"/>
  <c r="J19" i="50"/>
  <c r="J67" i="50"/>
  <c r="J13" i="50"/>
  <c r="J20" i="50"/>
  <c r="J70" i="50"/>
  <c r="J56" i="50"/>
  <c r="J14" i="50"/>
  <c r="J33" i="50"/>
  <c r="J21" i="50"/>
  <c r="J41" i="50"/>
  <c r="J49" i="50"/>
  <c r="J48" i="50"/>
  <c r="J45" i="50"/>
  <c r="J36" i="50"/>
  <c r="J59" i="50"/>
  <c r="J44" i="50"/>
  <c r="J37" i="50"/>
  <c r="J43" i="50"/>
  <c r="J47" i="50"/>
  <c r="J52" i="50"/>
  <c r="J51" i="50"/>
  <c r="H6" i="50"/>
  <c r="J55" i="50"/>
  <c r="J6" i="50"/>
  <c r="H46" i="50"/>
  <c r="J46" i="50"/>
  <c r="H58" i="50"/>
  <c r="J58" i="50"/>
  <c r="H8" i="50"/>
  <c r="J8" i="50"/>
  <c r="H16" i="50"/>
  <c r="J16" i="50"/>
  <c r="H17" i="50"/>
  <c r="J17" i="50"/>
  <c r="H54" i="50"/>
  <c r="J54" i="50"/>
  <c r="H57" i="50"/>
  <c r="J57" i="50"/>
  <c r="H31" i="50"/>
  <c r="J31" i="50"/>
  <c r="H11" i="50"/>
  <c r="J11" i="50"/>
  <c r="H7" i="50"/>
  <c r="J7" i="50"/>
  <c r="H32" i="50"/>
  <c r="J32" i="50"/>
  <c r="H9" i="50"/>
  <c r="J9" i="50"/>
  <c r="H34" i="50"/>
  <c r="J34" i="50"/>
  <c r="H66" i="50"/>
  <c r="J66" i="50"/>
  <c r="H28" i="50"/>
  <c r="J28" i="50"/>
  <c r="H40" i="50"/>
  <c r="J40" i="50"/>
  <c r="H22" i="50"/>
  <c r="J22" i="50"/>
  <c r="H62" i="50"/>
  <c r="J62" i="50"/>
  <c r="H29" i="50"/>
  <c r="J29" i="50"/>
  <c r="H12" i="50"/>
  <c r="J12" i="50"/>
  <c r="H10" i="50"/>
  <c r="J10" i="50"/>
  <c r="H30" i="50"/>
  <c r="J30" i="50"/>
  <c r="H60" i="50"/>
  <c r="J60" i="50"/>
  <c r="H42" i="50"/>
  <c r="J42" i="50"/>
  <c r="H39" i="50"/>
  <c r="J39" i="50"/>
  <c r="H50" i="50"/>
  <c r="J50" i="50"/>
  <c r="H65" i="50"/>
  <c r="J65" i="50"/>
  <c r="H25" i="50"/>
  <c r="J25" i="50"/>
  <c r="H23" i="50"/>
  <c r="J23" i="50"/>
  <c r="H38" i="50"/>
  <c r="J38" i="50"/>
  <c r="H59" i="50"/>
  <c r="H27" i="50"/>
  <c r="H44" i="50"/>
  <c r="H37" i="50"/>
  <c r="H61" i="50"/>
  <c r="H21" i="50"/>
  <c r="H41" i="50"/>
  <c r="H69" i="50"/>
  <c r="H18" i="50"/>
  <c r="H49" i="50"/>
  <c r="H48" i="50"/>
  <c r="H15" i="50"/>
  <c r="H45" i="50"/>
  <c r="H19" i="50"/>
  <c r="H67" i="50"/>
  <c r="H13" i="50"/>
  <c r="H26" i="50"/>
  <c r="H20" i="50"/>
  <c r="H35" i="50"/>
  <c r="H64" i="50"/>
  <c r="H55" i="50"/>
  <c r="H43" i="50"/>
  <c r="H47" i="50"/>
  <c r="H24" i="50"/>
  <c r="H63" i="50"/>
  <c r="H70" i="50"/>
  <c r="H36" i="50"/>
  <c r="H68" i="50"/>
  <c r="H53" i="50"/>
  <c r="H56" i="50"/>
  <c r="H52" i="50"/>
  <c r="H51" i="50"/>
  <c r="H14" i="50"/>
  <c r="H33" i="50"/>
  <c r="H5" i="50"/>
  <c r="P4" i="137"/>
  <c r="X4" i="137" l="1"/>
  <c r="X4" i="5"/>
  <c r="X4" i="4"/>
  <c r="X4" i="1"/>
  <c r="J5" i="150"/>
  <c r="G72" i="50" s="1"/>
  <c r="K5" i="150" l="1"/>
  <c r="K4" i="150" s="1"/>
  <c r="L2" i="150" s="1"/>
  <c r="B1" i="50" l="1"/>
  <c r="H3" i="95"/>
  <c r="I1" i="95" s="1"/>
  <c r="I3" i="95" s="1"/>
  <c r="M2" i="150"/>
  <c r="O32" i="1"/>
  <c r="A32" i="1" s="1"/>
  <c r="H72" i="50"/>
  <c r="H4" i="50" s="1"/>
  <c r="J72" i="50"/>
  <c r="J4" i="50" s="1"/>
  <c r="O31" i="1"/>
  <c r="A31" i="1" s="1"/>
  <c r="AC4" i="5" l="1"/>
  <c r="AC4" i="150"/>
  <c r="AC4" i="4"/>
  <c r="AC4" i="137"/>
  <c r="AC4" i="1"/>
  <c r="AB4" i="137"/>
  <c r="AB4" i="1"/>
  <c r="AB4" i="4"/>
  <c r="AB4" i="5"/>
  <c r="AB4" i="150"/>
  <c r="I4" i="50"/>
  <c r="AA4" i="150"/>
  <c r="AA4" i="137"/>
  <c r="AA4" i="5"/>
  <c r="AA4" i="1"/>
  <c r="AA4" i="4"/>
  <c r="K11" i="50"/>
  <c r="N18" i="5"/>
  <c r="A18" i="5" s="1"/>
  <c r="M18" i="5"/>
  <c r="N14" i="4"/>
  <c r="O14" i="4"/>
  <c r="A14" i="4" s="1"/>
  <c r="Y4" i="1"/>
  <c r="O5" i="1"/>
  <c r="N5" i="1"/>
  <c r="N9" i="5"/>
  <c r="A9" i="5" s="1"/>
  <c r="M9" i="5"/>
  <c r="M11" i="5"/>
  <c r="N11" i="5"/>
  <c r="A11" i="5" s="1"/>
  <c r="N22" i="4"/>
  <c r="O22" i="4"/>
  <c r="A22" i="4" s="1"/>
  <c r="O7" i="1"/>
  <c r="A7" i="1" s="1"/>
  <c r="N7" i="1"/>
  <c r="M24" i="5"/>
  <c r="N24" i="5"/>
  <c r="A24" i="5" s="1"/>
  <c r="N29" i="1"/>
  <c r="O29" i="1"/>
  <c r="A29" i="1" s="1"/>
  <c r="M13" i="5"/>
  <c r="N13" i="5"/>
  <c r="A13" i="5" s="1"/>
  <c r="M23" i="5"/>
  <c r="N23" i="5"/>
  <c r="A23" i="5" s="1"/>
  <c r="O9" i="4"/>
  <c r="A9" i="4" s="1"/>
  <c r="N9" i="4"/>
  <c r="N16" i="1"/>
  <c r="O16" i="1"/>
  <c r="A16" i="1" s="1"/>
  <c r="N13" i="4"/>
  <c r="O13" i="4"/>
  <c r="A13" i="4" s="1"/>
  <c r="O19" i="1"/>
  <c r="A19" i="1" s="1"/>
  <c r="N19" i="1"/>
  <c r="O15" i="1"/>
  <c r="A15" i="1" s="1"/>
  <c r="N15" i="1"/>
  <c r="N12" i="150"/>
  <c r="O12" i="150"/>
  <c r="A12" i="150" s="1"/>
  <c r="O8" i="1"/>
  <c r="A8" i="1" s="1"/>
  <c r="N8" i="1"/>
  <c r="N6" i="137"/>
  <c r="O6" i="137"/>
  <c r="A6" i="137" s="1"/>
  <c r="M17" i="5"/>
  <c r="N17" i="5"/>
  <c r="A17" i="5" s="1"/>
  <c r="Y4" i="5"/>
  <c r="M5" i="5"/>
  <c r="N5" i="5"/>
  <c r="Y4" i="150"/>
  <c r="N5" i="150"/>
  <c r="O5" i="150"/>
  <c r="N19" i="5"/>
  <c r="A19" i="5" s="1"/>
  <c r="M19" i="5"/>
  <c r="M6" i="5"/>
  <c r="N6" i="5"/>
  <c r="A6" i="5" s="1"/>
  <c r="N18" i="1"/>
  <c r="O18" i="1"/>
  <c r="A18" i="1" s="1"/>
  <c r="O10" i="4"/>
  <c r="A10" i="4" s="1"/>
  <c r="N10" i="4"/>
  <c r="O17" i="1"/>
  <c r="A17" i="1" s="1"/>
  <c r="N17" i="1"/>
  <c r="M21" i="5"/>
  <c r="N21" i="5"/>
  <c r="A21" i="5" s="1"/>
  <c r="N24" i="4"/>
  <c r="O24" i="4"/>
  <c r="A24" i="4" s="1"/>
  <c r="O6" i="4"/>
  <c r="A6" i="4" s="1"/>
  <c r="N6" i="4"/>
  <c r="M14" i="5"/>
  <c r="N14" i="5"/>
  <c r="A14" i="5" s="1"/>
  <c r="N20" i="5"/>
  <c r="A20" i="5" s="1"/>
  <c r="M20" i="5"/>
  <c r="M7" i="5"/>
  <c r="N7" i="5"/>
  <c r="A7" i="5" s="1"/>
  <c r="N11" i="150"/>
  <c r="O11" i="150"/>
  <c r="A11" i="150" s="1"/>
  <c r="N27" i="1"/>
  <c r="O27" i="1"/>
  <c r="A27" i="1" s="1"/>
  <c r="N6" i="1"/>
  <c r="O6" i="1"/>
  <c r="A6" i="1" s="1"/>
  <c r="N6" i="150"/>
  <c r="O6" i="150"/>
  <c r="A6" i="150" s="1"/>
  <c r="N8" i="137"/>
  <c r="O8" i="137"/>
  <c r="A8" i="137" s="1"/>
  <c r="O19" i="4"/>
  <c r="A19" i="4" s="1"/>
  <c r="N19" i="4"/>
  <c r="O18" i="4"/>
  <c r="A18" i="4" s="1"/>
  <c r="N18" i="4"/>
  <c r="N8" i="150"/>
  <c r="O8" i="150"/>
  <c r="A8" i="150" s="1"/>
  <c r="N12" i="4"/>
  <c r="O12" i="4"/>
  <c r="A12" i="4" s="1"/>
  <c r="N26" i="1"/>
  <c r="O26" i="1"/>
  <c r="A26" i="1" s="1"/>
  <c r="N16" i="4"/>
  <c r="O16" i="4"/>
  <c r="A16" i="4" s="1"/>
  <c r="Y4" i="137"/>
  <c r="N5" i="137"/>
  <c r="O5" i="137"/>
  <c r="N7" i="150"/>
  <c r="O7" i="150"/>
  <c r="A7" i="150" s="1"/>
  <c r="N28" i="1"/>
  <c r="O28" i="1"/>
  <c r="A28" i="1" s="1"/>
  <c r="M22" i="5"/>
  <c r="N22" i="5"/>
  <c r="A22" i="5" s="1"/>
  <c r="N10" i="150"/>
  <c r="O10" i="150"/>
  <c r="A10" i="150" s="1"/>
  <c r="N24" i="1"/>
  <c r="O24" i="1"/>
  <c r="A24" i="1" s="1"/>
  <c r="N7" i="137"/>
  <c r="O7" i="137"/>
  <c r="A7" i="137" s="1"/>
  <c r="O7" i="4"/>
  <c r="A7" i="4" s="1"/>
  <c r="N7" i="4"/>
  <c r="N11" i="1"/>
  <c r="O11" i="1"/>
  <c r="A11" i="1" s="1"/>
  <c r="N21" i="1"/>
  <c r="O21" i="1"/>
  <c r="A21" i="1" s="1"/>
  <c r="N20" i="1"/>
  <c r="O20" i="1"/>
  <c r="A20" i="1" s="1"/>
  <c r="N8" i="5"/>
  <c r="A8" i="5" s="1"/>
  <c r="M8" i="5"/>
  <c r="O14" i="1"/>
  <c r="A14" i="1" s="1"/>
  <c r="N14" i="1"/>
  <c r="Y4" i="4"/>
  <c r="O5" i="4"/>
  <c r="N5" i="4"/>
  <c r="O20" i="4"/>
  <c r="A20" i="4" s="1"/>
  <c r="N20" i="4"/>
  <c r="N10" i="1"/>
  <c r="O10" i="1"/>
  <c r="A10" i="1" s="1"/>
  <c r="N11" i="4"/>
  <c r="O11" i="4"/>
  <c r="A11" i="4" s="1"/>
  <c r="N12" i="1"/>
  <c r="O12" i="1"/>
  <c r="A12" i="1" s="1"/>
  <c r="N21" i="4"/>
  <c r="O21" i="4"/>
  <c r="A21" i="4" s="1"/>
  <c r="N30" i="1"/>
  <c r="O30" i="1"/>
  <c r="A30" i="1" s="1"/>
  <c r="O25" i="1"/>
  <c r="A25" i="1" s="1"/>
  <c r="N25" i="1"/>
  <c r="N15" i="5"/>
  <c r="A15" i="5" s="1"/>
  <c r="M15" i="5"/>
  <c r="N23" i="1"/>
  <c r="O23" i="1"/>
  <c r="A23" i="1" s="1"/>
  <c r="N12" i="5"/>
  <c r="A12" i="5" s="1"/>
  <c r="M12" i="5"/>
  <c r="M10" i="5"/>
  <c r="N10" i="5"/>
  <c r="A10" i="5" s="1"/>
  <c r="O13" i="1"/>
  <c r="A13" i="1" s="1"/>
  <c r="N13" i="1"/>
  <c r="N9" i="150"/>
  <c r="O9" i="150"/>
  <c r="A9" i="150" s="1"/>
  <c r="N23" i="4"/>
  <c r="O23" i="4"/>
  <c r="A23" i="4" s="1"/>
  <c r="M16" i="5"/>
  <c r="N16" i="5"/>
  <c r="A16" i="5" s="1"/>
  <c r="O22" i="1"/>
  <c r="A22" i="1" s="1"/>
  <c r="N22" i="1"/>
  <c r="O15" i="4"/>
  <c r="A15" i="4" s="1"/>
  <c r="N15" i="4"/>
  <c r="N9" i="1"/>
  <c r="O9" i="1"/>
  <c r="A9" i="1" s="1"/>
  <c r="N8" i="4"/>
  <c r="O8" i="4"/>
  <c r="A8" i="4" s="1"/>
  <c r="N17" i="4"/>
  <c r="O17" i="4"/>
  <c r="A17" i="4" s="1"/>
  <c r="A5" i="4" l="1"/>
  <c r="A4" i="4" s="1"/>
  <c r="O4" i="4"/>
  <c r="N4" i="5"/>
  <c r="A5" i="5"/>
  <c r="A4" i="5" s="1"/>
  <c r="O4" i="150"/>
  <c r="A5" i="150"/>
  <c r="A4" i="150" s="1"/>
  <c r="M4" i="5"/>
  <c r="N4" i="1"/>
  <c r="O4" i="137"/>
  <c r="A5" i="137"/>
  <c r="A4" i="137" s="1"/>
  <c r="N4" i="150"/>
  <c r="A5" i="1"/>
  <c r="A4" i="1" s="1"/>
  <c r="O4" i="1"/>
  <c r="N4" i="4"/>
  <c r="N4" i="137"/>
  <c r="C1" i="50" l="1"/>
  <c r="D1" i="50"/>
  <c r="I4" i="95"/>
  <c r="I5" i="95" s="1"/>
  <c r="E1" i="50"/>
  <c r="A1" i="50"/>
</calcChain>
</file>

<file path=xl/comments1.xml><?xml version="1.0" encoding="utf-8"?>
<comments xmlns="http://schemas.openxmlformats.org/spreadsheetml/2006/main">
  <authors>
    <author>Windows User</author>
  </authors>
  <commentList>
    <comment ref="P9" authorId="0" shapeId="0">
      <text>
        <r>
          <rPr>
            <b/>
            <sz val="9"/>
            <color indexed="81"/>
            <rFont val="Tahoma"/>
            <family val="2"/>
          </rPr>
          <t>Windows User:</t>
        </r>
        <r>
          <rPr>
            <sz val="9"/>
            <color indexed="81"/>
            <rFont val="Tahoma"/>
            <family val="2"/>
          </rPr>
          <t xml:space="preserve">
Quà Tết Móm 
</t>
        </r>
      </text>
    </comment>
    <comment ref="P15" authorId="0" shapeId="0">
      <text>
        <r>
          <rPr>
            <b/>
            <sz val="9"/>
            <color indexed="81"/>
            <rFont val="Tahoma"/>
            <family val="2"/>
          </rPr>
          <t>Windows User:</t>
        </r>
        <r>
          <rPr>
            <sz val="9"/>
            <color indexed="81"/>
            <rFont val="Tahoma"/>
            <family val="2"/>
          </rPr>
          <t xml:space="preserve">
XM Phú</t>
        </r>
      </text>
    </comment>
    <comment ref="O20" authorId="0" shapeId="0">
      <text>
        <r>
          <rPr>
            <b/>
            <sz val="9"/>
            <color indexed="81"/>
            <rFont val="Tahoma"/>
            <family val="2"/>
          </rPr>
          <t>Windows User:</t>
        </r>
        <r>
          <rPr>
            <sz val="9"/>
            <color indexed="81"/>
            <rFont val="Tahoma"/>
            <family val="2"/>
          </rPr>
          <t xml:space="preserve">
Xì</t>
        </r>
      </text>
    </comment>
    <comment ref="P23" authorId="0" shapeId="0">
      <text>
        <r>
          <rPr>
            <b/>
            <sz val="9"/>
            <color indexed="81"/>
            <rFont val="Tahoma"/>
            <family val="2"/>
          </rPr>
          <t>Windows User:</t>
        </r>
        <r>
          <rPr>
            <sz val="9"/>
            <color indexed="81"/>
            <rFont val="Tahoma"/>
            <family val="2"/>
          </rPr>
          <t xml:space="preserve">
Ba lấy ăn</t>
        </r>
      </text>
    </comment>
  </commentList>
</comments>
</file>

<file path=xl/comments2.xml><?xml version="1.0" encoding="utf-8"?>
<comments xmlns="http://schemas.openxmlformats.org/spreadsheetml/2006/main">
  <authors>
    <author>Windows User</author>
  </authors>
  <commentList>
    <comment ref="P7" authorId="0" shapeId="0">
      <text>
        <r>
          <rPr>
            <b/>
            <sz val="9"/>
            <color indexed="81"/>
            <rFont val="Tahoma"/>
            <family val="2"/>
          </rPr>
          <t>Windows User:</t>
        </r>
        <r>
          <rPr>
            <sz val="9"/>
            <color indexed="81"/>
            <rFont val="Tahoma"/>
            <family val="2"/>
          </rPr>
          <t xml:space="preserve">
chưa rõ</t>
        </r>
      </text>
    </comment>
    <comment ref="P8" authorId="0" shapeId="0">
      <text>
        <r>
          <rPr>
            <b/>
            <sz val="9"/>
            <color indexed="81"/>
            <rFont val="Tahoma"/>
            <family val="2"/>
          </rPr>
          <t>Windows User:</t>
        </r>
        <r>
          <rPr>
            <sz val="9"/>
            <color indexed="81"/>
            <rFont val="Tahoma"/>
            <family val="2"/>
          </rPr>
          <t xml:space="preserve">
chưa rõ
</t>
        </r>
      </text>
    </comment>
    <comment ref="P9" authorId="0" shapeId="0">
      <text>
        <r>
          <rPr>
            <b/>
            <sz val="9"/>
            <color indexed="81"/>
            <rFont val="Tahoma"/>
            <family val="2"/>
          </rPr>
          <t>Windows User:</t>
        </r>
        <r>
          <rPr>
            <sz val="9"/>
            <color indexed="81"/>
            <rFont val="Tahoma"/>
            <family val="2"/>
          </rPr>
          <t xml:space="preserve">
chưa rõ</t>
        </r>
      </text>
    </comment>
  </commentList>
</comments>
</file>

<file path=xl/comments3.xml><?xml version="1.0" encoding="utf-8"?>
<comments xmlns="http://schemas.openxmlformats.org/spreadsheetml/2006/main">
  <authors>
    <author>Windows User</author>
  </authors>
  <commentList>
    <comment ref="P5" authorId="0" shapeId="0">
      <text>
        <r>
          <rPr>
            <b/>
            <sz val="9"/>
            <color indexed="81"/>
            <rFont val="Tahoma"/>
            <family val="2"/>
          </rPr>
          <t>Windows User:</t>
        </r>
        <r>
          <rPr>
            <sz val="9"/>
            <color indexed="81"/>
            <rFont val="Tahoma"/>
            <family val="2"/>
          </rPr>
          <t xml:space="preserve">
chưa rõ + XM 1</t>
        </r>
      </text>
    </comment>
    <comment ref="P10" authorId="0" shapeId="0">
      <text>
        <r>
          <rPr>
            <b/>
            <sz val="9"/>
            <color indexed="81"/>
            <rFont val="Tahoma"/>
            <family val="2"/>
          </rPr>
          <t>Windows User:</t>
        </r>
        <r>
          <rPr>
            <sz val="9"/>
            <color indexed="81"/>
            <rFont val="Tahoma"/>
            <family val="2"/>
          </rPr>
          <t xml:space="preserve">
chưa rõ</t>
        </r>
      </text>
    </comment>
    <comment ref="P12" authorId="0" shapeId="0">
      <text>
        <r>
          <rPr>
            <b/>
            <sz val="9"/>
            <color indexed="81"/>
            <rFont val="Tahoma"/>
            <family val="2"/>
          </rPr>
          <t>Thư Ngọng</t>
        </r>
      </text>
    </comment>
    <comment ref="P26" authorId="0" shapeId="0">
      <text>
        <r>
          <rPr>
            <b/>
            <sz val="9"/>
            <color indexed="81"/>
            <rFont val="Tahoma"/>
            <family val="2"/>
          </rPr>
          <t>Windows User:</t>
        </r>
        <r>
          <rPr>
            <sz val="9"/>
            <color indexed="81"/>
            <rFont val="Tahoma"/>
            <family val="2"/>
          </rPr>
          <t xml:space="preserve">
Xì</t>
        </r>
      </text>
    </comment>
    <comment ref="P27" authorId="0" shapeId="0">
      <text>
        <r>
          <rPr>
            <b/>
            <sz val="9"/>
            <color indexed="81"/>
            <rFont val="Tahoma"/>
            <family val="2"/>
          </rPr>
          <t>Windows User:</t>
        </r>
        <r>
          <rPr>
            <sz val="9"/>
            <color indexed="81"/>
            <rFont val="Tahoma"/>
            <family val="2"/>
          </rPr>
          <t xml:space="preserve">
Lấy ăn</t>
        </r>
      </text>
    </comment>
  </commentList>
</comments>
</file>

<file path=xl/sharedStrings.xml><?xml version="1.0" encoding="utf-8"?>
<sst xmlns="http://schemas.openxmlformats.org/spreadsheetml/2006/main" count="1599" uniqueCount="313">
  <si>
    <t>STT</t>
  </si>
  <si>
    <t>Cá viên HM</t>
  </si>
  <si>
    <t>Cá viên rau củ HM</t>
  </si>
  <si>
    <t>Tôm viên HM</t>
  </si>
  <si>
    <t>Phô mai viên (35v)</t>
  </si>
  <si>
    <t>Phô mai que (13 que)</t>
  </si>
  <si>
    <t>Viên thả lẩu 3 màu</t>
  </si>
  <si>
    <t xml:space="preserve">XX Hotdog DNA </t>
  </si>
  <si>
    <t>XX Phô mai</t>
  </si>
  <si>
    <t>Đậu hủ phô mai</t>
  </si>
  <si>
    <t>Chả giò xốp thịt heo</t>
  </si>
  <si>
    <t>Chả giò rế thịt heo</t>
  </si>
  <si>
    <t>XX Đỏ ĐNA (bao xanh)</t>
  </si>
  <si>
    <t>XX Đỏ ĐNA (bao đỏ)</t>
  </si>
  <si>
    <t>XX Đức HS ĐNA</t>
  </si>
  <si>
    <t>Chả giò xốp hải sản</t>
  </si>
  <si>
    <t>Số lượng</t>
  </si>
  <si>
    <t>Tên hàng</t>
  </si>
  <si>
    <t>Đơn giá</t>
  </si>
  <si>
    <t>Thành tiền</t>
  </si>
  <si>
    <t>Phí vận chuyển/đơn vị</t>
  </si>
  <si>
    <t>Đơn giá sau vận chuyển</t>
  </si>
  <si>
    <t>Giá bán</t>
  </si>
  <si>
    <t>Doanh thu dự kiến</t>
  </si>
  <si>
    <t>Thành tiền sau vận chuyển</t>
  </si>
  <si>
    <t>Cá viên LC</t>
  </si>
  <si>
    <t>Thanh cua LC</t>
  </si>
  <si>
    <t>XX Yummy LC</t>
  </si>
  <si>
    <t>Mực tẩm bột LC</t>
  </si>
  <si>
    <t>Chả giò Rế tôm mực LC</t>
  </si>
  <si>
    <t>Chả tôm hình Surimi LC</t>
  </si>
  <si>
    <t>Hải sản sốt MAYONNAISE LC (35 viên)</t>
  </si>
  <si>
    <t>Viên thả lẩu răng mực (Hồng)</t>
  </si>
  <si>
    <t>Viên thả lẩu trứng tôm (Vàng)</t>
  </si>
  <si>
    <t>Viên thả lẩu TOMYUM (Tím)</t>
  </si>
  <si>
    <t>Viên thả lẩu phô mai (Xanh lá)</t>
  </si>
  <si>
    <t>Jambon Trắng</t>
  </si>
  <si>
    <t>Jambon Đỏ</t>
  </si>
  <si>
    <t>Cá Viên TVP</t>
  </si>
  <si>
    <t>Cá Viên TVP nhỏ</t>
  </si>
  <si>
    <t>Tôm viên TVP</t>
  </si>
  <si>
    <t>Tôm viên TVP nhỏ</t>
  </si>
  <si>
    <t>Bò viên TVP</t>
  </si>
  <si>
    <t>Bò viên TVP nhỏ</t>
  </si>
  <si>
    <t>XX MUNICH (10 Cây)</t>
  </si>
  <si>
    <t>XX Hồ lô</t>
  </si>
  <si>
    <t>Giò Thủ bì</t>
  </si>
  <si>
    <t>Nem nướng</t>
  </si>
  <si>
    <t>XX BERLING (10 Cây)</t>
  </si>
  <si>
    <t>XX COCKTAIL (26 Cây)</t>
  </si>
  <si>
    <t>Jambon Đỏ TX</t>
  </si>
  <si>
    <t>Giò lụa Bò</t>
  </si>
  <si>
    <t>Giò lụa lá</t>
  </si>
  <si>
    <t>Hộp</t>
  </si>
  <si>
    <t>Vỉ</t>
  </si>
  <si>
    <t>Quy cách</t>
  </si>
  <si>
    <t>500gr</t>
  </si>
  <si>
    <t>Giá</t>
  </si>
  <si>
    <t>Viên thả lẩu Gà nướng mật ong (Đỏ)</t>
  </si>
  <si>
    <t>HÀNG NHẬP 16/12</t>
  </si>
  <si>
    <t>Tồn</t>
  </si>
  <si>
    <t>Hoành thánh chiên 500gr (60 viên)</t>
  </si>
  <si>
    <t>Giá nhập/Kg</t>
  </si>
  <si>
    <t>250gr</t>
  </si>
  <si>
    <t>1kg</t>
  </si>
  <si>
    <t>200gr</t>
  </si>
  <si>
    <t>THỰC PHẨM CAO CẤP CỦA TVP FOODS</t>
  </si>
  <si>
    <t>Cá viên rau củ TVP</t>
  </si>
  <si>
    <t>Chả giò Rế thịt heo</t>
  </si>
  <si>
    <t>MT10</t>
  </si>
  <si>
    <t>MT11</t>
  </si>
  <si>
    <t>MT12</t>
  </si>
  <si>
    <t>MT13</t>
  </si>
  <si>
    <t>MT14</t>
  </si>
  <si>
    <t>MT15</t>
  </si>
  <si>
    <t>MT16</t>
  </si>
  <si>
    <t>MT17</t>
  </si>
  <si>
    <t>MT18</t>
  </si>
  <si>
    <t>MT19</t>
  </si>
  <si>
    <t>MT20</t>
  </si>
  <si>
    <t>MT21</t>
  </si>
  <si>
    <t>MT22</t>
  </si>
  <si>
    <t>MT23</t>
  </si>
  <si>
    <t>MT24</t>
  </si>
  <si>
    <t>MT25</t>
  </si>
  <si>
    <t>MT26</t>
  </si>
  <si>
    <t>MT27</t>
  </si>
  <si>
    <t>MT28</t>
  </si>
  <si>
    <t>MT29</t>
  </si>
  <si>
    <t>MT30</t>
  </si>
  <si>
    <t>MT31</t>
  </si>
  <si>
    <t>MT32</t>
  </si>
  <si>
    <t>MT33</t>
  </si>
  <si>
    <t>MT34</t>
  </si>
  <si>
    <t>MT35</t>
  </si>
  <si>
    <t>MT36</t>
  </si>
  <si>
    <t>MT37</t>
  </si>
  <si>
    <t>MT38</t>
  </si>
  <si>
    <t>MT39</t>
  </si>
  <si>
    <t>MT40</t>
  </si>
  <si>
    <t>MT41</t>
  </si>
  <si>
    <t>MT42</t>
  </si>
  <si>
    <t>MT43</t>
  </si>
  <si>
    <t>MT44</t>
  </si>
  <si>
    <t>MT45</t>
  </si>
  <si>
    <t>MT46</t>
  </si>
  <si>
    <t>Trật tự</t>
  </si>
  <si>
    <t>Mã Hàng</t>
  </si>
  <si>
    <t>MT01</t>
  </si>
  <si>
    <t>MT02</t>
  </si>
  <si>
    <t>MT03</t>
  </si>
  <si>
    <t>MT04</t>
  </si>
  <si>
    <t>MT05</t>
  </si>
  <si>
    <t>MT06</t>
  </si>
  <si>
    <t>MT07</t>
  </si>
  <si>
    <t>MT08</t>
  </si>
  <si>
    <t>MT09</t>
  </si>
  <si>
    <t>Giá  bán</t>
  </si>
  <si>
    <t>Mã hàng</t>
  </si>
  <si>
    <t>Sản lượng bán</t>
  </si>
  <si>
    <t>Tiền hàng danh nghĩa</t>
  </si>
  <si>
    <t>Tiền hàng thực</t>
  </si>
  <si>
    <t>Doanh thu tích lũy</t>
  </si>
  <si>
    <t>Giá sau vận chuyển</t>
  </si>
  <si>
    <t>Tiền lời</t>
  </si>
  <si>
    <t>Hải sản sốt Cam</t>
  </si>
  <si>
    <t>MT47</t>
  </si>
  <si>
    <t>Giá trị hàng tồn
(Theo giá nhập)</t>
  </si>
  <si>
    <t>Poster Menu</t>
  </si>
  <si>
    <t>Mượn tiền sữa</t>
  </si>
  <si>
    <t>Bàn ghế</t>
  </si>
  <si>
    <t xml:space="preserve">Văn phòng phẩm </t>
  </si>
  <si>
    <t>Ổ khóa</t>
  </si>
  <si>
    <t>Mượn tiền hàng</t>
  </si>
  <si>
    <t>Ghế</t>
  </si>
  <si>
    <t xml:space="preserve">Biển quảng cáo trả mẹ </t>
  </si>
  <si>
    <t>chi phí</t>
  </si>
  <si>
    <t>Lời đã KM</t>
  </si>
  <si>
    <t>bán Lời chưa KM</t>
  </si>
  <si>
    <t>XX nhân Phô Mai</t>
  </si>
  <si>
    <t>Cốm xanh</t>
  </si>
  <si>
    <t>MT48</t>
  </si>
  <si>
    <t>Cá sốt cam</t>
  </si>
  <si>
    <t>MT49</t>
  </si>
  <si>
    <t>Bò lá lốt</t>
  </si>
  <si>
    <t>MT50</t>
  </si>
  <si>
    <t>Hư hao
&amp; Xuất mẫu</t>
  </si>
  <si>
    <t>Ốc nhồi Hải sản</t>
  </si>
  <si>
    <t>Hoành thánh chiên (60 viên)</t>
  </si>
  <si>
    <t>Tiền còn lại</t>
  </si>
  <si>
    <t>Chi phí lặt vặt</t>
  </si>
  <si>
    <t>Trừ tiền hàng &amp; chi phí</t>
  </si>
  <si>
    <t>Tiền hàng</t>
  </si>
  <si>
    <t>Tổng vốn</t>
  </si>
  <si>
    <t>Tiền trong thẻ</t>
  </si>
  <si>
    <t>Poster Menu lần 2</t>
  </si>
  <si>
    <t>Số lượng nhập</t>
  </si>
  <si>
    <t>Trọng lượng (kg)</t>
  </si>
  <si>
    <t>MT51</t>
  </si>
  <si>
    <t>Tổng Giá Trị Hàng đã xuất</t>
  </si>
  <si>
    <t>Tổng Tiền Thực</t>
  </si>
  <si>
    <t>Hải sản sốt cam LC</t>
  </si>
  <si>
    <t>Hải sản sốt MAYONNAISE (35 viên)</t>
  </si>
  <si>
    <t>Chả lụa bì Ớt xiêm xanh</t>
  </si>
  <si>
    <t>MT52</t>
  </si>
  <si>
    <t>Bò viên phở TVP</t>
  </si>
  <si>
    <t>MT53</t>
  </si>
  <si>
    <t>Trọng lượng</t>
  </si>
  <si>
    <t>Xuất mẫu</t>
  </si>
  <si>
    <t>Giá trị còn lại</t>
  </si>
  <si>
    <t>Mua bị</t>
  </si>
  <si>
    <t>Đậu hủ phô mai EB</t>
  </si>
  <si>
    <t>MT54</t>
  </si>
  <si>
    <t>Khoai tây Simplot</t>
  </si>
  <si>
    <t>MT55</t>
  </si>
  <si>
    <t>Bò viên HM</t>
  </si>
  <si>
    <t>MT56</t>
  </si>
  <si>
    <t>MT57</t>
  </si>
  <si>
    <t>Há cảo Lớn</t>
  </si>
  <si>
    <t>Há cảo Mini</t>
  </si>
  <si>
    <t>MT58</t>
  </si>
  <si>
    <t>MT59</t>
  </si>
  <si>
    <t>Tủ Lạnh mới</t>
  </si>
  <si>
    <t>In Poster</t>
  </si>
  <si>
    <t>Hàng C.Ty tặng</t>
  </si>
  <si>
    <t>Thanh cua dài Liên Anh</t>
  </si>
  <si>
    <t>MT60</t>
  </si>
  <si>
    <t>Số Lượng</t>
  </si>
  <si>
    <t>mua đồ cúng</t>
  </si>
  <si>
    <t>01</t>
  </si>
  <si>
    <t>T12
(17-31)</t>
  </si>
  <si>
    <t>02</t>
  </si>
  <si>
    <t>03</t>
  </si>
  <si>
    <t>04</t>
  </si>
  <si>
    <t>05</t>
  </si>
  <si>
    <t>06</t>
  </si>
  <si>
    <t>07</t>
  </si>
  <si>
    <t>08</t>
  </si>
  <si>
    <t>09</t>
  </si>
  <si>
    <t>mượn</t>
  </si>
  <si>
    <t>Gà viên phô mai</t>
  </si>
  <si>
    <t>MT61</t>
  </si>
  <si>
    <t>Mượn mẹ</t>
  </si>
  <si>
    <t xml:space="preserve">Viên thả lẩu Cam-Trứng cá </t>
  </si>
  <si>
    <t>MT62</t>
  </si>
  <si>
    <t>Mực xoắn ống</t>
  </si>
  <si>
    <t>Tôm hùm viên PM</t>
  </si>
  <si>
    <t>Mực cuộn Malaysia</t>
  </si>
  <si>
    <t>Cua hoàng đế Malaysia</t>
  </si>
  <si>
    <t>Cô Tiền nợ</t>
  </si>
  <si>
    <t>MT63</t>
  </si>
  <si>
    <t>MT64</t>
  </si>
  <si>
    <t>Mua tủ lạnh</t>
  </si>
  <si>
    <t>G1</t>
  </si>
  <si>
    <t>G2</t>
  </si>
  <si>
    <t>G3</t>
  </si>
  <si>
    <t>MTG1</t>
  </si>
  <si>
    <t>MTG2</t>
  </si>
  <si>
    <t>MTG3</t>
  </si>
  <si>
    <t>0-Chân Gà</t>
  </si>
  <si>
    <t>0-Cánh Gà</t>
  </si>
  <si>
    <t>0-Đùi tỏi Gà</t>
  </si>
  <si>
    <t>Mua xăng máy nổ</t>
  </si>
  <si>
    <t>MINH THƯ</t>
  </si>
  <si>
    <t>Hóa Đơn</t>
  </si>
  <si>
    <t>Đ/c: Kiot 23 Cổng Chợ Gà Liên Hương - Võ Thị Sáu.</t>
  </si>
  <si>
    <t>SĐT: 0889.487.112 - 0961.534.695.</t>
  </si>
  <si>
    <t>Chuyên cung cấp sỉ &amp; lẻ Thực phẩm đông lạnh:</t>
  </si>
  <si>
    <t>Xiên que-nướng-chiên-lẩu.</t>
  </si>
  <si>
    <t>Tên KH:</t>
  </si>
  <si>
    <t>Tiền điện nhà</t>
  </si>
  <si>
    <t>Tiền điện tiệm</t>
  </si>
  <si>
    <t>Tiền lãi nợ</t>
  </si>
  <si>
    <t>Cá viên KK</t>
  </si>
  <si>
    <t>Cá viên rau củ KK</t>
  </si>
  <si>
    <t>Bò viên KK</t>
  </si>
  <si>
    <t>Tôm viên KK</t>
  </si>
  <si>
    <t>XX Đỏ KK</t>
  </si>
  <si>
    <t>XX Đức KK</t>
  </si>
  <si>
    <t>Hồ lô KK</t>
  </si>
  <si>
    <t>Bánh bao thả lẩu Trứng cá KK</t>
  </si>
  <si>
    <t>Bánh bao ngọt không nhân</t>
  </si>
  <si>
    <t>MT65</t>
  </si>
  <si>
    <t>MT66</t>
  </si>
  <si>
    <t>MT67</t>
  </si>
  <si>
    <t>MT68</t>
  </si>
  <si>
    <t>MT69</t>
  </si>
  <si>
    <t>MT70</t>
  </si>
  <si>
    <t>MT71</t>
  </si>
  <si>
    <t>MT72</t>
  </si>
  <si>
    <t>MT73</t>
  </si>
  <si>
    <t>Tiền Ưu đãi tháng 01 - Cô BÉ</t>
  </si>
  <si>
    <t>Quà Tết Chị Út</t>
  </si>
  <si>
    <t>Quà Tết Bảo Ngọc</t>
  </si>
  <si>
    <t>Tiền thuê Kiot</t>
  </si>
  <si>
    <t>Tiền Ưu đãi tháng 01 - Cô Phượng</t>
  </si>
  <si>
    <t>Quà Tết</t>
  </si>
  <si>
    <t>Đập mua tủ lạnh</t>
  </si>
  <si>
    <t>Mượn mẹ+Bác</t>
  </si>
  <si>
    <t>0-Bò cuộn Excel Canada</t>
  </si>
  <si>
    <t>Cho mượn tiền lò nướng</t>
  </si>
  <si>
    <t>Quà Tết Thúy Bình</t>
  </si>
  <si>
    <t>Tiền Ưu đãi tháng 02 - Hoàng Ti</t>
  </si>
  <si>
    <t>Quà Tết Hoàng Ti</t>
  </si>
  <si>
    <t>Nước Ngọt Tết</t>
  </si>
  <si>
    <t>Quà Tết Cô BÉ</t>
  </si>
  <si>
    <t>Quà Tết Sinh Thẻ</t>
  </si>
  <si>
    <t>Tiền Ưu đãi tháng 01 - Chị Trang</t>
  </si>
  <si>
    <t>Quà Tết Chị Trang</t>
  </si>
  <si>
    <t>Quà Tết Dì Út</t>
  </si>
  <si>
    <t>Quà Tết Thím Gái</t>
  </si>
  <si>
    <t>Quà Tết Dì Tư</t>
  </si>
  <si>
    <t>Quà Tết Chị Tiền</t>
  </si>
  <si>
    <t>Quà Tết Tường Vi</t>
  </si>
  <si>
    <t>Quà Tết Tuấn Phương</t>
  </si>
  <si>
    <t>Quà Tết Kim Vân</t>
  </si>
  <si>
    <t>Cô Tiền</t>
  </si>
  <si>
    <t>Dì Vọng</t>
  </si>
  <si>
    <t>T12+T01</t>
  </si>
  <si>
    <t>T01
(19-31)</t>
  </si>
  <si>
    <t>T02</t>
  </si>
  <si>
    <t>T03</t>
  </si>
  <si>
    <t>T04</t>
  </si>
  <si>
    <t>T05</t>
  </si>
  <si>
    <t>T06</t>
  </si>
  <si>
    <t>T07</t>
  </si>
  <si>
    <t>T08</t>
  </si>
  <si>
    <t>T09</t>
  </si>
  <si>
    <t>T10</t>
  </si>
  <si>
    <t>T11</t>
  </si>
  <si>
    <t>T12</t>
  </si>
  <si>
    <t>Hồ lô ĐNA</t>
  </si>
  <si>
    <t>TH Tịnh Lan</t>
  </si>
  <si>
    <t>XX Xông khói ĐNA</t>
  </si>
  <si>
    <t>XX Hotdog Phô mai</t>
  </si>
  <si>
    <t>Phô mai sữa que LC</t>
  </si>
  <si>
    <t>Chả giò HS trái cây sốt Mayo</t>
  </si>
  <si>
    <t>Chả giò Chay rau nấm LC</t>
  </si>
  <si>
    <t/>
  </si>
  <si>
    <t>-</t>
  </si>
  <si>
    <t>Dì Tư</t>
  </si>
  <si>
    <t>Cô Bé Ken</t>
  </si>
  <si>
    <t>Bỏ sỉ bánh bao ngọt</t>
  </si>
  <si>
    <t>Cô Hoa</t>
  </si>
  <si>
    <t>Thảo Vy</t>
  </si>
  <si>
    <t>KH lẻ</t>
  </si>
  <si>
    <t>Bỏ sỉ Cốm hồng + Phô mai sữa</t>
  </si>
  <si>
    <t>Chị Tuyền</t>
  </si>
  <si>
    <t>Chị Trang</t>
  </si>
  <si>
    <t>Dì Nguyệt</t>
  </si>
  <si>
    <t>Thím Gái</t>
  </si>
  <si>
    <t>TS 199X</t>
  </si>
  <si>
    <t>Xì</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</si>
</sst>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3">
    <numFmt numFmtId="164" formatCode="_(* #,##0_);_(* \(#,##0\);_(* &quot;-&quot;_);_(@_)"/>
    <numFmt numFmtId="165" formatCode="_(* #,##0.00_);_(* \(#,##0.00\);_(* &quot;-&quot;??_);_(@_)"/>
    <numFmt numFmtId="166" formatCode="_(* #,##0.0_);_(* \(#,##0.0\);_(* &quot;-&quot;_);_(@_)"/>
  </numFmts>
  <fonts count="34" x14ac:knownFonts="1">
    <font>
      <sz val="11"/>
      <color theme="1"/>
      <name val="Calibri"/>
      <family val="2"/>
      <scheme val="minor"/>
    </font>
    <font>
      <sz val="11"/>
      <color theme="1"/>
      <name val="Calibri"/>
      <family val="2"/>
      <scheme val="minor"/>
    </font>
    <font>
      <b/>
      <sz val="11"/>
      <color theme="1"/>
      <name val="Times New Roman"/>
      <family val="1"/>
    </font>
    <font>
      <sz val="11"/>
      <color theme="1"/>
      <name val="Times New Roman"/>
      <family val="1"/>
    </font>
    <font>
      <sz val="12"/>
      <color theme="1"/>
      <name val="Times New Roman"/>
      <family val="1"/>
    </font>
    <font>
      <b/>
      <sz val="12"/>
      <color theme="1"/>
      <name val="Times New Roman"/>
      <family val="1"/>
    </font>
    <font>
      <b/>
      <sz val="12"/>
      <color rgb="FFFF0000"/>
      <name val="Times New Roman"/>
      <family val="1"/>
    </font>
    <font>
      <b/>
      <sz val="16"/>
      <color theme="1"/>
      <name val="Times New Roman"/>
      <family val="1"/>
    </font>
    <font>
      <sz val="12"/>
      <color rgb="FFFF0000"/>
      <name val="Times New Roman"/>
      <family val="1"/>
    </font>
    <font>
      <b/>
      <sz val="14"/>
      <color theme="1"/>
      <name val="Times New Roman"/>
      <family val="1"/>
    </font>
    <font>
      <sz val="9"/>
      <color indexed="81"/>
      <name val="Tahoma"/>
      <family val="2"/>
    </font>
    <font>
      <b/>
      <sz val="9"/>
      <color indexed="81"/>
      <name val="Tahoma"/>
      <family val="2"/>
    </font>
    <font>
      <b/>
      <i/>
      <sz val="12"/>
      <color theme="1"/>
      <name val="Times New Roman"/>
      <family val="1"/>
    </font>
    <font>
      <b/>
      <i/>
      <sz val="12"/>
      <color rgb="FFFF0000"/>
      <name val="Times New Roman"/>
      <family val="1"/>
    </font>
    <font>
      <b/>
      <sz val="18"/>
      <color theme="1"/>
      <name val="Times New Roman"/>
      <family val="1"/>
    </font>
    <font>
      <b/>
      <sz val="10"/>
      <color theme="1"/>
      <name val="Times New Roman"/>
      <family val="1"/>
    </font>
    <font>
      <b/>
      <sz val="22"/>
      <color rgb="FFFF0000"/>
      <name val="Times New Roman"/>
      <family val="1"/>
    </font>
    <font>
      <sz val="14"/>
      <color theme="1"/>
      <name val="Times New Roman"/>
      <family val="1"/>
    </font>
    <font>
      <sz val="20"/>
      <color theme="1"/>
      <name val="Times New Roman"/>
      <family val="1"/>
    </font>
    <font>
      <b/>
      <sz val="20"/>
      <color theme="1"/>
      <name val="Times New Roman"/>
      <family val="1"/>
    </font>
    <font>
      <sz val="20"/>
      <color rgb="FFFFFF00"/>
      <name val="Times New Roman"/>
      <family val="1"/>
    </font>
    <font>
      <b/>
      <sz val="20"/>
      <color rgb="FFFFFF00"/>
      <name val="Times New Roman"/>
      <family val="1"/>
    </font>
    <font>
      <b/>
      <sz val="18"/>
      <color rgb="FFFF0000"/>
      <name val="Times New Roman"/>
      <family val="1"/>
    </font>
    <font>
      <sz val="14"/>
      <color rgb="FFFF0000"/>
      <name val="Times New Roman"/>
      <family val="1"/>
    </font>
    <font>
      <b/>
      <sz val="22"/>
      <color theme="1"/>
      <name val="Times New Roman"/>
      <family val="1"/>
    </font>
    <font>
      <b/>
      <sz val="16"/>
      <color rgb="FFFF0000"/>
      <name val="Times New Roman"/>
      <family val="1"/>
    </font>
    <font>
      <b/>
      <sz val="26"/>
      <color theme="1"/>
      <name val="Times New Roman"/>
      <family val="1"/>
    </font>
    <font>
      <b/>
      <sz val="26"/>
      <color theme="1"/>
      <name val="Palatino Linotype"/>
      <family val="1"/>
    </font>
    <font>
      <b/>
      <i/>
      <sz val="12"/>
      <color theme="0"/>
      <name val="Times New Roman"/>
      <family val="1"/>
    </font>
    <font>
      <b/>
      <sz val="14"/>
      <color rgb="FFFF0000"/>
      <name val="Times New Roman"/>
      <family val="1"/>
    </font>
    <font>
      <b/>
      <sz val="14"/>
      <color rgb="FF002060"/>
      <name val="Times New Roman"/>
      <family val="1"/>
    </font>
    <font>
      <b/>
      <u/>
      <sz val="20"/>
      <color rgb="FFFF0000"/>
      <name val="Arial"/>
      <family val="2"/>
      <charset val="163"/>
    </font>
    <font>
      <b/>
      <sz val="20"/>
      <color rgb="FFFF0000"/>
      <name val="Calibri"/>
      <family val="2"/>
      <charset val="163"/>
    </font>
    <font>
      <b/>
      <sz val="14"/>
      <color theme="1"/>
      <name val="Times New Roman"/>
      <family val="1"/>
      <charset val="163"/>
    </font>
  </fonts>
  <fills count="21">
    <fill>
      <patternFill patternType="none"/>
    </fill>
    <fill>
      <patternFill patternType="gray125"/>
    </fill>
    <fill>
      <patternFill patternType="solid">
        <fgColor theme="8" tint="0.79998168889431442"/>
        <bgColor indexed="64"/>
      </patternFill>
    </fill>
    <fill>
      <patternFill patternType="solid">
        <fgColor theme="9" tint="0.59999389629810485"/>
        <bgColor indexed="64"/>
      </patternFill>
    </fill>
    <fill>
      <patternFill patternType="solid">
        <fgColor theme="0" tint="-0.14999847407452621"/>
        <bgColor indexed="64"/>
      </patternFill>
    </fill>
    <fill>
      <patternFill patternType="solid">
        <fgColor theme="9" tint="0.39997558519241921"/>
        <bgColor indexed="64"/>
      </patternFill>
    </fill>
    <fill>
      <patternFill patternType="solid">
        <fgColor theme="0"/>
        <bgColor indexed="64"/>
      </patternFill>
    </fill>
    <fill>
      <patternFill patternType="solid">
        <fgColor rgb="FFFFFF00"/>
        <bgColor indexed="64"/>
      </patternFill>
    </fill>
    <fill>
      <patternFill patternType="solid">
        <fgColor rgb="FFFF0000"/>
        <bgColor indexed="64"/>
      </patternFill>
    </fill>
    <fill>
      <patternFill patternType="solid">
        <fgColor theme="0" tint="-0.249977111117893"/>
        <bgColor indexed="64"/>
      </patternFill>
    </fill>
    <fill>
      <patternFill patternType="solid">
        <fgColor rgb="FF00B050"/>
        <bgColor indexed="64"/>
      </patternFill>
    </fill>
    <fill>
      <patternFill patternType="solid">
        <fgColor theme="8" tint="0.39997558519241921"/>
        <bgColor indexed="64"/>
      </patternFill>
    </fill>
    <fill>
      <patternFill patternType="solid">
        <fgColor rgb="FF92D050"/>
        <bgColor indexed="64"/>
      </patternFill>
    </fill>
    <fill>
      <patternFill patternType="solid">
        <fgColor theme="9" tint="-0.249977111117893"/>
        <bgColor indexed="64"/>
      </patternFill>
    </fill>
    <fill>
      <patternFill patternType="solid">
        <fgColor rgb="FF00B0F0"/>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2" tint="-0.499984740745262"/>
        <bgColor indexed="64"/>
      </patternFill>
    </fill>
    <fill>
      <patternFill patternType="solid">
        <fgColor theme="7" tint="0.39997558519241921"/>
        <bgColor indexed="64"/>
      </patternFill>
    </fill>
    <fill>
      <patternFill patternType="solid">
        <fgColor theme="4" tint="0.79998168889431442"/>
        <bgColor theme="4" tint="0.79998168889431442"/>
      </patternFill>
    </fill>
    <fill>
      <patternFill patternType="solid">
        <fgColor theme="9" tint="0.79998168889431442"/>
        <bgColor indexed="64"/>
      </patternFill>
    </fill>
  </fills>
  <borders count="3">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s>
  <cellStyleXfs count="3">
    <xf numFmtId="0" fontId="0" fillId="0" borderId="0"/>
    <xf numFmtId="164" fontId="1" fillId="0" borderId="0" applyFont="0" applyFill="0" applyBorder="0" applyAlignment="0" applyProtection="0"/>
    <xf numFmtId="9" fontId="1" fillId="0" borderId="0" applyFont="0" applyFill="0" applyBorder="0" applyAlignment="0" applyProtection="0"/>
  </cellStyleXfs>
  <cellXfs count="246">
    <xf numFmtId="0" fontId="0" fillId="0" borderId="0" xfId="0"/>
    <xf numFmtId="0" fontId="2" fillId="0" borderId="0" xfId="1" applyNumberFormat="1" applyFont="1" applyAlignment="1">
      <alignment horizontal="center" vertical="center"/>
    </xf>
    <xf numFmtId="164" fontId="4" fillId="0" borderId="0" xfId="1" applyFont="1"/>
    <xf numFmtId="164" fontId="5" fillId="0" borderId="1" xfId="1" applyFont="1" applyBorder="1" applyAlignment="1">
      <alignment horizontal="center" vertical="center"/>
    </xf>
    <xf numFmtId="164" fontId="5" fillId="2" borderId="1" xfId="1" applyFont="1" applyFill="1" applyBorder="1" applyAlignment="1">
      <alignment horizontal="center" vertical="center"/>
    </xf>
    <xf numFmtId="164" fontId="5" fillId="0" borderId="1" xfId="1" applyFont="1" applyBorder="1" applyAlignment="1">
      <alignment horizontal="center" vertical="center" wrapText="1"/>
    </xf>
    <xf numFmtId="0" fontId="4" fillId="0" borderId="1" xfId="1" applyNumberFormat="1" applyFont="1" applyBorder="1" applyAlignment="1">
      <alignment horizontal="center" vertical="center"/>
    </xf>
    <xf numFmtId="164" fontId="5" fillId="2" borderId="1" xfId="1" applyFont="1" applyFill="1" applyBorder="1" applyAlignment="1">
      <alignment horizontal="center" vertical="top"/>
    </xf>
    <xf numFmtId="9" fontId="7" fillId="0" borderId="0" xfId="2" applyFont="1" applyAlignment="1">
      <alignment horizontal="center" vertical="center"/>
    </xf>
    <xf numFmtId="164" fontId="5" fillId="3" borderId="1" xfId="1" applyFont="1" applyFill="1" applyBorder="1" applyAlignment="1">
      <alignment horizontal="center" vertical="center" wrapText="1"/>
    </xf>
    <xf numFmtId="164" fontId="6" fillId="2" borderId="1" xfId="1" applyFont="1" applyFill="1" applyBorder="1" applyAlignment="1">
      <alignment horizontal="center" vertical="center"/>
    </xf>
    <xf numFmtId="164" fontId="6" fillId="2" borderId="1" xfId="1" applyFont="1" applyFill="1" applyBorder="1" applyAlignment="1">
      <alignment horizontal="center" vertical="center" wrapText="1"/>
    </xf>
    <xf numFmtId="164" fontId="5" fillId="3" borderId="1" xfId="1" applyFont="1" applyFill="1" applyBorder="1" applyAlignment="1">
      <alignment horizontal="center" vertical="top" wrapText="1"/>
    </xf>
    <xf numFmtId="164" fontId="7" fillId="0" borderId="0" xfId="1" applyFont="1" applyAlignment="1">
      <alignment horizontal="center" vertical="center"/>
    </xf>
    <xf numFmtId="0" fontId="3" fillId="0" borderId="0" xfId="0" applyFont="1"/>
    <xf numFmtId="0" fontId="3" fillId="0" borderId="0" xfId="0" applyFont="1" applyAlignment="1">
      <alignment horizontal="center" vertical="center"/>
    </xf>
    <xf numFmtId="164" fontId="2" fillId="0" borderId="1" xfId="1" applyFont="1" applyBorder="1" applyAlignment="1">
      <alignment vertical="center"/>
    </xf>
    <xf numFmtId="164" fontId="2" fillId="4" borderId="1" xfId="1" applyFont="1" applyFill="1" applyBorder="1" applyAlignment="1">
      <alignment vertical="center"/>
    </xf>
    <xf numFmtId="164" fontId="2" fillId="6" borderId="1" xfId="1" applyFont="1" applyFill="1" applyBorder="1" applyAlignment="1">
      <alignment vertical="center"/>
    </xf>
    <xf numFmtId="164" fontId="5" fillId="0" borderId="1" xfId="1" applyFont="1" applyBorder="1" applyAlignment="1">
      <alignment horizontal="center" vertical="top"/>
    </xf>
    <xf numFmtId="164" fontId="6" fillId="9" borderId="1" xfId="1" applyFont="1" applyFill="1" applyBorder="1" applyAlignment="1">
      <alignment horizontal="center" vertical="center" wrapText="1"/>
    </xf>
    <xf numFmtId="0" fontId="5" fillId="5" borderId="1" xfId="0" applyFont="1" applyFill="1" applyBorder="1" applyAlignment="1">
      <alignment horizontal="center" vertical="center"/>
    </xf>
    <xf numFmtId="0" fontId="5" fillId="0" borderId="1" xfId="0" applyFont="1" applyBorder="1" applyAlignment="1">
      <alignment vertical="center"/>
    </xf>
    <xf numFmtId="0" fontId="4" fillId="0" borderId="1" xfId="0" applyFont="1" applyBorder="1" applyAlignment="1">
      <alignment horizontal="center" vertical="center"/>
    </xf>
    <xf numFmtId="164" fontId="5" fillId="0" borderId="1" xfId="1" applyFont="1" applyBorder="1" applyAlignment="1">
      <alignment vertical="center"/>
    </xf>
    <xf numFmtId="0" fontId="5" fillId="4" borderId="1" xfId="0" applyFont="1" applyFill="1" applyBorder="1" applyAlignment="1">
      <alignment vertical="center"/>
    </xf>
    <xf numFmtId="0" fontId="5" fillId="6" borderId="1" xfId="0" applyFont="1" applyFill="1" applyBorder="1" applyAlignment="1">
      <alignment vertical="center"/>
    </xf>
    <xf numFmtId="0" fontId="4" fillId="6" borderId="1" xfId="0" applyFont="1" applyFill="1" applyBorder="1" applyAlignment="1">
      <alignment horizontal="center" vertical="center"/>
    </xf>
    <xf numFmtId="164" fontId="5" fillId="6" borderId="1" xfId="1" applyFont="1" applyFill="1" applyBorder="1" applyAlignment="1">
      <alignment vertical="center"/>
    </xf>
    <xf numFmtId="0" fontId="4" fillId="4" borderId="1" xfId="0" applyFont="1" applyFill="1" applyBorder="1" applyAlignment="1">
      <alignment horizontal="center" vertical="center"/>
    </xf>
    <xf numFmtId="164" fontId="5" fillId="4" borderId="1" xfId="1" applyFont="1" applyFill="1" applyBorder="1" applyAlignment="1">
      <alignment vertical="center"/>
    </xf>
    <xf numFmtId="0" fontId="5" fillId="0" borderId="1" xfId="0" applyFont="1" applyBorder="1" applyAlignment="1">
      <alignment horizontal="center" vertical="center"/>
    </xf>
    <xf numFmtId="0" fontId="5" fillId="4" borderId="1" xfId="0" applyFont="1" applyFill="1" applyBorder="1" applyAlignment="1">
      <alignment horizontal="center" vertical="center"/>
    </xf>
    <xf numFmtId="164" fontId="5" fillId="6" borderId="0" xfId="1" applyFont="1" applyFill="1" applyBorder="1" applyAlignment="1">
      <alignment vertical="center"/>
    </xf>
    <xf numFmtId="0" fontId="5" fillId="6" borderId="1" xfId="0" applyFont="1" applyFill="1" applyBorder="1" applyAlignment="1">
      <alignment horizontal="center" vertical="center"/>
    </xf>
    <xf numFmtId="164" fontId="9" fillId="8" borderId="1" xfId="1" applyFont="1" applyFill="1" applyBorder="1" applyAlignment="1">
      <alignment horizontal="center" vertical="center"/>
    </xf>
    <xf numFmtId="164" fontId="5" fillId="0" borderId="1" xfId="1" quotePrefix="1" applyFont="1" applyBorder="1" applyAlignment="1">
      <alignment horizontal="center" vertical="center"/>
    </xf>
    <xf numFmtId="164" fontId="4" fillId="0" borderId="1" xfId="1" applyFont="1" applyBorder="1" applyAlignment="1">
      <alignment horizontal="center" vertical="center"/>
    </xf>
    <xf numFmtId="164" fontId="5" fillId="4" borderId="1" xfId="1" quotePrefix="1" applyFont="1" applyFill="1" applyBorder="1" applyAlignment="1">
      <alignment horizontal="center" vertical="center"/>
    </xf>
    <xf numFmtId="164" fontId="5" fillId="10" borderId="1" xfId="1" applyFont="1" applyFill="1" applyBorder="1" applyAlignment="1">
      <alignment horizontal="center" vertical="top"/>
    </xf>
    <xf numFmtId="164" fontId="5" fillId="4" borderId="1" xfId="1" applyFont="1" applyFill="1" applyBorder="1" applyAlignment="1">
      <alignment horizontal="center" vertical="top"/>
    </xf>
    <xf numFmtId="164" fontId="3" fillId="0" borderId="1" xfId="1" applyFont="1" applyBorder="1" applyAlignment="1">
      <alignment horizontal="center" vertical="center"/>
    </xf>
    <xf numFmtId="0" fontId="4" fillId="0" borderId="0" xfId="0" applyFont="1"/>
    <xf numFmtId="0" fontId="4" fillId="0" borderId="0" xfId="0" applyFont="1" applyAlignment="1">
      <alignment horizontal="center" vertical="center"/>
    </xf>
    <xf numFmtId="0" fontId="3" fillId="0" borderId="0" xfId="0" applyFont="1" applyAlignment="1" applyProtection="1">
      <alignment vertical="center"/>
      <protection locked="0"/>
    </xf>
    <xf numFmtId="0" fontId="12" fillId="0" borderId="0" xfId="0" applyFont="1" applyAlignment="1" applyProtection="1">
      <alignment horizontal="center" vertical="center"/>
      <protection locked="0"/>
    </xf>
    <xf numFmtId="164" fontId="12" fillId="0" borderId="0" xfId="1" applyFont="1" applyAlignment="1" applyProtection="1">
      <alignment horizontal="center" vertical="center"/>
      <protection locked="0"/>
    </xf>
    <xf numFmtId="164" fontId="12" fillId="0" borderId="0" xfId="1" applyFont="1" applyAlignment="1" applyProtection="1">
      <alignment vertical="center"/>
      <protection locked="0"/>
    </xf>
    <xf numFmtId="0" fontId="12" fillId="0" borderId="0" xfId="0" applyFont="1" applyAlignment="1" applyProtection="1">
      <alignment horizontal="center" vertical="center"/>
    </xf>
    <xf numFmtId="0" fontId="12" fillId="0" borderId="0" xfId="0" applyFont="1" applyAlignment="1" applyProtection="1">
      <alignment vertical="center"/>
    </xf>
    <xf numFmtId="164" fontId="13" fillId="0" borderId="0" xfId="0" applyNumberFormat="1" applyFont="1" applyAlignment="1" applyProtection="1">
      <alignment horizontal="center" vertical="center"/>
    </xf>
    <xf numFmtId="0" fontId="2" fillId="0" borderId="0" xfId="0" applyFont="1" applyAlignment="1">
      <alignment horizontal="center" vertical="center"/>
    </xf>
    <xf numFmtId="0" fontId="3" fillId="0" borderId="0" xfId="0" applyFont="1" applyAlignment="1">
      <alignment horizontal="left" vertical="center"/>
    </xf>
    <xf numFmtId="164" fontId="8" fillId="0" borderId="0" xfId="1" applyFont="1" applyBorder="1" applyAlignment="1">
      <alignment horizontal="center" vertical="center"/>
    </xf>
    <xf numFmtId="0" fontId="5" fillId="4" borderId="1" xfId="0" applyFont="1" applyFill="1" applyBorder="1" applyAlignment="1">
      <alignment horizontal="center" vertical="center" wrapText="1"/>
    </xf>
    <xf numFmtId="0" fontId="5" fillId="4" borderId="1" xfId="0" applyFont="1" applyFill="1" applyBorder="1" applyAlignment="1">
      <alignment horizontal="center" vertical="top"/>
    </xf>
    <xf numFmtId="0" fontId="5" fillId="4" borderId="1" xfId="0" applyFont="1" applyFill="1" applyBorder="1" applyAlignment="1">
      <alignment vertical="center" wrapText="1"/>
    </xf>
    <xf numFmtId="164" fontId="3" fillId="0" borderId="0" xfId="1" applyFont="1" applyAlignment="1">
      <alignment horizontal="center" vertical="center"/>
    </xf>
    <xf numFmtId="164" fontId="5" fillId="0" borderId="0" xfId="1" applyFont="1" applyAlignment="1">
      <alignment horizontal="center" vertical="center"/>
    </xf>
    <xf numFmtId="164" fontId="2" fillId="0" borderId="0" xfId="1" quotePrefix="1" applyFont="1" applyAlignment="1">
      <alignment horizontal="center" vertical="center"/>
    </xf>
    <xf numFmtId="164" fontId="6" fillId="4" borderId="1" xfId="1" applyFont="1" applyFill="1" applyBorder="1" applyAlignment="1">
      <alignment horizontal="center" vertical="center"/>
    </xf>
    <xf numFmtId="164" fontId="5" fillId="4" borderId="1" xfId="1" applyNumberFormat="1" applyFont="1" applyFill="1" applyBorder="1" applyAlignment="1">
      <alignment horizontal="center" vertical="top"/>
    </xf>
    <xf numFmtId="0" fontId="4" fillId="0" borderId="0" xfId="0" applyFont="1" applyAlignment="1">
      <alignment horizontal="center" vertical="top"/>
    </xf>
    <xf numFmtId="164" fontId="3" fillId="0" borderId="0" xfId="1" applyFont="1" applyAlignment="1">
      <alignment vertical="top"/>
    </xf>
    <xf numFmtId="164" fontId="5" fillId="9" borderId="1" xfId="1" applyFont="1" applyFill="1" applyBorder="1" applyAlignment="1">
      <alignment horizontal="center" vertical="top"/>
    </xf>
    <xf numFmtId="164" fontId="6" fillId="2" borderId="1" xfId="1" applyFont="1" applyFill="1" applyBorder="1" applyAlignment="1">
      <alignment horizontal="center" vertical="top"/>
    </xf>
    <xf numFmtId="164" fontId="9" fillId="10" borderId="1" xfId="1" applyFont="1" applyFill="1" applyBorder="1" applyAlignment="1">
      <alignment horizontal="center" vertical="top"/>
    </xf>
    <xf numFmtId="164" fontId="3" fillId="0" borderId="0" xfId="1" applyFont="1" applyAlignment="1">
      <alignment horizontal="left" vertical="center"/>
    </xf>
    <xf numFmtId="0" fontId="2" fillId="0" borderId="0" xfId="0" applyFont="1" applyAlignment="1">
      <alignment horizontal="left" vertical="center"/>
    </xf>
    <xf numFmtId="164" fontId="3" fillId="0" borderId="0" xfId="0" applyNumberFormat="1" applyFont="1" applyAlignment="1">
      <alignment horizontal="center" vertical="center"/>
    </xf>
    <xf numFmtId="0" fontId="3" fillId="0" borderId="0" xfId="0" applyFont="1" applyAlignment="1">
      <alignment horizontal="left" vertical="top"/>
    </xf>
    <xf numFmtId="0" fontId="3" fillId="0" borderId="0" xfId="0" applyFont="1" applyAlignment="1">
      <alignment horizontal="center" vertical="top"/>
    </xf>
    <xf numFmtId="164" fontId="2" fillId="0" borderId="0" xfId="1" applyFont="1" applyAlignment="1">
      <alignment horizontal="center" vertical="top"/>
    </xf>
    <xf numFmtId="0" fontId="3" fillId="0" borderId="0" xfId="2" applyNumberFormat="1" applyFont="1" applyAlignment="1">
      <alignment horizontal="left" vertical="top"/>
    </xf>
    <xf numFmtId="164" fontId="3" fillId="0" borderId="0" xfId="0" applyNumberFormat="1" applyFont="1" applyAlignment="1">
      <alignment horizontal="left" vertical="top"/>
    </xf>
    <xf numFmtId="164" fontId="2" fillId="0" borderId="0" xfId="1" applyFont="1" applyAlignment="1">
      <alignment horizontal="center" vertical="center" wrapText="1"/>
    </xf>
    <xf numFmtId="164" fontId="6" fillId="7" borderId="1" xfId="1" applyFont="1" applyFill="1" applyBorder="1" applyAlignment="1">
      <alignment horizontal="center" vertical="top"/>
    </xf>
    <xf numFmtId="164" fontId="5" fillId="4" borderId="1" xfId="0" applyNumberFormat="1" applyFont="1" applyFill="1" applyBorder="1" applyAlignment="1">
      <alignment horizontal="center" vertical="center"/>
    </xf>
    <xf numFmtId="0" fontId="12" fillId="0" borderId="0" xfId="0" applyFont="1" applyAlignment="1" applyProtection="1">
      <alignment horizontal="center" vertical="center"/>
      <protection hidden="1"/>
    </xf>
    <xf numFmtId="0" fontId="3" fillId="0" borderId="0" xfId="0" applyFont="1" applyProtection="1">
      <protection hidden="1"/>
    </xf>
    <xf numFmtId="0" fontId="2" fillId="0" borderId="0" xfId="0" applyFont="1" applyAlignment="1" applyProtection="1">
      <alignment horizontal="center" vertical="center"/>
      <protection locked="0"/>
    </xf>
    <xf numFmtId="164" fontId="15" fillId="0" borderId="0" xfId="0" applyNumberFormat="1" applyFont="1" applyAlignment="1">
      <alignment horizontal="center" vertical="top"/>
    </xf>
    <xf numFmtId="164" fontId="5" fillId="4" borderId="1" xfId="1" quotePrefix="1" applyFont="1" applyFill="1" applyBorder="1" applyAlignment="1">
      <alignment horizontal="center" vertical="center" wrapText="1"/>
    </xf>
    <xf numFmtId="164" fontId="17" fillId="0" borderId="1" xfId="1" applyFont="1" applyBorder="1" applyAlignment="1">
      <alignment horizontal="center" vertical="center"/>
    </xf>
    <xf numFmtId="164" fontId="3" fillId="0" borderId="0" xfId="1" applyFont="1" applyAlignment="1">
      <alignment vertical="center"/>
    </xf>
    <xf numFmtId="164" fontId="2" fillId="7" borderId="0" xfId="1" applyFont="1" applyFill="1" applyAlignment="1">
      <alignment horizontal="center" vertical="center"/>
    </xf>
    <xf numFmtId="164" fontId="4" fillId="0" borderId="1" xfId="1" applyFont="1" applyBorder="1" applyAlignment="1">
      <alignment vertical="center"/>
    </xf>
    <xf numFmtId="0" fontId="4" fillId="0" borderId="1" xfId="1" applyNumberFormat="1" applyFont="1" applyBorder="1" applyAlignment="1">
      <alignment vertical="center"/>
    </xf>
    <xf numFmtId="0" fontId="4" fillId="2" borderId="1" xfId="1" applyNumberFormat="1" applyFont="1" applyFill="1" applyBorder="1" applyAlignment="1">
      <alignment vertical="center"/>
    </xf>
    <xf numFmtId="164" fontId="5" fillId="2" borderId="1" xfId="1" applyFont="1" applyFill="1" applyBorder="1" applyAlignment="1">
      <alignment vertical="center"/>
    </xf>
    <xf numFmtId="165" fontId="4" fillId="3" borderId="1" xfId="1" applyNumberFormat="1" applyFont="1" applyFill="1" applyBorder="1" applyAlignment="1">
      <alignment vertical="center"/>
    </xf>
    <xf numFmtId="164" fontId="4" fillId="3" borderId="1" xfId="1" applyFont="1" applyFill="1" applyBorder="1" applyAlignment="1">
      <alignment vertical="center"/>
    </xf>
    <xf numFmtId="0" fontId="6" fillId="4" borderId="1" xfId="1" applyNumberFormat="1" applyFont="1" applyFill="1" applyBorder="1" applyAlignment="1">
      <alignment vertical="center"/>
    </xf>
    <xf numFmtId="164" fontId="5" fillId="10" borderId="1" xfId="1" applyFont="1" applyFill="1" applyBorder="1" applyAlignment="1">
      <alignment vertical="center"/>
    </xf>
    <xf numFmtId="0" fontId="5" fillId="9" borderId="1" xfId="1" applyNumberFormat="1" applyFont="1" applyFill="1" applyBorder="1" applyAlignment="1">
      <alignment horizontal="center" vertical="center"/>
    </xf>
    <xf numFmtId="164" fontId="6" fillId="2" borderId="1" xfId="1" applyFont="1" applyFill="1" applyBorder="1" applyAlignment="1">
      <alignment vertical="center"/>
    </xf>
    <xf numFmtId="164" fontId="9" fillId="10" borderId="1" xfId="1" applyFont="1" applyFill="1" applyBorder="1" applyAlignment="1">
      <alignment vertical="center"/>
    </xf>
    <xf numFmtId="164" fontId="4" fillId="2" borderId="1" xfId="1" applyFont="1" applyFill="1" applyBorder="1" applyAlignment="1">
      <alignment vertical="center"/>
    </xf>
    <xf numFmtId="164" fontId="8" fillId="2" borderId="1" xfId="1" applyFont="1" applyFill="1" applyBorder="1" applyAlignment="1">
      <alignment vertical="center"/>
    </xf>
    <xf numFmtId="164" fontId="3" fillId="0" borderId="1" xfId="1" applyFont="1" applyBorder="1" applyAlignment="1">
      <alignment vertical="center"/>
    </xf>
    <xf numFmtId="0" fontId="5" fillId="2" borderId="1" xfId="1" applyNumberFormat="1" applyFont="1" applyFill="1" applyBorder="1" applyAlignment="1">
      <alignment vertical="center"/>
    </xf>
    <xf numFmtId="164" fontId="9" fillId="4" borderId="1" xfId="1" applyFont="1" applyFill="1" applyBorder="1" applyAlignment="1">
      <alignment horizontal="center" vertical="top"/>
    </xf>
    <xf numFmtId="164" fontId="6" fillId="4" borderId="1" xfId="1" applyFont="1" applyFill="1" applyBorder="1" applyAlignment="1">
      <alignment horizontal="center" vertical="top"/>
    </xf>
    <xf numFmtId="0" fontId="4" fillId="6" borderId="0" xfId="0" applyFont="1" applyFill="1"/>
    <xf numFmtId="164" fontId="7" fillId="0" borderId="0" xfId="1" applyFont="1" applyAlignment="1">
      <alignment vertical="top"/>
    </xf>
    <xf numFmtId="164" fontId="15" fillId="0" borderId="1" xfId="1" applyFont="1" applyBorder="1" applyAlignment="1">
      <alignment horizontal="center" vertical="center" wrapText="1"/>
    </xf>
    <xf numFmtId="0" fontId="19" fillId="7" borderId="1" xfId="0" applyFont="1" applyFill="1" applyBorder="1" applyAlignment="1">
      <alignment vertical="center"/>
    </xf>
    <xf numFmtId="164" fontId="19" fillId="15" borderId="1" xfId="0" applyNumberFormat="1" applyFont="1" applyFill="1" applyBorder="1" applyAlignment="1">
      <alignment vertical="center"/>
    </xf>
    <xf numFmtId="164" fontId="19" fillId="13" borderId="1" xfId="0" applyNumberFormat="1" applyFont="1" applyFill="1" applyBorder="1" applyAlignment="1">
      <alignment vertical="center"/>
    </xf>
    <xf numFmtId="0" fontId="19" fillId="16" borderId="1" xfId="0" applyFont="1" applyFill="1" applyBorder="1" applyAlignment="1">
      <alignment vertical="center"/>
    </xf>
    <xf numFmtId="0" fontId="19" fillId="14" borderId="1" xfId="0" applyFont="1" applyFill="1" applyBorder="1" applyAlignment="1">
      <alignment vertical="center"/>
    </xf>
    <xf numFmtId="164" fontId="19" fillId="17" borderId="1" xfId="0" applyNumberFormat="1" applyFont="1" applyFill="1" applyBorder="1" applyAlignment="1">
      <alignment vertical="center"/>
    </xf>
    <xf numFmtId="0" fontId="18" fillId="0" borderId="1" xfId="0" applyFont="1" applyBorder="1" applyAlignment="1">
      <alignment vertical="center"/>
    </xf>
    <xf numFmtId="164" fontId="19" fillId="18" borderId="1" xfId="0" applyNumberFormat="1" applyFont="1" applyFill="1" applyBorder="1" applyAlignment="1">
      <alignment vertical="center"/>
    </xf>
    <xf numFmtId="0" fontId="19" fillId="15" borderId="1" xfId="0" applyFont="1" applyFill="1" applyBorder="1" applyAlignment="1">
      <alignment vertical="center"/>
    </xf>
    <xf numFmtId="0" fontId="19" fillId="17" borderId="1" xfId="0" applyFont="1" applyFill="1" applyBorder="1" applyAlignment="1">
      <alignment vertical="center"/>
    </xf>
    <xf numFmtId="0" fontId="19" fillId="18" borderId="1" xfId="0" applyFont="1" applyFill="1" applyBorder="1" applyAlignment="1">
      <alignment vertical="center"/>
    </xf>
    <xf numFmtId="0" fontId="19" fillId="13" borderId="1" xfId="0" applyFont="1" applyFill="1" applyBorder="1" applyAlignment="1">
      <alignment vertical="center"/>
    </xf>
    <xf numFmtId="164" fontId="20" fillId="8" borderId="1" xfId="0" applyNumberFormat="1" applyFont="1" applyFill="1" applyBorder="1" applyAlignment="1">
      <alignment vertical="center"/>
    </xf>
    <xf numFmtId="0" fontId="21" fillId="8" borderId="1" xfId="0" applyFont="1" applyFill="1" applyBorder="1" applyAlignment="1">
      <alignment vertical="center"/>
    </xf>
    <xf numFmtId="164" fontId="0" fillId="0" borderId="0" xfId="0" applyNumberFormat="1"/>
    <xf numFmtId="0" fontId="3" fillId="0" borderId="0" xfId="1" applyNumberFormat="1" applyFont="1" applyAlignment="1">
      <alignment vertical="center"/>
    </xf>
    <xf numFmtId="164" fontId="19" fillId="14" borderId="1" xfId="0" applyNumberFormat="1" applyFont="1" applyFill="1" applyBorder="1" applyAlignment="1">
      <alignment vertical="center"/>
    </xf>
    <xf numFmtId="0" fontId="2" fillId="0" borderId="0" xfId="0" applyFont="1"/>
    <xf numFmtId="0" fontId="2" fillId="4" borderId="1" xfId="0" applyFont="1" applyFill="1" applyBorder="1" applyAlignment="1">
      <alignment horizontal="center" vertical="center"/>
    </xf>
    <xf numFmtId="0" fontId="2" fillId="4" borderId="1" xfId="0" applyFont="1" applyFill="1" applyBorder="1"/>
    <xf numFmtId="164" fontId="2" fillId="4" borderId="1" xfId="1" applyFont="1" applyFill="1" applyBorder="1" applyAlignment="1">
      <alignment horizontal="center" vertical="top"/>
    </xf>
    <xf numFmtId="0" fontId="3" fillId="0" borderId="1" xfId="0" applyFont="1" applyBorder="1"/>
    <xf numFmtId="0" fontId="3" fillId="0" borderId="1" xfId="0" applyFont="1" applyBorder="1" applyAlignment="1">
      <alignment horizontal="center" vertical="center"/>
    </xf>
    <xf numFmtId="0" fontId="2" fillId="4" borderId="1" xfId="0" applyFont="1" applyFill="1" applyBorder="1" applyAlignment="1">
      <alignment horizontal="center"/>
    </xf>
    <xf numFmtId="0" fontId="3" fillId="0" borderId="1" xfId="0" applyFont="1" applyBorder="1" applyAlignment="1">
      <alignment horizontal="center"/>
    </xf>
    <xf numFmtId="0" fontId="3" fillId="0" borderId="0" xfId="0" applyFont="1" applyAlignment="1">
      <alignment horizontal="center"/>
    </xf>
    <xf numFmtId="0" fontId="2" fillId="4" borderId="1" xfId="0" applyFont="1" applyFill="1" applyBorder="1" applyAlignment="1">
      <alignment horizontal="center" vertical="top"/>
    </xf>
    <xf numFmtId="0" fontId="2" fillId="0" borderId="1" xfId="0" applyFont="1" applyBorder="1" applyAlignment="1">
      <alignment horizontal="center" vertical="center"/>
    </xf>
    <xf numFmtId="0" fontId="2" fillId="8" borderId="1" xfId="0" applyFont="1" applyFill="1" applyBorder="1" applyAlignment="1">
      <alignment horizontal="center" vertical="center"/>
    </xf>
    <xf numFmtId="164" fontId="15" fillId="10" borderId="1" xfId="1" applyFont="1" applyFill="1" applyBorder="1" applyAlignment="1">
      <alignment horizontal="center" vertical="center" wrapText="1"/>
    </xf>
    <xf numFmtId="164" fontId="5" fillId="10" borderId="1" xfId="1" applyFont="1" applyFill="1" applyBorder="1" applyAlignment="1">
      <alignment horizontal="center" vertical="center" wrapText="1"/>
    </xf>
    <xf numFmtId="0" fontId="0" fillId="7" borderId="0" xfId="0" applyFill="1"/>
    <xf numFmtId="12" fontId="3" fillId="0" borderId="0" xfId="1" applyNumberFormat="1" applyFont="1" applyAlignment="1">
      <alignment vertical="center"/>
    </xf>
    <xf numFmtId="164" fontId="4" fillId="0" borderId="1" xfId="1" applyNumberFormat="1" applyFont="1" applyBorder="1" applyAlignment="1">
      <alignment vertical="center"/>
    </xf>
    <xf numFmtId="10" fontId="8" fillId="0" borderId="0" xfId="1" applyNumberFormat="1" applyFont="1" applyBorder="1" applyAlignment="1">
      <alignment horizontal="center" vertical="center"/>
    </xf>
    <xf numFmtId="0" fontId="5" fillId="4" borderId="0" xfId="0" applyFont="1" applyFill="1" applyBorder="1" applyAlignment="1">
      <alignment horizontal="center" vertical="top"/>
    </xf>
    <xf numFmtId="0" fontId="5" fillId="19" borderId="1" xfId="0" applyFont="1" applyFill="1" applyBorder="1" applyAlignment="1">
      <alignment horizontal="center" vertical="top"/>
    </xf>
    <xf numFmtId="164" fontId="22" fillId="0" borderId="0" xfId="1" applyFont="1" applyAlignment="1">
      <alignment horizontal="right" vertical="center"/>
    </xf>
    <xf numFmtId="0" fontId="17" fillId="0" borderId="1" xfId="0" applyFont="1" applyBorder="1" applyAlignment="1">
      <alignment horizontal="center" vertical="center"/>
    </xf>
    <xf numFmtId="0" fontId="17" fillId="0" borderId="1" xfId="0" applyFont="1" applyBorder="1"/>
    <xf numFmtId="164" fontId="23" fillId="0" borderId="1" xfId="1" applyFont="1" applyBorder="1" applyAlignment="1">
      <alignment horizontal="center" vertical="center"/>
    </xf>
    <xf numFmtId="164" fontId="23" fillId="0" borderId="0" xfId="1" applyFont="1" applyBorder="1" applyAlignment="1">
      <alignment horizontal="center" vertical="center"/>
    </xf>
    <xf numFmtId="0" fontId="17" fillId="0" borderId="0" xfId="0" applyFont="1"/>
    <xf numFmtId="0" fontId="9" fillId="0" borderId="0" xfId="0" applyFont="1"/>
    <xf numFmtId="164" fontId="9" fillId="0" borderId="0" xfId="0" applyNumberFormat="1" applyFont="1"/>
    <xf numFmtId="164" fontId="17" fillId="7" borderId="1" xfId="1" applyFont="1" applyFill="1" applyBorder="1" applyAlignment="1">
      <alignment horizontal="center" vertical="center"/>
    </xf>
    <xf numFmtId="164" fontId="18" fillId="0" borderId="1" xfId="1" applyFont="1" applyBorder="1" applyAlignment="1">
      <alignment vertical="center"/>
    </xf>
    <xf numFmtId="0" fontId="2" fillId="0" borderId="0" xfId="0" quotePrefix="1" applyFont="1" applyAlignment="1" applyProtection="1">
      <alignment horizontal="center" vertical="center"/>
      <protection locked="0"/>
    </xf>
    <xf numFmtId="14" fontId="3" fillId="0" borderId="0" xfId="0" applyNumberFormat="1" applyFont="1" applyAlignment="1" applyProtection="1">
      <alignment vertical="center"/>
      <protection locked="0"/>
    </xf>
    <xf numFmtId="164" fontId="0" fillId="0" borderId="0" xfId="1" applyFont="1" applyAlignment="1">
      <alignment horizontal="center" vertical="center"/>
    </xf>
    <xf numFmtId="164" fontId="19" fillId="7" borderId="1" xfId="0" applyNumberFormat="1" applyFont="1" applyFill="1" applyBorder="1" applyAlignment="1">
      <alignment vertical="center"/>
    </xf>
    <xf numFmtId="0" fontId="9" fillId="19" borderId="1" xfId="0" applyFont="1" applyFill="1" applyBorder="1" applyAlignment="1">
      <alignment horizontal="center" vertical="center"/>
    </xf>
    <xf numFmtId="0" fontId="9" fillId="0" borderId="0" xfId="0" applyNumberFormat="1" applyFont="1" applyAlignment="1">
      <alignment horizontal="center" vertical="center"/>
    </xf>
    <xf numFmtId="164" fontId="7" fillId="0" borderId="0" xfId="1" applyFont="1" applyAlignment="1">
      <alignment horizontal="center" vertical="top"/>
    </xf>
    <xf numFmtId="164" fontId="25" fillId="0" borderId="0" xfId="1" applyFont="1" applyAlignment="1">
      <alignment vertical="center"/>
    </xf>
    <xf numFmtId="0" fontId="3" fillId="0" borderId="0" xfId="0" applyNumberFormat="1" applyFont="1" applyAlignment="1" applyProtection="1">
      <alignment vertical="center"/>
      <protection locked="0"/>
    </xf>
    <xf numFmtId="0" fontId="3" fillId="0" borderId="0" xfId="0" applyFont="1" applyAlignment="1" applyProtection="1">
      <alignment horizontal="right" vertical="center"/>
      <protection locked="0"/>
    </xf>
    <xf numFmtId="164" fontId="2" fillId="7" borderId="0" xfId="1" applyFont="1" applyFill="1" applyAlignment="1">
      <alignment horizontal="center" vertical="center"/>
    </xf>
    <xf numFmtId="0" fontId="5" fillId="4" borderId="1" xfId="1" applyNumberFormat="1" applyFont="1" applyFill="1" applyBorder="1" applyAlignment="1">
      <alignment horizontal="center" vertical="top"/>
    </xf>
    <xf numFmtId="0" fontId="9" fillId="10" borderId="1" xfId="1" applyNumberFormat="1" applyFont="1" applyFill="1" applyBorder="1" applyAlignment="1">
      <alignment vertical="center"/>
    </xf>
    <xf numFmtId="166" fontId="4" fillId="3" borderId="1" xfId="1" applyNumberFormat="1" applyFont="1" applyFill="1" applyBorder="1" applyAlignment="1">
      <alignment vertical="center"/>
    </xf>
    <xf numFmtId="164" fontId="5" fillId="0" borderId="1" xfId="1" applyFont="1" applyBorder="1" applyAlignment="1">
      <alignment horizontal="center" vertical="top" wrapText="1"/>
    </xf>
    <xf numFmtId="1" fontId="4" fillId="2" borderId="1" xfId="1" applyNumberFormat="1" applyFont="1" applyFill="1" applyBorder="1" applyAlignment="1">
      <alignment vertical="center"/>
    </xf>
    <xf numFmtId="1" fontId="5" fillId="2" borderId="1" xfId="1" applyNumberFormat="1" applyFont="1" applyFill="1" applyBorder="1" applyAlignment="1">
      <alignment vertical="center"/>
    </xf>
    <xf numFmtId="1" fontId="4" fillId="3" borderId="1" xfId="1" applyNumberFormat="1" applyFont="1" applyFill="1" applyBorder="1" applyAlignment="1">
      <alignment vertical="center"/>
    </xf>
    <xf numFmtId="0" fontId="2" fillId="0" borderId="0" xfId="0" applyFont="1" applyAlignment="1">
      <alignment horizontal="left"/>
    </xf>
    <xf numFmtId="0" fontId="3" fillId="0" borderId="0" xfId="0" applyFont="1" applyAlignment="1">
      <alignment vertical="center"/>
    </xf>
    <xf numFmtId="0" fontId="2" fillId="4" borderId="1" xfId="0" applyFont="1" applyFill="1" applyBorder="1" applyAlignment="1" applyProtection="1">
      <alignment horizontal="center" vertical="center"/>
      <protection hidden="1"/>
    </xf>
    <xf numFmtId="0" fontId="2" fillId="4" borderId="1" xfId="0" applyFont="1" applyFill="1" applyBorder="1" applyAlignment="1" applyProtection="1">
      <alignment horizontal="center" vertical="center"/>
      <protection locked="0"/>
    </xf>
    <xf numFmtId="0" fontId="14" fillId="0" borderId="0" xfId="0" applyFont="1" applyAlignment="1" applyProtection="1">
      <alignment horizontal="center" vertical="top"/>
      <protection locked="0"/>
    </xf>
    <xf numFmtId="0" fontId="3" fillId="0" borderId="0" xfId="0" applyFont="1" applyAlignment="1" applyProtection="1">
      <alignment vertical="top"/>
      <protection locked="0"/>
    </xf>
    <xf numFmtId="0" fontId="9" fillId="0" borderId="2" xfId="0" applyFont="1" applyBorder="1" applyAlignment="1" applyProtection="1">
      <alignment horizontal="center" vertical="center"/>
      <protection locked="0"/>
    </xf>
    <xf numFmtId="0" fontId="15" fillId="4" borderId="1" xfId="0" applyFont="1" applyFill="1" applyBorder="1" applyAlignment="1" applyProtection="1">
      <alignment horizontal="center" vertical="center" wrapText="1"/>
      <protection locked="0"/>
    </xf>
    <xf numFmtId="0" fontId="12" fillId="0" borderId="0" xfId="0" applyFont="1" applyAlignment="1" applyProtection="1">
      <alignment vertical="center"/>
      <protection locked="0"/>
    </xf>
    <xf numFmtId="0" fontId="12" fillId="0" borderId="0" xfId="0" applyNumberFormat="1" applyFont="1" applyAlignment="1" applyProtection="1">
      <alignment horizontal="center" vertical="center"/>
      <protection locked="0"/>
    </xf>
    <xf numFmtId="164" fontId="13" fillId="0" borderId="0" xfId="0" applyNumberFormat="1" applyFont="1" applyAlignment="1" applyProtection="1">
      <alignment horizontal="center" vertical="center"/>
      <protection locked="0"/>
    </xf>
    <xf numFmtId="0" fontId="5" fillId="0" borderId="2" xfId="0" applyFont="1" applyBorder="1" applyAlignment="1" applyProtection="1">
      <alignment vertical="center"/>
    </xf>
    <xf numFmtId="0" fontId="28" fillId="0" borderId="0" xfId="0" applyFont="1" applyAlignment="1" applyProtection="1">
      <alignment horizontal="center" vertical="center"/>
      <protection locked="0"/>
    </xf>
    <xf numFmtId="0" fontId="4" fillId="0" borderId="0" xfId="1" applyNumberFormat="1" applyFont="1"/>
    <xf numFmtId="164" fontId="2" fillId="7" borderId="0" xfId="1" applyFont="1" applyFill="1" applyAlignment="1">
      <alignment horizontal="center" vertical="center"/>
    </xf>
    <xf numFmtId="164" fontId="2" fillId="0" borderId="0" xfId="1" applyFont="1" applyAlignment="1">
      <alignment horizontal="center" vertical="center"/>
    </xf>
    <xf numFmtId="0" fontId="29" fillId="0" borderId="2" xfId="0" applyFont="1" applyFill="1" applyBorder="1" applyAlignment="1" applyProtection="1">
      <alignment vertical="center"/>
      <protection locked="0"/>
    </xf>
    <xf numFmtId="164" fontId="5" fillId="0" borderId="0" xfId="1" applyFont="1" applyAlignment="1">
      <alignment vertical="center"/>
    </xf>
    <xf numFmtId="0" fontId="0" fillId="8" borderId="0" xfId="0" applyFill="1"/>
    <xf numFmtId="0" fontId="12" fillId="0" borderId="0" xfId="0" applyFont="1" applyFill="1" applyAlignment="1" applyProtection="1">
      <alignment vertical="center"/>
      <protection locked="0"/>
    </xf>
    <xf numFmtId="164" fontId="12" fillId="0" borderId="0" xfId="1" applyFont="1" applyAlignment="1" applyProtection="1">
      <alignment horizontal="right" vertical="center"/>
      <protection locked="0"/>
    </xf>
    <xf numFmtId="164" fontId="12" fillId="0" borderId="0" xfId="1" applyFont="1" applyAlignment="1" applyProtection="1">
      <alignment horizontal="right" vertical="center"/>
    </xf>
    <xf numFmtId="0" fontId="9" fillId="0" borderId="1" xfId="1" applyNumberFormat="1" applyFont="1" applyBorder="1" applyAlignment="1">
      <alignment horizontal="center" vertical="center"/>
    </xf>
    <xf numFmtId="164" fontId="9" fillId="0" borderId="1" xfId="1" applyFont="1" applyBorder="1" applyAlignment="1">
      <alignment horizontal="center" vertical="center"/>
    </xf>
    <xf numFmtId="2" fontId="3" fillId="0" borderId="0" xfId="1" applyNumberFormat="1" applyFont="1" applyAlignment="1">
      <alignment vertical="center"/>
    </xf>
    <xf numFmtId="2" fontId="9" fillId="10" borderId="1" xfId="1" applyNumberFormat="1" applyFont="1" applyFill="1" applyBorder="1" applyAlignment="1">
      <alignment vertical="center"/>
    </xf>
    <xf numFmtId="2" fontId="4" fillId="0" borderId="1" xfId="1" applyNumberFormat="1" applyFont="1" applyBorder="1" applyAlignment="1">
      <alignment horizontal="center" vertical="center"/>
    </xf>
    <xf numFmtId="0" fontId="25" fillId="0" borderId="0" xfId="1" applyNumberFormat="1" applyFont="1" applyAlignment="1">
      <alignment vertical="center"/>
    </xf>
    <xf numFmtId="0" fontId="30" fillId="0" borderId="1" xfId="1" applyNumberFormat="1" applyFont="1" applyFill="1" applyBorder="1" applyAlignment="1">
      <alignment horizontal="center" vertical="center"/>
    </xf>
    <xf numFmtId="164" fontId="3" fillId="0" borderId="0" xfId="0" applyNumberFormat="1" applyFont="1"/>
    <xf numFmtId="0" fontId="4" fillId="0" borderId="1" xfId="0" applyFont="1" applyBorder="1" applyAlignment="1" applyProtection="1">
      <alignment horizontal="center" vertical="center"/>
      <protection hidden="1"/>
    </xf>
    <xf numFmtId="0" fontId="7" fillId="0" borderId="1" xfId="0" applyFont="1" applyBorder="1" applyAlignment="1" applyProtection="1">
      <alignment vertical="center"/>
      <protection hidden="1"/>
    </xf>
    <xf numFmtId="164" fontId="25" fillId="0" borderId="1" xfId="1" applyFont="1" applyBorder="1" applyAlignment="1" applyProtection="1">
      <alignment horizontal="center" vertical="center"/>
      <protection hidden="1"/>
    </xf>
    <xf numFmtId="0" fontId="8" fillId="0" borderId="0" xfId="1" applyNumberFormat="1" applyFont="1" applyBorder="1" applyAlignment="1" applyProtection="1">
      <alignment horizontal="center" vertical="center"/>
      <protection hidden="1"/>
    </xf>
    <xf numFmtId="0" fontId="25" fillId="0" borderId="0" xfId="1" applyNumberFormat="1" applyFont="1" applyBorder="1" applyAlignment="1" applyProtection="1">
      <alignment horizontal="center" vertical="center"/>
      <protection hidden="1"/>
    </xf>
    <xf numFmtId="166" fontId="8" fillId="0" borderId="0" xfId="1" applyNumberFormat="1" applyFont="1" applyBorder="1" applyAlignment="1" applyProtection="1">
      <alignment horizontal="center" vertical="center"/>
      <protection hidden="1"/>
    </xf>
    <xf numFmtId="164" fontId="8" fillId="0" borderId="0" xfId="1" applyFont="1" applyBorder="1" applyAlignment="1" applyProtection="1">
      <alignment horizontal="center" vertical="center"/>
      <protection hidden="1"/>
    </xf>
    <xf numFmtId="0" fontId="4" fillId="6" borderId="1" xfId="0" applyFont="1" applyFill="1" applyBorder="1" applyAlignment="1" applyProtection="1">
      <alignment horizontal="center" vertical="center"/>
      <protection hidden="1"/>
    </xf>
    <xf numFmtId="0" fontId="7" fillId="6" borderId="1" xfId="0" applyFont="1" applyFill="1" applyBorder="1" applyAlignment="1" applyProtection="1">
      <alignment vertical="center"/>
      <protection hidden="1"/>
    </xf>
    <xf numFmtId="0" fontId="4" fillId="5" borderId="1" xfId="0" applyFont="1" applyFill="1" applyBorder="1" applyAlignment="1" applyProtection="1">
      <alignment horizontal="center" vertical="center"/>
      <protection hidden="1"/>
    </xf>
    <xf numFmtId="0" fontId="7" fillId="5" borderId="1" xfId="0" applyFont="1" applyFill="1" applyBorder="1" applyAlignment="1" applyProtection="1">
      <alignment vertical="center"/>
      <protection hidden="1"/>
    </xf>
    <xf numFmtId="0" fontId="19" fillId="20" borderId="0" xfId="0" applyFont="1" applyFill="1" applyAlignment="1" applyProtection="1">
      <alignment horizontal="center" vertical="center"/>
      <protection locked="0"/>
    </xf>
    <xf numFmtId="164" fontId="4" fillId="20" borderId="0" xfId="0" quotePrefix="1" applyNumberFormat="1" applyFont="1" applyFill="1" applyAlignment="1" applyProtection="1">
      <alignment horizontal="center" vertical="center"/>
      <protection locked="0"/>
    </xf>
    <xf numFmtId="0" fontId="19" fillId="18" borderId="0" xfId="0" applyFont="1" applyFill="1" applyAlignment="1" applyProtection="1">
      <alignment horizontal="center" vertical="center"/>
      <protection locked="0"/>
    </xf>
    <xf numFmtId="164" fontId="4" fillId="18" borderId="0" xfId="0" quotePrefix="1" applyNumberFormat="1" applyFont="1" applyFill="1" applyAlignment="1" applyProtection="1">
      <alignment horizontal="center" vertical="center"/>
      <protection locked="0"/>
    </xf>
    <xf numFmtId="164" fontId="5" fillId="0" borderId="0" xfId="0" applyNumberFormat="1" applyFont="1" applyAlignment="1" applyProtection="1">
      <alignment vertical="center"/>
      <protection locked="0"/>
    </xf>
    <xf numFmtId="164" fontId="4" fillId="0" borderId="0" xfId="0" applyNumberFormat="1" applyFont="1" applyProtection="1">
      <protection locked="0"/>
    </xf>
    <xf numFmtId="0" fontId="4" fillId="0" borderId="0" xfId="0" applyFont="1" applyProtection="1">
      <protection locked="0"/>
    </xf>
    <xf numFmtId="0" fontId="19" fillId="5" borderId="0" xfId="0" applyFont="1" applyFill="1" applyAlignment="1" applyProtection="1">
      <alignment horizontal="center" vertical="center"/>
      <protection locked="0"/>
    </xf>
    <xf numFmtId="164" fontId="4" fillId="5" borderId="0" xfId="0" quotePrefix="1" applyNumberFormat="1" applyFont="1" applyFill="1" applyAlignment="1" applyProtection="1">
      <alignment horizontal="center" vertical="center"/>
      <protection locked="0"/>
    </xf>
    <xf numFmtId="164" fontId="4" fillId="0" borderId="0" xfId="0" applyNumberFormat="1" applyFont="1" applyAlignment="1" applyProtection="1">
      <alignment horizontal="center" vertical="center"/>
      <protection locked="0"/>
    </xf>
    <xf numFmtId="0" fontId="12" fillId="7" borderId="0" xfId="0" applyFont="1" applyFill="1" applyAlignment="1" applyProtection="1">
      <alignment vertical="center"/>
      <protection locked="0"/>
    </xf>
    <xf numFmtId="164" fontId="2" fillId="7" borderId="0" xfId="1" applyFont="1" applyFill="1" applyAlignment="1">
      <alignment horizontal="center" vertical="center"/>
    </xf>
    <xf numFmtId="0" fontId="7" fillId="0" borderId="1" xfId="0" applyFont="1" applyBorder="1" applyAlignment="1">
      <alignment horizontal="center" vertical="center"/>
    </xf>
    <xf numFmtId="164" fontId="16" fillId="12" borderId="0" xfId="0" applyNumberFormat="1" applyFont="1" applyFill="1" applyAlignment="1" applyProtection="1">
      <alignment horizontal="center" vertical="center"/>
      <protection locked="0"/>
    </xf>
    <xf numFmtId="0" fontId="16" fillId="12" borderId="2" xfId="0" applyFont="1" applyFill="1" applyBorder="1" applyAlignment="1" applyProtection="1">
      <alignment horizontal="center" vertical="center"/>
      <protection locked="0"/>
    </xf>
    <xf numFmtId="0" fontId="24" fillId="0" borderId="0" xfId="0" applyNumberFormat="1" applyFont="1" applyAlignment="1" applyProtection="1">
      <alignment horizontal="center" vertical="center" wrapText="1"/>
      <protection locked="0"/>
    </xf>
    <xf numFmtId="0" fontId="24" fillId="0" borderId="2" xfId="0" applyNumberFormat="1" applyFont="1" applyBorder="1" applyAlignment="1" applyProtection="1">
      <alignment horizontal="center" vertical="center" wrapText="1"/>
      <protection locked="0"/>
    </xf>
    <xf numFmtId="164" fontId="2" fillId="11" borderId="1" xfId="0" applyNumberFormat="1" applyFont="1" applyFill="1" applyBorder="1" applyAlignment="1" applyProtection="1">
      <alignment horizontal="center" vertical="center" wrapText="1"/>
      <protection locked="0"/>
    </xf>
    <xf numFmtId="164" fontId="7" fillId="7" borderId="1" xfId="0" applyNumberFormat="1" applyFont="1" applyFill="1" applyBorder="1" applyAlignment="1" applyProtection="1">
      <alignment horizontal="center" vertical="center" wrapText="1"/>
      <protection locked="0"/>
    </xf>
    <xf numFmtId="164" fontId="16" fillId="7" borderId="1" xfId="0" applyNumberFormat="1" applyFont="1" applyFill="1" applyBorder="1" applyAlignment="1" applyProtection="1">
      <alignment horizontal="center" vertical="center"/>
      <protection locked="0"/>
    </xf>
    <xf numFmtId="164" fontId="5" fillId="11" borderId="1" xfId="0" applyNumberFormat="1" applyFont="1" applyFill="1" applyBorder="1" applyAlignment="1" applyProtection="1">
      <alignment horizontal="center" vertical="center" wrapText="1"/>
      <protection locked="0"/>
    </xf>
    <xf numFmtId="0" fontId="27" fillId="0" borderId="0" xfId="0" applyFont="1" applyAlignment="1" applyProtection="1">
      <alignment horizontal="left" vertical="center"/>
    </xf>
    <xf numFmtId="0" fontId="9" fillId="0" borderId="2" xfId="0" applyFont="1" applyBorder="1" applyAlignment="1" applyProtection="1">
      <alignment horizontal="right" vertical="center"/>
    </xf>
    <xf numFmtId="0" fontId="2" fillId="0" borderId="0" xfId="0" applyFont="1" applyAlignment="1" applyProtection="1">
      <alignment horizontal="left" vertical="top"/>
    </xf>
    <xf numFmtId="0" fontId="2" fillId="0" borderId="0" xfId="0" applyFont="1" applyBorder="1" applyAlignment="1" applyProtection="1">
      <alignment horizontal="left" vertical="top"/>
    </xf>
    <xf numFmtId="0" fontId="26" fillId="0" borderId="0" xfId="0" applyFont="1" applyBorder="1" applyAlignment="1" applyProtection="1">
      <alignment horizontal="center" vertical="center"/>
    </xf>
    <xf numFmtId="0" fontId="2" fillId="0" borderId="0" xfId="0" applyFont="1" applyAlignment="1" applyProtection="1">
      <alignment horizontal="right" vertical="center" wrapText="1"/>
    </xf>
    <xf numFmtId="0" fontId="2" fillId="0" borderId="0" xfId="0" applyFont="1" applyAlignment="1" applyProtection="1">
      <alignment horizontal="center" vertical="center" wrapText="1"/>
    </xf>
    <xf numFmtId="0" fontId="33" fillId="0" borderId="0" xfId="0" applyFont="1" applyAlignment="1">
      <alignment horizontal="center" vertical="center"/>
    </xf>
    <xf numFmtId="0" fontId="33" fillId="0" borderId="0" xfId="0" applyFont="1" applyAlignment="1">
      <alignment vertical="center"/>
    </xf>
    <xf numFmtId="164" fontId="33" fillId="0" borderId="0" xfId="0" applyNumberFormat="1" applyFont="1" applyAlignment="1">
      <alignment horizontal="center" vertical="center"/>
    </xf>
    <xf numFmtId="0" fontId="33" fillId="0" borderId="1" xfId="0" pivotButton="1" applyFont="1" applyBorder="1" applyAlignment="1">
      <alignment horizontal="center" vertical="center"/>
    </xf>
    <xf numFmtId="0" fontId="33" fillId="0" borderId="0" xfId="0" applyFont="1" applyAlignment="1">
      <alignment horizontal="left" vertical="center"/>
    </xf>
    <xf numFmtId="164" fontId="33" fillId="0" borderId="0" xfId="0" applyNumberFormat="1" applyFont="1" applyAlignment="1">
      <alignment vertical="center"/>
    </xf>
  </cellXfs>
  <cellStyles count="3">
    <cellStyle name="Comma [0]" xfId="1" builtinId="6"/>
    <cellStyle name="Normal" xfId="0" builtinId="0"/>
    <cellStyle name="Percent" xfId="2" builtinId="5"/>
  </cellStyles>
  <dxfs count="510">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alignment horizontal="center" readingOrder="0"/>
    </dxf>
    <dxf>
      <alignment horizontal="center" readingOrder="0"/>
    </dxf>
    <dxf>
      <alignment horizontal="center" readingOrder="0"/>
    </dxf>
    <dxf>
      <alignment horizontal="general" readingOrder="0"/>
    </dxf>
    <dxf>
      <alignment horizontal="center" readingOrder="0"/>
    </dxf>
    <dxf>
      <alignment horizontal="left"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readingOrder="0"/>
    </dxf>
    <dxf>
      <alignment vertical="center" readingOrder="0"/>
    </dxf>
    <dxf>
      <font>
        <b/>
      </font>
    </dxf>
    <dxf>
      <font>
        <sz val="14"/>
      </font>
    </dxf>
    <dxf>
      <alignment vertical="center" readingOrder="0"/>
    </dxf>
    <dxf>
      <alignment horizontal="center" readingOrder="0"/>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sz val="18"/>
      </font>
    </dxf>
    <dxf>
      <font>
        <sz val="18"/>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vertical="top" readingOrder="0"/>
    </dxf>
    <dxf>
      <alignment vertical="top" readingOrder="0"/>
    </dxf>
    <dxf>
      <alignment vertical="top" readingOrder="0"/>
    </dxf>
    <dxf>
      <alignment vertical="top" readingOrder="0"/>
    </dxf>
    <dxf>
      <font>
        <name val="Times New Roman"/>
        <scheme val="none"/>
      </font>
    </dxf>
    <dxf>
      <alignment horizont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left" readingOrder="0"/>
    </dxf>
    <dxf>
      <alignment horizont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b/>
        <i val="0"/>
        <sz val="14"/>
        <name val="Arial"/>
        <scheme val="none"/>
      </font>
      <fill>
        <patternFill>
          <bgColor theme="8" tint="0.39994506668294322"/>
        </patternFill>
      </fill>
      <border>
        <left style="thick">
          <color auto="1"/>
        </left>
        <right style="thick">
          <color auto="1"/>
        </right>
        <top style="thick">
          <color auto="1"/>
        </top>
        <bottom style="thick">
          <color auto="1"/>
        </bottom>
      </border>
    </dxf>
    <dxf>
      <border>
        <left style="thin">
          <color theme="1"/>
        </left>
        <right style="thin">
          <color theme="1"/>
        </right>
        <top style="thin">
          <color theme="1"/>
        </top>
        <bottom style="thin">
          <color theme="1"/>
        </bottom>
      </border>
    </dxf>
  </dxfs>
  <tableStyles count="1" defaultTableStyle="TableStyleMedium2" defaultPivotStyle="PivotStyleLight16">
    <tableStyle name="Slicer Style 1 2" pivot="0" table="0" count="6">
      <tableStyleElement type="wholeTable" dxfId="509"/>
      <tableStyleElement type="headerRow" dxfId="508"/>
    </tableStyle>
  </tableStyles>
  <extLst>
    <ext xmlns:x14="http://schemas.microsoft.com/office/spreadsheetml/2009/9/main" uri="{46F421CA-312F-682f-3DD2-61675219B42D}">
      <x14:dxfs count="4">
        <dxf>
          <font>
            <b/>
            <i val="0"/>
            <sz val="12"/>
            <name val="Arial"/>
            <scheme val="none"/>
          </font>
        </dxf>
        <dxf>
          <font>
            <b/>
            <i val="0"/>
            <sz val="12"/>
            <name val="Arial"/>
            <scheme val="none"/>
          </font>
        </dxf>
        <dxf>
          <font>
            <b/>
            <i val="0"/>
            <sz val="11"/>
            <name val="Arial"/>
            <scheme val="none"/>
          </font>
          <fill>
            <patternFill>
              <bgColor theme="9" tint="0.39994506668294322"/>
            </patternFill>
          </fill>
          <border>
            <left style="thin">
              <color auto="1"/>
            </left>
            <right style="thin">
              <color auto="1"/>
            </right>
            <top style="thin">
              <color auto="1"/>
            </top>
            <bottom style="thin">
              <color auto="1"/>
            </bottom>
          </border>
        </dxf>
        <dxf>
          <font>
            <b/>
            <i val="0"/>
            <sz val="11"/>
            <name val="Arial"/>
            <scheme val="none"/>
          </font>
          <fill>
            <patternFill patternType="none">
              <bgColor auto="1"/>
            </patternFill>
          </fill>
          <border>
            <left style="thin">
              <color rgb="FF00B0F0"/>
            </left>
            <right style="thin">
              <color rgb="FF00B0F0"/>
            </right>
            <top style="thin">
              <color rgb="FF00B0F0"/>
            </top>
            <bottom style="thin">
              <color rgb="FF00B0F0"/>
            </bottom>
          </border>
        </dxf>
      </x14:dxfs>
    </ext>
    <ext xmlns:x14="http://schemas.microsoft.com/office/spreadsheetml/2009/9/main" uri="{EB79DEF2-80B8-43e5-95BD-54CBDDF9020C}">
      <x14:slicerStyles defaultSlicerStyle="SlicerStyleLight1">
        <x14:slicerStyle name="Slicer Style 1 2">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07/relationships/slicerCache" Target="slicerCaches/slicerCach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pivotCacheDefinition" Target="pivotCache/pivotCacheDefinition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13</xdr:col>
      <xdr:colOff>127159</xdr:colOff>
      <xdr:row>23</xdr:row>
      <xdr:rowOff>119062</xdr:rowOff>
    </xdr:to>
    <mc:AlternateContent xmlns:mc="http://schemas.openxmlformats.org/markup-compatibility/2006" xmlns:a14="http://schemas.microsoft.com/office/drawing/2010/main">
      <mc:Choice Requires="a14">
        <xdr:graphicFrame macro="">
          <xdr:nvGraphicFramePr>
            <xdr:cNvPr id="2" name="Tên hàng"/>
            <xdr:cNvGraphicFramePr/>
          </xdr:nvGraphicFramePr>
          <xdr:xfrm>
            <a:off x="0" y="0"/>
            <a:ext cx="0" cy="0"/>
          </xdr:xfrm>
          <a:graphic>
            <a:graphicData uri="http://schemas.microsoft.com/office/drawing/2010/slicer">
              <sle:slicer xmlns:sle="http://schemas.microsoft.com/office/drawing/2010/slicer" name="Tên hàng"/>
            </a:graphicData>
          </a:graphic>
        </xdr:graphicFrame>
      </mc:Choice>
      <mc:Fallback xmlns="">
        <xdr:sp macro="" textlink="">
          <xdr:nvSpPr>
            <xdr:cNvPr id="0" name=""/>
            <xdr:cNvSpPr>
              <a:spLocks noTextEdit="1"/>
            </xdr:cNvSpPr>
          </xdr:nvSpPr>
          <xdr:spPr>
            <a:xfrm>
              <a:off x="0" y="0"/>
              <a:ext cx="9235440" cy="5643562"/>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mc:AlternateContent xmlns:mc="http://schemas.openxmlformats.org/markup-compatibility/2006">
    <mc:Choice xmlns:a14="http://schemas.microsoft.com/office/drawing/2010/main" Requires="a14">
      <xdr:twoCellAnchor>
        <xdr:from>
          <xdr:col>0</xdr:col>
          <xdr:colOff>47625</xdr:colOff>
          <xdr:row>0</xdr:row>
          <xdr:rowOff>47625</xdr:rowOff>
        </xdr:from>
        <xdr:to>
          <xdr:col>1</xdr:col>
          <xdr:colOff>714375</xdr:colOff>
          <xdr:row>1</xdr:row>
          <xdr:rowOff>19050</xdr:rowOff>
        </xdr:to>
        <xdr:sp macro="" textlink="">
          <xdr:nvSpPr>
            <xdr:cNvPr id="5121" name="Button 1" hidden="1">
              <a:extLst>
                <a:ext uri="{63B3BB69-23CF-44E3-9099-C40C66FF867C}">
                  <a14:compatExt spid="_x0000_s512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sng" strike="noStrike" baseline="0">
                  <a:solidFill>
                    <a:srgbClr val="FF0000"/>
                  </a:solidFill>
                  <a:latin typeface="Arial"/>
                  <a:cs typeface="Arial"/>
                </a:rPr>
                <a:t>Lên Đơn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723900</xdr:colOff>
          <xdr:row>7</xdr:row>
          <xdr:rowOff>0</xdr:rowOff>
        </xdr:to>
        <xdr:sp macro="" textlink="">
          <xdr:nvSpPr>
            <xdr:cNvPr id="8194" name="Button 2" hidden="1">
              <a:extLst>
                <a:ext uri="{63B3BB69-23CF-44E3-9099-C40C66FF867C}">
                  <a14:compatExt spid="_x0000_s8194"/>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723900</xdr:colOff>
          <xdr:row>7</xdr:row>
          <xdr:rowOff>0</xdr:rowOff>
        </xdr:to>
        <xdr:sp macro="" textlink="">
          <xdr:nvSpPr>
            <xdr:cNvPr id="166913" name="Button 1" hidden="1">
              <a:extLst>
                <a:ext uri="{63B3BB69-23CF-44E3-9099-C40C66FF867C}">
                  <a14:compatExt spid="_x0000_s16691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723900</xdr:colOff>
          <xdr:row>7</xdr:row>
          <xdr:rowOff>0</xdr:rowOff>
        </xdr:to>
        <xdr:sp macro="" textlink="">
          <xdr:nvSpPr>
            <xdr:cNvPr id="153601" name="Button 1" hidden="1">
              <a:extLst>
                <a:ext uri="{63B3BB69-23CF-44E3-9099-C40C66FF867C}">
                  <a14:compatExt spid="_x0000_s15360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723900</xdr:colOff>
          <xdr:row>7</xdr:row>
          <xdr:rowOff>0</xdr:rowOff>
        </xdr:to>
        <xdr:sp macro="" textlink="">
          <xdr:nvSpPr>
            <xdr:cNvPr id="152577" name="Button 1" hidden="1">
              <a:extLst>
                <a:ext uri="{63B3BB69-23CF-44E3-9099-C40C66FF867C}">
                  <a14:compatExt spid="_x0000_s15257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723900</xdr:colOff>
          <xdr:row>7</xdr:row>
          <xdr:rowOff>0</xdr:rowOff>
        </xdr:to>
        <xdr:sp macro="" textlink="">
          <xdr:nvSpPr>
            <xdr:cNvPr id="151553" name="Button 1" hidden="1">
              <a:extLst>
                <a:ext uri="{63B3BB69-23CF-44E3-9099-C40C66FF867C}">
                  <a14:compatExt spid="_x0000_s15155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723900</xdr:colOff>
          <xdr:row>7</xdr:row>
          <xdr:rowOff>0</xdr:rowOff>
        </xdr:to>
        <xdr:sp macro="" textlink="">
          <xdr:nvSpPr>
            <xdr:cNvPr id="150529" name="Button 1" hidden="1">
              <a:extLst>
                <a:ext uri="{63B3BB69-23CF-44E3-9099-C40C66FF867C}">
                  <a14:compatExt spid="_x0000_s15052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723900</xdr:colOff>
          <xdr:row>7</xdr:row>
          <xdr:rowOff>0</xdr:rowOff>
        </xdr:to>
        <xdr:sp macro="" textlink="">
          <xdr:nvSpPr>
            <xdr:cNvPr id="149505" name="Button 1" hidden="1">
              <a:extLst>
                <a:ext uri="{63B3BB69-23CF-44E3-9099-C40C66FF867C}">
                  <a14:compatExt spid="_x0000_s14950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723900</xdr:colOff>
          <xdr:row>7</xdr:row>
          <xdr:rowOff>0</xdr:rowOff>
        </xdr:to>
        <xdr:sp macro="" textlink="">
          <xdr:nvSpPr>
            <xdr:cNvPr id="148481" name="Button 1" hidden="1">
              <a:extLst>
                <a:ext uri="{63B3BB69-23CF-44E3-9099-C40C66FF867C}">
                  <a14:compatExt spid="_x0000_s14848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723900</xdr:colOff>
          <xdr:row>7</xdr:row>
          <xdr:rowOff>0</xdr:rowOff>
        </xdr:to>
        <xdr:sp macro="" textlink="">
          <xdr:nvSpPr>
            <xdr:cNvPr id="147457" name="Button 1" hidden="1">
              <a:extLst>
                <a:ext uri="{63B3BB69-23CF-44E3-9099-C40C66FF867C}">
                  <a14:compatExt spid="_x0000_s14745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723900</xdr:colOff>
          <xdr:row>7</xdr:row>
          <xdr:rowOff>0</xdr:rowOff>
        </xdr:to>
        <xdr:sp macro="" textlink="">
          <xdr:nvSpPr>
            <xdr:cNvPr id="146433" name="Button 1" hidden="1">
              <a:extLst>
                <a:ext uri="{63B3BB69-23CF-44E3-9099-C40C66FF867C}">
                  <a14:compatExt spid="_x0000_s14643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723900</xdr:colOff>
          <xdr:row>7</xdr:row>
          <xdr:rowOff>0</xdr:rowOff>
        </xdr:to>
        <xdr:sp macro="" textlink="">
          <xdr:nvSpPr>
            <xdr:cNvPr id="145409" name="Button 1" hidden="1">
              <a:extLst>
                <a:ext uri="{63B3BB69-23CF-44E3-9099-C40C66FF867C}">
                  <a14:compatExt spid="_x0000_s14540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723900</xdr:colOff>
          <xdr:row>7</xdr:row>
          <xdr:rowOff>0</xdr:rowOff>
        </xdr:to>
        <xdr:sp macro="" textlink="">
          <xdr:nvSpPr>
            <xdr:cNvPr id="136193" name="Button 1" hidden="1">
              <a:extLst>
                <a:ext uri="{63B3BB69-23CF-44E3-9099-C40C66FF867C}">
                  <a14:compatExt spid="_x0000_s13619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723900</xdr:colOff>
          <xdr:row>7</xdr:row>
          <xdr:rowOff>0</xdr:rowOff>
        </xdr:to>
        <xdr:sp macro="" textlink="">
          <xdr:nvSpPr>
            <xdr:cNvPr id="135169" name="Button 1" hidden="1">
              <a:extLst>
                <a:ext uri="{63B3BB69-23CF-44E3-9099-C40C66FF867C}">
                  <a14:compatExt spid="_x0000_s13516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723900</xdr:colOff>
          <xdr:row>7</xdr:row>
          <xdr:rowOff>0</xdr:rowOff>
        </xdr:to>
        <xdr:sp macro="" textlink="">
          <xdr:nvSpPr>
            <xdr:cNvPr id="133121" name="Button 1" hidden="1">
              <a:extLst>
                <a:ext uri="{63B3BB69-23CF-44E3-9099-C40C66FF867C}">
                  <a14:compatExt spid="_x0000_s13312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723900</xdr:colOff>
          <xdr:row>7</xdr:row>
          <xdr:rowOff>0</xdr:rowOff>
        </xdr:to>
        <xdr:sp macro="" textlink="">
          <xdr:nvSpPr>
            <xdr:cNvPr id="132097" name="Button 1" hidden="1">
              <a:extLst>
                <a:ext uri="{63B3BB69-23CF-44E3-9099-C40C66FF867C}">
                  <a14:compatExt spid="_x0000_s13209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Windows User" refreshedDate="44599.640253587961" createdVersion="6" refreshedVersion="6" minRefreshableVersion="3" recordCount="76">
  <cacheSource type="worksheet">
    <worksheetSource ref="A1:D77" sheet="Sheet1"/>
  </cacheSource>
  <cacheFields count="4">
    <cacheField name="Trật tự" numFmtId="0">
      <sharedItems containsMixedTypes="1" containsNumber="1" containsInteger="1" minValue="1" maxValue="74" count="77">
        <s v="G1"/>
        <s v="G2"/>
        <s v="G3"/>
        <n v="1"/>
        <n v="2"/>
        <n v="3"/>
        <n v="4"/>
        <n v="5"/>
        <n v="6"/>
        <n v="7"/>
        <n v="8"/>
        <n v="9"/>
        <n v="10"/>
        <n v="11"/>
        <n v="12"/>
        <n v="13"/>
        <n v="14"/>
        <n v="15"/>
        <n v="16"/>
        <n v="17"/>
        <n v="18"/>
        <n v="19"/>
        <n v="20"/>
        <n v="21"/>
        <n v="22"/>
        <n v="23"/>
        <n v="24"/>
        <n v="25"/>
        <n v="26"/>
        <n v="27"/>
        <n v="28"/>
        <n v="29"/>
        <n v="30"/>
        <n v="31"/>
        <n v="32"/>
        <n v="33"/>
        <n v="34"/>
        <n v="35"/>
        <n v="36"/>
        <n v="37"/>
        <n v="38"/>
        <n v="39"/>
        <n v="40"/>
        <n v="41"/>
        <n v="42"/>
        <n v="43"/>
        <n v="44"/>
        <n v="45"/>
        <n v="46"/>
        <n v="47"/>
        <n v="48"/>
        <n v="49"/>
        <n v="50"/>
        <n v="51"/>
        <n v="52"/>
        <n v="53"/>
        <n v="54"/>
        <n v="55"/>
        <n v="56"/>
        <n v="57"/>
        <n v="58"/>
        <n v="59"/>
        <n v="60"/>
        <n v="61"/>
        <n v="62"/>
        <n v="63"/>
        <n v="64"/>
        <n v="65"/>
        <n v="66"/>
        <n v="67"/>
        <n v="68"/>
        <n v="69"/>
        <n v="70"/>
        <n v="71"/>
        <n v="72"/>
        <n v="73"/>
        <n v="74" u="1"/>
      </sharedItems>
    </cacheField>
    <cacheField name="Tên hàng" numFmtId="0">
      <sharedItems count="76">
        <s v="0-Chân Gà"/>
        <s v="0-Cánh Gà"/>
        <s v="0-Đùi tỏi Gà"/>
        <s v="Phô mai sữa que LC"/>
        <s v="Cá viên HM"/>
        <s v="Cá viên rau củ HM"/>
        <s v="Tôm viên HM"/>
        <s v="Chả tôm hình Surimi LC"/>
        <s v="Mực tẩm bột LC"/>
        <s v="Thanh cua LC"/>
        <s v="Hoành thánh chiên 500gr (60 viên)"/>
        <s v="Hải sản sốt cam LC"/>
        <s v="Viên thả lẩu 3 màu"/>
        <s v="Viên thả lẩu Gà nướng mật ong (Đỏ)"/>
        <s v="Viên thả lẩu phô mai (Xanh lá)"/>
        <s v="Viên thả lẩu răng mực (Hồng)"/>
        <s v="Viên thả lẩu TOMYUM (Tím)"/>
        <s v="Viên thả lẩu trứng tôm (Vàng)"/>
        <s v="Phô mai que (13 que)"/>
        <s v="Phô mai viên (35v)"/>
        <s v="Đậu hủ phô mai"/>
        <s v="XX Đỏ ĐNA (bao đỏ)"/>
        <s v="XX Đỏ ĐNA (bao xanh)"/>
        <s v="XX Đức HS ĐNA"/>
        <s v="XX Xông khói ĐNA"/>
        <s v="XX Phô mai"/>
        <s v="Chả giò HS trái cây sốt Mayo"/>
        <s v="Chả giò Rế thịt heo"/>
        <s v="Chả giò Rế tôm mực LC"/>
        <s v="Chả giò xốp hải sản"/>
        <s v="Chả giò xốp thịt heo"/>
        <s v="Cá Viên TVP"/>
        <s v="Cá Viên TVP nhỏ"/>
        <s v="Cá viên rau củ TVP"/>
        <s v="Tôm viên TVP"/>
        <s v="Tôm viên TVP nhỏ"/>
        <s v="Bò viên TVP"/>
        <s v="Bò viên TVP nhỏ"/>
        <s v="XX BERLING (10 Cây)"/>
        <s v="XX COCKTAIL (26 Cây)"/>
        <s v="XX Hồ lô"/>
        <s v="XX MUNICH (10 Cây)"/>
        <s v="Nem nướng"/>
        <s v="Jambon Đỏ"/>
        <s v="Jambon Trắng"/>
        <s v="Giò lụa Bò"/>
        <s v="Giò lụa lá"/>
        <s v="Giò Thủ bì"/>
        <s v="XX Hotdog Phô mai"/>
        <s v="Cốm xanh"/>
        <s v="0-Bò cuộn Excel Canada"/>
        <s v="Bò lá lốt"/>
        <s v="Ốc nhồi Hải sản"/>
        <s v="Chả lụa bì Ớt xiêm xanh"/>
        <s v="Bò viên phở TVP"/>
        <s v="Bò viên HM"/>
        <s v="Khoai tây Simplot"/>
        <s v="Đậu hủ phô mai EB"/>
        <s v="Hồ lô ĐNA"/>
        <s v="Há cảo Lớn"/>
        <s v="Há cảo Mini"/>
        <s v="Thanh cua dài Liên Anh"/>
        <s v="Gà viên phô mai"/>
        <s v="Viên thả lẩu Cam-Trứng cá "/>
        <s v="Tôm hùm viên PM"/>
        <s v="Mực xoắn ống"/>
        <s v="Bánh bao ngọt không nhân"/>
        <s v="Cá viên KK"/>
        <s v="Cá viên rau củ KK"/>
        <s v="Bò viên KK"/>
        <s v="Tôm viên KK"/>
        <s v="XX Đỏ KK"/>
        <s v="XX Đức KK"/>
        <s v="Hồ lô KK"/>
        <s v="Bánh bao thả lẩu Trứng cá KK"/>
        <s v="Chả giò Chay rau nấm LC"/>
      </sharedItems>
    </cacheField>
    <cacheField name="Mã Hàng" numFmtId="0">
      <sharedItems count="77">
        <s v="MTG1"/>
        <s v="MTG2"/>
        <s v="MTG3"/>
        <s v="MT01"/>
        <s v="MT02"/>
        <s v="MT03"/>
        <s v="MT04"/>
        <s v="MT05"/>
        <s v="MT06"/>
        <s v="MT07"/>
        <s v="MT08"/>
        <s v="MT09"/>
        <s v="MT10"/>
        <s v="MT11"/>
        <s v="MT12"/>
        <s v="MT13"/>
        <s v="MT14"/>
        <s v="MT15"/>
        <s v="MT16"/>
        <s v="MT17"/>
        <s v="MT18"/>
        <s v="MT19"/>
        <s v="MT20"/>
        <s v="MT21"/>
        <s v="MT22"/>
        <s v="MT23"/>
        <s v="MT24"/>
        <s v="MT25"/>
        <s v="MT26"/>
        <s v="MT27"/>
        <s v="MT28"/>
        <s v="MT29"/>
        <s v="MT30"/>
        <s v="MT31"/>
        <s v="MT32"/>
        <s v="MT33"/>
        <s v="MT34"/>
        <s v="MT35"/>
        <s v="MT36"/>
        <s v="MT37"/>
        <s v="MT38"/>
        <s v="MT39"/>
        <s v="MT40"/>
        <s v="MT41"/>
        <s v="MT42"/>
        <s v="MT43"/>
        <s v="MT44"/>
        <s v="MT45"/>
        <s v="MT46"/>
        <s v="MT47"/>
        <s v="MT48"/>
        <s v="MT49"/>
        <s v="MT50"/>
        <s v="MT51"/>
        <s v="MT52"/>
        <s v="MT53"/>
        <s v="MT54"/>
        <s v="MT55"/>
        <s v="MT56"/>
        <s v="MT57"/>
        <s v="MT58"/>
        <s v="MT59"/>
        <s v="MT60"/>
        <s v="MT61"/>
        <s v="MT62"/>
        <s v="MT63"/>
        <s v="MT64"/>
        <s v="MT65"/>
        <s v="MT66"/>
        <s v="MT67"/>
        <s v="MT68"/>
        <s v="MT69"/>
        <s v="MT70"/>
        <s v="MT71"/>
        <s v="MT72"/>
        <s v="MT73"/>
        <s v="MT74" u="1"/>
      </sharedItems>
    </cacheField>
    <cacheField name="Giá  bán" numFmtId="164">
      <sharedItems containsSemiMixedTypes="0" containsString="0" containsNumber="1" containsInteger="1" minValue="14000" maxValue="105000" count="34">
        <n v="60000"/>
        <n v="70000"/>
        <n v="45000"/>
        <n v="46000"/>
        <n v="25000"/>
        <n v="28000"/>
        <n v="30000"/>
        <n v="38000"/>
        <n v="42000"/>
        <n v="34000"/>
        <n v="35000"/>
        <n v="50000"/>
        <n v="40000"/>
        <n v="55000"/>
        <n v="26000"/>
        <n v="33000"/>
        <n v="69000"/>
        <n v="32000"/>
        <n v="14000"/>
        <n v="59000"/>
        <n v="52000"/>
        <n v="65000"/>
        <n v="44000"/>
        <n v="79000"/>
        <n v="66000"/>
        <n v="54000"/>
        <n v="105000"/>
        <n v="76000"/>
        <n v="80000"/>
        <n v="47000"/>
        <n v="18000"/>
        <n v="23000"/>
        <n v="43000"/>
        <n v="27000" u="1"/>
      </sharedItems>
    </cacheField>
  </cacheFields>
  <extLst>
    <ext xmlns:x14="http://schemas.microsoft.com/office/spreadsheetml/2009/9/main" uri="{725AE2AE-9491-48be-B2B4-4EB974FC3084}">
      <x14:pivotCacheDefinition pivotCacheId="7"/>
    </ext>
  </extLst>
</pivotCacheDefinition>
</file>

<file path=xl/pivotCache/pivotCacheRecords1.xml><?xml version="1.0" encoding="utf-8"?>
<pivotCacheRecords xmlns="http://schemas.openxmlformats.org/spreadsheetml/2006/main" xmlns:r="http://schemas.openxmlformats.org/officeDocument/2006/relationships" count="76">
  <r>
    <x v="0"/>
    <x v="0"/>
    <x v="0"/>
    <x v="0"/>
  </r>
  <r>
    <x v="1"/>
    <x v="1"/>
    <x v="1"/>
    <x v="1"/>
  </r>
  <r>
    <x v="2"/>
    <x v="2"/>
    <x v="2"/>
    <x v="2"/>
  </r>
  <r>
    <x v="3"/>
    <x v="3"/>
    <x v="3"/>
    <x v="3"/>
  </r>
  <r>
    <x v="4"/>
    <x v="4"/>
    <x v="4"/>
    <x v="4"/>
  </r>
  <r>
    <x v="5"/>
    <x v="5"/>
    <x v="5"/>
    <x v="5"/>
  </r>
  <r>
    <x v="6"/>
    <x v="6"/>
    <x v="6"/>
    <x v="6"/>
  </r>
  <r>
    <x v="7"/>
    <x v="7"/>
    <x v="7"/>
    <x v="7"/>
  </r>
  <r>
    <x v="8"/>
    <x v="8"/>
    <x v="8"/>
    <x v="8"/>
  </r>
  <r>
    <x v="9"/>
    <x v="9"/>
    <x v="9"/>
    <x v="9"/>
  </r>
  <r>
    <x v="10"/>
    <x v="10"/>
    <x v="10"/>
    <x v="10"/>
  </r>
  <r>
    <x v="11"/>
    <x v="11"/>
    <x v="11"/>
    <x v="2"/>
  </r>
  <r>
    <x v="12"/>
    <x v="12"/>
    <x v="12"/>
    <x v="11"/>
  </r>
  <r>
    <x v="13"/>
    <x v="13"/>
    <x v="13"/>
    <x v="2"/>
  </r>
  <r>
    <x v="14"/>
    <x v="14"/>
    <x v="14"/>
    <x v="2"/>
  </r>
  <r>
    <x v="15"/>
    <x v="15"/>
    <x v="15"/>
    <x v="2"/>
  </r>
  <r>
    <x v="16"/>
    <x v="16"/>
    <x v="16"/>
    <x v="2"/>
  </r>
  <r>
    <x v="17"/>
    <x v="17"/>
    <x v="17"/>
    <x v="2"/>
  </r>
  <r>
    <x v="18"/>
    <x v="18"/>
    <x v="18"/>
    <x v="12"/>
  </r>
  <r>
    <x v="19"/>
    <x v="19"/>
    <x v="19"/>
    <x v="12"/>
  </r>
  <r>
    <x v="20"/>
    <x v="20"/>
    <x v="20"/>
    <x v="13"/>
  </r>
  <r>
    <x v="21"/>
    <x v="21"/>
    <x v="21"/>
    <x v="5"/>
  </r>
  <r>
    <x v="22"/>
    <x v="22"/>
    <x v="22"/>
    <x v="14"/>
  </r>
  <r>
    <x v="23"/>
    <x v="23"/>
    <x v="23"/>
    <x v="15"/>
  </r>
  <r>
    <x v="24"/>
    <x v="24"/>
    <x v="24"/>
    <x v="9"/>
  </r>
  <r>
    <x v="25"/>
    <x v="25"/>
    <x v="25"/>
    <x v="16"/>
  </r>
  <r>
    <x v="26"/>
    <x v="26"/>
    <x v="26"/>
    <x v="12"/>
  </r>
  <r>
    <x v="27"/>
    <x v="27"/>
    <x v="27"/>
    <x v="10"/>
  </r>
  <r>
    <x v="28"/>
    <x v="28"/>
    <x v="28"/>
    <x v="2"/>
  </r>
  <r>
    <x v="29"/>
    <x v="29"/>
    <x v="29"/>
    <x v="10"/>
  </r>
  <r>
    <x v="30"/>
    <x v="30"/>
    <x v="30"/>
    <x v="17"/>
  </r>
  <r>
    <x v="31"/>
    <x v="31"/>
    <x v="31"/>
    <x v="17"/>
  </r>
  <r>
    <x v="32"/>
    <x v="32"/>
    <x v="32"/>
    <x v="18"/>
  </r>
  <r>
    <x v="33"/>
    <x v="33"/>
    <x v="33"/>
    <x v="17"/>
  </r>
  <r>
    <x v="34"/>
    <x v="34"/>
    <x v="34"/>
    <x v="10"/>
  </r>
  <r>
    <x v="35"/>
    <x v="35"/>
    <x v="35"/>
    <x v="18"/>
  </r>
  <r>
    <x v="36"/>
    <x v="36"/>
    <x v="36"/>
    <x v="10"/>
  </r>
  <r>
    <x v="37"/>
    <x v="37"/>
    <x v="37"/>
    <x v="18"/>
  </r>
  <r>
    <x v="38"/>
    <x v="38"/>
    <x v="38"/>
    <x v="19"/>
  </r>
  <r>
    <x v="39"/>
    <x v="39"/>
    <x v="39"/>
    <x v="20"/>
  </r>
  <r>
    <x v="40"/>
    <x v="40"/>
    <x v="40"/>
    <x v="21"/>
  </r>
  <r>
    <x v="41"/>
    <x v="41"/>
    <x v="41"/>
    <x v="22"/>
  </r>
  <r>
    <x v="42"/>
    <x v="42"/>
    <x v="42"/>
    <x v="23"/>
  </r>
  <r>
    <x v="43"/>
    <x v="43"/>
    <x v="43"/>
    <x v="24"/>
  </r>
  <r>
    <x v="44"/>
    <x v="44"/>
    <x v="44"/>
    <x v="24"/>
  </r>
  <r>
    <x v="45"/>
    <x v="45"/>
    <x v="45"/>
    <x v="21"/>
  </r>
  <r>
    <x v="46"/>
    <x v="46"/>
    <x v="46"/>
    <x v="25"/>
  </r>
  <r>
    <x v="47"/>
    <x v="47"/>
    <x v="47"/>
    <x v="19"/>
  </r>
  <r>
    <x v="48"/>
    <x v="48"/>
    <x v="48"/>
    <x v="12"/>
  </r>
  <r>
    <x v="49"/>
    <x v="49"/>
    <x v="49"/>
    <x v="10"/>
  </r>
  <r>
    <x v="50"/>
    <x v="50"/>
    <x v="50"/>
    <x v="26"/>
  </r>
  <r>
    <x v="51"/>
    <x v="51"/>
    <x v="51"/>
    <x v="8"/>
  </r>
  <r>
    <x v="52"/>
    <x v="52"/>
    <x v="52"/>
    <x v="10"/>
  </r>
  <r>
    <x v="53"/>
    <x v="53"/>
    <x v="53"/>
    <x v="16"/>
  </r>
  <r>
    <x v="54"/>
    <x v="54"/>
    <x v="54"/>
    <x v="27"/>
  </r>
  <r>
    <x v="55"/>
    <x v="55"/>
    <x v="55"/>
    <x v="6"/>
  </r>
  <r>
    <x v="56"/>
    <x v="56"/>
    <x v="56"/>
    <x v="2"/>
  </r>
  <r>
    <x v="57"/>
    <x v="57"/>
    <x v="57"/>
    <x v="28"/>
  </r>
  <r>
    <x v="58"/>
    <x v="58"/>
    <x v="58"/>
    <x v="8"/>
  </r>
  <r>
    <x v="59"/>
    <x v="59"/>
    <x v="59"/>
    <x v="10"/>
  </r>
  <r>
    <x v="60"/>
    <x v="60"/>
    <x v="60"/>
    <x v="7"/>
  </r>
  <r>
    <x v="61"/>
    <x v="61"/>
    <x v="61"/>
    <x v="1"/>
  </r>
  <r>
    <x v="62"/>
    <x v="62"/>
    <x v="62"/>
    <x v="25"/>
  </r>
  <r>
    <x v="63"/>
    <x v="63"/>
    <x v="63"/>
    <x v="29"/>
  </r>
  <r>
    <x v="64"/>
    <x v="64"/>
    <x v="64"/>
    <x v="11"/>
  </r>
  <r>
    <x v="65"/>
    <x v="65"/>
    <x v="65"/>
    <x v="8"/>
  </r>
  <r>
    <x v="66"/>
    <x v="66"/>
    <x v="66"/>
    <x v="30"/>
  </r>
  <r>
    <x v="67"/>
    <x v="67"/>
    <x v="67"/>
    <x v="31"/>
  </r>
  <r>
    <x v="68"/>
    <x v="68"/>
    <x v="68"/>
    <x v="14"/>
  </r>
  <r>
    <x v="69"/>
    <x v="69"/>
    <x v="69"/>
    <x v="14"/>
  </r>
  <r>
    <x v="70"/>
    <x v="70"/>
    <x v="70"/>
    <x v="14"/>
  </r>
  <r>
    <x v="71"/>
    <x v="71"/>
    <x v="71"/>
    <x v="14"/>
  </r>
  <r>
    <x v="72"/>
    <x v="72"/>
    <x v="72"/>
    <x v="10"/>
  </r>
  <r>
    <x v="73"/>
    <x v="73"/>
    <x v="73"/>
    <x v="12"/>
  </r>
  <r>
    <x v="74"/>
    <x v="74"/>
    <x v="74"/>
    <x v="32"/>
  </r>
  <r>
    <x v="75"/>
    <x v="75"/>
    <x v="75"/>
    <x v="12"/>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5" cacheId="0" applyNumberFormats="0" applyBorderFormats="0" applyFontFormats="0" applyPatternFormats="0" applyAlignmentFormats="0" applyWidthHeightFormats="1" dataCaption="Values" updatedVersion="6" minRefreshableVersion="3" useAutoFormatting="1" rowGrandTotals="0" colGrandTotals="0" itemPrintTitles="1" createdVersion="4" indent="0" compact="0" compactData="0" multipleFieldFilters="0">
  <location ref="L1:O77" firstHeaderRow="1" firstDataRow="1" firstDataCol="4"/>
  <pivotFields count="4">
    <pivotField axis="axisRow" compact="0" outline="0" showAll="0" sortType="ascending" defaultSubtotal="0">
      <items count="77">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m="1" x="76"/>
        <item x="0"/>
        <item x="1"/>
        <item x="2"/>
      </items>
    </pivotField>
    <pivotField axis="axisRow" compact="0" outline="0" showAll="0" defaultSubtotal="0">
      <items count="76">
        <item x="51"/>
        <item x="55"/>
        <item x="54"/>
        <item x="36"/>
        <item x="37"/>
        <item x="4"/>
        <item x="5"/>
        <item x="33"/>
        <item x="31"/>
        <item x="32"/>
        <item x="27"/>
        <item x="28"/>
        <item x="29"/>
        <item x="30"/>
        <item x="53"/>
        <item x="7"/>
        <item x="49"/>
        <item x="20"/>
        <item x="57"/>
        <item x="45"/>
        <item x="46"/>
        <item x="47"/>
        <item x="59"/>
        <item x="60"/>
        <item x="11"/>
        <item x="10"/>
        <item x="43"/>
        <item x="44"/>
        <item x="56"/>
        <item x="8"/>
        <item x="42"/>
        <item x="52"/>
        <item x="18"/>
        <item x="19"/>
        <item x="61"/>
        <item x="9"/>
        <item x="6"/>
        <item x="34"/>
        <item x="35"/>
        <item x="12"/>
        <item x="13"/>
        <item x="14"/>
        <item x="15"/>
        <item x="16"/>
        <item x="17"/>
        <item x="38"/>
        <item x="39"/>
        <item x="21"/>
        <item x="22"/>
        <item x="23"/>
        <item x="40"/>
        <item x="41"/>
        <item x="25"/>
        <item x="62"/>
        <item x="63"/>
        <item x="64"/>
        <item x="65"/>
        <item x="0"/>
        <item x="1"/>
        <item x="2"/>
        <item x="66"/>
        <item x="67"/>
        <item x="68"/>
        <item x="69"/>
        <item x="70"/>
        <item x="71"/>
        <item x="72"/>
        <item x="73"/>
        <item x="74"/>
        <item x="50"/>
        <item x="58"/>
        <item x="24"/>
        <item x="48"/>
        <item x="3"/>
        <item x="26"/>
        <item x="75"/>
      </items>
    </pivotField>
    <pivotField axis="axisRow" compact="0" outline="0" showAll="0" defaultSubtotal="0">
      <items count="77">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5"/>
        <item x="46"/>
        <item x="47"/>
        <item x="48"/>
        <item x="49"/>
        <item x="50"/>
        <item x="51"/>
        <item x="52"/>
        <item x="53"/>
        <item x="54"/>
        <item x="55"/>
        <item x="56"/>
        <item x="57"/>
        <item x="58"/>
        <item x="59"/>
        <item x="60"/>
        <item x="61"/>
        <item x="62"/>
        <item x="63"/>
        <item x="64"/>
        <item x="65"/>
        <item x="66"/>
        <item x="0"/>
        <item x="1"/>
        <item x="2"/>
        <item x="67"/>
        <item x="68"/>
        <item x="69"/>
        <item x="70"/>
        <item x="71"/>
        <item x="72"/>
        <item x="73"/>
        <item x="74"/>
        <item x="75"/>
        <item m="1" x="76"/>
        <item x="44"/>
      </items>
    </pivotField>
    <pivotField axis="axisRow" compact="0" numFmtId="164" outline="0" showAll="0" defaultSubtotal="0">
      <items count="34">
        <item x="18"/>
        <item x="4"/>
        <item x="14"/>
        <item m="1" x="33"/>
        <item x="5"/>
        <item x="6"/>
        <item x="17"/>
        <item x="15"/>
        <item x="9"/>
        <item x="10"/>
        <item x="7"/>
        <item x="12"/>
        <item x="8"/>
        <item x="22"/>
        <item x="2"/>
        <item x="11"/>
        <item x="20"/>
        <item x="25"/>
        <item x="13"/>
        <item x="19"/>
        <item x="21"/>
        <item x="24"/>
        <item x="16"/>
        <item x="1"/>
        <item x="27"/>
        <item x="23"/>
        <item x="28"/>
        <item x="0"/>
        <item x="29"/>
        <item x="30"/>
        <item x="31"/>
        <item x="32"/>
        <item x="26"/>
        <item x="3"/>
      </items>
    </pivotField>
  </pivotFields>
  <rowFields count="4">
    <field x="0"/>
    <field x="2"/>
    <field x="1"/>
    <field x="3"/>
  </rowFields>
  <rowItems count="76">
    <i>
      <x/>
      <x/>
      <x v="73"/>
      <x v="33"/>
    </i>
    <i>
      <x v="1"/>
      <x v="1"/>
      <x v="5"/>
      <x v="1"/>
    </i>
    <i>
      <x v="2"/>
      <x v="2"/>
      <x v="6"/>
      <x v="4"/>
    </i>
    <i>
      <x v="3"/>
      <x v="3"/>
      <x v="36"/>
      <x v="5"/>
    </i>
    <i>
      <x v="4"/>
      <x v="4"/>
      <x v="15"/>
      <x v="10"/>
    </i>
    <i>
      <x v="5"/>
      <x v="5"/>
      <x v="29"/>
      <x v="12"/>
    </i>
    <i>
      <x v="6"/>
      <x v="6"/>
      <x v="35"/>
      <x v="8"/>
    </i>
    <i>
      <x v="7"/>
      <x v="7"/>
      <x v="25"/>
      <x v="9"/>
    </i>
    <i>
      <x v="8"/>
      <x v="8"/>
      <x v="24"/>
      <x v="14"/>
    </i>
    <i>
      <x v="9"/>
      <x v="9"/>
      <x v="39"/>
      <x v="15"/>
    </i>
    <i>
      <x v="10"/>
      <x v="10"/>
      <x v="40"/>
      <x v="14"/>
    </i>
    <i>
      <x v="11"/>
      <x v="11"/>
      <x v="41"/>
      <x v="14"/>
    </i>
    <i>
      <x v="12"/>
      <x v="12"/>
      <x v="42"/>
      <x v="14"/>
    </i>
    <i>
      <x v="13"/>
      <x v="13"/>
      <x v="43"/>
      <x v="14"/>
    </i>
    <i>
      <x v="14"/>
      <x v="14"/>
      <x v="44"/>
      <x v="14"/>
    </i>
    <i>
      <x v="15"/>
      <x v="15"/>
      <x v="32"/>
      <x v="11"/>
    </i>
    <i>
      <x v="16"/>
      <x v="16"/>
      <x v="33"/>
      <x v="11"/>
    </i>
    <i>
      <x v="17"/>
      <x v="17"/>
      <x v="17"/>
      <x v="18"/>
    </i>
    <i>
      <x v="18"/>
      <x v="18"/>
      <x v="47"/>
      <x v="4"/>
    </i>
    <i>
      <x v="19"/>
      <x v="19"/>
      <x v="48"/>
      <x v="2"/>
    </i>
    <i>
      <x v="20"/>
      <x v="20"/>
      <x v="49"/>
      <x v="7"/>
    </i>
    <i>
      <x v="21"/>
      <x v="21"/>
      <x v="71"/>
      <x v="8"/>
    </i>
    <i>
      <x v="22"/>
      <x v="22"/>
      <x v="52"/>
      <x v="22"/>
    </i>
    <i>
      <x v="23"/>
      <x v="23"/>
      <x v="74"/>
      <x v="11"/>
    </i>
    <i>
      <x v="24"/>
      <x v="24"/>
      <x v="10"/>
      <x v="9"/>
    </i>
    <i>
      <x v="25"/>
      <x v="25"/>
      <x v="11"/>
      <x v="14"/>
    </i>
    <i>
      <x v="26"/>
      <x v="26"/>
      <x v="12"/>
      <x v="9"/>
    </i>
    <i>
      <x v="27"/>
      <x v="27"/>
      <x v="13"/>
      <x v="6"/>
    </i>
    <i>
      <x v="28"/>
      <x v="28"/>
      <x v="8"/>
      <x v="6"/>
    </i>
    <i>
      <x v="29"/>
      <x v="29"/>
      <x v="9"/>
      <x/>
    </i>
    <i>
      <x v="30"/>
      <x v="30"/>
      <x v="7"/>
      <x v="6"/>
    </i>
    <i>
      <x v="31"/>
      <x v="31"/>
      <x v="37"/>
      <x v="9"/>
    </i>
    <i>
      <x v="32"/>
      <x v="32"/>
      <x v="38"/>
      <x/>
    </i>
    <i>
      <x v="33"/>
      <x v="33"/>
      <x v="3"/>
      <x v="9"/>
    </i>
    <i>
      <x v="34"/>
      <x v="34"/>
      <x v="4"/>
      <x/>
    </i>
    <i>
      <x v="35"/>
      <x v="35"/>
      <x v="45"/>
      <x v="19"/>
    </i>
    <i>
      <x v="36"/>
      <x v="36"/>
      <x v="46"/>
      <x v="16"/>
    </i>
    <i>
      <x v="37"/>
      <x v="37"/>
      <x v="50"/>
      <x v="20"/>
    </i>
    <i>
      <x v="38"/>
      <x v="38"/>
      <x v="51"/>
      <x v="13"/>
    </i>
    <i>
      <x v="39"/>
      <x v="39"/>
      <x v="30"/>
      <x v="25"/>
    </i>
    <i>
      <x v="40"/>
      <x v="40"/>
      <x v="26"/>
      <x v="21"/>
    </i>
    <i>
      <x v="41"/>
      <x v="76"/>
      <x v="27"/>
      <x v="21"/>
    </i>
    <i>
      <x v="42"/>
      <x v="41"/>
      <x v="19"/>
      <x v="20"/>
    </i>
    <i>
      <x v="43"/>
      <x v="42"/>
      <x v="20"/>
      <x v="17"/>
    </i>
    <i>
      <x v="44"/>
      <x v="43"/>
      <x v="21"/>
      <x v="19"/>
    </i>
    <i>
      <x v="45"/>
      <x v="44"/>
      <x v="72"/>
      <x v="11"/>
    </i>
    <i>
      <x v="46"/>
      <x v="45"/>
      <x v="16"/>
      <x v="9"/>
    </i>
    <i>
      <x v="47"/>
      <x v="46"/>
      <x v="69"/>
      <x v="32"/>
    </i>
    <i>
      <x v="48"/>
      <x v="47"/>
      <x/>
      <x v="12"/>
    </i>
    <i>
      <x v="49"/>
      <x v="48"/>
      <x v="31"/>
      <x v="9"/>
    </i>
    <i>
      <x v="50"/>
      <x v="49"/>
      <x v="14"/>
      <x v="22"/>
    </i>
    <i>
      <x v="51"/>
      <x v="50"/>
      <x v="2"/>
      <x v="24"/>
    </i>
    <i>
      <x v="52"/>
      <x v="51"/>
      <x v="1"/>
      <x v="5"/>
    </i>
    <i>
      <x v="53"/>
      <x v="52"/>
      <x v="28"/>
      <x v="14"/>
    </i>
    <i>
      <x v="54"/>
      <x v="53"/>
      <x v="18"/>
      <x v="26"/>
    </i>
    <i>
      <x v="55"/>
      <x v="54"/>
      <x v="70"/>
      <x v="12"/>
    </i>
    <i>
      <x v="56"/>
      <x v="55"/>
      <x v="22"/>
      <x v="9"/>
    </i>
    <i>
      <x v="57"/>
      <x v="56"/>
      <x v="23"/>
      <x v="10"/>
    </i>
    <i>
      <x v="58"/>
      <x v="57"/>
      <x v="34"/>
      <x v="23"/>
    </i>
    <i>
      <x v="59"/>
      <x v="58"/>
      <x v="53"/>
      <x v="17"/>
    </i>
    <i>
      <x v="60"/>
      <x v="59"/>
      <x v="54"/>
      <x v="28"/>
    </i>
    <i>
      <x v="61"/>
      <x v="60"/>
      <x v="55"/>
      <x v="15"/>
    </i>
    <i>
      <x v="62"/>
      <x v="61"/>
      <x v="56"/>
      <x v="12"/>
    </i>
    <i>
      <x v="63"/>
      <x v="62"/>
      <x v="60"/>
      <x v="29"/>
    </i>
    <i>
      <x v="64"/>
      <x v="66"/>
      <x v="61"/>
      <x v="30"/>
    </i>
    <i>
      <x v="65"/>
      <x v="67"/>
      <x v="62"/>
      <x v="2"/>
    </i>
    <i>
      <x v="66"/>
      <x v="68"/>
      <x v="63"/>
      <x v="2"/>
    </i>
    <i>
      <x v="67"/>
      <x v="69"/>
      <x v="64"/>
      <x v="2"/>
    </i>
    <i>
      <x v="68"/>
      <x v="70"/>
      <x v="65"/>
      <x v="2"/>
    </i>
    <i>
      <x v="69"/>
      <x v="71"/>
      <x v="66"/>
      <x v="9"/>
    </i>
    <i>
      <x v="70"/>
      <x v="72"/>
      <x v="67"/>
      <x v="11"/>
    </i>
    <i>
      <x v="71"/>
      <x v="73"/>
      <x v="68"/>
      <x v="31"/>
    </i>
    <i>
      <x v="72"/>
      <x v="74"/>
      <x v="75"/>
      <x v="11"/>
    </i>
    <i>
      <x v="74"/>
      <x v="63"/>
      <x v="57"/>
      <x v="27"/>
    </i>
    <i>
      <x v="75"/>
      <x v="64"/>
      <x v="58"/>
      <x v="23"/>
    </i>
    <i>
      <x v="76"/>
      <x v="65"/>
      <x v="59"/>
      <x v="14"/>
    </i>
  </rowItems>
  <colItems count="1">
    <i/>
  </colItems>
  <formats count="417">
    <format dxfId="476">
      <pivotArea field="3" type="button" dataOnly="0" labelOnly="1" outline="0" axis="axisRow" fieldPosition="3"/>
    </format>
    <format dxfId="475">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474">
      <pivotArea dataOnly="0" labelOnly="1" outline="0" fieldPosition="0">
        <references count="4">
          <reference field="0" count="1" selected="0">
            <x v="2"/>
          </reference>
          <reference field="1" count="1" selected="0">
            <x v="6"/>
          </reference>
          <reference field="2" count="1" selected="0">
            <x v="2"/>
          </reference>
          <reference field="3" count="1">
            <x v="4"/>
          </reference>
        </references>
      </pivotArea>
    </format>
    <format dxfId="473">
      <pivotArea dataOnly="0" labelOnly="1" outline="0" fieldPosition="0">
        <references count="4">
          <reference field="0" count="1" selected="0">
            <x v="3"/>
          </reference>
          <reference field="1" count="1" selected="0">
            <x v="36"/>
          </reference>
          <reference field="2" count="1" selected="0">
            <x v="3"/>
          </reference>
          <reference field="3" count="1">
            <x v="5"/>
          </reference>
        </references>
      </pivotArea>
    </format>
    <format dxfId="472">
      <pivotArea dataOnly="0" labelOnly="1" outline="0" fieldPosition="0">
        <references count="4">
          <reference field="0" count="1" selected="0">
            <x v="4"/>
          </reference>
          <reference field="1" count="1" selected="0">
            <x v="15"/>
          </reference>
          <reference field="2" count="1" selected="0">
            <x v="4"/>
          </reference>
          <reference field="3" count="1">
            <x v="10"/>
          </reference>
        </references>
      </pivotArea>
    </format>
    <format dxfId="471">
      <pivotArea dataOnly="0" labelOnly="1" outline="0" fieldPosition="0">
        <references count="4">
          <reference field="0" count="1" selected="0">
            <x v="5"/>
          </reference>
          <reference field="1" count="1" selected="0">
            <x v="29"/>
          </reference>
          <reference field="2" count="1" selected="0">
            <x v="5"/>
          </reference>
          <reference field="3" count="1">
            <x v="12"/>
          </reference>
        </references>
      </pivotArea>
    </format>
    <format dxfId="470">
      <pivotArea dataOnly="0" labelOnly="1" outline="0" fieldPosition="0">
        <references count="4">
          <reference field="0" count="1" selected="0">
            <x v="6"/>
          </reference>
          <reference field="1" count="1" selected="0">
            <x v="35"/>
          </reference>
          <reference field="2" count="1" selected="0">
            <x v="6"/>
          </reference>
          <reference field="3" count="1">
            <x v="8"/>
          </reference>
        </references>
      </pivotArea>
    </format>
    <format dxfId="469">
      <pivotArea dataOnly="0" labelOnly="1" outline="0" fieldPosition="0">
        <references count="4">
          <reference field="0" count="1" selected="0">
            <x v="7"/>
          </reference>
          <reference field="1" count="1" selected="0">
            <x v="25"/>
          </reference>
          <reference field="2" count="1" selected="0">
            <x v="7"/>
          </reference>
          <reference field="3" count="1">
            <x v="9"/>
          </reference>
        </references>
      </pivotArea>
    </format>
    <format dxfId="468">
      <pivotArea dataOnly="0" labelOnly="1" outline="0" fieldPosition="0">
        <references count="4">
          <reference field="0" count="1" selected="0">
            <x v="8"/>
          </reference>
          <reference field="1" count="1" selected="0">
            <x v="24"/>
          </reference>
          <reference field="2" count="1" selected="0">
            <x v="8"/>
          </reference>
          <reference field="3" count="1">
            <x v="14"/>
          </reference>
        </references>
      </pivotArea>
    </format>
    <format dxfId="467">
      <pivotArea dataOnly="0" labelOnly="1" outline="0" fieldPosition="0">
        <references count="4">
          <reference field="0" count="1" selected="0">
            <x v="9"/>
          </reference>
          <reference field="1" count="1" selected="0">
            <x v="39"/>
          </reference>
          <reference field="2" count="1" selected="0">
            <x v="9"/>
          </reference>
          <reference field="3" count="1">
            <x v="15"/>
          </reference>
        </references>
      </pivotArea>
    </format>
    <format dxfId="466">
      <pivotArea dataOnly="0" labelOnly="1" outline="0" fieldPosition="0">
        <references count="4">
          <reference field="0" count="1" selected="0">
            <x v="10"/>
          </reference>
          <reference field="1" count="1" selected="0">
            <x v="40"/>
          </reference>
          <reference field="2" count="1" selected="0">
            <x v="10"/>
          </reference>
          <reference field="3" count="1">
            <x v="14"/>
          </reference>
        </references>
      </pivotArea>
    </format>
    <format dxfId="465">
      <pivotArea dataOnly="0" labelOnly="1" outline="0" fieldPosition="0">
        <references count="4">
          <reference field="0" count="1" selected="0">
            <x v="11"/>
          </reference>
          <reference field="1" count="1" selected="0">
            <x v="41"/>
          </reference>
          <reference field="2" count="1" selected="0">
            <x v="11"/>
          </reference>
          <reference field="3" count="1">
            <x v="14"/>
          </reference>
        </references>
      </pivotArea>
    </format>
    <format dxfId="464">
      <pivotArea dataOnly="0" labelOnly="1" outline="0" fieldPosition="0">
        <references count="4">
          <reference field="0" count="1" selected="0">
            <x v="12"/>
          </reference>
          <reference field="1" count="1" selected="0">
            <x v="42"/>
          </reference>
          <reference field="2" count="1" selected="0">
            <x v="12"/>
          </reference>
          <reference field="3" count="1">
            <x v="14"/>
          </reference>
        </references>
      </pivotArea>
    </format>
    <format dxfId="463">
      <pivotArea dataOnly="0" labelOnly="1" outline="0" fieldPosition="0">
        <references count="4">
          <reference field="0" count="1" selected="0">
            <x v="13"/>
          </reference>
          <reference field="1" count="1" selected="0">
            <x v="43"/>
          </reference>
          <reference field="2" count="1" selected="0">
            <x v="13"/>
          </reference>
          <reference field="3" count="1">
            <x v="14"/>
          </reference>
        </references>
      </pivotArea>
    </format>
    <format dxfId="462">
      <pivotArea dataOnly="0" labelOnly="1" outline="0" fieldPosition="0">
        <references count="4">
          <reference field="0" count="1" selected="0">
            <x v="14"/>
          </reference>
          <reference field="1" count="1" selected="0">
            <x v="44"/>
          </reference>
          <reference field="2" count="1" selected="0">
            <x v="14"/>
          </reference>
          <reference field="3" count="1">
            <x v="14"/>
          </reference>
        </references>
      </pivotArea>
    </format>
    <format dxfId="461">
      <pivotArea dataOnly="0" labelOnly="1" outline="0" fieldPosition="0">
        <references count="4">
          <reference field="0" count="1" selected="0">
            <x v="15"/>
          </reference>
          <reference field="1" count="1" selected="0">
            <x v="32"/>
          </reference>
          <reference field="2" count="1" selected="0">
            <x v="15"/>
          </reference>
          <reference field="3" count="1">
            <x v="11"/>
          </reference>
        </references>
      </pivotArea>
    </format>
    <format dxfId="460">
      <pivotArea dataOnly="0" labelOnly="1" outline="0" fieldPosition="0">
        <references count="4">
          <reference field="0" count="1" selected="0">
            <x v="16"/>
          </reference>
          <reference field="1" count="1" selected="0">
            <x v="33"/>
          </reference>
          <reference field="2" count="1" selected="0">
            <x v="16"/>
          </reference>
          <reference field="3" count="1">
            <x v="11"/>
          </reference>
        </references>
      </pivotArea>
    </format>
    <format dxfId="459">
      <pivotArea dataOnly="0" labelOnly="1" outline="0" fieldPosition="0">
        <references count="4">
          <reference field="0" count="1" selected="0">
            <x v="17"/>
          </reference>
          <reference field="1" count="1" selected="0">
            <x v="17"/>
          </reference>
          <reference field="2" count="1" selected="0">
            <x v="17"/>
          </reference>
          <reference field="3" count="1">
            <x v="18"/>
          </reference>
        </references>
      </pivotArea>
    </format>
    <format dxfId="458">
      <pivotArea dataOnly="0" labelOnly="1" outline="0" fieldPosition="0">
        <references count="4">
          <reference field="0" count="1" selected="0">
            <x v="18"/>
          </reference>
          <reference field="1" count="1" selected="0">
            <x v="47"/>
          </reference>
          <reference field="2" count="1" selected="0">
            <x v="18"/>
          </reference>
          <reference field="3" count="1">
            <x v="4"/>
          </reference>
        </references>
      </pivotArea>
    </format>
    <format dxfId="457">
      <pivotArea dataOnly="0" labelOnly="1" outline="0" fieldPosition="0">
        <references count="4">
          <reference field="0" count="1" selected="0">
            <x v="19"/>
          </reference>
          <reference field="1" count="1" selected="0">
            <x v="48"/>
          </reference>
          <reference field="2" count="1" selected="0">
            <x v="19"/>
          </reference>
          <reference field="3" count="1">
            <x v="2"/>
          </reference>
        </references>
      </pivotArea>
    </format>
    <format dxfId="456">
      <pivotArea dataOnly="0" labelOnly="1" outline="0" fieldPosition="0">
        <references count="4">
          <reference field="0" count="1" selected="0">
            <x v="20"/>
          </reference>
          <reference field="1" count="1" selected="0">
            <x v="49"/>
          </reference>
          <reference field="2" count="1" selected="0">
            <x v="20"/>
          </reference>
          <reference field="3" count="1">
            <x v="7"/>
          </reference>
        </references>
      </pivotArea>
    </format>
    <format dxfId="455">
      <pivotArea dataOnly="0" labelOnly="1" outline="0" fieldPosition="0">
        <references count="4">
          <reference field="0" count="1" selected="0">
            <x v="22"/>
          </reference>
          <reference field="1" count="1" selected="0">
            <x v="52"/>
          </reference>
          <reference field="2" count="1" selected="0">
            <x v="22"/>
          </reference>
          <reference field="3" count="1">
            <x v="22"/>
          </reference>
        </references>
      </pivotArea>
    </format>
    <format dxfId="454">
      <pivotArea dataOnly="0" labelOnly="1" outline="0" fieldPosition="0">
        <references count="4">
          <reference field="0" count="1" selected="0">
            <x v="24"/>
          </reference>
          <reference field="1" count="1" selected="0">
            <x v="10"/>
          </reference>
          <reference field="2" count="1" selected="0">
            <x v="24"/>
          </reference>
          <reference field="3" count="1">
            <x v="9"/>
          </reference>
        </references>
      </pivotArea>
    </format>
    <format dxfId="453">
      <pivotArea dataOnly="0" labelOnly="1" outline="0" fieldPosition="0">
        <references count="4">
          <reference field="0" count="1" selected="0">
            <x v="25"/>
          </reference>
          <reference field="1" count="1" selected="0">
            <x v="11"/>
          </reference>
          <reference field="2" count="1" selected="0">
            <x v="25"/>
          </reference>
          <reference field="3" count="1">
            <x v="14"/>
          </reference>
        </references>
      </pivotArea>
    </format>
    <format dxfId="452">
      <pivotArea dataOnly="0" labelOnly="1" outline="0" fieldPosition="0">
        <references count="4">
          <reference field="0" count="1" selected="0">
            <x v="26"/>
          </reference>
          <reference field="1" count="1" selected="0">
            <x v="12"/>
          </reference>
          <reference field="2" count="1" selected="0">
            <x v="26"/>
          </reference>
          <reference field="3" count="1">
            <x v="9"/>
          </reference>
        </references>
      </pivotArea>
    </format>
    <format dxfId="451">
      <pivotArea dataOnly="0" labelOnly="1" outline="0" fieldPosition="0">
        <references count="4">
          <reference field="0" count="1" selected="0">
            <x v="27"/>
          </reference>
          <reference field="1" count="1" selected="0">
            <x v="13"/>
          </reference>
          <reference field="2" count="1" selected="0">
            <x v="27"/>
          </reference>
          <reference field="3" count="1">
            <x v="6"/>
          </reference>
        </references>
      </pivotArea>
    </format>
    <format dxfId="450">
      <pivotArea dataOnly="0" labelOnly="1" outline="0" fieldPosition="0">
        <references count="4">
          <reference field="0" count="1" selected="0">
            <x v="28"/>
          </reference>
          <reference field="1" count="1" selected="0">
            <x v="8"/>
          </reference>
          <reference field="2" count="1" selected="0">
            <x v="28"/>
          </reference>
          <reference field="3" count="1">
            <x v="6"/>
          </reference>
        </references>
      </pivotArea>
    </format>
    <format dxfId="449">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448">
      <pivotArea dataOnly="0" labelOnly="1" outline="0" fieldPosition="0">
        <references count="4">
          <reference field="0" count="1" selected="0">
            <x v="30"/>
          </reference>
          <reference field="1" count="1" selected="0">
            <x v="7"/>
          </reference>
          <reference field="2" count="1" selected="0">
            <x v="30"/>
          </reference>
          <reference field="3" count="1">
            <x v="6"/>
          </reference>
        </references>
      </pivotArea>
    </format>
    <format dxfId="447">
      <pivotArea dataOnly="0" labelOnly="1" outline="0" fieldPosition="0">
        <references count="4">
          <reference field="0" count="1" selected="0">
            <x v="31"/>
          </reference>
          <reference field="1" count="1" selected="0">
            <x v="37"/>
          </reference>
          <reference field="2" count="1" selected="0">
            <x v="31"/>
          </reference>
          <reference field="3" count="1">
            <x v="9"/>
          </reference>
        </references>
      </pivotArea>
    </format>
    <format dxfId="446">
      <pivotArea dataOnly="0" labelOnly="1" outline="0" fieldPosition="0">
        <references count="4">
          <reference field="0" count="1" selected="0">
            <x v="32"/>
          </reference>
          <reference field="1" count="1" selected="0">
            <x v="38"/>
          </reference>
          <reference field="2" count="1" selected="0">
            <x v="32"/>
          </reference>
          <reference field="3" count="1">
            <x v="0"/>
          </reference>
        </references>
      </pivotArea>
    </format>
    <format dxfId="445">
      <pivotArea dataOnly="0" labelOnly="1" outline="0" fieldPosition="0">
        <references count="4">
          <reference field="0" count="1" selected="0">
            <x v="33"/>
          </reference>
          <reference field="1" count="1" selected="0">
            <x v="3"/>
          </reference>
          <reference field="2" count="1" selected="0">
            <x v="33"/>
          </reference>
          <reference field="3" count="1">
            <x v="9"/>
          </reference>
        </references>
      </pivotArea>
    </format>
    <format dxfId="444">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443">
      <pivotArea dataOnly="0" labelOnly="1" outline="0" fieldPosition="0">
        <references count="4">
          <reference field="0" count="1" selected="0">
            <x v="35"/>
          </reference>
          <reference field="1" count="1" selected="0">
            <x v="45"/>
          </reference>
          <reference field="2" count="1" selected="0">
            <x v="35"/>
          </reference>
          <reference field="3" count="1">
            <x v="19"/>
          </reference>
        </references>
      </pivotArea>
    </format>
    <format dxfId="442">
      <pivotArea dataOnly="0" labelOnly="1" outline="0" fieldPosition="0">
        <references count="4">
          <reference field="0" count="1" selected="0">
            <x v="36"/>
          </reference>
          <reference field="1" count="1" selected="0">
            <x v="46"/>
          </reference>
          <reference field="2" count="1" selected="0">
            <x v="36"/>
          </reference>
          <reference field="3" count="1">
            <x v="16"/>
          </reference>
        </references>
      </pivotArea>
    </format>
    <format dxfId="441">
      <pivotArea dataOnly="0" labelOnly="1" outline="0" fieldPosition="0">
        <references count="4">
          <reference field="0" count="1" selected="0">
            <x v="37"/>
          </reference>
          <reference field="1" count="1" selected="0">
            <x v="50"/>
          </reference>
          <reference field="2" count="1" selected="0">
            <x v="37"/>
          </reference>
          <reference field="3" count="1">
            <x v="20"/>
          </reference>
        </references>
      </pivotArea>
    </format>
    <format dxfId="440">
      <pivotArea dataOnly="0" labelOnly="1" outline="0" fieldPosition="0">
        <references count="4">
          <reference field="0" count="1" selected="0">
            <x v="38"/>
          </reference>
          <reference field="1" count="1" selected="0">
            <x v="51"/>
          </reference>
          <reference field="2" count="1" selected="0">
            <x v="38"/>
          </reference>
          <reference field="3" count="1">
            <x v="13"/>
          </reference>
        </references>
      </pivotArea>
    </format>
    <format dxfId="439">
      <pivotArea dataOnly="0" labelOnly="1" outline="0" fieldPosition="0">
        <references count="4">
          <reference field="0" count="1" selected="0">
            <x v="39"/>
          </reference>
          <reference field="1" count="1" selected="0">
            <x v="30"/>
          </reference>
          <reference field="2" count="1" selected="0">
            <x v="39"/>
          </reference>
          <reference field="3" count="1">
            <x v="25"/>
          </reference>
        </references>
      </pivotArea>
    </format>
    <format dxfId="438">
      <pivotArea dataOnly="0" labelOnly="1" outline="0" fieldPosition="0">
        <references count="4">
          <reference field="0" count="1" selected="0">
            <x v="40"/>
          </reference>
          <reference field="1" count="1" selected="0">
            <x v="26"/>
          </reference>
          <reference field="2" count="1" selected="0">
            <x v="40"/>
          </reference>
          <reference field="3" count="1">
            <x v="21"/>
          </reference>
        </references>
      </pivotArea>
    </format>
    <format dxfId="437">
      <pivotArea dataOnly="0" labelOnly="1" outline="0" fieldPosition="0">
        <references count="4">
          <reference field="0" count="1" selected="0">
            <x v="42"/>
          </reference>
          <reference field="1" count="1" selected="0">
            <x v="27"/>
          </reference>
          <reference field="2" count="1" selected="0">
            <x v="41"/>
          </reference>
          <reference field="3" count="1">
            <x v="21"/>
          </reference>
        </references>
      </pivotArea>
    </format>
    <format dxfId="436">
      <pivotArea dataOnly="0" labelOnly="1" outline="0" fieldPosition="0">
        <references count="4">
          <reference field="0" count="1" selected="0">
            <x v="43"/>
          </reference>
          <reference field="1" count="1" selected="0">
            <x v="19"/>
          </reference>
          <reference field="2" count="1" selected="0">
            <x v="42"/>
          </reference>
          <reference field="3" count="1">
            <x v="20"/>
          </reference>
        </references>
      </pivotArea>
    </format>
    <format dxfId="435">
      <pivotArea dataOnly="0" labelOnly="1" outline="0" fieldPosition="0">
        <references count="4">
          <reference field="0" count="1" selected="0">
            <x v="44"/>
          </reference>
          <reference field="1" count="1" selected="0">
            <x v="20"/>
          </reference>
          <reference field="2" count="1" selected="0">
            <x v="43"/>
          </reference>
          <reference field="3" count="1">
            <x v="17"/>
          </reference>
        </references>
      </pivotArea>
    </format>
    <format dxfId="434">
      <pivotArea dataOnly="0" labelOnly="1" outline="0" fieldPosition="0">
        <references count="4">
          <reference field="0" count="1" selected="0">
            <x v="45"/>
          </reference>
          <reference field="1" count="1" selected="0">
            <x v="21"/>
          </reference>
          <reference field="2" count="1" selected="0">
            <x v="44"/>
          </reference>
          <reference field="3" count="1">
            <x v="19"/>
          </reference>
        </references>
      </pivotArea>
    </format>
    <format dxfId="433">
      <pivotArea dataOnly="0" labelOnly="1" outline="0" fieldPosition="0">
        <references count="4">
          <reference field="0" count="1" selected="0">
            <x v="47"/>
          </reference>
          <reference field="1" count="1" selected="0">
            <x v="16"/>
          </reference>
          <reference field="2" count="1" selected="0">
            <x v="46"/>
          </reference>
          <reference field="3" count="1">
            <x v="9"/>
          </reference>
        </references>
      </pivotArea>
    </format>
    <format dxfId="432">
      <pivotArea dataOnly="0" labelOnly="1" outline="0" fieldPosition="0">
        <references count="4">
          <reference field="0" count="1" selected="0">
            <x v="49"/>
          </reference>
          <reference field="1" count="1" selected="0">
            <x v="0"/>
          </reference>
          <reference field="2" count="1" selected="0">
            <x v="48"/>
          </reference>
          <reference field="3" count="1">
            <x v="11"/>
          </reference>
        </references>
      </pivotArea>
    </format>
    <format dxfId="431">
      <pivotArea dataOnly="0" labelOnly="1" outline="0" fieldPosition="0">
        <references count="4">
          <reference field="0" count="1" selected="0">
            <x v="50"/>
          </reference>
          <reference field="1" count="1" selected="0">
            <x v="31"/>
          </reference>
          <reference field="2" count="1" selected="0">
            <x v="49"/>
          </reference>
          <reference field="3" count="1">
            <x v="10"/>
          </reference>
        </references>
      </pivotArea>
    </format>
    <format dxfId="430">
      <pivotArea dataOnly="0" labelOnly="1" outline="0" fieldPosition="0">
        <references count="4">
          <reference field="0" count="1" selected="0">
            <x v="51"/>
          </reference>
          <reference field="1" count="1" selected="0">
            <x v="14"/>
          </reference>
          <reference field="2" count="1" selected="0">
            <x v="50"/>
          </reference>
          <reference field="3" count="1">
            <x v="22"/>
          </reference>
        </references>
      </pivotArea>
    </format>
    <format dxfId="429">
      <pivotArea dataOnly="0" labelOnly="1" outline="0" fieldPosition="0">
        <references count="4">
          <reference field="0" count="1" selected="0">
            <x v="52"/>
          </reference>
          <reference field="1" count="1" selected="0">
            <x v="2"/>
          </reference>
          <reference field="2" count="1" selected="0">
            <x v="51"/>
          </reference>
          <reference field="3" count="1">
            <x v="24"/>
          </reference>
        </references>
      </pivotArea>
    </format>
    <format dxfId="428">
      <pivotArea dataOnly="0" labelOnly="1" outline="0" fieldPosition="0">
        <references count="4">
          <reference field="0" count="1" selected="0">
            <x v="53"/>
          </reference>
          <reference field="1" count="1" selected="0">
            <x v="1"/>
          </reference>
          <reference field="2" count="1" selected="0">
            <x v="52"/>
          </reference>
          <reference field="3" count="1">
            <x v="5"/>
          </reference>
        </references>
      </pivotArea>
    </format>
    <format dxfId="427">
      <pivotArea dataOnly="0" labelOnly="1" outline="0" fieldPosition="0">
        <references count="4">
          <reference field="0" count="1" selected="0">
            <x v="55"/>
          </reference>
          <reference field="1" count="1" selected="0">
            <x v="18"/>
          </reference>
          <reference field="2" count="1" selected="0">
            <x v="54"/>
          </reference>
          <reference field="3" count="1">
            <x v="26"/>
          </reference>
        </references>
      </pivotArea>
    </format>
    <format dxfId="426">
      <pivotArea dataOnly="0" labelOnly="1" outline="0" fieldPosition="0">
        <references count="4">
          <reference field="0" count="1" selected="0">
            <x v="57"/>
          </reference>
          <reference field="1" count="1" selected="0">
            <x v="22"/>
          </reference>
          <reference field="2" count="1" selected="0">
            <x v="56"/>
          </reference>
          <reference field="3" count="1">
            <x v="9"/>
          </reference>
        </references>
      </pivotArea>
    </format>
    <format dxfId="425">
      <pivotArea dataOnly="0" labelOnly="1" outline="0" fieldPosition="0">
        <references count="4">
          <reference field="0" count="1" selected="0">
            <x v="58"/>
          </reference>
          <reference field="1" count="1" selected="0">
            <x v="23"/>
          </reference>
          <reference field="2" count="1" selected="0">
            <x v="57"/>
          </reference>
          <reference field="3" count="1">
            <x v="10"/>
          </reference>
        </references>
      </pivotArea>
    </format>
    <format dxfId="424">
      <pivotArea dataOnly="0" labelOnly="1" outline="0" fieldPosition="0">
        <references count="4">
          <reference field="0" count="1" selected="0">
            <x v="59"/>
          </reference>
          <reference field="1" count="1" selected="0">
            <x v="34"/>
          </reference>
          <reference field="2" count="1" selected="0">
            <x v="58"/>
          </reference>
          <reference field="3" count="1">
            <x v="23"/>
          </reference>
        </references>
      </pivotArea>
    </format>
    <format dxfId="423">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422">
      <pivotArea dataOnly="0" labelOnly="1" outline="0" fieldPosition="0">
        <references count="4">
          <reference field="0" count="1" selected="0">
            <x v="2"/>
          </reference>
          <reference field="1" count="1" selected="0">
            <x v="6"/>
          </reference>
          <reference field="2" count="1" selected="0">
            <x v="2"/>
          </reference>
          <reference field="3" count="1">
            <x v="4"/>
          </reference>
        </references>
      </pivotArea>
    </format>
    <format dxfId="421">
      <pivotArea dataOnly="0" labelOnly="1" outline="0" fieldPosition="0">
        <references count="4">
          <reference field="0" count="1" selected="0">
            <x v="3"/>
          </reference>
          <reference field="1" count="1" selected="0">
            <x v="36"/>
          </reference>
          <reference field="2" count="1" selected="0">
            <x v="3"/>
          </reference>
          <reference field="3" count="1">
            <x v="5"/>
          </reference>
        </references>
      </pivotArea>
    </format>
    <format dxfId="420">
      <pivotArea dataOnly="0" labelOnly="1" outline="0" fieldPosition="0">
        <references count="4">
          <reference field="0" count="1" selected="0">
            <x v="4"/>
          </reference>
          <reference field="1" count="1" selected="0">
            <x v="15"/>
          </reference>
          <reference field="2" count="1" selected="0">
            <x v="4"/>
          </reference>
          <reference field="3" count="1">
            <x v="10"/>
          </reference>
        </references>
      </pivotArea>
    </format>
    <format dxfId="419">
      <pivotArea dataOnly="0" labelOnly="1" outline="0" fieldPosition="0">
        <references count="4">
          <reference field="0" count="1" selected="0">
            <x v="5"/>
          </reference>
          <reference field="1" count="1" selected="0">
            <x v="29"/>
          </reference>
          <reference field="2" count="1" selected="0">
            <x v="5"/>
          </reference>
          <reference field="3" count="1">
            <x v="12"/>
          </reference>
        </references>
      </pivotArea>
    </format>
    <format dxfId="418">
      <pivotArea dataOnly="0" labelOnly="1" outline="0" fieldPosition="0">
        <references count="4">
          <reference field="0" count="1" selected="0">
            <x v="6"/>
          </reference>
          <reference field="1" count="1" selected="0">
            <x v="35"/>
          </reference>
          <reference field="2" count="1" selected="0">
            <x v="6"/>
          </reference>
          <reference field="3" count="1">
            <x v="8"/>
          </reference>
        </references>
      </pivotArea>
    </format>
    <format dxfId="417">
      <pivotArea dataOnly="0" labelOnly="1" outline="0" fieldPosition="0">
        <references count="4">
          <reference field="0" count="1" selected="0">
            <x v="7"/>
          </reference>
          <reference field="1" count="1" selected="0">
            <x v="25"/>
          </reference>
          <reference field="2" count="1" selected="0">
            <x v="7"/>
          </reference>
          <reference field="3" count="1">
            <x v="9"/>
          </reference>
        </references>
      </pivotArea>
    </format>
    <format dxfId="416">
      <pivotArea dataOnly="0" labelOnly="1" outline="0" fieldPosition="0">
        <references count="4">
          <reference field="0" count="1" selected="0">
            <x v="8"/>
          </reference>
          <reference field="1" count="1" selected="0">
            <x v="24"/>
          </reference>
          <reference field="2" count="1" selected="0">
            <x v="8"/>
          </reference>
          <reference field="3" count="1">
            <x v="14"/>
          </reference>
        </references>
      </pivotArea>
    </format>
    <format dxfId="415">
      <pivotArea dataOnly="0" labelOnly="1" outline="0" fieldPosition="0">
        <references count="4">
          <reference field="0" count="1" selected="0">
            <x v="9"/>
          </reference>
          <reference field="1" count="1" selected="0">
            <x v="39"/>
          </reference>
          <reference field="2" count="1" selected="0">
            <x v="9"/>
          </reference>
          <reference field="3" count="1">
            <x v="15"/>
          </reference>
        </references>
      </pivotArea>
    </format>
    <format dxfId="414">
      <pivotArea dataOnly="0" labelOnly="1" outline="0" fieldPosition="0">
        <references count="4">
          <reference field="0" count="1" selected="0">
            <x v="10"/>
          </reference>
          <reference field="1" count="1" selected="0">
            <x v="40"/>
          </reference>
          <reference field="2" count="1" selected="0">
            <x v="10"/>
          </reference>
          <reference field="3" count="1">
            <x v="14"/>
          </reference>
        </references>
      </pivotArea>
    </format>
    <format dxfId="413">
      <pivotArea dataOnly="0" labelOnly="1" outline="0" fieldPosition="0">
        <references count="4">
          <reference field="0" count="1" selected="0">
            <x v="11"/>
          </reference>
          <reference field="1" count="1" selected="0">
            <x v="41"/>
          </reference>
          <reference field="2" count="1" selected="0">
            <x v="11"/>
          </reference>
          <reference field="3" count="1">
            <x v="14"/>
          </reference>
        </references>
      </pivotArea>
    </format>
    <format dxfId="412">
      <pivotArea dataOnly="0" labelOnly="1" outline="0" fieldPosition="0">
        <references count="4">
          <reference field="0" count="1" selected="0">
            <x v="12"/>
          </reference>
          <reference field="1" count="1" selected="0">
            <x v="42"/>
          </reference>
          <reference field="2" count="1" selected="0">
            <x v="12"/>
          </reference>
          <reference field="3" count="1">
            <x v="14"/>
          </reference>
        </references>
      </pivotArea>
    </format>
    <format dxfId="411">
      <pivotArea dataOnly="0" labelOnly="1" outline="0" fieldPosition="0">
        <references count="4">
          <reference field="0" count="1" selected="0">
            <x v="13"/>
          </reference>
          <reference field="1" count="1" selected="0">
            <x v="43"/>
          </reference>
          <reference field="2" count="1" selected="0">
            <x v="13"/>
          </reference>
          <reference field="3" count="1">
            <x v="14"/>
          </reference>
        </references>
      </pivotArea>
    </format>
    <format dxfId="410">
      <pivotArea dataOnly="0" labelOnly="1" outline="0" fieldPosition="0">
        <references count="4">
          <reference field="0" count="1" selected="0">
            <x v="14"/>
          </reference>
          <reference field="1" count="1" selected="0">
            <x v="44"/>
          </reference>
          <reference field="2" count="1" selected="0">
            <x v="14"/>
          </reference>
          <reference field="3" count="1">
            <x v="14"/>
          </reference>
        </references>
      </pivotArea>
    </format>
    <format dxfId="409">
      <pivotArea dataOnly="0" labelOnly="1" outline="0" fieldPosition="0">
        <references count="4">
          <reference field="0" count="1" selected="0">
            <x v="15"/>
          </reference>
          <reference field="1" count="1" selected="0">
            <x v="32"/>
          </reference>
          <reference field="2" count="1" selected="0">
            <x v="15"/>
          </reference>
          <reference field="3" count="1">
            <x v="11"/>
          </reference>
        </references>
      </pivotArea>
    </format>
    <format dxfId="408">
      <pivotArea dataOnly="0" labelOnly="1" outline="0" fieldPosition="0">
        <references count="4">
          <reference field="0" count="1" selected="0">
            <x v="16"/>
          </reference>
          <reference field="1" count="1" selected="0">
            <x v="33"/>
          </reference>
          <reference field="2" count="1" selected="0">
            <x v="16"/>
          </reference>
          <reference field="3" count="1">
            <x v="11"/>
          </reference>
        </references>
      </pivotArea>
    </format>
    <format dxfId="407">
      <pivotArea dataOnly="0" labelOnly="1" outline="0" fieldPosition="0">
        <references count="4">
          <reference field="0" count="1" selected="0">
            <x v="17"/>
          </reference>
          <reference field="1" count="1" selected="0">
            <x v="17"/>
          </reference>
          <reference field="2" count="1" selected="0">
            <x v="17"/>
          </reference>
          <reference field="3" count="1">
            <x v="18"/>
          </reference>
        </references>
      </pivotArea>
    </format>
    <format dxfId="406">
      <pivotArea dataOnly="0" labelOnly="1" outline="0" fieldPosition="0">
        <references count="4">
          <reference field="0" count="1" selected="0">
            <x v="18"/>
          </reference>
          <reference field="1" count="1" selected="0">
            <x v="47"/>
          </reference>
          <reference field="2" count="1" selected="0">
            <x v="18"/>
          </reference>
          <reference field="3" count="1">
            <x v="4"/>
          </reference>
        </references>
      </pivotArea>
    </format>
    <format dxfId="405">
      <pivotArea dataOnly="0" labelOnly="1" outline="0" fieldPosition="0">
        <references count="4">
          <reference field="0" count="1" selected="0">
            <x v="19"/>
          </reference>
          <reference field="1" count="1" selected="0">
            <x v="48"/>
          </reference>
          <reference field="2" count="1" selected="0">
            <x v="19"/>
          </reference>
          <reference field="3" count="1">
            <x v="2"/>
          </reference>
        </references>
      </pivotArea>
    </format>
    <format dxfId="404">
      <pivotArea dataOnly="0" labelOnly="1" outline="0" fieldPosition="0">
        <references count="4">
          <reference field="0" count="1" selected="0">
            <x v="20"/>
          </reference>
          <reference field="1" count="1" selected="0">
            <x v="49"/>
          </reference>
          <reference field="2" count="1" selected="0">
            <x v="20"/>
          </reference>
          <reference field="3" count="1">
            <x v="7"/>
          </reference>
        </references>
      </pivotArea>
    </format>
    <format dxfId="403">
      <pivotArea dataOnly="0" labelOnly="1" outline="0" fieldPosition="0">
        <references count="4">
          <reference field="0" count="1" selected="0">
            <x v="22"/>
          </reference>
          <reference field="1" count="1" selected="0">
            <x v="52"/>
          </reference>
          <reference field="2" count="1" selected="0">
            <x v="22"/>
          </reference>
          <reference field="3" count="1">
            <x v="22"/>
          </reference>
        </references>
      </pivotArea>
    </format>
    <format dxfId="402">
      <pivotArea dataOnly="0" labelOnly="1" outline="0" fieldPosition="0">
        <references count="4">
          <reference field="0" count="1" selected="0">
            <x v="24"/>
          </reference>
          <reference field="1" count="1" selected="0">
            <x v="10"/>
          </reference>
          <reference field="2" count="1" selected="0">
            <x v="24"/>
          </reference>
          <reference field="3" count="1">
            <x v="9"/>
          </reference>
        </references>
      </pivotArea>
    </format>
    <format dxfId="401">
      <pivotArea dataOnly="0" labelOnly="1" outline="0" fieldPosition="0">
        <references count="4">
          <reference field="0" count="1" selected="0">
            <x v="25"/>
          </reference>
          <reference field="1" count="1" selected="0">
            <x v="11"/>
          </reference>
          <reference field="2" count="1" selected="0">
            <x v="25"/>
          </reference>
          <reference field="3" count="1">
            <x v="14"/>
          </reference>
        </references>
      </pivotArea>
    </format>
    <format dxfId="400">
      <pivotArea dataOnly="0" labelOnly="1" outline="0" fieldPosition="0">
        <references count="4">
          <reference field="0" count="1" selected="0">
            <x v="26"/>
          </reference>
          <reference field="1" count="1" selected="0">
            <x v="12"/>
          </reference>
          <reference field="2" count="1" selected="0">
            <x v="26"/>
          </reference>
          <reference field="3" count="1">
            <x v="9"/>
          </reference>
        </references>
      </pivotArea>
    </format>
    <format dxfId="399">
      <pivotArea dataOnly="0" labelOnly="1" outline="0" fieldPosition="0">
        <references count="4">
          <reference field="0" count="1" selected="0">
            <x v="27"/>
          </reference>
          <reference field="1" count="1" selected="0">
            <x v="13"/>
          </reference>
          <reference field="2" count="1" selected="0">
            <x v="27"/>
          </reference>
          <reference field="3" count="1">
            <x v="6"/>
          </reference>
        </references>
      </pivotArea>
    </format>
    <format dxfId="398">
      <pivotArea dataOnly="0" labelOnly="1" outline="0" fieldPosition="0">
        <references count="4">
          <reference field="0" count="1" selected="0">
            <x v="28"/>
          </reference>
          <reference field="1" count="1" selected="0">
            <x v="8"/>
          </reference>
          <reference field="2" count="1" selected="0">
            <x v="28"/>
          </reference>
          <reference field="3" count="1">
            <x v="6"/>
          </reference>
        </references>
      </pivotArea>
    </format>
    <format dxfId="397">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396">
      <pivotArea dataOnly="0" labelOnly="1" outline="0" fieldPosition="0">
        <references count="4">
          <reference field="0" count="1" selected="0">
            <x v="30"/>
          </reference>
          <reference field="1" count="1" selected="0">
            <x v="7"/>
          </reference>
          <reference field="2" count="1" selected="0">
            <x v="30"/>
          </reference>
          <reference field="3" count="1">
            <x v="6"/>
          </reference>
        </references>
      </pivotArea>
    </format>
    <format dxfId="395">
      <pivotArea dataOnly="0" labelOnly="1" outline="0" fieldPosition="0">
        <references count="4">
          <reference field="0" count="1" selected="0">
            <x v="31"/>
          </reference>
          <reference field="1" count="1" selected="0">
            <x v="37"/>
          </reference>
          <reference field="2" count="1" selected="0">
            <x v="31"/>
          </reference>
          <reference field="3" count="1">
            <x v="9"/>
          </reference>
        </references>
      </pivotArea>
    </format>
    <format dxfId="394">
      <pivotArea dataOnly="0" labelOnly="1" outline="0" fieldPosition="0">
        <references count="4">
          <reference field="0" count="1" selected="0">
            <x v="32"/>
          </reference>
          <reference field="1" count="1" selected="0">
            <x v="38"/>
          </reference>
          <reference field="2" count="1" selected="0">
            <x v="32"/>
          </reference>
          <reference field="3" count="1">
            <x v="0"/>
          </reference>
        </references>
      </pivotArea>
    </format>
    <format dxfId="393">
      <pivotArea dataOnly="0" labelOnly="1" outline="0" fieldPosition="0">
        <references count="4">
          <reference field="0" count="1" selected="0">
            <x v="33"/>
          </reference>
          <reference field="1" count="1" selected="0">
            <x v="3"/>
          </reference>
          <reference field="2" count="1" selected="0">
            <x v="33"/>
          </reference>
          <reference field="3" count="1">
            <x v="9"/>
          </reference>
        </references>
      </pivotArea>
    </format>
    <format dxfId="392">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391">
      <pivotArea dataOnly="0" labelOnly="1" outline="0" fieldPosition="0">
        <references count="4">
          <reference field="0" count="1" selected="0">
            <x v="35"/>
          </reference>
          <reference field="1" count="1" selected="0">
            <x v="45"/>
          </reference>
          <reference field="2" count="1" selected="0">
            <x v="35"/>
          </reference>
          <reference field="3" count="1">
            <x v="19"/>
          </reference>
        </references>
      </pivotArea>
    </format>
    <format dxfId="390">
      <pivotArea dataOnly="0" labelOnly="1" outline="0" fieldPosition="0">
        <references count="4">
          <reference field="0" count="1" selected="0">
            <x v="36"/>
          </reference>
          <reference field="1" count="1" selected="0">
            <x v="46"/>
          </reference>
          <reference field="2" count="1" selected="0">
            <x v="36"/>
          </reference>
          <reference field="3" count="1">
            <x v="16"/>
          </reference>
        </references>
      </pivotArea>
    </format>
    <format dxfId="389">
      <pivotArea dataOnly="0" labelOnly="1" outline="0" fieldPosition="0">
        <references count="4">
          <reference field="0" count="1" selected="0">
            <x v="37"/>
          </reference>
          <reference field="1" count="1" selected="0">
            <x v="50"/>
          </reference>
          <reference field="2" count="1" selected="0">
            <x v="37"/>
          </reference>
          <reference field="3" count="1">
            <x v="20"/>
          </reference>
        </references>
      </pivotArea>
    </format>
    <format dxfId="388">
      <pivotArea dataOnly="0" labelOnly="1" outline="0" fieldPosition="0">
        <references count="4">
          <reference field="0" count="1" selected="0">
            <x v="38"/>
          </reference>
          <reference field="1" count="1" selected="0">
            <x v="51"/>
          </reference>
          <reference field="2" count="1" selected="0">
            <x v="38"/>
          </reference>
          <reference field="3" count="1">
            <x v="13"/>
          </reference>
        </references>
      </pivotArea>
    </format>
    <format dxfId="387">
      <pivotArea dataOnly="0" labelOnly="1" outline="0" fieldPosition="0">
        <references count="4">
          <reference field="0" count="1" selected="0">
            <x v="39"/>
          </reference>
          <reference field="1" count="1" selected="0">
            <x v="30"/>
          </reference>
          <reference field="2" count="1" selected="0">
            <x v="39"/>
          </reference>
          <reference field="3" count="1">
            <x v="25"/>
          </reference>
        </references>
      </pivotArea>
    </format>
    <format dxfId="386">
      <pivotArea dataOnly="0" labelOnly="1" outline="0" fieldPosition="0">
        <references count="4">
          <reference field="0" count="1" selected="0">
            <x v="40"/>
          </reference>
          <reference field="1" count="1" selected="0">
            <x v="26"/>
          </reference>
          <reference field="2" count="1" selected="0">
            <x v="40"/>
          </reference>
          <reference field="3" count="1">
            <x v="21"/>
          </reference>
        </references>
      </pivotArea>
    </format>
    <format dxfId="385">
      <pivotArea dataOnly="0" labelOnly="1" outline="0" fieldPosition="0">
        <references count="4">
          <reference field="0" count="1" selected="0">
            <x v="42"/>
          </reference>
          <reference field="1" count="1" selected="0">
            <x v="27"/>
          </reference>
          <reference field="2" count="1" selected="0">
            <x v="41"/>
          </reference>
          <reference field="3" count="1">
            <x v="21"/>
          </reference>
        </references>
      </pivotArea>
    </format>
    <format dxfId="384">
      <pivotArea dataOnly="0" labelOnly="1" outline="0" fieldPosition="0">
        <references count="4">
          <reference field="0" count="1" selected="0">
            <x v="43"/>
          </reference>
          <reference field="1" count="1" selected="0">
            <x v="19"/>
          </reference>
          <reference field="2" count="1" selected="0">
            <x v="42"/>
          </reference>
          <reference field="3" count="1">
            <x v="20"/>
          </reference>
        </references>
      </pivotArea>
    </format>
    <format dxfId="383">
      <pivotArea dataOnly="0" labelOnly="1" outline="0" fieldPosition="0">
        <references count="4">
          <reference field="0" count="1" selected="0">
            <x v="44"/>
          </reference>
          <reference field="1" count="1" selected="0">
            <x v="20"/>
          </reference>
          <reference field="2" count="1" selected="0">
            <x v="43"/>
          </reference>
          <reference field="3" count="1">
            <x v="17"/>
          </reference>
        </references>
      </pivotArea>
    </format>
    <format dxfId="382">
      <pivotArea dataOnly="0" labelOnly="1" outline="0" fieldPosition="0">
        <references count="4">
          <reference field="0" count="1" selected="0">
            <x v="45"/>
          </reference>
          <reference field="1" count="1" selected="0">
            <x v="21"/>
          </reference>
          <reference field="2" count="1" selected="0">
            <x v="44"/>
          </reference>
          <reference field="3" count="1">
            <x v="19"/>
          </reference>
        </references>
      </pivotArea>
    </format>
    <format dxfId="381">
      <pivotArea dataOnly="0" labelOnly="1" outline="0" fieldPosition="0">
        <references count="4">
          <reference field="0" count="1" selected="0">
            <x v="47"/>
          </reference>
          <reference field="1" count="1" selected="0">
            <x v="16"/>
          </reference>
          <reference field="2" count="1" selected="0">
            <x v="46"/>
          </reference>
          <reference field="3" count="1">
            <x v="9"/>
          </reference>
        </references>
      </pivotArea>
    </format>
    <format dxfId="380">
      <pivotArea dataOnly="0" labelOnly="1" outline="0" fieldPosition="0">
        <references count="4">
          <reference field="0" count="1" selected="0">
            <x v="49"/>
          </reference>
          <reference field="1" count="1" selected="0">
            <x v="0"/>
          </reference>
          <reference field="2" count="1" selected="0">
            <x v="48"/>
          </reference>
          <reference field="3" count="1">
            <x v="11"/>
          </reference>
        </references>
      </pivotArea>
    </format>
    <format dxfId="379">
      <pivotArea dataOnly="0" labelOnly="1" outline="0" fieldPosition="0">
        <references count="4">
          <reference field="0" count="1" selected="0">
            <x v="50"/>
          </reference>
          <reference field="1" count="1" selected="0">
            <x v="31"/>
          </reference>
          <reference field="2" count="1" selected="0">
            <x v="49"/>
          </reference>
          <reference field="3" count="1">
            <x v="10"/>
          </reference>
        </references>
      </pivotArea>
    </format>
    <format dxfId="378">
      <pivotArea dataOnly="0" labelOnly="1" outline="0" fieldPosition="0">
        <references count="4">
          <reference field="0" count="1" selected="0">
            <x v="51"/>
          </reference>
          <reference field="1" count="1" selected="0">
            <x v="14"/>
          </reference>
          <reference field="2" count="1" selected="0">
            <x v="50"/>
          </reference>
          <reference field="3" count="1">
            <x v="22"/>
          </reference>
        </references>
      </pivotArea>
    </format>
    <format dxfId="377">
      <pivotArea dataOnly="0" labelOnly="1" outline="0" fieldPosition="0">
        <references count="4">
          <reference field="0" count="1" selected="0">
            <x v="52"/>
          </reference>
          <reference field="1" count="1" selected="0">
            <x v="2"/>
          </reference>
          <reference field="2" count="1" selected="0">
            <x v="51"/>
          </reference>
          <reference field="3" count="1">
            <x v="24"/>
          </reference>
        </references>
      </pivotArea>
    </format>
    <format dxfId="376">
      <pivotArea dataOnly="0" labelOnly="1" outline="0" fieldPosition="0">
        <references count="4">
          <reference field="0" count="1" selected="0">
            <x v="53"/>
          </reference>
          <reference field="1" count="1" selected="0">
            <x v="1"/>
          </reference>
          <reference field="2" count="1" selected="0">
            <x v="52"/>
          </reference>
          <reference field="3" count="1">
            <x v="5"/>
          </reference>
        </references>
      </pivotArea>
    </format>
    <format dxfId="375">
      <pivotArea dataOnly="0" labelOnly="1" outline="0" fieldPosition="0">
        <references count="4">
          <reference field="0" count="1" selected="0">
            <x v="55"/>
          </reference>
          <reference field="1" count="1" selected="0">
            <x v="18"/>
          </reference>
          <reference field="2" count="1" selected="0">
            <x v="54"/>
          </reference>
          <reference field="3" count="1">
            <x v="26"/>
          </reference>
        </references>
      </pivotArea>
    </format>
    <format dxfId="374">
      <pivotArea dataOnly="0" labelOnly="1" outline="0" fieldPosition="0">
        <references count="4">
          <reference field="0" count="1" selected="0">
            <x v="57"/>
          </reference>
          <reference field="1" count="1" selected="0">
            <x v="22"/>
          </reference>
          <reference field="2" count="1" selected="0">
            <x v="56"/>
          </reference>
          <reference field="3" count="1">
            <x v="9"/>
          </reference>
        </references>
      </pivotArea>
    </format>
    <format dxfId="373">
      <pivotArea dataOnly="0" labelOnly="1" outline="0" fieldPosition="0">
        <references count="4">
          <reference field="0" count="1" selected="0">
            <x v="58"/>
          </reference>
          <reference field="1" count="1" selected="0">
            <x v="23"/>
          </reference>
          <reference field="2" count="1" selected="0">
            <x v="57"/>
          </reference>
          <reference field="3" count="1">
            <x v="10"/>
          </reference>
        </references>
      </pivotArea>
    </format>
    <format dxfId="372">
      <pivotArea dataOnly="0" labelOnly="1" outline="0" fieldPosition="0">
        <references count="4">
          <reference field="0" count="1" selected="0">
            <x v="59"/>
          </reference>
          <reference field="1" count="1" selected="0">
            <x v="34"/>
          </reference>
          <reference field="2" count="1" selected="0">
            <x v="58"/>
          </reference>
          <reference field="3" count="1">
            <x v="23"/>
          </reference>
        </references>
      </pivotArea>
    </format>
    <format dxfId="371">
      <pivotArea field="1" type="button" dataOnly="0" labelOnly="1" outline="0" axis="axisRow" fieldPosition="2"/>
    </format>
    <format dxfId="370">
      <pivotArea dataOnly="0" labelOnly="1" outline="0" fieldPosition="0">
        <references count="1">
          <reference field="1" count="0"/>
        </references>
      </pivotArea>
    </format>
    <format dxfId="369">
      <pivotArea field="0" type="button" dataOnly="0" labelOnly="1" outline="0" axis="axisRow" fieldPosition="0"/>
    </format>
    <format dxfId="368">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367">
      <pivotArea dataOnly="0" labelOnly="1" outline="0" fieldPosition="0">
        <references count="1">
          <reference field="0" count="10">
            <x v="50"/>
            <x v="51"/>
            <x v="52"/>
            <x v="53"/>
            <x v="54"/>
            <x v="55"/>
            <x v="56"/>
            <x v="57"/>
            <x v="58"/>
            <x v="59"/>
          </reference>
        </references>
      </pivotArea>
    </format>
    <format dxfId="366">
      <pivotArea dataOnly="0" labelOnly="1" grandRow="1" outline="0" fieldPosition="0"/>
    </format>
    <format dxfId="365">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364">
      <pivotArea dataOnly="0" labelOnly="1" outline="0" fieldPosition="0">
        <references count="1">
          <reference field="0" count="10">
            <x v="50"/>
            <x v="51"/>
            <x v="52"/>
            <x v="53"/>
            <x v="54"/>
            <x v="55"/>
            <x v="56"/>
            <x v="57"/>
            <x v="58"/>
            <x v="59"/>
          </reference>
        </references>
      </pivotArea>
    </format>
    <format dxfId="363">
      <pivotArea dataOnly="0" labelOnly="1" grandRow="1" outline="0" fieldPosition="0"/>
    </format>
    <format dxfId="362">
      <pivotArea field="2" type="button" dataOnly="0" labelOnly="1" outline="0" axis="axisRow" fieldPosition="1"/>
    </format>
    <format dxfId="361">
      <pivotArea type="all" dataOnly="0" outline="0" fieldPosition="0"/>
    </format>
    <format dxfId="360">
      <pivotArea field="0" type="button" dataOnly="0" labelOnly="1" outline="0" axis="axisRow" fieldPosition="0"/>
    </format>
    <format dxfId="359">
      <pivotArea field="2" type="button" dataOnly="0" labelOnly="1" outline="0" axis="axisRow" fieldPosition="1"/>
    </format>
    <format dxfId="358">
      <pivotArea field="1" type="button" dataOnly="0" labelOnly="1" outline="0" axis="axisRow" fieldPosition="2"/>
    </format>
    <format dxfId="357">
      <pivotArea field="3" type="button" dataOnly="0" labelOnly="1" outline="0" axis="axisRow" fieldPosition="3"/>
    </format>
    <format dxfId="356">
      <pivotArea field="0" type="button" dataOnly="0" labelOnly="1" outline="0" axis="axisRow" fieldPosition="0"/>
    </format>
    <format dxfId="355">
      <pivotArea field="2" type="button" dataOnly="0" labelOnly="1" outline="0" axis="axisRow" fieldPosition="1"/>
    </format>
    <format dxfId="354">
      <pivotArea field="1" type="button" dataOnly="0" labelOnly="1" outline="0" axis="axisRow" fieldPosition="2"/>
    </format>
    <format dxfId="353">
      <pivotArea field="3" type="button" dataOnly="0" labelOnly="1" outline="0" axis="axisRow" fieldPosition="3"/>
    </format>
    <format dxfId="352">
      <pivotArea field="0" type="button" dataOnly="0" labelOnly="1" outline="0" axis="axisRow" fieldPosition="0"/>
    </format>
    <format dxfId="351">
      <pivotArea field="2" type="button" dataOnly="0" labelOnly="1" outline="0" axis="axisRow" fieldPosition="1"/>
    </format>
    <format dxfId="350">
      <pivotArea dataOnly="0" labelOnly="1" outline="0" fieldPosition="0">
        <references count="3">
          <reference field="0" count="1" selected="0">
            <x v="1"/>
          </reference>
          <reference field="1" count="1">
            <x v="5"/>
          </reference>
          <reference field="2" count="1" selected="0">
            <x v="1"/>
          </reference>
        </references>
      </pivotArea>
    </format>
    <format dxfId="349">
      <pivotArea dataOnly="0" labelOnly="1" outline="0" fieldPosition="0">
        <references count="3">
          <reference field="0" count="1" selected="0">
            <x v="2"/>
          </reference>
          <reference field="1" count="1">
            <x v="6"/>
          </reference>
          <reference field="2" count="1" selected="0">
            <x v="2"/>
          </reference>
        </references>
      </pivotArea>
    </format>
    <format dxfId="348">
      <pivotArea dataOnly="0" labelOnly="1" outline="0" fieldPosition="0">
        <references count="3">
          <reference field="0" count="1" selected="0">
            <x v="3"/>
          </reference>
          <reference field="1" count="1">
            <x v="36"/>
          </reference>
          <reference field="2" count="1" selected="0">
            <x v="3"/>
          </reference>
        </references>
      </pivotArea>
    </format>
    <format dxfId="347">
      <pivotArea dataOnly="0" labelOnly="1" outline="0" fieldPosition="0">
        <references count="3">
          <reference field="0" count="1" selected="0">
            <x v="4"/>
          </reference>
          <reference field="1" count="1">
            <x v="15"/>
          </reference>
          <reference field="2" count="1" selected="0">
            <x v="4"/>
          </reference>
        </references>
      </pivotArea>
    </format>
    <format dxfId="346">
      <pivotArea dataOnly="0" labelOnly="1" outline="0" fieldPosition="0">
        <references count="3">
          <reference field="0" count="1" selected="0">
            <x v="5"/>
          </reference>
          <reference field="1" count="1">
            <x v="29"/>
          </reference>
          <reference field="2" count="1" selected="0">
            <x v="5"/>
          </reference>
        </references>
      </pivotArea>
    </format>
    <format dxfId="345">
      <pivotArea dataOnly="0" labelOnly="1" outline="0" fieldPosition="0">
        <references count="3">
          <reference field="0" count="1" selected="0">
            <x v="6"/>
          </reference>
          <reference field="1" count="1">
            <x v="35"/>
          </reference>
          <reference field="2" count="1" selected="0">
            <x v="6"/>
          </reference>
        </references>
      </pivotArea>
    </format>
    <format dxfId="344">
      <pivotArea dataOnly="0" labelOnly="1" outline="0" fieldPosition="0">
        <references count="3">
          <reference field="0" count="1" selected="0">
            <x v="7"/>
          </reference>
          <reference field="1" count="1">
            <x v="25"/>
          </reference>
          <reference field="2" count="1" selected="0">
            <x v="7"/>
          </reference>
        </references>
      </pivotArea>
    </format>
    <format dxfId="343">
      <pivotArea dataOnly="0" labelOnly="1" outline="0" fieldPosition="0">
        <references count="3">
          <reference field="0" count="1" selected="0">
            <x v="8"/>
          </reference>
          <reference field="1" count="1">
            <x v="24"/>
          </reference>
          <reference field="2" count="1" selected="0">
            <x v="8"/>
          </reference>
        </references>
      </pivotArea>
    </format>
    <format dxfId="342">
      <pivotArea dataOnly="0" labelOnly="1" outline="0" fieldPosition="0">
        <references count="3">
          <reference field="0" count="1" selected="0">
            <x v="9"/>
          </reference>
          <reference field="1" count="1">
            <x v="39"/>
          </reference>
          <reference field="2" count="1" selected="0">
            <x v="9"/>
          </reference>
        </references>
      </pivotArea>
    </format>
    <format dxfId="341">
      <pivotArea dataOnly="0" labelOnly="1" outline="0" fieldPosition="0">
        <references count="3">
          <reference field="0" count="1" selected="0">
            <x v="10"/>
          </reference>
          <reference field="1" count="1">
            <x v="40"/>
          </reference>
          <reference field="2" count="1" selected="0">
            <x v="10"/>
          </reference>
        </references>
      </pivotArea>
    </format>
    <format dxfId="340">
      <pivotArea dataOnly="0" labelOnly="1" outline="0" fieldPosition="0">
        <references count="3">
          <reference field="0" count="1" selected="0">
            <x v="11"/>
          </reference>
          <reference field="1" count="1">
            <x v="41"/>
          </reference>
          <reference field="2" count="1" selected="0">
            <x v="11"/>
          </reference>
        </references>
      </pivotArea>
    </format>
    <format dxfId="339">
      <pivotArea dataOnly="0" labelOnly="1" outline="0" fieldPosition="0">
        <references count="3">
          <reference field="0" count="1" selected="0">
            <x v="12"/>
          </reference>
          <reference field="1" count="1">
            <x v="42"/>
          </reference>
          <reference field="2" count="1" selected="0">
            <x v="12"/>
          </reference>
        </references>
      </pivotArea>
    </format>
    <format dxfId="338">
      <pivotArea dataOnly="0" labelOnly="1" outline="0" fieldPosition="0">
        <references count="3">
          <reference field="0" count="1" selected="0">
            <x v="13"/>
          </reference>
          <reference field="1" count="1">
            <x v="43"/>
          </reference>
          <reference field="2" count="1" selected="0">
            <x v="13"/>
          </reference>
        </references>
      </pivotArea>
    </format>
    <format dxfId="337">
      <pivotArea dataOnly="0" labelOnly="1" outline="0" fieldPosition="0">
        <references count="3">
          <reference field="0" count="1" selected="0">
            <x v="14"/>
          </reference>
          <reference field="1" count="1">
            <x v="44"/>
          </reference>
          <reference field="2" count="1" selected="0">
            <x v="14"/>
          </reference>
        </references>
      </pivotArea>
    </format>
    <format dxfId="336">
      <pivotArea dataOnly="0" labelOnly="1" outline="0" fieldPosition="0">
        <references count="3">
          <reference field="0" count="1" selected="0">
            <x v="15"/>
          </reference>
          <reference field="1" count="1">
            <x v="32"/>
          </reference>
          <reference field="2" count="1" selected="0">
            <x v="15"/>
          </reference>
        </references>
      </pivotArea>
    </format>
    <format dxfId="335">
      <pivotArea dataOnly="0" labelOnly="1" outline="0" fieldPosition="0">
        <references count="3">
          <reference field="0" count="1" selected="0">
            <x v="16"/>
          </reference>
          <reference field="1" count="1">
            <x v="33"/>
          </reference>
          <reference field="2" count="1" selected="0">
            <x v="16"/>
          </reference>
        </references>
      </pivotArea>
    </format>
    <format dxfId="334">
      <pivotArea dataOnly="0" labelOnly="1" outline="0" fieldPosition="0">
        <references count="3">
          <reference field="0" count="1" selected="0">
            <x v="17"/>
          </reference>
          <reference field="1" count="1">
            <x v="17"/>
          </reference>
          <reference field="2" count="1" selected="0">
            <x v="17"/>
          </reference>
        </references>
      </pivotArea>
    </format>
    <format dxfId="333">
      <pivotArea dataOnly="0" labelOnly="1" outline="0" fieldPosition="0">
        <references count="3">
          <reference field="0" count="1" selected="0">
            <x v="18"/>
          </reference>
          <reference field="1" count="1">
            <x v="47"/>
          </reference>
          <reference field="2" count="1" selected="0">
            <x v="18"/>
          </reference>
        </references>
      </pivotArea>
    </format>
    <format dxfId="332">
      <pivotArea dataOnly="0" labelOnly="1" outline="0" fieldPosition="0">
        <references count="3">
          <reference field="0" count="1" selected="0">
            <x v="19"/>
          </reference>
          <reference field="1" count="1">
            <x v="48"/>
          </reference>
          <reference field="2" count="1" selected="0">
            <x v="19"/>
          </reference>
        </references>
      </pivotArea>
    </format>
    <format dxfId="331">
      <pivotArea dataOnly="0" labelOnly="1" outline="0" fieldPosition="0">
        <references count="3">
          <reference field="0" count="1" selected="0">
            <x v="20"/>
          </reference>
          <reference field="1" count="1">
            <x v="49"/>
          </reference>
          <reference field="2" count="1" selected="0">
            <x v="20"/>
          </reference>
        </references>
      </pivotArea>
    </format>
    <format dxfId="330">
      <pivotArea dataOnly="0" labelOnly="1" outline="0" fieldPosition="0">
        <references count="3">
          <reference field="0" count="1" selected="0">
            <x v="22"/>
          </reference>
          <reference field="1" count="1">
            <x v="52"/>
          </reference>
          <reference field="2" count="1" selected="0">
            <x v="22"/>
          </reference>
        </references>
      </pivotArea>
    </format>
    <format dxfId="329">
      <pivotArea dataOnly="0" labelOnly="1" outline="0" fieldPosition="0">
        <references count="3">
          <reference field="0" count="1" selected="0">
            <x v="24"/>
          </reference>
          <reference field="1" count="1">
            <x v="10"/>
          </reference>
          <reference field="2" count="1" selected="0">
            <x v="24"/>
          </reference>
        </references>
      </pivotArea>
    </format>
    <format dxfId="328">
      <pivotArea dataOnly="0" labelOnly="1" outline="0" fieldPosition="0">
        <references count="3">
          <reference field="0" count="1" selected="0">
            <x v="25"/>
          </reference>
          <reference field="1" count="1">
            <x v="11"/>
          </reference>
          <reference field="2" count="1" selected="0">
            <x v="25"/>
          </reference>
        </references>
      </pivotArea>
    </format>
    <format dxfId="327">
      <pivotArea dataOnly="0" labelOnly="1" outline="0" fieldPosition="0">
        <references count="3">
          <reference field="0" count="1" selected="0">
            <x v="26"/>
          </reference>
          <reference field="1" count="1">
            <x v="12"/>
          </reference>
          <reference field="2" count="1" selected="0">
            <x v="26"/>
          </reference>
        </references>
      </pivotArea>
    </format>
    <format dxfId="326">
      <pivotArea dataOnly="0" labelOnly="1" outline="0" fieldPosition="0">
        <references count="3">
          <reference field="0" count="1" selected="0">
            <x v="27"/>
          </reference>
          <reference field="1" count="1">
            <x v="13"/>
          </reference>
          <reference field="2" count="1" selected="0">
            <x v="27"/>
          </reference>
        </references>
      </pivotArea>
    </format>
    <format dxfId="325">
      <pivotArea dataOnly="0" labelOnly="1" outline="0" fieldPosition="0">
        <references count="3">
          <reference field="0" count="1" selected="0">
            <x v="28"/>
          </reference>
          <reference field="1" count="1">
            <x v="8"/>
          </reference>
          <reference field="2" count="1" selected="0">
            <x v="28"/>
          </reference>
        </references>
      </pivotArea>
    </format>
    <format dxfId="324">
      <pivotArea dataOnly="0" labelOnly="1" outline="0" fieldPosition="0">
        <references count="3">
          <reference field="0" count="1" selected="0">
            <x v="29"/>
          </reference>
          <reference field="1" count="1">
            <x v="9"/>
          </reference>
          <reference field="2" count="1" selected="0">
            <x v="29"/>
          </reference>
        </references>
      </pivotArea>
    </format>
    <format dxfId="323">
      <pivotArea dataOnly="0" labelOnly="1" outline="0" fieldPosition="0">
        <references count="3">
          <reference field="0" count="1" selected="0">
            <x v="30"/>
          </reference>
          <reference field="1" count="1">
            <x v="7"/>
          </reference>
          <reference field="2" count="1" selected="0">
            <x v="30"/>
          </reference>
        </references>
      </pivotArea>
    </format>
    <format dxfId="322">
      <pivotArea dataOnly="0" labelOnly="1" outline="0" fieldPosition="0">
        <references count="3">
          <reference field="0" count="1" selected="0">
            <x v="31"/>
          </reference>
          <reference field="1" count="1">
            <x v="37"/>
          </reference>
          <reference field="2" count="1" selected="0">
            <x v="31"/>
          </reference>
        </references>
      </pivotArea>
    </format>
    <format dxfId="321">
      <pivotArea dataOnly="0" labelOnly="1" outline="0" fieldPosition="0">
        <references count="3">
          <reference field="0" count="1" selected="0">
            <x v="32"/>
          </reference>
          <reference field="1" count="1">
            <x v="38"/>
          </reference>
          <reference field="2" count="1" selected="0">
            <x v="32"/>
          </reference>
        </references>
      </pivotArea>
    </format>
    <format dxfId="320">
      <pivotArea dataOnly="0" labelOnly="1" outline="0" fieldPosition="0">
        <references count="3">
          <reference field="0" count="1" selected="0">
            <x v="33"/>
          </reference>
          <reference field="1" count="1">
            <x v="3"/>
          </reference>
          <reference field="2" count="1" selected="0">
            <x v="33"/>
          </reference>
        </references>
      </pivotArea>
    </format>
    <format dxfId="319">
      <pivotArea dataOnly="0" labelOnly="1" outline="0" fieldPosition="0">
        <references count="3">
          <reference field="0" count="1" selected="0">
            <x v="34"/>
          </reference>
          <reference field="1" count="1">
            <x v="4"/>
          </reference>
          <reference field="2" count="1" selected="0">
            <x v="34"/>
          </reference>
        </references>
      </pivotArea>
    </format>
    <format dxfId="318">
      <pivotArea dataOnly="0" labelOnly="1" outline="0" fieldPosition="0">
        <references count="3">
          <reference field="0" count="1" selected="0">
            <x v="35"/>
          </reference>
          <reference field="1" count="1">
            <x v="45"/>
          </reference>
          <reference field="2" count="1" selected="0">
            <x v="35"/>
          </reference>
        </references>
      </pivotArea>
    </format>
    <format dxfId="317">
      <pivotArea dataOnly="0" labelOnly="1" outline="0" fieldPosition="0">
        <references count="3">
          <reference field="0" count="1" selected="0">
            <x v="36"/>
          </reference>
          <reference field="1" count="1">
            <x v="46"/>
          </reference>
          <reference field="2" count="1" selected="0">
            <x v="36"/>
          </reference>
        </references>
      </pivotArea>
    </format>
    <format dxfId="316">
      <pivotArea dataOnly="0" labelOnly="1" outline="0" fieldPosition="0">
        <references count="3">
          <reference field="0" count="1" selected="0">
            <x v="37"/>
          </reference>
          <reference field="1" count="1">
            <x v="50"/>
          </reference>
          <reference field="2" count="1" selected="0">
            <x v="37"/>
          </reference>
        </references>
      </pivotArea>
    </format>
    <format dxfId="315">
      <pivotArea dataOnly="0" labelOnly="1" outline="0" fieldPosition="0">
        <references count="3">
          <reference field="0" count="1" selected="0">
            <x v="38"/>
          </reference>
          <reference field="1" count="1">
            <x v="51"/>
          </reference>
          <reference field="2" count="1" selected="0">
            <x v="38"/>
          </reference>
        </references>
      </pivotArea>
    </format>
    <format dxfId="314">
      <pivotArea dataOnly="0" labelOnly="1" outline="0" fieldPosition="0">
        <references count="3">
          <reference field="0" count="1" selected="0">
            <x v="39"/>
          </reference>
          <reference field="1" count="1">
            <x v="30"/>
          </reference>
          <reference field="2" count="1" selected="0">
            <x v="39"/>
          </reference>
        </references>
      </pivotArea>
    </format>
    <format dxfId="313">
      <pivotArea dataOnly="0" labelOnly="1" outline="0" fieldPosition="0">
        <references count="3">
          <reference field="0" count="1" selected="0">
            <x v="40"/>
          </reference>
          <reference field="1" count="1">
            <x v="26"/>
          </reference>
          <reference field="2" count="1" selected="0">
            <x v="40"/>
          </reference>
        </references>
      </pivotArea>
    </format>
    <format dxfId="312">
      <pivotArea dataOnly="0" labelOnly="1" outline="0" fieldPosition="0">
        <references count="3">
          <reference field="0" count="1" selected="0">
            <x v="42"/>
          </reference>
          <reference field="1" count="1">
            <x v="27"/>
          </reference>
          <reference field="2" count="1" selected="0">
            <x v="41"/>
          </reference>
        </references>
      </pivotArea>
    </format>
    <format dxfId="311">
      <pivotArea dataOnly="0" labelOnly="1" outline="0" fieldPosition="0">
        <references count="3">
          <reference field="0" count="1" selected="0">
            <x v="43"/>
          </reference>
          <reference field="1" count="1">
            <x v="19"/>
          </reference>
          <reference field="2" count="1" selected="0">
            <x v="42"/>
          </reference>
        </references>
      </pivotArea>
    </format>
    <format dxfId="310">
      <pivotArea dataOnly="0" labelOnly="1" outline="0" fieldPosition="0">
        <references count="3">
          <reference field="0" count="1" selected="0">
            <x v="44"/>
          </reference>
          <reference field="1" count="1">
            <x v="20"/>
          </reference>
          <reference field="2" count="1" selected="0">
            <x v="43"/>
          </reference>
        </references>
      </pivotArea>
    </format>
    <format dxfId="309">
      <pivotArea dataOnly="0" labelOnly="1" outline="0" fieldPosition="0">
        <references count="3">
          <reference field="0" count="1" selected="0">
            <x v="45"/>
          </reference>
          <reference field="1" count="1">
            <x v="21"/>
          </reference>
          <reference field="2" count="1" selected="0">
            <x v="44"/>
          </reference>
        </references>
      </pivotArea>
    </format>
    <format dxfId="308">
      <pivotArea dataOnly="0" labelOnly="1" outline="0" fieldPosition="0">
        <references count="3">
          <reference field="0" count="1" selected="0">
            <x v="47"/>
          </reference>
          <reference field="1" count="1">
            <x v="16"/>
          </reference>
          <reference field="2" count="1" selected="0">
            <x v="46"/>
          </reference>
        </references>
      </pivotArea>
    </format>
    <format dxfId="307">
      <pivotArea dataOnly="0" labelOnly="1" outline="0" fieldPosition="0">
        <references count="3">
          <reference field="0" count="1" selected="0">
            <x v="49"/>
          </reference>
          <reference field="1" count="1">
            <x v="0"/>
          </reference>
          <reference field="2" count="1" selected="0">
            <x v="48"/>
          </reference>
        </references>
      </pivotArea>
    </format>
    <format dxfId="306">
      <pivotArea dataOnly="0" labelOnly="1" outline="0" fieldPosition="0">
        <references count="3">
          <reference field="0" count="1" selected="0">
            <x v="50"/>
          </reference>
          <reference field="1" count="1">
            <x v="31"/>
          </reference>
          <reference field="2" count="1" selected="0">
            <x v="49"/>
          </reference>
        </references>
      </pivotArea>
    </format>
    <format dxfId="305">
      <pivotArea dataOnly="0" labelOnly="1" outline="0" fieldPosition="0">
        <references count="3">
          <reference field="0" count="1" selected="0">
            <x v="51"/>
          </reference>
          <reference field="1" count="1">
            <x v="14"/>
          </reference>
          <reference field="2" count="1" selected="0">
            <x v="50"/>
          </reference>
        </references>
      </pivotArea>
    </format>
    <format dxfId="304">
      <pivotArea dataOnly="0" labelOnly="1" outline="0" fieldPosition="0">
        <references count="3">
          <reference field="0" count="1" selected="0">
            <x v="52"/>
          </reference>
          <reference field="1" count="1">
            <x v="2"/>
          </reference>
          <reference field="2" count="1" selected="0">
            <x v="51"/>
          </reference>
        </references>
      </pivotArea>
    </format>
    <format dxfId="303">
      <pivotArea dataOnly="0" labelOnly="1" outline="0" fieldPosition="0">
        <references count="3">
          <reference field="0" count="1" selected="0">
            <x v="53"/>
          </reference>
          <reference field="1" count="1">
            <x v="1"/>
          </reference>
          <reference field="2" count="1" selected="0">
            <x v="52"/>
          </reference>
        </references>
      </pivotArea>
    </format>
    <format dxfId="302">
      <pivotArea dataOnly="0" labelOnly="1" outline="0" fieldPosition="0">
        <references count="3">
          <reference field="0" count="1" selected="0">
            <x v="54"/>
          </reference>
          <reference field="1" count="1">
            <x v="28"/>
          </reference>
          <reference field="2" count="1" selected="0">
            <x v="53"/>
          </reference>
        </references>
      </pivotArea>
    </format>
    <format dxfId="301">
      <pivotArea dataOnly="0" labelOnly="1" outline="0" fieldPosition="0">
        <references count="3">
          <reference field="0" count="1" selected="0">
            <x v="55"/>
          </reference>
          <reference field="1" count="1">
            <x v="18"/>
          </reference>
          <reference field="2" count="1" selected="0">
            <x v="54"/>
          </reference>
        </references>
      </pivotArea>
    </format>
    <format dxfId="300">
      <pivotArea dataOnly="0" labelOnly="1" outline="0" fieldPosition="0">
        <references count="3">
          <reference field="0" count="1" selected="0">
            <x v="57"/>
          </reference>
          <reference field="1" count="1">
            <x v="22"/>
          </reference>
          <reference field="2" count="1" selected="0">
            <x v="56"/>
          </reference>
        </references>
      </pivotArea>
    </format>
    <format dxfId="299">
      <pivotArea dataOnly="0" labelOnly="1" outline="0" fieldPosition="0">
        <references count="3">
          <reference field="0" count="1" selected="0">
            <x v="58"/>
          </reference>
          <reference field="1" count="1">
            <x v="23"/>
          </reference>
          <reference field="2" count="1" selected="0">
            <x v="57"/>
          </reference>
        </references>
      </pivotArea>
    </format>
    <format dxfId="298">
      <pivotArea dataOnly="0" labelOnly="1" outline="0" fieldPosition="0">
        <references count="3">
          <reference field="0" count="1" selected="0">
            <x v="59"/>
          </reference>
          <reference field="1" count="1">
            <x v="34"/>
          </reference>
          <reference field="2" count="1" selected="0">
            <x v="58"/>
          </reference>
        </references>
      </pivotArea>
    </format>
    <format dxfId="297">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296">
      <pivotArea dataOnly="0" labelOnly="1" outline="0" fieldPosition="0">
        <references count="4">
          <reference field="0" count="1" selected="0">
            <x v="2"/>
          </reference>
          <reference field="1" count="1" selected="0">
            <x v="6"/>
          </reference>
          <reference field="2" count="1" selected="0">
            <x v="2"/>
          </reference>
          <reference field="3" count="1">
            <x v="4"/>
          </reference>
        </references>
      </pivotArea>
    </format>
    <format dxfId="295">
      <pivotArea dataOnly="0" labelOnly="1" outline="0" fieldPosition="0">
        <references count="4">
          <reference field="0" count="1" selected="0">
            <x v="3"/>
          </reference>
          <reference field="1" count="1" selected="0">
            <x v="36"/>
          </reference>
          <reference field="2" count="1" selected="0">
            <x v="3"/>
          </reference>
          <reference field="3" count="1">
            <x v="5"/>
          </reference>
        </references>
      </pivotArea>
    </format>
    <format dxfId="294">
      <pivotArea dataOnly="0" labelOnly="1" outline="0" fieldPosition="0">
        <references count="4">
          <reference field="0" count="1" selected="0">
            <x v="4"/>
          </reference>
          <reference field="1" count="1" selected="0">
            <x v="15"/>
          </reference>
          <reference field="2" count="1" selected="0">
            <x v="4"/>
          </reference>
          <reference field="3" count="1">
            <x v="10"/>
          </reference>
        </references>
      </pivotArea>
    </format>
    <format dxfId="293">
      <pivotArea dataOnly="0" labelOnly="1" outline="0" fieldPosition="0">
        <references count="4">
          <reference field="0" count="1" selected="0">
            <x v="5"/>
          </reference>
          <reference field="1" count="1" selected="0">
            <x v="29"/>
          </reference>
          <reference field="2" count="1" selected="0">
            <x v="5"/>
          </reference>
          <reference field="3" count="1">
            <x v="12"/>
          </reference>
        </references>
      </pivotArea>
    </format>
    <format dxfId="292">
      <pivotArea dataOnly="0" labelOnly="1" outline="0" fieldPosition="0">
        <references count="4">
          <reference field="0" count="1" selected="0">
            <x v="6"/>
          </reference>
          <reference field="1" count="1" selected="0">
            <x v="35"/>
          </reference>
          <reference field="2" count="1" selected="0">
            <x v="6"/>
          </reference>
          <reference field="3" count="1">
            <x v="8"/>
          </reference>
        </references>
      </pivotArea>
    </format>
    <format dxfId="291">
      <pivotArea dataOnly="0" labelOnly="1" outline="0" fieldPosition="0">
        <references count="4">
          <reference field="0" count="1" selected="0">
            <x v="7"/>
          </reference>
          <reference field="1" count="1" selected="0">
            <x v="25"/>
          </reference>
          <reference field="2" count="1" selected="0">
            <x v="7"/>
          </reference>
          <reference field="3" count="1">
            <x v="9"/>
          </reference>
        </references>
      </pivotArea>
    </format>
    <format dxfId="290">
      <pivotArea dataOnly="0" labelOnly="1" outline="0" fieldPosition="0">
        <references count="4">
          <reference field="0" count="1" selected="0">
            <x v="8"/>
          </reference>
          <reference field="1" count="1" selected="0">
            <x v="24"/>
          </reference>
          <reference field="2" count="1" selected="0">
            <x v="8"/>
          </reference>
          <reference field="3" count="1">
            <x v="14"/>
          </reference>
        </references>
      </pivotArea>
    </format>
    <format dxfId="289">
      <pivotArea dataOnly="0" labelOnly="1" outline="0" fieldPosition="0">
        <references count="4">
          <reference field="0" count="1" selected="0">
            <x v="9"/>
          </reference>
          <reference field="1" count="1" selected="0">
            <x v="39"/>
          </reference>
          <reference field="2" count="1" selected="0">
            <x v="9"/>
          </reference>
          <reference field="3" count="1">
            <x v="15"/>
          </reference>
        </references>
      </pivotArea>
    </format>
    <format dxfId="288">
      <pivotArea dataOnly="0" labelOnly="1" outline="0" fieldPosition="0">
        <references count="4">
          <reference field="0" count="1" selected="0">
            <x v="10"/>
          </reference>
          <reference field="1" count="1" selected="0">
            <x v="40"/>
          </reference>
          <reference field="2" count="1" selected="0">
            <x v="10"/>
          </reference>
          <reference field="3" count="1">
            <x v="14"/>
          </reference>
        </references>
      </pivotArea>
    </format>
    <format dxfId="287">
      <pivotArea dataOnly="0" labelOnly="1" outline="0" fieldPosition="0">
        <references count="4">
          <reference field="0" count="1" selected="0">
            <x v="11"/>
          </reference>
          <reference field="1" count="1" selected="0">
            <x v="41"/>
          </reference>
          <reference field="2" count="1" selected="0">
            <x v="11"/>
          </reference>
          <reference field="3" count="1">
            <x v="14"/>
          </reference>
        </references>
      </pivotArea>
    </format>
    <format dxfId="286">
      <pivotArea dataOnly="0" labelOnly="1" outline="0" fieldPosition="0">
        <references count="4">
          <reference field="0" count="1" selected="0">
            <x v="12"/>
          </reference>
          <reference field="1" count="1" selected="0">
            <x v="42"/>
          </reference>
          <reference field="2" count="1" selected="0">
            <x v="12"/>
          </reference>
          <reference field="3" count="1">
            <x v="14"/>
          </reference>
        </references>
      </pivotArea>
    </format>
    <format dxfId="285">
      <pivotArea dataOnly="0" labelOnly="1" outline="0" fieldPosition="0">
        <references count="4">
          <reference field="0" count="1" selected="0">
            <x v="13"/>
          </reference>
          <reference field="1" count="1" selected="0">
            <x v="43"/>
          </reference>
          <reference field="2" count="1" selected="0">
            <x v="13"/>
          </reference>
          <reference field="3" count="1">
            <x v="14"/>
          </reference>
        </references>
      </pivotArea>
    </format>
    <format dxfId="284">
      <pivotArea dataOnly="0" labelOnly="1" outline="0" fieldPosition="0">
        <references count="4">
          <reference field="0" count="1" selected="0">
            <x v="14"/>
          </reference>
          <reference field="1" count="1" selected="0">
            <x v="44"/>
          </reference>
          <reference field="2" count="1" selected="0">
            <x v="14"/>
          </reference>
          <reference field="3" count="1">
            <x v="14"/>
          </reference>
        </references>
      </pivotArea>
    </format>
    <format dxfId="283">
      <pivotArea dataOnly="0" labelOnly="1" outline="0" fieldPosition="0">
        <references count="4">
          <reference field="0" count="1" selected="0">
            <x v="15"/>
          </reference>
          <reference field="1" count="1" selected="0">
            <x v="32"/>
          </reference>
          <reference field="2" count="1" selected="0">
            <x v="15"/>
          </reference>
          <reference field="3" count="1">
            <x v="11"/>
          </reference>
        </references>
      </pivotArea>
    </format>
    <format dxfId="282">
      <pivotArea dataOnly="0" labelOnly="1" outline="0" fieldPosition="0">
        <references count="4">
          <reference field="0" count="1" selected="0">
            <x v="16"/>
          </reference>
          <reference field="1" count="1" selected="0">
            <x v="33"/>
          </reference>
          <reference field="2" count="1" selected="0">
            <x v="16"/>
          </reference>
          <reference field="3" count="1">
            <x v="11"/>
          </reference>
        </references>
      </pivotArea>
    </format>
    <format dxfId="281">
      <pivotArea dataOnly="0" labelOnly="1" outline="0" fieldPosition="0">
        <references count="4">
          <reference field="0" count="1" selected="0">
            <x v="17"/>
          </reference>
          <reference field="1" count="1" selected="0">
            <x v="17"/>
          </reference>
          <reference field="2" count="1" selected="0">
            <x v="17"/>
          </reference>
          <reference field="3" count="1">
            <x v="18"/>
          </reference>
        </references>
      </pivotArea>
    </format>
    <format dxfId="280">
      <pivotArea dataOnly="0" labelOnly="1" outline="0" fieldPosition="0">
        <references count="4">
          <reference field="0" count="1" selected="0">
            <x v="18"/>
          </reference>
          <reference field="1" count="1" selected="0">
            <x v="47"/>
          </reference>
          <reference field="2" count="1" selected="0">
            <x v="18"/>
          </reference>
          <reference field="3" count="1">
            <x v="4"/>
          </reference>
        </references>
      </pivotArea>
    </format>
    <format dxfId="279">
      <pivotArea dataOnly="0" labelOnly="1" outline="0" fieldPosition="0">
        <references count="4">
          <reference field="0" count="1" selected="0">
            <x v="19"/>
          </reference>
          <reference field="1" count="1" selected="0">
            <x v="48"/>
          </reference>
          <reference field="2" count="1" selected="0">
            <x v="19"/>
          </reference>
          <reference field="3" count="1">
            <x v="2"/>
          </reference>
        </references>
      </pivotArea>
    </format>
    <format dxfId="278">
      <pivotArea dataOnly="0" labelOnly="1" outline="0" fieldPosition="0">
        <references count="4">
          <reference field="0" count="1" selected="0">
            <x v="20"/>
          </reference>
          <reference field="1" count="1" selected="0">
            <x v="49"/>
          </reference>
          <reference field="2" count="1" selected="0">
            <x v="20"/>
          </reference>
          <reference field="3" count="1">
            <x v="7"/>
          </reference>
        </references>
      </pivotArea>
    </format>
    <format dxfId="277">
      <pivotArea dataOnly="0" labelOnly="1" outline="0" fieldPosition="0">
        <references count="4">
          <reference field="0" count="1" selected="0">
            <x v="22"/>
          </reference>
          <reference field="1" count="1" selected="0">
            <x v="52"/>
          </reference>
          <reference field="2" count="1" selected="0">
            <x v="22"/>
          </reference>
          <reference field="3" count="1">
            <x v="22"/>
          </reference>
        </references>
      </pivotArea>
    </format>
    <format dxfId="276">
      <pivotArea dataOnly="0" labelOnly="1" outline="0" fieldPosition="0">
        <references count="4">
          <reference field="0" count="1" selected="0">
            <x v="24"/>
          </reference>
          <reference field="1" count="1" selected="0">
            <x v="10"/>
          </reference>
          <reference field="2" count="1" selected="0">
            <x v="24"/>
          </reference>
          <reference field="3" count="1">
            <x v="9"/>
          </reference>
        </references>
      </pivotArea>
    </format>
    <format dxfId="275">
      <pivotArea dataOnly="0" labelOnly="1" outline="0" fieldPosition="0">
        <references count="4">
          <reference field="0" count="1" selected="0">
            <x v="25"/>
          </reference>
          <reference field="1" count="1" selected="0">
            <x v="11"/>
          </reference>
          <reference field="2" count="1" selected="0">
            <x v="25"/>
          </reference>
          <reference field="3" count="1">
            <x v="14"/>
          </reference>
        </references>
      </pivotArea>
    </format>
    <format dxfId="274">
      <pivotArea dataOnly="0" labelOnly="1" outline="0" fieldPosition="0">
        <references count="4">
          <reference field="0" count="1" selected="0">
            <x v="26"/>
          </reference>
          <reference field="1" count="1" selected="0">
            <x v="12"/>
          </reference>
          <reference field="2" count="1" selected="0">
            <x v="26"/>
          </reference>
          <reference field="3" count="1">
            <x v="9"/>
          </reference>
        </references>
      </pivotArea>
    </format>
    <format dxfId="273">
      <pivotArea dataOnly="0" labelOnly="1" outline="0" fieldPosition="0">
        <references count="4">
          <reference field="0" count="1" selected="0">
            <x v="27"/>
          </reference>
          <reference field="1" count="1" selected="0">
            <x v="13"/>
          </reference>
          <reference field="2" count="1" selected="0">
            <x v="27"/>
          </reference>
          <reference field="3" count="1">
            <x v="6"/>
          </reference>
        </references>
      </pivotArea>
    </format>
    <format dxfId="272">
      <pivotArea dataOnly="0" labelOnly="1" outline="0" fieldPosition="0">
        <references count="4">
          <reference field="0" count="1" selected="0">
            <x v="28"/>
          </reference>
          <reference field="1" count="1" selected="0">
            <x v="8"/>
          </reference>
          <reference field="2" count="1" selected="0">
            <x v="28"/>
          </reference>
          <reference field="3" count="1">
            <x v="6"/>
          </reference>
        </references>
      </pivotArea>
    </format>
    <format dxfId="271">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270">
      <pivotArea dataOnly="0" labelOnly="1" outline="0" fieldPosition="0">
        <references count="4">
          <reference field="0" count="1" selected="0">
            <x v="30"/>
          </reference>
          <reference field="1" count="1" selected="0">
            <x v="7"/>
          </reference>
          <reference field="2" count="1" selected="0">
            <x v="30"/>
          </reference>
          <reference field="3" count="1">
            <x v="6"/>
          </reference>
        </references>
      </pivotArea>
    </format>
    <format dxfId="269">
      <pivotArea dataOnly="0" labelOnly="1" outline="0" fieldPosition="0">
        <references count="4">
          <reference field="0" count="1" selected="0">
            <x v="31"/>
          </reference>
          <reference field="1" count="1" selected="0">
            <x v="37"/>
          </reference>
          <reference field="2" count="1" selected="0">
            <x v="31"/>
          </reference>
          <reference field="3" count="1">
            <x v="9"/>
          </reference>
        </references>
      </pivotArea>
    </format>
    <format dxfId="268">
      <pivotArea dataOnly="0" labelOnly="1" outline="0" fieldPosition="0">
        <references count="4">
          <reference field="0" count="1" selected="0">
            <x v="32"/>
          </reference>
          <reference field="1" count="1" selected="0">
            <x v="38"/>
          </reference>
          <reference field="2" count="1" selected="0">
            <x v="32"/>
          </reference>
          <reference field="3" count="1">
            <x v="0"/>
          </reference>
        </references>
      </pivotArea>
    </format>
    <format dxfId="267">
      <pivotArea dataOnly="0" labelOnly="1" outline="0" fieldPosition="0">
        <references count="4">
          <reference field="0" count="1" selected="0">
            <x v="33"/>
          </reference>
          <reference field="1" count="1" selected="0">
            <x v="3"/>
          </reference>
          <reference field="2" count="1" selected="0">
            <x v="33"/>
          </reference>
          <reference field="3" count="1">
            <x v="9"/>
          </reference>
        </references>
      </pivotArea>
    </format>
    <format dxfId="266">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265">
      <pivotArea dataOnly="0" labelOnly="1" outline="0" fieldPosition="0">
        <references count="4">
          <reference field="0" count="1" selected="0">
            <x v="35"/>
          </reference>
          <reference field="1" count="1" selected="0">
            <x v="45"/>
          </reference>
          <reference field="2" count="1" selected="0">
            <x v="35"/>
          </reference>
          <reference field="3" count="1">
            <x v="19"/>
          </reference>
        </references>
      </pivotArea>
    </format>
    <format dxfId="264">
      <pivotArea dataOnly="0" labelOnly="1" outline="0" fieldPosition="0">
        <references count="4">
          <reference field="0" count="1" selected="0">
            <x v="36"/>
          </reference>
          <reference field="1" count="1" selected="0">
            <x v="46"/>
          </reference>
          <reference field="2" count="1" selected="0">
            <x v="36"/>
          </reference>
          <reference field="3" count="1">
            <x v="16"/>
          </reference>
        </references>
      </pivotArea>
    </format>
    <format dxfId="263">
      <pivotArea dataOnly="0" labelOnly="1" outline="0" fieldPosition="0">
        <references count="4">
          <reference field="0" count="1" selected="0">
            <x v="37"/>
          </reference>
          <reference field="1" count="1" selected="0">
            <x v="50"/>
          </reference>
          <reference field="2" count="1" selected="0">
            <x v="37"/>
          </reference>
          <reference field="3" count="1">
            <x v="20"/>
          </reference>
        </references>
      </pivotArea>
    </format>
    <format dxfId="262">
      <pivotArea dataOnly="0" labelOnly="1" outline="0" fieldPosition="0">
        <references count="4">
          <reference field="0" count="1" selected="0">
            <x v="38"/>
          </reference>
          <reference field="1" count="1" selected="0">
            <x v="51"/>
          </reference>
          <reference field="2" count="1" selected="0">
            <x v="38"/>
          </reference>
          <reference field="3" count="1">
            <x v="13"/>
          </reference>
        </references>
      </pivotArea>
    </format>
    <format dxfId="261">
      <pivotArea dataOnly="0" labelOnly="1" outline="0" fieldPosition="0">
        <references count="4">
          <reference field="0" count="1" selected="0">
            <x v="39"/>
          </reference>
          <reference field="1" count="1" selected="0">
            <x v="30"/>
          </reference>
          <reference field="2" count="1" selected="0">
            <x v="39"/>
          </reference>
          <reference field="3" count="1">
            <x v="25"/>
          </reference>
        </references>
      </pivotArea>
    </format>
    <format dxfId="260">
      <pivotArea dataOnly="0" labelOnly="1" outline="0" fieldPosition="0">
        <references count="4">
          <reference field="0" count="1" selected="0">
            <x v="40"/>
          </reference>
          <reference field="1" count="1" selected="0">
            <x v="26"/>
          </reference>
          <reference field="2" count="1" selected="0">
            <x v="40"/>
          </reference>
          <reference field="3" count="1">
            <x v="21"/>
          </reference>
        </references>
      </pivotArea>
    </format>
    <format dxfId="259">
      <pivotArea dataOnly="0" labelOnly="1" outline="0" fieldPosition="0">
        <references count="4">
          <reference field="0" count="1" selected="0">
            <x v="42"/>
          </reference>
          <reference field="1" count="1" selected="0">
            <x v="27"/>
          </reference>
          <reference field="2" count="1" selected="0">
            <x v="41"/>
          </reference>
          <reference field="3" count="1">
            <x v="21"/>
          </reference>
        </references>
      </pivotArea>
    </format>
    <format dxfId="258">
      <pivotArea dataOnly="0" labelOnly="1" outline="0" fieldPosition="0">
        <references count="4">
          <reference field="0" count="1" selected="0">
            <x v="43"/>
          </reference>
          <reference field="1" count="1" selected="0">
            <x v="19"/>
          </reference>
          <reference field="2" count="1" selected="0">
            <x v="42"/>
          </reference>
          <reference field="3" count="1">
            <x v="20"/>
          </reference>
        </references>
      </pivotArea>
    </format>
    <format dxfId="257">
      <pivotArea dataOnly="0" labelOnly="1" outline="0" fieldPosition="0">
        <references count="4">
          <reference field="0" count="1" selected="0">
            <x v="44"/>
          </reference>
          <reference field="1" count="1" selected="0">
            <x v="20"/>
          </reference>
          <reference field="2" count="1" selected="0">
            <x v="43"/>
          </reference>
          <reference field="3" count="1">
            <x v="17"/>
          </reference>
        </references>
      </pivotArea>
    </format>
    <format dxfId="256">
      <pivotArea dataOnly="0" labelOnly="1" outline="0" fieldPosition="0">
        <references count="4">
          <reference field="0" count="1" selected="0">
            <x v="45"/>
          </reference>
          <reference field="1" count="1" selected="0">
            <x v="21"/>
          </reference>
          <reference field="2" count="1" selected="0">
            <x v="44"/>
          </reference>
          <reference field="3" count="1">
            <x v="19"/>
          </reference>
        </references>
      </pivotArea>
    </format>
    <format dxfId="255">
      <pivotArea dataOnly="0" labelOnly="1" outline="0" fieldPosition="0">
        <references count="4">
          <reference field="0" count="1" selected="0">
            <x v="47"/>
          </reference>
          <reference field="1" count="1" selected="0">
            <x v="16"/>
          </reference>
          <reference field="2" count="1" selected="0">
            <x v="46"/>
          </reference>
          <reference field="3" count="1">
            <x v="9"/>
          </reference>
        </references>
      </pivotArea>
    </format>
    <format dxfId="254">
      <pivotArea dataOnly="0" labelOnly="1" outline="0" fieldPosition="0">
        <references count="4">
          <reference field="0" count="1" selected="0">
            <x v="49"/>
          </reference>
          <reference field="1" count="1" selected="0">
            <x v="0"/>
          </reference>
          <reference field="2" count="1" selected="0">
            <x v="48"/>
          </reference>
          <reference field="3" count="1">
            <x v="11"/>
          </reference>
        </references>
      </pivotArea>
    </format>
    <format dxfId="253">
      <pivotArea dataOnly="0" labelOnly="1" outline="0" fieldPosition="0">
        <references count="4">
          <reference field="0" count="1" selected="0">
            <x v="50"/>
          </reference>
          <reference field="1" count="1" selected="0">
            <x v="31"/>
          </reference>
          <reference field="2" count="1" selected="0">
            <x v="49"/>
          </reference>
          <reference field="3" count="1">
            <x v="10"/>
          </reference>
        </references>
      </pivotArea>
    </format>
    <format dxfId="252">
      <pivotArea dataOnly="0" labelOnly="1" outline="0" fieldPosition="0">
        <references count="4">
          <reference field="0" count="1" selected="0">
            <x v="51"/>
          </reference>
          <reference field="1" count="1" selected="0">
            <x v="14"/>
          </reference>
          <reference field="2" count="1" selected="0">
            <x v="50"/>
          </reference>
          <reference field="3" count="1">
            <x v="22"/>
          </reference>
        </references>
      </pivotArea>
    </format>
    <format dxfId="251">
      <pivotArea dataOnly="0" labelOnly="1" outline="0" fieldPosition="0">
        <references count="4">
          <reference field="0" count="1" selected="0">
            <x v="52"/>
          </reference>
          <reference field="1" count="1" selected="0">
            <x v="2"/>
          </reference>
          <reference field="2" count="1" selected="0">
            <x v="51"/>
          </reference>
          <reference field="3" count="1">
            <x v="24"/>
          </reference>
        </references>
      </pivotArea>
    </format>
    <format dxfId="250">
      <pivotArea dataOnly="0" labelOnly="1" outline="0" fieldPosition="0">
        <references count="4">
          <reference field="0" count="1" selected="0">
            <x v="53"/>
          </reference>
          <reference field="1" count="1" selected="0">
            <x v="1"/>
          </reference>
          <reference field="2" count="1" selected="0">
            <x v="52"/>
          </reference>
          <reference field="3" count="1">
            <x v="5"/>
          </reference>
        </references>
      </pivotArea>
    </format>
    <format dxfId="249">
      <pivotArea dataOnly="0" labelOnly="1" outline="0" fieldPosition="0">
        <references count="4">
          <reference field="0" count="1" selected="0">
            <x v="55"/>
          </reference>
          <reference field="1" count="1" selected="0">
            <x v="18"/>
          </reference>
          <reference field="2" count="1" selected="0">
            <x v="54"/>
          </reference>
          <reference field="3" count="1">
            <x v="26"/>
          </reference>
        </references>
      </pivotArea>
    </format>
    <format dxfId="248">
      <pivotArea dataOnly="0" labelOnly="1" outline="0" fieldPosition="0">
        <references count="4">
          <reference field="0" count="1" selected="0">
            <x v="57"/>
          </reference>
          <reference field="1" count="1" selected="0">
            <x v="22"/>
          </reference>
          <reference field="2" count="1" selected="0">
            <x v="56"/>
          </reference>
          <reference field="3" count="1">
            <x v="9"/>
          </reference>
        </references>
      </pivotArea>
    </format>
    <format dxfId="247">
      <pivotArea dataOnly="0" labelOnly="1" outline="0" fieldPosition="0">
        <references count="4">
          <reference field="0" count="1" selected="0">
            <x v="58"/>
          </reference>
          <reference field="1" count="1" selected="0">
            <x v="23"/>
          </reference>
          <reference field="2" count="1" selected="0">
            <x v="57"/>
          </reference>
          <reference field="3" count="1">
            <x v="10"/>
          </reference>
        </references>
      </pivotArea>
    </format>
    <format dxfId="246">
      <pivotArea dataOnly="0" labelOnly="1" outline="0" fieldPosition="0">
        <references count="4">
          <reference field="0" count="1" selected="0">
            <x v="59"/>
          </reference>
          <reference field="1" count="1" selected="0">
            <x v="34"/>
          </reference>
          <reference field="2" count="1" selected="0">
            <x v="58"/>
          </reference>
          <reference field="3" count="1">
            <x v="23"/>
          </reference>
        </references>
      </pivotArea>
    </format>
    <format dxfId="245">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244">
      <pivotArea dataOnly="0" labelOnly="1" outline="0" fieldPosition="0">
        <references count="1">
          <reference field="0" count="10">
            <x v="50"/>
            <x v="51"/>
            <x v="52"/>
            <x v="53"/>
            <x v="54"/>
            <x v="55"/>
            <x v="56"/>
            <x v="57"/>
            <x v="58"/>
            <x v="59"/>
          </reference>
        </references>
      </pivotArea>
    </format>
    <format dxfId="243">
      <pivotArea dataOnly="0" labelOnly="1" outline="0" fieldPosition="0">
        <references count="2">
          <reference field="0" count="1" selected="0">
            <x v="0"/>
          </reference>
          <reference field="2" count="1">
            <x v="0"/>
          </reference>
        </references>
      </pivotArea>
    </format>
    <format dxfId="242">
      <pivotArea dataOnly="0" labelOnly="1" outline="0" fieldPosition="0">
        <references count="2">
          <reference field="0" count="1" selected="0">
            <x v="1"/>
          </reference>
          <reference field="2" count="1">
            <x v="1"/>
          </reference>
        </references>
      </pivotArea>
    </format>
    <format dxfId="241">
      <pivotArea dataOnly="0" labelOnly="1" outline="0" fieldPosition="0">
        <references count="2">
          <reference field="0" count="1" selected="0">
            <x v="2"/>
          </reference>
          <reference field="2" count="1">
            <x v="2"/>
          </reference>
        </references>
      </pivotArea>
    </format>
    <format dxfId="240">
      <pivotArea dataOnly="0" labelOnly="1" outline="0" fieldPosition="0">
        <references count="2">
          <reference field="0" count="1" selected="0">
            <x v="3"/>
          </reference>
          <reference field="2" count="1">
            <x v="3"/>
          </reference>
        </references>
      </pivotArea>
    </format>
    <format dxfId="239">
      <pivotArea dataOnly="0" labelOnly="1" outline="0" fieldPosition="0">
        <references count="2">
          <reference field="0" count="1" selected="0">
            <x v="4"/>
          </reference>
          <reference field="2" count="1">
            <x v="4"/>
          </reference>
        </references>
      </pivotArea>
    </format>
    <format dxfId="238">
      <pivotArea dataOnly="0" labelOnly="1" outline="0" fieldPosition="0">
        <references count="2">
          <reference field="0" count="1" selected="0">
            <x v="5"/>
          </reference>
          <reference field="2" count="1">
            <x v="5"/>
          </reference>
        </references>
      </pivotArea>
    </format>
    <format dxfId="237">
      <pivotArea dataOnly="0" labelOnly="1" outline="0" fieldPosition="0">
        <references count="2">
          <reference field="0" count="1" selected="0">
            <x v="6"/>
          </reference>
          <reference field="2" count="1">
            <x v="6"/>
          </reference>
        </references>
      </pivotArea>
    </format>
    <format dxfId="236">
      <pivotArea dataOnly="0" labelOnly="1" outline="0" fieldPosition="0">
        <references count="2">
          <reference field="0" count="1" selected="0">
            <x v="7"/>
          </reference>
          <reference field="2" count="1">
            <x v="7"/>
          </reference>
        </references>
      </pivotArea>
    </format>
    <format dxfId="235">
      <pivotArea dataOnly="0" labelOnly="1" outline="0" fieldPosition="0">
        <references count="2">
          <reference field="0" count="1" selected="0">
            <x v="8"/>
          </reference>
          <reference field="2" count="1">
            <x v="8"/>
          </reference>
        </references>
      </pivotArea>
    </format>
    <format dxfId="234">
      <pivotArea dataOnly="0" labelOnly="1" outline="0" fieldPosition="0">
        <references count="2">
          <reference field="0" count="1" selected="0">
            <x v="9"/>
          </reference>
          <reference field="2" count="1">
            <x v="9"/>
          </reference>
        </references>
      </pivotArea>
    </format>
    <format dxfId="233">
      <pivotArea dataOnly="0" labelOnly="1" outline="0" fieldPosition="0">
        <references count="2">
          <reference field="0" count="1" selected="0">
            <x v="10"/>
          </reference>
          <reference field="2" count="1">
            <x v="10"/>
          </reference>
        </references>
      </pivotArea>
    </format>
    <format dxfId="232">
      <pivotArea dataOnly="0" labelOnly="1" outline="0" fieldPosition="0">
        <references count="2">
          <reference field="0" count="1" selected="0">
            <x v="11"/>
          </reference>
          <reference field="2" count="1">
            <x v="11"/>
          </reference>
        </references>
      </pivotArea>
    </format>
    <format dxfId="231">
      <pivotArea dataOnly="0" labelOnly="1" outline="0" fieldPosition="0">
        <references count="2">
          <reference field="0" count="1" selected="0">
            <x v="12"/>
          </reference>
          <reference field="2" count="1">
            <x v="12"/>
          </reference>
        </references>
      </pivotArea>
    </format>
    <format dxfId="230">
      <pivotArea dataOnly="0" labelOnly="1" outline="0" fieldPosition="0">
        <references count="2">
          <reference field="0" count="1" selected="0">
            <x v="13"/>
          </reference>
          <reference field="2" count="1">
            <x v="13"/>
          </reference>
        </references>
      </pivotArea>
    </format>
    <format dxfId="229">
      <pivotArea dataOnly="0" labelOnly="1" outline="0" fieldPosition="0">
        <references count="2">
          <reference field="0" count="1" selected="0">
            <x v="14"/>
          </reference>
          <reference field="2" count="1">
            <x v="14"/>
          </reference>
        </references>
      </pivotArea>
    </format>
    <format dxfId="228">
      <pivotArea dataOnly="0" labelOnly="1" outline="0" fieldPosition="0">
        <references count="2">
          <reference field="0" count="1" selected="0">
            <x v="15"/>
          </reference>
          <reference field="2" count="1">
            <x v="15"/>
          </reference>
        </references>
      </pivotArea>
    </format>
    <format dxfId="227">
      <pivotArea dataOnly="0" labelOnly="1" outline="0" fieldPosition="0">
        <references count="2">
          <reference field="0" count="1" selected="0">
            <x v="16"/>
          </reference>
          <reference field="2" count="1">
            <x v="16"/>
          </reference>
        </references>
      </pivotArea>
    </format>
    <format dxfId="226">
      <pivotArea dataOnly="0" labelOnly="1" outline="0" fieldPosition="0">
        <references count="2">
          <reference field="0" count="1" selected="0">
            <x v="17"/>
          </reference>
          <reference field="2" count="1">
            <x v="17"/>
          </reference>
        </references>
      </pivotArea>
    </format>
    <format dxfId="225">
      <pivotArea dataOnly="0" labelOnly="1" outline="0" fieldPosition="0">
        <references count="2">
          <reference field="0" count="1" selected="0">
            <x v="18"/>
          </reference>
          <reference field="2" count="1">
            <x v="18"/>
          </reference>
        </references>
      </pivotArea>
    </format>
    <format dxfId="224">
      <pivotArea dataOnly="0" labelOnly="1" outline="0" fieldPosition="0">
        <references count="2">
          <reference field="0" count="1" selected="0">
            <x v="19"/>
          </reference>
          <reference field="2" count="1">
            <x v="19"/>
          </reference>
        </references>
      </pivotArea>
    </format>
    <format dxfId="223">
      <pivotArea dataOnly="0" labelOnly="1" outline="0" fieldPosition="0">
        <references count="2">
          <reference field="0" count="1" selected="0">
            <x v="20"/>
          </reference>
          <reference field="2" count="1">
            <x v="20"/>
          </reference>
        </references>
      </pivotArea>
    </format>
    <format dxfId="222">
      <pivotArea dataOnly="0" labelOnly="1" outline="0" fieldPosition="0">
        <references count="2">
          <reference field="0" count="1" selected="0">
            <x v="21"/>
          </reference>
          <reference field="2" count="1">
            <x v="21"/>
          </reference>
        </references>
      </pivotArea>
    </format>
    <format dxfId="221">
      <pivotArea dataOnly="0" labelOnly="1" outline="0" fieldPosition="0">
        <references count="2">
          <reference field="0" count="1" selected="0">
            <x v="22"/>
          </reference>
          <reference field="2" count="1">
            <x v="22"/>
          </reference>
        </references>
      </pivotArea>
    </format>
    <format dxfId="220">
      <pivotArea dataOnly="0" labelOnly="1" outline="0" fieldPosition="0">
        <references count="2">
          <reference field="0" count="1" selected="0">
            <x v="23"/>
          </reference>
          <reference field="2" count="1">
            <x v="23"/>
          </reference>
        </references>
      </pivotArea>
    </format>
    <format dxfId="219">
      <pivotArea dataOnly="0" labelOnly="1" outline="0" fieldPosition="0">
        <references count="2">
          <reference field="0" count="1" selected="0">
            <x v="24"/>
          </reference>
          <reference field="2" count="1">
            <x v="24"/>
          </reference>
        </references>
      </pivotArea>
    </format>
    <format dxfId="218">
      <pivotArea dataOnly="0" labelOnly="1" outline="0" fieldPosition="0">
        <references count="2">
          <reference field="0" count="1" selected="0">
            <x v="25"/>
          </reference>
          <reference field="2" count="1">
            <x v="25"/>
          </reference>
        </references>
      </pivotArea>
    </format>
    <format dxfId="217">
      <pivotArea dataOnly="0" labelOnly="1" outline="0" fieldPosition="0">
        <references count="2">
          <reference field="0" count="1" selected="0">
            <x v="26"/>
          </reference>
          <reference field="2" count="1">
            <x v="26"/>
          </reference>
        </references>
      </pivotArea>
    </format>
    <format dxfId="216">
      <pivotArea dataOnly="0" labelOnly="1" outline="0" fieldPosition="0">
        <references count="2">
          <reference field="0" count="1" selected="0">
            <x v="27"/>
          </reference>
          <reference field="2" count="1">
            <x v="27"/>
          </reference>
        </references>
      </pivotArea>
    </format>
    <format dxfId="215">
      <pivotArea dataOnly="0" labelOnly="1" outline="0" fieldPosition="0">
        <references count="2">
          <reference field="0" count="1" selected="0">
            <x v="28"/>
          </reference>
          <reference field="2" count="1">
            <x v="28"/>
          </reference>
        </references>
      </pivotArea>
    </format>
    <format dxfId="214">
      <pivotArea dataOnly="0" labelOnly="1" outline="0" fieldPosition="0">
        <references count="2">
          <reference field="0" count="1" selected="0">
            <x v="29"/>
          </reference>
          <reference field="2" count="1">
            <x v="29"/>
          </reference>
        </references>
      </pivotArea>
    </format>
    <format dxfId="213">
      <pivotArea dataOnly="0" labelOnly="1" outline="0" fieldPosition="0">
        <references count="2">
          <reference field="0" count="1" selected="0">
            <x v="30"/>
          </reference>
          <reference field="2" count="1">
            <x v="30"/>
          </reference>
        </references>
      </pivotArea>
    </format>
    <format dxfId="212">
      <pivotArea dataOnly="0" labelOnly="1" outline="0" fieldPosition="0">
        <references count="2">
          <reference field="0" count="1" selected="0">
            <x v="31"/>
          </reference>
          <reference field="2" count="1">
            <x v="31"/>
          </reference>
        </references>
      </pivotArea>
    </format>
    <format dxfId="211">
      <pivotArea dataOnly="0" labelOnly="1" outline="0" fieldPosition="0">
        <references count="2">
          <reference field="0" count="1" selected="0">
            <x v="32"/>
          </reference>
          <reference field="2" count="1">
            <x v="32"/>
          </reference>
        </references>
      </pivotArea>
    </format>
    <format dxfId="210">
      <pivotArea dataOnly="0" labelOnly="1" outline="0" fieldPosition="0">
        <references count="2">
          <reference field="0" count="1" selected="0">
            <x v="33"/>
          </reference>
          <reference field="2" count="1">
            <x v="33"/>
          </reference>
        </references>
      </pivotArea>
    </format>
    <format dxfId="209">
      <pivotArea dataOnly="0" labelOnly="1" outline="0" fieldPosition="0">
        <references count="2">
          <reference field="0" count="1" selected="0">
            <x v="34"/>
          </reference>
          <reference field="2" count="1">
            <x v="34"/>
          </reference>
        </references>
      </pivotArea>
    </format>
    <format dxfId="208">
      <pivotArea dataOnly="0" labelOnly="1" outline="0" fieldPosition="0">
        <references count="2">
          <reference field="0" count="1" selected="0">
            <x v="35"/>
          </reference>
          <reference field="2" count="1">
            <x v="35"/>
          </reference>
        </references>
      </pivotArea>
    </format>
    <format dxfId="207">
      <pivotArea dataOnly="0" labelOnly="1" outline="0" fieldPosition="0">
        <references count="2">
          <reference field="0" count="1" selected="0">
            <x v="36"/>
          </reference>
          <reference field="2" count="1">
            <x v="36"/>
          </reference>
        </references>
      </pivotArea>
    </format>
    <format dxfId="206">
      <pivotArea dataOnly="0" labelOnly="1" outline="0" fieldPosition="0">
        <references count="2">
          <reference field="0" count="1" selected="0">
            <x v="37"/>
          </reference>
          <reference field="2" count="1">
            <x v="37"/>
          </reference>
        </references>
      </pivotArea>
    </format>
    <format dxfId="205">
      <pivotArea dataOnly="0" labelOnly="1" outline="0" fieldPosition="0">
        <references count="2">
          <reference field="0" count="1" selected="0">
            <x v="38"/>
          </reference>
          <reference field="2" count="1">
            <x v="38"/>
          </reference>
        </references>
      </pivotArea>
    </format>
    <format dxfId="204">
      <pivotArea dataOnly="0" labelOnly="1" outline="0" fieldPosition="0">
        <references count="2">
          <reference field="0" count="1" selected="0">
            <x v="39"/>
          </reference>
          <reference field="2" count="1">
            <x v="39"/>
          </reference>
        </references>
      </pivotArea>
    </format>
    <format dxfId="203">
      <pivotArea dataOnly="0" labelOnly="1" outline="0" fieldPosition="0">
        <references count="2">
          <reference field="0" count="1" selected="0">
            <x v="40"/>
          </reference>
          <reference field="2" count="1">
            <x v="40"/>
          </reference>
        </references>
      </pivotArea>
    </format>
    <format dxfId="202">
      <pivotArea dataOnly="0" labelOnly="1" outline="0" fieldPosition="0">
        <references count="2">
          <reference field="0" count="1" selected="0">
            <x v="42"/>
          </reference>
          <reference field="2" count="1">
            <x v="41"/>
          </reference>
        </references>
      </pivotArea>
    </format>
    <format dxfId="201">
      <pivotArea dataOnly="0" labelOnly="1" outline="0" fieldPosition="0">
        <references count="2">
          <reference field="0" count="1" selected="0">
            <x v="43"/>
          </reference>
          <reference field="2" count="1">
            <x v="42"/>
          </reference>
        </references>
      </pivotArea>
    </format>
    <format dxfId="200">
      <pivotArea dataOnly="0" labelOnly="1" outline="0" fieldPosition="0">
        <references count="2">
          <reference field="0" count="1" selected="0">
            <x v="44"/>
          </reference>
          <reference field="2" count="1">
            <x v="43"/>
          </reference>
        </references>
      </pivotArea>
    </format>
    <format dxfId="199">
      <pivotArea dataOnly="0" labelOnly="1" outline="0" fieldPosition="0">
        <references count="2">
          <reference field="0" count="1" selected="0">
            <x v="45"/>
          </reference>
          <reference field="2" count="1">
            <x v="44"/>
          </reference>
        </references>
      </pivotArea>
    </format>
    <format dxfId="198">
      <pivotArea dataOnly="0" labelOnly="1" outline="0" fieldPosition="0">
        <references count="2">
          <reference field="0" count="1" selected="0">
            <x v="46"/>
          </reference>
          <reference field="2" count="1">
            <x v="45"/>
          </reference>
        </references>
      </pivotArea>
    </format>
    <format dxfId="197">
      <pivotArea dataOnly="0" labelOnly="1" outline="0" fieldPosition="0">
        <references count="2">
          <reference field="0" count="1" selected="0">
            <x v="47"/>
          </reference>
          <reference field="2" count="1">
            <x v="46"/>
          </reference>
        </references>
      </pivotArea>
    </format>
    <format dxfId="196">
      <pivotArea dataOnly="0" labelOnly="1" outline="0" fieldPosition="0">
        <references count="2">
          <reference field="0" count="1" selected="0">
            <x v="48"/>
          </reference>
          <reference field="2" count="1">
            <x v="47"/>
          </reference>
        </references>
      </pivotArea>
    </format>
    <format dxfId="195">
      <pivotArea dataOnly="0" labelOnly="1" outline="0" fieldPosition="0">
        <references count="2">
          <reference field="0" count="1" selected="0">
            <x v="49"/>
          </reference>
          <reference field="2" count="1">
            <x v="48"/>
          </reference>
        </references>
      </pivotArea>
    </format>
    <format dxfId="194">
      <pivotArea dataOnly="0" labelOnly="1" outline="0" fieldPosition="0">
        <references count="2">
          <reference field="0" count="1" selected="0">
            <x v="50"/>
          </reference>
          <reference field="2" count="1">
            <x v="49"/>
          </reference>
        </references>
      </pivotArea>
    </format>
    <format dxfId="193">
      <pivotArea dataOnly="0" labelOnly="1" outline="0" fieldPosition="0">
        <references count="2">
          <reference field="0" count="1" selected="0">
            <x v="51"/>
          </reference>
          <reference field="2" count="1">
            <x v="50"/>
          </reference>
        </references>
      </pivotArea>
    </format>
    <format dxfId="192">
      <pivotArea dataOnly="0" labelOnly="1" outline="0" fieldPosition="0">
        <references count="2">
          <reference field="0" count="1" selected="0">
            <x v="52"/>
          </reference>
          <reference field="2" count="1">
            <x v="51"/>
          </reference>
        </references>
      </pivotArea>
    </format>
    <format dxfId="191">
      <pivotArea dataOnly="0" labelOnly="1" outline="0" fieldPosition="0">
        <references count="2">
          <reference field="0" count="1" selected="0">
            <x v="53"/>
          </reference>
          <reference field="2" count="1">
            <x v="52"/>
          </reference>
        </references>
      </pivotArea>
    </format>
    <format dxfId="190">
      <pivotArea dataOnly="0" labelOnly="1" outline="0" fieldPosition="0">
        <references count="2">
          <reference field="0" count="1" selected="0">
            <x v="54"/>
          </reference>
          <reference field="2" count="1">
            <x v="53"/>
          </reference>
        </references>
      </pivotArea>
    </format>
    <format dxfId="189">
      <pivotArea dataOnly="0" labelOnly="1" outline="0" fieldPosition="0">
        <references count="2">
          <reference field="0" count="1" selected="0">
            <x v="55"/>
          </reference>
          <reference field="2" count="1">
            <x v="54"/>
          </reference>
        </references>
      </pivotArea>
    </format>
    <format dxfId="188">
      <pivotArea dataOnly="0" labelOnly="1" outline="0" fieldPosition="0">
        <references count="2">
          <reference field="0" count="1" selected="0">
            <x v="56"/>
          </reference>
          <reference field="2" count="1">
            <x v="55"/>
          </reference>
        </references>
      </pivotArea>
    </format>
    <format dxfId="187">
      <pivotArea dataOnly="0" labelOnly="1" outline="0" fieldPosition="0">
        <references count="2">
          <reference field="0" count="1" selected="0">
            <x v="57"/>
          </reference>
          <reference field="2" count="1">
            <x v="56"/>
          </reference>
        </references>
      </pivotArea>
    </format>
    <format dxfId="186">
      <pivotArea dataOnly="0" labelOnly="1" outline="0" fieldPosition="0">
        <references count="2">
          <reference field="0" count="1" selected="0">
            <x v="58"/>
          </reference>
          <reference field="2" count="1">
            <x v="57"/>
          </reference>
        </references>
      </pivotArea>
    </format>
    <format dxfId="185">
      <pivotArea dataOnly="0" labelOnly="1" outline="0" fieldPosition="0">
        <references count="2">
          <reference field="0" count="1" selected="0">
            <x v="59"/>
          </reference>
          <reference field="2" count="1">
            <x v="58"/>
          </reference>
        </references>
      </pivotArea>
    </format>
    <format dxfId="184">
      <pivotArea dataOnly="0" labelOnly="1" outline="0" fieldPosition="0">
        <references count="3">
          <reference field="0" count="1" selected="0">
            <x v="1"/>
          </reference>
          <reference field="1" count="1">
            <x v="5"/>
          </reference>
          <reference field="2" count="1" selected="0">
            <x v="1"/>
          </reference>
        </references>
      </pivotArea>
    </format>
    <format dxfId="183">
      <pivotArea dataOnly="0" labelOnly="1" outline="0" fieldPosition="0">
        <references count="3">
          <reference field="0" count="1" selected="0">
            <x v="2"/>
          </reference>
          <reference field="1" count="1">
            <x v="6"/>
          </reference>
          <reference field="2" count="1" selected="0">
            <x v="2"/>
          </reference>
        </references>
      </pivotArea>
    </format>
    <format dxfId="182">
      <pivotArea dataOnly="0" labelOnly="1" outline="0" fieldPosition="0">
        <references count="3">
          <reference field="0" count="1" selected="0">
            <x v="3"/>
          </reference>
          <reference field="1" count="1">
            <x v="36"/>
          </reference>
          <reference field="2" count="1" selected="0">
            <x v="3"/>
          </reference>
        </references>
      </pivotArea>
    </format>
    <format dxfId="181">
      <pivotArea dataOnly="0" labelOnly="1" outline="0" fieldPosition="0">
        <references count="3">
          <reference field="0" count="1" selected="0">
            <x v="4"/>
          </reference>
          <reference field="1" count="1">
            <x v="15"/>
          </reference>
          <reference field="2" count="1" selected="0">
            <x v="4"/>
          </reference>
        </references>
      </pivotArea>
    </format>
    <format dxfId="180">
      <pivotArea dataOnly="0" labelOnly="1" outline="0" fieldPosition="0">
        <references count="3">
          <reference field="0" count="1" selected="0">
            <x v="5"/>
          </reference>
          <reference field="1" count="1">
            <x v="29"/>
          </reference>
          <reference field="2" count="1" selected="0">
            <x v="5"/>
          </reference>
        </references>
      </pivotArea>
    </format>
    <format dxfId="179">
      <pivotArea dataOnly="0" labelOnly="1" outline="0" fieldPosition="0">
        <references count="3">
          <reference field="0" count="1" selected="0">
            <x v="6"/>
          </reference>
          <reference field="1" count="1">
            <x v="35"/>
          </reference>
          <reference field="2" count="1" selected="0">
            <x v="6"/>
          </reference>
        </references>
      </pivotArea>
    </format>
    <format dxfId="178">
      <pivotArea dataOnly="0" labelOnly="1" outline="0" fieldPosition="0">
        <references count="3">
          <reference field="0" count="1" selected="0">
            <x v="7"/>
          </reference>
          <reference field="1" count="1">
            <x v="25"/>
          </reference>
          <reference field="2" count="1" selected="0">
            <x v="7"/>
          </reference>
        </references>
      </pivotArea>
    </format>
    <format dxfId="177">
      <pivotArea dataOnly="0" labelOnly="1" outline="0" fieldPosition="0">
        <references count="3">
          <reference field="0" count="1" selected="0">
            <x v="8"/>
          </reference>
          <reference field="1" count="1">
            <x v="24"/>
          </reference>
          <reference field="2" count="1" selected="0">
            <x v="8"/>
          </reference>
        </references>
      </pivotArea>
    </format>
    <format dxfId="176">
      <pivotArea dataOnly="0" labelOnly="1" outline="0" fieldPosition="0">
        <references count="3">
          <reference field="0" count="1" selected="0">
            <x v="9"/>
          </reference>
          <reference field="1" count="1">
            <x v="39"/>
          </reference>
          <reference field="2" count="1" selected="0">
            <x v="9"/>
          </reference>
        </references>
      </pivotArea>
    </format>
    <format dxfId="175">
      <pivotArea dataOnly="0" labelOnly="1" outline="0" fieldPosition="0">
        <references count="3">
          <reference field="0" count="1" selected="0">
            <x v="10"/>
          </reference>
          <reference field="1" count="1">
            <x v="40"/>
          </reference>
          <reference field="2" count="1" selected="0">
            <x v="10"/>
          </reference>
        </references>
      </pivotArea>
    </format>
    <format dxfId="174">
      <pivotArea dataOnly="0" labelOnly="1" outline="0" fieldPosition="0">
        <references count="3">
          <reference field="0" count="1" selected="0">
            <x v="11"/>
          </reference>
          <reference field="1" count="1">
            <x v="41"/>
          </reference>
          <reference field="2" count="1" selected="0">
            <x v="11"/>
          </reference>
        </references>
      </pivotArea>
    </format>
    <format dxfId="173">
      <pivotArea dataOnly="0" labelOnly="1" outline="0" fieldPosition="0">
        <references count="3">
          <reference field="0" count="1" selected="0">
            <x v="12"/>
          </reference>
          <reference field="1" count="1">
            <x v="42"/>
          </reference>
          <reference field="2" count="1" selected="0">
            <x v="12"/>
          </reference>
        </references>
      </pivotArea>
    </format>
    <format dxfId="172">
      <pivotArea dataOnly="0" labelOnly="1" outline="0" fieldPosition="0">
        <references count="3">
          <reference field="0" count="1" selected="0">
            <x v="13"/>
          </reference>
          <reference field="1" count="1">
            <x v="43"/>
          </reference>
          <reference field="2" count="1" selected="0">
            <x v="13"/>
          </reference>
        </references>
      </pivotArea>
    </format>
    <format dxfId="171">
      <pivotArea dataOnly="0" labelOnly="1" outline="0" fieldPosition="0">
        <references count="3">
          <reference field="0" count="1" selected="0">
            <x v="14"/>
          </reference>
          <reference field="1" count="1">
            <x v="44"/>
          </reference>
          <reference field="2" count="1" selected="0">
            <x v="14"/>
          </reference>
        </references>
      </pivotArea>
    </format>
    <format dxfId="170">
      <pivotArea dataOnly="0" labelOnly="1" outline="0" fieldPosition="0">
        <references count="3">
          <reference field="0" count="1" selected="0">
            <x v="15"/>
          </reference>
          <reference field="1" count="1">
            <x v="32"/>
          </reference>
          <reference field="2" count="1" selected="0">
            <x v="15"/>
          </reference>
        </references>
      </pivotArea>
    </format>
    <format dxfId="169">
      <pivotArea dataOnly="0" labelOnly="1" outline="0" fieldPosition="0">
        <references count="3">
          <reference field="0" count="1" selected="0">
            <x v="16"/>
          </reference>
          <reference field="1" count="1">
            <x v="33"/>
          </reference>
          <reference field="2" count="1" selected="0">
            <x v="16"/>
          </reference>
        </references>
      </pivotArea>
    </format>
    <format dxfId="168">
      <pivotArea dataOnly="0" labelOnly="1" outline="0" fieldPosition="0">
        <references count="3">
          <reference field="0" count="1" selected="0">
            <x v="17"/>
          </reference>
          <reference field="1" count="1">
            <x v="17"/>
          </reference>
          <reference field="2" count="1" selected="0">
            <x v="17"/>
          </reference>
        </references>
      </pivotArea>
    </format>
    <format dxfId="167">
      <pivotArea dataOnly="0" labelOnly="1" outline="0" fieldPosition="0">
        <references count="3">
          <reference field="0" count="1" selected="0">
            <x v="18"/>
          </reference>
          <reference field="1" count="1">
            <x v="47"/>
          </reference>
          <reference field="2" count="1" selected="0">
            <x v="18"/>
          </reference>
        </references>
      </pivotArea>
    </format>
    <format dxfId="166">
      <pivotArea dataOnly="0" labelOnly="1" outline="0" fieldPosition="0">
        <references count="3">
          <reference field="0" count="1" selected="0">
            <x v="19"/>
          </reference>
          <reference field="1" count="1">
            <x v="48"/>
          </reference>
          <reference field="2" count="1" selected="0">
            <x v="19"/>
          </reference>
        </references>
      </pivotArea>
    </format>
    <format dxfId="165">
      <pivotArea dataOnly="0" labelOnly="1" outline="0" fieldPosition="0">
        <references count="3">
          <reference field="0" count="1" selected="0">
            <x v="20"/>
          </reference>
          <reference field="1" count="1">
            <x v="49"/>
          </reference>
          <reference field="2" count="1" selected="0">
            <x v="20"/>
          </reference>
        </references>
      </pivotArea>
    </format>
    <format dxfId="164">
      <pivotArea dataOnly="0" labelOnly="1" outline="0" fieldPosition="0">
        <references count="3">
          <reference field="0" count="1" selected="0">
            <x v="22"/>
          </reference>
          <reference field="1" count="1">
            <x v="52"/>
          </reference>
          <reference field="2" count="1" selected="0">
            <x v="22"/>
          </reference>
        </references>
      </pivotArea>
    </format>
    <format dxfId="163">
      <pivotArea dataOnly="0" labelOnly="1" outline="0" fieldPosition="0">
        <references count="3">
          <reference field="0" count="1" selected="0">
            <x v="24"/>
          </reference>
          <reference field="1" count="1">
            <x v="10"/>
          </reference>
          <reference field="2" count="1" selected="0">
            <x v="24"/>
          </reference>
        </references>
      </pivotArea>
    </format>
    <format dxfId="162">
      <pivotArea dataOnly="0" labelOnly="1" outline="0" fieldPosition="0">
        <references count="3">
          <reference field="0" count="1" selected="0">
            <x v="25"/>
          </reference>
          <reference field="1" count="1">
            <x v="11"/>
          </reference>
          <reference field="2" count="1" selected="0">
            <x v="25"/>
          </reference>
        </references>
      </pivotArea>
    </format>
    <format dxfId="161">
      <pivotArea dataOnly="0" labelOnly="1" outline="0" fieldPosition="0">
        <references count="3">
          <reference field="0" count="1" selected="0">
            <x v="26"/>
          </reference>
          <reference field="1" count="1">
            <x v="12"/>
          </reference>
          <reference field="2" count="1" selected="0">
            <x v="26"/>
          </reference>
        </references>
      </pivotArea>
    </format>
    <format dxfId="160">
      <pivotArea dataOnly="0" labelOnly="1" outline="0" fieldPosition="0">
        <references count="3">
          <reference field="0" count="1" selected="0">
            <x v="27"/>
          </reference>
          <reference field="1" count="1">
            <x v="13"/>
          </reference>
          <reference field="2" count="1" selected="0">
            <x v="27"/>
          </reference>
        </references>
      </pivotArea>
    </format>
    <format dxfId="159">
      <pivotArea dataOnly="0" labelOnly="1" outline="0" fieldPosition="0">
        <references count="3">
          <reference field="0" count="1" selected="0">
            <x v="28"/>
          </reference>
          <reference field="1" count="1">
            <x v="8"/>
          </reference>
          <reference field="2" count="1" selected="0">
            <x v="28"/>
          </reference>
        </references>
      </pivotArea>
    </format>
    <format dxfId="158">
      <pivotArea dataOnly="0" labelOnly="1" outline="0" fieldPosition="0">
        <references count="3">
          <reference field="0" count="1" selected="0">
            <x v="29"/>
          </reference>
          <reference field="1" count="1">
            <x v="9"/>
          </reference>
          <reference field="2" count="1" selected="0">
            <x v="29"/>
          </reference>
        </references>
      </pivotArea>
    </format>
    <format dxfId="157">
      <pivotArea dataOnly="0" labelOnly="1" outline="0" fieldPosition="0">
        <references count="3">
          <reference field="0" count="1" selected="0">
            <x v="30"/>
          </reference>
          <reference field="1" count="1">
            <x v="7"/>
          </reference>
          <reference field="2" count="1" selected="0">
            <x v="30"/>
          </reference>
        </references>
      </pivotArea>
    </format>
    <format dxfId="156">
      <pivotArea dataOnly="0" labelOnly="1" outline="0" fieldPosition="0">
        <references count="3">
          <reference field="0" count="1" selected="0">
            <x v="31"/>
          </reference>
          <reference field="1" count="1">
            <x v="37"/>
          </reference>
          <reference field="2" count="1" selected="0">
            <x v="31"/>
          </reference>
        </references>
      </pivotArea>
    </format>
    <format dxfId="155">
      <pivotArea dataOnly="0" labelOnly="1" outline="0" fieldPosition="0">
        <references count="3">
          <reference field="0" count="1" selected="0">
            <x v="32"/>
          </reference>
          <reference field="1" count="1">
            <x v="38"/>
          </reference>
          <reference field="2" count="1" selected="0">
            <x v="32"/>
          </reference>
        </references>
      </pivotArea>
    </format>
    <format dxfId="154">
      <pivotArea dataOnly="0" labelOnly="1" outline="0" fieldPosition="0">
        <references count="3">
          <reference field="0" count="1" selected="0">
            <x v="33"/>
          </reference>
          <reference field="1" count="1">
            <x v="3"/>
          </reference>
          <reference field="2" count="1" selected="0">
            <x v="33"/>
          </reference>
        </references>
      </pivotArea>
    </format>
    <format dxfId="153">
      <pivotArea dataOnly="0" labelOnly="1" outline="0" fieldPosition="0">
        <references count="3">
          <reference field="0" count="1" selected="0">
            <x v="34"/>
          </reference>
          <reference field="1" count="1">
            <x v="4"/>
          </reference>
          <reference field="2" count="1" selected="0">
            <x v="34"/>
          </reference>
        </references>
      </pivotArea>
    </format>
    <format dxfId="152">
      <pivotArea dataOnly="0" labelOnly="1" outline="0" fieldPosition="0">
        <references count="3">
          <reference field="0" count="1" selected="0">
            <x v="35"/>
          </reference>
          <reference field="1" count="1">
            <x v="45"/>
          </reference>
          <reference field="2" count="1" selected="0">
            <x v="35"/>
          </reference>
        </references>
      </pivotArea>
    </format>
    <format dxfId="151">
      <pivotArea dataOnly="0" labelOnly="1" outline="0" fieldPosition="0">
        <references count="3">
          <reference field="0" count="1" selected="0">
            <x v="36"/>
          </reference>
          <reference field="1" count="1">
            <x v="46"/>
          </reference>
          <reference field="2" count="1" selected="0">
            <x v="36"/>
          </reference>
        </references>
      </pivotArea>
    </format>
    <format dxfId="150">
      <pivotArea dataOnly="0" labelOnly="1" outline="0" fieldPosition="0">
        <references count="3">
          <reference field="0" count="1" selected="0">
            <x v="37"/>
          </reference>
          <reference field="1" count="1">
            <x v="50"/>
          </reference>
          <reference field="2" count="1" selected="0">
            <x v="37"/>
          </reference>
        </references>
      </pivotArea>
    </format>
    <format dxfId="149">
      <pivotArea dataOnly="0" labelOnly="1" outline="0" fieldPosition="0">
        <references count="3">
          <reference field="0" count="1" selected="0">
            <x v="38"/>
          </reference>
          <reference field="1" count="1">
            <x v="51"/>
          </reference>
          <reference field="2" count="1" selected="0">
            <x v="38"/>
          </reference>
        </references>
      </pivotArea>
    </format>
    <format dxfId="148">
      <pivotArea dataOnly="0" labelOnly="1" outline="0" fieldPosition="0">
        <references count="3">
          <reference field="0" count="1" selected="0">
            <x v="39"/>
          </reference>
          <reference field="1" count="1">
            <x v="30"/>
          </reference>
          <reference field="2" count="1" selected="0">
            <x v="39"/>
          </reference>
        </references>
      </pivotArea>
    </format>
    <format dxfId="147">
      <pivotArea dataOnly="0" labelOnly="1" outline="0" fieldPosition="0">
        <references count="3">
          <reference field="0" count="1" selected="0">
            <x v="40"/>
          </reference>
          <reference field="1" count="1">
            <x v="26"/>
          </reference>
          <reference field="2" count="1" selected="0">
            <x v="40"/>
          </reference>
        </references>
      </pivotArea>
    </format>
    <format dxfId="146">
      <pivotArea dataOnly="0" labelOnly="1" outline="0" fieldPosition="0">
        <references count="3">
          <reference field="0" count="1" selected="0">
            <x v="42"/>
          </reference>
          <reference field="1" count="1">
            <x v="27"/>
          </reference>
          <reference field="2" count="1" selected="0">
            <x v="41"/>
          </reference>
        </references>
      </pivotArea>
    </format>
    <format dxfId="145">
      <pivotArea dataOnly="0" labelOnly="1" outline="0" fieldPosition="0">
        <references count="3">
          <reference field="0" count="1" selected="0">
            <x v="43"/>
          </reference>
          <reference field="1" count="1">
            <x v="19"/>
          </reference>
          <reference field="2" count="1" selected="0">
            <x v="42"/>
          </reference>
        </references>
      </pivotArea>
    </format>
    <format dxfId="144">
      <pivotArea dataOnly="0" labelOnly="1" outline="0" fieldPosition="0">
        <references count="3">
          <reference field="0" count="1" selected="0">
            <x v="44"/>
          </reference>
          <reference field="1" count="1">
            <x v="20"/>
          </reference>
          <reference field="2" count="1" selected="0">
            <x v="43"/>
          </reference>
        </references>
      </pivotArea>
    </format>
    <format dxfId="143">
      <pivotArea dataOnly="0" labelOnly="1" outline="0" fieldPosition="0">
        <references count="3">
          <reference field="0" count="1" selected="0">
            <x v="45"/>
          </reference>
          <reference field="1" count="1">
            <x v="21"/>
          </reference>
          <reference field="2" count="1" selected="0">
            <x v="44"/>
          </reference>
        </references>
      </pivotArea>
    </format>
    <format dxfId="142">
      <pivotArea dataOnly="0" labelOnly="1" outline="0" fieldPosition="0">
        <references count="3">
          <reference field="0" count="1" selected="0">
            <x v="47"/>
          </reference>
          <reference field="1" count="1">
            <x v="16"/>
          </reference>
          <reference field="2" count="1" selected="0">
            <x v="46"/>
          </reference>
        </references>
      </pivotArea>
    </format>
    <format dxfId="141">
      <pivotArea dataOnly="0" labelOnly="1" outline="0" fieldPosition="0">
        <references count="3">
          <reference field="0" count="1" selected="0">
            <x v="49"/>
          </reference>
          <reference field="1" count="1">
            <x v="0"/>
          </reference>
          <reference field="2" count="1" selected="0">
            <x v="48"/>
          </reference>
        </references>
      </pivotArea>
    </format>
    <format dxfId="140">
      <pivotArea dataOnly="0" labelOnly="1" outline="0" fieldPosition="0">
        <references count="3">
          <reference field="0" count="1" selected="0">
            <x v="50"/>
          </reference>
          <reference field="1" count="1">
            <x v="31"/>
          </reference>
          <reference field="2" count="1" selected="0">
            <x v="49"/>
          </reference>
        </references>
      </pivotArea>
    </format>
    <format dxfId="139">
      <pivotArea dataOnly="0" labelOnly="1" outline="0" fieldPosition="0">
        <references count="3">
          <reference field="0" count="1" selected="0">
            <x v="51"/>
          </reference>
          <reference field="1" count="1">
            <x v="14"/>
          </reference>
          <reference field="2" count="1" selected="0">
            <x v="50"/>
          </reference>
        </references>
      </pivotArea>
    </format>
    <format dxfId="138">
      <pivotArea dataOnly="0" labelOnly="1" outline="0" fieldPosition="0">
        <references count="3">
          <reference field="0" count="1" selected="0">
            <x v="52"/>
          </reference>
          <reference field="1" count="1">
            <x v="2"/>
          </reference>
          <reference field="2" count="1" selected="0">
            <x v="51"/>
          </reference>
        </references>
      </pivotArea>
    </format>
    <format dxfId="137">
      <pivotArea dataOnly="0" labelOnly="1" outline="0" fieldPosition="0">
        <references count="3">
          <reference field="0" count="1" selected="0">
            <x v="53"/>
          </reference>
          <reference field="1" count="1">
            <x v="1"/>
          </reference>
          <reference field="2" count="1" selected="0">
            <x v="52"/>
          </reference>
        </references>
      </pivotArea>
    </format>
    <format dxfId="136">
      <pivotArea dataOnly="0" labelOnly="1" outline="0" fieldPosition="0">
        <references count="3">
          <reference field="0" count="1" selected="0">
            <x v="54"/>
          </reference>
          <reference field="1" count="1">
            <x v="28"/>
          </reference>
          <reference field="2" count="1" selected="0">
            <x v="53"/>
          </reference>
        </references>
      </pivotArea>
    </format>
    <format dxfId="135">
      <pivotArea dataOnly="0" labelOnly="1" outline="0" fieldPosition="0">
        <references count="3">
          <reference field="0" count="1" selected="0">
            <x v="55"/>
          </reference>
          <reference field="1" count="1">
            <x v="18"/>
          </reference>
          <reference field="2" count="1" selected="0">
            <x v="54"/>
          </reference>
        </references>
      </pivotArea>
    </format>
    <format dxfId="134">
      <pivotArea dataOnly="0" labelOnly="1" outline="0" fieldPosition="0">
        <references count="3">
          <reference field="0" count="1" selected="0">
            <x v="57"/>
          </reference>
          <reference field="1" count="1">
            <x v="22"/>
          </reference>
          <reference field="2" count="1" selected="0">
            <x v="56"/>
          </reference>
        </references>
      </pivotArea>
    </format>
    <format dxfId="133">
      <pivotArea dataOnly="0" labelOnly="1" outline="0" fieldPosition="0">
        <references count="3">
          <reference field="0" count="1" selected="0">
            <x v="58"/>
          </reference>
          <reference field="1" count="1">
            <x v="23"/>
          </reference>
          <reference field="2" count="1" selected="0">
            <x v="57"/>
          </reference>
        </references>
      </pivotArea>
    </format>
    <format dxfId="132">
      <pivotArea dataOnly="0" labelOnly="1" outline="0" fieldPosition="0">
        <references count="3">
          <reference field="0" count="1" selected="0">
            <x v="59"/>
          </reference>
          <reference field="1" count="1">
            <x v="34"/>
          </reference>
          <reference field="2" count="1" selected="0">
            <x v="58"/>
          </reference>
        </references>
      </pivotArea>
    </format>
    <format dxfId="131">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130">
      <pivotArea dataOnly="0" labelOnly="1" outline="0" fieldPosition="0">
        <references count="4">
          <reference field="0" count="1" selected="0">
            <x v="2"/>
          </reference>
          <reference field="1" count="1" selected="0">
            <x v="6"/>
          </reference>
          <reference field="2" count="1" selected="0">
            <x v="2"/>
          </reference>
          <reference field="3" count="1">
            <x v="4"/>
          </reference>
        </references>
      </pivotArea>
    </format>
    <format dxfId="129">
      <pivotArea dataOnly="0" labelOnly="1" outline="0" fieldPosition="0">
        <references count="4">
          <reference field="0" count="1" selected="0">
            <x v="3"/>
          </reference>
          <reference field="1" count="1" selected="0">
            <x v="36"/>
          </reference>
          <reference field="2" count="1" selected="0">
            <x v="3"/>
          </reference>
          <reference field="3" count="1">
            <x v="5"/>
          </reference>
        </references>
      </pivotArea>
    </format>
    <format dxfId="128">
      <pivotArea dataOnly="0" labelOnly="1" outline="0" fieldPosition="0">
        <references count="4">
          <reference field="0" count="1" selected="0">
            <x v="4"/>
          </reference>
          <reference field="1" count="1" selected="0">
            <x v="15"/>
          </reference>
          <reference field="2" count="1" selected="0">
            <x v="4"/>
          </reference>
          <reference field="3" count="1">
            <x v="10"/>
          </reference>
        </references>
      </pivotArea>
    </format>
    <format dxfId="127">
      <pivotArea dataOnly="0" labelOnly="1" outline="0" fieldPosition="0">
        <references count="4">
          <reference field="0" count="1" selected="0">
            <x v="5"/>
          </reference>
          <reference field="1" count="1" selected="0">
            <x v="29"/>
          </reference>
          <reference field="2" count="1" selected="0">
            <x v="5"/>
          </reference>
          <reference field="3" count="1">
            <x v="12"/>
          </reference>
        </references>
      </pivotArea>
    </format>
    <format dxfId="126">
      <pivotArea dataOnly="0" labelOnly="1" outline="0" fieldPosition="0">
        <references count="4">
          <reference field="0" count="1" selected="0">
            <x v="6"/>
          </reference>
          <reference field="1" count="1" selected="0">
            <x v="35"/>
          </reference>
          <reference field="2" count="1" selected="0">
            <x v="6"/>
          </reference>
          <reference field="3" count="1">
            <x v="8"/>
          </reference>
        </references>
      </pivotArea>
    </format>
    <format dxfId="125">
      <pivotArea dataOnly="0" labelOnly="1" outline="0" fieldPosition="0">
        <references count="4">
          <reference field="0" count="1" selected="0">
            <x v="7"/>
          </reference>
          <reference field="1" count="1" selected="0">
            <x v="25"/>
          </reference>
          <reference field="2" count="1" selected="0">
            <x v="7"/>
          </reference>
          <reference field="3" count="1">
            <x v="9"/>
          </reference>
        </references>
      </pivotArea>
    </format>
    <format dxfId="124">
      <pivotArea dataOnly="0" labelOnly="1" outline="0" fieldPosition="0">
        <references count="4">
          <reference field="0" count="1" selected="0">
            <x v="8"/>
          </reference>
          <reference field="1" count="1" selected="0">
            <x v="24"/>
          </reference>
          <reference field="2" count="1" selected="0">
            <x v="8"/>
          </reference>
          <reference field="3" count="1">
            <x v="14"/>
          </reference>
        </references>
      </pivotArea>
    </format>
    <format dxfId="123">
      <pivotArea dataOnly="0" labelOnly="1" outline="0" fieldPosition="0">
        <references count="4">
          <reference field="0" count="1" selected="0">
            <x v="9"/>
          </reference>
          <reference field="1" count="1" selected="0">
            <x v="39"/>
          </reference>
          <reference field="2" count="1" selected="0">
            <x v="9"/>
          </reference>
          <reference field="3" count="1">
            <x v="15"/>
          </reference>
        </references>
      </pivotArea>
    </format>
    <format dxfId="122">
      <pivotArea dataOnly="0" labelOnly="1" outline="0" fieldPosition="0">
        <references count="4">
          <reference field="0" count="1" selected="0">
            <x v="10"/>
          </reference>
          <reference field="1" count="1" selected="0">
            <x v="40"/>
          </reference>
          <reference field="2" count="1" selected="0">
            <x v="10"/>
          </reference>
          <reference field="3" count="1">
            <x v="14"/>
          </reference>
        </references>
      </pivotArea>
    </format>
    <format dxfId="121">
      <pivotArea dataOnly="0" labelOnly="1" outline="0" fieldPosition="0">
        <references count="4">
          <reference field="0" count="1" selected="0">
            <x v="11"/>
          </reference>
          <reference field="1" count="1" selected="0">
            <x v="41"/>
          </reference>
          <reference field="2" count="1" selected="0">
            <x v="11"/>
          </reference>
          <reference field="3" count="1">
            <x v="14"/>
          </reference>
        </references>
      </pivotArea>
    </format>
    <format dxfId="120">
      <pivotArea dataOnly="0" labelOnly="1" outline="0" fieldPosition="0">
        <references count="4">
          <reference field="0" count="1" selected="0">
            <x v="12"/>
          </reference>
          <reference field="1" count="1" selected="0">
            <x v="42"/>
          </reference>
          <reference field="2" count="1" selected="0">
            <x v="12"/>
          </reference>
          <reference field="3" count="1">
            <x v="14"/>
          </reference>
        </references>
      </pivotArea>
    </format>
    <format dxfId="119">
      <pivotArea dataOnly="0" labelOnly="1" outline="0" fieldPosition="0">
        <references count="4">
          <reference field="0" count="1" selected="0">
            <x v="13"/>
          </reference>
          <reference field="1" count="1" selected="0">
            <x v="43"/>
          </reference>
          <reference field="2" count="1" selected="0">
            <x v="13"/>
          </reference>
          <reference field="3" count="1">
            <x v="14"/>
          </reference>
        </references>
      </pivotArea>
    </format>
    <format dxfId="118">
      <pivotArea dataOnly="0" labelOnly="1" outline="0" fieldPosition="0">
        <references count="4">
          <reference field="0" count="1" selected="0">
            <x v="14"/>
          </reference>
          <reference field="1" count="1" selected="0">
            <x v="44"/>
          </reference>
          <reference field="2" count="1" selected="0">
            <x v="14"/>
          </reference>
          <reference field="3" count="1">
            <x v="14"/>
          </reference>
        </references>
      </pivotArea>
    </format>
    <format dxfId="117">
      <pivotArea dataOnly="0" labelOnly="1" outline="0" fieldPosition="0">
        <references count="4">
          <reference field="0" count="1" selected="0">
            <x v="15"/>
          </reference>
          <reference field="1" count="1" selected="0">
            <x v="32"/>
          </reference>
          <reference field="2" count="1" selected="0">
            <x v="15"/>
          </reference>
          <reference field="3" count="1">
            <x v="11"/>
          </reference>
        </references>
      </pivotArea>
    </format>
    <format dxfId="116">
      <pivotArea dataOnly="0" labelOnly="1" outline="0" fieldPosition="0">
        <references count="4">
          <reference field="0" count="1" selected="0">
            <x v="16"/>
          </reference>
          <reference field="1" count="1" selected="0">
            <x v="33"/>
          </reference>
          <reference field="2" count="1" selected="0">
            <x v="16"/>
          </reference>
          <reference field="3" count="1">
            <x v="11"/>
          </reference>
        </references>
      </pivotArea>
    </format>
    <format dxfId="115">
      <pivotArea dataOnly="0" labelOnly="1" outline="0" fieldPosition="0">
        <references count="4">
          <reference field="0" count="1" selected="0">
            <x v="17"/>
          </reference>
          <reference field="1" count="1" selected="0">
            <x v="17"/>
          </reference>
          <reference field="2" count="1" selected="0">
            <x v="17"/>
          </reference>
          <reference field="3" count="1">
            <x v="18"/>
          </reference>
        </references>
      </pivotArea>
    </format>
    <format dxfId="114">
      <pivotArea dataOnly="0" labelOnly="1" outline="0" fieldPosition="0">
        <references count="4">
          <reference field="0" count="1" selected="0">
            <x v="18"/>
          </reference>
          <reference field="1" count="1" selected="0">
            <x v="47"/>
          </reference>
          <reference field="2" count="1" selected="0">
            <x v="18"/>
          </reference>
          <reference field="3" count="1">
            <x v="4"/>
          </reference>
        </references>
      </pivotArea>
    </format>
    <format dxfId="113">
      <pivotArea dataOnly="0" labelOnly="1" outline="0" fieldPosition="0">
        <references count="4">
          <reference field="0" count="1" selected="0">
            <x v="19"/>
          </reference>
          <reference field="1" count="1" selected="0">
            <x v="48"/>
          </reference>
          <reference field="2" count="1" selected="0">
            <x v="19"/>
          </reference>
          <reference field="3" count="1">
            <x v="2"/>
          </reference>
        </references>
      </pivotArea>
    </format>
    <format dxfId="112">
      <pivotArea dataOnly="0" labelOnly="1" outline="0" fieldPosition="0">
        <references count="4">
          <reference field="0" count="1" selected="0">
            <x v="20"/>
          </reference>
          <reference field="1" count="1" selected="0">
            <x v="49"/>
          </reference>
          <reference field="2" count="1" selected="0">
            <x v="20"/>
          </reference>
          <reference field="3" count="1">
            <x v="7"/>
          </reference>
        </references>
      </pivotArea>
    </format>
    <format dxfId="111">
      <pivotArea dataOnly="0" labelOnly="1" outline="0" fieldPosition="0">
        <references count="4">
          <reference field="0" count="1" selected="0">
            <x v="22"/>
          </reference>
          <reference field="1" count="1" selected="0">
            <x v="52"/>
          </reference>
          <reference field="2" count="1" selected="0">
            <x v="22"/>
          </reference>
          <reference field="3" count="1">
            <x v="22"/>
          </reference>
        </references>
      </pivotArea>
    </format>
    <format dxfId="110">
      <pivotArea dataOnly="0" labelOnly="1" outline="0" fieldPosition="0">
        <references count="4">
          <reference field="0" count="1" selected="0">
            <x v="24"/>
          </reference>
          <reference field="1" count="1" selected="0">
            <x v="10"/>
          </reference>
          <reference field="2" count="1" selected="0">
            <x v="24"/>
          </reference>
          <reference field="3" count="1">
            <x v="9"/>
          </reference>
        </references>
      </pivotArea>
    </format>
    <format dxfId="109">
      <pivotArea dataOnly="0" labelOnly="1" outline="0" fieldPosition="0">
        <references count="4">
          <reference field="0" count="1" selected="0">
            <x v="25"/>
          </reference>
          <reference field="1" count="1" selected="0">
            <x v="11"/>
          </reference>
          <reference field="2" count="1" selected="0">
            <x v="25"/>
          </reference>
          <reference field="3" count="1">
            <x v="14"/>
          </reference>
        </references>
      </pivotArea>
    </format>
    <format dxfId="108">
      <pivotArea dataOnly="0" labelOnly="1" outline="0" fieldPosition="0">
        <references count="4">
          <reference field="0" count="1" selected="0">
            <x v="26"/>
          </reference>
          <reference field="1" count="1" selected="0">
            <x v="12"/>
          </reference>
          <reference field="2" count="1" selected="0">
            <x v="26"/>
          </reference>
          <reference field="3" count="1">
            <x v="9"/>
          </reference>
        </references>
      </pivotArea>
    </format>
    <format dxfId="107">
      <pivotArea dataOnly="0" labelOnly="1" outline="0" fieldPosition="0">
        <references count="4">
          <reference field="0" count="1" selected="0">
            <x v="27"/>
          </reference>
          <reference field="1" count="1" selected="0">
            <x v="13"/>
          </reference>
          <reference field="2" count="1" selected="0">
            <x v="27"/>
          </reference>
          <reference field="3" count="1">
            <x v="6"/>
          </reference>
        </references>
      </pivotArea>
    </format>
    <format dxfId="106">
      <pivotArea dataOnly="0" labelOnly="1" outline="0" fieldPosition="0">
        <references count="4">
          <reference field="0" count="1" selected="0">
            <x v="28"/>
          </reference>
          <reference field="1" count="1" selected="0">
            <x v="8"/>
          </reference>
          <reference field="2" count="1" selected="0">
            <x v="28"/>
          </reference>
          <reference field="3" count="1">
            <x v="6"/>
          </reference>
        </references>
      </pivotArea>
    </format>
    <format dxfId="105">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104">
      <pivotArea dataOnly="0" labelOnly="1" outline="0" fieldPosition="0">
        <references count="4">
          <reference field="0" count="1" selected="0">
            <x v="30"/>
          </reference>
          <reference field="1" count="1" selected="0">
            <x v="7"/>
          </reference>
          <reference field="2" count="1" selected="0">
            <x v="30"/>
          </reference>
          <reference field="3" count="1">
            <x v="6"/>
          </reference>
        </references>
      </pivotArea>
    </format>
    <format dxfId="103">
      <pivotArea dataOnly="0" labelOnly="1" outline="0" fieldPosition="0">
        <references count="4">
          <reference field="0" count="1" selected="0">
            <x v="31"/>
          </reference>
          <reference field="1" count="1" selected="0">
            <x v="37"/>
          </reference>
          <reference field="2" count="1" selected="0">
            <x v="31"/>
          </reference>
          <reference field="3" count="1">
            <x v="9"/>
          </reference>
        </references>
      </pivotArea>
    </format>
    <format dxfId="102">
      <pivotArea dataOnly="0" labelOnly="1" outline="0" fieldPosition="0">
        <references count="4">
          <reference field="0" count="1" selected="0">
            <x v="32"/>
          </reference>
          <reference field="1" count="1" selected="0">
            <x v="38"/>
          </reference>
          <reference field="2" count="1" selected="0">
            <x v="32"/>
          </reference>
          <reference field="3" count="1">
            <x v="0"/>
          </reference>
        </references>
      </pivotArea>
    </format>
    <format dxfId="101">
      <pivotArea dataOnly="0" labelOnly="1" outline="0" fieldPosition="0">
        <references count="4">
          <reference field="0" count="1" selected="0">
            <x v="33"/>
          </reference>
          <reference field="1" count="1" selected="0">
            <x v="3"/>
          </reference>
          <reference field="2" count="1" selected="0">
            <x v="33"/>
          </reference>
          <reference field="3" count="1">
            <x v="9"/>
          </reference>
        </references>
      </pivotArea>
    </format>
    <format dxfId="100">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99">
      <pivotArea dataOnly="0" labelOnly="1" outline="0" fieldPosition="0">
        <references count="4">
          <reference field="0" count="1" selected="0">
            <x v="35"/>
          </reference>
          <reference field="1" count="1" selected="0">
            <x v="45"/>
          </reference>
          <reference field="2" count="1" selected="0">
            <x v="35"/>
          </reference>
          <reference field="3" count="1">
            <x v="19"/>
          </reference>
        </references>
      </pivotArea>
    </format>
    <format dxfId="98">
      <pivotArea dataOnly="0" labelOnly="1" outline="0" fieldPosition="0">
        <references count="4">
          <reference field="0" count="1" selected="0">
            <x v="36"/>
          </reference>
          <reference field="1" count="1" selected="0">
            <x v="46"/>
          </reference>
          <reference field="2" count="1" selected="0">
            <x v="36"/>
          </reference>
          <reference field="3" count="1">
            <x v="16"/>
          </reference>
        </references>
      </pivotArea>
    </format>
    <format dxfId="97">
      <pivotArea dataOnly="0" labelOnly="1" outline="0" fieldPosition="0">
        <references count="4">
          <reference field="0" count="1" selected="0">
            <x v="37"/>
          </reference>
          <reference field="1" count="1" selected="0">
            <x v="50"/>
          </reference>
          <reference field="2" count="1" selected="0">
            <x v="37"/>
          </reference>
          <reference field="3" count="1">
            <x v="20"/>
          </reference>
        </references>
      </pivotArea>
    </format>
    <format dxfId="96">
      <pivotArea dataOnly="0" labelOnly="1" outline="0" fieldPosition="0">
        <references count="4">
          <reference field="0" count="1" selected="0">
            <x v="38"/>
          </reference>
          <reference field="1" count="1" selected="0">
            <x v="51"/>
          </reference>
          <reference field="2" count="1" selected="0">
            <x v="38"/>
          </reference>
          <reference field="3" count="1">
            <x v="13"/>
          </reference>
        </references>
      </pivotArea>
    </format>
    <format dxfId="95">
      <pivotArea dataOnly="0" labelOnly="1" outline="0" fieldPosition="0">
        <references count="4">
          <reference field="0" count="1" selected="0">
            <x v="39"/>
          </reference>
          <reference field="1" count="1" selected="0">
            <x v="30"/>
          </reference>
          <reference field="2" count="1" selected="0">
            <x v="39"/>
          </reference>
          <reference field="3" count="1">
            <x v="25"/>
          </reference>
        </references>
      </pivotArea>
    </format>
    <format dxfId="94">
      <pivotArea dataOnly="0" labelOnly="1" outline="0" fieldPosition="0">
        <references count="4">
          <reference field="0" count="1" selected="0">
            <x v="40"/>
          </reference>
          <reference field="1" count="1" selected="0">
            <x v="26"/>
          </reference>
          <reference field="2" count="1" selected="0">
            <x v="40"/>
          </reference>
          <reference field="3" count="1">
            <x v="21"/>
          </reference>
        </references>
      </pivotArea>
    </format>
    <format dxfId="93">
      <pivotArea dataOnly="0" labelOnly="1" outline="0" fieldPosition="0">
        <references count="4">
          <reference field="0" count="1" selected="0">
            <x v="42"/>
          </reference>
          <reference field="1" count="1" selected="0">
            <x v="27"/>
          </reference>
          <reference field="2" count="1" selected="0">
            <x v="41"/>
          </reference>
          <reference field="3" count="1">
            <x v="21"/>
          </reference>
        </references>
      </pivotArea>
    </format>
    <format dxfId="92">
      <pivotArea dataOnly="0" labelOnly="1" outline="0" fieldPosition="0">
        <references count="4">
          <reference field="0" count="1" selected="0">
            <x v="43"/>
          </reference>
          <reference field="1" count="1" selected="0">
            <x v="19"/>
          </reference>
          <reference field="2" count="1" selected="0">
            <x v="42"/>
          </reference>
          <reference field="3" count="1">
            <x v="20"/>
          </reference>
        </references>
      </pivotArea>
    </format>
    <format dxfId="91">
      <pivotArea dataOnly="0" labelOnly="1" outline="0" fieldPosition="0">
        <references count="4">
          <reference field="0" count="1" selected="0">
            <x v="44"/>
          </reference>
          <reference field="1" count="1" selected="0">
            <x v="20"/>
          </reference>
          <reference field="2" count="1" selected="0">
            <x v="43"/>
          </reference>
          <reference field="3" count="1">
            <x v="17"/>
          </reference>
        </references>
      </pivotArea>
    </format>
    <format dxfId="90">
      <pivotArea dataOnly="0" labelOnly="1" outline="0" fieldPosition="0">
        <references count="4">
          <reference field="0" count="1" selected="0">
            <x v="45"/>
          </reference>
          <reference field="1" count="1" selected="0">
            <x v="21"/>
          </reference>
          <reference field="2" count="1" selected="0">
            <x v="44"/>
          </reference>
          <reference field="3" count="1">
            <x v="19"/>
          </reference>
        </references>
      </pivotArea>
    </format>
    <format dxfId="89">
      <pivotArea dataOnly="0" labelOnly="1" outline="0" fieldPosition="0">
        <references count="4">
          <reference field="0" count="1" selected="0">
            <x v="47"/>
          </reference>
          <reference field="1" count="1" selected="0">
            <x v="16"/>
          </reference>
          <reference field="2" count="1" selected="0">
            <x v="46"/>
          </reference>
          <reference field="3" count="1">
            <x v="9"/>
          </reference>
        </references>
      </pivotArea>
    </format>
    <format dxfId="88">
      <pivotArea dataOnly="0" labelOnly="1" outline="0" fieldPosition="0">
        <references count="4">
          <reference field="0" count="1" selected="0">
            <x v="49"/>
          </reference>
          <reference field="1" count="1" selected="0">
            <x v="0"/>
          </reference>
          <reference field="2" count="1" selected="0">
            <x v="48"/>
          </reference>
          <reference field="3" count="1">
            <x v="11"/>
          </reference>
        </references>
      </pivotArea>
    </format>
    <format dxfId="87">
      <pivotArea dataOnly="0" labelOnly="1" outline="0" fieldPosition="0">
        <references count="4">
          <reference field="0" count="1" selected="0">
            <x v="50"/>
          </reference>
          <reference field="1" count="1" selected="0">
            <x v="31"/>
          </reference>
          <reference field="2" count="1" selected="0">
            <x v="49"/>
          </reference>
          <reference field="3" count="1">
            <x v="10"/>
          </reference>
        </references>
      </pivotArea>
    </format>
    <format dxfId="86">
      <pivotArea dataOnly="0" labelOnly="1" outline="0" fieldPosition="0">
        <references count="4">
          <reference field="0" count="1" selected="0">
            <x v="51"/>
          </reference>
          <reference field="1" count="1" selected="0">
            <x v="14"/>
          </reference>
          <reference field="2" count="1" selected="0">
            <x v="50"/>
          </reference>
          <reference field="3" count="1">
            <x v="22"/>
          </reference>
        </references>
      </pivotArea>
    </format>
    <format dxfId="85">
      <pivotArea dataOnly="0" labelOnly="1" outline="0" fieldPosition="0">
        <references count="4">
          <reference field="0" count="1" selected="0">
            <x v="52"/>
          </reference>
          <reference field="1" count="1" selected="0">
            <x v="2"/>
          </reference>
          <reference field="2" count="1" selected="0">
            <x v="51"/>
          </reference>
          <reference field="3" count="1">
            <x v="24"/>
          </reference>
        </references>
      </pivotArea>
    </format>
    <format dxfId="84">
      <pivotArea dataOnly="0" labelOnly="1" outline="0" fieldPosition="0">
        <references count="4">
          <reference field="0" count="1" selected="0">
            <x v="53"/>
          </reference>
          <reference field="1" count="1" selected="0">
            <x v="1"/>
          </reference>
          <reference field="2" count="1" selected="0">
            <x v="52"/>
          </reference>
          <reference field="3" count="1">
            <x v="5"/>
          </reference>
        </references>
      </pivotArea>
    </format>
    <format dxfId="83">
      <pivotArea dataOnly="0" labelOnly="1" outline="0" fieldPosition="0">
        <references count="4">
          <reference field="0" count="1" selected="0">
            <x v="55"/>
          </reference>
          <reference field="1" count="1" selected="0">
            <x v="18"/>
          </reference>
          <reference field="2" count="1" selected="0">
            <x v="54"/>
          </reference>
          <reference field="3" count="1">
            <x v="26"/>
          </reference>
        </references>
      </pivotArea>
    </format>
    <format dxfId="82">
      <pivotArea dataOnly="0" labelOnly="1" outline="0" fieldPosition="0">
        <references count="4">
          <reference field="0" count="1" selected="0">
            <x v="57"/>
          </reference>
          <reference field="1" count="1" selected="0">
            <x v="22"/>
          </reference>
          <reference field="2" count="1" selected="0">
            <x v="56"/>
          </reference>
          <reference field="3" count="1">
            <x v="9"/>
          </reference>
        </references>
      </pivotArea>
    </format>
    <format dxfId="81">
      <pivotArea dataOnly="0" labelOnly="1" outline="0" fieldPosition="0">
        <references count="4">
          <reference field="0" count="1" selected="0">
            <x v="58"/>
          </reference>
          <reference field="1" count="1" selected="0">
            <x v="23"/>
          </reference>
          <reference field="2" count="1" selected="0">
            <x v="57"/>
          </reference>
          <reference field="3" count="1">
            <x v="10"/>
          </reference>
        </references>
      </pivotArea>
    </format>
    <format dxfId="80">
      <pivotArea dataOnly="0" labelOnly="1" outline="0" fieldPosition="0">
        <references count="4">
          <reference field="0" count="1" selected="0">
            <x v="59"/>
          </reference>
          <reference field="1" count="1" selected="0">
            <x v="34"/>
          </reference>
          <reference field="2" count="1" selected="0">
            <x v="58"/>
          </reference>
          <reference field="3" count="1">
            <x v="23"/>
          </reference>
        </references>
      </pivotArea>
    </format>
    <format dxfId="79">
      <pivotArea dataOnly="0" outline="0" fieldPosition="0">
        <references count="1">
          <reference field="0" count="1">
            <x v="60"/>
          </reference>
        </references>
      </pivotArea>
    </format>
    <format dxfId="78">
      <pivotArea dataOnly="0" outline="0" fieldPosition="0">
        <references count="1">
          <reference field="0" count="1">
            <x v="60"/>
          </reference>
        </references>
      </pivotArea>
    </format>
    <format dxfId="77">
      <pivotArea type="all" dataOnly="0" outline="0" fieldPosition="0"/>
    </format>
    <format dxfId="76">
      <pivotArea type="all" dataOnly="0" outline="0" fieldPosition="0"/>
    </format>
    <format dxfId="75">
      <pivotArea type="all" dataOnly="0" outline="0" fieldPosition="0"/>
    </format>
    <format dxfId="74">
      <pivotArea dataOnly="0" labelOnly="1" outline="0" fieldPosition="0">
        <references count="1">
          <reference field="0" count="3">
            <x v="61"/>
            <x v="62"/>
            <x v="63"/>
          </reference>
        </references>
      </pivotArea>
    </format>
    <format dxfId="73">
      <pivotArea dataOnly="0" labelOnly="1" outline="0" fieldPosition="0">
        <references count="1">
          <reference field="0" count="3">
            <x v="0"/>
            <x v="1"/>
            <x v="2"/>
          </reference>
        </references>
      </pivotArea>
    </format>
    <format dxfId="72">
      <pivotArea dataOnly="0" labelOnly="1" outline="0" fieldPosition="0">
        <references count="2">
          <reference field="0" count="1" selected="0">
            <x v="0"/>
          </reference>
          <reference field="2" count="1">
            <x v="0"/>
          </reference>
        </references>
      </pivotArea>
    </format>
    <format dxfId="71">
      <pivotArea dataOnly="0" labelOnly="1" outline="0" fieldPosition="0">
        <references count="2">
          <reference field="0" count="1" selected="0">
            <x v="1"/>
          </reference>
          <reference field="2" count="1">
            <x v="1"/>
          </reference>
        </references>
      </pivotArea>
    </format>
    <format dxfId="70">
      <pivotArea dataOnly="0" labelOnly="1" outline="0" fieldPosition="0">
        <references count="2">
          <reference field="0" count="1" selected="0">
            <x v="2"/>
          </reference>
          <reference field="2" count="1">
            <x v="2"/>
          </reference>
        </references>
      </pivotArea>
    </format>
    <format dxfId="69">
      <pivotArea dataOnly="0" labelOnly="1" outline="0" fieldPosition="0">
        <references count="3">
          <reference field="0" count="1" selected="0">
            <x v="1"/>
          </reference>
          <reference field="1" count="1">
            <x v="5"/>
          </reference>
          <reference field="2" count="1" selected="0">
            <x v="1"/>
          </reference>
        </references>
      </pivotArea>
    </format>
    <format dxfId="68">
      <pivotArea dataOnly="0" labelOnly="1" outline="0" fieldPosition="0">
        <references count="3">
          <reference field="0" count="1" selected="0">
            <x v="2"/>
          </reference>
          <reference field="1" count="1">
            <x v="6"/>
          </reference>
          <reference field="2" count="1" selected="0">
            <x v="2"/>
          </reference>
        </references>
      </pivotArea>
    </format>
    <format dxfId="67">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66">
      <pivotArea dataOnly="0" labelOnly="1" outline="0" fieldPosition="0">
        <references count="4">
          <reference field="0" count="1" selected="0">
            <x v="2"/>
          </reference>
          <reference field="1" count="1" selected="0">
            <x v="6"/>
          </reference>
          <reference field="2" count="1" selected="0">
            <x v="2"/>
          </reference>
          <reference field="3" count="1">
            <x v="4"/>
          </reference>
        </references>
      </pivotArea>
    </format>
    <format dxfId="65">
      <pivotArea dataOnly="0" labelOnly="1" outline="0" fieldPosition="0">
        <references count="1">
          <reference field="1" count="0"/>
        </references>
      </pivotArea>
    </format>
    <format dxfId="64">
      <pivotArea dataOnly="0" labelOnly="1" outline="0" fieldPosition="0">
        <references count="1">
          <reference field="0" count="3">
            <x v="74"/>
            <x v="75"/>
            <x v="76"/>
          </reference>
        </references>
      </pivotArea>
    </format>
    <format dxfId="63">
      <pivotArea dataOnly="0" labelOnly="1" outline="0" fieldPosition="0">
        <references count="1">
          <reference field="0" count="10">
            <x v="64"/>
            <x v="65"/>
            <x v="66"/>
            <x v="67"/>
            <x v="68"/>
            <x v="69"/>
            <x v="70"/>
            <x v="71"/>
            <x v="72"/>
            <x v="76"/>
          </reference>
        </references>
      </pivotArea>
    </format>
    <format dxfId="62">
      <pivotArea dataOnly="0" labelOnly="1" outline="0" fieldPosition="0">
        <references count="1">
          <reference field="0" count="10">
            <x v="64"/>
            <x v="65"/>
            <x v="66"/>
            <x v="67"/>
            <x v="68"/>
            <x v="69"/>
            <x v="70"/>
            <x v="71"/>
            <x v="72"/>
            <x v="76"/>
          </reference>
        </references>
      </pivotArea>
    </format>
    <format dxfId="61">
      <pivotArea dataOnly="0" labelOnly="1" outline="0" fieldPosition="0">
        <references count="1">
          <reference field="0" count="1">
            <x v="73"/>
          </reference>
        </references>
      </pivotArea>
    </format>
    <format dxfId="60">
      <pivotArea dataOnly="0" labelOnly="1" outline="0" fieldPosition="0">
        <references count="1">
          <reference field="0" count="1">
            <x v="4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Tên_hàng" sourceName="Tên hàng">
  <pivotTables>
    <pivotTable tabId="8" name="PivotTable5"/>
  </pivotTables>
  <data>
    <tabular pivotCacheId="7" customListSort="0" showMissing="0" crossFilter="showItemsWithNoData">
      <items count="76">
        <i x="50" s="1"/>
        <i x="1" s="1"/>
        <i x="0" s="1"/>
        <i x="2" s="1"/>
        <i x="66" s="1"/>
        <i x="74" s="1"/>
        <i x="51" s="1"/>
        <i x="55" s="1"/>
        <i x="69" s="1"/>
        <i x="54" s="1"/>
        <i x="36" s="1"/>
        <i x="37" s="1"/>
        <i x="4" s="1"/>
        <i x="67" s="1"/>
        <i x="5" s="1"/>
        <i x="68" s="1"/>
        <i x="33" s="1"/>
        <i x="31" s="1"/>
        <i x="32" s="1"/>
        <i x="75" s="1"/>
        <i x="26" s="1"/>
        <i x="27" s="1"/>
        <i x="28" s="1"/>
        <i x="29" s="1"/>
        <i x="30" s="1"/>
        <i x="53" s="1"/>
        <i x="7" s="1"/>
        <i x="49" s="1"/>
        <i x="20" s="1"/>
        <i x="57" s="1"/>
        <i x="62" s="1"/>
        <i x="45" s="1"/>
        <i x="46" s="1"/>
        <i x="47" s="1"/>
        <i x="59" s="1"/>
        <i x="60" s="1"/>
        <i x="11" s="1"/>
        <i x="58" s="1"/>
        <i x="73" s="1"/>
        <i x="10" s="1"/>
        <i x="43" s="1"/>
        <i x="44" s="1"/>
        <i x="56" s="1"/>
        <i x="8" s="1"/>
        <i x="65" s="1"/>
        <i x="42" s="1"/>
        <i x="52" s="1"/>
        <i x="18" s="1"/>
        <i x="3" s="1"/>
        <i x="19" s="1"/>
        <i x="61" s="1"/>
        <i x="9" s="1"/>
        <i x="64" s="1"/>
        <i x="6" s="1"/>
        <i x="70" s="1"/>
        <i x="34" s="1"/>
        <i x="35" s="1"/>
        <i x="12" s="1"/>
        <i x="63" s="1"/>
        <i x="13" s="1"/>
        <i x="14" s="1"/>
        <i x="15" s="1"/>
        <i x="16" s="1"/>
        <i x="17" s="1"/>
        <i x="38" s="1"/>
        <i x="39" s="1"/>
        <i x="21" s="1"/>
        <i x="22" s="1"/>
        <i x="71" s="1"/>
        <i x="23" s="1"/>
        <i x="72" s="1"/>
        <i x="40" s="1"/>
        <i x="48" s="1"/>
        <i x="41" s="1"/>
        <i x="25" s="1"/>
        <i x="24"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Tên hàng" cache="Slicer_Tên_hàng" caption="Tên hàng" columnCount="4" style="Slicer Style 1 2" rowHeight="246888"/>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0.bin"/><Relationship Id="rId1" Type="http://schemas.openxmlformats.org/officeDocument/2006/relationships/pivotTable" Target="../pivotTables/pivotTable1.xml"/><Relationship Id="rId6" Type="http://schemas.microsoft.com/office/2007/relationships/slicer" Target="../slicers/slicer1.xml"/><Relationship Id="rId5" Type="http://schemas.openxmlformats.org/officeDocument/2006/relationships/ctrlProp" Target="../ctrlProps/ctrlProp1.xml"/><Relationship Id="rId4" Type="http://schemas.openxmlformats.org/officeDocument/2006/relationships/vmlDrawing" Target="../drawings/vmlDrawing4.vm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2.xml"/><Relationship Id="rId1" Type="http://schemas.openxmlformats.org/officeDocument/2006/relationships/printerSettings" Target="../printerSettings/printerSettings12.bin"/><Relationship Id="rId4" Type="http://schemas.openxmlformats.org/officeDocument/2006/relationships/ctrlProp" Target="../ctrlProps/ctrlProp2.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3.xml"/><Relationship Id="rId1" Type="http://schemas.openxmlformats.org/officeDocument/2006/relationships/printerSettings" Target="../printerSettings/printerSettings13.bin"/><Relationship Id="rId4" Type="http://schemas.openxmlformats.org/officeDocument/2006/relationships/ctrlProp" Target="../ctrlProps/ctrlProp3.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4.xml"/><Relationship Id="rId1" Type="http://schemas.openxmlformats.org/officeDocument/2006/relationships/printerSettings" Target="../printerSettings/printerSettings14.bin"/><Relationship Id="rId4" Type="http://schemas.openxmlformats.org/officeDocument/2006/relationships/ctrlProp" Target="../ctrlProps/ctrlProp4.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5.xml"/><Relationship Id="rId1" Type="http://schemas.openxmlformats.org/officeDocument/2006/relationships/printerSettings" Target="../printerSettings/printerSettings15.bin"/><Relationship Id="rId4" Type="http://schemas.openxmlformats.org/officeDocument/2006/relationships/ctrlProp" Target="../ctrlProps/ctrlProp5.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6.xml"/><Relationship Id="rId1" Type="http://schemas.openxmlformats.org/officeDocument/2006/relationships/printerSettings" Target="../printerSettings/printerSettings16.bin"/><Relationship Id="rId4" Type="http://schemas.openxmlformats.org/officeDocument/2006/relationships/ctrlProp" Target="../ctrlProps/ctrlProp6.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7.xml"/><Relationship Id="rId1" Type="http://schemas.openxmlformats.org/officeDocument/2006/relationships/printerSettings" Target="../printerSettings/printerSettings17.bin"/><Relationship Id="rId4" Type="http://schemas.openxmlformats.org/officeDocument/2006/relationships/ctrlProp" Target="../ctrlProps/ctrlProp7.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trlProp" Target="../ctrlProps/ctrlProp8.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9.xml"/><Relationship Id="rId1" Type="http://schemas.openxmlformats.org/officeDocument/2006/relationships/printerSettings" Target="../printerSettings/printerSettings19.bin"/><Relationship Id="rId4" Type="http://schemas.openxmlformats.org/officeDocument/2006/relationships/ctrlProp" Target="../ctrlProps/ctrlProp9.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0.xml"/><Relationship Id="rId1" Type="http://schemas.openxmlformats.org/officeDocument/2006/relationships/printerSettings" Target="../printerSettings/printerSettings20.bin"/><Relationship Id="rId4" Type="http://schemas.openxmlformats.org/officeDocument/2006/relationships/ctrlProp" Target="../ctrlProps/ctrlProp10.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1.xml"/><Relationship Id="rId1" Type="http://schemas.openxmlformats.org/officeDocument/2006/relationships/printerSettings" Target="../printerSettings/printerSettings21.bin"/><Relationship Id="rId4" Type="http://schemas.openxmlformats.org/officeDocument/2006/relationships/ctrlProp" Target="../ctrlProps/ctrlProp11.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2.xml"/><Relationship Id="rId1" Type="http://schemas.openxmlformats.org/officeDocument/2006/relationships/printerSettings" Target="../printerSettings/printerSettings22.bin"/><Relationship Id="rId4" Type="http://schemas.openxmlformats.org/officeDocument/2006/relationships/ctrlProp" Target="../ctrlProps/ctrlProp12.xml"/></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3.xml"/><Relationship Id="rId1" Type="http://schemas.openxmlformats.org/officeDocument/2006/relationships/printerSettings" Target="../printerSettings/printerSettings23.bin"/><Relationship Id="rId4" Type="http://schemas.openxmlformats.org/officeDocument/2006/relationships/ctrlProp" Target="../ctrlProps/ctrlProp13.xml"/></Relationships>
</file>

<file path=xl/worksheets/_rels/sheet24.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4.xml"/><Relationship Id="rId1" Type="http://schemas.openxmlformats.org/officeDocument/2006/relationships/printerSettings" Target="../printerSettings/printerSettings24.bin"/><Relationship Id="rId4" Type="http://schemas.openxmlformats.org/officeDocument/2006/relationships/ctrlProp" Target="../ctrlProps/ctrlProp14.xml"/></Relationships>
</file>

<file path=xl/worksheets/_rels/sheet25.xml.rels><?xml version="1.0" encoding="UTF-8" standalone="yes"?>
<Relationships xmlns="http://schemas.openxmlformats.org/package/2006/relationships"><Relationship Id="rId3" Type="http://schemas.openxmlformats.org/officeDocument/2006/relationships/vmlDrawing" Target="../drawings/vmlDrawing18.vml"/><Relationship Id="rId2" Type="http://schemas.openxmlformats.org/officeDocument/2006/relationships/drawing" Target="../drawings/drawing15.xml"/><Relationship Id="rId1" Type="http://schemas.openxmlformats.org/officeDocument/2006/relationships/printerSettings" Target="../printerSettings/printerSettings25.bin"/><Relationship Id="rId4" Type="http://schemas.openxmlformats.org/officeDocument/2006/relationships/ctrlProp" Target="../ctrlProps/ctrlProp15.xml"/></Relationships>
</file>

<file path=xl/worksheets/_rels/sheet26.xml.rels><?xml version="1.0" encoding="UTF-8" standalone="yes"?>
<Relationships xmlns="http://schemas.openxmlformats.org/package/2006/relationships"><Relationship Id="rId3" Type="http://schemas.openxmlformats.org/officeDocument/2006/relationships/vmlDrawing" Target="../drawings/vmlDrawing19.vml"/><Relationship Id="rId2" Type="http://schemas.openxmlformats.org/officeDocument/2006/relationships/drawing" Target="../drawings/drawing16.xml"/><Relationship Id="rId1" Type="http://schemas.openxmlformats.org/officeDocument/2006/relationships/printerSettings" Target="../printerSettings/printerSettings26.bin"/><Relationship Id="rId4" Type="http://schemas.openxmlformats.org/officeDocument/2006/relationships/ctrlProp" Target="../ctrlProps/ctrlProp16.xml"/></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M20"/>
  <sheetViews>
    <sheetView zoomScaleNormal="100" workbookViewId="0">
      <selection activeCell="K1" sqref="K1"/>
    </sheetView>
  </sheetViews>
  <sheetFormatPr defaultRowHeight="15" x14ac:dyDescent="0.25"/>
  <cols>
    <col min="1" max="1" width="9.140625" style="131"/>
    <col min="2" max="2" width="25.42578125" style="14" customWidth="1"/>
    <col min="3" max="4" width="12.5703125" style="14" customWidth="1"/>
    <col min="5" max="6" width="11.7109375" style="14" customWidth="1"/>
    <col min="7" max="7" width="10.7109375" style="14" customWidth="1"/>
    <col min="8" max="8" width="16.5703125" style="14" customWidth="1"/>
    <col min="9" max="9" width="9.140625" style="14"/>
    <col min="10" max="10" width="9.7109375" style="14" bestFit="1" customWidth="1"/>
    <col min="11" max="11" width="9.140625" style="131"/>
    <col min="12" max="16384" width="9.140625" style="14"/>
  </cols>
  <sheetData>
    <row r="1" spans="1:13" s="51" customFormat="1" ht="30" customHeight="1" x14ac:dyDescent="0.25">
      <c r="A1" s="124" t="s">
        <v>0</v>
      </c>
      <c r="B1" s="124" t="s">
        <v>17</v>
      </c>
      <c r="C1" s="124" t="s">
        <v>167</v>
      </c>
      <c r="D1" s="124" t="s">
        <v>16</v>
      </c>
      <c r="E1" s="124" t="s">
        <v>18</v>
      </c>
      <c r="F1" s="124" t="s">
        <v>19</v>
      </c>
      <c r="G1" s="124" t="s">
        <v>168</v>
      </c>
      <c r="H1" s="134" t="s">
        <v>169</v>
      </c>
      <c r="J1" s="51" t="s">
        <v>278</v>
      </c>
      <c r="K1" s="57">
        <v>28374</v>
      </c>
    </row>
    <row r="2" spans="1:13" s="123" customFormat="1" ht="24" customHeight="1" x14ac:dyDescent="0.25">
      <c r="A2" s="129"/>
      <c r="B2" s="125"/>
      <c r="C2" s="132">
        <v>8.6000000000000014</v>
      </c>
      <c r="D2" s="132">
        <v>36</v>
      </c>
      <c r="E2" s="132"/>
      <c r="F2" s="126">
        <v>1509.4</v>
      </c>
      <c r="G2" s="126">
        <v>0</v>
      </c>
      <c r="H2" s="126">
        <v>1509.4</v>
      </c>
      <c r="J2" s="51" t="s">
        <v>280</v>
      </c>
      <c r="K2" s="131"/>
      <c r="L2" s="15"/>
      <c r="M2" s="51"/>
    </row>
    <row r="3" spans="1:13" x14ac:dyDescent="0.25">
      <c r="A3" s="130">
        <v>1</v>
      </c>
      <c r="B3" s="127" t="s">
        <v>52</v>
      </c>
      <c r="C3" s="128">
        <v>0.5</v>
      </c>
      <c r="D3" s="128">
        <v>2</v>
      </c>
      <c r="E3" s="128">
        <v>45</v>
      </c>
      <c r="F3" s="133">
        <v>90</v>
      </c>
      <c r="G3" s="41">
        <v>0</v>
      </c>
      <c r="H3" s="133">
        <v>90</v>
      </c>
      <c r="J3" s="51" t="s">
        <v>281</v>
      </c>
      <c r="L3" s="131"/>
      <c r="M3" s="51"/>
    </row>
    <row r="4" spans="1:13" x14ac:dyDescent="0.25">
      <c r="A4" s="130">
        <v>2</v>
      </c>
      <c r="B4" s="127" t="s">
        <v>51</v>
      </c>
      <c r="C4" s="128">
        <v>0.5</v>
      </c>
      <c r="D4" s="128">
        <v>2</v>
      </c>
      <c r="E4" s="128">
        <v>54</v>
      </c>
      <c r="F4" s="133">
        <v>108</v>
      </c>
      <c r="G4" s="41">
        <v>0</v>
      </c>
      <c r="H4" s="133">
        <v>108</v>
      </c>
      <c r="J4" s="51" t="s">
        <v>282</v>
      </c>
      <c r="L4" s="131"/>
      <c r="M4" s="51"/>
    </row>
    <row r="5" spans="1:13" x14ac:dyDescent="0.25">
      <c r="A5" s="130">
        <v>3</v>
      </c>
      <c r="B5" s="127" t="s">
        <v>36</v>
      </c>
      <c r="C5" s="128">
        <v>0.5</v>
      </c>
      <c r="D5" s="128">
        <v>2</v>
      </c>
      <c r="E5" s="128">
        <v>55.5</v>
      </c>
      <c r="F5" s="133">
        <v>111</v>
      </c>
      <c r="G5" s="41">
        <v>0</v>
      </c>
      <c r="H5" s="133">
        <v>111</v>
      </c>
      <c r="J5" s="51" t="s">
        <v>283</v>
      </c>
      <c r="L5" s="131"/>
      <c r="M5" s="51"/>
    </row>
    <row r="6" spans="1:13" x14ac:dyDescent="0.25">
      <c r="A6" s="130">
        <v>4</v>
      </c>
      <c r="B6" s="127" t="s">
        <v>37</v>
      </c>
      <c r="C6" s="128">
        <v>0.5</v>
      </c>
      <c r="D6" s="128">
        <v>2</v>
      </c>
      <c r="E6" s="128">
        <v>55.5</v>
      </c>
      <c r="F6" s="133">
        <v>111</v>
      </c>
      <c r="G6" s="41">
        <v>0</v>
      </c>
      <c r="H6" s="133">
        <v>111</v>
      </c>
      <c r="J6" s="51" t="s">
        <v>284</v>
      </c>
      <c r="L6" s="131"/>
      <c r="M6" s="51"/>
    </row>
    <row r="7" spans="1:13" x14ac:dyDescent="0.25">
      <c r="A7" s="130">
        <v>5</v>
      </c>
      <c r="B7" s="127" t="s">
        <v>50</v>
      </c>
      <c r="C7" s="128">
        <v>1</v>
      </c>
      <c r="D7" s="128">
        <v>2</v>
      </c>
      <c r="E7" s="128">
        <v>102</v>
      </c>
      <c r="F7" s="133">
        <v>204</v>
      </c>
      <c r="G7" s="41">
        <v>0</v>
      </c>
      <c r="H7" s="133">
        <v>204</v>
      </c>
      <c r="J7" s="51" t="s">
        <v>285</v>
      </c>
      <c r="L7" s="131"/>
      <c r="M7" s="51"/>
    </row>
    <row r="8" spans="1:13" x14ac:dyDescent="0.25">
      <c r="A8" s="130">
        <v>6</v>
      </c>
      <c r="B8" s="127" t="s">
        <v>38</v>
      </c>
      <c r="C8" s="128">
        <v>0.5</v>
      </c>
      <c r="D8" s="128">
        <v>2</v>
      </c>
      <c r="E8" s="128">
        <v>26.5</v>
      </c>
      <c r="F8" s="133">
        <v>53</v>
      </c>
      <c r="G8" s="41">
        <v>0</v>
      </c>
      <c r="H8" s="133">
        <v>53</v>
      </c>
      <c r="J8" s="51" t="s">
        <v>286</v>
      </c>
      <c r="L8" s="131"/>
      <c r="M8" s="51"/>
    </row>
    <row r="9" spans="1:13" x14ac:dyDescent="0.25">
      <c r="A9" s="130">
        <v>7</v>
      </c>
      <c r="B9" s="127" t="s">
        <v>39</v>
      </c>
      <c r="C9" s="128">
        <v>0.2</v>
      </c>
      <c r="D9" s="128">
        <v>2</v>
      </c>
      <c r="E9" s="128">
        <v>11.2</v>
      </c>
      <c r="F9" s="133">
        <v>22.4</v>
      </c>
      <c r="G9" s="41">
        <v>0</v>
      </c>
      <c r="H9" s="133">
        <v>22.4</v>
      </c>
      <c r="J9" s="51" t="s">
        <v>287</v>
      </c>
      <c r="L9" s="131"/>
      <c r="M9" s="51"/>
    </row>
    <row r="10" spans="1:13" x14ac:dyDescent="0.25">
      <c r="A10" s="130">
        <v>8</v>
      </c>
      <c r="B10" s="127" t="s">
        <v>40</v>
      </c>
      <c r="C10" s="128">
        <v>0.5</v>
      </c>
      <c r="D10" s="128">
        <v>2</v>
      </c>
      <c r="E10" s="128">
        <v>28.5</v>
      </c>
      <c r="F10" s="133">
        <v>57</v>
      </c>
      <c r="G10" s="41">
        <v>0</v>
      </c>
      <c r="H10" s="133">
        <v>57</v>
      </c>
      <c r="J10" s="51" t="s">
        <v>288</v>
      </c>
      <c r="L10" s="131"/>
      <c r="M10" s="51"/>
    </row>
    <row r="11" spans="1:13" x14ac:dyDescent="0.25">
      <c r="A11" s="130">
        <v>9</v>
      </c>
      <c r="B11" s="127" t="s">
        <v>41</v>
      </c>
      <c r="C11" s="128">
        <v>0.2</v>
      </c>
      <c r="D11" s="128">
        <v>2</v>
      </c>
      <c r="E11" s="128">
        <v>12</v>
      </c>
      <c r="F11" s="133">
        <v>24</v>
      </c>
      <c r="G11" s="41">
        <v>0</v>
      </c>
      <c r="H11" s="133">
        <v>24</v>
      </c>
      <c r="J11" s="51" t="s">
        <v>289</v>
      </c>
      <c r="L11" s="131"/>
      <c r="M11" s="51"/>
    </row>
    <row r="12" spans="1:13" x14ac:dyDescent="0.25">
      <c r="A12" s="130">
        <v>10</v>
      </c>
      <c r="B12" s="127" t="s">
        <v>42</v>
      </c>
      <c r="C12" s="128">
        <v>0.5</v>
      </c>
      <c r="D12" s="128">
        <v>2</v>
      </c>
      <c r="E12" s="128">
        <v>28.5</v>
      </c>
      <c r="F12" s="133">
        <v>57</v>
      </c>
      <c r="G12" s="41">
        <v>0</v>
      </c>
      <c r="H12" s="133">
        <v>57</v>
      </c>
      <c r="J12" s="51" t="s">
        <v>290</v>
      </c>
      <c r="L12" s="131"/>
      <c r="M12" s="51"/>
    </row>
    <row r="13" spans="1:13" x14ac:dyDescent="0.25">
      <c r="A13" s="130">
        <v>11</v>
      </c>
      <c r="B13" s="127" t="s">
        <v>43</v>
      </c>
      <c r="C13" s="128">
        <v>0.2</v>
      </c>
      <c r="D13" s="128">
        <v>2</v>
      </c>
      <c r="E13" s="128">
        <v>12</v>
      </c>
      <c r="F13" s="133">
        <v>24</v>
      </c>
      <c r="G13" s="41">
        <v>0</v>
      </c>
      <c r="H13" s="133">
        <v>24</v>
      </c>
      <c r="L13" s="131"/>
      <c r="M13" s="51"/>
    </row>
    <row r="14" spans="1:13" x14ac:dyDescent="0.25">
      <c r="A14" s="130">
        <v>12</v>
      </c>
      <c r="B14" s="127" t="s">
        <v>67</v>
      </c>
      <c r="C14" s="128">
        <v>0.5</v>
      </c>
      <c r="D14" s="128">
        <v>2</v>
      </c>
      <c r="E14" s="128">
        <v>26.5</v>
      </c>
      <c r="F14" s="133">
        <v>53</v>
      </c>
      <c r="G14" s="41">
        <v>0</v>
      </c>
      <c r="H14" s="133">
        <v>53</v>
      </c>
      <c r="L14" s="131"/>
      <c r="M14" s="51"/>
    </row>
    <row r="15" spans="1:13" x14ac:dyDescent="0.25">
      <c r="A15" s="130">
        <v>13</v>
      </c>
      <c r="B15" s="127" t="s">
        <v>44</v>
      </c>
      <c r="C15" s="128">
        <v>0.5</v>
      </c>
      <c r="D15" s="128">
        <v>2</v>
      </c>
      <c r="E15" s="128">
        <v>36.5</v>
      </c>
      <c r="F15" s="133">
        <v>73</v>
      </c>
      <c r="G15" s="41">
        <v>0</v>
      </c>
      <c r="H15" s="133">
        <v>73</v>
      </c>
      <c r="L15" s="131"/>
      <c r="M15" s="51"/>
    </row>
    <row r="16" spans="1:13" x14ac:dyDescent="0.25">
      <c r="A16" s="130">
        <v>14</v>
      </c>
      <c r="B16" s="127" t="s">
        <v>48</v>
      </c>
      <c r="C16" s="128">
        <v>0.5</v>
      </c>
      <c r="D16" s="128">
        <v>2</v>
      </c>
      <c r="E16" s="128">
        <v>49</v>
      </c>
      <c r="F16" s="133">
        <v>98</v>
      </c>
      <c r="G16" s="41">
        <v>0</v>
      </c>
      <c r="H16" s="133">
        <v>98</v>
      </c>
      <c r="L16" s="131"/>
      <c r="M16" s="51"/>
    </row>
    <row r="17" spans="1:13" x14ac:dyDescent="0.25">
      <c r="A17" s="130">
        <v>15</v>
      </c>
      <c r="B17" s="127" t="s">
        <v>49</v>
      </c>
      <c r="C17" s="128">
        <v>0.5</v>
      </c>
      <c r="D17" s="128">
        <v>2</v>
      </c>
      <c r="E17" s="128">
        <v>43</v>
      </c>
      <c r="F17" s="133">
        <v>86</v>
      </c>
      <c r="G17" s="41">
        <v>0</v>
      </c>
      <c r="H17" s="133">
        <v>86</v>
      </c>
      <c r="L17" s="131"/>
      <c r="M17" s="51"/>
    </row>
    <row r="18" spans="1:13" x14ac:dyDescent="0.25">
      <c r="A18" s="130">
        <v>16</v>
      </c>
      <c r="B18" s="127" t="s">
        <v>45</v>
      </c>
      <c r="C18" s="128">
        <v>0.5</v>
      </c>
      <c r="D18" s="128">
        <v>2</v>
      </c>
      <c r="E18" s="128">
        <v>54</v>
      </c>
      <c r="F18" s="133">
        <v>108</v>
      </c>
      <c r="G18" s="41">
        <v>0</v>
      </c>
      <c r="H18" s="133">
        <v>108</v>
      </c>
      <c r="L18" s="131"/>
      <c r="M18" s="51"/>
    </row>
    <row r="19" spans="1:13" x14ac:dyDescent="0.25">
      <c r="A19" s="130">
        <v>17</v>
      </c>
      <c r="B19" s="127" t="s">
        <v>46</v>
      </c>
      <c r="C19" s="128">
        <v>0.5</v>
      </c>
      <c r="D19" s="128">
        <v>2</v>
      </c>
      <c r="E19" s="128">
        <v>49</v>
      </c>
      <c r="F19" s="133">
        <v>98</v>
      </c>
      <c r="G19" s="41">
        <v>0</v>
      </c>
      <c r="H19" s="133">
        <v>98</v>
      </c>
      <c r="L19" s="131"/>
      <c r="M19" s="51"/>
    </row>
    <row r="20" spans="1:13" x14ac:dyDescent="0.25">
      <c r="A20" s="130">
        <v>18</v>
      </c>
      <c r="B20" s="127" t="s">
        <v>47</v>
      </c>
      <c r="C20" s="128">
        <v>0.5</v>
      </c>
      <c r="D20" s="128">
        <v>2</v>
      </c>
      <c r="E20" s="128">
        <v>66</v>
      </c>
      <c r="F20" s="133">
        <v>132</v>
      </c>
      <c r="G20" s="41">
        <v>0</v>
      </c>
      <c r="H20" s="133">
        <v>132</v>
      </c>
      <c r="L20" s="131"/>
      <c r="M20" s="51"/>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rgb="FF00B050"/>
  </sheetPr>
  <dimension ref="A1:AX8"/>
  <sheetViews>
    <sheetView topLeftCell="A2" zoomScale="85" zoomScaleNormal="85" workbookViewId="0">
      <pane xSplit="17" ySplit="3" topLeftCell="Y5" activePane="bottomRight" state="frozen"/>
      <selection activeCell="A2" sqref="A2"/>
      <selection pane="topRight" activeCell="R2" sqref="R2"/>
      <selection pane="bottomLeft" activeCell="A5" sqref="A5"/>
      <selection pane="bottomRight" activeCell="AC5" sqref="AC5:AC8"/>
    </sheetView>
  </sheetViews>
  <sheetFormatPr defaultRowHeight="15" x14ac:dyDescent="0.25"/>
  <cols>
    <col min="1" max="1" width="16.28515625" style="84" customWidth="1"/>
    <col min="2" max="2" width="9.140625" style="84"/>
    <col min="3" max="3" width="38.7109375" style="84" customWidth="1"/>
    <col min="4" max="4" width="9" style="84" customWidth="1"/>
    <col min="5" max="5" width="12.140625" style="84" bestFit="1" customWidth="1"/>
    <col min="6" max="7" width="10.85546875" style="84" bestFit="1" customWidth="1"/>
    <col min="8" max="8" width="12.85546875" style="84" hidden="1" customWidth="1"/>
    <col min="9" max="9" width="14.85546875" style="84" hidden="1" customWidth="1"/>
    <col min="10" max="10" width="12.7109375" style="84" customWidth="1"/>
    <col min="11" max="11" width="14.85546875" style="84" hidden="1" customWidth="1"/>
    <col min="12" max="12" width="12" style="84" customWidth="1"/>
    <col min="13" max="14" width="16.28515625" style="84" hidden="1" customWidth="1"/>
    <col min="15" max="15" width="12.7109375" style="84" customWidth="1"/>
    <col min="16" max="16" width="13.28515625" style="84" customWidth="1"/>
    <col min="17" max="17" width="10.85546875" style="84" customWidth="1"/>
    <col min="18" max="48" width="5.28515625" style="84" customWidth="1"/>
    <col min="49" max="49" width="9.140625" style="84"/>
    <col min="50" max="50" width="12" style="84" bestFit="1" customWidth="1"/>
    <col min="51" max="16384" width="9.140625" style="84"/>
  </cols>
  <sheetData>
    <row r="1" spans="1:50" hidden="1" x14ac:dyDescent="0.25">
      <c r="B1" s="223" t="s">
        <v>59</v>
      </c>
      <c r="C1" s="223"/>
      <c r="D1" s="223"/>
      <c r="E1" s="223"/>
      <c r="F1" s="223"/>
      <c r="G1" s="223"/>
      <c r="H1" s="223"/>
      <c r="I1" s="223"/>
      <c r="J1" s="223"/>
      <c r="K1" s="223"/>
      <c r="L1" s="223"/>
      <c r="M1" s="223"/>
      <c r="N1" s="163"/>
    </row>
    <row r="2" spans="1:50" ht="34.5" customHeight="1" x14ac:dyDescent="0.25">
      <c r="A2" s="1">
        <f>221+120+60+130-(165+219)+60+110+80+130-140+120+150+130+60</f>
        <v>847</v>
      </c>
      <c r="B2" s="186">
        <v>60</v>
      </c>
      <c r="H2" s="188">
        <f>H8</f>
        <v>5850</v>
      </c>
      <c r="K2" s="13">
        <f>SUMPRODUCT((E5:E7)*(F5:F7))</f>
        <v>373.75</v>
      </c>
      <c r="L2" s="13">
        <f>M4-K4</f>
        <v>3123</v>
      </c>
      <c r="M2" s="8">
        <f>M4/K4-1</f>
        <v>0.12867340317048304</v>
      </c>
      <c r="N2" s="8"/>
      <c r="P2" s="121"/>
      <c r="Q2" s="195"/>
      <c r="AP2" s="121"/>
      <c r="AX2" s="198"/>
    </row>
    <row r="3" spans="1:50" ht="31.5" customHeight="1" x14ac:dyDescent="0.25">
      <c r="A3" s="75" t="s">
        <v>127</v>
      </c>
      <c r="B3" s="3" t="s">
        <v>0</v>
      </c>
      <c r="C3" s="3" t="s">
        <v>17</v>
      </c>
      <c r="D3" s="20" t="s">
        <v>62</v>
      </c>
      <c r="E3" s="167" t="s">
        <v>157</v>
      </c>
      <c r="F3" s="136" t="s">
        <v>156</v>
      </c>
      <c r="G3" s="4" t="s">
        <v>18</v>
      </c>
      <c r="H3" s="4" t="s">
        <v>19</v>
      </c>
      <c r="I3" s="9" t="s">
        <v>20</v>
      </c>
      <c r="J3" s="9" t="s">
        <v>21</v>
      </c>
      <c r="K3" s="9" t="s">
        <v>24</v>
      </c>
      <c r="L3" s="10" t="s">
        <v>22</v>
      </c>
      <c r="M3" s="11" t="s">
        <v>23</v>
      </c>
      <c r="N3" s="11" t="s">
        <v>122</v>
      </c>
      <c r="O3" s="35" t="s">
        <v>60</v>
      </c>
      <c r="P3" s="82" t="s">
        <v>146</v>
      </c>
      <c r="Q3" s="82" t="s">
        <v>278</v>
      </c>
      <c r="R3" s="36" t="s">
        <v>189</v>
      </c>
      <c r="S3" s="38" t="s">
        <v>191</v>
      </c>
      <c r="T3" s="36" t="s">
        <v>192</v>
      </c>
      <c r="U3" s="38" t="s">
        <v>193</v>
      </c>
      <c r="V3" s="36" t="s">
        <v>194</v>
      </c>
      <c r="W3" s="38" t="s">
        <v>195</v>
      </c>
      <c r="X3" s="36" t="s">
        <v>196</v>
      </c>
      <c r="Y3" s="38" t="s">
        <v>197</v>
      </c>
      <c r="Z3" s="36" t="s">
        <v>198</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row>
    <row r="4" spans="1:50" s="63" customFormat="1" ht="27" customHeight="1" x14ac:dyDescent="0.25">
      <c r="A4" s="72">
        <f ca="1">SUBTOTAL(9,A5:A8)</f>
        <v>5898.197042323889</v>
      </c>
      <c r="B4" s="19"/>
      <c r="C4" s="19"/>
      <c r="D4" s="64"/>
      <c r="E4" s="19">
        <f>SUMPRODUCT((E5:E8)*(F5:F8))</f>
        <v>403.75</v>
      </c>
      <c r="F4" s="19">
        <f>SUBTOTAL(9,F5:F8)</f>
        <v>433.75</v>
      </c>
      <c r="G4" s="7"/>
      <c r="H4" s="7">
        <f>SUBTOTAL(9,H5:H7)</f>
        <v>17513.75</v>
      </c>
      <c r="I4" s="12"/>
      <c r="J4" s="12"/>
      <c r="K4" s="12">
        <f>SUBTOTAL(9,K5:K8)</f>
        <v>24270.75</v>
      </c>
      <c r="L4" s="65"/>
      <c r="M4" s="7">
        <f>SUBTOTAL(9,M5:M8)</f>
        <v>27393.75</v>
      </c>
      <c r="N4" s="7">
        <f ca="1">SUBTOTAL(9,N5:N8)</f>
        <v>20332.25</v>
      </c>
      <c r="O4" s="66">
        <f ca="1">SUBTOTAL(9,O5:O8)</f>
        <v>85.9</v>
      </c>
      <c r="P4" s="101">
        <f>SUBTOTAL(9,P5:P8)</f>
        <v>11.55</v>
      </c>
      <c r="Q4" s="101"/>
      <c r="R4" s="40">
        <f t="shared" ref="R4:AV4" si="0">SUBTOTAL(9,R5:R8)</f>
        <v>0.5</v>
      </c>
      <c r="S4" s="40">
        <f t="shared" si="0"/>
        <v>24</v>
      </c>
      <c r="T4" s="40">
        <f t="shared" si="0"/>
        <v>11.25</v>
      </c>
      <c r="U4" s="40">
        <f t="shared" si="0"/>
        <v>2.7</v>
      </c>
      <c r="V4" s="40">
        <f t="shared" si="0"/>
        <v>7.5</v>
      </c>
      <c r="W4" s="40">
        <f t="shared" si="0"/>
        <v>0</v>
      </c>
      <c r="X4" s="40">
        <f t="shared" si="0"/>
        <v>17.799999999999997</v>
      </c>
      <c r="Y4" s="40">
        <f t="shared" si="0"/>
        <v>6</v>
      </c>
      <c r="Z4" s="40">
        <f t="shared" si="0"/>
        <v>9.0500000000000007</v>
      </c>
      <c r="AA4" s="40">
        <f t="shared" si="0"/>
        <v>7</v>
      </c>
      <c r="AB4" s="40">
        <f t="shared" si="0"/>
        <v>9.1</v>
      </c>
      <c r="AC4" s="40">
        <f t="shared" si="0"/>
        <v>15.75</v>
      </c>
      <c r="AD4" s="40">
        <f t="shared" ca="1" si="0"/>
        <v>10.4</v>
      </c>
      <c r="AE4" s="40">
        <f t="shared" si="0"/>
        <v>0</v>
      </c>
      <c r="AF4" s="40">
        <f t="shared" si="0"/>
        <v>0</v>
      </c>
      <c r="AG4" s="164">
        <f t="shared" si="0"/>
        <v>0</v>
      </c>
      <c r="AH4" s="40">
        <f t="shared" si="0"/>
        <v>0</v>
      </c>
      <c r="AI4" s="40">
        <f t="shared" si="0"/>
        <v>0</v>
      </c>
      <c r="AJ4" s="40">
        <f t="shared" si="0"/>
        <v>0</v>
      </c>
      <c r="AK4" s="40">
        <f t="shared" si="0"/>
        <v>0</v>
      </c>
      <c r="AL4" s="40">
        <f t="shared" si="0"/>
        <v>0</v>
      </c>
      <c r="AM4" s="40">
        <f t="shared" si="0"/>
        <v>0</v>
      </c>
      <c r="AN4" s="40">
        <f t="shared" si="0"/>
        <v>0</v>
      </c>
      <c r="AO4" s="40">
        <f t="shared" si="0"/>
        <v>0</v>
      </c>
      <c r="AP4" s="40">
        <f t="shared" si="0"/>
        <v>0</v>
      </c>
      <c r="AQ4" s="40">
        <f t="shared" si="0"/>
        <v>0</v>
      </c>
      <c r="AR4" s="40">
        <f t="shared" si="0"/>
        <v>0</v>
      </c>
      <c r="AS4" s="40">
        <f t="shared" si="0"/>
        <v>0</v>
      </c>
      <c r="AT4" s="40">
        <f t="shared" si="0"/>
        <v>0</v>
      </c>
      <c r="AU4" s="40">
        <f t="shared" si="0"/>
        <v>0</v>
      </c>
      <c r="AV4" s="40">
        <f t="shared" si="0"/>
        <v>0</v>
      </c>
      <c r="AX4" s="104">
        <f>SUBTOTAL(9,AX5:AX8)</f>
        <v>0</v>
      </c>
    </row>
    <row r="5" spans="1:50" ht="35.25" customHeight="1" x14ac:dyDescent="0.25">
      <c r="A5" s="84">
        <f ca="1">J5*O5</f>
        <v>626.92047676825348</v>
      </c>
      <c r="B5" s="6">
        <v>1</v>
      </c>
      <c r="C5" s="86" t="s">
        <v>219</v>
      </c>
      <c r="D5" s="94">
        <v>46</v>
      </c>
      <c r="E5" s="87">
        <v>1</v>
      </c>
      <c r="F5" s="87">
        <f>30+15+15</f>
        <v>60</v>
      </c>
      <c r="G5" s="168">
        <v>46</v>
      </c>
      <c r="H5" s="169">
        <f t="shared" ref="H5:H6" si="1">G5*F5</f>
        <v>2760</v>
      </c>
      <c r="I5" s="170">
        <f>((H5/$H$4)*$A$2)/F5</f>
        <v>2.2246520590964241</v>
      </c>
      <c r="J5" s="170">
        <f t="shared" ref="J5:J7" si="2">G5+I5</f>
        <v>48.224652059096421</v>
      </c>
      <c r="K5" s="91">
        <f>J5*F5</f>
        <v>2893.4791235457851</v>
      </c>
      <c r="L5" s="95">
        <v>60</v>
      </c>
      <c r="M5" s="89">
        <f t="shared" ref="M5:M7" si="3">L5*F5</f>
        <v>3600</v>
      </c>
      <c r="N5" s="89">
        <f ca="1">SUMPRODUCT(($Q5:$AV5)*$L5)</f>
        <v>2820</v>
      </c>
      <c r="O5" s="196">
        <f ca="1">F5-SUM(Q5:AV5)-P5</f>
        <v>13</v>
      </c>
      <c r="P5" s="199">
        <v>0</v>
      </c>
      <c r="Q5" s="193">
        <v>38</v>
      </c>
      <c r="R5" s="197">
        <v>0</v>
      </c>
      <c r="S5" s="197">
        <v>2</v>
      </c>
      <c r="T5" s="197">
        <v>2</v>
      </c>
      <c r="U5" s="197">
        <v>0</v>
      </c>
      <c r="V5" s="197">
        <v>3</v>
      </c>
      <c r="W5" s="197">
        <v>0</v>
      </c>
      <c r="X5" s="197">
        <v>0</v>
      </c>
      <c r="Y5" s="197">
        <v>0</v>
      </c>
      <c r="Z5" s="197">
        <v>0</v>
      </c>
      <c r="AA5" s="197">
        <v>2</v>
      </c>
      <c r="AB5" s="197">
        <v>0</v>
      </c>
      <c r="AC5" s="197">
        <v>0</v>
      </c>
      <c r="AD5" s="197">
        <f ca="1">SUMIFS('Tổng Đơn'!$F:$F,'Tổng Đơn'!$B:$B,$C5)</f>
        <v>0</v>
      </c>
      <c r="AE5" s="197">
        <v>0</v>
      </c>
      <c r="AF5" s="197">
        <v>0</v>
      </c>
      <c r="AG5" s="197">
        <v>0</v>
      </c>
      <c r="AH5" s="197">
        <v>0</v>
      </c>
      <c r="AI5" s="197">
        <v>0</v>
      </c>
      <c r="AJ5" s="197">
        <v>0</v>
      </c>
      <c r="AK5" s="197">
        <v>0</v>
      </c>
      <c r="AL5" s="197">
        <v>0</v>
      </c>
      <c r="AM5" s="197">
        <v>0</v>
      </c>
      <c r="AN5" s="197">
        <v>0</v>
      </c>
      <c r="AO5" s="197">
        <v>0</v>
      </c>
      <c r="AP5" s="197">
        <v>0</v>
      </c>
      <c r="AQ5" s="197">
        <v>0</v>
      </c>
      <c r="AR5" s="197">
        <v>0</v>
      </c>
      <c r="AS5" s="197">
        <v>0</v>
      </c>
      <c r="AT5" s="197">
        <v>0</v>
      </c>
      <c r="AU5" s="197">
        <v>0</v>
      </c>
      <c r="AV5" s="197">
        <v>0</v>
      </c>
      <c r="AX5" s="84">
        <f>AW5*G5</f>
        <v>0</v>
      </c>
    </row>
    <row r="6" spans="1:50" ht="35.25" customHeight="1" x14ac:dyDescent="0.25">
      <c r="A6" s="84">
        <f t="shared" ref="A6:A8" ca="1" si="4">J6*O6</f>
        <v>983.10146670473387</v>
      </c>
      <c r="B6" s="6">
        <v>2</v>
      </c>
      <c r="C6" s="86" t="s">
        <v>220</v>
      </c>
      <c r="D6" s="94">
        <v>55</v>
      </c>
      <c r="E6" s="87">
        <v>1</v>
      </c>
      <c r="F6" s="87">
        <f>30+30+30+30+15</f>
        <v>135</v>
      </c>
      <c r="G6" s="168">
        <v>55</v>
      </c>
      <c r="H6" s="169">
        <f t="shared" si="1"/>
        <v>7425</v>
      </c>
      <c r="I6" s="170">
        <f t="shared" ref="I6:I7" si="5">((H6/$H$4)*$A$2)/F6</f>
        <v>2.6599100706587682</v>
      </c>
      <c r="J6" s="170">
        <f t="shared" si="2"/>
        <v>57.659910070658768</v>
      </c>
      <c r="K6" s="91">
        <f t="shared" ref="K6:K7" si="6">J6*F6</f>
        <v>7784.087859538934</v>
      </c>
      <c r="L6" s="95">
        <v>70</v>
      </c>
      <c r="M6" s="89">
        <f t="shared" si="3"/>
        <v>9450</v>
      </c>
      <c r="N6" s="89">
        <f t="shared" ref="N6:N8" ca="1" si="7">SUMPRODUCT(($Q6:$AV6)*$L6)</f>
        <v>8214.4999999999982</v>
      </c>
      <c r="O6" s="196">
        <f ca="1">F6-SUM(Q6:AV6)-P6</f>
        <v>17.050000000000033</v>
      </c>
      <c r="P6" s="199">
        <v>0.6</v>
      </c>
      <c r="Q6" s="193">
        <v>70.649999999999977</v>
      </c>
      <c r="R6" s="197">
        <v>0</v>
      </c>
      <c r="S6" s="197">
        <v>15</v>
      </c>
      <c r="T6" s="197">
        <v>3.75</v>
      </c>
      <c r="U6" s="197">
        <v>0</v>
      </c>
      <c r="V6" s="197">
        <v>0</v>
      </c>
      <c r="W6" s="197">
        <v>0</v>
      </c>
      <c r="X6" s="197">
        <v>4.5999999999999996</v>
      </c>
      <c r="Y6" s="197">
        <v>5</v>
      </c>
      <c r="Z6" s="197">
        <v>3.05</v>
      </c>
      <c r="AA6" s="197">
        <v>2</v>
      </c>
      <c r="AB6" s="197">
        <v>2.8</v>
      </c>
      <c r="AC6" s="197">
        <v>6.5</v>
      </c>
      <c r="AD6" s="197">
        <f ca="1">SUMIFS('Tổng Đơn'!$F:$F,'Tổng Đơn'!$B:$B,$C6)</f>
        <v>4</v>
      </c>
      <c r="AE6" s="197">
        <v>0</v>
      </c>
      <c r="AF6" s="197">
        <v>0</v>
      </c>
      <c r="AG6" s="197">
        <v>0</v>
      </c>
      <c r="AH6" s="197">
        <v>0</v>
      </c>
      <c r="AI6" s="197">
        <v>0</v>
      </c>
      <c r="AJ6" s="197">
        <v>0</v>
      </c>
      <c r="AK6" s="197">
        <v>0</v>
      </c>
      <c r="AL6" s="197">
        <v>0</v>
      </c>
      <c r="AM6" s="197">
        <v>0</v>
      </c>
      <c r="AN6" s="197">
        <v>0</v>
      </c>
      <c r="AO6" s="197">
        <v>0</v>
      </c>
      <c r="AP6" s="197">
        <v>0</v>
      </c>
      <c r="AQ6" s="197">
        <v>0</v>
      </c>
      <c r="AR6" s="197">
        <v>0</v>
      </c>
      <c r="AS6" s="197">
        <v>0</v>
      </c>
      <c r="AT6" s="197">
        <v>0</v>
      </c>
      <c r="AU6" s="197">
        <v>0</v>
      </c>
      <c r="AV6" s="197">
        <v>0</v>
      </c>
      <c r="AX6" s="84">
        <f>AW6*G6*0.95</f>
        <v>0</v>
      </c>
    </row>
    <row r="7" spans="1:50" ht="35.25" customHeight="1" x14ac:dyDescent="0.25">
      <c r="A7" s="84">
        <f t="shared" ca="1" si="4"/>
        <v>939.17509885090203</v>
      </c>
      <c r="B7" s="6">
        <v>3</v>
      </c>
      <c r="C7" s="86" t="s">
        <v>221</v>
      </c>
      <c r="D7" s="94">
        <v>41</v>
      </c>
      <c r="E7" s="87">
        <v>1</v>
      </c>
      <c r="F7" s="87">
        <f>28.75+30+30+30+30+30</f>
        <v>178.75</v>
      </c>
      <c r="G7" s="168">
        <v>41</v>
      </c>
      <c r="H7" s="169">
        <f>G7*F7</f>
        <v>7328.75</v>
      </c>
      <c r="I7" s="170">
        <f t="shared" si="5"/>
        <v>1.9828420526728998</v>
      </c>
      <c r="J7" s="170">
        <f t="shared" si="2"/>
        <v>42.9828420526729</v>
      </c>
      <c r="K7" s="91">
        <f t="shared" si="6"/>
        <v>7683.1830169152809</v>
      </c>
      <c r="L7" s="95">
        <v>45</v>
      </c>
      <c r="M7" s="89">
        <f t="shared" si="3"/>
        <v>8043.75</v>
      </c>
      <c r="N7" s="89">
        <f t="shared" ca="1" si="7"/>
        <v>6567.75</v>
      </c>
      <c r="O7" s="196">
        <f t="shared" ref="O7:O8" ca="1" si="8">F7-SUM(Q7:AV7)-P7</f>
        <v>21.84999999999998</v>
      </c>
      <c r="P7" s="199">
        <f>9.35+1.55+0.05</f>
        <v>10.950000000000001</v>
      </c>
      <c r="Q7" s="193">
        <v>95.100000000000009</v>
      </c>
      <c r="R7" s="197">
        <v>0</v>
      </c>
      <c r="S7" s="197">
        <v>6</v>
      </c>
      <c r="T7" s="197">
        <v>4</v>
      </c>
      <c r="U7" s="197">
        <v>2.7</v>
      </c>
      <c r="V7" s="197">
        <v>0</v>
      </c>
      <c r="W7" s="197">
        <v>0</v>
      </c>
      <c r="X7" s="197">
        <v>13.2</v>
      </c>
      <c r="Y7" s="197">
        <v>0</v>
      </c>
      <c r="Z7" s="197">
        <v>5</v>
      </c>
      <c r="AA7" s="197">
        <v>3</v>
      </c>
      <c r="AB7" s="197">
        <v>2.2999999999999998</v>
      </c>
      <c r="AC7" s="197">
        <v>8.25</v>
      </c>
      <c r="AD7" s="197">
        <f ca="1">SUMIFS('Tổng Đơn'!$F:$F,'Tổng Đơn'!$B:$B,$C7)</f>
        <v>6.4</v>
      </c>
      <c r="AE7" s="197">
        <v>0</v>
      </c>
      <c r="AF7" s="197">
        <v>0</v>
      </c>
      <c r="AG7" s="197">
        <v>0</v>
      </c>
      <c r="AH7" s="197">
        <v>0</v>
      </c>
      <c r="AI7" s="197">
        <v>0</v>
      </c>
      <c r="AJ7" s="197">
        <v>0</v>
      </c>
      <c r="AK7" s="197">
        <v>0</v>
      </c>
      <c r="AL7" s="197">
        <v>0</v>
      </c>
      <c r="AM7" s="197">
        <v>0</v>
      </c>
      <c r="AN7" s="197">
        <v>0</v>
      </c>
      <c r="AO7" s="197">
        <v>0</v>
      </c>
      <c r="AP7" s="197">
        <v>0</v>
      </c>
      <c r="AQ7" s="197">
        <v>0</v>
      </c>
      <c r="AR7" s="197">
        <v>0</v>
      </c>
      <c r="AS7" s="197">
        <v>0</v>
      </c>
      <c r="AT7" s="197">
        <v>0</v>
      </c>
      <c r="AU7" s="197">
        <v>0</v>
      </c>
      <c r="AV7" s="197">
        <v>0</v>
      </c>
      <c r="AX7" s="84">
        <f>AW7*G7</f>
        <v>0</v>
      </c>
    </row>
    <row r="8" spans="1:50" ht="35.25" customHeight="1" x14ac:dyDescent="0.25">
      <c r="A8" s="84">
        <f t="shared" ca="1" si="4"/>
        <v>3349</v>
      </c>
      <c r="B8" s="6">
        <v>4</v>
      </c>
      <c r="C8" s="86" t="s">
        <v>259</v>
      </c>
      <c r="D8" s="94">
        <v>195</v>
      </c>
      <c r="E8" s="87">
        <v>0.5</v>
      </c>
      <c r="F8" s="87">
        <v>60</v>
      </c>
      <c r="G8" s="168">
        <f>D8/(1/E8)</f>
        <v>97.5</v>
      </c>
      <c r="H8" s="169">
        <f>G8*F8</f>
        <v>5850</v>
      </c>
      <c r="I8" s="170">
        <f>((H8/$H$2)*$B$2)/F8</f>
        <v>1</v>
      </c>
      <c r="J8" s="170">
        <f>G8+I8</f>
        <v>98.5</v>
      </c>
      <c r="K8" s="91">
        <f>J8*F8</f>
        <v>5910</v>
      </c>
      <c r="L8" s="95">
        <v>105</v>
      </c>
      <c r="M8" s="89">
        <f>L8*F8</f>
        <v>6300</v>
      </c>
      <c r="N8" s="89">
        <f t="shared" ca="1" si="7"/>
        <v>2730</v>
      </c>
      <c r="O8" s="165">
        <f t="shared" ca="1" si="8"/>
        <v>34</v>
      </c>
      <c r="P8" s="199">
        <v>0</v>
      </c>
      <c r="Q8" s="193">
        <v>11.5</v>
      </c>
      <c r="R8" s="6">
        <v>0.5</v>
      </c>
      <c r="S8" s="6">
        <v>1</v>
      </c>
      <c r="T8" s="6">
        <v>1.5</v>
      </c>
      <c r="U8" s="6">
        <v>0</v>
      </c>
      <c r="V8" s="6">
        <v>4.5</v>
      </c>
      <c r="W8" s="6">
        <v>0</v>
      </c>
      <c r="X8" s="6">
        <v>0</v>
      </c>
      <c r="Y8" s="6">
        <v>1</v>
      </c>
      <c r="Z8" s="6">
        <v>1</v>
      </c>
      <c r="AA8" s="6">
        <v>0</v>
      </c>
      <c r="AB8" s="6">
        <v>4</v>
      </c>
      <c r="AC8" s="6">
        <v>1</v>
      </c>
      <c r="AD8" s="6">
        <f ca="1">SUMIFS('Tổng Đơn'!$F:$F,'Tổng Đơn'!$B:$B,$C8)</f>
        <v>0</v>
      </c>
      <c r="AE8" s="6">
        <v>0</v>
      </c>
      <c r="AF8" s="6">
        <v>0</v>
      </c>
      <c r="AG8" s="6">
        <v>0</v>
      </c>
      <c r="AH8" s="6">
        <v>0</v>
      </c>
      <c r="AI8" s="6">
        <v>0</v>
      </c>
      <c r="AJ8" s="6">
        <v>0</v>
      </c>
      <c r="AK8" s="6">
        <v>0</v>
      </c>
      <c r="AL8" s="6">
        <v>0</v>
      </c>
      <c r="AM8" s="6">
        <v>0</v>
      </c>
      <c r="AN8" s="6">
        <v>0</v>
      </c>
      <c r="AO8" s="6">
        <v>0</v>
      </c>
      <c r="AP8" s="6">
        <v>0</v>
      </c>
      <c r="AQ8" s="6">
        <v>0</v>
      </c>
      <c r="AR8" s="6">
        <v>0</v>
      </c>
      <c r="AS8" s="6">
        <v>0</v>
      </c>
      <c r="AT8" s="6">
        <v>0</v>
      </c>
      <c r="AU8" s="6">
        <v>0</v>
      </c>
      <c r="AV8" s="6">
        <v>0</v>
      </c>
    </row>
  </sheetData>
  <autoFilter ref="B4:M4"/>
  <mergeCells count="1">
    <mergeCell ref="B1:M1"/>
  </mergeCells>
  <conditionalFormatting sqref="C6:C7">
    <cfRule type="expression" dxfId="507" priority="10">
      <formula>($O6/$O6)&lt;=1/4</formula>
    </cfRule>
  </conditionalFormatting>
  <conditionalFormatting sqref="C5:C7">
    <cfRule type="expression" dxfId="506" priority="11">
      <formula>($O5/$F5)&lt;=1/4</formula>
    </cfRule>
  </conditionalFormatting>
  <conditionalFormatting sqref="C8">
    <cfRule type="expression" dxfId="505" priority="1">
      <formula>($O8/$O8)&lt;=1/4</formula>
    </cfRule>
  </conditionalFormatting>
  <conditionalFormatting sqref="C8">
    <cfRule type="expression" dxfId="504" priority="2">
      <formula>($O8/$F8)&lt;=1/4</formula>
    </cfRule>
  </conditionalFormatting>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00B050"/>
  </sheetPr>
  <dimension ref="A1:AX24"/>
  <sheetViews>
    <sheetView topLeftCell="A2" zoomScale="85" zoomScaleNormal="85" workbookViewId="0">
      <pane xSplit="17" ySplit="3" topLeftCell="R8" activePane="bottomRight" state="frozen"/>
      <selection activeCell="A2" sqref="A2"/>
      <selection pane="topRight" activeCell="R2" sqref="R2"/>
      <selection pane="bottomLeft" activeCell="A5" sqref="A5"/>
      <selection pane="bottomRight" activeCell="AC5" sqref="AC5:AC24"/>
    </sheetView>
  </sheetViews>
  <sheetFormatPr defaultRowHeight="15" x14ac:dyDescent="0.25"/>
  <cols>
    <col min="1" max="1" width="16.28515625" style="84" customWidth="1"/>
    <col min="2" max="2" width="7" style="84" customWidth="1"/>
    <col min="3" max="3" width="26.5703125" style="84" bestFit="1" customWidth="1"/>
    <col min="4" max="5" width="10" style="84" customWidth="1"/>
    <col min="6" max="6" width="10.85546875" style="84" bestFit="1" customWidth="1"/>
    <col min="7" max="7" width="16.28515625" style="84" hidden="1" customWidth="1"/>
    <col min="8" max="8" width="14.85546875" style="84" hidden="1" customWidth="1"/>
    <col min="9" max="9" width="13.42578125" style="84" customWidth="1"/>
    <col min="10" max="10" width="16.85546875" style="84" hidden="1" customWidth="1"/>
    <col min="11" max="11" width="11.42578125" style="84" customWidth="1"/>
    <col min="12" max="13" width="16.28515625" style="84" hidden="1" customWidth="1"/>
    <col min="14" max="14" width="10.140625" style="84" bestFit="1" customWidth="1"/>
    <col min="15" max="15" width="10.85546875" style="84" customWidth="1"/>
    <col min="16" max="16" width="12.5703125" style="84" customWidth="1"/>
    <col min="17" max="17" width="11.5703125" style="84" customWidth="1"/>
    <col min="18" max="19" width="5.140625" style="84" customWidth="1"/>
    <col min="20" max="20" width="4.7109375" style="84" bestFit="1" customWidth="1"/>
    <col min="21" max="48" width="5.140625" style="84" customWidth="1"/>
    <col min="49" max="16384" width="9.140625" style="84"/>
  </cols>
  <sheetData>
    <row r="1" spans="1:50" hidden="1" x14ac:dyDescent="0.25">
      <c r="B1" s="223" t="s">
        <v>59</v>
      </c>
      <c r="C1" s="223"/>
      <c r="D1" s="223"/>
      <c r="E1" s="223"/>
      <c r="F1" s="223"/>
      <c r="G1" s="223"/>
      <c r="H1" s="223"/>
      <c r="I1" s="223"/>
      <c r="J1" s="223"/>
      <c r="K1" s="223"/>
      <c r="L1" s="223"/>
      <c r="M1" s="85"/>
    </row>
    <row r="2" spans="1:50" ht="18.75" customHeight="1" x14ac:dyDescent="0.25">
      <c r="A2" s="1">
        <v>210</v>
      </c>
      <c r="J2" s="13">
        <f>SUMPRODUCT((D5:D19)*(E5:E19))</f>
        <v>320.5</v>
      </c>
      <c r="K2" s="13">
        <f>L4-J4</f>
        <v>8971.5</v>
      </c>
      <c r="L2" s="8">
        <f>L4/J4-1</f>
        <v>0.19546390404915193</v>
      </c>
      <c r="M2" s="8"/>
      <c r="R2" s="59"/>
    </row>
    <row r="3" spans="1:50" ht="31.5" customHeight="1" x14ac:dyDescent="0.25">
      <c r="A3" s="75" t="s">
        <v>127</v>
      </c>
      <c r="B3" s="3" t="s">
        <v>0</v>
      </c>
      <c r="C3" s="3" t="s">
        <v>17</v>
      </c>
      <c r="D3" s="105" t="s">
        <v>157</v>
      </c>
      <c r="E3" s="135" t="s">
        <v>156</v>
      </c>
      <c r="F3" s="4" t="s">
        <v>18</v>
      </c>
      <c r="G3" s="4" t="s">
        <v>19</v>
      </c>
      <c r="H3" s="9" t="s">
        <v>20</v>
      </c>
      <c r="I3" s="9" t="s">
        <v>21</v>
      </c>
      <c r="J3" s="9" t="s">
        <v>24</v>
      </c>
      <c r="K3" s="60" t="s">
        <v>22</v>
      </c>
      <c r="L3" s="11" t="s">
        <v>23</v>
      </c>
      <c r="M3" s="11" t="s">
        <v>122</v>
      </c>
      <c r="N3" s="35" t="s">
        <v>60</v>
      </c>
      <c r="O3" s="82" t="s">
        <v>184</v>
      </c>
      <c r="P3" s="82" t="s">
        <v>146</v>
      </c>
      <c r="Q3" s="82" t="s">
        <v>278</v>
      </c>
      <c r="R3" s="36" t="s">
        <v>189</v>
      </c>
      <c r="S3" s="38" t="s">
        <v>191</v>
      </c>
      <c r="T3" s="36" t="s">
        <v>192</v>
      </c>
      <c r="U3" s="38" t="s">
        <v>193</v>
      </c>
      <c r="V3" s="36" t="s">
        <v>194</v>
      </c>
      <c r="W3" s="38" t="s">
        <v>195</v>
      </c>
      <c r="X3" s="36" t="s">
        <v>196</v>
      </c>
      <c r="Y3" s="38" t="s">
        <v>197</v>
      </c>
      <c r="Z3" s="36" t="s">
        <v>198</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c r="AW3" s="138"/>
    </row>
    <row r="4" spans="1:50" s="63" customFormat="1" ht="27" customHeight="1" x14ac:dyDescent="0.25">
      <c r="A4" s="72">
        <f ca="1">SUBTOTAL(9,A5:A24)</f>
        <v>13576.516812764698</v>
      </c>
      <c r="B4" s="19"/>
      <c r="C4" s="19"/>
      <c r="D4" s="19">
        <f>SUMPRODUCT((D5:D24)*(E5:E24))</f>
        <v>506.5</v>
      </c>
      <c r="E4" s="19">
        <f>SUBTOTAL(9,E5:E24)</f>
        <v>1126</v>
      </c>
      <c r="F4" s="7"/>
      <c r="G4" s="7">
        <f>SUBTOTAL(9,G5:G24)</f>
        <v>45688.5</v>
      </c>
      <c r="H4" s="12"/>
      <c r="I4" s="12"/>
      <c r="J4" s="12">
        <f>SUBTOTAL(9,J5:J24)</f>
        <v>45898.5</v>
      </c>
      <c r="K4" s="102"/>
      <c r="L4" s="7">
        <f>SUBTOTAL(9,L5:L24)</f>
        <v>54870</v>
      </c>
      <c r="M4" s="7">
        <f ca="1">SUBTOTAL(9,M5:M24)</f>
        <v>39194</v>
      </c>
      <c r="N4" s="39">
        <f ca="1">SUBTOTAL(9,N5:N24)</f>
        <v>412</v>
      </c>
      <c r="O4" s="101"/>
      <c r="P4" s="101">
        <f t="shared" ref="P4:AV4" si="0">SUBTOTAL(9,P5:P24)</f>
        <v>7</v>
      </c>
      <c r="Q4" s="101">
        <f t="shared" si="0"/>
        <v>647</v>
      </c>
      <c r="R4" s="40">
        <f t="shared" si="0"/>
        <v>4</v>
      </c>
      <c r="S4" s="40">
        <f t="shared" si="0"/>
        <v>4</v>
      </c>
      <c r="T4" s="40">
        <f t="shared" si="0"/>
        <v>9</v>
      </c>
      <c r="U4" s="40">
        <f t="shared" si="0"/>
        <v>0</v>
      </c>
      <c r="V4" s="40">
        <f t="shared" si="0"/>
        <v>8</v>
      </c>
      <c r="W4" s="40">
        <f t="shared" si="0"/>
        <v>23</v>
      </c>
      <c r="X4" s="40">
        <f t="shared" si="0"/>
        <v>8</v>
      </c>
      <c r="Y4" s="40">
        <f t="shared" si="0"/>
        <v>3</v>
      </c>
      <c r="Z4" s="40">
        <f t="shared" si="0"/>
        <v>2</v>
      </c>
      <c r="AA4" s="40">
        <f t="shared" si="0"/>
        <v>4</v>
      </c>
      <c r="AB4" s="40">
        <f t="shared" si="0"/>
        <v>8</v>
      </c>
      <c r="AC4" s="40">
        <f t="shared" si="0"/>
        <v>2</v>
      </c>
      <c r="AD4" s="40">
        <f t="shared" ca="1" si="0"/>
        <v>0</v>
      </c>
      <c r="AE4" s="40">
        <f t="shared" si="0"/>
        <v>0</v>
      </c>
      <c r="AF4" s="40">
        <f t="shared" si="0"/>
        <v>0</v>
      </c>
      <c r="AG4" s="40">
        <f t="shared" si="0"/>
        <v>0</v>
      </c>
      <c r="AH4" s="40">
        <f t="shared" si="0"/>
        <v>0</v>
      </c>
      <c r="AI4" s="40">
        <f t="shared" si="0"/>
        <v>0</v>
      </c>
      <c r="AJ4" s="40">
        <f t="shared" si="0"/>
        <v>0</v>
      </c>
      <c r="AK4" s="40">
        <f t="shared" si="0"/>
        <v>0</v>
      </c>
      <c r="AL4" s="40">
        <f t="shared" si="0"/>
        <v>0</v>
      </c>
      <c r="AM4" s="40">
        <f t="shared" si="0"/>
        <v>0</v>
      </c>
      <c r="AN4" s="40">
        <f t="shared" si="0"/>
        <v>0</v>
      </c>
      <c r="AO4" s="40">
        <f t="shared" si="0"/>
        <v>0</v>
      </c>
      <c r="AP4" s="40">
        <f t="shared" si="0"/>
        <v>0</v>
      </c>
      <c r="AQ4" s="40">
        <f t="shared" si="0"/>
        <v>0</v>
      </c>
      <c r="AR4" s="40">
        <f t="shared" si="0"/>
        <v>0</v>
      </c>
      <c r="AS4" s="40">
        <f t="shared" si="0"/>
        <v>0</v>
      </c>
      <c r="AT4" s="40">
        <f t="shared" si="0"/>
        <v>0</v>
      </c>
      <c r="AU4" s="40">
        <f t="shared" si="0"/>
        <v>0</v>
      </c>
      <c r="AV4" s="40">
        <f t="shared" si="0"/>
        <v>0</v>
      </c>
      <c r="AX4" s="63">
        <f>SUBTOTAL(9,AX5:AX24)</f>
        <v>0</v>
      </c>
    </row>
    <row r="5" spans="1:50" ht="18.75" x14ac:dyDescent="0.25">
      <c r="A5" s="84">
        <f t="shared" ref="A5:A24" ca="1" si="1">I5*N5</f>
        <v>0</v>
      </c>
      <c r="B5" s="6">
        <v>1</v>
      </c>
      <c r="C5" s="86" t="s">
        <v>52</v>
      </c>
      <c r="D5" s="87">
        <v>0.5</v>
      </c>
      <c r="E5" s="24">
        <v>16</v>
      </c>
      <c r="F5" s="88">
        <v>45</v>
      </c>
      <c r="G5" s="89">
        <f t="shared" ref="G5:G19" si="2">F5*E5</f>
        <v>720</v>
      </c>
      <c r="H5" s="90">
        <f t="shared" ref="H5:H24" si="3">((G5/$G$4)*$A$2)/E5</f>
        <v>0.20683541810302375</v>
      </c>
      <c r="I5" s="166">
        <f t="shared" ref="I5:I19" si="4">F5+H5</f>
        <v>45.206835418103026</v>
      </c>
      <c r="J5" s="91">
        <f>I5*E5</f>
        <v>723.30936668964841</v>
      </c>
      <c r="K5" s="92">
        <v>54</v>
      </c>
      <c r="L5" s="89">
        <f t="shared" ref="L5" si="5">K5*E5</f>
        <v>864</v>
      </c>
      <c r="M5" s="89">
        <f t="shared" ref="M5:M24" ca="1" si="6">SUMPRODUCT($K5*($Q5:$AV5))</f>
        <v>972</v>
      </c>
      <c r="N5" s="93">
        <f t="shared" ref="N5:N24" ca="1" si="7">E5-SUM(Q5:AV5)-P5-O5</f>
        <v>0</v>
      </c>
      <c r="O5" s="83">
        <v>-2</v>
      </c>
      <c r="P5" s="83"/>
      <c r="Q5" s="194">
        <v>18</v>
      </c>
      <c r="R5" s="41">
        <v>0</v>
      </c>
      <c r="S5" s="41">
        <v>0</v>
      </c>
      <c r="T5" s="41">
        <v>0</v>
      </c>
      <c r="U5" s="41">
        <v>0</v>
      </c>
      <c r="V5" s="41">
        <v>0</v>
      </c>
      <c r="W5" s="41">
        <v>0</v>
      </c>
      <c r="X5" s="41">
        <v>0</v>
      </c>
      <c r="Y5" s="41">
        <v>0</v>
      </c>
      <c r="Z5" s="41">
        <v>0</v>
      </c>
      <c r="AA5" s="41">
        <v>0</v>
      </c>
      <c r="AB5" s="41">
        <v>0</v>
      </c>
      <c r="AC5" s="41">
        <v>0</v>
      </c>
      <c r="AD5" s="41">
        <f ca="1">SUMIFS('Tổng Đơn'!$F:$F,'Tổng Đơn'!$B:$B,$C5)</f>
        <v>0</v>
      </c>
      <c r="AE5" s="41">
        <v>0</v>
      </c>
      <c r="AF5" s="41">
        <v>0</v>
      </c>
      <c r="AG5" s="41">
        <v>0</v>
      </c>
      <c r="AH5" s="41">
        <v>0</v>
      </c>
      <c r="AI5" s="41">
        <v>0</v>
      </c>
      <c r="AJ5" s="41">
        <v>0</v>
      </c>
      <c r="AK5" s="41">
        <v>0</v>
      </c>
      <c r="AL5" s="41">
        <v>0</v>
      </c>
      <c r="AM5" s="41">
        <v>0</v>
      </c>
      <c r="AN5" s="41">
        <v>0</v>
      </c>
      <c r="AO5" s="41">
        <v>0</v>
      </c>
      <c r="AP5" s="41">
        <v>0</v>
      </c>
      <c r="AQ5" s="41">
        <v>0</v>
      </c>
      <c r="AR5" s="41">
        <v>0</v>
      </c>
      <c r="AS5" s="41">
        <v>0</v>
      </c>
      <c r="AT5" s="41">
        <v>0</v>
      </c>
      <c r="AU5" s="41">
        <v>0</v>
      </c>
      <c r="AV5" s="41">
        <v>0</v>
      </c>
      <c r="AX5" s="84">
        <f t="shared" ref="AX5:AX24" si="8">AW5*F5</f>
        <v>0</v>
      </c>
    </row>
    <row r="6" spans="1:50" ht="18.75" x14ac:dyDescent="0.25">
      <c r="A6" s="84">
        <f t="shared" ca="1" si="1"/>
        <v>1139.212252536196</v>
      </c>
      <c r="B6" s="6">
        <v>2</v>
      </c>
      <c r="C6" s="86" t="s">
        <v>51</v>
      </c>
      <c r="D6" s="87">
        <v>0.5</v>
      </c>
      <c r="E6" s="24">
        <v>76</v>
      </c>
      <c r="F6" s="88">
        <v>54</v>
      </c>
      <c r="G6" s="89">
        <f t="shared" si="2"/>
        <v>4104</v>
      </c>
      <c r="H6" s="90">
        <f t="shared" si="3"/>
        <v>0.24820250172362848</v>
      </c>
      <c r="I6" s="166">
        <f t="shared" si="4"/>
        <v>54.248202501723625</v>
      </c>
      <c r="J6" s="91">
        <f>I6*E6</f>
        <v>4122.8633901309959</v>
      </c>
      <c r="K6" s="92">
        <v>65</v>
      </c>
      <c r="L6" s="89">
        <f t="shared" ref="L6:L24" si="9">K6*E6</f>
        <v>4940</v>
      </c>
      <c r="M6" s="89">
        <f t="shared" ca="1" si="6"/>
        <v>3705</v>
      </c>
      <c r="N6" s="93">
        <f t="shared" ca="1" si="7"/>
        <v>21</v>
      </c>
      <c r="O6" s="83">
        <v>-2</v>
      </c>
      <c r="P6" s="83"/>
      <c r="Q6" s="194">
        <v>54</v>
      </c>
      <c r="R6" s="41">
        <v>1</v>
      </c>
      <c r="S6" s="41">
        <v>1</v>
      </c>
      <c r="T6" s="41">
        <v>0</v>
      </c>
      <c r="U6" s="41">
        <v>0</v>
      </c>
      <c r="V6" s="41">
        <v>0</v>
      </c>
      <c r="W6" s="41">
        <v>0</v>
      </c>
      <c r="X6" s="41">
        <v>0</v>
      </c>
      <c r="Y6" s="41">
        <v>0</v>
      </c>
      <c r="Z6" s="41">
        <v>1</v>
      </c>
      <c r="AA6" s="41">
        <v>0</v>
      </c>
      <c r="AB6" s="41">
        <v>0</v>
      </c>
      <c r="AC6" s="41">
        <v>0</v>
      </c>
      <c r="AD6" s="41">
        <f ca="1">SUMIFS('Tổng Đơn'!$F:$F,'Tổng Đơn'!$B:$B,$C6)</f>
        <v>0</v>
      </c>
      <c r="AE6" s="41">
        <v>0</v>
      </c>
      <c r="AF6" s="41">
        <v>0</v>
      </c>
      <c r="AG6" s="41">
        <v>0</v>
      </c>
      <c r="AH6" s="41">
        <v>0</v>
      </c>
      <c r="AI6" s="41">
        <v>0</v>
      </c>
      <c r="AJ6" s="41">
        <v>0</v>
      </c>
      <c r="AK6" s="41">
        <v>0</v>
      </c>
      <c r="AL6" s="41">
        <v>0</v>
      </c>
      <c r="AM6" s="41">
        <v>0</v>
      </c>
      <c r="AN6" s="41">
        <v>0</v>
      </c>
      <c r="AO6" s="41">
        <v>0</v>
      </c>
      <c r="AP6" s="41">
        <v>0</v>
      </c>
      <c r="AQ6" s="41">
        <v>0</v>
      </c>
      <c r="AR6" s="41">
        <v>0</v>
      </c>
      <c r="AS6" s="41">
        <v>0</v>
      </c>
      <c r="AT6" s="41">
        <v>0</v>
      </c>
      <c r="AU6" s="41">
        <v>0</v>
      </c>
      <c r="AV6" s="41">
        <v>0</v>
      </c>
      <c r="AX6" s="84">
        <f t="shared" si="8"/>
        <v>0</v>
      </c>
    </row>
    <row r="7" spans="1:50" ht="18.75" x14ac:dyDescent="0.25">
      <c r="A7" s="84">
        <f t="shared" ca="1" si="1"/>
        <v>0</v>
      </c>
      <c r="B7" s="6">
        <v>3</v>
      </c>
      <c r="C7" s="86" t="s">
        <v>36</v>
      </c>
      <c r="D7" s="87">
        <v>0.5</v>
      </c>
      <c r="E7" s="24">
        <v>6</v>
      </c>
      <c r="F7" s="88">
        <v>55.5</v>
      </c>
      <c r="G7" s="89">
        <f t="shared" si="2"/>
        <v>333</v>
      </c>
      <c r="H7" s="90">
        <f t="shared" si="3"/>
        <v>0.25509701566039594</v>
      </c>
      <c r="I7" s="166">
        <f t="shared" si="4"/>
        <v>55.755097015660397</v>
      </c>
      <c r="J7" s="91">
        <f t="shared" ref="J7:J19" si="10">I7*E7</f>
        <v>334.53058209396238</v>
      </c>
      <c r="K7" s="92">
        <v>66</v>
      </c>
      <c r="L7" s="89">
        <f t="shared" si="9"/>
        <v>396</v>
      </c>
      <c r="M7" s="89">
        <f t="shared" ca="1" si="6"/>
        <v>528</v>
      </c>
      <c r="N7" s="93">
        <f t="shared" ca="1" si="7"/>
        <v>0</v>
      </c>
      <c r="O7" s="83">
        <v>-2</v>
      </c>
      <c r="P7" s="83"/>
      <c r="Q7" s="194">
        <v>8</v>
      </c>
      <c r="R7" s="41">
        <v>0</v>
      </c>
      <c r="S7" s="41">
        <v>0</v>
      </c>
      <c r="T7" s="41">
        <v>0</v>
      </c>
      <c r="U7" s="41">
        <v>0</v>
      </c>
      <c r="V7" s="41">
        <v>0</v>
      </c>
      <c r="W7" s="41">
        <v>0</v>
      </c>
      <c r="X7" s="41">
        <v>0</v>
      </c>
      <c r="Y7" s="41">
        <v>0</v>
      </c>
      <c r="Z7" s="41">
        <v>0</v>
      </c>
      <c r="AA7" s="41">
        <v>0</v>
      </c>
      <c r="AB7" s="41">
        <v>0</v>
      </c>
      <c r="AC7" s="41">
        <v>0</v>
      </c>
      <c r="AD7" s="41">
        <f ca="1">SUMIFS('Tổng Đơn'!$F:$F,'Tổng Đơn'!$B:$B,$C7)</f>
        <v>0</v>
      </c>
      <c r="AE7" s="41">
        <v>0</v>
      </c>
      <c r="AF7" s="41">
        <v>0</v>
      </c>
      <c r="AG7" s="41">
        <v>0</v>
      </c>
      <c r="AH7" s="41">
        <v>0</v>
      </c>
      <c r="AI7" s="41">
        <v>0</v>
      </c>
      <c r="AJ7" s="41">
        <v>0</v>
      </c>
      <c r="AK7" s="41">
        <v>0</v>
      </c>
      <c r="AL7" s="41">
        <v>0</v>
      </c>
      <c r="AM7" s="41">
        <v>0</v>
      </c>
      <c r="AN7" s="41">
        <v>0</v>
      </c>
      <c r="AO7" s="41">
        <v>0</v>
      </c>
      <c r="AP7" s="41">
        <v>0</v>
      </c>
      <c r="AQ7" s="41">
        <v>0</v>
      </c>
      <c r="AR7" s="41">
        <v>0</v>
      </c>
      <c r="AS7" s="41">
        <v>0</v>
      </c>
      <c r="AT7" s="41">
        <v>0</v>
      </c>
      <c r="AU7" s="41">
        <v>0</v>
      </c>
      <c r="AV7" s="41">
        <v>0</v>
      </c>
      <c r="AX7" s="84">
        <f t="shared" si="8"/>
        <v>0</v>
      </c>
    </row>
    <row r="8" spans="1:50" ht="18.75" x14ac:dyDescent="0.25">
      <c r="A8" s="84">
        <f t="shared" ca="1" si="1"/>
        <v>947.83664926622669</v>
      </c>
      <c r="B8" s="6">
        <v>4</v>
      </c>
      <c r="C8" s="86" t="s">
        <v>37</v>
      </c>
      <c r="D8" s="87">
        <v>0.5</v>
      </c>
      <c r="E8" s="24">
        <v>80</v>
      </c>
      <c r="F8" s="88">
        <v>55.5</v>
      </c>
      <c r="G8" s="89">
        <f t="shared" si="2"/>
        <v>4440</v>
      </c>
      <c r="H8" s="90">
        <f t="shared" si="3"/>
        <v>0.25509701566039594</v>
      </c>
      <c r="I8" s="166">
        <f t="shared" si="4"/>
        <v>55.755097015660397</v>
      </c>
      <c r="J8" s="91">
        <f t="shared" si="10"/>
        <v>4460.4077612528317</v>
      </c>
      <c r="K8" s="92">
        <v>66</v>
      </c>
      <c r="L8" s="89">
        <f t="shared" si="9"/>
        <v>5280</v>
      </c>
      <c r="M8" s="89">
        <f t="shared" ca="1" si="6"/>
        <v>4290</v>
      </c>
      <c r="N8" s="93">
        <f t="shared" ca="1" si="7"/>
        <v>17</v>
      </c>
      <c r="O8" s="83">
        <v>-2</v>
      </c>
      <c r="P8" s="83"/>
      <c r="Q8" s="194">
        <v>60</v>
      </c>
      <c r="R8" s="41">
        <v>1</v>
      </c>
      <c r="S8" s="41">
        <v>0</v>
      </c>
      <c r="T8" s="41">
        <v>1</v>
      </c>
      <c r="U8" s="41">
        <v>0</v>
      </c>
      <c r="V8" s="41">
        <v>0</v>
      </c>
      <c r="W8" s="41">
        <v>0</v>
      </c>
      <c r="X8" s="41">
        <v>0</v>
      </c>
      <c r="Y8" s="41">
        <v>0</v>
      </c>
      <c r="Z8" s="41">
        <v>0</v>
      </c>
      <c r="AA8" s="41">
        <v>0</v>
      </c>
      <c r="AB8" s="41">
        <v>1</v>
      </c>
      <c r="AC8" s="41">
        <v>2</v>
      </c>
      <c r="AD8" s="41">
        <f ca="1">SUMIFS('Tổng Đơn'!$F:$F,'Tổng Đơn'!$B:$B,$C8)</f>
        <v>0</v>
      </c>
      <c r="AE8" s="41">
        <v>0</v>
      </c>
      <c r="AF8" s="41">
        <v>0</v>
      </c>
      <c r="AG8" s="41">
        <v>0</v>
      </c>
      <c r="AH8" s="41">
        <v>0</v>
      </c>
      <c r="AI8" s="41">
        <v>0</v>
      </c>
      <c r="AJ8" s="41">
        <v>0</v>
      </c>
      <c r="AK8" s="41">
        <v>0</v>
      </c>
      <c r="AL8" s="41">
        <v>0</v>
      </c>
      <c r="AM8" s="41">
        <v>0</v>
      </c>
      <c r="AN8" s="41">
        <v>0</v>
      </c>
      <c r="AO8" s="41">
        <v>0</v>
      </c>
      <c r="AP8" s="41">
        <v>0</v>
      </c>
      <c r="AQ8" s="41">
        <v>0</v>
      </c>
      <c r="AR8" s="41">
        <v>0</v>
      </c>
      <c r="AS8" s="41">
        <v>0</v>
      </c>
      <c r="AT8" s="41">
        <v>0</v>
      </c>
      <c r="AU8" s="41">
        <v>0</v>
      </c>
      <c r="AV8" s="41">
        <v>0</v>
      </c>
      <c r="AX8" s="84">
        <f t="shared" si="8"/>
        <v>0</v>
      </c>
    </row>
    <row r="9" spans="1:50" ht="18.75" x14ac:dyDescent="0.25">
      <c r="A9" s="84">
        <f t="shared" si="1"/>
        <v>0</v>
      </c>
      <c r="B9" s="6">
        <v>5</v>
      </c>
      <c r="C9" s="86" t="s">
        <v>50</v>
      </c>
      <c r="D9" s="87">
        <v>1</v>
      </c>
      <c r="E9" s="24">
        <v>4</v>
      </c>
      <c r="F9" s="88">
        <v>102</v>
      </c>
      <c r="G9" s="89">
        <f t="shared" si="2"/>
        <v>408</v>
      </c>
      <c r="H9" s="90">
        <f t="shared" si="3"/>
        <v>0.46882694770018718</v>
      </c>
      <c r="I9" s="166">
        <f t="shared" si="4"/>
        <v>102.46882694770019</v>
      </c>
      <c r="J9" s="91">
        <f>I9*E9</f>
        <v>409.87530779080078</v>
      </c>
      <c r="K9" s="92">
        <v>122</v>
      </c>
      <c r="L9" s="89">
        <f t="shared" si="9"/>
        <v>488</v>
      </c>
      <c r="M9" s="89">
        <f t="shared" si="6"/>
        <v>366</v>
      </c>
      <c r="N9" s="93">
        <f t="shared" si="7"/>
        <v>0</v>
      </c>
      <c r="O9" s="83">
        <v>-2</v>
      </c>
      <c r="P9" s="83">
        <v>3</v>
      </c>
      <c r="Q9" s="194">
        <v>3</v>
      </c>
      <c r="R9" s="41">
        <v>0</v>
      </c>
      <c r="S9" s="41">
        <v>0</v>
      </c>
      <c r="T9" s="41">
        <v>0</v>
      </c>
      <c r="U9" s="41">
        <v>0</v>
      </c>
      <c r="V9" s="41">
        <v>0</v>
      </c>
      <c r="W9" s="41">
        <v>0</v>
      </c>
      <c r="X9" s="41">
        <v>0</v>
      </c>
      <c r="Y9" s="41">
        <v>0</v>
      </c>
      <c r="Z9" s="41">
        <v>0</v>
      </c>
      <c r="AA9" s="41">
        <v>0</v>
      </c>
      <c r="AB9" s="41">
        <v>0</v>
      </c>
      <c r="AC9" s="41">
        <v>0</v>
      </c>
      <c r="AD9" s="41">
        <f>SUMIFS('Tổng Đơn'!$F:$F,'Tổng Đơn'!$B:$B,$C9)</f>
        <v>0</v>
      </c>
      <c r="AE9" s="41">
        <v>0</v>
      </c>
      <c r="AF9" s="41">
        <v>0</v>
      </c>
      <c r="AG9" s="41">
        <v>0</v>
      </c>
      <c r="AH9" s="41">
        <v>0</v>
      </c>
      <c r="AI9" s="41">
        <v>0</v>
      </c>
      <c r="AJ9" s="41">
        <v>0</v>
      </c>
      <c r="AK9" s="41">
        <v>0</v>
      </c>
      <c r="AL9" s="41">
        <v>0</v>
      </c>
      <c r="AM9" s="41">
        <v>0</v>
      </c>
      <c r="AN9" s="41">
        <v>0</v>
      </c>
      <c r="AO9" s="41">
        <v>0</v>
      </c>
      <c r="AP9" s="41">
        <v>0</v>
      </c>
      <c r="AQ9" s="41">
        <v>0</v>
      </c>
      <c r="AR9" s="41">
        <v>0</v>
      </c>
      <c r="AS9" s="41">
        <v>0</v>
      </c>
      <c r="AT9" s="41">
        <v>0</v>
      </c>
      <c r="AU9" s="41">
        <v>0</v>
      </c>
      <c r="AV9" s="41">
        <v>0</v>
      </c>
      <c r="AX9" s="84">
        <f t="shared" si="8"/>
        <v>0</v>
      </c>
    </row>
    <row r="10" spans="1:50" ht="18.75" x14ac:dyDescent="0.25">
      <c r="A10" s="84">
        <f t="shared" ca="1" si="1"/>
        <v>26.621803079549558</v>
      </c>
      <c r="B10" s="6">
        <v>6</v>
      </c>
      <c r="C10" s="86" t="s">
        <v>38</v>
      </c>
      <c r="D10" s="87">
        <v>0.5</v>
      </c>
      <c r="E10" s="24">
        <v>80</v>
      </c>
      <c r="F10" s="88">
        <v>26.5</v>
      </c>
      <c r="G10" s="89">
        <f t="shared" si="2"/>
        <v>2120</v>
      </c>
      <c r="H10" s="90">
        <f t="shared" si="3"/>
        <v>0.12180307954955842</v>
      </c>
      <c r="I10" s="166">
        <f t="shared" si="4"/>
        <v>26.621803079549558</v>
      </c>
      <c r="J10" s="91">
        <f t="shared" si="10"/>
        <v>2129.7442463639645</v>
      </c>
      <c r="K10" s="92">
        <v>32</v>
      </c>
      <c r="L10" s="89">
        <f t="shared" si="9"/>
        <v>2560</v>
      </c>
      <c r="M10" s="89">
        <f t="shared" ca="1" si="6"/>
        <v>2528</v>
      </c>
      <c r="N10" s="93">
        <f t="shared" ca="1" si="7"/>
        <v>1</v>
      </c>
      <c r="O10" s="83">
        <v>0</v>
      </c>
      <c r="P10" s="83"/>
      <c r="Q10" s="194">
        <v>58</v>
      </c>
      <c r="R10" s="41">
        <v>0</v>
      </c>
      <c r="S10" s="41">
        <v>0</v>
      </c>
      <c r="T10" s="41">
        <v>1</v>
      </c>
      <c r="U10" s="41">
        <v>0</v>
      </c>
      <c r="V10" s="41">
        <v>5</v>
      </c>
      <c r="W10" s="41">
        <v>9</v>
      </c>
      <c r="X10" s="41">
        <v>4</v>
      </c>
      <c r="Y10" s="41">
        <v>1</v>
      </c>
      <c r="Z10" s="41">
        <v>1</v>
      </c>
      <c r="AA10" s="41">
        <v>0</v>
      </c>
      <c r="AB10" s="41">
        <v>0</v>
      </c>
      <c r="AC10" s="41">
        <v>0</v>
      </c>
      <c r="AD10" s="41">
        <f ca="1">SUMIFS('Tổng Đơn'!$F:$F,'Tổng Đơn'!$B:$B,$C10)</f>
        <v>0</v>
      </c>
      <c r="AE10" s="41">
        <v>0</v>
      </c>
      <c r="AF10" s="41">
        <v>0</v>
      </c>
      <c r="AG10" s="41">
        <v>0</v>
      </c>
      <c r="AH10" s="41">
        <v>0</v>
      </c>
      <c r="AI10" s="41">
        <v>0</v>
      </c>
      <c r="AJ10" s="41">
        <v>0</v>
      </c>
      <c r="AK10" s="41">
        <v>0</v>
      </c>
      <c r="AL10" s="41">
        <v>0</v>
      </c>
      <c r="AM10" s="41">
        <v>0</v>
      </c>
      <c r="AN10" s="41">
        <v>0</v>
      </c>
      <c r="AO10" s="41">
        <v>0</v>
      </c>
      <c r="AP10" s="41">
        <v>0</v>
      </c>
      <c r="AQ10" s="41">
        <v>0</v>
      </c>
      <c r="AR10" s="41">
        <v>0</v>
      </c>
      <c r="AS10" s="41">
        <v>0</v>
      </c>
      <c r="AT10" s="41">
        <v>0</v>
      </c>
      <c r="AU10" s="41">
        <v>0</v>
      </c>
      <c r="AV10" s="41">
        <v>0</v>
      </c>
      <c r="AX10" s="84">
        <f t="shared" si="8"/>
        <v>0</v>
      </c>
    </row>
    <row r="11" spans="1:50" ht="18.75" x14ac:dyDescent="0.25">
      <c r="A11" s="84">
        <f t="shared" ca="1" si="1"/>
        <v>585.07690994451559</v>
      </c>
      <c r="B11" s="6">
        <v>7</v>
      </c>
      <c r="C11" s="86" t="s">
        <v>39</v>
      </c>
      <c r="D11" s="87">
        <v>0.2</v>
      </c>
      <c r="E11" s="24">
        <v>90</v>
      </c>
      <c r="F11" s="88">
        <v>11.2</v>
      </c>
      <c r="G11" s="89">
        <f t="shared" si="2"/>
        <v>1007.9999999999999</v>
      </c>
      <c r="H11" s="90">
        <f t="shared" si="3"/>
        <v>5.1479037394530351E-2</v>
      </c>
      <c r="I11" s="166">
        <f t="shared" si="4"/>
        <v>11.25147903739453</v>
      </c>
      <c r="J11" s="91">
        <f t="shared" si="10"/>
        <v>1012.6331133655077</v>
      </c>
      <c r="K11" s="92">
        <v>14</v>
      </c>
      <c r="L11" s="89">
        <f t="shared" si="9"/>
        <v>1260</v>
      </c>
      <c r="M11" s="89">
        <f t="shared" ca="1" si="6"/>
        <v>504</v>
      </c>
      <c r="N11" s="93">
        <f t="shared" ca="1" si="7"/>
        <v>52</v>
      </c>
      <c r="O11" s="83">
        <v>0</v>
      </c>
      <c r="P11" s="83">
        <v>2</v>
      </c>
      <c r="Q11" s="194">
        <v>29</v>
      </c>
      <c r="R11" s="41">
        <v>1</v>
      </c>
      <c r="S11" s="41">
        <v>0</v>
      </c>
      <c r="T11" s="41">
        <v>0</v>
      </c>
      <c r="U11" s="41">
        <v>0</v>
      </c>
      <c r="V11" s="41">
        <v>0</v>
      </c>
      <c r="W11" s="41">
        <v>1</v>
      </c>
      <c r="X11" s="41">
        <v>2</v>
      </c>
      <c r="Y11" s="41">
        <v>1</v>
      </c>
      <c r="Z11" s="41">
        <v>0</v>
      </c>
      <c r="AA11" s="41">
        <v>0</v>
      </c>
      <c r="AB11" s="41">
        <v>2</v>
      </c>
      <c r="AC11" s="41">
        <v>0</v>
      </c>
      <c r="AD11" s="41">
        <f ca="1">SUMIFS('Tổng Đơn'!$F:$F,'Tổng Đơn'!$B:$B,$C11)</f>
        <v>0</v>
      </c>
      <c r="AE11" s="41">
        <v>0</v>
      </c>
      <c r="AF11" s="41">
        <v>0</v>
      </c>
      <c r="AG11" s="41">
        <v>0</v>
      </c>
      <c r="AH11" s="41">
        <v>0</v>
      </c>
      <c r="AI11" s="41">
        <v>0</v>
      </c>
      <c r="AJ11" s="41">
        <v>0</v>
      </c>
      <c r="AK11" s="41">
        <v>0</v>
      </c>
      <c r="AL11" s="41">
        <v>0</v>
      </c>
      <c r="AM11" s="41">
        <v>0</v>
      </c>
      <c r="AN11" s="41">
        <v>0</v>
      </c>
      <c r="AO11" s="41">
        <v>0</v>
      </c>
      <c r="AP11" s="41">
        <v>0</v>
      </c>
      <c r="AQ11" s="41">
        <v>0</v>
      </c>
      <c r="AR11" s="41">
        <v>0</v>
      </c>
      <c r="AS11" s="41">
        <v>0</v>
      </c>
      <c r="AT11" s="41">
        <v>0</v>
      </c>
      <c r="AU11" s="41">
        <v>0</v>
      </c>
      <c r="AV11" s="41">
        <v>0</v>
      </c>
      <c r="AX11" s="84">
        <f t="shared" si="8"/>
        <v>0</v>
      </c>
    </row>
    <row r="12" spans="1:50" ht="18.75" x14ac:dyDescent="0.25">
      <c r="A12" s="84">
        <f t="shared" ca="1" si="1"/>
        <v>1030.715847532749</v>
      </c>
      <c r="B12" s="6">
        <v>8</v>
      </c>
      <c r="C12" s="86" t="s">
        <v>40</v>
      </c>
      <c r="D12" s="87">
        <v>0.5</v>
      </c>
      <c r="E12" s="24">
        <v>56</v>
      </c>
      <c r="F12" s="88">
        <v>28.5</v>
      </c>
      <c r="G12" s="89">
        <f t="shared" si="2"/>
        <v>1596</v>
      </c>
      <c r="H12" s="90">
        <f t="shared" si="3"/>
        <v>0.13099576479858169</v>
      </c>
      <c r="I12" s="166">
        <f t="shared" si="4"/>
        <v>28.63099576479858</v>
      </c>
      <c r="J12" s="91">
        <f t="shared" si="10"/>
        <v>1603.3357628287206</v>
      </c>
      <c r="K12" s="92">
        <v>35</v>
      </c>
      <c r="L12" s="89">
        <f t="shared" si="9"/>
        <v>1960</v>
      </c>
      <c r="M12" s="89">
        <f t="shared" ca="1" si="6"/>
        <v>700</v>
      </c>
      <c r="N12" s="93">
        <f t="shared" ca="1" si="7"/>
        <v>36</v>
      </c>
      <c r="O12" s="83">
        <v>0</v>
      </c>
      <c r="P12" s="83"/>
      <c r="Q12" s="194">
        <v>20</v>
      </c>
      <c r="R12" s="41">
        <v>0</v>
      </c>
      <c r="S12" s="41">
        <v>0</v>
      </c>
      <c r="T12" s="41">
        <v>0</v>
      </c>
      <c r="U12" s="41">
        <v>0</v>
      </c>
      <c r="V12" s="41">
        <v>0</v>
      </c>
      <c r="W12" s="41">
        <v>0</v>
      </c>
      <c r="X12" s="41">
        <v>0</v>
      </c>
      <c r="Y12" s="41">
        <v>0</v>
      </c>
      <c r="Z12" s="41">
        <v>0</v>
      </c>
      <c r="AA12" s="41">
        <v>0</v>
      </c>
      <c r="AB12" s="41">
        <v>0</v>
      </c>
      <c r="AC12" s="41">
        <v>0</v>
      </c>
      <c r="AD12" s="41">
        <f ca="1">SUMIFS('Tổng Đơn'!$F:$F,'Tổng Đơn'!$B:$B,$C12)</f>
        <v>0</v>
      </c>
      <c r="AE12" s="41">
        <v>0</v>
      </c>
      <c r="AF12" s="41">
        <v>0</v>
      </c>
      <c r="AG12" s="41">
        <v>0</v>
      </c>
      <c r="AH12" s="41">
        <v>0</v>
      </c>
      <c r="AI12" s="41">
        <v>0</v>
      </c>
      <c r="AJ12" s="41">
        <v>0</v>
      </c>
      <c r="AK12" s="41">
        <v>0</v>
      </c>
      <c r="AL12" s="41">
        <v>0</v>
      </c>
      <c r="AM12" s="41">
        <v>0</v>
      </c>
      <c r="AN12" s="41">
        <v>0</v>
      </c>
      <c r="AO12" s="41">
        <v>0</v>
      </c>
      <c r="AP12" s="41">
        <v>0</v>
      </c>
      <c r="AQ12" s="41">
        <v>0</v>
      </c>
      <c r="AR12" s="41">
        <v>0</v>
      </c>
      <c r="AS12" s="41">
        <v>0</v>
      </c>
      <c r="AT12" s="41">
        <v>0</v>
      </c>
      <c r="AU12" s="41">
        <v>0</v>
      </c>
      <c r="AV12" s="41">
        <v>0</v>
      </c>
      <c r="AX12" s="84">
        <f t="shared" si="8"/>
        <v>0</v>
      </c>
    </row>
    <row r="13" spans="1:50" ht="18.75" x14ac:dyDescent="0.25">
      <c r="A13" s="84">
        <f t="shared" ca="1" si="1"/>
        <v>940.30217669654292</v>
      </c>
      <c r="B13" s="6">
        <v>9</v>
      </c>
      <c r="C13" s="86" t="s">
        <v>41</v>
      </c>
      <c r="D13" s="87">
        <v>0.2</v>
      </c>
      <c r="E13" s="24">
        <v>90</v>
      </c>
      <c r="F13" s="88">
        <v>12</v>
      </c>
      <c r="G13" s="89">
        <f t="shared" si="2"/>
        <v>1080</v>
      </c>
      <c r="H13" s="90">
        <f t="shared" si="3"/>
        <v>5.5156111494139667E-2</v>
      </c>
      <c r="I13" s="166">
        <f t="shared" si="4"/>
        <v>12.05515611149414</v>
      </c>
      <c r="J13" s="91">
        <f t="shared" si="10"/>
        <v>1084.9640500344726</v>
      </c>
      <c r="K13" s="92">
        <v>14</v>
      </c>
      <c r="L13" s="89">
        <f t="shared" si="9"/>
        <v>1260</v>
      </c>
      <c r="M13" s="89">
        <f t="shared" ca="1" si="6"/>
        <v>168</v>
      </c>
      <c r="N13" s="93">
        <f t="shared" ca="1" si="7"/>
        <v>78</v>
      </c>
      <c r="O13" s="83">
        <v>0</v>
      </c>
      <c r="P13" s="83"/>
      <c r="Q13" s="194">
        <v>12</v>
      </c>
      <c r="R13" s="41">
        <v>0</v>
      </c>
      <c r="S13" s="41">
        <v>0</v>
      </c>
      <c r="T13" s="41">
        <v>0</v>
      </c>
      <c r="U13" s="41">
        <v>0</v>
      </c>
      <c r="V13" s="41">
        <v>0</v>
      </c>
      <c r="W13" s="41">
        <v>0</v>
      </c>
      <c r="X13" s="41">
        <v>0</v>
      </c>
      <c r="Y13" s="41">
        <v>0</v>
      </c>
      <c r="Z13" s="41">
        <v>0</v>
      </c>
      <c r="AA13" s="41">
        <v>0</v>
      </c>
      <c r="AB13" s="41">
        <v>0</v>
      </c>
      <c r="AC13" s="41">
        <v>0</v>
      </c>
      <c r="AD13" s="41">
        <f ca="1">SUMIFS('Tổng Đơn'!$F:$F,'Tổng Đơn'!$B:$B,$C13)</f>
        <v>0</v>
      </c>
      <c r="AE13" s="41">
        <v>0</v>
      </c>
      <c r="AF13" s="41">
        <v>0</v>
      </c>
      <c r="AG13" s="41">
        <v>0</v>
      </c>
      <c r="AH13" s="41">
        <v>0</v>
      </c>
      <c r="AI13" s="41">
        <v>0</v>
      </c>
      <c r="AJ13" s="41">
        <v>0</v>
      </c>
      <c r="AK13" s="41">
        <v>0</v>
      </c>
      <c r="AL13" s="41">
        <v>0</v>
      </c>
      <c r="AM13" s="41">
        <v>0</v>
      </c>
      <c r="AN13" s="41">
        <v>0</v>
      </c>
      <c r="AO13" s="41">
        <v>0</v>
      </c>
      <c r="AP13" s="41">
        <v>0</v>
      </c>
      <c r="AQ13" s="41">
        <v>0</v>
      </c>
      <c r="AR13" s="41">
        <v>0</v>
      </c>
      <c r="AS13" s="41">
        <v>0</v>
      </c>
      <c r="AT13" s="41">
        <v>0</v>
      </c>
      <c r="AU13" s="41">
        <v>0</v>
      </c>
      <c r="AV13" s="41">
        <v>0</v>
      </c>
      <c r="AX13" s="84">
        <f t="shared" si="8"/>
        <v>0</v>
      </c>
    </row>
    <row r="14" spans="1:50" ht="18.75" x14ac:dyDescent="0.25">
      <c r="A14" s="84">
        <f t="shared" ca="1" si="1"/>
        <v>1173.8708263567419</v>
      </c>
      <c r="B14" s="6">
        <v>10</v>
      </c>
      <c r="C14" s="86" t="s">
        <v>42</v>
      </c>
      <c r="D14" s="87">
        <v>0.5</v>
      </c>
      <c r="E14" s="24">
        <v>66</v>
      </c>
      <c r="F14" s="88">
        <v>28.5</v>
      </c>
      <c r="G14" s="89">
        <f t="shared" si="2"/>
        <v>1881</v>
      </c>
      <c r="H14" s="90">
        <f t="shared" si="3"/>
        <v>0.13099576479858172</v>
      </c>
      <c r="I14" s="166">
        <f t="shared" si="4"/>
        <v>28.63099576479858</v>
      </c>
      <c r="J14" s="91">
        <f t="shared" si="10"/>
        <v>1889.6457204767064</v>
      </c>
      <c r="K14" s="92">
        <v>35</v>
      </c>
      <c r="L14" s="89">
        <f t="shared" si="9"/>
        <v>2310</v>
      </c>
      <c r="M14" s="89">
        <f t="shared" ca="1" si="6"/>
        <v>875</v>
      </c>
      <c r="N14" s="93">
        <f t="shared" ca="1" si="7"/>
        <v>41</v>
      </c>
      <c r="O14" s="83">
        <v>0</v>
      </c>
      <c r="P14" s="83"/>
      <c r="Q14" s="194">
        <v>24</v>
      </c>
      <c r="R14" s="41">
        <v>0</v>
      </c>
      <c r="S14" s="41">
        <v>0</v>
      </c>
      <c r="T14" s="41">
        <v>0</v>
      </c>
      <c r="U14" s="41">
        <v>0</v>
      </c>
      <c r="V14" s="41">
        <v>0</v>
      </c>
      <c r="W14" s="41">
        <v>0</v>
      </c>
      <c r="X14" s="41">
        <v>0</v>
      </c>
      <c r="Y14" s="41">
        <v>1</v>
      </c>
      <c r="Z14" s="41">
        <v>0</v>
      </c>
      <c r="AA14" s="41">
        <v>0</v>
      </c>
      <c r="AB14" s="41">
        <v>0</v>
      </c>
      <c r="AC14" s="41">
        <v>0</v>
      </c>
      <c r="AD14" s="41">
        <f ca="1">SUMIFS('Tổng Đơn'!$F:$F,'Tổng Đơn'!$B:$B,$C14)</f>
        <v>0</v>
      </c>
      <c r="AE14" s="41">
        <v>0</v>
      </c>
      <c r="AF14" s="41">
        <v>0</v>
      </c>
      <c r="AG14" s="41">
        <v>0</v>
      </c>
      <c r="AH14" s="41">
        <v>0</v>
      </c>
      <c r="AI14" s="41">
        <v>0</v>
      </c>
      <c r="AJ14" s="41">
        <v>0</v>
      </c>
      <c r="AK14" s="41">
        <v>0</v>
      </c>
      <c r="AL14" s="41">
        <v>0</v>
      </c>
      <c r="AM14" s="41">
        <v>0</v>
      </c>
      <c r="AN14" s="41">
        <v>0</v>
      </c>
      <c r="AO14" s="41">
        <v>0</v>
      </c>
      <c r="AP14" s="41">
        <v>0</v>
      </c>
      <c r="AQ14" s="41">
        <v>0</v>
      </c>
      <c r="AR14" s="41">
        <v>0</v>
      </c>
      <c r="AS14" s="41">
        <v>0</v>
      </c>
      <c r="AT14" s="41">
        <v>0</v>
      </c>
      <c r="AU14" s="41">
        <v>0</v>
      </c>
      <c r="AV14" s="41">
        <v>0</v>
      </c>
      <c r="AX14" s="84">
        <f t="shared" si="8"/>
        <v>0</v>
      </c>
    </row>
    <row r="15" spans="1:50" ht="18.75" x14ac:dyDescent="0.25">
      <c r="A15" s="84">
        <f t="shared" ca="1" si="1"/>
        <v>48.220624445976561</v>
      </c>
      <c r="B15" s="6">
        <v>11</v>
      </c>
      <c r="C15" s="86" t="s">
        <v>43</v>
      </c>
      <c r="D15" s="87">
        <v>0.2</v>
      </c>
      <c r="E15" s="24">
        <v>15</v>
      </c>
      <c r="F15" s="88">
        <v>12</v>
      </c>
      <c r="G15" s="89">
        <f t="shared" si="2"/>
        <v>180</v>
      </c>
      <c r="H15" s="90">
        <f t="shared" si="3"/>
        <v>5.5156111494139667E-2</v>
      </c>
      <c r="I15" s="166">
        <f t="shared" si="4"/>
        <v>12.05515611149414</v>
      </c>
      <c r="J15" s="91">
        <f t="shared" si="10"/>
        <v>180.8273416724121</v>
      </c>
      <c r="K15" s="92">
        <v>14</v>
      </c>
      <c r="L15" s="89">
        <f t="shared" si="9"/>
        <v>210</v>
      </c>
      <c r="M15" s="89">
        <f t="shared" ca="1" si="6"/>
        <v>140</v>
      </c>
      <c r="N15" s="93">
        <f t="shared" ca="1" si="7"/>
        <v>4</v>
      </c>
      <c r="O15" s="83">
        <v>0</v>
      </c>
      <c r="P15" s="83">
        <v>1</v>
      </c>
      <c r="Q15" s="194">
        <v>10</v>
      </c>
      <c r="R15" s="41">
        <v>0</v>
      </c>
      <c r="S15" s="41">
        <v>0</v>
      </c>
      <c r="T15" s="41">
        <v>0</v>
      </c>
      <c r="U15" s="41">
        <v>0</v>
      </c>
      <c r="V15" s="41">
        <v>0</v>
      </c>
      <c r="W15" s="41">
        <v>0</v>
      </c>
      <c r="X15" s="41">
        <v>0</v>
      </c>
      <c r="Y15" s="41">
        <v>0</v>
      </c>
      <c r="Z15" s="41">
        <v>0</v>
      </c>
      <c r="AA15" s="41">
        <v>0</v>
      </c>
      <c r="AB15" s="41">
        <v>0</v>
      </c>
      <c r="AC15" s="41">
        <v>0</v>
      </c>
      <c r="AD15" s="41">
        <f ca="1">SUMIFS('Tổng Đơn'!$F:$F,'Tổng Đơn'!$B:$B,$C15)</f>
        <v>0</v>
      </c>
      <c r="AE15" s="41">
        <v>0</v>
      </c>
      <c r="AF15" s="41">
        <v>0</v>
      </c>
      <c r="AG15" s="41">
        <v>0</v>
      </c>
      <c r="AH15" s="41">
        <v>0</v>
      </c>
      <c r="AI15" s="41">
        <v>0</v>
      </c>
      <c r="AJ15" s="41">
        <v>0</v>
      </c>
      <c r="AK15" s="41">
        <v>0</v>
      </c>
      <c r="AL15" s="41">
        <v>0</v>
      </c>
      <c r="AM15" s="41">
        <v>0</v>
      </c>
      <c r="AN15" s="41">
        <v>0</v>
      </c>
      <c r="AO15" s="41">
        <v>0</v>
      </c>
      <c r="AP15" s="41">
        <v>0</v>
      </c>
      <c r="AQ15" s="41">
        <v>0</v>
      </c>
      <c r="AR15" s="41">
        <v>0</v>
      </c>
      <c r="AS15" s="41">
        <v>0</v>
      </c>
      <c r="AT15" s="41">
        <v>0</v>
      </c>
      <c r="AU15" s="41">
        <v>0</v>
      </c>
      <c r="AV15" s="41">
        <v>0</v>
      </c>
      <c r="AX15" s="84">
        <f t="shared" si="8"/>
        <v>0</v>
      </c>
    </row>
    <row r="16" spans="1:50" ht="18.75" x14ac:dyDescent="0.25">
      <c r="A16" s="84">
        <f t="shared" ca="1" si="1"/>
        <v>399.32704619324335</v>
      </c>
      <c r="B16" s="6">
        <v>12</v>
      </c>
      <c r="C16" s="86" t="s">
        <v>67</v>
      </c>
      <c r="D16" s="87">
        <v>0.5</v>
      </c>
      <c r="E16" s="24">
        <v>40</v>
      </c>
      <c r="F16" s="88">
        <v>26.5</v>
      </c>
      <c r="G16" s="89">
        <f t="shared" si="2"/>
        <v>1060</v>
      </c>
      <c r="H16" s="90">
        <f t="shared" si="3"/>
        <v>0.12180307954955842</v>
      </c>
      <c r="I16" s="166">
        <f t="shared" si="4"/>
        <v>26.621803079549558</v>
      </c>
      <c r="J16" s="91">
        <f t="shared" si="10"/>
        <v>1064.8721231819823</v>
      </c>
      <c r="K16" s="92">
        <v>32</v>
      </c>
      <c r="L16" s="89">
        <f t="shared" si="9"/>
        <v>1280</v>
      </c>
      <c r="M16" s="89">
        <f t="shared" ca="1" si="6"/>
        <v>800</v>
      </c>
      <c r="N16" s="93">
        <f t="shared" ca="1" si="7"/>
        <v>15</v>
      </c>
      <c r="O16" s="83">
        <v>0</v>
      </c>
      <c r="P16" s="83"/>
      <c r="Q16" s="194">
        <v>20</v>
      </c>
      <c r="R16" s="41">
        <v>0</v>
      </c>
      <c r="S16" s="41">
        <v>0</v>
      </c>
      <c r="T16" s="41">
        <v>1</v>
      </c>
      <c r="U16" s="41">
        <v>0</v>
      </c>
      <c r="V16" s="41">
        <v>0</v>
      </c>
      <c r="W16" s="41">
        <v>3</v>
      </c>
      <c r="X16" s="41">
        <v>1</v>
      </c>
      <c r="Y16" s="41">
        <v>0</v>
      </c>
      <c r="Z16" s="41">
        <v>0</v>
      </c>
      <c r="AA16" s="41">
        <v>0</v>
      </c>
      <c r="AB16" s="41">
        <v>0</v>
      </c>
      <c r="AC16" s="41">
        <v>0</v>
      </c>
      <c r="AD16" s="41">
        <f ca="1">SUMIFS('Tổng Đơn'!$F:$F,'Tổng Đơn'!$B:$B,$C16)</f>
        <v>0</v>
      </c>
      <c r="AE16" s="41">
        <v>0</v>
      </c>
      <c r="AF16" s="41">
        <v>0</v>
      </c>
      <c r="AG16" s="41">
        <v>0</v>
      </c>
      <c r="AH16" s="41">
        <v>0</v>
      </c>
      <c r="AI16" s="41">
        <v>0</v>
      </c>
      <c r="AJ16" s="41">
        <v>0</v>
      </c>
      <c r="AK16" s="41">
        <v>0</v>
      </c>
      <c r="AL16" s="41">
        <v>0</v>
      </c>
      <c r="AM16" s="41">
        <v>0</v>
      </c>
      <c r="AN16" s="41">
        <v>0</v>
      </c>
      <c r="AO16" s="41">
        <v>0</v>
      </c>
      <c r="AP16" s="41">
        <v>0</v>
      </c>
      <c r="AQ16" s="41">
        <v>0</v>
      </c>
      <c r="AR16" s="41">
        <v>0</v>
      </c>
      <c r="AS16" s="41">
        <v>0</v>
      </c>
      <c r="AT16" s="41">
        <v>0</v>
      </c>
      <c r="AU16" s="41">
        <v>0</v>
      </c>
      <c r="AV16" s="41">
        <v>0</v>
      </c>
      <c r="AX16" s="84">
        <f t="shared" si="8"/>
        <v>0</v>
      </c>
    </row>
    <row r="17" spans="1:50" ht="18.75" x14ac:dyDescent="0.25">
      <c r="A17" s="84">
        <f t="shared" ca="1" si="1"/>
        <v>1246.704061197019</v>
      </c>
      <c r="B17" s="6">
        <v>13</v>
      </c>
      <c r="C17" s="86" t="s">
        <v>44</v>
      </c>
      <c r="D17" s="87">
        <v>0.5</v>
      </c>
      <c r="E17" s="24">
        <v>55</v>
      </c>
      <c r="F17" s="88">
        <v>36.5</v>
      </c>
      <c r="G17" s="89">
        <f t="shared" si="2"/>
        <v>2007.5</v>
      </c>
      <c r="H17" s="90">
        <f t="shared" si="3"/>
        <v>0.16776650579467481</v>
      </c>
      <c r="I17" s="166">
        <f t="shared" si="4"/>
        <v>36.667766505794674</v>
      </c>
      <c r="J17" s="91">
        <f t="shared" si="10"/>
        <v>2016.7271578187072</v>
      </c>
      <c r="K17" s="92">
        <v>44</v>
      </c>
      <c r="L17" s="89">
        <f t="shared" si="9"/>
        <v>2420</v>
      </c>
      <c r="M17" s="89">
        <f t="shared" ca="1" si="6"/>
        <v>924</v>
      </c>
      <c r="N17" s="93">
        <f t="shared" ca="1" si="7"/>
        <v>34</v>
      </c>
      <c r="O17" s="83">
        <v>0</v>
      </c>
      <c r="P17" s="83"/>
      <c r="Q17" s="194">
        <v>19</v>
      </c>
      <c r="R17" s="41">
        <v>0</v>
      </c>
      <c r="S17" s="41">
        <v>0</v>
      </c>
      <c r="T17" s="41">
        <v>1</v>
      </c>
      <c r="U17" s="41">
        <v>0</v>
      </c>
      <c r="V17" s="41">
        <v>1</v>
      </c>
      <c r="W17" s="41">
        <v>0</v>
      </c>
      <c r="X17" s="41">
        <v>0</v>
      </c>
      <c r="Y17" s="41">
        <v>0</v>
      </c>
      <c r="Z17" s="41">
        <v>0</v>
      </c>
      <c r="AA17" s="41">
        <v>0</v>
      </c>
      <c r="AB17" s="41">
        <v>0</v>
      </c>
      <c r="AC17" s="41">
        <v>0</v>
      </c>
      <c r="AD17" s="41">
        <f ca="1">SUMIFS('Tổng Đơn'!$F:$F,'Tổng Đơn'!$B:$B,$C17)</f>
        <v>0</v>
      </c>
      <c r="AE17" s="41">
        <v>0</v>
      </c>
      <c r="AF17" s="41">
        <v>0</v>
      </c>
      <c r="AG17" s="41">
        <v>0</v>
      </c>
      <c r="AH17" s="41">
        <v>0</v>
      </c>
      <c r="AI17" s="41">
        <v>0</v>
      </c>
      <c r="AJ17" s="41">
        <v>0</v>
      </c>
      <c r="AK17" s="41">
        <v>0</v>
      </c>
      <c r="AL17" s="41">
        <v>0</v>
      </c>
      <c r="AM17" s="41">
        <v>0</v>
      </c>
      <c r="AN17" s="41">
        <v>0</v>
      </c>
      <c r="AO17" s="41">
        <v>0</v>
      </c>
      <c r="AP17" s="41">
        <v>0</v>
      </c>
      <c r="AQ17" s="41">
        <v>0</v>
      </c>
      <c r="AR17" s="41">
        <v>0</v>
      </c>
      <c r="AS17" s="41">
        <v>0</v>
      </c>
      <c r="AT17" s="41">
        <v>0</v>
      </c>
      <c r="AU17" s="41">
        <v>0</v>
      </c>
      <c r="AV17" s="41">
        <v>0</v>
      </c>
      <c r="AX17" s="84">
        <f t="shared" si="8"/>
        <v>0</v>
      </c>
    </row>
    <row r="18" spans="1:50" ht="18.75" x14ac:dyDescent="0.25">
      <c r="A18" s="84">
        <f t="shared" ca="1" si="1"/>
        <v>492.25220788601069</v>
      </c>
      <c r="B18" s="6">
        <v>14</v>
      </c>
      <c r="C18" s="86" t="s">
        <v>48</v>
      </c>
      <c r="D18" s="87">
        <v>0.5</v>
      </c>
      <c r="E18" s="24">
        <v>25</v>
      </c>
      <c r="F18" s="88">
        <v>49</v>
      </c>
      <c r="G18" s="89">
        <f t="shared" si="2"/>
        <v>1225</v>
      </c>
      <c r="H18" s="90">
        <f t="shared" si="3"/>
        <v>0.22522078860107031</v>
      </c>
      <c r="I18" s="166">
        <f t="shared" si="4"/>
        <v>49.225220788601071</v>
      </c>
      <c r="J18" s="91">
        <f t="shared" si="10"/>
        <v>1230.6305197150268</v>
      </c>
      <c r="K18" s="92">
        <v>59</v>
      </c>
      <c r="L18" s="89">
        <f t="shared" si="9"/>
        <v>1475</v>
      </c>
      <c r="M18" s="89">
        <f t="shared" ca="1" si="6"/>
        <v>885</v>
      </c>
      <c r="N18" s="93">
        <f t="shared" ca="1" si="7"/>
        <v>10</v>
      </c>
      <c r="O18" s="83">
        <v>0</v>
      </c>
      <c r="P18" s="83"/>
      <c r="Q18" s="194">
        <v>15</v>
      </c>
      <c r="R18" s="41">
        <v>0</v>
      </c>
      <c r="S18" s="41">
        <v>0</v>
      </c>
      <c r="T18" s="41">
        <v>0</v>
      </c>
      <c r="U18" s="41">
        <v>0</v>
      </c>
      <c r="V18" s="41">
        <v>0</v>
      </c>
      <c r="W18" s="41">
        <v>0</v>
      </c>
      <c r="X18" s="41">
        <v>0</v>
      </c>
      <c r="Y18" s="41">
        <v>0</v>
      </c>
      <c r="Z18" s="41">
        <v>0</v>
      </c>
      <c r="AA18" s="41">
        <v>0</v>
      </c>
      <c r="AB18" s="41">
        <v>0</v>
      </c>
      <c r="AC18" s="41">
        <v>0</v>
      </c>
      <c r="AD18" s="41">
        <f ca="1">SUMIFS('Tổng Đơn'!$F:$F,'Tổng Đơn'!$B:$B,$C18)</f>
        <v>0</v>
      </c>
      <c r="AE18" s="41">
        <v>0</v>
      </c>
      <c r="AF18" s="41">
        <v>0</v>
      </c>
      <c r="AG18" s="41">
        <v>0</v>
      </c>
      <c r="AH18" s="41">
        <v>0</v>
      </c>
      <c r="AI18" s="41">
        <v>0</v>
      </c>
      <c r="AJ18" s="41">
        <v>0</v>
      </c>
      <c r="AK18" s="41">
        <v>0</v>
      </c>
      <c r="AL18" s="41">
        <v>0</v>
      </c>
      <c r="AM18" s="41">
        <v>0</v>
      </c>
      <c r="AN18" s="41">
        <v>0</v>
      </c>
      <c r="AO18" s="41">
        <v>0</v>
      </c>
      <c r="AP18" s="41">
        <v>0</v>
      </c>
      <c r="AQ18" s="41">
        <v>0</v>
      </c>
      <c r="AR18" s="41">
        <v>0</v>
      </c>
      <c r="AS18" s="41">
        <v>0</v>
      </c>
      <c r="AT18" s="41">
        <v>0</v>
      </c>
      <c r="AU18" s="41">
        <v>0</v>
      </c>
      <c r="AV18" s="41">
        <v>0</v>
      </c>
      <c r="AX18" s="84">
        <f t="shared" si="8"/>
        <v>0</v>
      </c>
    </row>
    <row r="19" spans="1:50" ht="18.75" x14ac:dyDescent="0.25">
      <c r="A19" s="84">
        <f t="shared" ca="1" si="1"/>
        <v>1079.94106832135</v>
      </c>
      <c r="B19" s="6">
        <v>15</v>
      </c>
      <c r="C19" s="86" t="s">
        <v>49</v>
      </c>
      <c r="D19" s="87">
        <v>0.5</v>
      </c>
      <c r="E19" s="24">
        <v>55</v>
      </c>
      <c r="F19" s="88">
        <v>43</v>
      </c>
      <c r="G19" s="89">
        <f t="shared" si="2"/>
        <v>2365</v>
      </c>
      <c r="H19" s="90">
        <f t="shared" si="3"/>
        <v>0.19764273285400044</v>
      </c>
      <c r="I19" s="166">
        <f t="shared" si="4"/>
        <v>43.197642732854</v>
      </c>
      <c r="J19" s="91">
        <f t="shared" si="10"/>
        <v>2375.8703503069701</v>
      </c>
      <c r="K19" s="92">
        <v>52</v>
      </c>
      <c r="L19" s="89">
        <f t="shared" si="9"/>
        <v>2860</v>
      </c>
      <c r="M19" s="89">
        <f t="shared" ca="1" si="6"/>
        <v>1560</v>
      </c>
      <c r="N19" s="93">
        <f t="shared" ca="1" si="7"/>
        <v>25</v>
      </c>
      <c r="O19" s="83">
        <v>0</v>
      </c>
      <c r="P19" s="83"/>
      <c r="Q19" s="194">
        <v>28</v>
      </c>
      <c r="R19" s="41">
        <v>0</v>
      </c>
      <c r="S19" s="41">
        <v>0</v>
      </c>
      <c r="T19" s="41">
        <v>1</v>
      </c>
      <c r="U19" s="41">
        <v>0</v>
      </c>
      <c r="V19" s="41">
        <v>0</v>
      </c>
      <c r="W19" s="41">
        <v>0</v>
      </c>
      <c r="X19" s="41">
        <v>1</v>
      </c>
      <c r="Y19" s="41">
        <v>0</v>
      </c>
      <c r="Z19" s="41">
        <v>0</v>
      </c>
      <c r="AA19" s="41">
        <v>0</v>
      </c>
      <c r="AB19" s="41">
        <v>0</v>
      </c>
      <c r="AC19" s="41">
        <v>0</v>
      </c>
      <c r="AD19" s="41">
        <f ca="1">SUMIFS('Tổng Đơn'!$F:$F,'Tổng Đơn'!$B:$B,$C19)</f>
        <v>0</v>
      </c>
      <c r="AE19" s="41">
        <v>0</v>
      </c>
      <c r="AF19" s="41">
        <v>0</v>
      </c>
      <c r="AG19" s="41">
        <v>0</v>
      </c>
      <c r="AH19" s="41">
        <v>0</v>
      </c>
      <c r="AI19" s="41">
        <v>0</v>
      </c>
      <c r="AJ19" s="41">
        <v>0</v>
      </c>
      <c r="AK19" s="41">
        <v>0</v>
      </c>
      <c r="AL19" s="41">
        <v>0</v>
      </c>
      <c r="AM19" s="41">
        <v>0</v>
      </c>
      <c r="AN19" s="41">
        <v>0</v>
      </c>
      <c r="AO19" s="41">
        <v>0</v>
      </c>
      <c r="AP19" s="41">
        <v>0</v>
      </c>
      <c r="AQ19" s="41">
        <v>0</v>
      </c>
      <c r="AR19" s="41">
        <v>0</v>
      </c>
      <c r="AS19" s="41">
        <v>0</v>
      </c>
      <c r="AT19" s="41">
        <v>0</v>
      </c>
      <c r="AU19" s="41">
        <v>0</v>
      </c>
      <c r="AV19" s="41">
        <v>0</v>
      </c>
      <c r="AX19" s="84">
        <f t="shared" si="8"/>
        <v>0</v>
      </c>
    </row>
    <row r="20" spans="1:50" ht="18.75" x14ac:dyDescent="0.25">
      <c r="A20" s="84">
        <f t="shared" ca="1" si="1"/>
        <v>108.49640500344725</v>
      </c>
      <c r="B20" s="6">
        <v>16</v>
      </c>
      <c r="C20" s="86" t="s">
        <v>45</v>
      </c>
      <c r="D20" s="87">
        <v>0.5</v>
      </c>
      <c r="E20" s="24">
        <v>10</v>
      </c>
      <c r="F20" s="88">
        <v>54</v>
      </c>
      <c r="G20" s="89">
        <f>F20*E20</f>
        <v>540</v>
      </c>
      <c r="H20" s="90">
        <f t="shared" si="3"/>
        <v>0.24820250172362851</v>
      </c>
      <c r="I20" s="166">
        <f>F20+H20</f>
        <v>54.248202501723625</v>
      </c>
      <c r="J20" s="91">
        <f>I20*E20</f>
        <v>542.48202501723631</v>
      </c>
      <c r="K20" s="92">
        <v>65</v>
      </c>
      <c r="L20" s="89">
        <f t="shared" si="9"/>
        <v>650</v>
      </c>
      <c r="M20" s="89">
        <f t="shared" ca="1" si="6"/>
        <v>585</v>
      </c>
      <c r="N20" s="93">
        <f t="shared" ca="1" si="7"/>
        <v>2</v>
      </c>
      <c r="O20" s="151">
        <v>-1</v>
      </c>
      <c r="P20" s="83"/>
      <c r="Q20" s="194">
        <v>9</v>
      </c>
      <c r="R20" s="41">
        <v>0</v>
      </c>
      <c r="S20" s="41">
        <v>0</v>
      </c>
      <c r="T20" s="41">
        <v>0</v>
      </c>
      <c r="U20" s="41">
        <v>0</v>
      </c>
      <c r="V20" s="41">
        <v>0</v>
      </c>
      <c r="W20" s="41">
        <v>0</v>
      </c>
      <c r="X20" s="41">
        <v>0</v>
      </c>
      <c r="Y20" s="41">
        <v>0</v>
      </c>
      <c r="Z20" s="41">
        <v>0</v>
      </c>
      <c r="AA20" s="41">
        <v>0</v>
      </c>
      <c r="AB20" s="41">
        <v>0</v>
      </c>
      <c r="AC20" s="41">
        <v>0</v>
      </c>
      <c r="AD20" s="41">
        <f ca="1">SUMIFS('Tổng Đơn'!$F:$F,'Tổng Đơn'!$B:$B,$C20)</f>
        <v>0</v>
      </c>
      <c r="AE20" s="41">
        <v>0</v>
      </c>
      <c r="AF20" s="41">
        <v>0</v>
      </c>
      <c r="AG20" s="41">
        <v>0</v>
      </c>
      <c r="AH20" s="41">
        <v>0</v>
      </c>
      <c r="AI20" s="41">
        <v>0</v>
      </c>
      <c r="AJ20" s="41">
        <v>0</v>
      </c>
      <c r="AK20" s="41">
        <v>0</v>
      </c>
      <c r="AL20" s="41">
        <v>0</v>
      </c>
      <c r="AM20" s="41">
        <v>0</v>
      </c>
      <c r="AN20" s="41">
        <v>0</v>
      </c>
      <c r="AO20" s="41">
        <v>0</v>
      </c>
      <c r="AP20" s="41">
        <v>0</v>
      </c>
      <c r="AQ20" s="41">
        <v>0</v>
      </c>
      <c r="AR20" s="41">
        <v>0</v>
      </c>
      <c r="AS20" s="41">
        <v>0</v>
      </c>
      <c r="AT20" s="41">
        <v>0</v>
      </c>
      <c r="AU20" s="41">
        <v>0</v>
      </c>
      <c r="AV20" s="41">
        <v>0</v>
      </c>
      <c r="AX20" s="84">
        <f t="shared" si="8"/>
        <v>0</v>
      </c>
    </row>
    <row r="21" spans="1:50" ht="18.75" x14ac:dyDescent="0.25">
      <c r="A21" s="84">
        <f t="shared" ca="1" si="1"/>
        <v>1181.4052989264258</v>
      </c>
      <c r="B21" s="6">
        <v>17</v>
      </c>
      <c r="C21" s="86" t="s">
        <v>46</v>
      </c>
      <c r="D21" s="87">
        <v>0.5</v>
      </c>
      <c r="E21" s="24">
        <v>90</v>
      </c>
      <c r="F21" s="88">
        <v>49</v>
      </c>
      <c r="G21" s="89">
        <f>F21*E21</f>
        <v>4410</v>
      </c>
      <c r="H21" s="90">
        <f t="shared" si="3"/>
        <v>0.22522078860107031</v>
      </c>
      <c r="I21" s="166">
        <f>F21+H21</f>
        <v>49.225220788601071</v>
      </c>
      <c r="J21" s="91">
        <f>I21*E21</f>
        <v>4430.2698709740962</v>
      </c>
      <c r="K21" s="92">
        <v>59</v>
      </c>
      <c r="L21" s="89">
        <f t="shared" si="9"/>
        <v>5310</v>
      </c>
      <c r="M21" s="89">
        <f t="shared" ca="1" si="6"/>
        <v>4012</v>
      </c>
      <c r="N21" s="93">
        <f t="shared" ca="1" si="7"/>
        <v>24</v>
      </c>
      <c r="O21" s="83">
        <v>-2</v>
      </c>
      <c r="P21" s="83"/>
      <c r="Q21" s="194">
        <v>68</v>
      </c>
      <c r="R21" s="41">
        <v>0</v>
      </c>
      <c r="S21" s="41">
        <v>0</v>
      </c>
      <c r="T21" s="41">
        <v>0</v>
      </c>
      <c r="U21" s="41">
        <v>0</v>
      </c>
      <c r="V21" s="41">
        <v>0</v>
      </c>
      <c r="W21" s="41">
        <v>0</v>
      </c>
      <c r="X21" s="41">
        <v>0</v>
      </c>
      <c r="Y21" s="41">
        <v>0</v>
      </c>
      <c r="Z21" s="41">
        <v>0</v>
      </c>
      <c r="AA21" s="41">
        <v>0</v>
      </c>
      <c r="AB21" s="41">
        <v>0</v>
      </c>
      <c r="AC21" s="41">
        <v>0</v>
      </c>
      <c r="AD21" s="41">
        <f ca="1">SUMIFS('Tổng Đơn'!$F:$F,'Tổng Đơn'!$B:$B,$C21)</f>
        <v>0</v>
      </c>
      <c r="AE21" s="41">
        <v>0</v>
      </c>
      <c r="AF21" s="41">
        <v>0</v>
      </c>
      <c r="AG21" s="41">
        <v>0</v>
      </c>
      <c r="AH21" s="41">
        <v>0</v>
      </c>
      <c r="AI21" s="41">
        <v>0</v>
      </c>
      <c r="AJ21" s="41">
        <v>0</v>
      </c>
      <c r="AK21" s="41">
        <v>0</v>
      </c>
      <c r="AL21" s="41">
        <v>0</v>
      </c>
      <c r="AM21" s="41">
        <v>0</v>
      </c>
      <c r="AN21" s="41">
        <v>0</v>
      </c>
      <c r="AO21" s="41">
        <v>0</v>
      </c>
      <c r="AP21" s="41">
        <v>0</v>
      </c>
      <c r="AQ21" s="41">
        <v>0</v>
      </c>
      <c r="AR21" s="41">
        <v>0</v>
      </c>
      <c r="AS21" s="41">
        <v>0</v>
      </c>
      <c r="AT21" s="41">
        <v>0</v>
      </c>
      <c r="AU21" s="41">
        <v>0</v>
      </c>
      <c r="AV21" s="41">
        <v>0</v>
      </c>
      <c r="AX21" s="84">
        <f t="shared" si="8"/>
        <v>0</v>
      </c>
    </row>
    <row r="22" spans="1:50" ht="18.75" x14ac:dyDescent="0.25">
      <c r="A22" s="84">
        <f t="shared" ca="1" si="1"/>
        <v>464.12351029252437</v>
      </c>
      <c r="B22" s="6">
        <v>18</v>
      </c>
      <c r="C22" s="86" t="s">
        <v>47</v>
      </c>
      <c r="D22" s="87">
        <v>0.5</v>
      </c>
      <c r="E22" s="24">
        <v>25</v>
      </c>
      <c r="F22" s="88">
        <v>66</v>
      </c>
      <c r="G22" s="89">
        <f>F22*E22</f>
        <v>1650</v>
      </c>
      <c r="H22" s="90">
        <f t="shared" si="3"/>
        <v>0.30335861321776819</v>
      </c>
      <c r="I22" s="166">
        <f>F22+H22</f>
        <v>66.303358613217767</v>
      </c>
      <c r="J22" s="91">
        <f>I22*E22</f>
        <v>1657.5839653304442</v>
      </c>
      <c r="K22" s="92">
        <v>79</v>
      </c>
      <c r="L22" s="89">
        <f t="shared" si="9"/>
        <v>1975</v>
      </c>
      <c r="M22" s="89">
        <f t="shared" ca="1" si="6"/>
        <v>1580</v>
      </c>
      <c r="N22" s="93">
        <f t="shared" ca="1" si="7"/>
        <v>7</v>
      </c>
      <c r="O22" s="83">
        <v>-2</v>
      </c>
      <c r="P22" s="83"/>
      <c r="Q22" s="194">
        <v>18</v>
      </c>
      <c r="R22" s="41">
        <v>0</v>
      </c>
      <c r="S22" s="41">
        <v>2</v>
      </c>
      <c r="T22" s="41">
        <v>0</v>
      </c>
      <c r="U22" s="41">
        <v>0</v>
      </c>
      <c r="V22" s="41">
        <v>0</v>
      </c>
      <c r="W22" s="41">
        <v>0</v>
      </c>
      <c r="X22" s="41">
        <v>0</v>
      </c>
      <c r="Y22" s="41">
        <v>0</v>
      </c>
      <c r="Z22" s="41">
        <v>0</v>
      </c>
      <c r="AA22" s="41">
        <v>0</v>
      </c>
      <c r="AB22" s="41">
        <v>0</v>
      </c>
      <c r="AC22" s="41">
        <v>0</v>
      </c>
      <c r="AD22" s="41">
        <f ca="1">SUMIFS('Tổng Đơn'!$F:$F,'Tổng Đơn'!$B:$B,$C22)</f>
        <v>0</v>
      </c>
      <c r="AE22" s="41">
        <v>0</v>
      </c>
      <c r="AF22" s="41">
        <v>0</v>
      </c>
      <c r="AG22" s="41">
        <v>0</v>
      </c>
      <c r="AH22" s="41">
        <v>0</v>
      </c>
      <c r="AI22" s="41">
        <v>0</v>
      </c>
      <c r="AJ22" s="41">
        <v>0</v>
      </c>
      <c r="AK22" s="41">
        <v>0</v>
      </c>
      <c r="AL22" s="41">
        <v>0</v>
      </c>
      <c r="AM22" s="41">
        <v>0</v>
      </c>
      <c r="AN22" s="41">
        <v>0</v>
      </c>
      <c r="AO22" s="41">
        <v>0</v>
      </c>
      <c r="AP22" s="41">
        <v>0</v>
      </c>
      <c r="AQ22" s="41">
        <v>0</v>
      </c>
      <c r="AR22" s="41">
        <v>0</v>
      </c>
      <c r="AS22" s="41">
        <v>0</v>
      </c>
      <c r="AT22" s="41">
        <v>0</v>
      </c>
      <c r="AU22" s="41">
        <v>0</v>
      </c>
      <c r="AV22" s="41">
        <v>0</v>
      </c>
      <c r="AX22" s="84">
        <f t="shared" si="8"/>
        <v>0</v>
      </c>
    </row>
    <row r="23" spans="1:50" ht="18.75" x14ac:dyDescent="0.25">
      <c r="A23" s="84">
        <f t="shared" ca="1" si="1"/>
        <v>1573.1978725499853</v>
      </c>
      <c r="B23" s="6">
        <v>19</v>
      </c>
      <c r="C23" s="86" t="s">
        <v>163</v>
      </c>
      <c r="D23" s="87">
        <v>0.5</v>
      </c>
      <c r="E23" s="24">
        <v>200</v>
      </c>
      <c r="F23" s="88">
        <v>58</v>
      </c>
      <c r="G23" s="89">
        <f>F23*E23</f>
        <v>11600</v>
      </c>
      <c r="H23" s="90">
        <f t="shared" si="3"/>
        <v>0.26658787222167502</v>
      </c>
      <c r="I23" s="166">
        <f>F23+H23</f>
        <v>58.266587872221677</v>
      </c>
      <c r="J23" s="91">
        <f>I23*E23</f>
        <v>11653.317574444336</v>
      </c>
      <c r="K23" s="92">
        <v>69</v>
      </c>
      <c r="L23" s="89">
        <f t="shared" si="9"/>
        <v>13800</v>
      </c>
      <c r="M23" s="89">
        <f t="shared" ca="1" si="6"/>
        <v>11868</v>
      </c>
      <c r="N23" s="93">
        <f t="shared" ca="1" si="7"/>
        <v>27</v>
      </c>
      <c r="O23" s="83">
        <v>0</v>
      </c>
      <c r="P23" s="83">
        <v>1</v>
      </c>
      <c r="Q23" s="194">
        <v>149</v>
      </c>
      <c r="R23" s="41">
        <v>1</v>
      </c>
      <c r="S23" s="41">
        <v>1</v>
      </c>
      <c r="T23" s="41">
        <v>4</v>
      </c>
      <c r="U23" s="41">
        <v>0</v>
      </c>
      <c r="V23" s="41">
        <v>2</v>
      </c>
      <c r="W23" s="41">
        <v>10</v>
      </c>
      <c r="X23" s="41">
        <v>0</v>
      </c>
      <c r="Y23" s="41">
        <v>0</v>
      </c>
      <c r="Z23" s="41">
        <v>0</v>
      </c>
      <c r="AA23" s="41">
        <v>4</v>
      </c>
      <c r="AB23" s="41">
        <v>1</v>
      </c>
      <c r="AC23" s="41">
        <v>0</v>
      </c>
      <c r="AD23" s="41">
        <f ca="1">SUMIFS('Tổng Đơn'!$F:$F,'Tổng Đơn'!$B:$B,$C23)</f>
        <v>0</v>
      </c>
      <c r="AE23" s="41">
        <v>0</v>
      </c>
      <c r="AF23" s="41">
        <v>0</v>
      </c>
      <c r="AG23" s="41">
        <v>0</v>
      </c>
      <c r="AH23" s="41">
        <v>0</v>
      </c>
      <c r="AI23" s="41">
        <v>0</v>
      </c>
      <c r="AJ23" s="41">
        <v>0</v>
      </c>
      <c r="AK23" s="41">
        <v>0</v>
      </c>
      <c r="AL23" s="41">
        <v>0</v>
      </c>
      <c r="AM23" s="41">
        <v>0</v>
      </c>
      <c r="AN23" s="41">
        <v>0</v>
      </c>
      <c r="AO23" s="41">
        <v>0</v>
      </c>
      <c r="AP23" s="41">
        <v>0</v>
      </c>
      <c r="AQ23" s="41">
        <v>0</v>
      </c>
      <c r="AR23" s="41">
        <v>0</v>
      </c>
      <c r="AS23" s="41">
        <v>0</v>
      </c>
      <c r="AT23" s="41">
        <v>0</v>
      </c>
      <c r="AU23" s="41">
        <v>0</v>
      </c>
      <c r="AV23" s="41">
        <v>0</v>
      </c>
      <c r="AX23" s="84">
        <f t="shared" si="8"/>
        <v>0</v>
      </c>
    </row>
    <row r="24" spans="1:50" ht="18.75" x14ac:dyDescent="0.25">
      <c r="A24" s="84">
        <f t="shared" ca="1" si="1"/>
        <v>1139.2122525361963</v>
      </c>
      <c r="B24" s="6">
        <v>20</v>
      </c>
      <c r="C24" s="86" t="s">
        <v>165</v>
      </c>
      <c r="D24" s="87">
        <v>0.5</v>
      </c>
      <c r="E24" s="24">
        <v>47</v>
      </c>
      <c r="F24" s="88">
        <v>63</v>
      </c>
      <c r="G24" s="89">
        <f>F24*E24</f>
        <v>2961</v>
      </c>
      <c r="H24" s="90">
        <f t="shared" si="3"/>
        <v>0.28956958534423322</v>
      </c>
      <c r="I24" s="166">
        <f>F24+H24</f>
        <v>63.289569585344232</v>
      </c>
      <c r="J24" s="91">
        <f>I24*E24</f>
        <v>2974.6097705111788</v>
      </c>
      <c r="K24" s="92">
        <v>76</v>
      </c>
      <c r="L24" s="89">
        <f t="shared" si="9"/>
        <v>3572</v>
      </c>
      <c r="M24" s="89">
        <f t="shared" ca="1" si="6"/>
        <v>2204</v>
      </c>
      <c r="N24" s="93">
        <f t="shared" ca="1" si="7"/>
        <v>18</v>
      </c>
      <c r="O24" s="83">
        <v>0</v>
      </c>
      <c r="P24" s="83"/>
      <c r="Q24" s="194">
        <v>25</v>
      </c>
      <c r="R24" s="41">
        <v>0</v>
      </c>
      <c r="S24" s="41">
        <v>0</v>
      </c>
      <c r="T24" s="41">
        <v>0</v>
      </c>
      <c r="U24" s="41">
        <v>0</v>
      </c>
      <c r="V24" s="41">
        <v>0</v>
      </c>
      <c r="W24" s="41">
        <v>0</v>
      </c>
      <c r="X24" s="41">
        <v>0</v>
      </c>
      <c r="Y24" s="41">
        <v>0</v>
      </c>
      <c r="Z24" s="41">
        <v>0</v>
      </c>
      <c r="AA24" s="41">
        <v>0</v>
      </c>
      <c r="AB24" s="41">
        <v>4</v>
      </c>
      <c r="AC24" s="41">
        <v>0</v>
      </c>
      <c r="AD24" s="41">
        <f ca="1">SUMIFS('Tổng Đơn'!$F:$F,'Tổng Đơn'!$B:$B,$C24)</f>
        <v>0</v>
      </c>
      <c r="AE24" s="41">
        <v>0</v>
      </c>
      <c r="AF24" s="41">
        <v>0</v>
      </c>
      <c r="AG24" s="41">
        <v>0</v>
      </c>
      <c r="AH24" s="41">
        <v>0</v>
      </c>
      <c r="AI24" s="41">
        <v>0</v>
      </c>
      <c r="AJ24" s="41">
        <v>0</v>
      </c>
      <c r="AK24" s="41">
        <v>0</v>
      </c>
      <c r="AL24" s="41">
        <v>0</v>
      </c>
      <c r="AM24" s="41">
        <v>0</v>
      </c>
      <c r="AN24" s="41">
        <v>0</v>
      </c>
      <c r="AO24" s="41">
        <v>0</v>
      </c>
      <c r="AP24" s="41">
        <v>0</v>
      </c>
      <c r="AQ24" s="41">
        <v>0</v>
      </c>
      <c r="AR24" s="41">
        <v>0</v>
      </c>
      <c r="AS24" s="41">
        <v>0</v>
      </c>
      <c r="AT24" s="41">
        <v>0</v>
      </c>
      <c r="AU24" s="41">
        <v>0</v>
      </c>
      <c r="AV24" s="41">
        <v>0</v>
      </c>
      <c r="AX24" s="84">
        <f t="shared" si="8"/>
        <v>0</v>
      </c>
    </row>
  </sheetData>
  <autoFilter ref="B4:AW24"/>
  <mergeCells count="1">
    <mergeCell ref="B1:L1"/>
  </mergeCells>
  <conditionalFormatting sqref="C5:C24">
    <cfRule type="expression" dxfId="503" priority="18">
      <formula>($N5/$E5)&lt;=1/4</formula>
    </cfRule>
  </conditionalFormatting>
  <pageMargins left="0.7" right="0.7" top="0.75" bottom="0.75" header="0.3" footer="0.3"/>
  <pageSetup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rgb="FF00B050"/>
  </sheetPr>
  <dimension ref="A1:AX24"/>
  <sheetViews>
    <sheetView topLeftCell="A2" zoomScale="90" zoomScaleNormal="90" workbookViewId="0">
      <pane xSplit="17" ySplit="3" topLeftCell="R5" activePane="bottomRight" state="frozen"/>
      <selection activeCell="A2" sqref="A2"/>
      <selection pane="topRight" activeCell="R2" sqref="R2"/>
      <selection pane="bottomLeft" activeCell="A5" sqref="A5"/>
      <selection pane="bottomRight" activeCell="AC11" sqref="AC11"/>
    </sheetView>
  </sheetViews>
  <sheetFormatPr defaultRowHeight="15" x14ac:dyDescent="0.25"/>
  <cols>
    <col min="1" max="1" width="16.28515625" style="84" customWidth="1"/>
    <col min="2" max="2" width="9.140625" style="84"/>
    <col min="3" max="3" width="38.7109375" style="84" customWidth="1"/>
    <col min="4" max="4" width="9" style="84" customWidth="1"/>
    <col min="5" max="5" width="7.140625" style="84" customWidth="1"/>
    <col min="6" max="6" width="10.28515625" style="84" bestFit="1" customWidth="1"/>
    <col min="7" max="7" width="9.7109375" style="84" customWidth="1"/>
    <col min="8" max="8" width="12.85546875" style="84" hidden="1" customWidth="1"/>
    <col min="9" max="9" width="14.85546875" style="84" hidden="1" customWidth="1"/>
    <col min="10" max="10" width="11.7109375" style="84" customWidth="1"/>
    <col min="11" max="11" width="14.85546875" style="84" hidden="1" customWidth="1"/>
    <col min="12" max="12" width="12" style="84" customWidth="1"/>
    <col min="13" max="14" width="16.28515625" style="84" hidden="1" customWidth="1"/>
    <col min="15" max="15" width="9.140625" style="84"/>
    <col min="16" max="16" width="13.140625" style="84" customWidth="1"/>
    <col min="17" max="17" width="9.140625" style="84" customWidth="1"/>
    <col min="18" max="35" width="4.5703125" style="84" customWidth="1"/>
    <col min="36" max="36" width="4.7109375" style="84" bestFit="1" customWidth="1"/>
    <col min="37" max="48" width="4.5703125" style="84" customWidth="1"/>
    <col min="49" max="49" width="9.140625" style="84"/>
    <col min="50" max="50" width="12" style="84" bestFit="1" customWidth="1"/>
    <col min="51" max="16384" width="9.140625" style="84"/>
  </cols>
  <sheetData>
    <row r="1" spans="1:50" hidden="1" x14ac:dyDescent="0.25">
      <c r="B1" s="223" t="s">
        <v>59</v>
      </c>
      <c r="C1" s="223"/>
      <c r="D1" s="223"/>
      <c r="E1" s="223"/>
      <c r="F1" s="223"/>
      <c r="G1" s="223"/>
      <c r="H1" s="223"/>
      <c r="I1" s="223"/>
      <c r="J1" s="223"/>
      <c r="K1" s="223"/>
      <c r="L1" s="223"/>
      <c r="M1" s="223"/>
      <c r="N1" s="85"/>
    </row>
    <row r="2" spans="1:50" ht="34.5" customHeight="1" x14ac:dyDescent="0.25">
      <c r="A2" s="1">
        <f>370+100+80+150+170+60+300+200</f>
        <v>1430</v>
      </c>
      <c r="F2" s="13">
        <f>SUMPRODUCT((E5:E18)*(F5:F18))</f>
        <v>536</v>
      </c>
      <c r="H2" s="186">
        <f>880+1311</f>
        <v>2191</v>
      </c>
      <c r="K2" s="186">
        <f>902+1343</f>
        <v>2245</v>
      </c>
      <c r="L2" s="13"/>
      <c r="M2" s="186">
        <f>1080+1520</f>
        <v>2600</v>
      </c>
      <c r="N2" s="186">
        <f>1053+1520</f>
        <v>2573</v>
      </c>
      <c r="P2" s="84">
        <f>26+25+30+35+43</f>
        <v>159</v>
      </c>
      <c r="AW2" s="84">
        <f>120+46+84+70+26+42+38+42</f>
        <v>468</v>
      </c>
      <c r="AX2" s="160"/>
    </row>
    <row r="3" spans="1:50" ht="31.5" customHeight="1" x14ac:dyDescent="0.25">
      <c r="A3" s="75" t="s">
        <v>127</v>
      </c>
      <c r="B3" s="3" t="s">
        <v>0</v>
      </c>
      <c r="C3" s="3" t="s">
        <v>17</v>
      </c>
      <c r="D3" s="20" t="s">
        <v>62</v>
      </c>
      <c r="E3" s="5" t="s">
        <v>157</v>
      </c>
      <c r="F3" s="136" t="s">
        <v>156</v>
      </c>
      <c r="G3" s="4" t="s">
        <v>18</v>
      </c>
      <c r="H3" s="4" t="s">
        <v>19</v>
      </c>
      <c r="I3" s="9" t="s">
        <v>20</v>
      </c>
      <c r="J3" s="9" t="s">
        <v>21</v>
      </c>
      <c r="K3" s="9" t="s">
        <v>24</v>
      </c>
      <c r="L3" s="10" t="s">
        <v>22</v>
      </c>
      <c r="M3" s="11" t="s">
        <v>23</v>
      </c>
      <c r="N3" s="11" t="s">
        <v>122</v>
      </c>
      <c r="O3" s="35" t="s">
        <v>60</v>
      </c>
      <c r="P3" s="82" t="s">
        <v>146</v>
      </c>
      <c r="Q3" s="38" t="s">
        <v>278</v>
      </c>
      <c r="R3" s="36" t="s">
        <v>189</v>
      </c>
      <c r="S3" s="38" t="s">
        <v>191</v>
      </c>
      <c r="T3" s="36" t="s">
        <v>192</v>
      </c>
      <c r="U3" s="38" t="s">
        <v>193</v>
      </c>
      <c r="V3" s="36" t="s">
        <v>194</v>
      </c>
      <c r="W3" s="38" t="s">
        <v>195</v>
      </c>
      <c r="X3" s="36" t="s">
        <v>196</v>
      </c>
      <c r="Y3" s="38" t="s">
        <v>197</v>
      </c>
      <c r="Z3" s="36" t="s">
        <v>198</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row>
    <row r="4" spans="1:50" s="63" customFormat="1" ht="27" customHeight="1" x14ac:dyDescent="0.25">
      <c r="A4" s="72">
        <f ca="1">SUBTOTAL(9,A5:A24)</f>
        <v>22896.503789138878</v>
      </c>
      <c r="B4" s="19"/>
      <c r="C4" s="19"/>
      <c r="D4" s="64"/>
      <c r="E4" s="19">
        <f>SUMPRODUCT((E5:E24)*(F5:F24))</f>
        <v>859.5</v>
      </c>
      <c r="F4" s="19">
        <f>SUBTOTAL(9,F5:F24)</f>
        <v>1841</v>
      </c>
      <c r="G4" s="7"/>
      <c r="H4" s="7">
        <f>SUBTOTAL(9,H5:H24)+H2</f>
        <v>64005.289473684214</v>
      </c>
      <c r="I4" s="12"/>
      <c r="J4" s="12"/>
      <c r="K4" s="12">
        <f>SUBTOTAL(9,K5:K24)+K2</f>
        <v>65440.338363146875</v>
      </c>
      <c r="L4" s="65"/>
      <c r="M4" s="7">
        <f>SUBTOTAL(9,M5:M24)+M2</f>
        <v>76777</v>
      </c>
      <c r="N4" s="7">
        <f ca="1">SUBTOTAL(9,N5:N24)+N2</f>
        <v>50546</v>
      </c>
      <c r="O4" s="66">
        <f t="shared" ref="O4:AV4" ca="1" si="0">SUBTOTAL(9,O5:O24)</f>
        <v>619</v>
      </c>
      <c r="P4" s="101">
        <f t="shared" si="0"/>
        <v>3</v>
      </c>
      <c r="Q4" s="101">
        <f t="shared" si="0"/>
        <v>859</v>
      </c>
      <c r="R4" s="40">
        <f t="shared" si="0"/>
        <v>20</v>
      </c>
      <c r="S4" s="40">
        <f t="shared" si="0"/>
        <v>24</v>
      </c>
      <c r="T4" s="40">
        <f t="shared" si="0"/>
        <v>14</v>
      </c>
      <c r="U4" s="40">
        <f t="shared" si="0"/>
        <v>38</v>
      </c>
      <c r="V4" s="40">
        <f t="shared" si="0"/>
        <v>44</v>
      </c>
      <c r="W4" s="40">
        <f t="shared" si="0"/>
        <v>20</v>
      </c>
      <c r="X4" s="40">
        <f t="shared" si="0"/>
        <v>2</v>
      </c>
      <c r="Y4" s="40">
        <f t="shared" si="0"/>
        <v>59</v>
      </c>
      <c r="Z4" s="40">
        <f t="shared" si="0"/>
        <v>30</v>
      </c>
      <c r="AA4" s="40">
        <f t="shared" si="0"/>
        <v>41</v>
      </c>
      <c r="AB4" s="40">
        <f t="shared" si="0"/>
        <v>23</v>
      </c>
      <c r="AC4" s="40">
        <f t="shared" si="0"/>
        <v>17</v>
      </c>
      <c r="AD4" s="40">
        <f t="shared" ca="1" si="0"/>
        <v>28</v>
      </c>
      <c r="AE4" s="40">
        <f t="shared" si="0"/>
        <v>0</v>
      </c>
      <c r="AF4" s="40">
        <f t="shared" si="0"/>
        <v>0</v>
      </c>
      <c r="AG4" s="40">
        <f t="shared" si="0"/>
        <v>0</v>
      </c>
      <c r="AH4" s="40">
        <f t="shared" si="0"/>
        <v>0</v>
      </c>
      <c r="AI4" s="40">
        <f t="shared" si="0"/>
        <v>0</v>
      </c>
      <c r="AJ4" s="40">
        <f t="shared" si="0"/>
        <v>0</v>
      </c>
      <c r="AK4" s="40">
        <f t="shared" si="0"/>
        <v>0</v>
      </c>
      <c r="AL4" s="40">
        <f t="shared" si="0"/>
        <v>0</v>
      </c>
      <c r="AM4" s="40">
        <f t="shared" si="0"/>
        <v>0</v>
      </c>
      <c r="AN4" s="40">
        <f t="shared" si="0"/>
        <v>0</v>
      </c>
      <c r="AO4" s="40">
        <f t="shared" si="0"/>
        <v>0</v>
      </c>
      <c r="AP4" s="40">
        <f t="shared" si="0"/>
        <v>0</v>
      </c>
      <c r="AQ4" s="40">
        <f t="shared" si="0"/>
        <v>0</v>
      </c>
      <c r="AR4" s="40">
        <f t="shared" si="0"/>
        <v>0</v>
      </c>
      <c r="AS4" s="40">
        <f t="shared" si="0"/>
        <v>0</v>
      </c>
      <c r="AT4" s="40">
        <f t="shared" si="0"/>
        <v>0</v>
      </c>
      <c r="AU4" s="40">
        <f t="shared" si="0"/>
        <v>0</v>
      </c>
      <c r="AV4" s="40">
        <f t="shared" si="0"/>
        <v>0</v>
      </c>
      <c r="AW4" s="58" t="str">
        <f>SUMPRODUCT(($AW$5:$AW$23)*($E$5:$E$23))&amp;" Kg"</f>
        <v>30 Kg</v>
      </c>
      <c r="AX4" s="104">
        <f>SUBTOTAL(9,AX5:AX24)</f>
        <v>2430</v>
      </c>
    </row>
    <row r="5" spans="1:50" ht="18.75" x14ac:dyDescent="0.25">
      <c r="A5" s="84">
        <f t="shared" ref="A5:A24" ca="1" si="1">J5*O5</f>
        <v>0</v>
      </c>
      <c r="B5" s="6">
        <v>1</v>
      </c>
      <c r="C5" s="86" t="s">
        <v>161</v>
      </c>
      <c r="D5" s="94">
        <f>G5*2</f>
        <v>63</v>
      </c>
      <c r="E5" s="87">
        <v>0.5</v>
      </c>
      <c r="F5" s="139">
        <f>160+41</f>
        <v>201</v>
      </c>
      <c r="G5" s="88">
        <v>31.5</v>
      </c>
      <c r="H5" s="89">
        <f t="shared" ref="H5:H19" si="2">G5*F5</f>
        <v>6331.5</v>
      </c>
      <c r="I5" s="90">
        <f t="shared" ref="I5:I19" si="3">((H5/$H$4)*$A$2)/F5</f>
        <v>0.70376995980184198</v>
      </c>
      <c r="J5" s="166">
        <f t="shared" ref="J5:J17" si="4">G5+I5</f>
        <v>32.203769959801839</v>
      </c>
      <c r="K5" s="91">
        <f>J5*F5</f>
        <v>6472.95776192017</v>
      </c>
      <c r="L5" s="95">
        <v>45</v>
      </c>
      <c r="M5" s="89">
        <f t="shared" ref="M5:M18" si="5">L5*F5</f>
        <v>9045</v>
      </c>
      <c r="N5" s="89">
        <f t="shared" ref="N5:N24" ca="1" si="6">SUMPRODUCT(($Q5:$AV5)*$L5)</f>
        <v>9000</v>
      </c>
      <c r="O5" s="96">
        <f t="shared" ref="O5:O23" ca="1" si="7">F5-SUM(Q5:AV5)-P5</f>
        <v>0</v>
      </c>
      <c r="P5" s="83">
        <v>1</v>
      </c>
      <c r="Q5" s="194">
        <v>134</v>
      </c>
      <c r="R5" s="37">
        <v>4</v>
      </c>
      <c r="S5" s="37">
        <v>4</v>
      </c>
      <c r="T5" s="37">
        <v>3</v>
      </c>
      <c r="U5" s="37">
        <v>11</v>
      </c>
      <c r="V5" s="37">
        <v>1</v>
      </c>
      <c r="W5" s="37">
        <v>2</v>
      </c>
      <c r="X5" s="37">
        <v>0</v>
      </c>
      <c r="Y5" s="37">
        <v>15</v>
      </c>
      <c r="Z5" s="37">
        <v>5</v>
      </c>
      <c r="AA5" s="37">
        <v>6</v>
      </c>
      <c r="AB5" s="37">
        <v>3</v>
      </c>
      <c r="AC5" s="37">
        <v>5</v>
      </c>
      <c r="AD5" s="37">
        <f ca="1">SUMIFS('Tổng Đơn'!$F:$F,'Tổng Đơn'!$B:$B,$C5)</f>
        <v>7</v>
      </c>
      <c r="AE5" s="37">
        <v>0</v>
      </c>
      <c r="AF5" s="37">
        <v>0</v>
      </c>
      <c r="AG5" s="37">
        <v>0</v>
      </c>
      <c r="AH5" s="37">
        <v>0</v>
      </c>
      <c r="AI5" s="37">
        <v>0</v>
      </c>
      <c r="AJ5" s="37">
        <v>0</v>
      </c>
      <c r="AK5" s="37">
        <v>0</v>
      </c>
      <c r="AL5" s="37">
        <v>0</v>
      </c>
      <c r="AM5" s="37">
        <v>0</v>
      </c>
      <c r="AN5" s="37">
        <v>0</v>
      </c>
      <c r="AO5" s="37">
        <v>0</v>
      </c>
      <c r="AP5" s="37">
        <v>0</v>
      </c>
      <c r="AQ5" s="37">
        <v>0</v>
      </c>
      <c r="AR5" s="37">
        <v>0</v>
      </c>
      <c r="AS5" s="37">
        <v>0</v>
      </c>
      <c r="AT5" s="37">
        <v>0</v>
      </c>
      <c r="AU5" s="37">
        <v>0</v>
      </c>
      <c r="AV5" s="37">
        <v>0</v>
      </c>
      <c r="AW5" s="84">
        <v>0</v>
      </c>
      <c r="AX5" s="84">
        <f t="shared" ref="AX5:AX23" si="8">AW5*G5</f>
        <v>0</v>
      </c>
    </row>
    <row r="6" spans="1:50" ht="18.75" x14ac:dyDescent="0.25">
      <c r="A6" s="84">
        <f t="shared" ca="1" si="1"/>
        <v>2194.4568958322116</v>
      </c>
      <c r="B6" s="6">
        <v>2</v>
      </c>
      <c r="C6" s="86" t="s">
        <v>295</v>
      </c>
      <c r="D6" s="94">
        <v>81</v>
      </c>
      <c r="E6" s="87">
        <v>0.5</v>
      </c>
      <c r="F6" s="139">
        <f>20+60</f>
        <v>80</v>
      </c>
      <c r="G6" s="88">
        <v>40.5</v>
      </c>
      <c r="H6" s="89">
        <f t="shared" si="2"/>
        <v>3240</v>
      </c>
      <c r="I6" s="90">
        <f t="shared" si="3"/>
        <v>0.90484709117379691</v>
      </c>
      <c r="J6" s="166">
        <f t="shared" si="4"/>
        <v>41.404847091173799</v>
      </c>
      <c r="K6" s="91">
        <f t="shared" ref="K6:K17" si="9">J6*F6</f>
        <v>3312.3877672939038</v>
      </c>
      <c r="L6" s="95">
        <v>46</v>
      </c>
      <c r="M6" s="89">
        <f t="shared" si="5"/>
        <v>3680</v>
      </c>
      <c r="N6" s="89">
        <f t="shared" ca="1" si="6"/>
        <v>1242</v>
      </c>
      <c r="O6" s="96">
        <f t="shared" ca="1" si="7"/>
        <v>53</v>
      </c>
      <c r="P6" s="83">
        <v>0</v>
      </c>
      <c r="Q6" s="194">
        <v>0</v>
      </c>
      <c r="R6" s="37">
        <v>0</v>
      </c>
      <c r="S6" s="37">
        <v>0</v>
      </c>
      <c r="T6" s="37">
        <v>0</v>
      </c>
      <c r="U6" s="37">
        <v>0</v>
      </c>
      <c r="V6" s="37">
        <v>0</v>
      </c>
      <c r="W6" s="37">
        <v>0</v>
      </c>
      <c r="X6" s="37">
        <v>0</v>
      </c>
      <c r="Y6" s="37">
        <v>15</v>
      </c>
      <c r="Z6" s="37">
        <v>2</v>
      </c>
      <c r="AA6" s="37">
        <v>3</v>
      </c>
      <c r="AB6" s="37">
        <v>0</v>
      </c>
      <c r="AC6" s="37">
        <v>0</v>
      </c>
      <c r="AD6" s="37">
        <f ca="1">SUMIFS('Tổng Đơn'!$F:$F,'Tổng Đơn'!$B:$B,$C6)</f>
        <v>7</v>
      </c>
      <c r="AE6" s="37">
        <v>0</v>
      </c>
      <c r="AF6" s="37">
        <v>0</v>
      </c>
      <c r="AG6" s="37">
        <v>0</v>
      </c>
      <c r="AH6" s="37">
        <v>0</v>
      </c>
      <c r="AI6" s="37">
        <v>0</v>
      </c>
      <c r="AJ6" s="37">
        <v>0</v>
      </c>
      <c r="AK6" s="37">
        <v>0</v>
      </c>
      <c r="AL6" s="37">
        <v>0</v>
      </c>
      <c r="AM6" s="37">
        <v>0</v>
      </c>
      <c r="AN6" s="37">
        <v>0</v>
      </c>
      <c r="AO6" s="37">
        <v>0</v>
      </c>
      <c r="AP6" s="37">
        <v>0</v>
      </c>
      <c r="AQ6" s="37">
        <v>0</v>
      </c>
      <c r="AR6" s="37">
        <v>0</v>
      </c>
      <c r="AS6" s="37">
        <v>0</v>
      </c>
      <c r="AT6" s="37">
        <v>0</v>
      </c>
      <c r="AU6" s="37">
        <v>0</v>
      </c>
      <c r="AV6" s="37">
        <v>0</v>
      </c>
      <c r="AW6" s="84">
        <v>60</v>
      </c>
      <c r="AX6" s="84">
        <f t="shared" si="8"/>
        <v>2430</v>
      </c>
    </row>
    <row r="7" spans="1:50" ht="18.75" x14ac:dyDescent="0.25">
      <c r="A7" s="84">
        <f t="shared" ca="1" si="1"/>
        <v>465.16556608602662</v>
      </c>
      <c r="B7" s="6">
        <v>3</v>
      </c>
      <c r="C7" s="86" t="s">
        <v>30</v>
      </c>
      <c r="D7" s="94">
        <f t="shared" ref="D7:D17" si="10">G7*2</f>
        <v>65</v>
      </c>
      <c r="E7" s="87">
        <v>0.5</v>
      </c>
      <c r="F7" s="139">
        <f>120</f>
        <v>120</v>
      </c>
      <c r="G7" s="88">
        <v>32.5</v>
      </c>
      <c r="H7" s="89">
        <f t="shared" si="2"/>
        <v>3900</v>
      </c>
      <c r="I7" s="90">
        <f t="shared" si="3"/>
        <v>0.72611186328761479</v>
      </c>
      <c r="J7" s="166">
        <f t="shared" si="4"/>
        <v>33.226111863287613</v>
      </c>
      <c r="K7" s="91">
        <f t="shared" si="9"/>
        <v>3987.1334235945137</v>
      </c>
      <c r="L7" s="95">
        <v>38</v>
      </c>
      <c r="M7" s="89">
        <f t="shared" si="5"/>
        <v>4560</v>
      </c>
      <c r="N7" s="89">
        <f t="shared" ca="1" si="6"/>
        <v>3990</v>
      </c>
      <c r="O7" s="96">
        <f t="shared" ca="1" si="7"/>
        <v>14</v>
      </c>
      <c r="P7" s="83">
        <v>1</v>
      </c>
      <c r="Q7" s="194">
        <v>79</v>
      </c>
      <c r="R7" s="37">
        <v>1</v>
      </c>
      <c r="S7" s="37">
        <v>0</v>
      </c>
      <c r="T7" s="37">
        <v>2</v>
      </c>
      <c r="U7" s="37">
        <v>8</v>
      </c>
      <c r="V7" s="37">
        <v>6</v>
      </c>
      <c r="W7" s="37">
        <v>2</v>
      </c>
      <c r="X7" s="37">
        <v>0</v>
      </c>
      <c r="Y7" s="37">
        <v>0</v>
      </c>
      <c r="Z7" s="37">
        <v>0</v>
      </c>
      <c r="AA7" s="37">
        <v>0</v>
      </c>
      <c r="AB7" s="37">
        <v>6</v>
      </c>
      <c r="AC7" s="37">
        <v>0</v>
      </c>
      <c r="AD7" s="37">
        <f ca="1">SUMIFS('Tổng Đơn'!$F:$F,'Tổng Đơn'!$B:$B,$C7)</f>
        <v>1</v>
      </c>
      <c r="AE7" s="37">
        <v>0</v>
      </c>
      <c r="AF7" s="37">
        <v>0</v>
      </c>
      <c r="AG7" s="37">
        <v>0</v>
      </c>
      <c r="AH7" s="37">
        <v>0</v>
      </c>
      <c r="AI7" s="37">
        <v>0</v>
      </c>
      <c r="AJ7" s="37">
        <v>0</v>
      </c>
      <c r="AK7" s="37">
        <v>0</v>
      </c>
      <c r="AL7" s="37">
        <v>0</v>
      </c>
      <c r="AM7" s="37">
        <v>0</v>
      </c>
      <c r="AN7" s="37">
        <v>0</v>
      </c>
      <c r="AO7" s="37">
        <v>0</v>
      </c>
      <c r="AP7" s="37">
        <v>0</v>
      </c>
      <c r="AQ7" s="37">
        <v>0</v>
      </c>
      <c r="AR7" s="37">
        <v>0</v>
      </c>
      <c r="AS7" s="37">
        <v>0</v>
      </c>
      <c r="AT7" s="37">
        <v>0</v>
      </c>
      <c r="AU7" s="37">
        <v>0</v>
      </c>
      <c r="AV7" s="37">
        <v>0</v>
      </c>
      <c r="AW7" s="84">
        <v>0</v>
      </c>
      <c r="AX7" s="84">
        <f t="shared" si="8"/>
        <v>0</v>
      </c>
    </row>
    <row r="8" spans="1:50" ht="18.75" x14ac:dyDescent="0.25">
      <c r="A8" s="84">
        <f t="shared" ca="1" si="1"/>
        <v>736.08617050975636</v>
      </c>
      <c r="B8" s="6">
        <v>4</v>
      </c>
      <c r="C8" s="86" t="s">
        <v>29</v>
      </c>
      <c r="D8" s="94">
        <f t="shared" si="10"/>
        <v>80</v>
      </c>
      <c r="E8" s="87">
        <v>0.5</v>
      </c>
      <c r="F8" s="139">
        <f>70+30</f>
        <v>100</v>
      </c>
      <c r="G8" s="88">
        <v>40</v>
      </c>
      <c r="H8" s="89">
        <f t="shared" si="2"/>
        <v>4000</v>
      </c>
      <c r="I8" s="90">
        <f t="shared" si="3"/>
        <v>0.8936761394309104</v>
      </c>
      <c r="J8" s="166">
        <f t="shared" si="4"/>
        <v>40.893676139430909</v>
      </c>
      <c r="K8" s="91">
        <f t="shared" si="9"/>
        <v>4089.3676139430909</v>
      </c>
      <c r="L8" s="95">
        <v>45</v>
      </c>
      <c r="M8" s="89">
        <f t="shared" si="5"/>
        <v>4500</v>
      </c>
      <c r="N8" s="89">
        <f t="shared" ca="1" si="6"/>
        <v>3735</v>
      </c>
      <c r="O8" s="96">
        <f t="shared" ca="1" si="7"/>
        <v>18</v>
      </c>
      <c r="P8" s="83">
        <v>-1</v>
      </c>
      <c r="Q8" s="194">
        <v>67</v>
      </c>
      <c r="R8" s="37">
        <v>0</v>
      </c>
      <c r="S8" s="37">
        <v>2</v>
      </c>
      <c r="T8" s="37">
        <v>0</v>
      </c>
      <c r="U8" s="37">
        <v>2</v>
      </c>
      <c r="V8" s="37">
        <v>0</v>
      </c>
      <c r="W8" s="37">
        <v>0</v>
      </c>
      <c r="X8" s="37">
        <v>0</v>
      </c>
      <c r="Y8" s="37">
        <v>2</v>
      </c>
      <c r="Z8" s="37">
        <v>3</v>
      </c>
      <c r="AA8" s="37">
        <v>2</v>
      </c>
      <c r="AB8" s="37">
        <v>2</v>
      </c>
      <c r="AC8" s="37">
        <v>0</v>
      </c>
      <c r="AD8" s="37">
        <f ca="1">SUMIFS('Tổng Đơn'!$F:$F,'Tổng Đơn'!$B:$B,$C8)</f>
        <v>3</v>
      </c>
      <c r="AE8" s="37">
        <v>0</v>
      </c>
      <c r="AF8" s="37">
        <v>0</v>
      </c>
      <c r="AG8" s="37">
        <v>0</v>
      </c>
      <c r="AH8" s="37">
        <v>0</v>
      </c>
      <c r="AI8" s="37">
        <v>0</v>
      </c>
      <c r="AJ8" s="37">
        <v>0</v>
      </c>
      <c r="AK8" s="37">
        <v>0</v>
      </c>
      <c r="AL8" s="37">
        <v>0</v>
      </c>
      <c r="AM8" s="37">
        <v>0</v>
      </c>
      <c r="AN8" s="37">
        <v>0</v>
      </c>
      <c r="AO8" s="37">
        <v>0</v>
      </c>
      <c r="AP8" s="37">
        <v>0</v>
      </c>
      <c r="AQ8" s="37">
        <v>0</v>
      </c>
      <c r="AR8" s="37">
        <v>0</v>
      </c>
      <c r="AS8" s="37">
        <v>0</v>
      </c>
      <c r="AT8" s="37">
        <v>0</v>
      </c>
      <c r="AU8" s="37">
        <v>0</v>
      </c>
      <c r="AV8" s="37">
        <v>0</v>
      </c>
      <c r="AW8" s="84">
        <v>0</v>
      </c>
      <c r="AX8" s="84">
        <f t="shared" si="8"/>
        <v>0</v>
      </c>
    </row>
    <row r="9" spans="1:50" ht="18.75" x14ac:dyDescent="0.25">
      <c r="A9" s="84">
        <f t="shared" ca="1" si="1"/>
        <v>149.26191790892281</v>
      </c>
      <c r="B9" s="6">
        <v>5</v>
      </c>
      <c r="C9" s="86" t="s">
        <v>28</v>
      </c>
      <c r="D9" s="94">
        <f t="shared" si="10"/>
        <v>73</v>
      </c>
      <c r="E9" s="87">
        <v>0.5</v>
      </c>
      <c r="F9" s="139">
        <f>96+48+39</f>
        <v>183</v>
      </c>
      <c r="G9" s="88">
        <v>36.5</v>
      </c>
      <c r="H9" s="89">
        <f t="shared" si="2"/>
        <v>6679.5</v>
      </c>
      <c r="I9" s="90">
        <f t="shared" si="3"/>
        <v>0.8154794772307058</v>
      </c>
      <c r="J9" s="166">
        <f t="shared" si="4"/>
        <v>37.315479477230703</v>
      </c>
      <c r="K9" s="91">
        <f t="shared" si="9"/>
        <v>6828.7327443332188</v>
      </c>
      <c r="L9" s="95">
        <v>42</v>
      </c>
      <c r="M9" s="89">
        <f t="shared" si="5"/>
        <v>7686</v>
      </c>
      <c r="N9" s="89">
        <f t="shared" ca="1" si="6"/>
        <v>7476</v>
      </c>
      <c r="O9" s="96">
        <f t="shared" ca="1" si="7"/>
        <v>4</v>
      </c>
      <c r="P9" s="83">
        <v>1</v>
      </c>
      <c r="Q9" s="194">
        <v>126</v>
      </c>
      <c r="R9" s="37">
        <v>10</v>
      </c>
      <c r="S9" s="37">
        <v>2</v>
      </c>
      <c r="T9" s="37">
        <v>3</v>
      </c>
      <c r="U9" s="37">
        <v>1</v>
      </c>
      <c r="V9" s="37">
        <v>1</v>
      </c>
      <c r="W9" s="37">
        <v>0</v>
      </c>
      <c r="X9" s="37">
        <v>0</v>
      </c>
      <c r="Y9" s="37">
        <v>18</v>
      </c>
      <c r="Z9" s="37">
        <v>1</v>
      </c>
      <c r="AA9" s="37">
        <v>12</v>
      </c>
      <c r="AB9" s="37">
        <v>1</v>
      </c>
      <c r="AC9" s="37">
        <v>1</v>
      </c>
      <c r="AD9" s="37">
        <f ca="1">SUMIFS('Tổng Đơn'!$F:$F,'Tổng Đơn'!$B:$B,$C9)</f>
        <v>2</v>
      </c>
      <c r="AE9" s="37">
        <v>0</v>
      </c>
      <c r="AF9" s="37">
        <v>0</v>
      </c>
      <c r="AG9" s="37">
        <v>0</v>
      </c>
      <c r="AH9" s="37">
        <v>0</v>
      </c>
      <c r="AI9" s="37">
        <v>0</v>
      </c>
      <c r="AJ9" s="37">
        <v>0</v>
      </c>
      <c r="AK9" s="37">
        <v>0</v>
      </c>
      <c r="AL9" s="37">
        <v>0</v>
      </c>
      <c r="AM9" s="37">
        <v>0</v>
      </c>
      <c r="AN9" s="37">
        <v>0</v>
      </c>
      <c r="AO9" s="37">
        <v>0</v>
      </c>
      <c r="AP9" s="37">
        <v>0</v>
      </c>
      <c r="AQ9" s="37">
        <v>0</v>
      </c>
      <c r="AR9" s="37">
        <v>0</v>
      </c>
      <c r="AS9" s="37">
        <v>0</v>
      </c>
      <c r="AT9" s="37">
        <v>0</v>
      </c>
      <c r="AU9" s="37">
        <v>0</v>
      </c>
      <c r="AV9" s="37">
        <v>0</v>
      </c>
      <c r="AW9" s="84">
        <v>0</v>
      </c>
      <c r="AX9" s="84">
        <f t="shared" si="8"/>
        <v>0</v>
      </c>
    </row>
    <row r="10" spans="1:50" ht="18.75" x14ac:dyDescent="0.25">
      <c r="A10" s="84">
        <f t="shared" ca="1" si="1"/>
        <v>301.59086152830298</v>
      </c>
      <c r="B10" s="6">
        <v>6</v>
      </c>
      <c r="C10" s="86" t="s">
        <v>61</v>
      </c>
      <c r="D10" s="94">
        <f t="shared" si="10"/>
        <v>59</v>
      </c>
      <c r="E10" s="87">
        <v>0.5</v>
      </c>
      <c r="F10" s="139">
        <f>60+20</f>
        <v>80</v>
      </c>
      <c r="G10" s="88">
        <v>29.5</v>
      </c>
      <c r="H10" s="89">
        <f t="shared" si="2"/>
        <v>2360</v>
      </c>
      <c r="I10" s="90">
        <f t="shared" si="3"/>
        <v>0.65908615283029648</v>
      </c>
      <c r="J10" s="166">
        <f t="shared" si="4"/>
        <v>30.159086152830298</v>
      </c>
      <c r="K10" s="91">
        <f t="shared" si="9"/>
        <v>2412.7268922264238</v>
      </c>
      <c r="L10" s="95">
        <v>35</v>
      </c>
      <c r="M10" s="89">
        <f t="shared" si="5"/>
        <v>2800</v>
      </c>
      <c r="N10" s="89">
        <f t="shared" ca="1" si="6"/>
        <v>2450</v>
      </c>
      <c r="O10" s="96">
        <f t="shared" ca="1" si="7"/>
        <v>10</v>
      </c>
      <c r="P10" s="83"/>
      <c r="Q10" s="194">
        <v>46</v>
      </c>
      <c r="R10" s="37">
        <v>1</v>
      </c>
      <c r="S10" s="37">
        <v>6</v>
      </c>
      <c r="T10" s="37">
        <v>3</v>
      </c>
      <c r="U10" s="37">
        <v>1</v>
      </c>
      <c r="V10" s="37">
        <v>1</v>
      </c>
      <c r="W10" s="37">
        <v>1</v>
      </c>
      <c r="X10" s="37">
        <v>0</v>
      </c>
      <c r="Y10" s="37">
        <v>1</v>
      </c>
      <c r="Z10" s="37">
        <v>3</v>
      </c>
      <c r="AA10" s="37">
        <v>2</v>
      </c>
      <c r="AB10" s="37">
        <v>0</v>
      </c>
      <c r="AC10" s="37">
        <v>4</v>
      </c>
      <c r="AD10" s="37">
        <f ca="1">SUMIFS('Tổng Đơn'!$F:$F,'Tổng Đơn'!$B:$B,$C10)</f>
        <v>1</v>
      </c>
      <c r="AE10" s="37">
        <v>0</v>
      </c>
      <c r="AF10" s="37">
        <v>0</v>
      </c>
      <c r="AG10" s="37">
        <v>0</v>
      </c>
      <c r="AH10" s="37">
        <v>0</v>
      </c>
      <c r="AI10" s="37">
        <v>0</v>
      </c>
      <c r="AJ10" s="37">
        <v>0</v>
      </c>
      <c r="AK10" s="37">
        <v>0</v>
      </c>
      <c r="AL10" s="37">
        <v>0</v>
      </c>
      <c r="AM10" s="37">
        <v>0</v>
      </c>
      <c r="AN10" s="37">
        <v>0</v>
      </c>
      <c r="AO10" s="37">
        <v>0</v>
      </c>
      <c r="AP10" s="37">
        <v>0</v>
      </c>
      <c r="AQ10" s="37">
        <v>0</v>
      </c>
      <c r="AR10" s="37">
        <v>0</v>
      </c>
      <c r="AS10" s="37">
        <v>0</v>
      </c>
      <c r="AT10" s="37">
        <v>0</v>
      </c>
      <c r="AU10" s="37">
        <v>0</v>
      </c>
      <c r="AV10" s="37">
        <v>0</v>
      </c>
      <c r="AW10" s="84">
        <v>0</v>
      </c>
      <c r="AX10" s="84">
        <f t="shared" si="8"/>
        <v>0</v>
      </c>
    </row>
    <row r="11" spans="1:50" ht="18.75" x14ac:dyDescent="0.25">
      <c r="A11" s="84">
        <f t="shared" ca="1" si="1"/>
        <v>236.16097970521352</v>
      </c>
      <c r="B11" s="6">
        <v>7</v>
      </c>
      <c r="C11" s="86" t="s">
        <v>296</v>
      </c>
      <c r="D11" s="94">
        <v>66</v>
      </c>
      <c r="E11" s="87">
        <v>0.5</v>
      </c>
      <c r="F11" s="139">
        <v>10</v>
      </c>
      <c r="G11" s="88">
        <v>33</v>
      </c>
      <c r="H11" s="89">
        <f t="shared" si="2"/>
        <v>330</v>
      </c>
      <c r="I11" s="90">
        <f t="shared" si="3"/>
        <v>0.73728281503050108</v>
      </c>
      <c r="J11" s="166">
        <f t="shared" si="4"/>
        <v>33.737282815030504</v>
      </c>
      <c r="K11" s="91">
        <f t="shared" si="9"/>
        <v>337.37282815030505</v>
      </c>
      <c r="L11" s="95">
        <v>40</v>
      </c>
      <c r="M11" s="89">
        <f t="shared" si="5"/>
        <v>400</v>
      </c>
      <c r="N11" s="89">
        <f t="shared" ca="1" si="6"/>
        <v>120</v>
      </c>
      <c r="O11" s="96">
        <f t="shared" ca="1" si="7"/>
        <v>7</v>
      </c>
      <c r="P11" s="83"/>
      <c r="Q11" s="194">
        <v>0</v>
      </c>
      <c r="R11" s="37">
        <v>0</v>
      </c>
      <c r="S11" s="37">
        <v>0</v>
      </c>
      <c r="T11" s="37">
        <v>0</v>
      </c>
      <c r="U11" s="37">
        <v>0</v>
      </c>
      <c r="V11" s="37">
        <v>0</v>
      </c>
      <c r="W11" s="37">
        <v>0</v>
      </c>
      <c r="X11" s="37">
        <v>0</v>
      </c>
      <c r="Y11" s="37">
        <v>2</v>
      </c>
      <c r="Z11" s="37">
        <v>0</v>
      </c>
      <c r="AA11" s="37">
        <v>0</v>
      </c>
      <c r="AB11" s="37">
        <v>1</v>
      </c>
      <c r="AC11" s="37">
        <v>0</v>
      </c>
      <c r="AD11" s="37">
        <f ca="1">SUMIFS('Tổng Đơn'!$F:$F,'Tổng Đơn'!$B:$B,$C11)</f>
        <v>0</v>
      </c>
      <c r="AE11" s="37">
        <v>0</v>
      </c>
      <c r="AF11" s="37">
        <v>0</v>
      </c>
      <c r="AG11" s="37">
        <v>0</v>
      </c>
      <c r="AH11" s="37">
        <v>0</v>
      </c>
      <c r="AI11" s="37">
        <v>0</v>
      </c>
      <c r="AJ11" s="37">
        <v>0</v>
      </c>
      <c r="AK11" s="37">
        <v>0</v>
      </c>
      <c r="AL11" s="37">
        <v>0</v>
      </c>
      <c r="AM11" s="37">
        <v>0</v>
      </c>
      <c r="AN11" s="37">
        <v>0</v>
      </c>
      <c r="AO11" s="37">
        <v>0</v>
      </c>
      <c r="AP11" s="37">
        <v>0</v>
      </c>
      <c r="AQ11" s="37">
        <v>0</v>
      </c>
      <c r="AR11" s="37">
        <v>0</v>
      </c>
      <c r="AS11" s="37">
        <v>0</v>
      </c>
      <c r="AT11" s="37">
        <v>0</v>
      </c>
      <c r="AU11" s="37">
        <v>0</v>
      </c>
      <c r="AV11" s="37">
        <v>0</v>
      </c>
      <c r="AW11" s="84">
        <v>0</v>
      </c>
      <c r="AX11" s="84">
        <f t="shared" si="8"/>
        <v>0</v>
      </c>
    </row>
    <row r="12" spans="1:50" ht="18.75" x14ac:dyDescent="0.25">
      <c r="A12" s="84">
        <f t="shared" ca="1" si="1"/>
        <v>0</v>
      </c>
      <c r="B12" s="6">
        <v>8</v>
      </c>
      <c r="C12" s="86" t="s">
        <v>26</v>
      </c>
      <c r="D12" s="94">
        <f>G12*4</f>
        <v>113.33333333333333</v>
      </c>
      <c r="E12" s="87">
        <v>0.25</v>
      </c>
      <c r="F12" s="139">
        <f>36</f>
        <v>36</v>
      </c>
      <c r="G12" s="88">
        <f>1020/36</f>
        <v>28.333333333333332</v>
      </c>
      <c r="H12" s="89">
        <f t="shared" si="2"/>
        <v>1020</v>
      </c>
      <c r="I12" s="90">
        <f t="shared" si="3"/>
        <v>0.63302059876356154</v>
      </c>
      <c r="J12" s="166">
        <f t="shared" si="4"/>
        <v>28.966353932096894</v>
      </c>
      <c r="K12" s="91">
        <f t="shared" si="9"/>
        <v>1042.7887415554883</v>
      </c>
      <c r="L12" s="95">
        <v>34</v>
      </c>
      <c r="M12" s="89">
        <f t="shared" si="5"/>
        <v>1224</v>
      </c>
      <c r="N12" s="89">
        <f t="shared" ca="1" si="6"/>
        <v>1190</v>
      </c>
      <c r="O12" s="96">
        <f t="shared" ca="1" si="7"/>
        <v>0</v>
      </c>
      <c r="P12" s="83">
        <v>1</v>
      </c>
      <c r="Q12" s="194">
        <v>35</v>
      </c>
      <c r="R12" s="37">
        <v>0</v>
      </c>
      <c r="S12" s="37">
        <v>0</v>
      </c>
      <c r="T12" s="37">
        <v>0</v>
      </c>
      <c r="U12" s="37">
        <v>0</v>
      </c>
      <c r="V12" s="37">
        <v>0</v>
      </c>
      <c r="W12" s="37">
        <v>0</v>
      </c>
      <c r="X12" s="37">
        <v>0</v>
      </c>
      <c r="Y12" s="37">
        <v>0</v>
      </c>
      <c r="Z12" s="37">
        <v>0</v>
      </c>
      <c r="AA12" s="37">
        <v>0</v>
      </c>
      <c r="AB12" s="37">
        <v>0</v>
      </c>
      <c r="AC12" s="37">
        <v>0</v>
      </c>
      <c r="AD12" s="37">
        <f ca="1">SUMIFS('Tổng Đơn'!$F:$F,'Tổng Đơn'!$B:$B,$C12)</f>
        <v>0</v>
      </c>
      <c r="AE12" s="37">
        <v>0</v>
      </c>
      <c r="AF12" s="37">
        <v>0</v>
      </c>
      <c r="AG12" s="37">
        <v>0</v>
      </c>
      <c r="AH12" s="37">
        <v>0</v>
      </c>
      <c r="AI12" s="37">
        <v>0</v>
      </c>
      <c r="AJ12" s="37">
        <v>0</v>
      </c>
      <c r="AK12" s="37">
        <v>0</v>
      </c>
      <c r="AL12" s="37">
        <v>0</v>
      </c>
      <c r="AM12" s="37">
        <v>0</v>
      </c>
      <c r="AN12" s="37">
        <v>0</v>
      </c>
      <c r="AO12" s="37">
        <v>0</v>
      </c>
      <c r="AP12" s="37">
        <v>0</v>
      </c>
      <c r="AQ12" s="37">
        <v>0</v>
      </c>
      <c r="AR12" s="37">
        <v>0</v>
      </c>
      <c r="AS12" s="37">
        <v>0</v>
      </c>
      <c r="AT12" s="37">
        <v>0</v>
      </c>
      <c r="AU12" s="37">
        <v>0</v>
      </c>
      <c r="AV12" s="37">
        <v>0</v>
      </c>
      <c r="AW12" s="84">
        <v>0</v>
      </c>
      <c r="AX12" s="84">
        <f t="shared" si="8"/>
        <v>0</v>
      </c>
    </row>
    <row r="13" spans="1:50" ht="18.75" x14ac:dyDescent="0.25">
      <c r="A13" s="84">
        <f t="shared" ca="1" si="1"/>
        <v>1145.0229319040654</v>
      </c>
      <c r="B13" s="6">
        <v>9</v>
      </c>
      <c r="C13" s="86" t="s">
        <v>35</v>
      </c>
      <c r="D13" s="94">
        <f t="shared" si="10"/>
        <v>80</v>
      </c>
      <c r="E13" s="87">
        <v>0.5</v>
      </c>
      <c r="F13" s="139">
        <v>40</v>
      </c>
      <c r="G13" s="88">
        <v>40</v>
      </c>
      <c r="H13" s="89">
        <f t="shared" si="2"/>
        <v>1600</v>
      </c>
      <c r="I13" s="90">
        <f t="shared" si="3"/>
        <v>0.89367613943091029</v>
      </c>
      <c r="J13" s="166">
        <f t="shared" si="4"/>
        <v>40.893676139430909</v>
      </c>
      <c r="K13" s="91">
        <f t="shared" si="9"/>
        <v>1635.7470455772363</v>
      </c>
      <c r="L13" s="95">
        <v>45</v>
      </c>
      <c r="M13" s="89">
        <f t="shared" si="5"/>
        <v>1800</v>
      </c>
      <c r="N13" s="89">
        <f t="shared" ca="1" si="6"/>
        <v>540</v>
      </c>
      <c r="O13" s="96">
        <f t="shared" ca="1" si="7"/>
        <v>28</v>
      </c>
      <c r="P13" s="83"/>
      <c r="Q13" s="194">
        <v>5</v>
      </c>
      <c r="R13" s="37">
        <v>0</v>
      </c>
      <c r="S13" s="37">
        <v>1</v>
      </c>
      <c r="T13" s="37">
        <v>0</v>
      </c>
      <c r="U13" s="37">
        <v>4</v>
      </c>
      <c r="V13" s="37">
        <v>1</v>
      </c>
      <c r="W13" s="37">
        <v>0</v>
      </c>
      <c r="X13" s="37">
        <v>0</v>
      </c>
      <c r="Y13" s="37">
        <v>0</v>
      </c>
      <c r="Z13" s="37">
        <v>0</v>
      </c>
      <c r="AA13" s="37">
        <v>0</v>
      </c>
      <c r="AB13" s="37">
        <v>0</v>
      </c>
      <c r="AC13" s="37">
        <v>1</v>
      </c>
      <c r="AD13" s="37">
        <f ca="1">SUMIFS('Tổng Đơn'!$F:$F,'Tổng Đơn'!$B:$B,$C13)</f>
        <v>0</v>
      </c>
      <c r="AE13" s="37">
        <v>0</v>
      </c>
      <c r="AF13" s="37">
        <v>0</v>
      </c>
      <c r="AG13" s="37">
        <v>0</v>
      </c>
      <c r="AH13" s="37">
        <v>0</v>
      </c>
      <c r="AI13" s="37">
        <v>0</v>
      </c>
      <c r="AJ13" s="37">
        <v>0</v>
      </c>
      <c r="AK13" s="37">
        <v>0</v>
      </c>
      <c r="AL13" s="37">
        <v>0</v>
      </c>
      <c r="AM13" s="37">
        <v>0</v>
      </c>
      <c r="AN13" s="37">
        <v>0</v>
      </c>
      <c r="AO13" s="37">
        <v>0</v>
      </c>
      <c r="AP13" s="37">
        <v>0</v>
      </c>
      <c r="AQ13" s="37">
        <v>0</v>
      </c>
      <c r="AR13" s="37">
        <v>0</v>
      </c>
      <c r="AS13" s="37">
        <v>0</v>
      </c>
      <c r="AT13" s="37">
        <v>0</v>
      </c>
      <c r="AU13" s="37">
        <v>0</v>
      </c>
      <c r="AV13" s="37">
        <v>0</v>
      </c>
      <c r="AW13" s="84">
        <v>0</v>
      </c>
      <c r="AX13" s="84">
        <f t="shared" si="8"/>
        <v>0</v>
      </c>
    </row>
    <row r="14" spans="1:50" ht="18.75" x14ac:dyDescent="0.25">
      <c r="A14" s="84">
        <f t="shared" ca="1" si="1"/>
        <v>1308.5976364617891</v>
      </c>
      <c r="B14" s="6">
        <v>10</v>
      </c>
      <c r="C14" s="86" t="s">
        <v>34</v>
      </c>
      <c r="D14" s="94">
        <f t="shared" si="10"/>
        <v>80</v>
      </c>
      <c r="E14" s="87">
        <v>0.5</v>
      </c>
      <c r="F14" s="139">
        <v>40</v>
      </c>
      <c r="G14" s="88">
        <v>40</v>
      </c>
      <c r="H14" s="89">
        <f t="shared" si="2"/>
        <v>1600</v>
      </c>
      <c r="I14" s="90">
        <f t="shared" si="3"/>
        <v>0.89367613943091029</v>
      </c>
      <c r="J14" s="166">
        <f t="shared" si="4"/>
        <v>40.893676139430909</v>
      </c>
      <c r="K14" s="91">
        <f t="shared" si="9"/>
        <v>1635.7470455772363</v>
      </c>
      <c r="L14" s="95">
        <v>45</v>
      </c>
      <c r="M14" s="89">
        <f t="shared" si="5"/>
        <v>1800</v>
      </c>
      <c r="N14" s="89">
        <f t="shared" ca="1" si="6"/>
        <v>360</v>
      </c>
      <c r="O14" s="96">
        <f t="shared" ca="1" si="7"/>
        <v>32</v>
      </c>
      <c r="P14" s="83"/>
      <c r="Q14" s="194">
        <v>5</v>
      </c>
      <c r="R14" s="37">
        <v>1</v>
      </c>
      <c r="S14" s="37">
        <v>0</v>
      </c>
      <c r="T14" s="37">
        <v>0</v>
      </c>
      <c r="U14" s="37">
        <v>0</v>
      </c>
      <c r="V14" s="37">
        <v>0</v>
      </c>
      <c r="W14" s="37">
        <v>0</v>
      </c>
      <c r="X14" s="37">
        <v>0</v>
      </c>
      <c r="Y14" s="37">
        <v>0</v>
      </c>
      <c r="Z14" s="37">
        <v>0</v>
      </c>
      <c r="AA14" s="37">
        <v>0</v>
      </c>
      <c r="AB14" s="37">
        <v>0</v>
      </c>
      <c r="AC14" s="37">
        <v>2</v>
      </c>
      <c r="AD14" s="37">
        <f ca="1">SUMIFS('Tổng Đơn'!$F:$F,'Tổng Đơn'!$B:$B,$C14)</f>
        <v>0</v>
      </c>
      <c r="AE14" s="37">
        <v>0</v>
      </c>
      <c r="AF14" s="37">
        <v>0</v>
      </c>
      <c r="AG14" s="37">
        <v>0</v>
      </c>
      <c r="AH14" s="37">
        <v>0</v>
      </c>
      <c r="AI14" s="37">
        <v>0</v>
      </c>
      <c r="AJ14" s="37">
        <v>0</v>
      </c>
      <c r="AK14" s="37">
        <v>0</v>
      </c>
      <c r="AL14" s="37">
        <v>0</v>
      </c>
      <c r="AM14" s="37">
        <v>0</v>
      </c>
      <c r="AN14" s="37">
        <v>0</v>
      </c>
      <c r="AO14" s="37">
        <v>0</v>
      </c>
      <c r="AP14" s="37">
        <v>0</v>
      </c>
      <c r="AQ14" s="37">
        <v>0</v>
      </c>
      <c r="AR14" s="37">
        <v>0</v>
      </c>
      <c r="AS14" s="37">
        <v>0</v>
      </c>
      <c r="AT14" s="37">
        <v>0</v>
      </c>
      <c r="AU14" s="37">
        <v>0</v>
      </c>
      <c r="AV14" s="37">
        <v>0</v>
      </c>
      <c r="AW14" s="84">
        <v>0</v>
      </c>
      <c r="AX14" s="84">
        <f t="shared" si="8"/>
        <v>0</v>
      </c>
    </row>
    <row r="15" spans="1:50" ht="18.75" x14ac:dyDescent="0.25">
      <c r="A15" s="84">
        <f t="shared" ca="1" si="1"/>
        <v>1185.9166080434964</v>
      </c>
      <c r="B15" s="6">
        <v>11</v>
      </c>
      <c r="C15" s="86" t="s">
        <v>33</v>
      </c>
      <c r="D15" s="94">
        <f t="shared" si="10"/>
        <v>80</v>
      </c>
      <c r="E15" s="87">
        <v>0.5</v>
      </c>
      <c r="F15" s="139">
        <v>40</v>
      </c>
      <c r="G15" s="88">
        <v>40</v>
      </c>
      <c r="H15" s="89">
        <f t="shared" si="2"/>
        <v>1600</v>
      </c>
      <c r="I15" s="90">
        <f t="shared" si="3"/>
        <v>0.89367613943091029</v>
      </c>
      <c r="J15" s="166">
        <f t="shared" si="4"/>
        <v>40.893676139430909</v>
      </c>
      <c r="K15" s="91">
        <f t="shared" si="9"/>
        <v>1635.7470455772363</v>
      </c>
      <c r="L15" s="95">
        <v>45</v>
      </c>
      <c r="M15" s="89">
        <f t="shared" si="5"/>
        <v>1800</v>
      </c>
      <c r="N15" s="89">
        <f t="shared" ca="1" si="6"/>
        <v>495</v>
      </c>
      <c r="O15" s="96">
        <f t="shared" ca="1" si="7"/>
        <v>29</v>
      </c>
      <c r="P15" s="83"/>
      <c r="Q15" s="194">
        <v>7</v>
      </c>
      <c r="R15" s="37">
        <v>0</v>
      </c>
      <c r="S15" s="37">
        <v>0</v>
      </c>
      <c r="T15" s="37">
        <v>0</v>
      </c>
      <c r="U15" s="37">
        <v>2</v>
      </c>
      <c r="V15" s="37">
        <v>0</v>
      </c>
      <c r="W15" s="37">
        <v>0</v>
      </c>
      <c r="X15" s="37">
        <v>0</v>
      </c>
      <c r="Y15" s="37">
        <v>0</v>
      </c>
      <c r="Z15" s="37">
        <v>0</v>
      </c>
      <c r="AA15" s="37">
        <v>1</v>
      </c>
      <c r="AB15" s="37">
        <v>0</v>
      </c>
      <c r="AC15" s="37">
        <v>1</v>
      </c>
      <c r="AD15" s="37">
        <f ca="1">SUMIFS('Tổng Đơn'!$F:$F,'Tổng Đơn'!$B:$B,$C15)</f>
        <v>0</v>
      </c>
      <c r="AE15" s="37">
        <v>0</v>
      </c>
      <c r="AF15" s="37">
        <v>0</v>
      </c>
      <c r="AG15" s="37">
        <v>0</v>
      </c>
      <c r="AH15" s="37">
        <v>0</v>
      </c>
      <c r="AI15" s="37">
        <v>0</v>
      </c>
      <c r="AJ15" s="37">
        <v>0</v>
      </c>
      <c r="AK15" s="37">
        <v>0</v>
      </c>
      <c r="AL15" s="37">
        <v>0</v>
      </c>
      <c r="AM15" s="37">
        <v>0</v>
      </c>
      <c r="AN15" s="37">
        <v>0</v>
      </c>
      <c r="AO15" s="37">
        <v>0</v>
      </c>
      <c r="AP15" s="37">
        <v>0</v>
      </c>
      <c r="AQ15" s="37">
        <v>0</v>
      </c>
      <c r="AR15" s="37">
        <v>0</v>
      </c>
      <c r="AS15" s="37">
        <v>0</v>
      </c>
      <c r="AT15" s="37">
        <v>0</v>
      </c>
      <c r="AU15" s="37">
        <v>0</v>
      </c>
      <c r="AV15" s="37">
        <v>0</v>
      </c>
      <c r="AW15" s="84">
        <v>0</v>
      </c>
      <c r="AX15" s="84">
        <f t="shared" si="8"/>
        <v>0</v>
      </c>
    </row>
    <row r="16" spans="1:50" ht="18.75" x14ac:dyDescent="0.25">
      <c r="A16" s="84">
        <f t="shared" ca="1" si="1"/>
        <v>1308.5976364617891</v>
      </c>
      <c r="B16" s="6">
        <v>12</v>
      </c>
      <c r="C16" s="86" t="s">
        <v>32</v>
      </c>
      <c r="D16" s="94">
        <f t="shared" si="10"/>
        <v>80</v>
      </c>
      <c r="E16" s="87">
        <v>0.5</v>
      </c>
      <c r="F16" s="139">
        <v>40</v>
      </c>
      <c r="G16" s="88">
        <v>40</v>
      </c>
      <c r="H16" s="89">
        <f t="shared" si="2"/>
        <v>1600</v>
      </c>
      <c r="I16" s="90">
        <f t="shared" si="3"/>
        <v>0.89367613943091029</v>
      </c>
      <c r="J16" s="166">
        <f t="shared" si="4"/>
        <v>40.893676139430909</v>
      </c>
      <c r="K16" s="91">
        <f t="shared" si="9"/>
        <v>1635.7470455772363</v>
      </c>
      <c r="L16" s="95">
        <v>45</v>
      </c>
      <c r="M16" s="89">
        <f t="shared" si="5"/>
        <v>1800</v>
      </c>
      <c r="N16" s="89">
        <f t="shared" ca="1" si="6"/>
        <v>360</v>
      </c>
      <c r="O16" s="96">
        <f t="shared" ca="1" si="7"/>
        <v>32</v>
      </c>
      <c r="P16" s="83"/>
      <c r="Q16" s="194">
        <v>7</v>
      </c>
      <c r="R16" s="37">
        <v>0</v>
      </c>
      <c r="S16" s="37">
        <v>0</v>
      </c>
      <c r="T16" s="37">
        <v>0</v>
      </c>
      <c r="U16" s="37">
        <v>0</v>
      </c>
      <c r="V16" s="37">
        <v>0</v>
      </c>
      <c r="W16" s="37">
        <v>0</v>
      </c>
      <c r="X16" s="37">
        <v>0</v>
      </c>
      <c r="Y16" s="37">
        <v>0</v>
      </c>
      <c r="Z16" s="37">
        <v>0</v>
      </c>
      <c r="AA16" s="37">
        <v>0</v>
      </c>
      <c r="AB16" s="37">
        <v>0</v>
      </c>
      <c r="AC16" s="37">
        <v>1</v>
      </c>
      <c r="AD16" s="37">
        <f ca="1">SUMIFS('Tổng Đơn'!$F:$F,'Tổng Đơn'!$B:$B,$C16)</f>
        <v>0</v>
      </c>
      <c r="AE16" s="37">
        <v>0</v>
      </c>
      <c r="AF16" s="37">
        <v>0</v>
      </c>
      <c r="AG16" s="37">
        <v>0</v>
      </c>
      <c r="AH16" s="37">
        <v>0</v>
      </c>
      <c r="AI16" s="37">
        <v>0</v>
      </c>
      <c r="AJ16" s="37">
        <v>0</v>
      </c>
      <c r="AK16" s="37">
        <v>0</v>
      </c>
      <c r="AL16" s="37">
        <v>0</v>
      </c>
      <c r="AM16" s="37">
        <v>0</v>
      </c>
      <c r="AN16" s="37">
        <v>0</v>
      </c>
      <c r="AO16" s="37">
        <v>0</v>
      </c>
      <c r="AP16" s="37">
        <v>0</v>
      </c>
      <c r="AQ16" s="37">
        <v>0</v>
      </c>
      <c r="AR16" s="37">
        <v>0</v>
      </c>
      <c r="AS16" s="37">
        <v>0</v>
      </c>
      <c r="AT16" s="37">
        <v>0</v>
      </c>
      <c r="AU16" s="37">
        <v>0</v>
      </c>
      <c r="AV16" s="37">
        <v>0</v>
      </c>
      <c r="AW16" s="84">
        <v>0</v>
      </c>
      <c r="AX16" s="84">
        <f t="shared" si="8"/>
        <v>0</v>
      </c>
    </row>
    <row r="17" spans="1:50" ht="18.75" x14ac:dyDescent="0.25">
      <c r="A17" s="84">
        <f t="shared" ca="1" si="1"/>
        <v>613.40514209146363</v>
      </c>
      <c r="B17" s="6">
        <v>13</v>
      </c>
      <c r="C17" s="86" t="s">
        <v>58</v>
      </c>
      <c r="D17" s="94">
        <f t="shared" si="10"/>
        <v>80</v>
      </c>
      <c r="E17" s="87">
        <v>0.5</v>
      </c>
      <c r="F17" s="139">
        <v>40</v>
      </c>
      <c r="G17" s="88">
        <v>40</v>
      </c>
      <c r="H17" s="89">
        <f t="shared" si="2"/>
        <v>1600</v>
      </c>
      <c r="I17" s="90">
        <f t="shared" si="3"/>
        <v>0.89367613943091029</v>
      </c>
      <c r="J17" s="166">
        <f t="shared" si="4"/>
        <v>40.893676139430909</v>
      </c>
      <c r="K17" s="91">
        <f t="shared" si="9"/>
        <v>1635.7470455772363</v>
      </c>
      <c r="L17" s="95">
        <v>45</v>
      </c>
      <c r="M17" s="89">
        <f t="shared" si="5"/>
        <v>1800</v>
      </c>
      <c r="N17" s="89">
        <f t="shared" ca="1" si="6"/>
        <v>1125</v>
      </c>
      <c r="O17" s="96">
        <f t="shared" ca="1" si="7"/>
        <v>15</v>
      </c>
      <c r="P17" s="83"/>
      <c r="Q17" s="194">
        <v>20</v>
      </c>
      <c r="R17" s="37">
        <v>0</v>
      </c>
      <c r="S17" s="37">
        <v>0</v>
      </c>
      <c r="T17" s="37">
        <v>1</v>
      </c>
      <c r="U17" s="37">
        <v>0</v>
      </c>
      <c r="V17" s="37">
        <v>1</v>
      </c>
      <c r="W17" s="37">
        <v>0</v>
      </c>
      <c r="X17" s="37">
        <v>0</v>
      </c>
      <c r="Y17" s="37">
        <v>1</v>
      </c>
      <c r="Z17" s="37">
        <v>0</v>
      </c>
      <c r="AA17" s="37">
        <v>1</v>
      </c>
      <c r="AB17" s="37">
        <v>0</v>
      </c>
      <c r="AC17" s="37">
        <v>1</v>
      </c>
      <c r="AD17" s="37">
        <f ca="1">SUMIFS('Tổng Đơn'!$F:$F,'Tổng Đơn'!$B:$B,$C17)</f>
        <v>0</v>
      </c>
      <c r="AE17" s="37">
        <v>0</v>
      </c>
      <c r="AF17" s="37">
        <v>0</v>
      </c>
      <c r="AG17" s="37">
        <v>0</v>
      </c>
      <c r="AH17" s="37">
        <v>0</v>
      </c>
      <c r="AI17" s="37">
        <v>0</v>
      </c>
      <c r="AJ17" s="37">
        <v>0</v>
      </c>
      <c r="AK17" s="37">
        <v>0</v>
      </c>
      <c r="AL17" s="37">
        <v>0</v>
      </c>
      <c r="AM17" s="37">
        <v>0</v>
      </c>
      <c r="AN17" s="37">
        <v>0</v>
      </c>
      <c r="AO17" s="37">
        <v>0</v>
      </c>
      <c r="AP17" s="37">
        <v>0</v>
      </c>
      <c r="AQ17" s="37">
        <v>0</v>
      </c>
      <c r="AR17" s="37">
        <v>0</v>
      </c>
      <c r="AS17" s="37">
        <v>0</v>
      </c>
      <c r="AT17" s="37">
        <v>0</v>
      </c>
      <c r="AU17" s="37">
        <v>0</v>
      </c>
      <c r="AV17" s="37">
        <v>0</v>
      </c>
      <c r="AW17" s="84">
        <v>0</v>
      </c>
      <c r="AX17" s="84">
        <f t="shared" si="8"/>
        <v>0</v>
      </c>
    </row>
    <row r="18" spans="1:50" ht="18.75" x14ac:dyDescent="0.25">
      <c r="A18" s="84">
        <f t="shared" ca="1" si="1"/>
        <v>722.93024443595255</v>
      </c>
      <c r="B18" s="6">
        <v>14</v>
      </c>
      <c r="C18" s="86" t="s">
        <v>147</v>
      </c>
      <c r="D18" s="94">
        <v>53</v>
      </c>
      <c r="E18" s="87">
        <v>0.5</v>
      </c>
      <c r="F18" s="139">
        <f>80</f>
        <v>80</v>
      </c>
      <c r="G18" s="88">
        <f>1033.5/38</f>
        <v>27.19736842105263</v>
      </c>
      <c r="H18" s="89">
        <f t="shared" si="2"/>
        <v>2175.7894736842104</v>
      </c>
      <c r="I18" s="90">
        <f t="shared" si="3"/>
        <v>0.60764098033016178</v>
      </c>
      <c r="J18" s="166">
        <f t="shared" ref="J18" si="11">G18+I18</f>
        <v>27.80500940138279</v>
      </c>
      <c r="K18" s="91">
        <f t="shared" ref="K18" si="12">J18*F18</f>
        <v>2224.4007521106232</v>
      </c>
      <c r="L18" s="95">
        <v>35</v>
      </c>
      <c r="M18" s="89">
        <f t="shared" si="5"/>
        <v>2800</v>
      </c>
      <c r="N18" s="89">
        <f t="shared" ca="1" si="6"/>
        <v>1890</v>
      </c>
      <c r="O18" s="96">
        <f t="shared" ca="1" si="7"/>
        <v>26</v>
      </c>
      <c r="P18" s="83"/>
      <c r="Q18" s="194">
        <v>48</v>
      </c>
      <c r="R18" s="37">
        <v>3</v>
      </c>
      <c r="S18" s="37">
        <v>2</v>
      </c>
      <c r="T18" s="37">
        <v>0</v>
      </c>
      <c r="U18" s="37">
        <v>0</v>
      </c>
      <c r="V18" s="37">
        <v>1</v>
      </c>
      <c r="W18" s="37">
        <v>0</v>
      </c>
      <c r="X18" s="37">
        <v>0</v>
      </c>
      <c r="Y18" s="37">
        <v>0</v>
      </c>
      <c r="Z18" s="37">
        <v>0</v>
      </c>
      <c r="AA18" s="37">
        <v>0</v>
      </c>
      <c r="AB18" s="37">
        <v>0</v>
      </c>
      <c r="AC18" s="37">
        <v>0</v>
      </c>
      <c r="AD18" s="37">
        <f ca="1">SUMIFS('Tổng Đơn'!$F:$F,'Tổng Đơn'!$B:$B,$C18)</f>
        <v>0</v>
      </c>
      <c r="AE18" s="37">
        <v>0</v>
      </c>
      <c r="AF18" s="37">
        <v>0</v>
      </c>
      <c r="AG18" s="37">
        <v>0</v>
      </c>
      <c r="AH18" s="37">
        <v>0</v>
      </c>
      <c r="AI18" s="37">
        <v>0</v>
      </c>
      <c r="AJ18" s="37">
        <v>0</v>
      </c>
      <c r="AK18" s="37">
        <v>0</v>
      </c>
      <c r="AL18" s="37">
        <v>0</v>
      </c>
      <c r="AM18" s="37">
        <v>0</v>
      </c>
      <c r="AN18" s="37">
        <v>0</v>
      </c>
      <c r="AO18" s="37">
        <v>0</v>
      </c>
      <c r="AP18" s="37">
        <v>0</v>
      </c>
      <c r="AQ18" s="37">
        <v>0</v>
      </c>
      <c r="AR18" s="37">
        <v>0</v>
      </c>
      <c r="AS18" s="37">
        <v>0</v>
      </c>
      <c r="AT18" s="37">
        <v>0</v>
      </c>
      <c r="AU18" s="37">
        <v>0</v>
      </c>
      <c r="AV18" s="37">
        <v>0</v>
      </c>
      <c r="AW18" s="84">
        <v>0</v>
      </c>
      <c r="AX18" s="84">
        <f t="shared" si="8"/>
        <v>0</v>
      </c>
    </row>
    <row r="19" spans="1:50" ht="18.75" x14ac:dyDescent="0.25">
      <c r="A19" s="84">
        <f ca="1">J19*O19</f>
        <v>1778.8749120652446</v>
      </c>
      <c r="B19" s="6">
        <v>15</v>
      </c>
      <c r="C19" s="86" t="s">
        <v>185</v>
      </c>
      <c r="D19" s="94">
        <v>120</v>
      </c>
      <c r="E19" s="87">
        <v>0.5</v>
      </c>
      <c r="F19" s="139">
        <f>60+20</f>
        <v>80</v>
      </c>
      <c r="G19" s="88">
        <v>60</v>
      </c>
      <c r="H19" s="89">
        <f t="shared" si="2"/>
        <v>4800</v>
      </c>
      <c r="I19" s="90">
        <f t="shared" si="3"/>
        <v>1.3405142091463658</v>
      </c>
      <c r="J19" s="166">
        <f t="shared" ref="J19" si="13">G19+I19</f>
        <v>61.340514209146363</v>
      </c>
      <c r="K19" s="91">
        <f t="shared" ref="K19" si="14">J19*F19</f>
        <v>4907.241136731709</v>
      </c>
      <c r="L19" s="95">
        <v>70</v>
      </c>
      <c r="M19" s="89">
        <f t="shared" ref="M19" si="15">L19*F19</f>
        <v>5600</v>
      </c>
      <c r="N19" s="89">
        <f t="shared" ca="1" si="6"/>
        <v>3570</v>
      </c>
      <c r="O19" s="96">
        <f t="shared" ca="1" si="7"/>
        <v>29</v>
      </c>
      <c r="P19" s="83"/>
      <c r="Q19" s="194">
        <v>28</v>
      </c>
      <c r="R19" s="37">
        <v>0</v>
      </c>
      <c r="S19" s="37">
        <v>3</v>
      </c>
      <c r="T19" s="37">
        <v>1</v>
      </c>
      <c r="U19" s="37">
        <v>3</v>
      </c>
      <c r="V19" s="37">
        <v>3</v>
      </c>
      <c r="W19" s="37">
        <v>3</v>
      </c>
      <c r="X19" s="37">
        <v>0</v>
      </c>
      <c r="Y19" s="37">
        <v>1</v>
      </c>
      <c r="Z19" s="37">
        <v>2</v>
      </c>
      <c r="AA19" s="37">
        <v>4</v>
      </c>
      <c r="AB19" s="37">
        <v>0</v>
      </c>
      <c r="AC19" s="37">
        <v>0</v>
      </c>
      <c r="AD19" s="37">
        <f ca="1">SUMIFS('Tổng Đơn'!$F:$F,'Tổng Đơn'!$B:$B,$C19)</f>
        <v>3</v>
      </c>
      <c r="AE19" s="37">
        <v>0</v>
      </c>
      <c r="AF19" s="37">
        <v>0</v>
      </c>
      <c r="AG19" s="37">
        <v>0</v>
      </c>
      <c r="AH19" s="37">
        <v>0</v>
      </c>
      <c r="AI19" s="37">
        <v>0</v>
      </c>
      <c r="AJ19" s="37">
        <v>0</v>
      </c>
      <c r="AK19" s="37">
        <v>0</v>
      </c>
      <c r="AL19" s="37">
        <v>0</v>
      </c>
      <c r="AM19" s="37">
        <v>0</v>
      </c>
      <c r="AN19" s="37">
        <v>0</v>
      </c>
      <c r="AO19" s="37">
        <v>0</v>
      </c>
      <c r="AP19" s="37">
        <v>0</v>
      </c>
      <c r="AQ19" s="37">
        <v>0</v>
      </c>
      <c r="AR19" s="37">
        <v>0</v>
      </c>
      <c r="AS19" s="37">
        <v>0</v>
      </c>
      <c r="AT19" s="37">
        <v>0</v>
      </c>
      <c r="AU19" s="37">
        <v>0</v>
      </c>
      <c r="AV19" s="37">
        <v>0</v>
      </c>
      <c r="AW19" s="84">
        <v>0</v>
      </c>
      <c r="AX19" s="84">
        <f t="shared" si="8"/>
        <v>0</v>
      </c>
    </row>
    <row r="20" spans="1:50" ht="18.75" x14ac:dyDescent="0.25">
      <c r="A20" s="84">
        <f t="shared" ca="1" si="1"/>
        <v>5942.362314011054</v>
      </c>
      <c r="B20" s="6">
        <v>16</v>
      </c>
      <c r="C20" s="86" t="s">
        <v>144</v>
      </c>
      <c r="D20" s="94">
        <v>75</v>
      </c>
      <c r="E20" s="87">
        <v>0.5</v>
      </c>
      <c r="F20" s="139">
        <f>161+40+80</f>
        <v>281</v>
      </c>
      <c r="G20" s="88">
        <v>37.5</v>
      </c>
      <c r="H20" s="89">
        <f t="shared" ref="H20:H24" si="16">G20*F20</f>
        <v>10537.5</v>
      </c>
      <c r="I20" s="90">
        <f t="shared" ref="I20:I21" si="17">((H20/$H$4)*$A$2)/F20</f>
        <v>0.8378213807164786</v>
      </c>
      <c r="J20" s="166">
        <f t="shared" ref="J20:J21" si="18">G20+I20</f>
        <v>38.337821380716477</v>
      </c>
      <c r="K20" s="91">
        <f t="shared" ref="K20:K21" si="19">J20*F20</f>
        <v>10772.92780798133</v>
      </c>
      <c r="L20" s="95">
        <v>42</v>
      </c>
      <c r="M20" s="89">
        <f t="shared" ref="M20:M21" si="20">L20*F20</f>
        <v>11802</v>
      </c>
      <c r="N20" s="89">
        <f t="shared" ca="1" si="6"/>
        <v>5292</v>
      </c>
      <c r="O20" s="96">
        <f t="shared" ca="1" si="7"/>
        <v>155</v>
      </c>
      <c r="P20" s="83"/>
      <c r="Q20" s="194">
        <v>77</v>
      </c>
      <c r="R20" s="37">
        <v>0</v>
      </c>
      <c r="S20" s="37">
        <v>0</v>
      </c>
      <c r="T20" s="37">
        <v>0</v>
      </c>
      <c r="U20" s="37">
        <v>1</v>
      </c>
      <c r="V20" s="37">
        <v>24</v>
      </c>
      <c r="W20" s="37">
        <v>3</v>
      </c>
      <c r="X20" s="37">
        <v>1</v>
      </c>
      <c r="Y20" s="37">
        <v>3</v>
      </c>
      <c r="Z20" s="37">
        <v>10</v>
      </c>
      <c r="AA20" s="37">
        <v>0</v>
      </c>
      <c r="AB20" s="37">
        <v>5</v>
      </c>
      <c r="AC20" s="37">
        <v>0</v>
      </c>
      <c r="AD20" s="37">
        <f ca="1">SUMIFS('Tổng Đơn'!$F:$F,'Tổng Đơn'!$B:$B,$C20)</f>
        <v>2</v>
      </c>
      <c r="AE20" s="37">
        <v>0</v>
      </c>
      <c r="AF20" s="37">
        <v>0</v>
      </c>
      <c r="AG20" s="37">
        <v>0</v>
      </c>
      <c r="AH20" s="37">
        <v>0</v>
      </c>
      <c r="AI20" s="37">
        <v>0</v>
      </c>
      <c r="AJ20" s="37">
        <v>0</v>
      </c>
      <c r="AK20" s="37">
        <v>0</v>
      </c>
      <c r="AL20" s="37">
        <v>0</v>
      </c>
      <c r="AM20" s="37">
        <v>0</v>
      </c>
      <c r="AN20" s="37">
        <v>0</v>
      </c>
      <c r="AO20" s="37">
        <v>0</v>
      </c>
      <c r="AP20" s="37">
        <v>0</v>
      </c>
      <c r="AQ20" s="37">
        <v>0</v>
      </c>
      <c r="AR20" s="37">
        <v>0</v>
      </c>
      <c r="AS20" s="37">
        <v>0</v>
      </c>
      <c r="AT20" s="37">
        <v>0</v>
      </c>
      <c r="AU20" s="37">
        <v>0</v>
      </c>
      <c r="AV20" s="37">
        <v>0</v>
      </c>
      <c r="AW20" s="84">
        <v>0</v>
      </c>
      <c r="AX20" s="84">
        <f t="shared" si="8"/>
        <v>0</v>
      </c>
    </row>
    <row r="21" spans="1:50" ht="18.75" x14ac:dyDescent="0.25">
      <c r="A21" s="84">
        <f t="shared" ca="1" si="1"/>
        <v>2788.9487127091879</v>
      </c>
      <c r="B21" s="6">
        <v>17</v>
      </c>
      <c r="C21" s="86" t="s">
        <v>200</v>
      </c>
      <c r="D21" s="94">
        <v>88</v>
      </c>
      <c r="E21" s="87">
        <v>0.5</v>
      </c>
      <c r="F21" s="139">
        <f>80</f>
        <v>80</v>
      </c>
      <c r="G21" s="88">
        <v>44</v>
      </c>
      <c r="H21" s="89">
        <f t="shared" si="16"/>
        <v>3520</v>
      </c>
      <c r="I21" s="90">
        <f t="shared" si="17"/>
        <v>0.98304375337400152</v>
      </c>
      <c r="J21" s="166">
        <f t="shared" si="18"/>
        <v>44.983043753373998</v>
      </c>
      <c r="K21" s="91">
        <f t="shared" si="19"/>
        <v>3598.64350026992</v>
      </c>
      <c r="L21" s="95">
        <v>54</v>
      </c>
      <c r="M21" s="89">
        <f t="shared" si="20"/>
        <v>4320</v>
      </c>
      <c r="N21" s="89">
        <f t="shared" ca="1" si="6"/>
        <v>972</v>
      </c>
      <c r="O21" s="96">
        <f t="shared" ca="1" si="7"/>
        <v>62</v>
      </c>
      <c r="P21" s="83"/>
      <c r="Q21" s="194">
        <v>16</v>
      </c>
      <c r="R21" s="37">
        <v>0</v>
      </c>
      <c r="S21" s="37">
        <v>1</v>
      </c>
      <c r="T21" s="37">
        <v>0</v>
      </c>
      <c r="U21" s="37">
        <v>0</v>
      </c>
      <c r="V21" s="37">
        <v>0</v>
      </c>
      <c r="W21" s="37">
        <v>0</v>
      </c>
      <c r="X21" s="37">
        <v>0</v>
      </c>
      <c r="Y21" s="37">
        <v>1</v>
      </c>
      <c r="Z21" s="37">
        <v>0</v>
      </c>
      <c r="AA21" s="37">
        <v>0</v>
      </c>
      <c r="AB21" s="37">
        <v>0</v>
      </c>
      <c r="AC21" s="37">
        <v>0</v>
      </c>
      <c r="AD21" s="37">
        <f ca="1">SUMIFS('Tổng Đơn'!$F:$F,'Tổng Đơn'!$B:$B,$C21)</f>
        <v>0</v>
      </c>
      <c r="AE21" s="37">
        <v>0</v>
      </c>
      <c r="AF21" s="37">
        <v>0</v>
      </c>
      <c r="AG21" s="37">
        <v>0</v>
      </c>
      <c r="AH21" s="37">
        <v>0</v>
      </c>
      <c r="AI21" s="37">
        <v>0</v>
      </c>
      <c r="AJ21" s="37">
        <v>0</v>
      </c>
      <c r="AK21" s="37">
        <v>0</v>
      </c>
      <c r="AL21" s="37">
        <v>0</v>
      </c>
      <c r="AM21" s="37">
        <v>0</v>
      </c>
      <c r="AN21" s="37">
        <v>0</v>
      </c>
      <c r="AO21" s="37">
        <v>0</v>
      </c>
      <c r="AP21" s="37">
        <v>0</v>
      </c>
      <c r="AQ21" s="37">
        <v>0</v>
      </c>
      <c r="AR21" s="37">
        <v>0</v>
      </c>
      <c r="AS21" s="37">
        <v>0</v>
      </c>
      <c r="AT21" s="37">
        <v>0</v>
      </c>
      <c r="AU21" s="37">
        <v>0</v>
      </c>
      <c r="AV21" s="37">
        <v>0</v>
      </c>
      <c r="AW21" s="84">
        <v>0</v>
      </c>
      <c r="AX21" s="84">
        <f t="shared" si="8"/>
        <v>0</v>
      </c>
    </row>
    <row r="22" spans="1:50" ht="18.75" x14ac:dyDescent="0.25">
      <c r="A22" s="84">
        <f t="shared" ca="1" si="1"/>
        <v>820.94054849907548</v>
      </c>
      <c r="B22" s="6">
        <v>18</v>
      </c>
      <c r="C22" s="86" t="s">
        <v>205</v>
      </c>
      <c r="D22" s="94">
        <v>73</v>
      </c>
      <c r="E22" s="87">
        <v>0.5</v>
      </c>
      <c r="F22" s="139">
        <f>40</f>
        <v>40</v>
      </c>
      <c r="G22" s="88">
        <f>D22/2</f>
        <v>36.5</v>
      </c>
      <c r="H22" s="89">
        <f t="shared" si="16"/>
        <v>1460</v>
      </c>
      <c r="I22" s="90">
        <f t="shared" ref="I22:I23" si="21">((H22/$H$4)*$A$2)/F22</f>
        <v>0.8154794772307058</v>
      </c>
      <c r="J22" s="166">
        <f t="shared" ref="J22:J23" si="22">G22+I22</f>
        <v>37.315479477230703</v>
      </c>
      <c r="K22" s="91">
        <f t="shared" ref="K22:K23" si="23">J22*F22</f>
        <v>1492.6191790892281</v>
      </c>
      <c r="L22" s="95">
        <v>42</v>
      </c>
      <c r="M22" s="89">
        <f t="shared" ref="M22:M23" si="24">L22*F22</f>
        <v>1680</v>
      </c>
      <c r="N22" s="89">
        <f t="shared" ca="1" si="6"/>
        <v>756</v>
      </c>
      <c r="O22" s="96">
        <f t="shared" ca="1" si="7"/>
        <v>22</v>
      </c>
      <c r="P22" s="83"/>
      <c r="Q22" s="194">
        <v>13</v>
      </c>
      <c r="R22" s="37">
        <v>0</v>
      </c>
      <c r="S22" s="37">
        <v>0</v>
      </c>
      <c r="T22" s="37">
        <v>1</v>
      </c>
      <c r="U22" s="37">
        <v>1</v>
      </c>
      <c r="V22" s="37">
        <v>0</v>
      </c>
      <c r="W22" s="37">
        <v>2</v>
      </c>
      <c r="X22" s="37">
        <v>0</v>
      </c>
      <c r="Y22" s="37">
        <v>0</v>
      </c>
      <c r="Z22" s="37">
        <v>0</v>
      </c>
      <c r="AA22" s="37">
        <v>0</v>
      </c>
      <c r="AB22" s="37">
        <v>0</v>
      </c>
      <c r="AC22" s="37">
        <v>1</v>
      </c>
      <c r="AD22" s="37">
        <f ca="1">SUMIFS('Tổng Đơn'!$F:$F,'Tổng Đơn'!$B:$B,$C22)</f>
        <v>0</v>
      </c>
      <c r="AE22" s="37">
        <v>0</v>
      </c>
      <c r="AF22" s="37">
        <v>0</v>
      </c>
      <c r="AG22" s="37">
        <v>0</v>
      </c>
      <c r="AH22" s="37">
        <v>0</v>
      </c>
      <c r="AI22" s="37">
        <v>0</v>
      </c>
      <c r="AJ22" s="37">
        <v>0</v>
      </c>
      <c r="AK22" s="37">
        <v>0</v>
      </c>
      <c r="AL22" s="37">
        <v>0</v>
      </c>
      <c r="AM22" s="37">
        <v>0</v>
      </c>
      <c r="AN22" s="37">
        <v>0</v>
      </c>
      <c r="AO22" s="37">
        <v>0</v>
      </c>
      <c r="AP22" s="37">
        <v>0</v>
      </c>
      <c r="AQ22" s="37">
        <v>0</v>
      </c>
      <c r="AR22" s="37">
        <v>0</v>
      </c>
      <c r="AS22" s="37">
        <v>0</v>
      </c>
      <c r="AT22" s="37">
        <v>0</v>
      </c>
      <c r="AU22" s="37">
        <v>0</v>
      </c>
      <c r="AV22" s="37">
        <v>0</v>
      </c>
      <c r="AW22" s="84">
        <v>0</v>
      </c>
      <c r="AX22" s="84">
        <f t="shared" si="8"/>
        <v>0</v>
      </c>
    </row>
    <row r="23" spans="1:50" ht="18.75" x14ac:dyDescent="0.25">
      <c r="A23" s="84">
        <f t="shared" ca="1" si="1"/>
        <v>920.10771313719556</v>
      </c>
      <c r="B23" s="6">
        <v>19</v>
      </c>
      <c r="C23" s="86" t="s">
        <v>241</v>
      </c>
      <c r="D23" s="94">
        <v>24</v>
      </c>
      <c r="E23" s="87">
        <v>0.3</v>
      </c>
      <c r="F23" s="139">
        <f>260</f>
        <v>260</v>
      </c>
      <c r="G23" s="88">
        <f>D23/2</f>
        <v>12</v>
      </c>
      <c r="H23" s="89">
        <f t="shared" si="16"/>
        <v>3120</v>
      </c>
      <c r="I23" s="90">
        <f t="shared" si="21"/>
        <v>0.26810284182927313</v>
      </c>
      <c r="J23" s="166">
        <f t="shared" si="22"/>
        <v>12.268102841829274</v>
      </c>
      <c r="K23" s="91">
        <f t="shared" si="23"/>
        <v>3189.7067388756113</v>
      </c>
      <c r="L23" s="95">
        <v>18</v>
      </c>
      <c r="M23" s="89">
        <f t="shared" si="24"/>
        <v>4680</v>
      </c>
      <c r="N23" s="89">
        <f t="shared" ca="1" si="6"/>
        <v>3330</v>
      </c>
      <c r="O23" s="96">
        <f t="shared" ca="1" si="7"/>
        <v>75</v>
      </c>
      <c r="P23" s="83"/>
      <c r="Q23" s="194">
        <v>146</v>
      </c>
      <c r="R23" s="37">
        <v>0</v>
      </c>
      <c r="S23" s="37">
        <v>3</v>
      </c>
      <c r="T23" s="37">
        <v>0</v>
      </c>
      <c r="U23" s="37">
        <v>4</v>
      </c>
      <c r="V23" s="37">
        <v>5</v>
      </c>
      <c r="W23" s="37">
        <v>7</v>
      </c>
      <c r="X23" s="37">
        <v>1</v>
      </c>
      <c r="Y23" s="37">
        <v>0</v>
      </c>
      <c r="Z23" s="37">
        <v>4</v>
      </c>
      <c r="AA23" s="37">
        <v>10</v>
      </c>
      <c r="AB23" s="37">
        <v>3</v>
      </c>
      <c r="AC23" s="37">
        <v>0</v>
      </c>
      <c r="AD23" s="37">
        <f ca="1">SUMIFS('Tổng Đơn'!$F:$F,'Tổng Đơn'!$B:$B,$C23)</f>
        <v>2</v>
      </c>
      <c r="AE23" s="37">
        <v>0</v>
      </c>
      <c r="AF23" s="37">
        <v>0</v>
      </c>
      <c r="AG23" s="37">
        <v>0</v>
      </c>
      <c r="AH23" s="37">
        <v>0</v>
      </c>
      <c r="AI23" s="37">
        <v>0</v>
      </c>
      <c r="AJ23" s="37">
        <v>0</v>
      </c>
      <c r="AK23" s="37">
        <v>0</v>
      </c>
      <c r="AL23" s="37">
        <v>0</v>
      </c>
      <c r="AM23" s="37">
        <v>0</v>
      </c>
      <c r="AN23" s="37">
        <v>0</v>
      </c>
      <c r="AO23" s="37">
        <v>0</v>
      </c>
      <c r="AP23" s="37">
        <v>0</v>
      </c>
      <c r="AQ23" s="37">
        <v>0</v>
      </c>
      <c r="AR23" s="37">
        <v>0</v>
      </c>
      <c r="AS23" s="37">
        <v>0</v>
      </c>
      <c r="AT23" s="37">
        <v>0</v>
      </c>
      <c r="AU23" s="37">
        <v>0</v>
      </c>
      <c r="AV23" s="37">
        <v>0</v>
      </c>
      <c r="AW23" s="84">
        <v>0</v>
      </c>
      <c r="AX23" s="84">
        <f t="shared" si="8"/>
        <v>0</v>
      </c>
    </row>
    <row r="24" spans="1:50" ht="18.75" x14ac:dyDescent="0.25">
      <c r="A24" s="84">
        <f t="shared" ca="1" si="1"/>
        <v>278.07699774813017</v>
      </c>
      <c r="B24" s="6">
        <v>20</v>
      </c>
      <c r="C24" s="86" t="s">
        <v>297</v>
      </c>
      <c r="D24" s="94">
        <v>68</v>
      </c>
      <c r="E24" s="87">
        <v>0.5</v>
      </c>
      <c r="F24" s="139">
        <v>10</v>
      </c>
      <c r="G24" s="88">
        <v>34</v>
      </c>
      <c r="H24" s="89">
        <f t="shared" si="16"/>
        <v>340</v>
      </c>
      <c r="I24" s="90">
        <f t="shared" ref="I24" si="25">((H24/$H$4)*$A$2)/F24</f>
        <v>0.75962471851627389</v>
      </c>
      <c r="J24" s="166">
        <f t="shared" ref="J24" si="26">G24+I24</f>
        <v>34.759624718516271</v>
      </c>
      <c r="K24" s="91">
        <f t="shared" ref="K24" si="27">J24*F24</f>
        <v>347.59624718516272</v>
      </c>
      <c r="L24" s="95">
        <v>40</v>
      </c>
      <c r="M24" s="89">
        <f t="shared" ref="M24" si="28">L24*F24</f>
        <v>400</v>
      </c>
      <c r="N24" s="89">
        <f t="shared" ca="1" si="6"/>
        <v>80</v>
      </c>
      <c r="O24" s="96">
        <f t="shared" ref="O24" ca="1" si="29">F24-SUM(Q24:AV24)-P24</f>
        <v>8</v>
      </c>
      <c r="P24" s="83"/>
      <c r="Q24" s="194">
        <v>0</v>
      </c>
      <c r="R24" s="37">
        <v>0</v>
      </c>
      <c r="S24" s="37">
        <v>0</v>
      </c>
      <c r="T24" s="37">
        <v>0</v>
      </c>
      <c r="U24" s="37">
        <v>0</v>
      </c>
      <c r="V24" s="37">
        <v>0</v>
      </c>
      <c r="W24" s="37">
        <v>0</v>
      </c>
      <c r="X24" s="37">
        <v>0</v>
      </c>
      <c r="Y24" s="37">
        <v>0</v>
      </c>
      <c r="Z24" s="37">
        <v>0</v>
      </c>
      <c r="AA24" s="37">
        <v>0</v>
      </c>
      <c r="AB24" s="37">
        <v>2</v>
      </c>
      <c r="AC24" s="37">
        <v>0</v>
      </c>
      <c r="AD24" s="37">
        <f ca="1">SUMIFS('Tổng Đơn'!$F:$F,'Tổng Đơn'!$B:$B,$C24)</f>
        <v>0</v>
      </c>
      <c r="AE24" s="37">
        <v>0</v>
      </c>
      <c r="AF24" s="37">
        <v>0</v>
      </c>
      <c r="AG24" s="37">
        <v>0</v>
      </c>
      <c r="AH24" s="37">
        <v>0</v>
      </c>
      <c r="AI24" s="37">
        <v>0</v>
      </c>
      <c r="AJ24" s="37">
        <v>0</v>
      </c>
      <c r="AK24" s="37">
        <v>0</v>
      </c>
      <c r="AL24" s="37">
        <v>0</v>
      </c>
      <c r="AM24" s="37">
        <v>0</v>
      </c>
      <c r="AN24" s="37">
        <v>0</v>
      </c>
      <c r="AO24" s="37">
        <v>0</v>
      </c>
      <c r="AP24" s="37">
        <v>0</v>
      </c>
      <c r="AQ24" s="37">
        <v>0</v>
      </c>
      <c r="AR24" s="37">
        <v>0</v>
      </c>
      <c r="AS24" s="37">
        <v>0</v>
      </c>
      <c r="AT24" s="37">
        <v>0</v>
      </c>
      <c r="AU24" s="37">
        <v>0</v>
      </c>
      <c r="AV24" s="37">
        <v>0</v>
      </c>
      <c r="AW24" s="84">
        <v>0</v>
      </c>
      <c r="AX24" s="84">
        <f t="shared" ref="AX24" si="30">AW24*G24</f>
        <v>0</v>
      </c>
    </row>
  </sheetData>
  <autoFilter ref="B4:M4"/>
  <mergeCells count="1">
    <mergeCell ref="B1:M1"/>
  </mergeCells>
  <conditionalFormatting sqref="C6:C17">
    <cfRule type="expression" dxfId="502" priority="19">
      <formula>($O6/$O6)&lt;=1/4</formula>
    </cfRule>
  </conditionalFormatting>
  <conditionalFormatting sqref="C18">
    <cfRule type="expression" dxfId="501" priority="16">
      <formula>($O18/$O18)&lt;=1/4</formula>
    </cfRule>
  </conditionalFormatting>
  <conditionalFormatting sqref="C5:C18">
    <cfRule type="expression" dxfId="500" priority="27">
      <formula>($O5/$F5)&lt;=1/4</formula>
    </cfRule>
  </conditionalFormatting>
  <conditionalFormatting sqref="C19">
    <cfRule type="expression" dxfId="499" priority="7">
      <formula>($O19/$O19)&lt;=1/4</formula>
    </cfRule>
  </conditionalFormatting>
  <conditionalFormatting sqref="C19">
    <cfRule type="expression" dxfId="498" priority="8">
      <formula>($O19/$F19)&lt;=1/4</formula>
    </cfRule>
  </conditionalFormatting>
  <conditionalFormatting sqref="C20:C21">
    <cfRule type="expression" dxfId="497" priority="5">
      <formula>($O20/$O20)&lt;=1/4</formula>
    </cfRule>
  </conditionalFormatting>
  <conditionalFormatting sqref="C20:C21">
    <cfRule type="expression" dxfId="496" priority="6">
      <formula>($O20/$F20)&lt;=1/4</formula>
    </cfRule>
  </conditionalFormatting>
  <conditionalFormatting sqref="C22:C23">
    <cfRule type="expression" dxfId="495" priority="3">
      <formula>($O22/$O22)&lt;=1/4</formula>
    </cfRule>
  </conditionalFormatting>
  <conditionalFormatting sqref="C22:C23">
    <cfRule type="expression" dxfId="494" priority="4">
      <formula>($O22/$F22)&lt;=1/4</formula>
    </cfRule>
  </conditionalFormatting>
  <conditionalFormatting sqref="C24">
    <cfRule type="expression" dxfId="493" priority="1">
      <formula>($O24/$O24)&lt;=1/4</formula>
    </cfRule>
  </conditionalFormatting>
  <conditionalFormatting sqref="C24">
    <cfRule type="expression" dxfId="492" priority="2">
      <formula>($O24/$F24)&lt;=1/4</formula>
    </cfRule>
  </conditionalFormatting>
  <pageMargins left="0.7" right="0.7" top="0.75" bottom="0.75" header="0.3" footer="0.3"/>
  <pageSetup orientation="portrait" r:id="rId1"/>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tabColor rgb="FF00B050"/>
  </sheetPr>
  <dimension ref="A1:AY12"/>
  <sheetViews>
    <sheetView topLeftCell="A2" zoomScale="90" zoomScaleNormal="90" workbookViewId="0">
      <pane xSplit="17" ySplit="3" topLeftCell="T5" activePane="bottomRight" state="frozen"/>
      <selection activeCell="A2" sqref="A2"/>
      <selection pane="topRight" activeCell="R2" sqref="R2"/>
      <selection pane="bottomLeft" activeCell="A5" sqref="A5"/>
      <selection pane="bottomRight" activeCell="O5" sqref="O5"/>
    </sheetView>
  </sheetViews>
  <sheetFormatPr defaultRowHeight="15" x14ac:dyDescent="0.25"/>
  <cols>
    <col min="1" max="1" width="16.28515625" style="84" customWidth="1"/>
    <col min="2" max="2" width="9.140625" style="84"/>
    <col min="3" max="3" width="30.5703125" style="84" bestFit="1" customWidth="1"/>
    <col min="4" max="4" width="9" style="84" customWidth="1"/>
    <col min="5" max="5" width="7.140625" style="84" customWidth="1"/>
    <col min="6" max="6" width="10.28515625" style="84" bestFit="1" customWidth="1"/>
    <col min="7" max="7" width="9.5703125" style="84" customWidth="1"/>
    <col min="8" max="8" width="12.85546875" style="84" hidden="1" customWidth="1"/>
    <col min="9" max="9" width="14.85546875" style="84" hidden="1" customWidth="1"/>
    <col min="10" max="10" width="12.7109375" style="84" customWidth="1"/>
    <col min="11" max="11" width="14.85546875" style="84" hidden="1" customWidth="1"/>
    <col min="12" max="12" width="12" style="84" customWidth="1"/>
    <col min="13" max="14" width="16.28515625" style="84" hidden="1" customWidth="1"/>
    <col min="15" max="15" width="9.7109375" style="84" bestFit="1" customWidth="1"/>
    <col min="16" max="16" width="13.140625" style="84" customWidth="1"/>
    <col min="17" max="17" width="10.28515625" style="84" customWidth="1"/>
    <col min="18" max="35" width="4.5703125" style="84" customWidth="1"/>
    <col min="36" max="36" width="4.7109375" style="84" bestFit="1" customWidth="1"/>
    <col min="37" max="48" width="4.5703125" style="84" customWidth="1"/>
    <col min="49" max="49" width="9.140625" style="84"/>
    <col min="50" max="50" width="12" style="84" bestFit="1" customWidth="1"/>
    <col min="51" max="16384" width="9.140625" style="84"/>
  </cols>
  <sheetData>
    <row r="1" spans="1:51" hidden="1" x14ac:dyDescent="0.25">
      <c r="B1" s="223" t="s">
        <v>59</v>
      </c>
      <c r="C1" s="223"/>
      <c r="D1" s="223"/>
      <c r="E1" s="223"/>
      <c r="F1" s="223"/>
      <c r="G1" s="223"/>
      <c r="H1" s="223"/>
      <c r="I1" s="223"/>
      <c r="J1" s="223"/>
      <c r="K1" s="223"/>
      <c r="L1" s="223"/>
      <c r="M1" s="223"/>
      <c r="N1" s="185"/>
    </row>
    <row r="2" spans="1:51" ht="34.5" customHeight="1" x14ac:dyDescent="0.25">
      <c r="A2" s="1">
        <f>300+200+120+200+200</f>
        <v>1020</v>
      </c>
      <c r="K2" s="13">
        <f>SUMPRODUCT((E5:E12)*(F5:F12))</f>
        <v>878</v>
      </c>
      <c r="L2" s="13">
        <f>M4-K4</f>
        <v>8018</v>
      </c>
      <c r="M2" s="8">
        <f>M4/K4-1</f>
        <v>0.18729268862415327</v>
      </c>
      <c r="N2" s="8"/>
      <c r="O2" s="84">
        <f>46+59+69+65</f>
        <v>239</v>
      </c>
      <c r="P2" s="84">
        <f>45+40+40+33+42+23+15</f>
        <v>238</v>
      </c>
      <c r="AX2" s="160"/>
    </row>
    <row r="3" spans="1:51" ht="31.5" customHeight="1" x14ac:dyDescent="0.25">
      <c r="A3" s="75" t="s">
        <v>127</v>
      </c>
      <c r="B3" s="3" t="s">
        <v>0</v>
      </c>
      <c r="C3" s="3" t="s">
        <v>17</v>
      </c>
      <c r="D3" s="20" t="s">
        <v>62</v>
      </c>
      <c r="E3" s="5" t="s">
        <v>157</v>
      </c>
      <c r="F3" s="136" t="s">
        <v>156</v>
      </c>
      <c r="G3" s="4" t="s">
        <v>18</v>
      </c>
      <c r="H3" s="4" t="s">
        <v>19</v>
      </c>
      <c r="I3" s="9" t="s">
        <v>20</v>
      </c>
      <c r="J3" s="9" t="s">
        <v>21</v>
      </c>
      <c r="K3" s="9" t="s">
        <v>24</v>
      </c>
      <c r="L3" s="10" t="s">
        <v>22</v>
      </c>
      <c r="M3" s="11" t="s">
        <v>23</v>
      </c>
      <c r="N3" s="11" t="s">
        <v>122</v>
      </c>
      <c r="O3" s="35" t="s">
        <v>60</v>
      </c>
      <c r="P3" s="82" t="s">
        <v>146</v>
      </c>
      <c r="Q3" s="82" t="s">
        <v>279</v>
      </c>
      <c r="R3" s="36" t="s">
        <v>189</v>
      </c>
      <c r="S3" s="38" t="s">
        <v>191</v>
      </c>
      <c r="T3" s="36" t="s">
        <v>192</v>
      </c>
      <c r="U3" s="38" t="s">
        <v>193</v>
      </c>
      <c r="V3" s="36" t="s">
        <v>194</v>
      </c>
      <c r="W3" s="38" t="s">
        <v>195</v>
      </c>
      <c r="X3" s="36" t="s">
        <v>196</v>
      </c>
      <c r="Y3" s="38" t="s">
        <v>197</v>
      </c>
      <c r="Z3" s="36" t="s">
        <v>198</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c r="AX3" s="84">
        <v>2430</v>
      </c>
    </row>
    <row r="4" spans="1:51" s="63" customFormat="1" ht="27" customHeight="1" x14ac:dyDescent="0.25">
      <c r="A4" s="72">
        <f ca="1">SUBTOTAL(9,A5:A12)</f>
        <v>10834.136396267051</v>
      </c>
      <c r="B4" s="19"/>
      <c r="C4" s="19"/>
      <c r="D4" s="64"/>
      <c r="E4" s="19">
        <f>SUMPRODUCT((E5:E12)*(F5:F12))</f>
        <v>878</v>
      </c>
      <c r="F4" s="19">
        <f>SUBTOTAL(9,F5:F12)</f>
        <v>1756</v>
      </c>
      <c r="G4" s="7"/>
      <c r="H4" s="7">
        <f>SUBTOTAL(9,H5:H12)</f>
        <v>41790</v>
      </c>
      <c r="I4" s="12"/>
      <c r="J4" s="12"/>
      <c r="K4" s="12">
        <f>SUBTOTAL(9,K5:K12)</f>
        <v>42810</v>
      </c>
      <c r="L4" s="65"/>
      <c r="M4" s="7">
        <f>SUBTOTAL(9,M5:M12)</f>
        <v>50828</v>
      </c>
      <c r="N4" s="7">
        <f ca="1">SUBTOTAL(9,N5:N12)</f>
        <v>37773</v>
      </c>
      <c r="O4" s="66">
        <f ca="1">SUBTOTAL(9,O5:O12)</f>
        <v>456</v>
      </c>
      <c r="P4" s="101">
        <f>SUBTOTAL(9,P5:P12)</f>
        <v>3</v>
      </c>
      <c r="Q4" s="101"/>
      <c r="R4" s="40">
        <f t="shared" ref="R4:AV4" si="0">SUBTOTAL(9,R5:R12)</f>
        <v>46</v>
      </c>
      <c r="S4" s="40">
        <f t="shared" si="0"/>
        <v>62</v>
      </c>
      <c r="T4" s="40">
        <f t="shared" si="0"/>
        <v>91</v>
      </c>
      <c r="U4" s="40">
        <f t="shared" si="0"/>
        <v>67</v>
      </c>
      <c r="V4" s="40">
        <f t="shared" si="0"/>
        <v>22</v>
      </c>
      <c r="W4" s="40">
        <f t="shared" si="0"/>
        <v>29</v>
      </c>
      <c r="X4" s="40">
        <f t="shared" si="0"/>
        <v>24</v>
      </c>
      <c r="Y4" s="40">
        <f t="shared" si="0"/>
        <v>25</v>
      </c>
      <c r="Z4" s="40">
        <f t="shared" si="0"/>
        <v>21</v>
      </c>
      <c r="AA4" s="40">
        <f t="shared" si="0"/>
        <v>51</v>
      </c>
      <c r="AB4" s="40">
        <f t="shared" si="0"/>
        <v>41</v>
      </c>
      <c r="AC4" s="40">
        <f t="shared" si="0"/>
        <v>54</v>
      </c>
      <c r="AD4" s="40">
        <f t="shared" ca="1" si="0"/>
        <v>45</v>
      </c>
      <c r="AE4" s="40">
        <f t="shared" si="0"/>
        <v>0</v>
      </c>
      <c r="AF4" s="40">
        <f t="shared" si="0"/>
        <v>0</v>
      </c>
      <c r="AG4" s="40">
        <f t="shared" si="0"/>
        <v>0</v>
      </c>
      <c r="AH4" s="40">
        <f t="shared" si="0"/>
        <v>0</v>
      </c>
      <c r="AI4" s="40">
        <f t="shared" si="0"/>
        <v>0</v>
      </c>
      <c r="AJ4" s="40">
        <f t="shared" si="0"/>
        <v>0</v>
      </c>
      <c r="AK4" s="40">
        <f t="shared" si="0"/>
        <v>0</v>
      </c>
      <c r="AL4" s="40">
        <f t="shared" si="0"/>
        <v>0</v>
      </c>
      <c r="AM4" s="40">
        <f t="shared" si="0"/>
        <v>0</v>
      </c>
      <c r="AN4" s="40">
        <f t="shared" si="0"/>
        <v>0</v>
      </c>
      <c r="AO4" s="40">
        <f t="shared" si="0"/>
        <v>0</v>
      </c>
      <c r="AP4" s="40">
        <f t="shared" si="0"/>
        <v>0</v>
      </c>
      <c r="AQ4" s="40">
        <f t="shared" si="0"/>
        <v>0</v>
      </c>
      <c r="AR4" s="40">
        <f t="shared" si="0"/>
        <v>0</v>
      </c>
      <c r="AS4" s="40">
        <f t="shared" si="0"/>
        <v>0</v>
      </c>
      <c r="AT4" s="40">
        <f t="shared" si="0"/>
        <v>0</v>
      </c>
      <c r="AU4" s="40">
        <f t="shared" si="0"/>
        <v>0</v>
      </c>
      <c r="AV4" s="40">
        <f t="shared" si="0"/>
        <v>0</v>
      </c>
      <c r="AW4" s="58" t="str">
        <f>SUMPRODUCT(($AW$5:$AW$12)*($E$5:$E$12))&amp;" Kg"</f>
        <v>110 Kg</v>
      </c>
      <c r="AX4" s="104">
        <f>SUBTOTAL(9,AX5:AX12)</f>
        <v>5740</v>
      </c>
    </row>
    <row r="5" spans="1:51" ht="18.75" x14ac:dyDescent="0.25">
      <c r="A5" s="84">
        <f t="shared" ref="A5:A12" ca="1" si="1">J5*O5</f>
        <v>2394.040918880115</v>
      </c>
      <c r="B5" s="6">
        <v>1</v>
      </c>
      <c r="C5" s="86" t="s">
        <v>233</v>
      </c>
      <c r="D5" s="94">
        <v>38</v>
      </c>
      <c r="E5" s="6">
        <v>0.5</v>
      </c>
      <c r="F5" s="6">
        <f>240+126+126+100</f>
        <v>592</v>
      </c>
      <c r="G5" s="88">
        <f t="shared" ref="G5:G12" si="2">D5/(1/E5)</f>
        <v>19</v>
      </c>
      <c r="H5" s="89">
        <f t="shared" ref="H5:H12" si="3">G5*F5</f>
        <v>11248</v>
      </c>
      <c r="I5" s="90">
        <f t="shared" ref="I5:I12" si="4">((H5/$H$4)*$A$2)/F5</f>
        <v>0.46374730796841346</v>
      </c>
      <c r="J5" s="166">
        <f t="shared" ref="J5:J12" si="5">G5+I5</f>
        <v>19.463747307968415</v>
      </c>
      <c r="K5" s="91">
        <f>J5*F5</f>
        <v>11522.538406317302</v>
      </c>
      <c r="L5" s="95">
        <v>23</v>
      </c>
      <c r="M5" s="89">
        <f t="shared" ref="M5:M12" si="6">L5*F5</f>
        <v>13616</v>
      </c>
      <c r="N5" s="89">
        <f ca="1">SUMPRODUCT(($Q5:$AV5)*$L5)</f>
        <v>10741</v>
      </c>
      <c r="O5" s="96">
        <f ca="1">F5-SUM(Q5:AV5)-P5</f>
        <v>123</v>
      </c>
      <c r="P5" s="83">
        <v>2</v>
      </c>
      <c r="Q5" s="83">
        <v>278</v>
      </c>
      <c r="R5" s="37">
        <v>9</v>
      </c>
      <c r="S5" s="37">
        <v>20</v>
      </c>
      <c r="T5" s="37">
        <v>33</v>
      </c>
      <c r="U5" s="37">
        <v>10</v>
      </c>
      <c r="V5" s="37">
        <v>7</v>
      </c>
      <c r="W5" s="37">
        <v>4</v>
      </c>
      <c r="X5" s="37">
        <v>3</v>
      </c>
      <c r="Y5" s="37">
        <v>8</v>
      </c>
      <c r="Z5" s="37">
        <v>3</v>
      </c>
      <c r="AA5" s="37">
        <v>22</v>
      </c>
      <c r="AB5" s="37">
        <v>18</v>
      </c>
      <c r="AC5" s="37">
        <v>28</v>
      </c>
      <c r="AD5" s="37">
        <f ca="1">SUMIFS('Tổng Đơn'!$F:$F,'Tổng Đơn'!$B:$B,$C5)</f>
        <v>24</v>
      </c>
      <c r="AE5" s="37">
        <v>0</v>
      </c>
      <c r="AF5" s="37">
        <v>0</v>
      </c>
      <c r="AG5" s="37">
        <v>0</v>
      </c>
      <c r="AH5" s="37">
        <v>0</v>
      </c>
      <c r="AI5" s="37">
        <v>0</v>
      </c>
      <c r="AJ5" s="37">
        <v>0</v>
      </c>
      <c r="AK5" s="37">
        <v>0</v>
      </c>
      <c r="AL5" s="37">
        <v>0</v>
      </c>
      <c r="AM5" s="37">
        <v>0</v>
      </c>
      <c r="AN5" s="37">
        <v>0</v>
      </c>
      <c r="AO5" s="37">
        <v>0</v>
      </c>
      <c r="AP5" s="37">
        <v>0</v>
      </c>
      <c r="AQ5" s="37">
        <v>0</v>
      </c>
      <c r="AR5" s="37">
        <v>0</v>
      </c>
      <c r="AS5" s="37">
        <v>0</v>
      </c>
      <c r="AT5" s="37">
        <v>0</v>
      </c>
      <c r="AU5" s="37">
        <v>0</v>
      </c>
      <c r="AV5" s="37">
        <v>0</v>
      </c>
      <c r="AW5" s="84">
        <v>100</v>
      </c>
      <c r="AX5" s="84">
        <f>AW5*AY5/2</f>
        <v>1900</v>
      </c>
      <c r="AY5" s="84">
        <v>38</v>
      </c>
    </row>
    <row r="6" spans="1:51" ht="18.75" x14ac:dyDescent="0.25">
      <c r="A6" s="84">
        <f t="shared" ca="1" si="1"/>
        <v>365.713567839196</v>
      </c>
      <c r="B6" s="6">
        <v>2</v>
      </c>
      <c r="C6" s="86" t="s">
        <v>234</v>
      </c>
      <c r="D6" s="94">
        <v>42</v>
      </c>
      <c r="E6" s="6">
        <v>0.5</v>
      </c>
      <c r="F6" s="6">
        <v>40</v>
      </c>
      <c r="G6" s="88">
        <f t="shared" si="2"/>
        <v>21</v>
      </c>
      <c r="H6" s="89">
        <f t="shared" si="3"/>
        <v>840</v>
      </c>
      <c r="I6" s="90">
        <f t="shared" si="4"/>
        <v>0.51256281407035176</v>
      </c>
      <c r="J6" s="166">
        <f t="shared" si="5"/>
        <v>21.512562814070353</v>
      </c>
      <c r="K6" s="91">
        <f>J6*F6</f>
        <v>860.5025125628141</v>
      </c>
      <c r="L6" s="95">
        <v>26</v>
      </c>
      <c r="M6" s="89">
        <f t="shared" si="6"/>
        <v>1040</v>
      </c>
      <c r="N6" s="89">
        <f t="shared" ref="N6:N12" ca="1" si="7">SUMPRODUCT(($Q6:$AV6)*$L6)</f>
        <v>598</v>
      </c>
      <c r="O6" s="96">
        <f t="shared" ref="O6:O12" ca="1" si="8">F6-SUM(Q6:AV6)-P6</f>
        <v>17</v>
      </c>
      <c r="P6" s="83"/>
      <c r="Q6" s="83">
        <v>10</v>
      </c>
      <c r="R6" s="37">
        <v>1</v>
      </c>
      <c r="S6" s="37">
        <v>0</v>
      </c>
      <c r="T6" s="37">
        <v>0</v>
      </c>
      <c r="U6" s="37">
        <v>0</v>
      </c>
      <c r="V6" s="37">
        <v>0</v>
      </c>
      <c r="W6" s="37">
        <v>4</v>
      </c>
      <c r="X6" s="37">
        <v>6</v>
      </c>
      <c r="Y6" s="37">
        <v>0</v>
      </c>
      <c r="Z6" s="37">
        <v>1</v>
      </c>
      <c r="AA6" s="37">
        <v>0</v>
      </c>
      <c r="AB6" s="37">
        <v>0</v>
      </c>
      <c r="AC6" s="37">
        <v>0</v>
      </c>
      <c r="AD6" s="37">
        <f ca="1">SUMIFS('Tổng Đơn'!$F:$F,'Tổng Đơn'!$B:$B,$C6)</f>
        <v>1</v>
      </c>
      <c r="AE6" s="37">
        <v>0</v>
      </c>
      <c r="AF6" s="37">
        <v>0</v>
      </c>
      <c r="AG6" s="37">
        <v>0</v>
      </c>
      <c r="AH6" s="37">
        <v>0</v>
      </c>
      <c r="AI6" s="37">
        <v>0</v>
      </c>
      <c r="AJ6" s="37">
        <v>0</v>
      </c>
      <c r="AK6" s="37">
        <v>0</v>
      </c>
      <c r="AL6" s="37">
        <v>0</v>
      </c>
      <c r="AM6" s="37">
        <v>0</v>
      </c>
      <c r="AN6" s="37">
        <v>0</v>
      </c>
      <c r="AO6" s="37">
        <v>0</v>
      </c>
      <c r="AP6" s="37">
        <v>0</v>
      </c>
      <c r="AQ6" s="37">
        <v>0</v>
      </c>
      <c r="AR6" s="37">
        <v>0</v>
      </c>
      <c r="AS6" s="37">
        <v>0</v>
      </c>
      <c r="AT6" s="37">
        <v>0</v>
      </c>
      <c r="AU6" s="37">
        <v>0</v>
      </c>
      <c r="AV6" s="37">
        <v>0</v>
      </c>
      <c r="AX6" s="84">
        <f t="shared" ref="AX6:AX12" si="9">AW6*AY6/2</f>
        <v>0</v>
      </c>
      <c r="AY6" s="84">
        <v>42</v>
      </c>
    </row>
    <row r="7" spans="1:51" ht="18.75" x14ac:dyDescent="0.25">
      <c r="A7" s="84">
        <f t="shared" ca="1" si="1"/>
        <v>559.32663316582921</v>
      </c>
      <c r="B7" s="6">
        <v>3</v>
      </c>
      <c r="C7" s="86" t="s">
        <v>235</v>
      </c>
      <c r="D7" s="94">
        <v>42</v>
      </c>
      <c r="E7" s="6">
        <v>0.5</v>
      </c>
      <c r="F7" s="6">
        <f>40+42</f>
        <v>82</v>
      </c>
      <c r="G7" s="88">
        <f t="shared" si="2"/>
        <v>21</v>
      </c>
      <c r="H7" s="89">
        <f t="shared" si="3"/>
        <v>1722</v>
      </c>
      <c r="I7" s="90">
        <f t="shared" si="4"/>
        <v>0.51256281407035176</v>
      </c>
      <c r="J7" s="166">
        <f t="shared" si="5"/>
        <v>21.512562814070353</v>
      </c>
      <c r="K7" s="91">
        <f t="shared" ref="K7:K12" si="10">J7*F7</f>
        <v>1764.030150753769</v>
      </c>
      <c r="L7" s="95">
        <v>26</v>
      </c>
      <c r="M7" s="89">
        <f t="shared" si="6"/>
        <v>2132</v>
      </c>
      <c r="N7" s="89">
        <f t="shared" ca="1" si="7"/>
        <v>1456</v>
      </c>
      <c r="O7" s="96">
        <f t="shared" ca="1" si="8"/>
        <v>26</v>
      </c>
      <c r="P7" s="83"/>
      <c r="Q7" s="83">
        <v>35</v>
      </c>
      <c r="R7" s="37">
        <v>1</v>
      </c>
      <c r="S7" s="37">
        <v>2</v>
      </c>
      <c r="T7" s="37">
        <v>2</v>
      </c>
      <c r="U7" s="37">
        <v>0</v>
      </c>
      <c r="V7" s="37">
        <v>0</v>
      </c>
      <c r="W7" s="37">
        <v>0</v>
      </c>
      <c r="X7" s="37">
        <v>0</v>
      </c>
      <c r="Y7" s="37">
        <v>0</v>
      </c>
      <c r="Z7" s="37">
        <v>0</v>
      </c>
      <c r="AA7" s="37">
        <v>11</v>
      </c>
      <c r="AB7" s="37">
        <v>0</v>
      </c>
      <c r="AC7" s="37">
        <v>5</v>
      </c>
      <c r="AD7" s="37">
        <f ca="1">SUMIFS('Tổng Đơn'!$F:$F,'Tổng Đơn'!$B:$B,$C7)</f>
        <v>0</v>
      </c>
      <c r="AE7" s="37">
        <v>0</v>
      </c>
      <c r="AF7" s="37">
        <v>0</v>
      </c>
      <c r="AG7" s="37">
        <v>0</v>
      </c>
      <c r="AH7" s="37">
        <v>0</v>
      </c>
      <c r="AI7" s="37">
        <v>0</v>
      </c>
      <c r="AJ7" s="37">
        <v>0</v>
      </c>
      <c r="AK7" s="37">
        <v>0</v>
      </c>
      <c r="AL7" s="37">
        <v>0</v>
      </c>
      <c r="AM7" s="37">
        <v>0</v>
      </c>
      <c r="AN7" s="37">
        <v>0</v>
      </c>
      <c r="AO7" s="37">
        <v>0</v>
      </c>
      <c r="AP7" s="37">
        <v>0</v>
      </c>
      <c r="AQ7" s="37">
        <v>0</v>
      </c>
      <c r="AR7" s="37">
        <v>0</v>
      </c>
      <c r="AS7" s="37">
        <v>0</v>
      </c>
      <c r="AT7" s="37">
        <v>0</v>
      </c>
      <c r="AU7" s="37">
        <v>0</v>
      </c>
      <c r="AV7" s="37">
        <v>0</v>
      </c>
      <c r="AX7" s="84">
        <f t="shared" si="9"/>
        <v>0</v>
      </c>
      <c r="AY7" s="84">
        <v>42</v>
      </c>
    </row>
    <row r="8" spans="1:51" ht="18.75" x14ac:dyDescent="0.25">
      <c r="A8" s="84">
        <f t="shared" ca="1" si="1"/>
        <v>840.01435750179473</v>
      </c>
      <c r="B8" s="6">
        <v>4</v>
      </c>
      <c r="C8" s="86" t="s">
        <v>236</v>
      </c>
      <c r="D8" s="94">
        <v>40</v>
      </c>
      <c r="E8" s="6">
        <v>0.5</v>
      </c>
      <c r="F8" s="6">
        <f>40+42</f>
        <v>82</v>
      </c>
      <c r="G8" s="88">
        <f t="shared" si="2"/>
        <v>20</v>
      </c>
      <c r="H8" s="89">
        <f t="shared" si="3"/>
        <v>1640</v>
      </c>
      <c r="I8" s="90">
        <f t="shared" si="4"/>
        <v>0.48815506101938261</v>
      </c>
      <c r="J8" s="166">
        <f t="shared" si="5"/>
        <v>20.488155061019384</v>
      </c>
      <c r="K8" s="91">
        <f t="shared" si="10"/>
        <v>1680.0287150035895</v>
      </c>
      <c r="L8" s="95">
        <v>26</v>
      </c>
      <c r="M8" s="89">
        <f t="shared" si="6"/>
        <v>2132</v>
      </c>
      <c r="N8" s="89">
        <f t="shared" ca="1" si="7"/>
        <v>1066</v>
      </c>
      <c r="O8" s="96">
        <f t="shared" ca="1" si="8"/>
        <v>41</v>
      </c>
      <c r="P8" s="83"/>
      <c r="Q8" s="83">
        <v>34</v>
      </c>
      <c r="R8" s="37">
        <v>1</v>
      </c>
      <c r="S8" s="37">
        <v>0</v>
      </c>
      <c r="T8" s="37">
        <v>0</v>
      </c>
      <c r="U8" s="37">
        <v>0</v>
      </c>
      <c r="V8" s="37">
        <v>1</v>
      </c>
      <c r="W8" s="37">
        <v>0</v>
      </c>
      <c r="X8" s="37">
        <v>0</v>
      </c>
      <c r="Y8" s="37">
        <v>0</v>
      </c>
      <c r="Z8" s="37">
        <v>0</v>
      </c>
      <c r="AA8" s="37">
        <v>0</v>
      </c>
      <c r="AB8" s="37">
        <v>0</v>
      </c>
      <c r="AC8" s="37">
        <v>5</v>
      </c>
      <c r="AD8" s="37">
        <f ca="1">SUMIFS('Tổng Đơn'!$F:$F,'Tổng Đơn'!$B:$B,$C8)</f>
        <v>0</v>
      </c>
      <c r="AE8" s="37">
        <v>0</v>
      </c>
      <c r="AF8" s="37">
        <v>0</v>
      </c>
      <c r="AG8" s="37">
        <v>0</v>
      </c>
      <c r="AH8" s="37">
        <v>0</v>
      </c>
      <c r="AI8" s="37">
        <v>0</v>
      </c>
      <c r="AJ8" s="37">
        <v>0</v>
      </c>
      <c r="AK8" s="37">
        <v>0</v>
      </c>
      <c r="AL8" s="37">
        <v>0</v>
      </c>
      <c r="AM8" s="37">
        <v>0</v>
      </c>
      <c r="AN8" s="37">
        <v>0</v>
      </c>
      <c r="AO8" s="37">
        <v>0</v>
      </c>
      <c r="AP8" s="37">
        <v>0</v>
      </c>
      <c r="AQ8" s="37">
        <v>0</v>
      </c>
      <c r="AR8" s="37">
        <v>0</v>
      </c>
      <c r="AS8" s="37">
        <v>0</v>
      </c>
      <c r="AT8" s="37">
        <v>0</v>
      </c>
      <c r="AU8" s="37">
        <v>0</v>
      </c>
      <c r="AV8" s="37">
        <v>0</v>
      </c>
      <c r="AX8" s="84">
        <f t="shared" si="9"/>
        <v>0</v>
      </c>
      <c r="AY8" s="84">
        <v>40</v>
      </c>
    </row>
    <row r="9" spans="1:51" ht="18.75" x14ac:dyDescent="0.25">
      <c r="A9" s="84">
        <f t="shared" ca="1" si="1"/>
        <v>1822.9801605429745</v>
      </c>
      <c r="B9" s="6">
        <v>5</v>
      </c>
      <c r="C9" s="86" t="s">
        <v>237</v>
      </c>
      <c r="D9" s="94">
        <f>(45*20)/22</f>
        <v>40.909090909090907</v>
      </c>
      <c r="E9" s="6">
        <v>0.5</v>
      </c>
      <c r="F9" s="6">
        <f>176+88+44</f>
        <v>308</v>
      </c>
      <c r="G9" s="88">
        <f t="shared" si="2"/>
        <v>20.454545454545453</v>
      </c>
      <c r="H9" s="89">
        <f t="shared" si="3"/>
        <v>6300</v>
      </c>
      <c r="I9" s="90">
        <f t="shared" si="4"/>
        <v>0.4992494942243686</v>
      </c>
      <c r="J9" s="166">
        <f t="shared" si="5"/>
        <v>20.953794948769822</v>
      </c>
      <c r="K9" s="91">
        <f t="shared" si="10"/>
        <v>6453.7688442211056</v>
      </c>
      <c r="L9" s="95">
        <v>26</v>
      </c>
      <c r="M9" s="89">
        <f t="shared" si="6"/>
        <v>8008</v>
      </c>
      <c r="N9" s="89">
        <f t="shared" ca="1" si="7"/>
        <v>5746</v>
      </c>
      <c r="O9" s="96">
        <f t="shared" ca="1" si="8"/>
        <v>87</v>
      </c>
      <c r="P9" s="83"/>
      <c r="Q9" s="83">
        <v>152</v>
      </c>
      <c r="R9" s="37">
        <v>10</v>
      </c>
      <c r="S9" s="37">
        <v>7</v>
      </c>
      <c r="T9" s="37">
        <v>18</v>
      </c>
      <c r="U9" s="37">
        <v>4</v>
      </c>
      <c r="V9" s="37">
        <v>0</v>
      </c>
      <c r="W9" s="37">
        <v>4</v>
      </c>
      <c r="X9" s="37">
        <v>10</v>
      </c>
      <c r="Y9" s="37">
        <v>0</v>
      </c>
      <c r="Z9" s="37">
        <v>1</v>
      </c>
      <c r="AA9" s="37">
        <v>2</v>
      </c>
      <c r="AB9" s="37">
        <v>5</v>
      </c>
      <c r="AC9" s="37">
        <v>5</v>
      </c>
      <c r="AD9" s="37">
        <f ca="1">SUMIFS('Tổng Đơn'!$F:$F,'Tổng Đơn'!$B:$B,$C9)</f>
        <v>3</v>
      </c>
      <c r="AE9" s="37">
        <v>0</v>
      </c>
      <c r="AF9" s="37">
        <v>0</v>
      </c>
      <c r="AG9" s="37">
        <v>0</v>
      </c>
      <c r="AH9" s="37">
        <v>0</v>
      </c>
      <c r="AI9" s="37">
        <v>0</v>
      </c>
      <c r="AJ9" s="37">
        <v>0</v>
      </c>
      <c r="AK9" s="37">
        <v>0</v>
      </c>
      <c r="AL9" s="37">
        <v>0</v>
      </c>
      <c r="AM9" s="37">
        <v>0</v>
      </c>
      <c r="AN9" s="37">
        <v>0</v>
      </c>
      <c r="AO9" s="37">
        <v>0</v>
      </c>
      <c r="AP9" s="37">
        <v>0</v>
      </c>
      <c r="AQ9" s="37">
        <v>0</v>
      </c>
      <c r="AR9" s="37">
        <v>0</v>
      </c>
      <c r="AS9" s="37">
        <v>0</v>
      </c>
      <c r="AT9" s="37">
        <v>0</v>
      </c>
      <c r="AU9" s="37">
        <v>0</v>
      </c>
      <c r="AV9" s="37">
        <v>0</v>
      </c>
      <c r="AX9" s="84">
        <f t="shared" si="9"/>
        <v>0</v>
      </c>
      <c r="AY9" s="84">
        <v>45</v>
      </c>
    </row>
    <row r="10" spans="1:51" ht="18.75" x14ac:dyDescent="0.25">
      <c r="A10" s="84">
        <f t="shared" ca="1" si="1"/>
        <v>4738.3514977484829</v>
      </c>
      <c r="B10" s="6">
        <v>6</v>
      </c>
      <c r="C10" s="86" t="s">
        <v>238</v>
      </c>
      <c r="D10" s="94">
        <f>(64*20)/22</f>
        <v>58.18181818181818</v>
      </c>
      <c r="E10" s="6">
        <v>0.5</v>
      </c>
      <c r="F10" s="6">
        <f>176+88+88+132</f>
        <v>484</v>
      </c>
      <c r="G10" s="88">
        <f t="shared" si="2"/>
        <v>29.09090909090909</v>
      </c>
      <c r="H10" s="89">
        <f t="shared" si="3"/>
        <v>14080</v>
      </c>
      <c r="I10" s="90">
        <f t="shared" si="4"/>
        <v>0.71004372511910196</v>
      </c>
      <c r="J10" s="166">
        <f t="shared" si="5"/>
        <v>29.800952816028193</v>
      </c>
      <c r="K10" s="91">
        <f t="shared" si="10"/>
        <v>14423.661162957646</v>
      </c>
      <c r="L10" s="95">
        <v>35</v>
      </c>
      <c r="M10" s="89">
        <f t="shared" si="6"/>
        <v>16940</v>
      </c>
      <c r="N10" s="89">
        <f t="shared" ca="1" si="7"/>
        <v>11375</v>
      </c>
      <c r="O10" s="96">
        <f t="shared" ca="1" si="8"/>
        <v>159</v>
      </c>
      <c r="P10" s="83"/>
      <c r="Q10" s="83">
        <v>152</v>
      </c>
      <c r="R10" s="37">
        <v>21</v>
      </c>
      <c r="S10" s="37">
        <v>12</v>
      </c>
      <c r="T10" s="37">
        <v>28</v>
      </c>
      <c r="U10" s="37">
        <v>27</v>
      </c>
      <c r="V10" s="37">
        <v>10</v>
      </c>
      <c r="W10" s="37">
        <v>8</v>
      </c>
      <c r="X10" s="37">
        <v>2</v>
      </c>
      <c r="Y10" s="37">
        <v>10</v>
      </c>
      <c r="Z10" s="37">
        <v>13</v>
      </c>
      <c r="AA10" s="37">
        <v>5</v>
      </c>
      <c r="AB10" s="37">
        <v>12</v>
      </c>
      <c r="AC10" s="37">
        <v>10</v>
      </c>
      <c r="AD10" s="37">
        <f ca="1">SUMIFS('Tổng Đơn'!$F:$F,'Tổng Đơn'!$B:$B,$C10)</f>
        <v>15</v>
      </c>
      <c r="AE10" s="37">
        <v>0</v>
      </c>
      <c r="AF10" s="37">
        <v>0</v>
      </c>
      <c r="AG10" s="37">
        <v>0</v>
      </c>
      <c r="AH10" s="37">
        <v>0</v>
      </c>
      <c r="AI10" s="37">
        <v>0</v>
      </c>
      <c r="AJ10" s="37">
        <v>0</v>
      </c>
      <c r="AK10" s="37">
        <v>0</v>
      </c>
      <c r="AL10" s="37">
        <v>0</v>
      </c>
      <c r="AM10" s="37">
        <v>0</v>
      </c>
      <c r="AN10" s="37">
        <v>0</v>
      </c>
      <c r="AO10" s="37">
        <v>0</v>
      </c>
      <c r="AP10" s="37">
        <v>0</v>
      </c>
      <c r="AQ10" s="37">
        <v>0</v>
      </c>
      <c r="AR10" s="37">
        <v>0</v>
      </c>
      <c r="AS10" s="37">
        <v>0</v>
      </c>
      <c r="AT10" s="37">
        <v>0</v>
      </c>
      <c r="AU10" s="37">
        <v>0</v>
      </c>
      <c r="AV10" s="37">
        <v>0</v>
      </c>
      <c r="AW10" s="84">
        <v>120</v>
      </c>
      <c r="AX10" s="84">
        <f t="shared" si="9"/>
        <v>3840</v>
      </c>
      <c r="AY10" s="84">
        <v>64</v>
      </c>
    </row>
    <row r="11" spans="1:51" ht="18.75" x14ac:dyDescent="0.25">
      <c r="A11" s="84">
        <f t="shared" ca="1" si="1"/>
        <v>0</v>
      </c>
      <c r="B11" s="6">
        <v>7</v>
      </c>
      <c r="C11" s="86" t="s">
        <v>239</v>
      </c>
      <c r="D11" s="94">
        <f>(75*20)/22</f>
        <v>68.181818181818187</v>
      </c>
      <c r="E11" s="6">
        <v>0.5</v>
      </c>
      <c r="F11" s="6">
        <f>44+44</f>
        <v>88</v>
      </c>
      <c r="G11" s="88">
        <f t="shared" si="2"/>
        <v>34.090909090909093</v>
      </c>
      <c r="H11" s="89">
        <f t="shared" si="3"/>
        <v>3000</v>
      </c>
      <c r="I11" s="90">
        <f t="shared" si="4"/>
        <v>0.83208249037394755</v>
      </c>
      <c r="J11" s="166">
        <f t="shared" si="5"/>
        <v>34.922991581283043</v>
      </c>
      <c r="K11" s="91">
        <f t="shared" si="10"/>
        <v>3073.2232591529078</v>
      </c>
      <c r="L11" s="95">
        <v>40</v>
      </c>
      <c r="M11" s="89">
        <f t="shared" si="6"/>
        <v>3520</v>
      </c>
      <c r="N11" s="89">
        <f t="shared" ca="1" si="7"/>
        <v>3480</v>
      </c>
      <c r="O11" s="96">
        <f t="shared" ca="1" si="8"/>
        <v>0</v>
      </c>
      <c r="P11" s="83">
        <v>1</v>
      </c>
      <c r="Q11" s="83">
        <v>45</v>
      </c>
      <c r="R11" s="37">
        <v>2</v>
      </c>
      <c r="S11" s="37">
        <v>10</v>
      </c>
      <c r="T11" s="37">
        <v>4</v>
      </c>
      <c r="U11" s="37">
        <v>14</v>
      </c>
      <c r="V11" s="37">
        <v>0</v>
      </c>
      <c r="W11" s="37">
        <v>6</v>
      </c>
      <c r="X11" s="37">
        <v>0</v>
      </c>
      <c r="Y11" s="37">
        <v>3</v>
      </c>
      <c r="Z11" s="37">
        <v>0</v>
      </c>
      <c r="AA11" s="37">
        <v>3</v>
      </c>
      <c r="AB11" s="37">
        <v>0</v>
      </c>
      <c r="AC11" s="37">
        <v>0</v>
      </c>
      <c r="AD11" s="37">
        <f ca="1">SUMIFS('Tổng Đơn'!$F:$F,'Tổng Đơn'!$B:$B,$C11)</f>
        <v>0</v>
      </c>
      <c r="AE11" s="37">
        <v>0</v>
      </c>
      <c r="AF11" s="37">
        <v>0</v>
      </c>
      <c r="AG11" s="37">
        <v>0</v>
      </c>
      <c r="AH11" s="37">
        <v>0</v>
      </c>
      <c r="AI11" s="37">
        <v>0</v>
      </c>
      <c r="AJ11" s="37">
        <v>0</v>
      </c>
      <c r="AK11" s="37">
        <v>0</v>
      </c>
      <c r="AL11" s="37">
        <v>0</v>
      </c>
      <c r="AM11" s="37">
        <v>0</v>
      </c>
      <c r="AN11" s="37">
        <v>0</v>
      </c>
      <c r="AO11" s="37">
        <v>0</v>
      </c>
      <c r="AP11" s="37">
        <v>0</v>
      </c>
      <c r="AQ11" s="37">
        <v>0</v>
      </c>
      <c r="AR11" s="37">
        <v>0</v>
      </c>
      <c r="AS11" s="37">
        <v>0</v>
      </c>
      <c r="AT11" s="37">
        <v>0</v>
      </c>
      <c r="AU11" s="37">
        <v>0</v>
      </c>
      <c r="AV11" s="37">
        <v>0</v>
      </c>
      <c r="AX11" s="84">
        <f t="shared" si="9"/>
        <v>0</v>
      </c>
      <c r="AY11" s="84">
        <v>75</v>
      </c>
    </row>
    <row r="12" spans="1:51" ht="18.75" x14ac:dyDescent="0.25">
      <c r="A12" s="84">
        <f t="shared" ca="1" si="1"/>
        <v>113.70926058865757</v>
      </c>
      <c r="B12" s="6">
        <v>8</v>
      </c>
      <c r="C12" s="86" t="s">
        <v>240</v>
      </c>
      <c r="D12" s="94">
        <v>74</v>
      </c>
      <c r="E12" s="6">
        <v>0.5</v>
      </c>
      <c r="F12" s="6">
        <v>80</v>
      </c>
      <c r="G12" s="88">
        <f t="shared" si="2"/>
        <v>37</v>
      </c>
      <c r="H12" s="89">
        <f t="shared" si="3"/>
        <v>2960</v>
      </c>
      <c r="I12" s="90">
        <f t="shared" si="4"/>
        <v>0.90308686288585793</v>
      </c>
      <c r="J12" s="166">
        <f t="shared" si="5"/>
        <v>37.903086862885857</v>
      </c>
      <c r="K12" s="91">
        <f t="shared" si="10"/>
        <v>3032.2469490308686</v>
      </c>
      <c r="L12" s="95">
        <v>43</v>
      </c>
      <c r="M12" s="89">
        <f t="shared" si="6"/>
        <v>3440</v>
      </c>
      <c r="N12" s="89">
        <f t="shared" ca="1" si="7"/>
        <v>3311</v>
      </c>
      <c r="O12" s="96">
        <f t="shared" ca="1" si="8"/>
        <v>3</v>
      </c>
      <c r="P12" s="83"/>
      <c r="Q12" s="83">
        <v>13</v>
      </c>
      <c r="R12" s="37">
        <v>1</v>
      </c>
      <c r="S12" s="37">
        <v>11</v>
      </c>
      <c r="T12" s="37">
        <v>6</v>
      </c>
      <c r="U12" s="37">
        <v>12</v>
      </c>
      <c r="V12" s="37">
        <v>4</v>
      </c>
      <c r="W12" s="37">
        <v>3</v>
      </c>
      <c r="X12" s="37">
        <v>3</v>
      </c>
      <c r="Y12" s="37">
        <v>4</v>
      </c>
      <c r="Z12" s="37">
        <v>3</v>
      </c>
      <c r="AA12" s="37">
        <v>8</v>
      </c>
      <c r="AB12" s="37">
        <v>6</v>
      </c>
      <c r="AC12" s="37">
        <v>1</v>
      </c>
      <c r="AD12" s="37">
        <f ca="1">SUMIFS('Tổng Đơn'!$F:$F,'Tổng Đơn'!$B:$B,$C12)</f>
        <v>2</v>
      </c>
      <c r="AE12" s="37">
        <v>0</v>
      </c>
      <c r="AF12" s="37">
        <v>0</v>
      </c>
      <c r="AG12" s="37">
        <v>0</v>
      </c>
      <c r="AH12" s="37">
        <v>0</v>
      </c>
      <c r="AI12" s="37">
        <v>0</v>
      </c>
      <c r="AJ12" s="37">
        <v>0</v>
      </c>
      <c r="AK12" s="37">
        <v>0</v>
      </c>
      <c r="AL12" s="37">
        <v>0</v>
      </c>
      <c r="AM12" s="37">
        <v>0</v>
      </c>
      <c r="AN12" s="37">
        <v>0</v>
      </c>
      <c r="AO12" s="37">
        <v>0</v>
      </c>
      <c r="AP12" s="37">
        <v>0</v>
      </c>
      <c r="AQ12" s="37">
        <v>0</v>
      </c>
      <c r="AR12" s="37">
        <v>0</v>
      </c>
      <c r="AS12" s="37">
        <v>0</v>
      </c>
      <c r="AT12" s="37">
        <v>0</v>
      </c>
      <c r="AU12" s="37">
        <v>0</v>
      </c>
      <c r="AV12" s="37">
        <v>0</v>
      </c>
      <c r="AX12" s="84">
        <f t="shared" si="9"/>
        <v>0</v>
      </c>
      <c r="AY12" s="84">
        <v>74</v>
      </c>
    </row>
  </sheetData>
  <autoFilter ref="B4:AW12"/>
  <mergeCells count="1">
    <mergeCell ref="B1:M1"/>
  </mergeCells>
  <conditionalFormatting sqref="C6:C12">
    <cfRule type="expression" dxfId="491" priority="8">
      <formula>($O6/$O6)&lt;=1/4</formula>
    </cfRule>
  </conditionalFormatting>
  <conditionalFormatting sqref="C5:C12">
    <cfRule type="expression" dxfId="490" priority="9">
      <formula>($O5/$F5)&lt;=1/4</formula>
    </cfRule>
  </conditionalFormatting>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pageSetUpPr fitToPage="1"/>
  </sheetPr>
  <dimension ref="A1:G42"/>
  <sheetViews>
    <sheetView workbookViewId="0">
      <selection activeCell="E10" sqref="E10"/>
    </sheetView>
  </sheetViews>
  <sheetFormatPr defaultRowHeight="15" x14ac:dyDescent="0.25"/>
  <cols>
    <col min="1" max="1" width="40.5703125" style="14" customWidth="1"/>
    <col min="2" max="2" width="13" style="15" customWidth="1"/>
    <col min="3" max="3" width="12.5703125" style="14" customWidth="1"/>
    <col min="4" max="4" width="6.140625" style="14" customWidth="1"/>
    <col min="5" max="5" width="40.5703125" style="14" customWidth="1"/>
    <col min="6" max="6" width="13" style="15" customWidth="1"/>
    <col min="7" max="7" width="12.5703125" style="14" customWidth="1"/>
    <col min="8" max="8" width="9.140625" style="14"/>
    <col min="9" max="9" width="40.5703125" style="14" customWidth="1"/>
    <col min="10" max="10" width="11.85546875" style="14" customWidth="1"/>
    <col min="11" max="11" width="12.85546875" style="14" customWidth="1"/>
    <col min="12" max="16384" width="9.140625" style="14"/>
  </cols>
  <sheetData>
    <row r="1" spans="1:7" ht="22.5" customHeight="1" x14ac:dyDescent="0.25"/>
    <row r="2" spans="1:7" ht="36" customHeight="1" x14ac:dyDescent="0.25">
      <c r="A2" s="21" t="s">
        <v>17</v>
      </c>
      <c r="B2" s="21" t="s">
        <v>55</v>
      </c>
      <c r="C2" s="21" t="s">
        <v>57</v>
      </c>
      <c r="E2" s="21" t="s">
        <v>17</v>
      </c>
      <c r="F2" s="21" t="s">
        <v>55</v>
      </c>
      <c r="G2" s="21" t="s">
        <v>57</v>
      </c>
    </row>
    <row r="3" spans="1:7" ht="23.25" customHeight="1" x14ac:dyDescent="0.25">
      <c r="A3" s="22" t="s">
        <v>25</v>
      </c>
      <c r="B3" s="23" t="s">
        <v>56</v>
      </c>
      <c r="C3" s="24">
        <v>27000</v>
      </c>
      <c r="E3" s="22" t="s">
        <v>139</v>
      </c>
      <c r="F3" s="23" t="s">
        <v>56</v>
      </c>
      <c r="G3" s="24">
        <v>42000</v>
      </c>
    </row>
    <row r="4" spans="1:7" ht="23.25" customHeight="1" x14ac:dyDescent="0.25">
      <c r="A4" s="22" t="s">
        <v>1</v>
      </c>
      <c r="B4" s="23" t="s">
        <v>56</v>
      </c>
      <c r="C4" s="24">
        <v>25000</v>
      </c>
      <c r="E4" s="22" t="s">
        <v>140</v>
      </c>
      <c r="F4" s="23" t="s">
        <v>56</v>
      </c>
      <c r="G4" s="24">
        <v>35000</v>
      </c>
    </row>
    <row r="5" spans="1:7" ht="23.25" customHeight="1" x14ac:dyDescent="0.25">
      <c r="A5" s="22" t="s">
        <v>2</v>
      </c>
      <c r="B5" s="23" t="s">
        <v>56</v>
      </c>
      <c r="C5" s="24">
        <v>28000</v>
      </c>
      <c r="E5" s="22" t="s">
        <v>142</v>
      </c>
      <c r="F5" s="23" t="s">
        <v>56</v>
      </c>
      <c r="G5" s="24">
        <v>45000</v>
      </c>
    </row>
    <row r="6" spans="1:7" ht="23.25" customHeight="1" x14ac:dyDescent="0.25">
      <c r="A6" s="25" t="s">
        <v>3</v>
      </c>
      <c r="B6" s="29" t="s">
        <v>56</v>
      </c>
      <c r="C6" s="30">
        <v>30000</v>
      </c>
      <c r="E6" s="26" t="s">
        <v>144</v>
      </c>
      <c r="F6" s="23" t="s">
        <v>56</v>
      </c>
      <c r="G6" s="24">
        <v>45000</v>
      </c>
    </row>
    <row r="7" spans="1:7" ht="23.25" customHeight="1" x14ac:dyDescent="0.25">
      <c r="A7" s="26" t="s">
        <v>30</v>
      </c>
      <c r="B7" s="27" t="s">
        <v>56</v>
      </c>
      <c r="C7" s="28">
        <v>38000</v>
      </c>
      <c r="E7" s="26" t="s">
        <v>147</v>
      </c>
      <c r="F7" s="23" t="s">
        <v>56</v>
      </c>
      <c r="G7" s="24">
        <v>35000</v>
      </c>
    </row>
    <row r="8" spans="1:7" ht="23.25" customHeight="1" x14ac:dyDescent="0.25">
      <c r="A8" s="26" t="s">
        <v>28</v>
      </c>
      <c r="B8" s="23" t="s">
        <v>56</v>
      </c>
      <c r="C8" s="24">
        <v>42000</v>
      </c>
    </row>
    <row r="9" spans="1:7" ht="23.25" customHeight="1" x14ac:dyDescent="0.25">
      <c r="A9" s="25" t="s">
        <v>26</v>
      </c>
      <c r="B9" s="29" t="s">
        <v>63</v>
      </c>
      <c r="C9" s="30">
        <v>34000</v>
      </c>
    </row>
    <row r="10" spans="1:7" ht="23.25" customHeight="1" x14ac:dyDescent="0.25">
      <c r="A10" s="26" t="s">
        <v>148</v>
      </c>
      <c r="B10" s="27" t="s">
        <v>56</v>
      </c>
      <c r="C10" s="28">
        <v>35000</v>
      </c>
    </row>
    <row r="11" spans="1:7" ht="23.25" customHeight="1" x14ac:dyDescent="0.25">
      <c r="A11" s="25" t="s">
        <v>31</v>
      </c>
      <c r="B11" s="29" t="s">
        <v>56</v>
      </c>
      <c r="C11" s="30">
        <v>45000</v>
      </c>
    </row>
    <row r="12" spans="1:7" ht="24.95" customHeight="1" x14ac:dyDescent="0.25">
      <c r="B12" s="14"/>
    </row>
    <row r="13" spans="1:7" ht="23.25" customHeight="1" x14ac:dyDescent="0.25">
      <c r="A13" s="21" t="s">
        <v>17</v>
      </c>
      <c r="B13" s="21" t="s">
        <v>55</v>
      </c>
      <c r="C13" s="21" t="s">
        <v>57</v>
      </c>
      <c r="E13" s="21" t="s">
        <v>17</v>
      </c>
      <c r="F13" s="21" t="s">
        <v>55</v>
      </c>
      <c r="G13" s="21" t="s">
        <v>57</v>
      </c>
    </row>
    <row r="14" spans="1:7" ht="23.25" customHeight="1" x14ac:dyDescent="0.25">
      <c r="A14" s="26" t="s">
        <v>6</v>
      </c>
      <c r="B14" s="27" t="s">
        <v>56</v>
      </c>
      <c r="C14" s="28">
        <v>50000</v>
      </c>
      <c r="E14" s="22" t="s">
        <v>13</v>
      </c>
      <c r="F14" s="23" t="s">
        <v>56</v>
      </c>
      <c r="G14" s="24">
        <v>28000</v>
      </c>
    </row>
    <row r="15" spans="1:7" ht="23.25" customHeight="1" x14ac:dyDescent="0.25">
      <c r="A15" s="26" t="s">
        <v>58</v>
      </c>
      <c r="B15" s="27" t="s">
        <v>56</v>
      </c>
      <c r="C15" s="28">
        <v>45000</v>
      </c>
      <c r="E15" s="22" t="s">
        <v>12</v>
      </c>
      <c r="F15" s="23" t="s">
        <v>56</v>
      </c>
      <c r="G15" s="24">
        <v>26000</v>
      </c>
    </row>
    <row r="16" spans="1:7" ht="23.25" customHeight="1" x14ac:dyDescent="0.25">
      <c r="A16" s="26" t="s">
        <v>35</v>
      </c>
      <c r="B16" s="27" t="s">
        <v>56</v>
      </c>
      <c r="C16" s="28">
        <v>45000</v>
      </c>
      <c r="D16" s="33"/>
      <c r="E16" s="22" t="s">
        <v>14</v>
      </c>
      <c r="F16" s="23" t="s">
        <v>56</v>
      </c>
      <c r="G16" s="24">
        <v>33000</v>
      </c>
    </row>
    <row r="17" spans="1:7" ht="23.25" customHeight="1" x14ac:dyDescent="0.25">
      <c r="A17" s="26" t="s">
        <v>32</v>
      </c>
      <c r="B17" s="27" t="s">
        <v>56</v>
      </c>
      <c r="C17" s="28">
        <v>45000</v>
      </c>
      <c r="D17" s="33"/>
      <c r="E17" s="22" t="s">
        <v>7</v>
      </c>
      <c r="F17" s="23" t="s">
        <v>56</v>
      </c>
      <c r="G17" s="24">
        <v>34000</v>
      </c>
    </row>
    <row r="18" spans="1:7" ht="23.25" customHeight="1" x14ac:dyDescent="0.25">
      <c r="A18" s="26" t="s">
        <v>34</v>
      </c>
      <c r="B18" s="27" t="s">
        <v>56</v>
      </c>
      <c r="C18" s="28">
        <v>45000</v>
      </c>
      <c r="D18" s="33"/>
      <c r="E18" s="26" t="s">
        <v>8</v>
      </c>
      <c r="F18" s="27" t="s">
        <v>56</v>
      </c>
      <c r="G18" s="28">
        <v>69000</v>
      </c>
    </row>
    <row r="19" spans="1:7" ht="23.25" customHeight="1" x14ac:dyDescent="0.25">
      <c r="A19" s="26" t="s">
        <v>33</v>
      </c>
      <c r="B19" s="27" t="s">
        <v>56</v>
      </c>
      <c r="C19" s="28">
        <v>45000</v>
      </c>
      <c r="E19" s="26" t="s">
        <v>27</v>
      </c>
      <c r="F19" s="23" t="s">
        <v>56</v>
      </c>
      <c r="G19" s="24">
        <v>38000</v>
      </c>
    </row>
    <row r="20" spans="1:7" ht="23.25" customHeight="1" x14ac:dyDescent="0.25">
      <c r="A20" s="25" t="s">
        <v>5</v>
      </c>
      <c r="B20" s="29" t="s">
        <v>54</v>
      </c>
      <c r="C20" s="30">
        <v>40000</v>
      </c>
      <c r="E20" s="25" t="s">
        <v>68</v>
      </c>
      <c r="F20" s="29" t="s">
        <v>53</v>
      </c>
      <c r="G20" s="30">
        <v>35000</v>
      </c>
    </row>
    <row r="21" spans="1:7" ht="23.25" customHeight="1" x14ac:dyDescent="0.25">
      <c r="A21" s="25" t="s">
        <v>4</v>
      </c>
      <c r="B21" s="29" t="s">
        <v>54</v>
      </c>
      <c r="C21" s="30">
        <v>40000</v>
      </c>
      <c r="E21" s="25" t="s">
        <v>29</v>
      </c>
      <c r="F21" s="29" t="s">
        <v>53</v>
      </c>
      <c r="G21" s="30">
        <v>45000</v>
      </c>
    </row>
    <row r="22" spans="1:7" ht="24.95" customHeight="1" x14ac:dyDescent="0.25">
      <c r="A22" s="26" t="s">
        <v>9</v>
      </c>
      <c r="B22" s="27" t="s">
        <v>56</v>
      </c>
      <c r="C22" s="28">
        <v>55000</v>
      </c>
      <c r="E22" s="26" t="s">
        <v>15</v>
      </c>
      <c r="F22" s="27" t="s">
        <v>53</v>
      </c>
      <c r="G22" s="28">
        <v>35000</v>
      </c>
    </row>
    <row r="23" spans="1:7" ht="24.95" customHeight="1" x14ac:dyDescent="0.25">
      <c r="B23" s="14"/>
      <c r="E23" s="26" t="s">
        <v>10</v>
      </c>
      <c r="F23" s="27" t="s">
        <v>53</v>
      </c>
      <c r="G23" s="28">
        <v>32000</v>
      </c>
    </row>
    <row r="24" spans="1:7" x14ac:dyDescent="0.25">
      <c r="B24" s="14"/>
      <c r="F24" s="14"/>
    </row>
    <row r="25" spans="1:7" x14ac:dyDescent="0.25">
      <c r="B25" s="14"/>
      <c r="F25" s="14"/>
    </row>
    <row r="26" spans="1:7" x14ac:dyDescent="0.25">
      <c r="B26" s="14"/>
      <c r="F26" s="14"/>
    </row>
    <row r="27" spans="1:7" x14ac:dyDescent="0.25">
      <c r="B27" s="14"/>
      <c r="F27" s="14"/>
    </row>
    <row r="28" spans="1:7" x14ac:dyDescent="0.25">
      <c r="B28" s="14"/>
      <c r="F28" s="14"/>
    </row>
    <row r="29" spans="1:7" x14ac:dyDescent="0.25">
      <c r="B29" s="14"/>
      <c r="F29" s="14"/>
    </row>
    <row r="30" spans="1:7" x14ac:dyDescent="0.25">
      <c r="B30" s="14"/>
      <c r="F30" s="14"/>
    </row>
    <row r="31" spans="1:7" x14ac:dyDescent="0.25">
      <c r="B31" s="14"/>
      <c r="F31" s="14"/>
    </row>
    <row r="32" spans="1:7" x14ac:dyDescent="0.25">
      <c r="B32" s="14"/>
      <c r="F32" s="14"/>
    </row>
    <row r="33" spans="2:6" x14ac:dyDescent="0.25">
      <c r="B33" s="14"/>
      <c r="F33" s="14"/>
    </row>
    <row r="34" spans="2:6" x14ac:dyDescent="0.25">
      <c r="B34" s="14"/>
      <c r="F34" s="14"/>
    </row>
    <row r="35" spans="2:6" x14ac:dyDescent="0.25">
      <c r="B35" s="14"/>
      <c r="F35" s="14"/>
    </row>
    <row r="36" spans="2:6" x14ac:dyDescent="0.25">
      <c r="B36" s="14"/>
      <c r="F36" s="14"/>
    </row>
    <row r="37" spans="2:6" x14ac:dyDescent="0.25">
      <c r="B37" s="14"/>
      <c r="F37" s="14"/>
    </row>
    <row r="38" spans="2:6" x14ac:dyDescent="0.25">
      <c r="B38" s="14"/>
      <c r="F38" s="14"/>
    </row>
    <row r="39" spans="2:6" x14ac:dyDescent="0.25">
      <c r="B39" s="14"/>
      <c r="F39" s="14"/>
    </row>
    <row r="40" spans="2:6" x14ac:dyDescent="0.25">
      <c r="B40" s="14"/>
      <c r="F40" s="14"/>
    </row>
    <row r="41" spans="2:6" x14ac:dyDescent="0.25">
      <c r="B41" s="14"/>
      <c r="F41" s="14"/>
    </row>
    <row r="42" spans="2:6" x14ac:dyDescent="0.25">
      <c r="B42" s="14"/>
      <c r="F42" s="14"/>
    </row>
  </sheetData>
  <autoFilter ref="A2:C2"/>
  <pageMargins left="0" right="0" top="0" bottom="0" header="0" footer="0"/>
  <pageSetup fitToHeight="0" orientation="landscape"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pageSetUpPr fitToPage="1"/>
  </sheetPr>
  <dimension ref="A1:G46"/>
  <sheetViews>
    <sheetView workbookViewId="0">
      <selection activeCell="E13" sqref="E13"/>
    </sheetView>
  </sheetViews>
  <sheetFormatPr defaultRowHeight="15" x14ac:dyDescent="0.25"/>
  <cols>
    <col min="1" max="1" width="40.5703125" style="14" customWidth="1"/>
    <col min="2" max="2" width="13" style="15" customWidth="1"/>
    <col min="3" max="3" width="11.28515625" style="14" customWidth="1"/>
    <col min="4" max="4" width="6.7109375" style="14" customWidth="1"/>
    <col min="5" max="5" width="40.5703125" style="14" customWidth="1"/>
    <col min="6" max="6" width="13" style="15" customWidth="1"/>
    <col min="7" max="7" width="11.28515625" style="14" customWidth="1"/>
    <col min="8" max="16384" width="9.140625" style="14"/>
  </cols>
  <sheetData>
    <row r="1" spans="1:7" ht="39.75" customHeight="1" x14ac:dyDescent="0.25">
      <c r="A1" s="224" t="s">
        <v>66</v>
      </c>
      <c r="B1" s="224"/>
      <c r="C1" s="224"/>
      <c r="E1" s="224" t="s">
        <v>66</v>
      </c>
      <c r="F1" s="224"/>
      <c r="G1" s="224"/>
    </row>
    <row r="2" spans="1:7" ht="36" customHeight="1" x14ac:dyDescent="0.25">
      <c r="A2" s="21" t="s">
        <v>17</v>
      </c>
      <c r="B2" s="21" t="s">
        <v>55</v>
      </c>
      <c r="C2" s="21" t="s">
        <v>57</v>
      </c>
      <c r="E2" s="21" t="s">
        <v>17</v>
      </c>
      <c r="F2" s="21" t="s">
        <v>55</v>
      </c>
      <c r="G2" s="21" t="s">
        <v>57</v>
      </c>
    </row>
    <row r="3" spans="1:7" ht="23.25" customHeight="1" x14ac:dyDescent="0.25">
      <c r="A3" s="26" t="s">
        <v>38</v>
      </c>
      <c r="B3" s="31" t="s">
        <v>56</v>
      </c>
      <c r="C3" s="16">
        <v>32000</v>
      </c>
      <c r="E3" s="26" t="s">
        <v>47</v>
      </c>
      <c r="F3" s="31" t="s">
        <v>56</v>
      </c>
      <c r="G3" s="16">
        <v>79000</v>
      </c>
    </row>
    <row r="4" spans="1:7" ht="23.25" customHeight="1" x14ac:dyDescent="0.25">
      <c r="A4" s="26" t="s">
        <v>39</v>
      </c>
      <c r="B4" s="31" t="s">
        <v>65</v>
      </c>
      <c r="C4" s="16">
        <v>14000</v>
      </c>
      <c r="E4" s="25" t="s">
        <v>37</v>
      </c>
      <c r="F4" s="32" t="s">
        <v>56</v>
      </c>
      <c r="G4" s="17">
        <v>66000</v>
      </c>
    </row>
    <row r="5" spans="1:7" ht="23.25" customHeight="1" x14ac:dyDescent="0.25">
      <c r="A5" s="25" t="s">
        <v>67</v>
      </c>
      <c r="B5" s="32" t="s">
        <v>56</v>
      </c>
      <c r="C5" s="17">
        <v>32000</v>
      </c>
      <c r="E5" s="25" t="s">
        <v>50</v>
      </c>
      <c r="F5" s="32" t="s">
        <v>64</v>
      </c>
      <c r="G5" s="17">
        <v>122000</v>
      </c>
    </row>
    <row r="6" spans="1:7" ht="23.25" customHeight="1" x14ac:dyDescent="0.25">
      <c r="A6" s="26" t="s">
        <v>40</v>
      </c>
      <c r="B6" s="31" t="s">
        <v>56</v>
      </c>
      <c r="C6" s="16">
        <v>34500</v>
      </c>
      <c r="E6" s="25" t="s">
        <v>36</v>
      </c>
      <c r="F6" s="32" t="s">
        <v>56</v>
      </c>
      <c r="G6" s="17">
        <v>66000</v>
      </c>
    </row>
    <row r="7" spans="1:7" ht="23.25" customHeight="1" x14ac:dyDescent="0.25">
      <c r="A7" s="26" t="s">
        <v>41</v>
      </c>
      <c r="B7" s="31" t="s">
        <v>65</v>
      </c>
      <c r="C7" s="16">
        <v>14000</v>
      </c>
      <c r="E7" s="26" t="s">
        <v>51</v>
      </c>
      <c r="F7" s="34" t="s">
        <v>56</v>
      </c>
      <c r="G7" s="18">
        <v>65000</v>
      </c>
    </row>
    <row r="8" spans="1:7" ht="23.25" customHeight="1" x14ac:dyDescent="0.25">
      <c r="A8" s="25" t="s">
        <v>42</v>
      </c>
      <c r="B8" s="32" t="s">
        <v>56</v>
      </c>
      <c r="C8" s="17">
        <v>34500</v>
      </c>
      <c r="E8" s="26" t="s">
        <v>52</v>
      </c>
      <c r="F8" s="34" t="s">
        <v>56</v>
      </c>
      <c r="G8" s="18">
        <v>54000</v>
      </c>
    </row>
    <row r="9" spans="1:7" ht="23.25" customHeight="1" x14ac:dyDescent="0.25">
      <c r="A9" s="25" t="s">
        <v>43</v>
      </c>
      <c r="B9" s="32" t="s">
        <v>65</v>
      </c>
      <c r="C9" s="17">
        <v>14000</v>
      </c>
      <c r="E9" s="26" t="s">
        <v>46</v>
      </c>
      <c r="F9" s="34" t="s">
        <v>56</v>
      </c>
      <c r="G9" s="18">
        <v>59000</v>
      </c>
    </row>
    <row r="10" spans="1:7" ht="23.25" customHeight="1" x14ac:dyDescent="0.25">
      <c r="A10" s="26" t="s">
        <v>48</v>
      </c>
      <c r="B10" s="31" t="s">
        <v>56</v>
      </c>
      <c r="C10" s="16">
        <v>59000</v>
      </c>
      <c r="F10" s="14"/>
    </row>
    <row r="11" spans="1:7" ht="23.25" customHeight="1" x14ac:dyDescent="0.25">
      <c r="A11" s="26" t="s">
        <v>49</v>
      </c>
      <c r="B11" s="31" t="s">
        <v>56</v>
      </c>
      <c r="C11" s="16">
        <v>52000</v>
      </c>
      <c r="F11" s="14"/>
    </row>
    <row r="12" spans="1:7" ht="23.25" customHeight="1" x14ac:dyDescent="0.25">
      <c r="A12" s="26" t="s">
        <v>45</v>
      </c>
      <c r="B12" s="31" t="s">
        <v>56</v>
      </c>
      <c r="C12" s="16">
        <v>65000</v>
      </c>
      <c r="F12" s="14"/>
    </row>
    <row r="13" spans="1:7" ht="23.25" customHeight="1" x14ac:dyDescent="0.25">
      <c r="A13" s="26" t="s">
        <v>44</v>
      </c>
      <c r="B13" s="31" t="s">
        <v>56</v>
      </c>
      <c r="C13" s="16">
        <v>44000</v>
      </c>
      <c r="F13" s="14"/>
    </row>
    <row r="14" spans="1:7" ht="23.25" customHeight="1" x14ac:dyDescent="0.25">
      <c r="B14" s="14"/>
      <c r="F14" s="14"/>
    </row>
    <row r="15" spans="1:7" ht="23.25" customHeight="1" x14ac:dyDescent="0.25">
      <c r="B15" s="14"/>
      <c r="F15" s="14"/>
    </row>
    <row r="16" spans="1:7" ht="24.95" customHeight="1" x14ac:dyDescent="0.25">
      <c r="B16" s="14"/>
      <c r="F16" s="14"/>
    </row>
    <row r="17" spans="2:6" ht="23.25" customHeight="1" x14ac:dyDescent="0.25">
      <c r="B17" s="14"/>
      <c r="F17" s="14"/>
    </row>
    <row r="18" spans="2:6" ht="23.25" customHeight="1" x14ac:dyDescent="0.25"/>
    <row r="19" spans="2:6" ht="23.25" customHeight="1" x14ac:dyDescent="0.25"/>
    <row r="20" spans="2:6" ht="23.25" customHeight="1" x14ac:dyDescent="0.25"/>
    <row r="21" spans="2:6" ht="23.25" customHeight="1" x14ac:dyDescent="0.25"/>
    <row r="22" spans="2:6" ht="23.25" customHeight="1" x14ac:dyDescent="0.25"/>
    <row r="23" spans="2:6" ht="23.25" customHeight="1" x14ac:dyDescent="0.25"/>
    <row r="24" spans="2:6" ht="23.25" customHeight="1" x14ac:dyDescent="0.25">
      <c r="B24" s="14"/>
      <c r="F24" s="14"/>
    </row>
    <row r="25" spans="2:6" ht="23.25" customHeight="1" x14ac:dyDescent="0.25">
      <c r="B25" s="14"/>
      <c r="F25" s="14"/>
    </row>
    <row r="26" spans="2:6" ht="24.95" customHeight="1" x14ac:dyDescent="0.25">
      <c r="B26" s="14"/>
      <c r="F26" s="14"/>
    </row>
    <row r="27" spans="2:6" x14ac:dyDescent="0.25">
      <c r="B27" s="14"/>
      <c r="F27" s="14"/>
    </row>
    <row r="28" spans="2:6" x14ac:dyDescent="0.25">
      <c r="B28" s="14"/>
      <c r="F28" s="14"/>
    </row>
    <row r="29" spans="2:6" x14ac:dyDescent="0.25">
      <c r="B29" s="14"/>
      <c r="F29" s="14"/>
    </row>
    <row r="30" spans="2:6" x14ac:dyDescent="0.25">
      <c r="B30" s="14"/>
      <c r="F30" s="14"/>
    </row>
    <row r="31" spans="2:6" x14ac:dyDescent="0.25">
      <c r="B31" s="14"/>
      <c r="F31" s="14"/>
    </row>
    <row r="32" spans="2:6" x14ac:dyDescent="0.25">
      <c r="B32" s="14"/>
      <c r="F32" s="14"/>
    </row>
    <row r="33" spans="2:6" x14ac:dyDescent="0.25">
      <c r="B33" s="14"/>
      <c r="F33" s="14"/>
    </row>
    <row r="34" spans="2:6" x14ac:dyDescent="0.25">
      <c r="B34" s="14"/>
      <c r="F34" s="14"/>
    </row>
    <row r="35" spans="2:6" x14ac:dyDescent="0.25">
      <c r="B35" s="14"/>
      <c r="F35" s="14"/>
    </row>
    <row r="36" spans="2:6" x14ac:dyDescent="0.25">
      <c r="B36" s="14"/>
      <c r="F36" s="14"/>
    </row>
    <row r="37" spans="2:6" x14ac:dyDescent="0.25">
      <c r="B37" s="14"/>
      <c r="F37" s="14"/>
    </row>
    <row r="38" spans="2:6" x14ac:dyDescent="0.25">
      <c r="B38" s="14"/>
      <c r="F38" s="14"/>
    </row>
    <row r="39" spans="2:6" x14ac:dyDescent="0.25">
      <c r="B39" s="14"/>
      <c r="F39" s="14"/>
    </row>
    <row r="40" spans="2:6" x14ac:dyDescent="0.25">
      <c r="B40" s="14"/>
      <c r="F40" s="14"/>
    </row>
    <row r="41" spans="2:6" x14ac:dyDescent="0.25">
      <c r="B41" s="14"/>
      <c r="F41" s="14"/>
    </row>
    <row r="42" spans="2:6" x14ac:dyDescent="0.25">
      <c r="B42" s="14"/>
      <c r="F42" s="14"/>
    </row>
    <row r="43" spans="2:6" x14ac:dyDescent="0.25">
      <c r="B43" s="14"/>
      <c r="F43" s="14"/>
    </row>
    <row r="44" spans="2:6" x14ac:dyDescent="0.25">
      <c r="B44" s="14"/>
      <c r="F44" s="14"/>
    </row>
    <row r="45" spans="2:6" x14ac:dyDescent="0.25">
      <c r="B45" s="14"/>
      <c r="F45" s="14"/>
    </row>
    <row r="46" spans="2:6" x14ac:dyDescent="0.25">
      <c r="B46" s="14"/>
      <c r="F46" s="14"/>
    </row>
  </sheetData>
  <autoFilter ref="A2:C2"/>
  <mergeCells count="2">
    <mergeCell ref="A1:C1"/>
    <mergeCell ref="E1:G1"/>
  </mergeCells>
  <pageMargins left="0" right="0" top="0" bottom="0" header="0" footer="0"/>
  <pageSetup fitToHeight="0" orientation="landscape"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rgb="FF00B050"/>
  </sheetPr>
  <dimension ref="A1:AX32"/>
  <sheetViews>
    <sheetView topLeftCell="A2" zoomScale="90" zoomScaleNormal="90" workbookViewId="0">
      <pane xSplit="17" ySplit="3" topLeftCell="W5" activePane="bottomRight" state="frozen"/>
      <selection activeCell="A2" sqref="A2"/>
      <selection pane="topRight" activeCell="R2" sqref="R2"/>
      <selection pane="bottomLeft" activeCell="A5" sqref="A5"/>
      <selection pane="bottomRight" activeCell="A9" sqref="A9:XFD9"/>
    </sheetView>
  </sheetViews>
  <sheetFormatPr defaultRowHeight="15" x14ac:dyDescent="0.25"/>
  <cols>
    <col min="1" max="1" width="16.28515625" style="84" customWidth="1"/>
    <col min="2" max="2" width="6.85546875" style="84" customWidth="1"/>
    <col min="3" max="3" width="35.85546875" style="84" customWidth="1"/>
    <col min="4" max="4" width="9.7109375" style="84" customWidth="1"/>
    <col min="5" max="6" width="8.7109375" style="84" customWidth="1"/>
    <col min="7" max="7" width="10.28515625" style="84" bestFit="1" customWidth="1"/>
    <col min="8" max="8" width="11.140625" style="84" hidden="1" customWidth="1"/>
    <col min="9" max="9" width="13.28515625" style="84" hidden="1" customWidth="1"/>
    <col min="10" max="10" width="10.85546875" style="84" customWidth="1"/>
    <col min="11" max="11" width="13.28515625" style="84" hidden="1" customWidth="1"/>
    <col min="12" max="12" width="12" style="84" bestFit="1" customWidth="1"/>
    <col min="13" max="14" width="11.42578125" style="84" hidden="1" customWidth="1"/>
    <col min="15" max="15" width="9.140625" style="84" customWidth="1"/>
    <col min="16" max="17" width="12.42578125" style="84" customWidth="1"/>
    <col min="18" max="18" width="4.85546875" style="84" customWidth="1"/>
    <col min="19" max="48" width="5.28515625" style="84" customWidth="1"/>
    <col min="49" max="49" width="9.140625" style="84"/>
    <col min="50" max="50" width="12" style="84" bestFit="1" customWidth="1"/>
    <col min="51" max="16384" width="9.140625" style="84"/>
  </cols>
  <sheetData>
    <row r="1" spans="1:50" hidden="1" x14ac:dyDescent="0.25">
      <c r="B1" s="223" t="s">
        <v>59</v>
      </c>
      <c r="C1" s="223"/>
      <c r="D1" s="223"/>
      <c r="E1" s="223"/>
      <c r="F1" s="223"/>
      <c r="G1" s="223"/>
      <c r="H1" s="223"/>
      <c r="I1" s="223"/>
      <c r="J1" s="223"/>
      <c r="K1" s="223"/>
      <c r="L1" s="223"/>
      <c r="M1" s="223"/>
      <c r="N1" s="85"/>
    </row>
    <row r="2" spans="1:50" ht="24" customHeight="1" x14ac:dyDescent="0.25">
      <c r="A2" s="1">
        <f>150+160+120+70+30+100+30+150+120+30+140+30+70+120+30+30+120+60+120+190+60+30+120+100+60+140+60+40+60</f>
        <v>2540</v>
      </c>
      <c r="K2" s="13">
        <f>SUMPRODUCT((E5:E19)*(F5:F19))</f>
        <v>1101.5</v>
      </c>
      <c r="L2" s="13">
        <f>M4-K4</f>
        <v>18046.500000000015</v>
      </c>
      <c r="M2" s="8">
        <f>M4/K4-1</f>
        <v>0.17926304130802984</v>
      </c>
      <c r="N2" s="8"/>
      <c r="AI2" s="58"/>
    </row>
    <row r="3" spans="1:50" ht="55.5" customHeight="1" x14ac:dyDescent="0.25">
      <c r="A3" s="75" t="s">
        <v>127</v>
      </c>
      <c r="B3" s="3" t="s">
        <v>0</v>
      </c>
      <c r="C3" s="3" t="s">
        <v>17</v>
      </c>
      <c r="D3" s="20" t="s">
        <v>62</v>
      </c>
      <c r="E3" s="105" t="s">
        <v>157</v>
      </c>
      <c r="F3" s="135" t="s">
        <v>156</v>
      </c>
      <c r="G3" s="4" t="s">
        <v>18</v>
      </c>
      <c r="H3" s="4" t="s">
        <v>19</v>
      </c>
      <c r="I3" s="9" t="s">
        <v>20</v>
      </c>
      <c r="J3" s="9" t="s">
        <v>21</v>
      </c>
      <c r="K3" s="9" t="s">
        <v>24</v>
      </c>
      <c r="L3" s="10" t="s">
        <v>22</v>
      </c>
      <c r="M3" s="11" t="s">
        <v>23</v>
      </c>
      <c r="N3" s="11" t="s">
        <v>122</v>
      </c>
      <c r="O3" s="35" t="s">
        <v>60</v>
      </c>
      <c r="P3" s="82" t="s">
        <v>146</v>
      </c>
      <c r="Q3" s="82" t="s">
        <v>190</v>
      </c>
      <c r="R3" s="36" t="s">
        <v>189</v>
      </c>
      <c r="S3" s="38" t="s">
        <v>191</v>
      </c>
      <c r="T3" s="36" t="s">
        <v>192</v>
      </c>
      <c r="U3" s="38" t="s">
        <v>193</v>
      </c>
      <c r="V3" s="36" t="s">
        <v>194</v>
      </c>
      <c r="W3" s="38" t="s">
        <v>195</v>
      </c>
      <c r="X3" s="36" t="s">
        <v>196</v>
      </c>
      <c r="Y3" s="38" t="s">
        <v>197</v>
      </c>
      <c r="Z3" s="36" t="s">
        <v>198</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row>
    <row r="4" spans="1:50" s="63" customFormat="1" ht="27" customHeight="1" x14ac:dyDescent="0.25">
      <c r="A4" s="72">
        <f ca="1">SUBTOTAL(9,A5:A32)</f>
        <v>15404.159692959885</v>
      </c>
      <c r="B4" s="19"/>
      <c r="C4" s="19"/>
      <c r="D4" s="64"/>
      <c r="E4" s="19">
        <f>SUMPRODUCT((E5:E25)*(F5:F25))</f>
        <v>1479.5</v>
      </c>
      <c r="F4" s="19">
        <f>SUBTOTAL(9,F5:F32)</f>
        <v>3029</v>
      </c>
      <c r="G4" s="7"/>
      <c r="H4" s="7">
        <f>SUBTOTAL(9,H5:H32)</f>
        <v>98130.5</v>
      </c>
      <c r="I4" s="12"/>
      <c r="J4" s="12"/>
      <c r="K4" s="12">
        <f>SUBTOTAL(9,K5:K32)</f>
        <v>100670.49999999999</v>
      </c>
      <c r="L4" s="65"/>
      <c r="M4" s="7">
        <f t="shared" ref="M4:AV4" si="0">SUBTOTAL(9,M5:M32)</f>
        <v>118717</v>
      </c>
      <c r="N4" s="7">
        <f t="shared" ca="1" si="0"/>
        <v>100351</v>
      </c>
      <c r="O4" s="39">
        <f t="shared" ca="1" si="0"/>
        <v>364</v>
      </c>
      <c r="P4" s="101">
        <f t="shared" si="0"/>
        <v>14</v>
      </c>
      <c r="Q4" s="101">
        <f t="shared" si="0"/>
        <v>2062</v>
      </c>
      <c r="R4" s="40">
        <f t="shared" si="0"/>
        <v>26</v>
      </c>
      <c r="S4" s="40">
        <f t="shared" si="0"/>
        <v>15</v>
      </c>
      <c r="T4" s="40">
        <f t="shared" si="0"/>
        <v>39</v>
      </c>
      <c r="U4" s="40">
        <f t="shared" si="0"/>
        <v>88</v>
      </c>
      <c r="V4" s="40">
        <f t="shared" si="0"/>
        <v>75</v>
      </c>
      <c r="W4" s="40">
        <f t="shared" si="0"/>
        <v>40</v>
      </c>
      <c r="X4" s="40">
        <f t="shared" si="0"/>
        <v>19</v>
      </c>
      <c r="Y4" s="40">
        <f t="shared" si="0"/>
        <v>95</v>
      </c>
      <c r="Z4" s="40">
        <f t="shared" si="0"/>
        <v>27</v>
      </c>
      <c r="AA4" s="40">
        <f t="shared" si="0"/>
        <v>43</v>
      </c>
      <c r="AB4" s="40">
        <f t="shared" si="0"/>
        <v>55</v>
      </c>
      <c r="AC4" s="40">
        <f t="shared" si="0"/>
        <v>36</v>
      </c>
      <c r="AD4" s="40">
        <f t="shared" ca="1" si="0"/>
        <v>31</v>
      </c>
      <c r="AE4" s="40">
        <f t="shared" si="0"/>
        <v>0</v>
      </c>
      <c r="AF4" s="40">
        <f t="shared" si="0"/>
        <v>0</v>
      </c>
      <c r="AG4" s="40">
        <f t="shared" si="0"/>
        <v>0</v>
      </c>
      <c r="AH4" s="40">
        <f t="shared" si="0"/>
        <v>0</v>
      </c>
      <c r="AI4" s="40">
        <f t="shared" si="0"/>
        <v>0</v>
      </c>
      <c r="AJ4" s="40">
        <f t="shared" si="0"/>
        <v>0</v>
      </c>
      <c r="AK4" s="40">
        <f t="shared" si="0"/>
        <v>0</v>
      </c>
      <c r="AL4" s="40">
        <f t="shared" si="0"/>
        <v>0</v>
      </c>
      <c r="AM4" s="40">
        <f t="shared" si="0"/>
        <v>0</v>
      </c>
      <c r="AN4" s="40">
        <f t="shared" si="0"/>
        <v>0</v>
      </c>
      <c r="AO4" s="40">
        <f t="shared" si="0"/>
        <v>0</v>
      </c>
      <c r="AP4" s="40">
        <f t="shared" si="0"/>
        <v>0</v>
      </c>
      <c r="AQ4" s="40">
        <f t="shared" si="0"/>
        <v>0</v>
      </c>
      <c r="AR4" s="40">
        <f t="shared" si="0"/>
        <v>0</v>
      </c>
      <c r="AS4" s="40">
        <f t="shared" si="0"/>
        <v>0</v>
      </c>
      <c r="AT4" s="40">
        <f t="shared" si="0"/>
        <v>0</v>
      </c>
      <c r="AU4" s="40">
        <f t="shared" si="0"/>
        <v>0</v>
      </c>
      <c r="AV4" s="40">
        <f t="shared" si="0"/>
        <v>0</v>
      </c>
      <c r="AW4" s="159" t="str">
        <f>SUMPRODUCT(($AW$5:$AW$28)*($E$5:$E$28))&amp;" Kg"</f>
        <v>51 Kg</v>
      </c>
      <c r="AX4" s="104">
        <f>SUBTOTAL(9,AX5:AX32)</f>
        <v>5215</v>
      </c>
    </row>
    <row r="5" spans="1:50" ht="18.75" x14ac:dyDescent="0.25">
      <c r="A5" s="84">
        <f t="shared" ref="A5:A32" ca="1" si="1">IFERROR(J5*O5,"")</f>
        <v>43.600065728799912</v>
      </c>
      <c r="B5" s="6">
        <v>1</v>
      </c>
      <c r="C5" s="86" t="s">
        <v>1</v>
      </c>
      <c r="D5" s="94">
        <v>42.5</v>
      </c>
      <c r="E5" s="6">
        <v>0.5</v>
      </c>
      <c r="F5" s="6">
        <f>430+30</f>
        <v>460</v>
      </c>
      <c r="G5" s="97">
        <f t="shared" ref="G5:G29" si="2">D5/(1/E5)</f>
        <v>21.25</v>
      </c>
      <c r="H5" s="89">
        <f>G5*F5</f>
        <v>9775</v>
      </c>
      <c r="I5" s="90">
        <f t="shared" ref="I5:I28" si="3">((H5/$H$4)*$A$2)/F5</f>
        <v>0.55003286439995724</v>
      </c>
      <c r="J5" s="91">
        <f t="shared" ref="J5:J19" si="4">G5+I5</f>
        <v>21.800032864399956</v>
      </c>
      <c r="K5" s="91">
        <f>J5*F5</f>
        <v>10028.01511762398</v>
      </c>
      <c r="L5" s="98">
        <v>25</v>
      </c>
      <c r="M5" s="89">
        <f>L5*F5</f>
        <v>11500</v>
      </c>
      <c r="N5" s="89">
        <f t="shared" ref="N5:N30" ca="1" si="5">SUMPRODUCT($L5*($Q5:$AV5))</f>
        <v>11400</v>
      </c>
      <c r="O5" s="93">
        <f t="shared" ref="O5:O32" ca="1" si="6">F5-SUM(Q5:AV5)-P5</f>
        <v>2</v>
      </c>
      <c r="P5" s="83">
        <v>2</v>
      </c>
      <c r="Q5" s="83">
        <v>382</v>
      </c>
      <c r="R5" s="86">
        <v>0</v>
      </c>
      <c r="S5" s="86">
        <v>0</v>
      </c>
      <c r="T5" s="86">
        <v>20</v>
      </c>
      <c r="U5" s="86">
        <v>7</v>
      </c>
      <c r="V5" s="86">
        <v>17</v>
      </c>
      <c r="W5" s="86">
        <v>2</v>
      </c>
      <c r="X5" s="86">
        <v>0</v>
      </c>
      <c r="Y5" s="86">
        <v>13</v>
      </c>
      <c r="Z5" s="86">
        <v>5</v>
      </c>
      <c r="AA5" s="86">
        <v>7</v>
      </c>
      <c r="AB5" s="86">
        <v>0</v>
      </c>
      <c r="AC5" s="86">
        <v>0</v>
      </c>
      <c r="AD5" s="86">
        <f ca="1">SUMIFS('Tổng Đơn'!$F:$F,'Tổng Đơn'!$B:$B,$C5)</f>
        <v>3</v>
      </c>
      <c r="AE5" s="86">
        <v>0</v>
      </c>
      <c r="AF5" s="86">
        <v>0</v>
      </c>
      <c r="AG5" s="86">
        <v>0</v>
      </c>
      <c r="AH5" s="86">
        <v>0</v>
      </c>
      <c r="AI5" s="86">
        <v>0</v>
      </c>
      <c r="AJ5" s="86">
        <v>0</v>
      </c>
      <c r="AK5" s="86">
        <v>0</v>
      </c>
      <c r="AL5" s="86">
        <v>0</v>
      </c>
      <c r="AM5" s="86">
        <v>0</v>
      </c>
      <c r="AN5" s="86">
        <v>0</v>
      </c>
      <c r="AO5" s="86">
        <v>0</v>
      </c>
      <c r="AP5" s="86">
        <v>0</v>
      </c>
      <c r="AQ5" s="86">
        <v>0</v>
      </c>
      <c r="AR5" s="86">
        <v>0</v>
      </c>
      <c r="AS5" s="86">
        <v>0</v>
      </c>
      <c r="AT5" s="86">
        <v>0</v>
      </c>
      <c r="AU5" s="86">
        <v>0</v>
      </c>
      <c r="AV5" s="86">
        <v>0</v>
      </c>
      <c r="AX5" s="84">
        <f t="shared" ref="AX5:AX32" si="7">AW5*G5</f>
        <v>0</v>
      </c>
    </row>
    <row r="6" spans="1:50" ht="18.75" x14ac:dyDescent="0.25">
      <c r="A6" s="84">
        <f t="shared" ca="1" si="1"/>
        <v>338.54168683538757</v>
      </c>
      <c r="B6" s="6">
        <v>2</v>
      </c>
      <c r="C6" s="86" t="s">
        <v>2</v>
      </c>
      <c r="D6" s="94">
        <v>44</v>
      </c>
      <c r="E6" s="6">
        <v>0.5</v>
      </c>
      <c r="F6" s="6">
        <v>80</v>
      </c>
      <c r="G6" s="97">
        <f t="shared" si="2"/>
        <v>22</v>
      </c>
      <c r="H6" s="89">
        <f t="shared" ref="H6:H19" si="8">G6*F6</f>
        <v>1760</v>
      </c>
      <c r="I6" s="90">
        <f t="shared" si="3"/>
        <v>0.56944578902583809</v>
      </c>
      <c r="J6" s="91">
        <f t="shared" si="4"/>
        <v>22.569445789025838</v>
      </c>
      <c r="K6" s="91">
        <f t="shared" ref="K6:K19" si="9">J6*F6</f>
        <v>1805.555663122067</v>
      </c>
      <c r="L6" s="98">
        <v>28</v>
      </c>
      <c r="M6" s="89">
        <f t="shared" ref="M6:M19" si="10">L6*F6</f>
        <v>2240</v>
      </c>
      <c r="N6" s="89">
        <f t="shared" ca="1" si="5"/>
        <v>1820</v>
      </c>
      <c r="O6" s="93">
        <f t="shared" ca="1" si="6"/>
        <v>15</v>
      </c>
      <c r="P6" s="83"/>
      <c r="Q6" s="83">
        <v>56</v>
      </c>
      <c r="R6" s="86">
        <v>0</v>
      </c>
      <c r="S6" s="86">
        <v>0</v>
      </c>
      <c r="T6" s="86">
        <v>0</v>
      </c>
      <c r="U6" s="86">
        <v>0</v>
      </c>
      <c r="V6" s="86">
        <v>0</v>
      </c>
      <c r="W6" s="86">
        <v>2</v>
      </c>
      <c r="X6" s="86">
        <v>1</v>
      </c>
      <c r="Y6" s="86">
        <v>2</v>
      </c>
      <c r="Z6" s="86">
        <v>0</v>
      </c>
      <c r="AA6" s="86">
        <v>2</v>
      </c>
      <c r="AB6" s="86">
        <v>0</v>
      </c>
      <c r="AC6" s="86">
        <v>1</v>
      </c>
      <c r="AD6" s="86">
        <f ca="1">SUMIFS('Tổng Đơn'!$F:$F,'Tổng Đơn'!$B:$B,$C6)</f>
        <v>1</v>
      </c>
      <c r="AE6" s="86">
        <v>0</v>
      </c>
      <c r="AF6" s="86">
        <v>0</v>
      </c>
      <c r="AG6" s="86">
        <v>0</v>
      </c>
      <c r="AH6" s="86">
        <v>0</v>
      </c>
      <c r="AI6" s="86">
        <v>0</v>
      </c>
      <c r="AJ6" s="86">
        <v>0</v>
      </c>
      <c r="AK6" s="86">
        <v>0</v>
      </c>
      <c r="AL6" s="86">
        <v>0</v>
      </c>
      <c r="AM6" s="86">
        <v>0</v>
      </c>
      <c r="AN6" s="86">
        <v>0</v>
      </c>
      <c r="AO6" s="86">
        <v>0</v>
      </c>
      <c r="AP6" s="86">
        <v>0</v>
      </c>
      <c r="AQ6" s="86">
        <v>0</v>
      </c>
      <c r="AR6" s="86">
        <v>0</v>
      </c>
      <c r="AS6" s="86">
        <v>0</v>
      </c>
      <c r="AT6" s="86">
        <v>0</v>
      </c>
      <c r="AU6" s="86">
        <v>0</v>
      </c>
      <c r="AV6" s="86">
        <v>0</v>
      </c>
      <c r="AX6" s="84">
        <f t="shared" si="7"/>
        <v>0</v>
      </c>
    </row>
    <row r="7" spans="1:50" ht="18.75" x14ac:dyDescent="0.25">
      <c r="A7" s="84">
        <f t="shared" ca="1" si="1"/>
        <v>334.69462221225814</v>
      </c>
      <c r="B7" s="6">
        <v>3</v>
      </c>
      <c r="C7" s="86" t="s">
        <v>3</v>
      </c>
      <c r="D7" s="94">
        <v>43.5</v>
      </c>
      <c r="E7" s="6">
        <v>0.5</v>
      </c>
      <c r="F7" s="6">
        <v>70</v>
      </c>
      <c r="G7" s="97">
        <f t="shared" si="2"/>
        <v>21.75</v>
      </c>
      <c r="H7" s="89">
        <f t="shared" si="8"/>
        <v>1522.5</v>
      </c>
      <c r="I7" s="90">
        <f t="shared" si="3"/>
        <v>0.56297481415054451</v>
      </c>
      <c r="J7" s="91">
        <f t="shared" si="4"/>
        <v>22.312974814150543</v>
      </c>
      <c r="K7" s="91">
        <f t="shared" si="9"/>
        <v>1561.9082369905379</v>
      </c>
      <c r="L7" s="98">
        <v>30</v>
      </c>
      <c r="M7" s="89">
        <f t="shared" si="10"/>
        <v>2100</v>
      </c>
      <c r="N7" s="89">
        <f t="shared" ca="1" si="5"/>
        <v>1650</v>
      </c>
      <c r="O7" s="93">
        <f t="shared" ca="1" si="6"/>
        <v>15</v>
      </c>
      <c r="P7" s="83"/>
      <c r="Q7" s="83">
        <v>49</v>
      </c>
      <c r="R7" s="86">
        <v>0</v>
      </c>
      <c r="S7" s="86">
        <v>0</v>
      </c>
      <c r="T7" s="86">
        <v>0</v>
      </c>
      <c r="U7" s="86">
        <v>0</v>
      </c>
      <c r="V7" s="86">
        <v>1</v>
      </c>
      <c r="W7" s="86">
        <v>0</v>
      </c>
      <c r="X7" s="86">
        <v>0</v>
      </c>
      <c r="Y7" s="86">
        <v>2</v>
      </c>
      <c r="Z7" s="86">
        <v>0</v>
      </c>
      <c r="AA7" s="86">
        <v>0</v>
      </c>
      <c r="AB7" s="86">
        <v>0</v>
      </c>
      <c r="AC7" s="86">
        <v>2</v>
      </c>
      <c r="AD7" s="86">
        <f ca="1">SUMIFS('Tổng Đơn'!$F:$F,'Tổng Đơn'!$B:$B,$C7)</f>
        <v>1</v>
      </c>
      <c r="AE7" s="86">
        <v>0</v>
      </c>
      <c r="AF7" s="86">
        <v>0</v>
      </c>
      <c r="AG7" s="86">
        <v>0</v>
      </c>
      <c r="AH7" s="86">
        <v>0</v>
      </c>
      <c r="AI7" s="86">
        <v>0</v>
      </c>
      <c r="AJ7" s="86">
        <v>0</v>
      </c>
      <c r="AK7" s="86">
        <v>0</v>
      </c>
      <c r="AL7" s="86">
        <v>0</v>
      </c>
      <c r="AM7" s="86">
        <v>0</v>
      </c>
      <c r="AN7" s="86">
        <v>0</v>
      </c>
      <c r="AO7" s="86">
        <v>0</v>
      </c>
      <c r="AP7" s="86">
        <v>0</v>
      </c>
      <c r="AQ7" s="86">
        <v>0</v>
      </c>
      <c r="AR7" s="86">
        <v>0</v>
      </c>
      <c r="AS7" s="86">
        <v>0</v>
      </c>
      <c r="AT7" s="86">
        <v>0</v>
      </c>
      <c r="AU7" s="86">
        <v>0</v>
      </c>
      <c r="AV7" s="86">
        <v>0</v>
      </c>
      <c r="AX7" s="84">
        <f t="shared" si="7"/>
        <v>0</v>
      </c>
    </row>
    <row r="8" spans="1:50" ht="18.75" x14ac:dyDescent="0.25">
      <c r="A8" s="84">
        <f t="shared" ca="1" si="1"/>
        <v>800.18944161091611</v>
      </c>
      <c r="B8" s="6">
        <v>4</v>
      </c>
      <c r="C8" s="86" t="s">
        <v>4</v>
      </c>
      <c r="D8" s="94">
        <v>60</v>
      </c>
      <c r="E8" s="6">
        <v>0.5</v>
      </c>
      <c r="F8" s="6">
        <f>160+22+12</f>
        <v>194</v>
      </c>
      <c r="G8" s="97">
        <f t="shared" si="2"/>
        <v>30</v>
      </c>
      <c r="H8" s="100">
        <f t="shared" si="8"/>
        <v>5820</v>
      </c>
      <c r="I8" s="90">
        <f t="shared" si="3"/>
        <v>0.77651698503523359</v>
      </c>
      <c r="J8" s="91">
        <f t="shared" si="4"/>
        <v>30.776516985035233</v>
      </c>
      <c r="K8" s="91">
        <f t="shared" si="9"/>
        <v>5970.6442950968349</v>
      </c>
      <c r="L8" s="98">
        <v>40</v>
      </c>
      <c r="M8" s="89">
        <f t="shared" si="10"/>
        <v>7760</v>
      </c>
      <c r="N8" s="89">
        <f t="shared" ca="1" si="5"/>
        <v>6680</v>
      </c>
      <c r="O8" s="93">
        <f t="shared" ca="1" si="6"/>
        <v>26</v>
      </c>
      <c r="P8" s="83">
        <v>1</v>
      </c>
      <c r="Q8" s="83">
        <v>129</v>
      </c>
      <c r="R8" s="86">
        <v>0</v>
      </c>
      <c r="S8" s="86">
        <v>4</v>
      </c>
      <c r="T8" s="86">
        <v>0</v>
      </c>
      <c r="U8" s="86">
        <v>5</v>
      </c>
      <c r="V8" s="86">
        <v>9</v>
      </c>
      <c r="W8" s="86">
        <v>7</v>
      </c>
      <c r="X8" s="86">
        <v>0</v>
      </c>
      <c r="Y8" s="86">
        <v>4</v>
      </c>
      <c r="Z8" s="86">
        <v>1</v>
      </c>
      <c r="AA8" s="86">
        <v>2</v>
      </c>
      <c r="AB8" s="86">
        <v>2</v>
      </c>
      <c r="AC8" s="86">
        <v>2</v>
      </c>
      <c r="AD8" s="86">
        <f ca="1">SUMIFS('Tổng Đơn'!$F:$F,'Tổng Đơn'!$B:$B,$C8)</f>
        <v>2</v>
      </c>
      <c r="AE8" s="86">
        <v>0</v>
      </c>
      <c r="AF8" s="86">
        <v>0</v>
      </c>
      <c r="AG8" s="86">
        <v>0</v>
      </c>
      <c r="AH8" s="86">
        <v>0</v>
      </c>
      <c r="AI8" s="86">
        <v>0</v>
      </c>
      <c r="AJ8" s="86">
        <v>0</v>
      </c>
      <c r="AK8" s="86">
        <v>0</v>
      </c>
      <c r="AL8" s="86">
        <v>0</v>
      </c>
      <c r="AM8" s="86">
        <v>0</v>
      </c>
      <c r="AN8" s="86">
        <v>0</v>
      </c>
      <c r="AO8" s="86">
        <v>0</v>
      </c>
      <c r="AP8" s="86">
        <v>0</v>
      </c>
      <c r="AQ8" s="86">
        <v>0</v>
      </c>
      <c r="AR8" s="86">
        <v>0</v>
      </c>
      <c r="AS8" s="86">
        <v>0</v>
      </c>
      <c r="AT8" s="86">
        <v>0</v>
      </c>
      <c r="AU8" s="86">
        <v>0</v>
      </c>
      <c r="AV8" s="86">
        <v>0</v>
      </c>
      <c r="AW8" s="84">
        <v>12</v>
      </c>
      <c r="AX8" s="84">
        <f t="shared" si="7"/>
        <v>360</v>
      </c>
    </row>
    <row r="9" spans="1:50" ht="18.75" x14ac:dyDescent="0.25">
      <c r="A9" s="84">
        <f t="shared" ca="1" si="1"/>
        <v>732.48110424383856</v>
      </c>
      <c r="B9" s="6">
        <v>5</v>
      </c>
      <c r="C9" s="86" t="s">
        <v>5</v>
      </c>
      <c r="D9" s="94">
        <v>68</v>
      </c>
      <c r="E9" s="6">
        <v>0.5</v>
      </c>
      <c r="F9" s="6">
        <f>285+40+50+20</f>
        <v>395</v>
      </c>
      <c r="G9" s="97">
        <f t="shared" si="2"/>
        <v>34</v>
      </c>
      <c r="H9" s="100">
        <f t="shared" si="8"/>
        <v>13430</v>
      </c>
      <c r="I9" s="90">
        <f t="shared" si="3"/>
        <v>0.8800525830399315</v>
      </c>
      <c r="J9" s="91">
        <f t="shared" si="4"/>
        <v>34.880052583039934</v>
      </c>
      <c r="K9" s="91">
        <f t="shared" si="9"/>
        <v>13777.620770300773</v>
      </c>
      <c r="L9" s="98">
        <v>40</v>
      </c>
      <c r="M9" s="89">
        <f t="shared" si="10"/>
        <v>15800</v>
      </c>
      <c r="N9" s="89">
        <f t="shared" ca="1" si="5"/>
        <v>14960</v>
      </c>
      <c r="O9" s="93">
        <f t="shared" ca="1" si="6"/>
        <v>21</v>
      </c>
      <c r="P9" s="83"/>
      <c r="Q9" s="83">
        <v>231</v>
      </c>
      <c r="R9" s="86">
        <v>2</v>
      </c>
      <c r="S9" s="86">
        <v>4</v>
      </c>
      <c r="T9" s="86">
        <v>8</v>
      </c>
      <c r="U9" s="86">
        <v>22</v>
      </c>
      <c r="V9" s="86">
        <v>10</v>
      </c>
      <c r="W9" s="86">
        <v>7</v>
      </c>
      <c r="X9" s="86">
        <v>1</v>
      </c>
      <c r="Y9" s="86">
        <v>28</v>
      </c>
      <c r="Z9" s="86">
        <v>4</v>
      </c>
      <c r="AA9" s="86">
        <v>5</v>
      </c>
      <c r="AB9" s="86">
        <v>19</v>
      </c>
      <c r="AC9" s="86">
        <v>18</v>
      </c>
      <c r="AD9" s="86">
        <f ca="1">SUMIFS('Tổng Đơn'!$F:$F,'Tổng Đơn'!$B:$B,$C9)</f>
        <v>15</v>
      </c>
      <c r="AE9" s="86">
        <v>0</v>
      </c>
      <c r="AF9" s="86">
        <v>0</v>
      </c>
      <c r="AG9" s="86">
        <v>0</v>
      </c>
      <c r="AH9" s="86">
        <v>0</v>
      </c>
      <c r="AI9" s="86">
        <v>0</v>
      </c>
      <c r="AJ9" s="86">
        <v>0</v>
      </c>
      <c r="AK9" s="86">
        <v>0</v>
      </c>
      <c r="AL9" s="86">
        <v>0</v>
      </c>
      <c r="AM9" s="86">
        <v>0</v>
      </c>
      <c r="AN9" s="86">
        <v>0</v>
      </c>
      <c r="AO9" s="86">
        <v>0</v>
      </c>
      <c r="AP9" s="86">
        <v>0</v>
      </c>
      <c r="AQ9" s="86">
        <v>0</v>
      </c>
      <c r="AR9" s="86">
        <v>0</v>
      </c>
      <c r="AS9" s="86">
        <v>0</v>
      </c>
      <c r="AT9" s="86">
        <v>0</v>
      </c>
      <c r="AU9" s="86">
        <v>0</v>
      </c>
      <c r="AV9" s="86">
        <v>0</v>
      </c>
      <c r="AW9" s="84">
        <v>20</v>
      </c>
      <c r="AX9" s="84">
        <f t="shared" si="7"/>
        <v>680</v>
      </c>
    </row>
    <row r="10" spans="1:50" ht="18.75" x14ac:dyDescent="0.25">
      <c r="A10" s="84">
        <f t="shared" ca="1" si="1"/>
        <v>0</v>
      </c>
      <c r="B10" s="6">
        <v>6</v>
      </c>
      <c r="C10" s="86" t="s">
        <v>6</v>
      </c>
      <c r="D10" s="94">
        <v>86</v>
      </c>
      <c r="E10" s="6">
        <v>0.5</v>
      </c>
      <c r="F10" s="6">
        <v>76</v>
      </c>
      <c r="G10" s="97">
        <f t="shared" si="2"/>
        <v>43</v>
      </c>
      <c r="H10" s="100">
        <f t="shared" si="8"/>
        <v>3268</v>
      </c>
      <c r="I10" s="90">
        <f t="shared" si="3"/>
        <v>1.1130076785505019</v>
      </c>
      <c r="J10" s="91">
        <f t="shared" si="4"/>
        <v>44.113007678550503</v>
      </c>
      <c r="K10" s="91">
        <f t="shared" si="9"/>
        <v>3352.5885835698382</v>
      </c>
      <c r="L10" s="98">
        <v>50</v>
      </c>
      <c r="M10" s="89">
        <f t="shared" si="10"/>
        <v>3800</v>
      </c>
      <c r="N10" s="89">
        <f t="shared" ca="1" si="5"/>
        <v>3700</v>
      </c>
      <c r="O10" s="93">
        <f t="shared" ca="1" si="6"/>
        <v>0</v>
      </c>
      <c r="P10" s="83">
        <v>2</v>
      </c>
      <c r="Q10" s="83">
        <v>69</v>
      </c>
      <c r="R10" s="86">
        <v>0</v>
      </c>
      <c r="S10" s="86">
        <v>0</v>
      </c>
      <c r="T10" s="86">
        <v>0</v>
      </c>
      <c r="U10" s="86">
        <v>4</v>
      </c>
      <c r="V10" s="86">
        <v>1</v>
      </c>
      <c r="W10" s="86">
        <v>0</v>
      </c>
      <c r="X10" s="86">
        <v>0</v>
      </c>
      <c r="Y10" s="86">
        <v>0</v>
      </c>
      <c r="Z10" s="86">
        <v>0</v>
      </c>
      <c r="AA10" s="86">
        <v>0</v>
      </c>
      <c r="AB10" s="86">
        <v>0</v>
      </c>
      <c r="AC10" s="86">
        <v>0</v>
      </c>
      <c r="AD10" s="86">
        <f ca="1">SUMIFS('Tổng Đơn'!$F:$F,'Tổng Đơn'!$B:$B,$C10)</f>
        <v>0</v>
      </c>
      <c r="AE10" s="86">
        <v>0</v>
      </c>
      <c r="AF10" s="86">
        <v>0</v>
      </c>
      <c r="AG10" s="86">
        <v>0</v>
      </c>
      <c r="AH10" s="86">
        <v>0</v>
      </c>
      <c r="AI10" s="86">
        <v>0</v>
      </c>
      <c r="AJ10" s="86">
        <v>0</v>
      </c>
      <c r="AK10" s="86">
        <v>0</v>
      </c>
      <c r="AL10" s="86">
        <v>0</v>
      </c>
      <c r="AM10" s="86">
        <v>0</v>
      </c>
      <c r="AN10" s="86">
        <v>0</v>
      </c>
      <c r="AO10" s="86">
        <v>0</v>
      </c>
      <c r="AP10" s="86">
        <v>0</v>
      </c>
      <c r="AQ10" s="86">
        <v>0</v>
      </c>
      <c r="AR10" s="86">
        <v>0</v>
      </c>
      <c r="AS10" s="86">
        <v>0</v>
      </c>
      <c r="AT10" s="86">
        <v>0</v>
      </c>
      <c r="AU10" s="86">
        <v>0</v>
      </c>
      <c r="AV10" s="86">
        <v>0</v>
      </c>
      <c r="AX10" s="84">
        <f t="shared" si="7"/>
        <v>0</v>
      </c>
    </row>
    <row r="11" spans="1:50" ht="18.75" x14ac:dyDescent="0.25">
      <c r="A11" s="84">
        <f t="shared" ca="1" si="1"/>
        <v>0</v>
      </c>
      <c r="B11" s="6">
        <v>7</v>
      </c>
      <c r="C11" s="86" t="s">
        <v>293</v>
      </c>
      <c r="D11" s="94">
        <v>55</v>
      </c>
      <c r="E11" s="6">
        <v>0.5</v>
      </c>
      <c r="F11" s="6">
        <v>20</v>
      </c>
      <c r="G11" s="97">
        <f t="shared" si="2"/>
        <v>27.5</v>
      </c>
      <c r="H11" s="100">
        <f t="shared" si="8"/>
        <v>550</v>
      </c>
      <c r="I11" s="90">
        <f t="shared" si="3"/>
        <v>0.71180723628229747</v>
      </c>
      <c r="J11" s="91">
        <f t="shared" si="4"/>
        <v>28.211807236282297</v>
      </c>
      <c r="K11" s="91">
        <f t="shared" si="9"/>
        <v>564.236144725646</v>
      </c>
      <c r="L11" s="98">
        <v>34</v>
      </c>
      <c r="M11" s="89">
        <f t="shared" si="10"/>
        <v>680</v>
      </c>
      <c r="N11" s="89">
        <f t="shared" ca="1" si="5"/>
        <v>680</v>
      </c>
      <c r="O11" s="93">
        <f t="shared" ca="1" si="6"/>
        <v>0</v>
      </c>
      <c r="P11" s="83"/>
      <c r="Q11" s="83">
        <v>20</v>
      </c>
      <c r="R11" s="86">
        <v>0</v>
      </c>
      <c r="S11" s="86">
        <v>0</v>
      </c>
      <c r="T11" s="86">
        <v>0</v>
      </c>
      <c r="U11" s="86">
        <v>0</v>
      </c>
      <c r="V11" s="86">
        <v>0</v>
      </c>
      <c r="W11" s="86">
        <v>0</v>
      </c>
      <c r="X11" s="86">
        <v>0</v>
      </c>
      <c r="Y11" s="86">
        <v>0</v>
      </c>
      <c r="Z11" s="86">
        <v>0</v>
      </c>
      <c r="AA11" s="86">
        <v>0</v>
      </c>
      <c r="AB11" s="86">
        <v>0</v>
      </c>
      <c r="AC11" s="86">
        <v>0</v>
      </c>
      <c r="AD11" s="86">
        <f ca="1">SUMIFS('Tổng Đơn'!$F:$F,'Tổng Đơn'!$B:$B,$C11)</f>
        <v>0</v>
      </c>
      <c r="AE11" s="86">
        <v>0</v>
      </c>
      <c r="AF11" s="86">
        <v>0</v>
      </c>
      <c r="AG11" s="86">
        <v>0</v>
      </c>
      <c r="AH11" s="86">
        <v>0</v>
      </c>
      <c r="AI11" s="86">
        <v>0</v>
      </c>
      <c r="AJ11" s="86">
        <v>0</v>
      </c>
      <c r="AK11" s="86">
        <v>0</v>
      </c>
      <c r="AL11" s="86">
        <v>0</v>
      </c>
      <c r="AM11" s="86">
        <v>0</v>
      </c>
      <c r="AN11" s="86">
        <v>0</v>
      </c>
      <c r="AO11" s="86">
        <v>0</v>
      </c>
      <c r="AP11" s="86">
        <v>0</v>
      </c>
      <c r="AQ11" s="86">
        <v>0</v>
      </c>
      <c r="AR11" s="86">
        <v>0</v>
      </c>
      <c r="AS11" s="86">
        <v>0</v>
      </c>
      <c r="AT11" s="86">
        <v>0</v>
      </c>
      <c r="AU11" s="86">
        <v>0</v>
      </c>
      <c r="AV11" s="86">
        <v>0</v>
      </c>
      <c r="AX11" s="84">
        <f t="shared" si="7"/>
        <v>0</v>
      </c>
    </row>
    <row r="12" spans="1:50" ht="19.5" customHeight="1" x14ac:dyDescent="0.25">
      <c r="A12" s="84">
        <f t="shared" ca="1" si="1"/>
        <v>884.82486331976304</v>
      </c>
      <c r="B12" s="6">
        <v>8</v>
      </c>
      <c r="C12" s="86" t="s">
        <v>8</v>
      </c>
      <c r="D12" s="94">
        <v>115</v>
      </c>
      <c r="E12" s="6">
        <v>0.5</v>
      </c>
      <c r="F12" s="6">
        <v>38</v>
      </c>
      <c r="G12" s="97">
        <f t="shared" si="2"/>
        <v>57.5</v>
      </c>
      <c r="H12" s="100">
        <f t="shared" si="8"/>
        <v>2185</v>
      </c>
      <c r="I12" s="90">
        <f t="shared" si="3"/>
        <v>1.4883242213175312</v>
      </c>
      <c r="J12" s="91">
        <f t="shared" si="4"/>
        <v>58.988324221317534</v>
      </c>
      <c r="K12" s="91">
        <f t="shared" si="9"/>
        <v>2241.5563204100663</v>
      </c>
      <c r="L12" s="98">
        <v>69</v>
      </c>
      <c r="M12" s="89">
        <f t="shared" si="10"/>
        <v>2622</v>
      </c>
      <c r="N12" s="89">
        <f t="shared" ca="1" si="5"/>
        <v>1518</v>
      </c>
      <c r="O12" s="93">
        <f t="shared" ca="1" si="6"/>
        <v>15</v>
      </c>
      <c r="P12" s="83">
        <v>1</v>
      </c>
      <c r="Q12" s="83">
        <v>21</v>
      </c>
      <c r="R12" s="86">
        <v>0</v>
      </c>
      <c r="S12" s="86">
        <v>0</v>
      </c>
      <c r="T12" s="86">
        <v>0</v>
      </c>
      <c r="U12" s="86">
        <v>0</v>
      </c>
      <c r="V12" s="86">
        <v>1</v>
      </c>
      <c r="W12" s="86">
        <v>0</v>
      </c>
      <c r="X12" s="86">
        <v>0</v>
      </c>
      <c r="Y12" s="86">
        <v>0</v>
      </c>
      <c r="Z12" s="86">
        <v>0</v>
      </c>
      <c r="AA12" s="86">
        <v>0</v>
      </c>
      <c r="AB12" s="86">
        <v>0</v>
      </c>
      <c r="AC12" s="86">
        <v>0</v>
      </c>
      <c r="AD12" s="86">
        <f ca="1">SUMIFS('Tổng Đơn'!$F:$F,'Tổng Đơn'!$B:$B,$C12)</f>
        <v>0</v>
      </c>
      <c r="AE12" s="86">
        <v>0</v>
      </c>
      <c r="AF12" s="86">
        <v>0</v>
      </c>
      <c r="AG12" s="86">
        <v>0</v>
      </c>
      <c r="AH12" s="86">
        <v>0</v>
      </c>
      <c r="AI12" s="86">
        <v>0</v>
      </c>
      <c r="AJ12" s="86">
        <v>0</v>
      </c>
      <c r="AK12" s="86">
        <v>0</v>
      </c>
      <c r="AL12" s="86">
        <v>0</v>
      </c>
      <c r="AM12" s="86">
        <v>0</v>
      </c>
      <c r="AN12" s="86">
        <v>0</v>
      </c>
      <c r="AO12" s="86">
        <v>0</v>
      </c>
      <c r="AP12" s="86">
        <v>0</v>
      </c>
      <c r="AQ12" s="86">
        <v>0</v>
      </c>
      <c r="AR12" s="86">
        <v>0</v>
      </c>
      <c r="AS12" s="86">
        <v>0</v>
      </c>
      <c r="AT12" s="86">
        <v>0</v>
      </c>
      <c r="AU12" s="86">
        <v>0</v>
      </c>
      <c r="AV12" s="86">
        <v>0</v>
      </c>
      <c r="AX12" s="84">
        <f t="shared" si="7"/>
        <v>0</v>
      </c>
    </row>
    <row r="13" spans="1:50" ht="18.75" x14ac:dyDescent="0.25">
      <c r="A13" s="84">
        <f t="shared" ca="1" si="1"/>
        <v>2180.0032864399955</v>
      </c>
      <c r="B13" s="6">
        <v>9</v>
      </c>
      <c r="C13" s="86" t="s">
        <v>9</v>
      </c>
      <c r="D13" s="94">
        <v>85</v>
      </c>
      <c r="E13" s="6">
        <v>0.5</v>
      </c>
      <c r="F13" s="6">
        <f>190+30</f>
        <v>220</v>
      </c>
      <c r="G13" s="97">
        <f t="shared" si="2"/>
        <v>42.5</v>
      </c>
      <c r="H13" s="100">
        <f t="shared" si="8"/>
        <v>9350</v>
      </c>
      <c r="I13" s="90">
        <f t="shared" si="3"/>
        <v>1.1000657287999145</v>
      </c>
      <c r="J13" s="91">
        <f t="shared" si="4"/>
        <v>43.600065728799912</v>
      </c>
      <c r="K13" s="91">
        <f t="shared" si="9"/>
        <v>9592.0144603359804</v>
      </c>
      <c r="L13" s="98">
        <v>55</v>
      </c>
      <c r="M13" s="89">
        <f t="shared" si="10"/>
        <v>12100</v>
      </c>
      <c r="N13" s="89">
        <f t="shared" ca="1" si="5"/>
        <v>9240</v>
      </c>
      <c r="O13" s="93">
        <f t="shared" ca="1" si="6"/>
        <v>50</v>
      </c>
      <c r="P13" s="83">
        <v>2</v>
      </c>
      <c r="Q13" s="83">
        <v>126</v>
      </c>
      <c r="R13" s="86">
        <v>8</v>
      </c>
      <c r="S13" s="86">
        <v>2</v>
      </c>
      <c r="T13" s="86">
        <v>3</v>
      </c>
      <c r="U13" s="86">
        <v>0</v>
      </c>
      <c r="V13" s="86">
        <v>2</v>
      </c>
      <c r="W13" s="86">
        <v>1</v>
      </c>
      <c r="X13" s="86">
        <v>10</v>
      </c>
      <c r="Y13" s="86">
        <v>2</v>
      </c>
      <c r="Z13" s="86">
        <v>0</v>
      </c>
      <c r="AA13" s="86">
        <v>0</v>
      </c>
      <c r="AB13" s="86">
        <v>10</v>
      </c>
      <c r="AC13" s="86">
        <v>4</v>
      </c>
      <c r="AD13" s="86">
        <f ca="1">SUMIFS('Tổng Đơn'!$F:$F,'Tổng Đơn'!$B:$B,$C13)</f>
        <v>0</v>
      </c>
      <c r="AE13" s="86">
        <v>0</v>
      </c>
      <c r="AF13" s="86">
        <v>0</v>
      </c>
      <c r="AG13" s="86">
        <v>0</v>
      </c>
      <c r="AH13" s="86">
        <v>0</v>
      </c>
      <c r="AI13" s="86">
        <v>0</v>
      </c>
      <c r="AJ13" s="86">
        <v>0</v>
      </c>
      <c r="AK13" s="86">
        <v>0</v>
      </c>
      <c r="AL13" s="86">
        <v>0</v>
      </c>
      <c r="AM13" s="86">
        <v>0</v>
      </c>
      <c r="AN13" s="86">
        <v>0</v>
      </c>
      <c r="AO13" s="86">
        <v>0</v>
      </c>
      <c r="AP13" s="86">
        <v>0</v>
      </c>
      <c r="AQ13" s="86">
        <v>0</v>
      </c>
      <c r="AR13" s="86">
        <v>0</v>
      </c>
      <c r="AS13" s="86">
        <v>0</v>
      </c>
      <c r="AT13" s="86">
        <v>0</v>
      </c>
      <c r="AU13" s="86">
        <v>0</v>
      </c>
      <c r="AV13" s="86">
        <v>0</v>
      </c>
      <c r="AW13" s="84">
        <v>30</v>
      </c>
      <c r="AX13" s="84">
        <f t="shared" si="7"/>
        <v>1275</v>
      </c>
    </row>
    <row r="14" spans="1:50" ht="18.75" x14ac:dyDescent="0.25">
      <c r="A14" s="84">
        <f t="shared" ca="1" si="1"/>
        <v>83.096595859595126</v>
      </c>
      <c r="B14" s="6">
        <v>10</v>
      </c>
      <c r="C14" s="86" t="s">
        <v>10</v>
      </c>
      <c r="D14" s="94">
        <v>54</v>
      </c>
      <c r="E14" s="6">
        <v>0.5</v>
      </c>
      <c r="F14" s="6">
        <v>30</v>
      </c>
      <c r="G14" s="97">
        <f t="shared" si="2"/>
        <v>27</v>
      </c>
      <c r="H14" s="100">
        <f t="shared" si="8"/>
        <v>810</v>
      </c>
      <c r="I14" s="90">
        <f t="shared" si="3"/>
        <v>0.69886528653171021</v>
      </c>
      <c r="J14" s="91">
        <f t="shared" si="4"/>
        <v>27.69886528653171</v>
      </c>
      <c r="K14" s="91">
        <f t="shared" si="9"/>
        <v>830.96595859595129</v>
      </c>
      <c r="L14" s="98">
        <v>32</v>
      </c>
      <c r="M14" s="89">
        <f t="shared" si="10"/>
        <v>960</v>
      </c>
      <c r="N14" s="89">
        <f t="shared" ca="1" si="5"/>
        <v>864</v>
      </c>
      <c r="O14" s="93">
        <f t="shared" ca="1" si="6"/>
        <v>3</v>
      </c>
      <c r="P14" s="83"/>
      <c r="Q14" s="83">
        <v>14</v>
      </c>
      <c r="R14" s="86">
        <v>0</v>
      </c>
      <c r="S14" s="86">
        <v>0</v>
      </c>
      <c r="T14" s="86">
        <v>0</v>
      </c>
      <c r="U14" s="86">
        <v>9</v>
      </c>
      <c r="V14" s="86">
        <v>1</v>
      </c>
      <c r="W14" s="86">
        <v>0</v>
      </c>
      <c r="X14" s="86">
        <v>0</v>
      </c>
      <c r="Y14" s="86">
        <v>1</v>
      </c>
      <c r="Z14" s="86">
        <v>2</v>
      </c>
      <c r="AA14" s="86">
        <v>0</v>
      </c>
      <c r="AB14" s="86">
        <v>0</v>
      </c>
      <c r="AC14" s="86">
        <v>0</v>
      </c>
      <c r="AD14" s="86">
        <f ca="1">SUMIFS('Tổng Đơn'!$F:$F,'Tổng Đơn'!$B:$B,$C14)</f>
        <v>0</v>
      </c>
      <c r="AE14" s="86">
        <v>0</v>
      </c>
      <c r="AF14" s="86">
        <v>0</v>
      </c>
      <c r="AG14" s="86">
        <v>0</v>
      </c>
      <c r="AH14" s="86">
        <v>0</v>
      </c>
      <c r="AI14" s="86">
        <v>0</v>
      </c>
      <c r="AJ14" s="86">
        <v>0</v>
      </c>
      <c r="AK14" s="86">
        <v>0</v>
      </c>
      <c r="AL14" s="86">
        <v>0</v>
      </c>
      <c r="AM14" s="86">
        <v>0</v>
      </c>
      <c r="AN14" s="86">
        <v>0</v>
      </c>
      <c r="AO14" s="86">
        <v>0</v>
      </c>
      <c r="AP14" s="86">
        <v>0</v>
      </c>
      <c r="AQ14" s="86">
        <v>0</v>
      </c>
      <c r="AR14" s="86">
        <v>0</v>
      </c>
      <c r="AS14" s="86">
        <v>0</v>
      </c>
      <c r="AT14" s="86">
        <v>0</v>
      </c>
      <c r="AU14" s="86">
        <v>0</v>
      </c>
      <c r="AV14" s="86">
        <v>0</v>
      </c>
      <c r="AX14" s="84">
        <f t="shared" si="7"/>
        <v>0</v>
      </c>
    </row>
    <row r="15" spans="1:50" ht="18.75" x14ac:dyDescent="0.25">
      <c r="A15" s="84">
        <f t="shared" ca="1" si="1"/>
        <v>0</v>
      </c>
      <c r="B15" s="6">
        <v>11</v>
      </c>
      <c r="C15" s="86" t="s">
        <v>11</v>
      </c>
      <c r="D15" s="94">
        <v>54</v>
      </c>
      <c r="E15" s="6">
        <v>0.5</v>
      </c>
      <c r="F15" s="6">
        <v>10</v>
      </c>
      <c r="G15" s="97">
        <f t="shared" si="2"/>
        <v>27</v>
      </c>
      <c r="H15" s="100">
        <f t="shared" si="8"/>
        <v>270</v>
      </c>
      <c r="I15" s="90">
        <f t="shared" si="3"/>
        <v>0.69886528653171032</v>
      </c>
      <c r="J15" s="91">
        <f t="shared" si="4"/>
        <v>27.69886528653171</v>
      </c>
      <c r="K15" s="91">
        <f t="shared" si="9"/>
        <v>276.98865286531708</v>
      </c>
      <c r="L15" s="98">
        <v>35</v>
      </c>
      <c r="M15" s="89">
        <f t="shared" si="10"/>
        <v>350</v>
      </c>
      <c r="N15" s="89">
        <f t="shared" ca="1" si="5"/>
        <v>350</v>
      </c>
      <c r="O15" s="93">
        <f t="shared" ca="1" si="6"/>
        <v>0</v>
      </c>
      <c r="P15" s="83"/>
      <c r="Q15" s="83">
        <v>10</v>
      </c>
      <c r="R15" s="86">
        <v>0</v>
      </c>
      <c r="S15" s="86">
        <v>0</v>
      </c>
      <c r="T15" s="86">
        <v>0</v>
      </c>
      <c r="U15" s="86">
        <v>0</v>
      </c>
      <c r="V15" s="86">
        <v>0</v>
      </c>
      <c r="W15" s="86">
        <v>0</v>
      </c>
      <c r="X15" s="86">
        <v>0</v>
      </c>
      <c r="Y15" s="86">
        <v>0</v>
      </c>
      <c r="Z15" s="86">
        <v>0</v>
      </c>
      <c r="AA15" s="86">
        <v>0</v>
      </c>
      <c r="AB15" s="86">
        <v>0</v>
      </c>
      <c r="AC15" s="86">
        <v>0</v>
      </c>
      <c r="AD15" s="86">
        <f ca="1">SUMIFS('Tổng Đơn'!$F:$F,'Tổng Đơn'!$B:$B,$C15)</f>
        <v>0</v>
      </c>
      <c r="AE15" s="86">
        <v>0</v>
      </c>
      <c r="AF15" s="86">
        <v>0</v>
      </c>
      <c r="AG15" s="86">
        <v>0</v>
      </c>
      <c r="AH15" s="86">
        <v>0</v>
      </c>
      <c r="AI15" s="86">
        <v>0</v>
      </c>
      <c r="AJ15" s="86">
        <v>0</v>
      </c>
      <c r="AK15" s="86">
        <v>0</v>
      </c>
      <c r="AL15" s="86">
        <v>0</v>
      </c>
      <c r="AM15" s="86">
        <v>0</v>
      </c>
      <c r="AN15" s="86">
        <v>0</v>
      </c>
      <c r="AO15" s="86">
        <v>0</v>
      </c>
      <c r="AP15" s="86">
        <v>0</v>
      </c>
      <c r="AQ15" s="86">
        <v>0</v>
      </c>
      <c r="AR15" s="86">
        <v>0</v>
      </c>
      <c r="AS15" s="86">
        <v>0</v>
      </c>
      <c r="AT15" s="86">
        <v>0</v>
      </c>
      <c r="AU15" s="86">
        <v>0</v>
      </c>
      <c r="AV15" s="86">
        <v>0</v>
      </c>
      <c r="AX15" s="84">
        <f t="shared" si="7"/>
        <v>0</v>
      </c>
    </row>
    <row r="16" spans="1:50" ht="18.75" x14ac:dyDescent="0.25">
      <c r="A16" s="84">
        <f t="shared" ca="1" si="1"/>
        <v>210.30619939774078</v>
      </c>
      <c r="B16" s="6">
        <v>12</v>
      </c>
      <c r="C16" s="86" t="s">
        <v>12</v>
      </c>
      <c r="D16" s="94">
        <v>41</v>
      </c>
      <c r="E16" s="6">
        <v>0.5</v>
      </c>
      <c r="F16" s="6">
        <v>160</v>
      </c>
      <c r="G16" s="97">
        <f t="shared" si="2"/>
        <v>20.5</v>
      </c>
      <c r="H16" s="100">
        <f t="shared" si="8"/>
        <v>3280</v>
      </c>
      <c r="I16" s="90">
        <f t="shared" si="3"/>
        <v>0.5306199397740764</v>
      </c>
      <c r="J16" s="91">
        <f t="shared" si="4"/>
        <v>21.030619939774077</v>
      </c>
      <c r="K16" s="91">
        <f t="shared" si="9"/>
        <v>3364.8991903638525</v>
      </c>
      <c r="L16" s="98">
        <v>26</v>
      </c>
      <c r="M16" s="89">
        <f t="shared" si="10"/>
        <v>4160</v>
      </c>
      <c r="N16" s="89">
        <f t="shared" ca="1" si="5"/>
        <v>3900</v>
      </c>
      <c r="O16" s="93">
        <f t="shared" ca="1" si="6"/>
        <v>10</v>
      </c>
      <c r="P16" s="83"/>
      <c r="Q16" s="83">
        <v>135</v>
      </c>
      <c r="R16" s="86">
        <v>0</v>
      </c>
      <c r="S16" s="86">
        <v>0</v>
      </c>
      <c r="T16" s="86">
        <v>0</v>
      </c>
      <c r="U16" s="86">
        <v>0</v>
      </c>
      <c r="V16" s="86">
        <v>0</v>
      </c>
      <c r="W16" s="86">
        <v>0</v>
      </c>
      <c r="X16" s="86">
        <v>0</v>
      </c>
      <c r="Y16" s="86">
        <v>2</v>
      </c>
      <c r="Z16" s="86">
        <v>0</v>
      </c>
      <c r="AA16" s="86">
        <v>2</v>
      </c>
      <c r="AB16" s="86">
        <v>9</v>
      </c>
      <c r="AC16" s="86">
        <v>0</v>
      </c>
      <c r="AD16" s="86">
        <f ca="1">SUMIFS('Tổng Đơn'!$F:$F,'Tổng Đơn'!$B:$B,$C16)</f>
        <v>2</v>
      </c>
      <c r="AE16" s="86">
        <v>0</v>
      </c>
      <c r="AF16" s="86">
        <v>0</v>
      </c>
      <c r="AG16" s="86">
        <v>0</v>
      </c>
      <c r="AH16" s="86">
        <v>0</v>
      </c>
      <c r="AI16" s="86">
        <v>0</v>
      </c>
      <c r="AJ16" s="86">
        <v>0</v>
      </c>
      <c r="AK16" s="86">
        <v>0</v>
      </c>
      <c r="AL16" s="86">
        <v>0</v>
      </c>
      <c r="AM16" s="86">
        <v>0</v>
      </c>
      <c r="AN16" s="86">
        <v>0</v>
      </c>
      <c r="AO16" s="86">
        <v>0</v>
      </c>
      <c r="AP16" s="86">
        <v>0</v>
      </c>
      <c r="AQ16" s="86">
        <v>0</v>
      </c>
      <c r="AR16" s="86">
        <v>0</v>
      </c>
      <c r="AS16" s="86">
        <v>0</v>
      </c>
      <c r="AT16" s="86">
        <v>0</v>
      </c>
      <c r="AU16" s="86">
        <v>0</v>
      </c>
      <c r="AV16" s="86">
        <v>0</v>
      </c>
      <c r="AX16" s="84">
        <f t="shared" si="7"/>
        <v>0</v>
      </c>
    </row>
    <row r="17" spans="1:50" ht="18.75" x14ac:dyDescent="0.25">
      <c r="A17" s="84">
        <f t="shared" ca="1" si="1"/>
        <v>315.45929909661118</v>
      </c>
      <c r="B17" s="6">
        <v>13</v>
      </c>
      <c r="C17" s="86" t="s">
        <v>13</v>
      </c>
      <c r="D17" s="94">
        <v>41</v>
      </c>
      <c r="E17" s="6">
        <v>0.5</v>
      </c>
      <c r="F17" s="6">
        <v>110</v>
      </c>
      <c r="G17" s="97">
        <f t="shared" si="2"/>
        <v>20.5</v>
      </c>
      <c r="H17" s="100">
        <f t="shared" si="8"/>
        <v>2255</v>
      </c>
      <c r="I17" s="90">
        <f t="shared" si="3"/>
        <v>0.5306199397740764</v>
      </c>
      <c r="J17" s="91">
        <f t="shared" si="4"/>
        <v>21.030619939774077</v>
      </c>
      <c r="K17" s="91">
        <f t="shared" si="9"/>
        <v>2313.3681933751486</v>
      </c>
      <c r="L17" s="98">
        <v>28</v>
      </c>
      <c r="M17" s="89">
        <f t="shared" si="10"/>
        <v>3080</v>
      </c>
      <c r="N17" s="89">
        <f t="shared" ca="1" si="5"/>
        <v>2660</v>
      </c>
      <c r="O17" s="93">
        <f t="shared" ca="1" si="6"/>
        <v>15</v>
      </c>
      <c r="P17" s="83"/>
      <c r="Q17" s="83">
        <v>72</v>
      </c>
      <c r="R17" s="86">
        <v>0</v>
      </c>
      <c r="S17" s="86">
        <v>0</v>
      </c>
      <c r="T17" s="86">
        <v>0</v>
      </c>
      <c r="U17" s="86">
        <v>2</v>
      </c>
      <c r="V17" s="86">
        <v>8</v>
      </c>
      <c r="W17" s="86">
        <v>1</v>
      </c>
      <c r="X17" s="86">
        <v>2</v>
      </c>
      <c r="Y17" s="86">
        <v>1</v>
      </c>
      <c r="Z17" s="86">
        <v>3</v>
      </c>
      <c r="AA17" s="86">
        <v>4</v>
      </c>
      <c r="AB17" s="86">
        <v>1</v>
      </c>
      <c r="AC17" s="86">
        <v>1</v>
      </c>
      <c r="AD17" s="86">
        <f ca="1">SUMIFS('Tổng Đơn'!$F:$F,'Tổng Đơn'!$B:$B,$C17)</f>
        <v>0</v>
      </c>
      <c r="AE17" s="86">
        <v>0</v>
      </c>
      <c r="AF17" s="86">
        <v>0</v>
      </c>
      <c r="AG17" s="86">
        <v>0</v>
      </c>
      <c r="AH17" s="86">
        <v>0</v>
      </c>
      <c r="AI17" s="86">
        <v>0</v>
      </c>
      <c r="AJ17" s="86">
        <v>0</v>
      </c>
      <c r="AK17" s="86">
        <v>0</v>
      </c>
      <c r="AL17" s="86">
        <v>0</v>
      </c>
      <c r="AM17" s="86">
        <v>0</v>
      </c>
      <c r="AN17" s="86">
        <v>0</v>
      </c>
      <c r="AO17" s="86">
        <v>0</v>
      </c>
      <c r="AP17" s="86">
        <v>0</v>
      </c>
      <c r="AQ17" s="86">
        <v>0</v>
      </c>
      <c r="AR17" s="86">
        <v>0</v>
      </c>
      <c r="AS17" s="86">
        <v>0</v>
      </c>
      <c r="AT17" s="86">
        <v>0</v>
      </c>
      <c r="AU17" s="86">
        <v>0</v>
      </c>
      <c r="AV17" s="86">
        <v>0</v>
      </c>
      <c r="AX17" s="84">
        <f t="shared" si="7"/>
        <v>0</v>
      </c>
    </row>
    <row r="18" spans="1:50" ht="18.75" x14ac:dyDescent="0.25">
      <c r="A18" s="84">
        <f t="shared" ca="1" si="1"/>
        <v>56.423614472564594</v>
      </c>
      <c r="B18" s="6">
        <v>14</v>
      </c>
      <c r="C18" s="86" t="s">
        <v>14</v>
      </c>
      <c r="D18" s="94">
        <v>55</v>
      </c>
      <c r="E18" s="6">
        <v>0.5</v>
      </c>
      <c r="F18" s="6">
        <v>330</v>
      </c>
      <c r="G18" s="97">
        <f t="shared" si="2"/>
        <v>27.5</v>
      </c>
      <c r="H18" s="100">
        <f t="shared" si="8"/>
        <v>9075</v>
      </c>
      <c r="I18" s="90">
        <f t="shared" si="3"/>
        <v>0.71180723628229758</v>
      </c>
      <c r="J18" s="91">
        <f t="shared" si="4"/>
        <v>28.211807236282297</v>
      </c>
      <c r="K18" s="91">
        <f t="shared" si="9"/>
        <v>9309.8963879731582</v>
      </c>
      <c r="L18" s="98">
        <v>33</v>
      </c>
      <c r="M18" s="89">
        <f t="shared" si="10"/>
        <v>10890</v>
      </c>
      <c r="N18" s="89">
        <f t="shared" ca="1" si="5"/>
        <v>10890</v>
      </c>
      <c r="O18" s="93">
        <f t="shared" ca="1" si="6"/>
        <v>2</v>
      </c>
      <c r="P18" s="83">
        <v>-2</v>
      </c>
      <c r="Q18" s="83">
        <v>304</v>
      </c>
      <c r="R18" s="86">
        <v>0</v>
      </c>
      <c r="S18" s="86">
        <v>0</v>
      </c>
      <c r="T18" s="86">
        <v>3</v>
      </c>
      <c r="U18" s="86">
        <v>3</v>
      </c>
      <c r="V18" s="86">
        <v>3</v>
      </c>
      <c r="W18" s="86">
        <v>6</v>
      </c>
      <c r="X18" s="86">
        <v>2</v>
      </c>
      <c r="Y18" s="86">
        <v>5</v>
      </c>
      <c r="Z18" s="86">
        <v>0</v>
      </c>
      <c r="AA18" s="86">
        <v>1</v>
      </c>
      <c r="AB18" s="86">
        <v>1</v>
      </c>
      <c r="AC18" s="86">
        <v>0</v>
      </c>
      <c r="AD18" s="86">
        <f ca="1">SUMIFS('Tổng Đơn'!$F:$F,'Tổng Đơn'!$B:$B,$C18)</f>
        <v>2</v>
      </c>
      <c r="AE18" s="86">
        <v>0</v>
      </c>
      <c r="AF18" s="86">
        <v>0</v>
      </c>
      <c r="AG18" s="86">
        <v>0</v>
      </c>
      <c r="AH18" s="86">
        <v>0</v>
      </c>
      <c r="AI18" s="86">
        <v>0</v>
      </c>
      <c r="AJ18" s="86">
        <v>0</v>
      </c>
      <c r="AK18" s="86">
        <v>0</v>
      </c>
      <c r="AL18" s="86">
        <v>0</v>
      </c>
      <c r="AM18" s="86">
        <v>0</v>
      </c>
      <c r="AN18" s="86">
        <v>0</v>
      </c>
      <c r="AO18" s="86">
        <v>0</v>
      </c>
      <c r="AP18" s="86">
        <v>0</v>
      </c>
      <c r="AQ18" s="86">
        <v>0</v>
      </c>
      <c r="AR18" s="86">
        <v>0</v>
      </c>
      <c r="AS18" s="86">
        <v>0</v>
      </c>
      <c r="AT18" s="86">
        <v>0</v>
      </c>
      <c r="AU18" s="86">
        <v>0</v>
      </c>
      <c r="AV18" s="86">
        <v>0</v>
      </c>
      <c r="AX18" s="84">
        <f t="shared" si="7"/>
        <v>0</v>
      </c>
    </row>
    <row r="19" spans="1:50" ht="18.75" x14ac:dyDescent="0.25">
      <c r="A19" s="84">
        <f t="shared" ca="1" si="1"/>
        <v>0</v>
      </c>
      <c r="B19" s="6">
        <v>15</v>
      </c>
      <c r="C19" s="86" t="s">
        <v>15</v>
      </c>
      <c r="D19" s="94">
        <v>60</v>
      </c>
      <c r="E19" s="6">
        <v>0.5</v>
      </c>
      <c r="F19" s="6">
        <v>10</v>
      </c>
      <c r="G19" s="97">
        <f t="shared" si="2"/>
        <v>30</v>
      </c>
      <c r="H19" s="100">
        <f t="shared" si="8"/>
        <v>300</v>
      </c>
      <c r="I19" s="90">
        <f t="shared" si="3"/>
        <v>0.7765169850352337</v>
      </c>
      <c r="J19" s="91">
        <f t="shared" si="4"/>
        <v>30.776516985035233</v>
      </c>
      <c r="K19" s="91">
        <f t="shared" si="9"/>
        <v>307.76516985035232</v>
      </c>
      <c r="L19" s="98">
        <v>35</v>
      </c>
      <c r="M19" s="89">
        <f t="shared" si="10"/>
        <v>350</v>
      </c>
      <c r="N19" s="89">
        <f t="shared" ca="1" si="5"/>
        <v>350</v>
      </c>
      <c r="O19" s="93">
        <f t="shared" ca="1" si="6"/>
        <v>0</v>
      </c>
      <c r="P19" s="83"/>
      <c r="Q19" s="83">
        <v>7</v>
      </c>
      <c r="R19" s="86">
        <v>0</v>
      </c>
      <c r="S19" s="86">
        <v>0</v>
      </c>
      <c r="T19" s="86">
        <v>0</v>
      </c>
      <c r="U19" s="86">
        <v>3</v>
      </c>
      <c r="V19" s="86">
        <v>0</v>
      </c>
      <c r="W19" s="86">
        <v>0</v>
      </c>
      <c r="X19" s="86">
        <v>0</v>
      </c>
      <c r="Y19" s="86">
        <v>0</v>
      </c>
      <c r="Z19" s="86">
        <v>0</v>
      </c>
      <c r="AA19" s="86">
        <v>0</v>
      </c>
      <c r="AB19" s="86">
        <v>0</v>
      </c>
      <c r="AC19" s="86">
        <v>0</v>
      </c>
      <c r="AD19" s="86">
        <f ca="1">SUMIFS('Tổng Đơn'!$F:$F,'Tổng Đơn'!$B:$B,$C19)</f>
        <v>0</v>
      </c>
      <c r="AE19" s="86">
        <v>0</v>
      </c>
      <c r="AF19" s="86">
        <v>0</v>
      </c>
      <c r="AG19" s="86">
        <v>0</v>
      </c>
      <c r="AH19" s="86">
        <v>0</v>
      </c>
      <c r="AI19" s="86">
        <v>0</v>
      </c>
      <c r="AJ19" s="86">
        <v>0</v>
      </c>
      <c r="AK19" s="86">
        <v>0</v>
      </c>
      <c r="AL19" s="86">
        <v>0</v>
      </c>
      <c r="AM19" s="86">
        <v>0</v>
      </c>
      <c r="AN19" s="86">
        <v>0</v>
      </c>
      <c r="AO19" s="86">
        <v>0</v>
      </c>
      <c r="AP19" s="86">
        <v>0</v>
      </c>
      <c r="AQ19" s="86">
        <v>0</v>
      </c>
      <c r="AR19" s="86">
        <v>0</v>
      </c>
      <c r="AS19" s="86">
        <v>0</v>
      </c>
      <c r="AT19" s="86">
        <v>0</v>
      </c>
      <c r="AU19" s="86">
        <v>0</v>
      </c>
      <c r="AV19" s="86">
        <v>0</v>
      </c>
      <c r="AX19" s="84">
        <f t="shared" si="7"/>
        <v>0</v>
      </c>
    </row>
    <row r="20" spans="1:50" ht="18.75" x14ac:dyDescent="0.25">
      <c r="A20" s="84">
        <f t="shared" si="1"/>
        <v>0</v>
      </c>
      <c r="B20" s="6">
        <v>16</v>
      </c>
      <c r="C20" s="86" t="s">
        <v>162</v>
      </c>
      <c r="D20" s="94">
        <v>54</v>
      </c>
      <c r="E20" s="6">
        <v>0.5</v>
      </c>
      <c r="F20" s="6">
        <v>10</v>
      </c>
      <c r="G20" s="97">
        <f t="shared" si="2"/>
        <v>27</v>
      </c>
      <c r="H20" s="100">
        <f t="shared" ref="H20:H25" si="11">G20*F20</f>
        <v>270</v>
      </c>
      <c r="I20" s="90">
        <f t="shared" si="3"/>
        <v>0.69886528653171032</v>
      </c>
      <c r="J20" s="91">
        <f t="shared" ref="J20:J25" si="12">G20+I20</f>
        <v>27.69886528653171</v>
      </c>
      <c r="K20" s="91">
        <f t="shared" ref="K20:K25" si="13">J20*F20</f>
        <v>276.98865286531708</v>
      </c>
      <c r="L20" s="98">
        <v>45</v>
      </c>
      <c r="M20" s="89">
        <f t="shared" ref="M20:M25" si="14">L20*F20</f>
        <v>450</v>
      </c>
      <c r="N20" s="89">
        <f t="shared" si="5"/>
        <v>405</v>
      </c>
      <c r="O20" s="93">
        <f t="shared" si="6"/>
        <v>0</v>
      </c>
      <c r="P20" s="83">
        <v>1</v>
      </c>
      <c r="Q20" s="83">
        <v>9</v>
      </c>
      <c r="R20" s="86">
        <v>0</v>
      </c>
      <c r="S20" s="86">
        <v>0</v>
      </c>
      <c r="T20" s="86">
        <v>0</v>
      </c>
      <c r="U20" s="86">
        <v>0</v>
      </c>
      <c r="V20" s="86">
        <v>0</v>
      </c>
      <c r="W20" s="86">
        <v>0</v>
      </c>
      <c r="X20" s="86">
        <v>0</v>
      </c>
      <c r="Y20" s="86">
        <v>0</v>
      </c>
      <c r="Z20" s="86">
        <v>0</v>
      </c>
      <c r="AA20" s="86">
        <v>0</v>
      </c>
      <c r="AB20" s="86">
        <v>0</v>
      </c>
      <c r="AC20" s="86">
        <v>0</v>
      </c>
      <c r="AD20" s="86">
        <f>SUMIFS('Tổng Đơn'!$F:$F,'Tổng Đơn'!$B:$B,$C20)</f>
        <v>0</v>
      </c>
      <c r="AE20" s="86">
        <v>0</v>
      </c>
      <c r="AF20" s="86">
        <v>0</v>
      </c>
      <c r="AG20" s="86">
        <v>0</v>
      </c>
      <c r="AH20" s="86">
        <v>0</v>
      </c>
      <c r="AI20" s="86">
        <v>0</v>
      </c>
      <c r="AJ20" s="86">
        <v>0</v>
      </c>
      <c r="AK20" s="86">
        <v>0</v>
      </c>
      <c r="AL20" s="86">
        <v>0</v>
      </c>
      <c r="AM20" s="86">
        <v>0</v>
      </c>
      <c r="AN20" s="86">
        <v>0</v>
      </c>
      <c r="AO20" s="86">
        <v>0</v>
      </c>
      <c r="AP20" s="86">
        <v>0</v>
      </c>
      <c r="AQ20" s="86">
        <v>0</v>
      </c>
      <c r="AR20" s="86">
        <v>0</v>
      </c>
      <c r="AS20" s="86">
        <v>0</v>
      </c>
      <c r="AT20" s="86">
        <v>0</v>
      </c>
      <c r="AU20" s="86">
        <v>0</v>
      </c>
      <c r="AV20" s="86">
        <v>0</v>
      </c>
      <c r="AX20" s="84">
        <f t="shared" si="7"/>
        <v>0</v>
      </c>
    </row>
    <row r="21" spans="1:50" ht="18.75" x14ac:dyDescent="0.25">
      <c r="A21" s="84">
        <f t="shared" ca="1" si="1"/>
        <v>0</v>
      </c>
      <c r="B21" s="6">
        <v>17</v>
      </c>
      <c r="C21" s="86" t="s">
        <v>294</v>
      </c>
      <c r="D21" s="94">
        <v>62</v>
      </c>
      <c r="E21" s="6">
        <v>0.5</v>
      </c>
      <c r="F21" s="6">
        <v>135</v>
      </c>
      <c r="G21" s="97">
        <f t="shared" si="2"/>
        <v>31</v>
      </c>
      <c r="H21" s="100">
        <f t="shared" si="11"/>
        <v>4185</v>
      </c>
      <c r="I21" s="90">
        <f t="shared" si="3"/>
        <v>0.80240088453640812</v>
      </c>
      <c r="J21" s="91">
        <f t="shared" si="12"/>
        <v>31.802400884536407</v>
      </c>
      <c r="K21" s="91">
        <f t="shared" si="13"/>
        <v>4293.3241194124148</v>
      </c>
      <c r="L21" s="98">
        <v>40</v>
      </c>
      <c r="M21" s="89">
        <f t="shared" si="14"/>
        <v>5400</v>
      </c>
      <c r="N21" s="89">
        <f t="shared" ca="1" si="5"/>
        <v>5400</v>
      </c>
      <c r="O21" s="93">
        <f t="shared" ca="1" si="6"/>
        <v>0</v>
      </c>
      <c r="P21" s="83"/>
      <c r="Q21" s="83">
        <v>108</v>
      </c>
      <c r="R21" s="86">
        <v>11</v>
      </c>
      <c r="S21" s="86">
        <v>1</v>
      </c>
      <c r="T21" s="86">
        <v>1</v>
      </c>
      <c r="U21" s="86">
        <v>9</v>
      </c>
      <c r="V21" s="86">
        <v>3</v>
      </c>
      <c r="W21" s="86">
        <v>2</v>
      </c>
      <c r="X21" s="86">
        <v>0</v>
      </c>
      <c r="Y21" s="86">
        <v>0</v>
      </c>
      <c r="Z21" s="86">
        <v>0</v>
      </c>
      <c r="AA21" s="86">
        <v>0</v>
      </c>
      <c r="AB21" s="86">
        <v>0</v>
      </c>
      <c r="AC21" s="86">
        <v>0</v>
      </c>
      <c r="AD21" s="86">
        <f ca="1">SUMIFS('Tổng Đơn'!$F:$F,'Tổng Đơn'!$B:$B,$C21)</f>
        <v>0</v>
      </c>
      <c r="AE21" s="86">
        <v>0</v>
      </c>
      <c r="AF21" s="86">
        <v>0</v>
      </c>
      <c r="AG21" s="86">
        <v>0</v>
      </c>
      <c r="AH21" s="86">
        <v>0</v>
      </c>
      <c r="AI21" s="86">
        <v>0</v>
      </c>
      <c r="AJ21" s="86">
        <v>0</v>
      </c>
      <c r="AK21" s="86">
        <v>0</v>
      </c>
      <c r="AL21" s="86">
        <v>0</v>
      </c>
      <c r="AM21" s="86">
        <v>0</v>
      </c>
      <c r="AN21" s="86">
        <v>0</v>
      </c>
      <c r="AO21" s="86">
        <v>0</v>
      </c>
      <c r="AP21" s="86">
        <v>0</v>
      </c>
      <c r="AQ21" s="86">
        <v>0</v>
      </c>
      <c r="AR21" s="86">
        <v>0</v>
      </c>
      <c r="AS21" s="86">
        <v>0</v>
      </c>
      <c r="AT21" s="86">
        <v>0</v>
      </c>
      <c r="AU21" s="86">
        <v>0</v>
      </c>
      <c r="AV21" s="86">
        <v>0</v>
      </c>
      <c r="AX21" s="84">
        <f t="shared" si="7"/>
        <v>0</v>
      </c>
    </row>
    <row r="22" spans="1:50" ht="18.75" x14ac:dyDescent="0.25">
      <c r="A22" s="84">
        <f t="shared" ca="1" si="1"/>
        <v>22.056503839275251</v>
      </c>
      <c r="B22" s="6">
        <v>18</v>
      </c>
      <c r="C22" s="86" t="s">
        <v>140</v>
      </c>
      <c r="D22" s="94">
        <v>43</v>
      </c>
      <c r="E22" s="6">
        <v>0.5</v>
      </c>
      <c r="F22" s="6">
        <v>25</v>
      </c>
      <c r="G22" s="97">
        <f t="shared" si="2"/>
        <v>21.5</v>
      </c>
      <c r="H22" s="100">
        <f t="shared" si="11"/>
        <v>537.5</v>
      </c>
      <c r="I22" s="90">
        <f t="shared" si="3"/>
        <v>0.55650383927525082</v>
      </c>
      <c r="J22" s="91">
        <f t="shared" si="12"/>
        <v>22.056503839275251</v>
      </c>
      <c r="K22" s="91">
        <f t="shared" si="13"/>
        <v>551.41259598188128</v>
      </c>
      <c r="L22" s="98">
        <v>35</v>
      </c>
      <c r="M22" s="89">
        <f t="shared" si="14"/>
        <v>875</v>
      </c>
      <c r="N22" s="89">
        <f t="shared" ca="1" si="5"/>
        <v>840</v>
      </c>
      <c r="O22" s="93">
        <f t="shared" ca="1" si="6"/>
        <v>1</v>
      </c>
      <c r="P22" s="83"/>
      <c r="Q22" s="83">
        <v>18</v>
      </c>
      <c r="R22" s="86">
        <v>0</v>
      </c>
      <c r="S22" s="86">
        <v>0</v>
      </c>
      <c r="T22" s="86">
        <v>0</v>
      </c>
      <c r="U22" s="86">
        <v>1</v>
      </c>
      <c r="V22" s="86">
        <v>1</v>
      </c>
      <c r="W22" s="86">
        <v>1</v>
      </c>
      <c r="X22" s="86">
        <v>0</v>
      </c>
      <c r="Y22" s="86">
        <v>1</v>
      </c>
      <c r="Z22" s="86">
        <v>0</v>
      </c>
      <c r="AA22" s="86">
        <v>2</v>
      </c>
      <c r="AB22" s="86">
        <v>0</v>
      </c>
      <c r="AC22" s="86">
        <v>0</v>
      </c>
      <c r="AD22" s="86">
        <f ca="1">SUMIFS('Tổng Đơn'!$F:$F,'Tổng Đơn'!$B:$B,$C22)</f>
        <v>0</v>
      </c>
      <c r="AE22" s="86">
        <v>0</v>
      </c>
      <c r="AF22" s="86">
        <v>0</v>
      </c>
      <c r="AG22" s="86">
        <v>0</v>
      </c>
      <c r="AH22" s="86">
        <v>0</v>
      </c>
      <c r="AI22" s="86">
        <v>0</v>
      </c>
      <c r="AJ22" s="86">
        <v>0</v>
      </c>
      <c r="AK22" s="86">
        <v>0</v>
      </c>
      <c r="AL22" s="86">
        <v>0</v>
      </c>
      <c r="AM22" s="86">
        <v>0</v>
      </c>
      <c r="AN22" s="86">
        <v>0</v>
      </c>
      <c r="AO22" s="86">
        <v>0</v>
      </c>
      <c r="AP22" s="86">
        <v>0</v>
      </c>
      <c r="AQ22" s="86">
        <v>0</v>
      </c>
      <c r="AR22" s="86">
        <v>0</v>
      </c>
      <c r="AS22" s="86">
        <v>0</v>
      </c>
      <c r="AT22" s="86">
        <v>0</v>
      </c>
      <c r="AU22" s="86">
        <v>0</v>
      </c>
      <c r="AV22" s="86">
        <v>0</v>
      </c>
      <c r="AX22" s="84">
        <f t="shared" si="7"/>
        <v>0</v>
      </c>
    </row>
    <row r="23" spans="1:50" ht="18.75" x14ac:dyDescent="0.25">
      <c r="A23" s="84">
        <f t="shared" ca="1" si="1"/>
        <v>156.19082369905379</v>
      </c>
      <c r="B23" s="6">
        <v>19</v>
      </c>
      <c r="C23" s="86" t="s">
        <v>175</v>
      </c>
      <c r="D23" s="94">
        <v>43.5</v>
      </c>
      <c r="E23" s="6">
        <v>0.5</v>
      </c>
      <c r="F23" s="6">
        <v>70</v>
      </c>
      <c r="G23" s="97">
        <f t="shared" si="2"/>
        <v>21.75</v>
      </c>
      <c r="H23" s="100">
        <f t="shared" si="11"/>
        <v>1522.5</v>
      </c>
      <c r="I23" s="90">
        <f t="shared" si="3"/>
        <v>0.56297481415054451</v>
      </c>
      <c r="J23" s="91">
        <f t="shared" si="12"/>
        <v>22.312974814150543</v>
      </c>
      <c r="K23" s="91">
        <f t="shared" si="13"/>
        <v>1561.9082369905379</v>
      </c>
      <c r="L23" s="98">
        <v>30</v>
      </c>
      <c r="M23" s="89">
        <f t="shared" si="14"/>
        <v>2100</v>
      </c>
      <c r="N23" s="89">
        <f t="shared" ca="1" si="5"/>
        <v>1890</v>
      </c>
      <c r="O23" s="93">
        <f t="shared" ca="1" si="6"/>
        <v>7</v>
      </c>
      <c r="P23" s="83"/>
      <c r="Q23" s="83">
        <v>46</v>
      </c>
      <c r="R23" s="86">
        <v>0</v>
      </c>
      <c r="S23" s="86">
        <v>0</v>
      </c>
      <c r="T23" s="86">
        <v>0</v>
      </c>
      <c r="U23" s="86">
        <v>5</v>
      </c>
      <c r="V23" s="86">
        <v>3</v>
      </c>
      <c r="W23" s="86">
        <v>5</v>
      </c>
      <c r="X23" s="86">
        <v>1</v>
      </c>
      <c r="Y23" s="86">
        <v>1</v>
      </c>
      <c r="Z23" s="86">
        <v>0</v>
      </c>
      <c r="AA23" s="86">
        <v>0</v>
      </c>
      <c r="AB23" s="86">
        <v>1</v>
      </c>
      <c r="AC23" s="86">
        <v>1</v>
      </c>
      <c r="AD23" s="86">
        <f ca="1">SUMIFS('Tổng Đơn'!$F:$F,'Tổng Đơn'!$B:$B,$C23)</f>
        <v>0</v>
      </c>
      <c r="AE23" s="86">
        <v>0</v>
      </c>
      <c r="AF23" s="86">
        <v>0</v>
      </c>
      <c r="AG23" s="86">
        <v>0</v>
      </c>
      <c r="AH23" s="86">
        <v>0</v>
      </c>
      <c r="AI23" s="86">
        <v>0</v>
      </c>
      <c r="AJ23" s="86">
        <v>0</v>
      </c>
      <c r="AK23" s="86">
        <v>0</v>
      </c>
      <c r="AL23" s="86">
        <v>0</v>
      </c>
      <c r="AM23" s="86">
        <v>0</v>
      </c>
      <c r="AN23" s="86">
        <v>0</v>
      </c>
      <c r="AO23" s="86">
        <v>0</v>
      </c>
      <c r="AP23" s="86">
        <v>0</v>
      </c>
      <c r="AQ23" s="86">
        <v>0</v>
      </c>
      <c r="AR23" s="86">
        <v>0</v>
      </c>
      <c r="AS23" s="86">
        <v>0</v>
      </c>
      <c r="AT23" s="86">
        <v>0</v>
      </c>
      <c r="AU23" s="86">
        <v>0</v>
      </c>
      <c r="AV23" s="86">
        <v>0</v>
      </c>
      <c r="AX23" s="84">
        <f t="shared" si="7"/>
        <v>0</v>
      </c>
    </row>
    <row r="24" spans="1:50" ht="18.75" x14ac:dyDescent="0.25">
      <c r="A24" s="84">
        <f t="shared" ca="1" si="1"/>
        <v>1480.3504669801948</v>
      </c>
      <c r="B24" s="6">
        <v>20</v>
      </c>
      <c r="C24" s="86" t="s">
        <v>173</v>
      </c>
      <c r="D24" s="94">
        <v>39</v>
      </c>
      <c r="E24" s="6">
        <v>1</v>
      </c>
      <c r="F24" s="6">
        <f>105+35+40</f>
        <v>180</v>
      </c>
      <c r="G24" s="97">
        <f t="shared" si="2"/>
        <v>39</v>
      </c>
      <c r="H24" s="100">
        <f t="shared" si="11"/>
        <v>7020</v>
      </c>
      <c r="I24" s="90">
        <f t="shared" si="3"/>
        <v>1.009472080545804</v>
      </c>
      <c r="J24" s="91">
        <f t="shared" si="12"/>
        <v>40.009472080545805</v>
      </c>
      <c r="K24" s="91">
        <f t="shared" si="13"/>
        <v>7201.7049744982451</v>
      </c>
      <c r="L24" s="98">
        <v>45</v>
      </c>
      <c r="M24" s="89">
        <f t="shared" si="14"/>
        <v>8100</v>
      </c>
      <c r="N24" s="89">
        <f t="shared" ca="1" si="5"/>
        <v>6435</v>
      </c>
      <c r="O24" s="93">
        <f t="shared" ca="1" si="6"/>
        <v>37</v>
      </c>
      <c r="P24" s="83"/>
      <c r="Q24" s="83">
        <v>100</v>
      </c>
      <c r="R24" s="86">
        <v>2</v>
      </c>
      <c r="S24" s="86">
        <v>1</v>
      </c>
      <c r="T24" s="86">
        <v>1</v>
      </c>
      <c r="U24" s="86">
        <v>0</v>
      </c>
      <c r="V24" s="86">
        <v>1</v>
      </c>
      <c r="W24" s="86">
        <v>0</v>
      </c>
      <c r="X24" s="86">
        <v>0</v>
      </c>
      <c r="Y24" s="86">
        <v>20</v>
      </c>
      <c r="Z24" s="86">
        <v>2</v>
      </c>
      <c r="AA24" s="86">
        <v>7</v>
      </c>
      <c r="AB24" s="86">
        <v>4</v>
      </c>
      <c r="AC24" s="86">
        <v>3</v>
      </c>
      <c r="AD24" s="86">
        <f ca="1">SUMIFS('Tổng Đơn'!$F:$F,'Tổng Đơn'!$B:$B,$C24)</f>
        <v>2</v>
      </c>
      <c r="AE24" s="86">
        <v>0</v>
      </c>
      <c r="AF24" s="86">
        <v>0</v>
      </c>
      <c r="AG24" s="86">
        <v>0</v>
      </c>
      <c r="AH24" s="86">
        <v>0</v>
      </c>
      <c r="AI24" s="86">
        <v>0</v>
      </c>
      <c r="AJ24" s="86">
        <v>0</v>
      </c>
      <c r="AK24" s="86">
        <v>0</v>
      </c>
      <c r="AL24" s="86">
        <v>0</v>
      </c>
      <c r="AM24" s="86">
        <v>0</v>
      </c>
      <c r="AN24" s="86">
        <v>0</v>
      </c>
      <c r="AO24" s="86">
        <v>0</v>
      </c>
      <c r="AP24" s="86">
        <v>0</v>
      </c>
      <c r="AQ24" s="86">
        <v>0</v>
      </c>
      <c r="AR24" s="86">
        <v>0</v>
      </c>
      <c r="AS24" s="86">
        <v>0</v>
      </c>
      <c r="AT24" s="86">
        <v>0</v>
      </c>
      <c r="AU24" s="86">
        <v>0</v>
      </c>
      <c r="AV24" s="86">
        <v>0</v>
      </c>
      <c r="AX24" s="84">
        <f t="shared" si="7"/>
        <v>0</v>
      </c>
    </row>
    <row r="25" spans="1:50" ht="18.75" x14ac:dyDescent="0.25">
      <c r="A25" s="84">
        <f t="shared" ca="1" si="1"/>
        <v>3941.9588838332629</v>
      </c>
      <c r="B25" s="6">
        <v>21</v>
      </c>
      <c r="C25" s="86" t="s">
        <v>171</v>
      </c>
      <c r="D25" s="94">
        <v>145</v>
      </c>
      <c r="E25" s="6">
        <v>0.5</v>
      </c>
      <c r="F25" s="6">
        <f>76+40+40</f>
        <v>156</v>
      </c>
      <c r="G25" s="97">
        <f t="shared" si="2"/>
        <v>72.5</v>
      </c>
      <c r="H25" s="100">
        <f t="shared" si="11"/>
        <v>11310</v>
      </c>
      <c r="I25" s="90">
        <f t="shared" si="3"/>
        <v>1.8765827138351479</v>
      </c>
      <c r="J25" s="91">
        <f t="shared" si="12"/>
        <v>74.376582713835148</v>
      </c>
      <c r="K25" s="91">
        <f t="shared" si="13"/>
        <v>11602.746903358284</v>
      </c>
      <c r="L25" s="98">
        <v>80</v>
      </c>
      <c r="M25" s="89">
        <f t="shared" si="14"/>
        <v>12480</v>
      </c>
      <c r="N25" s="89">
        <f t="shared" ca="1" si="5"/>
        <v>8240</v>
      </c>
      <c r="O25" s="93">
        <f t="shared" ca="1" si="6"/>
        <v>53</v>
      </c>
      <c r="P25" s="83"/>
      <c r="Q25" s="83">
        <v>57</v>
      </c>
      <c r="R25" s="86">
        <v>1</v>
      </c>
      <c r="S25" s="86">
        <v>1</v>
      </c>
      <c r="T25" s="86">
        <v>1</v>
      </c>
      <c r="U25" s="86">
        <v>8</v>
      </c>
      <c r="V25" s="86">
        <v>4</v>
      </c>
      <c r="W25" s="86">
        <v>3</v>
      </c>
      <c r="X25" s="86">
        <v>1</v>
      </c>
      <c r="Y25" s="86">
        <v>8</v>
      </c>
      <c r="Z25" s="86">
        <v>7</v>
      </c>
      <c r="AA25" s="86">
        <v>5</v>
      </c>
      <c r="AB25" s="86">
        <v>5</v>
      </c>
      <c r="AC25" s="86">
        <v>0</v>
      </c>
      <c r="AD25" s="86">
        <f ca="1">SUMIFS('Tổng Đơn'!$F:$F,'Tổng Đơn'!$B:$B,$C25)</f>
        <v>2</v>
      </c>
      <c r="AE25" s="86">
        <v>0</v>
      </c>
      <c r="AF25" s="86">
        <v>0</v>
      </c>
      <c r="AG25" s="86">
        <v>0</v>
      </c>
      <c r="AH25" s="86">
        <v>0</v>
      </c>
      <c r="AI25" s="86">
        <v>0</v>
      </c>
      <c r="AJ25" s="86">
        <v>0</v>
      </c>
      <c r="AK25" s="86">
        <v>0</v>
      </c>
      <c r="AL25" s="86">
        <v>0</v>
      </c>
      <c r="AM25" s="86">
        <v>0</v>
      </c>
      <c r="AN25" s="86">
        <v>0</v>
      </c>
      <c r="AO25" s="86">
        <v>0</v>
      </c>
      <c r="AP25" s="86">
        <v>0</v>
      </c>
      <c r="AQ25" s="86">
        <v>0</v>
      </c>
      <c r="AR25" s="86">
        <v>0</v>
      </c>
      <c r="AS25" s="86">
        <v>0</v>
      </c>
      <c r="AT25" s="86">
        <v>0</v>
      </c>
      <c r="AU25" s="86">
        <v>0</v>
      </c>
      <c r="AV25" s="86">
        <v>0</v>
      </c>
      <c r="AW25" s="84">
        <v>40</v>
      </c>
      <c r="AX25" s="84">
        <f t="shared" si="7"/>
        <v>2900</v>
      </c>
    </row>
    <row r="26" spans="1:50" ht="18.75" x14ac:dyDescent="0.25">
      <c r="A26" s="84">
        <f t="shared" ca="1" si="1"/>
        <v>797.11178991241263</v>
      </c>
      <c r="B26" s="6">
        <v>22</v>
      </c>
      <c r="C26" s="86" t="s">
        <v>291</v>
      </c>
      <c r="D26" s="94">
        <v>74</v>
      </c>
      <c r="E26" s="6">
        <v>0.5</v>
      </c>
      <c r="F26" s="6">
        <f>90+10</f>
        <v>100</v>
      </c>
      <c r="G26" s="97">
        <f t="shared" si="2"/>
        <v>37</v>
      </c>
      <c r="H26" s="100">
        <f t="shared" ref="H26" si="15">G26*F26</f>
        <v>3700</v>
      </c>
      <c r="I26" s="90">
        <f t="shared" si="3"/>
        <v>0.95770428154345499</v>
      </c>
      <c r="J26" s="91">
        <f t="shared" ref="J26" si="16">G26+I26</f>
        <v>37.957704281543457</v>
      </c>
      <c r="K26" s="91">
        <f t="shared" ref="K26" si="17">J26*F26</f>
        <v>3795.7704281543456</v>
      </c>
      <c r="L26" s="98">
        <v>42</v>
      </c>
      <c r="M26" s="89">
        <f t="shared" ref="M26" si="18">L26*F26</f>
        <v>4200</v>
      </c>
      <c r="N26" s="89">
        <f t="shared" ca="1" si="5"/>
        <v>3276</v>
      </c>
      <c r="O26" s="93">
        <f t="shared" ca="1" si="6"/>
        <v>21</v>
      </c>
      <c r="P26" s="83">
        <v>1</v>
      </c>
      <c r="Q26" s="83">
        <v>54</v>
      </c>
      <c r="R26" s="86">
        <v>0</v>
      </c>
      <c r="S26" s="86">
        <v>2</v>
      </c>
      <c r="T26" s="86">
        <v>2</v>
      </c>
      <c r="U26" s="86">
        <v>9</v>
      </c>
      <c r="V26" s="86">
        <v>1</v>
      </c>
      <c r="W26" s="86">
        <v>1</v>
      </c>
      <c r="X26" s="86">
        <v>0</v>
      </c>
      <c r="Y26" s="86">
        <v>2</v>
      </c>
      <c r="Z26" s="86">
        <v>1</v>
      </c>
      <c r="AA26" s="86">
        <v>4</v>
      </c>
      <c r="AB26" s="86">
        <v>0</v>
      </c>
      <c r="AC26" s="86">
        <v>1</v>
      </c>
      <c r="AD26" s="86">
        <f ca="1">SUMIFS('Tổng Đơn'!$F:$F,'Tổng Đơn'!$B:$B,$C26)</f>
        <v>1</v>
      </c>
      <c r="AE26" s="86">
        <v>0</v>
      </c>
      <c r="AF26" s="86">
        <v>0</v>
      </c>
      <c r="AG26" s="86">
        <v>0</v>
      </c>
      <c r="AH26" s="86">
        <v>0</v>
      </c>
      <c r="AI26" s="86">
        <v>0</v>
      </c>
      <c r="AJ26" s="86">
        <v>0</v>
      </c>
      <c r="AK26" s="86">
        <v>0</v>
      </c>
      <c r="AL26" s="86">
        <v>0</v>
      </c>
      <c r="AM26" s="86">
        <v>0</v>
      </c>
      <c r="AN26" s="86">
        <v>0</v>
      </c>
      <c r="AO26" s="86">
        <v>0</v>
      </c>
      <c r="AP26" s="86">
        <v>0</v>
      </c>
      <c r="AQ26" s="86">
        <v>0</v>
      </c>
      <c r="AR26" s="86">
        <v>0</v>
      </c>
      <c r="AS26" s="86">
        <v>0</v>
      </c>
      <c r="AT26" s="86">
        <v>0</v>
      </c>
      <c r="AU26" s="86">
        <v>0</v>
      </c>
      <c r="AV26" s="86">
        <v>0</v>
      </c>
      <c r="AX26" s="84">
        <f t="shared" si="7"/>
        <v>0</v>
      </c>
    </row>
    <row r="27" spans="1:50" ht="18.75" x14ac:dyDescent="0.25">
      <c r="A27" s="84">
        <f t="shared" ca="1" si="1"/>
        <v>30.263575035284646</v>
      </c>
      <c r="B27" s="6">
        <v>23</v>
      </c>
      <c r="C27" s="86" t="s">
        <v>178</v>
      </c>
      <c r="D27" s="94">
        <v>59</v>
      </c>
      <c r="E27" s="6">
        <v>0.5</v>
      </c>
      <c r="F27" s="6">
        <v>10</v>
      </c>
      <c r="G27" s="97">
        <f t="shared" si="2"/>
        <v>29.5</v>
      </c>
      <c r="H27" s="100">
        <f t="shared" ref="H27:H30" si="19">G27*F27</f>
        <v>295</v>
      </c>
      <c r="I27" s="90">
        <f t="shared" si="3"/>
        <v>0.76357503528464643</v>
      </c>
      <c r="J27" s="91">
        <f t="shared" ref="J27:J28" si="20">G27+I27</f>
        <v>30.263575035284646</v>
      </c>
      <c r="K27" s="91">
        <f t="shared" ref="K27:K28" si="21">J27*F27</f>
        <v>302.63575035284646</v>
      </c>
      <c r="L27" s="98">
        <v>35</v>
      </c>
      <c r="M27" s="89">
        <f t="shared" ref="M27:M28" si="22">L27*F27</f>
        <v>350</v>
      </c>
      <c r="N27" s="89">
        <f t="shared" ca="1" si="5"/>
        <v>105</v>
      </c>
      <c r="O27" s="93">
        <f t="shared" ca="1" si="6"/>
        <v>1</v>
      </c>
      <c r="P27" s="83">
        <v>6</v>
      </c>
      <c r="Q27" s="83">
        <v>2</v>
      </c>
      <c r="R27" s="86">
        <v>0</v>
      </c>
      <c r="S27" s="86">
        <v>0</v>
      </c>
      <c r="T27" s="86">
        <v>0</v>
      </c>
      <c r="U27" s="86">
        <v>0</v>
      </c>
      <c r="V27" s="86">
        <v>0</v>
      </c>
      <c r="W27" s="86">
        <v>0</v>
      </c>
      <c r="X27" s="86">
        <v>1</v>
      </c>
      <c r="Y27" s="86">
        <v>0</v>
      </c>
      <c r="Z27" s="86">
        <v>0</v>
      </c>
      <c r="AA27" s="86">
        <v>0</v>
      </c>
      <c r="AB27" s="86">
        <v>0</v>
      </c>
      <c r="AC27" s="86">
        <v>0</v>
      </c>
      <c r="AD27" s="86">
        <f ca="1">SUMIFS('Tổng Đơn'!$F:$F,'Tổng Đơn'!$B:$B,$C27)</f>
        <v>0</v>
      </c>
      <c r="AE27" s="86">
        <v>0</v>
      </c>
      <c r="AF27" s="86">
        <v>0</v>
      </c>
      <c r="AG27" s="86">
        <v>0</v>
      </c>
      <c r="AH27" s="86">
        <v>0</v>
      </c>
      <c r="AI27" s="86">
        <v>0</v>
      </c>
      <c r="AJ27" s="86">
        <v>0</v>
      </c>
      <c r="AK27" s="86">
        <v>0</v>
      </c>
      <c r="AL27" s="86">
        <v>0</v>
      </c>
      <c r="AM27" s="86">
        <v>0</v>
      </c>
      <c r="AN27" s="86">
        <v>0</v>
      </c>
      <c r="AO27" s="86">
        <v>0</v>
      </c>
      <c r="AP27" s="86">
        <v>0</v>
      </c>
      <c r="AQ27" s="86">
        <v>0</v>
      </c>
      <c r="AR27" s="86">
        <v>0</v>
      </c>
      <c r="AS27" s="86">
        <v>0</v>
      </c>
      <c r="AT27" s="86">
        <v>0</v>
      </c>
      <c r="AU27" s="86">
        <v>0</v>
      </c>
      <c r="AV27" s="86">
        <v>0</v>
      </c>
      <c r="AX27" s="84">
        <f t="shared" si="7"/>
        <v>0</v>
      </c>
    </row>
    <row r="28" spans="1:50" ht="18.75" x14ac:dyDescent="0.25">
      <c r="A28" s="84">
        <f t="shared" ca="1" si="1"/>
        <v>193.89205700572197</v>
      </c>
      <c r="B28" s="6">
        <v>24</v>
      </c>
      <c r="C28" s="86" t="s">
        <v>179</v>
      </c>
      <c r="D28" s="94">
        <v>63</v>
      </c>
      <c r="E28" s="6">
        <v>0.5</v>
      </c>
      <c r="F28" s="6">
        <v>30</v>
      </c>
      <c r="G28" s="97">
        <f t="shared" si="2"/>
        <v>31.5</v>
      </c>
      <c r="H28" s="100">
        <f t="shared" si="19"/>
        <v>945</v>
      </c>
      <c r="I28" s="90">
        <f t="shared" si="3"/>
        <v>0.81534283428699539</v>
      </c>
      <c r="J28" s="91">
        <f t="shared" si="20"/>
        <v>32.315342834286994</v>
      </c>
      <c r="K28" s="91">
        <f t="shared" si="21"/>
        <v>969.46028502860986</v>
      </c>
      <c r="L28" s="98">
        <v>38</v>
      </c>
      <c r="M28" s="89">
        <f t="shared" si="22"/>
        <v>1140</v>
      </c>
      <c r="N28" s="89">
        <f t="shared" ca="1" si="5"/>
        <v>912</v>
      </c>
      <c r="O28" s="93">
        <f t="shared" ca="1" si="6"/>
        <v>6</v>
      </c>
      <c r="P28" s="83"/>
      <c r="Q28" s="83">
        <v>17</v>
      </c>
      <c r="R28" s="86">
        <v>0</v>
      </c>
      <c r="S28" s="86">
        <v>0</v>
      </c>
      <c r="T28" s="86">
        <v>0</v>
      </c>
      <c r="U28" s="86">
        <v>0</v>
      </c>
      <c r="V28" s="86">
        <v>5</v>
      </c>
      <c r="W28" s="86">
        <v>0</v>
      </c>
      <c r="X28" s="86">
        <v>0</v>
      </c>
      <c r="Y28" s="86">
        <v>0</v>
      </c>
      <c r="Z28" s="86">
        <v>0</v>
      </c>
      <c r="AA28" s="86">
        <v>2</v>
      </c>
      <c r="AB28" s="86">
        <v>0</v>
      </c>
      <c r="AC28" s="86">
        <v>0</v>
      </c>
      <c r="AD28" s="86">
        <f ca="1">SUMIFS('Tổng Đơn'!$F:$F,'Tổng Đơn'!$B:$B,$C28)</f>
        <v>0</v>
      </c>
      <c r="AE28" s="86">
        <v>0</v>
      </c>
      <c r="AF28" s="86">
        <v>0</v>
      </c>
      <c r="AG28" s="86">
        <v>0</v>
      </c>
      <c r="AH28" s="86">
        <v>0</v>
      </c>
      <c r="AI28" s="86">
        <v>0</v>
      </c>
      <c r="AJ28" s="86">
        <v>0</v>
      </c>
      <c r="AK28" s="86">
        <v>0</v>
      </c>
      <c r="AL28" s="86">
        <v>0</v>
      </c>
      <c r="AM28" s="86">
        <v>0</v>
      </c>
      <c r="AN28" s="86">
        <v>0</v>
      </c>
      <c r="AO28" s="86">
        <v>0</v>
      </c>
      <c r="AP28" s="86">
        <v>0</v>
      </c>
      <c r="AQ28" s="86">
        <v>0</v>
      </c>
      <c r="AR28" s="86">
        <v>0</v>
      </c>
      <c r="AS28" s="86">
        <v>0</v>
      </c>
      <c r="AT28" s="86">
        <v>0</v>
      </c>
      <c r="AU28" s="86">
        <v>0</v>
      </c>
      <c r="AV28" s="86">
        <v>0</v>
      </c>
      <c r="AX28" s="84">
        <f t="shared" si="7"/>
        <v>0</v>
      </c>
    </row>
    <row r="29" spans="1:50" ht="18.75" x14ac:dyDescent="0.25">
      <c r="A29" s="84">
        <f t="shared" ca="1" si="1"/>
        <v>2267.2034178975955</v>
      </c>
      <c r="B29" s="6">
        <v>25</v>
      </c>
      <c r="C29" s="86" t="s">
        <v>203</v>
      </c>
      <c r="D29" s="94">
        <v>85</v>
      </c>
      <c r="E29" s="6">
        <v>0.5</v>
      </c>
      <c r="F29" s="6">
        <f>50+40</f>
        <v>90</v>
      </c>
      <c r="G29" s="97">
        <f t="shared" si="2"/>
        <v>42.5</v>
      </c>
      <c r="H29" s="100">
        <f t="shared" si="19"/>
        <v>3825</v>
      </c>
      <c r="I29" s="90">
        <f t="shared" ref="I29:I30" si="23">((H29/$H$4)*$A$2)/F29</f>
        <v>1.1000657287999143</v>
      </c>
      <c r="J29" s="91">
        <f t="shared" ref="J29:J30" si="24">G29+I29</f>
        <v>43.600065728799912</v>
      </c>
      <c r="K29" s="91">
        <f t="shared" ref="K29:K30" si="25">J29*F29</f>
        <v>3924.0059155919921</v>
      </c>
      <c r="L29" s="98">
        <v>47</v>
      </c>
      <c r="M29" s="89">
        <f t="shared" ref="M29:M30" si="26">L29*F29</f>
        <v>4230</v>
      </c>
      <c r="N29" s="89">
        <f t="shared" ca="1" si="5"/>
        <v>1786</v>
      </c>
      <c r="O29" s="93">
        <f t="shared" ca="1" si="6"/>
        <v>52</v>
      </c>
      <c r="P29" s="83"/>
      <c r="Q29" s="83">
        <v>22</v>
      </c>
      <c r="R29" s="86">
        <v>0</v>
      </c>
      <c r="S29" s="86">
        <v>0</v>
      </c>
      <c r="T29" s="86">
        <v>0</v>
      </c>
      <c r="U29" s="86">
        <v>0</v>
      </c>
      <c r="V29" s="86">
        <v>3</v>
      </c>
      <c r="W29" s="86">
        <v>2</v>
      </c>
      <c r="X29" s="86">
        <v>0</v>
      </c>
      <c r="Y29" s="86">
        <v>3</v>
      </c>
      <c r="Z29" s="86">
        <v>2</v>
      </c>
      <c r="AA29" s="86">
        <v>0</v>
      </c>
      <c r="AB29" s="86">
        <v>3</v>
      </c>
      <c r="AC29" s="86">
        <v>3</v>
      </c>
      <c r="AD29" s="86">
        <f ca="1">SUMIFS('Tổng Đơn'!$F:$F,'Tổng Đơn'!$B:$B,$C29)</f>
        <v>0</v>
      </c>
      <c r="AE29" s="86">
        <v>0</v>
      </c>
      <c r="AF29" s="86">
        <v>0</v>
      </c>
      <c r="AG29" s="86">
        <v>0</v>
      </c>
      <c r="AH29" s="86">
        <v>0</v>
      </c>
      <c r="AI29" s="86">
        <v>0</v>
      </c>
      <c r="AJ29" s="86">
        <v>0</v>
      </c>
      <c r="AK29" s="86">
        <v>0</v>
      </c>
      <c r="AL29" s="86">
        <v>0</v>
      </c>
      <c r="AM29" s="86">
        <v>0</v>
      </c>
      <c r="AN29" s="86">
        <v>0</v>
      </c>
      <c r="AO29" s="86">
        <v>0</v>
      </c>
      <c r="AP29" s="86">
        <v>0</v>
      </c>
      <c r="AQ29" s="86">
        <v>0</v>
      </c>
      <c r="AR29" s="86">
        <v>0</v>
      </c>
      <c r="AS29" s="86">
        <v>0</v>
      </c>
      <c r="AT29" s="86">
        <v>0</v>
      </c>
      <c r="AU29" s="86">
        <v>0</v>
      </c>
      <c r="AV29" s="86">
        <v>0</v>
      </c>
      <c r="AX29" s="84">
        <f t="shared" si="7"/>
        <v>0</v>
      </c>
    </row>
    <row r="30" spans="1:50" ht="18.75" x14ac:dyDescent="0.25">
      <c r="A30" s="84">
        <f t="shared" ca="1" si="1"/>
        <v>535.51139553961298</v>
      </c>
      <c r="B30" s="6">
        <v>26</v>
      </c>
      <c r="C30" s="86" t="s">
        <v>206</v>
      </c>
      <c r="D30" s="94">
        <v>87</v>
      </c>
      <c r="E30" s="6">
        <v>0.5</v>
      </c>
      <c r="F30" s="6">
        <v>20</v>
      </c>
      <c r="G30" s="97">
        <f>D30/2</f>
        <v>43.5</v>
      </c>
      <c r="H30" s="100">
        <f t="shared" si="19"/>
        <v>870</v>
      </c>
      <c r="I30" s="90">
        <f t="shared" si="23"/>
        <v>1.125949628301089</v>
      </c>
      <c r="J30" s="91">
        <f t="shared" si="24"/>
        <v>44.625949628301086</v>
      </c>
      <c r="K30" s="91">
        <f t="shared" si="25"/>
        <v>892.51899256602178</v>
      </c>
      <c r="L30" s="98">
        <v>50</v>
      </c>
      <c r="M30" s="89">
        <f t="shared" si="26"/>
        <v>1000</v>
      </c>
      <c r="N30" s="89">
        <f t="shared" ca="1" si="5"/>
        <v>400</v>
      </c>
      <c r="O30" s="93">
        <f t="shared" ca="1" si="6"/>
        <v>12</v>
      </c>
      <c r="P30" s="83"/>
      <c r="Q30" s="83">
        <v>4</v>
      </c>
      <c r="R30" s="86">
        <v>2</v>
      </c>
      <c r="S30" s="86">
        <v>0</v>
      </c>
      <c r="T30" s="86">
        <v>0</v>
      </c>
      <c r="U30" s="86">
        <v>1</v>
      </c>
      <c r="V30" s="86">
        <v>1</v>
      </c>
      <c r="W30" s="86">
        <v>0</v>
      </c>
      <c r="X30" s="86">
        <v>0</v>
      </c>
      <c r="Y30" s="86">
        <v>0</v>
      </c>
      <c r="Z30" s="86">
        <v>0</v>
      </c>
      <c r="AA30" s="86">
        <v>0</v>
      </c>
      <c r="AB30" s="86">
        <v>0</v>
      </c>
      <c r="AC30" s="86">
        <v>0</v>
      </c>
      <c r="AD30" s="86">
        <f ca="1">SUMIFS('Tổng Đơn'!$F:$F,'Tổng Đơn'!$B:$B,$C30)</f>
        <v>0</v>
      </c>
      <c r="AE30" s="86">
        <v>0</v>
      </c>
      <c r="AF30" s="86">
        <v>0</v>
      </c>
      <c r="AG30" s="86">
        <v>0</v>
      </c>
      <c r="AH30" s="86">
        <v>0</v>
      </c>
      <c r="AI30" s="86">
        <v>0</v>
      </c>
      <c r="AJ30" s="86">
        <v>0</v>
      </c>
      <c r="AK30" s="86">
        <v>0</v>
      </c>
      <c r="AL30" s="86">
        <v>0</v>
      </c>
      <c r="AM30" s="86">
        <v>0</v>
      </c>
      <c r="AN30" s="86">
        <v>0</v>
      </c>
      <c r="AO30" s="86">
        <v>0</v>
      </c>
      <c r="AP30" s="86">
        <v>0</v>
      </c>
      <c r="AQ30" s="86">
        <v>0</v>
      </c>
      <c r="AR30" s="86">
        <v>0</v>
      </c>
      <c r="AS30" s="86">
        <v>0</v>
      </c>
      <c r="AT30" s="86">
        <v>0</v>
      </c>
      <c r="AU30" s="86">
        <v>0</v>
      </c>
      <c r="AV30" s="86">
        <v>0</v>
      </c>
      <c r="AX30" s="84">
        <f t="shared" si="7"/>
        <v>0</v>
      </c>
    </row>
    <row r="31" spans="1:50" ht="18.75" x14ac:dyDescent="0.25">
      <c r="A31" s="84">
        <f t="shared" si="1"/>
        <v>0</v>
      </c>
      <c r="B31" s="6">
        <v>27</v>
      </c>
      <c r="C31" s="86" t="s">
        <v>207</v>
      </c>
      <c r="D31" s="94">
        <v>143</v>
      </c>
      <c r="E31" s="6">
        <v>0.5</v>
      </c>
      <c r="F31" s="6"/>
      <c r="G31" s="97">
        <f t="shared" ref="G31:G32" si="27">D31/2</f>
        <v>71.5</v>
      </c>
      <c r="H31" s="100"/>
      <c r="I31" s="90"/>
      <c r="J31" s="91"/>
      <c r="K31" s="91"/>
      <c r="L31" s="98">
        <v>80</v>
      </c>
      <c r="M31" s="89"/>
      <c r="N31" s="89"/>
      <c r="O31" s="93">
        <f t="shared" si="6"/>
        <v>0</v>
      </c>
      <c r="P31" s="83"/>
      <c r="Q31" s="83">
        <v>0</v>
      </c>
      <c r="R31" s="86">
        <v>0</v>
      </c>
      <c r="S31" s="86">
        <v>0</v>
      </c>
      <c r="T31" s="86">
        <v>0</v>
      </c>
      <c r="U31" s="86">
        <v>0</v>
      </c>
      <c r="V31" s="86">
        <v>0</v>
      </c>
      <c r="W31" s="86">
        <v>0</v>
      </c>
      <c r="X31" s="86">
        <v>0</v>
      </c>
      <c r="Y31" s="86">
        <v>0</v>
      </c>
      <c r="Z31" s="86">
        <v>0</v>
      </c>
      <c r="AA31" s="86">
        <v>0</v>
      </c>
      <c r="AB31" s="86">
        <v>0</v>
      </c>
      <c r="AC31" s="86">
        <v>0</v>
      </c>
      <c r="AD31" s="86">
        <f>SUMIFS('Tổng Đơn'!$F:$F,'Tổng Đơn'!$B:$B,$C31)</f>
        <v>0</v>
      </c>
      <c r="AE31" s="99">
        <v>0</v>
      </c>
      <c r="AF31" s="99">
        <v>0</v>
      </c>
      <c r="AG31" s="99">
        <v>0</v>
      </c>
      <c r="AH31" s="99">
        <v>0</v>
      </c>
      <c r="AI31" s="99">
        <v>0</v>
      </c>
      <c r="AJ31" s="99">
        <v>0</v>
      </c>
      <c r="AK31" s="99">
        <v>0</v>
      </c>
      <c r="AL31" s="99">
        <v>0</v>
      </c>
      <c r="AM31" s="99">
        <v>0</v>
      </c>
      <c r="AN31" s="99">
        <v>0</v>
      </c>
      <c r="AO31" s="99">
        <v>0</v>
      </c>
      <c r="AP31" s="99">
        <v>0</v>
      </c>
      <c r="AQ31" s="99">
        <v>0</v>
      </c>
      <c r="AR31" s="99">
        <v>0</v>
      </c>
      <c r="AS31" s="99">
        <v>0</v>
      </c>
      <c r="AT31" s="99">
        <v>0</v>
      </c>
      <c r="AU31" s="99">
        <v>0</v>
      </c>
      <c r="AV31" s="99">
        <v>0</v>
      </c>
      <c r="AX31" s="84">
        <f t="shared" si="7"/>
        <v>0</v>
      </c>
    </row>
    <row r="32" spans="1:50" ht="18.75" x14ac:dyDescent="0.25">
      <c r="A32" s="84">
        <f t="shared" si="1"/>
        <v>0</v>
      </c>
      <c r="B32" s="6">
        <v>28</v>
      </c>
      <c r="C32" s="86" t="s">
        <v>208</v>
      </c>
      <c r="D32" s="94">
        <v>143</v>
      </c>
      <c r="E32" s="6">
        <v>0.5</v>
      </c>
      <c r="F32" s="6"/>
      <c r="G32" s="97">
        <f t="shared" si="27"/>
        <v>71.5</v>
      </c>
      <c r="H32" s="100"/>
      <c r="I32" s="90"/>
      <c r="J32" s="91"/>
      <c r="K32" s="91"/>
      <c r="L32" s="98">
        <v>80</v>
      </c>
      <c r="M32" s="89"/>
      <c r="N32" s="89"/>
      <c r="O32" s="93">
        <f t="shared" si="6"/>
        <v>0</v>
      </c>
      <c r="P32" s="83"/>
      <c r="Q32" s="83">
        <v>0</v>
      </c>
      <c r="R32" s="86">
        <v>0</v>
      </c>
      <c r="S32" s="86">
        <v>0</v>
      </c>
      <c r="T32" s="86">
        <v>0</v>
      </c>
      <c r="U32" s="86">
        <v>0</v>
      </c>
      <c r="V32" s="86">
        <v>0</v>
      </c>
      <c r="W32" s="86">
        <v>0</v>
      </c>
      <c r="X32" s="86">
        <v>0</v>
      </c>
      <c r="Y32" s="86">
        <v>0</v>
      </c>
      <c r="Z32" s="86">
        <v>0</v>
      </c>
      <c r="AA32" s="86">
        <v>0</v>
      </c>
      <c r="AB32" s="86">
        <v>0</v>
      </c>
      <c r="AC32" s="86">
        <v>0</v>
      </c>
      <c r="AD32" s="86">
        <f>SUMIFS('Tổng Đơn'!$F:$F,'Tổng Đơn'!$B:$B,$C32)</f>
        <v>0</v>
      </c>
      <c r="AE32" s="99">
        <v>0</v>
      </c>
      <c r="AF32" s="99">
        <v>0</v>
      </c>
      <c r="AG32" s="99">
        <v>0</v>
      </c>
      <c r="AH32" s="99">
        <v>0</v>
      </c>
      <c r="AI32" s="99">
        <v>0</v>
      </c>
      <c r="AJ32" s="99">
        <v>0</v>
      </c>
      <c r="AK32" s="99">
        <v>0</v>
      </c>
      <c r="AL32" s="99">
        <v>0</v>
      </c>
      <c r="AM32" s="99">
        <v>0</v>
      </c>
      <c r="AN32" s="99">
        <v>0</v>
      </c>
      <c r="AO32" s="99">
        <v>0</v>
      </c>
      <c r="AP32" s="99">
        <v>0</v>
      </c>
      <c r="AQ32" s="99">
        <v>0</v>
      </c>
      <c r="AR32" s="99">
        <v>0</v>
      </c>
      <c r="AS32" s="99">
        <v>0</v>
      </c>
      <c r="AT32" s="99">
        <v>0</v>
      </c>
      <c r="AU32" s="99">
        <v>0</v>
      </c>
      <c r="AV32" s="99">
        <v>0</v>
      </c>
      <c r="AX32" s="84">
        <f t="shared" si="7"/>
        <v>0</v>
      </c>
    </row>
  </sheetData>
  <autoFilter ref="B4:AW32"/>
  <mergeCells count="1">
    <mergeCell ref="B1:M1"/>
  </mergeCells>
  <conditionalFormatting sqref="C6:C19">
    <cfRule type="expression" dxfId="489" priority="19">
      <formula>($O6/$O6)&lt;=1/4</formula>
    </cfRule>
  </conditionalFormatting>
  <conditionalFormatting sqref="C20">
    <cfRule type="expression" dxfId="488" priority="18">
      <formula>($O20/$O20)&lt;=1/4</formula>
    </cfRule>
  </conditionalFormatting>
  <conditionalFormatting sqref="C21">
    <cfRule type="expression" dxfId="487" priority="16">
      <formula>($O21/$O21)&lt;=1/4</formula>
    </cfRule>
  </conditionalFormatting>
  <conditionalFormatting sqref="C22">
    <cfRule type="expression" dxfId="486" priority="14">
      <formula>($O22/$O22)&lt;=1/4</formula>
    </cfRule>
  </conditionalFormatting>
  <conditionalFormatting sqref="C23">
    <cfRule type="expression" dxfId="485" priority="12">
      <formula>($O23/$O23)&lt;=1/4</formula>
    </cfRule>
  </conditionalFormatting>
  <conditionalFormatting sqref="C24:C25">
    <cfRule type="expression" dxfId="484" priority="10">
      <formula>($O24/$O24)&lt;=1/4</formula>
    </cfRule>
  </conditionalFormatting>
  <conditionalFormatting sqref="C26">
    <cfRule type="expression" dxfId="483" priority="8">
      <formula>($O26/$O26)&lt;=1/4</formula>
    </cfRule>
  </conditionalFormatting>
  <conditionalFormatting sqref="C27:C28">
    <cfRule type="expression" dxfId="482" priority="6">
      <formula>($O27/$O27)&lt;=1/4</formula>
    </cfRule>
  </conditionalFormatting>
  <conditionalFormatting sqref="C5:C28">
    <cfRule type="expression" dxfId="481" priority="20">
      <formula>($O5/$F5)&lt;=1/4</formula>
    </cfRule>
  </conditionalFormatting>
  <conditionalFormatting sqref="C29">
    <cfRule type="expression" dxfId="480" priority="3">
      <formula>($O29/$O29)&lt;=1/4</formula>
    </cfRule>
  </conditionalFormatting>
  <conditionalFormatting sqref="C29">
    <cfRule type="expression" dxfId="479" priority="4">
      <formula>($O29/$F29)&lt;=1/4</formula>
    </cfRule>
  </conditionalFormatting>
  <conditionalFormatting sqref="C30:C32">
    <cfRule type="expression" dxfId="478" priority="1">
      <formula>($O30/$O30)&lt;=1/4</formula>
    </cfRule>
  </conditionalFormatting>
  <conditionalFormatting sqref="C30:C32">
    <cfRule type="expression" dxfId="477" priority="2">
      <formula>($O30/$F30)&lt;=1/4</formula>
    </cfRule>
  </conditionalFormatting>
  <pageMargins left="0.7" right="0.7" top="0.75" bottom="0.75" header="0.3" footer="0.3"/>
  <pageSetup orientation="portrait" r:id="rId1"/>
  <legacy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rgb="FF7030A0"/>
  </sheetPr>
  <dimension ref="A1:Q29"/>
  <sheetViews>
    <sheetView zoomScaleNormal="100" workbookViewId="0">
      <selection activeCell="H10" sqref="H10"/>
    </sheetView>
  </sheetViews>
  <sheetFormatPr defaultRowHeight="15" x14ac:dyDescent="0.25"/>
  <cols>
    <col min="1" max="1" width="19" customWidth="1"/>
    <col min="3" max="3" width="21.140625" bestFit="1" customWidth="1"/>
    <col min="4" max="4" width="8.7109375" bestFit="1" customWidth="1"/>
    <col min="7" max="7" width="25.85546875" customWidth="1"/>
    <col min="8" max="8" width="18.28515625" customWidth="1"/>
    <col min="9" max="9" width="18.7109375" bestFit="1" customWidth="1"/>
    <col min="10" max="10" width="48.42578125" bestFit="1" customWidth="1"/>
    <col min="12" max="12" width="14.85546875" bestFit="1" customWidth="1"/>
  </cols>
  <sheetData>
    <row r="1" spans="1:17" ht="27.75" customHeight="1" x14ac:dyDescent="0.25">
      <c r="B1" s="51">
        <f>SUBTOTAL(9,B5:B182)</f>
        <v>5696</v>
      </c>
      <c r="C1" s="51"/>
      <c r="D1" s="186">
        <f>SUBTOTAL(9,D2:D182)</f>
        <v>44028</v>
      </c>
      <c r="G1" s="106" t="s">
        <v>153</v>
      </c>
      <c r="H1" s="156">
        <f>60000+6217+H4+H5</f>
        <v>146017</v>
      </c>
      <c r="I1" s="107">
        <f>H1-H2-H3</f>
        <v>-177101</v>
      </c>
      <c r="J1" s="114" t="s">
        <v>151</v>
      </c>
    </row>
    <row r="2" spans="1:17" ht="27.75" customHeight="1" x14ac:dyDescent="0.25">
      <c r="G2" s="117" t="s">
        <v>150</v>
      </c>
      <c r="H2" s="108">
        <f>D1</f>
        <v>44028</v>
      </c>
      <c r="I2" s="109">
        <v>-7745</v>
      </c>
      <c r="J2" s="109" t="s">
        <v>154</v>
      </c>
    </row>
    <row r="3" spans="1:17" ht="27.75" customHeight="1" x14ac:dyDescent="0.25">
      <c r="G3" s="110" t="s">
        <v>152</v>
      </c>
      <c r="H3" s="122">
        <f>INT('Quốc Nhân'!K4+'La Cusina'!K4+TVP!J4+Gà!K4+Kitkool!K4)</f>
        <v>279090</v>
      </c>
      <c r="I3" s="111">
        <f>I1+I2</f>
        <v>-184846</v>
      </c>
      <c r="J3" s="115" t="s">
        <v>149</v>
      </c>
    </row>
    <row r="4" spans="1:17" ht="27.75" customHeight="1" x14ac:dyDescent="0.25">
      <c r="A4" s="137" t="s">
        <v>254</v>
      </c>
      <c r="B4">
        <v>3500</v>
      </c>
      <c r="G4" s="112" t="s">
        <v>258</v>
      </c>
      <c r="H4" s="152">
        <f>35000+30000</f>
        <v>65000</v>
      </c>
      <c r="I4" s="113">
        <f ca="1">INT('Quốc Nhân'!K4+'La Cusina'!K4+TVP!J4+Gà!K4+Kitkool!K4-('Quốc Nhân'!A4+'La Cusina'!A4+TVP!A4+Gà!A4+Kitkool!A4))</f>
        <v>210480</v>
      </c>
      <c r="J4" s="116" t="s">
        <v>159</v>
      </c>
    </row>
    <row r="5" spans="1:17" ht="27.75" customHeight="1" x14ac:dyDescent="0.25">
      <c r="A5" s="137" t="s">
        <v>230</v>
      </c>
      <c r="B5">
        <v>200</v>
      </c>
      <c r="G5" s="112" t="s">
        <v>199</v>
      </c>
      <c r="H5" s="152">
        <f>7400+5000+2400</f>
        <v>14800</v>
      </c>
      <c r="I5" s="118">
        <f ca="1">I4+I3</f>
        <v>25634</v>
      </c>
      <c r="J5" s="119" t="s">
        <v>160</v>
      </c>
      <c r="L5" s="120"/>
    </row>
    <row r="6" spans="1:17" x14ac:dyDescent="0.25">
      <c r="A6" s="137" t="s">
        <v>231</v>
      </c>
      <c r="B6">
        <v>1162</v>
      </c>
      <c r="C6" t="s">
        <v>128</v>
      </c>
      <c r="D6">
        <v>400</v>
      </c>
      <c r="E6" t="s">
        <v>129</v>
      </c>
      <c r="H6" s="155"/>
      <c r="I6" s="120"/>
      <c r="J6" s="120"/>
      <c r="K6" s="120"/>
      <c r="L6" s="200"/>
      <c r="M6" s="14"/>
      <c r="N6" s="14"/>
      <c r="O6" s="14"/>
      <c r="P6" s="14"/>
      <c r="Q6" s="14"/>
    </row>
    <row r="7" spans="1:17" x14ac:dyDescent="0.25">
      <c r="A7" s="137" t="s">
        <v>232</v>
      </c>
      <c r="B7">
        <v>1000</v>
      </c>
      <c r="C7" t="s">
        <v>130</v>
      </c>
      <c r="D7">
        <v>1000</v>
      </c>
      <c r="E7" t="s">
        <v>129</v>
      </c>
      <c r="I7" s="120"/>
      <c r="J7" s="120"/>
      <c r="L7" s="14"/>
      <c r="M7" s="14"/>
      <c r="N7" s="14"/>
      <c r="O7" s="14"/>
      <c r="P7" s="14"/>
      <c r="Q7" s="14"/>
    </row>
    <row r="8" spans="1:17" x14ac:dyDescent="0.25">
      <c r="A8" t="s">
        <v>257</v>
      </c>
      <c r="B8">
        <v>250</v>
      </c>
      <c r="C8" t="s">
        <v>131</v>
      </c>
      <c r="D8">
        <v>80</v>
      </c>
      <c r="E8" t="s">
        <v>129</v>
      </c>
      <c r="H8" s="120"/>
      <c r="I8" s="120"/>
      <c r="J8" s="120"/>
      <c r="L8" s="14"/>
      <c r="M8" s="14"/>
      <c r="N8" s="14"/>
      <c r="O8" s="14"/>
      <c r="P8" s="14"/>
      <c r="Q8" s="14"/>
    </row>
    <row r="9" spans="1:17" x14ac:dyDescent="0.25">
      <c r="A9" t="s">
        <v>260</v>
      </c>
      <c r="B9">
        <v>400</v>
      </c>
      <c r="C9" t="s">
        <v>132</v>
      </c>
      <c r="D9">
        <v>145</v>
      </c>
      <c r="E9" t="s">
        <v>133</v>
      </c>
      <c r="G9" s="120"/>
      <c r="H9" s="120"/>
      <c r="I9" s="120"/>
      <c r="J9" s="120"/>
      <c r="M9" s="14"/>
    </row>
    <row r="10" spans="1:17" x14ac:dyDescent="0.25">
      <c r="A10" t="s">
        <v>251</v>
      </c>
      <c r="B10">
        <v>300</v>
      </c>
      <c r="C10" t="s">
        <v>134</v>
      </c>
      <c r="D10">
        <v>800</v>
      </c>
      <c r="E10" t="s">
        <v>133</v>
      </c>
      <c r="I10" s="120"/>
      <c r="J10" s="120"/>
      <c r="M10" s="14"/>
    </row>
    <row r="11" spans="1:17" x14ac:dyDescent="0.25">
      <c r="A11" t="s">
        <v>252</v>
      </c>
      <c r="B11">
        <f>45+56</f>
        <v>101</v>
      </c>
      <c r="C11" t="s">
        <v>135</v>
      </c>
      <c r="D11">
        <v>1500</v>
      </c>
      <c r="E11" t="s">
        <v>133</v>
      </c>
      <c r="I11" s="120"/>
      <c r="J11" s="120"/>
      <c r="M11" s="14"/>
    </row>
    <row r="12" spans="1:17" x14ac:dyDescent="0.25">
      <c r="A12" t="s">
        <v>253</v>
      </c>
      <c r="B12">
        <v>119</v>
      </c>
      <c r="C12" t="s">
        <v>155</v>
      </c>
      <c r="D12">
        <v>160</v>
      </c>
      <c r="E12" t="s">
        <v>133</v>
      </c>
      <c r="I12" s="120"/>
      <c r="J12" s="120"/>
    </row>
    <row r="13" spans="1:17" x14ac:dyDescent="0.25">
      <c r="A13" t="s">
        <v>255</v>
      </c>
      <c r="B13">
        <v>140</v>
      </c>
      <c r="C13" t="s">
        <v>170</v>
      </c>
      <c r="D13">
        <v>42</v>
      </c>
      <c r="E13" t="s">
        <v>133</v>
      </c>
      <c r="J13" s="120"/>
    </row>
    <row r="14" spans="1:17" x14ac:dyDescent="0.25">
      <c r="A14" t="s">
        <v>256</v>
      </c>
      <c r="B14">
        <v>40</v>
      </c>
      <c r="C14" s="137" t="s">
        <v>182</v>
      </c>
      <c r="D14" s="137">
        <v>7500</v>
      </c>
      <c r="E14" s="137" t="s">
        <v>133</v>
      </c>
      <c r="I14" s="120"/>
      <c r="J14" s="120"/>
    </row>
    <row r="15" spans="1:17" x14ac:dyDescent="0.25">
      <c r="A15" t="s">
        <v>261</v>
      </c>
      <c r="B15">
        <v>65</v>
      </c>
      <c r="C15" t="s">
        <v>183</v>
      </c>
      <c r="D15">
        <v>160</v>
      </c>
      <c r="E15" t="s">
        <v>133</v>
      </c>
      <c r="H15" s="120"/>
      <c r="I15" s="120"/>
      <c r="J15" s="120"/>
    </row>
    <row r="16" spans="1:17" x14ac:dyDescent="0.25">
      <c r="A16" s="189" t="s">
        <v>262</v>
      </c>
      <c r="B16">
        <v>70</v>
      </c>
      <c r="C16" t="s">
        <v>188</v>
      </c>
      <c r="D16">
        <v>50</v>
      </c>
      <c r="E16" t="s">
        <v>133</v>
      </c>
      <c r="I16" s="120"/>
      <c r="J16" s="120"/>
    </row>
    <row r="17" spans="1:10" x14ac:dyDescent="0.25">
      <c r="A17" t="s">
        <v>263</v>
      </c>
      <c r="B17">
        <v>59</v>
      </c>
      <c r="C17" t="s">
        <v>170</v>
      </c>
      <c r="D17">
        <f>45+65+130+25+60+25+78+84+65</f>
        <v>577</v>
      </c>
      <c r="E17" t="s">
        <v>133</v>
      </c>
      <c r="J17" s="120"/>
    </row>
    <row r="18" spans="1:10" x14ac:dyDescent="0.25">
      <c r="A18" t="s">
        <v>264</v>
      </c>
      <c r="B18">
        <v>920</v>
      </c>
      <c r="C18" s="137" t="s">
        <v>212</v>
      </c>
      <c r="D18" s="137">
        <v>15300</v>
      </c>
      <c r="E18" t="s">
        <v>202</v>
      </c>
      <c r="J18" s="120"/>
    </row>
    <row r="19" spans="1:10" x14ac:dyDescent="0.25">
      <c r="A19" t="s">
        <v>265</v>
      </c>
      <c r="B19">
        <v>120</v>
      </c>
      <c r="C19" t="s">
        <v>222</v>
      </c>
      <c r="D19">
        <v>50</v>
      </c>
      <c r="E19" t="s">
        <v>133</v>
      </c>
    </row>
    <row r="20" spans="1:10" x14ac:dyDescent="0.25">
      <c r="A20" t="s">
        <v>266</v>
      </c>
      <c r="B20">
        <v>69</v>
      </c>
      <c r="C20" t="s">
        <v>209</v>
      </c>
      <c r="D20">
        <f>774+503-13</f>
        <v>1264</v>
      </c>
    </row>
    <row r="21" spans="1:10" x14ac:dyDescent="0.25">
      <c r="A21" t="s">
        <v>267</v>
      </c>
      <c r="B21">
        <v>110</v>
      </c>
      <c r="C21" s="137" t="s">
        <v>212</v>
      </c>
      <c r="D21">
        <v>15000</v>
      </c>
    </row>
    <row r="22" spans="1:10" x14ac:dyDescent="0.25">
      <c r="A22" t="s">
        <v>268</v>
      </c>
      <c r="B22">
        <v>69</v>
      </c>
    </row>
    <row r="23" spans="1:10" x14ac:dyDescent="0.25">
      <c r="A23" t="s">
        <v>269</v>
      </c>
      <c r="B23">
        <v>54</v>
      </c>
    </row>
    <row r="24" spans="1:10" x14ac:dyDescent="0.25">
      <c r="A24" t="s">
        <v>270</v>
      </c>
      <c r="B24">
        <v>65</v>
      </c>
    </row>
    <row r="25" spans="1:10" x14ac:dyDescent="0.25">
      <c r="A25" t="s">
        <v>271</v>
      </c>
      <c r="B25">
        <f>54+66</f>
        <v>120</v>
      </c>
    </row>
    <row r="26" spans="1:10" x14ac:dyDescent="0.25">
      <c r="A26" t="s">
        <v>273</v>
      </c>
      <c r="B26">
        <v>65</v>
      </c>
    </row>
    <row r="27" spans="1:10" x14ac:dyDescent="0.25">
      <c r="A27" t="s">
        <v>274</v>
      </c>
      <c r="B27">
        <v>66</v>
      </c>
    </row>
    <row r="28" spans="1:10" x14ac:dyDescent="0.25">
      <c r="A28" t="s">
        <v>272</v>
      </c>
      <c r="B28">
        <v>66</v>
      </c>
    </row>
    <row r="29" spans="1:10" x14ac:dyDescent="0.25">
      <c r="A29" t="s">
        <v>275</v>
      </c>
      <c r="B29">
        <v>66</v>
      </c>
    </row>
  </sheetData>
  <autoFilter ref="A6:E29"/>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rgb="FFFFC000"/>
  </sheetPr>
  <dimension ref="A1:R241"/>
  <sheetViews>
    <sheetView zoomScale="80" zoomScaleNormal="80" workbookViewId="0">
      <selection activeCell="Q2" sqref="Q2"/>
    </sheetView>
  </sheetViews>
  <sheetFormatPr defaultRowHeight="15.75" x14ac:dyDescent="0.25"/>
  <cols>
    <col min="1" max="1" width="9.140625" style="43"/>
    <col min="2" max="2" width="41.85546875" style="42" customWidth="1"/>
    <col min="3" max="3" width="10.140625" style="42" bestFit="1" customWidth="1"/>
    <col min="4" max="4" width="11.5703125" style="42" customWidth="1"/>
    <col min="5" max="6" width="10" style="42" customWidth="1"/>
    <col min="7" max="7" width="6" style="42" customWidth="1"/>
    <col min="8" max="10" width="6.85546875" style="42" customWidth="1"/>
    <col min="11" max="11" width="7.7109375" style="42" customWidth="1"/>
    <col min="12" max="12" width="9.85546875" style="43" customWidth="1"/>
    <col min="13" max="13" width="10.42578125" style="43" hidden="1" customWidth="1"/>
    <col min="14" max="14" width="41.28515625" style="43" customWidth="1"/>
    <col min="15" max="15" width="16.42578125" style="43" customWidth="1"/>
    <col min="16" max="16" width="11.7109375" style="43" customWidth="1"/>
    <col min="17" max="17" width="11.85546875" style="42" customWidth="1"/>
    <col min="18" max="18" width="18.7109375" style="42" customWidth="1"/>
    <col min="19" max="16384" width="9.140625" style="42"/>
  </cols>
  <sheetData>
    <row r="1" spans="1:18" s="62" customFormat="1" ht="22.5" x14ac:dyDescent="0.25">
      <c r="A1" s="55" t="s">
        <v>106</v>
      </c>
      <c r="B1" s="55" t="s">
        <v>17</v>
      </c>
      <c r="C1" s="55" t="s">
        <v>107</v>
      </c>
      <c r="D1" s="55" t="s">
        <v>117</v>
      </c>
      <c r="E1" s="141"/>
      <c r="F1" s="141"/>
      <c r="G1" s="141"/>
      <c r="H1" s="141"/>
      <c r="I1" s="141"/>
      <c r="J1" s="141"/>
      <c r="K1" s="141"/>
      <c r="L1" s="243" t="s">
        <v>106</v>
      </c>
      <c r="M1" s="243" t="s">
        <v>107</v>
      </c>
      <c r="N1" s="243" t="s">
        <v>17</v>
      </c>
      <c r="O1" s="243" t="s">
        <v>117</v>
      </c>
      <c r="P1" s="157" t="s">
        <v>107</v>
      </c>
      <c r="Q1" s="142" t="s">
        <v>187</v>
      </c>
      <c r="R1" s="143">
        <f>SUBTOTAL(9,R2:R31)</f>
        <v>0</v>
      </c>
    </row>
    <row r="2" spans="1:18" s="148" customFormat="1" ht="18.75" x14ac:dyDescent="0.3">
      <c r="A2" s="144" t="s">
        <v>213</v>
      </c>
      <c r="B2" s="145" t="s">
        <v>219</v>
      </c>
      <c r="C2" s="144" t="s">
        <v>216</v>
      </c>
      <c r="D2" s="146">
        <v>60000</v>
      </c>
      <c r="E2" s="147"/>
      <c r="F2" s="147"/>
      <c r="G2" s="147"/>
      <c r="H2" s="147"/>
      <c r="I2" s="147"/>
      <c r="J2" s="147"/>
      <c r="K2" s="147"/>
      <c r="L2" s="240">
        <v>1</v>
      </c>
      <c r="M2" s="240" t="s">
        <v>108</v>
      </c>
      <c r="N2" s="244" t="s">
        <v>295</v>
      </c>
      <c r="O2" s="245">
        <v>46000</v>
      </c>
      <c r="P2" s="158">
        <f>IF($N2="","",LOOKUP(2,1/($N2=$B$2:$B$100),$A$2:$A$100))</f>
        <v>1</v>
      </c>
      <c r="Q2" s="149"/>
      <c r="R2" s="150">
        <f>O2*Q2</f>
        <v>0</v>
      </c>
    </row>
    <row r="3" spans="1:18" s="148" customFormat="1" ht="18.75" x14ac:dyDescent="0.3">
      <c r="A3" s="144" t="s">
        <v>214</v>
      </c>
      <c r="B3" s="145" t="s">
        <v>220</v>
      </c>
      <c r="C3" s="144" t="s">
        <v>217</v>
      </c>
      <c r="D3" s="146">
        <v>70000</v>
      </c>
      <c r="E3" s="147"/>
      <c r="F3" s="147"/>
      <c r="G3" s="147"/>
      <c r="H3" s="147"/>
      <c r="I3" s="147"/>
      <c r="J3" s="147"/>
      <c r="K3" s="147"/>
      <c r="L3" s="240">
        <v>2</v>
      </c>
      <c r="M3" s="240" t="s">
        <v>109</v>
      </c>
      <c r="N3" s="244" t="s">
        <v>1</v>
      </c>
      <c r="O3" s="242">
        <v>25000</v>
      </c>
      <c r="P3" s="158">
        <f t="shared" ref="P3:P33" si="0">IF($N3="","",LOOKUP(2,1/($N3=$B$2:$B$100),$A$2:$A$100))</f>
        <v>2</v>
      </c>
      <c r="Q3" s="149"/>
      <c r="R3" s="150">
        <f t="shared" ref="R3:R31" si="1">O3*Q3</f>
        <v>0</v>
      </c>
    </row>
    <row r="4" spans="1:18" s="148" customFormat="1" ht="18.75" x14ac:dyDescent="0.3">
      <c r="A4" s="144" t="s">
        <v>215</v>
      </c>
      <c r="B4" s="145" t="s">
        <v>221</v>
      </c>
      <c r="C4" s="144" t="s">
        <v>218</v>
      </c>
      <c r="D4" s="146">
        <v>45000</v>
      </c>
      <c r="E4" s="147"/>
      <c r="F4" s="147"/>
      <c r="G4" s="147"/>
      <c r="H4" s="147"/>
      <c r="I4" s="147"/>
      <c r="J4" s="147"/>
      <c r="K4" s="147"/>
      <c r="L4" s="240">
        <v>3</v>
      </c>
      <c r="M4" s="240" t="s">
        <v>110</v>
      </c>
      <c r="N4" s="244" t="s">
        <v>2</v>
      </c>
      <c r="O4" s="242">
        <v>28000</v>
      </c>
      <c r="P4" s="158">
        <f t="shared" si="0"/>
        <v>3</v>
      </c>
      <c r="Q4" s="149"/>
      <c r="R4" s="150">
        <f t="shared" si="1"/>
        <v>0</v>
      </c>
    </row>
    <row r="5" spans="1:18" s="148" customFormat="1" ht="18.75" x14ac:dyDescent="0.3">
      <c r="A5" s="144">
        <v>1</v>
      </c>
      <c r="B5" s="145" t="s">
        <v>295</v>
      </c>
      <c r="C5" s="144" t="s">
        <v>108</v>
      </c>
      <c r="D5" s="146">
        <v>46000</v>
      </c>
      <c r="E5" s="147"/>
      <c r="F5" s="147"/>
      <c r="G5" s="147"/>
      <c r="H5" s="147"/>
      <c r="I5" s="147"/>
      <c r="J5" s="147"/>
      <c r="K5" s="147"/>
      <c r="L5" s="240">
        <v>4</v>
      </c>
      <c r="M5" s="241" t="s">
        <v>111</v>
      </c>
      <c r="N5" s="244" t="s">
        <v>3</v>
      </c>
      <c r="O5" s="242">
        <v>30000</v>
      </c>
      <c r="P5" s="158">
        <f t="shared" si="0"/>
        <v>4</v>
      </c>
      <c r="Q5" s="149"/>
      <c r="R5" s="150">
        <f t="shared" si="1"/>
        <v>0</v>
      </c>
    </row>
    <row r="6" spans="1:18" s="148" customFormat="1" ht="18.75" x14ac:dyDescent="0.3">
      <c r="A6" s="144">
        <v>2</v>
      </c>
      <c r="B6" s="145" t="s">
        <v>1</v>
      </c>
      <c r="C6" s="144" t="s">
        <v>109</v>
      </c>
      <c r="D6" s="146">
        <v>25000</v>
      </c>
      <c r="E6" s="147"/>
      <c r="F6" s="147"/>
      <c r="G6" s="147"/>
      <c r="H6" s="147"/>
      <c r="I6" s="147"/>
      <c r="J6" s="147"/>
      <c r="K6" s="147"/>
      <c r="L6" s="240">
        <v>5</v>
      </c>
      <c r="M6" s="241" t="s">
        <v>112</v>
      </c>
      <c r="N6" s="244" t="s">
        <v>30</v>
      </c>
      <c r="O6" s="242">
        <v>38000</v>
      </c>
      <c r="P6" s="158">
        <f t="shared" si="0"/>
        <v>5</v>
      </c>
      <c r="Q6" s="149"/>
      <c r="R6" s="150">
        <f t="shared" si="1"/>
        <v>0</v>
      </c>
    </row>
    <row r="7" spans="1:18" s="148" customFormat="1" ht="18.75" x14ac:dyDescent="0.3">
      <c r="A7" s="144">
        <v>3</v>
      </c>
      <c r="B7" s="145" t="s">
        <v>2</v>
      </c>
      <c r="C7" s="144" t="s">
        <v>110</v>
      </c>
      <c r="D7" s="146">
        <v>28000</v>
      </c>
      <c r="E7" s="147"/>
      <c r="F7" s="147"/>
      <c r="G7" s="147"/>
      <c r="H7" s="147"/>
      <c r="I7" s="147"/>
      <c r="J7" s="147"/>
      <c r="K7" s="147"/>
      <c r="L7" s="240">
        <v>6</v>
      </c>
      <c r="M7" s="241" t="s">
        <v>113</v>
      </c>
      <c r="N7" s="244" t="s">
        <v>28</v>
      </c>
      <c r="O7" s="242">
        <v>42000</v>
      </c>
      <c r="P7" s="158">
        <f t="shared" si="0"/>
        <v>6</v>
      </c>
      <c r="Q7" s="149"/>
      <c r="R7" s="150">
        <f t="shared" si="1"/>
        <v>0</v>
      </c>
    </row>
    <row r="8" spans="1:18" s="148" customFormat="1" ht="18.75" x14ac:dyDescent="0.3">
      <c r="A8" s="144">
        <v>4</v>
      </c>
      <c r="B8" s="145" t="s">
        <v>3</v>
      </c>
      <c r="C8" s="144" t="s">
        <v>111</v>
      </c>
      <c r="D8" s="146">
        <v>30000</v>
      </c>
      <c r="E8" s="147"/>
      <c r="F8" s="147"/>
      <c r="G8" s="147"/>
      <c r="H8" s="147"/>
      <c r="I8" s="147"/>
      <c r="J8" s="147"/>
      <c r="K8" s="147"/>
      <c r="L8" s="240">
        <v>7</v>
      </c>
      <c r="M8" s="241" t="s">
        <v>114</v>
      </c>
      <c r="N8" s="244" t="s">
        <v>26</v>
      </c>
      <c r="O8" s="242">
        <v>34000</v>
      </c>
      <c r="P8" s="158">
        <f t="shared" si="0"/>
        <v>7</v>
      </c>
      <c r="Q8" s="149"/>
      <c r="R8" s="150">
        <f t="shared" si="1"/>
        <v>0</v>
      </c>
    </row>
    <row r="9" spans="1:18" s="148" customFormat="1" ht="18.75" x14ac:dyDescent="0.3">
      <c r="A9" s="144">
        <v>5</v>
      </c>
      <c r="B9" s="145" t="s">
        <v>30</v>
      </c>
      <c r="C9" s="144" t="s">
        <v>112</v>
      </c>
      <c r="D9" s="146">
        <v>38000</v>
      </c>
      <c r="E9" s="147"/>
      <c r="F9" s="147"/>
      <c r="G9" s="147"/>
      <c r="H9" s="147"/>
      <c r="I9" s="147"/>
      <c r="J9" s="147"/>
      <c r="K9" s="147"/>
      <c r="L9" s="240">
        <v>8</v>
      </c>
      <c r="M9" s="241" t="s">
        <v>115</v>
      </c>
      <c r="N9" s="244" t="s">
        <v>61</v>
      </c>
      <c r="O9" s="242">
        <v>35000</v>
      </c>
      <c r="P9" s="158">
        <f t="shared" si="0"/>
        <v>8</v>
      </c>
      <c r="Q9" s="149"/>
      <c r="R9" s="150">
        <f t="shared" si="1"/>
        <v>0</v>
      </c>
    </row>
    <row r="10" spans="1:18" s="148" customFormat="1" ht="18.75" x14ac:dyDescent="0.3">
      <c r="A10" s="144">
        <v>6</v>
      </c>
      <c r="B10" s="145" t="s">
        <v>28</v>
      </c>
      <c r="C10" s="144" t="s">
        <v>113</v>
      </c>
      <c r="D10" s="146">
        <v>42000</v>
      </c>
      <c r="E10" s="147"/>
      <c r="F10" s="147"/>
      <c r="G10" s="147"/>
      <c r="H10" s="147"/>
      <c r="I10" s="147"/>
      <c r="J10" s="147"/>
      <c r="K10" s="147"/>
      <c r="L10" s="240">
        <v>9</v>
      </c>
      <c r="M10" s="241" t="s">
        <v>116</v>
      </c>
      <c r="N10" s="244" t="s">
        <v>161</v>
      </c>
      <c r="O10" s="242">
        <v>45000</v>
      </c>
      <c r="P10" s="158">
        <f t="shared" si="0"/>
        <v>9</v>
      </c>
      <c r="Q10" s="149"/>
      <c r="R10" s="150">
        <f t="shared" si="1"/>
        <v>0</v>
      </c>
    </row>
    <row r="11" spans="1:18" s="148" customFormat="1" ht="18.75" x14ac:dyDescent="0.3">
      <c r="A11" s="144">
        <v>7</v>
      </c>
      <c r="B11" s="145" t="s">
        <v>26</v>
      </c>
      <c r="C11" s="144" t="s">
        <v>114</v>
      </c>
      <c r="D11" s="146">
        <v>34000</v>
      </c>
      <c r="E11" s="147"/>
      <c r="F11" s="147"/>
      <c r="G11" s="147"/>
      <c r="H11" s="147"/>
      <c r="I11" s="147"/>
      <c r="J11" s="147"/>
      <c r="K11" s="147"/>
      <c r="L11" s="240">
        <v>10</v>
      </c>
      <c r="M11" s="241" t="s">
        <v>69</v>
      </c>
      <c r="N11" s="244" t="s">
        <v>6</v>
      </c>
      <c r="O11" s="242">
        <v>50000</v>
      </c>
      <c r="P11" s="158">
        <f t="shared" si="0"/>
        <v>10</v>
      </c>
      <c r="Q11" s="149"/>
      <c r="R11" s="150">
        <f t="shared" si="1"/>
        <v>0</v>
      </c>
    </row>
    <row r="12" spans="1:18" s="148" customFormat="1" ht="18.75" x14ac:dyDescent="0.3">
      <c r="A12" s="144">
        <v>8</v>
      </c>
      <c r="B12" s="145" t="s">
        <v>61</v>
      </c>
      <c r="C12" s="144" t="s">
        <v>115</v>
      </c>
      <c r="D12" s="146">
        <v>35000</v>
      </c>
      <c r="E12" s="147"/>
      <c r="F12" s="147"/>
      <c r="G12" s="147"/>
      <c r="H12" s="147"/>
      <c r="I12" s="147"/>
      <c r="J12" s="147"/>
      <c r="K12" s="147"/>
      <c r="L12" s="240">
        <v>11</v>
      </c>
      <c r="M12" s="241" t="s">
        <v>70</v>
      </c>
      <c r="N12" s="244" t="s">
        <v>58</v>
      </c>
      <c r="O12" s="242">
        <v>45000</v>
      </c>
      <c r="P12" s="158">
        <f t="shared" si="0"/>
        <v>11</v>
      </c>
      <c r="Q12" s="149"/>
      <c r="R12" s="150">
        <f t="shared" si="1"/>
        <v>0</v>
      </c>
    </row>
    <row r="13" spans="1:18" s="148" customFormat="1" ht="18.75" x14ac:dyDescent="0.3">
      <c r="A13" s="144">
        <v>9</v>
      </c>
      <c r="B13" s="145" t="s">
        <v>161</v>
      </c>
      <c r="C13" s="144" t="s">
        <v>116</v>
      </c>
      <c r="D13" s="146">
        <v>45000</v>
      </c>
      <c r="E13" s="147"/>
      <c r="F13" s="147"/>
      <c r="G13" s="147"/>
      <c r="H13" s="147"/>
      <c r="I13" s="147"/>
      <c r="J13" s="147"/>
      <c r="K13" s="147"/>
      <c r="L13" s="240">
        <v>12</v>
      </c>
      <c r="M13" s="241" t="s">
        <v>71</v>
      </c>
      <c r="N13" s="244" t="s">
        <v>35</v>
      </c>
      <c r="O13" s="242">
        <v>45000</v>
      </c>
      <c r="P13" s="158">
        <f t="shared" si="0"/>
        <v>12</v>
      </c>
      <c r="Q13" s="149"/>
      <c r="R13" s="150">
        <f t="shared" si="1"/>
        <v>0</v>
      </c>
    </row>
    <row r="14" spans="1:18" s="148" customFormat="1" ht="18.75" x14ac:dyDescent="0.3">
      <c r="A14" s="144">
        <v>10</v>
      </c>
      <c r="B14" s="145" t="s">
        <v>6</v>
      </c>
      <c r="C14" s="144" t="s">
        <v>69</v>
      </c>
      <c r="D14" s="146">
        <v>50000</v>
      </c>
      <c r="E14" s="147"/>
      <c r="F14" s="147"/>
      <c r="G14" s="147"/>
      <c r="H14" s="147"/>
      <c r="I14" s="147"/>
      <c r="J14" s="147"/>
      <c r="K14" s="147"/>
      <c r="L14" s="240">
        <v>13</v>
      </c>
      <c r="M14" s="241" t="s">
        <v>72</v>
      </c>
      <c r="N14" s="244" t="s">
        <v>32</v>
      </c>
      <c r="O14" s="242">
        <v>45000</v>
      </c>
      <c r="P14" s="158">
        <f t="shared" si="0"/>
        <v>13</v>
      </c>
      <c r="Q14" s="149"/>
      <c r="R14" s="150">
        <f t="shared" si="1"/>
        <v>0</v>
      </c>
    </row>
    <row r="15" spans="1:18" s="148" customFormat="1" ht="18.75" x14ac:dyDescent="0.3">
      <c r="A15" s="144">
        <v>11</v>
      </c>
      <c r="B15" s="145" t="s">
        <v>58</v>
      </c>
      <c r="C15" s="144" t="s">
        <v>70</v>
      </c>
      <c r="D15" s="146">
        <v>45000</v>
      </c>
      <c r="E15" s="147"/>
      <c r="F15" s="147"/>
      <c r="G15" s="147"/>
      <c r="H15" s="147"/>
      <c r="I15" s="147"/>
      <c r="J15" s="147"/>
      <c r="K15" s="147"/>
      <c r="L15" s="240">
        <v>14</v>
      </c>
      <c r="M15" s="241" t="s">
        <v>73</v>
      </c>
      <c r="N15" s="244" t="s">
        <v>34</v>
      </c>
      <c r="O15" s="242">
        <v>45000</v>
      </c>
      <c r="P15" s="158">
        <f t="shared" si="0"/>
        <v>14</v>
      </c>
      <c r="Q15" s="149"/>
      <c r="R15" s="150">
        <f t="shared" si="1"/>
        <v>0</v>
      </c>
    </row>
    <row r="16" spans="1:18" s="148" customFormat="1" ht="18.75" x14ac:dyDescent="0.3">
      <c r="A16" s="144">
        <v>12</v>
      </c>
      <c r="B16" s="145" t="s">
        <v>35</v>
      </c>
      <c r="C16" s="144" t="s">
        <v>71</v>
      </c>
      <c r="D16" s="146">
        <v>45000</v>
      </c>
      <c r="E16" s="147"/>
      <c r="F16" s="147"/>
      <c r="G16" s="147"/>
      <c r="H16" s="147"/>
      <c r="I16" s="147"/>
      <c r="J16" s="147"/>
      <c r="K16" s="147"/>
      <c r="L16" s="240">
        <v>15</v>
      </c>
      <c r="M16" s="241" t="s">
        <v>74</v>
      </c>
      <c r="N16" s="244" t="s">
        <v>33</v>
      </c>
      <c r="O16" s="242">
        <v>45000</v>
      </c>
      <c r="P16" s="158">
        <f t="shared" si="0"/>
        <v>15</v>
      </c>
      <c r="Q16" s="149"/>
      <c r="R16" s="150">
        <f t="shared" si="1"/>
        <v>0</v>
      </c>
    </row>
    <row r="17" spans="1:18" s="148" customFormat="1" ht="18.75" x14ac:dyDescent="0.3">
      <c r="A17" s="144">
        <v>13</v>
      </c>
      <c r="B17" s="145" t="s">
        <v>32</v>
      </c>
      <c r="C17" s="144" t="s">
        <v>72</v>
      </c>
      <c r="D17" s="146">
        <v>45000</v>
      </c>
      <c r="E17" s="147"/>
      <c r="F17" s="147"/>
      <c r="G17" s="147"/>
      <c r="H17" s="147"/>
      <c r="I17" s="147"/>
      <c r="J17" s="147"/>
      <c r="K17" s="147"/>
      <c r="L17" s="240">
        <v>16</v>
      </c>
      <c r="M17" s="241" t="s">
        <v>75</v>
      </c>
      <c r="N17" s="244" t="s">
        <v>5</v>
      </c>
      <c r="O17" s="242">
        <v>40000</v>
      </c>
      <c r="P17" s="158">
        <f t="shared" si="0"/>
        <v>16</v>
      </c>
      <c r="Q17" s="149"/>
      <c r="R17" s="150">
        <f t="shared" si="1"/>
        <v>0</v>
      </c>
    </row>
    <row r="18" spans="1:18" s="148" customFormat="1" ht="18.75" x14ac:dyDescent="0.3">
      <c r="A18" s="144">
        <v>14</v>
      </c>
      <c r="B18" s="145" t="s">
        <v>34</v>
      </c>
      <c r="C18" s="144" t="s">
        <v>73</v>
      </c>
      <c r="D18" s="146">
        <v>45000</v>
      </c>
      <c r="E18" s="147"/>
      <c r="F18" s="147"/>
      <c r="G18" s="147"/>
      <c r="H18" s="147"/>
      <c r="I18" s="147"/>
      <c r="J18" s="147"/>
      <c r="K18" s="147"/>
      <c r="L18" s="240">
        <v>17</v>
      </c>
      <c r="M18" s="241" t="s">
        <v>76</v>
      </c>
      <c r="N18" s="244" t="s">
        <v>4</v>
      </c>
      <c r="O18" s="242">
        <v>40000</v>
      </c>
      <c r="P18" s="158">
        <f t="shared" si="0"/>
        <v>17</v>
      </c>
      <c r="Q18" s="149"/>
      <c r="R18" s="150">
        <f t="shared" si="1"/>
        <v>0</v>
      </c>
    </row>
    <row r="19" spans="1:18" s="148" customFormat="1" ht="18.75" x14ac:dyDescent="0.3">
      <c r="A19" s="144">
        <v>15</v>
      </c>
      <c r="B19" s="145" t="s">
        <v>33</v>
      </c>
      <c r="C19" s="144" t="s">
        <v>74</v>
      </c>
      <c r="D19" s="146">
        <v>45000</v>
      </c>
      <c r="E19" s="147"/>
      <c r="F19" s="147"/>
      <c r="G19" s="147"/>
      <c r="H19" s="147"/>
      <c r="I19" s="147"/>
      <c r="J19" s="147"/>
      <c r="K19" s="147"/>
      <c r="L19" s="240">
        <v>18</v>
      </c>
      <c r="M19" s="241" t="s">
        <v>77</v>
      </c>
      <c r="N19" s="244" t="s">
        <v>9</v>
      </c>
      <c r="O19" s="242">
        <v>55000</v>
      </c>
      <c r="P19" s="158">
        <f t="shared" si="0"/>
        <v>18</v>
      </c>
      <c r="Q19" s="149"/>
      <c r="R19" s="150">
        <f t="shared" si="1"/>
        <v>0</v>
      </c>
    </row>
    <row r="20" spans="1:18" s="148" customFormat="1" ht="18.75" x14ac:dyDescent="0.3">
      <c r="A20" s="144">
        <v>16</v>
      </c>
      <c r="B20" s="145" t="s">
        <v>5</v>
      </c>
      <c r="C20" s="144" t="s">
        <v>75</v>
      </c>
      <c r="D20" s="146">
        <v>40000</v>
      </c>
      <c r="E20" s="147"/>
      <c r="F20" s="147"/>
      <c r="G20" s="147"/>
      <c r="H20" s="147"/>
      <c r="I20" s="147"/>
      <c r="J20" s="147"/>
      <c r="K20" s="147"/>
      <c r="L20" s="240">
        <v>19</v>
      </c>
      <c r="M20" s="241" t="s">
        <v>78</v>
      </c>
      <c r="N20" s="244" t="s">
        <v>13</v>
      </c>
      <c r="O20" s="242">
        <v>28000</v>
      </c>
      <c r="P20" s="158">
        <f t="shared" si="0"/>
        <v>19</v>
      </c>
      <c r="Q20" s="149"/>
      <c r="R20" s="150">
        <f t="shared" si="1"/>
        <v>0</v>
      </c>
    </row>
    <row r="21" spans="1:18" s="148" customFormat="1" ht="18.75" x14ac:dyDescent="0.3">
      <c r="A21" s="144">
        <v>17</v>
      </c>
      <c r="B21" s="145" t="s">
        <v>4</v>
      </c>
      <c r="C21" s="144" t="s">
        <v>76</v>
      </c>
      <c r="D21" s="146">
        <v>40000</v>
      </c>
      <c r="E21" s="147"/>
      <c r="F21" s="147"/>
      <c r="G21" s="147"/>
      <c r="H21" s="147"/>
      <c r="I21" s="147"/>
      <c r="J21" s="147"/>
      <c r="K21" s="147"/>
      <c r="L21" s="240">
        <v>20</v>
      </c>
      <c r="M21" s="241" t="s">
        <v>79</v>
      </c>
      <c r="N21" s="244" t="s">
        <v>12</v>
      </c>
      <c r="O21" s="242">
        <v>26000</v>
      </c>
      <c r="P21" s="158">
        <f t="shared" si="0"/>
        <v>20</v>
      </c>
      <c r="Q21" s="149"/>
      <c r="R21" s="150">
        <f t="shared" si="1"/>
        <v>0</v>
      </c>
    </row>
    <row r="22" spans="1:18" s="148" customFormat="1" ht="18.75" x14ac:dyDescent="0.3">
      <c r="A22" s="144">
        <v>18</v>
      </c>
      <c r="B22" s="145" t="s">
        <v>9</v>
      </c>
      <c r="C22" s="144" t="s">
        <v>77</v>
      </c>
      <c r="D22" s="146">
        <v>55000</v>
      </c>
      <c r="E22" s="147"/>
      <c r="F22" s="147"/>
      <c r="G22" s="147"/>
      <c r="H22" s="147"/>
      <c r="I22" s="147"/>
      <c r="J22" s="147"/>
      <c r="K22" s="147"/>
      <c r="L22" s="240">
        <v>21</v>
      </c>
      <c r="M22" s="241" t="s">
        <v>80</v>
      </c>
      <c r="N22" s="244" t="s">
        <v>14</v>
      </c>
      <c r="O22" s="242">
        <v>33000</v>
      </c>
      <c r="P22" s="158">
        <f t="shared" si="0"/>
        <v>21</v>
      </c>
      <c r="Q22" s="149"/>
      <c r="R22" s="150">
        <f t="shared" si="1"/>
        <v>0</v>
      </c>
    </row>
    <row r="23" spans="1:18" s="148" customFormat="1" ht="18.75" x14ac:dyDescent="0.3">
      <c r="A23" s="144">
        <v>19</v>
      </c>
      <c r="B23" s="145" t="s">
        <v>13</v>
      </c>
      <c r="C23" s="144" t="s">
        <v>78</v>
      </c>
      <c r="D23" s="146">
        <v>28000</v>
      </c>
      <c r="E23" s="147"/>
      <c r="F23" s="147"/>
      <c r="G23" s="147"/>
      <c r="H23" s="147"/>
      <c r="I23" s="147"/>
      <c r="J23" s="147"/>
      <c r="K23" s="147"/>
      <c r="L23" s="240">
        <v>22</v>
      </c>
      <c r="M23" s="241" t="s">
        <v>81</v>
      </c>
      <c r="N23" s="244" t="s">
        <v>293</v>
      </c>
      <c r="O23" s="245">
        <v>34000</v>
      </c>
      <c r="P23" s="158">
        <f t="shared" si="0"/>
        <v>22</v>
      </c>
      <c r="Q23" s="149"/>
      <c r="R23" s="150">
        <f t="shared" si="1"/>
        <v>0</v>
      </c>
    </row>
    <row r="24" spans="1:18" s="148" customFormat="1" ht="18.75" x14ac:dyDescent="0.3">
      <c r="A24" s="144">
        <v>20</v>
      </c>
      <c r="B24" s="145" t="s">
        <v>12</v>
      </c>
      <c r="C24" s="144" t="s">
        <v>79</v>
      </c>
      <c r="D24" s="146">
        <v>26000</v>
      </c>
      <c r="E24" s="147"/>
      <c r="F24" s="147"/>
      <c r="G24" s="147"/>
      <c r="H24" s="147"/>
      <c r="I24" s="147"/>
      <c r="J24" s="147"/>
      <c r="K24" s="147"/>
      <c r="L24" s="240">
        <v>23</v>
      </c>
      <c r="M24" s="241" t="s">
        <v>82</v>
      </c>
      <c r="N24" s="244" t="s">
        <v>8</v>
      </c>
      <c r="O24" s="242">
        <v>69000</v>
      </c>
      <c r="P24" s="158">
        <f t="shared" si="0"/>
        <v>23</v>
      </c>
      <c r="Q24" s="149"/>
      <c r="R24" s="150">
        <f t="shared" si="1"/>
        <v>0</v>
      </c>
    </row>
    <row r="25" spans="1:18" s="148" customFormat="1" ht="18.75" x14ac:dyDescent="0.3">
      <c r="A25" s="144">
        <v>21</v>
      </c>
      <c r="B25" s="145" t="s">
        <v>14</v>
      </c>
      <c r="C25" s="144" t="s">
        <v>80</v>
      </c>
      <c r="D25" s="146">
        <v>33000</v>
      </c>
      <c r="E25" s="147"/>
      <c r="F25" s="147"/>
      <c r="G25" s="147"/>
      <c r="H25" s="147"/>
      <c r="I25" s="147"/>
      <c r="J25" s="147"/>
      <c r="K25" s="147"/>
      <c r="L25" s="240">
        <v>24</v>
      </c>
      <c r="M25" s="241" t="s">
        <v>83</v>
      </c>
      <c r="N25" s="244" t="s">
        <v>296</v>
      </c>
      <c r="O25" s="245">
        <v>40000</v>
      </c>
      <c r="P25" s="158">
        <f t="shared" si="0"/>
        <v>24</v>
      </c>
      <c r="Q25" s="149"/>
      <c r="R25" s="150">
        <f t="shared" si="1"/>
        <v>0</v>
      </c>
    </row>
    <row r="26" spans="1:18" s="148" customFormat="1" ht="18.75" x14ac:dyDescent="0.3">
      <c r="A26" s="144">
        <v>22</v>
      </c>
      <c r="B26" s="145" t="s">
        <v>293</v>
      </c>
      <c r="C26" s="144" t="s">
        <v>81</v>
      </c>
      <c r="D26" s="146">
        <v>34000</v>
      </c>
      <c r="E26" s="147"/>
      <c r="F26" s="147"/>
      <c r="G26" s="147"/>
      <c r="H26" s="147"/>
      <c r="I26" s="147"/>
      <c r="J26" s="147"/>
      <c r="K26" s="147"/>
      <c r="L26" s="240">
        <v>25</v>
      </c>
      <c r="M26" s="241" t="s">
        <v>84</v>
      </c>
      <c r="N26" s="244" t="s">
        <v>68</v>
      </c>
      <c r="O26" s="242">
        <v>35000</v>
      </c>
      <c r="P26" s="158">
        <f t="shared" si="0"/>
        <v>25</v>
      </c>
      <c r="Q26" s="149"/>
      <c r="R26" s="150">
        <f t="shared" si="1"/>
        <v>0</v>
      </c>
    </row>
    <row r="27" spans="1:18" s="148" customFormat="1" ht="18.75" x14ac:dyDescent="0.3">
      <c r="A27" s="144">
        <v>23</v>
      </c>
      <c r="B27" s="145" t="s">
        <v>8</v>
      </c>
      <c r="C27" s="144" t="s">
        <v>82</v>
      </c>
      <c r="D27" s="146">
        <v>69000</v>
      </c>
      <c r="E27" s="147"/>
      <c r="F27" s="147"/>
      <c r="G27" s="147"/>
      <c r="H27" s="147"/>
      <c r="I27" s="147"/>
      <c r="J27" s="147"/>
      <c r="K27" s="147"/>
      <c r="L27" s="240">
        <v>26</v>
      </c>
      <c r="M27" s="241" t="s">
        <v>85</v>
      </c>
      <c r="N27" s="244" t="s">
        <v>29</v>
      </c>
      <c r="O27" s="242">
        <v>45000</v>
      </c>
      <c r="P27" s="158">
        <f t="shared" si="0"/>
        <v>26</v>
      </c>
      <c r="Q27" s="149"/>
      <c r="R27" s="150">
        <f t="shared" si="1"/>
        <v>0</v>
      </c>
    </row>
    <row r="28" spans="1:18" s="148" customFormat="1" ht="18.75" x14ac:dyDescent="0.3">
      <c r="A28" s="144">
        <v>24</v>
      </c>
      <c r="B28" s="145" t="s">
        <v>296</v>
      </c>
      <c r="C28" s="144" t="s">
        <v>83</v>
      </c>
      <c r="D28" s="146">
        <v>40000</v>
      </c>
      <c r="E28" s="147"/>
      <c r="F28" s="147"/>
      <c r="G28" s="147"/>
      <c r="H28" s="147"/>
      <c r="I28" s="147"/>
      <c r="J28" s="147"/>
      <c r="K28" s="147"/>
      <c r="L28" s="240">
        <v>27</v>
      </c>
      <c r="M28" s="241" t="s">
        <v>86</v>
      </c>
      <c r="N28" s="244" t="s">
        <v>15</v>
      </c>
      <c r="O28" s="242">
        <v>35000</v>
      </c>
      <c r="P28" s="158">
        <f t="shared" si="0"/>
        <v>27</v>
      </c>
      <c r="Q28" s="149"/>
      <c r="R28" s="150">
        <f t="shared" si="1"/>
        <v>0</v>
      </c>
    </row>
    <row r="29" spans="1:18" s="148" customFormat="1" ht="18.75" x14ac:dyDescent="0.3">
      <c r="A29" s="144">
        <v>25</v>
      </c>
      <c r="B29" s="145" t="s">
        <v>68</v>
      </c>
      <c r="C29" s="144" t="s">
        <v>84</v>
      </c>
      <c r="D29" s="146">
        <v>35000</v>
      </c>
      <c r="E29" s="147"/>
      <c r="F29" s="147"/>
      <c r="G29" s="147"/>
      <c r="H29" s="147"/>
      <c r="I29" s="147"/>
      <c r="J29" s="147"/>
      <c r="K29" s="147"/>
      <c r="L29" s="240">
        <v>28</v>
      </c>
      <c r="M29" s="241" t="s">
        <v>87</v>
      </c>
      <c r="N29" s="244" t="s">
        <v>10</v>
      </c>
      <c r="O29" s="242">
        <v>32000</v>
      </c>
      <c r="P29" s="158">
        <f t="shared" si="0"/>
        <v>28</v>
      </c>
      <c r="Q29" s="149"/>
      <c r="R29" s="150">
        <f t="shared" si="1"/>
        <v>0</v>
      </c>
    </row>
    <row r="30" spans="1:18" s="148" customFormat="1" ht="18.75" x14ac:dyDescent="0.3">
      <c r="A30" s="144">
        <v>26</v>
      </c>
      <c r="B30" s="145" t="s">
        <v>29</v>
      </c>
      <c r="C30" s="144" t="s">
        <v>85</v>
      </c>
      <c r="D30" s="146">
        <v>45000</v>
      </c>
      <c r="E30" s="147"/>
      <c r="F30" s="147"/>
      <c r="G30" s="147"/>
      <c r="H30" s="147"/>
      <c r="I30" s="147"/>
      <c r="J30" s="147"/>
      <c r="K30" s="147"/>
      <c r="L30" s="240">
        <v>29</v>
      </c>
      <c r="M30" s="241" t="s">
        <v>88</v>
      </c>
      <c r="N30" s="244" t="s">
        <v>38</v>
      </c>
      <c r="O30" s="242">
        <v>32000</v>
      </c>
      <c r="P30" s="158">
        <f t="shared" si="0"/>
        <v>29</v>
      </c>
      <c r="Q30" s="149"/>
      <c r="R30" s="150">
        <f t="shared" si="1"/>
        <v>0</v>
      </c>
    </row>
    <row r="31" spans="1:18" s="148" customFormat="1" ht="18.75" x14ac:dyDescent="0.3">
      <c r="A31" s="144">
        <v>27</v>
      </c>
      <c r="B31" s="145" t="s">
        <v>15</v>
      </c>
      <c r="C31" s="144" t="s">
        <v>86</v>
      </c>
      <c r="D31" s="146">
        <v>35000</v>
      </c>
      <c r="E31" s="147"/>
      <c r="F31" s="147"/>
      <c r="G31" s="147"/>
      <c r="H31" s="147"/>
      <c r="I31" s="147"/>
      <c r="J31" s="147"/>
      <c r="K31" s="147"/>
      <c r="L31" s="240">
        <v>30</v>
      </c>
      <c r="M31" s="241" t="s">
        <v>89</v>
      </c>
      <c r="N31" s="244" t="s">
        <v>39</v>
      </c>
      <c r="O31" s="242">
        <v>14000</v>
      </c>
      <c r="P31" s="158">
        <f t="shared" si="0"/>
        <v>30</v>
      </c>
      <c r="Q31" s="149"/>
      <c r="R31" s="150">
        <f t="shared" si="1"/>
        <v>0</v>
      </c>
    </row>
    <row r="32" spans="1:18" s="148" customFormat="1" ht="18.75" x14ac:dyDescent="0.3">
      <c r="A32" s="144">
        <v>28</v>
      </c>
      <c r="B32" s="145" t="s">
        <v>10</v>
      </c>
      <c r="C32" s="144" t="s">
        <v>87</v>
      </c>
      <c r="D32" s="146">
        <v>32000</v>
      </c>
      <c r="E32" s="147"/>
      <c r="F32" s="147"/>
      <c r="G32" s="147"/>
      <c r="H32" s="147"/>
      <c r="I32" s="147"/>
      <c r="J32" s="147"/>
      <c r="K32" s="147"/>
      <c r="L32" s="240">
        <v>31</v>
      </c>
      <c r="M32" s="241" t="s">
        <v>90</v>
      </c>
      <c r="N32" s="244" t="s">
        <v>67</v>
      </c>
      <c r="O32" s="242">
        <v>32000</v>
      </c>
      <c r="P32" s="158">
        <f t="shared" si="0"/>
        <v>31</v>
      </c>
      <c r="Q32" s="149"/>
      <c r="R32" s="149"/>
    </row>
    <row r="33" spans="1:18" s="148" customFormat="1" ht="18.75" x14ac:dyDescent="0.3">
      <c r="A33" s="144">
        <v>29</v>
      </c>
      <c r="B33" s="145" t="s">
        <v>38</v>
      </c>
      <c r="C33" s="144" t="s">
        <v>88</v>
      </c>
      <c r="D33" s="146">
        <v>32000</v>
      </c>
      <c r="E33" s="147"/>
      <c r="F33" s="147"/>
      <c r="G33" s="147"/>
      <c r="H33" s="147"/>
      <c r="I33" s="147"/>
      <c r="J33" s="147"/>
      <c r="K33" s="147"/>
      <c r="L33" s="240">
        <v>32</v>
      </c>
      <c r="M33" s="241" t="s">
        <v>91</v>
      </c>
      <c r="N33" s="244" t="s">
        <v>40</v>
      </c>
      <c r="O33" s="242">
        <v>35000</v>
      </c>
      <c r="P33" s="158">
        <f t="shared" si="0"/>
        <v>32</v>
      </c>
      <c r="Q33" s="149"/>
      <c r="R33" s="149"/>
    </row>
    <row r="34" spans="1:18" s="148" customFormat="1" ht="18.75" x14ac:dyDescent="0.3">
      <c r="A34" s="144">
        <v>30</v>
      </c>
      <c r="B34" s="145" t="s">
        <v>39</v>
      </c>
      <c r="C34" s="144" t="s">
        <v>89</v>
      </c>
      <c r="D34" s="146">
        <v>14000</v>
      </c>
      <c r="E34" s="147"/>
      <c r="F34" s="147"/>
      <c r="G34" s="147"/>
      <c r="H34" s="147"/>
      <c r="I34" s="147"/>
      <c r="J34" s="147"/>
      <c r="K34" s="147"/>
      <c r="L34" s="240">
        <v>33</v>
      </c>
      <c r="M34" s="241" t="s">
        <v>92</v>
      </c>
      <c r="N34" s="244" t="s">
        <v>41</v>
      </c>
      <c r="O34" s="242">
        <v>14000</v>
      </c>
      <c r="P34" s="158">
        <f t="shared" ref="P34:P65" si="2">IF($N34="","",LOOKUP(2,1/($N34=$B$2:$B$100),$A$2:$A$100))</f>
        <v>33</v>
      </c>
      <c r="Q34" s="149"/>
      <c r="R34" s="149"/>
    </row>
    <row r="35" spans="1:18" s="148" customFormat="1" ht="18.75" x14ac:dyDescent="0.3">
      <c r="A35" s="144">
        <v>31</v>
      </c>
      <c r="B35" s="145" t="s">
        <v>67</v>
      </c>
      <c r="C35" s="144" t="s">
        <v>90</v>
      </c>
      <c r="D35" s="146">
        <v>32000</v>
      </c>
      <c r="E35" s="147"/>
      <c r="F35" s="147"/>
      <c r="G35" s="147"/>
      <c r="H35" s="147"/>
      <c r="I35" s="147"/>
      <c r="J35" s="147"/>
      <c r="K35" s="147"/>
      <c r="L35" s="240">
        <v>34</v>
      </c>
      <c r="M35" s="241" t="s">
        <v>93</v>
      </c>
      <c r="N35" s="244" t="s">
        <v>42</v>
      </c>
      <c r="O35" s="242">
        <v>35000</v>
      </c>
      <c r="P35" s="158">
        <f t="shared" si="2"/>
        <v>34</v>
      </c>
      <c r="Q35" s="149"/>
      <c r="R35" s="149"/>
    </row>
    <row r="36" spans="1:18" s="148" customFormat="1" ht="18.75" x14ac:dyDescent="0.3">
      <c r="A36" s="144">
        <v>32</v>
      </c>
      <c r="B36" s="145" t="s">
        <v>40</v>
      </c>
      <c r="C36" s="144" t="s">
        <v>91</v>
      </c>
      <c r="D36" s="146">
        <v>35000</v>
      </c>
      <c r="E36" s="147"/>
      <c r="F36" s="147"/>
      <c r="G36" s="147"/>
      <c r="H36" s="147"/>
      <c r="I36" s="147"/>
      <c r="J36" s="147"/>
      <c r="K36" s="147"/>
      <c r="L36" s="240">
        <v>35</v>
      </c>
      <c r="M36" s="241" t="s">
        <v>94</v>
      </c>
      <c r="N36" s="244" t="s">
        <v>43</v>
      </c>
      <c r="O36" s="242">
        <v>14000</v>
      </c>
      <c r="P36" s="158">
        <f t="shared" si="2"/>
        <v>35</v>
      </c>
      <c r="Q36" s="149"/>
      <c r="R36" s="149"/>
    </row>
    <row r="37" spans="1:18" s="148" customFormat="1" ht="18.75" x14ac:dyDescent="0.3">
      <c r="A37" s="144">
        <v>33</v>
      </c>
      <c r="B37" s="145" t="s">
        <v>41</v>
      </c>
      <c r="C37" s="144" t="s">
        <v>92</v>
      </c>
      <c r="D37" s="146">
        <v>14000</v>
      </c>
      <c r="E37" s="147"/>
      <c r="F37" s="147"/>
      <c r="G37" s="147"/>
      <c r="H37" s="147"/>
      <c r="I37" s="147"/>
      <c r="J37" s="147"/>
      <c r="K37" s="147"/>
      <c r="L37" s="240">
        <v>36</v>
      </c>
      <c r="M37" s="241" t="s">
        <v>95</v>
      </c>
      <c r="N37" s="244" t="s">
        <v>48</v>
      </c>
      <c r="O37" s="242">
        <v>59000</v>
      </c>
      <c r="P37" s="158">
        <f t="shared" si="2"/>
        <v>36</v>
      </c>
      <c r="Q37" s="149"/>
      <c r="R37" s="149"/>
    </row>
    <row r="38" spans="1:18" s="148" customFormat="1" ht="18.75" x14ac:dyDescent="0.3">
      <c r="A38" s="144">
        <v>34</v>
      </c>
      <c r="B38" s="145" t="s">
        <v>42</v>
      </c>
      <c r="C38" s="144" t="s">
        <v>93</v>
      </c>
      <c r="D38" s="146">
        <v>35000</v>
      </c>
      <c r="E38" s="147"/>
      <c r="F38" s="147"/>
      <c r="G38" s="147"/>
      <c r="H38" s="147"/>
      <c r="I38" s="147"/>
      <c r="J38" s="147"/>
      <c r="K38" s="147"/>
      <c r="L38" s="240">
        <v>37</v>
      </c>
      <c r="M38" s="241" t="s">
        <v>96</v>
      </c>
      <c r="N38" s="244" t="s">
        <v>49</v>
      </c>
      <c r="O38" s="242">
        <v>52000</v>
      </c>
      <c r="P38" s="158">
        <f t="shared" si="2"/>
        <v>37</v>
      </c>
      <c r="Q38" s="149"/>
      <c r="R38" s="149"/>
    </row>
    <row r="39" spans="1:18" s="148" customFormat="1" ht="18.75" x14ac:dyDescent="0.3">
      <c r="A39" s="144">
        <v>35</v>
      </c>
      <c r="B39" s="145" t="s">
        <v>43</v>
      </c>
      <c r="C39" s="144" t="s">
        <v>94</v>
      </c>
      <c r="D39" s="146">
        <v>14000</v>
      </c>
      <c r="E39" s="147"/>
      <c r="F39" s="147"/>
      <c r="G39" s="147"/>
      <c r="H39" s="147"/>
      <c r="I39" s="147"/>
      <c r="J39" s="147"/>
      <c r="K39" s="147"/>
      <c r="L39" s="240">
        <v>38</v>
      </c>
      <c r="M39" s="241" t="s">
        <v>97</v>
      </c>
      <c r="N39" s="244" t="s">
        <v>45</v>
      </c>
      <c r="O39" s="242">
        <v>65000</v>
      </c>
      <c r="P39" s="158">
        <f t="shared" si="2"/>
        <v>38</v>
      </c>
      <c r="Q39" s="149"/>
      <c r="R39" s="149"/>
    </row>
    <row r="40" spans="1:18" s="148" customFormat="1" ht="18.75" x14ac:dyDescent="0.3">
      <c r="A40" s="144">
        <v>36</v>
      </c>
      <c r="B40" s="145" t="s">
        <v>48</v>
      </c>
      <c r="C40" s="144" t="s">
        <v>95</v>
      </c>
      <c r="D40" s="146">
        <v>59000</v>
      </c>
      <c r="E40" s="147"/>
      <c r="F40" s="147"/>
      <c r="G40" s="147"/>
      <c r="H40" s="147"/>
      <c r="I40" s="147"/>
      <c r="J40" s="147"/>
      <c r="K40" s="147"/>
      <c r="L40" s="240">
        <v>39</v>
      </c>
      <c r="M40" s="241" t="s">
        <v>98</v>
      </c>
      <c r="N40" s="244" t="s">
        <v>44</v>
      </c>
      <c r="O40" s="242">
        <v>44000</v>
      </c>
      <c r="P40" s="158">
        <f t="shared" si="2"/>
        <v>39</v>
      </c>
      <c r="Q40" s="149"/>
      <c r="R40" s="149"/>
    </row>
    <row r="41" spans="1:18" s="148" customFormat="1" ht="18.75" x14ac:dyDescent="0.3">
      <c r="A41" s="144">
        <v>37</v>
      </c>
      <c r="B41" s="145" t="s">
        <v>49</v>
      </c>
      <c r="C41" s="144" t="s">
        <v>96</v>
      </c>
      <c r="D41" s="146">
        <v>52000</v>
      </c>
      <c r="E41" s="147"/>
      <c r="F41" s="147"/>
      <c r="G41" s="147"/>
      <c r="H41" s="147"/>
      <c r="I41" s="147"/>
      <c r="J41" s="147"/>
      <c r="K41" s="147"/>
      <c r="L41" s="240">
        <v>40</v>
      </c>
      <c r="M41" s="241" t="s">
        <v>99</v>
      </c>
      <c r="N41" s="244" t="s">
        <v>47</v>
      </c>
      <c r="O41" s="242">
        <v>79000</v>
      </c>
      <c r="P41" s="158">
        <f t="shared" si="2"/>
        <v>40</v>
      </c>
      <c r="Q41" s="149"/>
      <c r="R41" s="149"/>
    </row>
    <row r="42" spans="1:18" s="148" customFormat="1" ht="18.75" x14ac:dyDescent="0.3">
      <c r="A42" s="144">
        <v>38</v>
      </c>
      <c r="B42" s="145" t="s">
        <v>45</v>
      </c>
      <c r="C42" s="144" t="s">
        <v>97</v>
      </c>
      <c r="D42" s="146">
        <v>65000</v>
      </c>
      <c r="E42" s="147"/>
      <c r="F42" s="147"/>
      <c r="G42" s="147"/>
      <c r="H42" s="147"/>
      <c r="I42" s="147"/>
      <c r="J42" s="147"/>
      <c r="K42" s="147"/>
      <c r="L42" s="240">
        <v>41</v>
      </c>
      <c r="M42" s="241" t="s">
        <v>100</v>
      </c>
      <c r="N42" s="244" t="s">
        <v>37</v>
      </c>
      <c r="O42" s="242">
        <v>66000</v>
      </c>
      <c r="P42" s="158">
        <f t="shared" si="2"/>
        <v>41</v>
      </c>
      <c r="Q42" s="149"/>
      <c r="R42" s="149"/>
    </row>
    <row r="43" spans="1:18" s="148" customFormat="1" ht="18.75" x14ac:dyDescent="0.3">
      <c r="A43" s="144">
        <v>39</v>
      </c>
      <c r="B43" s="145" t="s">
        <v>44</v>
      </c>
      <c r="C43" s="144" t="s">
        <v>98</v>
      </c>
      <c r="D43" s="146">
        <v>44000</v>
      </c>
      <c r="E43" s="147"/>
      <c r="F43" s="147"/>
      <c r="G43" s="147"/>
      <c r="H43" s="147"/>
      <c r="I43" s="147"/>
      <c r="J43" s="147"/>
      <c r="K43" s="147"/>
      <c r="L43" s="240">
        <v>42</v>
      </c>
      <c r="M43" s="241" t="s">
        <v>101</v>
      </c>
      <c r="N43" s="244" t="s">
        <v>36</v>
      </c>
      <c r="O43" s="245">
        <v>66000</v>
      </c>
      <c r="P43" s="158">
        <f t="shared" si="2"/>
        <v>42</v>
      </c>
      <c r="Q43" s="149"/>
      <c r="R43" s="149"/>
    </row>
    <row r="44" spans="1:18" s="148" customFormat="1" ht="18.75" x14ac:dyDescent="0.3">
      <c r="A44" s="144">
        <v>40</v>
      </c>
      <c r="B44" s="145" t="s">
        <v>47</v>
      </c>
      <c r="C44" s="144" t="s">
        <v>99</v>
      </c>
      <c r="D44" s="146">
        <v>79000</v>
      </c>
      <c r="E44" s="147"/>
      <c r="F44" s="147"/>
      <c r="G44" s="147"/>
      <c r="H44" s="147"/>
      <c r="I44" s="147"/>
      <c r="J44" s="147"/>
      <c r="K44" s="147"/>
      <c r="L44" s="240">
        <v>43</v>
      </c>
      <c r="M44" s="241" t="s">
        <v>102</v>
      </c>
      <c r="N44" s="244" t="s">
        <v>51</v>
      </c>
      <c r="O44" s="245">
        <v>65000</v>
      </c>
      <c r="P44" s="158">
        <f t="shared" si="2"/>
        <v>43</v>
      </c>
      <c r="Q44" s="149"/>
      <c r="R44" s="149"/>
    </row>
    <row r="45" spans="1:18" s="148" customFormat="1" ht="18.75" x14ac:dyDescent="0.3">
      <c r="A45" s="144">
        <v>41</v>
      </c>
      <c r="B45" s="145" t="s">
        <v>37</v>
      </c>
      <c r="C45" s="144" t="s">
        <v>100</v>
      </c>
      <c r="D45" s="146">
        <v>66000</v>
      </c>
      <c r="E45" s="147"/>
      <c r="F45" s="147"/>
      <c r="G45" s="147"/>
      <c r="H45" s="147"/>
      <c r="I45" s="147"/>
      <c r="J45" s="147"/>
      <c r="K45" s="147"/>
      <c r="L45" s="240">
        <v>44</v>
      </c>
      <c r="M45" s="241" t="s">
        <v>103</v>
      </c>
      <c r="N45" s="244" t="s">
        <v>52</v>
      </c>
      <c r="O45" s="245">
        <v>54000</v>
      </c>
      <c r="P45" s="158">
        <f t="shared" si="2"/>
        <v>44</v>
      </c>
      <c r="Q45" s="149"/>
      <c r="R45" s="149"/>
    </row>
    <row r="46" spans="1:18" s="148" customFormat="1" ht="18.75" x14ac:dyDescent="0.3">
      <c r="A46" s="144">
        <v>42</v>
      </c>
      <c r="B46" s="145" t="s">
        <v>36</v>
      </c>
      <c r="C46" s="144" t="s">
        <v>101</v>
      </c>
      <c r="D46" s="146">
        <v>66000</v>
      </c>
      <c r="E46" s="147"/>
      <c r="F46" s="147"/>
      <c r="G46" s="147"/>
      <c r="H46" s="147"/>
      <c r="I46" s="147"/>
      <c r="J46" s="147"/>
      <c r="K46" s="147"/>
      <c r="L46" s="240">
        <v>45</v>
      </c>
      <c r="M46" s="241" t="s">
        <v>104</v>
      </c>
      <c r="N46" s="244" t="s">
        <v>46</v>
      </c>
      <c r="O46" s="245">
        <v>59000</v>
      </c>
      <c r="P46" s="158">
        <f t="shared" si="2"/>
        <v>45</v>
      </c>
      <c r="Q46" s="149"/>
      <c r="R46" s="149"/>
    </row>
    <row r="47" spans="1:18" s="148" customFormat="1" ht="18.75" x14ac:dyDescent="0.3">
      <c r="A47" s="144">
        <v>43</v>
      </c>
      <c r="B47" s="145" t="s">
        <v>51</v>
      </c>
      <c r="C47" s="144" t="s">
        <v>102</v>
      </c>
      <c r="D47" s="146">
        <v>65000</v>
      </c>
      <c r="E47" s="147"/>
      <c r="F47" s="147"/>
      <c r="G47" s="147"/>
      <c r="H47" s="147"/>
      <c r="I47" s="147"/>
      <c r="J47" s="147"/>
      <c r="K47" s="147"/>
      <c r="L47" s="240">
        <v>46</v>
      </c>
      <c r="M47" s="241" t="s">
        <v>105</v>
      </c>
      <c r="N47" s="244" t="s">
        <v>294</v>
      </c>
      <c r="O47" s="245">
        <v>40000</v>
      </c>
      <c r="P47" s="158">
        <f t="shared" si="2"/>
        <v>46</v>
      </c>
      <c r="Q47" s="149"/>
      <c r="R47" s="149"/>
    </row>
    <row r="48" spans="1:18" s="148" customFormat="1" ht="18.75" x14ac:dyDescent="0.3">
      <c r="A48" s="144">
        <v>44</v>
      </c>
      <c r="B48" s="145" t="s">
        <v>52</v>
      </c>
      <c r="C48" s="144" t="s">
        <v>103</v>
      </c>
      <c r="D48" s="146">
        <v>54000</v>
      </c>
      <c r="E48" s="147"/>
      <c r="F48" s="147"/>
      <c r="G48" s="147"/>
      <c r="H48" s="147"/>
      <c r="I48" s="147"/>
      <c r="J48" s="147"/>
      <c r="K48" s="147"/>
      <c r="L48" s="240">
        <v>47</v>
      </c>
      <c r="M48" s="241" t="s">
        <v>126</v>
      </c>
      <c r="N48" s="244" t="s">
        <v>140</v>
      </c>
      <c r="O48" s="245">
        <v>35000</v>
      </c>
      <c r="P48" s="158">
        <f t="shared" si="2"/>
        <v>47</v>
      </c>
      <c r="Q48" s="149"/>
      <c r="R48" s="149"/>
    </row>
    <row r="49" spans="1:18" s="148" customFormat="1" ht="18.75" x14ac:dyDescent="0.3">
      <c r="A49" s="144">
        <v>45</v>
      </c>
      <c r="B49" s="145" t="s">
        <v>46</v>
      </c>
      <c r="C49" s="144" t="s">
        <v>104</v>
      </c>
      <c r="D49" s="146">
        <v>59000</v>
      </c>
      <c r="E49" s="147"/>
      <c r="F49" s="147"/>
      <c r="G49" s="147"/>
      <c r="H49" s="147"/>
      <c r="I49" s="147"/>
      <c r="J49" s="147"/>
      <c r="K49" s="147"/>
      <c r="L49" s="240">
        <v>48</v>
      </c>
      <c r="M49" s="241" t="s">
        <v>141</v>
      </c>
      <c r="N49" s="244" t="s">
        <v>259</v>
      </c>
      <c r="O49" s="245">
        <v>105000</v>
      </c>
      <c r="P49" s="158">
        <f t="shared" si="2"/>
        <v>48</v>
      </c>
      <c r="Q49" s="149"/>
      <c r="R49" s="149"/>
    </row>
    <row r="50" spans="1:18" s="148" customFormat="1" ht="18.75" x14ac:dyDescent="0.3">
      <c r="A50" s="144">
        <v>46</v>
      </c>
      <c r="B50" s="145" t="s">
        <v>294</v>
      </c>
      <c r="C50" s="144" t="s">
        <v>105</v>
      </c>
      <c r="D50" s="146">
        <v>40000</v>
      </c>
      <c r="E50" s="147"/>
      <c r="F50" s="147"/>
      <c r="G50" s="147"/>
      <c r="H50" s="147"/>
      <c r="I50" s="147"/>
      <c r="J50" s="147"/>
      <c r="K50" s="147"/>
      <c r="L50" s="240">
        <v>49</v>
      </c>
      <c r="M50" s="241" t="s">
        <v>143</v>
      </c>
      <c r="N50" s="244" t="s">
        <v>144</v>
      </c>
      <c r="O50" s="245">
        <v>42000</v>
      </c>
      <c r="P50" s="158">
        <f t="shared" si="2"/>
        <v>49</v>
      </c>
      <c r="Q50" s="149"/>
      <c r="R50" s="149"/>
    </row>
    <row r="51" spans="1:18" s="148" customFormat="1" ht="18.75" x14ac:dyDescent="0.3">
      <c r="A51" s="144">
        <v>47</v>
      </c>
      <c r="B51" s="145" t="s">
        <v>140</v>
      </c>
      <c r="C51" s="144" t="s">
        <v>126</v>
      </c>
      <c r="D51" s="146">
        <v>35000</v>
      </c>
      <c r="E51" s="147"/>
      <c r="F51" s="147"/>
      <c r="G51" s="147"/>
      <c r="H51" s="147"/>
      <c r="I51" s="147"/>
      <c r="J51" s="147"/>
      <c r="K51" s="147"/>
      <c r="L51" s="240">
        <v>50</v>
      </c>
      <c r="M51" s="241" t="s">
        <v>145</v>
      </c>
      <c r="N51" s="244" t="s">
        <v>147</v>
      </c>
      <c r="O51" s="245">
        <v>35000</v>
      </c>
      <c r="P51" s="158">
        <f t="shared" si="2"/>
        <v>50</v>
      </c>
      <c r="Q51" s="149"/>
      <c r="R51" s="149"/>
    </row>
    <row r="52" spans="1:18" s="148" customFormat="1" ht="18.75" x14ac:dyDescent="0.3">
      <c r="A52" s="144">
        <v>48</v>
      </c>
      <c r="B52" s="145" t="s">
        <v>259</v>
      </c>
      <c r="C52" s="144" t="s">
        <v>141</v>
      </c>
      <c r="D52" s="146">
        <v>105000</v>
      </c>
      <c r="E52" s="147"/>
      <c r="F52" s="147"/>
      <c r="G52" s="147"/>
      <c r="H52" s="147"/>
      <c r="I52" s="147"/>
      <c r="J52" s="147"/>
      <c r="K52" s="147"/>
      <c r="L52" s="240">
        <v>51</v>
      </c>
      <c r="M52" s="241" t="s">
        <v>158</v>
      </c>
      <c r="N52" s="244" t="s">
        <v>163</v>
      </c>
      <c r="O52" s="245">
        <v>69000</v>
      </c>
      <c r="P52" s="158">
        <f t="shared" si="2"/>
        <v>51</v>
      </c>
      <c r="Q52" s="149"/>
      <c r="R52" s="149"/>
    </row>
    <row r="53" spans="1:18" s="148" customFormat="1" ht="18.75" x14ac:dyDescent="0.3">
      <c r="A53" s="144">
        <v>49</v>
      </c>
      <c r="B53" s="145" t="s">
        <v>144</v>
      </c>
      <c r="C53" s="144" t="s">
        <v>143</v>
      </c>
      <c r="D53" s="146">
        <v>42000</v>
      </c>
      <c r="E53" s="147"/>
      <c r="F53" s="147"/>
      <c r="G53" s="147"/>
      <c r="H53" s="147"/>
      <c r="I53" s="147"/>
      <c r="J53" s="147"/>
      <c r="K53" s="147"/>
      <c r="L53" s="240">
        <v>52</v>
      </c>
      <c r="M53" s="241" t="s">
        <v>164</v>
      </c>
      <c r="N53" s="244" t="s">
        <v>165</v>
      </c>
      <c r="O53" s="245">
        <v>76000</v>
      </c>
      <c r="P53" s="158">
        <f t="shared" si="2"/>
        <v>52</v>
      </c>
      <c r="Q53" s="149"/>
      <c r="R53" s="149"/>
    </row>
    <row r="54" spans="1:18" s="148" customFormat="1" ht="18.75" x14ac:dyDescent="0.3">
      <c r="A54" s="144">
        <v>50</v>
      </c>
      <c r="B54" s="145" t="s">
        <v>147</v>
      </c>
      <c r="C54" s="144" t="s">
        <v>145</v>
      </c>
      <c r="D54" s="146">
        <v>35000</v>
      </c>
      <c r="E54" s="147"/>
      <c r="F54" s="147"/>
      <c r="G54" s="147"/>
      <c r="H54" s="147"/>
      <c r="I54" s="147"/>
      <c r="J54" s="147"/>
      <c r="K54" s="147"/>
      <c r="L54" s="240">
        <v>53</v>
      </c>
      <c r="M54" s="241" t="s">
        <v>166</v>
      </c>
      <c r="N54" s="244" t="s">
        <v>175</v>
      </c>
      <c r="O54" s="245">
        <v>30000</v>
      </c>
      <c r="P54" s="158">
        <f t="shared" si="2"/>
        <v>53</v>
      </c>
      <c r="Q54" s="149"/>
      <c r="R54" s="149"/>
    </row>
    <row r="55" spans="1:18" s="148" customFormat="1" ht="18.75" x14ac:dyDescent="0.3">
      <c r="A55" s="144">
        <v>51</v>
      </c>
      <c r="B55" s="145" t="s">
        <v>163</v>
      </c>
      <c r="C55" s="144" t="s">
        <v>158</v>
      </c>
      <c r="D55" s="146">
        <v>69000</v>
      </c>
      <c r="E55" s="147"/>
      <c r="F55" s="147"/>
      <c r="G55" s="147"/>
      <c r="H55" s="147"/>
      <c r="I55" s="147"/>
      <c r="J55" s="147"/>
      <c r="K55" s="147"/>
      <c r="L55" s="240">
        <v>54</v>
      </c>
      <c r="M55" s="241" t="s">
        <v>172</v>
      </c>
      <c r="N55" s="244" t="s">
        <v>173</v>
      </c>
      <c r="O55" s="245">
        <v>45000</v>
      </c>
      <c r="P55" s="158">
        <f t="shared" si="2"/>
        <v>54</v>
      </c>
      <c r="Q55" s="149"/>
      <c r="R55" s="149"/>
    </row>
    <row r="56" spans="1:18" s="148" customFormat="1" ht="18.75" x14ac:dyDescent="0.3">
      <c r="A56" s="144">
        <v>52</v>
      </c>
      <c r="B56" s="145" t="s">
        <v>165</v>
      </c>
      <c r="C56" s="144" t="s">
        <v>164</v>
      </c>
      <c r="D56" s="146">
        <v>76000</v>
      </c>
      <c r="E56" s="147"/>
      <c r="F56" s="147"/>
      <c r="G56" s="147"/>
      <c r="H56" s="147"/>
      <c r="I56" s="147"/>
      <c r="J56" s="147"/>
      <c r="K56" s="147"/>
      <c r="L56" s="240">
        <v>55</v>
      </c>
      <c r="M56" s="241" t="s">
        <v>174</v>
      </c>
      <c r="N56" s="244" t="s">
        <v>171</v>
      </c>
      <c r="O56" s="245">
        <v>80000</v>
      </c>
      <c r="P56" s="158">
        <f t="shared" si="2"/>
        <v>55</v>
      </c>
      <c r="Q56" s="149"/>
      <c r="R56" s="149"/>
    </row>
    <row r="57" spans="1:18" s="148" customFormat="1" ht="18.75" x14ac:dyDescent="0.3">
      <c r="A57" s="144">
        <v>53</v>
      </c>
      <c r="B57" s="145" t="s">
        <v>175</v>
      </c>
      <c r="C57" s="144" t="s">
        <v>166</v>
      </c>
      <c r="D57" s="146">
        <v>30000</v>
      </c>
      <c r="E57" s="147"/>
      <c r="F57" s="147"/>
      <c r="G57" s="147"/>
      <c r="H57" s="147"/>
      <c r="I57" s="147"/>
      <c r="J57" s="147"/>
      <c r="K57" s="147"/>
      <c r="L57" s="240">
        <v>56</v>
      </c>
      <c r="M57" s="241" t="s">
        <v>176</v>
      </c>
      <c r="N57" s="244" t="s">
        <v>291</v>
      </c>
      <c r="O57" s="245">
        <v>42000</v>
      </c>
      <c r="P57" s="158">
        <f t="shared" si="2"/>
        <v>56</v>
      </c>
      <c r="Q57" s="149"/>
      <c r="R57" s="149"/>
    </row>
    <row r="58" spans="1:18" s="148" customFormat="1" ht="18.75" x14ac:dyDescent="0.3">
      <c r="A58" s="144">
        <v>54</v>
      </c>
      <c r="B58" s="145" t="s">
        <v>173</v>
      </c>
      <c r="C58" s="144" t="s">
        <v>172</v>
      </c>
      <c r="D58" s="146">
        <v>45000</v>
      </c>
      <c r="E58" s="147"/>
      <c r="F58" s="147"/>
      <c r="G58" s="147"/>
      <c r="H58" s="147"/>
      <c r="I58" s="147"/>
      <c r="J58" s="147"/>
      <c r="K58" s="147"/>
      <c r="L58" s="240">
        <v>57</v>
      </c>
      <c r="M58" s="241" t="s">
        <v>177</v>
      </c>
      <c r="N58" s="244" t="s">
        <v>178</v>
      </c>
      <c r="O58" s="245">
        <v>35000</v>
      </c>
      <c r="P58" s="158">
        <f t="shared" si="2"/>
        <v>57</v>
      </c>
      <c r="Q58" s="149"/>
      <c r="R58" s="149"/>
    </row>
    <row r="59" spans="1:18" s="148" customFormat="1" ht="18.75" x14ac:dyDescent="0.3">
      <c r="A59" s="144">
        <v>55</v>
      </c>
      <c r="B59" s="145" t="s">
        <v>171</v>
      </c>
      <c r="C59" s="144" t="s">
        <v>174</v>
      </c>
      <c r="D59" s="146">
        <v>80000</v>
      </c>
      <c r="E59" s="147"/>
      <c r="F59" s="147"/>
      <c r="G59" s="147"/>
      <c r="H59" s="147"/>
      <c r="I59" s="147"/>
      <c r="J59" s="147"/>
      <c r="K59" s="147"/>
      <c r="L59" s="240">
        <v>58</v>
      </c>
      <c r="M59" s="241" t="s">
        <v>180</v>
      </c>
      <c r="N59" s="244" t="s">
        <v>179</v>
      </c>
      <c r="O59" s="245">
        <v>38000</v>
      </c>
      <c r="P59" s="158">
        <f t="shared" si="2"/>
        <v>58</v>
      </c>
      <c r="Q59" s="149"/>
      <c r="R59" s="149"/>
    </row>
    <row r="60" spans="1:18" s="148" customFormat="1" ht="18.75" x14ac:dyDescent="0.3">
      <c r="A60" s="144">
        <v>56</v>
      </c>
      <c r="B60" s="145" t="s">
        <v>291</v>
      </c>
      <c r="C60" s="144" t="s">
        <v>176</v>
      </c>
      <c r="D60" s="146">
        <v>42000</v>
      </c>
      <c r="E60" s="147"/>
      <c r="F60" s="147"/>
      <c r="G60" s="147"/>
      <c r="H60" s="147"/>
      <c r="I60" s="147"/>
      <c r="J60" s="147"/>
      <c r="K60" s="147"/>
      <c r="L60" s="240">
        <v>59</v>
      </c>
      <c r="M60" s="241" t="s">
        <v>181</v>
      </c>
      <c r="N60" s="244" t="s">
        <v>185</v>
      </c>
      <c r="O60" s="245">
        <v>70000</v>
      </c>
      <c r="P60" s="158">
        <f t="shared" si="2"/>
        <v>59</v>
      </c>
      <c r="Q60" s="149"/>
      <c r="R60" s="149"/>
    </row>
    <row r="61" spans="1:18" s="148" customFormat="1" ht="18.75" x14ac:dyDescent="0.3">
      <c r="A61" s="144">
        <v>57</v>
      </c>
      <c r="B61" s="145" t="s">
        <v>178</v>
      </c>
      <c r="C61" s="144" t="s">
        <v>177</v>
      </c>
      <c r="D61" s="146">
        <v>35000</v>
      </c>
      <c r="E61" s="147"/>
      <c r="F61" s="147"/>
      <c r="G61" s="147"/>
      <c r="H61" s="147"/>
      <c r="I61" s="147"/>
      <c r="J61" s="147"/>
      <c r="K61" s="147"/>
      <c r="L61" s="240">
        <v>60</v>
      </c>
      <c r="M61" s="241" t="s">
        <v>186</v>
      </c>
      <c r="N61" s="244" t="s">
        <v>200</v>
      </c>
      <c r="O61" s="245">
        <v>54000</v>
      </c>
      <c r="P61" s="158">
        <f t="shared" si="2"/>
        <v>60</v>
      </c>
      <c r="Q61" s="149"/>
      <c r="R61" s="149"/>
    </row>
    <row r="62" spans="1:18" s="148" customFormat="1" ht="18.75" x14ac:dyDescent="0.3">
      <c r="A62" s="144">
        <v>58</v>
      </c>
      <c r="B62" s="145" t="s">
        <v>179</v>
      </c>
      <c r="C62" s="144" t="s">
        <v>180</v>
      </c>
      <c r="D62" s="146">
        <v>38000</v>
      </c>
      <c r="E62" s="147"/>
      <c r="F62" s="147"/>
      <c r="G62" s="147"/>
      <c r="H62" s="147"/>
      <c r="I62" s="147"/>
      <c r="J62" s="147"/>
      <c r="K62" s="147"/>
      <c r="L62" s="240">
        <v>61</v>
      </c>
      <c r="M62" s="241" t="s">
        <v>201</v>
      </c>
      <c r="N62" s="244" t="s">
        <v>203</v>
      </c>
      <c r="O62" s="245">
        <v>47000</v>
      </c>
      <c r="P62" s="158">
        <f t="shared" si="2"/>
        <v>61</v>
      </c>
      <c r="Q62" s="149"/>
      <c r="R62" s="149"/>
    </row>
    <row r="63" spans="1:18" s="148" customFormat="1" ht="18.75" x14ac:dyDescent="0.3">
      <c r="A63" s="144">
        <v>59</v>
      </c>
      <c r="B63" s="145" t="s">
        <v>185</v>
      </c>
      <c r="C63" s="144" t="s">
        <v>181</v>
      </c>
      <c r="D63" s="146">
        <v>70000</v>
      </c>
      <c r="E63" s="147"/>
      <c r="F63" s="147"/>
      <c r="G63" s="147"/>
      <c r="H63" s="147"/>
      <c r="I63" s="147"/>
      <c r="J63" s="147"/>
      <c r="K63" s="147"/>
      <c r="L63" s="240">
        <v>62</v>
      </c>
      <c r="M63" s="241" t="s">
        <v>204</v>
      </c>
      <c r="N63" s="244" t="s">
        <v>206</v>
      </c>
      <c r="O63" s="245">
        <v>50000</v>
      </c>
      <c r="P63" s="158">
        <f t="shared" si="2"/>
        <v>62</v>
      </c>
      <c r="Q63" s="149"/>
      <c r="R63" s="149"/>
    </row>
    <row r="64" spans="1:18" s="148" customFormat="1" ht="18.75" x14ac:dyDescent="0.3">
      <c r="A64" s="144">
        <v>60</v>
      </c>
      <c r="B64" s="145" t="s">
        <v>200</v>
      </c>
      <c r="C64" s="144" t="s">
        <v>186</v>
      </c>
      <c r="D64" s="146">
        <v>54000</v>
      </c>
      <c r="E64" s="147"/>
      <c r="F64" s="147"/>
      <c r="G64" s="147"/>
      <c r="H64" s="147"/>
      <c r="I64" s="147"/>
      <c r="J64" s="147"/>
      <c r="K64" s="147"/>
      <c r="L64" s="240">
        <v>63</v>
      </c>
      <c r="M64" s="241" t="s">
        <v>210</v>
      </c>
      <c r="N64" s="244" t="s">
        <v>205</v>
      </c>
      <c r="O64" s="245">
        <v>42000</v>
      </c>
      <c r="P64" s="158">
        <f t="shared" si="2"/>
        <v>63</v>
      </c>
      <c r="Q64" s="149"/>
      <c r="R64" s="149"/>
    </row>
    <row r="65" spans="1:18" s="148" customFormat="1" ht="18.75" x14ac:dyDescent="0.3">
      <c r="A65" s="144">
        <v>61</v>
      </c>
      <c r="B65" s="145" t="s">
        <v>203</v>
      </c>
      <c r="C65" s="144" t="s">
        <v>201</v>
      </c>
      <c r="D65" s="146">
        <v>47000</v>
      </c>
      <c r="E65" s="147"/>
      <c r="F65" s="147"/>
      <c r="G65" s="147"/>
      <c r="H65" s="147"/>
      <c r="I65" s="147"/>
      <c r="J65" s="147"/>
      <c r="K65" s="147"/>
      <c r="L65" s="240">
        <v>64</v>
      </c>
      <c r="M65" s="241" t="s">
        <v>211</v>
      </c>
      <c r="N65" s="244" t="s">
        <v>241</v>
      </c>
      <c r="O65" s="245">
        <v>18000</v>
      </c>
      <c r="P65" s="158">
        <f t="shared" si="2"/>
        <v>64</v>
      </c>
      <c r="Q65" s="149"/>
      <c r="R65" s="149"/>
    </row>
    <row r="66" spans="1:18" ht="18.75" x14ac:dyDescent="0.3">
      <c r="A66" s="144">
        <v>62</v>
      </c>
      <c r="B66" s="145" t="s">
        <v>206</v>
      </c>
      <c r="C66" s="144" t="s">
        <v>204</v>
      </c>
      <c r="D66" s="146">
        <v>50000</v>
      </c>
      <c r="L66" s="240">
        <v>65</v>
      </c>
      <c r="M66" s="241" t="s">
        <v>242</v>
      </c>
      <c r="N66" s="244" t="s">
        <v>233</v>
      </c>
      <c r="O66" s="245">
        <v>23000</v>
      </c>
      <c r="P66" s="158">
        <f t="shared" ref="P66:P78" si="3">IF($N66="","",LOOKUP(2,1/($N66=$B$2:$B$100),$A$2:$A$100))</f>
        <v>65</v>
      </c>
      <c r="Q66" s="149"/>
    </row>
    <row r="67" spans="1:18" ht="18.75" x14ac:dyDescent="0.3">
      <c r="A67" s="144">
        <v>63</v>
      </c>
      <c r="B67" s="145" t="s">
        <v>205</v>
      </c>
      <c r="C67" s="144" t="s">
        <v>210</v>
      </c>
      <c r="D67" s="146">
        <v>42000</v>
      </c>
      <c r="L67" s="240">
        <v>66</v>
      </c>
      <c r="M67" s="241" t="s">
        <v>243</v>
      </c>
      <c r="N67" s="244" t="s">
        <v>234</v>
      </c>
      <c r="O67" s="245">
        <v>26000</v>
      </c>
      <c r="P67" s="158">
        <f t="shared" si="3"/>
        <v>66</v>
      </c>
      <c r="Q67" s="149"/>
    </row>
    <row r="68" spans="1:18" ht="18.75" x14ac:dyDescent="0.3">
      <c r="A68" s="144">
        <v>64</v>
      </c>
      <c r="B68" s="145" t="s">
        <v>241</v>
      </c>
      <c r="C68" s="144" t="s">
        <v>211</v>
      </c>
      <c r="D68" s="146">
        <v>18000</v>
      </c>
      <c r="L68" s="240">
        <v>67</v>
      </c>
      <c r="M68" s="241" t="s">
        <v>244</v>
      </c>
      <c r="N68" s="244" t="s">
        <v>235</v>
      </c>
      <c r="O68" s="245">
        <v>26000</v>
      </c>
      <c r="P68" s="158">
        <f t="shared" si="3"/>
        <v>67</v>
      </c>
      <c r="Q68" s="149"/>
    </row>
    <row r="69" spans="1:18" ht="18.75" x14ac:dyDescent="0.3">
      <c r="A69" s="144">
        <v>65</v>
      </c>
      <c r="B69" s="145" t="s">
        <v>233</v>
      </c>
      <c r="C69" s="144" t="s">
        <v>242</v>
      </c>
      <c r="D69" s="146">
        <v>23000</v>
      </c>
      <c r="L69" s="240">
        <v>68</v>
      </c>
      <c r="M69" s="241" t="s">
        <v>245</v>
      </c>
      <c r="N69" s="244" t="s">
        <v>236</v>
      </c>
      <c r="O69" s="245">
        <v>26000</v>
      </c>
      <c r="P69" s="158">
        <f t="shared" si="3"/>
        <v>68</v>
      </c>
      <c r="Q69" s="149"/>
    </row>
    <row r="70" spans="1:18" ht="18.75" x14ac:dyDescent="0.3">
      <c r="A70" s="144">
        <v>66</v>
      </c>
      <c r="B70" s="145" t="s">
        <v>234</v>
      </c>
      <c r="C70" s="144" t="s">
        <v>243</v>
      </c>
      <c r="D70" s="146">
        <v>26000</v>
      </c>
      <c r="L70" s="240">
        <v>69</v>
      </c>
      <c r="M70" s="241" t="s">
        <v>246</v>
      </c>
      <c r="N70" s="244" t="s">
        <v>237</v>
      </c>
      <c r="O70" s="245">
        <v>26000</v>
      </c>
      <c r="P70" s="158">
        <f t="shared" si="3"/>
        <v>69</v>
      </c>
      <c r="Q70" s="149"/>
    </row>
    <row r="71" spans="1:18" ht="18.75" x14ac:dyDescent="0.3">
      <c r="A71" s="144">
        <v>67</v>
      </c>
      <c r="B71" s="145" t="s">
        <v>235</v>
      </c>
      <c r="C71" s="144" t="s">
        <v>244</v>
      </c>
      <c r="D71" s="146">
        <v>26000</v>
      </c>
      <c r="L71" s="240">
        <v>70</v>
      </c>
      <c r="M71" s="241" t="s">
        <v>247</v>
      </c>
      <c r="N71" s="244" t="s">
        <v>238</v>
      </c>
      <c r="O71" s="245">
        <v>35000</v>
      </c>
      <c r="P71" s="158">
        <f t="shared" si="3"/>
        <v>70</v>
      </c>
      <c r="Q71" s="149"/>
    </row>
    <row r="72" spans="1:18" ht="18.75" x14ac:dyDescent="0.3">
      <c r="A72" s="144">
        <v>68</v>
      </c>
      <c r="B72" s="145" t="s">
        <v>236</v>
      </c>
      <c r="C72" s="144" t="s">
        <v>245</v>
      </c>
      <c r="D72" s="146">
        <v>26000</v>
      </c>
      <c r="L72" s="240">
        <v>71</v>
      </c>
      <c r="M72" s="241" t="s">
        <v>248</v>
      </c>
      <c r="N72" s="244" t="s">
        <v>239</v>
      </c>
      <c r="O72" s="245">
        <v>40000</v>
      </c>
      <c r="P72" s="158">
        <f t="shared" si="3"/>
        <v>71</v>
      </c>
      <c r="Q72" s="149"/>
    </row>
    <row r="73" spans="1:18" ht="18.75" x14ac:dyDescent="0.3">
      <c r="A73" s="144">
        <v>69</v>
      </c>
      <c r="B73" s="145" t="s">
        <v>237</v>
      </c>
      <c r="C73" s="144" t="s">
        <v>246</v>
      </c>
      <c r="D73" s="146">
        <v>26000</v>
      </c>
      <c r="L73" s="240">
        <v>72</v>
      </c>
      <c r="M73" s="241" t="s">
        <v>249</v>
      </c>
      <c r="N73" s="244" t="s">
        <v>240</v>
      </c>
      <c r="O73" s="245">
        <v>43000</v>
      </c>
      <c r="P73" s="158">
        <f t="shared" si="3"/>
        <v>72</v>
      </c>
      <c r="Q73" s="149"/>
    </row>
    <row r="74" spans="1:18" ht="18.75" x14ac:dyDescent="0.3">
      <c r="A74" s="144">
        <v>70</v>
      </c>
      <c r="B74" s="145" t="s">
        <v>238</v>
      </c>
      <c r="C74" s="144" t="s">
        <v>247</v>
      </c>
      <c r="D74" s="146">
        <v>35000</v>
      </c>
      <c r="L74" s="240">
        <v>73</v>
      </c>
      <c r="M74" s="241" t="s">
        <v>250</v>
      </c>
      <c r="N74" s="244" t="s">
        <v>297</v>
      </c>
      <c r="O74" s="245">
        <v>40000</v>
      </c>
      <c r="P74" s="158">
        <f t="shared" si="3"/>
        <v>73</v>
      </c>
      <c r="Q74" s="149"/>
    </row>
    <row r="75" spans="1:18" ht="18.75" x14ac:dyDescent="0.3">
      <c r="A75" s="144">
        <v>71</v>
      </c>
      <c r="B75" s="145" t="s">
        <v>239</v>
      </c>
      <c r="C75" s="144" t="s">
        <v>248</v>
      </c>
      <c r="D75" s="146">
        <v>40000</v>
      </c>
      <c r="L75" s="240" t="s">
        <v>213</v>
      </c>
      <c r="M75" s="241" t="s">
        <v>216</v>
      </c>
      <c r="N75" s="244" t="s">
        <v>219</v>
      </c>
      <c r="O75" s="245">
        <v>60000</v>
      </c>
      <c r="P75" s="158" t="str">
        <f t="shared" si="3"/>
        <v>G1</v>
      </c>
      <c r="Q75" s="149"/>
    </row>
    <row r="76" spans="1:18" ht="18.75" x14ac:dyDescent="0.3">
      <c r="A76" s="144">
        <v>72</v>
      </c>
      <c r="B76" s="145" t="s">
        <v>240</v>
      </c>
      <c r="C76" s="144" t="s">
        <v>249</v>
      </c>
      <c r="D76" s="146">
        <v>43000</v>
      </c>
      <c r="L76" s="240" t="s">
        <v>214</v>
      </c>
      <c r="M76" s="241" t="s">
        <v>217</v>
      </c>
      <c r="N76" s="244" t="s">
        <v>220</v>
      </c>
      <c r="O76" s="245">
        <v>70000</v>
      </c>
      <c r="P76" s="158" t="str">
        <f t="shared" si="3"/>
        <v>G2</v>
      </c>
      <c r="Q76" s="149"/>
    </row>
    <row r="77" spans="1:18" ht="18.75" x14ac:dyDescent="0.3">
      <c r="A77" s="144">
        <v>73</v>
      </c>
      <c r="B77" s="145" t="s">
        <v>297</v>
      </c>
      <c r="C77" s="144" t="s">
        <v>250</v>
      </c>
      <c r="D77" s="146">
        <v>40000</v>
      </c>
      <c r="L77" s="240" t="s">
        <v>215</v>
      </c>
      <c r="M77" s="241" t="s">
        <v>218</v>
      </c>
      <c r="N77" s="244" t="s">
        <v>221</v>
      </c>
      <c r="O77" s="245">
        <v>45000</v>
      </c>
      <c r="P77" s="158" t="str">
        <f t="shared" si="3"/>
        <v>G3</v>
      </c>
      <c r="Q77" s="149"/>
    </row>
    <row r="78" spans="1:18" ht="18.75" x14ac:dyDescent="0.3">
      <c r="B78" s="43"/>
      <c r="C78" s="43"/>
      <c r="D78" s="43"/>
      <c r="L78"/>
      <c r="M78"/>
      <c r="N78"/>
      <c r="O78"/>
      <c r="P78" s="158" t="str">
        <f t="shared" si="3"/>
        <v/>
      </c>
      <c r="Q78" s="149"/>
    </row>
    <row r="79" spans="1:18" x14ac:dyDescent="0.25">
      <c r="L79" s="15"/>
      <c r="M79" s="15"/>
      <c r="N79" s="15"/>
      <c r="O79" s="15"/>
      <c r="P79" s="15"/>
    </row>
    <row r="80" spans="1:18" x14ac:dyDescent="0.25">
      <c r="L80" s="15"/>
      <c r="M80" s="15"/>
      <c r="N80" s="15"/>
      <c r="O80" s="15"/>
      <c r="P80" s="15"/>
    </row>
    <row r="81" spans="12:16" x14ac:dyDescent="0.25">
      <c r="L81" s="15"/>
      <c r="M81" s="15"/>
      <c r="N81" s="15"/>
      <c r="O81" s="15"/>
      <c r="P81" s="15"/>
    </row>
    <row r="82" spans="12:16" x14ac:dyDescent="0.25">
      <c r="L82" s="15"/>
      <c r="M82" s="15"/>
      <c r="N82" s="15"/>
      <c r="O82" s="15"/>
      <c r="P82" s="15"/>
    </row>
    <row r="83" spans="12:16" x14ac:dyDescent="0.25">
      <c r="L83" s="15"/>
      <c r="M83" s="15"/>
      <c r="N83" s="15"/>
      <c r="O83" s="15"/>
      <c r="P83" s="15"/>
    </row>
    <row r="84" spans="12:16" x14ac:dyDescent="0.25">
      <c r="L84" s="15"/>
      <c r="M84" s="15"/>
      <c r="N84" s="15"/>
      <c r="O84" s="15"/>
      <c r="P84" s="15"/>
    </row>
    <row r="85" spans="12:16" x14ac:dyDescent="0.25">
      <c r="L85" s="15"/>
      <c r="M85" s="15"/>
      <c r="N85" s="15"/>
      <c r="O85" s="15"/>
      <c r="P85" s="15"/>
    </row>
    <row r="86" spans="12:16" x14ac:dyDescent="0.25">
      <c r="L86" s="15"/>
      <c r="M86" s="15"/>
      <c r="N86" s="15"/>
      <c r="O86" s="15"/>
      <c r="P86" s="15"/>
    </row>
    <row r="87" spans="12:16" x14ac:dyDescent="0.25">
      <c r="L87" s="15"/>
      <c r="M87" s="15"/>
      <c r="N87" s="15"/>
      <c r="O87" s="15"/>
      <c r="P87" s="15"/>
    </row>
    <row r="88" spans="12:16" x14ac:dyDescent="0.25">
      <c r="L88" s="15"/>
      <c r="M88" s="15"/>
      <c r="N88" s="15"/>
      <c r="O88" s="15"/>
      <c r="P88" s="15"/>
    </row>
    <row r="89" spans="12:16" x14ac:dyDescent="0.25">
      <c r="L89" s="15"/>
      <c r="M89" s="15"/>
      <c r="N89" s="15"/>
      <c r="O89" s="15"/>
      <c r="P89" s="15"/>
    </row>
    <row r="90" spans="12:16" x14ac:dyDescent="0.25">
      <c r="L90" s="15"/>
      <c r="M90" s="15"/>
      <c r="N90" s="15"/>
      <c r="O90" s="15"/>
      <c r="P90" s="15"/>
    </row>
    <row r="91" spans="12:16" x14ac:dyDescent="0.25">
      <c r="L91" s="15"/>
      <c r="M91" s="15"/>
      <c r="N91" s="15"/>
      <c r="O91" s="15"/>
      <c r="P91" s="15"/>
    </row>
    <row r="92" spans="12:16" x14ac:dyDescent="0.25">
      <c r="L92" s="15"/>
      <c r="M92" s="15"/>
      <c r="N92" s="15"/>
      <c r="O92" s="15"/>
      <c r="P92" s="15"/>
    </row>
    <row r="93" spans="12:16" x14ac:dyDescent="0.25">
      <c r="L93" s="15"/>
      <c r="M93" s="15"/>
      <c r="N93" s="15"/>
      <c r="O93" s="15"/>
      <c r="P93" s="15"/>
    </row>
    <row r="94" spans="12:16" x14ac:dyDescent="0.25">
      <c r="L94" s="15"/>
      <c r="M94" s="15"/>
      <c r="N94" s="15"/>
      <c r="O94" s="15"/>
      <c r="P94" s="15"/>
    </row>
    <row r="95" spans="12:16" x14ac:dyDescent="0.25">
      <c r="L95" s="15"/>
      <c r="M95" s="15"/>
      <c r="N95" s="15"/>
      <c r="O95" s="15"/>
      <c r="P95" s="15"/>
    </row>
    <row r="96" spans="12:16" x14ac:dyDescent="0.25">
      <c r="L96" s="15"/>
      <c r="M96" s="15"/>
      <c r="N96" s="15"/>
      <c r="O96" s="15"/>
      <c r="P96" s="15"/>
    </row>
    <row r="97" spans="12:16" x14ac:dyDescent="0.25">
      <c r="L97" s="15"/>
      <c r="M97" s="15"/>
      <c r="N97" s="15"/>
      <c r="O97" s="15"/>
      <c r="P97" s="15"/>
    </row>
    <row r="98" spans="12:16" x14ac:dyDescent="0.25">
      <c r="L98" s="15"/>
      <c r="M98" s="15"/>
      <c r="N98" s="15"/>
      <c r="O98" s="15"/>
      <c r="P98" s="15"/>
    </row>
    <row r="99" spans="12:16" x14ac:dyDescent="0.25">
      <c r="L99" s="15"/>
      <c r="M99" s="15"/>
      <c r="N99" s="15"/>
      <c r="O99" s="15"/>
      <c r="P99" s="15"/>
    </row>
    <row r="100" spans="12:16" x14ac:dyDescent="0.25">
      <c r="L100" s="15"/>
      <c r="M100" s="15"/>
      <c r="N100" s="15"/>
      <c r="O100" s="15"/>
      <c r="P100" s="15"/>
    </row>
    <row r="101" spans="12:16" x14ac:dyDescent="0.25">
      <c r="L101" s="15"/>
      <c r="M101" s="15"/>
      <c r="N101" s="15"/>
      <c r="O101" s="15"/>
      <c r="P101" s="15"/>
    </row>
    <row r="102" spans="12:16" x14ac:dyDescent="0.25">
      <c r="L102" s="15"/>
      <c r="M102" s="15"/>
      <c r="N102" s="15"/>
      <c r="O102" s="15"/>
      <c r="P102" s="15"/>
    </row>
    <row r="103" spans="12:16" x14ac:dyDescent="0.25">
      <c r="L103" s="15"/>
      <c r="M103" s="15"/>
      <c r="N103" s="15"/>
      <c r="O103" s="15"/>
      <c r="P103" s="15"/>
    </row>
    <row r="104" spans="12:16" x14ac:dyDescent="0.25">
      <c r="L104" s="15"/>
      <c r="M104" s="15"/>
      <c r="N104" s="15"/>
      <c r="O104" s="15"/>
      <c r="P104" s="15"/>
    </row>
    <row r="105" spans="12:16" x14ac:dyDescent="0.25">
      <c r="L105" s="15"/>
      <c r="M105" s="15"/>
      <c r="N105" s="15"/>
      <c r="O105" s="15"/>
      <c r="P105" s="15"/>
    </row>
    <row r="106" spans="12:16" x14ac:dyDescent="0.25">
      <c r="L106" s="15"/>
      <c r="M106" s="15"/>
      <c r="N106" s="15"/>
      <c r="O106" s="15"/>
      <c r="P106" s="15"/>
    </row>
    <row r="107" spans="12:16" x14ac:dyDescent="0.25">
      <c r="L107" s="15"/>
      <c r="M107" s="15"/>
      <c r="N107" s="15"/>
      <c r="O107" s="15"/>
      <c r="P107" s="15"/>
    </row>
    <row r="108" spans="12:16" x14ac:dyDescent="0.25">
      <c r="L108" s="15"/>
      <c r="M108" s="15"/>
      <c r="N108" s="15"/>
      <c r="O108" s="15"/>
      <c r="P108" s="15"/>
    </row>
    <row r="109" spans="12:16" x14ac:dyDescent="0.25">
      <c r="L109" s="15"/>
      <c r="M109" s="15"/>
      <c r="N109" s="15"/>
      <c r="O109" s="15"/>
      <c r="P109" s="15"/>
    </row>
    <row r="110" spans="12:16" x14ac:dyDescent="0.25">
      <c r="L110" s="15"/>
      <c r="M110" s="15"/>
      <c r="N110" s="15"/>
      <c r="O110" s="15"/>
      <c r="P110" s="15"/>
    </row>
    <row r="111" spans="12:16" x14ac:dyDescent="0.25">
      <c r="L111" s="15"/>
      <c r="M111" s="15"/>
      <c r="N111" s="15"/>
      <c r="O111" s="15"/>
      <c r="P111" s="15"/>
    </row>
    <row r="112" spans="12:16" x14ac:dyDescent="0.25">
      <c r="L112" s="15"/>
      <c r="M112" s="15"/>
      <c r="N112" s="15"/>
      <c r="O112" s="15"/>
      <c r="P112" s="15"/>
    </row>
    <row r="113" spans="12:16" x14ac:dyDescent="0.25">
      <c r="L113" s="15"/>
      <c r="M113" s="15"/>
      <c r="N113" s="15"/>
      <c r="O113" s="15"/>
      <c r="P113" s="15"/>
    </row>
    <row r="114" spans="12:16" x14ac:dyDescent="0.25">
      <c r="L114" s="15"/>
      <c r="M114" s="15"/>
      <c r="N114" s="15"/>
      <c r="O114" s="15"/>
      <c r="P114" s="15"/>
    </row>
    <row r="115" spans="12:16" x14ac:dyDescent="0.25">
      <c r="L115" s="15"/>
      <c r="M115" s="15"/>
      <c r="N115" s="15"/>
      <c r="O115" s="15"/>
      <c r="P115" s="15"/>
    </row>
    <row r="116" spans="12:16" x14ac:dyDescent="0.25">
      <c r="L116" s="15"/>
      <c r="M116" s="15"/>
      <c r="N116" s="15"/>
      <c r="O116" s="15"/>
      <c r="P116" s="15"/>
    </row>
    <row r="117" spans="12:16" x14ac:dyDescent="0.25">
      <c r="L117" s="15"/>
      <c r="M117" s="15"/>
      <c r="N117" s="15"/>
      <c r="O117" s="15"/>
      <c r="P117" s="15"/>
    </row>
    <row r="118" spans="12:16" x14ac:dyDescent="0.25">
      <c r="L118" s="15"/>
      <c r="M118" s="15"/>
      <c r="N118" s="15"/>
      <c r="O118" s="15"/>
      <c r="P118" s="15"/>
    </row>
    <row r="119" spans="12:16" x14ac:dyDescent="0.25">
      <c r="L119" s="15"/>
      <c r="M119" s="15"/>
      <c r="N119" s="15"/>
      <c r="O119" s="15"/>
      <c r="P119" s="15"/>
    </row>
    <row r="120" spans="12:16" x14ac:dyDescent="0.25">
      <c r="L120" s="15"/>
      <c r="M120" s="15"/>
      <c r="N120" s="15"/>
      <c r="O120" s="15"/>
      <c r="P120" s="15"/>
    </row>
    <row r="121" spans="12:16" x14ac:dyDescent="0.25">
      <c r="L121" s="15"/>
      <c r="M121" s="15"/>
      <c r="N121" s="15"/>
      <c r="O121" s="15"/>
      <c r="P121" s="15"/>
    </row>
    <row r="122" spans="12:16" x14ac:dyDescent="0.25">
      <c r="L122" s="15"/>
      <c r="M122" s="15"/>
      <c r="N122" s="15"/>
      <c r="O122" s="15"/>
      <c r="P122" s="15"/>
    </row>
    <row r="123" spans="12:16" x14ac:dyDescent="0.25">
      <c r="L123" s="15"/>
      <c r="M123" s="15"/>
      <c r="N123" s="15"/>
      <c r="O123" s="15"/>
      <c r="P123" s="15"/>
    </row>
    <row r="124" spans="12:16" x14ac:dyDescent="0.25">
      <c r="L124" s="15"/>
      <c r="M124" s="15"/>
      <c r="N124" s="15"/>
      <c r="O124" s="15"/>
      <c r="P124" s="15"/>
    </row>
    <row r="125" spans="12:16" x14ac:dyDescent="0.25">
      <c r="L125" s="15"/>
      <c r="M125" s="15"/>
      <c r="N125" s="15"/>
      <c r="O125" s="15"/>
      <c r="P125" s="15"/>
    </row>
    <row r="126" spans="12:16" x14ac:dyDescent="0.25">
      <c r="L126" s="15"/>
      <c r="M126" s="15"/>
      <c r="N126" s="15"/>
      <c r="O126" s="15"/>
      <c r="P126" s="15"/>
    </row>
    <row r="127" spans="12:16" x14ac:dyDescent="0.25">
      <c r="L127" s="15"/>
      <c r="M127" s="15"/>
      <c r="N127" s="15"/>
      <c r="O127" s="15"/>
      <c r="P127" s="15"/>
    </row>
    <row r="128" spans="12:16" x14ac:dyDescent="0.25">
      <c r="L128" s="15"/>
      <c r="M128" s="15"/>
      <c r="N128" s="15"/>
      <c r="O128" s="15"/>
      <c r="P128" s="15"/>
    </row>
    <row r="129" spans="12:16" x14ac:dyDescent="0.25">
      <c r="L129" s="15"/>
      <c r="M129" s="15"/>
      <c r="N129" s="15"/>
      <c r="O129" s="15"/>
      <c r="P129" s="15"/>
    </row>
    <row r="130" spans="12:16" x14ac:dyDescent="0.25">
      <c r="L130" s="15"/>
      <c r="M130" s="15"/>
      <c r="N130" s="15"/>
      <c r="O130" s="15"/>
      <c r="P130" s="15"/>
    </row>
    <row r="131" spans="12:16" x14ac:dyDescent="0.25">
      <c r="L131" s="15"/>
      <c r="M131" s="15"/>
      <c r="N131" s="15"/>
      <c r="O131" s="15"/>
      <c r="P131" s="15"/>
    </row>
    <row r="132" spans="12:16" x14ac:dyDescent="0.25">
      <c r="L132" s="15"/>
      <c r="M132" s="15"/>
      <c r="N132" s="15"/>
      <c r="O132" s="15"/>
      <c r="P132" s="15"/>
    </row>
    <row r="133" spans="12:16" x14ac:dyDescent="0.25">
      <c r="L133" s="15"/>
      <c r="M133" s="15"/>
      <c r="N133" s="15"/>
      <c r="O133" s="15"/>
      <c r="P133" s="15"/>
    </row>
    <row r="134" spans="12:16" x14ac:dyDescent="0.25">
      <c r="L134" s="15"/>
      <c r="M134" s="15"/>
      <c r="N134" s="15"/>
      <c r="O134" s="15"/>
      <c r="P134" s="15"/>
    </row>
    <row r="135" spans="12:16" x14ac:dyDescent="0.25">
      <c r="L135" s="15"/>
      <c r="M135" s="15"/>
      <c r="N135" s="15"/>
      <c r="O135" s="15"/>
      <c r="P135" s="15"/>
    </row>
    <row r="136" spans="12:16" x14ac:dyDescent="0.25">
      <c r="L136" s="15"/>
      <c r="M136" s="15"/>
      <c r="N136" s="15"/>
      <c r="O136" s="15"/>
      <c r="P136" s="15"/>
    </row>
    <row r="137" spans="12:16" x14ac:dyDescent="0.25">
      <c r="L137" s="15"/>
      <c r="M137" s="15"/>
      <c r="N137" s="15"/>
      <c r="O137" s="15"/>
      <c r="P137" s="15"/>
    </row>
    <row r="138" spans="12:16" x14ac:dyDescent="0.25">
      <c r="L138" s="15"/>
      <c r="M138" s="15"/>
      <c r="N138" s="15"/>
      <c r="O138" s="15"/>
      <c r="P138" s="15"/>
    </row>
    <row r="139" spans="12:16" x14ac:dyDescent="0.25">
      <c r="L139" s="15"/>
      <c r="M139" s="15"/>
      <c r="N139" s="15"/>
      <c r="O139" s="15"/>
      <c r="P139" s="15"/>
    </row>
    <row r="140" spans="12:16" x14ac:dyDescent="0.25">
      <c r="L140" s="15"/>
      <c r="M140" s="15"/>
      <c r="N140" s="15"/>
      <c r="O140" s="15"/>
      <c r="P140" s="15"/>
    </row>
    <row r="141" spans="12:16" x14ac:dyDescent="0.25">
      <c r="L141" s="15"/>
      <c r="M141" s="15"/>
      <c r="N141" s="15"/>
      <c r="O141" s="15"/>
      <c r="P141" s="15"/>
    </row>
    <row r="142" spans="12:16" x14ac:dyDescent="0.25">
      <c r="L142" s="15"/>
      <c r="M142" s="15"/>
      <c r="N142" s="15"/>
      <c r="O142" s="15"/>
      <c r="P142" s="15"/>
    </row>
    <row r="143" spans="12:16" x14ac:dyDescent="0.25">
      <c r="L143" s="15"/>
      <c r="M143" s="15"/>
      <c r="N143" s="15"/>
      <c r="O143" s="15"/>
      <c r="P143" s="15"/>
    </row>
    <row r="144" spans="12:16" x14ac:dyDescent="0.25">
      <c r="L144" s="15"/>
      <c r="M144" s="15"/>
      <c r="N144" s="15"/>
      <c r="O144" s="15"/>
      <c r="P144" s="15"/>
    </row>
    <row r="145" spans="12:16" x14ac:dyDescent="0.25">
      <c r="L145" s="15"/>
      <c r="M145" s="15"/>
      <c r="N145" s="15"/>
      <c r="O145" s="15"/>
      <c r="P145" s="15"/>
    </row>
    <row r="146" spans="12:16" x14ac:dyDescent="0.25">
      <c r="L146" s="15"/>
      <c r="M146" s="15"/>
      <c r="N146" s="15"/>
      <c r="O146" s="15"/>
      <c r="P146" s="15"/>
    </row>
    <row r="147" spans="12:16" x14ac:dyDescent="0.25">
      <c r="L147" s="15"/>
      <c r="M147" s="15"/>
      <c r="N147" s="15"/>
      <c r="O147" s="15"/>
      <c r="P147" s="15"/>
    </row>
    <row r="148" spans="12:16" x14ac:dyDescent="0.25">
      <c r="L148" s="15"/>
      <c r="M148" s="15"/>
      <c r="N148" s="15"/>
      <c r="O148" s="15"/>
      <c r="P148" s="15"/>
    </row>
    <row r="149" spans="12:16" x14ac:dyDescent="0.25">
      <c r="L149" s="15"/>
      <c r="M149" s="15"/>
      <c r="N149" s="15"/>
      <c r="O149" s="15"/>
      <c r="P149" s="15"/>
    </row>
    <row r="150" spans="12:16" x14ac:dyDescent="0.25">
      <c r="L150" s="15"/>
      <c r="M150" s="15"/>
      <c r="N150" s="15"/>
      <c r="O150" s="15"/>
      <c r="P150" s="15"/>
    </row>
    <row r="151" spans="12:16" x14ac:dyDescent="0.25">
      <c r="L151" s="15"/>
      <c r="M151" s="15"/>
      <c r="N151" s="15"/>
      <c r="O151" s="15"/>
      <c r="P151" s="15"/>
    </row>
    <row r="152" spans="12:16" x14ac:dyDescent="0.25">
      <c r="L152" s="15"/>
      <c r="M152" s="15"/>
      <c r="N152" s="15"/>
      <c r="O152" s="15"/>
      <c r="P152" s="15"/>
    </row>
    <row r="153" spans="12:16" x14ac:dyDescent="0.25">
      <c r="L153" s="15"/>
      <c r="M153" s="15"/>
      <c r="N153" s="15"/>
      <c r="O153" s="15"/>
      <c r="P153" s="15"/>
    </row>
    <row r="154" spans="12:16" x14ac:dyDescent="0.25">
      <c r="L154" s="15"/>
      <c r="M154" s="15"/>
      <c r="N154" s="15"/>
      <c r="O154" s="15"/>
      <c r="P154" s="15"/>
    </row>
    <row r="155" spans="12:16" x14ac:dyDescent="0.25">
      <c r="L155" s="15"/>
      <c r="M155" s="15"/>
      <c r="N155" s="15"/>
      <c r="O155" s="15"/>
      <c r="P155" s="15"/>
    </row>
    <row r="156" spans="12:16" x14ac:dyDescent="0.25">
      <c r="L156" s="15"/>
      <c r="M156" s="15"/>
      <c r="N156" s="15"/>
      <c r="O156" s="15"/>
      <c r="P156" s="15"/>
    </row>
    <row r="157" spans="12:16" x14ac:dyDescent="0.25">
      <c r="L157" s="15"/>
      <c r="M157" s="15"/>
      <c r="N157" s="15"/>
      <c r="O157" s="15"/>
      <c r="P157" s="15"/>
    </row>
    <row r="158" spans="12:16" x14ac:dyDescent="0.25">
      <c r="L158" s="15"/>
      <c r="M158" s="15"/>
      <c r="N158" s="15"/>
      <c r="O158" s="15"/>
      <c r="P158" s="15"/>
    </row>
    <row r="159" spans="12:16" x14ac:dyDescent="0.25">
      <c r="L159" s="15"/>
      <c r="M159" s="15"/>
      <c r="N159" s="15"/>
      <c r="O159" s="15"/>
      <c r="P159" s="15"/>
    </row>
    <row r="160" spans="12:16" x14ac:dyDescent="0.25">
      <c r="L160" s="15"/>
      <c r="M160" s="15"/>
      <c r="N160" s="15"/>
      <c r="O160" s="15"/>
      <c r="P160" s="15"/>
    </row>
    <row r="161" spans="12:16" x14ac:dyDescent="0.25">
      <c r="L161" s="15"/>
      <c r="M161" s="15"/>
      <c r="N161" s="15"/>
      <c r="O161" s="15"/>
      <c r="P161" s="15"/>
    </row>
    <row r="162" spans="12:16" x14ac:dyDescent="0.25">
      <c r="L162" s="15"/>
      <c r="M162" s="15"/>
      <c r="N162" s="15"/>
      <c r="O162" s="15"/>
      <c r="P162" s="15"/>
    </row>
    <row r="163" spans="12:16" x14ac:dyDescent="0.25">
      <c r="L163" s="15"/>
      <c r="M163" s="15"/>
      <c r="N163" s="15"/>
      <c r="O163" s="15"/>
      <c r="P163" s="15"/>
    </row>
    <row r="164" spans="12:16" x14ac:dyDescent="0.25">
      <c r="L164" s="15"/>
      <c r="M164" s="15"/>
      <c r="N164" s="15"/>
      <c r="O164" s="15"/>
      <c r="P164" s="15"/>
    </row>
    <row r="165" spans="12:16" x14ac:dyDescent="0.25">
      <c r="L165" s="15"/>
      <c r="M165" s="15"/>
      <c r="N165" s="15"/>
      <c r="O165" s="15"/>
      <c r="P165" s="15"/>
    </row>
    <row r="166" spans="12:16" x14ac:dyDescent="0.25">
      <c r="L166" s="15"/>
      <c r="M166" s="15"/>
      <c r="N166" s="15"/>
      <c r="O166" s="15"/>
      <c r="P166" s="15"/>
    </row>
    <row r="167" spans="12:16" x14ac:dyDescent="0.25">
      <c r="L167" s="15"/>
      <c r="M167" s="15"/>
      <c r="N167" s="15"/>
      <c r="O167" s="15"/>
      <c r="P167" s="15"/>
    </row>
    <row r="168" spans="12:16" x14ac:dyDescent="0.25">
      <c r="L168" s="15"/>
      <c r="M168" s="15"/>
      <c r="N168" s="15"/>
      <c r="O168" s="15"/>
      <c r="P168" s="15"/>
    </row>
    <row r="169" spans="12:16" x14ac:dyDescent="0.25">
      <c r="L169" s="15"/>
      <c r="M169" s="15"/>
      <c r="N169" s="15"/>
      <c r="O169" s="15"/>
      <c r="P169" s="15"/>
    </row>
    <row r="170" spans="12:16" x14ac:dyDescent="0.25">
      <c r="L170" s="15"/>
      <c r="M170" s="15"/>
      <c r="N170" s="15"/>
      <c r="O170" s="15"/>
      <c r="P170" s="15"/>
    </row>
    <row r="171" spans="12:16" x14ac:dyDescent="0.25">
      <c r="L171" s="15"/>
      <c r="M171" s="15"/>
      <c r="N171" s="15"/>
      <c r="O171" s="15"/>
      <c r="P171" s="15"/>
    </row>
    <row r="172" spans="12:16" x14ac:dyDescent="0.25">
      <c r="L172" s="15"/>
      <c r="M172" s="15"/>
      <c r="N172" s="15"/>
      <c r="O172" s="15"/>
      <c r="P172" s="15"/>
    </row>
    <row r="173" spans="12:16" x14ac:dyDescent="0.25">
      <c r="L173" s="15"/>
      <c r="M173" s="15"/>
      <c r="N173" s="15"/>
      <c r="O173" s="15"/>
      <c r="P173" s="15"/>
    </row>
    <row r="174" spans="12:16" x14ac:dyDescent="0.25">
      <c r="L174" s="15"/>
      <c r="M174" s="15"/>
      <c r="N174" s="15"/>
      <c r="O174" s="15"/>
      <c r="P174" s="15"/>
    </row>
    <row r="175" spans="12:16" x14ac:dyDescent="0.25">
      <c r="L175" s="15"/>
      <c r="M175" s="15"/>
      <c r="N175" s="15"/>
      <c r="O175" s="15"/>
      <c r="P175" s="15"/>
    </row>
    <row r="176" spans="12:16" x14ac:dyDescent="0.25">
      <c r="L176" s="15"/>
      <c r="M176" s="15"/>
      <c r="N176" s="15"/>
      <c r="O176" s="15"/>
      <c r="P176" s="15"/>
    </row>
    <row r="177" spans="12:16" x14ac:dyDescent="0.25">
      <c r="L177" s="15"/>
      <c r="M177" s="15"/>
      <c r="N177" s="15"/>
      <c r="O177" s="15"/>
      <c r="P177" s="15"/>
    </row>
    <row r="178" spans="12:16" x14ac:dyDescent="0.25">
      <c r="L178" s="15"/>
      <c r="M178" s="15"/>
      <c r="N178" s="15"/>
      <c r="O178" s="15"/>
      <c r="P178" s="15"/>
    </row>
    <row r="179" spans="12:16" x14ac:dyDescent="0.25">
      <c r="L179" s="15"/>
      <c r="M179" s="15"/>
      <c r="N179" s="15"/>
      <c r="O179" s="15"/>
      <c r="P179" s="15"/>
    </row>
    <row r="180" spans="12:16" x14ac:dyDescent="0.25">
      <c r="L180" s="15"/>
      <c r="M180" s="15"/>
      <c r="N180" s="15"/>
      <c r="O180" s="15"/>
      <c r="P180" s="15"/>
    </row>
    <row r="181" spans="12:16" x14ac:dyDescent="0.25">
      <c r="L181" s="15"/>
      <c r="M181" s="15"/>
      <c r="N181" s="15"/>
      <c r="O181" s="15"/>
      <c r="P181" s="15"/>
    </row>
    <row r="182" spans="12:16" x14ac:dyDescent="0.25">
      <c r="L182" s="15"/>
      <c r="M182" s="15"/>
      <c r="N182" s="15"/>
      <c r="O182" s="15"/>
      <c r="P182" s="15"/>
    </row>
    <row r="183" spans="12:16" x14ac:dyDescent="0.25">
      <c r="L183" s="15"/>
      <c r="M183" s="15"/>
      <c r="N183" s="15"/>
      <c r="O183" s="15"/>
      <c r="P183" s="15"/>
    </row>
    <row r="184" spans="12:16" x14ac:dyDescent="0.25">
      <c r="L184" s="15"/>
      <c r="M184" s="15"/>
      <c r="N184" s="15"/>
      <c r="O184" s="15"/>
      <c r="P184" s="15"/>
    </row>
    <row r="185" spans="12:16" x14ac:dyDescent="0.25">
      <c r="L185" s="15"/>
      <c r="M185" s="15"/>
      <c r="N185" s="15"/>
      <c r="O185" s="15"/>
      <c r="P185" s="15"/>
    </row>
    <row r="186" spans="12:16" x14ac:dyDescent="0.25">
      <c r="L186" s="15"/>
      <c r="M186" s="15"/>
      <c r="N186" s="15"/>
      <c r="O186" s="15"/>
      <c r="P186" s="15"/>
    </row>
    <row r="187" spans="12:16" x14ac:dyDescent="0.25">
      <c r="L187" s="15"/>
      <c r="M187" s="15"/>
      <c r="N187" s="15"/>
      <c r="O187" s="15"/>
      <c r="P187" s="15"/>
    </row>
    <row r="188" spans="12:16" x14ac:dyDescent="0.25">
      <c r="L188" s="15"/>
      <c r="M188" s="15"/>
      <c r="N188" s="15"/>
      <c r="O188" s="15"/>
      <c r="P188" s="15"/>
    </row>
    <row r="189" spans="12:16" x14ac:dyDescent="0.25">
      <c r="L189" s="15"/>
      <c r="M189" s="15"/>
      <c r="N189" s="15"/>
      <c r="O189" s="15"/>
      <c r="P189" s="15"/>
    </row>
    <row r="190" spans="12:16" x14ac:dyDescent="0.25">
      <c r="L190" s="15"/>
      <c r="M190" s="15"/>
      <c r="N190" s="15"/>
      <c r="O190" s="15"/>
      <c r="P190" s="15"/>
    </row>
    <row r="191" spans="12:16" x14ac:dyDescent="0.25">
      <c r="L191" s="15"/>
      <c r="M191" s="15"/>
      <c r="N191" s="15"/>
      <c r="O191" s="15"/>
      <c r="P191" s="15"/>
    </row>
    <row r="192" spans="12:16" x14ac:dyDescent="0.25">
      <c r="L192" s="15"/>
      <c r="M192" s="15"/>
      <c r="N192" s="15"/>
      <c r="O192" s="15"/>
      <c r="P192" s="15"/>
    </row>
    <row r="193" spans="12:16" x14ac:dyDescent="0.25">
      <c r="L193" s="15"/>
      <c r="M193" s="15"/>
      <c r="N193" s="15"/>
      <c r="O193" s="15"/>
      <c r="P193" s="15"/>
    </row>
    <row r="194" spans="12:16" x14ac:dyDescent="0.25">
      <c r="L194" s="15"/>
      <c r="M194" s="15"/>
      <c r="N194" s="15"/>
      <c r="O194" s="15"/>
      <c r="P194" s="15"/>
    </row>
    <row r="195" spans="12:16" x14ac:dyDescent="0.25">
      <c r="L195" s="15"/>
      <c r="M195" s="15"/>
      <c r="N195" s="15"/>
      <c r="O195" s="15"/>
      <c r="P195" s="15"/>
    </row>
    <row r="196" spans="12:16" x14ac:dyDescent="0.25">
      <c r="L196" s="15"/>
      <c r="M196" s="15"/>
      <c r="N196" s="15"/>
      <c r="O196" s="15"/>
      <c r="P196" s="15"/>
    </row>
    <row r="197" spans="12:16" x14ac:dyDescent="0.25">
      <c r="L197" s="15"/>
      <c r="M197" s="15"/>
      <c r="N197" s="15"/>
      <c r="O197" s="15"/>
      <c r="P197" s="15"/>
    </row>
    <row r="198" spans="12:16" x14ac:dyDescent="0.25">
      <c r="L198" s="15"/>
      <c r="M198" s="15"/>
      <c r="N198" s="15"/>
      <c r="O198" s="15"/>
      <c r="P198" s="15"/>
    </row>
    <row r="199" spans="12:16" x14ac:dyDescent="0.25">
      <c r="L199" s="15"/>
      <c r="M199" s="15"/>
      <c r="N199" s="15"/>
      <c r="O199" s="15"/>
      <c r="P199" s="15"/>
    </row>
    <row r="200" spans="12:16" x14ac:dyDescent="0.25">
      <c r="L200" s="15"/>
      <c r="M200" s="15"/>
      <c r="N200" s="15"/>
      <c r="O200" s="15"/>
      <c r="P200" s="15"/>
    </row>
    <row r="201" spans="12:16" x14ac:dyDescent="0.25">
      <c r="L201" s="15"/>
      <c r="M201" s="15"/>
      <c r="N201" s="15"/>
      <c r="O201" s="15"/>
      <c r="P201" s="15"/>
    </row>
    <row r="202" spans="12:16" x14ac:dyDescent="0.25">
      <c r="L202" s="15"/>
      <c r="M202" s="15"/>
      <c r="N202" s="15"/>
      <c r="O202" s="15"/>
      <c r="P202" s="15"/>
    </row>
    <row r="203" spans="12:16" x14ac:dyDescent="0.25">
      <c r="L203" s="15"/>
      <c r="M203" s="15"/>
      <c r="N203" s="15"/>
      <c r="O203" s="15"/>
      <c r="P203" s="15"/>
    </row>
    <row r="204" spans="12:16" x14ac:dyDescent="0.25">
      <c r="L204" s="15"/>
      <c r="M204" s="15"/>
      <c r="N204" s="15"/>
      <c r="O204" s="15"/>
      <c r="P204" s="15"/>
    </row>
    <row r="205" spans="12:16" x14ac:dyDescent="0.25">
      <c r="L205" s="15"/>
      <c r="M205" s="15"/>
      <c r="N205" s="15"/>
      <c r="O205" s="15"/>
      <c r="P205" s="15"/>
    </row>
    <row r="206" spans="12:16" x14ac:dyDescent="0.25">
      <c r="L206" s="15"/>
      <c r="M206" s="15"/>
      <c r="N206" s="15"/>
      <c r="O206" s="15"/>
      <c r="P206" s="15"/>
    </row>
    <row r="207" spans="12:16" x14ac:dyDescent="0.25">
      <c r="L207" s="15"/>
      <c r="M207" s="15"/>
      <c r="N207" s="15"/>
      <c r="O207" s="15"/>
      <c r="P207" s="15"/>
    </row>
    <row r="208" spans="12:16" x14ac:dyDescent="0.25">
      <c r="L208" s="15"/>
      <c r="M208" s="15"/>
      <c r="N208" s="15"/>
      <c r="O208" s="15"/>
      <c r="P208" s="15"/>
    </row>
    <row r="209" spans="12:16" x14ac:dyDescent="0.25">
      <c r="L209" s="15"/>
      <c r="M209" s="15"/>
      <c r="N209" s="15"/>
      <c r="O209" s="15"/>
      <c r="P209" s="15"/>
    </row>
    <row r="210" spans="12:16" x14ac:dyDescent="0.25">
      <c r="L210" s="15"/>
      <c r="M210" s="15"/>
      <c r="N210" s="15"/>
      <c r="O210" s="15"/>
      <c r="P210" s="15"/>
    </row>
    <row r="211" spans="12:16" x14ac:dyDescent="0.25">
      <c r="L211" s="15"/>
      <c r="M211" s="15"/>
      <c r="N211" s="15"/>
      <c r="O211" s="15"/>
      <c r="P211" s="15"/>
    </row>
    <row r="212" spans="12:16" x14ac:dyDescent="0.25">
      <c r="L212" s="15"/>
      <c r="M212" s="15"/>
      <c r="N212" s="15"/>
      <c r="O212" s="15"/>
      <c r="P212" s="15"/>
    </row>
    <row r="213" spans="12:16" x14ac:dyDescent="0.25">
      <c r="L213" s="15"/>
      <c r="M213" s="15"/>
      <c r="N213" s="15"/>
      <c r="O213" s="15"/>
      <c r="P213" s="15"/>
    </row>
    <row r="214" spans="12:16" x14ac:dyDescent="0.25">
      <c r="L214" s="15"/>
      <c r="M214" s="15"/>
      <c r="N214" s="15"/>
      <c r="O214" s="15"/>
      <c r="P214" s="15"/>
    </row>
    <row r="215" spans="12:16" x14ac:dyDescent="0.25">
      <c r="L215" s="15"/>
      <c r="M215" s="15"/>
      <c r="N215" s="15"/>
      <c r="O215" s="15"/>
      <c r="P215" s="15"/>
    </row>
    <row r="216" spans="12:16" x14ac:dyDescent="0.25">
      <c r="L216" s="15"/>
      <c r="M216" s="15"/>
      <c r="N216" s="15"/>
      <c r="O216" s="15"/>
      <c r="P216" s="15"/>
    </row>
    <row r="217" spans="12:16" x14ac:dyDescent="0.25">
      <c r="L217" s="15"/>
      <c r="M217" s="15"/>
      <c r="N217" s="15"/>
      <c r="O217" s="15"/>
      <c r="P217" s="15"/>
    </row>
    <row r="218" spans="12:16" x14ac:dyDescent="0.25">
      <c r="L218" s="15"/>
      <c r="M218" s="15"/>
      <c r="N218" s="15"/>
      <c r="O218" s="15"/>
      <c r="P218" s="15"/>
    </row>
    <row r="219" spans="12:16" x14ac:dyDescent="0.25">
      <c r="L219" s="15"/>
      <c r="M219" s="15"/>
      <c r="N219" s="15"/>
      <c r="O219" s="15"/>
      <c r="P219" s="15"/>
    </row>
    <row r="220" spans="12:16" x14ac:dyDescent="0.25">
      <c r="L220" s="15"/>
      <c r="M220" s="15"/>
      <c r="N220" s="15"/>
      <c r="O220" s="15"/>
      <c r="P220" s="15"/>
    </row>
    <row r="221" spans="12:16" x14ac:dyDescent="0.25">
      <c r="L221" s="15"/>
      <c r="M221" s="15"/>
      <c r="N221" s="15"/>
      <c r="O221" s="15"/>
      <c r="P221" s="15"/>
    </row>
    <row r="222" spans="12:16" x14ac:dyDescent="0.25">
      <c r="L222" s="15"/>
      <c r="M222" s="15"/>
      <c r="N222" s="15"/>
      <c r="O222" s="15"/>
      <c r="P222" s="15"/>
    </row>
    <row r="223" spans="12:16" x14ac:dyDescent="0.25">
      <c r="L223" s="15"/>
      <c r="M223" s="15"/>
      <c r="N223" s="15"/>
      <c r="O223" s="15"/>
      <c r="P223" s="15"/>
    </row>
    <row r="224" spans="12:16" x14ac:dyDescent="0.25">
      <c r="L224" s="15"/>
      <c r="M224" s="15"/>
      <c r="N224" s="15"/>
      <c r="O224" s="15"/>
      <c r="P224" s="15"/>
    </row>
    <row r="225" spans="12:16" x14ac:dyDescent="0.25">
      <c r="L225" s="15"/>
      <c r="M225" s="15"/>
      <c r="N225" s="15"/>
      <c r="O225" s="15"/>
      <c r="P225" s="15"/>
    </row>
    <row r="226" spans="12:16" x14ac:dyDescent="0.25">
      <c r="L226" s="15"/>
      <c r="M226" s="15"/>
      <c r="N226" s="15"/>
      <c r="O226" s="15"/>
      <c r="P226" s="15"/>
    </row>
    <row r="227" spans="12:16" x14ac:dyDescent="0.25">
      <c r="L227" s="15"/>
      <c r="M227" s="15"/>
      <c r="N227" s="15"/>
      <c r="O227" s="15"/>
      <c r="P227" s="15"/>
    </row>
    <row r="228" spans="12:16" x14ac:dyDescent="0.25">
      <c r="L228" s="15"/>
      <c r="M228" s="15"/>
      <c r="N228" s="15"/>
      <c r="O228" s="15"/>
      <c r="P228" s="15"/>
    </row>
    <row r="229" spans="12:16" x14ac:dyDescent="0.25">
      <c r="L229" s="15"/>
      <c r="M229" s="15"/>
      <c r="N229" s="15"/>
      <c r="O229" s="15"/>
      <c r="P229" s="15"/>
    </row>
    <row r="230" spans="12:16" x14ac:dyDescent="0.25">
      <c r="L230" s="15"/>
      <c r="M230" s="15"/>
      <c r="N230" s="15"/>
      <c r="O230" s="15"/>
      <c r="P230" s="15"/>
    </row>
    <row r="231" spans="12:16" x14ac:dyDescent="0.25">
      <c r="L231" s="15"/>
      <c r="M231" s="15"/>
      <c r="N231" s="15"/>
      <c r="O231" s="15"/>
      <c r="P231" s="15"/>
    </row>
    <row r="232" spans="12:16" x14ac:dyDescent="0.25">
      <c r="L232" s="15"/>
      <c r="M232" s="15"/>
      <c r="N232" s="15"/>
      <c r="O232" s="15"/>
      <c r="P232" s="15"/>
    </row>
    <row r="233" spans="12:16" x14ac:dyDescent="0.25">
      <c r="L233" s="15"/>
      <c r="M233" s="15"/>
      <c r="N233" s="15"/>
      <c r="O233" s="15"/>
      <c r="P233" s="15"/>
    </row>
    <row r="234" spans="12:16" x14ac:dyDescent="0.25">
      <c r="L234" s="15"/>
      <c r="M234" s="15"/>
      <c r="N234" s="15"/>
      <c r="O234" s="15"/>
      <c r="P234" s="15"/>
    </row>
    <row r="235" spans="12:16" x14ac:dyDescent="0.25">
      <c r="L235" s="15"/>
      <c r="M235" s="15"/>
      <c r="N235" s="15"/>
      <c r="O235" s="15"/>
      <c r="P235" s="15"/>
    </row>
    <row r="236" spans="12:16" x14ac:dyDescent="0.25">
      <c r="L236" s="15"/>
      <c r="M236" s="15"/>
      <c r="N236" s="15"/>
      <c r="O236" s="15"/>
      <c r="P236" s="15"/>
    </row>
    <row r="237" spans="12:16" x14ac:dyDescent="0.25">
      <c r="L237" s="15"/>
      <c r="M237" s="15"/>
      <c r="N237" s="15"/>
      <c r="O237" s="15"/>
      <c r="P237" s="15"/>
    </row>
    <row r="238" spans="12:16" x14ac:dyDescent="0.25">
      <c r="L238" s="15"/>
      <c r="M238" s="15"/>
      <c r="N238" s="15"/>
      <c r="O238" s="15"/>
      <c r="P238" s="15"/>
    </row>
    <row r="239" spans="12:16" x14ac:dyDescent="0.25">
      <c r="L239" s="15"/>
      <c r="M239" s="15"/>
      <c r="N239" s="15"/>
      <c r="O239" s="15"/>
      <c r="P239" s="15"/>
    </row>
    <row r="240" spans="12:16" x14ac:dyDescent="0.25">
      <c r="L240" s="15"/>
      <c r="M240" s="15"/>
      <c r="N240" s="15"/>
      <c r="O240" s="15"/>
      <c r="P240" s="15"/>
    </row>
    <row r="241" spans="12:16" x14ac:dyDescent="0.25">
      <c r="L241" s="15"/>
      <c r="M241" s="15"/>
      <c r="N241" s="15"/>
      <c r="O241" s="15"/>
      <c r="P241" s="15"/>
    </row>
  </sheetData>
  <autoFilter ref="A1:D77"/>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5121" r:id="rId5" name="Button 1">
              <controlPr defaultSize="0" print="0" autoFill="0" autoPict="0" macro="[0]!Macro6">
                <anchor moveWithCells="1" sizeWithCells="1">
                  <from>
                    <xdr:col>0</xdr:col>
                    <xdr:colOff>47625</xdr:colOff>
                    <xdr:row>0</xdr:row>
                    <xdr:rowOff>47625</xdr:rowOff>
                  </from>
                  <to>
                    <xdr:col>1</xdr:col>
                    <xdr:colOff>714375</xdr:colOff>
                    <xdr:row>1</xdr:row>
                    <xdr:rowOff>19050</xdr:rowOff>
                  </to>
                </anchor>
              </controlPr>
            </control>
          </mc:Choice>
        </mc:AlternateContent>
      </controls>
    </mc:Choice>
  </mc:AlternateContent>
  <extLst>
    <ext xmlns:x14="http://schemas.microsoft.com/office/spreadsheetml/2009/9/main" uri="{A8765BA9-456A-4dab-B4F3-ACF838C121DE}">
      <x14:slicerList>
        <x14:slicer r:id="rId6"/>
      </x14:slicerList>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tabColor rgb="FFFF0000"/>
  </sheetPr>
  <dimension ref="A1:BC80"/>
  <sheetViews>
    <sheetView tabSelected="1" zoomScale="90" zoomScaleNormal="90" workbookViewId="0">
      <pane ySplit="4" topLeftCell="A5" activePane="bottomLeft" state="frozen"/>
      <selection activeCell="L29" sqref="L2:L29"/>
      <selection pane="bottomLeft" activeCell="G10" sqref="G10"/>
    </sheetView>
  </sheetViews>
  <sheetFormatPr defaultRowHeight="15.75" x14ac:dyDescent="0.25"/>
  <cols>
    <col min="1" max="1" width="16.28515625" style="43" customWidth="1"/>
    <col min="2" max="2" width="49.140625" style="42" customWidth="1"/>
    <col min="3" max="3" width="19.5703125" style="42" customWidth="1"/>
    <col min="4" max="4" width="15.7109375" style="42" customWidth="1"/>
    <col min="5" max="5" width="19.28515625" style="42" customWidth="1"/>
    <col min="6" max="6" width="12.5703125" style="42" customWidth="1"/>
    <col min="7" max="7" width="11.42578125" style="42" customWidth="1"/>
    <col min="8" max="11" width="12.28515625" style="42" customWidth="1"/>
    <col min="12" max="28" width="10.85546875" style="42" customWidth="1"/>
    <col min="29" max="36" width="9.140625" style="42"/>
    <col min="37" max="37" width="11.42578125" style="42" customWidth="1"/>
    <col min="38" max="16384" width="9.140625" style="42"/>
  </cols>
  <sheetData>
    <row r="1" spans="1:55" s="218" customFormat="1" ht="20.25" customHeight="1" x14ac:dyDescent="0.25">
      <c r="A1" s="225">
        <f ca="1">'Quốc Nhân'!N4+'La Cusina'!N4+TVP!M4+Gà!N4+Kitkool!N4-('Quốc Nhân'!K4+'La Cusina'!K4+TVP!J4+Gà!K4+Kitkool!K4-('Quốc Nhân'!A4+'La Cusina'!A4+TVP!A4+Gà!A4+Kitkool!A4))</f>
        <v>37715.675370307523</v>
      </c>
      <c r="B1" s="231" t="str">
        <f>"Tiền Hàng: "&amp;INT('Quốc Nhân'!K4+'La Cusina'!K4+TVP!J4+Gà!K4+Kitkool!K4)</f>
        <v>Tiền Hàng: 279090</v>
      </c>
      <c r="C1" s="230" t="str">
        <f ca="1">"Giá trị hàng Tồn: "&amp;INT('Quốc Nhân'!A4+'La Cusina'!A4+TVP!A4+Gà!A4+Kitkool!A4)</f>
        <v>Giá trị hàng Tồn: 68609</v>
      </c>
      <c r="D1" s="229" t="str">
        <f ca="1">"Giá trị Hàng xuất: "&amp;CHAR(10)&amp;INT('Quốc Nhân'!K4+'La Cusina'!K4+TVP!J4+Gà!K4+Kitkool!K4-('Quốc Nhân'!A4+'La Cusina'!A4+TVP!A4+Gà!A4+Kitkool!A4))</f>
        <v>Giá trị Hàng xuất: 
210480</v>
      </c>
      <c r="E1" s="232" t="str">
        <f ca="1">"Doanh Thu Tích Lũy: "&amp;INT('Quốc Nhân'!N4+'La Cusina'!N4+TVP!M4+Gà!N4+Kitkool!N4)</f>
        <v>Doanh Thu Tích Lũy: 248196</v>
      </c>
      <c r="F1" s="227">
        <v>6933</v>
      </c>
      <c r="G1" s="212">
        <f>-774-503+13</f>
        <v>-1264</v>
      </c>
      <c r="H1" s="213" t="s">
        <v>276</v>
      </c>
      <c r="I1" s="214">
        <f>-176</f>
        <v>-176</v>
      </c>
      <c r="J1" s="215" t="s">
        <v>277</v>
      </c>
      <c r="K1" s="216"/>
      <c r="L1" s="217"/>
      <c r="M1" s="217"/>
      <c r="N1" s="217"/>
    </row>
    <row r="2" spans="1:55" s="218" customFormat="1" ht="20.25" customHeight="1" x14ac:dyDescent="0.25">
      <c r="A2" s="226"/>
      <c r="B2" s="231"/>
      <c r="C2" s="230"/>
      <c r="D2" s="229"/>
      <c r="E2" s="232"/>
      <c r="F2" s="228"/>
      <c r="G2" s="219">
        <v>-675</v>
      </c>
      <c r="H2" s="220" t="s">
        <v>292</v>
      </c>
      <c r="I2" s="221"/>
      <c r="J2" s="221"/>
      <c r="K2" s="221"/>
    </row>
    <row r="3" spans="1:55" s="43" customFormat="1" ht="30" customHeight="1" x14ac:dyDescent="0.25">
      <c r="A3" s="32" t="s">
        <v>106</v>
      </c>
      <c r="B3" s="32" t="s">
        <v>17</v>
      </c>
      <c r="C3" s="32" t="s">
        <v>107</v>
      </c>
      <c r="D3" s="32" t="s">
        <v>117</v>
      </c>
      <c r="E3" s="54" t="s">
        <v>55</v>
      </c>
      <c r="F3" s="54" t="s">
        <v>119</v>
      </c>
      <c r="G3" s="32" t="s">
        <v>136</v>
      </c>
      <c r="H3" s="54" t="s">
        <v>138</v>
      </c>
      <c r="I3" s="77" t="s">
        <v>137</v>
      </c>
      <c r="J3" s="54" t="s">
        <v>120</v>
      </c>
      <c r="K3" s="56" t="s">
        <v>121</v>
      </c>
      <c r="L3" s="43">
        <v>2</v>
      </c>
      <c r="M3" s="43">
        <v>3</v>
      </c>
      <c r="N3" s="43">
        <v>4</v>
      </c>
      <c r="O3" s="43">
        <v>5</v>
      </c>
      <c r="P3" s="43">
        <v>6</v>
      </c>
      <c r="Q3" s="43">
        <v>7</v>
      </c>
      <c r="R3" s="43">
        <v>8</v>
      </c>
      <c r="S3" s="43">
        <v>9</v>
      </c>
      <c r="T3" s="43">
        <v>10</v>
      </c>
      <c r="U3" s="43">
        <v>11</v>
      </c>
      <c r="V3" s="43">
        <v>12</v>
      </c>
      <c r="W3" s="43">
        <v>13</v>
      </c>
      <c r="X3" s="43">
        <v>14</v>
      </c>
      <c r="Y3" s="43">
        <v>15</v>
      </c>
      <c r="Z3" s="43">
        <v>16</v>
      </c>
      <c r="AA3" s="43">
        <v>17</v>
      </c>
      <c r="AB3" s="43">
        <v>18</v>
      </c>
      <c r="AC3" s="43">
        <v>19</v>
      </c>
      <c r="AD3" s="43">
        <v>20</v>
      </c>
      <c r="AE3" s="43">
        <v>21</v>
      </c>
      <c r="AF3" s="43">
        <v>22</v>
      </c>
      <c r="AG3" s="43">
        <v>23</v>
      </c>
      <c r="AH3" s="43">
        <v>24</v>
      </c>
      <c r="AI3" s="43">
        <v>25</v>
      </c>
      <c r="AJ3" s="43">
        <v>26</v>
      </c>
      <c r="AK3" s="43">
        <v>27</v>
      </c>
      <c r="AL3" s="43">
        <v>28</v>
      </c>
      <c r="AM3" s="43">
        <v>29</v>
      </c>
      <c r="AN3" s="43">
        <v>30</v>
      </c>
      <c r="AO3" s="43">
        <v>31</v>
      </c>
      <c r="AP3" s="43">
        <v>32</v>
      </c>
      <c r="AQ3" s="43">
        <v>33</v>
      </c>
      <c r="AR3" s="43">
        <v>34</v>
      </c>
      <c r="AS3" s="43">
        <v>35</v>
      </c>
      <c r="AT3" s="43">
        <v>36</v>
      </c>
      <c r="AU3" s="43">
        <v>37</v>
      </c>
      <c r="AV3" s="43">
        <v>38</v>
      </c>
      <c r="AW3" s="43">
        <v>39</v>
      </c>
      <c r="AX3" s="43">
        <v>40</v>
      </c>
      <c r="AY3" s="43">
        <v>41</v>
      </c>
      <c r="AZ3" s="43">
        <v>42</v>
      </c>
      <c r="BA3" s="43">
        <v>43</v>
      </c>
      <c r="BB3" s="43">
        <v>44</v>
      </c>
      <c r="BC3" s="43">
        <v>45</v>
      </c>
    </row>
    <row r="4" spans="1:55" s="62" customFormat="1" ht="25.5" customHeight="1" x14ac:dyDescent="0.25">
      <c r="A4" s="55"/>
      <c r="B4" s="55">
        <f>SUBTOTAL(3,B5:B790)</f>
        <v>76</v>
      </c>
      <c r="C4" s="55"/>
      <c r="D4" s="55"/>
      <c r="E4" s="55"/>
      <c r="F4" s="55">
        <f ca="1">SUMPRODUCT(($E$5:$E$80)*($F$5:$F$80))</f>
        <v>63</v>
      </c>
      <c r="G4" s="55"/>
      <c r="H4" s="76">
        <f ca="1">SUBTOTAL(9,H5:H100)</f>
        <v>615503.91560974612</v>
      </c>
      <c r="I4" s="76">
        <f ca="1">K4-J4</f>
        <v>592503.91560974624</v>
      </c>
      <c r="J4" s="40">
        <f ca="1">SUBTOTAL(9,J5:J100)</f>
        <v>3701496.0843902538</v>
      </c>
      <c r="K4" s="61">
        <f ca="1">SUM(L4:BC4)</f>
        <v>4294000</v>
      </c>
      <c r="L4" s="81">
        <f t="shared" ref="L4:AN4" ca="1" si="0">IFERROR(INDIRECT("'Thanh Toán ("&amp;L$3&amp;")'!$H"&amp;SUBTOTAL(3,INDIRECT("'Thanh Toán ("&amp;L$3&amp;")'!$H$8:$H$50"))+7-COUNTIF(INDIRECT("'Thanh Toán ("&amp;L$3&amp;")'!$H$8:$H$50"),""&amp;"*")),"")</f>
        <v>468000</v>
      </c>
      <c r="M4" s="81">
        <f t="shared" ca="1" si="0"/>
        <v>1019000</v>
      </c>
      <c r="N4" s="81">
        <f t="shared" ca="1" si="0"/>
        <v>176000</v>
      </c>
      <c r="O4" s="81">
        <f t="shared" ca="1" si="0"/>
        <v>466000</v>
      </c>
      <c r="P4" s="81">
        <f t="shared" ca="1" si="0"/>
        <v>63000</v>
      </c>
      <c r="Q4" s="81">
        <f t="shared" ca="1" si="0"/>
        <v>1023000</v>
      </c>
      <c r="R4" s="81">
        <f t="shared" ca="1" si="0"/>
        <v>66000</v>
      </c>
      <c r="S4" s="81">
        <f t="shared" ca="1" si="0"/>
        <v>350000</v>
      </c>
      <c r="T4" s="81">
        <f t="shared" ca="1" si="0"/>
        <v>143000</v>
      </c>
      <c r="U4" s="81">
        <f t="shared" ca="1" si="0"/>
        <v>80000</v>
      </c>
      <c r="V4" s="81">
        <f t="shared" ca="1" si="0"/>
        <v>23000</v>
      </c>
      <c r="W4" s="81">
        <f t="shared" ca="1" si="0"/>
        <v>150000</v>
      </c>
      <c r="X4" s="81">
        <f t="shared" ca="1" si="0"/>
        <v>186000</v>
      </c>
      <c r="Y4" s="81">
        <f t="shared" ca="1" si="0"/>
        <v>81000</v>
      </c>
      <c r="Z4" s="81" t="str">
        <f t="shared" ca="1" si="0"/>
        <v/>
      </c>
      <c r="AA4" s="81" t="str">
        <f t="shared" ca="1" si="0"/>
        <v/>
      </c>
      <c r="AB4" s="81" t="str">
        <f t="shared" ca="1" si="0"/>
        <v/>
      </c>
      <c r="AC4" s="81" t="str">
        <f t="shared" ca="1" si="0"/>
        <v/>
      </c>
      <c r="AD4" s="81" t="str">
        <f t="shared" ca="1" si="0"/>
        <v/>
      </c>
      <c r="AE4" s="81" t="str">
        <f t="shared" ca="1" si="0"/>
        <v/>
      </c>
      <c r="AF4" s="81" t="str">
        <f t="shared" ca="1" si="0"/>
        <v/>
      </c>
      <c r="AG4" s="81" t="str">
        <f t="shared" ca="1" si="0"/>
        <v/>
      </c>
      <c r="AH4" s="81" t="str">
        <f t="shared" ca="1" si="0"/>
        <v/>
      </c>
      <c r="AI4" s="81" t="str">
        <f t="shared" ca="1" si="0"/>
        <v/>
      </c>
      <c r="AJ4" s="81" t="str">
        <f t="shared" ca="1" si="0"/>
        <v/>
      </c>
      <c r="AK4" s="81" t="str">
        <f t="shared" ca="1" si="0"/>
        <v/>
      </c>
      <c r="AL4" s="81" t="str">
        <f t="shared" ca="1" si="0"/>
        <v/>
      </c>
      <c r="AM4" s="81" t="str">
        <f t="shared" ca="1" si="0"/>
        <v/>
      </c>
      <c r="AN4" s="81" t="str">
        <f t="shared" ca="1" si="0"/>
        <v/>
      </c>
      <c r="AO4" s="81" t="str">
        <f t="shared" ref="AO4:BC4" ca="1" si="1">IFERROR(INDIRECT("'Thanh Toán ("&amp;AO$3&amp;")'!$H"&amp;SUBTOTAL(3,INDIRECT("'Thanh Toán ("&amp;AO$3&amp;")'!$H$8:$H$50"))+7-COUNTIF(INDIRECT("'Thanh Toán ("&amp;AO$3&amp;")'!$H$8:$H$50"),""&amp;"*")),"")</f>
        <v/>
      </c>
      <c r="AP4" s="81" t="str">
        <f t="shared" ca="1" si="1"/>
        <v/>
      </c>
      <c r="AQ4" s="81" t="str">
        <f t="shared" ca="1" si="1"/>
        <v/>
      </c>
      <c r="AR4" s="81" t="str">
        <f t="shared" ca="1" si="1"/>
        <v/>
      </c>
      <c r="AS4" s="81" t="str">
        <f t="shared" ca="1" si="1"/>
        <v/>
      </c>
      <c r="AT4" s="81" t="str">
        <f t="shared" ca="1" si="1"/>
        <v/>
      </c>
      <c r="AU4" s="81" t="str">
        <f t="shared" ca="1" si="1"/>
        <v/>
      </c>
      <c r="AV4" s="81" t="str">
        <f t="shared" ca="1" si="1"/>
        <v/>
      </c>
      <c r="AW4" s="81" t="str">
        <f t="shared" ca="1" si="1"/>
        <v/>
      </c>
      <c r="AX4" s="81" t="str">
        <f t="shared" ca="1" si="1"/>
        <v/>
      </c>
      <c r="AY4" s="81" t="str">
        <f t="shared" ca="1" si="1"/>
        <v/>
      </c>
      <c r="AZ4" s="81" t="str">
        <f t="shared" ca="1" si="1"/>
        <v/>
      </c>
      <c r="BA4" s="81" t="str">
        <f t="shared" ca="1" si="1"/>
        <v/>
      </c>
      <c r="BB4" s="81" t="str">
        <f t="shared" ca="1" si="1"/>
        <v/>
      </c>
      <c r="BC4" s="81" t="str">
        <f t="shared" ca="1" si="1"/>
        <v/>
      </c>
    </row>
    <row r="5" spans="1:55" ht="18" customHeight="1" x14ac:dyDescent="0.25">
      <c r="A5" s="201" t="s">
        <v>213</v>
      </c>
      <c r="B5" s="202" t="s">
        <v>219</v>
      </c>
      <c r="C5" s="201" t="s">
        <v>216</v>
      </c>
      <c r="D5" s="203">
        <v>60000</v>
      </c>
      <c r="E5" s="204">
        <v>1</v>
      </c>
      <c r="F5" s="205">
        <f t="shared" ref="F5:F36" ca="1" si="2">SUM(L5:BR5)</f>
        <v>0</v>
      </c>
      <c r="G5" s="206">
        <f>IFERROR(VLOOKUP($B5,Gà!C:J,8,0),IFERROR(VLOOKUP($B5,TVP!C:J,7,0),IFERROR(VLOOKUP($B5,Kitkool!C:J,8,0),IFERROR(VLOOKUP($B5,'La Cusina'!C:J,8,0),VLOOKUP($B5,'Quốc Nhân'!C:J,8,0)))))</f>
        <v>48.224652059096421</v>
      </c>
      <c r="H5" s="207">
        <f ca="1">(D5-G5*1000)*$F5</f>
        <v>0</v>
      </c>
      <c r="I5" s="207"/>
      <c r="J5" s="207">
        <f ca="1">F5*G5*1000</f>
        <v>0</v>
      </c>
      <c r="K5" s="53"/>
      <c r="L5" s="184">
        <f ca="1">IFERROR(SUMIFS(INDIRECT("'Thanh Toán ("&amp;L$3&amp;")'!$F:$F"),INDIRECT("'Thanh Toán ("&amp;L$3&amp;")'!$D:$D"),'Tổng Đơn'!$B5),0)</f>
        <v>0</v>
      </c>
      <c r="M5" s="184">
        <f ca="1">IFERROR(SUMIFS(INDIRECT("'Thanh Toán ("&amp;M$3&amp;")'!$F:$F"),INDIRECT("'Thanh Toán ("&amp;M$3&amp;")'!$D:$D"),'Tổng Đơn'!$B5),0)</f>
        <v>0</v>
      </c>
      <c r="N5" s="184">
        <f ca="1">IFERROR(SUMIFS(INDIRECT("'Thanh Toán ("&amp;N$3&amp;")'!$F:$F"),INDIRECT("'Thanh Toán ("&amp;N$3&amp;")'!$D:$D"),'Tổng Đơn'!$B5),0)</f>
        <v>0</v>
      </c>
      <c r="O5" s="184">
        <f ca="1">IFERROR(SUMIFS(INDIRECT("'Thanh Toán ("&amp;O$3&amp;")'!$F:$F"),INDIRECT("'Thanh Toán ("&amp;O$3&amp;")'!$D:$D"),'Tổng Đơn'!$B5),0)</f>
        <v>0</v>
      </c>
      <c r="P5" s="184">
        <f ca="1">IFERROR(SUMIFS(INDIRECT("'Thanh Toán ("&amp;P$3&amp;")'!$F:$F"),INDIRECT("'Thanh Toán ("&amp;P$3&amp;")'!$D:$D"),'Tổng Đơn'!$B5),0)</f>
        <v>0</v>
      </c>
      <c r="Q5" s="184">
        <f ca="1">IFERROR(SUMIFS(INDIRECT("'Thanh Toán ("&amp;Q$3&amp;")'!$F:$F"),INDIRECT("'Thanh Toán ("&amp;Q$3&amp;")'!$D:$D"),'Tổng Đơn'!$B5),0)</f>
        <v>0</v>
      </c>
      <c r="R5" s="184">
        <f ca="1">IFERROR(SUMIFS(INDIRECT("'Thanh Toán ("&amp;R$3&amp;")'!$F:$F"),INDIRECT("'Thanh Toán ("&amp;R$3&amp;")'!$D:$D"),'Tổng Đơn'!$B5),0)</f>
        <v>0</v>
      </c>
      <c r="S5" s="184">
        <f ca="1">IFERROR(SUMIFS(INDIRECT("'Thanh Toán ("&amp;S$3&amp;")'!$F:$F"),INDIRECT("'Thanh Toán ("&amp;S$3&amp;")'!$D:$D"),'Tổng Đơn'!$B5),0)</f>
        <v>0</v>
      </c>
      <c r="T5" s="184">
        <f ca="1">IFERROR(SUMIFS(INDIRECT("'Thanh Toán ("&amp;T$3&amp;")'!$F:$F"),INDIRECT("'Thanh Toán ("&amp;T$3&amp;")'!$D:$D"),'Tổng Đơn'!$B5),0)</f>
        <v>0</v>
      </c>
      <c r="U5" s="184">
        <f ca="1">IFERROR(SUMIFS(INDIRECT("'Thanh Toán ("&amp;U$3&amp;")'!$F:$F"),INDIRECT("'Thanh Toán ("&amp;U$3&amp;")'!$D:$D"),'Tổng Đơn'!$B5),0)</f>
        <v>0</v>
      </c>
      <c r="V5" s="184">
        <f ca="1">IFERROR(SUMIFS(INDIRECT("'Thanh Toán ("&amp;V$3&amp;")'!$F:$F"),INDIRECT("'Thanh Toán ("&amp;V$3&amp;")'!$D:$D"),'Tổng Đơn'!$B5),0)</f>
        <v>0</v>
      </c>
      <c r="W5" s="184">
        <f ca="1">IFERROR(SUMIFS(INDIRECT("'Thanh Toán ("&amp;W$3&amp;")'!$F:$F"),INDIRECT("'Thanh Toán ("&amp;W$3&amp;")'!$D:$D"),'Tổng Đơn'!$B5),0)</f>
        <v>0</v>
      </c>
      <c r="X5" s="184">
        <f ca="1">IFERROR(SUMIFS(INDIRECT("'Thanh Toán ("&amp;X$3&amp;")'!$F:$F"),INDIRECT("'Thanh Toán ("&amp;X$3&amp;")'!$D:$D"),'Tổng Đơn'!$B5),0)</f>
        <v>0</v>
      </c>
      <c r="Y5" s="184">
        <f ca="1">IFERROR(SUMIFS(INDIRECT("'Thanh Toán ("&amp;Y$3&amp;")'!$F:$F"),INDIRECT("'Thanh Toán ("&amp;Y$3&amp;")'!$D:$D"),'Tổng Đơn'!$B5),0)</f>
        <v>0</v>
      </c>
      <c r="Z5" s="184">
        <f ca="1">IFERROR(SUMIFS(INDIRECT("'Thanh Toán ("&amp;Z$3&amp;")'!$F:$F"),INDIRECT("'Thanh Toán ("&amp;Z$3&amp;")'!$D:$D"),'Tổng Đơn'!$B5),0)</f>
        <v>0</v>
      </c>
      <c r="AA5" s="184">
        <f ca="1">IFERROR(SUMIFS(INDIRECT("'Thanh Toán ("&amp;AA$3&amp;")'!$F:$F"),INDIRECT("'Thanh Toán ("&amp;AA$3&amp;")'!$D:$D"),'Tổng Đơn'!$B5),0)</f>
        <v>0</v>
      </c>
      <c r="AB5" s="184">
        <f ca="1">IFERROR(SUMIFS(INDIRECT("'Thanh Toán ("&amp;AB$3&amp;")'!$F:$F"),INDIRECT("'Thanh Toán ("&amp;AB$3&amp;")'!$D:$D"),'Tổng Đơn'!$B5),0)</f>
        <v>0</v>
      </c>
      <c r="AC5" s="184">
        <f ca="1">IFERROR(SUMIFS(INDIRECT("'Thanh Toán ("&amp;AC$3&amp;")'!$F:$F"),INDIRECT("'Thanh Toán ("&amp;AC$3&amp;")'!$D:$D"),'Tổng Đơn'!$B5),0)</f>
        <v>0</v>
      </c>
      <c r="AD5" s="184">
        <f ca="1">IFERROR(SUMIFS(INDIRECT("'Thanh Toán ("&amp;AD$3&amp;")'!$F:$F"),INDIRECT("'Thanh Toán ("&amp;AD$3&amp;")'!$D:$D"),'Tổng Đơn'!$B5),0)</f>
        <v>0</v>
      </c>
      <c r="AE5" s="184">
        <f ca="1">IFERROR(SUMIFS(INDIRECT("'Thanh Toán ("&amp;AE$3&amp;")'!$F:$F"),INDIRECT("'Thanh Toán ("&amp;AE$3&amp;")'!$D:$D"),'Tổng Đơn'!$B5),0)</f>
        <v>0</v>
      </c>
      <c r="AF5" s="184">
        <f ca="1">IFERROR(SUMIFS(INDIRECT("'Thanh Toán ("&amp;AF$3&amp;")'!$F:$F"),INDIRECT("'Thanh Toán ("&amp;AF$3&amp;")'!$D:$D"),'Tổng Đơn'!$B5),0)</f>
        <v>0</v>
      </c>
      <c r="AG5" s="184">
        <f ca="1">IFERROR(SUMIFS(INDIRECT("'Thanh Toán ("&amp;AG$3&amp;")'!$F:$F"),INDIRECT("'Thanh Toán ("&amp;AG$3&amp;")'!$D:$D"),'Tổng Đơn'!$B5),0)</f>
        <v>0</v>
      </c>
      <c r="AH5" s="184">
        <f ca="1">IFERROR(SUMIFS(INDIRECT("'Thanh Toán ("&amp;AH$3&amp;")'!$F:$F"),INDIRECT("'Thanh Toán ("&amp;AH$3&amp;")'!$D:$D"),'Tổng Đơn'!$B5),0)</f>
        <v>0</v>
      </c>
      <c r="AI5" s="184">
        <f ca="1">IFERROR(SUMIFS(INDIRECT("'Thanh Toán ("&amp;AI$3&amp;")'!$F:$F"),INDIRECT("'Thanh Toán ("&amp;AI$3&amp;")'!$D:$D"),'Tổng Đơn'!$B5),0)</f>
        <v>0</v>
      </c>
      <c r="AJ5" s="184">
        <f ca="1">IFERROR(SUMIFS(INDIRECT("'Thanh Toán ("&amp;AJ$3&amp;")'!$F:$F"),INDIRECT("'Thanh Toán ("&amp;AJ$3&amp;")'!$D:$D"),'Tổng Đơn'!$B5),0)</f>
        <v>0</v>
      </c>
      <c r="AK5" s="184">
        <f ca="1">IFERROR(SUMIFS(INDIRECT("'Thanh Toán ("&amp;AK$3&amp;")'!$F:$F"),INDIRECT("'Thanh Toán ("&amp;AK$3&amp;")'!$D:$D"),'Tổng Đơn'!$B5),0)</f>
        <v>0</v>
      </c>
      <c r="AL5" s="184">
        <f ca="1">IFERROR(SUMIFS(INDIRECT("'Thanh Toán ("&amp;AL$3&amp;")'!$F:$F"),INDIRECT("'Thanh Toán ("&amp;AL$3&amp;")'!$D:$D"),'Tổng Đơn'!$B5),0)</f>
        <v>0</v>
      </c>
      <c r="AM5" s="184">
        <f ca="1">IFERROR(SUMIFS(INDIRECT("'Thanh Toán ("&amp;AM$3&amp;")'!$F:$F"),INDIRECT("'Thanh Toán ("&amp;AM$3&amp;")'!$D:$D"),'Tổng Đơn'!$B5),0)</f>
        <v>0</v>
      </c>
      <c r="AN5" s="184">
        <f ca="1">IFERROR(SUMIFS(INDIRECT("'Thanh Toán ("&amp;AN$3&amp;")'!$F:$F"),INDIRECT("'Thanh Toán ("&amp;AN$3&amp;")'!$D:$D"),'Tổng Đơn'!$B5),0)</f>
        <v>0</v>
      </c>
      <c r="AO5" s="184">
        <f ca="1">IFERROR(SUMIFS(INDIRECT("'Thanh Toán ("&amp;AO$3&amp;")'!$F:$F"),INDIRECT("'Thanh Toán ("&amp;AO$3&amp;")'!$D:$D"),'Tổng Đơn'!$B5),0)</f>
        <v>0</v>
      </c>
      <c r="AP5" s="184">
        <f ca="1">IFERROR(SUMIFS(INDIRECT("'Thanh Toán ("&amp;AP$3&amp;")'!$F:$F"),INDIRECT("'Thanh Toán ("&amp;AP$3&amp;")'!$D:$D"),'Tổng Đơn'!$B5),0)</f>
        <v>0</v>
      </c>
      <c r="AQ5" s="184">
        <f ca="1">IFERROR(SUMIFS(INDIRECT("'Thanh Toán ("&amp;AQ$3&amp;")'!$F:$F"),INDIRECT("'Thanh Toán ("&amp;AQ$3&amp;")'!$D:$D"),'Tổng Đơn'!$B5),0)</f>
        <v>0</v>
      </c>
      <c r="AR5" s="184">
        <f ca="1">IFERROR(SUMIFS(INDIRECT("'Thanh Toán ("&amp;AR$3&amp;")'!$F:$F"),INDIRECT("'Thanh Toán ("&amp;AR$3&amp;")'!$D:$D"),'Tổng Đơn'!$B5),0)</f>
        <v>0</v>
      </c>
      <c r="AS5" s="184">
        <f ca="1">IFERROR(SUMIFS(INDIRECT("'Thanh Toán ("&amp;AS$3&amp;")'!$F:$F"),INDIRECT("'Thanh Toán ("&amp;AS$3&amp;")'!$D:$D"),'Tổng Đơn'!$B5),0)</f>
        <v>0</v>
      </c>
      <c r="AT5" s="184">
        <f ca="1">IFERROR(SUMIFS(INDIRECT("'Thanh Toán ("&amp;AT$3&amp;")'!$F:$F"),INDIRECT("'Thanh Toán ("&amp;AT$3&amp;")'!$D:$D"),'Tổng Đơn'!$B5),0)</f>
        <v>0</v>
      </c>
      <c r="AU5" s="184">
        <f ca="1">IFERROR(SUMIFS(INDIRECT("'Thanh Toán ("&amp;AU$3&amp;")'!$F:$F"),INDIRECT("'Thanh Toán ("&amp;AU$3&amp;")'!$D:$D"),'Tổng Đơn'!$B5),0)</f>
        <v>0</v>
      </c>
      <c r="AV5" s="184">
        <f ca="1">IFERROR(SUMIFS(INDIRECT("'Thanh Toán ("&amp;AV$3&amp;")'!$F:$F"),INDIRECT("'Thanh Toán ("&amp;AV$3&amp;")'!$D:$D"),'Tổng Đơn'!$B5),0)</f>
        <v>0</v>
      </c>
      <c r="AW5" s="184">
        <f ca="1">IFERROR(SUMIFS(INDIRECT("'Thanh Toán ("&amp;AW$3&amp;")'!$F:$F"),INDIRECT("'Thanh Toán ("&amp;AW$3&amp;")'!$D:$D"),'Tổng Đơn'!$B5),0)</f>
        <v>0</v>
      </c>
      <c r="AX5" s="184">
        <f ca="1">IFERROR(SUMIFS(INDIRECT("'Thanh Toán ("&amp;AX$3&amp;")'!$F:$F"),INDIRECT("'Thanh Toán ("&amp;AX$3&amp;")'!$D:$D"),'Tổng Đơn'!$B5),0)</f>
        <v>0</v>
      </c>
      <c r="AY5" s="184">
        <f ca="1">IFERROR(SUMIFS(INDIRECT("'Thanh Toán ("&amp;AY$3&amp;")'!$F:$F"),INDIRECT("'Thanh Toán ("&amp;AY$3&amp;")'!$D:$D"),'Tổng Đơn'!$B5),0)</f>
        <v>0</v>
      </c>
      <c r="AZ5" s="184">
        <f ca="1">IFERROR(SUMIFS(INDIRECT("'Thanh Toán ("&amp;AZ$3&amp;")'!$F:$F"),INDIRECT("'Thanh Toán ("&amp;AZ$3&amp;")'!$D:$D"),'Tổng Đơn'!$B5),0)</f>
        <v>0</v>
      </c>
      <c r="BA5" s="184">
        <f ca="1">IFERROR(SUMIFS(INDIRECT("'Thanh Toán ("&amp;BA$3&amp;")'!$F:$F"),INDIRECT("'Thanh Toán ("&amp;BA$3&amp;")'!$D:$D"),'Tổng Đơn'!$B5),0)</f>
        <v>0</v>
      </c>
      <c r="BB5" s="184">
        <f ca="1">IFERROR(SUMIFS(INDIRECT("'Thanh Toán ("&amp;BB$3&amp;")'!$F:$F"),INDIRECT("'Thanh Toán ("&amp;BB$3&amp;")'!$D:$D"),'Tổng Đơn'!$B5),0)</f>
        <v>0</v>
      </c>
      <c r="BC5" s="184">
        <f ca="1">IFERROR(SUMIFS(INDIRECT("'Thanh Toán ("&amp;BC$3&amp;")'!$F:$F"),INDIRECT("'Thanh Toán ("&amp;BC$3&amp;")'!$D:$D"),'Tổng Đơn'!$B5),0)</f>
        <v>0</v>
      </c>
    </row>
    <row r="6" spans="1:55" ht="18" customHeight="1" x14ac:dyDescent="0.25">
      <c r="A6" s="201" t="s">
        <v>214</v>
      </c>
      <c r="B6" s="202" t="s">
        <v>220</v>
      </c>
      <c r="C6" s="201" t="s">
        <v>217</v>
      </c>
      <c r="D6" s="203">
        <v>70000</v>
      </c>
      <c r="E6" s="204">
        <v>1</v>
      </c>
      <c r="F6" s="205">
        <f t="shared" ca="1" si="2"/>
        <v>4</v>
      </c>
      <c r="G6" s="206">
        <f>IFERROR(VLOOKUP($B6,Gà!C:J,8,0),IFERROR(VLOOKUP($B6,TVP!C:J,7,0),IFERROR(VLOOKUP($B6,Kitkool!C:J,8,0),IFERROR(VLOOKUP($B6,'La Cusina'!C:J,8,0),VLOOKUP($B6,'Quốc Nhân'!C:J,8,0)))))</f>
        <v>57.659910070658768</v>
      </c>
      <c r="H6" s="207">
        <f ca="1">(D6-G6*1000)*$F6</f>
        <v>49360.359717364918</v>
      </c>
      <c r="I6" s="207"/>
      <c r="J6" s="207">
        <f t="shared" ref="J6:J69" ca="1" si="3">F6*G6*1000</f>
        <v>230639.64028263508</v>
      </c>
      <c r="K6" s="53"/>
      <c r="L6" s="184">
        <f ca="1">IFERROR(SUMIFS(INDIRECT("'Thanh Toán ("&amp;L$3&amp;")'!$F:$F"),INDIRECT("'Thanh Toán ("&amp;L$3&amp;")'!$D:$D"),'Tổng Đơn'!$B6),0)</f>
        <v>0</v>
      </c>
      <c r="M6" s="184">
        <f ca="1">IFERROR(SUMIFS(INDIRECT("'Thanh Toán ("&amp;M$3&amp;")'!$F:$F"),INDIRECT("'Thanh Toán ("&amp;M$3&amp;")'!$D:$D"),'Tổng Đơn'!$B6),0)</f>
        <v>4</v>
      </c>
      <c r="N6" s="184">
        <f ca="1">IFERROR(SUMIFS(INDIRECT("'Thanh Toán ("&amp;N$3&amp;")'!$F:$F"),INDIRECT("'Thanh Toán ("&amp;N$3&amp;")'!$D:$D"),'Tổng Đơn'!$B6),0)</f>
        <v>0</v>
      </c>
      <c r="O6" s="184">
        <f ca="1">IFERROR(SUMIFS(INDIRECT("'Thanh Toán ("&amp;O$3&amp;")'!$F:$F"),INDIRECT("'Thanh Toán ("&amp;O$3&amp;")'!$D:$D"),'Tổng Đơn'!$B6),0)</f>
        <v>0</v>
      </c>
      <c r="P6" s="184">
        <f ca="1">IFERROR(SUMIFS(INDIRECT("'Thanh Toán ("&amp;P$3&amp;")'!$F:$F"),INDIRECT("'Thanh Toán ("&amp;P$3&amp;")'!$D:$D"),'Tổng Đơn'!$B6),0)</f>
        <v>0</v>
      </c>
      <c r="Q6" s="184">
        <f ca="1">IFERROR(SUMIFS(INDIRECT("'Thanh Toán ("&amp;Q$3&amp;")'!$F:$F"),INDIRECT("'Thanh Toán ("&amp;Q$3&amp;")'!$D:$D"),'Tổng Đơn'!$B6),0)</f>
        <v>0</v>
      </c>
      <c r="R6" s="184">
        <f ca="1">IFERROR(SUMIFS(INDIRECT("'Thanh Toán ("&amp;R$3&amp;")'!$F:$F"),INDIRECT("'Thanh Toán ("&amp;R$3&amp;")'!$D:$D"),'Tổng Đơn'!$B6),0)</f>
        <v>0</v>
      </c>
      <c r="S6" s="184">
        <f ca="1">IFERROR(SUMIFS(INDIRECT("'Thanh Toán ("&amp;S$3&amp;")'!$F:$F"),INDIRECT("'Thanh Toán ("&amp;S$3&amp;")'!$D:$D"),'Tổng Đơn'!$B6),0)</f>
        <v>0</v>
      </c>
      <c r="T6" s="184">
        <f ca="1">IFERROR(SUMIFS(INDIRECT("'Thanh Toán ("&amp;T$3&amp;")'!$F:$F"),INDIRECT("'Thanh Toán ("&amp;T$3&amp;")'!$D:$D"),'Tổng Đơn'!$B6),0)</f>
        <v>0</v>
      </c>
      <c r="U6" s="184">
        <f ca="1">IFERROR(SUMIFS(INDIRECT("'Thanh Toán ("&amp;U$3&amp;")'!$F:$F"),INDIRECT("'Thanh Toán ("&amp;U$3&amp;")'!$D:$D"),'Tổng Đơn'!$B6),0)</f>
        <v>0</v>
      </c>
      <c r="V6" s="184">
        <f ca="1">IFERROR(SUMIFS(INDIRECT("'Thanh Toán ("&amp;V$3&amp;")'!$F:$F"),INDIRECT("'Thanh Toán ("&amp;V$3&amp;")'!$D:$D"),'Tổng Đơn'!$B6),0)</f>
        <v>0</v>
      </c>
      <c r="W6" s="184">
        <f ca="1">IFERROR(SUMIFS(INDIRECT("'Thanh Toán ("&amp;W$3&amp;")'!$F:$F"),INDIRECT("'Thanh Toán ("&amp;W$3&amp;")'!$D:$D"),'Tổng Đơn'!$B6),0)</f>
        <v>0</v>
      </c>
      <c r="X6" s="184">
        <f ca="1">IFERROR(SUMIFS(INDIRECT("'Thanh Toán ("&amp;X$3&amp;")'!$F:$F"),INDIRECT("'Thanh Toán ("&amp;X$3&amp;")'!$D:$D"),'Tổng Đơn'!$B6),0)</f>
        <v>0</v>
      </c>
      <c r="Y6" s="184">
        <f ca="1">IFERROR(SUMIFS(INDIRECT("'Thanh Toán ("&amp;Y$3&amp;")'!$F:$F"),INDIRECT("'Thanh Toán ("&amp;Y$3&amp;")'!$D:$D"),'Tổng Đơn'!$B6),0)</f>
        <v>0</v>
      </c>
      <c r="Z6" s="184">
        <f ca="1">IFERROR(SUMIFS(INDIRECT("'Thanh Toán ("&amp;Z$3&amp;")'!$F:$F"),INDIRECT("'Thanh Toán ("&amp;Z$3&amp;")'!$D:$D"),'Tổng Đơn'!$B6),0)</f>
        <v>0</v>
      </c>
      <c r="AA6" s="184">
        <f ca="1">IFERROR(SUMIFS(INDIRECT("'Thanh Toán ("&amp;AA$3&amp;")'!$F:$F"),INDIRECT("'Thanh Toán ("&amp;AA$3&amp;")'!$D:$D"),'Tổng Đơn'!$B6),0)</f>
        <v>0</v>
      </c>
      <c r="AB6" s="184">
        <f ca="1">IFERROR(SUMIFS(INDIRECT("'Thanh Toán ("&amp;AB$3&amp;")'!$F:$F"),INDIRECT("'Thanh Toán ("&amp;AB$3&amp;")'!$D:$D"),'Tổng Đơn'!$B6),0)</f>
        <v>0</v>
      </c>
      <c r="AC6" s="184">
        <f ca="1">IFERROR(SUMIFS(INDIRECT("'Thanh Toán ("&amp;AC$3&amp;")'!$F:$F"),INDIRECT("'Thanh Toán ("&amp;AC$3&amp;")'!$D:$D"),'Tổng Đơn'!$B6),0)</f>
        <v>0</v>
      </c>
      <c r="AD6" s="184">
        <f ca="1">IFERROR(SUMIFS(INDIRECT("'Thanh Toán ("&amp;AD$3&amp;")'!$F:$F"),INDIRECT("'Thanh Toán ("&amp;AD$3&amp;")'!$D:$D"),'Tổng Đơn'!$B6),0)</f>
        <v>0</v>
      </c>
      <c r="AE6" s="184">
        <f ca="1">IFERROR(SUMIFS(INDIRECT("'Thanh Toán ("&amp;AE$3&amp;")'!$F:$F"),INDIRECT("'Thanh Toán ("&amp;AE$3&amp;")'!$D:$D"),'Tổng Đơn'!$B6),0)</f>
        <v>0</v>
      </c>
      <c r="AF6" s="184">
        <f ca="1">IFERROR(SUMIFS(INDIRECT("'Thanh Toán ("&amp;AF$3&amp;")'!$F:$F"),INDIRECT("'Thanh Toán ("&amp;AF$3&amp;")'!$D:$D"),'Tổng Đơn'!$B6),0)</f>
        <v>0</v>
      </c>
      <c r="AG6" s="184">
        <f ca="1">IFERROR(SUMIFS(INDIRECT("'Thanh Toán ("&amp;AG$3&amp;")'!$F:$F"),INDIRECT("'Thanh Toán ("&amp;AG$3&amp;")'!$D:$D"),'Tổng Đơn'!$B6),0)</f>
        <v>0</v>
      </c>
      <c r="AH6" s="184">
        <f ca="1">IFERROR(SUMIFS(INDIRECT("'Thanh Toán ("&amp;AH$3&amp;")'!$F:$F"),INDIRECT("'Thanh Toán ("&amp;AH$3&amp;")'!$D:$D"),'Tổng Đơn'!$B6),0)</f>
        <v>0</v>
      </c>
      <c r="AI6" s="184">
        <f ca="1">IFERROR(SUMIFS(INDIRECT("'Thanh Toán ("&amp;AI$3&amp;")'!$F:$F"),INDIRECT("'Thanh Toán ("&amp;AI$3&amp;")'!$D:$D"),'Tổng Đơn'!$B6),0)</f>
        <v>0</v>
      </c>
      <c r="AJ6" s="184">
        <f ca="1">IFERROR(SUMIFS(INDIRECT("'Thanh Toán ("&amp;AJ$3&amp;")'!$F:$F"),INDIRECT("'Thanh Toán ("&amp;AJ$3&amp;")'!$D:$D"),'Tổng Đơn'!$B6),0)</f>
        <v>0</v>
      </c>
      <c r="AK6" s="184">
        <f ca="1">IFERROR(SUMIFS(INDIRECT("'Thanh Toán ("&amp;AK$3&amp;")'!$F:$F"),INDIRECT("'Thanh Toán ("&amp;AK$3&amp;")'!$D:$D"),'Tổng Đơn'!$B6),0)</f>
        <v>0</v>
      </c>
      <c r="AL6" s="184">
        <f ca="1">IFERROR(SUMIFS(INDIRECT("'Thanh Toán ("&amp;AL$3&amp;")'!$F:$F"),INDIRECT("'Thanh Toán ("&amp;AL$3&amp;")'!$D:$D"),'Tổng Đơn'!$B6),0)</f>
        <v>0</v>
      </c>
      <c r="AM6" s="184">
        <f ca="1">IFERROR(SUMIFS(INDIRECT("'Thanh Toán ("&amp;AM$3&amp;")'!$F:$F"),INDIRECT("'Thanh Toán ("&amp;AM$3&amp;")'!$D:$D"),'Tổng Đơn'!$B6),0)</f>
        <v>0</v>
      </c>
      <c r="AN6" s="184">
        <f ca="1">IFERROR(SUMIFS(INDIRECT("'Thanh Toán ("&amp;AN$3&amp;")'!$F:$F"),INDIRECT("'Thanh Toán ("&amp;AN$3&amp;")'!$D:$D"),'Tổng Đơn'!$B6),0)</f>
        <v>0</v>
      </c>
      <c r="AO6" s="184">
        <f ca="1">IFERROR(SUMIFS(INDIRECT("'Thanh Toán ("&amp;AO$3&amp;")'!$F:$F"),INDIRECT("'Thanh Toán ("&amp;AO$3&amp;")'!$D:$D"),'Tổng Đơn'!$B6),0)</f>
        <v>0</v>
      </c>
      <c r="AP6" s="184">
        <f ca="1">IFERROR(SUMIFS(INDIRECT("'Thanh Toán ("&amp;AP$3&amp;")'!$F:$F"),INDIRECT("'Thanh Toán ("&amp;AP$3&amp;")'!$D:$D"),'Tổng Đơn'!$B6),0)</f>
        <v>0</v>
      </c>
      <c r="AQ6" s="184">
        <f ca="1">IFERROR(SUMIFS(INDIRECT("'Thanh Toán ("&amp;AQ$3&amp;")'!$F:$F"),INDIRECT("'Thanh Toán ("&amp;AQ$3&amp;")'!$D:$D"),'Tổng Đơn'!$B6),0)</f>
        <v>0</v>
      </c>
      <c r="AR6" s="184">
        <f ca="1">IFERROR(SUMIFS(INDIRECT("'Thanh Toán ("&amp;AR$3&amp;")'!$F:$F"),INDIRECT("'Thanh Toán ("&amp;AR$3&amp;")'!$D:$D"),'Tổng Đơn'!$B6),0)</f>
        <v>0</v>
      </c>
      <c r="AS6" s="184">
        <f ca="1">IFERROR(SUMIFS(INDIRECT("'Thanh Toán ("&amp;AS$3&amp;")'!$F:$F"),INDIRECT("'Thanh Toán ("&amp;AS$3&amp;")'!$D:$D"),'Tổng Đơn'!$B6),0)</f>
        <v>0</v>
      </c>
      <c r="AT6" s="184">
        <f ca="1">IFERROR(SUMIFS(INDIRECT("'Thanh Toán ("&amp;AT$3&amp;")'!$F:$F"),INDIRECT("'Thanh Toán ("&amp;AT$3&amp;")'!$D:$D"),'Tổng Đơn'!$B6),0)</f>
        <v>0</v>
      </c>
      <c r="AU6" s="184">
        <f ca="1">IFERROR(SUMIFS(INDIRECT("'Thanh Toán ("&amp;AU$3&amp;")'!$F:$F"),INDIRECT("'Thanh Toán ("&amp;AU$3&amp;")'!$D:$D"),'Tổng Đơn'!$B6),0)</f>
        <v>0</v>
      </c>
      <c r="AV6" s="184">
        <f ca="1">IFERROR(SUMIFS(INDIRECT("'Thanh Toán ("&amp;AV$3&amp;")'!$F:$F"),INDIRECT("'Thanh Toán ("&amp;AV$3&amp;")'!$D:$D"),'Tổng Đơn'!$B6),0)</f>
        <v>0</v>
      </c>
      <c r="AW6" s="184">
        <f ca="1">IFERROR(SUMIFS(INDIRECT("'Thanh Toán ("&amp;AW$3&amp;")'!$F:$F"),INDIRECT("'Thanh Toán ("&amp;AW$3&amp;")'!$D:$D"),'Tổng Đơn'!$B6),0)</f>
        <v>0</v>
      </c>
      <c r="AX6" s="184">
        <f ca="1">IFERROR(SUMIFS(INDIRECT("'Thanh Toán ("&amp;AX$3&amp;")'!$F:$F"),INDIRECT("'Thanh Toán ("&amp;AX$3&amp;")'!$D:$D"),'Tổng Đơn'!$B6),0)</f>
        <v>0</v>
      </c>
      <c r="AY6" s="184">
        <f ca="1">IFERROR(SUMIFS(INDIRECT("'Thanh Toán ("&amp;AY$3&amp;")'!$F:$F"),INDIRECT("'Thanh Toán ("&amp;AY$3&amp;")'!$D:$D"),'Tổng Đơn'!$B6),0)</f>
        <v>0</v>
      </c>
      <c r="AZ6" s="184">
        <f ca="1">IFERROR(SUMIFS(INDIRECT("'Thanh Toán ("&amp;AZ$3&amp;")'!$F:$F"),INDIRECT("'Thanh Toán ("&amp;AZ$3&amp;")'!$D:$D"),'Tổng Đơn'!$B6),0)</f>
        <v>0</v>
      </c>
      <c r="BA6" s="184">
        <f ca="1">IFERROR(SUMIFS(INDIRECT("'Thanh Toán ("&amp;BA$3&amp;")'!$F:$F"),INDIRECT("'Thanh Toán ("&amp;BA$3&amp;")'!$D:$D"),'Tổng Đơn'!$B6),0)</f>
        <v>0</v>
      </c>
      <c r="BB6" s="184">
        <f ca="1">IFERROR(SUMIFS(INDIRECT("'Thanh Toán ("&amp;BB$3&amp;")'!$F:$F"),INDIRECT("'Thanh Toán ("&amp;BB$3&amp;")'!$D:$D"),'Tổng Đơn'!$B6),0)</f>
        <v>0</v>
      </c>
      <c r="BC6" s="184">
        <f ca="1">IFERROR(SUMIFS(INDIRECT("'Thanh Toán ("&amp;BC$3&amp;")'!$F:$F"),INDIRECT("'Thanh Toán ("&amp;BC$3&amp;")'!$D:$D"),'Tổng Đơn'!$B6),0)</f>
        <v>0</v>
      </c>
    </row>
    <row r="7" spans="1:55" ht="18" customHeight="1" x14ac:dyDescent="0.25">
      <c r="A7" s="201" t="s">
        <v>215</v>
      </c>
      <c r="B7" s="202" t="s">
        <v>221</v>
      </c>
      <c r="C7" s="201" t="s">
        <v>218</v>
      </c>
      <c r="D7" s="203">
        <v>45000</v>
      </c>
      <c r="E7" s="204">
        <v>1</v>
      </c>
      <c r="F7" s="205">
        <f t="shared" ca="1" si="2"/>
        <v>6.4</v>
      </c>
      <c r="G7" s="206">
        <f>IFERROR(VLOOKUP($B7,Gà!C:J,8,0),IFERROR(VLOOKUP($B7,TVP!C:J,7,0),IFERROR(VLOOKUP($B7,Kitkool!C:J,8,0),IFERROR(VLOOKUP($B7,'La Cusina'!C:J,8,0),VLOOKUP($B7,'Quốc Nhân'!C:J,8,0)))))</f>
        <v>42.9828420526729</v>
      </c>
      <c r="H7" s="207">
        <f t="shared" ref="H7:H69" ca="1" si="4">(D7-G7*1000)*$F7</f>
        <v>12909.810862893426</v>
      </c>
      <c r="I7" s="207"/>
      <c r="J7" s="207">
        <f t="shared" ca="1" si="3"/>
        <v>275090.18913710659</v>
      </c>
      <c r="K7" s="53"/>
      <c r="L7" s="184">
        <f ca="1">IFERROR(SUMIFS(INDIRECT("'Thanh Toán ("&amp;L$3&amp;")'!$F:$F"),INDIRECT("'Thanh Toán ("&amp;L$3&amp;")'!$D:$D"),'Tổng Đơn'!$B7),0)</f>
        <v>0</v>
      </c>
      <c r="M7" s="184">
        <f ca="1">IFERROR(SUMIFS(INDIRECT("'Thanh Toán ("&amp;M$3&amp;")'!$F:$F"),INDIRECT("'Thanh Toán ("&amp;M$3&amp;")'!$D:$D"),'Tổng Đơn'!$B7),0)</f>
        <v>5</v>
      </c>
      <c r="N7" s="184">
        <f ca="1">IFERROR(SUMIFS(INDIRECT("'Thanh Toán ("&amp;N$3&amp;")'!$F:$F"),INDIRECT("'Thanh Toán ("&amp;N$3&amp;")'!$D:$D"),'Tổng Đơn'!$B7),0)</f>
        <v>0</v>
      </c>
      <c r="O7" s="184">
        <f ca="1">IFERROR(SUMIFS(INDIRECT("'Thanh Toán ("&amp;O$3&amp;")'!$F:$F"),INDIRECT("'Thanh Toán ("&amp;O$3&amp;")'!$D:$D"),'Tổng Đơn'!$B7),0)</f>
        <v>0</v>
      </c>
      <c r="P7" s="184">
        <f ca="1">IFERROR(SUMIFS(INDIRECT("'Thanh Toán ("&amp;P$3&amp;")'!$F:$F"),INDIRECT("'Thanh Toán ("&amp;P$3&amp;")'!$D:$D"),'Tổng Đơn'!$B7),0)</f>
        <v>0</v>
      </c>
      <c r="Q7" s="184">
        <f ca="1">IFERROR(SUMIFS(INDIRECT("'Thanh Toán ("&amp;Q$3&amp;")'!$F:$F"),INDIRECT("'Thanh Toán ("&amp;Q$3&amp;")'!$D:$D"),'Tổng Đơn'!$B7),0)</f>
        <v>0</v>
      </c>
      <c r="R7" s="184">
        <f ca="1">IFERROR(SUMIFS(INDIRECT("'Thanh Toán ("&amp;R$3&amp;")'!$F:$F"),INDIRECT("'Thanh Toán ("&amp;R$3&amp;")'!$D:$D"),'Tổng Đơn'!$B7),0)</f>
        <v>0</v>
      </c>
      <c r="S7" s="184">
        <f ca="1">IFERROR(SUMIFS(INDIRECT("'Thanh Toán ("&amp;S$3&amp;")'!$F:$F"),INDIRECT("'Thanh Toán ("&amp;S$3&amp;")'!$D:$D"),'Tổng Đơn'!$B7),0)</f>
        <v>0</v>
      </c>
      <c r="T7" s="184">
        <f ca="1">IFERROR(SUMIFS(INDIRECT("'Thanh Toán ("&amp;T$3&amp;")'!$F:$F"),INDIRECT("'Thanh Toán ("&amp;T$3&amp;")'!$D:$D"),'Tổng Đơn'!$B7),0)</f>
        <v>1.4</v>
      </c>
      <c r="U7" s="184">
        <f ca="1">IFERROR(SUMIFS(INDIRECT("'Thanh Toán ("&amp;U$3&amp;")'!$F:$F"),INDIRECT("'Thanh Toán ("&amp;U$3&amp;")'!$D:$D"),'Tổng Đơn'!$B7),0)</f>
        <v>0</v>
      </c>
      <c r="V7" s="184">
        <f ca="1">IFERROR(SUMIFS(INDIRECT("'Thanh Toán ("&amp;V$3&amp;")'!$F:$F"),INDIRECT("'Thanh Toán ("&amp;V$3&amp;")'!$D:$D"),'Tổng Đơn'!$B7),0)</f>
        <v>0</v>
      </c>
      <c r="W7" s="184">
        <f ca="1">IFERROR(SUMIFS(INDIRECT("'Thanh Toán ("&amp;W$3&amp;")'!$F:$F"),INDIRECT("'Thanh Toán ("&amp;W$3&amp;")'!$D:$D"),'Tổng Đơn'!$B7),0)</f>
        <v>0</v>
      </c>
      <c r="X7" s="184">
        <f ca="1">IFERROR(SUMIFS(INDIRECT("'Thanh Toán ("&amp;X$3&amp;")'!$F:$F"),INDIRECT("'Thanh Toán ("&amp;X$3&amp;")'!$D:$D"),'Tổng Đơn'!$B7),0)</f>
        <v>0</v>
      </c>
      <c r="Y7" s="184">
        <f ca="1">IFERROR(SUMIFS(INDIRECT("'Thanh Toán ("&amp;Y$3&amp;")'!$F:$F"),INDIRECT("'Thanh Toán ("&amp;Y$3&amp;")'!$D:$D"),'Tổng Đơn'!$B7),0)</f>
        <v>0</v>
      </c>
      <c r="Z7" s="184">
        <f ca="1">IFERROR(SUMIFS(INDIRECT("'Thanh Toán ("&amp;Z$3&amp;")'!$F:$F"),INDIRECT("'Thanh Toán ("&amp;Z$3&amp;")'!$D:$D"),'Tổng Đơn'!$B7),0)</f>
        <v>0</v>
      </c>
      <c r="AA7" s="184">
        <f ca="1">IFERROR(SUMIFS(INDIRECT("'Thanh Toán ("&amp;AA$3&amp;")'!$F:$F"),INDIRECT("'Thanh Toán ("&amp;AA$3&amp;")'!$D:$D"),'Tổng Đơn'!$B7),0)</f>
        <v>0</v>
      </c>
      <c r="AB7" s="184">
        <f ca="1">IFERROR(SUMIFS(INDIRECT("'Thanh Toán ("&amp;AB$3&amp;")'!$F:$F"),INDIRECT("'Thanh Toán ("&amp;AB$3&amp;")'!$D:$D"),'Tổng Đơn'!$B7),0)</f>
        <v>0</v>
      </c>
      <c r="AC7" s="184">
        <f ca="1">IFERROR(SUMIFS(INDIRECT("'Thanh Toán ("&amp;AC$3&amp;")'!$F:$F"),INDIRECT("'Thanh Toán ("&amp;AC$3&amp;")'!$D:$D"),'Tổng Đơn'!$B7),0)</f>
        <v>0</v>
      </c>
      <c r="AD7" s="184">
        <f ca="1">IFERROR(SUMIFS(INDIRECT("'Thanh Toán ("&amp;AD$3&amp;")'!$F:$F"),INDIRECT("'Thanh Toán ("&amp;AD$3&amp;")'!$D:$D"),'Tổng Đơn'!$B7),0)</f>
        <v>0</v>
      </c>
      <c r="AE7" s="184">
        <f ca="1">IFERROR(SUMIFS(INDIRECT("'Thanh Toán ("&amp;AE$3&amp;")'!$F:$F"),INDIRECT("'Thanh Toán ("&amp;AE$3&amp;")'!$D:$D"),'Tổng Đơn'!$B7),0)</f>
        <v>0</v>
      </c>
      <c r="AF7" s="184">
        <f ca="1">IFERROR(SUMIFS(INDIRECT("'Thanh Toán ("&amp;AF$3&amp;")'!$F:$F"),INDIRECT("'Thanh Toán ("&amp;AF$3&amp;")'!$D:$D"),'Tổng Đơn'!$B7),0)</f>
        <v>0</v>
      </c>
      <c r="AG7" s="184">
        <f ca="1">IFERROR(SUMIFS(INDIRECT("'Thanh Toán ("&amp;AG$3&amp;")'!$F:$F"),INDIRECT("'Thanh Toán ("&amp;AG$3&amp;")'!$D:$D"),'Tổng Đơn'!$B7),0)</f>
        <v>0</v>
      </c>
      <c r="AH7" s="184">
        <f ca="1">IFERROR(SUMIFS(INDIRECT("'Thanh Toán ("&amp;AH$3&amp;")'!$F:$F"),INDIRECT("'Thanh Toán ("&amp;AH$3&amp;")'!$D:$D"),'Tổng Đơn'!$B7),0)</f>
        <v>0</v>
      </c>
      <c r="AI7" s="184">
        <f ca="1">IFERROR(SUMIFS(INDIRECT("'Thanh Toán ("&amp;AI$3&amp;")'!$F:$F"),INDIRECT("'Thanh Toán ("&amp;AI$3&amp;")'!$D:$D"),'Tổng Đơn'!$B7),0)</f>
        <v>0</v>
      </c>
      <c r="AJ7" s="184">
        <f ca="1">IFERROR(SUMIFS(INDIRECT("'Thanh Toán ("&amp;AJ$3&amp;")'!$F:$F"),INDIRECT("'Thanh Toán ("&amp;AJ$3&amp;")'!$D:$D"),'Tổng Đơn'!$B7),0)</f>
        <v>0</v>
      </c>
      <c r="AK7" s="184">
        <f ca="1">IFERROR(SUMIFS(INDIRECT("'Thanh Toán ("&amp;AK$3&amp;")'!$F:$F"),INDIRECT("'Thanh Toán ("&amp;AK$3&amp;")'!$D:$D"),'Tổng Đơn'!$B7),0)</f>
        <v>0</v>
      </c>
      <c r="AL7" s="184">
        <f ca="1">IFERROR(SUMIFS(INDIRECT("'Thanh Toán ("&amp;AL$3&amp;")'!$F:$F"),INDIRECT("'Thanh Toán ("&amp;AL$3&amp;")'!$D:$D"),'Tổng Đơn'!$B7),0)</f>
        <v>0</v>
      </c>
      <c r="AM7" s="184">
        <f ca="1">IFERROR(SUMIFS(INDIRECT("'Thanh Toán ("&amp;AM$3&amp;")'!$F:$F"),INDIRECT("'Thanh Toán ("&amp;AM$3&amp;")'!$D:$D"),'Tổng Đơn'!$B7),0)</f>
        <v>0</v>
      </c>
      <c r="AN7" s="184">
        <f ca="1">IFERROR(SUMIFS(INDIRECT("'Thanh Toán ("&amp;AN$3&amp;")'!$F:$F"),INDIRECT("'Thanh Toán ("&amp;AN$3&amp;")'!$D:$D"),'Tổng Đơn'!$B7),0)</f>
        <v>0</v>
      </c>
      <c r="AO7" s="184">
        <f ca="1">IFERROR(SUMIFS(INDIRECT("'Thanh Toán ("&amp;AO$3&amp;")'!$F:$F"),INDIRECT("'Thanh Toán ("&amp;AO$3&amp;")'!$D:$D"),'Tổng Đơn'!$B7),0)</f>
        <v>0</v>
      </c>
      <c r="AP7" s="184">
        <f ca="1">IFERROR(SUMIFS(INDIRECT("'Thanh Toán ("&amp;AP$3&amp;")'!$F:$F"),INDIRECT("'Thanh Toán ("&amp;AP$3&amp;")'!$D:$D"),'Tổng Đơn'!$B7),0)</f>
        <v>0</v>
      </c>
      <c r="AQ7" s="184">
        <f ca="1">IFERROR(SUMIFS(INDIRECT("'Thanh Toán ("&amp;AQ$3&amp;")'!$F:$F"),INDIRECT("'Thanh Toán ("&amp;AQ$3&amp;")'!$D:$D"),'Tổng Đơn'!$B7),0)</f>
        <v>0</v>
      </c>
      <c r="AR7" s="184">
        <f ca="1">IFERROR(SUMIFS(INDIRECT("'Thanh Toán ("&amp;AR$3&amp;")'!$F:$F"),INDIRECT("'Thanh Toán ("&amp;AR$3&amp;")'!$D:$D"),'Tổng Đơn'!$B7),0)</f>
        <v>0</v>
      </c>
      <c r="AS7" s="184">
        <f ca="1">IFERROR(SUMIFS(INDIRECT("'Thanh Toán ("&amp;AS$3&amp;")'!$F:$F"),INDIRECT("'Thanh Toán ("&amp;AS$3&amp;")'!$D:$D"),'Tổng Đơn'!$B7),0)</f>
        <v>0</v>
      </c>
      <c r="AT7" s="184">
        <f ca="1">IFERROR(SUMIFS(INDIRECT("'Thanh Toán ("&amp;AT$3&amp;")'!$F:$F"),INDIRECT("'Thanh Toán ("&amp;AT$3&amp;")'!$D:$D"),'Tổng Đơn'!$B7),0)</f>
        <v>0</v>
      </c>
      <c r="AU7" s="184">
        <f ca="1">IFERROR(SUMIFS(INDIRECT("'Thanh Toán ("&amp;AU$3&amp;")'!$F:$F"),INDIRECT("'Thanh Toán ("&amp;AU$3&amp;")'!$D:$D"),'Tổng Đơn'!$B7),0)</f>
        <v>0</v>
      </c>
      <c r="AV7" s="184">
        <f ca="1">IFERROR(SUMIFS(INDIRECT("'Thanh Toán ("&amp;AV$3&amp;")'!$F:$F"),INDIRECT("'Thanh Toán ("&amp;AV$3&amp;")'!$D:$D"),'Tổng Đơn'!$B7),0)</f>
        <v>0</v>
      </c>
      <c r="AW7" s="184">
        <f ca="1">IFERROR(SUMIFS(INDIRECT("'Thanh Toán ("&amp;AW$3&amp;")'!$F:$F"),INDIRECT("'Thanh Toán ("&amp;AW$3&amp;")'!$D:$D"),'Tổng Đơn'!$B7),0)</f>
        <v>0</v>
      </c>
      <c r="AX7" s="184">
        <f ca="1">IFERROR(SUMIFS(INDIRECT("'Thanh Toán ("&amp;AX$3&amp;")'!$F:$F"),INDIRECT("'Thanh Toán ("&amp;AX$3&amp;")'!$D:$D"),'Tổng Đơn'!$B7),0)</f>
        <v>0</v>
      </c>
      <c r="AY7" s="184">
        <f ca="1">IFERROR(SUMIFS(INDIRECT("'Thanh Toán ("&amp;AY$3&amp;")'!$F:$F"),INDIRECT("'Thanh Toán ("&amp;AY$3&amp;")'!$D:$D"),'Tổng Đơn'!$B7),0)</f>
        <v>0</v>
      </c>
      <c r="AZ7" s="184">
        <f ca="1">IFERROR(SUMIFS(INDIRECT("'Thanh Toán ("&amp;AZ$3&amp;")'!$F:$F"),INDIRECT("'Thanh Toán ("&amp;AZ$3&amp;")'!$D:$D"),'Tổng Đơn'!$B7),0)</f>
        <v>0</v>
      </c>
      <c r="BA7" s="184">
        <f ca="1">IFERROR(SUMIFS(INDIRECT("'Thanh Toán ("&amp;BA$3&amp;")'!$F:$F"),INDIRECT("'Thanh Toán ("&amp;BA$3&amp;")'!$D:$D"),'Tổng Đơn'!$B7),0)</f>
        <v>0</v>
      </c>
      <c r="BB7" s="184">
        <f ca="1">IFERROR(SUMIFS(INDIRECT("'Thanh Toán ("&amp;BB$3&amp;")'!$F:$F"),INDIRECT("'Thanh Toán ("&amp;BB$3&amp;")'!$D:$D"),'Tổng Đơn'!$B7),0)</f>
        <v>0</v>
      </c>
      <c r="BC7" s="184">
        <f ca="1">IFERROR(SUMIFS(INDIRECT("'Thanh Toán ("&amp;BC$3&amp;")'!$F:$F"),INDIRECT("'Thanh Toán ("&amp;BC$3&amp;")'!$D:$D"),'Tổng Đơn'!$B7),0)</f>
        <v>0</v>
      </c>
    </row>
    <row r="8" spans="1:55" ht="18" customHeight="1" x14ac:dyDescent="0.25">
      <c r="A8" s="201">
        <v>1</v>
      </c>
      <c r="B8" s="202" t="s">
        <v>295</v>
      </c>
      <c r="C8" s="201" t="s">
        <v>108</v>
      </c>
      <c r="D8" s="203">
        <f>VLOOKUP($C8,Sheet1!$C$5:$D$98,2,0)</f>
        <v>46000</v>
      </c>
      <c r="E8" s="204">
        <v>0.5</v>
      </c>
      <c r="F8" s="205">
        <f t="shared" ca="1" si="2"/>
        <v>7</v>
      </c>
      <c r="G8" s="206">
        <f>IFERROR(VLOOKUP($B8,Gà!C:J,8,0),IFERROR(VLOOKUP($B8,TVP!C:J,7,0),IFERROR(VLOOKUP($B8,Kitkool!C:J,8,0),IFERROR(VLOOKUP($B8,'La Cusina'!C:J,8,0),VLOOKUP($B8,'Quốc Nhân'!C:J,8,0)))))</f>
        <v>41.404847091173799</v>
      </c>
      <c r="H8" s="207">
        <f t="shared" ca="1" si="4"/>
        <v>32166.070361783422</v>
      </c>
      <c r="I8" s="207"/>
      <c r="J8" s="207">
        <f t="shared" ca="1" si="3"/>
        <v>289833.92963821662</v>
      </c>
      <c r="K8" s="53"/>
      <c r="L8" s="2">
        <f ca="1">IFERROR(SUMIFS(INDIRECT("'Thanh Toán ("&amp;L$3&amp;")'!$F:$F"),INDIRECT("'Thanh Toán ("&amp;L$3&amp;")'!$D:$D"),'Tổng Đơn'!$B8),0)</f>
        <v>0</v>
      </c>
      <c r="M8" s="2">
        <f ca="1">IFERROR(SUMIFS(INDIRECT("'Thanh Toán ("&amp;M$3&amp;")'!$F:$F"),INDIRECT("'Thanh Toán ("&amp;M$3&amp;")'!$D:$D"),'Tổng Đơn'!$B8),0)</f>
        <v>0</v>
      </c>
      <c r="N8" s="2">
        <f ca="1">IFERROR(SUMIFS(INDIRECT("'Thanh Toán ("&amp;N$3&amp;")'!$F:$F"),INDIRECT("'Thanh Toán ("&amp;N$3&amp;")'!$D:$D"),'Tổng Đơn'!$B8),0)</f>
        <v>0</v>
      </c>
      <c r="O8" s="2">
        <f ca="1">IFERROR(SUMIFS(INDIRECT("'Thanh Toán ("&amp;O$3&amp;")'!$F:$F"),INDIRECT("'Thanh Toán ("&amp;O$3&amp;")'!$D:$D"),'Tổng Đơn'!$B8),0)</f>
        <v>2</v>
      </c>
      <c r="P8" s="2">
        <f ca="1">IFERROR(SUMIFS(INDIRECT("'Thanh Toán ("&amp;P$3&amp;")'!$F:$F"),INDIRECT("'Thanh Toán ("&amp;P$3&amp;")'!$D:$D"),'Tổng Đơn'!$B8),0)</f>
        <v>0</v>
      </c>
      <c r="Q8" s="2">
        <f ca="1">IFERROR(SUMIFS(INDIRECT("'Thanh Toán ("&amp;Q$3&amp;")'!$F:$F"),INDIRECT("'Thanh Toán ("&amp;Q$3&amp;")'!$D:$D"),'Tổng Đơn'!$B8),0)</f>
        <v>5</v>
      </c>
      <c r="R8" s="2">
        <f ca="1">IFERROR(SUMIFS(INDIRECT("'Thanh Toán ("&amp;R$3&amp;")'!$F:$F"),INDIRECT("'Thanh Toán ("&amp;R$3&amp;")'!$D:$D"),'Tổng Đơn'!$B8),0)</f>
        <v>0</v>
      </c>
      <c r="S8" s="2">
        <f ca="1">IFERROR(SUMIFS(INDIRECT("'Thanh Toán ("&amp;S$3&amp;")'!$F:$F"),INDIRECT("'Thanh Toán ("&amp;S$3&amp;")'!$D:$D"),'Tổng Đơn'!$B8),0)</f>
        <v>0</v>
      </c>
      <c r="T8" s="2">
        <f ca="1">IFERROR(SUMIFS(INDIRECT("'Thanh Toán ("&amp;T$3&amp;")'!$F:$F"),INDIRECT("'Thanh Toán ("&amp;T$3&amp;")'!$D:$D"),'Tổng Đơn'!$B8),0)</f>
        <v>0</v>
      </c>
      <c r="U8" s="2">
        <f ca="1">IFERROR(SUMIFS(INDIRECT("'Thanh Toán ("&amp;U$3&amp;")'!$F:$F"),INDIRECT("'Thanh Toán ("&amp;U$3&amp;")'!$D:$D"),'Tổng Đơn'!$B8),0)</f>
        <v>0</v>
      </c>
      <c r="V8" s="2">
        <f ca="1">IFERROR(SUMIFS(INDIRECT("'Thanh Toán ("&amp;V$3&amp;")'!$F:$F"),INDIRECT("'Thanh Toán ("&amp;V$3&amp;")'!$D:$D"),'Tổng Đơn'!$B8),0)</f>
        <v>0</v>
      </c>
      <c r="W8" s="2">
        <f ca="1">IFERROR(SUMIFS(INDIRECT("'Thanh Toán ("&amp;W$3&amp;")'!$F:$F"),INDIRECT("'Thanh Toán ("&amp;W$3&amp;")'!$D:$D"),'Tổng Đơn'!$B8),0)</f>
        <v>0</v>
      </c>
      <c r="X8" s="2">
        <f ca="1">IFERROR(SUMIFS(INDIRECT("'Thanh Toán ("&amp;X$3&amp;")'!$F:$F"),INDIRECT("'Thanh Toán ("&amp;X$3&amp;")'!$D:$D"),'Tổng Đơn'!$B8),0)</f>
        <v>0</v>
      </c>
      <c r="Y8" s="2">
        <f ca="1">IFERROR(SUMIFS(INDIRECT("'Thanh Toán ("&amp;Y$3&amp;")'!$F:$F"),INDIRECT("'Thanh Toán ("&amp;Y$3&amp;")'!$D:$D"),'Tổng Đơn'!$B8),0)</f>
        <v>0</v>
      </c>
      <c r="Z8" s="2">
        <f ca="1">IFERROR(SUMIFS(INDIRECT("'Thanh Toán ("&amp;Z$3&amp;")'!$F:$F"),INDIRECT("'Thanh Toán ("&amp;Z$3&amp;")'!$D:$D"),'Tổng Đơn'!$B8),0)</f>
        <v>0</v>
      </c>
      <c r="AA8" s="2">
        <f ca="1">IFERROR(SUMIFS(INDIRECT("'Thanh Toán ("&amp;AA$3&amp;")'!$F:$F"),INDIRECT("'Thanh Toán ("&amp;AA$3&amp;")'!$D:$D"),'Tổng Đơn'!$B8),0)</f>
        <v>0</v>
      </c>
      <c r="AB8" s="2">
        <f ca="1">IFERROR(SUMIFS(INDIRECT("'Thanh Toán ("&amp;AB$3&amp;")'!$F:$F"),INDIRECT("'Thanh Toán ("&amp;AB$3&amp;")'!$D:$D"),'Tổng Đơn'!$B8),0)</f>
        <v>0</v>
      </c>
      <c r="AC8" s="2">
        <f ca="1">IFERROR(SUMIFS(INDIRECT("'Thanh Toán ("&amp;AC$3&amp;")'!$F:$F"),INDIRECT("'Thanh Toán ("&amp;AC$3&amp;")'!$D:$D"),'Tổng Đơn'!$B8),0)</f>
        <v>0</v>
      </c>
      <c r="AD8" s="2">
        <f ca="1">IFERROR(SUMIFS(INDIRECT("'Thanh Toán ("&amp;AD$3&amp;")'!$F:$F"),INDIRECT("'Thanh Toán ("&amp;AD$3&amp;")'!$D:$D"),'Tổng Đơn'!$B8),0)</f>
        <v>0</v>
      </c>
      <c r="AE8" s="2">
        <f ca="1">IFERROR(SUMIFS(INDIRECT("'Thanh Toán ("&amp;AE$3&amp;")'!$F:$F"),INDIRECT("'Thanh Toán ("&amp;AE$3&amp;")'!$D:$D"),'Tổng Đơn'!$B8),0)</f>
        <v>0</v>
      </c>
      <c r="AF8" s="2">
        <f ca="1">IFERROR(SUMIFS(INDIRECT("'Thanh Toán ("&amp;AF$3&amp;")'!$F:$F"),INDIRECT("'Thanh Toán ("&amp;AF$3&amp;")'!$D:$D"),'Tổng Đơn'!$B8),0)</f>
        <v>0</v>
      </c>
      <c r="AG8" s="2">
        <f ca="1">IFERROR(SUMIFS(INDIRECT("'Thanh Toán ("&amp;AG$3&amp;")'!$F:$F"),INDIRECT("'Thanh Toán ("&amp;AG$3&amp;")'!$D:$D"),'Tổng Đơn'!$B8),0)</f>
        <v>0</v>
      </c>
      <c r="AH8" s="2">
        <f ca="1">IFERROR(SUMIFS(INDIRECT("'Thanh Toán ("&amp;AH$3&amp;")'!$F:$F"),INDIRECT("'Thanh Toán ("&amp;AH$3&amp;")'!$D:$D"),'Tổng Đơn'!$B8),0)</f>
        <v>0</v>
      </c>
      <c r="AI8" s="2">
        <f ca="1">IFERROR(SUMIFS(INDIRECT("'Thanh Toán ("&amp;AI$3&amp;")'!$F:$F"),INDIRECT("'Thanh Toán ("&amp;AI$3&amp;")'!$D:$D"),'Tổng Đơn'!$B8),0)</f>
        <v>0</v>
      </c>
      <c r="AJ8" s="2">
        <f ca="1">IFERROR(SUMIFS(INDIRECT("'Thanh Toán ("&amp;AJ$3&amp;")'!$F:$F"),INDIRECT("'Thanh Toán ("&amp;AJ$3&amp;")'!$D:$D"),'Tổng Đơn'!$B8),0)</f>
        <v>0</v>
      </c>
      <c r="AK8" s="2">
        <f ca="1">IFERROR(SUMIFS(INDIRECT("'Thanh Toán ("&amp;AK$3&amp;")'!$F:$F"),INDIRECT("'Thanh Toán ("&amp;AK$3&amp;")'!$D:$D"),'Tổng Đơn'!$B8),0)</f>
        <v>0</v>
      </c>
      <c r="AL8" s="2">
        <f ca="1">IFERROR(SUMIFS(INDIRECT("'Thanh Toán ("&amp;AL$3&amp;")'!$F:$F"),INDIRECT("'Thanh Toán ("&amp;AL$3&amp;")'!$D:$D"),'Tổng Đơn'!$B8),0)</f>
        <v>0</v>
      </c>
      <c r="AM8" s="2">
        <f ca="1">IFERROR(SUMIFS(INDIRECT("'Thanh Toán ("&amp;AM$3&amp;")'!$F:$F"),INDIRECT("'Thanh Toán ("&amp;AM$3&amp;")'!$D:$D"),'Tổng Đơn'!$B8),0)</f>
        <v>0</v>
      </c>
      <c r="AN8" s="2">
        <f ca="1">IFERROR(SUMIFS(INDIRECT("'Thanh Toán ("&amp;AN$3&amp;")'!$F:$F"),INDIRECT("'Thanh Toán ("&amp;AN$3&amp;")'!$D:$D"),'Tổng Đơn'!$B8),0)</f>
        <v>0</v>
      </c>
      <c r="AO8" s="2">
        <f ca="1">IFERROR(SUMIFS(INDIRECT("'Thanh Toán ("&amp;AO$3&amp;")'!$F:$F"),INDIRECT("'Thanh Toán ("&amp;AO$3&amp;")'!$D:$D"),'Tổng Đơn'!$B8),0)</f>
        <v>0</v>
      </c>
      <c r="AP8" s="2">
        <f ca="1">IFERROR(SUMIFS(INDIRECT("'Thanh Toán ("&amp;AP$3&amp;")'!$F:$F"),INDIRECT("'Thanh Toán ("&amp;AP$3&amp;")'!$D:$D"),'Tổng Đơn'!$B8),0)</f>
        <v>0</v>
      </c>
      <c r="AQ8" s="2">
        <f ca="1">IFERROR(SUMIFS(INDIRECT("'Thanh Toán ("&amp;AQ$3&amp;")'!$F:$F"),INDIRECT("'Thanh Toán ("&amp;AQ$3&amp;")'!$D:$D"),'Tổng Đơn'!$B8),0)</f>
        <v>0</v>
      </c>
      <c r="AR8" s="2">
        <f ca="1">IFERROR(SUMIFS(INDIRECT("'Thanh Toán ("&amp;AR$3&amp;")'!$F:$F"),INDIRECT("'Thanh Toán ("&amp;AR$3&amp;")'!$D:$D"),'Tổng Đơn'!$B8),0)</f>
        <v>0</v>
      </c>
      <c r="AS8" s="2">
        <f ca="1">IFERROR(SUMIFS(INDIRECT("'Thanh Toán ("&amp;AS$3&amp;")'!$F:$F"),INDIRECT("'Thanh Toán ("&amp;AS$3&amp;")'!$D:$D"),'Tổng Đơn'!$B8),0)</f>
        <v>0</v>
      </c>
      <c r="AT8" s="2">
        <f ca="1">IFERROR(SUMIFS(INDIRECT("'Thanh Toán ("&amp;AT$3&amp;")'!$F:$F"),INDIRECT("'Thanh Toán ("&amp;AT$3&amp;")'!$D:$D"),'Tổng Đơn'!$B8),0)</f>
        <v>0</v>
      </c>
      <c r="AU8" s="2">
        <f ca="1">IFERROR(SUMIFS(INDIRECT("'Thanh Toán ("&amp;AU$3&amp;")'!$F:$F"),INDIRECT("'Thanh Toán ("&amp;AU$3&amp;")'!$D:$D"),'Tổng Đơn'!$B8),0)</f>
        <v>0</v>
      </c>
      <c r="AV8" s="2">
        <f ca="1">IFERROR(SUMIFS(INDIRECT("'Thanh Toán ("&amp;AV$3&amp;")'!$F:$F"),INDIRECT("'Thanh Toán ("&amp;AV$3&amp;")'!$D:$D"),'Tổng Đơn'!$B8),0)</f>
        <v>0</v>
      </c>
      <c r="AW8" s="2">
        <f ca="1">IFERROR(SUMIFS(INDIRECT("'Thanh Toán ("&amp;AW$3&amp;")'!$F:$F"),INDIRECT("'Thanh Toán ("&amp;AW$3&amp;")'!$D:$D"),'Tổng Đơn'!$B8),0)</f>
        <v>0</v>
      </c>
      <c r="AX8" s="2">
        <f ca="1">IFERROR(SUMIFS(INDIRECT("'Thanh Toán ("&amp;AX$3&amp;")'!$F:$F"),INDIRECT("'Thanh Toán ("&amp;AX$3&amp;")'!$D:$D"),'Tổng Đơn'!$B8),0)</f>
        <v>0</v>
      </c>
      <c r="AY8" s="2">
        <f ca="1">IFERROR(SUMIFS(INDIRECT("'Thanh Toán ("&amp;AY$3&amp;")'!$F:$F"),INDIRECT("'Thanh Toán ("&amp;AY$3&amp;")'!$D:$D"),'Tổng Đơn'!$B8),0)</f>
        <v>0</v>
      </c>
      <c r="AZ8" s="2">
        <f ca="1">IFERROR(SUMIFS(INDIRECT("'Thanh Toán ("&amp;AZ$3&amp;")'!$F:$F"),INDIRECT("'Thanh Toán ("&amp;AZ$3&amp;")'!$D:$D"),'Tổng Đơn'!$B8),0)</f>
        <v>0</v>
      </c>
      <c r="BA8" s="2">
        <f ca="1">IFERROR(SUMIFS(INDIRECT("'Thanh Toán ("&amp;BA$3&amp;")'!$F:$F"),INDIRECT("'Thanh Toán ("&amp;BA$3&amp;")'!$D:$D"),'Tổng Đơn'!$B8),0)</f>
        <v>0</v>
      </c>
      <c r="BB8" s="2">
        <f ca="1">IFERROR(SUMIFS(INDIRECT("'Thanh Toán ("&amp;BB$3&amp;")'!$F:$F"),INDIRECT("'Thanh Toán ("&amp;BB$3&amp;")'!$D:$D"),'Tổng Đơn'!$B8),0)</f>
        <v>0</v>
      </c>
      <c r="BC8" s="2">
        <f ca="1">IFERROR(SUMIFS(INDIRECT("'Thanh Toán ("&amp;BC$3&amp;")'!$F:$F"),INDIRECT("'Thanh Toán ("&amp;BC$3&amp;")'!$D:$D"),'Tổng Đơn'!$B8),0)</f>
        <v>0</v>
      </c>
    </row>
    <row r="9" spans="1:55" s="103" customFormat="1" ht="18" customHeight="1" x14ac:dyDescent="0.25">
      <c r="A9" s="208">
        <v>2</v>
      </c>
      <c r="B9" s="209" t="s">
        <v>1</v>
      </c>
      <c r="C9" s="208" t="s">
        <v>109</v>
      </c>
      <c r="D9" s="203">
        <f>VLOOKUP($C9,Sheet1!$C$5:$D$98,2,0)</f>
        <v>25000</v>
      </c>
      <c r="E9" s="204">
        <v>0.5</v>
      </c>
      <c r="F9" s="205">
        <f t="shared" ca="1" si="2"/>
        <v>3</v>
      </c>
      <c r="G9" s="206">
        <f>IFERROR(VLOOKUP($B9,Gà!C:J,8,0),IFERROR(VLOOKUP($B9,TVP!C:J,7,0),IFERROR(VLOOKUP($B9,Kitkool!C:J,8,0),IFERROR(VLOOKUP($B9,'La Cusina'!C:J,8,0),VLOOKUP($B9,'Quốc Nhân'!C:J,8,0)))))</f>
        <v>21.800032864399956</v>
      </c>
      <c r="H9" s="207">
        <f t="shared" ca="1" si="4"/>
        <v>9599.9014068001306</v>
      </c>
      <c r="I9" s="207"/>
      <c r="J9" s="207">
        <f t="shared" ca="1" si="3"/>
        <v>65400.098593199873</v>
      </c>
      <c r="K9" s="53"/>
      <c r="L9" s="2">
        <f ca="1">IFERROR(SUMIFS(INDIRECT("'Thanh Toán ("&amp;L$3&amp;")'!$F:$F"),INDIRECT("'Thanh Toán ("&amp;L$3&amp;")'!$D:$D"),'Tổng Đơn'!$B9),0)</f>
        <v>0</v>
      </c>
      <c r="M9" s="2">
        <f ca="1">IFERROR(SUMIFS(INDIRECT("'Thanh Toán ("&amp;M$3&amp;")'!$F:$F"),INDIRECT("'Thanh Toán ("&amp;M$3&amp;")'!$D:$D"),'Tổng Đơn'!$B9),0)</f>
        <v>0</v>
      </c>
      <c r="N9" s="2">
        <f ca="1">IFERROR(SUMIFS(INDIRECT("'Thanh Toán ("&amp;N$3&amp;")'!$F:$F"),INDIRECT("'Thanh Toán ("&amp;N$3&amp;")'!$D:$D"),'Tổng Đơn'!$B9),0)</f>
        <v>3</v>
      </c>
      <c r="O9" s="2">
        <f ca="1">IFERROR(SUMIFS(INDIRECT("'Thanh Toán ("&amp;O$3&amp;")'!$F:$F"),INDIRECT("'Thanh Toán ("&amp;O$3&amp;")'!$D:$D"),'Tổng Đơn'!$B9),0)</f>
        <v>0</v>
      </c>
      <c r="P9" s="2">
        <f ca="1">IFERROR(SUMIFS(INDIRECT("'Thanh Toán ("&amp;P$3&amp;")'!$F:$F"),INDIRECT("'Thanh Toán ("&amp;P$3&amp;")'!$D:$D"),'Tổng Đơn'!$B9),0)</f>
        <v>0</v>
      </c>
      <c r="Q9" s="2">
        <f ca="1">IFERROR(SUMIFS(INDIRECT("'Thanh Toán ("&amp;Q$3&amp;")'!$F:$F"),INDIRECT("'Thanh Toán ("&amp;Q$3&amp;")'!$D:$D"),'Tổng Đơn'!$B9),0)</f>
        <v>0</v>
      </c>
      <c r="R9" s="2">
        <f ca="1">IFERROR(SUMIFS(INDIRECT("'Thanh Toán ("&amp;R$3&amp;")'!$F:$F"),INDIRECT("'Thanh Toán ("&amp;R$3&amp;")'!$D:$D"),'Tổng Đơn'!$B9),0)</f>
        <v>0</v>
      </c>
      <c r="S9" s="2">
        <f ca="1">IFERROR(SUMIFS(INDIRECT("'Thanh Toán ("&amp;S$3&amp;")'!$F:$F"),INDIRECT("'Thanh Toán ("&amp;S$3&amp;")'!$D:$D"),'Tổng Đơn'!$B9),0)</f>
        <v>0</v>
      </c>
      <c r="T9" s="2">
        <f ca="1">IFERROR(SUMIFS(INDIRECT("'Thanh Toán ("&amp;T$3&amp;")'!$F:$F"),INDIRECT("'Thanh Toán ("&amp;T$3&amp;")'!$D:$D"),'Tổng Đơn'!$B9),0)</f>
        <v>0</v>
      </c>
      <c r="U9" s="2">
        <f ca="1">IFERROR(SUMIFS(INDIRECT("'Thanh Toán ("&amp;U$3&amp;")'!$F:$F"),INDIRECT("'Thanh Toán ("&amp;U$3&amp;")'!$D:$D"),'Tổng Đơn'!$B9),0)</f>
        <v>0</v>
      </c>
      <c r="V9" s="2">
        <f ca="1">IFERROR(SUMIFS(INDIRECT("'Thanh Toán ("&amp;V$3&amp;")'!$F:$F"),INDIRECT("'Thanh Toán ("&amp;V$3&amp;")'!$D:$D"),'Tổng Đơn'!$B9),0)</f>
        <v>0</v>
      </c>
      <c r="W9" s="2">
        <f ca="1">IFERROR(SUMIFS(INDIRECT("'Thanh Toán ("&amp;W$3&amp;")'!$F:$F"),INDIRECT("'Thanh Toán ("&amp;W$3&amp;")'!$D:$D"),'Tổng Đơn'!$B9),0)</f>
        <v>0</v>
      </c>
      <c r="X9" s="2">
        <f ca="1">IFERROR(SUMIFS(INDIRECT("'Thanh Toán ("&amp;X$3&amp;")'!$F:$F"),INDIRECT("'Thanh Toán ("&amp;X$3&amp;")'!$D:$D"),'Tổng Đơn'!$B9),0)</f>
        <v>0</v>
      </c>
      <c r="Y9" s="2">
        <f ca="1">IFERROR(SUMIFS(INDIRECT("'Thanh Toán ("&amp;Y$3&amp;")'!$F:$F"),INDIRECT("'Thanh Toán ("&amp;Y$3&amp;")'!$D:$D"),'Tổng Đơn'!$B9),0)</f>
        <v>0</v>
      </c>
      <c r="Z9" s="2">
        <f ca="1">IFERROR(SUMIFS(INDIRECT("'Thanh Toán ("&amp;Z$3&amp;")'!$F:$F"),INDIRECT("'Thanh Toán ("&amp;Z$3&amp;")'!$D:$D"),'Tổng Đơn'!$B9),0)</f>
        <v>0</v>
      </c>
      <c r="AA9" s="2">
        <f ca="1">IFERROR(SUMIFS(INDIRECT("'Thanh Toán ("&amp;AA$3&amp;")'!$F:$F"),INDIRECT("'Thanh Toán ("&amp;AA$3&amp;")'!$D:$D"),'Tổng Đơn'!$B9),0)</f>
        <v>0</v>
      </c>
      <c r="AB9" s="2">
        <f ca="1">IFERROR(SUMIFS(INDIRECT("'Thanh Toán ("&amp;AB$3&amp;")'!$F:$F"),INDIRECT("'Thanh Toán ("&amp;AB$3&amp;")'!$D:$D"),'Tổng Đơn'!$B9),0)</f>
        <v>0</v>
      </c>
      <c r="AC9" s="2">
        <f ca="1">IFERROR(SUMIFS(INDIRECT("'Thanh Toán ("&amp;AC$3&amp;")'!$F:$F"),INDIRECT("'Thanh Toán ("&amp;AC$3&amp;")'!$D:$D"),'Tổng Đơn'!$B9),0)</f>
        <v>0</v>
      </c>
      <c r="AD9" s="2">
        <f ca="1">IFERROR(SUMIFS(INDIRECT("'Thanh Toán ("&amp;AD$3&amp;")'!$F:$F"),INDIRECT("'Thanh Toán ("&amp;AD$3&amp;")'!$D:$D"),'Tổng Đơn'!$B9),0)</f>
        <v>0</v>
      </c>
      <c r="AE9" s="2">
        <f ca="1">IFERROR(SUMIFS(INDIRECT("'Thanh Toán ("&amp;AE$3&amp;")'!$F:$F"),INDIRECT("'Thanh Toán ("&amp;AE$3&amp;")'!$D:$D"),'Tổng Đơn'!$B9),0)</f>
        <v>0</v>
      </c>
      <c r="AF9" s="2">
        <f ca="1">IFERROR(SUMIFS(INDIRECT("'Thanh Toán ("&amp;AF$3&amp;")'!$F:$F"),INDIRECT("'Thanh Toán ("&amp;AF$3&amp;")'!$D:$D"),'Tổng Đơn'!$B9),0)</f>
        <v>0</v>
      </c>
      <c r="AG9" s="2">
        <f ca="1">IFERROR(SUMIFS(INDIRECT("'Thanh Toán ("&amp;AG$3&amp;")'!$F:$F"),INDIRECT("'Thanh Toán ("&amp;AG$3&amp;")'!$D:$D"),'Tổng Đơn'!$B9),0)</f>
        <v>0</v>
      </c>
      <c r="AH9" s="2">
        <f ca="1">IFERROR(SUMIFS(INDIRECT("'Thanh Toán ("&amp;AH$3&amp;")'!$F:$F"),INDIRECT("'Thanh Toán ("&amp;AH$3&amp;")'!$D:$D"),'Tổng Đơn'!$B9),0)</f>
        <v>0</v>
      </c>
      <c r="AI9" s="2">
        <f ca="1">IFERROR(SUMIFS(INDIRECT("'Thanh Toán ("&amp;AI$3&amp;")'!$F:$F"),INDIRECT("'Thanh Toán ("&amp;AI$3&amp;")'!$D:$D"),'Tổng Đơn'!$B9),0)</f>
        <v>0</v>
      </c>
      <c r="AJ9" s="2">
        <f ca="1">IFERROR(SUMIFS(INDIRECT("'Thanh Toán ("&amp;AJ$3&amp;")'!$F:$F"),INDIRECT("'Thanh Toán ("&amp;AJ$3&amp;")'!$D:$D"),'Tổng Đơn'!$B9),0)</f>
        <v>0</v>
      </c>
      <c r="AK9" s="2">
        <f ca="1">IFERROR(SUMIFS(INDIRECT("'Thanh Toán ("&amp;AK$3&amp;")'!$F:$F"),INDIRECT("'Thanh Toán ("&amp;AK$3&amp;")'!$D:$D"),'Tổng Đơn'!$B9),0)</f>
        <v>0</v>
      </c>
      <c r="AL9" s="2">
        <f ca="1">IFERROR(SUMIFS(INDIRECT("'Thanh Toán ("&amp;AL$3&amp;")'!$F:$F"),INDIRECT("'Thanh Toán ("&amp;AL$3&amp;")'!$D:$D"),'Tổng Đơn'!$B9),0)</f>
        <v>0</v>
      </c>
      <c r="AM9" s="2">
        <f ca="1">IFERROR(SUMIFS(INDIRECT("'Thanh Toán ("&amp;AM$3&amp;")'!$F:$F"),INDIRECT("'Thanh Toán ("&amp;AM$3&amp;")'!$D:$D"),'Tổng Đơn'!$B9),0)</f>
        <v>0</v>
      </c>
      <c r="AN9" s="2">
        <f ca="1">IFERROR(SUMIFS(INDIRECT("'Thanh Toán ("&amp;AN$3&amp;")'!$F:$F"),INDIRECT("'Thanh Toán ("&amp;AN$3&amp;")'!$D:$D"),'Tổng Đơn'!$B9),0)</f>
        <v>0</v>
      </c>
      <c r="AO9" s="2">
        <f ca="1">IFERROR(SUMIFS(INDIRECT("'Thanh Toán ("&amp;AO$3&amp;")'!$F:$F"),INDIRECT("'Thanh Toán ("&amp;AO$3&amp;")'!$D:$D"),'Tổng Đơn'!$B9),0)</f>
        <v>0</v>
      </c>
      <c r="AP9" s="2">
        <f ca="1">IFERROR(SUMIFS(INDIRECT("'Thanh Toán ("&amp;AP$3&amp;")'!$F:$F"),INDIRECT("'Thanh Toán ("&amp;AP$3&amp;")'!$D:$D"),'Tổng Đơn'!$B9),0)</f>
        <v>0</v>
      </c>
      <c r="AQ9" s="2">
        <f ca="1">IFERROR(SUMIFS(INDIRECT("'Thanh Toán ("&amp;AQ$3&amp;")'!$F:$F"),INDIRECT("'Thanh Toán ("&amp;AQ$3&amp;")'!$D:$D"),'Tổng Đơn'!$B9),0)</f>
        <v>0</v>
      </c>
      <c r="AR9" s="2">
        <f ca="1">IFERROR(SUMIFS(INDIRECT("'Thanh Toán ("&amp;AR$3&amp;")'!$F:$F"),INDIRECT("'Thanh Toán ("&amp;AR$3&amp;")'!$D:$D"),'Tổng Đơn'!$B9),0)</f>
        <v>0</v>
      </c>
      <c r="AS9" s="2">
        <f ca="1">IFERROR(SUMIFS(INDIRECT("'Thanh Toán ("&amp;AS$3&amp;")'!$F:$F"),INDIRECT("'Thanh Toán ("&amp;AS$3&amp;")'!$D:$D"),'Tổng Đơn'!$B9),0)</f>
        <v>0</v>
      </c>
      <c r="AT9" s="2">
        <f ca="1">IFERROR(SUMIFS(INDIRECT("'Thanh Toán ("&amp;AT$3&amp;")'!$F:$F"),INDIRECT("'Thanh Toán ("&amp;AT$3&amp;")'!$D:$D"),'Tổng Đơn'!$B9),0)</f>
        <v>0</v>
      </c>
      <c r="AU9" s="2">
        <f ca="1">IFERROR(SUMIFS(INDIRECT("'Thanh Toán ("&amp;AU$3&amp;")'!$F:$F"),INDIRECT("'Thanh Toán ("&amp;AU$3&amp;")'!$D:$D"),'Tổng Đơn'!$B9),0)</f>
        <v>0</v>
      </c>
      <c r="AV9" s="2">
        <f ca="1">IFERROR(SUMIFS(INDIRECT("'Thanh Toán ("&amp;AV$3&amp;")'!$F:$F"),INDIRECT("'Thanh Toán ("&amp;AV$3&amp;")'!$D:$D"),'Tổng Đơn'!$B9),0)</f>
        <v>0</v>
      </c>
      <c r="AW9" s="2">
        <f ca="1">IFERROR(SUMIFS(INDIRECT("'Thanh Toán ("&amp;AW$3&amp;")'!$F:$F"),INDIRECT("'Thanh Toán ("&amp;AW$3&amp;")'!$D:$D"),'Tổng Đơn'!$B9),0)</f>
        <v>0</v>
      </c>
      <c r="AX9" s="2">
        <f ca="1">IFERROR(SUMIFS(INDIRECT("'Thanh Toán ("&amp;AX$3&amp;")'!$F:$F"),INDIRECT("'Thanh Toán ("&amp;AX$3&amp;")'!$D:$D"),'Tổng Đơn'!$B9),0)</f>
        <v>0</v>
      </c>
      <c r="AY9" s="2">
        <f ca="1">IFERROR(SUMIFS(INDIRECT("'Thanh Toán ("&amp;AY$3&amp;")'!$F:$F"),INDIRECT("'Thanh Toán ("&amp;AY$3&amp;")'!$D:$D"),'Tổng Đơn'!$B9),0)</f>
        <v>0</v>
      </c>
      <c r="AZ9" s="2">
        <f ca="1">IFERROR(SUMIFS(INDIRECT("'Thanh Toán ("&amp;AZ$3&amp;")'!$F:$F"),INDIRECT("'Thanh Toán ("&amp;AZ$3&amp;")'!$D:$D"),'Tổng Đơn'!$B9),0)</f>
        <v>0</v>
      </c>
      <c r="BA9" s="2">
        <f ca="1">IFERROR(SUMIFS(INDIRECT("'Thanh Toán ("&amp;BA$3&amp;")'!$F:$F"),INDIRECT("'Thanh Toán ("&amp;BA$3&amp;")'!$D:$D"),'Tổng Đơn'!$B9),0)</f>
        <v>0</v>
      </c>
      <c r="BB9" s="2">
        <f ca="1">IFERROR(SUMIFS(INDIRECT("'Thanh Toán ("&amp;BB$3&amp;")'!$F:$F"),INDIRECT("'Thanh Toán ("&amp;BB$3&amp;")'!$D:$D"),'Tổng Đơn'!$B9),0)</f>
        <v>0</v>
      </c>
      <c r="BC9" s="2">
        <f ca="1">IFERROR(SUMIFS(INDIRECT("'Thanh Toán ("&amp;BC$3&amp;")'!$F:$F"),INDIRECT("'Thanh Toán ("&amp;BC$3&amp;")'!$D:$D"),'Tổng Đơn'!$B9),0)</f>
        <v>0</v>
      </c>
    </row>
    <row r="10" spans="1:55" ht="18" customHeight="1" x14ac:dyDescent="0.25">
      <c r="A10" s="201">
        <v>3</v>
      </c>
      <c r="B10" s="202" t="s">
        <v>2</v>
      </c>
      <c r="C10" s="201" t="s">
        <v>110</v>
      </c>
      <c r="D10" s="203">
        <f>VLOOKUP($C10,Sheet1!$C$5:$D$98,2,0)</f>
        <v>28000</v>
      </c>
      <c r="E10" s="204">
        <v>0.5</v>
      </c>
      <c r="F10" s="205">
        <f t="shared" ca="1" si="2"/>
        <v>1</v>
      </c>
      <c r="G10" s="206">
        <f>IFERROR(VLOOKUP($B10,Gà!C:J,8,0),IFERROR(VLOOKUP($B10,TVP!C:J,7,0),IFERROR(VLOOKUP($B10,Kitkool!C:J,8,0),IFERROR(VLOOKUP($B10,'La Cusina'!C:J,8,0),VLOOKUP($B10,'Quốc Nhân'!C:J,8,0)))))</f>
        <v>22.569445789025838</v>
      </c>
      <c r="H10" s="207">
        <f t="shared" ca="1" si="4"/>
        <v>5430.5542109741618</v>
      </c>
      <c r="I10" s="207"/>
      <c r="J10" s="207">
        <f t="shared" ca="1" si="3"/>
        <v>22569.445789025838</v>
      </c>
      <c r="K10" s="53"/>
      <c r="L10" s="2">
        <f ca="1">IFERROR(SUMIFS(INDIRECT("'Thanh Toán ("&amp;L$3&amp;")'!$F:$F"),INDIRECT("'Thanh Toán ("&amp;L$3&amp;")'!$D:$D"),'Tổng Đơn'!$B10),0)</f>
        <v>0</v>
      </c>
      <c r="M10" s="2">
        <f ca="1">IFERROR(SUMIFS(INDIRECT("'Thanh Toán ("&amp;M$3&amp;")'!$F:$F"),INDIRECT("'Thanh Toán ("&amp;M$3&amp;")'!$D:$D"),'Tổng Đơn'!$B10),0)</f>
        <v>0</v>
      </c>
      <c r="N10" s="2">
        <f ca="1">IFERROR(SUMIFS(INDIRECT("'Thanh Toán ("&amp;N$3&amp;")'!$F:$F"),INDIRECT("'Thanh Toán ("&amp;N$3&amp;")'!$D:$D"),'Tổng Đơn'!$B10),0)</f>
        <v>0</v>
      </c>
      <c r="O10" s="2">
        <f ca="1">IFERROR(SUMIFS(INDIRECT("'Thanh Toán ("&amp;O$3&amp;")'!$F:$F"),INDIRECT("'Thanh Toán ("&amp;O$3&amp;")'!$D:$D"),'Tổng Đơn'!$B10),0)</f>
        <v>0</v>
      </c>
      <c r="P10" s="2">
        <f ca="1">IFERROR(SUMIFS(INDIRECT("'Thanh Toán ("&amp;P$3&amp;")'!$F:$F"),INDIRECT("'Thanh Toán ("&amp;P$3&amp;")'!$D:$D"),'Tổng Đơn'!$B10),0)</f>
        <v>0</v>
      </c>
      <c r="Q10" s="2">
        <f ca="1">IFERROR(SUMIFS(INDIRECT("'Thanh Toán ("&amp;Q$3&amp;")'!$F:$F"),INDIRECT("'Thanh Toán ("&amp;Q$3&amp;")'!$D:$D"),'Tổng Đơn'!$B10),0)</f>
        <v>0</v>
      </c>
      <c r="R10" s="2">
        <f ca="1">IFERROR(SUMIFS(INDIRECT("'Thanh Toán ("&amp;R$3&amp;")'!$F:$F"),INDIRECT("'Thanh Toán ("&amp;R$3&amp;")'!$D:$D"),'Tổng Đơn'!$B10),0)</f>
        <v>0</v>
      </c>
      <c r="S10" s="2">
        <f ca="1">IFERROR(SUMIFS(INDIRECT("'Thanh Toán ("&amp;S$3&amp;")'!$F:$F"),INDIRECT("'Thanh Toán ("&amp;S$3&amp;")'!$D:$D"),'Tổng Đơn'!$B10),0)</f>
        <v>0</v>
      </c>
      <c r="T10" s="2">
        <f ca="1">IFERROR(SUMIFS(INDIRECT("'Thanh Toán ("&amp;T$3&amp;")'!$F:$F"),INDIRECT("'Thanh Toán ("&amp;T$3&amp;")'!$D:$D"),'Tổng Đơn'!$B10),0)</f>
        <v>0</v>
      </c>
      <c r="U10" s="2">
        <f ca="1">IFERROR(SUMIFS(INDIRECT("'Thanh Toán ("&amp;U$3&amp;")'!$F:$F"),INDIRECT("'Thanh Toán ("&amp;U$3&amp;")'!$D:$D"),'Tổng Đơn'!$B10),0)</f>
        <v>0</v>
      </c>
      <c r="V10" s="2">
        <f ca="1">IFERROR(SUMIFS(INDIRECT("'Thanh Toán ("&amp;V$3&amp;")'!$F:$F"),INDIRECT("'Thanh Toán ("&amp;V$3&amp;")'!$D:$D"),'Tổng Đơn'!$B10),0)</f>
        <v>0</v>
      </c>
      <c r="W10" s="2">
        <f ca="1">IFERROR(SUMIFS(INDIRECT("'Thanh Toán ("&amp;W$3&amp;")'!$F:$F"),INDIRECT("'Thanh Toán ("&amp;W$3&amp;")'!$D:$D"),'Tổng Đơn'!$B10),0)</f>
        <v>0</v>
      </c>
      <c r="X10" s="2">
        <f ca="1">IFERROR(SUMIFS(INDIRECT("'Thanh Toán ("&amp;X$3&amp;")'!$F:$F"),INDIRECT("'Thanh Toán ("&amp;X$3&amp;")'!$D:$D"),'Tổng Đơn'!$B10),0)</f>
        <v>0</v>
      </c>
      <c r="Y10" s="2">
        <f ca="1">IFERROR(SUMIFS(INDIRECT("'Thanh Toán ("&amp;Y$3&amp;")'!$F:$F"),INDIRECT("'Thanh Toán ("&amp;Y$3&amp;")'!$D:$D"),'Tổng Đơn'!$B10),0)</f>
        <v>1</v>
      </c>
      <c r="Z10" s="2">
        <f ca="1">IFERROR(SUMIFS(INDIRECT("'Thanh Toán ("&amp;Z$3&amp;")'!$F:$F"),INDIRECT("'Thanh Toán ("&amp;Z$3&amp;")'!$D:$D"),'Tổng Đơn'!$B10),0)</f>
        <v>0</v>
      </c>
      <c r="AA10" s="2">
        <f ca="1">IFERROR(SUMIFS(INDIRECT("'Thanh Toán ("&amp;AA$3&amp;")'!$F:$F"),INDIRECT("'Thanh Toán ("&amp;AA$3&amp;")'!$D:$D"),'Tổng Đơn'!$B10),0)</f>
        <v>0</v>
      </c>
      <c r="AB10" s="2">
        <f ca="1">IFERROR(SUMIFS(INDIRECT("'Thanh Toán ("&amp;AB$3&amp;")'!$F:$F"),INDIRECT("'Thanh Toán ("&amp;AB$3&amp;")'!$D:$D"),'Tổng Đơn'!$B10),0)</f>
        <v>0</v>
      </c>
      <c r="AC10" s="2">
        <f ca="1">IFERROR(SUMIFS(INDIRECT("'Thanh Toán ("&amp;AC$3&amp;")'!$F:$F"),INDIRECT("'Thanh Toán ("&amp;AC$3&amp;")'!$D:$D"),'Tổng Đơn'!$B10),0)</f>
        <v>0</v>
      </c>
      <c r="AD10" s="2">
        <f ca="1">IFERROR(SUMIFS(INDIRECT("'Thanh Toán ("&amp;AD$3&amp;")'!$F:$F"),INDIRECT("'Thanh Toán ("&amp;AD$3&amp;")'!$D:$D"),'Tổng Đơn'!$B10),0)</f>
        <v>0</v>
      </c>
      <c r="AE10" s="2">
        <f ca="1">IFERROR(SUMIFS(INDIRECT("'Thanh Toán ("&amp;AE$3&amp;")'!$F:$F"),INDIRECT("'Thanh Toán ("&amp;AE$3&amp;")'!$D:$D"),'Tổng Đơn'!$B10),0)</f>
        <v>0</v>
      </c>
      <c r="AF10" s="2">
        <f ca="1">IFERROR(SUMIFS(INDIRECT("'Thanh Toán ("&amp;AF$3&amp;")'!$F:$F"),INDIRECT("'Thanh Toán ("&amp;AF$3&amp;")'!$D:$D"),'Tổng Đơn'!$B10),0)</f>
        <v>0</v>
      </c>
      <c r="AG10" s="2">
        <f ca="1">IFERROR(SUMIFS(INDIRECT("'Thanh Toán ("&amp;AG$3&amp;")'!$F:$F"),INDIRECT("'Thanh Toán ("&amp;AG$3&amp;")'!$D:$D"),'Tổng Đơn'!$B10),0)</f>
        <v>0</v>
      </c>
      <c r="AH10" s="2">
        <f ca="1">IFERROR(SUMIFS(INDIRECT("'Thanh Toán ("&amp;AH$3&amp;")'!$F:$F"),INDIRECT("'Thanh Toán ("&amp;AH$3&amp;")'!$D:$D"),'Tổng Đơn'!$B10),0)</f>
        <v>0</v>
      </c>
      <c r="AI10" s="2">
        <f ca="1">IFERROR(SUMIFS(INDIRECT("'Thanh Toán ("&amp;AI$3&amp;")'!$F:$F"),INDIRECT("'Thanh Toán ("&amp;AI$3&amp;")'!$D:$D"),'Tổng Đơn'!$B10),0)</f>
        <v>0</v>
      </c>
      <c r="AJ10" s="2">
        <f ca="1">IFERROR(SUMIFS(INDIRECT("'Thanh Toán ("&amp;AJ$3&amp;")'!$F:$F"),INDIRECT("'Thanh Toán ("&amp;AJ$3&amp;")'!$D:$D"),'Tổng Đơn'!$B10),0)</f>
        <v>0</v>
      </c>
      <c r="AK10" s="2">
        <f ca="1">IFERROR(SUMIFS(INDIRECT("'Thanh Toán ("&amp;AK$3&amp;")'!$F:$F"),INDIRECT("'Thanh Toán ("&amp;AK$3&amp;")'!$D:$D"),'Tổng Đơn'!$B10),0)</f>
        <v>0</v>
      </c>
      <c r="AL10" s="2">
        <f ca="1">IFERROR(SUMIFS(INDIRECT("'Thanh Toán ("&amp;AL$3&amp;")'!$F:$F"),INDIRECT("'Thanh Toán ("&amp;AL$3&amp;")'!$D:$D"),'Tổng Đơn'!$B10),0)</f>
        <v>0</v>
      </c>
      <c r="AM10" s="2">
        <f ca="1">IFERROR(SUMIFS(INDIRECT("'Thanh Toán ("&amp;AM$3&amp;")'!$F:$F"),INDIRECT("'Thanh Toán ("&amp;AM$3&amp;")'!$D:$D"),'Tổng Đơn'!$B10),0)</f>
        <v>0</v>
      </c>
      <c r="AN10" s="2">
        <f ca="1">IFERROR(SUMIFS(INDIRECT("'Thanh Toán ("&amp;AN$3&amp;")'!$F:$F"),INDIRECT("'Thanh Toán ("&amp;AN$3&amp;")'!$D:$D"),'Tổng Đơn'!$B10),0)</f>
        <v>0</v>
      </c>
      <c r="AO10" s="2">
        <f ca="1">IFERROR(SUMIFS(INDIRECT("'Thanh Toán ("&amp;AO$3&amp;")'!$F:$F"),INDIRECT("'Thanh Toán ("&amp;AO$3&amp;")'!$D:$D"),'Tổng Đơn'!$B10),0)</f>
        <v>0</v>
      </c>
      <c r="AP10" s="2">
        <f ca="1">IFERROR(SUMIFS(INDIRECT("'Thanh Toán ("&amp;AP$3&amp;")'!$F:$F"),INDIRECT("'Thanh Toán ("&amp;AP$3&amp;")'!$D:$D"),'Tổng Đơn'!$B10),0)</f>
        <v>0</v>
      </c>
      <c r="AQ10" s="2">
        <f ca="1">IFERROR(SUMIFS(INDIRECT("'Thanh Toán ("&amp;AQ$3&amp;")'!$F:$F"),INDIRECT("'Thanh Toán ("&amp;AQ$3&amp;")'!$D:$D"),'Tổng Đơn'!$B10),0)</f>
        <v>0</v>
      </c>
      <c r="AR10" s="2">
        <f ca="1">IFERROR(SUMIFS(INDIRECT("'Thanh Toán ("&amp;AR$3&amp;")'!$F:$F"),INDIRECT("'Thanh Toán ("&amp;AR$3&amp;")'!$D:$D"),'Tổng Đơn'!$B10),0)</f>
        <v>0</v>
      </c>
      <c r="AS10" s="2">
        <f ca="1">IFERROR(SUMIFS(INDIRECT("'Thanh Toán ("&amp;AS$3&amp;")'!$F:$F"),INDIRECT("'Thanh Toán ("&amp;AS$3&amp;")'!$D:$D"),'Tổng Đơn'!$B10),0)</f>
        <v>0</v>
      </c>
      <c r="AT10" s="2">
        <f ca="1">IFERROR(SUMIFS(INDIRECT("'Thanh Toán ("&amp;AT$3&amp;")'!$F:$F"),INDIRECT("'Thanh Toán ("&amp;AT$3&amp;")'!$D:$D"),'Tổng Đơn'!$B10),0)</f>
        <v>0</v>
      </c>
      <c r="AU10" s="2">
        <f ca="1">IFERROR(SUMIFS(INDIRECT("'Thanh Toán ("&amp;AU$3&amp;")'!$F:$F"),INDIRECT("'Thanh Toán ("&amp;AU$3&amp;")'!$D:$D"),'Tổng Đơn'!$B10),0)</f>
        <v>0</v>
      </c>
      <c r="AV10" s="2">
        <f ca="1">IFERROR(SUMIFS(INDIRECT("'Thanh Toán ("&amp;AV$3&amp;")'!$F:$F"),INDIRECT("'Thanh Toán ("&amp;AV$3&amp;")'!$D:$D"),'Tổng Đơn'!$B10),0)</f>
        <v>0</v>
      </c>
      <c r="AW10" s="2">
        <f ca="1">IFERROR(SUMIFS(INDIRECT("'Thanh Toán ("&amp;AW$3&amp;")'!$F:$F"),INDIRECT("'Thanh Toán ("&amp;AW$3&amp;")'!$D:$D"),'Tổng Đơn'!$B10),0)</f>
        <v>0</v>
      </c>
      <c r="AX10" s="2">
        <f ca="1">IFERROR(SUMIFS(INDIRECT("'Thanh Toán ("&amp;AX$3&amp;")'!$F:$F"),INDIRECT("'Thanh Toán ("&amp;AX$3&amp;")'!$D:$D"),'Tổng Đơn'!$B10),0)</f>
        <v>0</v>
      </c>
      <c r="AY10" s="2">
        <f ca="1">IFERROR(SUMIFS(INDIRECT("'Thanh Toán ("&amp;AY$3&amp;")'!$F:$F"),INDIRECT("'Thanh Toán ("&amp;AY$3&amp;")'!$D:$D"),'Tổng Đơn'!$B10),0)</f>
        <v>0</v>
      </c>
      <c r="AZ10" s="2">
        <f ca="1">IFERROR(SUMIFS(INDIRECT("'Thanh Toán ("&amp;AZ$3&amp;")'!$F:$F"),INDIRECT("'Thanh Toán ("&amp;AZ$3&amp;")'!$D:$D"),'Tổng Đơn'!$B10),0)</f>
        <v>0</v>
      </c>
      <c r="BA10" s="2">
        <f ca="1">IFERROR(SUMIFS(INDIRECT("'Thanh Toán ("&amp;BA$3&amp;")'!$F:$F"),INDIRECT("'Thanh Toán ("&amp;BA$3&amp;")'!$D:$D"),'Tổng Đơn'!$B10),0)</f>
        <v>0</v>
      </c>
      <c r="BB10" s="2">
        <f ca="1">IFERROR(SUMIFS(INDIRECT("'Thanh Toán ("&amp;BB$3&amp;")'!$F:$F"),INDIRECT("'Thanh Toán ("&amp;BB$3&amp;")'!$D:$D"),'Tổng Đơn'!$B10),0)</f>
        <v>0</v>
      </c>
      <c r="BC10" s="2">
        <f ca="1">IFERROR(SUMIFS(INDIRECT("'Thanh Toán ("&amp;BC$3&amp;")'!$F:$F"),INDIRECT("'Thanh Toán ("&amp;BC$3&amp;")'!$D:$D"),'Tổng Đơn'!$B10),0)</f>
        <v>0</v>
      </c>
    </row>
    <row r="11" spans="1:55" ht="18" customHeight="1" x14ac:dyDescent="0.25">
      <c r="A11" s="201">
        <v>4</v>
      </c>
      <c r="B11" s="202" t="s">
        <v>3</v>
      </c>
      <c r="C11" s="208" t="s">
        <v>111</v>
      </c>
      <c r="D11" s="203">
        <f>VLOOKUP($C11,Sheet1!$C$5:$D$98,2,0)</f>
        <v>30000</v>
      </c>
      <c r="E11" s="204">
        <v>0.5</v>
      </c>
      <c r="F11" s="205">
        <f t="shared" ca="1" si="2"/>
        <v>1</v>
      </c>
      <c r="G11" s="206">
        <f>IFERROR(VLOOKUP($B11,Gà!C:J,8,0),IFERROR(VLOOKUP($B11,TVP!C:J,7,0),IFERROR(VLOOKUP($B11,Kitkool!C:J,8,0),IFERROR(VLOOKUP($B11,'La Cusina'!C:J,8,0),VLOOKUP($B11,'Quốc Nhân'!C:J,8,0)))))</f>
        <v>22.312974814150543</v>
      </c>
      <c r="H11" s="207">
        <f t="shared" ca="1" si="4"/>
        <v>7687.0251858494557</v>
      </c>
      <c r="I11" s="207"/>
      <c r="J11" s="207">
        <f t="shared" ca="1" si="3"/>
        <v>22312.974814150544</v>
      </c>
      <c r="K11" s="140">
        <f ca="1">H4/J4</f>
        <v>0.16628517269150048</v>
      </c>
      <c r="L11" s="2">
        <f ca="1">IFERROR(SUMIFS(INDIRECT("'Thanh Toán ("&amp;L$3&amp;")'!$F:$F"),INDIRECT("'Thanh Toán ("&amp;L$3&amp;")'!$D:$D"),'Tổng Đơn'!$B11),0)</f>
        <v>0</v>
      </c>
      <c r="M11" s="2">
        <f ca="1">IFERROR(SUMIFS(INDIRECT("'Thanh Toán ("&amp;M$3&amp;")'!$F:$F"),INDIRECT("'Thanh Toán ("&amp;M$3&amp;")'!$D:$D"),'Tổng Đơn'!$B11),0)</f>
        <v>0</v>
      </c>
      <c r="N11" s="2">
        <f ca="1">IFERROR(SUMIFS(INDIRECT("'Thanh Toán ("&amp;N$3&amp;")'!$F:$F"),INDIRECT("'Thanh Toán ("&amp;N$3&amp;")'!$D:$D"),'Tổng Đơn'!$B11),0)</f>
        <v>0</v>
      </c>
      <c r="O11" s="2">
        <f ca="1">IFERROR(SUMIFS(INDIRECT("'Thanh Toán ("&amp;O$3&amp;")'!$F:$F"),INDIRECT("'Thanh Toán ("&amp;O$3&amp;")'!$D:$D"),'Tổng Đơn'!$B11),0)</f>
        <v>0</v>
      </c>
      <c r="P11" s="2">
        <f ca="1">IFERROR(SUMIFS(INDIRECT("'Thanh Toán ("&amp;P$3&amp;")'!$F:$F"),INDIRECT("'Thanh Toán ("&amp;P$3&amp;")'!$D:$D"),'Tổng Đơn'!$B11),0)</f>
        <v>0</v>
      </c>
      <c r="Q11" s="2">
        <f ca="1">IFERROR(SUMIFS(INDIRECT("'Thanh Toán ("&amp;Q$3&amp;")'!$F:$F"),INDIRECT("'Thanh Toán ("&amp;Q$3&amp;")'!$D:$D"),'Tổng Đơn'!$B11),0)</f>
        <v>0</v>
      </c>
      <c r="R11" s="2">
        <f ca="1">IFERROR(SUMIFS(INDIRECT("'Thanh Toán ("&amp;R$3&amp;")'!$F:$F"),INDIRECT("'Thanh Toán ("&amp;R$3&amp;")'!$D:$D"),'Tổng Đơn'!$B11),0)</f>
        <v>0</v>
      </c>
      <c r="S11" s="2">
        <f ca="1">IFERROR(SUMIFS(INDIRECT("'Thanh Toán ("&amp;S$3&amp;")'!$F:$F"),INDIRECT("'Thanh Toán ("&amp;S$3&amp;")'!$D:$D"),'Tổng Đơn'!$B11),0)</f>
        <v>0</v>
      </c>
      <c r="T11" s="2">
        <f ca="1">IFERROR(SUMIFS(INDIRECT("'Thanh Toán ("&amp;T$3&amp;")'!$F:$F"),INDIRECT("'Thanh Toán ("&amp;T$3&amp;")'!$D:$D"),'Tổng Đơn'!$B11),0)</f>
        <v>0</v>
      </c>
      <c r="U11" s="2">
        <f ca="1">IFERROR(SUMIFS(INDIRECT("'Thanh Toán ("&amp;U$3&amp;")'!$F:$F"),INDIRECT("'Thanh Toán ("&amp;U$3&amp;")'!$D:$D"),'Tổng Đơn'!$B11),0)</f>
        <v>0</v>
      </c>
      <c r="V11" s="2">
        <f ca="1">IFERROR(SUMIFS(INDIRECT("'Thanh Toán ("&amp;V$3&amp;")'!$F:$F"),INDIRECT("'Thanh Toán ("&amp;V$3&amp;")'!$D:$D"),'Tổng Đơn'!$B11),0)</f>
        <v>0</v>
      </c>
      <c r="W11" s="2">
        <f ca="1">IFERROR(SUMIFS(INDIRECT("'Thanh Toán ("&amp;W$3&amp;")'!$F:$F"),INDIRECT("'Thanh Toán ("&amp;W$3&amp;")'!$D:$D"),'Tổng Đơn'!$B11),0)</f>
        <v>0</v>
      </c>
      <c r="X11" s="2">
        <f ca="1">IFERROR(SUMIFS(INDIRECT("'Thanh Toán ("&amp;X$3&amp;")'!$F:$F"),INDIRECT("'Thanh Toán ("&amp;X$3&amp;")'!$D:$D"),'Tổng Đơn'!$B11),0)</f>
        <v>0</v>
      </c>
      <c r="Y11" s="2">
        <f ca="1">IFERROR(SUMIFS(INDIRECT("'Thanh Toán ("&amp;Y$3&amp;")'!$F:$F"),INDIRECT("'Thanh Toán ("&amp;Y$3&amp;")'!$D:$D"),'Tổng Đơn'!$B11),0)</f>
        <v>1</v>
      </c>
      <c r="Z11" s="2">
        <f ca="1">IFERROR(SUMIFS(INDIRECT("'Thanh Toán ("&amp;Z$3&amp;")'!$F:$F"),INDIRECT("'Thanh Toán ("&amp;Z$3&amp;")'!$D:$D"),'Tổng Đơn'!$B11),0)</f>
        <v>0</v>
      </c>
      <c r="AA11" s="2">
        <f ca="1">IFERROR(SUMIFS(INDIRECT("'Thanh Toán ("&amp;AA$3&amp;")'!$F:$F"),INDIRECT("'Thanh Toán ("&amp;AA$3&amp;")'!$D:$D"),'Tổng Đơn'!$B11),0)</f>
        <v>0</v>
      </c>
      <c r="AB11" s="2">
        <f ca="1">IFERROR(SUMIFS(INDIRECT("'Thanh Toán ("&amp;AB$3&amp;")'!$F:$F"),INDIRECT("'Thanh Toán ("&amp;AB$3&amp;")'!$D:$D"),'Tổng Đơn'!$B11),0)</f>
        <v>0</v>
      </c>
      <c r="AC11" s="2">
        <f ca="1">IFERROR(SUMIFS(INDIRECT("'Thanh Toán ("&amp;AC$3&amp;")'!$F:$F"),INDIRECT("'Thanh Toán ("&amp;AC$3&amp;")'!$D:$D"),'Tổng Đơn'!$B11),0)</f>
        <v>0</v>
      </c>
      <c r="AD11" s="2">
        <f ca="1">IFERROR(SUMIFS(INDIRECT("'Thanh Toán ("&amp;AD$3&amp;")'!$F:$F"),INDIRECT("'Thanh Toán ("&amp;AD$3&amp;")'!$D:$D"),'Tổng Đơn'!$B11),0)</f>
        <v>0</v>
      </c>
      <c r="AE11" s="2">
        <f ca="1">IFERROR(SUMIFS(INDIRECT("'Thanh Toán ("&amp;AE$3&amp;")'!$F:$F"),INDIRECT("'Thanh Toán ("&amp;AE$3&amp;")'!$D:$D"),'Tổng Đơn'!$B11),0)</f>
        <v>0</v>
      </c>
      <c r="AF11" s="2">
        <f ca="1">IFERROR(SUMIFS(INDIRECT("'Thanh Toán ("&amp;AF$3&amp;")'!$F:$F"),INDIRECT("'Thanh Toán ("&amp;AF$3&amp;")'!$D:$D"),'Tổng Đơn'!$B11),0)</f>
        <v>0</v>
      </c>
      <c r="AG11" s="2">
        <f ca="1">IFERROR(SUMIFS(INDIRECT("'Thanh Toán ("&amp;AG$3&amp;")'!$F:$F"),INDIRECT("'Thanh Toán ("&amp;AG$3&amp;")'!$D:$D"),'Tổng Đơn'!$B11),0)</f>
        <v>0</v>
      </c>
      <c r="AH11" s="2">
        <f ca="1">IFERROR(SUMIFS(INDIRECT("'Thanh Toán ("&amp;AH$3&amp;")'!$F:$F"),INDIRECT("'Thanh Toán ("&amp;AH$3&amp;")'!$D:$D"),'Tổng Đơn'!$B11),0)</f>
        <v>0</v>
      </c>
      <c r="AI11" s="2">
        <f ca="1">IFERROR(SUMIFS(INDIRECT("'Thanh Toán ("&amp;AI$3&amp;")'!$F:$F"),INDIRECT("'Thanh Toán ("&amp;AI$3&amp;")'!$D:$D"),'Tổng Đơn'!$B11),0)</f>
        <v>0</v>
      </c>
      <c r="AJ11" s="2">
        <f ca="1">IFERROR(SUMIFS(INDIRECT("'Thanh Toán ("&amp;AJ$3&amp;")'!$F:$F"),INDIRECT("'Thanh Toán ("&amp;AJ$3&amp;")'!$D:$D"),'Tổng Đơn'!$B11),0)</f>
        <v>0</v>
      </c>
      <c r="AK11" s="2">
        <f ca="1">IFERROR(SUMIFS(INDIRECT("'Thanh Toán ("&amp;AK$3&amp;")'!$F:$F"),INDIRECT("'Thanh Toán ("&amp;AK$3&amp;")'!$D:$D"),'Tổng Đơn'!$B11),0)</f>
        <v>0</v>
      </c>
      <c r="AL11" s="2">
        <f ca="1">IFERROR(SUMIFS(INDIRECT("'Thanh Toán ("&amp;AL$3&amp;")'!$F:$F"),INDIRECT("'Thanh Toán ("&amp;AL$3&amp;")'!$D:$D"),'Tổng Đơn'!$B11),0)</f>
        <v>0</v>
      </c>
      <c r="AM11" s="2">
        <f ca="1">IFERROR(SUMIFS(INDIRECT("'Thanh Toán ("&amp;AM$3&amp;")'!$F:$F"),INDIRECT("'Thanh Toán ("&amp;AM$3&amp;")'!$D:$D"),'Tổng Đơn'!$B11),0)</f>
        <v>0</v>
      </c>
      <c r="AN11" s="2">
        <f ca="1">IFERROR(SUMIFS(INDIRECT("'Thanh Toán ("&amp;AN$3&amp;")'!$F:$F"),INDIRECT("'Thanh Toán ("&amp;AN$3&amp;")'!$D:$D"),'Tổng Đơn'!$B11),0)</f>
        <v>0</v>
      </c>
      <c r="AO11" s="2">
        <f ca="1">IFERROR(SUMIFS(INDIRECT("'Thanh Toán ("&amp;AO$3&amp;")'!$F:$F"),INDIRECT("'Thanh Toán ("&amp;AO$3&amp;")'!$D:$D"),'Tổng Đơn'!$B11),0)</f>
        <v>0</v>
      </c>
      <c r="AP11" s="2">
        <f ca="1">IFERROR(SUMIFS(INDIRECT("'Thanh Toán ("&amp;AP$3&amp;")'!$F:$F"),INDIRECT("'Thanh Toán ("&amp;AP$3&amp;")'!$D:$D"),'Tổng Đơn'!$B11),0)</f>
        <v>0</v>
      </c>
      <c r="AQ11" s="2">
        <f ca="1">IFERROR(SUMIFS(INDIRECT("'Thanh Toán ("&amp;AQ$3&amp;")'!$F:$F"),INDIRECT("'Thanh Toán ("&amp;AQ$3&amp;")'!$D:$D"),'Tổng Đơn'!$B11),0)</f>
        <v>0</v>
      </c>
      <c r="AR11" s="2">
        <f ca="1">IFERROR(SUMIFS(INDIRECT("'Thanh Toán ("&amp;AR$3&amp;")'!$F:$F"),INDIRECT("'Thanh Toán ("&amp;AR$3&amp;")'!$D:$D"),'Tổng Đơn'!$B11),0)</f>
        <v>0</v>
      </c>
      <c r="AS11" s="2">
        <f ca="1">IFERROR(SUMIFS(INDIRECT("'Thanh Toán ("&amp;AS$3&amp;")'!$F:$F"),INDIRECT("'Thanh Toán ("&amp;AS$3&amp;")'!$D:$D"),'Tổng Đơn'!$B11),0)</f>
        <v>0</v>
      </c>
      <c r="AT11" s="2">
        <f ca="1">IFERROR(SUMIFS(INDIRECT("'Thanh Toán ("&amp;AT$3&amp;")'!$F:$F"),INDIRECT("'Thanh Toán ("&amp;AT$3&amp;")'!$D:$D"),'Tổng Đơn'!$B11),0)</f>
        <v>0</v>
      </c>
      <c r="AU11" s="2">
        <f ca="1">IFERROR(SUMIFS(INDIRECT("'Thanh Toán ("&amp;AU$3&amp;")'!$F:$F"),INDIRECT("'Thanh Toán ("&amp;AU$3&amp;")'!$D:$D"),'Tổng Đơn'!$B11),0)</f>
        <v>0</v>
      </c>
      <c r="AV11" s="2">
        <f ca="1">IFERROR(SUMIFS(INDIRECT("'Thanh Toán ("&amp;AV$3&amp;")'!$F:$F"),INDIRECT("'Thanh Toán ("&amp;AV$3&amp;")'!$D:$D"),'Tổng Đơn'!$B11),0)</f>
        <v>0</v>
      </c>
      <c r="AW11" s="2">
        <f ca="1">IFERROR(SUMIFS(INDIRECT("'Thanh Toán ("&amp;AW$3&amp;")'!$F:$F"),INDIRECT("'Thanh Toán ("&amp;AW$3&amp;")'!$D:$D"),'Tổng Đơn'!$B11),0)</f>
        <v>0</v>
      </c>
      <c r="AX11" s="2">
        <f ca="1">IFERROR(SUMIFS(INDIRECT("'Thanh Toán ("&amp;AX$3&amp;")'!$F:$F"),INDIRECT("'Thanh Toán ("&amp;AX$3&amp;")'!$D:$D"),'Tổng Đơn'!$B11),0)</f>
        <v>0</v>
      </c>
      <c r="AY11" s="2">
        <f ca="1">IFERROR(SUMIFS(INDIRECT("'Thanh Toán ("&amp;AY$3&amp;")'!$F:$F"),INDIRECT("'Thanh Toán ("&amp;AY$3&amp;")'!$D:$D"),'Tổng Đơn'!$B11),0)</f>
        <v>0</v>
      </c>
      <c r="AZ11" s="2">
        <f ca="1">IFERROR(SUMIFS(INDIRECT("'Thanh Toán ("&amp;AZ$3&amp;")'!$F:$F"),INDIRECT("'Thanh Toán ("&amp;AZ$3&amp;")'!$D:$D"),'Tổng Đơn'!$B11),0)</f>
        <v>0</v>
      </c>
      <c r="BA11" s="2">
        <f ca="1">IFERROR(SUMIFS(INDIRECT("'Thanh Toán ("&amp;BA$3&amp;")'!$F:$F"),INDIRECT("'Thanh Toán ("&amp;BA$3&amp;")'!$D:$D"),'Tổng Đơn'!$B11),0)</f>
        <v>0</v>
      </c>
      <c r="BB11" s="2">
        <f ca="1">IFERROR(SUMIFS(INDIRECT("'Thanh Toán ("&amp;BB$3&amp;")'!$F:$F"),INDIRECT("'Thanh Toán ("&amp;BB$3&amp;")'!$D:$D"),'Tổng Đơn'!$B11),0)</f>
        <v>0</v>
      </c>
      <c r="BC11" s="2">
        <f ca="1">IFERROR(SUMIFS(INDIRECT("'Thanh Toán ("&amp;BC$3&amp;")'!$F:$F"),INDIRECT("'Thanh Toán ("&amp;BC$3&amp;")'!$D:$D"),'Tổng Đơn'!$B11),0)</f>
        <v>0</v>
      </c>
    </row>
    <row r="12" spans="1:55" ht="18" customHeight="1" x14ac:dyDescent="0.25">
      <c r="A12" s="201">
        <v>5</v>
      </c>
      <c r="B12" s="202" t="s">
        <v>30</v>
      </c>
      <c r="C12" s="201" t="s">
        <v>112</v>
      </c>
      <c r="D12" s="203">
        <f>VLOOKUP($C12,Sheet1!$C$5:$D$98,2,0)</f>
        <v>38000</v>
      </c>
      <c r="E12" s="204">
        <v>0.5</v>
      </c>
      <c r="F12" s="205">
        <f t="shared" ca="1" si="2"/>
        <v>1</v>
      </c>
      <c r="G12" s="206">
        <f>IFERROR(VLOOKUP($B12,Gà!C:J,8,0),IFERROR(VLOOKUP($B12,TVP!C:J,7,0),IFERROR(VLOOKUP($B12,Kitkool!C:J,8,0),IFERROR(VLOOKUP($B12,'La Cusina'!C:J,8,0),VLOOKUP($B12,'Quốc Nhân'!C:J,8,0)))))</f>
        <v>33.226111863287613</v>
      </c>
      <c r="H12" s="207">
        <f t="shared" ca="1" si="4"/>
        <v>4773.8881367123831</v>
      </c>
      <c r="I12" s="207"/>
      <c r="J12" s="207">
        <f t="shared" ca="1" si="3"/>
        <v>33226.111863287617</v>
      </c>
      <c r="K12" s="53"/>
      <c r="L12" s="2">
        <f ca="1">IFERROR(SUMIFS(INDIRECT("'Thanh Toán ("&amp;L$3&amp;")'!$F:$F"),INDIRECT("'Thanh Toán ("&amp;L$3&amp;")'!$D:$D"),'Tổng Đơn'!$B12),0)</f>
        <v>1</v>
      </c>
      <c r="M12" s="2">
        <f ca="1">IFERROR(SUMIFS(INDIRECT("'Thanh Toán ("&amp;M$3&amp;")'!$F:$F"),INDIRECT("'Thanh Toán ("&amp;M$3&amp;")'!$D:$D"),'Tổng Đơn'!$B12),0)</f>
        <v>0</v>
      </c>
      <c r="N12" s="2">
        <f ca="1">IFERROR(SUMIFS(INDIRECT("'Thanh Toán ("&amp;N$3&amp;")'!$F:$F"),INDIRECT("'Thanh Toán ("&amp;N$3&amp;")'!$D:$D"),'Tổng Đơn'!$B12),0)</f>
        <v>0</v>
      </c>
      <c r="O12" s="2">
        <f ca="1">IFERROR(SUMIFS(INDIRECT("'Thanh Toán ("&amp;O$3&amp;")'!$F:$F"),INDIRECT("'Thanh Toán ("&amp;O$3&amp;")'!$D:$D"),'Tổng Đơn'!$B12),0)</f>
        <v>0</v>
      </c>
      <c r="P12" s="2">
        <f ca="1">IFERROR(SUMIFS(INDIRECT("'Thanh Toán ("&amp;P$3&amp;")'!$F:$F"),INDIRECT("'Thanh Toán ("&amp;P$3&amp;")'!$D:$D"),'Tổng Đơn'!$B12),0)</f>
        <v>0</v>
      </c>
      <c r="Q12" s="2">
        <f ca="1">IFERROR(SUMIFS(INDIRECT("'Thanh Toán ("&amp;Q$3&amp;")'!$F:$F"),INDIRECT("'Thanh Toán ("&amp;Q$3&amp;")'!$D:$D"),'Tổng Đơn'!$B12),0)</f>
        <v>0</v>
      </c>
      <c r="R12" s="2">
        <f ca="1">IFERROR(SUMIFS(INDIRECT("'Thanh Toán ("&amp;R$3&amp;")'!$F:$F"),INDIRECT("'Thanh Toán ("&amp;R$3&amp;")'!$D:$D"),'Tổng Đơn'!$B12),0)</f>
        <v>0</v>
      </c>
      <c r="S12" s="2">
        <f ca="1">IFERROR(SUMIFS(INDIRECT("'Thanh Toán ("&amp;S$3&amp;")'!$F:$F"),INDIRECT("'Thanh Toán ("&amp;S$3&amp;")'!$D:$D"),'Tổng Đơn'!$B12),0)</f>
        <v>0</v>
      </c>
      <c r="T12" s="2">
        <f ca="1">IFERROR(SUMIFS(INDIRECT("'Thanh Toán ("&amp;T$3&amp;")'!$F:$F"),INDIRECT("'Thanh Toán ("&amp;T$3&amp;")'!$D:$D"),'Tổng Đơn'!$B12),0)</f>
        <v>0</v>
      </c>
      <c r="U12" s="2">
        <f ca="1">IFERROR(SUMIFS(INDIRECT("'Thanh Toán ("&amp;U$3&amp;")'!$F:$F"),INDIRECT("'Thanh Toán ("&amp;U$3&amp;")'!$D:$D"),'Tổng Đơn'!$B12),0)</f>
        <v>0</v>
      </c>
      <c r="V12" s="2">
        <f ca="1">IFERROR(SUMIFS(INDIRECT("'Thanh Toán ("&amp;V$3&amp;")'!$F:$F"),INDIRECT("'Thanh Toán ("&amp;V$3&amp;")'!$D:$D"),'Tổng Đơn'!$B12),0)</f>
        <v>0</v>
      </c>
      <c r="W12" s="2">
        <f ca="1">IFERROR(SUMIFS(INDIRECT("'Thanh Toán ("&amp;W$3&amp;")'!$F:$F"),INDIRECT("'Thanh Toán ("&amp;W$3&amp;")'!$D:$D"),'Tổng Đơn'!$B12),0)</f>
        <v>0</v>
      </c>
      <c r="X12" s="2">
        <f ca="1">IFERROR(SUMIFS(INDIRECT("'Thanh Toán ("&amp;X$3&amp;")'!$F:$F"),INDIRECT("'Thanh Toán ("&amp;X$3&amp;")'!$D:$D"),'Tổng Đơn'!$B12),0)</f>
        <v>0</v>
      </c>
      <c r="Y12" s="2">
        <f ca="1">IFERROR(SUMIFS(INDIRECT("'Thanh Toán ("&amp;Y$3&amp;")'!$F:$F"),INDIRECT("'Thanh Toán ("&amp;Y$3&amp;")'!$D:$D"),'Tổng Đơn'!$B12),0)</f>
        <v>0</v>
      </c>
      <c r="Z12" s="2">
        <f ca="1">IFERROR(SUMIFS(INDIRECT("'Thanh Toán ("&amp;Z$3&amp;")'!$F:$F"),INDIRECT("'Thanh Toán ("&amp;Z$3&amp;")'!$D:$D"),'Tổng Đơn'!$B12),0)</f>
        <v>0</v>
      </c>
      <c r="AA12" s="2">
        <f ca="1">IFERROR(SUMIFS(INDIRECT("'Thanh Toán ("&amp;AA$3&amp;")'!$F:$F"),INDIRECT("'Thanh Toán ("&amp;AA$3&amp;")'!$D:$D"),'Tổng Đơn'!$B12),0)</f>
        <v>0</v>
      </c>
      <c r="AB12" s="2">
        <f ca="1">IFERROR(SUMIFS(INDIRECT("'Thanh Toán ("&amp;AB$3&amp;")'!$F:$F"),INDIRECT("'Thanh Toán ("&amp;AB$3&amp;")'!$D:$D"),'Tổng Đơn'!$B12),0)</f>
        <v>0</v>
      </c>
      <c r="AC12" s="2">
        <f ca="1">IFERROR(SUMIFS(INDIRECT("'Thanh Toán ("&amp;AC$3&amp;")'!$F:$F"),INDIRECT("'Thanh Toán ("&amp;AC$3&amp;")'!$D:$D"),'Tổng Đơn'!$B12),0)</f>
        <v>0</v>
      </c>
      <c r="AD12" s="2">
        <f ca="1">IFERROR(SUMIFS(INDIRECT("'Thanh Toán ("&amp;AD$3&amp;")'!$F:$F"),INDIRECT("'Thanh Toán ("&amp;AD$3&amp;")'!$D:$D"),'Tổng Đơn'!$B12),0)</f>
        <v>0</v>
      </c>
      <c r="AE12" s="2">
        <f ca="1">IFERROR(SUMIFS(INDIRECT("'Thanh Toán ("&amp;AE$3&amp;")'!$F:$F"),INDIRECT("'Thanh Toán ("&amp;AE$3&amp;")'!$D:$D"),'Tổng Đơn'!$B12),0)</f>
        <v>0</v>
      </c>
      <c r="AF12" s="2">
        <f ca="1">IFERROR(SUMIFS(INDIRECT("'Thanh Toán ("&amp;AF$3&amp;")'!$F:$F"),INDIRECT("'Thanh Toán ("&amp;AF$3&amp;")'!$D:$D"),'Tổng Đơn'!$B12),0)</f>
        <v>0</v>
      </c>
      <c r="AG12" s="2">
        <f ca="1">IFERROR(SUMIFS(INDIRECT("'Thanh Toán ("&amp;AG$3&amp;")'!$F:$F"),INDIRECT("'Thanh Toán ("&amp;AG$3&amp;")'!$D:$D"),'Tổng Đơn'!$B12),0)</f>
        <v>0</v>
      </c>
      <c r="AH12" s="2">
        <f ca="1">IFERROR(SUMIFS(INDIRECT("'Thanh Toán ("&amp;AH$3&amp;")'!$F:$F"),INDIRECT("'Thanh Toán ("&amp;AH$3&amp;")'!$D:$D"),'Tổng Đơn'!$B12),0)</f>
        <v>0</v>
      </c>
      <c r="AI12" s="2">
        <f ca="1">IFERROR(SUMIFS(INDIRECT("'Thanh Toán ("&amp;AI$3&amp;")'!$F:$F"),INDIRECT("'Thanh Toán ("&amp;AI$3&amp;")'!$D:$D"),'Tổng Đơn'!$B12),0)</f>
        <v>0</v>
      </c>
      <c r="AJ12" s="2">
        <f ca="1">IFERROR(SUMIFS(INDIRECT("'Thanh Toán ("&amp;AJ$3&amp;")'!$F:$F"),INDIRECT("'Thanh Toán ("&amp;AJ$3&amp;")'!$D:$D"),'Tổng Đơn'!$B12),0)</f>
        <v>0</v>
      </c>
      <c r="AK12" s="2">
        <f ca="1">IFERROR(SUMIFS(INDIRECT("'Thanh Toán ("&amp;AK$3&amp;")'!$F:$F"),INDIRECT("'Thanh Toán ("&amp;AK$3&amp;")'!$D:$D"),'Tổng Đơn'!$B12),0)</f>
        <v>0</v>
      </c>
      <c r="AL12" s="2">
        <f ca="1">IFERROR(SUMIFS(INDIRECT("'Thanh Toán ("&amp;AL$3&amp;")'!$F:$F"),INDIRECT("'Thanh Toán ("&amp;AL$3&amp;")'!$D:$D"),'Tổng Đơn'!$B12),0)</f>
        <v>0</v>
      </c>
      <c r="AM12" s="2">
        <f ca="1">IFERROR(SUMIFS(INDIRECT("'Thanh Toán ("&amp;AM$3&amp;")'!$F:$F"),INDIRECT("'Thanh Toán ("&amp;AM$3&amp;")'!$D:$D"),'Tổng Đơn'!$B12),0)</f>
        <v>0</v>
      </c>
      <c r="AN12" s="2">
        <f ca="1">IFERROR(SUMIFS(INDIRECT("'Thanh Toán ("&amp;AN$3&amp;")'!$F:$F"),INDIRECT("'Thanh Toán ("&amp;AN$3&amp;")'!$D:$D"),'Tổng Đơn'!$B12),0)</f>
        <v>0</v>
      </c>
      <c r="AO12" s="2">
        <f ca="1">IFERROR(SUMIFS(INDIRECT("'Thanh Toán ("&amp;AO$3&amp;")'!$F:$F"),INDIRECT("'Thanh Toán ("&amp;AO$3&amp;")'!$D:$D"),'Tổng Đơn'!$B12),0)</f>
        <v>0</v>
      </c>
      <c r="AP12" s="2">
        <f ca="1">IFERROR(SUMIFS(INDIRECT("'Thanh Toán ("&amp;AP$3&amp;")'!$F:$F"),INDIRECT("'Thanh Toán ("&amp;AP$3&amp;")'!$D:$D"),'Tổng Đơn'!$B12),0)</f>
        <v>0</v>
      </c>
      <c r="AQ12" s="2">
        <f ca="1">IFERROR(SUMIFS(INDIRECT("'Thanh Toán ("&amp;AQ$3&amp;")'!$F:$F"),INDIRECT("'Thanh Toán ("&amp;AQ$3&amp;")'!$D:$D"),'Tổng Đơn'!$B12),0)</f>
        <v>0</v>
      </c>
      <c r="AR12" s="2">
        <f ca="1">IFERROR(SUMIFS(INDIRECT("'Thanh Toán ("&amp;AR$3&amp;")'!$F:$F"),INDIRECT("'Thanh Toán ("&amp;AR$3&amp;")'!$D:$D"),'Tổng Đơn'!$B12),0)</f>
        <v>0</v>
      </c>
      <c r="AS12" s="2">
        <f ca="1">IFERROR(SUMIFS(INDIRECT("'Thanh Toán ("&amp;AS$3&amp;")'!$F:$F"),INDIRECT("'Thanh Toán ("&amp;AS$3&amp;")'!$D:$D"),'Tổng Đơn'!$B12),0)</f>
        <v>0</v>
      </c>
      <c r="AT12" s="2">
        <f ca="1">IFERROR(SUMIFS(INDIRECT("'Thanh Toán ("&amp;AT$3&amp;")'!$F:$F"),INDIRECT("'Thanh Toán ("&amp;AT$3&amp;")'!$D:$D"),'Tổng Đơn'!$B12),0)</f>
        <v>0</v>
      </c>
      <c r="AU12" s="2">
        <f ca="1">IFERROR(SUMIFS(INDIRECT("'Thanh Toán ("&amp;AU$3&amp;")'!$F:$F"),INDIRECT("'Thanh Toán ("&amp;AU$3&amp;")'!$D:$D"),'Tổng Đơn'!$B12),0)</f>
        <v>0</v>
      </c>
      <c r="AV12" s="2">
        <f ca="1">IFERROR(SUMIFS(INDIRECT("'Thanh Toán ("&amp;AV$3&amp;")'!$F:$F"),INDIRECT("'Thanh Toán ("&amp;AV$3&amp;")'!$D:$D"),'Tổng Đơn'!$B12),0)</f>
        <v>0</v>
      </c>
      <c r="AW12" s="2">
        <f ca="1">IFERROR(SUMIFS(INDIRECT("'Thanh Toán ("&amp;AW$3&amp;")'!$F:$F"),INDIRECT("'Thanh Toán ("&amp;AW$3&amp;")'!$D:$D"),'Tổng Đơn'!$B12),0)</f>
        <v>0</v>
      </c>
      <c r="AX12" s="2">
        <f ca="1">IFERROR(SUMIFS(INDIRECT("'Thanh Toán ("&amp;AX$3&amp;")'!$F:$F"),INDIRECT("'Thanh Toán ("&amp;AX$3&amp;")'!$D:$D"),'Tổng Đơn'!$B12),0)</f>
        <v>0</v>
      </c>
      <c r="AY12" s="2">
        <f ca="1">IFERROR(SUMIFS(INDIRECT("'Thanh Toán ("&amp;AY$3&amp;")'!$F:$F"),INDIRECT("'Thanh Toán ("&amp;AY$3&amp;")'!$D:$D"),'Tổng Đơn'!$B12),0)</f>
        <v>0</v>
      </c>
      <c r="AZ12" s="2">
        <f ca="1">IFERROR(SUMIFS(INDIRECT("'Thanh Toán ("&amp;AZ$3&amp;")'!$F:$F"),INDIRECT("'Thanh Toán ("&amp;AZ$3&amp;")'!$D:$D"),'Tổng Đơn'!$B12),0)</f>
        <v>0</v>
      </c>
      <c r="BA12" s="2">
        <f ca="1">IFERROR(SUMIFS(INDIRECT("'Thanh Toán ("&amp;BA$3&amp;")'!$F:$F"),INDIRECT("'Thanh Toán ("&amp;BA$3&amp;")'!$D:$D"),'Tổng Đơn'!$B12),0)</f>
        <v>0</v>
      </c>
      <c r="BB12" s="2">
        <f ca="1">IFERROR(SUMIFS(INDIRECT("'Thanh Toán ("&amp;BB$3&amp;")'!$F:$F"),INDIRECT("'Thanh Toán ("&amp;BB$3&amp;")'!$D:$D"),'Tổng Đơn'!$B12),0)</f>
        <v>0</v>
      </c>
      <c r="BC12" s="2">
        <f ca="1">IFERROR(SUMIFS(INDIRECT("'Thanh Toán ("&amp;BC$3&amp;")'!$F:$F"),INDIRECT("'Thanh Toán ("&amp;BC$3&amp;")'!$D:$D"),'Tổng Đơn'!$B12),0)</f>
        <v>0</v>
      </c>
    </row>
    <row r="13" spans="1:55" ht="18" customHeight="1" x14ac:dyDescent="0.25">
      <c r="A13" s="201">
        <v>6</v>
      </c>
      <c r="B13" s="202" t="s">
        <v>28</v>
      </c>
      <c r="C13" s="208" t="s">
        <v>113</v>
      </c>
      <c r="D13" s="203">
        <f>VLOOKUP($C13,Sheet1!$C$5:$D$98,2,0)</f>
        <v>42000</v>
      </c>
      <c r="E13" s="204">
        <v>0.5</v>
      </c>
      <c r="F13" s="205">
        <f t="shared" ca="1" si="2"/>
        <v>2</v>
      </c>
      <c r="G13" s="206">
        <f>IFERROR(VLOOKUP($B13,Gà!C:J,8,0),IFERROR(VLOOKUP($B13,TVP!C:J,7,0),IFERROR(VLOOKUP($B13,Kitkool!C:J,8,0),IFERROR(VLOOKUP($B13,'La Cusina'!C:J,8,0),VLOOKUP($B13,'Quốc Nhân'!C:J,8,0)))))</f>
        <v>37.315479477230703</v>
      </c>
      <c r="H13" s="207">
        <f t="shared" ca="1" si="4"/>
        <v>9369.0410455386009</v>
      </c>
      <c r="I13" s="207"/>
      <c r="J13" s="207">
        <f t="shared" ca="1" si="3"/>
        <v>74630.958954461399</v>
      </c>
      <c r="K13" s="53"/>
      <c r="L13" s="2">
        <f ca="1">IFERROR(SUMIFS(INDIRECT("'Thanh Toán ("&amp;L$3&amp;")'!$F:$F"),INDIRECT("'Thanh Toán ("&amp;L$3&amp;")'!$D:$D"),'Tổng Đơn'!$B13),0)</f>
        <v>2</v>
      </c>
      <c r="M13" s="2">
        <f ca="1">IFERROR(SUMIFS(INDIRECT("'Thanh Toán ("&amp;M$3&amp;")'!$F:$F"),INDIRECT("'Thanh Toán ("&amp;M$3&amp;")'!$D:$D"),'Tổng Đơn'!$B13),0)</f>
        <v>0</v>
      </c>
      <c r="N13" s="2">
        <f ca="1">IFERROR(SUMIFS(INDIRECT("'Thanh Toán ("&amp;N$3&amp;")'!$F:$F"),INDIRECT("'Thanh Toán ("&amp;N$3&amp;")'!$D:$D"),'Tổng Đơn'!$B13),0)</f>
        <v>0</v>
      </c>
      <c r="O13" s="2">
        <f ca="1">IFERROR(SUMIFS(INDIRECT("'Thanh Toán ("&amp;O$3&amp;")'!$F:$F"),INDIRECT("'Thanh Toán ("&amp;O$3&amp;")'!$D:$D"),'Tổng Đơn'!$B13),0)</f>
        <v>0</v>
      </c>
      <c r="P13" s="2">
        <f ca="1">IFERROR(SUMIFS(INDIRECT("'Thanh Toán ("&amp;P$3&amp;")'!$F:$F"),INDIRECT("'Thanh Toán ("&amp;P$3&amp;")'!$D:$D"),'Tổng Đơn'!$B13),0)</f>
        <v>0</v>
      </c>
      <c r="Q13" s="2">
        <f ca="1">IFERROR(SUMIFS(INDIRECT("'Thanh Toán ("&amp;Q$3&amp;")'!$F:$F"),INDIRECT("'Thanh Toán ("&amp;Q$3&amp;")'!$D:$D"),'Tổng Đơn'!$B13),0)</f>
        <v>0</v>
      </c>
      <c r="R13" s="2">
        <f ca="1">IFERROR(SUMIFS(INDIRECT("'Thanh Toán ("&amp;R$3&amp;")'!$F:$F"),INDIRECT("'Thanh Toán ("&amp;R$3&amp;")'!$D:$D"),'Tổng Đơn'!$B13),0)</f>
        <v>0</v>
      </c>
      <c r="S13" s="2">
        <f ca="1">IFERROR(SUMIFS(INDIRECT("'Thanh Toán ("&amp;S$3&amp;")'!$F:$F"),INDIRECT("'Thanh Toán ("&amp;S$3&amp;")'!$D:$D"),'Tổng Đơn'!$B13),0)</f>
        <v>0</v>
      </c>
      <c r="T13" s="2">
        <f ca="1">IFERROR(SUMIFS(INDIRECT("'Thanh Toán ("&amp;T$3&amp;")'!$F:$F"),INDIRECT("'Thanh Toán ("&amp;T$3&amp;")'!$D:$D"),'Tổng Đơn'!$B13),0)</f>
        <v>0</v>
      </c>
      <c r="U13" s="2">
        <f ca="1">IFERROR(SUMIFS(INDIRECT("'Thanh Toán ("&amp;U$3&amp;")'!$F:$F"),INDIRECT("'Thanh Toán ("&amp;U$3&amp;")'!$D:$D"),'Tổng Đơn'!$B13),0)</f>
        <v>0</v>
      </c>
      <c r="V13" s="2">
        <f ca="1">IFERROR(SUMIFS(INDIRECT("'Thanh Toán ("&amp;V$3&amp;")'!$F:$F"),INDIRECT("'Thanh Toán ("&amp;V$3&amp;")'!$D:$D"),'Tổng Đơn'!$B13),0)</f>
        <v>0</v>
      </c>
      <c r="W13" s="2">
        <f ca="1">IFERROR(SUMIFS(INDIRECT("'Thanh Toán ("&amp;W$3&amp;")'!$F:$F"),INDIRECT("'Thanh Toán ("&amp;W$3&amp;")'!$D:$D"),'Tổng Đơn'!$B13),0)</f>
        <v>0</v>
      </c>
      <c r="X13" s="2">
        <f ca="1">IFERROR(SUMIFS(INDIRECT("'Thanh Toán ("&amp;X$3&amp;")'!$F:$F"),INDIRECT("'Thanh Toán ("&amp;X$3&amp;")'!$D:$D"),'Tổng Đơn'!$B13),0)</f>
        <v>0</v>
      </c>
      <c r="Y13" s="2">
        <f ca="1">IFERROR(SUMIFS(INDIRECT("'Thanh Toán ("&amp;Y$3&amp;")'!$F:$F"),INDIRECT("'Thanh Toán ("&amp;Y$3&amp;")'!$D:$D"),'Tổng Đơn'!$B13),0)</f>
        <v>0</v>
      </c>
      <c r="Z13" s="2">
        <f ca="1">IFERROR(SUMIFS(INDIRECT("'Thanh Toán ("&amp;Z$3&amp;")'!$F:$F"),INDIRECT("'Thanh Toán ("&amp;Z$3&amp;")'!$D:$D"),'Tổng Đơn'!$B13),0)</f>
        <v>0</v>
      </c>
      <c r="AA13" s="2">
        <f ca="1">IFERROR(SUMIFS(INDIRECT("'Thanh Toán ("&amp;AA$3&amp;")'!$F:$F"),INDIRECT("'Thanh Toán ("&amp;AA$3&amp;")'!$D:$D"),'Tổng Đơn'!$B13),0)</f>
        <v>0</v>
      </c>
      <c r="AB13" s="2">
        <f ca="1">IFERROR(SUMIFS(INDIRECT("'Thanh Toán ("&amp;AB$3&amp;")'!$F:$F"),INDIRECT("'Thanh Toán ("&amp;AB$3&amp;")'!$D:$D"),'Tổng Đơn'!$B13),0)</f>
        <v>0</v>
      </c>
      <c r="AC13" s="2">
        <f ca="1">IFERROR(SUMIFS(INDIRECT("'Thanh Toán ("&amp;AC$3&amp;")'!$F:$F"),INDIRECT("'Thanh Toán ("&amp;AC$3&amp;")'!$D:$D"),'Tổng Đơn'!$B13),0)</f>
        <v>0</v>
      </c>
      <c r="AD13" s="2">
        <f ca="1">IFERROR(SUMIFS(INDIRECT("'Thanh Toán ("&amp;AD$3&amp;")'!$F:$F"),INDIRECT("'Thanh Toán ("&amp;AD$3&amp;")'!$D:$D"),'Tổng Đơn'!$B13),0)</f>
        <v>0</v>
      </c>
      <c r="AE13" s="2">
        <f ca="1">IFERROR(SUMIFS(INDIRECT("'Thanh Toán ("&amp;AE$3&amp;")'!$F:$F"),INDIRECT("'Thanh Toán ("&amp;AE$3&amp;")'!$D:$D"),'Tổng Đơn'!$B13),0)</f>
        <v>0</v>
      </c>
      <c r="AF13" s="2">
        <f ca="1">IFERROR(SUMIFS(INDIRECT("'Thanh Toán ("&amp;AF$3&amp;")'!$F:$F"),INDIRECT("'Thanh Toán ("&amp;AF$3&amp;")'!$D:$D"),'Tổng Đơn'!$B13),0)</f>
        <v>0</v>
      </c>
      <c r="AG13" s="2">
        <f ca="1">IFERROR(SUMIFS(INDIRECT("'Thanh Toán ("&amp;AG$3&amp;")'!$F:$F"),INDIRECT("'Thanh Toán ("&amp;AG$3&amp;")'!$D:$D"),'Tổng Đơn'!$B13),0)</f>
        <v>0</v>
      </c>
      <c r="AH13" s="2">
        <f ca="1">IFERROR(SUMIFS(INDIRECT("'Thanh Toán ("&amp;AH$3&amp;")'!$F:$F"),INDIRECT("'Thanh Toán ("&amp;AH$3&amp;")'!$D:$D"),'Tổng Đơn'!$B13),0)</f>
        <v>0</v>
      </c>
      <c r="AI13" s="2">
        <f ca="1">IFERROR(SUMIFS(INDIRECT("'Thanh Toán ("&amp;AI$3&amp;")'!$F:$F"),INDIRECT("'Thanh Toán ("&amp;AI$3&amp;")'!$D:$D"),'Tổng Đơn'!$B13),0)</f>
        <v>0</v>
      </c>
      <c r="AJ13" s="2">
        <f ca="1">IFERROR(SUMIFS(INDIRECT("'Thanh Toán ("&amp;AJ$3&amp;")'!$F:$F"),INDIRECT("'Thanh Toán ("&amp;AJ$3&amp;")'!$D:$D"),'Tổng Đơn'!$B13),0)</f>
        <v>0</v>
      </c>
      <c r="AK13" s="2">
        <f ca="1">IFERROR(SUMIFS(INDIRECT("'Thanh Toán ("&amp;AK$3&amp;")'!$F:$F"),INDIRECT("'Thanh Toán ("&amp;AK$3&amp;")'!$D:$D"),'Tổng Đơn'!$B13),0)</f>
        <v>0</v>
      </c>
      <c r="AL13" s="2">
        <f ca="1">IFERROR(SUMIFS(INDIRECT("'Thanh Toán ("&amp;AL$3&amp;")'!$F:$F"),INDIRECT("'Thanh Toán ("&amp;AL$3&amp;")'!$D:$D"),'Tổng Đơn'!$B13),0)</f>
        <v>0</v>
      </c>
      <c r="AM13" s="2">
        <f ca="1">IFERROR(SUMIFS(INDIRECT("'Thanh Toán ("&amp;AM$3&amp;")'!$F:$F"),INDIRECT("'Thanh Toán ("&amp;AM$3&amp;")'!$D:$D"),'Tổng Đơn'!$B13),0)</f>
        <v>0</v>
      </c>
      <c r="AN13" s="2">
        <f ca="1">IFERROR(SUMIFS(INDIRECT("'Thanh Toán ("&amp;AN$3&amp;")'!$F:$F"),INDIRECT("'Thanh Toán ("&amp;AN$3&amp;")'!$D:$D"),'Tổng Đơn'!$B13),0)</f>
        <v>0</v>
      </c>
      <c r="AO13" s="2">
        <f ca="1">IFERROR(SUMIFS(INDIRECT("'Thanh Toán ("&amp;AO$3&amp;")'!$F:$F"),INDIRECT("'Thanh Toán ("&amp;AO$3&amp;")'!$D:$D"),'Tổng Đơn'!$B13),0)</f>
        <v>0</v>
      </c>
      <c r="AP13" s="2">
        <f ca="1">IFERROR(SUMIFS(INDIRECT("'Thanh Toán ("&amp;AP$3&amp;")'!$F:$F"),INDIRECT("'Thanh Toán ("&amp;AP$3&amp;")'!$D:$D"),'Tổng Đơn'!$B13),0)</f>
        <v>0</v>
      </c>
      <c r="AQ13" s="2">
        <f ca="1">IFERROR(SUMIFS(INDIRECT("'Thanh Toán ("&amp;AQ$3&amp;")'!$F:$F"),INDIRECT("'Thanh Toán ("&amp;AQ$3&amp;")'!$D:$D"),'Tổng Đơn'!$B13),0)</f>
        <v>0</v>
      </c>
      <c r="AR13" s="2">
        <f ca="1">IFERROR(SUMIFS(INDIRECT("'Thanh Toán ("&amp;AR$3&amp;")'!$F:$F"),INDIRECT("'Thanh Toán ("&amp;AR$3&amp;")'!$D:$D"),'Tổng Đơn'!$B13),0)</f>
        <v>0</v>
      </c>
      <c r="AS13" s="2">
        <f ca="1">IFERROR(SUMIFS(INDIRECT("'Thanh Toán ("&amp;AS$3&amp;")'!$F:$F"),INDIRECT("'Thanh Toán ("&amp;AS$3&amp;")'!$D:$D"),'Tổng Đơn'!$B13),0)</f>
        <v>0</v>
      </c>
      <c r="AT13" s="2">
        <f ca="1">IFERROR(SUMIFS(INDIRECT("'Thanh Toán ("&amp;AT$3&amp;")'!$F:$F"),INDIRECT("'Thanh Toán ("&amp;AT$3&amp;")'!$D:$D"),'Tổng Đơn'!$B13),0)</f>
        <v>0</v>
      </c>
      <c r="AU13" s="2">
        <f ca="1">IFERROR(SUMIFS(INDIRECT("'Thanh Toán ("&amp;AU$3&amp;")'!$F:$F"),INDIRECT("'Thanh Toán ("&amp;AU$3&amp;")'!$D:$D"),'Tổng Đơn'!$B13),0)</f>
        <v>0</v>
      </c>
      <c r="AV13" s="2">
        <f ca="1">IFERROR(SUMIFS(INDIRECT("'Thanh Toán ("&amp;AV$3&amp;")'!$F:$F"),INDIRECT("'Thanh Toán ("&amp;AV$3&amp;")'!$D:$D"),'Tổng Đơn'!$B13),0)</f>
        <v>0</v>
      </c>
      <c r="AW13" s="2">
        <f ca="1">IFERROR(SUMIFS(INDIRECT("'Thanh Toán ("&amp;AW$3&amp;")'!$F:$F"),INDIRECT("'Thanh Toán ("&amp;AW$3&amp;")'!$D:$D"),'Tổng Đơn'!$B13),0)</f>
        <v>0</v>
      </c>
      <c r="AX13" s="2">
        <f ca="1">IFERROR(SUMIFS(INDIRECT("'Thanh Toán ("&amp;AX$3&amp;")'!$F:$F"),INDIRECT("'Thanh Toán ("&amp;AX$3&amp;")'!$D:$D"),'Tổng Đơn'!$B13),0)</f>
        <v>0</v>
      </c>
      <c r="AY13" s="2">
        <f ca="1">IFERROR(SUMIFS(INDIRECT("'Thanh Toán ("&amp;AY$3&amp;")'!$F:$F"),INDIRECT("'Thanh Toán ("&amp;AY$3&amp;")'!$D:$D"),'Tổng Đơn'!$B13),0)</f>
        <v>0</v>
      </c>
      <c r="AZ13" s="2">
        <f ca="1">IFERROR(SUMIFS(INDIRECT("'Thanh Toán ("&amp;AZ$3&amp;")'!$F:$F"),INDIRECT("'Thanh Toán ("&amp;AZ$3&amp;")'!$D:$D"),'Tổng Đơn'!$B13),0)</f>
        <v>0</v>
      </c>
      <c r="BA13" s="2">
        <f ca="1">IFERROR(SUMIFS(INDIRECT("'Thanh Toán ("&amp;BA$3&amp;")'!$F:$F"),INDIRECT("'Thanh Toán ("&amp;BA$3&amp;")'!$D:$D"),'Tổng Đơn'!$B13),0)</f>
        <v>0</v>
      </c>
      <c r="BB13" s="2">
        <f ca="1">IFERROR(SUMIFS(INDIRECT("'Thanh Toán ("&amp;BB$3&amp;")'!$F:$F"),INDIRECT("'Thanh Toán ("&amp;BB$3&amp;")'!$D:$D"),'Tổng Đơn'!$B13),0)</f>
        <v>0</v>
      </c>
      <c r="BC13" s="2">
        <f ca="1">IFERROR(SUMIFS(INDIRECT("'Thanh Toán ("&amp;BC$3&amp;")'!$F:$F"),INDIRECT("'Thanh Toán ("&amp;BC$3&amp;")'!$D:$D"),'Tổng Đơn'!$B13),0)</f>
        <v>0</v>
      </c>
    </row>
    <row r="14" spans="1:55" ht="18" customHeight="1" x14ac:dyDescent="0.25">
      <c r="A14" s="201">
        <v>7</v>
      </c>
      <c r="B14" s="202" t="s">
        <v>26</v>
      </c>
      <c r="C14" s="201" t="s">
        <v>114</v>
      </c>
      <c r="D14" s="203">
        <f>VLOOKUP($C14,Sheet1!$C$5:$D$98,2,0)</f>
        <v>34000</v>
      </c>
      <c r="E14" s="204">
        <v>0.25</v>
      </c>
      <c r="F14" s="205">
        <f t="shared" ca="1" si="2"/>
        <v>0</v>
      </c>
      <c r="G14" s="206">
        <f>IFERROR(VLOOKUP($B14,Gà!C:J,8,0),IFERROR(VLOOKUP($B14,TVP!C:J,7,0),IFERROR(VLOOKUP($B14,Kitkool!C:J,8,0),IFERROR(VLOOKUP($B14,'La Cusina'!C:J,8,0),VLOOKUP($B14,'Quốc Nhân'!C:J,8,0)))))</f>
        <v>28.966353932096894</v>
      </c>
      <c r="H14" s="207">
        <f t="shared" ca="1" si="4"/>
        <v>0</v>
      </c>
      <c r="I14" s="207"/>
      <c r="J14" s="207">
        <f t="shared" ca="1" si="3"/>
        <v>0</v>
      </c>
      <c r="K14" s="53"/>
      <c r="L14" s="2">
        <f ca="1">IFERROR(SUMIFS(INDIRECT("'Thanh Toán ("&amp;L$3&amp;")'!$F:$F"),INDIRECT("'Thanh Toán ("&amp;L$3&amp;")'!$D:$D"),'Tổng Đơn'!$B14),0)</f>
        <v>0</v>
      </c>
      <c r="M14" s="2">
        <f ca="1">IFERROR(SUMIFS(INDIRECT("'Thanh Toán ("&amp;M$3&amp;")'!$F:$F"),INDIRECT("'Thanh Toán ("&amp;M$3&amp;")'!$D:$D"),'Tổng Đơn'!$B14),0)</f>
        <v>0</v>
      </c>
      <c r="N14" s="2">
        <f ca="1">IFERROR(SUMIFS(INDIRECT("'Thanh Toán ("&amp;N$3&amp;")'!$F:$F"),INDIRECT("'Thanh Toán ("&amp;N$3&amp;")'!$D:$D"),'Tổng Đơn'!$B14),0)</f>
        <v>0</v>
      </c>
      <c r="O14" s="2">
        <f ca="1">IFERROR(SUMIFS(INDIRECT("'Thanh Toán ("&amp;O$3&amp;")'!$F:$F"),INDIRECT("'Thanh Toán ("&amp;O$3&amp;")'!$D:$D"),'Tổng Đơn'!$B14),0)</f>
        <v>0</v>
      </c>
      <c r="P14" s="2">
        <f ca="1">IFERROR(SUMIFS(INDIRECT("'Thanh Toán ("&amp;P$3&amp;")'!$F:$F"),INDIRECT("'Thanh Toán ("&amp;P$3&amp;")'!$D:$D"),'Tổng Đơn'!$B14),0)</f>
        <v>0</v>
      </c>
      <c r="Q14" s="2">
        <f ca="1">IFERROR(SUMIFS(INDIRECT("'Thanh Toán ("&amp;Q$3&amp;")'!$F:$F"),INDIRECT("'Thanh Toán ("&amp;Q$3&amp;")'!$D:$D"),'Tổng Đơn'!$B14),0)</f>
        <v>0</v>
      </c>
      <c r="R14" s="2">
        <f ca="1">IFERROR(SUMIFS(INDIRECT("'Thanh Toán ("&amp;R$3&amp;")'!$F:$F"),INDIRECT("'Thanh Toán ("&amp;R$3&amp;")'!$D:$D"),'Tổng Đơn'!$B14),0)</f>
        <v>0</v>
      </c>
      <c r="S14" s="2">
        <f ca="1">IFERROR(SUMIFS(INDIRECT("'Thanh Toán ("&amp;S$3&amp;")'!$F:$F"),INDIRECT("'Thanh Toán ("&amp;S$3&amp;")'!$D:$D"),'Tổng Đơn'!$B14),0)</f>
        <v>0</v>
      </c>
      <c r="T14" s="2">
        <f ca="1">IFERROR(SUMIFS(INDIRECT("'Thanh Toán ("&amp;T$3&amp;")'!$F:$F"),INDIRECT("'Thanh Toán ("&amp;T$3&amp;")'!$D:$D"),'Tổng Đơn'!$B14),0)</f>
        <v>0</v>
      </c>
      <c r="U14" s="2">
        <f ca="1">IFERROR(SUMIFS(INDIRECT("'Thanh Toán ("&amp;U$3&amp;")'!$F:$F"),INDIRECT("'Thanh Toán ("&amp;U$3&amp;")'!$D:$D"),'Tổng Đơn'!$B14),0)</f>
        <v>0</v>
      </c>
      <c r="V14" s="2">
        <f ca="1">IFERROR(SUMIFS(INDIRECT("'Thanh Toán ("&amp;V$3&amp;")'!$F:$F"),INDIRECT("'Thanh Toán ("&amp;V$3&amp;")'!$D:$D"),'Tổng Đơn'!$B14),0)</f>
        <v>0</v>
      </c>
      <c r="W14" s="2">
        <f ca="1">IFERROR(SUMIFS(INDIRECT("'Thanh Toán ("&amp;W$3&amp;")'!$F:$F"),INDIRECT("'Thanh Toán ("&amp;W$3&amp;")'!$D:$D"),'Tổng Đơn'!$B14),0)</f>
        <v>0</v>
      </c>
      <c r="X14" s="2">
        <f ca="1">IFERROR(SUMIFS(INDIRECT("'Thanh Toán ("&amp;X$3&amp;")'!$F:$F"),INDIRECT("'Thanh Toán ("&amp;X$3&amp;")'!$D:$D"),'Tổng Đơn'!$B14),0)</f>
        <v>0</v>
      </c>
      <c r="Y14" s="2">
        <f ca="1">IFERROR(SUMIFS(INDIRECT("'Thanh Toán ("&amp;Y$3&amp;")'!$F:$F"),INDIRECT("'Thanh Toán ("&amp;Y$3&amp;")'!$D:$D"),'Tổng Đơn'!$B14),0)</f>
        <v>0</v>
      </c>
      <c r="Z14" s="2">
        <f ca="1">IFERROR(SUMIFS(INDIRECT("'Thanh Toán ("&amp;Z$3&amp;")'!$F:$F"),INDIRECT("'Thanh Toán ("&amp;Z$3&amp;")'!$D:$D"),'Tổng Đơn'!$B14),0)</f>
        <v>0</v>
      </c>
      <c r="AA14" s="2">
        <f ca="1">IFERROR(SUMIFS(INDIRECT("'Thanh Toán ("&amp;AA$3&amp;")'!$F:$F"),INDIRECT("'Thanh Toán ("&amp;AA$3&amp;")'!$D:$D"),'Tổng Đơn'!$B14),0)</f>
        <v>0</v>
      </c>
      <c r="AB14" s="2">
        <f ca="1">IFERROR(SUMIFS(INDIRECT("'Thanh Toán ("&amp;AB$3&amp;")'!$F:$F"),INDIRECT("'Thanh Toán ("&amp;AB$3&amp;")'!$D:$D"),'Tổng Đơn'!$B14),0)</f>
        <v>0</v>
      </c>
      <c r="AC14" s="2">
        <f ca="1">IFERROR(SUMIFS(INDIRECT("'Thanh Toán ("&amp;AC$3&amp;")'!$F:$F"),INDIRECT("'Thanh Toán ("&amp;AC$3&amp;")'!$D:$D"),'Tổng Đơn'!$B14),0)</f>
        <v>0</v>
      </c>
      <c r="AD14" s="2">
        <f ca="1">IFERROR(SUMIFS(INDIRECT("'Thanh Toán ("&amp;AD$3&amp;")'!$F:$F"),INDIRECT("'Thanh Toán ("&amp;AD$3&amp;")'!$D:$D"),'Tổng Đơn'!$B14),0)</f>
        <v>0</v>
      </c>
      <c r="AE14" s="2">
        <f ca="1">IFERROR(SUMIFS(INDIRECT("'Thanh Toán ("&amp;AE$3&amp;")'!$F:$F"),INDIRECT("'Thanh Toán ("&amp;AE$3&amp;")'!$D:$D"),'Tổng Đơn'!$B14),0)</f>
        <v>0</v>
      </c>
      <c r="AF14" s="2">
        <f ca="1">IFERROR(SUMIFS(INDIRECT("'Thanh Toán ("&amp;AF$3&amp;")'!$F:$F"),INDIRECT("'Thanh Toán ("&amp;AF$3&amp;")'!$D:$D"),'Tổng Đơn'!$B14),0)</f>
        <v>0</v>
      </c>
      <c r="AG14" s="2">
        <f ca="1">IFERROR(SUMIFS(INDIRECT("'Thanh Toán ("&amp;AG$3&amp;")'!$F:$F"),INDIRECT("'Thanh Toán ("&amp;AG$3&amp;")'!$D:$D"),'Tổng Đơn'!$B14),0)</f>
        <v>0</v>
      </c>
      <c r="AH14" s="2">
        <f ca="1">IFERROR(SUMIFS(INDIRECT("'Thanh Toán ("&amp;AH$3&amp;")'!$F:$F"),INDIRECT("'Thanh Toán ("&amp;AH$3&amp;")'!$D:$D"),'Tổng Đơn'!$B14),0)</f>
        <v>0</v>
      </c>
      <c r="AI14" s="2">
        <f ca="1">IFERROR(SUMIFS(INDIRECT("'Thanh Toán ("&amp;AI$3&amp;")'!$F:$F"),INDIRECT("'Thanh Toán ("&amp;AI$3&amp;")'!$D:$D"),'Tổng Đơn'!$B14),0)</f>
        <v>0</v>
      </c>
      <c r="AJ14" s="2">
        <f ca="1">IFERROR(SUMIFS(INDIRECT("'Thanh Toán ("&amp;AJ$3&amp;")'!$F:$F"),INDIRECT("'Thanh Toán ("&amp;AJ$3&amp;")'!$D:$D"),'Tổng Đơn'!$B14),0)</f>
        <v>0</v>
      </c>
      <c r="AK14" s="2">
        <f ca="1">IFERROR(SUMIFS(INDIRECT("'Thanh Toán ("&amp;AK$3&amp;")'!$F:$F"),INDIRECT("'Thanh Toán ("&amp;AK$3&amp;")'!$D:$D"),'Tổng Đơn'!$B14),0)</f>
        <v>0</v>
      </c>
      <c r="AL14" s="2">
        <f ca="1">IFERROR(SUMIFS(INDIRECT("'Thanh Toán ("&amp;AL$3&amp;")'!$F:$F"),INDIRECT("'Thanh Toán ("&amp;AL$3&amp;")'!$D:$D"),'Tổng Đơn'!$B14),0)</f>
        <v>0</v>
      </c>
      <c r="AM14" s="2">
        <f ca="1">IFERROR(SUMIFS(INDIRECT("'Thanh Toán ("&amp;AM$3&amp;")'!$F:$F"),INDIRECT("'Thanh Toán ("&amp;AM$3&amp;")'!$D:$D"),'Tổng Đơn'!$B14),0)</f>
        <v>0</v>
      </c>
      <c r="AN14" s="2">
        <f ca="1">IFERROR(SUMIFS(INDIRECT("'Thanh Toán ("&amp;AN$3&amp;")'!$F:$F"),INDIRECT("'Thanh Toán ("&amp;AN$3&amp;")'!$D:$D"),'Tổng Đơn'!$B14),0)</f>
        <v>0</v>
      </c>
      <c r="AO14" s="2">
        <f ca="1">IFERROR(SUMIFS(INDIRECT("'Thanh Toán ("&amp;AO$3&amp;")'!$F:$F"),INDIRECT("'Thanh Toán ("&amp;AO$3&amp;")'!$D:$D"),'Tổng Đơn'!$B14),0)</f>
        <v>0</v>
      </c>
      <c r="AP14" s="2">
        <f ca="1">IFERROR(SUMIFS(INDIRECT("'Thanh Toán ("&amp;AP$3&amp;")'!$F:$F"),INDIRECT("'Thanh Toán ("&amp;AP$3&amp;")'!$D:$D"),'Tổng Đơn'!$B14),0)</f>
        <v>0</v>
      </c>
      <c r="AQ14" s="2">
        <f ca="1">IFERROR(SUMIFS(INDIRECT("'Thanh Toán ("&amp;AQ$3&amp;")'!$F:$F"),INDIRECT("'Thanh Toán ("&amp;AQ$3&amp;")'!$D:$D"),'Tổng Đơn'!$B14),0)</f>
        <v>0</v>
      </c>
      <c r="AR14" s="2">
        <f ca="1">IFERROR(SUMIFS(INDIRECT("'Thanh Toán ("&amp;AR$3&amp;")'!$F:$F"),INDIRECT("'Thanh Toán ("&amp;AR$3&amp;")'!$D:$D"),'Tổng Đơn'!$B14),0)</f>
        <v>0</v>
      </c>
      <c r="AS14" s="2">
        <f ca="1">IFERROR(SUMIFS(INDIRECT("'Thanh Toán ("&amp;AS$3&amp;")'!$F:$F"),INDIRECT("'Thanh Toán ("&amp;AS$3&amp;")'!$D:$D"),'Tổng Đơn'!$B14),0)</f>
        <v>0</v>
      </c>
      <c r="AT14" s="2">
        <f ca="1">IFERROR(SUMIFS(INDIRECT("'Thanh Toán ("&amp;AT$3&amp;")'!$F:$F"),INDIRECT("'Thanh Toán ("&amp;AT$3&amp;")'!$D:$D"),'Tổng Đơn'!$B14),0)</f>
        <v>0</v>
      </c>
      <c r="AU14" s="2">
        <f ca="1">IFERROR(SUMIFS(INDIRECT("'Thanh Toán ("&amp;AU$3&amp;")'!$F:$F"),INDIRECT("'Thanh Toán ("&amp;AU$3&amp;")'!$D:$D"),'Tổng Đơn'!$B14),0)</f>
        <v>0</v>
      </c>
      <c r="AV14" s="2">
        <f ca="1">IFERROR(SUMIFS(INDIRECT("'Thanh Toán ("&amp;AV$3&amp;")'!$F:$F"),INDIRECT("'Thanh Toán ("&amp;AV$3&amp;")'!$D:$D"),'Tổng Đơn'!$B14),0)</f>
        <v>0</v>
      </c>
      <c r="AW14" s="2">
        <f ca="1">IFERROR(SUMIFS(INDIRECT("'Thanh Toán ("&amp;AW$3&amp;")'!$F:$F"),INDIRECT("'Thanh Toán ("&amp;AW$3&amp;")'!$D:$D"),'Tổng Đơn'!$B14),0)</f>
        <v>0</v>
      </c>
      <c r="AX14" s="2">
        <f ca="1">IFERROR(SUMIFS(INDIRECT("'Thanh Toán ("&amp;AX$3&amp;")'!$F:$F"),INDIRECT("'Thanh Toán ("&amp;AX$3&amp;")'!$D:$D"),'Tổng Đơn'!$B14),0)</f>
        <v>0</v>
      </c>
      <c r="AY14" s="2">
        <f ca="1">IFERROR(SUMIFS(INDIRECT("'Thanh Toán ("&amp;AY$3&amp;")'!$F:$F"),INDIRECT("'Thanh Toán ("&amp;AY$3&amp;")'!$D:$D"),'Tổng Đơn'!$B14),0)</f>
        <v>0</v>
      </c>
      <c r="AZ14" s="2">
        <f ca="1">IFERROR(SUMIFS(INDIRECT("'Thanh Toán ("&amp;AZ$3&amp;")'!$F:$F"),INDIRECT("'Thanh Toán ("&amp;AZ$3&amp;")'!$D:$D"),'Tổng Đơn'!$B14),0)</f>
        <v>0</v>
      </c>
      <c r="BA14" s="2">
        <f ca="1">IFERROR(SUMIFS(INDIRECT("'Thanh Toán ("&amp;BA$3&amp;")'!$F:$F"),INDIRECT("'Thanh Toán ("&amp;BA$3&amp;")'!$D:$D"),'Tổng Đơn'!$B14),0)</f>
        <v>0</v>
      </c>
      <c r="BB14" s="2">
        <f ca="1">IFERROR(SUMIFS(INDIRECT("'Thanh Toán ("&amp;BB$3&amp;")'!$F:$F"),INDIRECT("'Thanh Toán ("&amp;BB$3&amp;")'!$D:$D"),'Tổng Đơn'!$B14),0)</f>
        <v>0</v>
      </c>
      <c r="BC14" s="2">
        <f ca="1">IFERROR(SUMIFS(INDIRECT("'Thanh Toán ("&amp;BC$3&amp;")'!$F:$F"),INDIRECT("'Thanh Toán ("&amp;BC$3&amp;")'!$D:$D"),'Tổng Đơn'!$B14),0)</f>
        <v>0</v>
      </c>
    </row>
    <row r="15" spans="1:55" ht="18" customHeight="1" x14ac:dyDescent="0.25">
      <c r="A15" s="201">
        <v>8</v>
      </c>
      <c r="B15" s="202" t="s">
        <v>61</v>
      </c>
      <c r="C15" s="208" t="s">
        <v>115</v>
      </c>
      <c r="D15" s="203">
        <f>VLOOKUP($C15,Sheet1!$C$5:$D$98,2,0)</f>
        <v>35000</v>
      </c>
      <c r="E15" s="204">
        <v>0.5</v>
      </c>
      <c r="F15" s="205">
        <f t="shared" ca="1" si="2"/>
        <v>1</v>
      </c>
      <c r="G15" s="206">
        <f>IFERROR(VLOOKUP($B15,Gà!C:J,8,0),IFERROR(VLOOKUP($B15,TVP!C:J,7,0),IFERROR(VLOOKUP($B15,Kitkool!C:J,8,0),IFERROR(VLOOKUP($B15,'La Cusina'!C:J,8,0),VLOOKUP($B15,'Quốc Nhân'!C:J,8,0)))))</f>
        <v>30.159086152830298</v>
      </c>
      <c r="H15" s="207">
        <f t="shared" ca="1" si="4"/>
        <v>4840.9138471697006</v>
      </c>
      <c r="I15" s="207"/>
      <c r="J15" s="207">
        <f t="shared" ca="1" si="3"/>
        <v>30159.086152830299</v>
      </c>
      <c r="K15" s="53"/>
      <c r="L15" s="2">
        <f ca="1">IFERROR(SUMIFS(INDIRECT("'Thanh Toán ("&amp;L$3&amp;")'!$F:$F"),INDIRECT("'Thanh Toán ("&amp;L$3&amp;")'!$D:$D"),'Tổng Đơn'!$B15),0)</f>
        <v>0</v>
      </c>
      <c r="M15" s="2">
        <f ca="1">IFERROR(SUMIFS(INDIRECT("'Thanh Toán ("&amp;M$3&amp;")'!$F:$F"),INDIRECT("'Thanh Toán ("&amp;M$3&amp;")'!$D:$D"),'Tổng Đơn'!$B15),0)</f>
        <v>1</v>
      </c>
      <c r="N15" s="2">
        <f ca="1">IFERROR(SUMIFS(INDIRECT("'Thanh Toán ("&amp;N$3&amp;")'!$F:$F"),INDIRECT("'Thanh Toán ("&amp;N$3&amp;")'!$D:$D"),'Tổng Đơn'!$B15),0)</f>
        <v>0</v>
      </c>
      <c r="O15" s="2">
        <f ca="1">IFERROR(SUMIFS(INDIRECT("'Thanh Toán ("&amp;O$3&amp;")'!$F:$F"),INDIRECT("'Thanh Toán ("&amp;O$3&amp;")'!$D:$D"),'Tổng Đơn'!$B15),0)</f>
        <v>0</v>
      </c>
      <c r="P15" s="2">
        <f ca="1">IFERROR(SUMIFS(INDIRECT("'Thanh Toán ("&amp;P$3&amp;")'!$F:$F"),INDIRECT("'Thanh Toán ("&amp;P$3&amp;")'!$D:$D"),'Tổng Đơn'!$B15),0)</f>
        <v>0</v>
      </c>
      <c r="Q15" s="2">
        <f ca="1">IFERROR(SUMIFS(INDIRECT("'Thanh Toán ("&amp;Q$3&amp;")'!$F:$F"),INDIRECT("'Thanh Toán ("&amp;Q$3&amp;")'!$D:$D"),'Tổng Đơn'!$B15),0)</f>
        <v>0</v>
      </c>
      <c r="R15" s="2">
        <f ca="1">IFERROR(SUMIFS(INDIRECT("'Thanh Toán ("&amp;R$3&amp;")'!$F:$F"),INDIRECT("'Thanh Toán ("&amp;R$3&amp;")'!$D:$D"),'Tổng Đơn'!$B15),0)</f>
        <v>0</v>
      </c>
      <c r="S15" s="2">
        <f ca="1">IFERROR(SUMIFS(INDIRECT("'Thanh Toán ("&amp;S$3&amp;")'!$F:$F"),INDIRECT("'Thanh Toán ("&amp;S$3&amp;")'!$D:$D"),'Tổng Đơn'!$B15),0)</f>
        <v>0</v>
      </c>
      <c r="T15" s="2">
        <f ca="1">IFERROR(SUMIFS(INDIRECT("'Thanh Toán ("&amp;T$3&amp;")'!$F:$F"),INDIRECT("'Thanh Toán ("&amp;T$3&amp;")'!$D:$D"),'Tổng Đơn'!$B15),0)</f>
        <v>0</v>
      </c>
      <c r="U15" s="2">
        <f ca="1">IFERROR(SUMIFS(INDIRECT("'Thanh Toán ("&amp;U$3&amp;")'!$F:$F"),INDIRECT("'Thanh Toán ("&amp;U$3&amp;")'!$D:$D"),'Tổng Đơn'!$B15),0)</f>
        <v>0</v>
      </c>
      <c r="V15" s="2">
        <f ca="1">IFERROR(SUMIFS(INDIRECT("'Thanh Toán ("&amp;V$3&amp;")'!$F:$F"),INDIRECT("'Thanh Toán ("&amp;V$3&amp;")'!$D:$D"),'Tổng Đơn'!$B15),0)</f>
        <v>0</v>
      </c>
      <c r="W15" s="2">
        <f ca="1">IFERROR(SUMIFS(INDIRECT("'Thanh Toán ("&amp;W$3&amp;")'!$F:$F"),INDIRECT("'Thanh Toán ("&amp;W$3&amp;")'!$D:$D"),'Tổng Đơn'!$B15),0)</f>
        <v>0</v>
      </c>
      <c r="X15" s="2">
        <f ca="1">IFERROR(SUMIFS(INDIRECT("'Thanh Toán ("&amp;X$3&amp;")'!$F:$F"),INDIRECT("'Thanh Toán ("&amp;X$3&amp;")'!$D:$D"),'Tổng Đơn'!$B15),0)</f>
        <v>0</v>
      </c>
      <c r="Y15" s="2">
        <f ca="1">IFERROR(SUMIFS(INDIRECT("'Thanh Toán ("&amp;Y$3&amp;")'!$F:$F"),INDIRECT("'Thanh Toán ("&amp;Y$3&amp;")'!$D:$D"),'Tổng Đơn'!$B15),0)</f>
        <v>0</v>
      </c>
      <c r="Z15" s="2">
        <f ca="1">IFERROR(SUMIFS(INDIRECT("'Thanh Toán ("&amp;Z$3&amp;")'!$F:$F"),INDIRECT("'Thanh Toán ("&amp;Z$3&amp;")'!$D:$D"),'Tổng Đơn'!$B15),0)</f>
        <v>0</v>
      </c>
      <c r="AA15" s="2">
        <f ca="1">IFERROR(SUMIFS(INDIRECT("'Thanh Toán ("&amp;AA$3&amp;")'!$F:$F"),INDIRECT("'Thanh Toán ("&amp;AA$3&amp;")'!$D:$D"),'Tổng Đơn'!$B15),0)</f>
        <v>0</v>
      </c>
      <c r="AB15" s="2">
        <f ca="1">IFERROR(SUMIFS(INDIRECT("'Thanh Toán ("&amp;AB$3&amp;")'!$F:$F"),INDIRECT("'Thanh Toán ("&amp;AB$3&amp;")'!$D:$D"),'Tổng Đơn'!$B15),0)</f>
        <v>0</v>
      </c>
      <c r="AC15" s="2">
        <f ca="1">IFERROR(SUMIFS(INDIRECT("'Thanh Toán ("&amp;AC$3&amp;")'!$F:$F"),INDIRECT("'Thanh Toán ("&amp;AC$3&amp;")'!$D:$D"),'Tổng Đơn'!$B15),0)</f>
        <v>0</v>
      </c>
      <c r="AD15" s="2">
        <f ca="1">IFERROR(SUMIFS(INDIRECT("'Thanh Toán ("&amp;AD$3&amp;")'!$F:$F"),INDIRECT("'Thanh Toán ("&amp;AD$3&amp;")'!$D:$D"),'Tổng Đơn'!$B15),0)</f>
        <v>0</v>
      </c>
      <c r="AE15" s="2">
        <f ca="1">IFERROR(SUMIFS(INDIRECT("'Thanh Toán ("&amp;AE$3&amp;")'!$F:$F"),INDIRECT("'Thanh Toán ("&amp;AE$3&amp;")'!$D:$D"),'Tổng Đơn'!$B15),0)</f>
        <v>0</v>
      </c>
      <c r="AF15" s="2">
        <f ca="1">IFERROR(SUMIFS(INDIRECT("'Thanh Toán ("&amp;AF$3&amp;")'!$F:$F"),INDIRECT("'Thanh Toán ("&amp;AF$3&amp;")'!$D:$D"),'Tổng Đơn'!$B15),0)</f>
        <v>0</v>
      </c>
      <c r="AG15" s="2">
        <f ca="1">IFERROR(SUMIFS(INDIRECT("'Thanh Toán ("&amp;AG$3&amp;")'!$F:$F"),INDIRECT("'Thanh Toán ("&amp;AG$3&amp;")'!$D:$D"),'Tổng Đơn'!$B15),0)</f>
        <v>0</v>
      </c>
      <c r="AH15" s="2">
        <f ca="1">IFERROR(SUMIFS(INDIRECT("'Thanh Toán ("&amp;AH$3&amp;")'!$F:$F"),INDIRECT("'Thanh Toán ("&amp;AH$3&amp;")'!$D:$D"),'Tổng Đơn'!$B15),0)</f>
        <v>0</v>
      </c>
      <c r="AI15" s="2">
        <f ca="1">IFERROR(SUMIFS(INDIRECT("'Thanh Toán ("&amp;AI$3&amp;")'!$F:$F"),INDIRECT("'Thanh Toán ("&amp;AI$3&amp;")'!$D:$D"),'Tổng Đơn'!$B15),0)</f>
        <v>0</v>
      </c>
      <c r="AJ15" s="2">
        <f ca="1">IFERROR(SUMIFS(INDIRECT("'Thanh Toán ("&amp;AJ$3&amp;")'!$F:$F"),INDIRECT("'Thanh Toán ("&amp;AJ$3&amp;")'!$D:$D"),'Tổng Đơn'!$B15),0)</f>
        <v>0</v>
      </c>
      <c r="AK15" s="2">
        <f ca="1">IFERROR(SUMIFS(INDIRECT("'Thanh Toán ("&amp;AK$3&amp;")'!$F:$F"),INDIRECT("'Thanh Toán ("&amp;AK$3&amp;")'!$D:$D"),'Tổng Đơn'!$B15),0)</f>
        <v>0</v>
      </c>
      <c r="AL15" s="2">
        <f ca="1">IFERROR(SUMIFS(INDIRECT("'Thanh Toán ("&amp;AL$3&amp;")'!$F:$F"),INDIRECT("'Thanh Toán ("&amp;AL$3&amp;")'!$D:$D"),'Tổng Đơn'!$B15),0)</f>
        <v>0</v>
      </c>
      <c r="AM15" s="2">
        <f ca="1">IFERROR(SUMIFS(INDIRECT("'Thanh Toán ("&amp;AM$3&amp;")'!$F:$F"),INDIRECT("'Thanh Toán ("&amp;AM$3&amp;")'!$D:$D"),'Tổng Đơn'!$B15),0)</f>
        <v>0</v>
      </c>
      <c r="AN15" s="2">
        <f ca="1">IFERROR(SUMIFS(INDIRECT("'Thanh Toán ("&amp;AN$3&amp;")'!$F:$F"),INDIRECT("'Thanh Toán ("&amp;AN$3&amp;")'!$D:$D"),'Tổng Đơn'!$B15),0)</f>
        <v>0</v>
      </c>
      <c r="AO15" s="2">
        <f ca="1">IFERROR(SUMIFS(INDIRECT("'Thanh Toán ("&amp;AO$3&amp;")'!$F:$F"),INDIRECT("'Thanh Toán ("&amp;AO$3&amp;")'!$D:$D"),'Tổng Đơn'!$B15),0)</f>
        <v>0</v>
      </c>
      <c r="AP15" s="2">
        <f ca="1">IFERROR(SUMIFS(INDIRECT("'Thanh Toán ("&amp;AP$3&amp;")'!$F:$F"),INDIRECT("'Thanh Toán ("&amp;AP$3&amp;")'!$D:$D"),'Tổng Đơn'!$B15),0)</f>
        <v>0</v>
      </c>
      <c r="AQ15" s="2">
        <f ca="1">IFERROR(SUMIFS(INDIRECT("'Thanh Toán ("&amp;AQ$3&amp;")'!$F:$F"),INDIRECT("'Thanh Toán ("&amp;AQ$3&amp;")'!$D:$D"),'Tổng Đơn'!$B15),0)</f>
        <v>0</v>
      </c>
      <c r="AR15" s="2">
        <f ca="1">IFERROR(SUMIFS(INDIRECT("'Thanh Toán ("&amp;AR$3&amp;")'!$F:$F"),INDIRECT("'Thanh Toán ("&amp;AR$3&amp;")'!$D:$D"),'Tổng Đơn'!$B15),0)</f>
        <v>0</v>
      </c>
      <c r="AS15" s="2">
        <f ca="1">IFERROR(SUMIFS(INDIRECT("'Thanh Toán ("&amp;AS$3&amp;")'!$F:$F"),INDIRECT("'Thanh Toán ("&amp;AS$3&amp;")'!$D:$D"),'Tổng Đơn'!$B15),0)</f>
        <v>0</v>
      </c>
      <c r="AT15" s="2">
        <f ca="1">IFERROR(SUMIFS(INDIRECT("'Thanh Toán ("&amp;AT$3&amp;")'!$F:$F"),INDIRECT("'Thanh Toán ("&amp;AT$3&amp;")'!$D:$D"),'Tổng Đơn'!$B15),0)</f>
        <v>0</v>
      </c>
      <c r="AU15" s="2">
        <f ca="1">IFERROR(SUMIFS(INDIRECT("'Thanh Toán ("&amp;AU$3&amp;")'!$F:$F"),INDIRECT("'Thanh Toán ("&amp;AU$3&amp;")'!$D:$D"),'Tổng Đơn'!$B15),0)</f>
        <v>0</v>
      </c>
      <c r="AV15" s="2">
        <f ca="1">IFERROR(SUMIFS(INDIRECT("'Thanh Toán ("&amp;AV$3&amp;")'!$F:$F"),INDIRECT("'Thanh Toán ("&amp;AV$3&amp;")'!$D:$D"),'Tổng Đơn'!$B15),0)</f>
        <v>0</v>
      </c>
      <c r="AW15" s="2">
        <f ca="1">IFERROR(SUMIFS(INDIRECT("'Thanh Toán ("&amp;AW$3&amp;")'!$F:$F"),INDIRECT("'Thanh Toán ("&amp;AW$3&amp;")'!$D:$D"),'Tổng Đơn'!$B15),0)</f>
        <v>0</v>
      </c>
      <c r="AX15" s="2">
        <f ca="1">IFERROR(SUMIFS(INDIRECT("'Thanh Toán ("&amp;AX$3&amp;")'!$F:$F"),INDIRECT("'Thanh Toán ("&amp;AX$3&amp;")'!$D:$D"),'Tổng Đơn'!$B15),0)</f>
        <v>0</v>
      </c>
      <c r="AY15" s="2">
        <f ca="1">IFERROR(SUMIFS(INDIRECT("'Thanh Toán ("&amp;AY$3&amp;")'!$F:$F"),INDIRECT("'Thanh Toán ("&amp;AY$3&amp;")'!$D:$D"),'Tổng Đơn'!$B15),0)</f>
        <v>0</v>
      </c>
      <c r="AZ15" s="2">
        <f ca="1">IFERROR(SUMIFS(INDIRECT("'Thanh Toán ("&amp;AZ$3&amp;")'!$F:$F"),INDIRECT("'Thanh Toán ("&amp;AZ$3&amp;")'!$D:$D"),'Tổng Đơn'!$B15),0)</f>
        <v>0</v>
      </c>
      <c r="BA15" s="2">
        <f ca="1">IFERROR(SUMIFS(INDIRECT("'Thanh Toán ("&amp;BA$3&amp;")'!$F:$F"),INDIRECT("'Thanh Toán ("&amp;BA$3&amp;")'!$D:$D"),'Tổng Đơn'!$B15),0)</f>
        <v>0</v>
      </c>
      <c r="BB15" s="2">
        <f ca="1">IFERROR(SUMIFS(INDIRECT("'Thanh Toán ("&amp;BB$3&amp;")'!$F:$F"),INDIRECT("'Thanh Toán ("&amp;BB$3&amp;")'!$D:$D"),'Tổng Đơn'!$B15),0)</f>
        <v>0</v>
      </c>
      <c r="BC15" s="2">
        <f ca="1">IFERROR(SUMIFS(INDIRECT("'Thanh Toán ("&amp;BC$3&amp;")'!$F:$F"),INDIRECT("'Thanh Toán ("&amp;BC$3&amp;")'!$D:$D"),'Tổng Đơn'!$B15),0)</f>
        <v>0</v>
      </c>
    </row>
    <row r="16" spans="1:55" ht="18" customHeight="1" x14ac:dyDescent="0.25">
      <c r="A16" s="201">
        <v>9</v>
      </c>
      <c r="B16" s="202" t="s">
        <v>161</v>
      </c>
      <c r="C16" s="201" t="s">
        <v>116</v>
      </c>
      <c r="D16" s="203">
        <f>VLOOKUP($C16,Sheet1!$C$5:$D$98,2,0)</f>
        <v>45000</v>
      </c>
      <c r="E16" s="204">
        <v>0.5</v>
      </c>
      <c r="F16" s="205">
        <f t="shared" ca="1" si="2"/>
        <v>7</v>
      </c>
      <c r="G16" s="206">
        <f>IFERROR(VLOOKUP($B16,Gà!C:J,8,0),IFERROR(VLOOKUP($B16,TVP!C:J,7,0),IFERROR(VLOOKUP($B16,Kitkool!C:J,8,0),IFERROR(VLOOKUP($B16,'La Cusina'!C:J,8,0),VLOOKUP($B16,'Quốc Nhân'!C:J,8,0)))))</f>
        <v>32.203769959801839</v>
      </c>
      <c r="H16" s="207">
        <f t="shared" ca="1" si="4"/>
        <v>89573.610281387111</v>
      </c>
      <c r="I16" s="207"/>
      <c r="J16" s="207">
        <f t="shared" ca="1" si="3"/>
        <v>225426.38971861289</v>
      </c>
      <c r="K16" s="53"/>
      <c r="L16" s="2">
        <f ca="1">IFERROR(SUMIFS(INDIRECT("'Thanh Toán ("&amp;L$3&amp;")'!$F:$F"),INDIRECT("'Thanh Toán ("&amp;L$3&amp;")'!$D:$D"),'Tổng Đơn'!$B16),0)</f>
        <v>0</v>
      </c>
      <c r="M16" s="2">
        <f ca="1">IFERROR(SUMIFS(INDIRECT("'Thanh Toán ("&amp;M$3&amp;")'!$F:$F"),INDIRECT("'Thanh Toán ("&amp;M$3&amp;")'!$D:$D"),'Tổng Đơn'!$B16),0)</f>
        <v>1</v>
      </c>
      <c r="N16" s="2">
        <f ca="1">IFERROR(SUMIFS(INDIRECT("'Thanh Toán ("&amp;N$3&amp;")'!$F:$F"),INDIRECT("'Thanh Toán ("&amp;N$3&amp;")'!$D:$D"),'Tổng Đơn'!$B16),0)</f>
        <v>0</v>
      </c>
      <c r="O16" s="2">
        <f ca="1">IFERROR(SUMIFS(INDIRECT("'Thanh Toán ("&amp;O$3&amp;")'!$F:$F"),INDIRECT("'Thanh Toán ("&amp;O$3&amp;")'!$D:$D"),'Tổng Đơn'!$B16),0)</f>
        <v>0</v>
      </c>
      <c r="P16" s="2">
        <f ca="1">IFERROR(SUMIFS(INDIRECT("'Thanh Toán ("&amp;P$3&amp;")'!$F:$F"),INDIRECT("'Thanh Toán ("&amp;P$3&amp;")'!$D:$D"),'Tổng Đơn'!$B16),0)</f>
        <v>0</v>
      </c>
      <c r="Q16" s="2">
        <f ca="1">IFERROR(SUMIFS(INDIRECT("'Thanh Toán ("&amp;Q$3&amp;")'!$F:$F"),INDIRECT("'Thanh Toán ("&amp;Q$3&amp;")'!$D:$D"),'Tổng Đơn'!$B16),0)</f>
        <v>4</v>
      </c>
      <c r="R16" s="2">
        <f ca="1">IFERROR(SUMIFS(INDIRECT("'Thanh Toán ("&amp;R$3&amp;")'!$F:$F"),INDIRECT("'Thanh Toán ("&amp;R$3&amp;")'!$D:$D"),'Tổng Đơn'!$B16),0)</f>
        <v>0</v>
      </c>
      <c r="S16" s="2">
        <f ca="1">IFERROR(SUMIFS(INDIRECT("'Thanh Toán ("&amp;S$3&amp;")'!$F:$F"),INDIRECT("'Thanh Toán ("&amp;S$3&amp;")'!$D:$D"),'Tổng Đơn'!$B16),0)</f>
        <v>0</v>
      </c>
      <c r="T16" s="2">
        <f ca="1">IFERROR(SUMIFS(INDIRECT("'Thanh Toán ("&amp;T$3&amp;")'!$F:$F"),INDIRECT("'Thanh Toán ("&amp;T$3&amp;")'!$D:$D"),'Tổng Đơn'!$B16),0)</f>
        <v>0</v>
      </c>
      <c r="U16" s="2">
        <f ca="1">IFERROR(SUMIFS(INDIRECT("'Thanh Toán ("&amp;U$3&amp;")'!$F:$F"),INDIRECT("'Thanh Toán ("&amp;U$3&amp;")'!$D:$D"),'Tổng Đơn'!$B16),0)</f>
        <v>1</v>
      </c>
      <c r="V16" s="2">
        <f ca="1">IFERROR(SUMIFS(INDIRECT("'Thanh Toán ("&amp;V$3&amp;")'!$F:$F"),INDIRECT("'Thanh Toán ("&amp;V$3&amp;")'!$D:$D"),'Tổng Đơn'!$B16),0)</f>
        <v>0</v>
      </c>
      <c r="W16" s="2">
        <f ca="1">IFERROR(SUMIFS(INDIRECT("'Thanh Toán ("&amp;W$3&amp;")'!$F:$F"),INDIRECT("'Thanh Toán ("&amp;W$3&amp;")'!$D:$D"),'Tổng Đơn'!$B16),0)</f>
        <v>0</v>
      </c>
      <c r="X16" s="2">
        <f ca="1">IFERROR(SUMIFS(INDIRECT("'Thanh Toán ("&amp;X$3&amp;")'!$F:$F"),INDIRECT("'Thanh Toán ("&amp;X$3&amp;")'!$D:$D"),'Tổng Đơn'!$B16),0)</f>
        <v>1</v>
      </c>
      <c r="Y16" s="2">
        <f ca="1">IFERROR(SUMIFS(INDIRECT("'Thanh Toán ("&amp;Y$3&amp;")'!$F:$F"),INDIRECT("'Thanh Toán ("&amp;Y$3&amp;")'!$D:$D"),'Tổng Đơn'!$B16),0)</f>
        <v>0</v>
      </c>
      <c r="Z16" s="2">
        <f ca="1">IFERROR(SUMIFS(INDIRECT("'Thanh Toán ("&amp;Z$3&amp;")'!$F:$F"),INDIRECT("'Thanh Toán ("&amp;Z$3&amp;")'!$D:$D"),'Tổng Đơn'!$B16),0)</f>
        <v>0</v>
      </c>
      <c r="AA16" s="2">
        <f ca="1">IFERROR(SUMIFS(INDIRECT("'Thanh Toán ("&amp;AA$3&amp;")'!$F:$F"),INDIRECT("'Thanh Toán ("&amp;AA$3&amp;")'!$D:$D"),'Tổng Đơn'!$B16),0)</f>
        <v>0</v>
      </c>
      <c r="AB16" s="2">
        <f ca="1">IFERROR(SUMIFS(INDIRECT("'Thanh Toán ("&amp;AB$3&amp;")'!$F:$F"),INDIRECT("'Thanh Toán ("&amp;AB$3&amp;")'!$D:$D"),'Tổng Đơn'!$B16),0)</f>
        <v>0</v>
      </c>
      <c r="AC16" s="2">
        <f ca="1">IFERROR(SUMIFS(INDIRECT("'Thanh Toán ("&amp;AC$3&amp;")'!$F:$F"),INDIRECT("'Thanh Toán ("&amp;AC$3&amp;")'!$D:$D"),'Tổng Đơn'!$B16),0)</f>
        <v>0</v>
      </c>
      <c r="AD16" s="2">
        <f ca="1">IFERROR(SUMIFS(INDIRECT("'Thanh Toán ("&amp;AD$3&amp;")'!$F:$F"),INDIRECT("'Thanh Toán ("&amp;AD$3&amp;")'!$D:$D"),'Tổng Đơn'!$B16),0)</f>
        <v>0</v>
      </c>
      <c r="AE16" s="2">
        <f ca="1">IFERROR(SUMIFS(INDIRECT("'Thanh Toán ("&amp;AE$3&amp;")'!$F:$F"),INDIRECT("'Thanh Toán ("&amp;AE$3&amp;")'!$D:$D"),'Tổng Đơn'!$B16),0)</f>
        <v>0</v>
      </c>
      <c r="AF16" s="2">
        <f ca="1">IFERROR(SUMIFS(INDIRECT("'Thanh Toán ("&amp;AF$3&amp;")'!$F:$F"),INDIRECT("'Thanh Toán ("&amp;AF$3&amp;")'!$D:$D"),'Tổng Đơn'!$B16),0)</f>
        <v>0</v>
      </c>
      <c r="AG16" s="2">
        <f ca="1">IFERROR(SUMIFS(INDIRECT("'Thanh Toán ("&amp;AG$3&amp;")'!$F:$F"),INDIRECT("'Thanh Toán ("&amp;AG$3&amp;")'!$D:$D"),'Tổng Đơn'!$B16),0)</f>
        <v>0</v>
      </c>
      <c r="AH16" s="2">
        <f ca="1">IFERROR(SUMIFS(INDIRECT("'Thanh Toán ("&amp;AH$3&amp;")'!$F:$F"),INDIRECT("'Thanh Toán ("&amp;AH$3&amp;")'!$D:$D"),'Tổng Đơn'!$B16),0)</f>
        <v>0</v>
      </c>
      <c r="AI16" s="2">
        <f ca="1">IFERROR(SUMIFS(INDIRECT("'Thanh Toán ("&amp;AI$3&amp;")'!$F:$F"),INDIRECT("'Thanh Toán ("&amp;AI$3&amp;")'!$D:$D"),'Tổng Đơn'!$B16),0)</f>
        <v>0</v>
      </c>
      <c r="AJ16" s="2">
        <f ca="1">IFERROR(SUMIFS(INDIRECT("'Thanh Toán ("&amp;AJ$3&amp;")'!$F:$F"),INDIRECT("'Thanh Toán ("&amp;AJ$3&amp;")'!$D:$D"),'Tổng Đơn'!$B16),0)</f>
        <v>0</v>
      </c>
      <c r="AK16" s="2">
        <f ca="1">IFERROR(SUMIFS(INDIRECT("'Thanh Toán ("&amp;AK$3&amp;")'!$F:$F"),INDIRECT("'Thanh Toán ("&amp;AK$3&amp;")'!$D:$D"),'Tổng Đơn'!$B16),0)</f>
        <v>0</v>
      </c>
      <c r="AL16" s="2">
        <f ca="1">IFERROR(SUMIFS(INDIRECT("'Thanh Toán ("&amp;AL$3&amp;")'!$F:$F"),INDIRECT("'Thanh Toán ("&amp;AL$3&amp;")'!$D:$D"),'Tổng Đơn'!$B16),0)</f>
        <v>0</v>
      </c>
      <c r="AM16" s="2">
        <f ca="1">IFERROR(SUMIFS(INDIRECT("'Thanh Toán ("&amp;AM$3&amp;")'!$F:$F"),INDIRECT("'Thanh Toán ("&amp;AM$3&amp;")'!$D:$D"),'Tổng Đơn'!$B16),0)</f>
        <v>0</v>
      </c>
      <c r="AN16" s="2">
        <f ca="1">IFERROR(SUMIFS(INDIRECT("'Thanh Toán ("&amp;AN$3&amp;")'!$F:$F"),INDIRECT("'Thanh Toán ("&amp;AN$3&amp;")'!$D:$D"),'Tổng Đơn'!$B16),0)</f>
        <v>0</v>
      </c>
      <c r="AO16" s="2">
        <f ca="1">IFERROR(SUMIFS(INDIRECT("'Thanh Toán ("&amp;AO$3&amp;")'!$F:$F"),INDIRECT("'Thanh Toán ("&amp;AO$3&amp;")'!$D:$D"),'Tổng Đơn'!$B16),0)</f>
        <v>0</v>
      </c>
      <c r="AP16" s="2">
        <f ca="1">IFERROR(SUMIFS(INDIRECT("'Thanh Toán ("&amp;AP$3&amp;")'!$F:$F"),INDIRECT("'Thanh Toán ("&amp;AP$3&amp;")'!$D:$D"),'Tổng Đơn'!$B16),0)</f>
        <v>0</v>
      </c>
      <c r="AQ16" s="2">
        <f ca="1">IFERROR(SUMIFS(INDIRECT("'Thanh Toán ("&amp;AQ$3&amp;")'!$F:$F"),INDIRECT("'Thanh Toán ("&amp;AQ$3&amp;")'!$D:$D"),'Tổng Đơn'!$B16),0)</f>
        <v>0</v>
      </c>
      <c r="AR16" s="2">
        <f ca="1">IFERROR(SUMIFS(INDIRECT("'Thanh Toán ("&amp;AR$3&amp;")'!$F:$F"),INDIRECT("'Thanh Toán ("&amp;AR$3&amp;")'!$D:$D"),'Tổng Đơn'!$B16),0)</f>
        <v>0</v>
      </c>
      <c r="AS16" s="2">
        <f ca="1">IFERROR(SUMIFS(INDIRECT("'Thanh Toán ("&amp;AS$3&amp;")'!$F:$F"),INDIRECT("'Thanh Toán ("&amp;AS$3&amp;")'!$D:$D"),'Tổng Đơn'!$B16),0)</f>
        <v>0</v>
      </c>
      <c r="AT16" s="2">
        <f ca="1">IFERROR(SUMIFS(INDIRECT("'Thanh Toán ("&amp;AT$3&amp;")'!$F:$F"),INDIRECT("'Thanh Toán ("&amp;AT$3&amp;")'!$D:$D"),'Tổng Đơn'!$B16),0)</f>
        <v>0</v>
      </c>
      <c r="AU16" s="2">
        <f ca="1">IFERROR(SUMIFS(INDIRECT("'Thanh Toán ("&amp;AU$3&amp;")'!$F:$F"),INDIRECT("'Thanh Toán ("&amp;AU$3&amp;")'!$D:$D"),'Tổng Đơn'!$B16),0)</f>
        <v>0</v>
      </c>
      <c r="AV16" s="2">
        <f ca="1">IFERROR(SUMIFS(INDIRECT("'Thanh Toán ("&amp;AV$3&amp;")'!$F:$F"),INDIRECT("'Thanh Toán ("&amp;AV$3&amp;")'!$D:$D"),'Tổng Đơn'!$B16),0)</f>
        <v>0</v>
      </c>
      <c r="AW16" s="2">
        <f ca="1">IFERROR(SUMIFS(INDIRECT("'Thanh Toán ("&amp;AW$3&amp;")'!$F:$F"),INDIRECT("'Thanh Toán ("&amp;AW$3&amp;")'!$D:$D"),'Tổng Đơn'!$B16),0)</f>
        <v>0</v>
      </c>
      <c r="AX16" s="2">
        <f ca="1">IFERROR(SUMIFS(INDIRECT("'Thanh Toán ("&amp;AX$3&amp;")'!$F:$F"),INDIRECT("'Thanh Toán ("&amp;AX$3&amp;")'!$D:$D"),'Tổng Đơn'!$B16),0)</f>
        <v>0</v>
      </c>
      <c r="AY16" s="2">
        <f ca="1">IFERROR(SUMIFS(INDIRECT("'Thanh Toán ("&amp;AY$3&amp;")'!$F:$F"),INDIRECT("'Thanh Toán ("&amp;AY$3&amp;")'!$D:$D"),'Tổng Đơn'!$B16),0)</f>
        <v>0</v>
      </c>
      <c r="AZ16" s="2">
        <f ca="1">IFERROR(SUMIFS(INDIRECT("'Thanh Toán ("&amp;AZ$3&amp;")'!$F:$F"),INDIRECT("'Thanh Toán ("&amp;AZ$3&amp;")'!$D:$D"),'Tổng Đơn'!$B16),0)</f>
        <v>0</v>
      </c>
      <c r="BA16" s="2">
        <f ca="1">IFERROR(SUMIFS(INDIRECT("'Thanh Toán ("&amp;BA$3&amp;")'!$F:$F"),INDIRECT("'Thanh Toán ("&amp;BA$3&amp;")'!$D:$D"),'Tổng Đơn'!$B16),0)</f>
        <v>0</v>
      </c>
      <c r="BB16" s="2">
        <f ca="1">IFERROR(SUMIFS(INDIRECT("'Thanh Toán ("&amp;BB$3&amp;")'!$F:$F"),INDIRECT("'Thanh Toán ("&amp;BB$3&amp;")'!$D:$D"),'Tổng Đơn'!$B16),0)</f>
        <v>0</v>
      </c>
      <c r="BC16" s="2">
        <f ca="1">IFERROR(SUMIFS(INDIRECT("'Thanh Toán ("&amp;BC$3&amp;")'!$F:$F"),INDIRECT("'Thanh Toán ("&amp;BC$3&amp;")'!$D:$D"),'Tổng Đơn'!$B16),0)</f>
        <v>0</v>
      </c>
    </row>
    <row r="17" spans="1:55" ht="18" customHeight="1" x14ac:dyDescent="0.25">
      <c r="A17" s="201">
        <v>10</v>
      </c>
      <c r="B17" s="202" t="s">
        <v>6</v>
      </c>
      <c r="C17" s="208" t="s">
        <v>69</v>
      </c>
      <c r="D17" s="203">
        <f>VLOOKUP($C17,Sheet1!$C$5:$D$98,2,0)</f>
        <v>50000</v>
      </c>
      <c r="E17" s="204">
        <v>0.5</v>
      </c>
      <c r="F17" s="205">
        <f t="shared" ca="1" si="2"/>
        <v>0</v>
      </c>
      <c r="G17" s="206">
        <f>IFERROR(VLOOKUP($B17,Gà!C:J,8,0),IFERROR(VLOOKUP($B17,TVP!C:J,7,0),IFERROR(VLOOKUP($B17,Kitkool!C:J,8,0),IFERROR(VLOOKUP($B17,'La Cusina'!C:J,8,0),VLOOKUP($B17,'Quốc Nhân'!C:J,8,0)))))</f>
        <v>44.113007678550503</v>
      </c>
      <c r="H17" s="207">
        <f t="shared" ca="1" si="4"/>
        <v>0</v>
      </c>
      <c r="I17" s="207"/>
      <c r="J17" s="207">
        <f t="shared" ca="1" si="3"/>
        <v>0</v>
      </c>
      <c r="K17" s="53"/>
      <c r="L17" s="2">
        <f ca="1">IFERROR(SUMIFS(INDIRECT("'Thanh Toán ("&amp;L$3&amp;")'!$F:$F"),INDIRECT("'Thanh Toán ("&amp;L$3&amp;")'!$D:$D"),'Tổng Đơn'!$B17),0)</f>
        <v>0</v>
      </c>
      <c r="M17" s="2">
        <f ca="1">IFERROR(SUMIFS(INDIRECT("'Thanh Toán ("&amp;M$3&amp;")'!$F:$F"),INDIRECT("'Thanh Toán ("&amp;M$3&amp;")'!$D:$D"),'Tổng Đơn'!$B17),0)</f>
        <v>0</v>
      </c>
      <c r="N17" s="2">
        <f ca="1">IFERROR(SUMIFS(INDIRECT("'Thanh Toán ("&amp;N$3&amp;")'!$F:$F"),INDIRECT("'Thanh Toán ("&amp;N$3&amp;")'!$D:$D"),'Tổng Đơn'!$B17),0)</f>
        <v>0</v>
      </c>
      <c r="O17" s="2">
        <f ca="1">IFERROR(SUMIFS(INDIRECT("'Thanh Toán ("&amp;O$3&amp;")'!$F:$F"),INDIRECT("'Thanh Toán ("&amp;O$3&amp;")'!$D:$D"),'Tổng Đơn'!$B17),0)</f>
        <v>0</v>
      </c>
      <c r="P17" s="2">
        <f ca="1">IFERROR(SUMIFS(INDIRECT("'Thanh Toán ("&amp;P$3&amp;")'!$F:$F"),INDIRECT("'Thanh Toán ("&amp;P$3&amp;")'!$D:$D"),'Tổng Đơn'!$B17),0)</f>
        <v>0</v>
      </c>
      <c r="Q17" s="2">
        <f ca="1">IFERROR(SUMIFS(INDIRECT("'Thanh Toán ("&amp;Q$3&amp;")'!$F:$F"),INDIRECT("'Thanh Toán ("&amp;Q$3&amp;")'!$D:$D"),'Tổng Đơn'!$B17),0)</f>
        <v>0</v>
      </c>
      <c r="R17" s="2">
        <f ca="1">IFERROR(SUMIFS(INDIRECT("'Thanh Toán ("&amp;R$3&amp;")'!$F:$F"),INDIRECT("'Thanh Toán ("&amp;R$3&amp;")'!$D:$D"),'Tổng Đơn'!$B17),0)</f>
        <v>0</v>
      </c>
      <c r="S17" s="2">
        <f ca="1">IFERROR(SUMIFS(INDIRECT("'Thanh Toán ("&amp;S$3&amp;")'!$F:$F"),INDIRECT("'Thanh Toán ("&amp;S$3&amp;")'!$D:$D"),'Tổng Đơn'!$B17),0)</f>
        <v>0</v>
      </c>
      <c r="T17" s="2">
        <f ca="1">IFERROR(SUMIFS(INDIRECT("'Thanh Toán ("&amp;T$3&amp;")'!$F:$F"),INDIRECT("'Thanh Toán ("&amp;T$3&amp;")'!$D:$D"),'Tổng Đơn'!$B17),0)</f>
        <v>0</v>
      </c>
      <c r="U17" s="2">
        <f ca="1">IFERROR(SUMIFS(INDIRECT("'Thanh Toán ("&amp;U$3&amp;")'!$F:$F"),INDIRECT("'Thanh Toán ("&amp;U$3&amp;")'!$D:$D"),'Tổng Đơn'!$B17),0)</f>
        <v>0</v>
      </c>
      <c r="V17" s="2">
        <f ca="1">IFERROR(SUMIFS(INDIRECT("'Thanh Toán ("&amp;V$3&amp;")'!$F:$F"),INDIRECT("'Thanh Toán ("&amp;V$3&amp;")'!$D:$D"),'Tổng Đơn'!$B17),0)</f>
        <v>0</v>
      </c>
      <c r="W17" s="2">
        <f ca="1">IFERROR(SUMIFS(INDIRECT("'Thanh Toán ("&amp;W$3&amp;")'!$F:$F"),INDIRECT("'Thanh Toán ("&amp;W$3&amp;")'!$D:$D"),'Tổng Đơn'!$B17),0)</f>
        <v>0</v>
      </c>
      <c r="X17" s="2">
        <f ca="1">IFERROR(SUMIFS(INDIRECT("'Thanh Toán ("&amp;X$3&amp;")'!$F:$F"),INDIRECT("'Thanh Toán ("&amp;X$3&amp;")'!$D:$D"),'Tổng Đơn'!$B17),0)</f>
        <v>0</v>
      </c>
      <c r="Y17" s="2">
        <f ca="1">IFERROR(SUMIFS(INDIRECT("'Thanh Toán ("&amp;Y$3&amp;")'!$F:$F"),INDIRECT("'Thanh Toán ("&amp;Y$3&amp;")'!$D:$D"),'Tổng Đơn'!$B17),0)</f>
        <v>0</v>
      </c>
      <c r="Z17" s="2">
        <f ca="1">IFERROR(SUMIFS(INDIRECT("'Thanh Toán ("&amp;Z$3&amp;")'!$F:$F"),INDIRECT("'Thanh Toán ("&amp;Z$3&amp;")'!$D:$D"),'Tổng Đơn'!$B17),0)</f>
        <v>0</v>
      </c>
      <c r="AA17" s="2">
        <f ca="1">IFERROR(SUMIFS(INDIRECT("'Thanh Toán ("&amp;AA$3&amp;")'!$F:$F"),INDIRECT("'Thanh Toán ("&amp;AA$3&amp;")'!$D:$D"),'Tổng Đơn'!$B17),0)</f>
        <v>0</v>
      </c>
      <c r="AB17" s="2">
        <f ca="1">IFERROR(SUMIFS(INDIRECT("'Thanh Toán ("&amp;AB$3&amp;")'!$F:$F"),INDIRECT("'Thanh Toán ("&amp;AB$3&amp;")'!$D:$D"),'Tổng Đơn'!$B17),0)</f>
        <v>0</v>
      </c>
      <c r="AC17" s="2">
        <f ca="1">IFERROR(SUMIFS(INDIRECT("'Thanh Toán ("&amp;AC$3&amp;")'!$F:$F"),INDIRECT("'Thanh Toán ("&amp;AC$3&amp;")'!$D:$D"),'Tổng Đơn'!$B17),0)</f>
        <v>0</v>
      </c>
      <c r="AD17" s="2">
        <f ca="1">IFERROR(SUMIFS(INDIRECT("'Thanh Toán ("&amp;AD$3&amp;")'!$F:$F"),INDIRECT("'Thanh Toán ("&amp;AD$3&amp;")'!$D:$D"),'Tổng Đơn'!$B17),0)</f>
        <v>0</v>
      </c>
      <c r="AE17" s="2">
        <f ca="1">IFERROR(SUMIFS(INDIRECT("'Thanh Toán ("&amp;AE$3&amp;")'!$F:$F"),INDIRECT("'Thanh Toán ("&amp;AE$3&amp;")'!$D:$D"),'Tổng Đơn'!$B17),0)</f>
        <v>0</v>
      </c>
      <c r="AF17" s="2">
        <f ca="1">IFERROR(SUMIFS(INDIRECT("'Thanh Toán ("&amp;AF$3&amp;")'!$F:$F"),INDIRECT("'Thanh Toán ("&amp;AF$3&amp;")'!$D:$D"),'Tổng Đơn'!$B17),0)</f>
        <v>0</v>
      </c>
      <c r="AG17" s="2">
        <f ca="1">IFERROR(SUMIFS(INDIRECT("'Thanh Toán ("&amp;AG$3&amp;")'!$F:$F"),INDIRECT("'Thanh Toán ("&amp;AG$3&amp;")'!$D:$D"),'Tổng Đơn'!$B17),0)</f>
        <v>0</v>
      </c>
      <c r="AH17" s="2">
        <f ca="1">IFERROR(SUMIFS(INDIRECT("'Thanh Toán ("&amp;AH$3&amp;")'!$F:$F"),INDIRECT("'Thanh Toán ("&amp;AH$3&amp;")'!$D:$D"),'Tổng Đơn'!$B17),0)</f>
        <v>0</v>
      </c>
      <c r="AI17" s="2">
        <f ca="1">IFERROR(SUMIFS(INDIRECT("'Thanh Toán ("&amp;AI$3&amp;")'!$F:$F"),INDIRECT("'Thanh Toán ("&amp;AI$3&amp;")'!$D:$D"),'Tổng Đơn'!$B17),0)</f>
        <v>0</v>
      </c>
      <c r="AJ17" s="2">
        <f ca="1">IFERROR(SUMIFS(INDIRECT("'Thanh Toán ("&amp;AJ$3&amp;")'!$F:$F"),INDIRECT("'Thanh Toán ("&amp;AJ$3&amp;")'!$D:$D"),'Tổng Đơn'!$B17),0)</f>
        <v>0</v>
      </c>
      <c r="AK17" s="2">
        <f ca="1">IFERROR(SUMIFS(INDIRECT("'Thanh Toán ("&amp;AK$3&amp;")'!$F:$F"),INDIRECT("'Thanh Toán ("&amp;AK$3&amp;")'!$D:$D"),'Tổng Đơn'!$B17),0)</f>
        <v>0</v>
      </c>
      <c r="AL17" s="2">
        <f ca="1">IFERROR(SUMIFS(INDIRECT("'Thanh Toán ("&amp;AL$3&amp;")'!$F:$F"),INDIRECT("'Thanh Toán ("&amp;AL$3&amp;")'!$D:$D"),'Tổng Đơn'!$B17),0)</f>
        <v>0</v>
      </c>
      <c r="AM17" s="2">
        <f ca="1">IFERROR(SUMIFS(INDIRECT("'Thanh Toán ("&amp;AM$3&amp;")'!$F:$F"),INDIRECT("'Thanh Toán ("&amp;AM$3&amp;")'!$D:$D"),'Tổng Đơn'!$B17),0)</f>
        <v>0</v>
      </c>
      <c r="AN17" s="2">
        <f ca="1">IFERROR(SUMIFS(INDIRECT("'Thanh Toán ("&amp;AN$3&amp;")'!$F:$F"),INDIRECT("'Thanh Toán ("&amp;AN$3&amp;")'!$D:$D"),'Tổng Đơn'!$B17),0)</f>
        <v>0</v>
      </c>
      <c r="AO17" s="2">
        <f ca="1">IFERROR(SUMIFS(INDIRECT("'Thanh Toán ("&amp;AO$3&amp;")'!$F:$F"),INDIRECT("'Thanh Toán ("&amp;AO$3&amp;")'!$D:$D"),'Tổng Đơn'!$B17),0)</f>
        <v>0</v>
      </c>
      <c r="AP17" s="2">
        <f ca="1">IFERROR(SUMIFS(INDIRECT("'Thanh Toán ("&amp;AP$3&amp;")'!$F:$F"),INDIRECT("'Thanh Toán ("&amp;AP$3&amp;")'!$D:$D"),'Tổng Đơn'!$B17),0)</f>
        <v>0</v>
      </c>
      <c r="AQ17" s="2">
        <f ca="1">IFERROR(SUMIFS(INDIRECT("'Thanh Toán ("&amp;AQ$3&amp;")'!$F:$F"),INDIRECT("'Thanh Toán ("&amp;AQ$3&amp;")'!$D:$D"),'Tổng Đơn'!$B17),0)</f>
        <v>0</v>
      </c>
      <c r="AR17" s="2">
        <f ca="1">IFERROR(SUMIFS(INDIRECT("'Thanh Toán ("&amp;AR$3&amp;")'!$F:$F"),INDIRECT("'Thanh Toán ("&amp;AR$3&amp;")'!$D:$D"),'Tổng Đơn'!$B17),0)</f>
        <v>0</v>
      </c>
      <c r="AS17" s="2">
        <f ca="1">IFERROR(SUMIFS(INDIRECT("'Thanh Toán ("&amp;AS$3&amp;")'!$F:$F"),INDIRECT("'Thanh Toán ("&amp;AS$3&amp;")'!$D:$D"),'Tổng Đơn'!$B17),0)</f>
        <v>0</v>
      </c>
      <c r="AT17" s="2">
        <f ca="1">IFERROR(SUMIFS(INDIRECT("'Thanh Toán ("&amp;AT$3&amp;")'!$F:$F"),INDIRECT("'Thanh Toán ("&amp;AT$3&amp;")'!$D:$D"),'Tổng Đơn'!$B17),0)</f>
        <v>0</v>
      </c>
      <c r="AU17" s="2">
        <f ca="1">IFERROR(SUMIFS(INDIRECT("'Thanh Toán ("&amp;AU$3&amp;")'!$F:$F"),INDIRECT("'Thanh Toán ("&amp;AU$3&amp;")'!$D:$D"),'Tổng Đơn'!$B17),0)</f>
        <v>0</v>
      </c>
      <c r="AV17" s="2">
        <f ca="1">IFERROR(SUMIFS(INDIRECT("'Thanh Toán ("&amp;AV$3&amp;")'!$F:$F"),INDIRECT("'Thanh Toán ("&amp;AV$3&amp;")'!$D:$D"),'Tổng Đơn'!$B17),0)</f>
        <v>0</v>
      </c>
      <c r="AW17" s="2">
        <f ca="1">IFERROR(SUMIFS(INDIRECT("'Thanh Toán ("&amp;AW$3&amp;")'!$F:$F"),INDIRECT("'Thanh Toán ("&amp;AW$3&amp;")'!$D:$D"),'Tổng Đơn'!$B17),0)</f>
        <v>0</v>
      </c>
      <c r="AX17" s="2">
        <f ca="1">IFERROR(SUMIFS(INDIRECT("'Thanh Toán ("&amp;AX$3&amp;")'!$F:$F"),INDIRECT("'Thanh Toán ("&amp;AX$3&amp;")'!$D:$D"),'Tổng Đơn'!$B17),0)</f>
        <v>0</v>
      </c>
      <c r="AY17" s="2">
        <f ca="1">IFERROR(SUMIFS(INDIRECT("'Thanh Toán ("&amp;AY$3&amp;")'!$F:$F"),INDIRECT("'Thanh Toán ("&amp;AY$3&amp;")'!$D:$D"),'Tổng Đơn'!$B17),0)</f>
        <v>0</v>
      </c>
      <c r="AZ17" s="2">
        <f ca="1">IFERROR(SUMIFS(INDIRECT("'Thanh Toán ("&amp;AZ$3&amp;")'!$F:$F"),INDIRECT("'Thanh Toán ("&amp;AZ$3&amp;")'!$D:$D"),'Tổng Đơn'!$B17),0)</f>
        <v>0</v>
      </c>
      <c r="BA17" s="2">
        <f ca="1">IFERROR(SUMIFS(INDIRECT("'Thanh Toán ("&amp;BA$3&amp;")'!$F:$F"),INDIRECT("'Thanh Toán ("&amp;BA$3&amp;")'!$D:$D"),'Tổng Đơn'!$B17),0)</f>
        <v>0</v>
      </c>
      <c r="BB17" s="2">
        <f ca="1">IFERROR(SUMIFS(INDIRECT("'Thanh Toán ("&amp;BB$3&amp;")'!$F:$F"),INDIRECT("'Thanh Toán ("&amp;BB$3&amp;")'!$D:$D"),'Tổng Đơn'!$B17),0)</f>
        <v>0</v>
      </c>
      <c r="BC17" s="2">
        <f ca="1">IFERROR(SUMIFS(INDIRECT("'Thanh Toán ("&amp;BC$3&amp;")'!$F:$F"),INDIRECT("'Thanh Toán ("&amp;BC$3&amp;")'!$D:$D"),'Tổng Đơn'!$B17),0)</f>
        <v>0</v>
      </c>
    </row>
    <row r="18" spans="1:55" ht="18" customHeight="1" x14ac:dyDescent="0.25">
      <c r="A18" s="201">
        <v>11</v>
      </c>
      <c r="B18" s="202" t="s">
        <v>58</v>
      </c>
      <c r="C18" s="201" t="s">
        <v>70</v>
      </c>
      <c r="D18" s="203">
        <f>VLOOKUP($C18,Sheet1!$C$5:$D$98,2,0)</f>
        <v>45000</v>
      </c>
      <c r="E18" s="204">
        <v>0.5</v>
      </c>
      <c r="F18" s="205">
        <f t="shared" ca="1" si="2"/>
        <v>0</v>
      </c>
      <c r="G18" s="206">
        <f>IFERROR(VLOOKUP($B18,Gà!C:J,8,0),IFERROR(VLOOKUP($B18,TVP!C:J,7,0),IFERROR(VLOOKUP($B18,Kitkool!C:J,8,0),IFERROR(VLOOKUP($B18,'La Cusina'!C:J,8,0),VLOOKUP($B18,'Quốc Nhân'!C:J,8,0)))))</f>
        <v>40.893676139430909</v>
      </c>
      <c r="H18" s="207">
        <f t="shared" ca="1" si="4"/>
        <v>0</v>
      </c>
      <c r="I18" s="207"/>
      <c r="J18" s="207">
        <f t="shared" ca="1" si="3"/>
        <v>0</v>
      </c>
      <c r="K18" s="53"/>
      <c r="L18" s="2">
        <f ca="1">IFERROR(SUMIFS(INDIRECT("'Thanh Toán ("&amp;L$3&amp;")'!$F:$F"),INDIRECT("'Thanh Toán ("&amp;L$3&amp;")'!$D:$D"),'Tổng Đơn'!$B18),0)</f>
        <v>0</v>
      </c>
      <c r="M18" s="2">
        <f ca="1">IFERROR(SUMIFS(INDIRECT("'Thanh Toán ("&amp;M$3&amp;")'!$F:$F"),INDIRECT("'Thanh Toán ("&amp;M$3&amp;")'!$D:$D"),'Tổng Đơn'!$B18),0)</f>
        <v>0</v>
      </c>
      <c r="N18" s="2">
        <f ca="1">IFERROR(SUMIFS(INDIRECT("'Thanh Toán ("&amp;N$3&amp;")'!$F:$F"),INDIRECT("'Thanh Toán ("&amp;N$3&amp;")'!$D:$D"),'Tổng Đơn'!$B18),0)</f>
        <v>0</v>
      </c>
      <c r="O18" s="2">
        <f ca="1">IFERROR(SUMIFS(INDIRECT("'Thanh Toán ("&amp;O$3&amp;")'!$F:$F"),INDIRECT("'Thanh Toán ("&amp;O$3&amp;")'!$D:$D"),'Tổng Đơn'!$B18),0)</f>
        <v>0</v>
      </c>
      <c r="P18" s="2">
        <f ca="1">IFERROR(SUMIFS(INDIRECT("'Thanh Toán ("&amp;P$3&amp;")'!$F:$F"),INDIRECT("'Thanh Toán ("&amp;P$3&amp;")'!$D:$D"),'Tổng Đơn'!$B18),0)</f>
        <v>0</v>
      </c>
      <c r="Q18" s="2">
        <f ca="1">IFERROR(SUMIFS(INDIRECT("'Thanh Toán ("&amp;Q$3&amp;")'!$F:$F"),INDIRECT("'Thanh Toán ("&amp;Q$3&amp;")'!$D:$D"),'Tổng Đơn'!$B18),0)</f>
        <v>0</v>
      </c>
      <c r="R18" s="2">
        <f ca="1">IFERROR(SUMIFS(INDIRECT("'Thanh Toán ("&amp;R$3&amp;")'!$F:$F"),INDIRECT("'Thanh Toán ("&amp;R$3&amp;")'!$D:$D"),'Tổng Đơn'!$B18),0)</f>
        <v>0</v>
      </c>
      <c r="S18" s="2">
        <f ca="1">IFERROR(SUMIFS(INDIRECT("'Thanh Toán ("&amp;S$3&amp;")'!$F:$F"),INDIRECT("'Thanh Toán ("&amp;S$3&amp;")'!$D:$D"),'Tổng Đơn'!$B18),0)</f>
        <v>0</v>
      </c>
      <c r="T18" s="2">
        <f ca="1">IFERROR(SUMIFS(INDIRECT("'Thanh Toán ("&amp;T$3&amp;")'!$F:$F"),INDIRECT("'Thanh Toán ("&amp;T$3&amp;")'!$D:$D"),'Tổng Đơn'!$B18),0)</f>
        <v>0</v>
      </c>
      <c r="U18" s="2">
        <f ca="1">IFERROR(SUMIFS(INDIRECT("'Thanh Toán ("&amp;U$3&amp;")'!$F:$F"),INDIRECT("'Thanh Toán ("&amp;U$3&amp;")'!$D:$D"),'Tổng Đơn'!$B18),0)</f>
        <v>0</v>
      </c>
      <c r="V18" s="2">
        <f ca="1">IFERROR(SUMIFS(INDIRECT("'Thanh Toán ("&amp;V$3&amp;")'!$F:$F"),INDIRECT("'Thanh Toán ("&amp;V$3&amp;")'!$D:$D"),'Tổng Đơn'!$B18),0)</f>
        <v>0</v>
      </c>
      <c r="W18" s="2">
        <f ca="1">IFERROR(SUMIFS(INDIRECT("'Thanh Toán ("&amp;W$3&amp;")'!$F:$F"),INDIRECT("'Thanh Toán ("&amp;W$3&amp;")'!$D:$D"),'Tổng Đơn'!$B18),0)</f>
        <v>0</v>
      </c>
      <c r="X18" s="2">
        <f ca="1">IFERROR(SUMIFS(INDIRECT("'Thanh Toán ("&amp;X$3&amp;")'!$F:$F"),INDIRECT("'Thanh Toán ("&amp;X$3&amp;")'!$D:$D"),'Tổng Đơn'!$B18),0)</f>
        <v>0</v>
      </c>
      <c r="Y18" s="2">
        <f ca="1">IFERROR(SUMIFS(INDIRECT("'Thanh Toán ("&amp;Y$3&amp;")'!$F:$F"),INDIRECT("'Thanh Toán ("&amp;Y$3&amp;")'!$D:$D"),'Tổng Đơn'!$B18),0)</f>
        <v>0</v>
      </c>
      <c r="Z18" s="2">
        <f ca="1">IFERROR(SUMIFS(INDIRECT("'Thanh Toán ("&amp;Z$3&amp;")'!$F:$F"),INDIRECT("'Thanh Toán ("&amp;Z$3&amp;")'!$D:$D"),'Tổng Đơn'!$B18),0)</f>
        <v>0</v>
      </c>
      <c r="AA18" s="2">
        <f ca="1">IFERROR(SUMIFS(INDIRECT("'Thanh Toán ("&amp;AA$3&amp;")'!$F:$F"),INDIRECT("'Thanh Toán ("&amp;AA$3&amp;")'!$D:$D"),'Tổng Đơn'!$B18),0)</f>
        <v>0</v>
      </c>
      <c r="AB18" s="2">
        <f ca="1">IFERROR(SUMIFS(INDIRECT("'Thanh Toán ("&amp;AB$3&amp;")'!$F:$F"),INDIRECT("'Thanh Toán ("&amp;AB$3&amp;")'!$D:$D"),'Tổng Đơn'!$B18),0)</f>
        <v>0</v>
      </c>
      <c r="AC18" s="2">
        <f ca="1">IFERROR(SUMIFS(INDIRECT("'Thanh Toán ("&amp;AC$3&amp;")'!$F:$F"),INDIRECT("'Thanh Toán ("&amp;AC$3&amp;")'!$D:$D"),'Tổng Đơn'!$B18),0)</f>
        <v>0</v>
      </c>
      <c r="AD18" s="2">
        <f ca="1">IFERROR(SUMIFS(INDIRECT("'Thanh Toán ("&amp;AD$3&amp;")'!$F:$F"),INDIRECT("'Thanh Toán ("&amp;AD$3&amp;")'!$D:$D"),'Tổng Đơn'!$B18),0)</f>
        <v>0</v>
      </c>
      <c r="AE18" s="2">
        <f ca="1">IFERROR(SUMIFS(INDIRECT("'Thanh Toán ("&amp;AE$3&amp;")'!$F:$F"),INDIRECT("'Thanh Toán ("&amp;AE$3&amp;")'!$D:$D"),'Tổng Đơn'!$B18),0)</f>
        <v>0</v>
      </c>
      <c r="AF18" s="2">
        <f ca="1">IFERROR(SUMIFS(INDIRECT("'Thanh Toán ("&amp;AF$3&amp;")'!$F:$F"),INDIRECT("'Thanh Toán ("&amp;AF$3&amp;")'!$D:$D"),'Tổng Đơn'!$B18),0)</f>
        <v>0</v>
      </c>
      <c r="AG18" s="2">
        <f ca="1">IFERROR(SUMIFS(INDIRECT("'Thanh Toán ("&amp;AG$3&amp;")'!$F:$F"),INDIRECT("'Thanh Toán ("&amp;AG$3&amp;")'!$D:$D"),'Tổng Đơn'!$B18),0)</f>
        <v>0</v>
      </c>
      <c r="AH18" s="2">
        <f ca="1">IFERROR(SUMIFS(INDIRECT("'Thanh Toán ("&amp;AH$3&amp;")'!$F:$F"),INDIRECT("'Thanh Toán ("&amp;AH$3&amp;")'!$D:$D"),'Tổng Đơn'!$B18),0)</f>
        <v>0</v>
      </c>
      <c r="AI18" s="2">
        <f ca="1">IFERROR(SUMIFS(INDIRECT("'Thanh Toán ("&amp;AI$3&amp;")'!$F:$F"),INDIRECT("'Thanh Toán ("&amp;AI$3&amp;")'!$D:$D"),'Tổng Đơn'!$B18),0)</f>
        <v>0</v>
      </c>
      <c r="AJ18" s="2">
        <f ca="1">IFERROR(SUMIFS(INDIRECT("'Thanh Toán ("&amp;AJ$3&amp;")'!$F:$F"),INDIRECT("'Thanh Toán ("&amp;AJ$3&amp;")'!$D:$D"),'Tổng Đơn'!$B18),0)</f>
        <v>0</v>
      </c>
      <c r="AK18" s="2">
        <f ca="1">IFERROR(SUMIFS(INDIRECT("'Thanh Toán ("&amp;AK$3&amp;")'!$F:$F"),INDIRECT("'Thanh Toán ("&amp;AK$3&amp;")'!$D:$D"),'Tổng Đơn'!$B18),0)</f>
        <v>0</v>
      </c>
      <c r="AL18" s="2">
        <f ca="1">IFERROR(SUMIFS(INDIRECT("'Thanh Toán ("&amp;AL$3&amp;")'!$F:$F"),INDIRECT("'Thanh Toán ("&amp;AL$3&amp;")'!$D:$D"),'Tổng Đơn'!$B18),0)</f>
        <v>0</v>
      </c>
      <c r="AM18" s="2">
        <f ca="1">IFERROR(SUMIFS(INDIRECT("'Thanh Toán ("&amp;AM$3&amp;")'!$F:$F"),INDIRECT("'Thanh Toán ("&amp;AM$3&amp;")'!$D:$D"),'Tổng Đơn'!$B18),0)</f>
        <v>0</v>
      </c>
      <c r="AN18" s="2">
        <f ca="1">IFERROR(SUMIFS(INDIRECT("'Thanh Toán ("&amp;AN$3&amp;")'!$F:$F"),INDIRECT("'Thanh Toán ("&amp;AN$3&amp;")'!$D:$D"),'Tổng Đơn'!$B18),0)</f>
        <v>0</v>
      </c>
      <c r="AO18" s="2">
        <f ca="1">IFERROR(SUMIFS(INDIRECT("'Thanh Toán ("&amp;AO$3&amp;")'!$F:$F"),INDIRECT("'Thanh Toán ("&amp;AO$3&amp;")'!$D:$D"),'Tổng Đơn'!$B18),0)</f>
        <v>0</v>
      </c>
      <c r="AP18" s="2">
        <f ca="1">IFERROR(SUMIFS(INDIRECT("'Thanh Toán ("&amp;AP$3&amp;")'!$F:$F"),INDIRECT("'Thanh Toán ("&amp;AP$3&amp;")'!$D:$D"),'Tổng Đơn'!$B18),0)</f>
        <v>0</v>
      </c>
      <c r="AQ18" s="2">
        <f ca="1">IFERROR(SUMIFS(INDIRECT("'Thanh Toán ("&amp;AQ$3&amp;")'!$F:$F"),INDIRECT("'Thanh Toán ("&amp;AQ$3&amp;")'!$D:$D"),'Tổng Đơn'!$B18),0)</f>
        <v>0</v>
      </c>
      <c r="AR18" s="2">
        <f ca="1">IFERROR(SUMIFS(INDIRECT("'Thanh Toán ("&amp;AR$3&amp;")'!$F:$F"),INDIRECT("'Thanh Toán ("&amp;AR$3&amp;")'!$D:$D"),'Tổng Đơn'!$B18),0)</f>
        <v>0</v>
      </c>
      <c r="AS18" s="2">
        <f ca="1">IFERROR(SUMIFS(INDIRECT("'Thanh Toán ("&amp;AS$3&amp;")'!$F:$F"),INDIRECT("'Thanh Toán ("&amp;AS$3&amp;")'!$D:$D"),'Tổng Đơn'!$B18),0)</f>
        <v>0</v>
      </c>
      <c r="AT18" s="2">
        <f ca="1">IFERROR(SUMIFS(INDIRECT("'Thanh Toán ("&amp;AT$3&amp;")'!$F:$F"),INDIRECT("'Thanh Toán ("&amp;AT$3&amp;")'!$D:$D"),'Tổng Đơn'!$B18),0)</f>
        <v>0</v>
      </c>
      <c r="AU18" s="2">
        <f ca="1">IFERROR(SUMIFS(INDIRECT("'Thanh Toán ("&amp;AU$3&amp;")'!$F:$F"),INDIRECT("'Thanh Toán ("&amp;AU$3&amp;")'!$D:$D"),'Tổng Đơn'!$B18),0)</f>
        <v>0</v>
      </c>
      <c r="AV18" s="2">
        <f ca="1">IFERROR(SUMIFS(INDIRECT("'Thanh Toán ("&amp;AV$3&amp;")'!$F:$F"),INDIRECT("'Thanh Toán ("&amp;AV$3&amp;")'!$D:$D"),'Tổng Đơn'!$B18),0)</f>
        <v>0</v>
      </c>
      <c r="AW18" s="2">
        <f ca="1">IFERROR(SUMIFS(INDIRECT("'Thanh Toán ("&amp;AW$3&amp;")'!$F:$F"),INDIRECT("'Thanh Toán ("&amp;AW$3&amp;")'!$D:$D"),'Tổng Đơn'!$B18),0)</f>
        <v>0</v>
      </c>
      <c r="AX18" s="2">
        <f ca="1">IFERROR(SUMIFS(INDIRECT("'Thanh Toán ("&amp;AX$3&amp;")'!$F:$F"),INDIRECT("'Thanh Toán ("&amp;AX$3&amp;")'!$D:$D"),'Tổng Đơn'!$B18),0)</f>
        <v>0</v>
      </c>
      <c r="AY18" s="2">
        <f ca="1">IFERROR(SUMIFS(INDIRECT("'Thanh Toán ("&amp;AY$3&amp;")'!$F:$F"),INDIRECT("'Thanh Toán ("&amp;AY$3&amp;")'!$D:$D"),'Tổng Đơn'!$B18),0)</f>
        <v>0</v>
      </c>
      <c r="AZ18" s="2">
        <f ca="1">IFERROR(SUMIFS(INDIRECT("'Thanh Toán ("&amp;AZ$3&amp;")'!$F:$F"),INDIRECT("'Thanh Toán ("&amp;AZ$3&amp;")'!$D:$D"),'Tổng Đơn'!$B18),0)</f>
        <v>0</v>
      </c>
      <c r="BA18" s="2">
        <f ca="1">IFERROR(SUMIFS(INDIRECT("'Thanh Toán ("&amp;BA$3&amp;")'!$F:$F"),INDIRECT("'Thanh Toán ("&amp;BA$3&amp;")'!$D:$D"),'Tổng Đơn'!$B18),0)</f>
        <v>0</v>
      </c>
      <c r="BB18" s="2">
        <f ca="1">IFERROR(SUMIFS(INDIRECT("'Thanh Toán ("&amp;BB$3&amp;")'!$F:$F"),INDIRECT("'Thanh Toán ("&amp;BB$3&amp;")'!$D:$D"),'Tổng Đơn'!$B18),0)</f>
        <v>0</v>
      </c>
      <c r="BC18" s="2">
        <f ca="1">IFERROR(SUMIFS(INDIRECT("'Thanh Toán ("&amp;BC$3&amp;")'!$F:$F"),INDIRECT("'Thanh Toán ("&amp;BC$3&amp;")'!$D:$D"),'Tổng Đơn'!$B18),0)</f>
        <v>0</v>
      </c>
    </row>
    <row r="19" spans="1:55" ht="18" customHeight="1" x14ac:dyDescent="0.25">
      <c r="A19" s="201">
        <v>12</v>
      </c>
      <c r="B19" s="202" t="s">
        <v>35</v>
      </c>
      <c r="C19" s="208" t="s">
        <v>71</v>
      </c>
      <c r="D19" s="203">
        <f>VLOOKUP($C19,Sheet1!$C$5:$D$98,2,0)</f>
        <v>45000</v>
      </c>
      <c r="E19" s="204">
        <v>0.5</v>
      </c>
      <c r="F19" s="205">
        <f t="shared" ca="1" si="2"/>
        <v>0</v>
      </c>
      <c r="G19" s="206">
        <f>IFERROR(VLOOKUP($B19,Gà!C:J,8,0),IFERROR(VLOOKUP($B19,TVP!C:J,7,0),IFERROR(VLOOKUP($B19,Kitkool!C:J,8,0),IFERROR(VLOOKUP($B19,'La Cusina'!C:J,8,0),VLOOKUP($B19,'Quốc Nhân'!C:J,8,0)))))</f>
        <v>40.893676139430909</v>
      </c>
      <c r="H19" s="207">
        <f t="shared" ca="1" si="4"/>
        <v>0</v>
      </c>
      <c r="I19" s="207"/>
      <c r="J19" s="207">
        <f t="shared" ca="1" si="3"/>
        <v>0</v>
      </c>
      <c r="K19" s="53"/>
      <c r="L19" s="2">
        <f ca="1">IFERROR(SUMIFS(INDIRECT("'Thanh Toán ("&amp;L$3&amp;")'!$F:$F"),INDIRECT("'Thanh Toán ("&amp;L$3&amp;")'!$D:$D"),'Tổng Đơn'!$B19),0)</f>
        <v>0</v>
      </c>
      <c r="M19" s="2">
        <f ca="1">IFERROR(SUMIFS(INDIRECT("'Thanh Toán ("&amp;M$3&amp;")'!$F:$F"),INDIRECT("'Thanh Toán ("&amp;M$3&amp;")'!$D:$D"),'Tổng Đơn'!$B19),0)</f>
        <v>0</v>
      </c>
      <c r="N19" s="2">
        <f ca="1">IFERROR(SUMIFS(INDIRECT("'Thanh Toán ("&amp;N$3&amp;")'!$F:$F"),INDIRECT("'Thanh Toán ("&amp;N$3&amp;")'!$D:$D"),'Tổng Đơn'!$B19),0)</f>
        <v>0</v>
      </c>
      <c r="O19" s="2">
        <f ca="1">IFERROR(SUMIFS(INDIRECT("'Thanh Toán ("&amp;O$3&amp;")'!$F:$F"),INDIRECT("'Thanh Toán ("&amp;O$3&amp;")'!$D:$D"),'Tổng Đơn'!$B19),0)</f>
        <v>0</v>
      </c>
      <c r="P19" s="2">
        <f ca="1">IFERROR(SUMIFS(INDIRECT("'Thanh Toán ("&amp;P$3&amp;")'!$F:$F"),INDIRECT("'Thanh Toán ("&amp;P$3&amp;")'!$D:$D"),'Tổng Đơn'!$B19),0)</f>
        <v>0</v>
      </c>
      <c r="Q19" s="2">
        <f ca="1">IFERROR(SUMIFS(INDIRECT("'Thanh Toán ("&amp;Q$3&amp;")'!$F:$F"),INDIRECT("'Thanh Toán ("&amp;Q$3&amp;")'!$D:$D"),'Tổng Đơn'!$B19),0)</f>
        <v>0</v>
      </c>
      <c r="R19" s="2">
        <f ca="1">IFERROR(SUMIFS(INDIRECT("'Thanh Toán ("&amp;R$3&amp;")'!$F:$F"),INDIRECT("'Thanh Toán ("&amp;R$3&amp;")'!$D:$D"),'Tổng Đơn'!$B19),0)</f>
        <v>0</v>
      </c>
      <c r="S19" s="2">
        <f ca="1">IFERROR(SUMIFS(INDIRECT("'Thanh Toán ("&amp;S$3&amp;")'!$F:$F"),INDIRECT("'Thanh Toán ("&amp;S$3&amp;")'!$D:$D"),'Tổng Đơn'!$B19),0)</f>
        <v>0</v>
      </c>
      <c r="T19" s="2">
        <f ca="1">IFERROR(SUMIFS(INDIRECT("'Thanh Toán ("&amp;T$3&amp;")'!$F:$F"),INDIRECT("'Thanh Toán ("&amp;T$3&amp;")'!$D:$D"),'Tổng Đơn'!$B19),0)</f>
        <v>0</v>
      </c>
      <c r="U19" s="2">
        <f ca="1">IFERROR(SUMIFS(INDIRECT("'Thanh Toán ("&amp;U$3&amp;")'!$F:$F"),INDIRECT("'Thanh Toán ("&amp;U$3&amp;")'!$D:$D"),'Tổng Đơn'!$B19),0)</f>
        <v>0</v>
      </c>
      <c r="V19" s="2">
        <f ca="1">IFERROR(SUMIFS(INDIRECT("'Thanh Toán ("&amp;V$3&amp;")'!$F:$F"),INDIRECT("'Thanh Toán ("&amp;V$3&amp;")'!$D:$D"),'Tổng Đơn'!$B19),0)</f>
        <v>0</v>
      </c>
      <c r="W19" s="2">
        <f ca="1">IFERROR(SUMIFS(INDIRECT("'Thanh Toán ("&amp;W$3&amp;")'!$F:$F"),INDIRECT("'Thanh Toán ("&amp;W$3&amp;")'!$D:$D"),'Tổng Đơn'!$B19),0)</f>
        <v>0</v>
      </c>
      <c r="X19" s="2">
        <f ca="1">IFERROR(SUMIFS(INDIRECT("'Thanh Toán ("&amp;X$3&amp;")'!$F:$F"),INDIRECT("'Thanh Toán ("&amp;X$3&amp;")'!$D:$D"),'Tổng Đơn'!$B19),0)</f>
        <v>0</v>
      </c>
      <c r="Y19" s="2">
        <f ca="1">IFERROR(SUMIFS(INDIRECT("'Thanh Toán ("&amp;Y$3&amp;")'!$F:$F"),INDIRECT("'Thanh Toán ("&amp;Y$3&amp;")'!$D:$D"),'Tổng Đơn'!$B19),0)</f>
        <v>0</v>
      </c>
      <c r="Z19" s="2">
        <f ca="1">IFERROR(SUMIFS(INDIRECT("'Thanh Toán ("&amp;Z$3&amp;")'!$F:$F"),INDIRECT("'Thanh Toán ("&amp;Z$3&amp;")'!$D:$D"),'Tổng Đơn'!$B19),0)</f>
        <v>0</v>
      </c>
      <c r="AA19" s="2">
        <f ca="1">IFERROR(SUMIFS(INDIRECT("'Thanh Toán ("&amp;AA$3&amp;")'!$F:$F"),INDIRECT("'Thanh Toán ("&amp;AA$3&amp;")'!$D:$D"),'Tổng Đơn'!$B19),0)</f>
        <v>0</v>
      </c>
      <c r="AB19" s="2">
        <f ca="1">IFERROR(SUMIFS(INDIRECT("'Thanh Toán ("&amp;AB$3&amp;")'!$F:$F"),INDIRECT("'Thanh Toán ("&amp;AB$3&amp;")'!$D:$D"),'Tổng Đơn'!$B19),0)</f>
        <v>0</v>
      </c>
      <c r="AC19" s="2">
        <f ca="1">IFERROR(SUMIFS(INDIRECT("'Thanh Toán ("&amp;AC$3&amp;")'!$F:$F"),INDIRECT("'Thanh Toán ("&amp;AC$3&amp;")'!$D:$D"),'Tổng Đơn'!$B19),0)</f>
        <v>0</v>
      </c>
      <c r="AD19" s="2">
        <f ca="1">IFERROR(SUMIFS(INDIRECT("'Thanh Toán ("&amp;AD$3&amp;")'!$F:$F"),INDIRECT("'Thanh Toán ("&amp;AD$3&amp;")'!$D:$D"),'Tổng Đơn'!$B19),0)</f>
        <v>0</v>
      </c>
      <c r="AE19" s="2">
        <f ca="1">IFERROR(SUMIFS(INDIRECT("'Thanh Toán ("&amp;AE$3&amp;")'!$F:$F"),INDIRECT("'Thanh Toán ("&amp;AE$3&amp;")'!$D:$D"),'Tổng Đơn'!$B19),0)</f>
        <v>0</v>
      </c>
      <c r="AF19" s="2">
        <f ca="1">IFERROR(SUMIFS(INDIRECT("'Thanh Toán ("&amp;AF$3&amp;")'!$F:$F"),INDIRECT("'Thanh Toán ("&amp;AF$3&amp;")'!$D:$D"),'Tổng Đơn'!$B19),0)</f>
        <v>0</v>
      </c>
      <c r="AG19" s="2">
        <f ca="1">IFERROR(SUMIFS(INDIRECT("'Thanh Toán ("&amp;AG$3&amp;")'!$F:$F"),INDIRECT("'Thanh Toán ("&amp;AG$3&amp;")'!$D:$D"),'Tổng Đơn'!$B19),0)</f>
        <v>0</v>
      </c>
      <c r="AH19" s="2">
        <f ca="1">IFERROR(SUMIFS(INDIRECT("'Thanh Toán ("&amp;AH$3&amp;")'!$F:$F"),INDIRECT("'Thanh Toán ("&amp;AH$3&amp;")'!$D:$D"),'Tổng Đơn'!$B19),0)</f>
        <v>0</v>
      </c>
      <c r="AI19" s="2">
        <f ca="1">IFERROR(SUMIFS(INDIRECT("'Thanh Toán ("&amp;AI$3&amp;")'!$F:$F"),INDIRECT("'Thanh Toán ("&amp;AI$3&amp;")'!$D:$D"),'Tổng Đơn'!$B19),0)</f>
        <v>0</v>
      </c>
      <c r="AJ19" s="2">
        <f ca="1">IFERROR(SUMIFS(INDIRECT("'Thanh Toán ("&amp;AJ$3&amp;")'!$F:$F"),INDIRECT("'Thanh Toán ("&amp;AJ$3&amp;")'!$D:$D"),'Tổng Đơn'!$B19),0)</f>
        <v>0</v>
      </c>
      <c r="AK19" s="2">
        <f ca="1">IFERROR(SUMIFS(INDIRECT("'Thanh Toán ("&amp;AK$3&amp;")'!$F:$F"),INDIRECT("'Thanh Toán ("&amp;AK$3&amp;")'!$D:$D"),'Tổng Đơn'!$B19),0)</f>
        <v>0</v>
      </c>
      <c r="AL19" s="2">
        <f ca="1">IFERROR(SUMIFS(INDIRECT("'Thanh Toán ("&amp;AL$3&amp;")'!$F:$F"),INDIRECT("'Thanh Toán ("&amp;AL$3&amp;")'!$D:$D"),'Tổng Đơn'!$B19),0)</f>
        <v>0</v>
      </c>
      <c r="AM19" s="2">
        <f ca="1">IFERROR(SUMIFS(INDIRECT("'Thanh Toán ("&amp;AM$3&amp;")'!$F:$F"),INDIRECT("'Thanh Toán ("&amp;AM$3&amp;")'!$D:$D"),'Tổng Đơn'!$B19),0)</f>
        <v>0</v>
      </c>
      <c r="AN19" s="2">
        <f ca="1">IFERROR(SUMIFS(INDIRECT("'Thanh Toán ("&amp;AN$3&amp;")'!$F:$F"),INDIRECT("'Thanh Toán ("&amp;AN$3&amp;")'!$D:$D"),'Tổng Đơn'!$B19),0)</f>
        <v>0</v>
      </c>
      <c r="AO19" s="2">
        <f ca="1">IFERROR(SUMIFS(INDIRECT("'Thanh Toán ("&amp;AO$3&amp;")'!$F:$F"),INDIRECT("'Thanh Toán ("&amp;AO$3&amp;")'!$D:$D"),'Tổng Đơn'!$B19),0)</f>
        <v>0</v>
      </c>
      <c r="AP19" s="2">
        <f ca="1">IFERROR(SUMIFS(INDIRECT("'Thanh Toán ("&amp;AP$3&amp;")'!$F:$F"),INDIRECT("'Thanh Toán ("&amp;AP$3&amp;")'!$D:$D"),'Tổng Đơn'!$B19),0)</f>
        <v>0</v>
      </c>
      <c r="AQ19" s="2">
        <f ca="1">IFERROR(SUMIFS(INDIRECT("'Thanh Toán ("&amp;AQ$3&amp;")'!$F:$F"),INDIRECT("'Thanh Toán ("&amp;AQ$3&amp;")'!$D:$D"),'Tổng Đơn'!$B19),0)</f>
        <v>0</v>
      </c>
      <c r="AR19" s="2">
        <f ca="1">IFERROR(SUMIFS(INDIRECT("'Thanh Toán ("&amp;AR$3&amp;")'!$F:$F"),INDIRECT("'Thanh Toán ("&amp;AR$3&amp;")'!$D:$D"),'Tổng Đơn'!$B19),0)</f>
        <v>0</v>
      </c>
      <c r="AS19" s="2">
        <f ca="1">IFERROR(SUMIFS(INDIRECT("'Thanh Toán ("&amp;AS$3&amp;")'!$F:$F"),INDIRECT("'Thanh Toán ("&amp;AS$3&amp;")'!$D:$D"),'Tổng Đơn'!$B19),0)</f>
        <v>0</v>
      </c>
      <c r="AT19" s="2">
        <f ca="1">IFERROR(SUMIFS(INDIRECT("'Thanh Toán ("&amp;AT$3&amp;")'!$F:$F"),INDIRECT("'Thanh Toán ("&amp;AT$3&amp;")'!$D:$D"),'Tổng Đơn'!$B19),0)</f>
        <v>0</v>
      </c>
      <c r="AU19" s="2">
        <f ca="1">IFERROR(SUMIFS(INDIRECT("'Thanh Toán ("&amp;AU$3&amp;")'!$F:$F"),INDIRECT("'Thanh Toán ("&amp;AU$3&amp;")'!$D:$D"),'Tổng Đơn'!$B19),0)</f>
        <v>0</v>
      </c>
      <c r="AV19" s="2">
        <f ca="1">IFERROR(SUMIFS(INDIRECT("'Thanh Toán ("&amp;AV$3&amp;")'!$F:$F"),INDIRECT("'Thanh Toán ("&amp;AV$3&amp;")'!$D:$D"),'Tổng Đơn'!$B19),0)</f>
        <v>0</v>
      </c>
      <c r="AW19" s="2">
        <f ca="1">IFERROR(SUMIFS(INDIRECT("'Thanh Toán ("&amp;AW$3&amp;")'!$F:$F"),INDIRECT("'Thanh Toán ("&amp;AW$3&amp;")'!$D:$D"),'Tổng Đơn'!$B19),0)</f>
        <v>0</v>
      </c>
      <c r="AX19" s="2">
        <f ca="1">IFERROR(SUMIFS(INDIRECT("'Thanh Toán ("&amp;AX$3&amp;")'!$F:$F"),INDIRECT("'Thanh Toán ("&amp;AX$3&amp;")'!$D:$D"),'Tổng Đơn'!$B19),0)</f>
        <v>0</v>
      </c>
      <c r="AY19" s="2">
        <f ca="1">IFERROR(SUMIFS(INDIRECT("'Thanh Toán ("&amp;AY$3&amp;")'!$F:$F"),INDIRECT("'Thanh Toán ("&amp;AY$3&amp;")'!$D:$D"),'Tổng Đơn'!$B19),0)</f>
        <v>0</v>
      </c>
      <c r="AZ19" s="2">
        <f ca="1">IFERROR(SUMIFS(INDIRECT("'Thanh Toán ("&amp;AZ$3&amp;")'!$F:$F"),INDIRECT("'Thanh Toán ("&amp;AZ$3&amp;")'!$D:$D"),'Tổng Đơn'!$B19),0)</f>
        <v>0</v>
      </c>
      <c r="BA19" s="2">
        <f ca="1">IFERROR(SUMIFS(INDIRECT("'Thanh Toán ("&amp;BA$3&amp;")'!$F:$F"),INDIRECT("'Thanh Toán ("&amp;BA$3&amp;")'!$D:$D"),'Tổng Đơn'!$B19),0)</f>
        <v>0</v>
      </c>
      <c r="BB19" s="2">
        <f ca="1">IFERROR(SUMIFS(INDIRECT("'Thanh Toán ("&amp;BB$3&amp;")'!$F:$F"),INDIRECT("'Thanh Toán ("&amp;BB$3&amp;")'!$D:$D"),'Tổng Đơn'!$B19),0)</f>
        <v>0</v>
      </c>
      <c r="BC19" s="2">
        <f ca="1">IFERROR(SUMIFS(INDIRECT("'Thanh Toán ("&amp;BC$3&amp;")'!$F:$F"),INDIRECT("'Thanh Toán ("&amp;BC$3&amp;")'!$D:$D"),'Tổng Đơn'!$B19),0)</f>
        <v>0</v>
      </c>
    </row>
    <row r="20" spans="1:55" ht="18" customHeight="1" x14ac:dyDescent="0.25">
      <c r="A20" s="201">
        <v>13</v>
      </c>
      <c r="B20" s="202" t="s">
        <v>32</v>
      </c>
      <c r="C20" s="201" t="s">
        <v>72</v>
      </c>
      <c r="D20" s="203">
        <f>VLOOKUP($C20,Sheet1!$C$5:$D$98,2,0)</f>
        <v>45000</v>
      </c>
      <c r="E20" s="204">
        <v>0.5</v>
      </c>
      <c r="F20" s="205">
        <f t="shared" ca="1" si="2"/>
        <v>0</v>
      </c>
      <c r="G20" s="206">
        <f>IFERROR(VLOOKUP($B20,Gà!C:J,8,0),IFERROR(VLOOKUP($B20,TVP!C:J,7,0),IFERROR(VLOOKUP($B20,Kitkool!C:J,8,0),IFERROR(VLOOKUP($B20,'La Cusina'!C:J,8,0),VLOOKUP($B20,'Quốc Nhân'!C:J,8,0)))))</f>
        <v>40.893676139430909</v>
      </c>
      <c r="H20" s="207">
        <f t="shared" ca="1" si="4"/>
        <v>0</v>
      </c>
      <c r="I20" s="207"/>
      <c r="J20" s="207">
        <f t="shared" ca="1" si="3"/>
        <v>0</v>
      </c>
      <c r="K20" s="53"/>
      <c r="L20" s="2">
        <f ca="1">IFERROR(SUMIFS(INDIRECT("'Thanh Toán ("&amp;L$3&amp;")'!$F:$F"),INDIRECT("'Thanh Toán ("&amp;L$3&amp;")'!$D:$D"),'Tổng Đơn'!$B20),0)</f>
        <v>0</v>
      </c>
      <c r="M20" s="2">
        <f ca="1">IFERROR(SUMIFS(INDIRECT("'Thanh Toán ("&amp;M$3&amp;")'!$F:$F"),INDIRECT("'Thanh Toán ("&amp;M$3&amp;")'!$D:$D"),'Tổng Đơn'!$B20),0)</f>
        <v>0</v>
      </c>
      <c r="N20" s="2">
        <f ca="1">IFERROR(SUMIFS(INDIRECT("'Thanh Toán ("&amp;N$3&amp;")'!$F:$F"),INDIRECT("'Thanh Toán ("&amp;N$3&amp;")'!$D:$D"),'Tổng Đơn'!$B20),0)</f>
        <v>0</v>
      </c>
      <c r="O20" s="2">
        <f ca="1">IFERROR(SUMIFS(INDIRECT("'Thanh Toán ("&amp;O$3&amp;")'!$F:$F"),INDIRECT("'Thanh Toán ("&amp;O$3&amp;")'!$D:$D"),'Tổng Đơn'!$B20),0)</f>
        <v>0</v>
      </c>
      <c r="P20" s="2">
        <f ca="1">IFERROR(SUMIFS(INDIRECT("'Thanh Toán ("&amp;P$3&amp;")'!$F:$F"),INDIRECT("'Thanh Toán ("&amp;P$3&amp;")'!$D:$D"),'Tổng Đơn'!$B20),0)</f>
        <v>0</v>
      </c>
      <c r="Q20" s="2">
        <f ca="1">IFERROR(SUMIFS(INDIRECT("'Thanh Toán ("&amp;Q$3&amp;")'!$F:$F"),INDIRECT("'Thanh Toán ("&amp;Q$3&amp;")'!$D:$D"),'Tổng Đơn'!$B20),0)</f>
        <v>0</v>
      </c>
      <c r="R20" s="2">
        <f ca="1">IFERROR(SUMIFS(INDIRECT("'Thanh Toán ("&amp;R$3&amp;")'!$F:$F"),INDIRECT("'Thanh Toán ("&amp;R$3&amp;")'!$D:$D"),'Tổng Đơn'!$B20),0)</f>
        <v>0</v>
      </c>
      <c r="S20" s="2">
        <f ca="1">IFERROR(SUMIFS(INDIRECT("'Thanh Toán ("&amp;S$3&amp;")'!$F:$F"),INDIRECT("'Thanh Toán ("&amp;S$3&amp;")'!$D:$D"),'Tổng Đơn'!$B20),0)</f>
        <v>0</v>
      </c>
      <c r="T20" s="2">
        <f ca="1">IFERROR(SUMIFS(INDIRECT("'Thanh Toán ("&amp;T$3&amp;")'!$F:$F"),INDIRECT("'Thanh Toán ("&amp;T$3&amp;")'!$D:$D"),'Tổng Đơn'!$B20),0)</f>
        <v>0</v>
      </c>
      <c r="U20" s="2">
        <f ca="1">IFERROR(SUMIFS(INDIRECT("'Thanh Toán ("&amp;U$3&amp;")'!$F:$F"),INDIRECT("'Thanh Toán ("&amp;U$3&amp;")'!$D:$D"),'Tổng Đơn'!$B20),0)</f>
        <v>0</v>
      </c>
      <c r="V20" s="2">
        <f ca="1">IFERROR(SUMIFS(INDIRECT("'Thanh Toán ("&amp;V$3&amp;")'!$F:$F"),INDIRECT("'Thanh Toán ("&amp;V$3&amp;")'!$D:$D"),'Tổng Đơn'!$B20),0)</f>
        <v>0</v>
      </c>
      <c r="W20" s="2">
        <f ca="1">IFERROR(SUMIFS(INDIRECT("'Thanh Toán ("&amp;W$3&amp;")'!$F:$F"),INDIRECT("'Thanh Toán ("&amp;W$3&amp;")'!$D:$D"),'Tổng Đơn'!$B20),0)</f>
        <v>0</v>
      </c>
      <c r="X20" s="2">
        <f ca="1">IFERROR(SUMIFS(INDIRECT("'Thanh Toán ("&amp;X$3&amp;")'!$F:$F"),INDIRECT("'Thanh Toán ("&amp;X$3&amp;")'!$D:$D"),'Tổng Đơn'!$B20),0)</f>
        <v>0</v>
      </c>
      <c r="Y20" s="2">
        <f ca="1">IFERROR(SUMIFS(INDIRECT("'Thanh Toán ("&amp;Y$3&amp;")'!$F:$F"),INDIRECT("'Thanh Toán ("&amp;Y$3&amp;")'!$D:$D"),'Tổng Đơn'!$B20),0)</f>
        <v>0</v>
      </c>
      <c r="Z20" s="2">
        <f ca="1">IFERROR(SUMIFS(INDIRECT("'Thanh Toán ("&amp;Z$3&amp;")'!$F:$F"),INDIRECT("'Thanh Toán ("&amp;Z$3&amp;")'!$D:$D"),'Tổng Đơn'!$B20),0)</f>
        <v>0</v>
      </c>
      <c r="AA20" s="2">
        <f ca="1">IFERROR(SUMIFS(INDIRECT("'Thanh Toán ("&amp;AA$3&amp;")'!$F:$F"),INDIRECT("'Thanh Toán ("&amp;AA$3&amp;")'!$D:$D"),'Tổng Đơn'!$B20),0)</f>
        <v>0</v>
      </c>
      <c r="AB20" s="2">
        <f ca="1">IFERROR(SUMIFS(INDIRECT("'Thanh Toán ("&amp;AB$3&amp;")'!$F:$F"),INDIRECT("'Thanh Toán ("&amp;AB$3&amp;")'!$D:$D"),'Tổng Đơn'!$B20),0)</f>
        <v>0</v>
      </c>
      <c r="AC20" s="2">
        <f ca="1">IFERROR(SUMIFS(INDIRECT("'Thanh Toán ("&amp;AC$3&amp;")'!$F:$F"),INDIRECT("'Thanh Toán ("&amp;AC$3&amp;")'!$D:$D"),'Tổng Đơn'!$B20),0)</f>
        <v>0</v>
      </c>
      <c r="AD20" s="2">
        <f ca="1">IFERROR(SUMIFS(INDIRECT("'Thanh Toán ("&amp;AD$3&amp;")'!$F:$F"),INDIRECT("'Thanh Toán ("&amp;AD$3&amp;")'!$D:$D"),'Tổng Đơn'!$B20),0)</f>
        <v>0</v>
      </c>
      <c r="AE20" s="2">
        <f ca="1">IFERROR(SUMIFS(INDIRECT("'Thanh Toán ("&amp;AE$3&amp;")'!$F:$F"),INDIRECT("'Thanh Toán ("&amp;AE$3&amp;")'!$D:$D"),'Tổng Đơn'!$B20),0)</f>
        <v>0</v>
      </c>
      <c r="AF20" s="2">
        <f ca="1">IFERROR(SUMIFS(INDIRECT("'Thanh Toán ("&amp;AF$3&amp;")'!$F:$F"),INDIRECT("'Thanh Toán ("&amp;AF$3&amp;")'!$D:$D"),'Tổng Đơn'!$B20),0)</f>
        <v>0</v>
      </c>
      <c r="AG20" s="2">
        <f ca="1">IFERROR(SUMIFS(INDIRECT("'Thanh Toán ("&amp;AG$3&amp;")'!$F:$F"),INDIRECT("'Thanh Toán ("&amp;AG$3&amp;")'!$D:$D"),'Tổng Đơn'!$B20),0)</f>
        <v>0</v>
      </c>
      <c r="AH20" s="2">
        <f ca="1">IFERROR(SUMIFS(INDIRECT("'Thanh Toán ("&amp;AH$3&amp;")'!$F:$F"),INDIRECT("'Thanh Toán ("&amp;AH$3&amp;")'!$D:$D"),'Tổng Đơn'!$B20),0)</f>
        <v>0</v>
      </c>
      <c r="AI20" s="2">
        <f ca="1">IFERROR(SUMIFS(INDIRECT("'Thanh Toán ("&amp;AI$3&amp;")'!$F:$F"),INDIRECT("'Thanh Toán ("&amp;AI$3&amp;")'!$D:$D"),'Tổng Đơn'!$B20),0)</f>
        <v>0</v>
      </c>
      <c r="AJ20" s="2">
        <f ca="1">IFERROR(SUMIFS(INDIRECT("'Thanh Toán ("&amp;AJ$3&amp;")'!$F:$F"),INDIRECT("'Thanh Toán ("&amp;AJ$3&amp;")'!$D:$D"),'Tổng Đơn'!$B20),0)</f>
        <v>0</v>
      </c>
      <c r="AK20" s="2">
        <f ca="1">IFERROR(SUMIFS(INDIRECT("'Thanh Toán ("&amp;AK$3&amp;")'!$F:$F"),INDIRECT("'Thanh Toán ("&amp;AK$3&amp;")'!$D:$D"),'Tổng Đơn'!$B20),0)</f>
        <v>0</v>
      </c>
      <c r="AL20" s="2">
        <f ca="1">IFERROR(SUMIFS(INDIRECT("'Thanh Toán ("&amp;AL$3&amp;")'!$F:$F"),INDIRECT("'Thanh Toán ("&amp;AL$3&amp;")'!$D:$D"),'Tổng Đơn'!$B20),0)</f>
        <v>0</v>
      </c>
      <c r="AM20" s="2">
        <f ca="1">IFERROR(SUMIFS(INDIRECT("'Thanh Toán ("&amp;AM$3&amp;")'!$F:$F"),INDIRECT("'Thanh Toán ("&amp;AM$3&amp;")'!$D:$D"),'Tổng Đơn'!$B20),0)</f>
        <v>0</v>
      </c>
      <c r="AN20" s="2">
        <f ca="1">IFERROR(SUMIFS(INDIRECT("'Thanh Toán ("&amp;AN$3&amp;")'!$F:$F"),INDIRECT("'Thanh Toán ("&amp;AN$3&amp;")'!$D:$D"),'Tổng Đơn'!$B20),0)</f>
        <v>0</v>
      </c>
      <c r="AO20" s="2">
        <f ca="1">IFERROR(SUMIFS(INDIRECT("'Thanh Toán ("&amp;AO$3&amp;")'!$F:$F"),INDIRECT("'Thanh Toán ("&amp;AO$3&amp;")'!$D:$D"),'Tổng Đơn'!$B20),0)</f>
        <v>0</v>
      </c>
      <c r="AP20" s="2">
        <f ca="1">IFERROR(SUMIFS(INDIRECT("'Thanh Toán ("&amp;AP$3&amp;")'!$F:$F"),INDIRECT("'Thanh Toán ("&amp;AP$3&amp;")'!$D:$D"),'Tổng Đơn'!$B20),0)</f>
        <v>0</v>
      </c>
      <c r="AQ20" s="2">
        <f ca="1">IFERROR(SUMIFS(INDIRECT("'Thanh Toán ("&amp;AQ$3&amp;")'!$F:$F"),INDIRECT("'Thanh Toán ("&amp;AQ$3&amp;")'!$D:$D"),'Tổng Đơn'!$B20),0)</f>
        <v>0</v>
      </c>
      <c r="AR20" s="2">
        <f ca="1">IFERROR(SUMIFS(INDIRECT("'Thanh Toán ("&amp;AR$3&amp;")'!$F:$F"),INDIRECT("'Thanh Toán ("&amp;AR$3&amp;")'!$D:$D"),'Tổng Đơn'!$B20),0)</f>
        <v>0</v>
      </c>
      <c r="AS20" s="2">
        <f ca="1">IFERROR(SUMIFS(INDIRECT("'Thanh Toán ("&amp;AS$3&amp;")'!$F:$F"),INDIRECT("'Thanh Toán ("&amp;AS$3&amp;")'!$D:$D"),'Tổng Đơn'!$B20),0)</f>
        <v>0</v>
      </c>
      <c r="AT20" s="2">
        <f ca="1">IFERROR(SUMIFS(INDIRECT("'Thanh Toán ("&amp;AT$3&amp;")'!$F:$F"),INDIRECT("'Thanh Toán ("&amp;AT$3&amp;")'!$D:$D"),'Tổng Đơn'!$B20),0)</f>
        <v>0</v>
      </c>
      <c r="AU20" s="2">
        <f ca="1">IFERROR(SUMIFS(INDIRECT("'Thanh Toán ("&amp;AU$3&amp;")'!$F:$F"),INDIRECT("'Thanh Toán ("&amp;AU$3&amp;")'!$D:$D"),'Tổng Đơn'!$B20),0)</f>
        <v>0</v>
      </c>
      <c r="AV20" s="2">
        <f ca="1">IFERROR(SUMIFS(INDIRECT("'Thanh Toán ("&amp;AV$3&amp;")'!$F:$F"),INDIRECT("'Thanh Toán ("&amp;AV$3&amp;")'!$D:$D"),'Tổng Đơn'!$B20),0)</f>
        <v>0</v>
      </c>
      <c r="AW20" s="2">
        <f ca="1">IFERROR(SUMIFS(INDIRECT("'Thanh Toán ("&amp;AW$3&amp;")'!$F:$F"),INDIRECT("'Thanh Toán ("&amp;AW$3&amp;")'!$D:$D"),'Tổng Đơn'!$B20),0)</f>
        <v>0</v>
      </c>
      <c r="AX20" s="2">
        <f ca="1">IFERROR(SUMIFS(INDIRECT("'Thanh Toán ("&amp;AX$3&amp;")'!$F:$F"),INDIRECT("'Thanh Toán ("&amp;AX$3&amp;")'!$D:$D"),'Tổng Đơn'!$B20),0)</f>
        <v>0</v>
      </c>
      <c r="AY20" s="2">
        <f ca="1">IFERROR(SUMIFS(INDIRECT("'Thanh Toán ("&amp;AY$3&amp;")'!$F:$F"),INDIRECT("'Thanh Toán ("&amp;AY$3&amp;")'!$D:$D"),'Tổng Đơn'!$B20),0)</f>
        <v>0</v>
      </c>
      <c r="AZ20" s="2">
        <f ca="1">IFERROR(SUMIFS(INDIRECT("'Thanh Toán ("&amp;AZ$3&amp;")'!$F:$F"),INDIRECT("'Thanh Toán ("&amp;AZ$3&amp;")'!$D:$D"),'Tổng Đơn'!$B20),0)</f>
        <v>0</v>
      </c>
      <c r="BA20" s="2">
        <f ca="1">IFERROR(SUMIFS(INDIRECT("'Thanh Toán ("&amp;BA$3&amp;")'!$F:$F"),INDIRECT("'Thanh Toán ("&amp;BA$3&amp;")'!$D:$D"),'Tổng Đơn'!$B20),0)</f>
        <v>0</v>
      </c>
      <c r="BB20" s="2">
        <f ca="1">IFERROR(SUMIFS(INDIRECT("'Thanh Toán ("&amp;BB$3&amp;")'!$F:$F"),INDIRECT("'Thanh Toán ("&amp;BB$3&amp;")'!$D:$D"),'Tổng Đơn'!$B20),0)</f>
        <v>0</v>
      </c>
      <c r="BC20" s="2">
        <f ca="1">IFERROR(SUMIFS(INDIRECT("'Thanh Toán ("&amp;BC$3&amp;")'!$F:$F"),INDIRECT("'Thanh Toán ("&amp;BC$3&amp;")'!$D:$D"),'Tổng Đơn'!$B20),0)</f>
        <v>0</v>
      </c>
    </row>
    <row r="21" spans="1:55" ht="18" customHeight="1" x14ac:dyDescent="0.25">
      <c r="A21" s="201">
        <v>14</v>
      </c>
      <c r="B21" s="202" t="s">
        <v>34</v>
      </c>
      <c r="C21" s="208" t="s">
        <v>73</v>
      </c>
      <c r="D21" s="203">
        <f>VLOOKUP($C21,Sheet1!$C$5:$D$98,2,0)</f>
        <v>45000</v>
      </c>
      <c r="E21" s="204">
        <v>0.5</v>
      </c>
      <c r="F21" s="205">
        <f t="shared" ca="1" si="2"/>
        <v>0</v>
      </c>
      <c r="G21" s="206">
        <f>IFERROR(VLOOKUP($B21,Gà!C:J,8,0),IFERROR(VLOOKUP($B21,TVP!C:J,7,0),IFERROR(VLOOKUP($B21,Kitkool!C:J,8,0),IFERROR(VLOOKUP($B21,'La Cusina'!C:J,8,0),VLOOKUP($B21,'Quốc Nhân'!C:J,8,0)))))</f>
        <v>40.893676139430909</v>
      </c>
      <c r="H21" s="207">
        <f t="shared" ca="1" si="4"/>
        <v>0</v>
      </c>
      <c r="I21" s="207"/>
      <c r="J21" s="207">
        <f t="shared" ca="1" si="3"/>
        <v>0</v>
      </c>
      <c r="K21" s="53"/>
      <c r="L21" s="2">
        <f ca="1">IFERROR(SUMIFS(INDIRECT("'Thanh Toán ("&amp;L$3&amp;")'!$F:$F"),INDIRECT("'Thanh Toán ("&amp;L$3&amp;")'!$D:$D"),'Tổng Đơn'!$B21),0)</f>
        <v>0</v>
      </c>
      <c r="M21" s="2">
        <f ca="1">IFERROR(SUMIFS(INDIRECT("'Thanh Toán ("&amp;M$3&amp;")'!$F:$F"),INDIRECT("'Thanh Toán ("&amp;M$3&amp;")'!$D:$D"),'Tổng Đơn'!$B21),0)</f>
        <v>0</v>
      </c>
      <c r="N21" s="2">
        <f ca="1">IFERROR(SUMIFS(INDIRECT("'Thanh Toán ("&amp;N$3&amp;")'!$F:$F"),INDIRECT("'Thanh Toán ("&amp;N$3&amp;")'!$D:$D"),'Tổng Đơn'!$B21),0)</f>
        <v>0</v>
      </c>
      <c r="O21" s="2">
        <f ca="1">IFERROR(SUMIFS(INDIRECT("'Thanh Toán ("&amp;O$3&amp;")'!$F:$F"),INDIRECT("'Thanh Toán ("&amp;O$3&amp;")'!$D:$D"),'Tổng Đơn'!$B21),0)</f>
        <v>0</v>
      </c>
      <c r="P21" s="2">
        <f ca="1">IFERROR(SUMIFS(INDIRECT("'Thanh Toán ("&amp;P$3&amp;")'!$F:$F"),INDIRECT("'Thanh Toán ("&amp;P$3&amp;")'!$D:$D"),'Tổng Đơn'!$B21),0)</f>
        <v>0</v>
      </c>
      <c r="Q21" s="2">
        <f ca="1">IFERROR(SUMIFS(INDIRECT("'Thanh Toán ("&amp;Q$3&amp;")'!$F:$F"),INDIRECT("'Thanh Toán ("&amp;Q$3&amp;")'!$D:$D"),'Tổng Đơn'!$B21),0)</f>
        <v>0</v>
      </c>
      <c r="R21" s="2">
        <f ca="1">IFERROR(SUMIFS(INDIRECT("'Thanh Toán ("&amp;R$3&amp;")'!$F:$F"),INDIRECT("'Thanh Toán ("&amp;R$3&amp;")'!$D:$D"),'Tổng Đơn'!$B21),0)</f>
        <v>0</v>
      </c>
      <c r="S21" s="2">
        <f ca="1">IFERROR(SUMIFS(INDIRECT("'Thanh Toán ("&amp;S$3&amp;")'!$F:$F"),INDIRECT("'Thanh Toán ("&amp;S$3&amp;")'!$D:$D"),'Tổng Đơn'!$B21),0)</f>
        <v>0</v>
      </c>
      <c r="T21" s="2">
        <f ca="1">IFERROR(SUMIFS(INDIRECT("'Thanh Toán ("&amp;T$3&amp;")'!$F:$F"),INDIRECT("'Thanh Toán ("&amp;T$3&amp;")'!$D:$D"),'Tổng Đơn'!$B21),0)</f>
        <v>0</v>
      </c>
      <c r="U21" s="2">
        <f ca="1">IFERROR(SUMIFS(INDIRECT("'Thanh Toán ("&amp;U$3&amp;")'!$F:$F"),INDIRECT("'Thanh Toán ("&amp;U$3&amp;")'!$D:$D"),'Tổng Đơn'!$B21),0)</f>
        <v>0</v>
      </c>
      <c r="V21" s="2">
        <f ca="1">IFERROR(SUMIFS(INDIRECT("'Thanh Toán ("&amp;V$3&amp;")'!$F:$F"),INDIRECT("'Thanh Toán ("&amp;V$3&amp;")'!$D:$D"),'Tổng Đơn'!$B21),0)</f>
        <v>0</v>
      </c>
      <c r="W21" s="2">
        <f ca="1">IFERROR(SUMIFS(INDIRECT("'Thanh Toán ("&amp;W$3&amp;")'!$F:$F"),INDIRECT("'Thanh Toán ("&amp;W$3&amp;")'!$D:$D"),'Tổng Đơn'!$B21),0)</f>
        <v>0</v>
      </c>
      <c r="X21" s="2">
        <f ca="1">IFERROR(SUMIFS(INDIRECT("'Thanh Toán ("&amp;X$3&amp;")'!$F:$F"),INDIRECT("'Thanh Toán ("&amp;X$3&amp;")'!$D:$D"),'Tổng Đơn'!$B21),0)</f>
        <v>0</v>
      </c>
      <c r="Y21" s="2">
        <f ca="1">IFERROR(SUMIFS(INDIRECT("'Thanh Toán ("&amp;Y$3&amp;")'!$F:$F"),INDIRECT("'Thanh Toán ("&amp;Y$3&amp;")'!$D:$D"),'Tổng Đơn'!$B21),0)</f>
        <v>0</v>
      </c>
      <c r="Z21" s="2">
        <f ca="1">IFERROR(SUMIFS(INDIRECT("'Thanh Toán ("&amp;Z$3&amp;")'!$F:$F"),INDIRECT("'Thanh Toán ("&amp;Z$3&amp;")'!$D:$D"),'Tổng Đơn'!$B21),0)</f>
        <v>0</v>
      </c>
      <c r="AA21" s="2">
        <f ca="1">IFERROR(SUMIFS(INDIRECT("'Thanh Toán ("&amp;AA$3&amp;")'!$F:$F"),INDIRECT("'Thanh Toán ("&amp;AA$3&amp;")'!$D:$D"),'Tổng Đơn'!$B21),0)</f>
        <v>0</v>
      </c>
      <c r="AB21" s="2">
        <f ca="1">IFERROR(SUMIFS(INDIRECT("'Thanh Toán ("&amp;AB$3&amp;")'!$F:$F"),INDIRECT("'Thanh Toán ("&amp;AB$3&amp;")'!$D:$D"),'Tổng Đơn'!$B21),0)</f>
        <v>0</v>
      </c>
      <c r="AC21" s="2">
        <f ca="1">IFERROR(SUMIFS(INDIRECT("'Thanh Toán ("&amp;AC$3&amp;")'!$F:$F"),INDIRECT("'Thanh Toán ("&amp;AC$3&amp;")'!$D:$D"),'Tổng Đơn'!$B21),0)</f>
        <v>0</v>
      </c>
      <c r="AD21" s="2">
        <f ca="1">IFERROR(SUMIFS(INDIRECT("'Thanh Toán ("&amp;AD$3&amp;")'!$F:$F"),INDIRECT("'Thanh Toán ("&amp;AD$3&amp;")'!$D:$D"),'Tổng Đơn'!$B21),0)</f>
        <v>0</v>
      </c>
      <c r="AE21" s="2">
        <f ca="1">IFERROR(SUMIFS(INDIRECT("'Thanh Toán ("&amp;AE$3&amp;")'!$F:$F"),INDIRECT("'Thanh Toán ("&amp;AE$3&amp;")'!$D:$D"),'Tổng Đơn'!$B21),0)</f>
        <v>0</v>
      </c>
      <c r="AF21" s="2">
        <f ca="1">IFERROR(SUMIFS(INDIRECT("'Thanh Toán ("&amp;AF$3&amp;")'!$F:$F"),INDIRECT("'Thanh Toán ("&amp;AF$3&amp;")'!$D:$D"),'Tổng Đơn'!$B21),0)</f>
        <v>0</v>
      </c>
      <c r="AG21" s="2">
        <f ca="1">IFERROR(SUMIFS(INDIRECT("'Thanh Toán ("&amp;AG$3&amp;")'!$F:$F"),INDIRECT("'Thanh Toán ("&amp;AG$3&amp;")'!$D:$D"),'Tổng Đơn'!$B21),0)</f>
        <v>0</v>
      </c>
      <c r="AH21" s="2">
        <f ca="1">IFERROR(SUMIFS(INDIRECT("'Thanh Toán ("&amp;AH$3&amp;")'!$F:$F"),INDIRECT("'Thanh Toán ("&amp;AH$3&amp;")'!$D:$D"),'Tổng Đơn'!$B21),0)</f>
        <v>0</v>
      </c>
      <c r="AI21" s="2">
        <f ca="1">IFERROR(SUMIFS(INDIRECT("'Thanh Toán ("&amp;AI$3&amp;")'!$F:$F"),INDIRECT("'Thanh Toán ("&amp;AI$3&amp;")'!$D:$D"),'Tổng Đơn'!$B21),0)</f>
        <v>0</v>
      </c>
      <c r="AJ21" s="2">
        <f ca="1">IFERROR(SUMIFS(INDIRECT("'Thanh Toán ("&amp;AJ$3&amp;")'!$F:$F"),INDIRECT("'Thanh Toán ("&amp;AJ$3&amp;")'!$D:$D"),'Tổng Đơn'!$B21),0)</f>
        <v>0</v>
      </c>
      <c r="AK21" s="2">
        <f ca="1">IFERROR(SUMIFS(INDIRECT("'Thanh Toán ("&amp;AK$3&amp;")'!$F:$F"),INDIRECT("'Thanh Toán ("&amp;AK$3&amp;")'!$D:$D"),'Tổng Đơn'!$B21),0)</f>
        <v>0</v>
      </c>
      <c r="AL21" s="2">
        <f ca="1">IFERROR(SUMIFS(INDIRECT("'Thanh Toán ("&amp;AL$3&amp;")'!$F:$F"),INDIRECT("'Thanh Toán ("&amp;AL$3&amp;")'!$D:$D"),'Tổng Đơn'!$B21),0)</f>
        <v>0</v>
      </c>
      <c r="AM21" s="2">
        <f ca="1">IFERROR(SUMIFS(INDIRECT("'Thanh Toán ("&amp;AM$3&amp;")'!$F:$F"),INDIRECT("'Thanh Toán ("&amp;AM$3&amp;")'!$D:$D"),'Tổng Đơn'!$B21),0)</f>
        <v>0</v>
      </c>
      <c r="AN21" s="2">
        <f ca="1">IFERROR(SUMIFS(INDIRECT("'Thanh Toán ("&amp;AN$3&amp;")'!$F:$F"),INDIRECT("'Thanh Toán ("&amp;AN$3&amp;")'!$D:$D"),'Tổng Đơn'!$B21),0)</f>
        <v>0</v>
      </c>
      <c r="AO21" s="2">
        <f ca="1">IFERROR(SUMIFS(INDIRECT("'Thanh Toán ("&amp;AO$3&amp;")'!$F:$F"),INDIRECT("'Thanh Toán ("&amp;AO$3&amp;")'!$D:$D"),'Tổng Đơn'!$B21),0)</f>
        <v>0</v>
      </c>
      <c r="AP21" s="2">
        <f ca="1">IFERROR(SUMIFS(INDIRECT("'Thanh Toán ("&amp;AP$3&amp;")'!$F:$F"),INDIRECT("'Thanh Toán ("&amp;AP$3&amp;")'!$D:$D"),'Tổng Đơn'!$B21),0)</f>
        <v>0</v>
      </c>
      <c r="AQ21" s="2">
        <f ca="1">IFERROR(SUMIFS(INDIRECT("'Thanh Toán ("&amp;AQ$3&amp;")'!$F:$F"),INDIRECT("'Thanh Toán ("&amp;AQ$3&amp;")'!$D:$D"),'Tổng Đơn'!$B21),0)</f>
        <v>0</v>
      </c>
      <c r="AR21" s="2">
        <f ca="1">IFERROR(SUMIFS(INDIRECT("'Thanh Toán ("&amp;AR$3&amp;")'!$F:$F"),INDIRECT("'Thanh Toán ("&amp;AR$3&amp;")'!$D:$D"),'Tổng Đơn'!$B21),0)</f>
        <v>0</v>
      </c>
      <c r="AS21" s="2">
        <f ca="1">IFERROR(SUMIFS(INDIRECT("'Thanh Toán ("&amp;AS$3&amp;")'!$F:$F"),INDIRECT("'Thanh Toán ("&amp;AS$3&amp;")'!$D:$D"),'Tổng Đơn'!$B21),0)</f>
        <v>0</v>
      </c>
      <c r="AT21" s="2">
        <f ca="1">IFERROR(SUMIFS(INDIRECT("'Thanh Toán ("&amp;AT$3&amp;")'!$F:$F"),INDIRECT("'Thanh Toán ("&amp;AT$3&amp;")'!$D:$D"),'Tổng Đơn'!$B21),0)</f>
        <v>0</v>
      </c>
      <c r="AU21" s="2">
        <f ca="1">IFERROR(SUMIFS(INDIRECT("'Thanh Toán ("&amp;AU$3&amp;")'!$F:$F"),INDIRECT("'Thanh Toán ("&amp;AU$3&amp;")'!$D:$D"),'Tổng Đơn'!$B21),0)</f>
        <v>0</v>
      </c>
      <c r="AV21" s="2">
        <f ca="1">IFERROR(SUMIFS(INDIRECT("'Thanh Toán ("&amp;AV$3&amp;")'!$F:$F"),INDIRECT("'Thanh Toán ("&amp;AV$3&amp;")'!$D:$D"),'Tổng Đơn'!$B21),0)</f>
        <v>0</v>
      </c>
      <c r="AW21" s="2">
        <f ca="1">IFERROR(SUMIFS(INDIRECT("'Thanh Toán ("&amp;AW$3&amp;")'!$F:$F"),INDIRECT("'Thanh Toán ("&amp;AW$3&amp;")'!$D:$D"),'Tổng Đơn'!$B21),0)</f>
        <v>0</v>
      </c>
      <c r="AX21" s="2">
        <f ca="1">IFERROR(SUMIFS(INDIRECT("'Thanh Toán ("&amp;AX$3&amp;")'!$F:$F"),INDIRECT("'Thanh Toán ("&amp;AX$3&amp;")'!$D:$D"),'Tổng Đơn'!$B21),0)</f>
        <v>0</v>
      </c>
      <c r="AY21" s="2">
        <f ca="1">IFERROR(SUMIFS(INDIRECT("'Thanh Toán ("&amp;AY$3&amp;")'!$F:$F"),INDIRECT("'Thanh Toán ("&amp;AY$3&amp;")'!$D:$D"),'Tổng Đơn'!$B21),0)</f>
        <v>0</v>
      </c>
      <c r="AZ21" s="2">
        <f ca="1">IFERROR(SUMIFS(INDIRECT("'Thanh Toán ("&amp;AZ$3&amp;")'!$F:$F"),INDIRECT("'Thanh Toán ("&amp;AZ$3&amp;")'!$D:$D"),'Tổng Đơn'!$B21),0)</f>
        <v>0</v>
      </c>
      <c r="BA21" s="2">
        <f ca="1">IFERROR(SUMIFS(INDIRECT("'Thanh Toán ("&amp;BA$3&amp;")'!$F:$F"),INDIRECT("'Thanh Toán ("&amp;BA$3&amp;")'!$D:$D"),'Tổng Đơn'!$B21),0)</f>
        <v>0</v>
      </c>
      <c r="BB21" s="2">
        <f ca="1">IFERROR(SUMIFS(INDIRECT("'Thanh Toán ("&amp;BB$3&amp;")'!$F:$F"),INDIRECT("'Thanh Toán ("&amp;BB$3&amp;")'!$D:$D"),'Tổng Đơn'!$B21),0)</f>
        <v>0</v>
      </c>
      <c r="BC21" s="2">
        <f ca="1">IFERROR(SUMIFS(INDIRECT("'Thanh Toán ("&amp;BC$3&amp;")'!$F:$F"),INDIRECT("'Thanh Toán ("&amp;BC$3&amp;")'!$D:$D"),'Tổng Đơn'!$B21),0)</f>
        <v>0</v>
      </c>
    </row>
    <row r="22" spans="1:55" ht="18" customHeight="1" x14ac:dyDescent="0.25">
      <c r="A22" s="201">
        <v>15</v>
      </c>
      <c r="B22" s="202" t="s">
        <v>33</v>
      </c>
      <c r="C22" s="201" t="s">
        <v>74</v>
      </c>
      <c r="D22" s="203">
        <f>VLOOKUP($C22,Sheet1!$C$5:$D$98,2,0)</f>
        <v>45000</v>
      </c>
      <c r="E22" s="204">
        <v>0.5</v>
      </c>
      <c r="F22" s="205">
        <f t="shared" ca="1" si="2"/>
        <v>0</v>
      </c>
      <c r="G22" s="206">
        <f>IFERROR(VLOOKUP($B22,Gà!C:J,8,0),IFERROR(VLOOKUP($B22,TVP!C:J,7,0),IFERROR(VLOOKUP($B22,Kitkool!C:J,8,0),IFERROR(VLOOKUP($B22,'La Cusina'!C:J,8,0),VLOOKUP($B22,'Quốc Nhân'!C:J,8,0)))))</f>
        <v>40.893676139430909</v>
      </c>
      <c r="H22" s="207">
        <f t="shared" ca="1" si="4"/>
        <v>0</v>
      </c>
      <c r="I22" s="207"/>
      <c r="J22" s="207">
        <f t="shared" ca="1" si="3"/>
        <v>0</v>
      </c>
      <c r="K22" s="53"/>
      <c r="L22" s="2">
        <f ca="1">IFERROR(SUMIFS(INDIRECT("'Thanh Toán ("&amp;L$3&amp;")'!$F:$F"),INDIRECT("'Thanh Toán ("&amp;L$3&amp;")'!$D:$D"),'Tổng Đơn'!$B22),0)</f>
        <v>0</v>
      </c>
      <c r="M22" s="2">
        <f ca="1">IFERROR(SUMIFS(INDIRECT("'Thanh Toán ("&amp;M$3&amp;")'!$F:$F"),INDIRECT("'Thanh Toán ("&amp;M$3&amp;")'!$D:$D"),'Tổng Đơn'!$B22),0)</f>
        <v>0</v>
      </c>
      <c r="N22" s="2">
        <f ca="1">IFERROR(SUMIFS(INDIRECT("'Thanh Toán ("&amp;N$3&amp;")'!$F:$F"),INDIRECT("'Thanh Toán ("&amp;N$3&amp;")'!$D:$D"),'Tổng Đơn'!$B22),0)</f>
        <v>0</v>
      </c>
      <c r="O22" s="2">
        <f ca="1">IFERROR(SUMIFS(INDIRECT("'Thanh Toán ("&amp;O$3&amp;")'!$F:$F"),INDIRECT("'Thanh Toán ("&amp;O$3&amp;")'!$D:$D"),'Tổng Đơn'!$B22),0)</f>
        <v>0</v>
      </c>
      <c r="P22" s="2">
        <f ca="1">IFERROR(SUMIFS(INDIRECT("'Thanh Toán ("&amp;P$3&amp;")'!$F:$F"),INDIRECT("'Thanh Toán ("&amp;P$3&amp;")'!$D:$D"),'Tổng Đơn'!$B22),0)</f>
        <v>0</v>
      </c>
      <c r="Q22" s="2">
        <f ca="1">IFERROR(SUMIFS(INDIRECT("'Thanh Toán ("&amp;Q$3&amp;")'!$F:$F"),INDIRECT("'Thanh Toán ("&amp;Q$3&amp;")'!$D:$D"),'Tổng Đơn'!$B22),0)</f>
        <v>0</v>
      </c>
      <c r="R22" s="2">
        <f ca="1">IFERROR(SUMIFS(INDIRECT("'Thanh Toán ("&amp;R$3&amp;")'!$F:$F"),INDIRECT("'Thanh Toán ("&amp;R$3&amp;")'!$D:$D"),'Tổng Đơn'!$B22),0)</f>
        <v>0</v>
      </c>
      <c r="S22" s="2">
        <f ca="1">IFERROR(SUMIFS(INDIRECT("'Thanh Toán ("&amp;S$3&amp;")'!$F:$F"),INDIRECT("'Thanh Toán ("&amp;S$3&amp;")'!$D:$D"),'Tổng Đơn'!$B22),0)</f>
        <v>0</v>
      </c>
      <c r="T22" s="2">
        <f ca="1">IFERROR(SUMIFS(INDIRECT("'Thanh Toán ("&amp;T$3&amp;")'!$F:$F"),INDIRECT("'Thanh Toán ("&amp;T$3&amp;")'!$D:$D"),'Tổng Đơn'!$B22),0)</f>
        <v>0</v>
      </c>
      <c r="U22" s="2">
        <f ca="1">IFERROR(SUMIFS(INDIRECT("'Thanh Toán ("&amp;U$3&amp;")'!$F:$F"),INDIRECT("'Thanh Toán ("&amp;U$3&amp;")'!$D:$D"),'Tổng Đơn'!$B22),0)</f>
        <v>0</v>
      </c>
      <c r="V22" s="2">
        <f ca="1">IFERROR(SUMIFS(INDIRECT("'Thanh Toán ("&amp;V$3&amp;")'!$F:$F"),INDIRECT("'Thanh Toán ("&amp;V$3&amp;")'!$D:$D"),'Tổng Đơn'!$B22),0)</f>
        <v>0</v>
      </c>
      <c r="W22" s="2">
        <f ca="1">IFERROR(SUMIFS(INDIRECT("'Thanh Toán ("&amp;W$3&amp;")'!$F:$F"),INDIRECT("'Thanh Toán ("&amp;W$3&amp;")'!$D:$D"),'Tổng Đơn'!$B22),0)</f>
        <v>0</v>
      </c>
      <c r="X22" s="2">
        <f ca="1">IFERROR(SUMIFS(INDIRECT("'Thanh Toán ("&amp;X$3&amp;")'!$F:$F"),INDIRECT("'Thanh Toán ("&amp;X$3&amp;")'!$D:$D"),'Tổng Đơn'!$B22),0)</f>
        <v>0</v>
      </c>
      <c r="Y22" s="2">
        <f ca="1">IFERROR(SUMIFS(INDIRECT("'Thanh Toán ("&amp;Y$3&amp;")'!$F:$F"),INDIRECT("'Thanh Toán ("&amp;Y$3&amp;")'!$D:$D"),'Tổng Đơn'!$B22),0)</f>
        <v>0</v>
      </c>
      <c r="Z22" s="2">
        <f ca="1">IFERROR(SUMIFS(INDIRECT("'Thanh Toán ("&amp;Z$3&amp;")'!$F:$F"),INDIRECT("'Thanh Toán ("&amp;Z$3&amp;")'!$D:$D"),'Tổng Đơn'!$B22),0)</f>
        <v>0</v>
      </c>
      <c r="AA22" s="2">
        <f ca="1">IFERROR(SUMIFS(INDIRECT("'Thanh Toán ("&amp;AA$3&amp;")'!$F:$F"),INDIRECT("'Thanh Toán ("&amp;AA$3&amp;")'!$D:$D"),'Tổng Đơn'!$B22),0)</f>
        <v>0</v>
      </c>
      <c r="AB22" s="2">
        <f ca="1">IFERROR(SUMIFS(INDIRECT("'Thanh Toán ("&amp;AB$3&amp;")'!$F:$F"),INDIRECT("'Thanh Toán ("&amp;AB$3&amp;")'!$D:$D"),'Tổng Đơn'!$B22),0)</f>
        <v>0</v>
      </c>
      <c r="AC22" s="2">
        <f ca="1">IFERROR(SUMIFS(INDIRECT("'Thanh Toán ("&amp;AC$3&amp;")'!$F:$F"),INDIRECT("'Thanh Toán ("&amp;AC$3&amp;")'!$D:$D"),'Tổng Đơn'!$B22),0)</f>
        <v>0</v>
      </c>
      <c r="AD22" s="2">
        <f ca="1">IFERROR(SUMIFS(INDIRECT("'Thanh Toán ("&amp;AD$3&amp;")'!$F:$F"),INDIRECT("'Thanh Toán ("&amp;AD$3&amp;")'!$D:$D"),'Tổng Đơn'!$B22),0)</f>
        <v>0</v>
      </c>
      <c r="AE22" s="2">
        <f ca="1">IFERROR(SUMIFS(INDIRECT("'Thanh Toán ("&amp;AE$3&amp;")'!$F:$F"),INDIRECT("'Thanh Toán ("&amp;AE$3&amp;")'!$D:$D"),'Tổng Đơn'!$B22),0)</f>
        <v>0</v>
      </c>
      <c r="AF22" s="2">
        <f ca="1">IFERROR(SUMIFS(INDIRECT("'Thanh Toán ("&amp;AF$3&amp;")'!$F:$F"),INDIRECT("'Thanh Toán ("&amp;AF$3&amp;")'!$D:$D"),'Tổng Đơn'!$B22),0)</f>
        <v>0</v>
      </c>
      <c r="AG22" s="2">
        <f ca="1">IFERROR(SUMIFS(INDIRECT("'Thanh Toán ("&amp;AG$3&amp;")'!$F:$F"),INDIRECT("'Thanh Toán ("&amp;AG$3&amp;")'!$D:$D"),'Tổng Đơn'!$B22),0)</f>
        <v>0</v>
      </c>
      <c r="AH22" s="2">
        <f ca="1">IFERROR(SUMIFS(INDIRECT("'Thanh Toán ("&amp;AH$3&amp;")'!$F:$F"),INDIRECT("'Thanh Toán ("&amp;AH$3&amp;")'!$D:$D"),'Tổng Đơn'!$B22),0)</f>
        <v>0</v>
      </c>
      <c r="AI22" s="2">
        <f ca="1">IFERROR(SUMIFS(INDIRECT("'Thanh Toán ("&amp;AI$3&amp;")'!$F:$F"),INDIRECT("'Thanh Toán ("&amp;AI$3&amp;")'!$D:$D"),'Tổng Đơn'!$B22),0)</f>
        <v>0</v>
      </c>
      <c r="AJ22" s="2">
        <f ca="1">IFERROR(SUMIFS(INDIRECT("'Thanh Toán ("&amp;AJ$3&amp;")'!$F:$F"),INDIRECT("'Thanh Toán ("&amp;AJ$3&amp;")'!$D:$D"),'Tổng Đơn'!$B22),0)</f>
        <v>0</v>
      </c>
      <c r="AK22" s="2">
        <f ca="1">IFERROR(SUMIFS(INDIRECT("'Thanh Toán ("&amp;AK$3&amp;")'!$F:$F"),INDIRECT("'Thanh Toán ("&amp;AK$3&amp;")'!$D:$D"),'Tổng Đơn'!$B22),0)</f>
        <v>0</v>
      </c>
      <c r="AL22" s="2">
        <f ca="1">IFERROR(SUMIFS(INDIRECT("'Thanh Toán ("&amp;AL$3&amp;")'!$F:$F"),INDIRECT("'Thanh Toán ("&amp;AL$3&amp;")'!$D:$D"),'Tổng Đơn'!$B22),0)</f>
        <v>0</v>
      </c>
      <c r="AM22" s="2">
        <f ca="1">IFERROR(SUMIFS(INDIRECT("'Thanh Toán ("&amp;AM$3&amp;")'!$F:$F"),INDIRECT("'Thanh Toán ("&amp;AM$3&amp;")'!$D:$D"),'Tổng Đơn'!$B22),0)</f>
        <v>0</v>
      </c>
      <c r="AN22" s="2">
        <f ca="1">IFERROR(SUMIFS(INDIRECT("'Thanh Toán ("&amp;AN$3&amp;")'!$F:$F"),INDIRECT("'Thanh Toán ("&amp;AN$3&amp;")'!$D:$D"),'Tổng Đơn'!$B22),0)</f>
        <v>0</v>
      </c>
      <c r="AO22" s="2">
        <f ca="1">IFERROR(SUMIFS(INDIRECT("'Thanh Toán ("&amp;AO$3&amp;")'!$F:$F"),INDIRECT("'Thanh Toán ("&amp;AO$3&amp;")'!$D:$D"),'Tổng Đơn'!$B22),0)</f>
        <v>0</v>
      </c>
      <c r="AP22" s="2">
        <f ca="1">IFERROR(SUMIFS(INDIRECT("'Thanh Toán ("&amp;AP$3&amp;")'!$F:$F"),INDIRECT("'Thanh Toán ("&amp;AP$3&amp;")'!$D:$D"),'Tổng Đơn'!$B22),0)</f>
        <v>0</v>
      </c>
      <c r="AQ22" s="2">
        <f ca="1">IFERROR(SUMIFS(INDIRECT("'Thanh Toán ("&amp;AQ$3&amp;")'!$F:$F"),INDIRECT("'Thanh Toán ("&amp;AQ$3&amp;")'!$D:$D"),'Tổng Đơn'!$B22),0)</f>
        <v>0</v>
      </c>
      <c r="AR22" s="2">
        <f ca="1">IFERROR(SUMIFS(INDIRECT("'Thanh Toán ("&amp;AR$3&amp;")'!$F:$F"),INDIRECT("'Thanh Toán ("&amp;AR$3&amp;")'!$D:$D"),'Tổng Đơn'!$B22),0)</f>
        <v>0</v>
      </c>
      <c r="AS22" s="2">
        <f ca="1">IFERROR(SUMIFS(INDIRECT("'Thanh Toán ("&amp;AS$3&amp;")'!$F:$F"),INDIRECT("'Thanh Toán ("&amp;AS$3&amp;")'!$D:$D"),'Tổng Đơn'!$B22),0)</f>
        <v>0</v>
      </c>
      <c r="AT22" s="2">
        <f ca="1">IFERROR(SUMIFS(INDIRECT("'Thanh Toán ("&amp;AT$3&amp;")'!$F:$F"),INDIRECT("'Thanh Toán ("&amp;AT$3&amp;")'!$D:$D"),'Tổng Đơn'!$B22),0)</f>
        <v>0</v>
      </c>
      <c r="AU22" s="2">
        <f ca="1">IFERROR(SUMIFS(INDIRECT("'Thanh Toán ("&amp;AU$3&amp;")'!$F:$F"),INDIRECT("'Thanh Toán ("&amp;AU$3&amp;")'!$D:$D"),'Tổng Đơn'!$B22),0)</f>
        <v>0</v>
      </c>
      <c r="AV22" s="2">
        <f ca="1">IFERROR(SUMIFS(INDIRECT("'Thanh Toán ("&amp;AV$3&amp;")'!$F:$F"),INDIRECT("'Thanh Toán ("&amp;AV$3&amp;")'!$D:$D"),'Tổng Đơn'!$B22),0)</f>
        <v>0</v>
      </c>
      <c r="AW22" s="2">
        <f ca="1">IFERROR(SUMIFS(INDIRECT("'Thanh Toán ("&amp;AW$3&amp;")'!$F:$F"),INDIRECT("'Thanh Toán ("&amp;AW$3&amp;")'!$D:$D"),'Tổng Đơn'!$B22),0)</f>
        <v>0</v>
      </c>
      <c r="AX22" s="2">
        <f ca="1">IFERROR(SUMIFS(INDIRECT("'Thanh Toán ("&amp;AX$3&amp;")'!$F:$F"),INDIRECT("'Thanh Toán ("&amp;AX$3&amp;")'!$D:$D"),'Tổng Đơn'!$B22),0)</f>
        <v>0</v>
      </c>
      <c r="AY22" s="2">
        <f ca="1">IFERROR(SUMIFS(INDIRECT("'Thanh Toán ("&amp;AY$3&amp;")'!$F:$F"),INDIRECT("'Thanh Toán ("&amp;AY$3&amp;")'!$D:$D"),'Tổng Đơn'!$B22),0)</f>
        <v>0</v>
      </c>
      <c r="AZ22" s="2">
        <f ca="1">IFERROR(SUMIFS(INDIRECT("'Thanh Toán ("&amp;AZ$3&amp;")'!$F:$F"),INDIRECT("'Thanh Toán ("&amp;AZ$3&amp;")'!$D:$D"),'Tổng Đơn'!$B22),0)</f>
        <v>0</v>
      </c>
      <c r="BA22" s="2">
        <f ca="1">IFERROR(SUMIFS(INDIRECT("'Thanh Toán ("&amp;BA$3&amp;")'!$F:$F"),INDIRECT("'Thanh Toán ("&amp;BA$3&amp;")'!$D:$D"),'Tổng Đơn'!$B22),0)</f>
        <v>0</v>
      </c>
      <c r="BB22" s="2">
        <f ca="1">IFERROR(SUMIFS(INDIRECT("'Thanh Toán ("&amp;BB$3&amp;")'!$F:$F"),INDIRECT("'Thanh Toán ("&amp;BB$3&amp;")'!$D:$D"),'Tổng Đơn'!$B22),0)</f>
        <v>0</v>
      </c>
      <c r="BC22" s="2">
        <f ca="1">IFERROR(SUMIFS(INDIRECT("'Thanh Toán ("&amp;BC$3&amp;")'!$F:$F"),INDIRECT("'Thanh Toán ("&amp;BC$3&amp;")'!$D:$D"),'Tổng Đơn'!$B22),0)</f>
        <v>0</v>
      </c>
    </row>
    <row r="23" spans="1:55" ht="18" customHeight="1" x14ac:dyDescent="0.25">
      <c r="A23" s="201">
        <v>16</v>
      </c>
      <c r="B23" s="202" t="s">
        <v>5</v>
      </c>
      <c r="C23" s="208" t="s">
        <v>75</v>
      </c>
      <c r="D23" s="203">
        <f>VLOOKUP($C23,Sheet1!$C$5:$D$98,2,0)</f>
        <v>40000</v>
      </c>
      <c r="E23" s="204">
        <v>0.5</v>
      </c>
      <c r="F23" s="205">
        <f t="shared" ca="1" si="2"/>
        <v>15</v>
      </c>
      <c r="G23" s="206">
        <f>IFERROR(VLOOKUP($B23,Gà!C:J,8,0),IFERROR(VLOOKUP($B23,TVP!C:J,7,0),IFERROR(VLOOKUP($B23,Kitkool!C:J,8,0),IFERROR(VLOOKUP($B23,'La Cusina'!C:J,8,0),VLOOKUP($B23,'Quốc Nhân'!C:J,8,0)))))</f>
        <v>34.880052583039934</v>
      </c>
      <c r="H23" s="207">
        <f t="shared" ca="1" si="4"/>
        <v>76799.211254400987</v>
      </c>
      <c r="I23" s="207"/>
      <c r="J23" s="207">
        <f t="shared" ca="1" si="3"/>
        <v>523200.78874559898</v>
      </c>
      <c r="K23" s="53"/>
      <c r="L23" s="2">
        <f ca="1">IFERROR(SUMIFS(INDIRECT("'Thanh Toán ("&amp;L$3&amp;")'!$F:$F"),INDIRECT("'Thanh Toán ("&amp;L$3&amp;")'!$D:$D"),'Tổng Đơn'!$B23),0)</f>
        <v>3</v>
      </c>
      <c r="M23" s="2">
        <f ca="1">IFERROR(SUMIFS(INDIRECT("'Thanh Toán ("&amp;M$3&amp;")'!$F:$F"),INDIRECT("'Thanh Toán ("&amp;M$3&amp;")'!$D:$D"),'Tổng Đơn'!$B23),0)</f>
        <v>0</v>
      </c>
      <c r="N23" s="2">
        <f ca="1">IFERROR(SUMIFS(INDIRECT("'Thanh Toán ("&amp;N$3&amp;")'!$F:$F"),INDIRECT("'Thanh Toán ("&amp;N$3&amp;")'!$D:$D"),'Tổng Đơn'!$B23),0)</f>
        <v>1</v>
      </c>
      <c r="O23" s="2">
        <f ca="1">IFERROR(SUMIFS(INDIRECT("'Thanh Toán ("&amp;O$3&amp;")'!$F:$F"),INDIRECT("'Thanh Toán ("&amp;O$3&amp;")'!$D:$D"),'Tổng Đơn'!$B23),0)</f>
        <v>0</v>
      </c>
      <c r="P23" s="2">
        <f ca="1">IFERROR(SUMIFS(INDIRECT("'Thanh Toán ("&amp;P$3&amp;")'!$F:$F"),INDIRECT("'Thanh Toán ("&amp;P$3&amp;")'!$D:$D"),'Tổng Đơn'!$B23),0)</f>
        <v>0</v>
      </c>
      <c r="Q23" s="2">
        <f ca="1">IFERROR(SUMIFS(INDIRECT("'Thanh Toán ("&amp;Q$3&amp;")'!$F:$F"),INDIRECT("'Thanh Toán ("&amp;Q$3&amp;")'!$D:$D"),'Tổng Đơn'!$B23),0)</f>
        <v>10</v>
      </c>
      <c r="R23" s="2">
        <f ca="1">IFERROR(SUMIFS(INDIRECT("'Thanh Toán ("&amp;R$3&amp;")'!$F:$F"),INDIRECT("'Thanh Toán ("&amp;R$3&amp;")'!$D:$D"),'Tổng Đơn'!$B23),0)</f>
        <v>0</v>
      </c>
      <c r="S23" s="2">
        <f ca="1">IFERROR(SUMIFS(INDIRECT("'Thanh Toán ("&amp;S$3&amp;")'!$F:$F"),INDIRECT("'Thanh Toán ("&amp;S$3&amp;")'!$D:$D"),'Tổng Đơn'!$B23),0)</f>
        <v>0</v>
      </c>
      <c r="T23" s="2">
        <f ca="1">IFERROR(SUMIFS(INDIRECT("'Thanh Toán ("&amp;T$3&amp;")'!$F:$F"),INDIRECT("'Thanh Toán ("&amp;T$3&amp;")'!$D:$D"),'Tổng Đơn'!$B23),0)</f>
        <v>0</v>
      </c>
      <c r="U23" s="2">
        <f ca="1">IFERROR(SUMIFS(INDIRECT("'Thanh Toán ("&amp;U$3&amp;")'!$F:$F"),INDIRECT("'Thanh Toán ("&amp;U$3&amp;")'!$D:$D"),'Tổng Đơn'!$B23),0)</f>
        <v>0</v>
      </c>
      <c r="V23" s="2">
        <f ca="1">IFERROR(SUMIFS(INDIRECT("'Thanh Toán ("&amp;V$3&amp;")'!$F:$F"),INDIRECT("'Thanh Toán ("&amp;V$3&amp;")'!$D:$D"),'Tổng Đơn'!$B23),0)</f>
        <v>0</v>
      </c>
      <c r="W23" s="2">
        <f ca="1">IFERROR(SUMIFS(INDIRECT("'Thanh Toán ("&amp;W$3&amp;")'!$F:$F"),INDIRECT("'Thanh Toán ("&amp;W$3&amp;")'!$D:$D"),'Tổng Đơn'!$B23),0)</f>
        <v>0</v>
      </c>
      <c r="X23" s="2">
        <f ca="1">IFERROR(SUMIFS(INDIRECT("'Thanh Toán ("&amp;X$3&amp;")'!$F:$F"),INDIRECT("'Thanh Toán ("&amp;X$3&amp;")'!$D:$D"),'Tổng Đơn'!$B23),0)</f>
        <v>1</v>
      </c>
      <c r="Y23" s="2">
        <f ca="1">IFERROR(SUMIFS(INDIRECT("'Thanh Toán ("&amp;Y$3&amp;")'!$F:$F"),INDIRECT("'Thanh Toán ("&amp;Y$3&amp;")'!$D:$D"),'Tổng Đơn'!$B23),0)</f>
        <v>0</v>
      </c>
      <c r="Z23" s="2">
        <f ca="1">IFERROR(SUMIFS(INDIRECT("'Thanh Toán ("&amp;Z$3&amp;")'!$F:$F"),INDIRECT("'Thanh Toán ("&amp;Z$3&amp;")'!$D:$D"),'Tổng Đơn'!$B23),0)</f>
        <v>0</v>
      </c>
      <c r="AA23" s="2">
        <f ca="1">IFERROR(SUMIFS(INDIRECT("'Thanh Toán ("&amp;AA$3&amp;")'!$F:$F"),INDIRECT("'Thanh Toán ("&amp;AA$3&amp;")'!$D:$D"),'Tổng Đơn'!$B23),0)</f>
        <v>0</v>
      </c>
      <c r="AB23" s="2">
        <f ca="1">IFERROR(SUMIFS(INDIRECT("'Thanh Toán ("&amp;AB$3&amp;")'!$F:$F"),INDIRECT("'Thanh Toán ("&amp;AB$3&amp;")'!$D:$D"),'Tổng Đơn'!$B23),0)</f>
        <v>0</v>
      </c>
      <c r="AC23" s="2">
        <f ca="1">IFERROR(SUMIFS(INDIRECT("'Thanh Toán ("&amp;AC$3&amp;")'!$F:$F"),INDIRECT("'Thanh Toán ("&amp;AC$3&amp;")'!$D:$D"),'Tổng Đơn'!$B23),0)</f>
        <v>0</v>
      </c>
      <c r="AD23" s="2">
        <f ca="1">IFERROR(SUMIFS(INDIRECT("'Thanh Toán ("&amp;AD$3&amp;")'!$F:$F"),INDIRECT("'Thanh Toán ("&amp;AD$3&amp;")'!$D:$D"),'Tổng Đơn'!$B23),0)</f>
        <v>0</v>
      </c>
      <c r="AE23" s="2">
        <f ca="1">IFERROR(SUMIFS(INDIRECT("'Thanh Toán ("&amp;AE$3&amp;")'!$F:$F"),INDIRECT("'Thanh Toán ("&amp;AE$3&amp;")'!$D:$D"),'Tổng Đơn'!$B23),0)</f>
        <v>0</v>
      </c>
      <c r="AF23" s="2">
        <f ca="1">IFERROR(SUMIFS(INDIRECT("'Thanh Toán ("&amp;AF$3&amp;")'!$F:$F"),INDIRECT("'Thanh Toán ("&amp;AF$3&amp;")'!$D:$D"),'Tổng Đơn'!$B23),0)</f>
        <v>0</v>
      </c>
      <c r="AG23" s="2">
        <f ca="1">IFERROR(SUMIFS(INDIRECT("'Thanh Toán ("&amp;AG$3&amp;")'!$F:$F"),INDIRECT("'Thanh Toán ("&amp;AG$3&amp;")'!$D:$D"),'Tổng Đơn'!$B23),0)</f>
        <v>0</v>
      </c>
      <c r="AH23" s="2">
        <f ca="1">IFERROR(SUMIFS(INDIRECT("'Thanh Toán ("&amp;AH$3&amp;")'!$F:$F"),INDIRECT("'Thanh Toán ("&amp;AH$3&amp;")'!$D:$D"),'Tổng Đơn'!$B23),0)</f>
        <v>0</v>
      </c>
      <c r="AI23" s="2">
        <f ca="1">IFERROR(SUMIFS(INDIRECT("'Thanh Toán ("&amp;AI$3&amp;")'!$F:$F"),INDIRECT("'Thanh Toán ("&amp;AI$3&amp;")'!$D:$D"),'Tổng Đơn'!$B23),0)</f>
        <v>0</v>
      </c>
      <c r="AJ23" s="2">
        <f ca="1">IFERROR(SUMIFS(INDIRECT("'Thanh Toán ("&amp;AJ$3&amp;")'!$F:$F"),INDIRECT("'Thanh Toán ("&amp;AJ$3&amp;")'!$D:$D"),'Tổng Đơn'!$B23),0)</f>
        <v>0</v>
      </c>
      <c r="AK23" s="2">
        <f ca="1">IFERROR(SUMIFS(INDIRECT("'Thanh Toán ("&amp;AK$3&amp;")'!$F:$F"),INDIRECT("'Thanh Toán ("&amp;AK$3&amp;")'!$D:$D"),'Tổng Đơn'!$B23),0)</f>
        <v>0</v>
      </c>
      <c r="AL23" s="2">
        <f ca="1">IFERROR(SUMIFS(INDIRECT("'Thanh Toán ("&amp;AL$3&amp;")'!$F:$F"),INDIRECT("'Thanh Toán ("&amp;AL$3&amp;")'!$D:$D"),'Tổng Đơn'!$B23),0)</f>
        <v>0</v>
      </c>
      <c r="AM23" s="2">
        <f ca="1">IFERROR(SUMIFS(INDIRECT("'Thanh Toán ("&amp;AM$3&amp;")'!$F:$F"),INDIRECT("'Thanh Toán ("&amp;AM$3&amp;")'!$D:$D"),'Tổng Đơn'!$B23),0)</f>
        <v>0</v>
      </c>
      <c r="AN23" s="2">
        <f ca="1">IFERROR(SUMIFS(INDIRECT("'Thanh Toán ("&amp;AN$3&amp;")'!$F:$F"),INDIRECT("'Thanh Toán ("&amp;AN$3&amp;")'!$D:$D"),'Tổng Đơn'!$B23),0)</f>
        <v>0</v>
      </c>
      <c r="AO23" s="2">
        <f ca="1">IFERROR(SUMIFS(INDIRECT("'Thanh Toán ("&amp;AO$3&amp;")'!$F:$F"),INDIRECT("'Thanh Toán ("&amp;AO$3&amp;")'!$D:$D"),'Tổng Đơn'!$B23),0)</f>
        <v>0</v>
      </c>
      <c r="AP23" s="2">
        <f ca="1">IFERROR(SUMIFS(INDIRECT("'Thanh Toán ("&amp;AP$3&amp;")'!$F:$F"),INDIRECT("'Thanh Toán ("&amp;AP$3&amp;")'!$D:$D"),'Tổng Đơn'!$B23),0)</f>
        <v>0</v>
      </c>
      <c r="AQ23" s="2">
        <f ca="1">IFERROR(SUMIFS(INDIRECT("'Thanh Toán ("&amp;AQ$3&amp;")'!$F:$F"),INDIRECT("'Thanh Toán ("&amp;AQ$3&amp;")'!$D:$D"),'Tổng Đơn'!$B23),0)</f>
        <v>0</v>
      </c>
      <c r="AR23" s="2">
        <f ca="1">IFERROR(SUMIFS(INDIRECT("'Thanh Toán ("&amp;AR$3&amp;")'!$F:$F"),INDIRECT("'Thanh Toán ("&amp;AR$3&amp;")'!$D:$D"),'Tổng Đơn'!$B23),0)</f>
        <v>0</v>
      </c>
      <c r="AS23" s="2">
        <f ca="1">IFERROR(SUMIFS(INDIRECT("'Thanh Toán ("&amp;AS$3&amp;")'!$F:$F"),INDIRECT("'Thanh Toán ("&amp;AS$3&amp;")'!$D:$D"),'Tổng Đơn'!$B23),0)</f>
        <v>0</v>
      </c>
      <c r="AT23" s="2">
        <f ca="1">IFERROR(SUMIFS(INDIRECT("'Thanh Toán ("&amp;AT$3&amp;")'!$F:$F"),INDIRECT("'Thanh Toán ("&amp;AT$3&amp;")'!$D:$D"),'Tổng Đơn'!$B23),0)</f>
        <v>0</v>
      </c>
      <c r="AU23" s="2">
        <f ca="1">IFERROR(SUMIFS(INDIRECT("'Thanh Toán ("&amp;AU$3&amp;")'!$F:$F"),INDIRECT("'Thanh Toán ("&amp;AU$3&amp;")'!$D:$D"),'Tổng Đơn'!$B23),0)</f>
        <v>0</v>
      </c>
      <c r="AV23" s="2">
        <f ca="1">IFERROR(SUMIFS(INDIRECT("'Thanh Toán ("&amp;AV$3&amp;")'!$F:$F"),INDIRECT("'Thanh Toán ("&amp;AV$3&amp;")'!$D:$D"),'Tổng Đơn'!$B23),0)</f>
        <v>0</v>
      </c>
      <c r="AW23" s="2">
        <f ca="1">IFERROR(SUMIFS(INDIRECT("'Thanh Toán ("&amp;AW$3&amp;")'!$F:$F"),INDIRECT("'Thanh Toán ("&amp;AW$3&amp;")'!$D:$D"),'Tổng Đơn'!$B23),0)</f>
        <v>0</v>
      </c>
      <c r="AX23" s="2">
        <f ca="1">IFERROR(SUMIFS(INDIRECT("'Thanh Toán ("&amp;AX$3&amp;")'!$F:$F"),INDIRECT("'Thanh Toán ("&amp;AX$3&amp;")'!$D:$D"),'Tổng Đơn'!$B23),0)</f>
        <v>0</v>
      </c>
      <c r="AY23" s="2">
        <f ca="1">IFERROR(SUMIFS(INDIRECT("'Thanh Toán ("&amp;AY$3&amp;")'!$F:$F"),INDIRECT("'Thanh Toán ("&amp;AY$3&amp;")'!$D:$D"),'Tổng Đơn'!$B23),0)</f>
        <v>0</v>
      </c>
      <c r="AZ23" s="2">
        <f ca="1">IFERROR(SUMIFS(INDIRECT("'Thanh Toán ("&amp;AZ$3&amp;")'!$F:$F"),INDIRECT("'Thanh Toán ("&amp;AZ$3&amp;")'!$D:$D"),'Tổng Đơn'!$B23),0)</f>
        <v>0</v>
      </c>
      <c r="BA23" s="2">
        <f ca="1">IFERROR(SUMIFS(INDIRECT("'Thanh Toán ("&amp;BA$3&amp;")'!$F:$F"),INDIRECT("'Thanh Toán ("&amp;BA$3&amp;")'!$D:$D"),'Tổng Đơn'!$B23),0)</f>
        <v>0</v>
      </c>
      <c r="BB23" s="2">
        <f ca="1">IFERROR(SUMIFS(INDIRECT("'Thanh Toán ("&amp;BB$3&amp;")'!$F:$F"),INDIRECT("'Thanh Toán ("&amp;BB$3&amp;")'!$D:$D"),'Tổng Đơn'!$B23),0)</f>
        <v>0</v>
      </c>
      <c r="BC23" s="2">
        <f ca="1">IFERROR(SUMIFS(INDIRECT("'Thanh Toán ("&amp;BC$3&amp;")'!$F:$F"),INDIRECT("'Thanh Toán ("&amp;BC$3&amp;")'!$D:$D"),'Tổng Đơn'!$B23),0)</f>
        <v>0</v>
      </c>
    </row>
    <row r="24" spans="1:55" ht="18" customHeight="1" x14ac:dyDescent="0.25">
      <c r="A24" s="201">
        <v>17</v>
      </c>
      <c r="B24" s="202" t="s">
        <v>4</v>
      </c>
      <c r="C24" s="201" t="s">
        <v>76</v>
      </c>
      <c r="D24" s="203">
        <f>VLOOKUP($C24,Sheet1!$C$5:$D$98,2,0)</f>
        <v>40000</v>
      </c>
      <c r="E24" s="204">
        <v>0.5</v>
      </c>
      <c r="F24" s="205">
        <f t="shared" ca="1" si="2"/>
        <v>2</v>
      </c>
      <c r="G24" s="206">
        <f>IFERROR(VLOOKUP($B24,Gà!C:J,8,0),IFERROR(VLOOKUP($B24,TVP!C:J,7,0),IFERROR(VLOOKUP($B24,Kitkool!C:J,8,0),IFERROR(VLOOKUP($B24,'La Cusina'!C:J,8,0),VLOOKUP($B24,'Quốc Nhân'!C:J,8,0)))))</f>
        <v>30.776516985035233</v>
      </c>
      <c r="H24" s="207">
        <f t="shared" ca="1" si="4"/>
        <v>18446.966029929536</v>
      </c>
      <c r="I24" s="207"/>
      <c r="J24" s="207">
        <f t="shared" ca="1" si="3"/>
        <v>61553.033970070464</v>
      </c>
      <c r="K24" s="53"/>
      <c r="L24" s="2">
        <f ca="1">IFERROR(SUMIFS(INDIRECT("'Thanh Toán ("&amp;L$3&amp;")'!$F:$F"),INDIRECT("'Thanh Toán ("&amp;L$3&amp;")'!$D:$D"),'Tổng Đơn'!$B24),0)</f>
        <v>0</v>
      </c>
      <c r="M24" s="2">
        <f ca="1">IFERROR(SUMIFS(INDIRECT("'Thanh Toán ("&amp;M$3&amp;")'!$F:$F"),INDIRECT("'Thanh Toán ("&amp;M$3&amp;")'!$D:$D"),'Tổng Đơn'!$B24),0)</f>
        <v>0</v>
      </c>
      <c r="N24" s="2">
        <f ca="1">IFERROR(SUMIFS(INDIRECT("'Thanh Toán ("&amp;N$3&amp;")'!$F:$F"),INDIRECT("'Thanh Toán ("&amp;N$3&amp;")'!$D:$D"),'Tổng Đơn'!$B24),0)</f>
        <v>0</v>
      </c>
      <c r="O24" s="2">
        <f ca="1">IFERROR(SUMIFS(INDIRECT("'Thanh Toán ("&amp;O$3&amp;")'!$F:$F"),INDIRECT("'Thanh Toán ("&amp;O$3&amp;")'!$D:$D"),'Tổng Đơn'!$B24),0)</f>
        <v>0</v>
      </c>
      <c r="P24" s="2">
        <f ca="1">IFERROR(SUMIFS(INDIRECT("'Thanh Toán ("&amp;P$3&amp;")'!$F:$F"),INDIRECT("'Thanh Toán ("&amp;P$3&amp;")'!$D:$D"),'Tổng Đơn'!$B24),0)</f>
        <v>1</v>
      </c>
      <c r="Q24" s="2">
        <f ca="1">IFERROR(SUMIFS(INDIRECT("'Thanh Toán ("&amp;Q$3&amp;")'!$F:$F"),INDIRECT("'Thanh Toán ("&amp;Q$3&amp;")'!$D:$D"),'Tổng Đơn'!$B24),0)</f>
        <v>0</v>
      </c>
      <c r="R24" s="2">
        <f ca="1">IFERROR(SUMIFS(INDIRECT("'Thanh Toán ("&amp;R$3&amp;")'!$F:$F"),INDIRECT("'Thanh Toán ("&amp;R$3&amp;")'!$D:$D"),'Tổng Đơn'!$B24),0)</f>
        <v>1</v>
      </c>
      <c r="S24" s="2">
        <f ca="1">IFERROR(SUMIFS(INDIRECT("'Thanh Toán ("&amp;S$3&amp;")'!$F:$F"),INDIRECT("'Thanh Toán ("&amp;S$3&amp;")'!$D:$D"),'Tổng Đơn'!$B24),0)</f>
        <v>0</v>
      </c>
      <c r="T24" s="2">
        <f ca="1">IFERROR(SUMIFS(INDIRECT("'Thanh Toán ("&amp;T$3&amp;")'!$F:$F"),INDIRECT("'Thanh Toán ("&amp;T$3&amp;")'!$D:$D"),'Tổng Đơn'!$B24),0)</f>
        <v>0</v>
      </c>
      <c r="U24" s="2">
        <f ca="1">IFERROR(SUMIFS(INDIRECT("'Thanh Toán ("&amp;U$3&amp;")'!$F:$F"),INDIRECT("'Thanh Toán ("&amp;U$3&amp;")'!$D:$D"),'Tổng Đơn'!$B24),0)</f>
        <v>0</v>
      </c>
      <c r="V24" s="2">
        <f ca="1">IFERROR(SUMIFS(INDIRECT("'Thanh Toán ("&amp;V$3&amp;")'!$F:$F"),INDIRECT("'Thanh Toán ("&amp;V$3&amp;")'!$D:$D"),'Tổng Đơn'!$B24),0)</f>
        <v>0</v>
      </c>
      <c r="W24" s="2">
        <f ca="1">IFERROR(SUMIFS(INDIRECT("'Thanh Toán ("&amp;W$3&amp;")'!$F:$F"),INDIRECT("'Thanh Toán ("&amp;W$3&amp;")'!$D:$D"),'Tổng Đơn'!$B24),0)</f>
        <v>0</v>
      </c>
      <c r="X24" s="2">
        <f ca="1">IFERROR(SUMIFS(INDIRECT("'Thanh Toán ("&amp;X$3&amp;")'!$F:$F"),INDIRECT("'Thanh Toán ("&amp;X$3&amp;")'!$D:$D"),'Tổng Đơn'!$B24),0)</f>
        <v>0</v>
      </c>
      <c r="Y24" s="2">
        <f ca="1">IFERROR(SUMIFS(INDIRECT("'Thanh Toán ("&amp;Y$3&amp;")'!$F:$F"),INDIRECT("'Thanh Toán ("&amp;Y$3&amp;")'!$D:$D"),'Tổng Đơn'!$B24),0)</f>
        <v>0</v>
      </c>
      <c r="Z24" s="2">
        <f ca="1">IFERROR(SUMIFS(INDIRECT("'Thanh Toán ("&amp;Z$3&amp;")'!$F:$F"),INDIRECT("'Thanh Toán ("&amp;Z$3&amp;")'!$D:$D"),'Tổng Đơn'!$B24),0)</f>
        <v>0</v>
      </c>
      <c r="AA24" s="2">
        <f ca="1">IFERROR(SUMIFS(INDIRECT("'Thanh Toán ("&amp;AA$3&amp;")'!$F:$F"),INDIRECT("'Thanh Toán ("&amp;AA$3&amp;")'!$D:$D"),'Tổng Đơn'!$B24),0)</f>
        <v>0</v>
      </c>
      <c r="AB24" s="2">
        <f ca="1">IFERROR(SUMIFS(INDIRECT("'Thanh Toán ("&amp;AB$3&amp;")'!$F:$F"),INDIRECT("'Thanh Toán ("&amp;AB$3&amp;")'!$D:$D"),'Tổng Đơn'!$B24),0)</f>
        <v>0</v>
      </c>
      <c r="AC24" s="2">
        <f ca="1">IFERROR(SUMIFS(INDIRECT("'Thanh Toán ("&amp;AC$3&amp;")'!$F:$F"),INDIRECT("'Thanh Toán ("&amp;AC$3&amp;")'!$D:$D"),'Tổng Đơn'!$B24),0)</f>
        <v>0</v>
      </c>
      <c r="AD24" s="2">
        <f ca="1">IFERROR(SUMIFS(INDIRECT("'Thanh Toán ("&amp;AD$3&amp;")'!$F:$F"),INDIRECT("'Thanh Toán ("&amp;AD$3&amp;")'!$D:$D"),'Tổng Đơn'!$B24),0)</f>
        <v>0</v>
      </c>
      <c r="AE24" s="2">
        <f ca="1">IFERROR(SUMIFS(INDIRECT("'Thanh Toán ("&amp;AE$3&amp;")'!$F:$F"),INDIRECT("'Thanh Toán ("&amp;AE$3&amp;")'!$D:$D"),'Tổng Đơn'!$B24),0)</f>
        <v>0</v>
      </c>
      <c r="AF24" s="2">
        <f ca="1">IFERROR(SUMIFS(INDIRECT("'Thanh Toán ("&amp;AF$3&amp;")'!$F:$F"),INDIRECT("'Thanh Toán ("&amp;AF$3&amp;")'!$D:$D"),'Tổng Đơn'!$B24),0)</f>
        <v>0</v>
      </c>
      <c r="AG24" s="2">
        <f ca="1">IFERROR(SUMIFS(INDIRECT("'Thanh Toán ("&amp;AG$3&amp;")'!$F:$F"),INDIRECT("'Thanh Toán ("&amp;AG$3&amp;")'!$D:$D"),'Tổng Đơn'!$B24),0)</f>
        <v>0</v>
      </c>
      <c r="AH24" s="2">
        <f ca="1">IFERROR(SUMIFS(INDIRECT("'Thanh Toán ("&amp;AH$3&amp;")'!$F:$F"),INDIRECT("'Thanh Toán ("&amp;AH$3&amp;")'!$D:$D"),'Tổng Đơn'!$B24),0)</f>
        <v>0</v>
      </c>
      <c r="AI24" s="2">
        <f ca="1">IFERROR(SUMIFS(INDIRECT("'Thanh Toán ("&amp;AI$3&amp;")'!$F:$F"),INDIRECT("'Thanh Toán ("&amp;AI$3&amp;")'!$D:$D"),'Tổng Đơn'!$B24),0)</f>
        <v>0</v>
      </c>
      <c r="AJ24" s="2">
        <f ca="1">IFERROR(SUMIFS(INDIRECT("'Thanh Toán ("&amp;AJ$3&amp;")'!$F:$F"),INDIRECT("'Thanh Toán ("&amp;AJ$3&amp;")'!$D:$D"),'Tổng Đơn'!$B24),0)</f>
        <v>0</v>
      </c>
      <c r="AK24" s="2">
        <f ca="1">IFERROR(SUMIFS(INDIRECT("'Thanh Toán ("&amp;AK$3&amp;")'!$F:$F"),INDIRECT("'Thanh Toán ("&amp;AK$3&amp;")'!$D:$D"),'Tổng Đơn'!$B24),0)</f>
        <v>0</v>
      </c>
      <c r="AL24" s="2">
        <f ca="1">IFERROR(SUMIFS(INDIRECT("'Thanh Toán ("&amp;AL$3&amp;")'!$F:$F"),INDIRECT("'Thanh Toán ("&amp;AL$3&amp;")'!$D:$D"),'Tổng Đơn'!$B24),0)</f>
        <v>0</v>
      </c>
      <c r="AM24" s="2">
        <f ca="1">IFERROR(SUMIFS(INDIRECT("'Thanh Toán ("&amp;AM$3&amp;")'!$F:$F"),INDIRECT("'Thanh Toán ("&amp;AM$3&amp;")'!$D:$D"),'Tổng Đơn'!$B24),0)</f>
        <v>0</v>
      </c>
      <c r="AN24" s="2">
        <f ca="1">IFERROR(SUMIFS(INDIRECT("'Thanh Toán ("&amp;AN$3&amp;")'!$F:$F"),INDIRECT("'Thanh Toán ("&amp;AN$3&amp;")'!$D:$D"),'Tổng Đơn'!$B24),0)</f>
        <v>0</v>
      </c>
      <c r="AO24" s="2">
        <f ca="1">IFERROR(SUMIFS(INDIRECT("'Thanh Toán ("&amp;AO$3&amp;")'!$F:$F"),INDIRECT("'Thanh Toán ("&amp;AO$3&amp;")'!$D:$D"),'Tổng Đơn'!$B24),0)</f>
        <v>0</v>
      </c>
      <c r="AP24" s="2">
        <f ca="1">IFERROR(SUMIFS(INDIRECT("'Thanh Toán ("&amp;AP$3&amp;")'!$F:$F"),INDIRECT("'Thanh Toán ("&amp;AP$3&amp;")'!$D:$D"),'Tổng Đơn'!$B24),0)</f>
        <v>0</v>
      </c>
      <c r="AQ24" s="2">
        <f ca="1">IFERROR(SUMIFS(INDIRECT("'Thanh Toán ("&amp;AQ$3&amp;")'!$F:$F"),INDIRECT("'Thanh Toán ("&amp;AQ$3&amp;")'!$D:$D"),'Tổng Đơn'!$B24),0)</f>
        <v>0</v>
      </c>
      <c r="AR24" s="2">
        <f ca="1">IFERROR(SUMIFS(INDIRECT("'Thanh Toán ("&amp;AR$3&amp;")'!$F:$F"),INDIRECT("'Thanh Toán ("&amp;AR$3&amp;")'!$D:$D"),'Tổng Đơn'!$B24),0)</f>
        <v>0</v>
      </c>
      <c r="AS24" s="2">
        <f ca="1">IFERROR(SUMIFS(INDIRECT("'Thanh Toán ("&amp;AS$3&amp;")'!$F:$F"),INDIRECT("'Thanh Toán ("&amp;AS$3&amp;")'!$D:$D"),'Tổng Đơn'!$B24),0)</f>
        <v>0</v>
      </c>
      <c r="AT24" s="2">
        <f ca="1">IFERROR(SUMIFS(INDIRECT("'Thanh Toán ("&amp;AT$3&amp;")'!$F:$F"),INDIRECT("'Thanh Toán ("&amp;AT$3&amp;")'!$D:$D"),'Tổng Đơn'!$B24),0)</f>
        <v>0</v>
      </c>
      <c r="AU24" s="2">
        <f ca="1">IFERROR(SUMIFS(INDIRECT("'Thanh Toán ("&amp;AU$3&amp;")'!$F:$F"),INDIRECT("'Thanh Toán ("&amp;AU$3&amp;")'!$D:$D"),'Tổng Đơn'!$B24),0)</f>
        <v>0</v>
      </c>
      <c r="AV24" s="2">
        <f ca="1">IFERROR(SUMIFS(INDIRECT("'Thanh Toán ("&amp;AV$3&amp;")'!$F:$F"),INDIRECT("'Thanh Toán ("&amp;AV$3&amp;")'!$D:$D"),'Tổng Đơn'!$B24),0)</f>
        <v>0</v>
      </c>
      <c r="AW24" s="2">
        <f ca="1">IFERROR(SUMIFS(INDIRECT("'Thanh Toán ("&amp;AW$3&amp;")'!$F:$F"),INDIRECT("'Thanh Toán ("&amp;AW$3&amp;")'!$D:$D"),'Tổng Đơn'!$B24),0)</f>
        <v>0</v>
      </c>
      <c r="AX24" s="2">
        <f ca="1">IFERROR(SUMIFS(INDIRECT("'Thanh Toán ("&amp;AX$3&amp;")'!$F:$F"),INDIRECT("'Thanh Toán ("&amp;AX$3&amp;")'!$D:$D"),'Tổng Đơn'!$B24),0)</f>
        <v>0</v>
      </c>
      <c r="AY24" s="2">
        <f ca="1">IFERROR(SUMIFS(INDIRECT("'Thanh Toán ("&amp;AY$3&amp;")'!$F:$F"),INDIRECT("'Thanh Toán ("&amp;AY$3&amp;")'!$D:$D"),'Tổng Đơn'!$B24),0)</f>
        <v>0</v>
      </c>
      <c r="AZ24" s="2">
        <f ca="1">IFERROR(SUMIFS(INDIRECT("'Thanh Toán ("&amp;AZ$3&amp;")'!$F:$F"),INDIRECT("'Thanh Toán ("&amp;AZ$3&amp;")'!$D:$D"),'Tổng Đơn'!$B24),0)</f>
        <v>0</v>
      </c>
      <c r="BA24" s="2">
        <f ca="1">IFERROR(SUMIFS(INDIRECT("'Thanh Toán ("&amp;BA$3&amp;")'!$F:$F"),INDIRECT("'Thanh Toán ("&amp;BA$3&amp;")'!$D:$D"),'Tổng Đơn'!$B24),0)</f>
        <v>0</v>
      </c>
      <c r="BB24" s="2">
        <f ca="1">IFERROR(SUMIFS(INDIRECT("'Thanh Toán ("&amp;BB$3&amp;")'!$F:$F"),INDIRECT("'Thanh Toán ("&amp;BB$3&amp;")'!$D:$D"),'Tổng Đơn'!$B24),0)</f>
        <v>0</v>
      </c>
      <c r="BC24" s="2">
        <f ca="1">IFERROR(SUMIFS(INDIRECT("'Thanh Toán ("&amp;BC$3&amp;")'!$F:$F"),INDIRECT("'Thanh Toán ("&amp;BC$3&amp;")'!$D:$D"),'Tổng Đơn'!$B24),0)</f>
        <v>0</v>
      </c>
    </row>
    <row r="25" spans="1:55" ht="18" customHeight="1" x14ac:dyDescent="0.25">
      <c r="A25" s="201">
        <v>18</v>
      </c>
      <c r="B25" s="202" t="s">
        <v>9</v>
      </c>
      <c r="C25" s="208" t="s">
        <v>77</v>
      </c>
      <c r="D25" s="203">
        <f>VLOOKUP($C25,Sheet1!$C$5:$D$98,2,0)</f>
        <v>55000</v>
      </c>
      <c r="E25" s="204">
        <v>0.5</v>
      </c>
      <c r="F25" s="205">
        <f t="shared" ca="1" si="2"/>
        <v>0</v>
      </c>
      <c r="G25" s="206">
        <f>IFERROR(VLOOKUP($B25,Gà!C:J,8,0),IFERROR(VLOOKUP($B25,TVP!C:J,7,0),IFERROR(VLOOKUP($B25,Kitkool!C:J,8,0),IFERROR(VLOOKUP($B25,'La Cusina'!C:J,8,0),VLOOKUP($B25,'Quốc Nhân'!C:J,8,0)))))</f>
        <v>43.600065728799912</v>
      </c>
      <c r="H25" s="207">
        <f t="shared" ca="1" si="4"/>
        <v>0</v>
      </c>
      <c r="I25" s="207"/>
      <c r="J25" s="207">
        <f t="shared" ca="1" si="3"/>
        <v>0</v>
      </c>
      <c r="K25" s="53"/>
      <c r="L25" s="2">
        <f ca="1">IFERROR(SUMIFS(INDIRECT("'Thanh Toán ("&amp;L$3&amp;")'!$F:$F"),INDIRECT("'Thanh Toán ("&amp;L$3&amp;")'!$D:$D"),'Tổng Đơn'!$B25),0)</f>
        <v>0</v>
      </c>
      <c r="M25" s="2">
        <f ca="1">IFERROR(SUMIFS(INDIRECT("'Thanh Toán ("&amp;M$3&amp;")'!$F:$F"),INDIRECT("'Thanh Toán ("&amp;M$3&amp;")'!$D:$D"),'Tổng Đơn'!$B25),0)</f>
        <v>0</v>
      </c>
      <c r="N25" s="2">
        <f ca="1">IFERROR(SUMIFS(INDIRECT("'Thanh Toán ("&amp;N$3&amp;")'!$F:$F"),INDIRECT("'Thanh Toán ("&amp;N$3&amp;")'!$D:$D"),'Tổng Đơn'!$B25),0)</f>
        <v>0</v>
      </c>
      <c r="O25" s="2">
        <f ca="1">IFERROR(SUMIFS(INDIRECT("'Thanh Toán ("&amp;O$3&amp;")'!$F:$F"),INDIRECT("'Thanh Toán ("&amp;O$3&amp;")'!$D:$D"),'Tổng Đơn'!$B25),0)</f>
        <v>0</v>
      </c>
      <c r="P25" s="2">
        <f ca="1">IFERROR(SUMIFS(INDIRECT("'Thanh Toán ("&amp;P$3&amp;")'!$F:$F"),INDIRECT("'Thanh Toán ("&amp;P$3&amp;")'!$D:$D"),'Tổng Đơn'!$B25),0)</f>
        <v>0</v>
      </c>
      <c r="Q25" s="2">
        <f ca="1">IFERROR(SUMIFS(INDIRECT("'Thanh Toán ("&amp;Q$3&amp;")'!$F:$F"),INDIRECT("'Thanh Toán ("&amp;Q$3&amp;")'!$D:$D"),'Tổng Đơn'!$B25),0)</f>
        <v>0</v>
      </c>
      <c r="R25" s="2">
        <f ca="1">IFERROR(SUMIFS(INDIRECT("'Thanh Toán ("&amp;R$3&amp;")'!$F:$F"),INDIRECT("'Thanh Toán ("&amp;R$3&amp;")'!$D:$D"),'Tổng Đơn'!$B25),0)</f>
        <v>0</v>
      </c>
      <c r="S25" s="2">
        <f ca="1">IFERROR(SUMIFS(INDIRECT("'Thanh Toán ("&amp;S$3&amp;")'!$F:$F"),INDIRECT("'Thanh Toán ("&amp;S$3&amp;")'!$D:$D"),'Tổng Đơn'!$B25),0)</f>
        <v>0</v>
      </c>
      <c r="T25" s="2">
        <f ca="1">IFERROR(SUMIFS(INDIRECT("'Thanh Toán ("&amp;T$3&amp;")'!$F:$F"),INDIRECT("'Thanh Toán ("&amp;T$3&amp;")'!$D:$D"),'Tổng Đơn'!$B25),0)</f>
        <v>0</v>
      </c>
      <c r="U25" s="2">
        <f ca="1">IFERROR(SUMIFS(INDIRECT("'Thanh Toán ("&amp;U$3&amp;")'!$F:$F"),INDIRECT("'Thanh Toán ("&amp;U$3&amp;")'!$D:$D"),'Tổng Đơn'!$B25),0)</f>
        <v>0</v>
      </c>
      <c r="V25" s="2">
        <f ca="1">IFERROR(SUMIFS(INDIRECT("'Thanh Toán ("&amp;V$3&amp;")'!$F:$F"),INDIRECT("'Thanh Toán ("&amp;V$3&amp;")'!$D:$D"),'Tổng Đơn'!$B25),0)</f>
        <v>0</v>
      </c>
      <c r="W25" s="2">
        <f ca="1">IFERROR(SUMIFS(INDIRECT("'Thanh Toán ("&amp;W$3&amp;")'!$F:$F"),INDIRECT("'Thanh Toán ("&amp;W$3&amp;")'!$D:$D"),'Tổng Đơn'!$B25),0)</f>
        <v>0</v>
      </c>
      <c r="X25" s="2">
        <f ca="1">IFERROR(SUMIFS(INDIRECT("'Thanh Toán ("&amp;X$3&amp;")'!$F:$F"),INDIRECT("'Thanh Toán ("&amp;X$3&amp;")'!$D:$D"),'Tổng Đơn'!$B25),0)</f>
        <v>0</v>
      </c>
      <c r="Y25" s="2">
        <f ca="1">IFERROR(SUMIFS(INDIRECT("'Thanh Toán ("&amp;Y$3&amp;")'!$F:$F"),INDIRECT("'Thanh Toán ("&amp;Y$3&amp;")'!$D:$D"),'Tổng Đơn'!$B25),0)</f>
        <v>0</v>
      </c>
      <c r="Z25" s="2">
        <f ca="1">IFERROR(SUMIFS(INDIRECT("'Thanh Toán ("&amp;Z$3&amp;")'!$F:$F"),INDIRECT("'Thanh Toán ("&amp;Z$3&amp;")'!$D:$D"),'Tổng Đơn'!$B25),0)</f>
        <v>0</v>
      </c>
      <c r="AA25" s="2">
        <f ca="1">IFERROR(SUMIFS(INDIRECT("'Thanh Toán ("&amp;AA$3&amp;")'!$F:$F"),INDIRECT("'Thanh Toán ("&amp;AA$3&amp;")'!$D:$D"),'Tổng Đơn'!$B25),0)</f>
        <v>0</v>
      </c>
      <c r="AB25" s="2">
        <f ca="1">IFERROR(SUMIFS(INDIRECT("'Thanh Toán ("&amp;AB$3&amp;")'!$F:$F"),INDIRECT("'Thanh Toán ("&amp;AB$3&amp;")'!$D:$D"),'Tổng Đơn'!$B25),0)</f>
        <v>0</v>
      </c>
      <c r="AC25" s="2">
        <f ca="1">IFERROR(SUMIFS(INDIRECT("'Thanh Toán ("&amp;AC$3&amp;")'!$F:$F"),INDIRECT("'Thanh Toán ("&amp;AC$3&amp;")'!$D:$D"),'Tổng Đơn'!$B25),0)</f>
        <v>0</v>
      </c>
      <c r="AD25" s="2">
        <f ca="1">IFERROR(SUMIFS(INDIRECT("'Thanh Toán ("&amp;AD$3&amp;")'!$F:$F"),INDIRECT("'Thanh Toán ("&amp;AD$3&amp;")'!$D:$D"),'Tổng Đơn'!$B25),0)</f>
        <v>0</v>
      </c>
      <c r="AE25" s="2">
        <f ca="1">IFERROR(SUMIFS(INDIRECT("'Thanh Toán ("&amp;AE$3&amp;")'!$F:$F"),INDIRECT("'Thanh Toán ("&amp;AE$3&amp;")'!$D:$D"),'Tổng Đơn'!$B25),0)</f>
        <v>0</v>
      </c>
      <c r="AF25" s="2">
        <f ca="1">IFERROR(SUMIFS(INDIRECT("'Thanh Toán ("&amp;AF$3&amp;")'!$F:$F"),INDIRECT("'Thanh Toán ("&amp;AF$3&amp;")'!$D:$D"),'Tổng Đơn'!$B25),0)</f>
        <v>0</v>
      </c>
      <c r="AG25" s="2">
        <f ca="1">IFERROR(SUMIFS(INDIRECT("'Thanh Toán ("&amp;AG$3&amp;")'!$F:$F"),INDIRECT("'Thanh Toán ("&amp;AG$3&amp;")'!$D:$D"),'Tổng Đơn'!$B25),0)</f>
        <v>0</v>
      </c>
      <c r="AH25" s="2">
        <f ca="1">IFERROR(SUMIFS(INDIRECT("'Thanh Toán ("&amp;AH$3&amp;")'!$F:$F"),INDIRECT("'Thanh Toán ("&amp;AH$3&amp;")'!$D:$D"),'Tổng Đơn'!$B25),0)</f>
        <v>0</v>
      </c>
      <c r="AI25" s="2">
        <f ca="1">IFERROR(SUMIFS(INDIRECT("'Thanh Toán ("&amp;AI$3&amp;")'!$F:$F"),INDIRECT("'Thanh Toán ("&amp;AI$3&amp;")'!$D:$D"),'Tổng Đơn'!$B25),0)</f>
        <v>0</v>
      </c>
      <c r="AJ25" s="2">
        <f ca="1">IFERROR(SUMIFS(INDIRECT("'Thanh Toán ("&amp;AJ$3&amp;")'!$F:$F"),INDIRECT("'Thanh Toán ("&amp;AJ$3&amp;")'!$D:$D"),'Tổng Đơn'!$B25),0)</f>
        <v>0</v>
      </c>
      <c r="AK25" s="2">
        <f ca="1">IFERROR(SUMIFS(INDIRECT("'Thanh Toán ("&amp;AK$3&amp;")'!$F:$F"),INDIRECT("'Thanh Toán ("&amp;AK$3&amp;")'!$D:$D"),'Tổng Đơn'!$B25),0)</f>
        <v>0</v>
      </c>
      <c r="AL25" s="2">
        <f ca="1">IFERROR(SUMIFS(INDIRECT("'Thanh Toán ("&amp;AL$3&amp;")'!$F:$F"),INDIRECT("'Thanh Toán ("&amp;AL$3&amp;")'!$D:$D"),'Tổng Đơn'!$B25),0)</f>
        <v>0</v>
      </c>
      <c r="AM25" s="2">
        <f ca="1">IFERROR(SUMIFS(INDIRECT("'Thanh Toán ("&amp;AM$3&amp;")'!$F:$F"),INDIRECT("'Thanh Toán ("&amp;AM$3&amp;")'!$D:$D"),'Tổng Đơn'!$B25),0)</f>
        <v>0</v>
      </c>
      <c r="AN25" s="2">
        <f ca="1">IFERROR(SUMIFS(INDIRECT("'Thanh Toán ("&amp;AN$3&amp;")'!$F:$F"),INDIRECT("'Thanh Toán ("&amp;AN$3&amp;")'!$D:$D"),'Tổng Đơn'!$B25),0)</f>
        <v>0</v>
      </c>
      <c r="AO25" s="2">
        <f ca="1">IFERROR(SUMIFS(INDIRECT("'Thanh Toán ("&amp;AO$3&amp;")'!$F:$F"),INDIRECT("'Thanh Toán ("&amp;AO$3&amp;")'!$D:$D"),'Tổng Đơn'!$B25),0)</f>
        <v>0</v>
      </c>
      <c r="AP25" s="2">
        <f ca="1">IFERROR(SUMIFS(INDIRECT("'Thanh Toán ("&amp;AP$3&amp;")'!$F:$F"),INDIRECT("'Thanh Toán ("&amp;AP$3&amp;")'!$D:$D"),'Tổng Đơn'!$B25),0)</f>
        <v>0</v>
      </c>
      <c r="AQ25" s="2">
        <f ca="1">IFERROR(SUMIFS(INDIRECT("'Thanh Toán ("&amp;AQ$3&amp;")'!$F:$F"),INDIRECT("'Thanh Toán ("&amp;AQ$3&amp;")'!$D:$D"),'Tổng Đơn'!$B25),0)</f>
        <v>0</v>
      </c>
      <c r="AR25" s="2">
        <f ca="1">IFERROR(SUMIFS(INDIRECT("'Thanh Toán ("&amp;AR$3&amp;")'!$F:$F"),INDIRECT("'Thanh Toán ("&amp;AR$3&amp;")'!$D:$D"),'Tổng Đơn'!$B25),0)</f>
        <v>0</v>
      </c>
      <c r="AS25" s="2">
        <f ca="1">IFERROR(SUMIFS(INDIRECT("'Thanh Toán ("&amp;AS$3&amp;")'!$F:$F"),INDIRECT("'Thanh Toán ("&amp;AS$3&amp;")'!$D:$D"),'Tổng Đơn'!$B25),0)</f>
        <v>0</v>
      </c>
      <c r="AT25" s="2">
        <f ca="1">IFERROR(SUMIFS(INDIRECT("'Thanh Toán ("&amp;AT$3&amp;")'!$F:$F"),INDIRECT("'Thanh Toán ("&amp;AT$3&amp;")'!$D:$D"),'Tổng Đơn'!$B25),0)</f>
        <v>0</v>
      </c>
      <c r="AU25" s="2">
        <f ca="1">IFERROR(SUMIFS(INDIRECT("'Thanh Toán ("&amp;AU$3&amp;")'!$F:$F"),INDIRECT("'Thanh Toán ("&amp;AU$3&amp;")'!$D:$D"),'Tổng Đơn'!$B25),0)</f>
        <v>0</v>
      </c>
      <c r="AV25" s="2">
        <f ca="1">IFERROR(SUMIFS(INDIRECT("'Thanh Toán ("&amp;AV$3&amp;")'!$F:$F"),INDIRECT("'Thanh Toán ("&amp;AV$3&amp;")'!$D:$D"),'Tổng Đơn'!$B25),0)</f>
        <v>0</v>
      </c>
      <c r="AW25" s="2">
        <f ca="1">IFERROR(SUMIFS(INDIRECT("'Thanh Toán ("&amp;AW$3&amp;")'!$F:$F"),INDIRECT("'Thanh Toán ("&amp;AW$3&amp;")'!$D:$D"),'Tổng Đơn'!$B25),0)</f>
        <v>0</v>
      </c>
      <c r="AX25" s="2">
        <f ca="1">IFERROR(SUMIFS(INDIRECT("'Thanh Toán ("&amp;AX$3&amp;")'!$F:$F"),INDIRECT("'Thanh Toán ("&amp;AX$3&amp;")'!$D:$D"),'Tổng Đơn'!$B25),0)</f>
        <v>0</v>
      </c>
      <c r="AY25" s="2">
        <f ca="1">IFERROR(SUMIFS(INDIRECT("'Thanh Toán ("&amp;AY$3&amp;")'!$F:$F"),INDIRECT("'Thanh Toán ("&amp;AY$3&amp;")'!$D:$D"),'Tổng Đơn'!$B25),0)</f>
        <v>0</v>
      </c>
      <c r="AZ25" s="2">
        <f ca="1">IFERROR(SUMIFS(INDIRECT("'Thanh Toán ("&amp;AZ$3&amp;")'!$F:$F"),INDIRECT("'Thanh Toán ("&amp;AZ$3&amp;")'!$D:$D"),'Tổng Đơn'!$B25),0)</f>
        <v>0</v>
      </c>
      <c r="BA25" s="2">
        <f ca="1">IFERROR(SUMIFS(INDIRECT("'Thanh Toán ("&amp;BA$3&amp;")'!$F:$F"),INDIRECT("'Thanh Toán ("&amp;BA$3&amp;")'!$D:$D"),'Tổng Đơn'!$B25),0)</f>
        <v>0</v>
      </c>
      <c r="BB25" s="2">
        <f ca="1">IFERROR(SUMIFS(INDIRECT("'Thanh Toán ("&amp;BB$3&amp;")'!$F:$F"),INDIRECT("'Thanh Toán ("&amp;BB$3&amp;")'!$D:$D"),'Tổng Đơn'!$B25),0)</f>
        <v>0</v>
      </c>
      <c r="BC25" s="2">
        <f ca="1">IFERROR(SUMIFS(INDIRECT("'Thanh Toán ("&amp;BC$3&amp;")'!$F:$F"),INDIRECT("'Thanh Toán ("&amp;BC$3&amp;")'!$D:$D"),'Tổng Đơn'!$B25),0)</f>
        <v>0</v>
      </c>
    </row>
    <row r="26" spans="1:55" ht="18" customHeight="1" x14ac:dyDescent="0.25">
      <c r="A26" s="201">
        <v>19</v>
      </c>
      <c r="B26" s="202" t="s">
        <v>13</v>
      </c>
      <c r="C26" s="201" t="s">
        <v>78</v>
      </c>
      <c r="D26" s="203">
        <f>VLOOKUP($C26,Sheet1!$C$5:$D$98,2,0)</f>
        <v>28000</v>
      </c>
      <c r="E26" s="204">
        <v>0.5</v>
      </c>
      <c r="F26" s="205">
        <f t="shared" ca="1" si="2"/>
        <v>0</v>
      </c>
      <c r="G26" s="206">
        <f>IFERROR(VLOOKUP($B26,Gà!C:J,8,0),IFERROR(VLOOKUP($B26,TVP!C:J,7,0),IFERROR(VLOOKUP($B26,Kitkool!C:J,8,0),IFERROR(VLOOKUP($B26,'La Cusina'!C:J,8,0),VLOOKUP($B26,'Quốc Nhân'!C:J,8,0)))))</f>
        <v>21.030619939774077</v>
      </c>
      <c r="H26" s="207">
        <f t="shared" ca="1" si="4"/>
        <v>0</v>
      </c>
      <c r="I26" s="207"/>
      <c r="J26" s="207">
        <f t="shared" ca="1" si="3"/>
        <v>0</v>
      </c>
      <c r="K26" s="53"/>
      <c r="L26" s="2">
        <f ca="1">IFERROR(SUMIFS(INDIRECT("'Thanh Toán ("&amp;L$3&amp;")'!$F:$F"),INDIRECT("'Thanh Toán ("&amp;L$3&amp;")'!$D:$D"),'Tổng Đơn'!$B26),0)</f>
        <v>0</v>
      </c>
      <c r="M26" s="2">
        <f ca="1">IFERROR(SUMIFS(INDIRECT("'Thanh Toán ("&amp;M$3&amp;")'!$F:$F"),INDIRECT("'Thanh Toán ("&amp;M$3&amp;")'!$D:$D"),'Tổng Đơn'!$B26),0)</f>
        <v>0</v>
      </c>
      <c r="N26" s="2">
        <f ca="1">IFERROR(SUMIFS(INDIRECT("'Thanh Toán ("&amp;N$3&amp;")'!$F:$F"),INDIRECT("'Thanh Toán ("&amp;N$3&amp;")'!$D:$D"),'Tổng Đơn'!$B26),0)</f>
        <v>0</v>
      </c>
      <c r="O26" s="2">
        <f ca="1">IFERROR(SUMIFS(INDIRECT("'Thanh Toán ("&amp;O$3&amp;")'!$F:$F"),INDIRECT("'Thanh Toán ("&amp;O$3&amp;")'!$D:$D"),'Tổng Đơn'!$B26),0)</f>
        <v>0</v>
      </c>
      <c r="P26" s="2">
        <f ca="1">IFERROR(SUMIFS(INDIRECT("'Thanh Toán ("&amp;P$3&amp;")'!$F:$F"),INDIRECT("'Thanh Toán ("&amp;P$3&amp;")'!$D:$D"),'Tổng Đơn'!$B26),0)</f>
        <v>0</v>
      </c>
      <c r="Q26" s="2">
        <f ca="1">IFERROR(SUMIFS(INDIRECT("'Thanh Toán ("&amp;Q$3&amp;")'!$F:$F"),INDIRECT("'Thanh Toán ("&amp;Q$3&amp;")'!$D:$D"),'Tổng Đơn'!$B26),0)</f>
        <v>0</v>
      </c>
      <c r="R26" s="2">
        <f ca="1">IFERROR(SUMIFS(INDIRECT("'Thanh Toán ("&amp;R$3&amp;")'!$F:$F"),INDIRECT("'Thanh Toán ("&amp;R$3&amp;")'!$D:$D"),'Tổng Đơn'!$B26),0)</f>
        <v>0</v>
      </c>
      <c r="S26" s="2">
        <f ca="1">IFERROR(SUMIFS(INDIRECT("'Thanh Toán ("&amp;S$3&amp;")'!$F:$F"),INDIRECT("'Thanh Toán ("&amp;S$3&amp;")'!$D:$D"),'Tổng Đơn'!$B26),0)</f>
        <v>0</v>
      </c>
      <c r="T26" s="2">
        <f ca="1">IFERROR(SUMIFS(INDIRECT("'Thanh Toán ("&amp;T$3&amp;")'!$F:$F"),INDIRECT("'Thanh Toán ("&amp;T$3&amp;")'!$D:$D"),'Tổng Đơn'!$B26),0)</f>
        <v>0</v>
      </c>
      <c r="U26" s="2">
        <f ca="1">IFERROR(SUMIFS(INDIRECT("'Thanh Toán ("&amp;U$3&amp;")'!$F:$F"),INDIRECT("'Thanh Toán ("&amp;U$3&amp;")'!$D:$D"),'Tổng Đơn'!$B26),0)</f>
        <v>0</v>
      </c>
      <c r="V26" s="2">
        <f ca="1">IFERROR(SUMIFS(INDIRECT("'Thanh Toán ("&amp;V$3&amp;")'!$F:$F"),INDIRECT("'Thanh Toán ("&amp;V$3&amp;")'!$D:$D"),'Tổng Đơn'!$B26),0)</f>
        <v>0</v>
      </c>
      <c r="W26" s="2">
        <f ca="1">IFERROR(SUMIFS(INDIRECT("'Thanh Toán ("&amp;W$3&amp;")'!$F:$F"),INDIRECT("'Thanh Toán ("&amp;W$3&amp;")'!$D:$D"),'Tổng Đơn'!$B26),0)</f>
        <v>0</v>
      </c>
      <c r="X26" s="2">
        <f ca="1">IFERROR(SUMIFS(INDIRECT("'Thanh Toán ("&amp;X$3&amp;")'!$F:$F"),INDIRECT("'Thanh Toán ("&amp;X$3&amp;")'!$D:$D"),'Tổng Đơn'!$B26),0)</f>
        <v>0</v>
      </c>
      <c r="Y26" s="2">
        <f ca="1">IFERROR(SUMIFS(INDIRECT("'Thanh Toán ("&amp;Y$3&amp;")'!$F:$F"),INDIRECT("'Thanh Toán ("&amp;Y$3&amp;")'!$D:$D"),'Tổng Đơn'!$B26),0)</f>
        <v>0</v>
      </c>
      <c r="Z26" s="2">
        <f ca="1">IFERROR(SUMIFS(INDIRECT("'Thanh Toán ("&amp;Z$3&amp;")'!$F:$F"),INDIRECT("'Thanh Toán ("&amp;Z$3&amp;")'!$D:$D"),'Tổng Đơn'!$B26),0)</f>
        <v>0</v>
      </c>
      <c r="AA26" s="2">
        <f ca="1">IFERROR(SUMIFS(INDIRECT("'Thanh Toán ("&amp;AA$3&amp;")'!$F:$F"),INDIRECT("'Thanh Toán ("&amp;AA$3&amp;")'!$D:$D"),'Tổng Đơn'!$B26),0)</f>
        <v>0</v>
      </c>
      <c r="AB26" s="2">
        <f ca="1">IFERROR(SUMIFS(INDIRECT("'Thanh Toán ("&amp;AB$3&amp;")'!$F:$F"),INDIRECT("'Thanh Toán ("&amp;AB$3&amp;")'!$D:$D"),'Tổng Đơn'!$B26),0)</f>
        <v>0</v>
      </c>
      <c r="AC26" s="2">
        <f ca="1">IFERROR(SUMIFS(INDIRECT("'Thanh Toán ("&amp;AC$3&amp;")'!$F:$F"),INDIRECT("'Thanh Toán ("&amp;AC$3&amp;")'!$D:$D"),'Tổng Đơn'!$B26),0)</f>
        <v>0</v>
      </c>
      <c r="AD26" s="2">
        <f ca="1">IFERROR(SUMIFS(INDIRECT("'Thanh Toán ("&amp;AD$3&amp;")'!$F:$F"),INDIRECT("'Thanh Toán ("&amp;AD$3&amp;")'!$D:$D"),'Tổng Đơn'!$B26),0)</f>
        <v>0</v>
      </c>
      <c r="AE26" s="2">
        <f ca="1">IFERROR(SUMIFS(INDIRECT("'Thanh Toán ("&amp;AE$3&amp;")'!$F:$F"),INDIRECT("'Thanh Toán ("&amp;AE$3&amp;")'!$D:$D"),'Tổng Đơn'!$B26),0)</f>
        <v>0</v>
      </c>
      <c r="AF26" s="2">
        <f ca="1">IFERROR(SUMIFS(INDIRECT("'Thanh Toán ("&amp;AF$3&amp;")'!$F:$F"),INDIRECT("'Thanh Toán ("&amp;AF$3&amp;")'!$D:$D"),'Tổng Đơn'!$B26),0)</f>
        <v>0</v>
      </c>
      <c r="AG26" s="2">
        <f ca="1">IFERROR(SUMIFS(INDIRECT("'Thanh Toán ("&amp;AG$3&amp;")'!$F:$F"),INDIRECT("'Thanh Toán ("&amp;AG$3&amp;")'!$D:$D"),'Tổng Đơn'!$B26),0)</f>
        <v>0</v>
      </c>
      <c r="AH26" s="2">
        <f ca="1">IFERROR(SUMIFS(INDIRECT("'Thanh Toán ("&amp;AH$3&amp;")'!$F:$F"),INDIRECT("'Thanh Toán ("&amp;AH$3&amp;")'!$D:$D"),'Tổng Đơn'!$B26),0)</f>
        <v>0</v>
      </c>
      <c r="AI26" s="2">
        <f ca="1">IFERROR(SUMIFS(INDIRECT("'Thanh Toán ("&amp;AI$3&amp;")'!$F:$F"),INDIRECT("'Thanh Toán ("&amp;AI$3&amp;")'!$D:$D"),'Tổng Đơn'!$B26),0)</f>
        <v>0</v>
      </c>
      <c r="AJ26" s="2">
        <f ca="1">IFERROR(SUMIFS(INDIRECT("'Thanh Toán ("&amp;AJ$3&amp;")'!$F:$F"),INDIRECT("'Thanh Toán ("&amp;AJ$3&amp;")'!$D:$D"),'Tổng Đơn'!$B26),0)</f>
        <v>0</v>
      </c>
      <c r="AK26" s="2">
        <f ca="1">IFERROR(SUMIFS(INDIRECT("'Thanh Toán ("&amp;AK$3&amp;")'!$F:$F"),INDIRECT("'Thanh Toán ("&amp;AK$3&amp;")'!$D:$D"),'Tổng Đơn'!$B26),0)</f>
        <v>0</v>
      </c>
      <c r="AL26" s="2">
        <f ca="1">IFERROR(SUMIFS(INDIRECT("'Thanh Toán ("&amp;AL$3&amp;")'!$F:$F"),INDIRECT("'Thanh Toán ("&amp;AL$3&amp;")'!$D:$D"),'Tổng Đơn'!$B26),0)</f>
        <v>0</v>
      </c>
      <c r="AM26" s="2">
        <f ca="1">IFERROR(SUMIFS(INDIRECT("'Thanh Toán ("&amp;AM$3&amp;")'!$F:$F"),INDIRECT("'Thanh Toán ("&amp;AM$3&amp;")'!$D:$D"),'Tổng Đơn'!$B26),0)</f>
        <v>0</v>
      </c>
      <c r="AN26" s="2">
        <f ca="1">IFERROR(SUMIFS(INDIRECT("'Thanh Toán ("&amp;AN$3&amp;")'!$F:$F"),INDIRECT("'Thanh Toán ("&amp;AN$3&amp;")'!$D:$D"),'Tổng Đơn'!$B26),0)</f>
        <v>0</v>
      </c>
      <c r="AO26" s="2">
        <f ca="1">IFERROR(SUMIFS(INDIRECT("'Thanh Toán ("&amp;AO$3&amp;")'!$F:$F"),INDIRECT("'Thanh Toán ("&amp;AO$3&amp;")'!$D:$D"),'Tổng Đơn'!$B26),0)</f>
        <v>0</v>
      </c>
      <c r="AP26" s="2">
        <f ca="1">IFERROR(SUMIFS(INDIRECT("'Thanh Toán ("&amp;AP$3&amp;")'!$F:$F"),INDIRECT("'Thanh Toán ("&amp;AP$3&amp;")'!$D:$D"),'Tổng Đơn'!$B26),0)</f>
        <v>0</v>
      </c>
      <c r="AQ26" s="2">
        <f ca="1">IFERROR(SUMIFS(INDIRECT("'Thanh Toán ("&amp;AQ$3&amp;")'!$F:$F"),INDIRECT("'Thanh Toán ("&amp;AQ$3&amp;")'!$D:$D"),'Tổng Đơn'!$B26),0)</f>
        <v>0</v>
      </c>
      <c r="AR26" s="2">
        <f ca="1">IFERROR(SUMIFS(INDIRECT("'Thanh Toán ("&amp;AR$3&amp;")'!$F:$F"),INDIRECT("'Thanh Toán ("&amp;AR$3&amp;")'!$D:$D"),'Tổng Đơn'!$B26),0)</f>
        <v>0</v>
      </c>
      <c r="AS26" s="2">
        <f ca="1">IFERROR(SUMIFS(INDIRECT("'Thanh Toán ("&amp;AS$3&amp;")'!$F:$F"),INDIRECT("'Thanh Toán ("&amp;AS$3&amp;")'!$D:$D"),'Tổng Đơn'!$B26),0)</f>
        <v>0</v>
      </c>
      <c r="AT26" s="2">
        <f ca="1">IFERROR(SUMIFS(INDIRECT("'Thanh Toán ("&amp;AT$3&amp;")'!$F:$F"),INDIRECT("'Thanh Toán ("&amp;AT$3&amp;")'!$D:$D"),'Tổng Đơn'!$B26),0)</f>
        <v>0</v>
      </c>
      <c r="AU26" s="2">
        <f ca="1">IFERROR(SUMIFS(INDIRECT("'Thanh Toán ("&amp;AU$3&amp;")'!$F:$F"),INDIRECT("'Thanh Toán ("&amp;AU$3&amp;")'!$D:$D"),'Tổng Đơn'!$B26),0)</f>
        <v>0</v>
      </c>
      <c r="AV26" s="2">
        <f ca="1">IFERROR(SUMIFS(INDIRECT("'Thanh Toán ("&amp;AV$3&amp;")'!$F:$F"),INDIRECT("'Thanh Toán ("&amp;AV$3&amp;")'!$D:$D"),'Tổng Đơn'!$B26),0)</f>
        <v>0</v>
      </c>
      <c r="AW26" s="2">
        <f ca="1">IFERROR(SUMIFS(INDIRECT("'Thanh Toán ("&amp;AW$3&amp;")'!$F:$F"),INDIRECT("'Thanh Toán ("&amp;AW$3&amp;")'!$D:$D"),'Tổng Đơn'!$B26),0)</f>
        <v>0</v>
      </c>
      <c r="AX26" s="2">
        <f ca="1">IFERROR(SUMIFS(INDIRECT("'Thanh Toán ("&amp;AX$3&amp;")'!$F:$F"),INDIRECT("'Thanh Toán ("&amp;AX$3&amp;")'!$D:$D"),'Tổng Đơn'!$B26),0)</f>
        <v>0</v>
      </c>
      <c r="AY26" s="2">
        <f ca="1">IFERROR(SUMIFS(INDIRECT("'Thanh Toán ("&amp;AY$3&amp;")'!$F:$F"),INDIRECT("'Thanh Toán ("&amp;AY$3&amp;")'!$D:$D"),'Tổng Đơn'!$B26),0)</f>
        <v>0</v>
      </c>
      <c r="AZ26" s="2">
        <f ca="1">IFERROR(SUMIFS(INDIRECT("'Thanh Toán ("&amp;AZ$3&amp;")'!$F:$F"),INDIRECT("'Thanh Toán ("&amp;AZ$3&amp;")'!$D:$D"),'Tổng Đơn'!$B26),0)</f>
        <v>0</v>
      </c>
      <c r="BA26" s="2">
        <f ca="1">IFERROR(SUMIFS(INDIRECT("'Thanh Toán ("&amp;BA$3&amp;")'!$F:$F"),INDIRECT("'Thanh Toán ("&amp;BA$3&amp;")'!$D:$D"),'Tổng Đơn'!$B26),0)</f>
        <v>0</v>
      </c>
      <c r="BB26" s="2">
        <f ca="1">IFERROR(SUMIFS(INDIRECT("'Thanh Toán ("&amp;BB$3&amp;")'!$F:$F"),INDIRECT("'Thanh Toán ("&amp;BB$3&amp;")'!$D:$D"),'Tổng Đơn'!$B26),0)</f>
        <v>0</v>
      </c>
      <c r="BC26" s="2">
        <f ca="1">IFERROR(SUMIFS(INDIRECT("'Thanh Toán ("&amp;BC$3&amp;")'!$F:$F"),INDIRECT("'Thanh Toán ("&amp;BC$3&amp;")'!$D:$D"),'Tổng Đơn'!$B26),0)</f>
        <v>0</v>
      </c>
    </row>
    <row r="27" spans="1:55" ht="18" customHeight="1" x14ac:dyDescent="0.25">
      <c r="A27" s="201">
        <v>20</v>
      </c>
      <c r="B27" s="202" t="s">
        <v>12</v>
      </c>
      <c r="C27" s="208" t="s">
        <v>79</v>
      </c>
      <c r="D27" s="203">
        <f>VLOOKUP($C27,Sheet1!$C$5:$D$98,2,0)</f>
        <v>26000</v>
      </c>
      <c r="E27" s="204">
        <v>0.5</v>
      </c>
      <c r="F27" s="205">
        <f t="shared" ca="1" si="2"/>
        <v>2</v>
      </c>
      <c r="G27" s="206">
        <f>IFERROR(VLOOKUP($B27,Gà!C:J,8,0),IFERROR(VLOOKUP($B27,TVP!C:J,7,0),IFERROR(VLOOKUP($B27,Kitkool!C:J,8,0),IFERROR(VLOOKUP($B27,'La Cusina'!C:J,8,0),VLOOKUP($B27,'Quốc Nhân'!C:J,8,0)))))</f>
        <v>21.030619939774077</v>
      </c>
      <c r="H27" s="207">
        <f t="shared" ca="1" si="4"/>
        <v>9938.7601204518432</v>
      </c>
      <c r="I27" s="207"/>
      <c r="J27" s="207">
        <f t="shared" ca="1" si="3"/>
        <v>42061.239879548157</v>
      </c>
      <c r="K27" s="53"/>
      <c r="L27" s="2">
        <f ca="1">IFERROR(SUMIFS(INDIRECT("'Thanh Toán ("&amp;L$3&amp;")'!$F:$F"),INDIRECT("'Thanh Toán ("&amp;L$3&amp;")'!$D:$D"),'Tổng Đơn'!$B27),0)</f>
        <v>1</v>
      </c>
      <c r="M27" s="2">
        <f ca="1">IFERROR(SUMIFS(INDIRECT("'Thanh Toán ("&amp;M$3&amp;")'!$F:$F"),INDIRECT("'Thanh Toán ("&amp;M$3&amp;")'!$D:$D"),'Tổng Đơn'!$B27),0)</f>
        <v>0</v>
      </c>
      <c r="N27" s="2">
        <f ca="1">IFERROR(SUMIFS(INDIRECT("'Thanh Toán ("&amp;N$3&amp;")'!$F:$F"),INDIRECT("'Thanh Toán ("&amp;N$3&amp;")'!$D:$D"),'Tổng Đơn'!$B27),0)</f>
        <v>0</v>
      </c>
      <c r="O27" s="2">
        <f ca="1">IFERROR(SUMIFS(INDIRECT("'Thanh Toán ("&amp;O$3&amp;")'!$F:$F"),INDIRECT("'Thanh Toán ("&amp;O$3&amp;")'!$D:$D"),'Tổng Đơn'!$B27),0)</f>
        <v>0</v>
      </c>
      <c r="P27" s="2">
        <f ca="1">IFERROR(SUMIFS(INDIRECT("'Thanh Toán ("&amp;P$3&amp;")'!$F:$F"),INDIRECT("'Thanh Toán ("&amp;P$3&amp;")'!$D:$D"),'Tổng Đơn'!$B27),0)</f>
        <v>0</v>
      </c>
      <c r="Q27" s="2">
        <f ca="1">IFERROR(SUMIFS(INDIRECT("'Thanh Toán ("&amp;Q$3&amp;")'!$F:$F"),INDIRECT("'Thanh Toán ("&amp;Q$3&amp;")'!$D:$D"),'Tổng Đơn'!$B27),0)</f>
        <v>0</v>
      </c>
      <c r="R27" s="2">
        <f ca="1">IFERROR(SUMIFS(INDIRECT("'Thanh Toán ("&amp;R$3&amp;")'!$F:$F"),INDIRECT("'Thanh Toán ("&amp;R$3&amp;")'!$D:$D"),'Tổng Đơn'!$B27),0)</f>
        <v>1</v>
      </c>
      <c r="S27" s="2">
        <f ca="1">IFERROR(SUMIFS(INDIRECT("'Thanh Toán ("&amp;S$3&amp;")'!$F:$F"),INDIRECT("'Thanh Toán ("&amp;S$3&amp;")'!$D:$D"),'Tổng Đơn'!$B27),0)</f>
        <v>0</v>
      </c>
      <c r="T27" s="2">
        <f ca="1">IFERROR(SUMIFS(INDIRECT("'Thanh Toán ("&amp;T$3&amp;")'!$F:$F"),INDIRECT("'Thanh Toán ("&amp;T$3&amp;")'!$D:$D"),'Tổng Đơn'!$B27),0)</f>
        <v>0</v>
      </c>
      <c r="U27" s="2">
        <f ca="1">IFERROR(SUMIFS(INDIRECT("'Thanh Toán ("&amp;U$3&amp;")'!$F:$F"),INDIRECT("'Thanh Toán ("&amp;U$3&amp;")'!$D:$D"),'Tổng Đơn'!$B27),0)</f>
        <v>0</v>
      </c>
      <c r="V27" s="2">
        <f ca="1">IFERROR(SUMIFS(INDIRECT("'Thanh Toán ("&amp;V$3&amp;")'!$F:$F"),INDIRECT("'Thanh Toán ("&amp;V$3&amp;")'!$D:$D"),'Tổng Đơn'!$B27),0)</f>
        <v>0</v>
      </c>
      <c r="W27" s="2">
        <f ca="1">IFERROR(SUMIFS(INDIRECT("'Thanh Toán ("&amp;W$3&amp;")'!$F:$F"),INDIRECT("'Thanh Toán ("&amp;W$3&amp;")'!$D:$D"),'Tổng Đơn'!$B27),0)</f>
        <v>0</v>
      </c>
      <c r="X27" s="2">
        <f ca="1">IFERROR(SUMIFS(INDIRECT("'Thanh Toán ("&amp;X$3&amp;")'!$F:$F"),INDIRECT("'Thanh Toán ("&amp;X$3&amp;")'!$D:$D"),'Tổng Đơn'!$B27),0)</f>
        <v>0</v>
      </c>
      <c r="Y27" s="2">
        <f ca="1">IFERROR(SUMIFS(INDIRECT("'Thanh Toán ("&amp;Y$3&amp;")'!$F:$F"),INDIRECT("'Thanh Toán ("&amp;Y$3&amp;")'!$D:$D"),'Tổng Đơn'!$B27),0)</f>
        <v>0</v>
      </c>
      <c r="Z27" s="2">
        <f ca="1">IFERROR(SUMIFS(INDIRECT("'Thanh Toán ("&amp;Z$3&amp;")'!$F:$F"),INDIRECT("'Thanh Toán ("&amp;Z$3&amp;")'!$D:$D"),'Tổng Đơn'!$B27),0)</f>
        <v>0</v>
      </c>
      <c r="AA27" s="2">
        <f ca="1">IFERROR(SUMIFS(INDIRECT("'Thanh Toán ("&amp;AA$3&amp;")'!$F:$F"),INDIRECT("'Thanh Toán ("&amp;AA$3&amp;")'!$D:$D"),'Tổng Đơn'!$B27),0)</f>
        <v>0</v>
      </c>
      <c r="AB27" s="2">
        <f ca="1">IFERROR(SUMIFS(INDIRECT("'Thanh Toán ("&amp;AB$3&amp;")'!$F:$F"),INDIRECT("'Thanh Toán ("&amp;AB$3&amp;")'!$D:$D"),'Tổng Đơn'!$B27),0)</f>
        <v>0</v>
      </c>
      <c r="AC27" s="2">
        <f ca="1">IFERROR(SUMIFS(INDIRECT("'Thanh Toán ("&amp;AC$3&amp;")'!$F:$F"),INDIRECT("'Thanh Toán ("&amp;AC$3&amp;")'!$D:$D"),'Tổng Đơn'!$B27),0)</f>
        <v>0</v>
      </c>
      <c r="AD27" s="2">
        <f ca="1">IFERROR(SUMIFS(INDIRECT("'Thanh Toán ("&amp;AD$3&amp;")'!$F:$F"),INDIRECT("'Thanh Toán ("&amp;AD$3&amp;")'!$D:$D"),'Tổng Đơn'!$B27),0)</f>
        <v>0</v>
      </c>
      <c r="AE27" s="2">
        <f ca="1">IFERROR(SUMIFS(INDIRECT("'Thanh Toán ("&amp;AE$3&amp;")'!$F:$F"),INDIRECT("'Thanh Toán ("&amp;AE$3&amp;")'!$D:$D"),'Tổng Đơn'!$B27),0)</f>
        <v>0</v>
      </c>
      <c r="AF27" s="2">
        <f ca="1">IFERROR(SUMIFS(INDIRECT("'Thanh Toán ("&amp;AF$3&amp;")'!$F:$F"),INDIRECT("'Thanh Toán ("&amp;AF$3&amp;")'!$D:$D"),'Tổng Đơn'!$B27),0)</f>
        <v>0</v>
      </c>
      <c r="AG27" s="2">
        <f ca="1">IFERROR(SUMIFS(INDIRECT("'Thanh Toán ("&amp;AG$3&amp;")'!$F:$F"),INDIRECT("'Thanh Toán ("&amp;AG$3&amp;")'!$D:$D"),'Tổng Đơn'!$B27),0)</f>
        <v>0</v>
      </c>
      <c r="AH27" s="2">
        <f ca="1">IFERROR(SUMIFS(INDIRECT("'Thanh Toán ("&amp;AH$3&amp;")'!$F:$F"),INDIRECT("'Thanh Toán ("&amp;AH$3&amp;")'!$D:$D"),'Tổng Đơn'!$B27),0)</f>
        <v>0</v>
      </c>
      <c r="AI27" s="2">
        <f ca="1">IFERROR(SUMIFS(INDIRECT("'Thanh Toán ("&amp;AI$3&amp;")'!$F:$F"),INDIRECT("'Thanh Toán ("&amp;AI$3&amp;")'!$D:$D"),'Tổng Đơn'!$B27),0)</f>
        <v>0</v>
      </c>
      <c r="AJ27" s="2">
        <f ca="1">IFERROR(SUMIFS(INDIRECT("'Thanh Toán ("&amp;AJ$3&amp;")'!$F:$F"),INDIRECT("'Thanh Toán ("&amp;AJ$3&amp;")'!$D:$D"),'Tổng Đơn'!$B27),0)</f>
        <v>0</v>
      </c>
      <c r="AK27" s="2">
        <f ca="1">IFERROR(SUMIFS(INDIRECT("'Thanh Toán ("&amp;AK$3&amp;")'!$F:$F"),INDIRECT("'Thanh Toán ("&amp;AK$3&amp;")'!$D:$D"),'Tổng Đơn'!$B27),0)</f>
        <v>0</v>
      </c>
      <c r="AL27" s="2">
        <f ca="1">IFERROR(SUMIFS(INDIRECT("'Thanh Toán ("&amp;AL$3&amp;")'!$F:$F"),INDIRECT("'Thanh Toán ("&amp;AL$3&amp;")'!$D:$D"),'Tổng Đơn'!$B27),0)</f>
        <v>0</v>
      </c>
      <c r="AM27" s="2">
        <f ca="1">IFERROR(SUMIFS(INDIRECT("'Thanh Toán ("&amp;AM$3&amp;")'!$F:$F"),INDIRECT("'Thanh Toán ("&amp;AM$3&amp;")'!$D:$D"),'Tổng Đơn'!$B27),0)</f>
        <v>0</v>
      </c>
      <c r="AN27" s="2">
        <f ca="1">IFERROR(SUMIFS(INDIRECT("'Thanh Toán ("&amp;AN$3&amp;")'!$F:$F"),INDIRECT("'Thanh Toán ("&amp;AN$3&amp;")'!$D:$D"),'Tổng Đơn'!$B27),0)</f>
        <v>0</v>
      </c>
      <c r="AO27" s="2">
        <f ca="1">IFERROR(SUMIFS(INDIRECT("'Thanh Toán ("&amp;AO$3&amp;")'!$F:$F"),INDIRECT("'Thanh Toán ("&amp;AO$3&amp;")'!$D:$D"),'Tổng Đơn'!$B27),0)</f>
        <v>0</v>
      </c>
      <c r="AP27" s="2">
        <f ca="1">IFERROR(SUMIFS(INDIRECT("'Thanh Toán ("&amp;AP$3&amp;")'!$F:$F"),INDIRECT("'Thanh Toán ("&amp;AP$3&amp;")'!$D:$D"),'Tổng Đơn'!$B27),0)</f>
        <v>0</v>
      </c>
      <c r="AQ27" s="2">
        <f ca="1">IFERROR(SUMIFS(INDIRECT("'Thanh Toán ("&amp;AQ$3&amp;")'!$F:$F"),INDIRECT("'Thanh Toán ("&amp;AQ$3&amp;")'!$D:$D"),'Tổng Đơn'!$B27),0)</f>
        <v>0</v>
      </c>
      <c r="AR27" s="2">
        <f ca="1">IFERROR(SUMIFS(INDIRECT("'Thanh Toán ("&amp;AR$3&amp;")'!$F:$F"),INDIRECT("'Thanh Toán ("&amp;AR$3&amp;")'!$D:$D"),'Tổng Đơn'!$B27),0)</f>
        <v>0</v>
      </c>
      <c r="AS27" s="2">
        <f ca="1">IFERROR(SUMIFS(INDIRECT("'Thanh Toán ("&amp;AS$3&amp;")'!$F:$F"),INDIRECT("'Thanh Toán ("&amp;AS$3&amp;")'!$D:$D"),'Tổng Đơn'!$B27),0)</f>
        <v>0</v>
      </c>
      <c r="AT27" s="2">
        <f ca="1">IFERROR(SUMIFS(INDIRECT("'Thanh Toán ("&amp;AT$3&amp;")'!$F:$F"),INDIRECT("'Thanh Toán ("&amp;AT$3&amp;")'!$D:$D"),'Tổng Đơn'!$B27),0)</f>
        <v>0</v>
      </c>
      <c r="AU27" s="2">
        <f ca="1">IFERROR(SUMIFS(INDIRECT("'Thanh Toán ("&amp;AU$3&amp;")'!$F:$F"),INDIRECT("'Thanh Toán ("&amp;AU$3&amp;")'!$D:$D"),'Tổng Đơn'!$B27),0)</f>
        <v>0</v>
      </c>
      <c r="AV27" s="2">
        <f ca="1">IFERROR(SUMIFS(INDIRECT("'Thanh Toán ("&amp;AV$3&amp;")'!$F:$F"),INDIRECT("'Thanh Toán ("&amp;AV$3&amp;")'!$D:$D"),'Tổng Đơn'!$B27),0)</f>
        <v>0</v>
      </c>
      <c r="AW27" s="2">
        <f ca="1">IFERROR(SUMIFS(INDIRECT("'Thanh Toán ("&amp;AW$3&amp;")'!$F:$F"),INDIRECT("'Thanh Toán ("&amp;AW$3&amp;")'!$D:$D"),'Tổng Đơn'!$B27),0)</f>
        <v>0</v>
      </c>
      <c r="AX27" s="2">
        <f ca="1">IFERROR(SUMIFS(INDIRECT("'Thanh Toán ("&amp;AX$3&amp;")'!$F:$F"),INDIRECT("'Thanh Toán ("&amp;AX$3&amp;")'!$D:$D"),'Tổng Đơn'!$B27),0)</f>
        <v>0</v>
      </c>
      <c r="AY27" s="2">
        <f ca="1">IFERROR(SUMIFS(INDIRECT("'Thanh Toán ("&amp;AY$3&amp;")'!$F:$F"),INDIRECT("'Thanh Toán ("&amp;AY$3&amp;")'!$D:$D"),'Tổng Đơn'!$B27),0)</f>
        <v>0</v>
      </c>
      <c r="AZ27" s="2">
        <f ca="1">IFERROR(SUMIFS(INDIRECT("'Thanh Toán ("&amp;AZ$3&amp;")'!$F:$F"),INDIRECT("'Thanh Toán ("&amp;AZ$3&amp;")'!$D:$D"),'Tổng Đơn'!$B27),0)</f>
        <v>0</v>
      </c>
      <c r="BA27" s="2">
        <f ca="1">IFERROR(SUMIFS(INDIRECT("'Thanh Toán ("&amp;BA$3&amp;")'!$F:$F"),INDIRECT("'Thanh Toán ("&amp;BA$3&amp;")'!$D:$D"),'Tổng Đơn'!$B27),0)</f>
        <v>0</v>
      </c>
      <c r="BB27" s="2">
        <f ca="1">IFERROR(SUMIFS(INDIRECT("'Thanh Toán ("&amp;BB$3&amp;")'!$F:$F"),INDIRECT("'Thanh Toán ("&amp;BB$3&amp;")'!$D:$D"),'Tổng Đơn'!$B27),0)</f>
        <v>0</v>
      </c>
      <c r="BC27" s="2">
        <f ca="1">IFERROR(SUMIFS(INDIRECT("'Thanh Toán ("&amp;BC$3&amp;")'!$F:$F"),INDIRECT("'Thanh Toán ("&amp;BC$3&amp;")'!$D:$D"),'Tổng Đơn'!$B27),0)</f>
        <v>0</v>
      </c>
    </row>
    <row r="28" spans="1:55" ht="18" customHeight="1" x14ac:dyDescent="0.25">
      <c r="A28" s="201">
        <v>21</v>
      </c>
      <c r="B28" s="202" t="s">
        <v>14</v>
      </c>
      <c r="C28" s="201" t="s">
        <v>80</v>
      </c>
      <c r="D28" s="203">
        <f>VLOOKUP($C28,Sheet1!$C$5:$D$98,2,0)</f>
        <v>33000</v>
      </c>
      <c r="E28" s="204">
        <v>0.5</v>
      </c>
      <c r="F28" s="205">
        <f t="shared" ca="1" si="2"/>
        <v>2</v>
      </c>
      <c r="G28" s="206">
        <f>IFERROR(VLOOKUP($B28,Gà!C:J,8,0),IFERROR(VLOOKUP($B28,TVP!C:J,7,0),IFERROR(VLOOKUP($B28,Kitkool!C:J,8,0),IFERROR(VLOOKUP($B28,'La Cusina'!C:J,8,0),VLOOKUP($B28,'Quốc Nhân'!C:J,8,0)))))</f>
        <v>28.211807236282297</v>
      </c>
      <c r="H28" s="207">
        <f t="shared" ca="1" si="4"/>
        <v>9576.3855274354064</v>
      </c>
      <c r="I28" s="207"/>
      <c r="J28" s="207">
        <f t="shared" ca="1" si="3"/>
        <v>56423.614472564594</v>
      </c>
      <c r="K28" s="53"/>
      <c r="L28" s="2">
        <f ca="1">IFERROR(SUMIFS(INDIRECT("'Thanh Toán ("&amp;L$3&amp;")'!$F:$F"),INDIRECT("'Thanh Toán ("&amp;L$3&amp;")'!$D:$D"),'Tổng Đơn'!$B28),0)</f>
        <v>0</v>
      </c>
      <c r="M28" s="2">
        <f ca="1">IFERROR(SUMIFS(INDIRECT("'Thanh Toán ("&amp;M$3&amp;")'!$F:$F"),INDIRECT("'Thanh Toán ("&amp;M$3&amp;")'!$D:$D"),'Tổng Đơn'!$B28),0)</f>
        <v>1</v>
      </c>
      <c r="N28" s="2">
        <f ca="1">IFERROR(SUMIFS(INDIRECT("'Thanh Toán ("&amp;N$3&amp;")'!$F:$F"),INDIRECT("'Thanh Toán ("&amp;N$3&amp;")'!$D:$D"),'Tổng Đơn'!$B28),0)</f>
        <v>0</v>
      </c>
      <c r="O28" s="2">
        <f ca="1">IFERROR(SUMIFS(INDIRECT("'Thanh Toán ("&amp;O$3&amp;")'!$F:$F"),INDIRECT("'Thanh Toán ("&amp;O$3&amp;")'!$D:$D"),'Tổng Đơn'!$B28),0)</f>
        <v>0</v>
      </c>
      <c r="P28" s="2">
        <f ca="1">IFERROR(SUMIFS(INDIRECT("'Thanh Toán ("&amp;P$3&amp;")'!$F:$F"),INDIRECT("'Thanh Toán ("&amp;P$3&amp;")'!$D:$D"),'Tổng Đơn'!$B28),0)</f>
        <v>0</v>
      </c>
      <c r="Q28" s="2">
        <f ca="1">IFERROR(SUMIFS(INDIRECT("'Thanh Toán ("&amp;Q$3&amp;")'!$F:$F"),INDIRECT("'Thanh Toán ("&amp;Q$3&amp;")'!$D:$D"),'Tổng Đơn'!$B28),0)</f>
        <v>0</v>
      </c>
      <c r="R28" s="2">
        <f ca="1">IFERROR(SUMIFS(INDIRECT("'Thanh Toán ("&amp;R$3&amp;")'!$F:$F"),INDIRECT("'Thanh Toán ("&amp;R$3&amp;")'!$D:$D"),'Tổng Đơn'!$B28),0)</f>
        <v>0</v>
      </c>
      <c r="S28" s="2">
        <f ca="1">IFERROR(SUMIFS(INDIRECT("'Thanh Toán ("&amp;S$3&amp;")'!$F:$F"),INDIRECT("'Thanh Toán ("&amp;S$3&amp;")'!$D:$D"),'Tổng Đơn'!$B28),0)</f>
        <v>0</v>
      </c>
      <c r="T28" s="2">
        <f ca="1">IFERROR(SUMIFS(INDIRECT("'Thanh Toán ("&amp;T$3&amp;")'!$F:$F"),INDIRECT("'Thanh Toán ("&amp;T$3&amp;")'!$D:$D"),'Tổng Đơn'!$B28),0)</f>
        <v>0</v>
      </c>
      <c r="U28" s="2">
        <f ca="1">IFERROR(SUMIFS(INDIRECT("'Thanh Toán ("&amp;U$3&amp;")'!$F:$F"),INDIRECT("'Thanh Toán ("&amp;U$3&amp;")'!$D:$D"),'Tổng Đơn'!$B28),0)</f>
        <v>0</v>
      </c>
      <c r="V28" s="2">
        <f ca="1">IFERROR(SUMIFS(INDIRECT("'Thanh Toán ("&amp;V$3&amp;")'!$F:$F"),INDIRECT("'Thanh Toán ("&amp;V$3&amp;")'!$D:$D"),'Tổng Đơn'!$B28),0)</f>
        <v>0</v>
      </c>
      <c r="W28" s="2">
        <f ca="1">IFERROR(SUMIFS(INDIRECT("'Thanh Toán ("&amp;W$3&amp;")'!$F:$F"),INDIRECT("'Thanh Toán ("&amp;W$3&amp;")'!$D:$D"),'Tổng Đơn'!$B28),0)</f>
        <v>1</v>
      </c>
      <c r="X28" s="2">
        <f ca="1">IFERROR(SUMIFS(INDIRECT("'Thanh Toán ("&amp;X$3&amp;")'!$F:$F"),INDIRECT("'Thanh Toán ("&amp;X$3&amp;")'!$D:$D"),'Tổng Đơn'!$B28),0)</f>
        <v>0</v>
      </c>
      <c r="Y28" s="2">
        <f ca="1">IFERROR(SUMIFS(INDIRECT("'Thanh Toán ("&amp;Y$3&amp;")'!$F:$F"),INDIRECT("'Thanh Toán ("&amp;Y$3&amp;")'!$D:$D"),'Tổng Đơn'!$B28),0)</f>
        <v>0</v>
      </c>
      <c r="Z28" s="2">
        <f ca="1">IFERROR(SUMIFS(INDIRECT("'Thanh Toán ("&amp;Z$3&amp;")'!$F:$F"),INDIRECT("'Thanh Toán ("&amp;Z$3&amp;")'!$D:$D"),'Tổng Đơn'!$B28),0)</f>
        <v>0</v>
      </c>
      <c r="AA28" s="2">
        <f ca="1">IFERROR(SUMIFS(INDIRECT("'Thanh Toán ("&amp;AA$3&amp;")'!$F:$F"),INDIRECT("'Thanh Toán ("&amp;AA$3&amp;")'!$D:$D"),'Tổng Đơn'!$B28),0)</f>
        <v>0</v>
      </c>
      <c r="AB28" s="2">
        <f ca="1">IFERROR(SUMIFS(INDIRECT("'Thanh Toán ("&amp;AB$3&amp;")'!$F:$F"),INDIRECT("'Thanh Toán ("&amp;AB$3&amp;")'!$D:$D"),'Tổng Đơn'!$B28),0)</f>
        <v>0</v>
      </c>
      <c r="AC28" s="2">
        <f ca="1">IFERROR(SUMIFS(INDIRECT("'Thanh Toán ("&amp;AC$3&amp;")'!$F:$F"),INDIRECT("'Thanh Toán ("&amp;AC$3&amp;")'!$D:$D"),'Tổng Đơn'!$B28),0)</f>
        <v>0</v>
      </c>
      <c r="AD28" s="2">
        <f ca="1">IFERROR(SUMIFS(INDIRECT("'Thanh Toán ("&amp;AD$3&amp;")'!$F:$F"),INDIRECT("'Thanh Toán ("&amp;AD$3&amp;")'!$D:$D"),'Tổng Đơn'!$B28),0)</f>
        <v>0</v>
      </c>
      <c r="AE28" s="2">
        <f ca="1">IFERROR(SUMIFS(INDIRECT("'Thanh Toán ("&amp;AE$3&amp;")'!$F:$F"),INDIRECT("'Thanh Toán ("&amp;AE$3&amp;")'!$D:$D"),'Tổng Đơn'!$B28),0)</f>
        <v>0</v>
      </c>
      <c r="AF28" s="2">
        <f ca="1">IFERROR(SUMIFS(INDIRECT("'Thanh Toán ("&amp;AF$3&amp;")'!$F:$F"),INDIRECT("'Thanh Toán ("&amp;AF$3&amp;")'!$D:$D"),'Tổng Đơn'!$B28),0)</f>
        <v>0</v>
      </c>
      <c r="AG28" s="2">
        <f ca="1">IFERROR(SUMIFS(INDIRECT("'Thanh Toán ("&amp;AG$3&amp;")'!$F:$F"),INDIRECT("'Thanh Toán ("&amp;AG$3&amp;")'!$D:$D"),'Tổng Đơn'!$B28),0)</f>
        <v>0</v>
      </c>
      <c r="AH28" s="2">
        <f ca="1">IFERROR(SUMIFS(INDIRECT("'Thanh Toán ("&amp;AH$3&amp;")'!$F:$F"),INDIRECT("'Thanh Toán ("&amp;AH$3&amp;")'!$D:$D"),'Tổng Đơn'!$B28),0)</f>
        <v>0</v>
      </c>
      <c r="AI28" s="2">
        <f ca="1">IFERROR(SUMIFS(INDIRECT("'Thanh Toán ("&amp;AI$3&amp;")'!$F:$F"),INDIRECT("'Thanh Toán ("&amp;AI$3&amp;")'!$D:$D"),'Tổng Đơn'!$B28),0)</f>
        <v>0</v>
      </c>
      <c r="AJ28" s="2">
        <f ca="1">IFERROR(SUMIFS(INDIRECT("'Thanh Toán ("&amp;AJ$3&amp;")'!$F:$F"),INDIRECT("'Thanh Toán ("&amp;AJ$3&amp;")'!$D:$D"),'Tổng Đơn'!$B28),0)</f>
        <v>0</v>
      </c>
      <c r="AK28" s="2">
        <f ca="1">IFERROR(SUMIFS(INDIRECT("'Thanh Toán ("&amp;AK$3&amp;")'!$F:$F"),INDIRECT("'Thanh Toán ("&amp;AK$3&amp;")'!$D:$D"),'Tổng Đơn'!$B28),0)</f>
        <v>0</v>
      </c>
      <c r="AL28" s="2">
        <f ca="1">IFERROR(SUMIFS(INDIRECT("'Thanh Toán ("&amp;AL$3&amp;")'!$F:$F"),INDIRECT("'Thanh Toán ("&amp;AL$3&amp;")'!$D:$D"),'Tổng Đơn'!$B28),0)</f>
        <v>0</v>
      </c>
      <c r="AM28" s="2">
        <f ca="1">IFERROR(SUMIFS(INDIRECT("'Thanh Toán ("&amp;AM$3&amp;")'!$F:$F"),INDIRECT("'Thanh Toán ("&amp;AM$3&amp;")'!$D:$D"),'Tổng Đơn'!$B28),0)</f>
        <v>0</v>
      </c>
      <c r="AN28" s="2">
        <f ca="1">IFERROR(SUMIFS(INDIRECT("'Thanh Toán ("&amp;AN$3&amp;")'!$F:$F"),INDIRECT("'Thanh Toán ("&amp;AN$3&amp;")'!$D:$D"),'Tổng Đơn'!$B28),0)</f>
        <v>0</v>
      </c>
      <c r="AO28" s="2">
        <f ca="1">IFERROR(SUMIFS(INDIRECT("'Thanh Toán ("&amp;AO$3&amp;")'!$F:$F"),INDIRECT("'Thanh Toán ("&amp;AO$3&amp;")'!$D:$D"),'Tổng Đơn'!$B28),0)</f>
        <v>0</v>
      </c>
      <c r="AP28" s="2">
        <f ca="1">IFERROR(SUMIFS(INDIRECT("'Thanh Toán ("&amp;AP$3&amp;")'!$F:$F"),INDIRECT("'Thanh Toán ("&amp;AP$3&amp;")'!$D:$D"),'Tổng Đơn'!$B28),0)</f>
        <v>0</v>
      </c>
      <c r="AQ28" s="2">
        <f ca="1">IFERROR(SUMIFS(INDIRECT("'Thanh Toán ("&amp;AQ$3&amp;")'!$F:$F"),INDIRECT("'Thanh Toán ("&amp;AQ$3&amp;")'!$D:$D"),'Tổng Đơn'!$B28),0)</f>
        <v>0</v>
      </c>
      <c r="AR28" s="2">
        <f ca="1">IFERROR(SUMIFS(INDIRECT("'Thanh Toán ("&amp;AR$3&amp;")'!$F:$F"),INDIRECT("'Thanh Toán ("&amp;AR$3&amp;")'!$D:$D"),'Tổng Đơn'!$B28),0)</f>
        <v>0</v>
      </c>
      <c r="AS28" s="2">
        <f ca="1">IFERROR(SUMIFS(INDIRECT("'Thanh Toán ("&amp;AS$3&amp;")'!$F:$F"),INDIRECT("'Thanh Toán ("&amp;AS$3&amp;")'!$D:$D"),'Tổng Đơn'!$B28),0)</f>
        <v>0</v>
      </c>
      <c r="AT28" s="2">
        <f ca="1">IFERROR(SUMIFS(INDIRECT("'Thanh Toán ("&amp;AT$3&amp;")'!$F:$F"),INDIRECT("'Thanh Toán ("&amp;AT$3&amp;")'!$D:$D"),'Tổng Đơn'!$B28),0)</f>
        <v>0</v>
      </c>
      <c r="AU28" s="2">
        <f ca="1">IFERROR(SUMIFS(INDIRECT("'Thanh Toán ("&amp;AU$3&amp;")'!$F:$F"),INDIRECT("'Thanh Toán ("&amp;AU$3&amp;")'!$D:$D"),'Tổng Đơn'!$B28),0)</f>
        <v>0</v>
      </c>
      <c r="AV28" s="2">
        <f ca="1">IFERROR(SUMIFS(INDIRECT("'Thanh Toán ("&amp;AV$3&amp;")'!$F:$F"),INDIRECT("'Thanh Toán ("&amp;AV$3&amp;")'!$D:$D"),'Tổng Đơn'!$B28),0)</f>
        <v>0</v>
      </c>
      <c r="AW28" s="2">
        <f ca="1">IFERROR(SUMIFS(INDIRECT("'Thanh Toán ("&amp;AW$3&amp;")'!$F:$F"),INDIRECT("'Thanh Toán ("&amp;AW$3&amp;")'!$D:$D"),'Tổng Đơn'!$B28),0)</f>
        <v>0</v>
      </c>
      <c r="AX28" s="2">
        <f ca="1">IFERROR(SUMIFS(INDIRECT("'Thanh Toán ("&amp;AX$3&amp;")'!$F:$F"),INDIRECT("'Thanh Toán ("&amp;AX$3&amp;")'!$D:$D"),'Tổng Đơn'!$B28),0)</f>
        <v>0</v>
      </c>
      <c r="AY28" s="2">
        <f ca="1">IFERROR(SUMIFS(INDIRECT("'Thanh Toán ("&amp;AY$3&amp;")'!$F:$F"),INDIRECT("'Thanh Toán ("&amp;AY$3&amp;")'!$D:$D"),'Tổng Đơn'!$B28),0)</f>
        <v>0</v>
      </c>
      <c r="AZ28" s="2">
        <f ca="1">IFERROR(SUMIFS(INDIRECT("'Thanh Toán ("&amp;AZ$3&amp;")'!$F:$F"),INDIRECT("'Thanh Toán ("&amp;AZ$3&amp;")'!$D:$D"),'Tổng Đơn'!$B28),0)</f>
        <v>0</v>
      </c>
      <c r="BA28" s="2">
        <f ca="1">IFERROR(SUMIFS(INDIRECT("'Thanh Toán ("&amp;BA$3&amp;")'!$F:$F"),INDIRECT("'Thanh Toán ("&amp;BA$3&amp;")'!$D:$D"),'Tổng Đơn'!$B28),0)</f>
        <v>0</v>
      </c>
      <c r="BB28" s="2">
        <f ca="1">IFERROR(SUMIFS(INDIRECT("'Thanh Toán ("&amp;BB$3&amp;")'!$F:$F"),INDIRECT("'Thanh Toán ("&amp;BB$3&amp;")'!$D:$D"),'Tổng Đơn'!$B28),0)</f>
        <v>0</v>
      </c>
      <c r="BC28" s="2">
        <f ca="1">IFERROR(SUMIFS(INDIRECT("'Thanh Toán ("&amp;BC$3&amp;")'!$F:$F"),INDIRECT("'Thanh Toán ("&amp;BC$3&amp;")'!$D:$D"),'Tổng Đơn'!$B28),0)</f>
        <v>0</v>
      </c>
    </row>
    <row r="29" spans="1:55" ht="18" customHeight="1" x14ac:dyDescent="0.25">
      <c r="A29" s="201">
        <v>22</v>
      </c>
      <c r="B29" s="202" t="s">
        <v>293</v>
      </c>
      <c r="C29" s="208" t="s">
        <v>81</v>
      </c>
      <c r="D29" s="203">
        <f>VLOOKUP($C29,Sheet1!$C$5:$D$98,2,0)</f>
        <v>34000</v>
      </c>
      <c r="E29" s="204">
        <v>0.5</v>
      </c>
      <c r="F29" s="205">
        <f t="shared" ca="1" si="2"/>
        <v>0</v>
      </c>
      <c r="G29" s="206">
        <f>IFERROR(VLOOKUP($B29,Gà!C:J,8,0),IFERROR(VLOOKUP($B29,TVP!C:J,7,0),IFERROR(VLOOKUP($B29,Kitkool!C:J,8,0),IFERROR(VLOOKUP($B29,'La Cusina'!C:J,8,0),VLOOKUP($B29,'Quốc Nhân'!C:J,8,0)))))</f>
        <v>28.211807236282297</v>
      </c>
      <c r="H29" s="207">
        <f t="shared" ca="1" si="4"/>
        <v>0</v>
      </c>
      <c r="I29" s="207"/>
      <c r="J29" s="207">
        <f t="shared" ca="1" si="3"/>
        <v>0</v>
      </c>
      <c r="K29" s="53"/>
      <c r="L29" s="2">
        <f ca="1">IFERROR(SUMIFS(INDIRECT("'Thanh Toán ("&amp;L$3&amp;")'!$F:$F"),INDIRECT("'Thanh Toán ("&amp;L$3&amp;")'!$D:$D"),'Tổng Đơn'!$B29),0)</f>
        <v>0</v>
      </c>
      <c r="M29" s="2">
        <f ca="1">IFERROR(SUMIFS(INDIRECT("'Thanh Toán ("&amp;M$3&amp;")'!$F:$F"),INDIRECT("'Thanh Toán ("&amp;M$3&amp;")'!$D:$D"),'Tổng Đơn'!$B29),0)</f>
        <v>0</v>
      </c>
      <c r="N29" s="2">
        <f ca="1">IFERROR(SUMIFS(INDIRECT("'Thanh Toán ("&amp;N$3&amp;")'!$F:$F"),INDIRECT("'Thanh Toán ("&amp;N$3&amp;")'!$D:$D"),'Tổng Đơn'!$B29),0)</f>
        <v>0</v>
      </c>
      <c r="O29" s="2">
        <f ca="1">IFERROR(SUMIFS(INDIRECT("'Thanh Toán ("&amp;O$3&amp;")'!$F:$F"),INDIRECT("'Thanh Toán ("&amp;O$3&amp;")'!$D:$D"),'Tổng Đơn'!$B29),0)</f>
        <v>0</v>
      </c>
      <c r="P29" s="2">
        <f ca="1">IFERROR(SUMIFS(INDIRECT("'Thanh Toán ("&amp;P$3&amp;")'!$F:$F"),INDIRECT("'Thanh Toán ("&amp;P$3&amp;")'!$D:$D"),'Tổng Đơn'!$B29),0)</f>
        <v>0</v>
      </c>
      <c r="Q29" s="2">
        <f ca="1">IFERROR(SUMIFS(INDIRECT("'Thanh Toán ("&amp;Q$3&amp;")'!$F:$F"),INDIRECT("'Thanh Toán ("&amp;Q$3&amp;")'!$D:$D"),'Tổng Đơn'!$B29),0)</f>
        <v>0</v>
      </c>
      <c r="R29" s="2">
        <f ca="1">IFERROR(SUMIFS(INDIRECT("'Thanh Toán ("&amp;R$3&amp;")'!$F:$F"),INDIRECT("'Thanh Toán ("&amp;R$3&amp;")'!$D:$D"),'Tổng Đơn'!$B29),0)</f>
        <v>0</v>
      </c>
      <c r="S29" s="2">
        <f ca="1">IFERROR(SUMIFS(INDIRECT("'Thanh Toán ("&amp;S$3&amp;")'!$F:$F"),INDIRECT("'Thanh Toán ("&amp;S$3&amp;")'!$D:$D"),'Tổng Đơn'!$B29),0)</f>
        <v>0</v>
      </c>
      <c r="T29" s="2">
        <f ca="1">IFERROR(SUMIFS(INDIRECT("'Thanh Toán ("&amp;T$3&amp;")'!$F:$F"),INDIRECT("'Thanh Toán ("&amp;T$3&amp;")'!$D:$D"),'Tổng Đơn'!$B29),0)</f>
        <v>0</v>
      </c>
      <c r="U29" s="2">
        <f ca="1">IFERROR(SUMIFS(INDIRECT("'Thanh Toán ("&amp;U$3&amp;")'!$F:$F"),INDIRECT("'Thanh Toán ("&amp;U$3&amp;")'!$D:$D"),'Tổng Đơn'!$B29),0)</f>
        <v>0</v>
      </c>
      <c r="V29" s="2">
        <f ca="1">IFERROR(SUMIFS(INDIRECT("'Thanh Toán ("&amp;V$3&amp;")'!$F:$F"),INDIRECT("'Thanh Toán ("&amp;V$3&amp;")'!$D:$D"),'Tổng Đơn'!$B29),0)</f>
        <v>0</v>
      </c>
      <c r="W29" s="2">
        <f ca="1">IFERROR(SUMIFS(INDIRECT("'Thanh Toán ("&amp;W$3&amp;")'!$F:$F"),INDIRECT("'Thanh Toán ("&amp;W$3&amp;")'!$D:$D"),'Tổng Đơn'!$B29),0)</f>
        <v>0</v>
      </c>
      <c r="X29" s="2">
        <f ca="1">IFERROR(SUMIFS(INDIRECT("'Thanh Toán ("&amp;X$3&amp;")'!$F:$F"),INDIRECT("'Thanh Toán ("&amp;X$3&amp;")'!$D:$D"),'Tổng Đơn'!$B29),0)</f>
        <v>0</v>
      </c>
      <c r="Y29" s="2">
        <f ca="1">IFERROR(SUMIFS(INDIRECT("'Thanh Toán ("&amp;Y$3&amp;")'!$F:$F"),INDIRECT("'Thanh Toán ("&amp;Y$3&amp;")'!$D:$D"),'Tổng Đơn'!$B29),0)</f>
        <v>0</v>
      </c>
      <c r="Z29" s="2">
        <f ca="1">IFERROR(SUMIFS(INDIRECT("'Thanh Toán ("&amp;Z$3&amp;")'!$F:$F"),INDIRECT("'Thanh Toán ("&amp;Z$3&amp;")'!$D:$D"),'Tổng Đơn'!$B29),0)</f>
        <v>0</v>
      </c>
      <c r="AA29" s="2">
        <f ca="1">IFERROR(SUMIFS(INDIRECT("'Thanh Toán ("&amp;AA$3&amp;")'!$F:$F"),INDIRECT("'Thanh Toán ("&amp;AA$3&amp;")'!$D:$D"),'Tổng Đơn'!$B29),0)</f>
        <v>0</v>
      </c>
      <c r="AB29" s="2">
        <f ca="1">IFERROR(SUMIFS(INDIRECT("'Thanh Toán ("&amp;AB$3&amp;")'!$F:$F"),INDIRECT("'Thanh Toán ("&amp;AB$3&amp;")'!$D:$D"),'Tổng Đơn'!$B29),0)</f>
        <v>0</v>
      </c>
      <c r="AC29" s="2">
        <f ca="1">IFERROR(SUMIFS(INDIRECT("'Thanh Toán ("&amp;AC$3&amp;")'!$F:$F"),INDIRECT("'Thanh Toán ("&amp;AC$3&amp;")'!$D:$D"),'Tổng Đơn'!$B29),0)</f>
        <v>0</v>
      </c>
      <c r="AD29" s="2">
        <f ca="1">IFERROR(SUMIFS(INDIRECT("'Thanh Toán ("&amp;AD$3&amp;")'!$F:$F"),INDIRECT("'Thanh Toán ("&amp;AD$3&amp;")'!$D:$D"),'Tổng Đơn'!$B29),0)</f>
        <v>0</v>
      </c>
      <c r="AE29" s="2">
        <f ca="1">IFERROR(SUMIFS(INDIRECT("'Thanh Toán ("&amp;AE$3&amp;")'!$F:$F"),INDIRECT("'Thanh Toán ("&amp;AE$3&amp;")'!$D:$D"),'Tổng Đơn'!$B29),0)</f>
        <v>0</v>
      </c>
      <c r="AF29" s="2">
        <f ca="1">IFERROR(SUMIFS(INDIRECT("'Thanh Toán ("&amp;AF$3&amp;")'!$F:$F"),INDIRECT("'Thanh Toán ("&amp;AF$3&amp;")'!$D:$D"),'Tổng Đơn'!$B29),0)</f>
        <v>0</v>
      </c>
      <c r="AG29" s="2">
        <f ca="1">IFERROR(SUMIFS(INDIRECT("'Thanh Toán ("&amp;AG$3&amp;")'!$F:$F"),INDIRECT("'Thanh Toán ("&amp;AG$3&amp;")'!$D:$D"),'Tổng Đơn'!$B29),0)</f>
        <v>0</v>
      </c>
      <c r="AH29" s="2">
        <f ca="1">IFERROR(SUMIFS(INDIRECT("'Thanh Toán ("&amp;AH$3&amp;")'!$F:$F"),INDIRECT("'Thanh Toán ("&amp;AH$3&amp;")'!$D:$D"),'Tổng Đơn'!$B29),0)</f>
        <v>0</v>
      </c>
      <c r="AI29" s="2">
        <f ca="1">IFERROR(SUMIFS(INDIRECT("'Thanh Toán ("&amp;AI$3&amp;")'!$F:$F"),INDIRECT("'Thanh Toán ("&amp;AI$3&amp;")'!$D:$D"),'Tổng Đơn'!$B29),0)</f>
        <v>0</v>
      </c>
      <c r="AJ29" s="2">
        <f ca="1">IFERROR(SUMIFS(INDIRECT("'Thanh Toán ("&amp;AJ$3&amp;")'!$F:$F"),INDIRECT("'Thanh Toán ("&amp;AJ$3&amp;")'!$D:$D"),'Tổng Đơn'!$B29),0)</f>
        <v>0</v>
      </c>
      <c r="AK29" s="2">
        <f ca="1">IFERROR(SUMIFS(INDIRECT("'Thanh Toán ("&amp;AK$3&amp;")'!$F:$F"),INDIRECT("'Thanh Toán ("&amp;AK$3&amp;")'!$D:$D"),'Tổng Đơn'!$B29),0)</f>
        <v>0</v>
      </c>
      <c r="AL29" s="2">
        <f ca="1">IFERROR(SUMIFS(INDIRECT("'Thanh Toán ("&amp;AL$3&amp;")'!$F:$F"),INDIRECT("'Thanh Toán ("&amp;AL$3&amp;")'!$D:$D"),'Tổng Đơn'!$B29),0)</f>
        <v>0</v>
      </c>
      <c r="AM29" s="2">
        <f ca="1">IFERROR(SUMIFS(INDIRECT("'Thanh Toán ("&amp;AM$3&amp;")'!$F:$F"),INDIRECT("'Thanh Toán ("&amp;AM$3&amp;")'!$D:$D"),'Tổng Đơn'!$B29),0)</f>
        <v>0</v>
      </c>
      <c r="AN29" s="2">
        <f ca="1">IFERROR(SUMIFS(INDIRECT("'Thanh Toán ("&amp;AN$3&amp;")'!$F:$F"),INDIRECT("'Thanh Toán ("&amp;AN$3&amp;")'!$D:$D"),'Tổng Đơn'!$B29),0)</f>
        <v>0</v>
      </c>
      <c r="AO29" s="2">
        <f ca="1">IFERROR(SUMIFS(INDIRECT("'Thanh Toán ("&amp;AO$3&amp;")'!$F:$F"),INDIRECT("'Thanh Toán ("&amp;AO$3&amp;")'!$D:$D"),'Tổng Đơn'!$B29),0)</f>
        <v>0</v>
      </c>
      <c r="AP29" s="2">
        <f ca="1">IFERROR(SUMIFS(INDIRECT("'Thanh Toán ("&amp;AP$3&amp;")'!$F:$F"),INDIRECT("'Thanh Toán ("&amp;AP$3&amp;")'!$D:$D"),'Tổng Đơn'!$B29),0)</f>
        <v>0</v>
      </c>
      <c r="AQ29" s="2">
        <f ca="1">IFERROR(SUMIFS(INDIRECT("'Thanh Toán ("&amp;AQ$3&amp;")'!$F:$F"),INDIRECT("'Thanh Toán ("&amp;AQ$3&amp;")'!$D:$D"),'Tổng Đơn'!$B29),0)</f>
        <v>0</v>
      </c>
      <c r="AR29" s="2">
        <f ca="1">IFERROR(SUMIFS(INDIRECT("'Thanh Toán ("&amp;AR$3&amp;")'!$F:$F"),INDIRECT("'Thanh Toán ("&amp;AR$3&amp;")'!$D:$D"),'Tổng Đơn'!$B29),0)</f>
        <v>0</v>
      </c>
      <c r="AS29" s="2">
        <f ca="1">IFERROR(SUMIFS(INDIRECT("'Thanh Toán ("&amp;AS$3&amp;")'!$F:$F"),INDIRECT("'Thanh Toán ("&amp;AS$3&amp;")'!$D:$D"),'Tổng Đơn'!$B29),0)</f>
        <v>0</v>
      </c>
      <c r="AT29" s="2">
        <f ca="1">IFERROR(SUMIFS(INDIRECT("'Thanh Toán ("&amp;AT$3&amp;")'!$F:$F"),INDIRECT("'Thanh Toán ("&amp;AT$3&amp;")'!$D:$D"),'Tổng Đơn'!$B29),0)</f>
        <v>0</v>
      </c>
      <c r="AU29" s="2">
        <f ca="1">IFERROR(SUMIFS(INDIRECT("'Thanh Toán ("&amp;AU$3&amp;")'!$F:$F"),INDIRECT("'Thanh Toán ("&amp;AU$3&amp;")'!$D:$D"),'Tổng Đơn'!$B29),0)</f>
        <v>0</v>
      </c>
      <c r="AV29" s="2">
        <f ca="1">IFERROR(SUMIFS(INDIRECT("'Thanh Toán ("&amp;AV$3&amp;")'!$F:$F"),INDIRECT("'Thanh Toán ("&amp;AV$3&amp;")'!$D:$D"),'Tổng Đơn'!$B29),0)</f>
        <v>0</v>
      </c>
      <c r="AW29" s="2">
        <f ca="1">IFERROR(SUMIFS(INDIRECT("'Thanh Toán ("&amp;AW$3&amp;")'!$F:$F"),INDIRECT("'Thanh Toán ("&amp;AW$3&amp;")'!$D:$D"),'Tổng Đơn'!$B29),0)</f>
        <v>0</v>
      </c>
      <c r="AX29" s="2">
        <f ca="1">IFERROR(SUMIFS(INDIRECT("'Thanh Toán ("&amp;AX$3&amp;")'!$F:$F"),INDIRECT("'Thanh Toán ("&amp;AX$3&amp;")'!$D:$D"),'Tổng Đơn'!$B29),0)</f>
        <v>0</v>
      </c>
      <c r="AY29" s="2">
        <f ca="1">IFERROR(SUMIFS(INDIRECT("'Thanh Toán ("&amp;AY$3&amp;")'!$F:$F"),INDIRECT("'Thanh Toán ("&amp;AY$3&amp;")'!$D:$D"),'Tổng Đơn'!$B29),0)</f>
        <v>0</v>
      </c>
      <c r="AZ29" s="2">
        <f ca="1">IFERROR(SUMIFS(INDIRECT("'Thanh Toán ("&amp;AZ$3&amp;")'!$F:$F"),INDIRECT("'Thanh Toán ("&amp;AZ$3&amp;")'!$D:$D"),'Tổng Đơn'!$B29),0)</f>
        <v>0</v>
      </c>
      <c r="BA29" s="2">
        <f ca="1">IFERROR(SUMIFS(INDIRECT("'Thanh Toán ("&amp;BA$3&amp;")'!$F:$F"),INDIRECT("'Thanh Toán ("&amp;BA$3&amp;")'!$D:$D"),'Tổng Đơn'!$B29),0)</f>
        <v>0</v>
      </c>
      <c r="BB29" s="2">
        <f ca="1">IFERROR(SUMIFS(INDIRECT("'Thanh Toán ("&amp;BB$3&amp;")'!$F:$F"),INDIRECT("'Thanh Toán ("&amp;BB$3&amp;")'!$D:$D"),'Tổng Đơn'!$B29),0)</f>
        <v>0</v>
      </c>
      <c r="BC29" s="2">
        <f ca="1">IFERROR(SUMIFS(INDIRECT("'Thanh Toán ("&amp;BC$3&amp;")'!$F:$F"),INDIRECT("'Thanh Toán ("&amp;BC$3&amp;")'!$D:$D"),'Tổng Đơn'!$B29),0)</f>
        <v>0</v>
      </c>
    </row>
    <row r="30" spans="1:55" ht="18" customHeight="1" x14ac:dyDescent="0.25">
      <c r="A30" s="201">
        <v>23</v>
      </c>
      <c r="B30" s="202" t="s">
        <v>8</v>
      </c>
      <c r="C30" s="201" t="s">
        <v>82</v>
      </c>
      <c r="D30" s="203">
        <f>VLOOKUP($C30,Sheet1!$C$5:$D$98,2,0)</f>
        <v>69000</v>
      </c>
      <c r="E30" s="204">
        <v>0.5</v>
      </c>
      <c r="F30" s="205">
        <f t="shared" ca="1" si="2"/>
        <v>0</v>
      </c>
      <c r="G30" s="206">
        <f>IFERROR(VLOOKUP($B30,Gà!C:J,8,0),IFERROR(VLOOKUP($B30,TVP!C:J,7,0),IFERROR(VLOOKUP($B30,Kitkool!C:J,8,0),IFERROR(VLOOKUP($B30,'La Cusina'!C:J,8,0),VLOOKUP($B30,'Quốc Nhân'!C:J,8,0)))))</f>
        <v>58.988324221317534</v>
      </c>
      <c r="H30" s="207">
        <f t="shared" ca="1" si="4"/>
        <v>0</v>
      </c>
      <c r="I30" s="207"/>
      <c r="J30" s="207">
        <f t="shared" ca="1" si="3"/>
        <v>0</v>
      </c>
      <c r="K30" s="53"/>
      <c r="L30" s="2">
        <f ca="1">IFERROR(SUMIFS(INDIRECT("'Thanh Toán ("&amp;L$3&amp;")'!$F:$F"),INDIRECT("'Thanh Toán ("&amp;L$3&amp;")'!$D:$D"),'Tổng Đơn'!$B30),0)</f>
        <v>0</v>
      </c>
      <c r="M30" s="2">
        <f ca="1">IFERROR(SUMIFS(INDIRECT("'Thanh Toán ("&amp;M$3&amp;")'!$F:$F"),INDIRECT("'Thanh Toán ("&amp;M$3&amp;")'!$D:$D"),'Tổng Đơn'!$B30),0)</f>
        <v>0</v>
      </c>
      <c r="N30" s="2">
        <f ca="1">IFERROR(SUMIFS(INDIRECT("'Thanh Toán ("&amp;N$3&amp;")'!$F:$F"),INDIRECT("'Thanh Toán ("&amp;N$3&amp;")'!$D:$D"),'Tổng Đơn'!$B30),0)</f>
        <v>0</v>
      </c>
      <c r="O30" s="2">
        <f ca="1">IFERROR(SUMIFS(INDIRECT("'Thanh Toán ("&amp;O$3&amp;")'!$F:$F"),INDIRECT("'Thanh Toán ("&amp;O$3&amp;")'!$D:$D"),'Tổng Đơn'!$B30),0)</f>
        <v>0</v>
      </c>
      <c r="P30" s="2">
        <f ca="1">IFERROR(SUMIFS(INDIRECT("'Thanh Toán ("&amp;P$3&amp;")'!$F:$F"),INDIRECT("'Thanh Toán ("&amp;P$3&amp;")'!$D:$D"),'Tổng Đơn'!$B30),0)</f>
        <v>0</v>
      </c>
      <c r="Q30" s="2">
        <f ca="1">IFERROR(SUMIFS(INDIRECT("'Thanh Toán ("&amp;Q$3&amp;")'!$F:$F"),INDIRECT("'Thanh Toán ("&amp;Q$3&amp;")'!$D:$D"),'Tổng Đơn'!$B30),0)</f>
        <v>0</v>
      </c>
      <c r="R30" s="2">
        <f ca="1">IFERROR(SUMIFS(INDIRECT("'Thanh Toán ("&amp;R$3&amp;")'!$F:$F"),INDIRECT("'Thanh Toán ("&amp;R$3&amp;")'!$D:$D"),'Tổng Đơn'!$B30),0)</f>
        <v>0</v>
      </c>
      <c r="S30" s="2">
        <f ca="1">IFERROR(SUMIFS(INDIRECT("'Thanh Toán ("&amp;S$3&amp;")'!$F:$F"),INDIRECT("'Thanh Toán ("&amp;S$3&amp;")'!$D:$D"),'Tổng Đơn'!$B30),0)</f>
        <v>0</v>
      </c>
      <c r="T30" s="2">
        <f ca="1">IFERROR(SUMIFS(INDIRECT("'Thanh Toán ("&amp;T$3&amp;")'!$F:$F"),INDIRECT("'Thanh Toán ("&amp;T$3&amp;")'!$D:$D"),'Tổng Đơn'!$B30),0)</f>
        <v>0</v>
      </c>
      <c r="U30" s="2">
        <f ca="1">IFERROR(SUMIFS(INDIRECT("'Thanh Toán ("&amp;U$3&amp;")'!$F:$F"),INDIRECT("'Thanh Toán ("&amp;U$3&amp;")'!$D:$D"),'Tổng Đơn'!$B30),0)</f>
        <v>0</v>
      </c>
      <c r="V30" s="2">
        <f ca="1">IFERROR(SUMIFS(INDIRECT("'Thanh Toán ("&amp;V$3&amp;")'!$F:$F"),INDIRECT("'Thanh Toán ("&amp;V$3&amp;")'!$D:$D"),'Tổng Đơn'!$B30),0)</f>
        <v>0</v>
      </c>
      <c r="W30" s="2">
        <f ca="1">IFERROR(SUMIFS(INDIRECT("'Thanh Toán ("&amp;W$3&amp;")'!$F:$F"),INDIRECT("'Thanh Toán ("&amp;W$3&amp;")'!$D:$D"),'Tổng Đơn'!$B30),0)</f>
        <v>0</v>
      </c>
      <c r="X30" s="2">
        <f ca="1">IFERROR(SUMIFS(INDIRECT("'Thanh Toán ("&amp;X$3&amp;")'!$F:$F"),INDIRECT("'Thanh Toán ("&amp;X$3&amp;")'!$D:$D"),'Tổng Đơn'!$B30),0)</f>
        <v>0</v>
      </c>
      <c r="Y30" s="2">
        <f ca="1">IFERROR(SUMIFS(INDIRECT("'Thanh Toán ("&amp;Y$3&amp;")'!$F:$F"),INDIRECT("'Thanh Toán ("&amp;Y$3&amp;")'!$D:$D"),'Tổng Đơn'!$B30),0)</f>
        <v>0</v>
      </c>
      <c r="Z30" s="2">
        <f ca="1">IFERROR(SUMIFS(INDIRECT("'Thanh Toán ("&amp;Z$3&amp;")'!$F:$F"),INDIRECT("'Thanh Toán ("&amp;Z$3&amp;")'!$D:$D"),'Tổng Đơn'!$B30),0)</f>
        <v>0</v>
      </c>
      <c r="AA30" s="2">
        <f ca="1">IFERROR(SUMIFS(INDIRECT("'Thanh Toán ("&amp;AA$3&amp;")'!$F:$F"),INDIRECT("'Thanh Toán ("&amp;AA$3&amp;")'!$D:$D"),'Tổng Đơn'!$B30),0)</f>
        <v>0</v>
      </c>
      <c r="AB30" s="2">
        <f ca="1">IFERROR(SUMIFS(INDIRECT("'Thanh Toán ("&amp;AB$3&amp;")'!$F:$F"),INDIRECT("'Thanh Toán ("&amp;AB$3&amp;")'!$D:$D"),'Tổng Đơn'!$B30),0)</f>
        <v>0</v>
      </c>
      <c r="AC30" s="2">
        <f ca="1">IFERROR(SUMIFS(INDIRECT("'Thanh Toán ("&amp;AC$3&amp;")'!$F:$F"),INDIRECT("'Thanh Toán ("&amp;AC$3&amp;")'!$D:$D"),'Tổng Đơn'!$B30),0)</f>
        <v>0</v>
      </c>
      <c r="AD30" s="2">
        <f ca="1">IFERROR(SUMIFS(INDIRECT("'Thanh Toán ("&amp;AD$3&amp;")'!$F:$F"),INDIRECT("'Thanh Toán ("&amp;AD$3&amp;")'!$D:$D"),'Tổng Đơn'!$B30),0)</f>
        <v>0</v>
      </c>
      <c r="AE30" s="2">
        <f ca="1">IFERROR(SUMIFS(INDIRECT("'Thanh Toán ("&amp;AE$3&amp;")'!$F:$F"),INDIRECT("'Thanh Toán ("&amp;AE$3&amp;")'!$D:$D"),'Tổng Đơn'!$B30),0)</f>
        <v>0</v>
      </c>
      <c r="AF30" s="2">
        <f ca="1">IFERROR(SUMIFS(INDIRECT("'Thanh Toán ("&amp;AF$3&amp;")'!$F:$F"),INDIRECT("'Thanh Toán ("&amp;AF$3&amp;")'!$D:$D"),'Tổng Đơn'!$B30),0)</f>
        <v>0</v>
      </c>
      <c r="AG30" s="2">
        <f ca="1">IFERROR(SUMIFS(INDIRECT("'Thanh Toán ("&amp;AG$3&amp;")'!$F:$F"),INDIRECT("'Thanh Toán ("&amp;AG$3&amp;")'!$D:$D"),'Tổng Đơn'!$B30),0)</f>
        <v>0</v>
      </c>
      <c r="AH30" s="2">
        <f ca="1">IFERROR(SUMIFS(INDIRECT("'Thanh Toán ("&amp;AH$3&amp;")'!$F:$F"),INDIRECT("'Thanh Toán ("&amp;AH$3&amp;")'!$D:$D"),'Tổng Đơn'!$B30),0)</f>
        <v>0</v>
      </c>
      <c r="AI30" s="2">
        <f ca="1">IFERROR(SUMIFS(INDIRECT("'Thanh Toán ("&amp;AI$3&amp;")'!$F:$F"),INDIRECT("'Thanh Toán ("&amp;AI$3&amp;")'!$D:$D"),'Tổng Đơn'!$B30),0)</f>
        <v>0</v>
      </c>
      <c r="AJ30" s="2">
        <f ca="1">IFERROR(SUMIFS(INDIRECT("'Thanh Toán ("&amp;AJ$3&amp;")'!$F:$F"),INDIRECT("'Thanh Toán ("&amp;AJ$3&amp;")'!$D:$D"),'Tổng Đơn'!$B30),0)</f>
        <v>0</v>
      </c>
      <c r="AK30" s="2">
        <f ca="1">IFERROR(SUMIFS(INDIRECT("'Thanh Toán ("&amp;AK$3&amp;")'!$F:$F"),INDIRECT("'Thanh Toán ("&amp;AK$3&amp;")'!$D:$D"),'Tổng Đơn'!$B30),0)</f>
        <v>0</v>
      </c>
      <c r="AL30" s="2">
        <f ca="1">IFERROR(SUMIFS(INDIRECT("'Thanh Toán ("&amp;AL$3&amp;")'!$F:$F"),INDIRECT("'Thanh Toán ("&amp;AL$3&amp;")'!$D:$D"),'Tổng Đơn'!$B30),0)</f>
        <v>0</v>
      </c>
      <c r="AM30" s="2">
        <f ca="1">IFERROR(SUMIFS(INDIRECT("'Thanh Toán ("&amp;AM$3&amp;")'!$F:$F"),INDIRECT("'Thanh Toán ("&amp;AM$3&amp;")'!$D:$D"),'Tổng Đơn'!$B30),0)</f>
        <v>0</v>
      </c>
      <c r="AN30" s="2">
        <f ca="1">IFERROR(SUMIFS(INDIRECT("'Thanh Toán ("&amp;AN$3&amp;")'!$F:$F"),INDIRECT("'Thanh Toán ("&amp;AN$3&amp;")'!$D:$D"),'Tổng Đơn'!$B30),0)</f>
        <v>0</v>
      </c>
      <c r="AO30" s="2">
        <f ca="1">IFERROR(SUMIFS(INDIRECT("'Thanh Toán ("&amp;AO$3&amp;")'!$F:$F"),INDIRECT("'Thanh Toán ("&amp;AO$3&amp;")'!$D:$D"),'Tổng Đơn'!$B30),0)</f>
        <v>0</v>
      </c>
      <c r="AP30" s="2">
        <f ca="1">IFERROR(SUMIFS(INDIRECT("'Thanh Toán ("&amp;AP$3&amp;")'!$F:$F"),INDIRECT("'Thanh Toán ("&amp;AP$3&amp;")'!$D:$D"),'Tổng Đơn'!$B30),0)</f>
        <v>0</v>
      </c>
      <c r="AQ30" s="2">
        <f ca="1">IFERROR(SUMIFS(INDIRECT("'Thanh Toán ("&amp;AQ$3&amp;")'!$F:$F"),INDIRECT("'Thanh Toán ("&amp;AQ$3&amp;")'!$D:$D"),'Tổng Đơn'!$B30),0)</f>
        <v>0</v>
      </c>
      <c r="AR30" s="2">
        <f ca="1">IFERROR(SUMIFS(INDIRECT("'Thanh Toán ("&amp;AR$3&amp;")'!$F:$F"),INDIRECT("'Thanh Toán ("&amp;AR$3&amp;")'!$D:$D"),'Tổng Đơn'!$B30),0)</f>
        <v>0</v>
      </c>
      <c r="AS30" s="2">
        <f ca="1">IFERROR(SUMIFS(INDIRECT("'Thanh Toán ("&amp;AS$3&amp;")'!$F:$F"),INDIRECT("'Thanh Toán ("&amp;AS$3&amp;")'!$D:$D"),'Tổng Đơn'!$B30),0)</f>
        <v>0</v>
      </c>
      <c r="AT30" s="2">
        <f ca="1">IFERROR(SUMIFS(INDIRECT("'Thanh Toán ("&amp;AT$3&amp;")'!$F:$F"),INDIRECT("'Thanh Toán ("&amp;AT$3&amp;")'!$D:$D"),'Tổng Đơn'!$B30),0)</f>
        <v>0</v>
      </c>
      <c r="AU30" s="2">
        <f ca="1">IFERROR(SUMIFS(INDIRECT("'Thanh Toán ("&amp;AU$3&amp;")'!$F:$F"),INDIRECT("'Thanh Toán ("&amp;AU$3&amp;")'!$D:$D"),'Tổng Đơn'!$B30),0)</f>
        <v>0</v>
      </c>
      <c r="AV30" s="2">
        <f ca="1">IFERROR(SUMIFS(INDIRECT("'Thanh Toán ("&amp;AV$3&amp;")'!$F:$F"),INDIRECT("'Thanh Toán ("&amp;AV$3&amp;")'!$D:$D"),'Tổng Đơn'!$B30),0)</f>
        <v>0</v>
      </c>
      <c r="AW30" s="2">
        <f ca="1">IFERROR(SUMIFS(INDIRECT("'Thanh Toán ("&amp;AW$3&amp;")'!$F:$F"),INDIRECT("'Thanh Toán ("&amp;AW$3&amp;")'!$D:$D"),'Tổng Đơn'!$B30),0)</f>
        <v>0</v>
      </c>
      <c r="AX30" s="2">
        <f ca="1">IFERROR(SUMIFS(INDIRECT("'Thanh Toán ("&amp;AX$3&amp;")'!$F:$F"),INDIRECT("'Thanh Toán ("&amp;AX$3&amp;")'!$D:$D"),'Tổng Đơn'!$B30),0)</f>
        <v>0</v>
      </c>
      <c r="AY30" s="2">
        <f ca="1">IFERROR(SUMIFS(INDIRECT("'Thanh Toán ("&amp;AY$3&amp;")'!$F:$F"),INDIRECT("'Thanh Toán ("&amp;AY$3&amp;")'!$D:$D"),'Tổng Đơn'!$B30),0)</f>
        <v>0</v>
      </c>
      <c r="AZ30" s="2">
        <f ca="1">IFERROR(SUMIFS(INDIRECT("'Thanh Toán ("&amp;AZ$3&amp;")'!$F:$F"),INDIRECT("'Thanh Toán ("&amp;AZ$3&amp;")'!$D:$D"),'Tổng Đơn'!$B30),0)</f>
        <v>0</v>
      </c>
      <c r="BA30" s="2">
        <f ca="1">IFERROR(SUMIFS(INDIRECT("'Thanh Toán ("&amp;BA$3&amp;")'!$F:$F"),INDIRECT("'Thanh Toán ("&amp;BA$3&amp;")'!$D:$D"),'Tổng Đơn'!$B30),0)</f>
        <v>0</v>
      </c>
      <c r="BB30" s="2">
        <f ca="1">IFERROR(SUMIFS(INDIRECT("'Thanh Toán ("&amp;BB$3&amp;")'!$F:$F"),INDIRECT("'Thanh Toán ("&amp;BB$3&amp;")'!$D:$D"),'Tổng Đơn'!$B30),0)</f>
        <v>0</v>
      </c>
      <c r="BC30" s="2">
        <f ca="1">IFERROR(SUMIFS(INDIRECT("'Thanh Toán ("&amp;BC$3&amp;")'!$F:$F"),INDIRECT("'Thanh Toán ("&amp;BC$3&amp;")'!$D:$D"),'Tổng Đơn'!$B30),0)</f>
        <v>0</v>
      </c>
    </row>
    <row r="31" spans="1:55" ht="18" customHeight="1" x14ac:dyDescent="0.25">
      <c r="A31" s="201">
        <v>24</v>
      </c>
      <c r="B31" s="202" t="s">
        <v>296</v>
      </c>
      <c r="C31" s="208" t="s">
        <v>83</v>
      </c>
      <c r="D31" s="203">
        <f>VLOOKUP($C31,Sheet1!$C$5:$D$98,2,0)</f>
        <v>40000</v>
      </c>
      <c r="E31" s="204">
        <v>0.5</v>
      </c>
      <c r="F31" s="205">
        <f t="shared" ca="1" si="2"/>
        <v>0</v>
      </c>
      <c r="G31" s="206">
        <f>IFERROR(VLOOKUP($B31,Gà!C:J,8,0),IFERROR(VLOOKUP($B31,TVP!C:J,7,0),IFERROR(VLOOKUP($B31,Kitkool!C:J,8,0),IFERROR(VLOOKUP($B31,'La Cusina'!C:J,8,0),VLOOKUP($B31,'Quốc Nhân'!C:J,8,0)))))</f>
        <v>33.737282815030504</v>
      </c>
      <c r="H31" s="207">
        <f t="shared" ca="1" si="4"/>
        <v>0</v>
      </c>
      <c r="I31" s="207"/>
      <c r="J31" s="207">
        <f t="shared" ca="1" si="3"/>
        <v>0</v>
      </c>
      <c r="K31" s="53"/>
      <c r="L31" s="2">
        <f ca="1">IFERROR(SUMIFS(INDIRECT("'Thanh Toán ("&amp;L$3&amp;")'!$F:$F"),INDIRECT("'Thanh Toán ("&amp;L$3&amp;")'!$D:$D"),'Tổng Đơn'!$B31),0)</f>
        <v>0</v>
      </c>
      <c r="M31" s="2">
        <f ca="1">IFERROR(SUMIFS(INDIRECT("'Thanh Toán ("&amp;M$3&amp;")'!$F:$F"),INDIRECT("'Thanh Toán ("&amp;M$3&amp;")'!$D:$D"),'Tổng Đơn'!$B31),0)</f>
        <v>0</v>
      </c>
      <c r="N31" s="2">
        <f ca="1">IFERROR(SUMIFS(INDIRECT("'Thanh Toán ("&amp;N$3&amp;")'!$F:$F"),INDIRECT("'Thanh Toán ("&amp;N$3&amp;")'!$D:$D"),'Tổng Đơn'!$B31),0)</f>
        <v>0</v>
      </c>
      <c r="O31" s="2">
        <f ca="1">IFERROR(SUMIFS(INDIRECT("'Thanh Toán ("&amp;O$3&amp;")'!$F:$F"),INDIRECT("'Thanh Toán ("&amp;O$3&amp;")'!$D:$D"),'Tổng Đơn'!$B31),0)</f>
        <v>0</v>
      </c>
      <c r="P31" s="2">
        <f ca="1">IFERROR(SUMIFS(INDIRECT("'Thanh Toán ("&amp;P$3&amp;")'!$F:$F"),INDIRECT("'Thanh Toán ("&amp;P$3&amp;")'!$D:$D"),'Tổng Đơn'!$B31),0)</f>
        <v>0</v>
      </c>
      <c r="Q31" s="2">
        <f ca="1">IFERROR(SUMIFS(INDIRECT("'Thanh Toán ("&amp;Q$3&amp;")'!$F:$F"),INDIRECT("'Thanh Toán ("&amp;Q$3&amp;")'!$D:$D"),'Tổng Đơn'!$B31),0)</f>
        <v>0</v>
      </c>
      <c r="R31" s="2">
        <f ca="1">IFERROR(SUMIFS(INDIRECT("'Thanh Toán ("&amp;R$3&amp;")'!$F:$F"),INDIRECT("'Thanh Toán ("&amp;R$3&amp;")'!$D:$D"),'Tổng Đơn'!$B31),0)</f>
        <v>0</v>
      </c>
      <c r="S31" s="2">
        <f ca="1">IFERROR(SUMIFS(INDIRECT("'Thanh Toán ("&amp;S$3&amp;")'!$F:$F"),INDIRECT("'Thanh Toán ("&amp;S$3&amp;")'!$D:$D"),'Tổng Đơn'!$B31),0)</f>
        <v>0</v>
      </c>
      <c r="T31" s="2">
        <f ca="1">IFERROR(SUMIFS(INDIRECT("'Thanh Toán ("&amp;T$3&amp;")'!$F:$F"),INDIRECT("'Thanh Toán ("&amp;T$3&amp;")'!$D:$D"),'Tổng Đơn'!$B31),0)</f>
        <v>0</v>
      </c>
      <c r="U31" s="2">
        <f ca="1">IFERROR(SUMIFS(INDIRECT("'Thanh Toán ("&amp;U$3&amp;")'!$F:$F"),INDIRECT("'Thanh Toán ("&amp;U$3&amp;")'!$D:$D"),'Tổng Đơn'!$B31),0)</f>
        <v>0</v>
      </c>
      <c r="V31" s="2">
        <f ca="1">IFERROR(SUMIFS(INDIRECT("'Thanh Toán ("&amp;V$3&amp;")'!$F:$F"),INDIRECT("'Thanh Toán ("&amp;V$3&amp;")'!$D:$D"),'Tổng Đơn'!$B31),0)</f>
        <v>0</v>
      </c>
      <c r="W31" s="2">
        <f ca="1">IFERROR(SUMIFS(INDIRECT("'Thanh Toán ("&amp;W$3&amp;")'!$F:$F"),INDIRECT("'Thanh Toán ("&amp;W$3&amp;")'!$D:$D"),'Tổng Đơn'!$B31),0)</f>
        <v>0</v>
      </c>
      <c r="X31" s="2">
        <f ca="1">IFERROR(SUMIFS(INDIRECT("'Thanh Toán ("&amp;X$3&amp;")'!$F:$F"),INDIRECT("'Thanh Toán ("&amp;X$3&amp;")'!$D:$D"),'Tổng Đơn'!$B31),0)</f>
        <v>0</v>
      </c>
      <c r="Y31" s="2">
        <f ca="1">IFERROR(SUMIFS(INDIRECT("'Thanh Toán ("&amp;Y$3&amp;")'!$F:$F"),INDIRECT("'Thanh Toán ("&amp;Y$3&amp;")'!$D:$D"),'Tổng Đơn'!$B31),0)</f>
        <v>0</v>
      </c>
      <c r="Z31" s="2">
        <f ca="1">IFERROR(SUMIFS(INDIRECT("'Thanh Toán ("&amp;Z$3&amp;")'!$F:$F"),INDIRECT("'Thanh Toán ("&amp;Z$3&amp;")'!$D:$D"),'Tổng Đơn'!$B31),0)</f>
        <v>0</v>
      </c>
      <c r="AA31" s="2">
        <f ca="1">IFERROR(SUMIFS(INDIRECT("'Thanh Toán ("&amp;AA$3&amp;")'!$F:$F"),INDIRECT("'Thanh Toán ("&amp;AA$3&amp;")'!$D:$D"),'Tổng Đơn'!$B31),0)</f>
        <v>0</v>
      </c>
      <c r="AB31" s="2">
        <f ca="1">IFERROR(SUMIFS(INDIRECT("'Thanh Toán ("&amp;AB$3&amp;")'!$F:$F"),INDIRECT("'Thanh Toán ("&amp;AB$3&amp;")'!$D:$D"),'Tổng Đơn'!$B31),0)</f>
        <v>0</v>
      </c>
      <c r="AC31" s="2">
        <f ca="1">IFERROR(SUMIFS(INDIRECT("'Thanh Toán ("&amp;AC$3&amp;")'!$F:$F"),INDIRECT("'Thanh Toán ("&amp;AC$3&amp;")'!$D:$D"),'Tổng Đơn'!$B31),0)</f>
        <v>0</v>
      </c>
      <c r="AD31" s="2">
        <f ca="1">IFERROR(SUMIFS(INDIRECT("'Thanh Toán ("&amp;AD$3&amp;")'!$F:$F"),INDIRECT("'Thanh Toán ("&amp;AD$3&amp;")'!$D:$D"),'Tổng Đơn'!$B31),0)</f>
        <v>0</v>
      </c>
      <c r="AE31" s="2">
        <f ca="1">IFERROR(SUMIFS(INDIRECT("'Thanh Toán ("&amp;AE$3&amp;")'!$F:$F"),INDIRECT("'Thanh Toán ("&amp;AE$3&amp;")'!$D:$D"),'Tổng Đơn'!$B31),0)</f>
        <v>0</v>
      </c>
      <c r="AF31" s="2">
        <f ca="1">IFERROR(SUMIFS(INDIRECT("'Thanh Toán ("&amp;AF$3&amp;")'!$F:$F"),INDIRECT("'Thanh Toán ("&amp;AF$3&amp;")'!$D:$D"),'Tổng Đơn'!$B31),0)</f>
        <v>0</v>
      </c>
      <c r="AG31" s="2">
        <f ca="1">IFERROR(SUMIFS(INDIRECT("'Thanh Toán ("&amp;AG$3&amp;")'!$F:$F"),INDIRECT("'Thanh Toán ("&amp;AG$3&amp;")'!$D:$D"),'Tổng Đơn'!$B31),0)</f>
        <v>0</v>
      </c>
      <c r="AH31" s="2">
        <f ca="1">IFERROR(SUMIFS(INDIRECT("'Thanh Toán ("&amp;AH$3&amp;")'!$F:$F"),INDIRECT("'Thanh Toán ("&amp;AH$3&amp;")'!$D:$D"),'Tổng Đơn'!$B31),0)</f>
        <v>0</v>
      </c>
      <c r="AI31" s="2">
        <f ca="1">IFERROR(SUMIFS(INDIRECT("'Thanh Toán ("&amp;AI$3&amp;")'!$F:$F"),INDIRECT("'Thanh Toán ("&amp;AI$3&amp;")'!$D:$D"),'Tổng Đơn'!$B31),0)</f>
        <v>0</v>
      </c>
      <c r="AJ31" s="2">
        <f ca="1">IFERROR(SUMIFS(INDIRECT("'Thanh Toán ("&amp;AJ$3&amp;")'!$F:$F"),INDIRECT("'Thanh Toán ("&amp;AJ$3&amp;")'!$D:$D"),'Tổng Đơn'!$B31),0)</f>
        <v>0</v>
      </c>
      <c r="AK31" s="2">
        <f ca="1">IFERROR(SUMIFS(INDIRECT("'Thanh Toán ("&amp;AK$3&amp;")'!$F:$F"),INDIRECT("'Thanh Toán ("&amp;AK$3&amp;")'!$D:$D"),'Tổng Đơn'!$B31),0)</f>
        <v>0</v>
      </c>
      <c r="AL31" s="2">
        <f ca="1">IFERROR(SUMIFS(INDIRECT("'Thanh Toán ("&amp;AL$3&amp;")'!$F:$F"),INDIRECT("'Thanh Toán ("&amp;AL$3&amp;")'!$D:$D"),'Tổng Đơn'!$B31),0)</f>
        <v>0</v>
      </c>
      <c r="AM31" s="2">
        <f ca="1">IFERROR(SUMIFS(INDIRECT("'Thanh Toán ("&amp;AM$3&amp;")'!$F:$F"),INDIRECT("'Thanh Toán ("&amp;AM$3&amp;")'!$D:$D"),'Tổng Đơn'!$B31),0)</f>
        <v>0</v>
      </c>
      <c r="AN31" s="2">
        <f ca="1">IFERROR(SUMIFS(INDIRECT("'Thanh Toán ("&amp;AN$3&amp;")'!$F:$F"),INDIRECT("'Thanh Toán ("&amp;AN$3&amp;")'!$D:$D"),'Tổng Đơn'!$B31),0)</f>
        <v>0</v>
      </c>
      <c r="AO31" s="2">
        <f ca="1">IFERROR(SUMIFS(INDIRECT("'Thanh Toán ("&amp;AO$3&amp;")'!$F:$F"),INDIRECT("'Thanh Toán ("&amp;AO$3&amp;")'!$D:$D"),'Tổng Đơn'!$B31),0)</f>
        <v>0</v>
      </c>
      <c r="AP31" s="2">
        <f ca="1">IFERROR(SUMIFS(INDIRECT("'Thanh Toán ("&amp;AP$3&amp;")'!$F:$F"),INDIRECT("'Thanh Toán ("&amp;AP$3&amp;")'!$D:$D"),'Tổng Đơn'!$B31),0)</f>
        <v>0</v>
      </c>
      <c r="AQ31" s="2">
        <f ca="1">IFERROR(SUMIFS(INDIRECT("'Thanh Toán ("&amp;AQ$3&amp;")'!$F:$F"),INDIRECT("'Thanh Toán ("&amp;AQ$3&amp;")'!$D:$D"),'Tổng Đơn'!$B31),0)</f>
        <v>0</v>
      </c>
      <c r="AR31" s="2">
        <f ca="1">IFERROR(SUMIFS(INDIRECT("'Thanh Toán ("&amp;AR$3&amp;")'!$F:$F"),INDIRECT("'Thanh Toán ("&amp;AR$3&amp;")'!$D:$D"),'Tổng Đơn'!$B31),0)</f>
        <v>0</v>
      </c>
      <c r="AS31" s="2">
        <f ca="1">IFERROR(SUMIFS(INDIRECT("'Thanh Toán ("&amp;AS$3&amp;")'!$F:$F"),INDIRECT("'Thanh Toán ("&amp;AS$3&amp;")'!$D:$D"),'Tổng Đơn'!$B31),0)</f>
        <v>0</v>
      </c>
      <c r="AT31" s="2">
        <f ca="1">IFERROR(SUMIFS(INDIRECT("'Thanh Toán ("&amp;AT$3&amp;")'!$F:$F"),INDIRECT("'Thanh Toán ("&amp;AT$3&amp;")'!$D:$D"),'Tổng Đơn'!$B31),0)</f>
        <v>0</v>
      </c>
      <c r="AU31" s="2">
        <f ca="1">IFERROR(SUMIFS(INDIRECT("'Thanh Toán ("&amp;AU$3&amp;")'!$F:$F"),INDIRECT("'Thanh Toán ("&amp;AU$3&amp;")'!$D:$D"),'Tổng Đơn'!$B31),0)</f>
        <v>0</v>
      </c>
      <c r="AV31" s="2">
        <f ca="1">IFERROR(SUMIFS(INDIRECT("'Thanh Toán ("&amp;AV$3&amp;")'!$F:$F"),INDIRECT("'Thanh Toán ("&amp;AV$3&amp;")'!$D:$D"),'Tổng Đơn'!$B31),0)</f>
        <v>0</v>
      </c>
      <c r="AW31" s="2">
        <f ca="1">IFERROR(SUMIFS(INDIRECT("'Thanh Toán ("&amp;AW$3&amp;")'!$F:$F"),INDIRECT("'Thanh Toán ("&amp;AW$3&amp;")'!$D:$D"),'Tổng Đơn'!$B31),0)</f>
        <v>0</v>
      </c>
      <c r="AX31" s="2">
        <f ca="1">IFERROR(SUMIFS(INDIRECT("'Thanh Toán ("&amp;AX$3&amp;")'!$F:$F"),INDIRECT("'Thanh Toán ("&amp;AX$3&amp;")'!$D:$D"),'Tổng Đơn'!$B31),0)</f>
        <v>0</v>
      </c>
      <c r="AY31" s="2">
        <f ca="1">IFERROR(SUMIFS(INDIRECT("'Thanh Toán ("&amp;AY$3&amp;")'!$F:$F"),INDIRECT("'Thanh Toán ("&amp;AY$3&amp;")'!$D:$D"),'Tổng Đơn'!$B31),0)</f>
        <v>0</v>
      </c>
      <c r="AZ31" s="2">
        <f ca="1">IFERROR(SUMIFS(INDIRECT("'Thanh Toán ("&amp;AZ$3&amp;")'!$F:$F"),INDIRECT("'Thanh Toán ("&amp;AZ$3&amp;")'!$D:$D"),'Tổng Đơn'!$B31),0)</f>
        <v>0</v>
      </c>
      <c r="BA31" s="2">
        <f ca="1">IFERROR(SUMIFS(INDIRECT("'Thanh Toán ("&amp;BA$3&amp;")'!$F:$F"),INDIRECT("'Thanh Toán ("&amp;BA$3&amp;")'!$D:$D"),'Tổng Đơn'!$B31),0)</f>
        <v>0</v>
      </c>
      <c r="BB31" s="2">
        <f ca="1">IFERROR(SUMIFS(INDIRECT("'Thanh Toán ("&amp;BB$3&amp;")'!$F:$F"),INDIRECT("'Thanh Toán ("&amp;BB$3&amp;")'!$D:$D"),'Tổng Đơn'!$B31),0)</f>
        <v>0</v>
      </c>
      <c r="BC31" s="2">
        <f ca="1">IFERROR(SUMIFS(INDIRECT("'Thanh Toán ("&amp;BC$3&amp;")'!$F:$F"),INDIRECT("'Thanh Toán ("&amp;BC$3&amp;")'!$D:$D"),'Tổng Đơn'!$B31),0)</f>
        <v>0</v>
      </c>
    </row>
    <row r="32" spans="1:55" ht="18" customHeight="1" x14ac:dyDescent="0.25">
      <c r="A32" s="201">
        <v>25</v>
      </c>
      <c r="B32" s="202" t="s">
        <v>68</v>
      </c>
      <c r="C32" s="201" t="s">
        <v>84</v>
      </c>
      <c r="D32" s="203">
        <f>VLOOKUP($C32,Sheet1!$C$5:$D$98,2,0)</f>
        <v>35000</v>
      </c>
      <c r="E32" s="204">
        <v>0.5</v>
      </c>
      <c r="F32" s="205">
        <f t="shared" ca="1" si="2"/>
        <v>0</v>
      </c>
      <c r="G32" s="206">
        <f>IFERROR(VLOOKUP($B32,Gà!C:J,8,0),IFERROR(VLOOKUP($B32,TVP!C:J,7,0),IFERROR(VLOOKUP($B32,Kitkool!C:J,8,0),IFERROR(VLOOKUP($B32,'La Cusina'!C:J,8,0),VLOOKUP($B32,'Quốc Nhân'!C:J,8,0)))))</f>
        <v>27.69886528653171</v>
      </c>
      <c r="H32" s="207">
        <f t="shared" ca="1" si="4"/>
        <v>0</v>
      </c>
      <c r="I32" s="207"/>
      <c r="J32" s="207">
        <f t="shared" ca="1" si="3"/>
        <v>0</v>
      </c>
      <c r="K32" s="53"/>
      <c r="L32" s="2">
        <f ca="1">IFERROR(SUMIFS(INDIRECT("'Thanh Toán ("&amp;L$3&amp;")'!$F:$F"),INDIRECT("'Thanh Toán ("&amp;L$3&amp;")'!$D:$D"),'Tổng Đơn'!$B32),0)</f>
        <v>0</v>
      </c>
      <c r="M32" s="2">
        <f ca="1">IFERROR(SUMIFS(INDIRECT("'Thanh Toán ("&amp;M$3&amp;")'!$F:$F"),INDIRECT("'Thanh Toán ("&amp;M$3&amp;")'!$D:$D"),'Tổng Đơn'!$B32),0)</f>
        <v>0</v>
      </c>
      <c r="N32" s="2">
        <f ca="1">IFERROR(SUMIFS(INDIRECT("'Thanh Toán ("&amp;N$3&amp;")'!$F:$F"),INDIRECT("'Thanh Toán ("&amp;N$3&amp;")'!$D:$D"),'Tổng Đơn'!$B32),0)</f>
        <v>0</v>
      </c>
      <c r="O32" s="2">
        <f ca="1">IFERROR(SUMIFS(INDIRECT("'Thanh Toán ("&amp;O$3&amp;")'!$F:$F"),INDIRECT("'Thanh Toán ("&amp;O$3&amp;")'!$D:$D"),'Tổng Đơn'!$B32),0)</f>
        <v>0</v>
      </c>
      <c r="P32" s="2">
        <f ca="1">IFERROR(SUMIFS(INDIRECT("'Thanh Toán ("&amp;P$3&amp;")'!$F:$F"),INDIRECT("'Thanh Toán ("&amp;P$3&amp;")'!$D:$D"),'Tổng Đơn'!$B32),0)</f>
        <v>0</v>
      </c>
      <c r="Q32" s="2">
        <f ca="1">IFERROR(SUMIFS(INDIRECT("'Thanh Toán ("&amp;Q$3&amp;")'!$F:$F"),INDIRECT("'Thanh Toán ("&amp;Q$3&amp;")'!$D:$D"),'Tổng Đơn'!$B32),0)</f>
        <v>0</v>
      </c>
      <c r="R32" s="2">
        <f ca="1">IFERROR(SUMIFS(INDIRECT("'Thanh Toán ("&amp;R$3&amp;")'!$F:$F"),INDIRECT("'Thanh Toán ("&amp;R$3&amp;")'!$D:$D"),'Tổng Đơn'!$B32),0)</f>
        <v>0</v>
      </c>
      <c r="S32" s="2">
        <f ca="1">IFERROR(SUMIFS(INDIRECT("'Thanh Toán ("&amp;S$3&amp;")'!$F:$F"),INDIRECT("'Thanh Toán ("&amp;S$3&amp;")'!$D:$D"),'Tổng Đơn'!$B32),0)</f>
        <v>0</v>
      </c>
      <c r="T32" s="2">
        <f ca="1">IFERROR(SUMIFS(INDIRECT("'Thanh Toán ("&amp;T$3&amp;")'!$F:$F"),INDIRECT("'Thanh Toán ("&amp;T$3&amp;")'!$D:$D"),'Tổng Đơn'!$B32),0)</f>
        <v>0</v>
      </c>
      <c r="U32" s="2">
        <f ca="1">IFERROR(SUMIFS(INDIRECT("'Thanh Toán ("&amp;U$3&amp;")'!$F:$F"),INDIRECT("'Thanh Toán ("&amp;U$3&amp;")'!$D:$D"),'Tổng Đơn'!$B32),0)</f>
        <v>0</v>
      </c>
      <c r="V32" s="2">
        <f ca="1">IFERROR(SUMIFS(INDIRECT("'Thanh Toán ("&amp;V$3&amp;")'!$F:$F"),INDIRECT("'Thanh Toán ("&amp;V$3&amp;")'!$D:$D"),'Tổng Đơn'!$B32),0)</f>
        <v>0</v>
      </c>
      <c r="W32" s="2">
        <f ca="1">IFERROR(SUMIFS(INDIRECT("'Thanh Toán ("&amp;W$3&amp;")'!$F:$F"),INDIRECT("'Thanh Toán ("&amp;W$3&amp;")'!$D:$D"),'Tổng Đơn'!$B32),0)</f>
        <v>0</v>
      </c>
      <c r="X32" s="2">
        <f ca="1">IFERROR(SUMIFS(INDIRECT("'Thanh Toán ("&amp;X$3&amp;")'!$F:$F"),INDIRECT("'Thanh Toán ("&amp;X$3&amp;")'!$D:$D"),'Tổng Đơn'!$B32),0)</f>
        <v>0</v>
      </c>
      <c r="Y32" s="2">
        <f ca="1">IFERROR(SUMIFS(INDIRECT("'Thanh Toán ("&amp;Y$3&amp;")'!$F:$F"),INDIRECT("'Thanh Toán ("&amp;Y$3&amp;")'!$D:$D"),'Tổng Đơn'!$B32),0)</f>
        <v>0</v>
      </c>
      <c r="Z32" s="2">
        <f ca="1">IFERROR(SUMIFS(INDIRECT("'Thanh Toán ("&amp;Z$3&amp;")'!$F:$F"),INDIRECT("'Thanh Toán ("&amp;Z$3&amp;")'!$D:$D"),'Tổng Đơn'!$B32),0)</f>
        <v>0</v>
      </c>
      <c r="AA32" s="2">
        <f ca="1">IFERROR(SUMIFS(INDIRECT("'Thanh Toán ("&amp;AA$3&amp;")'!$F:$F"),INDIRECT("'Thanh Toán ("&amp;AA$3&amp;")'!$D:$D"),'Tổng Đơn'!$B32),0)</f>
        <v>0</v>
      </c>
      <c r="AB32" s="2">
        <f ca="1">IFERROR(SUMIFS(INDIRECT("'Thanh Toán ("&amp;AB$3&amp;")'!$F:$F"),INDIRECT("'Thanh Toán ("&amp;AB$3&amp;")'!$D:$D"),'Tổng Đơn'!$B32),0)</f>
        <v>0</v>
      </c>
      <c r="AC32" s="2">
        <f ca="1">IFERROR(SUMIFS(INDIRECT("'Thanh Toán ("&amp;AC$3&amp;")'!$F:$F"),INDIRECT("'Thanh Toán ("&amp;AC$3&amp;")'!$D:$D"),'Tổng Đơn'!$B32),0)</f>
        <v>0</v>
      </c>
      <c r="AD32" s="2">
        <f ca="1">IFERROR(SUMIFS(INDIRECT("'Thanh Toán ("&amp;AD$3&amp;")'!$F:$F"),INDIRECT("'Thanh Toán ("&amp;AD$3&amp;")'!$D:$D"),'Tổng Đơn'!$B32),0)</f>
        <v>0</v>
      </c>
      <c r="AE32" s="2">
        <f ca="1">IFERROR(SUMIFS(INDIRECT("'Thanh Toán ("&amp;AE$3&amp;")'!$F:$F"),INDIRECT("'Thanh Toán ("&amp;AE$3&amp;")'!$D:$D"),'Tổng Đơn'!$B32),0)</f>
        <v>0</v>
      </c>
      <c r="AF32" s="2">
        <f ca="1">IFERROR(SUMIFS(INDIRECT("'Thanh Toán ("&amp;AF$3&amp;")'!$F:$F"),INDIRECT("'Thanh Toán ("&amp;AF$3&amp;")'!$D:$D"),'Tổng Đơn'!$B32),0)</f>
        <v>0</v>
      </c>
      <c r="AG32" s="2">
        <f ca="1">IFERROR(SUMIFS(INDIRECT("'Thanh Toán ("&amp;AG$3&amp;")'!$F:$F"),INDIRECT("'Thanh Toán ("&amp;AG$3&amp;")'!$D:$D"),'Tổng Đơn'!$B32),0)</f>
        <v>0</v>
      </c>
      <c r="AH32" s="2">
        <f ca="1">IFERROR(SUMIFS(INDIRECT("'Thanh Toán ("&amp;AH$3&amp;")'!$F:$F"),INDIRECT("'Thanh Toán ("&amp;AH$3&amp;")'!$D:$D"),'Tổng Đơn'!$B32),0)</f>
        <v>0</v>
      </c>
      <c r="AI32" s="2">
        <f ca="1">IFERROR(SUMIFS(INDIRECT("'Thanh Toán ("&amp;AI$3&amp;")'!$F:$F"),INDIRECT("'Thanh Toán ("&amp;AI$3&amp;")'!$D:$D"),'Tổng Đơn'!$B32),0)</f>
        <v>0</v>
      </c>
      <c r="AJ32" s="2">
        <f ca="1">IFERROR(SUMIFS(INDIRECT("'Thanh Toán ("&amp;AJ$3&amp;")'!$F:$F"),INDIRECT("'Thanh Toán ("&amp;AJ$3&amp;")'!$D:$D"),'Tổng Đơn'!$B32),0)</f>
        <v>0</v>
      </c>
      <c r="AK32" s="2">
        <f ca="1">IFERROR(SUMIFS(INDIRECT("'Thanh Toán ("&amp;AK$3&amp;")'!$F:$F"),INDIRECT("'Thanh Toán ("&amp;AK$3&amp;")'!$D:$D"),'Tổng Đơn'!$B32),0)</f>
        <v>0</v>
      </c>
      <c r="AL32" s="2">
        <f ca="1">IFERROR(SUMIFS(INDIRECT("'Thanh Toán ("&amp;AL$3&amp;")'!$F:$F"),INDIRECT("'Thanh Toán ("&amp;AL$3&amp;")'!$D:$D"),'Tổng Đơn'!$B32),0)</f>
        <v>0</v>
      </c>
      <c r="AM32" s="2">
        <f ca="1">IFERROR(SUMIFS(INDIRECT("'Thanh Toán ("&amp;AM$3&amp;")'!$F:$F"),INDIRECT("'Thanh Toán ("&amp;AM$3&amp;")'!$D:$D"),'Tổng Đơn'!$B32),0)</f>
        <v>0</v>
      </c>
      <c r="AN32" s="2">
        <f ca="1">IFERROR(SUMIFS(INDIRECT("'Thanh Toán ("&amp;AN$3&amp;")'!$F:$F"),INDIRECT("'Thanh Toán ("&amp;AN$3&amp;")'!$D:$D"),'Tổng Đơn'!$B32),0)</f>
        <v>0</v>
      </c>
      <c r="AO32" s="2">
        <f ca="1">IFERROR(SUMIFS(INDIRECT("'Thanh Toán ("&amp;AO$3&amp;")'!$F:$F"),INDIRECT("'Thanh Toán ("&amp;AO$3&amp;")'!$D:$D"),'Tổng Đơn'!$B32),0)</f>
        <v>0</v>
      </c>
      <c r="AP32" s="2">
        <f ca="1">IFERROR(SUMIFS(INDIRECT("'Thanh Toán ("&amp;AP$3&amp;")'!$F:$F"),INDIRECT("'Thanh Toán ("&amp;AP$3&amp;")'!$D:$D"),'Tổng Đơn'!$B32),0)</f>
        <v>0</v>
      </c>
      <c r="AQ32" s="2">
        <f ca="1">IFERROR(SUMIFS(INDIRECT("'Thanh Toán ("&amp;AQ$3&amp;")'!$F:$F"),INDIRECT("'Thanh Toán ("&amp;AQ$3&amp;")'!$D:$D"),'Tổng Đơn'!$B32),0)</f>
        <v>0</v>
      </c>
      <c r="AR32" s="2">
        <f ca="1">IFERROR(SUMIFS(INDIRECT("'Thanh Toán ("&amp;AR$3&amp;")'!$F:$F"),INDIRECT("'Thanh Toán ("&amp;AR$3&amp;")'!$D:$D"),'Tổng Đơn'!$B32),0)</f>
        <v>0</v>
      </c>
      <c r="AS32" s="2">
        <f ca="1">IFERROR(SUMIFS(INDIRECT("'Thanh Toán ("&amp;AS$3&amp;")'!$F:$F"),INDIRECT("'Thanh Toán ("&amp;AS$3&amp;")'!$D:$D"),'Tổng Đơn'!$B32),0)</f>
        <v>0</v>
      </c>
      <c r="AT32" s="2">
        <f ca="1">IFERROR(SUMIFS(INDIRECT("'Thanh Toán ("&amp;AT$3&amp;")'!$F:$F"),INDIRECT("'Thanh Toán ("&amp;AT$3&amp;")'!$D:$D"),'Tổng Đơn'!$B32),0)</f>
        <v>0</v>
      </c>
      <c r="AU32" s="2">
        <f ca="1">IFERROR(SUMIFS(INDIRECT("'Thanh Toán ("&amp;AU$3&amp;")'!$F:$F"),INDIRECT("'Thanh Toán ("&amp;AU$3&amp;")'!$D:$D"),'Tổng Đơn'!$B32),0)</f>
        <v>0</v>
      </c>
      <c r="AV32" s="2">
        <f ca="1">IFERROR(SUMIFS(INDIRECT("'Thanh Toán ("&amp;AV$3&amp;")'!$F:$F"),INDIRECT("'Thanh Toán ("&amp;AV$3&amp;")'!$D:$D"),'Tổng Đơn'!$B32),0)</f>
        <v>0</v>
      </c>
      <c r="AW32" s="2">
        <f ca="1">IFERROR(SUMIFS(INDIRECT("'Thanh Toán ("&amp;AW$3&amp;")'!$F:$F"),INDIRECT("'Thanh Toán ("&amp;AW$3&amp;")'!$D:$D"),'Tổng Đơn'!$B32),0)</f>
        <v>0</v>
      </c>
      <c r="AX32" s="2">
        <f ca="1">IFERROR(SUMIFS(INDIRECT("'Thanh Toán ("&amp;AX$3&amp;")'!$F:$F"),INDIRECT("'Thanh Toán ("&amp;AX$3&amp;")'!$D:$D"),'Tổng Đơn'!$B32),0)</f>
        <v>0</v>
      </c>
      <c r="AY32" s="2">
        <f ca="1">IFERROR(SUMIFS(INDIRECT("'Thanh Toán ("&amp;AY$3&amp;")'!$F:$F"),INDIRECT("'Thanh Toán ("&amp;AY$3&amp;")'!$D:$D"),'Tổng Đơn'!$B32),0)</f>
        <v>0</v>
      </c>
      <c r="AZ32" s="2">
        <f ca="1">IFERROR(SUMIFS(INDIRECT("'Thanh Toán ("&amp;AZ$3&amp;")'!$F:$F"),INDIRECT("'Thanh Toán ("&amp;AZ$3&amp;")'!$D:$D"),'Tổng Đơn'!$B32),0)</f>
        <v>0</v>
      </c>
      <c r="BA32" s="2">
        <f ca="1">IFERROR(SUMIFS(INDIRECT("'Thanh Toán ("&amp;BA$3&amp;")'!$F:$F"),INDIRECT("'Thanh Toán ("&amp;BA$3&amp;")'!$D:$D"),'Tổng Đơn'!$B32),0)</f>
        <v>0</v>
      </c>
      <c r="BB32" s="2">
        <f ca="1">IFERROR(SUMIFS(INDIRECT("'Thanh Toán ("&amp;BB$3&amp;")'!$F:$F"),INDIRECT("'Thanh Toán ("&amp;BB$3&amp;")'!$D:$D"),'Tổng Đơn'!$B32),0)</f>
        <v>0</v>
      </c>
      <c r="BC32" s="2">
        <f ca="1">IFERROR(SUMIFS(INDIRECT("'Thanh Toán ("&amp;BC$3&amp;")'!$F:$F"),INDIRECT("'Thanh Toán ("&amp;BC$3&amp;")'!$D:$D"),'Tổng Đơn'!$B32),0)</f>
        <v>0</v>
      </c>
    </row>
    <row r="33" spans="1:55" ht="18" customHeight="1" x14ac:dyDescent="0.25">
      <c r="A33" s="201">
        <v>26</v>
      </c>
      <c r="B33" s="202" t="s">
        <v>29</v>
      </c>
      <c r="C33" s="208" t="s">
        <v>85</v>
      </c>
      <c r="D33" s="203">
        <f>VLOOKUP($C33,Sheet1!$C$5:$D$98,2,0)</f>
        <v>45000</v>
      </c>
      <c r="E33" s="204">
        <v>0.5</v>
      </c>
      <c r="F33" s="205">
        <f t="shared" ca="1" si="2"/>
        <v>3</v>
      </c>
      <c r="G33" s="206">
        <f>IFERROR(VLOOKUP($B33,Gà!C:J,8,0),IFERROR(VLOOKUP($B33,TVP!C:J,7,0),IFERROR(VLOOKUP($B33,Kitkool!C:J,8,0),IFERROR(VLOOKUP($B33,'La Cusina'!C:J,8,0),VLOOKUP($B33,'Quốc Nhân'!C:J,8,0)))))</f>
        <v>40.893676139430909</v>
      </c>
      <c r="H33" s="207">
        <f t="shared" ca="1" si="4"/>
        <v>12318.971581707279</v>
      </c>
      <c r="I33" s="207"/>
      <c r="J33" s="207">
        <f t="shared" ca="1" si="3"/>
        <v>122681.02841829273</v>
      </c>
      <c r="K33" s="53"/>
      <c r="L33" s="2">
        <f ca="1">IFERROR(SUMIFS(INDIRECT("'Thanh Toán ("&amp;L$3&amp;")'!$F:$F"),INDIRECT("'Thanh Toán ("&amp;L$3&amp;")'!$D:$D"),'Tổng Đơn'!$B33),0)</f>
        <v>0</v>
      </c>
      <c r="M33" s="2">
        <f ca="1">IFERROR(SUMIFS(INDIRECT("'Thanh Toán ("&amp;M$3&amp;")'!$F:$F"),INDIRECT("'Thanh Toán ("&amp;M$3&amp;")'!$D:$D"),'Tổng Đơn'!$B33),0)</f>
        <v>1</v>
      </c>
      <c r="N33" s="2">
        <f ca="1">IFERROR(SUMIFS(INDIRECT("'Thanh Toán ("&amp;N$3&amp;")'!$F:$F"),INDIRECT("'Thanh Toán ("&amp;N$3&amp;")'!$D:$D"),'Tổng Đơn'!$B33),0)</f>
        <v>0</v>
      </c>
      <c r="O33" s="2">
        <f ca="1">IFERROR(SUMIFS(INDIRECT("'Thanh Toán ("&amp;O$3&amp;")'!$F:$F"),INDIRECT("'Thanh Toán ("&amp;O$3&amp;")'!$D:$D"),'Tổng Đơn'!$B33),0)</f>
        <v>2</v>
      </c>
      <c r="P33" s="2">
        <f ca="1">IFERROR(SUMIFS(INDIRECT("'Thanh Toán ("&amp;P$3&amp;")'!$F:$F"),INDIRECT("'Thanh Toán ("&amp;P$3&amp;")'!$D:$D"),'Tổng Đơn'!$B33),0)</f>
        <v>0</v>
      </c>
      <c r="Q33" s="2">
        <f ca="1">IFERROR(SUMIFS(INDIRECT("'Thanh Toán ("&amp;Q$3&amp;")'!$F:$F"),INDIRECT("'Thanh Toán ("&amp;Q$3&amp;")'!$D:$D"),'Tổng Đơn'!$B33),0)</f>
        <v>0</v>
      </c>
      <c r="R33" s="2">
        <f ca="1">IFERROR(SUMIFS(INDIRECT("'Thanh Toán ("&amp;R$3&amp;")'!$F:$F"),INDIRECT("'Thanh Toán ("&amp;R$3&amp;")'!$D:$D"),'Tổng Đơn'!$B33),0)</f>
        <v>0</v>
      </c>
      <c r="S33" s="2">
        <f ca="1">IFERROR(SUMIFS(INDIRECT("'Thanh Toán ("&amp;S$3&amp;")'!$F:$F"),INDIRECT("'Thanh Toán ("&amp;S$3&amp;")'!$D:$D"),'Tổng Đơn'!$B33),0)</f>
        <v>0</v>
      </c>
      <c r="T33" s="2">
        <f ca="1">IFERROR(SUMIFS(INDIRECT("'Thanh Toán ("&amp;T$3&amp;")'!$F:$F"),INDIRECT("'Thanh Toán ("&amp;T$3&amp;")'!$D:$D"),'Tổng Đơn'!$B33),0)</f>
        <v>0</v>
      </c>
      <c r="U33" s="2">
        <f ca="1">IFERROR(SUMIFS(INDIRECT("'Thanh Toán ("&amp;U$3&amp;")'!$F:$F"),INDIRECT("'Thanh Toán ("&amp;U$3&amp;")'!$D:$D"),'Tổng Đơn'!$B33),0)</f>
        <v>0</v>
      </c>
      <c r="V33" s="2">
        <f ca="1">IFERROR(SUMIFS(INDIRECT("'Thanh Toán ("&amp;V$3&amp;")'!$F:$F"),INDIRECT("'Thanh Toán ("&amp;V$3&amp;")'!$D:$D"),'Tổng Đơn'!$B33),0)</f>
        <v>0</v>
      </c>
      <c r="W33" s="2">
        <f ca="1">IFERROR(SUMIFS(INDIRECT("'Thanh Toán ("&amp;W$3&amp;")'!$F:$F"),INDIRECT("'Thanh Toán ("&amp;W$3&amp;")'!$D:$D"),'Tổng Đơn'!$B33),0)</f>
        <v>0</v>
      </c>
      <c r="X33" s="2">
        <f ca="1">IFERROR(SUMIFS(INDIRECT("'Thanh Toán ("&amp;X$3&amp;")'!$F:$F"),INDIRECT("'Thanh Toán ("&amp;X$3&amp;")'!$D:$D"),'Tổng Đơn'!$B33),0)</f>
        <v>0</v>
      </c>
      <c r="Y33" s="2">
        <f ca="1">IFERROR(SUMIFS(INDIRECT("'Thanh Toán ("&amp;Y$3&amp;")'!$F:$F"),INDIRECT("'Thanh Toán ("&amp;Y$3&amp;")'!$D:$D"),'Tổng Đơn'!$B33),0)</f>
        <v>0</v>
      </c>
      <c r="Z33" s="2">
        <f ca="1">IFERROR(SUMIFS(INDIRECT("'Thanh Toán ("&amp;Z$3&amp;")'!$F:$F"),INDIRECT("'Thanh Toán ("&amp;Z$3&amp;")'!$D:$D"),'Tổng Đơn'!$B33),0)</f>
        <v>0</v>
      </c>
      <c r="AA33" s="2">
        <f ca="1">IFERROR(SUMIFS(INDIRECT("'Thanh Toán ("&amp;AA$3&amp;")'!$F:$F"),INDIRECT("'Thanh Toán ("&amp;AA$3&amp;")'!$D:$D"),'Tổng Đơn'!$B33),0)</f>
        <v>0</v>
      </c>
      <c r="AB33" s="2">
        <f ca="1">IFERROR(SUMIFS(INDIRECT("'Thanh Toán ("&amp;AB$3&amp;")'!$F:$F"),INDIRECT("'Thanh Toán ("&amp;AB$3&amp;")'!$D:$D"),'Tổng Đơn'!$B33),0)</f>
        <v>0</v>
      </c>
      <c r="AC33" s="2">
        <f ca="1">IFERROR(SUMIFS(INDIRECT("'Thanh Toán ("&amp;AC$3&amp;")'!$F:$F"),INDIRECT("'Thanh Toán ("&amp;AC$3&amp;")'!$D:$D"),'Tổng Đơn'!$B33),0)</f>
        <v>0</v>
      </c>
      <c r="AD33" s="2">
        <f ca="1">IFERROR(SUMIFS(INDIRECT("'Thanh Toán ("&amp;AD$3&amp;")'!$F:$F"),INDIRECT("'Thanh Toán ("&amp;AD$3&amp;")'!$D:$D"),'Tổng Đơn'!$B33),0)</f>
        <v>0</v>
      </c>
      <c r="AE33" s="2">
        <f ca="1">IFERROR(SUMIFS(INDIRECT("'Thanh Toán ("&amp;AE$3&amp;")'!$F:$F"),INDIRECT("'Thanh Toán ("&amp;AE$3&amp;")'!$D:$D"),'Tổng Đơn'!$B33),0)</f>
        <v>0</v>
      </c>
      <c r="AF33" s="2">
        <f ca="1">IFERROR(SUMIFS(INDIRECT("'Thanh Toán ("&amp;AF$3&amp;")'!$F:$F"),INDIRECT("'Thanh Toán ("&amp;AF$3&amp;")'!$D:$D"),'Tổng Đơn'!$B33),0)</f>
        <v>0</v>
      </c>
      <c r="AG33" s="2">
        <f ca="1">IFERROR(SUMIFS(INDIRECT("'Thanh Toán ("&amp;AG$3&amp;")'!$F:$F"),INDIRECT("'Thanh Toán ("&amp;AG$3&amp;")'!$D:$D"),'Tổng Đơn'!$B33),0)</f>
        <v>0</v>
      </c>
      <c r="AH33" s="2">
        <f ca="1">IFERROR(SUMIFS(INDIRECT("'Thanh Toán ("&amp;AH$3&amp;")'!$F:$F"),INDIRECT("'Thanh Toán ("&amp;AH$3&amp;")'!$D:$D"),'Tổng Đơn'!$B33),0)</f>
        <v>0</v>
      </c>
      <c r="AI33" s="2">
        <f ca="1">IFERROR(SUMIFS(INDIRECT("'Thanh Toán ("&amp;AI$3&amp;")'!$F:$F"),INDIRECT("'Thanh Toán ("&amp;AI$3&amp;")'!$D:$D"),'Tổng Đơn'!$B33),0)</f>
        <v>0</v>
      </c>
      <c r="AJ33" s="2">
        <f ca="1">IFERROR(SUMIFS(INDIRECT("'Thanh Toán ("&amp;AJ$3&amp;")'!$F:$F"),INDIRECT("'Thanh Toán ("&amp;AJ$3&amp;")'!$D:$D"),'Tổng Đơn'!$B33),0)</f>
        <v>0</v>
      </c>
      <c r="AK33" s="2">
        <f ca="1">IFERROR(SUMIFS(INDIRECT("'Thanh Toán ("&amp;AK$3&amp;")'!$F:$F"),INDIRECT("'Thanh Toán ("&amp;AK$3&amp;")'!$D:$D"),'Tổng Đơn'!$B33),0)</f>
        <v>0</v>
      </c>
      <c r="AL33" s="2">
        <f ca="1">IFERROR(SUMIFS(INDIRECT("'Thanh Toán ("&amp;AL$3&amp;")'!$F:$F"),INDIRECT("'Thanh Toán ("&amp;AL$3&amp;")'!$D:$D"),'Tổng Đơn'!$B33),0)</f>
        <v>0</v>
      </c>
      <c r="AM33" s="2">
        <f ca="1">IFERROR(SUMIFS(INDIRECT("'Thanh Toán ("&amp;AM$3&amp;")'!$F:$F"),INDIRECT("'Thanh Toán ("&amp;AM$3&amp;")'!$D:$D"),'Tổng Đơn'!$B33),0)</f>
        <v>0</v>
      </c>
      <c r="AN33" s="2">
        <f ca="1">IFERROR(SUMIFS(INDIRECT("'Thanh Toán ("&amp;AN$3&amp;")'!$F:$F"),INDIRECT("'Thanh Toán ("&amp;AN$3&amp;")'!$D:$D"),'Tổng Đơn'!$B33),0)</f>
        <v>0</v>
      </c>
      <c r="AO33" s="2">
        <f ca="1">IFERROR(SUMIFS(INDIRECT("'Thanh Toán ("&amp;AO$3&amp;")'!$F:$F"),INDIRECT("'Thanh Toán ("&amp;AO$3&amp;")'!$D:$D"),'Tổng Đơn'!$B33),0)</f>
        <v>0</v>
      </c>
      <c r="AP33" s="2">
        <f ca="1">IFERROR(SUMIFS(INDIRECT("'Thanh Toán ("&amp;AP$3&amp;")'!$F:$F"),INDIRECT("'Thanh Toán ("&amp;AP$3&amp;")'!$D:$D"),'Tổng Đơn'!$B33),0)</f>
        <v>0</v>
      </c>
      <c r="AQ33" s="2">
        <f ca="1">IFERROR(SUMIFS(INDIRECT("'Thanh Toán ("&amp;AQ$3&amp;")'!$F:$F"),INDIRECT("'Thanh Toán ("&amp;AQ$3&amp;")'!$D:$D"),'Tổng Đơn'!$B33),0)</f>
        <v>0</v>
      </c>
      <c r="AR33" s="2">
        <f ca="1">IFERROR(SUMIFS(INDIRECT("'Thanh Toán ("&amp;AR$3&amp;")'!$F:$F"),INDIRECT("'Thanh Toán ("&amp;AR$3&amp;")'!$D:$D"),'Tổng Đơn'!$B33),0)</f>
        <v>0</v>
      </c>
      <c r="AS33" s="2">
        <f ca="1">IFERROR(SUMIFS(INDIRECT("'Thanh Toán ("&amp;AS$3&amp;")'!$F:$F"),INDIRECT("'Thanh Toán ("&amp;AS$3&amp;")'!$D:$D"),'Tổng Đơn'!$B33),0)</f>
        <v>0</v>
      </c>
      <c r="AT33" s="2">
        <f ca="1">IFERROR(SUMIFS(INDIRECT("'Thanh Toán ("&amp;AT$3&amp;")'!$F:$F"),INDIRECT("'Thanh Toán ("&amp;AT$3&amp;")'!$D:$D"),'Tổng Đơn'!$B33),0)</f>
        <v>0</v>
      </c>
      <c r="AU33" s="2">
        <f ca="1">IFERROR(SUMIFS(INDIRECT("'Thanh Toán ("&amp;AU$3&amp;")'!$F:$F"),INDIRECT("'Thanh Toán ("&amp;AU$3&amp;")'!$D:$D"),'Tổng Đơn'!$B33),0)</f>
        <v>0</v>
      </c>
      <c r="AV33" s="2">
        <f ca="1">IFERROR(SUMIFS(INDIRECT("'Thanh Toán ("&amp;AV$3&amp;")'!$F:$F"),INDIRECT("'Thanh Toán ("&amp;AV$3&amp;")'!$D:$D"),'Tổng Đơn'!$B33),0)</f>
        <v>0</v>
      </c>
      <c r="AW33" s="2">
        <f ca="1">IFERROR(SUMIFS(INDIRECT("'Thanh Toán ("&amp;AW$3&amp;")'!$F:$F"),INDIRECT("'Thanh Toán ("&amp;AW$3&amp;")'!$D:$D"),'Tổng Đơn'!$B33),0)</f>
        <v>0</v>
      </c>
      <c r="AX33" s="2">
        <f ca="1">IFERROR(SUMIFS(INDIRECT("'Thanh Toán ("&amp;AX$3&amp;")'!$F:$F"),INDIRECT("'Thanh Toán ("&amp;AX$3&amp;")'!$D:$D"),'Tổng Đơn'!$B33),0)</f>
        <v>0</v>
      </c>
      <c r="AY33" s="2">
        <f ca="1">IFERROR(SUMIFS(INDIRECT("'Thanh Toán ("&amp;AY$3&amp;")'!$F:$F"),INDIRECT("'Thanh Toán ("&amp;AY$3&amp;")'!$D:$D"),'Tổng Đơn'!$B33),0)</f>
        <v>0</v>
      </c>
      <c r="AZ33" s="2">
        <f ca="1">IFERROR(SUMIFS(INDIRECT("'Thanh Toán ("&amp;AZ$3&amp;")'!$F:$F"),INDIRECT("'Thanh Toán ("&amp;AZ$3&amp;")'!$D:$D"),'Tổng Đơn'!$B33),0)</f>
        <v>0</v>
      </c>
      <c r="BA33" s="2">
        <f ca="1">IFERROR(SUMIFS(INDIRECT("'Thanh Toán ("&amp;BA$3&amp;")'!$F:$F"),INDIRECT("'Thanh Toán ("&amp;BA$3&amp;")'!$D:$D"),'Tổng Đơn'!$B33),0)</f>
        <v>0</v>
      </c>
      <c r="BB33" s="2">
        <f ca="1">IFERROR(SUMIFS(INDIRECT("'Thanh Toán ("&amp;BB$3&amp;")'!$F:$F"),INDIRECT("'Thanh Toán ("&amp;BB$3&amp;")'!$D:$D"),'Tổng Đơn'!$B33),0)</f>
        <v>0</v>
      </c>
      <c r="BC33" s="2">
        <f ca="1">IFERROR(SUMIFS(INDIRECT("'Thanh Toán ("&amp;BC$3&amp;")'!$F:$F"),INDIRECT("'Thanh Toán ("&amp;BC$3&amp;")'!$D:$D"),'Tổng Đơn'!$B33),0)</f>
        <v>0</v>
      </c>
    </row>
    <row r="34" spans="1:55" ht="18" customHeight="1" x14ac:dyDescent="0.25">
      <c r="A34" s="201">
        <v>27</v>
      </c>
      <c r="B34" s="202" t="s">
        <v>15</v>
      </c>
      <c r="C34" s="201" t="s">
        <v>86</v>
      </c>
      <c r="D34" s="203">
        <f>VLOOKUP($C34,Sheet1!$C$5:$D$98,2,0)</f>
        <v>35000</v>
      </c>
      <c r="E34" s="204">
        <v>0.5</v>
      </c>
      <c r="F34" s="205">
        <f t="shared" ca="1" si="2"/>
        <v>0</v>
      </c>
      <c r="G34" s="206">
        <f>IFERROR(VLOOKUP($B34,Gà!C:J,8,0),IFERROR(VLOOKUP($B34,TVP!C:J,7,0),IFERROR(VLOOKUP($B34,Kitkool!C:J,8,0),IFERROR(VLOOKUP($B34,'La Cusina'!C:J,8,0),VLOOKUP($B34,'Quốc Nhân'!C:J,8,0)))))</f>
        <v>30.776516985035233</v>
      </c>
      <c r="H34" s="207">
        <f t="shared" ca="1" si="4"/>
        <v>0</v>
      </c>
      <c r="I34" s="207"/>
      <c r="J34" s="207">
        <f t="shared" ca="1" si="3"/>
        <v>0</v>
      </c>
      <c r="K34" s="53"/>
      <c r="L34" s="2">
        <f ca="1">IFERROR(SUMIFS(INDIRECT("'Thanh Toán ("&amp;L$3&amp;")'!$F:$F"),INDIRECT("'Thanh Toán ("&amp;L$3&amp;")'!$D:$D"),'Tổng Đơn'!$B34),0)</f>
        <v>0</v>
      </c>
      <c r="M34" s="2">
        <f ca="1">IFERROR(SUMIFS(INDIRECT("'Thanh Toán ("&amp;M$3&amp;")'!$F:$F"),INDIRECT("'Thanh Toán ("&amp;M$3&amp;")'!$D:$D"),'Tổng Đơn'!$B34),0)</f>
        <v>0</v>
      </c>
      <c r="N34" s="2">
        <f ca="1">IFERROR(SUMIFS(INDIRECT("'Thanh Toán ("&amp;N$3&amp;")'!$F:$F"),INDIRECT("'Thanh Toán ("&amp;N$3&amp;")'!$D:$D"),'Tổng Đơn'!$B34),0)</f>
        <v>0</v>
      </c>
      <c r="O34" s="2">
        <f ca="1">IFERROR(SUMIFS(INDIRECT("'Thanh Toán ("&amp;O$3&amp;")'!$F:$F"),INDIRECT("'Thanh Toán ("&amp;O$3&amp;")'!$D:$D"),'Tổng Đơn'!$B34),0)</f>
        <v>0</v>
      </c>
      <c r="P34" s="2">
        <f ca="1">IFERROR(SUMIFS(INDIRECT("'Thanh Toán ("&amp;P$3&amp;")'!$F:$F"),INDIRECT("'Thanh Toán ("&amp;P$3&amp;")'!$D:$D"),'Tổng Đơn'!$B34),0)</f>
        <v>0</v>
      </c>
      <c r="Q34" s="2">
        <f ca="1">IFERROR(SUMIFS(INDIRECT("'Thanh Toán ("&amp;Q$3&amp;")'!$F:$F"),INDIRECT("'Thanh Toán ("&amp;Q$3&amp;")'!$D:$D"),'Tổng Đơn'!$B34),0)</f>
        <v>0</v>
      </c>
      <c r="R34" s="2">
        <f ca="1">IFERROR(SUMIFS(INDIRECT("'Thanh Toán ("&amp;R$3&amp;")'!$F:$F"),INDIRECT("'Thanh Toán ("&amp;R$3&amp;")'!$D:$D"),'Tổng Đơn'!$B34),0)</f>
        <v>0</v>
      </c>
      <c r="S34" s="2">
        <f ca="1">IFERROR(SUMIFS(INDIRECT("'Thanh Toán ("&amp;S$3&amp;")'!$F:$F"),INDIRECT("'Thanh Toán ("&amp;S$3&amp;")'!$D:$D"),'Tổng Đơn'!$B34),0)</f>
        <v>0</v>
      </c>
      <c r="T34" s="2">
        <f ca="1">IFERROR(SUMIFS(INDIRECT("'Thanh Toán ("&amp;T$3&amp;")'!$F:$F"),INDIRECT("'Thanh Toán ("&amp;T$3&amp;")'!$D:$D"),'Tổng Đơn'!$B34),0)</f>
        <v>0</v>
      </c>
      <c r="U34" s="2">
        <f ca="1">IFERROR(SUMIFS(INDIRECT("'Thanh Toán ("&amp;U$3&amp;")'!$F:$F"),INDIRECT("'Thanh Toán ("&amp;U$3&amp;")'!$D:$D"),'Tổng Đơn'!$B34),0)</f>
        <v>0</v>
      </c>
      <c r="V34" s="2">
        <f ca="1">IFERROR(SUMIFS(INDIRECT("'Thanh Toán ("&amp;V$3&amp;")'!$F:$F"),INDIRECT("'Thanh Toán ("&amp;V$3&amp;")'!$D:$D"),'Tổng Đơn'!$B34),0)</f>
        <v>0</v>
      </c>
      <c r="W34" s="2">
        <f ca="1">IFERROR(SUMIFS(INDIRECT("'Thanh Toán ("&amp;W$3&amp;")'!$F:$F"),INDIRECT("'Thanh Toán ("&amp;W$3&amp;")'!$D:$D"),'Tổng Đơn'!$B34),0)</f>
        <v>0</v>
      </c>
      <c r="X34" s="2">
        <f ca="1">IFERROR(SUMIFS(INDIRECT("'Thanh Toán ("&amp;X$3&amp;")'!$F:$F"),INDIRECT("'Thanh Toán ("&amp;X$3&amp;")'!$D:$D"),'Tổng Đơn'!$B34),0)</f>
        <v>0</v>
      </c>
      <c r="Y34" s="2">
        <f ca="1">IFERROR(SUMIFS(INDIRECT("'Thanh Toán ("&amp;Y$3&amp;")'!$F:$F"),INDIRECT("'Thanh Toán ("&amp;Y$3&amp;")'!$D:$D"),'Tổng Đơn'!$B34),0)</f>
        <v>0</v>
      </c>
      <c r="Z34" s="2">
        <f ca="1">IFERROR(SUMIFS(INDIRECT("'Thanh Toán ("&amp;Z$3&amp;")'!$F:$F"),INDIRECT("'Thanh Toán ("&amp;Z$3&amp;")'!$D:$D"),'Tổng Đơn'!$B34),0)</f>
        <v>0</v>
      </c>
      <c r="AA34" s="2">
        <f ca="1">IFERROR(SUMIFS(INDIRECT("'Thanh Toán ("&amp;AA$3&amp;")'!$F:$F"),INDIRECT("'Thanh Toán ("&amp;AA$3&amp;")'!$D:$D"),'Tổng Đơn'!$B34),0)</f>
        <v>0</v>
      </c>
      <c r="AB34" s="2">
        <f ca="1">IFERROR(SUMIFS(INDIRECT("'Thanh Toán ("&amp;AB$3&amp;")'!$F:$F"),INDIRECT("'Thanh Toán ("&amp;AB$3&amp;")'!$D:$D"),'Tổng Đơn'!$B34),0)</f>
        <v>0</v>
      </c>
      <c r="AC34" s="2">
        <f ca="1">IFERROR(SUMIFS(INDIRECT("'Thanh Toán ("&amp;AC$3&amp;")'!$F:$F"),INDIRECT("'Thanh Toán ("&amp;AC$3&amp;")'!$D:$D"),'Tổng Đơn'!$B34),0)</f>
        <v>0</v>
      </c>
      <c r="AD34" s="2">
        <f ca="1">IFERROR(SUMIFS(INDIRECT("'Thanh Toán ("&amp;AD$3&amp;")'!$F:$F"),INDIRECT("'Thanh Toán ("&amp;AD$3&amp;")'!$D:$D"),'Tổng Đơn'!$B34),0)</f>
        <v>0</v>
      </c>
      <c r="AE34" s="2">
        <f ca="1">IFERROR(SUMIFS(INDIRECT("'Thanh Toán ("&amp;AE$3&amp;")'!$F:$F"),INDIRECT("'Thanh Toán ("&amp;AE$3&amp;")'!$D:$D"),'Tổng Đơn'!$B34),0)</f>
        <v>0</v>
      </c>
      <c r="AF34" s="2">
        <f ca="1">IFERROR(SUMIFS(INDIRECT("'Thanh Toán ("&amp;AF$3&amp;")'!$F:$F"),INDIRECT("'Thanh Toán ("&amp;AF$3&amp;")'!$D:$D"),'Tổng Đơn'!$B34),0)</f>
        <v>0</v>
      </c>
      <c r="AG34" s="2">
        <f ca="1">IFERROR(SUMIFS(INDIRECT("'Thanh Toán ("&amp;AG$3&amp;")'!$F:$F"),INDIRECT("'Thanh Toán ("&amp;AG$3&amp;")'!$D:$D"),'Tổng Đơn'!$B34),0)</f>
        <v>0</v>
      </c>
      <c r="AH34" s="2">
        <f ca="1">IFERROR(SUMIFS(INDIRECT("'Thanh Toán ("&amp;AH$3&amp;")'!$F:$F"),INDIRECT("'Thanh Toán ("&amp;AH$3&amp;")'!$D:$D"),'Tổng Đơn'!$B34),0)</f>
        <v>0</v>
      </c>
      <c r="AI34" s="2">
        <f ca="1">IFERROR(SUMIFS(INDIRECT("'Thanh Toán ("&amp;AI$3&amp;")'!$F:$F"),INDIRECT("'Thanh Toán ("&amp;AI$3&amp;")'!$D:$D"),'Tổng Đơn'!$B34),0)</f>
        <v>0</v>
      </c>
      <c r="AJ34" s="2">
        <f ca="1">IFERROR(SUMIFS(INDIRECT("'Thanh Toán ("&amp;AJ$3&amp;")'!$F:$F"),INDIRECT("'Thanh Toán ("&amp;AJ$3&amp;")'!$D:$D"),'Tổng Đơn'!$B34),0)</f>
        <v>0</v>
      </c>
      <c r="AK34" s="2">
        <f ca="1">IFERROR(SUMIFS(INDIRECT("'Thanh Toán ("&amp;AK$3&amp;")'!$F:$F"),INDIRECT("'Thanh Toán ("&amp;AK$3&amp;")'!$D:$D"),'Tổng Đơn'!$B34),0)</f>
        <v>0</v>
      </c>
      <c r="AL34" s="2">
        <f ca="1">IFERROR(SUMIFS(INDIRECT("'Thanh Toán ("&amp;AL$3&amp;")'!$F:$F"),INDIRECT("'Thanh Toán ("&amp;AL$3&amp;")'!$D:$D"),'Tổng Đơn'!$B34),0)</f>
        <v>0</v>
      </c>
      <c r="AM34" s="2">
        <f ca="1">IFERROR(SUMIFS(INDIRECT("'Thanh Toán ("&amp;AM$3&amp;")'!$F:$F"),INDIRECT("'Thanh Toán ("&amp;AM$3&amp;")'!$D:$D"),'Tổng Đơn'!$B34),0)</f>
        <v>0</v>
      </c>
      <c r="AN34" s="2">
        <f ca="1">IFERROR(SUMIFS(INDIRECT("'Thanh Toán ("&amp;AN$3&amp;")'!$F:$F"),INDIRECT("'Thanh Toán ("&amp;AN$3&amp;")'!$D:$D"),'Tổng Đơn'!$B34),0)</f>
        <v>0</v>
      </c>
      <c r="AO34" s="2">
        <f ca="1">IFERROR(SUMIFS(INDIRECT("'Thanh Toán ("&amp;AO$3&amp;")'!$F:$F"),INDIRECT("'Thanh Toán ("&amp;AO$3&amp;")'!$D:$D"),'Tổng Đơn'!$B34),0)</f>
        <v>0</v>
      </c>
      <c r="AP34" s="2">
        <f ca="1">IFERROR(SUMIFS(INDIRECT("'Thanh Toán ("&amp;AP$3&amp;")'!$F:$F"),INDIRECT("'Thanh Toán ("&amp;AP$3&amp;")'!$D:$D"),'Tổng Đơn'!$B34),0)</f>
        <v>0</v>
      </c>
      <c r="AQ34" s="2">
        <f ca="1">IFERROR(SUMIFS(INDIRECT("'Thanh Toán ("&amp;AQ$3&amp;")'!$F:$F"),INDIRECT("'Thanh Toán ("&amp;AQ$3&amp;")'!$D:$D"),'Tổng Đơn'!$B34),0)</f>
        <v>0</v>
      </c>
      <c r="AR34" s="2">
        <f ca="1">IFERROR(SUMIFS(INDIRECT("'Thanh Toán ("&amp;AR$3&amp;")'!$F:$F"),INDIRECT("'Thanh Toán ("&amp;AR$3&amp;")'!$D:$D"),'Tổng Đơn'!$B34),0)</f>
        <v>0</v>
      </c>
      <c r="AS34" s="2">
        <f ca="1">IFERROR(SUMIFS(INDIRECT("'Thanh Toán ("&amp;AS$3&amp;")'!$F:$F"),INDIRECT("'Thanh Toán ("&amp;AS$3&amp;")'!$D:$D"),'Tổng Đơn'!$B34),0)</f>
        <v>0</v>
      </c>
      <c r="AT34" s="2">
        <f ca="1">IFERROR(SUMIFS(INDIRECT("'Thanh Toán ("&amp;AT$3&amp;")'!$F:$F"),INDIRECT("'Thanh Toán ("&amp;AT$3&amp;")'!$D:$D"),'Tổng Đơn'!$B34),0)</f>
        <v>0</v>
      </c>
      <c r="AU34" s="2">
        <f ca="1">IFERROR(SUMIFS(INDIRECT("'Thanh Toán ("&amp;AU$3&amp;")'!$F:$F"),INDIRECT("'Thanh Toán ("&amp;AU$3&amp;")'!$D:$D"),'Tổng Đơn'!$B34),0)</f>
        <v>0</v>
      </c>
      <c r="AV34" s="2">
        <f ca="1">IFERROR(SUMIFS(INDIRECT("'Thanh Toán ("&amp;AV$3&amp;")'!$F:$F"),INDIRECT("'Thanh Toán ("&amp;AV$3&amp;")'!$D:$D"),'Tổng Đơn'!$B34),0)</f>
        <v>0</v>
      </c>
      <c r="AW34" s="2">
        <f ca="1">IFERROR(SUMIFS(INDIRECT("'Thanh Toán ("&amp;AW$3&amp;")'!$F:$F"),INDIRECT("'Thanh Toán ("&amp;AW$3&amp;")'!$D:$D"),'Tổng Đơn'!$B34),0)</f>
        <v>0</v>
      </c>
      <c r="AX34" s="2">
        <f ca="1">IFERROR(SUMIFS(INDIRECT("'Thanh Toán ("&amp;AX$3&amp;")'!$F:$F"),INDIRECT("'Thanh Toán ("&amp;AX$3&amp;")'!$D:$D"),'Tổng Đơn'!$B34),0)</f>
        <v>0</v>
      </c>
      <c r="AY34" s="2">
        <f ca="1">IFERROR(SUMIFS(INDIRECT("'Thanh Toán ("&amp;AY$3&amp;")'!$F:$F"),INDIRECT("'Thanh Toán ("&amp;AY$3&amp;")'!$D:$D"),'Tổng Đơn'!$B34),0)</f>
        <v>0</v>
      </c>
      <c r="AZ34" s="2">
        <f ca="1">IFERROR(SUMIFS(INDIRECT("'Thanh Toán ("&amp;AZ$3&amp;")'!$F:$F"),INDIRECT("'Thanh Toán ("&amp;AZ$3&amp;")'!$D:$D"),'Tổng Đơn'!$B34),0)</f>
        <v>0</v>
      </c>
      <c r="BA34" s="2">
        <f ca="1">IFERROR(SUMIFS(INDIRECT("'Thanh Toán ("&amp;BA$3&amp;")'!$F:$F"),INDIRECT("'Thanh Toán ("&amp;BA$3&amp;")'!$D:$D"),'Tổng Đơn'!$B34),0)</f>
        <v>0</v>
      </c>
      <c r="BB34" s="2">
        <f ca="1">IFERROR(SUMIFS(INDIRECT("'Thanh Toán ("&amp;BB$3&amp;")'!$F:$F"),INDIRECT("'Thanh Toán ("&amp;BB$3&amp;")'!$D:$D"),'Tổng Đơn'!$B34),0)</f>
        <v>0</v>
      </c>
      <c r="BC34" s="2">
        <f ca="1">IFERROR(SUMIFS(INDIRECT("'Thanh Toán ("&amp;BC$3&amp;")'!$F:$F"),INDIRECT("'Thanh Toán ("&amp;BC$3&amp;")'!$D:$D"),'Tổng Đơn'!$B34),0)</f>
        <v>0</v>
      </c>
    </row>
    <row r="35" spans="1:55" ht="18" customHeight="1" x14ac:dyDescent="0.25">
      <c r="A35" s="201">
        <v>28</v>
      </c>
      <c r="B35" s="202" t="s">
        <v>10</v>
      </c>
      <c r="C35" s="208" t="s">
        <v>87</v>
      </c>
      <c r="D35" s="203">
        <f>VLOOKUP($C35,Sheet1!$C$5:$D$98,2,0)</f>
        <v>32000</v>
      </c>
      <c r="E35" s="204">
        <v>0.5</v>
      </c>
      <c r="F35" s="205">
        <f t="shared" ca="1" si="2"/>
        <v>0</v>
      </c>
      <c r="G35" s="206">
        <f>IFERROR(VLOOKUP($B35,Gà!C:J,8,0),IFERROR(VLOOKUP($B35,TVP!C:J,7,0),IFERROR(VLOOKUP($B35,Kitkool!C:J,8,0),IFERROR(VLOOKUP($B35,'La Cusina'!C:J,8,0),VLOOKUP($B35,'Quốc Nhân'!C:J,8,0)))))</f>
        <v>27.69886528653171</v>
      </c>
      <c r="H35" s="207">
        <f t="shared" ca="1" si="4"/>
        <v>0</v>
      </c>
      <c r="I35" s="207"/>
      <c r="J35" s="207">
        <f t="shared" ca="1" si="3"/>
        <v>0</v>
      </c>
      <c r="K35" s="53"/>
      <c r="L35" s="2">
        <f ca="1">IFERROR(SUMIFS(INDIRECT("'Thanh Toán ("&amp;L$3&amp;")'!$F:$F"),INDIRECT("'Thanh Toán ("&amp;L$3&amp;")'!$D:$D"),'Tổng Đơn'!$B35),0)</f>
        <v>0</v>
      </c>
      <c r="M35" s="2">
        <f ca="1">IFERROR(SUMIFS(INDIRECT("'Thanh Toán ("&amp;M$3&amp;")'!$F:$F"),INDIRECT("'Thanh Toán ("&amp;M$3&amp;")'!$D:$D"),'Tổng Đơn'!$B35),0)</f>
        <v>0</v>
      </c>
      <c r="N35" s="2">
        <f ca="1">IFERROR(SUMIFS(INDIRECT("'Thanh Toán ("&amp;N$3&amp;")'!$F:$F"),INDIRECT("'Thanh Toán ("&amp;N$3&amp;")'!$D:$D"),'Tổng Đơn'!$B35),0)</f>
        <v>0</v>
      </c>
      <c r="O35" s="2">
        <f ca="1">IFERROR(SUMIFS(INDIRECT("'Thanh Toán ("&amp;O$3&amp;")'!$F:$F"),INDIRECT("'Thanh Toán ("&amp;O$3&amp;")'!$D:$D"),'Tổng Đơn'!$B35),0)</f>
        <v>0</v>
      </c>
      <c r="P35" s="2">
        <f ca="1">IFERROR(SUMIFS(INDIRECT("'Thanh Toán ("&amp;P$3&amp;")'!$F:$F"),INDIRECT("'Thanh Toán ("&amp;P$3&amp;")'!$D:$D"),'Tổng Đơn'!$B35),0)</f>
        <v>0</v>
      </c>
      <c r="Q35" s="2">
        <f ca="1">IFERROR(SUMIFS(INDIRECT("'Thanh Toán ("&amp;Q$3&amp;")'!$F:$F"),INDIRECT("'Thanh Toán ("&amp;Q$3&amp;")'!$D:$D"),'Tổng Đơn'!$B35),0)</f>
        <v>0</v>
      </c>
      <c r="R35" s="2">
        <f ca="1">IFERROR(SUMIFS(INDIRECT("'Thanh Toán ("&amp;R$3&amp;")'!$F:$F"),INDIRECT("'Thanh Toán ("&amp;R$3&amp;")'!$D:$D"),'Tổng Đơn'!$B35),0)</f>
        <v>0</v>
      </c>
      <c r="S35" s="2">
        <f ca="1">IFERROR(SUMIFS(INDIRECT("'Thanh Toán ("&amp;S$3&amp;")'!$F:$F"),INDIRECT("'Thanh Toán ("&amp;S$3&amp;")'!$D:$D"),'Tổng Đơn'!$B35),0)</f>
        <v>0</v>
      </c>
      <c r="T35" s="2">
        <f ca="1">IFERROR(SUMIFS(INDIRECT("'Thanh Toán ("&amp;T$3&amp;")'!$F:$F"),INDIRECT("'Thanh Toán ("&amp;T$3&amp;")'!$D:$D"),'Tổng Đơn'!$B35),0)</f>
        <v>0</v>
      </c>
      <c r="U35" s="2">
        <f ca="1">IFERROR(SUMIFS(INDIRECT("'Thanh Toán ("&amp;U$3&amp;")'!$F:$F"),INDIRECT("'Thanh Toán ("&amp;U$3&amp;")'!$D:$D"),'Tổng Đơn'!$B35),0)</f>
        <v>0</v>
      </c>
      <c r="V35" s="2">
        <f ca="1">IFERROR(SUMIFS(INDIRECT("'Thanh Toán ("&amp;V$3&amp;")'!$F:$F"),INDIRECT("'Thanh Toán ("&amp;V$3&amp;")'!$D:$D"),'Tổng Đơn'!$B35),0)</f>
        <v>0</v>
      </c>
      <c r="W35" s="2">
        <f ca="1">IFERROR(SUMIFS(INDIRECT("'Thanh Toán ("&amp;W$3&amp;")'!$F:$F"),INDIRECT("'Thanh Toán ("&amp;W$3&amp;")'!$D:$D"),'Tổng Đơn'!$B35),0)</f>
        <v>0</v>
      </c>
      <c r="X35" s="2">
        <f ca="1">IFERROR(SUMIFS(INDIRECT("'Thanh Toán ("&amp;X$3&amp;")'!$F:$F"),INDIRECT("'Thanh Toán ("&amp;X$3&amp;")'!$D:$D"),'Tổng Đơn'!$B35),0)</f>
        <v>0</v>
      </c>
      <c r="Y35" s="2">
        <f ca="1">IFERROR(SUMIFS(INDIRECT("'Thanh Toán ("&amp;Y$3&amp;")'!$F:$F"),INDIRECT("'Thanh Toán ("&amp;Y$3&amp;")'!$D:$D"),'Tổng Đơn'!$B35),0)</f>
        <v>0</v>
      </c>
      <c r="Z35" s="2">
        <f ca="1">IFERROR(SUMIFS(INDIRECT("'Thanh Toán ("&amp;Z$3&amp;")'!$F:$F"),INDIRECT("'Thanh Toán ("&amp;Z$3&amp;")'!$D:$D"),'Tổng Đơn'!$B35),0)</f>
        <v>0</v>
      </c>
      <c r="AA35" s="2">
        <f ca="1">IFERROR(SUMIFS(INDIRECT("'Thanh Toán ("&amp;AA$3&amp;")'!$F:$F"),INDIRECT("'Thanh Toán ("&amp;AA$3&amp;")'!$D:$D"),'Tổng Đơn'!$B35),0)</f>
        <v>0</v>
      </c>
      <c r="AB35" s="2">
        <f ca="1">IFERROR(SUMIFS(INDIRECT("'Thanh Toán ("&amp;AB$3&amp;")'!$F:$F"),INDIRECT("'Thanh Toán ("&amp;AB$3&amp;")'!$D:$D"),'Tổng Đơn'!$B35),0)</f>
        <v>0</v>
      </c>
      <c r="AC35" s="2">
        <f ca="1">IFERROR(SUMIFS(INDIRECT("'Thanh Toán ("&amp;AC$3&amp;")'!$F:$F"),INDIRECT("'Thanh Toán ("&amp;AC$3&amp;")'!$D:$D"),'Tổng Đơn'!$B35),0)</f>
        <v>0</v>
      </c>
      <c r="AD35" s="2">
        <f ca="1">IFERROR(SUMIFS(INDIRECT("'Thanh Toán ("&amp;AD$3&amp;")'!$F:$F"),INDIRECT("'Thanh Toán ("&amp;AD$3&amp;")'!$D:$D"),'Tổng Đơn'!$B35),0)</f>
        <v>0</v>
      </c>
      <c r="AE35" s="2">
        <f ca="1">IFERROR(SUMIFS(INDIRECT("'Thanh Toán ("&amp;AE$3&amp;")'!$F:$F"),INDIRECT("'Thanh Toán ("&amp;AE$3&amp;")'!$D:$D"),'Tổng Đơn'!$B35),0)</f>
        <v>0</v>
      </c>
      <c r="AF35" s="2">
        <f ca="1">IFERROR(SUMIFS(INDIRECT("'Thanh Toán ("&amp;AF$3&amp;")'!$F:$F"),INDIRECT("'Thanh Toán ("&amp;AF$3&amp;")'!$D:$D"),'Tổng Đơn'!$B35),0)</f>
        <v>0</v>
      </c>
      <c r="AG35" s="2">
        <f ca="1">IFERROR(SUMIFS(INDIRECT("'Thanh Toán ("&amp;AG$3&amp;")'!$F:$F"),INDIRECT("'Thanh Toán ("&amp;AG$3&amp;")'!$D:$D"),'Tổng Đơn'!$B35),0)</f>
        <v>0</v>
      </c>
      <c r="AH35" s="2">
        <f ca="1">IFERROR(SUMIFS(INDIRECT("'Thanh Toán ("&amp;AH$3&amp;")'!$F:$F"),INDIRECT("'Thanh Toán ("&amp;AH$3&amp;")'!$D:$D"),'Tổng Đơn'!$B35),0)</f>
        <v>0</v>
      </c>
      <c r="AI35" s="2">
        <f ca="1">IFERROR(SUMIFS(INDIRECT("'Thanh Toán ("&amp;AI$3&amp;")'!$F:$F"),INDIRECT("'Thanh Toán ("&amp;AI$3&amp;")'!$D:$D"),'Tổng Đơn'!$B35),0)</f>
        <v>0</v>
      </c>
      <c r="AJ35" s="2">
        <f ca="1">IFERROR(SUMIFS(INDIRECT("'Thanh Toán ("&amp;AJ$3&amp;")'!$F:$F"),INDIRECT("'Thanh Toán ("&amp;AJ$3&amp;")'!$D:$D"),'Tổng Đơn'!$B35),0)</f>
        <v>0</v>
      </c>
      <c r="AK35" s="2">
        <f ca="1">IFERROR(SUMIFS(INDIRECT("'Thanh Toán ("&amp;AK$3&amp;")'!$F:$F"),INDIRECT("'Thanh Toán ("&amp;AK$3&amp;")'!$D:$D"),'Tổng Đơn'!$B35),0)</f>
        <v>0</v>
      </c>
      <c r="AL35" s="2">
        <f ca="1">IFERROR(SUMIFS(INDIRECT("'Thanh Toán ("&amp;AL$3&amp;")'!$F:$F"),INDIRECT("'Thanh Toán ("&amp;AL$3&amp;")'!$D:$D"),'Tổng Đơn'!$B35),0)</f>
        <v>0</v>
      </c>
      <c r="AM35" s="2">
        <f ca="1">IFERROR(SUMIFS(INDIRECT("'Thanh Toán ("&amp;AM$3&amp;")'!$F:$F"),INDIRECT("'Thanh Toán ("&amp;AM$3&amp;")'!$D:$D"),'Tổng Đơn'!$B35),0)</f>
        <v>0</v>
      </c>
      <c r="AN35" s="2">
        <f ca="1">IFERROR(SUMIFS(INDIRECT("'Thanh Toán ("&amp;AN$3&amp;")'!$F:$F"),INDIRECT("'Thanh Toán ("&amp;AN$3&amp;")'!$D:$D"),'Tổng Đơn'!$B35),0)</f>
        <v>0</v>
      </c>
      <c r="AO35" s="2">
        <f ca="1">IFERROR(SUMIFS(INDIRECT("'Thanh Toán ("&amp;AO$3&amp;")'!$F:$F"),INDIRECT("'Thanh Toán ("&amp;AO$3&amp;")'!$D:$D"),'Tổng Đơn'!$B35),0)</f>
        <v>0</v>
      </c>
      <c r="AP35" s="2">
        <f ca="1">IFERROR(SUMIFS(INDIRECT("'Thanh Toán ("&amp;AP$3&amp;")'!$F:$F"),INDIRECT("'Thanh Toán ("&amp;AP$3&amp;")'!$D:$D"),'Tổng Đơn'!$B35),0)</f>
        <v>0</v>
      </c>
      <c r="AQ35" s="2">
        <f ca="1">IFERROR(SUMIFS(INDIRECT("'Thanh Toán ("&amp;AQ$3&amp;")'!$F:$F"),INDIRECT("'Thanh Toán ("&amp;AQ$3&amp;")'!$D:$D"),'Tổng Đơn'!$B35),0)</f>
        <v>0</v>
      </c>
      <c r="AR35" s="2">
        <f ca="1">IFERROR(SUMIFS(INDIRECT("'Thanh Toán ("&amp;AR$3&amp;")'!$F:$F"),INDIRECT("'Thanh Toán ("&amp;AR$3&amp;")'!$D:$D"),'Tổng Đơn'!$B35),0)</f>
        <v>0</v>
      </c>
      <c r="AS35" s="2">
        <f ca="1">IFERROR(SUMIFS(INDIRECT("'Thanh Toán ("&amp;AS$3&amp;")'!$F:$F"),INDIRECT("'Thanh Toán ("&amp;AS$3&amp;")'!$D:$D"),'Tổng Đơn'!$B35),0)</f>
        <v>0</v>
      </c>
      <c r="AT35" s="2">
        <f ca="1">IFERROR(SUMIFS(INDIRECT("'Thanh Toán ("&amp;AT$3&amp;")'!$F:$F"),INDIRECT("'Thanh Toán ("&amp;AT$3&amp;")'!$D:$D"),'Tổng Đơn'!$B35),0)</f>
        <v>0</v>
      </c>
      <c r="AU35" s="2">
        <f ca="1">IFERROR(SUMIFS(INDIRECT("'Thanh Toán ("&amp;AU$3&amp;")'!$F:$F"),INDIRECT("'Thanh Toán ("&amp;AU$3&amp;")'!$D:$D"),'Tổng Đơn'!$B35),0)</f>
        <v>0</v>
      </c>
      <c r="AV35" s="2">
        <f ca="1">IFERROR(SUMIFS(INDIRECT("'Thanh Toán ("&amp;AV$3&amp;")'!$F:$F"),INDIRECT("'Thanh Toán ("&amp;AV$3&amp;")'!$D:$D"),'Tổng Đơn'!$B35),0)</f>
        <v>0</v>
      </c>
      <c r="AW35" s="2">
        <f ca="1">IFERROR(SUMIFS(INDIRECT("'Thanh Toán ("&amp;AW$3&amp;")'!$F:$F"),INDIRECT("'Thanh Toán ("&amp;AW$3&amp;")'!$D:$D"),'Tổng Đơn'!$B35),0)</f>
        <v>0</v>
      </c>
      <c r="AX35" s="2">
        <f ca="1">IFERROR(SUMIFS(INDIRECT("'Thanh Toán ("&amp;AX$3&amp;")'!$F:$F"),INDIRECT("'Thanh Toán ("&amp;AX$3&amp;")'!$D:$D"),'Tổng Đơn'!$B35),0)</f>
        <v>0</v>
      </c>
      <c r="AY35" s="2">
        <f ca="1">IFERROR(SUMIFS(INDIRECT("'Thanh Toán ("&amp;AY$3&amp;")'!$F:$F"),INDIRECT("'Thanh Toán ("&amp;AY$3&amp;")'!$D:$D"),'Tổng Đơn'!$B35),0)</f>
        <v>0</v>
      </c>
      <c r="AZ35" s="2">
        <f ca="1">IFERROR(SUMIFS(INDIRECT("'Thanh Toán ("&amp;AZ$3&amp;")'!$F:$F"),INDIRECT("'Thanh Toán ("&amp;AZ$3&amp;")'!$D:$D"),'Tổng Đơn'!$B35),0)</f>
        <v>0</v>
      </c>
      <c r="BA35" s="2">
        <f ca="1">IFERROR(SUMIFS(INDIRECT("'Thanh Toán ("&amp;BA$3&amp;")'!$F:$F"),INDIRECT("'Thanh Toán ("&amp;BA$3&amp;")'!$D:$D"),'Tổng Đơn'!$B35),0)</f>
        <v>0</v>
      </c>
      <c r="BB35" s="2">
        <f ca="1">IFERROR(SUMIFS(INDIRECT("'Thanh Toán ("&amp;BB$3&amp;")'!$F:$F"),INDIRECT("'Thanh Toán ("&amp;BB$3&amp;")'!$D:$D"),'Tổng Đơn'!$B35),0)</f>
        <v>0</v>
      </c>
      <c r="BC35" s="2">
        <f ca="1">IFERROR(SUMIFS(INDIRECT("'Thanh Toán ("&amp;BC$3&amp;")'!$F:$F"),INDIRECT("'Thanh Toán ("&amp;BC$3&amp;")'!$D:$D"),'Tổng Đơn'!$B35),0)</f>
        <v>0</v>
      </c>
    </row>
    <row r="36" spans="1:55" ht="18" customHeight="1" x14ac:dyDescent="0.25">
      <c r="A36" s="201">
        <v>29</v>
      </c>
      <c r="B36" s="202" t="s">
        <v>38</v>
      </c>
      <c r="C36" s="201" t="s">
        <v>88</v>
      </c>
      <c r="D36" s="203">
        <f>VLOOKUP($C36,Sheet1!$C$5:$D$98,2,0)</f>
        <v>32000</v>
      </c>
      <c r="E36" s="204">
        <v>0.5</v>
      </c>
      <c r="F36" s="205">
        <f t="shared" ca="1" si="2"/>
        <v>0</v>
      </c>
      <c r="G36" s="206">
        <f>IFERROR(VLOOKUP($B36,Gà!C:J,8,0),IFERROR(VLOOKUP($B36,TVP!C:J,7,0),IFERROR(VLOOKUP($B36,Kitkool!C:J,8,0),IFERROR(VLOOKUP($B36,'La Cusina'!C:J,8,0),VLOOKUP($B36,'Quốc Nhân'!C:J,8,0)))))</f>
        <v>26.621803079549558</v>
      </c>
      <c r="H36" s="207">
        <f t="shared" ca="1" si="4"/>
        <v>0</v>
      </c>
      <c r="I36" s="207"/>
      <c r="J36" s="207">
        <f t="shared" ca="1" si="3"/>
        <v>0</v>
      </c>
      <c r="K36" s="53"/>
      <c r="L36" s="2">
        <f ca="1">IFERROR(SUMIFS(INDIRECT("'Thanh Toán ("&amp;L$3&amp;")'!$F:$F"),INDIRECT("'Thanh Toán ("&amp;L$3&amp;")'!$D:$D"),'Tổng Đơn'!$B36),0)</f>
        <v>0</v>
      </c>
      <c r="M36" s="2">
        <f ca="1">IFERROR(SUMIFS(INDIRECT("'Thanh Toán ("&amp;M$3&amp;")'!$F:$F"),INDIRECT("'Thanh Toán ("&amp;M$3&amp;")'!$D:$D"),'Tổng Đơn'!$B36),0)</f>
        <v>0</v>
      </c>
      <c r="N36" s="2">
        <f ca="1">IFERROR(SUMIFS(INDIRECT("'Thanh Toán ("&amp;N$3&amp;")'!$F:$F"),INDIRECT("'Thanh Toán ("&amp;N$3&amp;")'!$D:$D"),'Tổng Đơn'!$B36),0)</f>
        <v>0</v>
      </c>
      <c r="O36" s="2">
        <f ca="1">IFERROR(SUMIFS(INDIRECT("'Thanh Toán ("&amp;O$3&amp;")'!$F:$F"),INDIRECT("'Thanh Toán ("&amp;O$3&amp;")'!$D:$D"),'Tổng Đơn'!$B36),0)</f>
        <v>0</v>
      </c>
      <c r="P36" s="2">
        <f ca="1">IFERROR(SUMIFS(INDIRECT("'Thanh Toán ("&amp;P$3&amp;")'!$F:$F"),INDIRECT("'Thanh Toán ("&amp;P$3&amp;")'!$D:$D"),'Tổng Đơn'!$B36),0)</f>
        <v>0</v>
      </c>
      <c r="Q36" s="2">
        <f ca="1">IFERROR(SUMIFS(INDIRECT("'Thanh Toán ("&amp;Q$3&amp;")'!$F:$F"),INDIRECT("'Thanh Toán ("&amp;Q$3&amp;")'!$D:$D"),'Tổng Đơn'!$B36),0)</f>
        <v>0</v>
      </c>
      <c r="R36" s="2">
        <f ca="1">IFERROR(SUMIFS(INDIRECT("'Thanh Toán ("&amp;R$3&amp;")'!$F:$F"),INDIRECT("'Thanh Toán ("&amp;R$3&amp;")'!$D:$D"),'Tổng Đơn'!$B36),0)</f>
        <v>0</v>
      </c>
      <c r="S36" s="2">
        <f ca="1">IFERROR(SUMIFS(INDIRECT("'Thanh Toán ("&amp;S$3&amp;")'!$F:$F"),INDIRECT("'Thanh Toán ("&amp;S$3&amp;")'!$D:$D"),'Tổng Đơn'!$B36),0)</f>
        <v>0</v>
      </c>
      <c r="T36" s="2">
        <f ca="1">IFERROR(SUMIFS(INDIRECT("'Thanh Toán ("&amp;T$3&amp;")'!$F:$F"),INDIRECT("'Thanh Toán ("&amp;T$3&amp;")'!$D:$D"),'Tổng Đơn'!$B36),0)</f>
        <v>0</v>
      </c>
      <c r="U36" s="2">
        <f ca="1">IFERROR(SUMIFS(INDIRECT("'Thanh Toán ("&amp;U$3&amp;")'!$F:$F"),INDIRECT("'Thanh Toán ("&amp;U$3&amp;")'!$D:$D"),'Tổng Đơn'!$B36),0)</f>
        <v>0</v>
      </c>
      <c r="V36" s="2">
        <f ca="1">IFERROR(SUMIFS(INDIRECT("'Thanh Toán ("&amp;V$3&amp;")'!$F:$F"),INDIRECT("'Thanh Toán ("&amp;V$3&amp;")'!$D:$D"),'Tổng Đơn'!$B36),0)</f>
        <v>0</v>
      </c>
      <c r="W36" s="2">
        <f ca="1">IFERROR(SUMIFS(INDIRECT("'Thanh Toán ("&amp;W$3&amp;")'!$F:$F"),INDIRECT("'Thanh Toán ("&amp;W$3&amp;")'!$D:$D"),'Tổng Đơn'!$B36),0)</f>
        <v>0</v>
      </c>
      <c r="X36" s="2">
        <f ca="1">IFERROR(SUMIFS(INDIRECT("'Thanh Toán ("&amp;X$3&amp;")'!$F:$F"),INDIRECT("'Thanh Toán ("&amp;X$3&amp;")'!$D:$D"),'Tổng Đơn'!$B36),0)</f>
        <v>0</v>
      </c>
      <c r="Y36" s="2">
        <f ca="1">IFERROR(SUMIFS(INDIRECT("'Thanh Toán ("&amp;Y$3&amp;")'!$F:$F"),INDIRECT("'Thanh Toán ("&amp;Y$3&amp;")'!$D:$D"),'Tổng Đơn'!$B36),0)</f>
        <v>0</v>
      </c>
      <c r="Z36" s="2">
        <f ca="1">IFERROR(SUMIFS(INDIRECT("'Thanh Toán ("&amp;Z$3&amp;")'!$F:$F"),INDIRECT("'Thanh Toán ("&amp;Z$3&amp;")'!$D:$D"),'Tổng Đơn'!$B36),0)</f>
        <v>0</v>
      </c>
      <c r="AA36" s="2">
        <f ca="1">IFERROR(SUMIFS(INDIRECT("'Thanh Toán ("&amp;AA$3&amp;")'!$F:$F"),INDIRECT("'Thanh Toán ("&amp;AA$3&amp;")'!$D:$D"),'Tổng Đơn'!$B36),0)</f>
        <v>0</v>
      </c>
      <c r="AB36" s="2">
        <f ca="1">IFERROR(SUMIFS(INDIRECT("'Thanh Toán ("&amp;AB$3&amp;")'!$F:$F"),INDIRECT("'Thanh Toán ("&amp;AB$3&amp;")'!$D:$D"),'Tổng Đơn'!$B36),0)</f>
        <v>0</v>
      </c>
      <c r="AC36" s="2">
        <f ca="1">IFERROR(SUMIFS(INDIRECT("'Thanh Toán ("&amp;AC$3&amp;")'!$F:$F"),INDIRECT("'Thanh Toán ("&amp;AC$3&amp;")'!$D:$D"),'Tổng Đơn'!$B36),0)</f>
        <v>0</v>
      </c>
      <c r="AD36" s="2">
        <f ca="1">IFERROR(SUMIFS(INDIRECT("'Thanh Toán ("&amp;AD$3&amp;")'!$F:$F"),INDIRECT("'Thanh Toán ("&amp;AD$3&amp;")'!$D:$D"),'Tổng Đơn'!$B36),0)</f>
        <v>0</v>
      </c>
      <c r="AE36" s="2">
        <f ca="1">IFERROR(SUMIFS(INDIRECT("'Thanh Toán ("&amp;AE$3&amp;")'!$F:$F"),INDIRECT("'Thanh Toán ("&amp;AE$3&amp;")'!$D:$D"),'Tổng Đơn'!$B36),0)</f>
        <v>0</v>
      </c>
      <c r="AF36" s="2">
        <f ca="1">IFERROR(SUMIFS(INDIRECT("'Thanh Toán ("&amp;AF$3&amp;")'!$F:$F"),INDIRECT("'Thanh Toán ("&amp;AF$3&amp;")'!$D:$D"),'Tổng Đơn'!$B36),0)</f>
        <v>0</v>
      </c>
      <c r="AG36" s="2">
        <f ca="1">IFERROR(SUMIFS(INDIRECT("'Thanh Toán ("&amp;AG$3&amp;")'!$F:$F"),INDIRECT("'Thanh Toán ("&amp;AG$3&amp;")'!$D:$D"),'Tổng Đơn'!$B36),0)</f>
        <v>0</v>
      </c>
      <c r="AH36" s="2">
        <f ca="1">IFERROR(SUMIFS(INDIRECT("'Thanh Toán ("&amp;AH$3&amp;")'!$F:$F"),INDIRECT("'Thanh Toán ("&amp;AH$3&amp;")'!$D:$D"),'Tổng Đơn'!$B36),0)</f>
        <v>0</v>
      </c>
      <c r="AI36" s="2">
        <f ca="1">IFERROR(SUMIFS(INDIRECT("'Thanh Toán ("&amp;AI$3&amp;")'!$F:$F"),INDIRECT("'Thanh Toán ("&amp;AI$3&amp;")'!$D:$D"),'Tổng Đơn'!$B36),0)</f>
        <v>0</v>
      </c>
      <c r="AJ36" s="2">
        <f ca="1">IFERROR(SUMIFS(INDIRECT("'Thanh Toán ("&amp;AJ$3&amp;")'!$F:$F"),INDIRECT("'Thanh Toán ("&amp;AJ$3&amp;")'!$D:$D"),'Tổng Đơn'!$B36),0)</f>
        <v>0</v>
      </c>
      <c r="AK36" s="2">
        <f ca="1">IFERROR(SUMIFS(INDIRECT("'Thanh Toán ("&amp;AK$3&amp;")'!$F:$F"),INDIRECT("'Thanh Toán ("&amp;AK$3&amp;")'!$D:$D"),'Tổng Đơn'!$B36),0)</f>
        <v>0</v>
      </c>
      <c r="AL36" s="2">
        <f ca="1">IFERROR(SUMIFS(INDIRECT("'Thanh Toán ("&amp;AL$3&amp;")'!$F:$F"),INDIRECT("'Thanh Toán ("&amp;AL$3&amp;")'!$D:$D"),'Tổng Đơn'!$B36),0)</f>
        <v>0</v>
      </c>
      <c r="AM36" s="2">
        <f ca="1">IFERROR(SUMIFS(INDIRECT("'Thanh Toán ("&amp;AM$3&amp;")'!$F:$F"),INDIRECT("'Thanh Toán ("&amp;AM$3&amp;")'!$D:$D"),'Tổng Đơn'!$B36),0)</f>
        <v>0</v>
      </c>
      <c r="AN36" s="2">
        <f ca="1">IFERROR(SUMIFS(INDIRECT("'Thanh Toán ("&amp;AN$3&amp;")'!$F:$F"),INDIRECT("'Thanh Toán ("&amp;AN$3&amp;")'!$D:$D"),'Tổng Đơn'!$B36),0)</f>
        <v>0</v>
      </c>
      <c r="AO36" s="2">
        <f ca="1">IFERROR(SUMIFS(INDIRECT("'Thanh Toán ("&amp;AO$3&amp;")'!$F:$F"),INDIRECT("'Thanh Toán ("&amp;AO$3&amp;")'!$D:$D"),'Tổng Đơn'!$B36),0)</f>
        <v>0</v>
      </c>
      <c r="AP36" s="2">
        <f ca="1">IFERROR(SUMIFS(INDIRECT("'Thanh Toán ("&amp;AP$3&amp;")'!$F:$F"),INDIRECT("'Thanh Toán ("&amp;AP$3&amp;")'!$D:$D"),'Tổng Đơn'!$B36),0)</f>
        <v>0</v>
      </c>
      <c r="AQ36" s="2">
        <f ca="1">IFERROR(SUMIFS(INDIRECT("'Thanh Toán ("&amp;AQ$3&amp;")'!$F:$F"),INDIRECT("'Thanh Toán ("&amp;AQ$3&amp;")'!$D:$D"),'Tổng Đơn'!$B36),0)</f>
        <v>0</v>
      </c>
      <c r="AR36" s="2">
        <f ca="1">IFERROR(SUMIFS(INDIRECT("'Thanh Toán ("&amp;AR$3&amp;")'!$F:$F"),INDIRECT("'Thanh Toán ("&amp;AR$3&amp;")'!$D:$D"),'Tổng Đơn'!$B36),0)</f>
        <v>0</v>
      </c>
      <c r="AS36" s="2">
        <f ca="1">IFERROR(SUMIFS(INDIRECT("'Thanh Toán ("&amp;AS$3&amp;")'!$F:$F"),INDIRECT("'Thanh Toán ("&amp;AS$3&amp;")'!$D:$D"),'Tổng Đơn'!$B36),0)</f>
        <v>0</v>
      </c>
      <c r="AT36" s="2">
        <f ca="1">IFERROR(SUMIFS(INDIRECT("'Thanh Toán ("&amp;AT$3&amp;")'!$F:$F"),INDIRECT("'Thanh Toán ("&amp;AT$3&amp;")'!$D:$D"),'Tổng Đơn'!$B36),0)</f>
        <v>0</v>
      </c>
      <c r="AU36" s="2">
        <f ca="1">IFERROR(SUMIFS(INDIRECT("'Thanh Toán ("&amp;AU$3&amp;")'!$F:$F"),INDIRECT("'Thanh Toán ("&amp;AU$3&amp;")'!$D:$D"),'Tổng Đơn'!$B36),0)</f>
        <v>0</v>
      </c>
      <c r="AV36" s="2">
        <f ca="1">IFERROR(SUMIFS(INDIRECT("'Thanh Toán ("&amp;AV$3&amp;")'!$F:$F"),INDIRECT("'Thanh Toán ("&amp;AV$3&amp;")'!$D:$D"),'Tổng Đơn'!$B36),0)</f>
        <v>0</v>
      </c>
      <c r="AW36" s="2">
        <f ca="1">IFERROR(SUMIFS(INDIRECT("'Thanh Toán ("&amp;AW$3&amp;")'!$F:$F"),INDIRECT("'Thanh Toán ("&amp;AW$3&amp;")'!$D:$D"),'Tổng Đơn'!$B36),0)</f>
        <v>0</v>
      </c>
      <c r="AX36" s="2">
        <f ca="1">IFERROR(SUMIFS(INDIRECT("'Thanh Toán ("&amp;AX$3&amp;")'!$F:$F"),INDIRECT("'Thanh Toán ("&amp;AX$3&amp;")'!$D:$D"),'Tổng Đơn'!$B36),0)</f>
        <v>0</v>
      </c>
      <c r="AY36" s="2">
        <f ca="1">IFERROR(SUMIFS(INDIRECT("'Thanh Toán ("&amp;AY$3&amp;")'!$F:$F"),INDIRECT("'Thanh Toán ("&amp;AY$3&amp;")'!$D:$D"),'Tổng Đơn'!$B36),0)</f>
        <v>0</v>
      </c>
      <c r="AZ36" s="2">
        <f ca="1">IFERROR(SUMIFS(INDIRECT("'Thanh Toán ("&amp;AZ$3&amp;")'!$F:$F"),INDIRECT("'Thanh Toán ("&amp;AZ$3&amp;")'!$D:$D"),'Tổng Đơn'!$B36),0)</f>
        <v>0</v>
      </c>
      <c r="BA36" s="2">
        <f ca="1">IFERROR(SUMIFS(INDIRECT("'Thanh Toán ("&amp;BA$3&amp;")'!$F:$F"),INDIRECT("'Thanh Toán ("&amp;BA$3&amp;")'!$D:$D"),'Tổng Đơn'!$B36),0)</f>
        <v>0</v>
      </c>
      <c r="BB36" s="2">
        <f ca="1">IFERROR(SUMIFS(INDIRECT("'Thanh Toán ("&amp;BB$3&amp;")'!$F:$F"),INDIRECT("'Thanh Toán ("&amp;BB$3&amp;")'!$D:$D"),'Tổng Đơn'!$B36),0)</f>
        <v>0</v>
      </c>
      <c r="BC36" s="2">
        <f ca="1">IFERROR(SUMIFS(INDIRECT("'Thanh Toán ("&amp;BC$3&amp;")'!$F:$F"),INDIRECT("'Thanh Toán ("&amp;BC$3&amp;")'!$D:$D"),'Tổng Đơn'!$B36),0)</f>
        <v>0</v>
      </c>
    </row>
    <row r="37" spans="1:55" ht="18" customHeight="1" x14ac:dyDescent="0.25">
      <c r="A37" s="201">
        <v>30</v>
      </c>
      <c r="B37" s="202" t="s">
        <v>39</v>
      </c>
      <c r="C37" s="208" t="s">
        <v>89</v>
      </c>
      <c r="D37" s="203">
        <f>VLOOKUP($C37,Sheet1!$C$5:$D$98,2,0)</f>
        <v>14000</v>
      </c>
      <c r="E37" s="204">
        <v>0.2</v>
      </c>
      <c r="F37" s="205">
        <f t="shared" ref="F37:F67" ca="1" si="5">SUM(L37:BR37)</f>
        <v>0</v>
      </c>
      <c r="G37" s="206">
        <f>IFERROR(VLOOKUP($B37,Gà!C:J,8,0),IFERROR(VLOOKUP($B37,TVP!C:J,7,0),IFERROR(VLOOKUP($B37,Kitkool!C:J,8,0),IFERROR(VLOOKUP($B37,'La Cusina'!C:J,8,0),VLOOKUP($B37,'Quốc Nhân'!C:J,8,0)))))</f>
        <v>11.25147903739453</v>
      </c>
      <c r="H37" s="207">
        <f t="shared" ca="1" si="4"/>
        <v>0</v>
      </c>
      <c r="I37" s="207"/>
      <c r="J37" s="207">
        <f t="shared" ca="1" si="3"/>
        <v>0</v>
      </c>
      <c r="K37" s="53"/>
      <c r="L37" s="2">
        <f ca="1">IFERROR(SUMIFS(INDIRECT("'Thanh Toán ("&amp;L$3&amp;")'!$F:$F"),INDIRECT("'Thanh Toán ("&amp;L$3&amp;")'!$D:$D"),'Tổng Đơn'!$B37),0)</f>
        <v>0</v>
      </c>
      <c r="M37" s="2">
        <f ca="1">IFERROR(SUMIFS(INDIRECT("'Thanh Toán ("&amp;M$3&amp;")'!$F:$F"),INDIRECT("'Thanh Toán ("&amp;M$3&amp;")'!$D:$D"),'Tổng Đơn'!$B37),0)</f>
        <v>0</v>
      </c>
      <c r="N37" s="2">
        <f ca="1">IFERROR(SUMIFS(INDIRECT("'Thanh Toán ("&amp;N$3&amp;")'!$F:$F"),INDIRECT("'Thanh Toán ("&amp;N$3&amp;")'!$D:$D"),'Tổng Đơn'!$B37),0)</f>
        <v>0</v>
      </c>
      <c r="O37" s="2">
        <f ca="1">IFERROR(SUMIFS(INDIRECT("'Thanh Toán ("&amp;O$3&amp;")'!$F:$F"),INDIRECT("'Thanh Toán ("&amp;O$3&amp;")'!$D:$D"),'Tổng Đơn'!$B37),0)</f>
        <v>0</v>
      </c>
      <c r="P37" s="2">
        <f ca="1">IFERROR(SUMIFS(INDIRECT("'Thanh Toán ("&amp;P$3&amp;")'!$F:$F"),INDIRECT("'Thanh Toán ("&amp;P$3&amp;")'!$D:$D"),'Tổng Đơn'!$B37),0)</f>
        <v>0</v>
      </c>
      <c r="Q37" s="2">
        <f ca="1">IFERROR(SUMIFS(INDIRECT("'Thanh Toán ("&amp;Q$3&amp;")'!$F:$F"),INDIRECT("'Thanh Toán ("&amp;Q$3&amp;")'!$D:$D"),'Tổng Đơn'!$B37),0)</f>
        <v>0</v>
      </c>
      <c r="R37" s="2">
        <f ca="1">IFERROR(SUMIFS(INDIRECT("'Thanh Toán ("&amp;R$3&amp;")'!$F:$F"),INDIRECT("'Thanh Toán ("&amp;R$3&amp;")'!$D:$D"),'Tổng Đơn'!$B37),0)</f>
        <v>0</v>
      </c>
      <c r="S37" s="2">
        <f ca="1">IFERROR(SUMIFS(INDIRECT("'Thanh Toán ("&amp;S$3&amp;")'!$F:$F"),INDIRECT("'Thanh Toán ("&amp;S$3&amp;")'!$D:$D"),'Tổng Đơn'!$B37),0)</f>
        <v>0</v>
      </c>
      <c r="T37" s="2">
        <f ca="1">IFERROR(SUMIFS(INDIRECT("'Thanh Toán ("&amp;T$3&amp;")'!$F:$F"),INDIRECT("'Thanh Toán ("&amp;T$3&amp;")'!$D:$D"),'Tổng Đơn'!$B37),0)</f>
        <v>0</v>
      </c>
      <c r="U37" s="2">
        <f ca="1">IFERROR(SUMIFS(INDIRECT("'Thanh Toán ("&amp;U$3&amp;")'!$F:$F"),INDIRECT("'Thanh Toán ("&amp;U$3&amp;")'!$D:$D"),'Tổng Đơn'!$B37),0)</f>
        <v>0</v>
      </c>
      <c r="V37" s="2">
        <f ca="1">IFERROR(SUMIFS(INDIRECT("'Thanh Toán ("&amp;V$3&amp;")'!$F:$F"),INDIRECT("'Thanh Toán ("&amp;V$3&amp;")'!$D:$D"),'Tổng Đơn'!$B37),0)</f>
        <v>0</v>
      </c>
      <c r="W37" s="2">
        <f ca="1">IFERROR(SUMIFS(INDIRECT("'Thanh Toán ("&amp;W$3&amp;")'!$F:$F"),INDIRECT("'Thanh Toán ("&amp;W$3&amp;")'!$D:$D"),'Tổng Đơn'!$B37),0)</f>
        <v>0</v>
      </c>
      <c r="X37" s="2">
        <f ca="1">IFERROR(SUMIFS(INDIRECT("'Thanh Toán ("&amp;X$3&amp;")'!$F:$F"),INDIRECT("'Thanh Toán ("&amp;X$3&amp;")'!$D:$D"),'Tổng Đơn'!$B37),0)</f>
        <v>0</v>
      </c>
      <c r="Y37" s="2">
        <f ca="1">IFERROR(SUMIFS(INDIRECT("'Thanh Toán ("&amp;Y$3&amp;")'!$F:$F"),INDIRECT("'Thanh Toán ("&amp;Y$3&amp;")'!$D:$D"),'Tổng Đơn'!$B37),0)</f>
        <v>0</v>
      </c>
      <c r="Z37" s="2">
        <f ca="1">IFERROR(SUMIFS(INDIRECT("'Thanh Toán ("&amp;Z$3&amp;")'!$F:$F"),INDIRECT("'Thanh Toán ("&amp;Z$3&amp;")'!$D:$D"),'Tổng Đơn'!$B37),0)</f>
        <v>0</v>
      </c>
      <c r="AA37" s="2">
        <f ca="1">IFERROR(SUMIFS(INDIRECT("'Thanh Toán ("&amp;AA$3&amp;")'!$F:$F"),INDIRECT("'Thanh Toán ("&amp;AA$3&amp;")'!$D:$D"),'Tổng Đơn'!$B37),0)</f>
        <v>0</v>
      </c>
      <c r="AB37" s="2">
        <f ca="1">IFERROR(SUMIFS(INDIRECT("'Thanh Toán ("&amp;AB$3&amp;")'!$F:$F"),INDIRECT("'Thanh Toán ("&amp;AB$3&amp;")'!$D:$D"),'Tổng Đơn'!$B37),0)</f>
        <v>0</v>
      </c>
      <c r="AC37" s="2">
        <f ca="1">IFERROR(SUMIFS(INDIRECT("'Thanh Toán ("&amp;AC$3&amp;")'!$F:$F"),INDIRECT("'Thanh Toán ("&amp;AC$3&amp;")'!$D:$D"),'Tổng Đơn'!$B37),0)</f>
        <v>0</v>
      </c>
      <c r="AD37" s="2">
        <f ca="1">IFERROR(SUMIFS(INDIRECT("'Thanh Toán ("&amp;AD$3&amp;")'!$F:$F"),INDIRECT("'Thanh Toán ("&amp;AD$3&amp;")'!$D:$D"),'Tổng Đơn'!$B37),0)</f>
        <v>0</v>
      </c>
      <c r="AE37" s="2">
        <f ca="1">IFERROR(SUMIFS(INDIRECT("'Thanh Toán ("&amp;AE$3&amp;")'!$F:$F"),INDIRECT("'Thanh Toán ("&amp;AE$3&amp;")'!$D:$D"),'Tổng Đơn'!$B37),0)</f>
        <v>0</v>
      </c>
      <c r="AF37" s="2">
        <f ca="1">IFERROR(SUMIFS(INDIRECT("'Thanh Toán ("&amp;AF$3&amp;")'!$F:$F"),INDIRECT("'Thanh Toán ("&amp;AF$3&amp;")'!$D:$D"),'Tổng Đơn'!$B37),0)</f>
        <v>0</v>
      </c>
      <c r="AG37" s="2">
        <f ca="1">IFERROR(SUMIFS(INDIRECT("'Thanh Toán ("&amp;AG$3&amp;")'!$F:$F"),INDIRECT("'Thanh Toán ("&amp;AG$3&amp;")'!$D:$D"),'Tổng Đơn'!$B37),0)</f>
        <v>0</v>
      </c>
      <c r="AH37" s="2">
        <f ca="1">IFERROR(SUMIFS(INDIRECT("'Thanh Toán ("&amp;AH$3&amp;")'!$F:$F"),INDIRECT("'Thanh Toán ("&amp;AH$3&amp;")'!$D:$D"),'Tổng Đơn'!$B37),0)</f>
        <v>0</v>
      </c>
      <c r="AI37" s="2">
        <f ca="1">IFERROR(SUMIFS(INDIRECT("'Thanh Toán ("&amp;AI$3&amp;")'!$F:$F"),INDIRECT("'Thanh Toán ("&amp;AI$3&amp;")'!$D:$D"),'Tổng Đơn'!$B37),0)</f>
        <v>0</v>
      </c>
      <c r="AJ37" s="2">
        <f ca="1">IFERROR(SUMIFS(INDIRECT("'Thanh Toán ("&amp;AJ$3&amp;")'!$F:$F"),INDIRECT("'Thanh Toán ("&amp;AJ$3&amp;")'!$D:$D"),'Tổng Đơn'!$B37),0)</f>
        <v>0</v>
      </c>
      <c r="AK37" s="2">
        <f ca="1">IFERROR(SUMIFS(INDIRECT("'Thanh Toán ("&amp;AK$3&amp;")'!$F:$F"),INDIRECT("'Thanh Toán ("&amp;AK$3&amp;")'!$D:$D"),'Tổng Đơn'!$B37),0)</f>
        <v>0</v>
      </c>
      <c r="AL37" s="2">
        <f ca="1">IFERROR(SUMIFS(INDIRECT("'Thanh Toán ("&amp;AL$3&amp;")'!$F:$F"),INDIRECT("'Thanh Toán ("&amp;AL$3&amp;")'!$D:$D"),'Tổng Đơn'!$B37),0)</f>
        <v>0</v>
      </c>
      <c r="AM37" s="2">
        <f ca="1">IFERROR(SUMIFS(INDIRECT("'Thanh Toán ("&amp;AM$3&amp;")'!$F:$F"),INDIRECT("'Thanh Toán ("&amp;AM$3&amp;")'!$D:$D"),'Tổng Đơn'!$B37),0)</f>
        <v>0</v>
      </c>
      <c r="AN37" s="2">
        <f ca="1">IFERROR(SUMIFS(INDIRECT("'Thanh Toán ("&amp;AN$3&amp;")'!$F:$F"),INDIRECT("'Thanh Toán ("&amp;AN$3&amp;")'!$D:$D"),'Tổng Đơn'!$B37),0)</f>
        <v>0</v>
      </c>
      <c r="AO37" s="2">
        <f ca="1">IFERROR(SUMIFS(INDIRECT("'Thanh Toán ("&amp;AO$3&amp;")'!$F:$F"),INDIRECT("'Thanh Toán ("&amp;AO$3&amp;")'!$D:$D"),'Tổng Đơn'!$B37),0)</f>
        <v>0</v>
      </c>
      <c r="AP37" s="2">
        <f ca="1">IFERROR(SUMIFS(INDIRECT("'Thanh Toán ("&amp;AP$3&amp;")'!$F:$F"),INDIRECT("'Thanh Toán ("&amp;AP$3&amp;")'!$D:$D"),'Tổng Đơn'!$B37),0)</f>
        <v>0</v>
      </c>
      <c r="AQ37" s="2">
        <f ca="1">IFERROR(SUMIFS(INDIRECT("'Thanh Toán ("&amp;AQ$3&amp;")'!$F:$F"),INDIRECT("'Thanh Toán ("&amp;AQ$3&amp;")'!$D:$D"),'Tổng Đơn'!$B37),0)</f>
        <v>0</v>
      </c>
      <c r="AR37" s="2">
        <f ca="1">IFERROR(SUMIFS(INDIRECT("'Thanh Toán ("&amp;AR$3&amp;")'!$F:$F"),INDIRECT("'Thanh Toán ("&amp;AR$3&amp;")'!$D:$D"),'Tổng Đơn'!$B37),0)</f>
        <v>0</v>
      </c>
      <c r="AS37" s="2">
        <f ca="1">IFERROR(SUMIFS(INDIRECT("'Thanh Toán ("&amp;AS$3&amp;")'!$F:$F"),INDIRECT("'Thanh Toán ("&amp;AS$3&amp;")'!$D:$D"),'Tổng Đơn'!$B37),0)</f>
        <v>0</v>
      </c>
      <c r="AT37" s="2">
        <f ca="1">IFERROR(SUMIFS(INDIRECT("'Thanh Toán ("&amp;AT$3&amp;")'!$F:$F"),INDIRECT("'Thanh Toán ("&amp;AT$3&amp;")'!$D:$D"),'Tổng Đơn'!$B37),0)</f>
        <v>0</v>
      </c>
      <c r="AU37" s="2">
        <f ca="1">IFERROR(SUMIFS(INDIRECT("'Thanh Toán ("&amp;AU$3&amp;")'!$F:$F"),INDIRECT("'Thanh Toán ("&amp;AU$3&amp;")'!$D:$D"),'Tổng Đơn'!$B37),0)</f>
        <v>0</v>
      </c>
      <c r="AV37" s="2">
        <f ca="1">IFERROR(SUMIFS(INDIRECT("'Thanh Toán ("&amp;AV$3&amp;")'!$F:$F"),INDIRECT("'Thanh Toán ("&amp;AV$3&amp;")'!$D:$D"),'Tổng Đơn'!$B37),0)</f>
        <v>0</v>
      </c>
      <c r="AW37" s="2">
        <f ca="1">IFERROR(SUMIFS(INDIRECT("'Thanh Toán ("&amp;AW$3&amp;")'!$F:$F"),INDIRECT("'Thanh Toán ("&amp;AW$3&amp;")'!$D:$D"),'Tổng Đơn'!$B37),0)</f>
        <v>0</v>
      </c>
      <c r="AX37" s="2">
        <f ca="1">IFERROR(SUMIFS(INDIRECT("'Thanh Toán ("&amp;AX$3&amp;")'!$F:$F"),INDIRECT("'Thanh Toán ("&amp;AX$3&amp;")'!$D:$D"),'Tổng Đơn'!$B37),0)</f>
        <v>0</v>
      </c>
      <c r="AY37" s="2">
        <f ca="1">IFERROR(SUMIFS(INDIRECT("'Thanh Toán ("&amp;AY$3&amp;")'!$F:$F"),INDIRECT("'Thanh Toán ("&amp;AY$3&amp;")'!$D:$D"),'Tổng Đơn'!$B37),0)</f>
        <v>0</v>
      </c>
      <c r="AZ37" s="2">
        <f ca="1">IFERROR(SUMIFS(INDIRECT("'Thanh Toán ("&amp;AZ$3&amp;")'!$F:$F"),INDIRECT("'Thanh Toán ("&amp;AZ$3&amp;")'!$D:$D"),'Tổng Đơn'!$B37),0)</f>
        <v>0</v>
      </c>
      <c r="BA37" s="2">
        <f ca="1">IFERROR(SUMIFS(INDIRECT("'Thanh Toán ("&amp;BA$3&amp;")'!$F:$F"),INDIRECT("'Thanh Toán ("&amp;BA$3&amp;")'!$D:$D"),'Tổng Đơn'!$B37),0)</f>
        <v>0</v>
      </c>
      <c r="BB37" s="2">
        <f ca="1">IFERROR(SUMIFS(INDIRECT("'Thanh Toán ("&amp;BB$3&amp;")'!$F:$F"),INDIRECT("'Thanh Toán ("&amp;BB$3&amp;")'!$D:$D"),'Tổng Đơn'!$B37),0)</f>
        <v>0</v>
      </c>
      <c r="BC37" s="2">
        <f ca="1">IFERROR(SUMIFS(INDIRECT("'Thanh Toán ("&amp;BC$3&amp;")'!$F:$F"),INDIRECT("'Thanh Toán ("&amp;BC$3&amp;")'!$D:$D"),'Tổng Đơn'!$B37),0)</f>
        <v>0</v>
      </c>
    </row>
    <row r="38" spans="1:55" ht="18" customHeight="1" x14ac:dyDescent="0.25">
      <c r="A38" s="201">
        <v>31</v>
      </c>
      <c r="B38" s="202" t="s">
        <v>67</v>
      </c>
      <c r="C38" s="201" t="s">
        <v>90</v>
      </c>
      <c r="D38" s="203">
        <f>VLOOKUP($C38,Sheet1!$C$5:$D$98,2,0)</f>
        <v>32000</v>
      </c>
      <c r="E38" s="204">
        <v>0.5</v>
      </c>
      <c r="F38" s="205">
        <f t="shared" ca="1" si="5"/>
        <v>0</v>
      </c>
      <c r="G38" s="206">
        <f>IFERROR(VLOOKUP($B38,Gà!C:J,8,0),IFERROR(VLOOKUP($B38,TVP!C:J,7,0),IFERROR(VLOOKUP($B38,Kitkool!C:J,8,0),IFERROR(VLOOKUP($B38,'La Cusina'!C:J,8,0),VLOOKUP($B38,'Quốc Nhân'!C:J,8,0)))))</f>
        <v>26.621803079549558</v>
      </c>
      <c r="H38" s="207">
        <f t="shared" ca="1" si="4"/>
        <v>0</v>
      </c>
      <c r="I38" s="207"/>
      <c r="J38" s="207">
        <f t="shared" ca="1" si="3"/>
        <v>0</v>
      </c>
      <c r="K38" s="53"/>
      <c r="L38" s="2">
        <f ca="1">IFERROR(SUMIFS(INDIRECT("'Thanh Toán ("&amp;L$3&amp;")'!$F:$F"),INDIRECT("'Thanh Toán ("&amp;L$3&amp;")'!$D:$D"),'Tổng Đơn'!$B38),0)</f>
        <v>0</v>
      </c>
      <c r="M38" s="2">
        <f ca="1">IFERROR(SUMIFS(INDIRECT("'Thanh Toán ("&amp;M$3&amp;")'!$F:$F"),INDIRECT("'Thanh Toán ("&amp;M$3&amp;")'!$D:$D"),'Tổng Đơn'!$B38),0)</f>
        <v>0</v>
      </c>
      <c r="N38" s="2">
        <f ca="1">IFERROR(SUMIFS(INDIRECT("'Thanh Toán ("&amp;N$3&amp;")'!$F:$F"),INDIRECT("'Thanh Toán ("&amp;N$3&amp;")'!$D:$D"),'Tổng Đơn'!$B38),0)</f>
        <v>0</v>
      </c>
      <c r="O38" s="2">
        <f ca="1">IFERROR(SUMIFS(INDIRECT("'Thanh Toán ("&amp;O$3&amp;")'!$F:$F"),INDIRECT("'Thanh Toán ("&amp;O$3&amp;")'!$D:$D"),'Tổng Đơn'!$B38),0)</f>
        <v>0</v>
      </c>
      <c r="P38" s="2">
        <f ca="1">IFERROR(SUMIFS(INDIRECT("'Thanh Toán ("&amp;P$3&amp;")'!$F:$F"),INDIRECT("'Thanh Toán ("&amp;P$3&amp;")'!$D:$D"),'Tổng Đơn'!$B38),0)</f>
        <v>0</v>
      </c>
      <c r="Q38" s="2">
        <f ca="1">IFERROR(SUMIFS(INDIRECT("'Thanh Toán ("&amp;Q$3&amp;")'!$F:$F"),INDIRECT("'Thanh Toán ("&amp;Q$3&amp;")'!$D:$D"),'Tổng Đơn'!$B38),0)</f>
        <v>0</v>
      </c>
      <c r="R38" s="2">
        <f ca="1">IFERROR(SUMIFS(INDIRECT("'Thanh Toán ("&amp;R$3&amp;")'!$F:$F"),INDIRECT("'Thanh Toán ("&amp;R$3&amp;")'!$D:$D"),'Tổng Đơn'!$B38),0)</f>
        <v>0</v>
      </c>
      <c r="S38" s="2">
        <f ca="1">IFERROR(SUMIFS(INDIRECT("'Thanh Toán ("&amp;S$3&amp;")'!$F:$F"),INDIRECT("'Thanh Toán ("&amp;S$3&amp;")'!$D:$D"),'Tổng Đơn'!$B38),0)</f>
        <v>0</v>
      </c>
      <c r="T38" s="2">
        <f ca="1">IFERROR(SUMIFS(INDIRECT("'Thanh Toán ("&amp;T$3&amp;")'!$F:$F"),INDIRECT("'Thanh Toán ("&amp;T$3&amp;")'!$D:$D"),'Tổng Đơn'!$B38),0)</f>
        <v>0</v>
      </c>
      <c r="U38" s="2">
        <f ca="1">IFERROR(SUMIFS(INDIRECT("'Thanh Toán ("&amp;U$3&amp;")'!$F:$F"),INDIRECT("'Thanh Toán ("&amp;U$3&amp;")'!$D:$D"),'Tổng Đơn'!$B38),0)</f>
        <v>0</v>
      </c>
      <c r="V38" s="2">
        <f ca="1">IFERROR(SUMIFS(INDIRECT("'Thanh Toán ("&amp;V$3&amp;")'!$F:$F"),INDIRECT("'Thanh Toán ("&amp;V$3&amp;")'!$D:$D"),'Tổng Đơn'!$B38),0)</f>
        <v>0</v>
      </c>
      <c r="W38" s="2">
        <f ca="1">IFERROR(SUMIFS(INDIRECT("'Thanh Toán ("&amp;W$3&amp;")'!$F:$F"),INDIRECT("'Thanh Toán ("&amp;W$3&amp;")'!$D:$D"),'Tổng Đơn'!$B38),0)</f>
        <v>0</v>
      </c>
      <c r="X38" s="2">
        <f ca="1">IFERROR(SUMIFS(INDIRECT("'Thanh Toán ("&amp;X$3&amp;")'!$F:$F"),INDIRECT("'Thanh Toán ("&amp;X$3&amp;")'!$D:$D"),'Tổng Đơn'!$B38),0)</f>
        <v>0</v>
      </c>
      <c r="Y38" s="2">
        <f ca="1">IFERROR(SUMIFS(INDIRECT("'Thanh Toán ("&amp;Y$3&amp;")'!$F:$F"),INDIRECT("'Thanh Toán ("&amp;Y$3&amp;")'!$D:$D"),'Tổng Đơn'!$B38),0)</f>
        <v>0</v>
      </c>
      <c r="Z38" s="2">
        <f ca="1">IFERROR(SUMIFS(INDIRECT("'Thanh Toán ("&amp;Z$3&amp;")'!$F:$F"),INDIRECT("'Thanh Toán ("&amp;Z$3&amp;")'!$D:$D"),'Tổng Đơn'!$B38),0)</f>
        <v>0</v>
      </c>
      <c r="AA38" s="2">
        <f ca="1">IFERROR(SUMIFS(INDIRECT("'Thanh Toán ("&amp;AA$3&amp;")'!$F:$F"),INDIRECT("'Thanh Toán ("&amp;AA$3&amp;")'!$D:$D"),'Tổng Đơn'!$B38),0)</f>
        <v>0</v>
      </c>
      <c r="AB38" s="2">
        <f ca="1">IFERROR(SUMIFS(INDIRECT("'Thanh Toán ("&amp;AB$3&amp;")'!$F:$F"),INDIRECT("'Thanh Toán ("&amp;AB$3&amp;")'!$D:$D"),'Tổng Đơn'!$B38),0)</f>
        <v>0</v>
      </c>
      <c r="AC38" s="2">
        <f ca="1">IFERROR(SUMIFS(INDIRECT("'Thanh Toán ("&amp;AC$3&amp;")'!$F:$F"),INDIRECT("'Thanh Toán ("&amp;AC$3&amp;")'!$D:$D"),'Tổng Đơn'!$B38),0)</f>
        <v>0</v>
      </c>
      <c r="AD38" s="2">
        <f ca="1">IFERROR(SUMIFS(INDIRECT("'Thanh Toán ("&amp;AD$3&amp;")'!$F:$F"),INDIRECT("'Thanh Toán ("&amp;AD$3&amp;")'!$D:$D"),'Tổng Đơn'!$B38),0)</f>
        <v>0</v>
      </c>
      <c r="AE38" s="2">
        <f ca="1">IFERROR(SUMIFS(INDIRECT("'Thanh Toán ("&amp;AE$3&amp;")'!$F:$F"),INDIRECT("'Thanh Toán ("&amp;AE$3&amp;")'!$D:$D"),'Tổng Đơn'!$B38),0)</f>
        <v>0</v>
      </c>
      <c r="AF38" s="2">
        <f ca="1">IFERROR(SUMIFS(INDIRECT("'Thanh Toán ("&amp;AF$3&amp;")'!$F:$F"),INDIRECT("'Thanh Toán ("&amp;AF$3&amp;")'!$D:$D"),'Tổng Đơn'!$B38),0)</f>
        <v>0</v>
      </c>
      <c r="AG38" s="2">
        <f ca="1">IFERROR(SUMIFS(INDIRECT("'Thanh Toán ("&amp;AG$3&amp;")'!$F:$F"),INDIRECT("'Thanh Toán ("&amp;AG$3&amp;")'!$D:$D"),'Tổng Đơn'!$B38),0)</f>
        <v>0</v>
      </c>
      <c r="AH38" s="2">
        <f ca="1">IFERROR(SUMIFS(INDIRECT("'Thanh Toán ("&amp;AH$3&amp;")'!$F:$F"),INDIRECT("'Thanh Toán ("&amp;AH$3&amp;")'!$D:$D"),'Tổng Đơn'!$B38),0)</f>
        <v>0</v>
      </c>
      <c r="AI38" s="2">
        <f ca="1">IFERROR(SUMIFS(INDIRECT("'Thanh Toán ("&amp;AI$3&amp;")'!$F:$F"),INDIRECT("'Thanh Toán ("&amp;AI$3&amp;")'!$D:$D"),'Tổng Đơn'!$B38),0)</f>
        <v>0</v>
      </c>
      <c r="AJ38" s="2">
        <f ca="1">IFERROR(SUMIFS(INDIRECT("'Thanh Toán ("&amp;AJ$3&amp;")'!$F:$F"),INDIRECT("'Thanh Toán ("&amp;AJ$3&amp;")'!$D:$D"),'Tổng Đơn'!$B38),0)</f>
        <v>0</v>
      </c>
      <c r="AK38" s="2">
        <f ca="1">IFERROR(SUMIFS(INDIRECT("'Thanh Toán ("&amp;AK$3&amp;")'!$F:$F"),INDIRECT("'Thanh Toán ("&amp;AK$3&amp;")'!$D:$D"),'Tổng Đơn'!$B38),0)</f>
        <v>0</v>
      </c>
      <c r="AL38" s="2">
        <f ca="1">IFERROR(SUMIFS(INDIRECT("'Thanh Toán ("&amp;AL$3&amp;")'!$F:$F"),INDIRECT("'Thanh Toán ("&amp;AL$3&amp;")'!$D:$D"),'Tổng Đơn'!$B38),0)</f>
        <v>0</v>
      </c>
      <c r="AM38" s="2">
        <f ca="1">IFERROR(SUMIFS(INDIRECT("'Thanh Toán ("&amp;AM$3&amp;")'!$F:$F"),INDIRECT("'Thanh Toán ("&amp;AM$3&amp;")'!$D:$D"),'Tổng Đơn'!$B38),0)</f>
        <v>0</v>
      </c>
      <c r="AN38" s="2">
        <f ca="1">IFERROR(SUMIFS(INDIRECT("'Thanh Toán ("&amp;AN$3&amp;")'!$F:$F"),INDIRECT("'Thanh Toán ("&amp;AN$3&amp;")'!$D:$D"),'Tổng Đơn'!$B38),0)</f>
        <v>0</v>
      </c>
      <c r="AO38" s="2">
        <f ca="1">IFERROR(SUMIFS(INDIRECT("'Thanh Toán ("&amp;AO$3&amp;")'!$F:$F"),INDIRECT("'Thanh Toán ("&amp;AO$3&amp;")'!$D:$D"),'Tổng Đơn'!$B38),0)</f>
        <v>0</v>
      </c>
      <c r="AP38" s="2">
        <f ca="1">IFERROR(SUMIFS(INDIRECT("'Thanh Toán ("&amp;AP$3&amp;")'!$F:$F"),INDIRECT("'Thanh Toán ("&amp;AP$3&amp;")'!$D:$D"),'Tổng Đơn'!$B38),0)</f>
        <v>0</v>
      </c>
      <c r="AQ38" s="2">
        <f ca="1">IFERROR(SUMIFS(INDIRECT("'Thanh Toán ("&amp;AQ$3&amp;")'!$F:$F"),INDIRECT("'Thanh Toán ("&amp;AQ$3&amp;")'!$D:$D"),'Tổng Đơn'!$B38),0)</f>
        <v>0</v>
      </c>
      <c r="AR38" s="2">
        <f ca="1">IFERROR(SUMIFS(INDIRECT("'Thanh Toán ("&amp;AR$3&amp;")'!$F:$F"),INDIRECT("'Thanh Toán ("&amp;AR$3&amp;")'!$D:$D"),'Tổng Đơn'!$B38),0)</f>
        <v>0</v>
      </c>
      <c r="AS38" s="2">
        <f ca="1">IFERROR(SUMIFS(INDIRECT("'Thanh Toán ("&amp;AS$3&amp;")'!$F:$F"),INDIRECT("'Thanh Toán ("&amp;AS$3&amp;")'!$D:$D"),'Tổng Đơn'!$B38),0)</f>
        <v>0</v>
      </c>
      <c r="AT38" s="2">
        <f ca="1">IFERROR(SUMIFS(INDIRECT("'Thanh Toán ("&amp;AT$3&amp;")'!$F:$F"),INDIRECT("'Thanh Toán ("&amp;AT$3&amp;")'!$D:$D"),'Tổng Đơn'!$B38),0)</f>
        <v>0</v>
      </c>
      <c r="AU38" s="2">
        <f ca="1">IFERROR(SUMIFS(INDIRECT("'Thanh Toán ("&amp;AU$3&amp;")'!$F:$F"),INDIRECT("'Thanh Toán ("&amp;AU$3&amp;")'!$D:$D"),'Tổng Đơn'!$B38),0)</f>
        <v>0</v>
      </c>
      <c r="AV38" s="2">
        <f ca="1">IFERROR(SUMIFS(INDIRECT("'Thanh Toán ("&amp;AV$3&amp;")'!$F:$F"),INDIRECT("'Thanh Toán ("&amp;AV$3&amp;")'!$D:$D"),'Tổng Đơn'!$B38),0)</f>
        <v>0</v>
      </c>
      <c r="AW38" s="2">
        <f ca="1">IFERROR(SUMIFS(INDIRECT("'Thanh Toán ("&amp;AW$3&amp;")'!$F:$F"),INDIRECT("'Thanh Toán ("&amp;AW$3&amp;")'!$D:$D"),'Tổng Đơn'!$B38),0)</f>
        <v>0</v>
      </c>
      <c r="AX38" s="2">
        <f ca="1">IFERROR(SUMIFS(INDIRECT("'Thanh Toán ("&amp;AX$3&amp;")'!$F:$F"),INDIRECT("'Thanh Toán ("&amp;AX$3&amp;")'!$D:$D"),'Tổng Đơn'!$B38),0)</f>
        <v>0</v>
      </c>
      <c r="AY38" s="2">
        <f ca="1">IFERROR(SUMIFS(INDIRECT("'Thanh Toán ("&amp;AY$3&amp;")'!$F:$F"),INDIRECT("'Thanh Toán ("&amp;AY$3&amp;")'!$D:$D"),'Tổng Đơn'!$B38),0)</f>
        <v>0</v>
      </c>
      <c r="AZ38" s="2">
        <f ca="1">IFERROR(SUMIFS(INDIRECT("'Thanh Toán ("&amp;AZ$3&amp;")'!$F:$F"),INDIRECT("'Thanh Toán ("&amp;AZ$3&amp;")'!$D:$D"),'Tổng Đơn'!$B38),0)</f>
        <v>0</v>
      </c>
      <c r="BA38" s="2">
        <f ca="1">IFERROR(SUMIFS(INDIRECT("'Thanh Toán ("&amp;BA$3&amp;")'!$F:$F"),INDIRECT("'Thanh Toán ("&amp;BA$3&amp;")'!$D:$D"),'Tổng Đơn'!$B38),0)</f>
        <v>0</v>
      </c>
      <c r="BB38" s="2">
        <f ca="1">IFERROR(SUMIFS(INDIRECT("'Thanh Toán ("&amp;BB$3&amp;")'!$F:$F"),INDIRECT("'Thanh Toán ("&amp;BB$3&amp;")'!$D:$D"),'Tổng Đơn'!$B38),0)</f>
        <v>0</v>
      </c>
      <c r="BC38" s="2">
        <f ca="1">IFERROR(SUMIFS(INDIRECT("'Thanh Toán ("&amp;BC$3&amp;")'!$F:$F"),INDIRECT("'Thanh Toán ("&amp;BC$3&amp;")'!$D:$D"),'Tổng Đơn'!$B38),0)</f>
        <v>0</v>
      </c>
    </row>
    <row r="39" spans="1:55" ht="18" customHeight="1" x14ac:dyDescent="0.25">
      <c r="A39" s="201">
        <v>32</v>
      </c>
      <c r="B39" s="202" t="s">
        <v>40</v>
      </c>
      <c r="C39" s="208" t="s">
        <v>91</v>
      </c>
      <c r="D39" s="203">
        <f>VLOOKUP($C39,Sheet1!$C$5:$D$98,2,0)</f>
        <v>35000</v>
      </c>
      <c r="E39" s="204">
        <v>0.5</v>
      </c>
      <c r="F39" s="205">
        <f t="shared" ca="1" si="5"/>
        <v>0</v>
      </c>
      <c r="G39" s="206">
        <f>IFERROR(VLOOKUP($B39,Gà!C:J,8,0),IFERROR(VLOOKUP($B39,TVP!C:J,7,0),IFERROR(VLOOKUP($B39,Kitkool!C:J,8,0),IFERROR(VLOOKUP($B39,'La Cusina'!C:J,8,0),VLOOKUP($B39,'Quốc Nhân'!C:J,8,0)))))</f>
        <v>28.63099576479858</v>
      </c>
      <c r="H39" s="207">
        <f t="shared" ca="1" si="4"/>
        <v>0</v>
      </c>
      <c r="I39" s="207"/>
      <c r="J39" s="207">
        <f t="shared" ca="1" si="3"/>
        <v>0</v>
      </c>
      <c r="K39" s="53"/>
      <c r="L39" s="2">
        <f ca="1">IFERROR(SUMIFS(INDIRECT("'Thanh Toán ("&amp;L$3&amp;")'!$F:$F"),INDIRECT("'Thanh Toán ("&amp;L$3&amp;")'!$D:$D"),'Tổng Đơn'!$B39),0)</f>
        <v>0</v>
      </c>
      <c r="M39" s="2">
        <f ca="1">IFERROR(SUMIFS(INDIRECT("'Thanh Toán ("&amp;M$3&amp;")'!$F:$F"),INDIRECT("'Thanh Toán ("&amp;M$3&amp;")'!$D:$D"),'Tổng Đơn'!$B39),0)</f>
        <v>0</v>
      </c>
      <c r="N39" s="2">
        <f ca="1">IFERROR(SUMIFS(INDIRECT("'Thanh Toán ("&amp;N$3&amp;")'!$F:$F"),INDIRECT("'Thanh Toán ("&amp;N$3&amp;")'!$D:$D"),'Tổng Đơn'!$B39),0)</f>
        <v>0</v>
      </c>
      <c r="O39" s="2">
        <f ca="1">IFERROR(SUMIFS(INDIRECT("'Thanh Toán ("&amp;O$3&amp;")'!$F:$F"),INDIRECT("'Thanh Toán ("&amp;O$3&amp;")'!$D:$D"),'Tổng Đơn'!$B39),0)</f>
        <v>0</v>
      </c>
      <c r="P39" s="2">
        <f ca="1">IFERROR(SUMIFS(INDIRECT("'Thanh Toán ("&amp;P$3&amp;")'!$F:$F"),INDIRECT("'Thanh Toán ("&amp;P$3&amp;")'!$D:$D"),'Tổng Đơn'!$B39),0)</f>
        <v>0</v>
      </c>
      <c r="Q39" s="2">
        <f ca="1">IFERROR(SUMIFS(INDIRECT("'Thanh Toán ("&amp;Q$3&amp;")'!$F:$F"),INDIRECT("'Thanh Toán ("&amp;Q$3&amp;")'!$D:$D"),'Tổng Đơn'!$B39),0)</f>
        <v>0</v>
      </c>
      <c r="R39" s="2">
        <f ca="1">IFERROR(SUMIFS(INDIRECT("'Thanh Toán ("&amp;R$3&amp;")'!$F:$F"),INDIRECT("'Thanh Toán ("&amp;R$3&amp;")'!$D:$D"),'Tổng Đơn'!$B39),0)</f>
        <v>0</v>
      </c>
      <c r="S39" s="2">
        <f ca="1">IFERROR(SUMIFS(INDIRECT("'Thanh Toán ("&amp;S$3&amp;")'!$F:$F"),INDIRECT("'Thanh Toán ("&amp;S$3&amp;")'!$D:$D"),'Tổng Đơn'!$B39),0)</f>
        <v>0</v>
      </c>
      <c r="T39" s="2">
        <f ca="1">IFERROR(SUMIFS(INDIRECT("'Thanh Toán ("&amp;T$3&amp;")'!$F:$F"),INDIRECT("'Thanh Toán ("&amp;T$3&amp;")'!$D:$D"),'Tổng Đơn'!$B39),0)</f>
        <v>0</v>
      </c>
      <c r="U39" s="2">
        <f ca="1">IFERROR(SUMIFS(INDIRECT("'Thanh Toán ("&amp;U$3&amp;")'!$F:$F"),INDIRECT("'Thanh Toán ("&amp;U$3&amp;")'!$D:$D"),'Tổng Đơn'!$B39),0)</f>
        <v>0</v>
      </c>
      <c r="V39" s="2">
        <f ca="1">IFERROR(SUMIFS(INDIRECT("'Thanh Toán ("&amp;V$3&amp;")'!$F:$F"),INDIRECT("'Thanh Toán ("&amp;V$3&amp;")'!$D:$D"),'Tổng Đơn'!$B39),0)</f>
        <v>0</v>
      </c>
      <c r="W39" s="2">
        <f ca="1">IFERROR(SUMIFS(INDIRECT("'Thanh Toán ("&amp;W$3&amp;")'!$F:$F"),INDIRECT("'Thanh Toán ("&amp;W$3&amp;")'!$D:$D"),'Tổng Đơn'!$B39),0)</f>
        <v>0</v>
      </c>
      <c r="X39" s="2">
        <f ca="1">IFERROR(SUMIFS(INDIRECT("'Thanh Toán ("&amp;X$3&amp;")'!$F:$F"),INDIRECT("'Thanh Toán ("&amp;X$3&amp;")'!$D:$D"),'Tổng Đơn'!$B39),0)</f>
        <v>0</v>
      </c>
      <c r="Y39" s="2">
        <f ca="1">IFERROR(SUMIFS(INDIRECT("'Thanh Toán ("&amp;Y$3&amp;")'!$F:$F"),INDIRECT("'Thanh Toán ("&amp;Y$3&amp;")'!$D:$D"),'Tổng Đơn'!$B39),0)</f>
        <v>0</v>
      </c>
      <c r="Z39" s="2">
        <f ca="1">IFERROR(SUMIFS(INDIRECT("'Thanh Toán ("&amp;Z$3&amp;")'!$F:$F"),INDIRECT("'Thanh Toán ("&amp;Z$3&amp;")'!$D:$D"),'Tổng Đơn'!$B39),0)</f>
        <v>0</v>
      </c>
      <c r="AA39" s="2">
        <f ca="1">IFERROR(SUMIFS(INDIRECT("'Thanh Toán ("&amp;AA$3&amp;")'!$F:$F"),INDIRECT("'Thanh Toán ("&amp;AA$3&amp;")'!$D:$D"),'Tổng Đơn'!$B39),0)</f>
        <v>0</v>
      </c>
      <c r="AB39" s="2">
        <f ca="1">IFERROR(SUMIFS(INDIRECT("'Thanh Toán ("&amp;AB$3&amp;")'!$F:$F"),INDIRECT("'Thanh Toán ("&amp;AB$3&amp;")'!$D:$D"),'Tổng Đơn'!$B39),0)</f>
        <v>0</v>
      </c>
      <c r="AC39" s="2">
        <f ca="1">IFERROR(SUMIFS(INDIRECT("'Thanh Toán ("&amp;AC$3&amp;")'!$F:$F"),INDIRECT("'Thanh Toán ("&amp;AC$3&amp;")'!$D:$D"),'Tổng Đơn'!$B39),0)</f>
        <v>0</v>
      </c>
      <c r="AD39" s="2">
        <f ca="1">IFERROR(SUMIFS(INDIRECT("'Thanh Toán ("&amp;AD$3&amp;")'!$F:$F"),INDIRECT("'Thanh Toán ("&amp;AD$3&amp;")'!$D:$D"),'Tổng Đơn'!$B39),0)</f>
        <v>0</v>
      </c>
      <c r="AE39" s="2">
        <f ca="1">IFERROR(SUMIFS(INDIRECT("'Thanh Toán ("&amp;AE$3&amp;")'!$F:$F"),INDIRECT("'Thanh Toán ("&amp;AE$3&amp;")'!$D:$D"),'Tổng Đơn'!$B39),0)</f>
        <v>0</v>
      </c>
      <c r="AF39" s="2">
        <f ca="1">IFERROR(SUMIFS(INDIRECT("'Thanh Toán ("&amp;AF$3&amp;")'!$F:$F"),INDIRECT("'Thanh Toán ("&amp;AF$3&amp;")'!$D:$D"),'Tổng Đơn'!$B39),0)</f>
        <v>0</v>
      </c>
      <c r="AG39" s="2">
        <f ca="1">IFERROR(SUMIFS(INDIRECT("'Thanh Toán ("&amp;AG$3&amp;")'!$F:$F"),INDIRECT("'Thanh Toán ("&amp;AG$3&amp;")'!$D:$D"),'Tổng Đơn'!$B39),0)</f>
        <v>0</v>
      </c>
      <c r="AH39" s="2">
        <f ca="1">IFERROR(SUMIFS(INDIRECT("'Thanh Toán ("&amp;AH$3&amp;")'!$F:$F"),INDIRECT("'Thanh Toán ("&amp;AH$3&amp;")'!$D:$D"),'Tổng Đơn'!$B39),0)</f>
        <v>0</v>
      </c>
      <c r="AI39" s="2">
        <f ca="1">IFERROR(SUMIFS(INDIRECT("'Thanh Toán ("&amp;AI$3&amp;")'!$F:$F"),INDIRECT("'Thanh Toán ("&amp;AI$3&amp;")'!$D:$D"),'Tổng Đơn'!$B39),0)</f>
        <v>0</v>
      </c>
      <c r="AJ39" s="2">
        <f ca="1">IFERROR(SUMIFS(INDIRECT("'Thanh Toán ("&amp;AJ$3&amp;")'!$F:$F"),INDIRECT("'Thanh Toán ("&amp;AJ$3&amp;")'!$D:$D"),'Tổng Đơn'!$B39),0)</f>
        <v>0</v>
      </c>
      <c r="AK39" s="2">
        <f ca="1">IFERROR(SUMIFS(INDIRECT("'Thanh Toán ("&amp;AK$3&amp;")'!$F:$F"),INDIRECT("'Thanh Toán ("&amp;AK$3&amp;")'!$D:$D"),'Tổng Đơn'!$B39),0)</f>
        <v>0</v>
      </c>
      <c r="AL39" s="2">
        <f ca="1">IFERROR(SUMIFS(INDIRECT("'Thanh Toán ("&amp;AL$3&amp;")'!$F:$F"),INDIRECT("'Thanh Toán ("&amp;AL$3&amp;")'!$D:$D"),'Tổng Đơn'!$B39),0)</f>
        <v>0</v>
      </c>
      <c r="AM39" s="2">
        <f ca="1">IFERROR(SUMIFS(INDIRECT("'Thanh Toán ("&amp;AM$3&amp;")'!$F:$F"),INDIRECT("'Thanh Toán ("&amp;AM$3&amp;")'!$D:$D"),'Tổng Đơn'!$B39),0)</f>
        <v>0</v>
      </c>
      <c r="AN39" s="2">
        <f ca="1">IFERROR(SUMIFS(INDIRECT("'Thanh Toán ("&amp;AN$3&amp;")'!$F:$F"),INDIRECT("'Thanh Toán ("&amp;AN$3&amp;")'!$D:$D"),'Tổng Đơn'!$B39),0)</f>
        <v>0</v>
      </c>
      <c r="AO39" s="2">
        <f ca="1">IFERROR(SUMIFS(INDIRECT("'Thanh Toán ("&amp;AO$3&amp;")'!$F:$F"),INDIRECT("'Thanh Toán ("&amp;AO$3&amp;")'!$D:$D"),'Tổng Đơn'!$B39),0)</f>
        <v>0</v>
      </c>
      <c r="AP39" s="2">
        <f ca="1">IFERROR(SUMIFS(INDIRECT("'Thanh Toán ("&amp;AP$3&amp;")'!$F:$F"),INDIRECT("'Thanh Toán ("&amp;AP$3&amp;")'!$D:$D"),'Tổng Đơn'!$B39),0)</f>
        <v>0</v>
      </c>
      <c r="AQ39" s="2">
        <f ca="1">IFERROR(SUMIFS(INDIRECT("'Thanh Toán ("&amp;AQ$3&amp;")'!$F:$F"),INDIRECT("'Thanh Toán ("&amp;AQ$3&amp;")'!$D:$D"),'Tổng Đơn'!$B39),0)</f>
        <v>0</v>
      </c>
      <c r="AR39" s="2">
        <f ca="1">IFERROR(SUMIFS(INDIRECT("'Thanh Toán ("&amp;AR$3&amp;")'!$F:$F"),INDIRECT("'Thanh Toán ("&amp;AR$3&amp;")'!$D:$D"),'Tổng Đơn'!$B39),0)</f>
        <v>0</v>
      </c>
      <c r="AS39" s="2">
        <f ca="1">IFERROR(SUMIFS(INDIRECT("'Thanh Toán ("&amp;AS$3&amp;")'!$F:$F"),INDIRECT("'Thanh Toán ("&amp;AS$3&amp;")'!$D:$D"),'Tổng Đơn'!$B39),0)</f>
        <v>0</v>
      </c>
      <c r="AT39" s="2">
        <f ca="1">IFERROR(SUMIFS(INDIRECT("'Thanh Toán ("&amp;AT$3&amp;")'!$F:$F"),INDIRECT("'Thanh Toán ("&amp;AT$3&amp;")'!$D:$D"),'Tổng Đơn'!$B39),0)</f>
        <v>0</v>
      </c>
      <c r="AU39" s="2">
        <f ca="1">IFERROR(SUMIFS(INDIRECT("'Thanh Toán ("&amp;AU$3&amp;")'!$F:$F"),INDIRECT("'Thanh Toán ("&amp;AU$3&amp;")'!$D:$D"),'Tổng Đơn'!$B39),0)</f>
        <v>0</v>
      </c>
      <c r="AV39" s="2">
        <f ca="1">IFERROR(SUMIFS(INDIRECT("'Thanh Toán ("&amp;AV$3&amp;")'!$F:$F"),INDIRECT("'Thanh Toán ("&amp;AV$3&amp;")'!$D:$D"),'Tổng Đơn'!$B39),0)</f>
        <v>0</v>
      </c>
      <c r="AW39" s="2">
        <f ca="1">IFERROR(SUMIFS(INDIRECT("'Thanh Toán ("&amp;AW$3&amp;")'!$F:$F"),INDIRECT("'Thanh Toán ("&amp;AW$3&amp;")'!$D:$D"),'Tổng Đơn'!$B39),0)</f>
        <v>0</v>
      </c>
      <c r="AX39" s="2">
        <f ca="1">IFERROR(SUMIFS(INDIRECT("'Thanh Toán ("&amp;AX$3&amp;")'!$F:$F"),INDIRECT("'Thanh Toán ("&amp;AX$3&amp;")'!$D:$D"),'Tổng Đơn'!$B39),0)</f>
        <v>0</v>
      </c>
      <c r="AY39" s="2">
        <f ca="1">IFERROR(SUMIFS(INDIRECT("'Thanh Toán ("&amp;AY$3&amp;")'!$F:$F"),INDIRECT("'Thanh Toán ("&amp;AY$3&amp;")'!$D:$D"),'Tổng Đơn'!$B39),0)</f>
        <v>0</v>
      </c>
      <c r="AZ39" s="2">
        <f ca="1">IFERROR(SUMIFS(INDIRECT("'Thanh Toán ("&amp;AZ$3&amp;")'!$F:$F"),INDIRECT("'Thanh Toán ("&amp;AZ$3&amp;")'!$D:$D"),'Tổng Đơn'!$B39),0)</f>
        <v>0</v>
      </c>
      <c r="BA39" s="2">
        <f ca="1">IFERROR(SUMIFS(INDIRECT("'Thanh Toán ("&amp;BA$3&amp;")'!$F:$F"),INDIRECT("'Thanh Toán ("&amp;BA$3&amp;")'!$D:$D"),'Tổng Đơn'!$B39),0)</f>
        <v>0</v>
      </c>
      <c r="BB39" s="2">
        <f ca="1">IFERROR(SUMIFS(INDIRECT("'Thanh Toán ("&amp;BB$3&amp;")'!$F:$F"),INDIRECT("'Thanh Toán ("&amp;BB$3&amp;")'!$D:$D"),'Tổng Đơn'!$B39),0)</f>
        <v>0</v>
      </c>
      <c r="BC39" s="2">
        <f ca="1">IFERROR(SUMIFS(INDIRECT("'Thanh Toán ("&amp;BC$3&amp;")'!$F:$F"),INDIRECT("'Thanh Toán ("&amp;BC$3&amp;")'!$D:$D"),'Tổng Đơn'!$B39),0)</f>
        <v>0</v>
      </c>
    </row>
    <row r="40" spans="1:55" ht="18" customHeight="1" x14ac:dyDescent="0.25">
      <c r="A40" s="201">
        <v>33</v>
      </c>
      <c r="B40" s="202" t="s">
        <v>41</v>
      </c>
      <c r="C40" s="201" t="s">
        <v>92</v>
      </c>
      <c r="D40" s="203">
        <f>VLOOKUP($C40,Sheet1!$C$5:$D$98,2,0)</f>
        <v>14000</v>
      </c>
      <c r="E40" s="204">
        <v>0.2</v>
      </c>
      <c r="F40" s="205">
        <f t="shared" ca="1" si="5"/>
        <v>0</v>
      </c>
      <c r="G40" s="206">
        <f>IFERROR(VLOOKUP($B40,Gà!C:J,8,0),IFERROR(VLOOKUP($B40,TVP!C:J,7,0),IFERROR(VLOOKUP($B40,Kitkool!C:J,8,0),IFERROR(VLOOKUP($B40,'La Cusina'!C:J,8,0),VLOOKUP($B40,'Quốc Nhân'!C:J,8,0)))))</f>
        <v>12.05515611149414</v>
      </c>
      <c r="H40" s="207">
        <f t="shared" ca="1" si="4"/>
        <v>0</v>
      </c>
      <c r="I40" s="207"/>
      <c r="J40" s="207">
        <f t="shared" ca="1" si="3"/>
        <v>0</v>
      </c>
      <c r="K40" s="53"/>
      <c r="L40" s="2">
        <f ca="1">IFERROR(SUMIFS(INDIRECT("'Thanh Toán ("&amp;L$3&amp;")'!$F:$F"),INDIRECT("'Thanh Toán ("&amp;L$3&amp;")'!$D:$D"),'Tổng Đơn'!$B40),0)</f>
        <v>0</v>
      </c>
      <c r="M40" s="2">
        <f ca="1">IFERROR(SUMIFS(INDIRECT("'Thanh Toán ("&amp;M$3&amp;")'!$F:$F"),INDIRECT("'Thanh Toán ("&amp;M$3&amp;")'!$D:$D"),'Tổng Đơn'!$B40),0)</f>
        <v>0</v>
      </c>
      <c r="N40" s="2">
        <f ca="1">IFERROR(SUMIFS(INDIRECT("'Thanh Toán ("&amp;N$3&amp;")'!$F:$F"),INDIRECT("'Thanh Toán ("&amp;N$3&amp;")'!$D:$D"),'Tổng Đơn'!$B40),0)</f>
        <v>0</v>
      </c>
      <c r="O40" s="2">
        <f ca="1">IFERROR(SUMIFS(INDIRECT("'Thanh Toán ("&amp;O$3&amp;")'!$F:$F"),INDIRECT("'Thanh Toán ("&amp;O$3&amp;")'!$D:$D"),'Tổng Đơn'!$B40),0)</f>
        <v>0</v>
      </c>
      <c r="P40" s="2">
        <f ca="1">IFERROR(SUMIFS(INDIRECT("'Thanh Toán ("&amp;P$3&amp;")'!$F:$F"),INDIRECT("'Thanh Toán ("&amp;P$3&amp;")'!$D:$D"),'Tổng Đơn'!$B40),0)</f>
        <v>0</v>
      </c>
      <c r="Q40" s="2">
        <f ca="1">IFERROR(SUMIFS(INDIRECT("'Thanh Toán ("&amp;Q$3&amp;")'!$F:$F"),INDIRECT("'Thanh Toán ("&amp;Q$3&amp;")'!$D:$D"),'Tổng Đơn'!$B40),0)</f>
        <v>0</v>
      </c>
      <c r="R40" s="2">
        <f ca="1">IFERROR(SUMIFS(INDIRECT("'Thanh Toán ("&amp;R$3&amp;")'!$F:$F"),INDIRECT("'Thanh Toán ("&amp;R$3&amp;")'!$D:$D"),'Tổng Đơn'!$B40),0)</f>
        <v>0</v>
      </c>
      <c r="S40" s="2">
        <f ca="1">IFERROR(SUMIFS(INDIRECT("'Thanh Toán ("&amp;S$3&amp;")'!$F:$F"),INDIRECT("'Thanh Toán ("&amp;S$3&amp;")'!$D:$D"),'Tổng Đơn'!$B40),0)</f>
        <v>0</v>
      </c>
      <c r="T40" s="2">
        <f ca="1">IFERROR(SUMIFS(INDIRECT("'Thanh Toán ("&amp;T$3&amp;")'!$F:$F"),INDIRECT("'Thanh Toán ("&amp;T$3&amp;")'!$D:$D"),'Tổng Đơn'!$B40),0)</f>
        <v>0</v>
      </c>
      <c r="U40" s="2">
        <f ca="1">IFERROR(SUMIFS(INDIRECT("'Thanh Toán ("&amp;U$3&amp;")'!$F:$F"),INDIRECT("'Thanh Toán ("&amp;U$3&amp;")'!$D:$D"),'Tổng Đơn'!$B40),0)</f>
        <v>0</v>
      </c>
      <c r="V40" s="2">
        <f ca="1">IFERROR(SUMIFS(INDIRECT("'Thanh Toán ("&amp;V$3&amp;")'!$F:$F"),INDIRECT("'Thanh Toán ("&amp;V$3&amp;")'!$D:$D"),'Tổng Đơn'!$B40),0)</f>
        <v>0</v>
      </c>
      <c r="W40" s="2">
        <f ca="1">IFERROR(SUMIFS(INDIRECT("'Thanh Toán ("&amp;W$3&amp;")'!$F:$F"),INDIRECT("'Thanh Toán ("&amp;W$3&amp;")'!$D:$D"),'Tổng Đơn'!$B40),0)</f>
        <v>0</v>
      </c>
      <c r="X40" s="2">
        <f ca="1">IFERROR(SUMIFS(INDIRECT("'Thanh Toán ("&amp;X$3&amp;")'!$F:$F"),INDIRECT("'Thanh Toán ("&amp;X$3&amp;")'!$D:$D"),'Tổng Đơn'!$B40),0)</f>
        <v>0</v>
      </c>
      <c r="Y40" s="2">
        <f ca="1">IFERROR(SUMIFS(INDIRECT("'Thanh Toán ("&amp;Y$3&amp;")'!$F:$F"),INDIRECT("'Thanh Toán ("&amp;Y$3&amp;")'!$D:$D"),'Tổng Đơn'!$B40),0)</f>
        <v>0</v>
      </c>
      <c r="Z40" s="2">
        <f ca="1">IFERROR(SUMIFS(INDIRECT("'Thanh Toán ("&amp;Z$3&amp;")'!$F:$F"),INDIRECT("'Thanh Toán ("&amp;Z$3&amp;")'!$D:$D"),'Tổng Đơn'!$B40),0)</f>
        <v>0</v>
      </c>
      <c r="AA40" s="2">
        <f ca="1">IFERROR(SUMIFS(INDIRECT("'Thanh Toán ("&amp;AA$3&amp;")'!$F:$F"),INDIRECT("'Thanh Toán ("&amp;AA$3&amp;")'!$D:$D"),'Tổng Đơn'!$B40),0)</f>
        <v>0</v>
      </c>
      <c r="AB40" s="2">
        <f ca="1">IFERROR(SUMIFS(INDIRECT("'Thanh Toán ("&amp;AB$3&amp;")'!$F:$F"),INDIRECT("'Thanh Toán ("&amp;AB$3&amp;")'!$D:$D"),'Tổng Đơn'!$B40),0)</f>
        <v>0</v>
      </c>
      <c r="AC40" s="2">
        <f ca="1">IFERROR(SUMIFS(INDIRECT("'Thanh Toán ("&amp;AC$3&amp;")'!$F:$F"),INDIRECT("'Thanh Toán ("&amp;AC$3&amp;")'!$D:$D"),'Tổng Đơn'!$B40),0)</f>
        <v>0</v>
      </c>
      <c r="AD40" s="2">
        <f ca="1">IFERROR(SUMIFS(INDIRECT("'Thanh Toán ("&amp;AD$3&amp;")'!$F:$F"),INDIRECT("'Thanh Toán ("&amp;AD$3&amp;")'!$D:$D"),'Tổng Đơn'!$B40),0)</f>
        <v>0</v>
      </c>
      <c r="AE40" s="2">
        <f ca="1">IFERROR(SUMIFS(INDIRECT("'Thanh Toán ("&amp;AE$3&amp;")'!$F:$F"),INDIRECT("'Thanh Toán ("&amp;AE$3&amp;")'!$D:$D"),'Tổng Đơn'!$B40),0)</f>
        <v>0</v>
      </c>
      <c r="AF40" s="2">
        <f ca="1">IFERROR(SUMIFS(INDIRECT("'Thanh Toán ("&amp;AF$3&amp;")'!$F:$F"),INDIRECT("'Thanh Toán ("&amp;AF$3&amp;")'!$D:$D"),'Tổng Đơn'!$B40),0)</f>
        <v>0</v>
      </c>
      <c r="AG40" s="2">
        <f ca="1">IFERROR(SUMIFS(INDIRECT("'Thanh Toán ("&amp;AG$3&amp;")'!$F:$F"),INDIRECT("'Thanh Toán ("&amp;AG$3&amp;")'!$D:$D"),'Tổng Đơn'!$B40),0)</f>
        <v>0</v>
      </c>
      <c r="AH40" s="2">
        <f ca="1">IFERROR(SUMIFS(INDIRECT("'Thanh Toán ("&amp;AH$3&amp;")'!$F:$F"),INDIRECT("'Thanh Toán ("&amp;AH$3&amp;")'!$D:$D"),'Tổng Đơn'!$B40),0)</f>
        <v>0</v>
      </c>
      <c r="AI40" s="2">
        <f ca="1">IFERROR(SUMIFS(INDIRECT("'Thanh Toán ("&amp;AI$3&amp;")'!$F:$F"),INDIRECT("'Thanh Toán ("&amp;AI$3&amp;")'!$D:$D"),'Tổng Đơn'!$B40),0)</f>
        <v>0</v>
      </c>
      <c r="AJ40" s="2">
        <f ca="1">IFERROR(SUMIFS(INDIRECT("'Thanh Toán ("&amp;AJ$3&amp;")'!$F:$F"),INDIRECT("'Thanh Toán ("&amp;AJ$3&amp;")'!$D:$D"),'Tổng Đơn'!$B40),0)</f>
        <v>0</v>
      </c>
      <c r="AK40" s="2">
        <f ca="1">IFERROR(SUMIFS(INDIRECT("'Thanh Toán ("&amp;AK$3&amp;")'!$F:$F"),INDIRECT("'Thanh Toán ("&amp;AK$3&amp;")'!$D:$D"),'Tổng Đơn'!$B40),0)</f>
        <v>0</v>
      </c>
      <c r="AL40" s="2">
        <f ca="1">IFERROR(SUMIFS(INDIRECT("'Thanh Toán ("&amp;AL$3&amp;")'!$F:$F"),INDIRECT("'Thanh Toán ("&amp;AL$3&amp;")'!$D:$D"),'Tổng Đơn'!$B40),0)</f>
        <v>0</v>
      </c>
      <c r="AM40" s="2">
        <f ca="1">IFERROR(SUMIFS(INDIRECT("'Thanh Toán ("&amp;AM$3&amp;")'!$F:$F"),INDIRECT("'Thanh Toán ("&amp;AM$3&amp;")'!$D:$D"),'Tổng Đơn'!$B40),0)</f>
        <v>0</v>
      </c>
      <c r="AN40" s="2">
        <f ca="1">IFERROR(SUMIFS(INDIRECT("'Thanh Toán ("&amp;AN$3&amp;")'!$F:$F"),INDIRECT("'Thanh Toán ("&amp;AN$3&amp;")'!$D:$D"),'Tổng Đơn'!$B40),0)</f>
        <v>0</v>
      </c>
      <c r="AO40" s="2">
        <f ca="1">IFERROR(SUMIFS(INDIRECT("'Thanh Toán ("&amp;AO$3&amp;")'!$F:$F"),INDIRECT("'Thanh Toán ("&amp;AO$3&amp;")'!$D:$D"),'Tổng Đơn'!$B40),0)</f>
        <v>0</v>
      </c>
      <c r="AP40" s="2">
        <f ca="1">IFERROR(SUMIFS(INDIRECT("'Thanh Toán ("&amp;AP$3&amp;")'!$F:$F"),INDIRECT("'Thanh Toán ("&amp;AP$3&amp;")'!$D:$D"),'Tổng Đơn'!$B40),0)</f>
        <v>0</v>
      </c>
      <c r="AQ40" s="2">
        <f ca="1">IFERROR(SUMIFS(INDIRECT("'Thanh Toán ("&amp;AQ$3&amp;")'!$F:$F"),INDIRECT("'Thanh Toán ("&amp;AQ$3&amp;")'!$D:$D"),'Tổng Đơn'!$B40),0)</f>
        <v>0</v>
      </c>
      <c r="AR40" s="2">
        <f ca="1">IFERROR(SUMIFS(INDIRECT("'Thanh Toán ("&amp;AR$3&amp;")'!$F:$F"),INDIRECT("'Thanh Toán ("&amp;AR$3&amp;")'!$D:$D"),'Tổng Đơn'!$B40),0)</f>
        <v>0</v>
      </c>
      <c r="AS40" s="2">
        <f ca="1">IFERROR(SUMIFS(INDIRECT("'Thanh Toán ("&amp;AS$3&amp;")'!$F:$F"),INDIRECT("'Thanh Toán ("&amp;AS$3&amp;")'!$D:$D"),'Tổng Đơn'!$B40),0)</f>
        <v>0</v>
      </c>
      <c r="AT40" s="2">
        <f ca="1">IFERROR(SUMIFS(INDIRECT("'Thanh Toán ("&amp;AT$3&amp;")'!$F:$F"),INDIRECT("'Thanh Toán ("&amp;AT$3&amp;")'!$D:$D"),'Tổng Đơn'!$B40),0)</f>
        <v>0</v>
      </c>
      <c r="AU40" s="2">
        <f ca="1">IFERROR(SUMIFS(INDIRECT("'Thanh Toán ("&amp;AU$3&amp;")'!$F:$F"),INDIRECT("'Thanh Toán ("&amp;AU$3&amp;")'!$D:$D"),'Tổng Đơn'!$B40),0)</f>
        <v>0</v>
      </c>
      <c r="AV40" s="2">
        <f ca="1">IFERROR(SUMIFS(INDIRECT("'Thanh Toán ("&amp;AV$3&amp;")'!$F:$F"),INDIRECT("'Thanh Toán ("&amp;AV$3&amp;")'!$D:$D"),'Tổng Đơn'!$B40),0)</f>
        <v>0</v>
      </c>
      <c r="AW40" s="2">
        <f ca="1">IFERROR(SUMIFS(INDIRECT("'Thanh Toán ("&amp;AW$3&amp;")'!$F:$F"),INDIRECT("'Thanh Toán ("&amp;AW$3&amp;")'!$D:$D"),'Tổng Đơn'!$B40),0)</f>
        <v>0</v>
      </c>
      <c r="AX40" s="2">
        <f ca="1">IFERROR(SUMIFS(INDIRECT("'Thanh Toán ("&amp;AX$3&amp;")'!$F:$F"),INDIRECT("'Thanh Toán ("&amp;AX$3&amp;")'!$D:$D"),'Tổng Đơn'!$B40),0)</f>
        <v>0</v>
      </c>
      <c r="AY40" s="2">
        <f ca="1">IFERROR(SUMIFS(INDIRECT("'Thanh Toán ("&amp;AY$3&amp;")'!$F:$F"),INDIRECT("'Thanh Toán ("&amp;AY$3&amp;")'!$D:$D"),'Tổng Đơn'!$B40),0)</f>
        <v>0</v>
      </c>
      <c r="AZ40" s="2">
        <f ca="1">IFERROR(SUMIFS(INDIRECT("'Thanh Toán ("&amp;AZ$3&amp;")'!$F:$F"),INDIRECT("'Thanh Toán ("&amp;AZ$3&amp;")'!$D:$D"),'Tổng Đơn'!$B40),0)</f>
        <v>0</v>
      </c>
      <c r="BA40" s="2">
        <f ca="1">IFERROR(SUMIFS(INDIRECT("'Thanh Toán ("&amp;BA$3&amp;")'!$F:$F"),INDIRECT("'Thanh Toán ("&amp;BA$3&amp;")'!$D:$D"),'Tổng Đơn'!$B40),0)</f>
        <v>0</v>
      </c>
      <c r="BB40" s="2">
        <f ca="1">IFERROR(SUMIFS(INDIRECT("'Thanh Toán ("&amp;BB$3&amp;")'!$F:$F"),INDIRECT("'Thanh Toán ("&amp;BB$3&amp;")'!$D:$D"),'Tổng Đơn'!$B40),0)</f>
        <v>0</v>
      </c>
      <c r="BC40" s="2">
        <f ca="1">IFERROR(SUMIFS(INDIRECT("'Thanh Toán ("&amp;BC$3&amp;")'!$F:$F"),INDIRECT("'Thanh Toán ("&amp;BC$3&amp;")'!$D:$D"),'Tổng Đơn'!$B40),0)</f>
        <v>0</v>
      </c>
    </row>
    <row r="41" spans="1:55" ht="18" customHeight="1" x14ac:dyDescent="0.25">
      <c r="A41" s="201">
        <v>34</v>
      </c>
      <c r="B41" s="202" t="s">
        <v>42</v>
      </c>
      <c r="C41" s="208" t="s">
        <v>93</v>
      </c>
      <c r="D41" s="203">
        <f>VLOOKUP($C41,Sheet1!$C$5:$D$98,2,0)</f>
        <v>35000</v>
      </c>
      <c r="E41" s="204">
        <v>0.5</v>
      </c>
      <c r="F41" s="205">
        <f t="shared" ca="1" si="5"/>
        <v>0</v>
      </c>
      <c r="G41" s="206">
        <f>IFERROR(VLOOKUP($B41,Gà!C:J,8,0),IFERROR(VLOOKUP($B41,TVP!C:J,7,0),IFERROR(VLOOKUP($B41,Kitkool!C:J,8,0),IFERROR(VLOOKUP($B41,'La Cusina'!C:J,8,0),VLOOKUP($B41,'Quốc Nhân'!C:J,8,0)))))</f>
        <v>28.63099576479858</v>
      </c>
      <c r="H41" s="207">
        <f t="shared" ca="1" si="4"/>
        <v>0</v>
      </c>
      <c r="I41" s="207"/>
      <c r="J41" s="207">
        <f t="shared" ca="1" si="3"/>
        <v>0</v>
      </c>
      <c r="K41" s="53"/>
      <c r="L41" s="2">
        <f ca="1">IFERROR(SUMIFS(INDIRECT("'Thanh Toán ("&amp;L$3&amp;")'!$F:$F"),INDIRECT("'Thanh Toán ("&amp;L$3&amp;")'!$D:$D"),'Tổng Đơn'!$B41),0)</f>
        <v>0</v>
      </c>
      <c r="M41" s="2">
        <f ca="1">IFERROR(SUMIFS(INDIRECT("'Thanh Toán ("&amp;M$3&amp;")'!$F:$F"),INDIRECT("'Thanh Toán ("&amp;M$3&amp;")'!$D:$D"),'Tổng Đơn'!$B41),0)</f>
        <v>0</v>
      </c>
      <c r="N41" s="2">
        <f ca="1">IFERROR(SUMIFS(INDIRECT("'Thanh Toán ("&amp;N$3&amp;")'!$F:$F"),INDIRECT("'Thanh Toán ("&amp;N$3&amp;")'!$D:$D"),'Tổng Đơn'!$B41),0)</f>
        <v>0</v>
      </c>
      <c r="O41" s="2">
        <f ca="1">IFERROR(SUMIFS(INDIRECT("'Thanh Toán ("&amp;O$3&amp;")'!$F:$F"),INDIRECT("'Thanh Toán ("&amp;O$3&amp;")'!$D:$D"),'Tổng Đơn'!$B41),0)</f>
        <v>0</v>
      </c>
      <c r="P41" s="2">
        <f ca="1">IFERROR(SUMIFS(INDIRECT("'Thanh Toán ("&amp;P$3&amp;")'!$F:$F"),INDIRECT("'Thanh Toán ("&amp;P$3&amp;")'!$D:$D"),'Tổng Đơn'!$B41),0)</f>
        <v>0</v>
      </c>
      <c r="Q41" s="2">
        <f ca="1">IFERROR(SUMIFS(INDIRECT("'Thanh Toán ("&amp;Q$3&amp;")'!$F:$F"),INDIRECT("'Thanh Toán ("&amp;Q$3&amp;")'!$D:$D"),'Tổng Đơn'!$B41),0)</f>
        <v>0</v>
      </c>
      <c r="R41" s="2">
        <f ca="1">IFERROR(SUMIFS(INDIRECT("'Thanh Toán ("&amp;R$3&amp;")'!$F:$F"),INDIRECT("'Thanh Toán ("&amp;R$3&amp;")'!$D:$D"),'Tổng Đơn'!$B41),0)</f>
        <v>0</v>
      </c>
      <c r="S41" s="2">
        <f ca="1">IFERROR(SUMIFS(INDIRECT("'Thanh Toán ("&amp;S$3&amp;")'!$F:$F"),INDIRECT("'Thanh Toán ("&amp;S$3&amp;")'!$D:$D"),'Tổng Đơn'!$B41),0)</f>
        <v>0</v>
      </c>
      <c r="T41" s="2">
        <f ca="1">IFERROR(SUMIFS(INDIRECT("'Thanh Toán ("&amp;T$3&amp;")'!$F:$F"),INDIRECT("'Thanh Toán ("&amp;T$3&amp;")'!$D:$D"),'Tổng Đơn'!$B41),0)</f>
        <v>0</v>
      </c>
      <c r="U41" s="2">
        <f ca="1">IFERROR(SUMIFS(INDIRECT("'Thanh Toán ("&amp;U$3&amp;")'!$F:$F"),INDIRECT("'Thanh Toán ("&amp;U$3&amp;")'!$D:$D"),'Tổng Đơn'!$B41),0)</f>
        <v>0</v>
      </c>
      <c r="V41" s="2">
        <f ca="1">IFERROR(SUMIFS(INDIRECT("'Thanh Toán ("&amp;V$3&amp;")'!$F:$F"),INDIRECT("'Thanh Toán ("&amp;V$3&amp;")'!$D:$D"),'Tổng Đơn'!$B41),0)</f>
        <v>0</v>
      </c>
      <c r="W41" s="2">
        <f ca="1">IFERROR(SUMIFS(INDIRECT("'Thanh Toán ("&amp;W$3&amp;")'!$F:$F"),INDIRECT("'Thanh Toán ("&amp;W$3&amp;")'!$D:$D"),'Tổng Đơn'!$B41),0)</f>
        <v>0</v>
      </c>
      <c r="X41" s="2">
        <f ca="1">IFERROR(SUMIFS(INDIRECT("'Thanh Toán ("&amp;X$3&amp;")'!$F:$F"),INDIRECT("'Thanh Toán ("&amp;X$3&amp;")'!$D:$D"),'Tổng Đơn'!$B41),0)</f>
        <v>0</v>
      </c>
      <c r="Y41" s="2">
        <f ca="1">IFERROR(SUMIFS(INDIRECT("'Thanh Toán ("&amp;Y$3&amp;")'!$F:$F"),INDIRECT("'Thanh Toán ("&amp;Y$3&amp;")'!$D:$D"),'Tổng Đơn'!$B41),0)</f>
        <v>0</v>
      </c>
      <c r="Z41" s="2">
        <f ca="1">IFERROR(SUMIFS(INDIRECT("'Thanh Toán ("&amp;Z$3&amp;")'!$F:$F"),INDIRECT("'Thanh Toán ("&amp;Z$3&amp;")'!$D:$D"),'Tổng Đơn'!$B41),0)</f>
        <v>0</v>
      </c>
      <c r="AA41" s="2">
        <f ca="1">IFERROR(SUMIFS(INDIRECT("'Thanh Toán ("&amp;AA$3&amp;")'!$F:$F"),INDIRECT("'Thanh Toán ("&amp;AA$3&amp;")'!$D:$D"),'Tổng Đơn'!$B41),0)</f>
        <v>0</v>
      </c>
      <c r="AB41" s="2">
        <f ca="1">IFERROR(SUMIFS(INDIRECT("'Thanh Toán ("&amp;AB$3&amp;")'!$F:$F"),INDIRECT("'Thanh Toán ("&amp;AB$3&amp;")'!$D:$D"),'Tổng Đơn'!$B41),0)</f>
        <v>0</v>
      </c>
      <c r="AC41" s="2">
        <f ca="1">IFERROR(SUMIFS(INDIRECT("'Thanh Toán ("&amp;AC$3&amp;")'!$F:$F"),INDIRECT("'Thanh Toán ("&amp;AC$3&amp;")'!$D:$D"),'Tổng Đơn'!$B41),0)</f>
        <v>0</v>
      </c>
      <c r="AD41" s="2">
        <f ca="1">IFERROR(SUMIFS(INDIRECT("'Thanh Toán ("&amp;AD$3&amp;")'!$F:$F"),INDIRECT("'Thanh Toán ("&amp;AD$3&amp;")'!$D:$D"),'Tổng Đơn'!$B41),0)</f>
        <v>0</v>
      </c>
      <c r="AE41" s="2">
        <f ca="1">IFERROR(SUMIFS(INDIRECT("'Thanh Toán ("&amp;AE$3&amp;")'!$F:$F"),INDIRECT("'Thanh Toán ("&amp;AE$3&amp;")'!$D:$D"),'Tổng Đơn'!$B41),0)</f>
        <v>0</v>
      </c>
      <c r="AF41" s="2">
        <f ca="1">IFERROR(SUMIFS(INDIRECT("'Thanh Toán ("&amp;AF$3&amp;")'!$F:$F"),INDIRECT("'Thanh Toán ("&amp;AF$3&amp;")'!$D:$D"),'Tổng Đơn'!$B41),0)</f>
        <v>0</v>
      </c>
      <c r="AG41" s="2">
        <f ca="1">IFERROR(SUMIFS(INDIRECT("'Thanh Toán ("&amp;AG$3&amp;")'!$F:$F"),INDIRECT("'Thanh Toán ("&amp;AG$3&amp;")'!$D:$D"),'Tổng Đơn'!$B41),0)</f>
        <v>0</v>
      </c>
      <c r="AH41" s="2">
        <f ca="1">IFERROR(SUMIFS(INDIRECT("'Thanh Toán ("&amp;AH$3&amp;")'!$F:$F"),INDIRECT("'Thanh Toán ("&amp;AH$3&amp;")'!$D:$D"),'Tổng Đơn'!$B41),0)</f>
        <v>0</v>
      </c>
      <c r="AI41" s="2">
        <f ca="1">IFERROR(SUMIFS(INDIRECT("'Thanh Toán ("&amp;AI$3&amp;")'!$F:$F"),INDIRECT("'Thanh Toán ("&amp;AI$3&amp;")'!$D:$D"),'Tổng Đơn'!$B41),0)</f>
        <v>0</v>
      </c>
      <c r="AJ41" s="2">
        <f ca="1">IFERROR(SUMIFS(INDIRECT("'Thanh Toán ("&amp;AJ$3&amp;")'!$F:$F"),INDIRECT("'Thanh Toán ("&amp;AJ$3&amp;")'!$D:$D"),'Tổng Đơn'!$B41),0)</f>
        <v>0</v>
      </c>
      <c r="AK41" s="2">
        <f ca="1">IFERROR(SUMIFS(INDIRECT("'Thanh Toán ("&amp;AK$3&amp;")'!$F:$F"),INDIRECT("'Thanh Toán ("&amp;AK$3&amp;")'!$D:$D"),'Tổng Đơn'!$B41),0)</f>
        <v>0</v>
      </c>
      <c r="AL41" s="2">
        <f ca="1">IFERROR(SUMIFS(INDIRECT("'Thanh Toán ("&amp;AL$3&amp;")'!$F:$F"),INDIRECT("'Thanh Toán ("&amp;AL$3&amp;")'!$D:$D"),'Tổng Đơn'!$B41),0)</f>
        <v>0</v>
      </c>
      <c r="AM41" s="2">
        <f ca="1">IFERROR(SUMIFS(INDIRECT("'Thanh Toán ("&amp;AM$3&amp;")'!$F:$F"),INDIRECT("'Thanh Toán ("&amp;AM$3&amp;")'!$D:$D"),'Tổng Đơn'!$B41),0)</f>
        <v>0</v>
      </c>
      <c r="AN41" s="2">
        <f ca="1">IFERROR(SUMIFS(INDIRECT("'Thanh Toán ("&amp;AN$3&amp;")'!$F:$F"),INDIRECT("'Thanh Toán ("&amp;AN$3&amp;")'!$D:$D"),'Tổng Đơn'!$B41),0)</f>
        <v>0</v>
      </c>
      <c r="AO41" s="2">
        <f ca="1">IFERROR(SUMIFS(INDIRECT("'Thanh Toán ("&amp;AO$3&amp;")'!$F:$F"),INDIRECT("'Thanh Toán ("&amp;AO$3&amp;")'!$D:$D"),'Tổng Đơn'!$B41),0)</f>
        <v>0</v>
      </c>
      <c r="AP41" s="2">
        <f ca="1">IFERROR(SUMIFS(INDIRECT("'Thanh Toán ("&amp;AP$3&amp;")'!$F:$F"),INDIRECT("'Thanh Toán ("&amp;AP$3&amp;")'!$D:$D"),'Tổng Đơn'!$B41),0)</f>
        <v>0</v>
      </c>
      <c r="AQ41" s="2">
        <f ca="1">IFERROR(SUMIFS(INDIRECT("'Thanh Toán ("&amp;AQ$3&amp;")'!$F:$F"),INDIRECT("'Thanh Toán ("&amp;AQ$3&amp;")'!$D:$D"),'Tổng Đơn'!$B41),0)</f>
        <v>0</v>
      </c>
      <c r="AR41" s="2">
        <f ca="1">IFERROR(SUMIFS(INDIRECT("'Thanh Toán ("&amp;AR$3&amp;")'!$F:$F"),INDIRECT("'Thanh Toán ("&amp;AR$3&amp;")'!$D:$D"),'Tổng Đơn'!$B41),0)</f>
        <v>0</v>
      </c>
      <c r="AS41" s="2">
        <f ca="1">IFERROR(SUMIFS(INDIRECT("'Thanh Toán ("&amp;AS$3&amp;")'!$F:$F"),INDIRECT("'Thanh Toán ("&amp;AS$3&amp;")'!$D:$D"),'Tổng Đơn'!$B41),0)</f>
        <v>0</v>
      </c>
      <c r="AT41" s="2">
        <f ca="1">IFERROR(SUMIFS(INDIRECT("'Thanh Toán ("&amp;AT$3&amp;")'!$F:$F"),INDIRECT("'Thanh Toán ("&amp;AT$3&amp;")'!$D:$D"),'Tổng Đơn'!$B41),0)</f>
        <v>0</v>
      </c>
      <c r="AU41" s="2">
        <f ca="1">IFERROR(SUMIFS(INDIRECT("'Thanh Toán ("&amp;AU$3&amp;")'!$F:$F"),INDIRECT("'Thanh Toán ("&amp;AU$3&amp;")'!$D:$D"),'Tổng Đơn'!$B41),0)</f>
        <v>0</v>
      </c>
      <c r="AV41" s="2">
        <f ca="1">IFERROR(SUMIFS(INDIRECT("'Thanh Toán ("&amp;AV$3&amp;")'!$F:$F"),INDIRECT("'Thanh Toán ("&amp;AV$3&amp;")'!$D:$D"),'Tổng Đơn'!$B41),0)</f>
        <v>0</v>
      </c>
      <c r="AW41" s="2">
        <f ca="1">IFERROR(SUMIFS(INDIRECT("'Thanh Toán ("&amp;AW$3&amp;")'!$F:$F"),INDIRECT("'Thanh Toán ("&amp;AW$3&amp;")'!$D:$D"),'Tổng Đơn'!$B41),0)</f>
        <v>0</v>
      </c>
      <c r="AX41" s="2">
        <f ca="1">IFERROR(SUMIFS(INDIRECT("'Thanh Toán ("&amp;AX$3&amp;")'!$F:$F"),INDIRECT("'Thanh Toán ("&amp;AX$3&amp;")'!$D:$D"),'Tổng Đơn'!$B41),0)</f>
        <v>0</v>
      </c>
      <c r="AY41" s="2">
        <f ca="1">IFERROR(SUMIFS(INDIRECT("'Thanh Toán ("&amp;AY$3&amp;")'!$F:$F"),INDIRECT("'Thanh Toán ("&amp;AY$3&amp;")'!$D:$D"),'Tổng Đơn'!$B41),0)</f>
        <v>0</v>
      </c>
      <c r="AZ41" s="2">
        <f ca="1">IFERROR(SUMIFS(INDIRECT("'Thanh Toán ("&amp;AZ$3&amp;")'!$F:$F"),INDIRECT("'Thanh Toán ("&amp;AZ$3&amp;")'!$D:$D"),'Tổng Đơn'!$B41),0)</f>
        <v>0</v>
      </c>
      <c r="BA41" s="2">
        <f ca="1">IFERROR(SUMIFS(INDIRECT("'Thanh Toán ("&amp;BA$3&amp;")'!$F:$F"),INDIRECT("'Thanh Toán ("&amp;BA$3&amp;")'!$D:$D"),'Tổng Đơn'!$B41),0)</f>
        <v>0</v>
      </c>
      <c r="BB41" s="2">
        <f ca="1">IFERROR(SUMIFS(INDIRECT("'Thanh Toán ("&amp;BB$3&amp;")'!$F:$F"),INDIRECT("'Thanh Toán ("&amp;BB$3&amp;")'!$D:$D"),'Tổng Đơn'!$B41),0)</f>
        <v>0</v>
      </c>
      <c r="BC41" s="2">
        <f ca="1">IFERROR(SUMIFS(INDIRECT("'Thanh Toán ("&amp;BC$3&amp;")'!$F:$F"),INDIRECT("'Thanh Toán ("&amp;BC$3&amp;")'!$D:$D"),'Tổng Đơn'!$B41),0)</f>
        <v>0</v>
      </c>
    </row>
    <row r="42" spans="1:55" ht="18" customHeight="1" x14ac:dyDescent="0.25">
      <c r="A42" s="201">
        <v>35</v>
      </c>
      <c r="B42" s="202" t="s">
        <v>43</v>
      </c>
      <c r="C42" s="201" t="s">
        <v>94</v>
      </c>
      <c r="D42" s="203">
        <f>VLOOKUP($C42,Sheet1!$C$5:$D$98,2,0)</f>
        <v>14000</v>
      </c>
      <c r="E42" s="204">
        <v>0.2</v>
      </c>
      <c r="F42" s="205">
        <f t="shared" ca="1" si="5"/>
        <v>0</v>
      </c>
      <c r="G42" s="206">
        <f>IFERROR(VLOOKUP($B42,Gà!C:J,8,0),IFERROR(VLOOKUP($B42,TVP!C:J,7,0),IFERROR(VLOOKUP($B42,Kitkool!C:J,8,0),IFERROR(VLOOKUP($B42,'La Cusina'!C:J,8,0),VLOOKUP($B42,'Quốc Nhân'!C:J,8,0)))))</f>
        <v>12.05515611149414</v>
      </c>
      <c r="H42" s="207">
        <f t="shared" ca="1" si="4"/>
        <v>0</v>
      </c>
      <c r="I42" s="207"/>
      <c r="J42" s="207">
        <f t="shared" ca="1" si="3"/>
        <v>0</v>
      </c>
      <c r="K42" s="53"/>
      <c r="L42" s="2">
        <f ca="1">IFERROR(SUMIFS(INDIRECT("'Thanh Toán ("&amp;L$3&amp;")'!$F:$F"),INDIRECT("'Thanh Toán ("&amp;L$3&amp;")'!$D:$D"),'Tổng Đơn'!$B42),0)</f>
        <v>0</v>
      </c>
      <c r="M42" s="2">
        <f ca="1">IFERROR(SUMIFS(INDIRECT("'Thanh Toán ("&amp;M$3&amp;")'!$F:$F"),INDIRECT("'Thanh Toán ("&amp;M$3&amp;")'!$D:$D"),'Tổng Đơn'!$B42),0)</f>
        <v>0</v>
      </c>
      <c r="N42" s="2">
        <f ca="1">IFERROR(SUMIFS(INDIRECT("'Thanh Toán ("&amp;N$3&amp;")'!$F:$F"),INDIRECT("'Thanh Toán ("&amp;N$3&amp;")'!$D:$D"),'Tổng Đơn'!$B42),0)</f>
        <v>0</v>
      </c>
      <c r="O42" s="2">
        <f ca="1">IFERROR(SUMIFS(INDIRECT("'Thanh Toán ("&amp;O$3&amp;")'!$F:$F"),INDIRECT("'Thanh Toán ("&amp;O$3&amp;")'!$D:$D"),'Tổng Đơn'!$B42),0)</f>
        <v>0</v>
      </c>
      <c r="P42" s="2">
        <f ca="1">IFERROR(SUMIFS(INDIRECT("'Thanh Toán ("&amp;P$3&amp;")'!$F:$F"),INDIRECT("'Thanh Toán ("&amp;P$3&amp;")'!$D:$D"),'Tổng Đơn'!$B42),0)</f>
        <v>0</v>
      </c>
      <c r="Q42" s="2">
        <f ca="1">IFERROR(SUMIFS(INDIRECT("'Thanh Toán ("&amp;Q$3&amp;")'!$F:$F"),INDIRECT("'Thanh Toán ("&amp;Q$3&amp;")'!$D:$D"),'Tổng Đơn'!$B42),0)</f>
        <v>0</v>
      </c>
      <c r="R42" s="2">
        <f ca="1">IFERROR(SUMIFS(INDIRECT("'Thanh Toán ("&amp;R$3&amp;")'!$F:$F"),INDIRECT("'Thanh Toán ("&amp;R$3&amp;")'!$D:$D"),'Tổng Đơn'!$B42),0)</f>
        <v>0</v>
      </c>
      <c r="S42" s="2">
        <f ca="1">IFERROR(SUMIFS(INDIRECT("'Thanh Toán ("&amp;S$3&amp;")'!$F:$F"),INDIRECT("'Thanh Toán ("&amp;S$3&amp;")'!$D:$D"),'Tổng Đơn'!$B42),0)</f>
        <v>0</v>
      </c>
      <c r="T42" s="2">
        <f ca="1">IFERROR(SUMIFS(INDIRECT("'Thanh Toán ("&amp;T$3&amp;")'!$F:$F"),INDIRECT("'Thanh Toán ("&amp;T$3&amp;")'!$D:$D"),'Tổng Đơn'!$B42),0)</f>
        <v>0</v>
      </c>
      <c r="U42" s="2">
        <f ca="1">IFERROR(SUMIFS(INDIRECT("'Thanh Toán ("&amp;U$3&amp;")'!$F:$F"),INDIRECT("'Thanh Toán ("&amp;U$3&amp;")'!$D:$D"),'Tổng Đơn'!$B42),0)</f>
        <v>0</v>
      </c>
      <c r="V42" s="2">
        <f ca="1">IFERROR(SUMIFS(INDIRECT("'Thanh Toán ("&amp;V$3&amp;")'!$F:$F"),INDIRECT("'Thanh Toán ("&amp;V$3&amp;")'!$D:$D"),'Tổng Đơn'!$B42),0)</f>
        <v>0</v>
      </c>
      <c r="W42" s="2">
        <f ca="1">IFERROR(SUMIFS(INDIRECT("'Thanh Toán ("&amp;W$3&amp;")'!$F:$F"),INDIRECT("'Thanh Toán ("&amp;W$3&amp;")'!$D:$D"),'Tổng Đơn'!$B42),0)</f>
        <v>0</v>
      </c>
      <c r="X42" s="2">
        <f ca="1">IFERROR(SUMIFS(INDIRECT("'Thanh Toán ("&amp;X$3&amp;")'!$F:$F"),INDIRECT("'Thanh Toán ("&amp;X$3&amp;")'!$D:$D"),'Tổng Đơn'!$B42),0)</f>
        <v>0</v>
      </c>
      <c r="Y42" s="2">
        <f ca="1">IFERROR(SUMIFS(INDIRECT("'Thanh Toán ("&amp;Y$3&amp;")'!$F:$F"),INDIRECT("'Thanh Toán ("&amp;Y$3&amp;")'!$D:$D"),'Tổng Đơn'!$B42),0)</f>
        <v>0</v>
      </c>
      <c r="Z42" s="2">
        <f ca="1">IFERROR(SUMIFS(INDIRECT("'Thanh Toán ("&amp;Z$3&amp;")'!$F:$F"),INDIRECT("'Thanh Toán ("&amp;Z$3&amp;")'!$D:$D"),'Tổng Đơn'!$B42),0)</f>
        <v>0</v>
      </c>
      <c r="AA42" s="2">
        <f ca="1">IFERROR(SUMIFS(INDIRECT("'Thanh Toán ("&amp;AA$3&amp;")'!$F:$F"),INDIRECT("'Thanh Toán ("&amp;AA$3&amp;")'!$D:$D"),'Tổng Đơn'!$B42),0)</f>
        <v>0</v>
      </c>
      <c r="AB42" s="2">
        <f ca="1">IFERROR(SUMIFS(INDIRECT("'Thanh Toán ("&amp;AB$3&amp;")'!$F:$F"),INDIRECT("'Thanh Toán ("&amp;AB$3&amp;")'!$D:$D"),'Tổng Đơn'!$B42),0)</f>
        <v>0</v>
      </c>
      <c r="AC42" s="2">
        <f ca="1">IFERROR(SUMIFS(INDIRECT("'Thanh Toán ("&amp;AC$3&amp;")'!$F:$F"),INDIRECT("'Thanh Toán ("&amp;AC$3&amp;")'!$D:$D"),'Tổng Đơn'!$B42),0)</f>
        <v>0</v>
      </c>
      <c r="AD42" s="2">
        <f ca="1">IFERROR(SUMIFS(INDIRECT("'Thanh Toán ("&amp;AD$3&amp;")'!$F:$F"),INDIRECT("'Thanh Toán ("&amp;AD$3&amp;")'!$D:$D"),'Tổng Đơn'!$B42),0)</f>
        <v>0</v>
      </c>
      <c r="AE42" s="2">
        <f ca="1">IFERROR(SUMIFS(INDIRECT("'Thanh Toán ("&amp;AE$3&amp;")'!$F:$F"),INDIRECT("'Thanh Toán ("&amp;AE$3&amp;")'!$D:$D"),'Tổng Đơn'!$B42),0)</f>
        <v>0</v>
      </c>
      <c r="AF42" s="2">
        <f ca="1">IFERROR(SUMIFS(INDIRECT("'Thanh Toán ("&amp;AF$3&amp;")'!$F:$F"),INDIRECT("'Thanh Toán ("&amp;AF$3&amp;")'!$D:$D"),'Tổng Đơn'!$B42),0)</f>
        <v>0</v>
      </c>
      <c r="AG42" s="2">
        <f ca="1">IFERROR(SUMIFS(INDIRECT("'Thanh Toán ("&amp;AG$3&amp;")'!$F:$F"),INDIRECT("'Thanh Toán ("&amp;AG$3&amp;")'!$D:$D"),'Tổng Đơn'!$B42),0)</f>
        <v>0</v>
      </c>
      <c r="AH42" s="2">
        <f ca="1">IFERROR(SUMIFS(INDIRECT("'Thanh Toán ("&amp;AH$3&amp;")'!$F:$F"),INDIRECT("'Thanh Toán ("&amp;AH$3&amp;")'!$D:$D"),'Tổng Đơn'!$B42),0)</f>
        <v>0</v>
      </c>
      <c r="AI42" s="2">
        <f ca="1">IFERROR(SUMIFS(INDIRECT("'Thanh Toán ("&amp;AI$3&amp;")'!$F:$F"),INDIRECT("'Thanh Toán ("&amp;AI$3&amp;")'!$D:$D"),'Tổng Đơn'!$B42),0)</f>
        <v>0</v>
      </c>
      <c r="AJ42" s="2">
        <f ca="1">IFERROR(SUMIFS(INDIRECT("'Thanh Toán ("&amp;AJ$3&amp;")'!$F:$F"),INDIRECT("'Thanh Toán ("&amp;AJ$3&amp;")'!$D:$D"),'Tổng Đơn'!$B42),0)</f>
        <v>0</v>
      </c>
      <c r="AK42" s="2">
        <f ca="1">IFERROR(SUMIFS(INDIRECT("'Thanh Toán ("&amp;AK$3&amp;")'!$F:$F"),INDIRECT("'Thanh Toán ("&amp;AK$3&amp;")'!$D:$D"),'Tổng Đơn'!$B42),0)</f>
        <v>0</v>
      </c>
      <c r="AL42" s="2">
        <f ca="1">IFERROR(SUMIFS(INDIRECT("'Thanh Toán ("&amp;AL$3&amp;")'!$F:$F"),INDIRECT("'Thanh Toán ("&amp;AL$3&amp;")'!$D:$D"),'Tổng Đơn'!$B42),0)</f>
        <v>0</v>
      </c>
      <c r="AM42" s="2">
        <f ca="1">IFERROR(SUMIFS(INDIRECT("'Thanh Toán ("&amp;AM$3&amp;")'!$F:$F"),INDIRECT("'Thanh Toán ("&amp;AM$3&amp;")'!$D:$D"),'Tổng Đơn'!$B42),0)</f>
        <v>0</v>
      </c>
      <c r="AN42" s="2">
        <f ca="1">IFERROR(SUMIFS(INDIRECT("'Thanh Toán ("&amp;AN$3&amp;")'!$F:$F"),INDIRECT("'Thanh Toán ("&amp;AN$3&amp;")'!$D:$D"),'Tổng Đơn'!$B42),0)</f>
        <v>0</v>
      </c>
      <c r="AO42" s="2">
        <f ca="1">IFERROR(SUMIFS(INDIRECT("'Thanh Toán ("&amp;AO$3&amp;")'!$F:$F"),INDIRECT("'Thanh Toán ("&amp;AO$3&amp;")'!$D:$D"),'Tổng Đơn'!$B42),0)</f>
        <v>0</v>
      </c>
      <c r="AP42" s="2">
        <f ca="1">IFERROR(SUMIFS(INDIRECT("'Thanh Toán ("&amp;AP$3&amp;")'!$F:$F"),INDIRECT("'Thanh Toán ("&amp;AP$3&amp;")'!$D:$D"),'Tổng Đơn'!$B42),0)</f>
        <v>0</v>
      </c>
      <c r="AQ42" s="2">
        <f ca="1">IFERROR(SUMIFS(INDIRECT("'Thanh Toán ("&amp;AQ$3&amp;")'!$F:$F"),INDIRECT("'Thanh Toán ("&amp;AQ$3&amp;")'!$D:$D"),'Tổng Đơn'!$B42),0)</f>
        <v>0</v>
      </c>
      <c r="AR42" s="2">
        <f ca="1">IFERROR(SUMIFS(INDIRECT("'Thanh Toán ("&amp;AR$3&amp;")'!$F:$F"),INDIRECT("'Thanh Toán ("&amp;AR$3&amp;")'!$D:$D"),'Tổng Đơn'!$B42),0)</f>
        <v>0</v>
      </c>
      <c r="AS42" s="2">
        <f ca="1">IFERROR(SUMIFS(INDIRECT("'Thanh Toán ("&amp;AS$3&amp;")'!$F:$F"),INDIRECT("'Thanh Toán ("&amp;AS$3&amp;")'!$D:$D"),'Tổng Đơn'!$B42),0)</f>
        <v>0</v>
      </c>
      <c r="AT42" s="2">
        <f ca="1">IFERROR(SUMIFS(INDIRECT("'Thanh Toán ("&amp;AT$3&amp;")'!$F:$F"),INDIRECT("'Thanh Toán ("&amp;AT$3&amp;")'!$D:$D"),'Tổng Đơn'!$B42),0)</f>
        <v>0</v>
      </c>
      <c r="AU42" s="2">
        <f ca="1">IFERROR(SUMIFS(INDIRECT("'Thanh Toán ("&amp;AU$3&amp;")'!$F:$F"),INDIRECT("'Thanh Toán ("&amp;AU$3&amp;")'!$D:$D"),'Tổng Đơn'!$B42),0)</f>
        <v>0</v>
      </c>
      <c r="AV42" s="2">
        <f ca="1">IFERROR(SUMIFS(INDIRECT("'Thanh Toán ("&amp;AV$3&amp;")'!$F:$F"),INDIRECT("'Thanh Toán ("&amp;AV$3&amp;")'!$D:$D"),'Tổng Đơn'!$B42),0)</f>
        <v>0</v>
      </c>
      <c r="AW42" s="2">
        <f ca="1">IFERROR(SUMIFS(INDIRECT("'Thanh Toán ("&amp;AW$3&amp;")'!$F:$F"),INDIRECT("'Thanh Toán ("&amp;AW$3&amp;")'!$D:$D"),'Tổng Đơn'!$B42),0)</f>
        <v>0</v>
      </c>
      <c r="AX42" s="2">
        <f ca="1">IFERROR(SUMIFS(INDIRECT("'Thanh Toán ("&amp;AX$3&amp;")'!$F:$F"),INDIRECT("'Thanh Toán ("&amp;AX$3&amp;")'!$D:$D"),'Tổng Đơn'!$B42),0)</f>
        <v>0</v>
      </c>
      <c r="AY42" s="2">
        <f ca="1">IFERROR(SUMIFS(INDIRECT("'Thanh Toán ("&amp;AY$3&amp;")'!$F:$F"),INDIRECT("'Thanh Toán ("&amp;AY$3&amp;")'!$D:$D"),'Tổng Đơn'!$B42),0)</f>
        <v>0</v>
      </c>
      <c r="AZ42" s="2">
        <f ca="1">IFERROR(SUMIFS(INDIRECT("'Thanh Toán ("&amp;AZ$3&amp;")'!$F:$F"),INDIRECT("'Thanh Toán ("&amp;AZ$3&amp;")'!$D:$D"),'Tổng Đơn'!$B42),0)</f>
        <v>0</v>
      </c>
      <c r="BA42" s="2">
        <f ca="1">IFERROR(SUMIFS(INDIRECT("'Thanh Toán ("&amp;BA$3&amp;")'!$F:$F"),INDIRECT("'Thanh Toán ("&amp;BA$3&amp;")'!$D:$D"),'Tổng Đơn'!$B42),0)</f>
        <v>0</v>
      </c>
      <c r="BB42" s="2">
        <f ca="1">IFERROR(SUMIFS(INDIRECT("'Thanh Toán ("&amp;BB$3&amp;")'!$F:$F"),INDIRECT("'Thanh Toán ("&amp;BB$3&amp;")'!$D:$D"),'Tổng Đơn'!$B42),0)</f>
        <v>0</v>
      </c>
      <c r="BC42" s="2">
        <f ca="1">IFERROR(SUMIFS(INDIRECT("'Thanh Toán ("&amp;BC$3&amp;")'!$F:$F"),INDIRECT("'Thanh Toán ("&amp;BC$3&amp;")'!$D:$D"),'Tổng Đơn'!$B42),0)</f>
        <v>0</v>
      </c>
    </row>
    <row r="43" spans="1:55" ht="18" customHeight="1" x14ac:dyDescent="0.25">
      <c r="A43" s="201">
        <v>36</v>
      </c>
      <c r="B43" s="202" t="s">
        <v>48</v>
      </c>
      <c r="C43" s="208" t="s">
        <v>95</v>
      </c>
      <c r="D43" s="203">
        <f>VLOOKUP($C43,Sheet1!$C$5:$D$98,2,0)</f>
        <v>59000</v>
      </c>
      <c r="E43" s="204">
        <v>0.5</v>
      </c>
      <c r="F43" s="205">
        <f t="shared" ca="1" si="5"/>
        <v>0</v>
      </c>
      <c r="G43" s="206">
        <f>IFERROR(VLOOKUP($B43,Gà!C:J,8,0),IFERROR(VLOOKUP($B43,TVP!C:J,7,0),IFERROR(VLOOKUP($B43,Kitkool!C:J,8,0),IFERROR(VLOOKUP($B43,'La Cusina'!C:J,8,0),VLOOKUP($B43,'Quốc Nhân'!C:J,8,0)))))</f>
        <v>49.225220788601071</v>
      </c>
      <c r="H43" s="207">
        <f t="shared" ca="1" si="4"/>
        <v>0</v>
      </c>
      <c r="I43" s="207"/>
      <c r="J43" s="207">
        <f t="shared" ca="1" si="3"/>
        <v>0</v>
      </c>
      <c r="K43" s="53"/>
      <c r="L43" s="2">
        <f ca="1">IFERROR(SUMIFS(INDIRECT("'Thanh Toán ("&amp;L$3&amp;")'!$F:$F"),INDIRECT("'Thanh Toán ("&amp;L$3&amp;")'!$D:$D"),'Tổng Đơn'!$B43),0)</f>
        <v>0</v>
      </c>
      <c r="M43" s="2">
        <f ca="1">IFERROR(SUMIFS(INDIRECT("'Thanh Toán ("&amp;M$3&amp;")'!$F:$F"),INDIRECT("'Thanh Toán ("&amp;M$3&amp;")'!$D:$D"),'Tổng Đơn'!$B43),0)</f>
        <v>0</v>
      </c>
      <c r="N43" s="2">
        <f ca="1">IFERROR(SUMIFS(INDIRECT("'Thanh Toán ("&amp;N$3&amp;")'!$F:$F"),INDIRECT("'Thanh Toán ("&amp;N$3&amp;")'!$D:$D"),'Tổng Đơn'!$B43),0)</f>
        <v>0</v>
      </c>
      <c r="O43" s="2">
        <f ca="1">IFERROR(SUMIFS(INDIRECT("'Thanh Toán ("&amp;O$3&amp;")'!$F:$F"),INDIRECT("'Thanh Toán ("&amp;O$3&amp;")'!$D:$D"),'Tổng Đơn'!$B43),0)</f>
        <v>0</v>
      </c>
      <c r="P43" s="2">
        <f ca="1">IFERROR(SUMIFS(INDIRECT("'Thanh Toán ("&amp;P$3&amp;")'!$F:$F"),INDIRECT("'Thanh Toán ("&amp;P$3&amp;")'!$D:$D"),'Tổng Đơn'!$B43),0)</f>
        <v>0</v>
      </c>
      <c r="Q43" s="2">
        <f ca="1">IFERROR(SUMIFS(INDIRECT("'Thanh Toán ("&amp;Q$3&amp;")'!$F:$F"),INDIRECT("'Thanh Toán ("&amp;Q$3&amp;")'!$D:$D"),'Tổng Đơn'!$B43),0)</f>
        <v>0</v>
      </c>
      <c r="R43" s="2">
        <f ca="1">IFERROR(SUMIFS(INDIRECT("'Thanh Toán ("&amp;R$3&amp;")'!$F:$F"),INDIRECT("'Thanh Toán ("&amp;R$3&amp;")'!$D:$D"),'Tổng Đơn'!$B43),0)</f>
        <v>0</v>
      </c>
      <c r="S43" s="2">
        <f ca="1">IFERROR(SUMIFS(INDIRECT("'Thanh Toán ("&amp;S$3&amp;")'!$F:$F"),INDIRECT("'Thanh Toán ("&amp;S$3&amp;")'!$D:$D"),'Tổng Đơn'!$B43),0)</f>
        <v>0</v>
      </c>
      <c r="T43" s="2">
        <f ca="1">IFERROR(SUMIFS(INDIRECT("'Thanh Toán ("&amp;T$3&amp;")'!$F:$F"),INDIRECT("'Thanh Toán ("&amp;T$3&amp;")'!$D:$D"),'Tổng Đơn'!$B43),0)</f>
        <v>0</v>
      </c>
      <c r="U43" s="2">
        <f ca="1">IFERROR(SUMIFS(INDIRECT("'Thanh Toán ("&amp;U$3&amp;")'!$F:$F"),INDIRECT("'Thanh Toán ("&amp;U$3&amp;")'!$D:$D"),'Tổng Đơn'!$B43),0)</f>
        <v>0</v>
      </c>
      <c r="V43" s="2">
        <f ca="1">IFERROR(SUMIFS(INDIRECT("'Thanh Toán ("&amp;V$3&amp;")'!$F:$F"),INDIRECT("'Thanh Toán ("&amp;V$3&amp;")'!$D:$D"),'Tổng Đơn'!$B43),0)</f>
        <v>0</v>
      </c>
      <c r="W43" s="2">
        <f ca="1">IFERROR(SUMIFS(INDIRECT("'Thanh Toán ("&amp;W$3&amp;")'!$F:$F"),INDIRECT("'Thanh Toán ("&amp;W$3&amp;")'!$D:$D"),'Tổng Đơn'!$B43),0)</f>
        <v>0</v>
      </c>
      <c r="X43" s="2">
        <f ca="1">IFERROR(SUMIFS(INDIRECT("'Thanh Toán ("&amp;X$3&amp;")'!$F:$F"),INDIRECT("'Thanh Toán ("&amp;X$3&amp;")'!$D:$D"),'Tổng Đơn'!$B43),0)</f>
        <v>0</v>
      </c>
      <c r="Y43" s="2">
        <f ca="1">IFERROR(SUMIFS(INDIRECT("'Thanh Toán ("&amp;Y$3&amp;")'!$F:$F"),INDIRECT("'Thanh Toán ("&amp;Y$3&amp;")'!$D:$D"),'Tổng Đơn'!$B43),0)</f>
        <v>0</v>
      </c>
      <c r="Z43" s="2">
        <f ca="1">IFERROR(SUMIFS(INDIRECT("'Thanh Toán ("&amp;Z$3&amp;")'!$F:$F"),INDIRECT("'Thanh Toán ("&amp;Z$3&amp;")'!$D:$D"),'Tổng Đơn'!$B43),0)</f>
        <v>0</v>
      </c>
      <c r="AA43" s="2">
        <f ca="1">IFERROR(SUMIFS(INDIRECT("'Thanh Toán ("&amp;AA$3&amp;")'!$F:$F"),INDIRECT("'Thanh Toán ("&amp;AA$3&amp;")'!$D:$D"),'Tổng Đơn'!$B43),0)</f>
        <v>0</v>
      </c>
      <c r="AB43" s="2">
        <f ca="1">IFERROR(SUMIFS(INDIRECT("'Thanh Toán ("&amp;AB$3&amp;")'!$F:$F"),INDIRECT("'Thanh Toán ("&amp;AB$3&amp;")'!$D:$D"),'Tổng Đơn'!$B43),0)</f>
        <v>0</v>
      </c>
      <c r="AC43" s="2">
        <f ca="1">IFERROR(SUMIFS(INDIRECT("'Thanh Toán ("&amp;AC$3&amp;")'!$F:$F"),INDIRECT("'Thanh Toán ("&amp;AC$3&amp;")'!$D:$D"),'Tổng Đơn'!$B43),0)</f>
        <v>0</v>
      </c>
      <c r="AD43" s="2">
        <f ca="1">IFERROR(SUMIFS(INDIRECT("'Thanh Toán ("&amp;AD$3&amp;")'!$F:$F"),INDIRECT("'Thanh Toán ("&amp;AD$3&amp;")'!$D:$D"),'Tổng Đơn'!$B43),0)</f>
        <v>0</v>
      </c>
      <c r="AE43" s="2">
        <f ca="1">IFERROR(SUMIFS(INDIRECT("'Thanh Toán ("&amp;AE$3&amp;")'!$F:$F"),INDIRECT("'Thanh Toán ("&amp;AE$3&amp;")'!$D:$D"),'Tổng Đơn'!$B43),0)</f>
        <v>0</v>
      </c>
      <c r="AF43" s="2">
        <f ca="1">IFERROR(SUMIFS(INDIRECT("'Thanh Toán ("&amp;AF$3&amp;")'!$F:$F"),INDIRECT("'Thanh Toán ("&amp;AF$3&amp;")'!$D:$D"),'Tổng Đơn'!$B43),0)</f>
        <v>0</v>
      </c>
      <c r="AG43" s="2">
        <f ca="1">IFERROR(SUMIFS(INDIRECT("'Thanh Toán ("&amp;AG$3&amp;")'!$F:$F"),INDIRECT("'Thanh Toán ("&amp;AG$3&amp;")'!$D:$D"),'Tổng Đơn'!$B43),0)</f>
        <v>0</v>
      </c>
      <c r="AH43" s="2">
        <f ca="1">IFERROR(SUMIFS(INDIRECT("'Thanh Toán ("&amp;AH$3&amp;")'!$F:$F"),INDIRECT("'Thanh Toán ("&amp;AH$3&amp;")'!$D:$D"),'Tổng Đơn'!$B43),0)</f>
        <v>0</v>
      </c>
      <c r="AI43" s="2">
        <f ca="1">IFERROR(SUMIFS(INDIRECT("'Thanh Toán ("&amp;AI$3&amp;")'!$F:$F"),INDIRECT("'Thanh Toán ("&amp;AI$3&amp;")'!$D:$D"),'Tổng Đơn'!$B43),0)</f>
        <v>0</v>
      </c>
      <c r="AJ43" s="2">
        <f ca="1">IFERROR(SUMIFS(INDIRECT("'Thanh Toán ("&amp;AJ$3&amp;")'!$F:$F"),INDIRECT("'Thanh Toán ("&amp;AJ$3&amp;")'!$D:$D"),'Tổng Đơn'!$B43),0)</f>
        <v>0</v>
      </c>
      <c r="AK43" s="2">
        <f ca="1">IFERROR(SUMIFS(INDIRECT("'Thanh Toán ("&amp;AK$3&amp;")'!$F:$F"),INDIRECT("'Thanh Toán ("&amp;AK$3&amp;")'!$D:$D"),'Tổng Đơn'!$B43),0)</f>
        <v>0</v>
      </c>
      <c r="AL43" s="2">
        <f ca="1">IFERROR(SUMIFS(INDIRECT("'Thanh Toán ("&amp;AL$3&amp;")'!$F:$F"),INDIRECT("'Thanh Toán ("&amp;AL$3&amp;")'!$D:$D"),'Tổng Đơn'!$B43),0)</f>
        <v>0</v>
      </c>
      <c r="AM43" s="2">
        <f ca="1">IFERROR(SUMIFS(INDIRECT("'Thanh Toán ("&amp;AM$3&amp;")'!$F:$F"),INDIRECT("'Thanh Toán ("&amp;AM$3&amp;")'!$D:$D"),'Tổng Đơn'!$B43),0)</f>
        <v>0</v>
      </c>
      <c r="AN43" s="2">
        <f ca="1">IFERROR(SUMIFS(INDIRECT("'Thanh Toán ("&amp;AN$3&amp;")'!$F:$F"),INDIRECT("'Thanh Toán ("&amp;AN$3&amp;")'!$D:$D"),'Tổng Đơn'!$B43),0)</f>
        <v>0</v>
      </c>
      <c r="AO43" s="2">
        <f ca="1">IFERROR(SUMIFS(INDIRECT("'Thanh Toán ("&amp;AO$3&amp;")'!$F:$F"),INDIRECT("'Thanh Toán ("&amp;AO$3&amp;")'!$D:$D"),'Tổng Đơn'!$B43),0)</f>
        <v>0</v>
      </c>
      <c r="AP43" s="2">
        <f ca="1">IFERROR(SUMIFS(INDIRECT("'Thanh Toán ("&amp;AP$3&amp;")'!$F:$F"),INDIRECT("'Thanh Toán ("&amp;AP$3&amp;")'!$D:$D"),'Tổng Đơn'!$B43),0)</f>
        <v>0</v>
      </c>
      <c r="AQ43" s="2">
        <f ca="1">IFERROR(SUMIFS(INDIRECT("'Thanh Toán ("&amp;AQ$3&amp;")'!$F:$F"),INDIRECT("'Thanh Toán ("&amp;AQ$3&amp;")'!$D:$D"),'Tổng Đơn'!$B43),0)</f>
        <v>0</v>
      </c>
      <c r="AR43" s="2">
        <f ca="1">IFERROR(SUMIFS(INDIRECT("'Thanh Toán ("&amp;AR$3&amp;")'!$F:$F"),INDIRECT("'Thanh Toán ("&amp;AR$3&amp;")'!$D:$D"),'Tổng Đơn'!$B43),0)</f>
        <v>0</v>
      </c>
      <c r="AS43" s="2">
        <f ca="1">IFERROR(SUMIFS(INDIRECT("'Thanh Toán ("&amp;AS$3&amp;")'!$F:$F"),INDIRECT("'Thanh Toán ("&amp;AS$3&amp;")'!$D:$D"),'Tổng Đơn'!$B43),0)</f>
        <v>0</v>
      </c>
      <c r="AT43" s="2">
        <f ca="1">IFERROR(SUMIFS(INDIRECT("'Thanh Toán ("&amp;AT$3&amp;")'!$F:$F"),INDIRECT("'Thanh Toán ("&amp;AT$3&amp;")'!$D:$D"),'Tổng Đơn'!$B43),0)</f>
        <v>0</v>
      </c>
      <c r="AU43" s="2">
        <f ca="1">IFERROR(SUMIFS(INDIRECT("'Thanh Toán ("&amp;AU$3&amp;")'!$F:$F"),INDIRECT("'Thanh Toán ("&amp;AU$3&amp;")'!$D:$D"),'Tổng Đơn'!$B43),0)</f>
        <v>0</v>
      </c>
      <c r="AV43" s="2">
        <f ca="1">IFERROR(SUMIFS(INDIRECT("'Thanh Toán ("&amp;AV$3&amp;")'!$F:$F"),INDIRECT("'Thanh Toán ("&amp;AV$3&amp;")'!$D:$D"),'Tổng Đơn'!$B43),0)</f>
        <v>0</v>
      </c>
      <c r="AW43" s="2">
        <f ca="1">IFERROR(SUMIFS(INDIRECT("'Thanh Toán ("&amp;AW$3&amp;")'!$F:$F"),INDIRECT("'Thanh Toán ("&amp;AW$3&amp;")'!$D:$D"),'Tổng Đơn'!$B43),0)</f>
        <v>0</v>
      </c>
      <c r="AX43" s="2">
        <f ca="1">IFERROR(SUMIFS(INDIRECT("'Thanh Toán ("&amp;AX$3&amp;")'!$F:$F"),INDIRECT("'Thanh Toán ("&amp;AX$3&amp;")'!$D:$D"),'Tổng Đơn'!$B43),0)</f>
        <v>0</v>
      </c>
      <c r="AY43" s="2">
        <f ca="1">IFERROR(SUMIFS(INDIRECT("'Thanh Toán ("&amp;AY$3&amp;")'!$F:$F"),INDIRECT("'Thanh Toán ("&amp;AY$3&amp;")'!$D:$D"),'Tổng Đơn'!$B43),0)</f>
        <v>0</v>
      </c>
      <c r="AZ43" s="2">
        <f ca="1">IFERROR(SUMIFS(INDIRECT("'Thanh Toán ("&amp;AZ$3&amp;")'!$F:$F"),INDIRECT("'Thanh Toán ("&amp;AZ$3&amp;")'!$D:$D"),'Tổng Đơn'!$B43),0)</f>
        <v>0</v>
      </c>
      <c r="BA43" s="2">
        <f ca="1">IFERROR(SUMIFS(INDIRECT("'Thanh Toán ("&amp;BA$3&amp;")'!$F:$F"),INDIRECT("'Thanh Toán ("&amp;BA$3&amp;")'!$D:$D"),'Tổng Đơn'!$B43),0)</f>
        <v>0</v>
      </c>
      <c r="BB43" s="2">
        <f ca="1">IFERROR(SUMIFS(INDIRECT("'Thanh Toán ("&amp;BB$3&amp;")'!$F:$F"),INDIRECT("'Thanh Toán ("&amp;BB$3&amp;")'!$D:$D"),'Tổng Đơn'!$B43),0)</f>
        <v>0</v>
      </c>
      <c r="BC43" s="2">
        <f ca="1">IFERROR(SUMIFS(INDIRECT("'Thanh Toán ("&amp;BC$3&amp;")'!$F:$F"),INDIRECT("'Thanh Toán ("&amp;BC$3&amp;")'!$D:$D"),'Tổng Đơn'!$B43),0)</f>
        <v>0</v>
      </c>
    </row>
    <row r="44" spans="1:55" ht="18" customHeight="1" x14ac:dyDescent="0.25">
      <c r="A44" s="201">
        <v>37</v>
      </c>
      <c r="B44" s="202" t="s">
        <v>49</v>
      </c>
      <c r="C44" s="201" t="s">
        <v>96</v>
      </c>
      <c r="D44" s="203">
        <f>VLOOKUP($C44,Sheet1!$C$5:$D$98,2,0)</f>
        <v>52000</v>
      </c>
      <c r="E44" s="204">
        <v>0.5</v>
      </c>
      <c r="F44" s="205">
        <f t="shared" ca="1" si="5"/>
        <v>0</v>
      </c>
      <c r="G44" s="206">
        <f>IFERROR(VLOOKUP($B44,Gà!C:J,8,0),IFERROR(VLOOKUP($B44,TVP!C:J,7,0),IFERROR(VLOOKUP($B44,Kitkool!C:J,8,0),IFERROR(VLOOKUP($B44,'La Cusina'!C:J,8,0),VLOOKUP($B44,'Quốc Nhân'!C:J,8,0)))))</f>
        <v>43.197642732854</v>
      </c>
      <c r="H44" s="207">
        <f t="shared" ca="1" si="4"/>
        <v>0</v>
      </c>
      <c r="I44" s="207"/>
      <c r="J44" s="207">
        <f t="shared" ca="1" si="3"/>
        <v>0</v>
      </c>
      <c r="K44" s="53"/>
      <c r="L44" s="2">
        <f ca="1">IFERROR(SUMIFS(INDIRECT("'Thanh Toán ("&amp;L$3&amp;")'!$F:$F"),INDIRECT("'Thanh Toán ("&amp;L$3&amp;")'!$D:$D"),'Tổng Đơn'!$B44),0)</f>
        <v>0</v>
      </c>
      <c r="M44" s="2">
        <f ca="1">IFERROR(SUMIFS(INDIRECT("'Thanh Toán ("&amp;M$3&amp;")'!$F:$F"),INDIRECT("'Thanh Toán ("&amp;M$3&amp;")'!$D:$D"),'Tổng Đơn'!$B44),0)</f>
        <v>0</v>
      </c>
      <c r="N44" s="2">
        <f ca="1">IFERROR(SUMIFS(INDIRECT("'Thanh Toán ("&amp;N$3&amp;")'!$F:$F"),INDIRECT("'Thanh Toán ("&amp;N$3&amp;")'!$D:$D"),'Tổng Đơn'!$B44),0)</f>
        <v>0</v>
      </c>
      <c r="O44" s="2">
        <f ca="1">IFERROR(SUMIFS(INDIRECT("'Thanh Toán ("&amp;O$3&amp;")'!$F:$F"),INDIRECT("'Thanh Toán ("&amp;O$3&amp;")'!$D:$D"),'Tổng Đơn'!$B44),0)</f>
        <v>0</v>
      </c>
      <c r="P44" s="2">
        <f ca="1">IFERROR(SUMIFS(INDIRECT("'Thanh Toán ("&amp;P$3&amp;")'!$F:$F"),INDIRECT("'Thanh Toán ("&amp;P$3&amp;")'!$D:$D"),'Tổng Đơn'!$B44),0)</f>
        <v>0</v>
      </c>
      <c r="Q44" s="2">
        <f ca="1">IFERROR(SUMIFS(INDIRECT("'Thanh Toán ("&amp;Q$3&amp;")'!$F:$F"),INDIRECT("'Thanh Toán ("&amp;Q$3&amp;")'!$D:$D"),'Tổng Đơn'!$B44),0)</f>
        <v>0</v>
      </c>
      <c r="R44" s="2">
        <f ca="1">IFERROR(SUMIFS(INDIRECT("'Thanh Toán ("&amp;R$3&amp;")'!$F:$F"),INDIRECT("'Thanh Toán ("&amp;R$3&amp;")'!$D:$D"),'Tổng Đơn'!$B44),0)</f>
        <v>0</v>
      </c>
      <c r="S44" s="2">
        <f ca="1">IFERROR(SUMIFS(INDIRECT("'Thanh Toán ("&amp;S$3&amp;")'!$F:$F"),INDIRECT("'Thanh Toán ("&amp;S$3&amp;")'!$D:$D"),'Tổng Đơn'!$B44),0)</f>
        <v>0</v>
      </c>
      <c r="T44" s="2">
        <f ca="1">IFERROR(SUMIFS(INDIRECT("'Thanh Toán ("&amp;T$3&amp;")'!$F:$F"),INDIRECT("'Thanh Toán ("&amp;T$3&amp;")'!$D:$D"),'Tổng Đơn'!$B44),0)</f>
        <v>0</v>
      </c>
      <c r="U44" s="2">
        <f ca="1">IFERROR(SUMIFS(INDIRECT("'Thanh Toán ("&amp;U$3&amp;")'!$F:$F"),INDIRECT("'Thanh Toán ("&amp;U$3&amp;")'!$D:$D"),'Tổng Đơn'!$B44),0)</f>
        <v>0</v>
      </c>
      <c r="V44" s="2">
        <f ca="1">IFERROR(SUMIFS(INDIRECT("'Thanh Toán ("&amp;V$3&amp;")'!$F:$F"),INDIRECT("'Thanh Toán ("&amp;V$3&amp;")'!$D:$D"),'Tổng Đơn'!$B44),0)</f>
        <v>0</v>
      </c>
      <c r="W44" s="2">
        <f ca="1">IFERROR(SUMIFS(INDIRECT("'Thanh Toán ("&amp;W$3&amp;")'!$F:$F"),INDIRECT("'Thanh Toán ("&amp;W$3&amp;")'!$D:$D"),'Tổng Đơn'!$B44),0)</f>
        <v>0</v>
      </c>
      <c r="X44" s="2">
        <f ca="1">IFERROR(SUMIFS(INDIRECT("'Thanh Toán ("&amp;X$3&amp;")'!$F:$F"),INDIRECT("'Thanh Toán ("&amp;X$3&amp;")'!$D:$D"),'Tổng Đơn'!$B44),0)</f>
        <v>0</v>
      </c>
      <c r="Y44" s="2">
        <f ca="1">IFERROR(SUMIFS(INDIRECT("'Thanh Toán ("&amp;Y$3&amp;")'!$F:$F"),INDIRECT("'Thanh Toán ("&amp;Y$3&amp;")'!$D:$D"),'Tổng Đơn'!$B44),0)</f>
        <v>0</v>
      </c>
      <c r="Z44" s="2">
        <f ca="1">IFERROR(SUMIFS(INDIRECT("'Thanh Toán ("&amp;Z$3&amp;")'!$F:$F"),INDIRECT("'Thanh Toán ("&amp;Z$3&amp;")'!$D:$D"),'Tổng Đơn'!$B44),0)</f>
        <v>0</v>
      </c>
      <c r="AA44" s="2">
        <f ca="1">IFERROR(SUMIFS(INDIRECT("'Thanh Toán ("&amp;AA$3&amp;")'!$F:$F"),INDIRECT("'Thanh Toán ("&amp;AA$3&amp;")'!$D:$D"),'Tổng Đơn'!$B44),0)</f>
        <v>0</v>
      </c>
      <c r="AB44" s="2">
        <f ca="1">IFERROR(SUMIFS(INDIRECT("'Thanh Toán ("&amp;AB$3&amp;")'!$F:$F"),INDIRECT("'Thanh Toán ("&amp;AB$3&amp;")'!$D:$D"),'Tổng Đơn'!$B44),0)</f>
        <v>0</v>
      </c>
      <c r="AC44" s="2">
        <f ca="1">IFERROR(SUMIFS(INDIRECT("'Thanh Toán ("&amp;AC$3&amp;")'!$F:$F"),INDIRECT("'Thanh Toán ("&amp;AC$3&amp;")'!$D:$D"),'Tổng Đơn'!$B44),0)</f>
        <v>0</v>
      </c>
      <c r="AD44" s="2">
        <f ca="1">IFERROR(SUMIFS(INDIRECT("'Thanh Toán ("&amp;AD$3&amp;")'!$F:$F"),INDIRECT("'Thanh Toán ("&amp;AD$3&amp;")'!$D:$D"),'Tổng Đơn'!$B44),0)</f>
        <v>0</v>
      </c>
      <c r="AE44" s="2">
        <f ca="1">IFERROR(SUMIFS(INDIRECT("'Thanh Toán ("&amp;AE$3&amp;")'!$F:$F"),INDIRECT("'Thanh Toán ("&amp;AE$3&amp;")'!$D:$D"),'Tổng Đơn'!$B44),0)</f>
        <v>0</v>
      </c>
      <c r="AF44" s="2">
        <f ca="1">IFERROR(SUMIFS(INDIRECT("'Thanh Toán ("&amp;AF$3&amp;")'!$F:$F"),INDIRECT("'Thanh Toán ("&amp;AF$3&amp;")'!$D:$D"),'Tổng Đơn'!$B44),0)</f>
        <v>0</v>
      </c>
      <c r="AG44" s="2">
        <f ca="1">IFERROR(SUMIFS(INDIRECT("'Thanh Toán ("&amp;AG$3&amp;")'!$F:$F"),INDIRECT("'Thanh Toán ("&amp;AG$3&amp;")'!$D:$D"),'Tổng Đơn'!$B44),0)</f>
        <v>0</v>
      </c>
      <c r="AH44" s="2">
        <f ca="1">IFERROR(SUMIFS(INDIRECT("'Thanh Toán ("&amp;AH$3&amp;")'!$F:$F"),INDIRECT("'Thanh Toán ("&amp;AH$3&amp;")'!$D:$D"),'Tổng Đơn'!$B44),0)</f>
        <v>0</v>
      </c>
      <c r="AI44" s="2">
        <f ca="1">IFERROR(SUMIFS(INDIRECT("'Thanh Toán ("&amp;AI$3&amp;")'!$F:$F"),INDIRECT("'Thanh Toán ("&amp;AI$3&amp;")'!$D:$D"),'Tổng Đơn'!$B44),0)</f>
        <v>0</v>
      </c>
      <c r="AJ44" s="2">
        <f ca="1">IFERROR(SUMIFS(INDIRECT("'Thanh Toán ("&amp;AJ$3&amp;")'!$F:$F"),INDIRECT("'Thanh Toán ("&amp;AJ$3&amp;")'!$D:$D"),'Tổng Đơn'!$B44),0)</f>
        <v>0</v>
      </c>
      <c r="AK44" s="2">
        <f ca="1">IFERROR(SUMIFS(INDIRECT("'Thanh Toán ("&amp;AK$3&amp;")'!$F:$F"),INDIRECT("'Thanh Toán ("&amp;AK$3&amp;")'!$D:$D"),'Tổng Đơn'!$B44),0)</f>
        <v>0</v>
      </c>
      <c r="AL44" s="2">
        <f ca="1">IFERROR(SUMIFS(INDIRECT("'Thanh Toán ("&amp;AL$3&amp;")'!$F:$F"),INDIRECT("'Thanh Toán ("&amp;AL$3&amp;")'!$D:$D"),'Tổng Đơn'!$B44),0)</f>
        <v>0</v>
      </c>
      <c r="AM44" s="2">
        <f ca="1">IFERROR(SUMIFS(INDIRECT("'Thanh Toán ("&amp;AM$3&amp;")'!$F:$F"),INDIRECT("'Thanh Toán ("&amp;AM$3&amp;")'!$D:$D"),'Tổng Đơn'!$B44),0)</f>
        <v>0</v>
      </c>
      <c r="AN44" s="2">
        <f ca="1">IFERROR(SUMIFS(INDIRECT("'Thanh Toán ("&amp;AN$3&amp;")'!$F:$F"),INDIRECT("'Thanh Toán ("&amp;AN$3&amp;")'!$D:$D"),'Tổng Đơn'!$B44),0)</f>
        <v>0</v>
      </c>
      <c r="AO44" s="2">
        <f ca="1">IFERROR(SUMIFS(INDIRECT("'Thanh Toán ("&amp;AO$3&amp;")'!$F:$F"),INDIRECT("'Thanh Toán ("&amp;AO$3&amp;")'!$D:$D"),'Tổng Đơn'!$B44),0)</f>
        <v>0</v>
      </c>
      <c r="AP44" s="2">
        <f ca="1">IFERROR(SUMIFS(INDIRECT("'Thanh Toán ("&amp;AP$3&amp;")'!$F:$F"),INDIRECT("'Thanh Toán ("&amp;AP$3&amp;")'!$D:$D"),'Tổng Đơn'!$B44),0)</f>
        <v>0</v>
      </c>
      <c r="AQ44" s="2">
        <f ca="1">IFERROR(SUMIFS(INDIRECT("'Thanh Toán ("&amp;AQ$3&amp;")'!$F:$F"),INDIRECT("'Thanh Toán ("&amp;AQ$3&amp;")'!$D:$D"),'Tổng Đơn'!$B44),0)</f>
        <v>0</v>
      </c>
      <c r="AR44" s="2">
        <f ca="1">IFERROR(SUMIFS(INDIRECT("'Thanh Toán ("&amp;AR$3&amp;")'!$F:$F"),INDIRECT("'Thanh Toán ("&amp;AR$3&amp;")'!$D:$D"),'Tổng Đơn'!$B44),0)</f>
        <v>0</v>
      </c>
      <c r="AS44" s="2">
        <f ca="1">IFERROR(SUMIFS(INDIRECT("'Thanh Toán ("&amp;AS$3&amp;")'!$F:$F"),INDIRECT("'Thanh Toán ("&amp;AS$3&amp;")'!$D:$D"),'Tổng Đơn'!$B44),0)</f>
        <v>0</v>
      </c>
      <c r="AT44" s="2">
        <f ca="1">IFERROR(SUMIFS(INDIRECT("'Thanh Toán ("&amp;AT$3&amp;")'!$F:$F"),INDIRECT("'Thanh Toán ("&amp;AT$3&amp;")'!$D:$D"),'Tổng Đơn'!$B44),0)</f>
        <v>0</v>
      </c>
      <c r="AU44" s="2">
        <f ca="1">IFERROR(SUMIFS(INDIRECT("'Thanh Toán ("&amp;AU$3&amp;")'!$F:$F"),INDIRECT("'Thanh Toán ("&amp;AU$3&amp;")'!$D:$D"),'Tổng Đơn'!$B44),0)</f>
        <v>0</v>
      </c>
      <c r="AV44" s="2">
        <f ca="1">IFERROR(SUMIFS(INDIRECT("'Thanh Toán ("&amp;AV$3&amp;")'!$F:$F"),INDIRECT("'Thanh Toán ("&amp;AV$3&amp;")'!$D:$D"),'Tổng Đơn'!$B44),0)</f>
        <v>0</v>
      </c>
      <c r="AW44" s="2">
        <f ca="1">IFERROR(SUMIFS(INDIRECT("'Thanh Toán ("&amp;AW$3&amp;")'!$F:$F"),INDIRECT("'Thanh Toán ("&amp;AW$3&amp;")'!$D:$D"),'Tổng Đơn'!$B44),0)</f>
        <v>0</v>
      </c>
      <c r="AX44" s="2">
        <f ca="1">IFERROR(SUMIFS(INDIRECT("'Thanh Toán ("&amp;AX$3&amp;")'!$F:$F"),INDIRECT("'Thanh Toán ("&amp;AX$3&amp;")'!$D:$D"),'Tổng Đơn'!$B44),0)</f>
        <v>0</v>
      </c>
      <c r="AY44" s="2">
        <f ca="1">IFERROR(SUMIFS(INDIRECT("'Thanh Toán ("&amp;AY$3&amp;")'!$F:$F"),INDIRECT("'Thanh Toán ("&amp;AY$3&amp;")'!$D:$D"),'Tổng Đơn'!$B44),0)</f>
        <v>0</v>
      </c>
      <c r="AZ44" s="2">
        <f ca="1">IFERROR(SUMIFS(INDIRECT("'Thanh Toán ("&amp;AZ$3&amp;")'!$F:$F"),INDIRECT("'Thanh Toán ("&amp;AZ$3&amp;")'!$D:$D"),'Tổng Đơn'!$B44),0)</f>
        <v>0</v>
      </c>
      <c r="BA44" s="2">
        <f ca="1">IFERROR(SUMIFS(INDIRECT("'Thanh Toán ("&amp;BA$3&amp;")'!$F:$F"),INDIRECT("'Thanh Toán ("&amp;BA$3&amp;")'!$D:$D"),'Tổng Đơn'!$B44),0)</f>
        <v>0</v>
      </c>
      <c r="BB44" s="2">
        <f ca="1">IFERROR(SUMIFS(INDIRECT("'Thanh Toán ("&amp;BB$3&amp;")'!$F:$F"),INDIRECT("'Thanh Toán ("&amp;BB$3&amp;")'!$D:$D"),'Tổng Đơn'!$B44),0)</f>
        <v>0</v>
      </c>
      <c r="BC44" s="2">
        <f ca="1">IFERROR(SUMIFS(INDIRECT("'Thanh Toán ("&amp;BC$3&amp;")'!$F:$F"),INDIRECT("'Thanh Toán ("&amp;BC$3&amp;")'!$D:$D"),'Tổng Đơn'!$B44),0)</f>
        <v>0</v>
      </c>
    </row>
    <row r="45" spans="1:55" ht="18" customHeight="1" x14ac:dyDescent="0.25">
      <c r="A45" s="201">
        <v>38</v>
      </c>
      <c r="B45" s="202" t="s">
        <v>45</v>
      </c>
      <c r="C45" s="208" t="s">
        <v>97</v>
      </c>
      <c r="D45" s="203">
        <f>VLOOKUP($C45,Sheet1!$C$5:$D$98,2,0)</f>
        <v>65000</v>
      </c>
      <c r="E45" s="204">
        <v>0.5</v>
      </c>
      <c r="F45" s="205">
        <f t="shared" ca="1" si="5"/>
        <v>0</v>
      </c>
      <c r="G45" s="206">
        <f>IFERROR(VLOOKUP($B45,Gà!C:J,8,0),IFERROR(VLOOKUP($B45,TVP!C:J,7,0),IFERROR(VLOOKUP($B45,Kitkool!C:J,8,0),IFERROR(VLOOKUP($B45,'La Cusina'!C:J,8,0),VLOOKUP($B45,'Quốc Nhân'!C:J,8,0)))))</f>
        <v>54.248202501723625</v>
      </c>
      <c r="H45" s="207">
        <f t="shared" ca="1" si="4"/>
        <v>0</v>
      </c>
      <c r="I45" s="207"/>
      <c r="J45" s="207">
        <f t="shared" ca="1" si="3"/>
        <v>0</v>
      </c>
      <c r="K45" s="53"/>
      <c r="L45" s="2">
        <f ca="1">IFERROR(SUMIFS(INDIRECT("'Thanh Toán ("&amp;L$3&amp;")'!$F:$F"),INDIRECT("'Thanh Toán ("&amp;L$3&amp;")'!$D:$D"),'Tổng Đơn'!$B45),0)</f>
        <v>0</v>
      </c>
      <c r="M45" s="2">
        <f ca="1">IFERROR(SUMIFS(INDIRECT("'Thanh Toán ("&amp;M$3&amp;")'!$F:$F"),INDIRECT("'Thanh Toán ("&amp;M$3&amp;")'!$D:$D"),'Tổng Đơn'!$B45),0)</f>
        <v>0</v>
      </c>
      <c r="N45" s="2">
        <f ca="1">IFERROR(SUMIFS(INDIRECT("'Thanh Toán ("&amp;N$3&amp;")'!$F:$F"),INDIRECT("'Thanh Toán ("&amp;N$3&amp;")'!$D:$D"),'Tổng Đơn'!$B45),0)</f>
        <v>0</v>
      </c>
      <c r="O45" s="2">
        <f ca="1">IFERROR(SUMIFS(INDIRECT("'Thanh Toán ("&amp;O$3&amp;")'!$F:$F"),INDIRECT("'Thanh Toán ("&amp;O$3&amp;")'!$D:$D"),'Tổng Đơn'!$B45),0)</f>
        <v>0</v>
      </c>
      <c r="P45" s="2">
        <f ca="1">IFERROR(SUMIFS(INDIRECT("'Thanh Toán ("&amp;P$3&amp;")'!$F:$F"),INDIRECT("'Thanh Toán ("&amp;P$3&amp;")'!$D:$D"),'Tổng Đơn'!$B45),0)</f>
        <v>0</v>
      </c>
      <c r="Q45" s="2">
        <f ca="1">IFERROR(SUMIFS(INDIRECT("'Thanh Toán ("&amp;Q$3&amp;")'!$F:$F"),INDIRECT("'Thanh Toán ("&amp;Q$3&amp;")'!$D:$D"),'Tổng Đơn'!$B45),0)</f>
        <v>0</v>
      </c>
      <c r="R45" s="2">
        <f ca="1">IFERROR(SUMIFS(INDIRECT("'Thanh Toán ("&amp;R$3&amp;")'!$F:$F"),INDIRECT("'Thanh Toán ("&amp;R$3&amp;")'!$D:$D"),'Tổng Đơn'!$B45),0)</f>
        <v>0</v>
      </c>
      <c r="S45" s="2">
        <f ca="1">IFERROR(SUMIFS(INDIRECT("'Thanh Toán ("&amp;S$3&amp;")'!$F:$F"),INDIRECT("'Thanh Toán ("&amp;S$3&amp;")'!$D:$D"),'Tổng Đơn'!$B45),0)</f>
        <v>0</v>
      </c>
      <c r="T45" s="2">
        <f ca="1">IFERROR(SUMIFS(INDIRECT("'Thanh Toán ("&amp;T$3&amp;")'!$F:$F"),INDIRECT("'Thanh Toán ("&amp;T$3&amp;")'!$D:$D"),'Tổng Đơn'!$B45),0)</f>
        <v>0</v>
      </c>
      <c r="U45" s="2">
        <f ca="1">IFERROR(SUMIFS(INDIRECT("'Thanh Toán ("&amp;U$3&amp;")'!$F:$F"),INDIRECT("'Thanh Toán ("&amp;U$3&amp;")'!$D:$D"),'Tổng Đơn'!$B45),0)</f>
        <v>0</v>
      </c>
      <c r="V45" s="2">
        <f ca="1">IFERROR(SUMIFS(INDIRECT("'Thanh Toán ("&amp;V$3&amp;")'!$F:$F"),INDIRECT("'Thanh Toán ("&amp;V$3&amp;")'!$D:$D"),'Tổng Đơn'!$B45),0)</f>
        <v>0</v>
      </c>
      <c r="W45" s="2">
        <f ca="1">IFERROR(SUMIFS(INDIRECT("'Thanh Toán ("&amp;W$3&amp;")'!$F:$F"),INDIRECT("'Thanh Toán ("&amp;W$3&amp;")'!$D:$D"),'Tổng Đơn'!$B45),0)</f>
        <v>0</v>
      </c>
      <c r="X45" s="2">
        <f ca="1">IFERROR(SUMIFS(INDIRECT("'Thanh Toán ("&amp;X$3&amp;")'!$F:$F"),INDIRECT("'Thanh Toán ("&amp;X$3&amp;")'!$D:$D"),'Tổng Đơn'!$B45),0)</f>
        <v>0</v>
      </c>
      <c r="Y45" s="2">
        <f ca="1">IFERROR(SUMIFS(INDIRECT("'Thanh Toán ("&amp;Y$3&amp;")'!$F:$F"),INDIRECT("'Thanh Toán ("&amp;Y$3&amp;")'!$D:$D"),'Tổng Đơn'!$B45),0)</f>
        <v>0</v>
      </c>
      <c r="Z45" s="2">
        <f ca="1">IFERROR(SUMIFS(INDIRECT("'Thanh Toán ("&amp;Z$3&amp;")'!$F:$F"),INDIRECT("'Thanh Toán ("&amp;Z$3&amp;")'!$D:$D"),'Tổng Đơn'!$B45),0)</f>
        <v>0</v>
      </c>
      <c r="AA45" s="2">
        <f ca="1">IFERROR(SUMIFS(INDIRECT("'Thanh Toán ("&amp;AA$3&amp;")'!$F:$F"),INDIRECT("'Thanh Toán ("&amp;AA$3&amp;")'!$D:$D"),'Tổng Đơn'!$B45),0)</f>
        <v>0</v>
      </c>
      <c r="AB45" s="2">
        <f ca="1">IFERROR(SUMIFS(INDIRECT("'Thanh Toán ("&amp;AB$3&amp;")'!$F:$F"),INDIRECT("'Thanh Toán ("&amp;AB$3&amp;")'!$D:$D"),'Tổng Đơn'!$B45),0)</f>
        <v>0</v>
      </c>
      <c r="AC45" s="2">
        <f ca="1">IFERROR(SUMIFS(INDIRECT("'Thanh Toán ("&amp;AC$3&amp;")'!$F:$F"),INDIRECT("'Thanh Toán ("&amp;AC$3&amp;")'!$D:$D"),'Tổng Đơn'!$B45),0)</f>
        <v>0</v>
      </c>
      <c r="AD45" s="2">
        <f ca="1">IFERROR(SUMIFS(INDIRECT("'Thanh Toán ("&amp;AD$3&amp;")'!$F:$F"),INDIRECT("'Thanh Toán ("&amp;AD$3&amp;")'!$D:$D"),'Tổng Đơn'!$B45),0)</f>
        <v>0</v>
      </c>
      <c r="AE45" s="2">
        <f ca="1">IFERROR(SUMIFS(INDIRECT("'Thanh Toán ("&amp;AE$3&amp;")'!$F:$F"),INDIRECT("'Thanh Toán ("&amp;AE$3&amp;")'!$D:$D"),'Tổng Đơn'!$B45),0)</f>
        <v>0</v>
      </c>
      <c r="AF45" s="2">
        <f ca="1">IFERROR(SUMIFS(INDIRECT("'Thanh Toán ("&amp;AF$3&amp;")'!$F:$F"),INDIRECT("'Thanh Toán ("&amp;AF$3&amp;")'!$D:$D"),'Tổng Đơn'!$B45),0)</f>
        <v>0</v>
      </c>
      <c r="AG45" s="2">
        <f ca="1">IFERROR(SUMIFS(INDIRECT("'Thanh Toán ("&amp;AG$3&amp;")'!$F:$F"),INDIRECT("'Thanh Toán ("&amp;AG$3&amp;")'!$D:$D"),'Tổng Đơn'!$B45),0)</f>
        <v>0</v>
      </c>
      <c r="AH45" s="2">
        <f ca="1">IFERROR(SUMIFS(INDIRECT("'Thanh Toán ("&amp;AH$3&amp;")'!$F:$F"),INDIRECT("'Thanh Toán ("&amp;AH$3&amp;")'!$D:$D"),'Tổng Đơn'!$B45),0)</f>
        <v>0</v>
      </c>
      <c r="AI45" s="2">
        <f ca="1">IFERROR(SUMIFS(INDIRECT("'Thanh Toán ("&amp;AI$3&amp;")'!$F:$F"),INDIRECT("'Thanh Toán ("&amp;AI$3&amp;")'!$D:$D"),'Tổng Đơn'!$B45),0)</f>
        <v>0</v>
      </c>
      <c r="AJ45" s="2">
        <f ca="1">IFERROR(SUMIFS(INDIRECT("'Thanh Toán ("&amp;AJ$3&amp;")'!$F:$F"),INDIRECT("'Thanh Toán ("&amp;AJ$3&amp;")'!$D:$D"),'Tổng Đơn'!$B45),0)</f>
        <v>0</v>
      </c>
      <c r="AK45" s="2">
        <f ca="1">IFERROR(SUMIFS(INDIRECT("'Thanh Toán ("&amp;AK$3&amp;")'!$F:$F"),INDIRECT("'Thanh Toán ("&amp;AK$3&amp;")'!$D:$D"),'Tổng Đơn'!$B45),0)</f>
        <v>0</v>
      </c>
      <c r="AL45" s="2">
        <f ca="1">IFERROR(SUMIFS(INDIRECT("'Thanh Toán ("&amp;AL$3&amp;")'!$F:$F"),INDIRECT("'Thanh Toán ("&amp;AL$3&amp;")'!$D:$D"),'Tổng Đơn'!$B45),0)</f>
        <v>0</v>
      </c>
      <c r="AM45" s="2">
        <f ca="1">IFERROR(SUMIFS(INDIRECT("'Thanh Toán ("&amp;AM$3&amp;")'!$F:$F"),INDIRECT("'Thanh Toán ("&amp;AM$3&amp;")'!$D:$D"),'Tổng Đơn'!$B45),0)</f>
        <v>0</v>
      </c>
      <c r="AN45" s="2">
        <f ca="1">IFERROR(SUMIFS(INDIRECT("'Thanh Toán ("&amp;AN$3&amp;")'!$F:$F"),INDIRECT("'Thanh Toán ("&amp;AN$3&amp;")'!$D:$D"),'Tổng Đơn'!$B45),0)</f>
        <v>0</v>
      </c>
      <c r="AO45" s="2">
        <f ca="1">IFERROR(SUMIFS(INDIRECT("'Thanh Toán ("&amp;AO$3&amp;")'!$F:$F"),INDIRECT("'Thanh Toán ("&amp;AO$3&amp;")'!$D:$D"),'Tổng Đơn'!$B45),0)</f>
        <v>0</v>
      </c>
      <c r="AP45" s="2">
        <f ca="1">IFERROR(SUMIFS(INDIRECT("'Thanh Toán ("&amp;AP$3&amp;")'!$F:$F"),INDIRECT("'Thanh Toán ("&amp;AP$3&amp;")'!$D:$D"),'Tổng Đơn'!$B45),0)</f>
        <v>0</v>
      </c>
      <c r="AQ45" s="2">
        <f ca="1">IFERROR(SUMIFS(INDIRECT("'Thanh Toán ("&amp;AQ$3&amp;")'!$F:$F"),INDIRECT("'Thanh Toán ("&amp;AQ$3&amp;")'!$D:$D"),'Tổng Đơn'!$B45),0)</f>
        <v>0</v>
      </c>
      <c r="AR45" s="2">
        <f ca="1">IFERROR(SUMIFS(INDIRECT("'Thanh Toán ("&amp;AR$3&amp;")'!$F:$F"),INDIRECT("'Thanh Toán ("&amp;AR$3&amp;")'!$D:$D"),'Tổng Đơn'!$B45),0)</f>
        <v>0</v>
      </c>
      <c r="AS45" s="2">
        <f ca="1">IFERROR(SUMIFS(INDIRECT("'Thanh Toán ("&amp;AS$3&amp;")'!$F:$F"),INDIRECT("'Thanh Toán ("&amp;AS$3&amp;")'!$D:$D"),'Tổng Đơn'!$B45),0)</f>
        <v>0</v>
      </c>
      <c r="AT45" s="2">
        <f ca="1">IFERROR(SUMIFS(INDIRECT("'Thanh Toán ("&amp;AT$3&amp;")'!$F:$F"),INDIRECT("'Thanh Toán ("&amp;AT$3&amp;")'!$D:$D"),'Tổng Đơn'!$B45),0)</f>
        <v>0</v>
      </c>
      <c r="AU45" s="2">
        <f ca="1">IFERROR(SUMIFS(INDIRECT("'Thanh Toán ("&amp;AU$3&amp;")'!$F:$F"),INDIRECT("'Thanh Toán ("&amp;AU$3&amp;")'!$D:$D"),'Tổng Đơn'!$B45),0)</f>
        <v>0</v>
      </c>
      <c r="AV45" s="2">
        <f ca="1">IFERROR(SUMIFS(INDIRECT("'Thanh Toán ("&amp;AV$3&amp;")'!$F:$F"),INDIRECT("'Thanh Toán ("&amp;AV$3&amp;")'!$D:$D"),'Tổng Đơn'!$B45),0)</f>
        <v>0</v>
      </c>
      <c r="AW45" s="2">
        <f ca="1">IFERROR(SUMIFS(INDIRECT("'Thanh Toán ("&amp;AW$3&amp;")'!$F:$F"),INDIRECT("'Thanh Toán ("&amp;AW$3&amp;")'!$D:$D"),'Tổng Đơn'!$B45),0)</f>
        <v>0</v>
      </c>
      <c r="AX45" s="2">
        <f ca="1">IFERROR(SUMIFS(INDIRECT("'Thanh Toán ("&amp;AX$3&amp;")'!$F:$F"),INDIRECT("'Thanh Toán ("&amp;AX$3&amp;")'!$D:$D"),'Tổng Đơn'!$B45),0)</f>
        <v>0</v>
      </c>
      <c r="AY45" s="2">
        <f ca="1">IFERROR(SUMIFS(INDIRECT("'Thanh Toán ("&amp;AY$3&amp;")'!$F:$F"),INDIRECT("'Thanh Toán ("&amp;AY$3&amp;")'!$D:$D"),'Tổng Đơn'!$B45),0)</f>
        <v>0</v>
      </c>
      <c r="AZ45" s="2">
        <f ca="1">IFERROR(SUMIFS(INDIRECT("'Thanh Toán ("&amp;AZ$3&amp;")'!$F:$F"),INDIRECT("'Thanh Toán ("&amp;AZ$3&amp;")'!$D:$D"),'Tổng Đơn'!$B45),0)</f>
        <v>0</v>
      </c>
      <c r="BA45" s="2">
        <f ca="1">IFERROR(SUMIFS(INDIRECT("'Thanh Toán ("&amp;BA$3&amp;")'!$F:$F"),INDIRECT("'Thanh Toán ("&amp;BA$3&amp;")'!$D:$D"),'Tổng Đơn'!$B45),0)</f>
        <v>0</v>
      </c>
      <c r="BB45" s="2">
        <f ca="1">IFERROR(SUMIFS(INDIRECT("'Thanh Toán ("&amp;BB$3&amp;")'!$F:$F"),INDIRECT("'Thanh Toán ("&amp;BB$3&amp;")'!$D:$D"),'Tổng Đơn'!$B45),0)</f>
        <v>0</v>
      </c>
      <c r="BC45" s="2">
        <f ca="1">IFERROR(SUMIFS(INDIRECT("'Thanh Toán ("&amp;BC$3&amp;")'!$F:$F"),INDIRECT("'Thanh Toán ("&amp;BC$3&amp;")'!$D:$D"),'Tổng Đơn'!$B45),0)</f>
        <v>0</v>
      </c>
    </row>
    <row r="46" spans="1:55" ht="18" customHeight="1" x14ac:dyDescent="0.25">
      <c r="A46" s="201">
        <v>39</v>
      </c>
      <c r="B46" s="202" t="s">
        <v>44</v>
      </c>
      <c r="C46" s="201" t="s">
        <v>98</v>
      </c>
      <c r="D46" s="203">
        <f>VLOOKUP($C46,Sheet1!$C$5:$D$98,2,0)</f>
        <v>44000</v>
      </c>
      <c r="E46" s="204">
        <v>0.5</v>
      </c>
      <c r="F46" s="205">
        <f t="shared" ca="1" si="5"/>
        <v>0</v>
      </c>
      <c r="G46" s="206">
        <f>IFERROR(VLOOKUP($B46,Gà!C:J,8,0),IFERROR(VLOOKUP($B46,TVP!C:J,7,0),IFERROR(VLOOKUP($B46,Kitkool!C:J,8,0),IFERROR(VLOOKUP($B46,'La Cusina'!C:J,8,0),VLOOKUP($B46,'Quốc Nhân'!C:J,8,0)))))</f>
        <v>36.667766505794674</v>
      </c>
      <c r="H46" s="207">
        <f t="shared" ca="1" si="4"/>
        <v>0</v>
      </c>
      <c r="I46" s="207"/>
      <c r="J46" s="207">
        <f t="shared" ca="1" si="3"/>
        <v>0</v>
      </c>
      <c r="K46" s="53"/>
      <c r="L46" s="2">
        <f ca="1">IFERROR(SUMIFS(INDIRECT("'Thanh Toán ("&amp;L$3&amp;")'!$F:$F"),INDIRECT("'Thanh Toán ("&amp;L$3&amp;")'!$D:$D"),'Tổng Đơn'!$B46),0)</f>
        <v>0</v>
      </c>
      <c r="M46" s="2">
        <f ca="1">IFERROR(SUMIFS(INDIRECT("'Thanh Toán ("&amp;M$3&amp;")'!$F:$F"),INDIRECT("'Thanh Toán ("&amp;M$3&amp;")'!$D:$D"),'Tổng Đơn'!$B46),0)</f>
        <v>0</v>
      </c>
      <c r="N46" s="2">
        <f ca="1">IFERROR(SUMIFS(INDIRECT("'Thanh Toán ("&amp;N$3&amp;")'!$F:$F"),INDIRECT("'Thanh Toán ("&amp;N$3&amp;")'!$D:$D"),'Tổng Đơn'!$B46),0)</f>
        <v>0</v>
      </c>
      <c r="O46" s="2">
        <f ca="1">IFERROR(SUMIFS(INDIRECT("'Thanh Toán ("&amp;O$3&amp;")'!$F:$F"),INDIRECT("'Thanh Toán ("&amp;O$3&amp;")'!$D:$D"),'Tổng Đơn'!$B46),0)</f>
        <v>0</v>
      </c>
      <c r="P46" s="2">
        <f ca="1">IFERROR(SUMIFS(INDIRECT("'Thanh Toán ("&amp;P$3&amp;")'!$F:$F"),INDIRECT("'Thanh Toán ("&amp;P$3&amp;")'!$D:$D"),'Tổng Đơn'!$B46),0)</f>
        <v>0</v>
      </c>
      <c r="Q46" s="2">
        <f ca="1">IFERROR(SUMIFS(INDIRECT("'Thanh Toán ("&amp;Q$3&amp;")'!$F:$F"),INDIRECT("'Thanh Toán ("&amp;Q$3&amp;")'!$D:$D"),'Tổng Đơn'!$B46),0)</f>
        <v>0</v>
      </c>
      <c r="R46" s="2">
        <f ca="1">IFERROR(SUMIFS(INDIRECT("'Thanh Toán ("&amp;R$3&amp;")'!$F:$F"),INDIRECT("'Thanh Toán ("&amp;R$3&amp;")'!$D:$D"),'Tổng Đơn'!$B46),0)</f>
        <v>0</v>
      </c>
      <c r="S46" s="2">
        <f ca="1">IFERROR(SUMIFS(INDIRECT("'Thanh Toán ("&amp;S$3&amp;")'!$F:$F"),INDIRECT("'Thanh Toán ("&amp;S$3&amp;")'!$D:$D"),'Tổng Đơn'!$B46),0)</f>
        <v>0</v>
      </c>
      <c r="T46" s="2">
        <f ca="1">IFERROR(SUMIFS(INDIRECT("'Thanh Toán ("&amp;T$3&amp;")'!$F:$F"),INDIRECT("'Thanh Toán ("&amp;T$3&amp;")'!$D:$D"),'Tổng Đơn'!$B46),0)</f>
        <v>0</v>
      </c>
      <c r="U46" s="2">
        <f ca="1">IFERROR(SUMIFS(INDIRECT("'Thanh Toán ("&amp;U$3&amp;")'!$F:$F"),INDIRECT("'Thanh Toán ("&amp;U$3&amp;")'!$D:$D"),'Tổng Đơn'!$B46),0)</f>
        <v>0</v>
      </c>
      <c r="V46" s="2">
        <f ca="1">IFERROR(SUMIFS(INDIRECT("'Thanh Toán ("&amp;V$3&amp;")'!$F:$F"),INDIRECT("'Thanh Toán ("&amp;V$3&amp;")'!$D:$D"),'Tổng Đơn'!$B46),0)</f>
        <v>0</v>
      </c>
      <c r="W46" s="2">
        <f ca="1">IFERROR(SUMIFS(INDIRECT("'Thanh Toán ("&amp;W$3&amp;")'!$F:$F"),INDIRECT("'Thanh Toán ("&amp;W$3&amp;")'!$D:$D"),'Tổng Đơn'!$B46),0)</f>
        <v>0</v>
      </c>
      <c r="X46" s="2">
        <f ca="1">IFERROR(SUMIFS(INDIRECT("'Thanh Toán ("&amp;X$3&amp;")'!$F:$F"),INDIRECT("'Thanh Toán ("&amp;X$3&amp;")'!$D:$D"),'Tổng Đơn'!$B46),0)</f>
        <v>0</v>
      </c>
      <c r="Y46" s="2">
        <f ca="1">IFERROR(SUMIFS(INDIRECT("'Thanh Toán ("&amp;Y$3&amp;")'!$F:$F"),INDIRECT("'Thanh Toán ("&amp;Y$3&amp;")'!$D:$D"),'Tổng Đơn'!$B46),0)</f>
        <v>0</v>
      </c>
      <c r="Z46" s="2">
        <f ca="1">IFERROR(SUMIFS(INDIRECT("'Thanh Toán ("&amp;Z$3&amp;")'!$F:$F"),INDIRECT("'Thanh Toán ("&amp;Z$3&amp;")'!$D:$D"),'Tổng Đơn'!$B46),0)</f>
        <v>0</v>
      </c>
      <c r="AA46" s="2">
        <f ca="1">IFERROR(SUMIFS(INDIRECT("'Thanh Toán ("&amp;AA$3&amp;")'!$F:$F"),INDIRECT("'Thanh Toán ("&amp;AA$3&amp;")'!$D:$D"),'Tổng Đơn'!$B46),0)</f>
        <v>0</v>
      </c>
      <c r="AB46" s="2">
        <f ca="1">IFERROR(SUMIFS(INDIRECT("'Thanh Toán ("&amp;AB$3&amp;")'!$F:$F"),INDIRECT("'Thanh Toán ("&amp;AB$3&amp;")'!$D:$D"),'Tổng Đơn'!$B46),0)</f>
        <v>0</v>
      </c>
      <c r="AC46" s="2">
        <f ca="1">IFERROR(SUMIFS(INDIRECT("'Thanh Toán ("&amp;AC$3&amp;")'!$F:$F"),INDIRECT("'Thanh Toán ("&amp;AC$3&amp;")'!$D:$D"),'Tổng Đơn'!$B46),0)</f>
        <v>0</v>
      </c>
      <c r="AD46" s="2">
        <f ca="1">IFERROR(SUMIFS(INDIRECT("'Thanh Toán ("&amp;AD$3&amp;")'!$F:$F"),INDIRECT("'Thanh Toán ("&amp;AD$3&amp;")'!$D:$D"),'Tổng Đơn'!$B46),0)</f>
        <v>0</v>
      </c>
      <c r="AE46" s="2">
        <f ca="1">IFERROR(SUMIFS(INDIRECT("'Thanh Toán ("&amp;AE$3&amp;")'!$F:$F"),INDIRECT("'Thanh Toán ("&amp;AE$3&amp;")'!$D:$D"),'Tổng Đơn'!$B46),0)</f>
        <v>0</v>
      </c>
      <c r="AF46" s="2">
        <f ca="1">IFERROR(SUMIFS(INDIRECT("'Thanh Toán ("&amp;AF$3&amp;")'!$F:$F"),INDIRECT("'Thanh Toán ("&amp;AF$3&amp;")'!$D:$D"),'Tổng Đơn'!$B46),0)</f>
        <v>0</v>
      </c>
      <c r="AG46" s="2">
        <f ca="1">IFERROR(SUMIFS(INDIRECT("'Thanh Toán ("&amp;AG$3&amp;")'!$F:$F"),INDIRECT("'Thanh Toán ("&amp;AG$3&amp;")'!$D:$D"),'Tổng Đơn'!$B46),0)</f>
        <v>0</v>
      </c>
      <c r="AH46" s="2">
        <f ca="1">IFERROR(SUMIFS(INDIRECT("'Thanh Toán ("&amp;AH$3&amp;")'!$F:$F"),INDIRECT("'Thanh Toán ("&amp;AH$3&amp;")'!$D:$D"),'Tổng Đơn'!$B46),0)</f>
        <v>0</v>
      </c>
      <c r="AI46" s="2">
        <f ca="1">IFERROR(SUMIFS(INDIRECT("'Thanh Toán ("&amp;AI$3&amp;")'!$F:$F"),INDIRECT("'Thanh Toán ("&amp;AI$3&amp;")'!$D:$D"),'Tổng Đơn'!$B46),0)</f>
        <v>0</v>
      </c>
      <c r="AJ46" s="2">
        <f ca="1">IFERROR(SUMIFS(INDIRECT("'Thanh Toán ("&amp;AJ$3&amp;")'!$F:$F"),INDIRECT("'Thanh Toán ("&amp;AJ$3&amp;")'!$D:$D"),'Tổng Đơn'!$B46),0)</f>
        <v>0</v>
      </c>
      <c r="AK46" s="2">
        <f ca="1">IFERROR(SUMIFS(INDIRECT("'Thanh Toán ("&amp;AK$3&amp;")'!$F:$F"),INDIRECT("'Thanh Toán ("&amp;AK$3&amp;")'!$D:$D"),'Tổng Đơn'!$B46),0)</f>
        <v>0</v>
      </c>
      <c r="AL46" s="2">
        <f ca="1">IFERROR(SUMIFS(INDIRECT("'Thanh Toán ("&amp;AL$3&amp;")'!$F:$F"),INDIRECT("'Thanh Toán ("&amp;AL$3&amp;")'!$D:$D"),'Tổng Đơn'!$B46),0)</f>
        <v>0</v>
      </c>
      <c r="AM46" s="2">
        <f ca="1">IFERROR(SUMIFS(INDIRECT("'Thanh Toán ("&amp;AM$3&amp;")'!$F:$F"),INDIRECT("'Thanh Toán ("&amp;AM$3&amp;")'!$D:$D"),'Tổng Đơn'!$B46),0)</f>
        <v>0</v>
      </c>
      <c r="AN46" s="2">
        <f ca="1">IFERROR(SUMIFS(INDIRECT("'Thanh Toán ("&amp;AN$3&amp;")'!$F:$F"),INDIRECT("'Thanh Toán ("&amp;AN$3&amp;")'!$D:$D"),'Tổng Đơn'!$B46),0)</f>
        <v>0</v>
      </c>
      <c r="AO46" s="2">
        <f ca="1">IFERROR(SUMIFS(INDIRECT("'Thanh Toán ("&amp;AO$3&amp;")'!$F:$F"),INDIRECT("'Thanh Toán ("&amp;AO$3&amp;")'!$D:$D"),'Tổng Đơn'!$B46),0)</f>
        <v>0</v>
      </c>
      <c r="AP46" s="2">
        <f ca="1">IFERROR(SUMIFS(INDIRECT("'Thanh Toán ("&amp;AP$3&amp;")'!$F:$F"),INDIRECT("'Thanh Toán ("&amp;AP$3&amp;")'!$D:$D"),'Tổng Đơn'!$B46),0)</f>
        <v>0</v>
      </c>
      <c r="AQ46" s="2">
        <f ca="1">IFERROR(SUMIFS(INDIRECT("'Thanh Toán ("&amp;AQ$3&amp;")'!$F:$F"),INDIRECT("'Thanh Toán ("&amp;AQ$3&amp;")'!$D:$D"),'Tổng Đơn'!$B46),0)</f>
        <v>0</v>
      </c>
      <c r="AR46" s="2">
        <f ca="1">IFERROR(SUMIFS(INDIRECT("'Thanh Toán ("&amp;AR$3&amp;")'!$F:$F"),INDIRECT("'Thanh Toán ("&amp;AR$3&amp;")'!$D:$D"),'Tổng Đơn'!$B46),0)</f>
        <v>0</v>
      </c>
      <c r="AS46" s="2">
        <f ca="1">IFERROR(SUMIFS(INDIRECT("'Thanh Toán ("&amp;AS$3&amp;")'!$F:$F"),INDIRECT("'Thanh Toán ("&amp;AS$3&amp;")'!$D:$D"),'Tổng Đơn'!$B46),0)</f>
        <v>0</v>
      </c>
      <c r="AT46" s="2">
        <f ca="1">IFERROR(SUMIFS(INDIRECT("'Thanh Toán ("&amp;AT$3&amp;")'!$F:$F"),INDIRECT("'Thanh Toán ("&amp;AT$3&amp;")'!$D:$D"),'Tổng Đơn'!$B46),0)</f>
        <v>0</v>
      </c>
      <c r="AU46" s="2">
        <f ca="1">IFERROR(SUMIFS(INDIRECT("'Thanh Toán ("&amp;AU$3&amp;")'!$F:$F"),INDIRECT("'Thanh Toán ("&amp;AU$3&amp;")'!$D:$D"),'Tổng Đơn'!$B46),0)</f>
        <v>0</v>
      </c>
      <c r="AV46" s="2">
        <f ca="1">IFERROR(SUMIFS(INDIRECT("'Thanh Toán ("&amp;AV$3&amp;")'!$F:$F"),INDIRECT("'Thanh Toán ("&amp;AV$3&amp;")'!$D:$D"),'Tổng Đơn'!$B46),0)</f>
        <v>0</v>
      </c>
      <c r="AW46" s="2">
        <f ca="1">IFERROR(SUMIFS(INDIRECT("'Thanh Toán ("&amp;AW$3&amp;")'!$F:$F"),INDIRECT("'Thanh Toán ("&amp;AW$3&amp;")'!$D:$D"),'Tổng Đơn'!$B46),0)</f>
        <v>0</v>
      </c>
      <c r="AX46" s="2">
        <f ca="1">IFERROR(SUMIFS(INDIRECT("'Thanh Toán ("&amp;AX$3&amp;")'!$F:$F"),INDIRECT("'Thanh Toán ("&amp;AX$3&amp;")'!$D:$D"),'Tổng Đơn'!$B46),0)</f>
        <v>0</v>
      </c>
      <c r="AY46" s="2">
        <f ca="1">IFERROR(SUMIFS(INDIRECT("'Thanh Toán ("&amp;AY$3&amp;")'!$F:$F"),INDIRECT("'Thanh Toán ("&amp;AY$3&amp;")'!$D:$D"),'Tổng Đơn'!$B46),0)</f>
        <v>0</v>
      </c>
      <c r="AZ46" s="2">
        <f ca="1">IFERROR(SUMIFS(INDIRECT("'Thanh Toán ("&amp;AZ$3&amp;")'!$F:$F"),INDIRECT("'Thanh Toán ("&amp;AZ$3&amp;")'!$D:$D"),'Tổng Đơn'!$B46),0)</f>
        <v>0</v>
      </c>
      <c r="BA46" s="2">
        <f ca="1">IFERROR(SUMIFS(INDIRECT("'Thanh Toán ("&amp;BA$3&amp;")'!$F:$F"),INDIRECT("'Thanh Toán ("&amp;BA$3&amp;")'!$D:$D"),'Tổng Đơn'!$B46),0)</f>
        <v>0</v>
      </c>
      <c r="BB46" s="2">
        <f ca="1">IFERROR(SUMIFS(INDIRECT("'Thanh Toán ("&amp;BB$3&amp;")'!$F:$F"),INDIRECT("'Thanh Toán ("&amp;BB$3&amp;")'!$D:$D"),'Tổng Đơn'!$B46),0)</f>
        <v>0</v>
      </c>
      <c r="BC46" s="2">
        <f ca="1">IFERROR(SUMIFS(INDIRECT("'Thanh Toán ("&amp;BC$3&amp;")'!$F:$F"),INDIRECT("'Thanh Toán ("&amp;BC$3&amp;")'!$D:$D"),'Tổng Đơn'!$B46),0)</f>
        <v>0</v>
      </c>
    </row>
    <row r="47" spans="1:55" ht="18" customHeight="1" x14ac:dyDescent="0.25">
      <c r="A47" s="201">
        <v>40</v>
      </c>
      <c r="B47" s="202" t="s">
        <v>47</v>
      </c>
      <c r="C47" s="208" t="s">
        <v>99</v>
      </c>
      <c r="D47" s="203">
        <f>VLOOKUP($C47,Sheet1!$C$5:$D$98,2,0)</f>
        <v>79000</v>
      </c>
      <c r="E47" s="204">
        <v>0.5</v>
      </c>
      <c r="F47" s="205">
        <f t="shared" ca="1" si="5"/>
        <v>0</v>
      </c>
      <c r="G47" s="206">
        <f>IFERROR(VLOOKUP($B47,Gà!C:J,8,0),IFERROR(VLOOKUP($B47,TVP!C:J,7,0),IFERROR(VLOOKUP($B47,Kitkool!C:J,8,0),IFERROR(VLOOKUP($B47,'La Cusina'!C:J,8,0),VLOOKUP($B47,'Quốc Nhân'!C:J,8,0)))))</f>
        <v>66.303358613217767</v>
      </c>
      <c r="H47" s="207">
        <f t="shared" ca="1" si="4"/>
        <v>0</v>
      </c>
      <c r="I47" s="207"/>
      <c r="J47" s="207">
        <f t="shared" ca="1" si="3"/>
        <v>0</v>
      </c>
      <c r="K47" s="53"/>
      <c r="L47" s="2">
        <f ca="1">IFERROR(SUMIFS(INDIRECT("'Thanh Toán ("&amp;L$3&amp;")'!$F:$F"),INDIRECT("'Thanh Toán ("&amp;L$3&amp;")'!$D:$D"),'Tổng Đơn'!$B47),0)</f>
        <v>0</v>
      </c>
      <c r="M47" s="2">
        <f ca="1">IFERROR(SUMIFS(INDIRECT("'Thanh Toán ("&amp;M$3&amp;")'!$F:$F"),INDIRECT("'Thanh Toán ("&amp;M$3&amp;")'!$D:$D"),'Tổng Đơn'!$B47),0)</f>
        <v>0</v>
      </c>
      <c r="N47" s="2">
        <f ca="1">IFERROR(SUMIFS(INDIRECT("'Thanh Toán ("&amp;N$3&amp;")'!$F:$F"),INDIRECT("'Thanh Toán ("&amp;N$3&amp;")'!$D:$D"),'Tổng Đơn'!$B47),0)</f>
        <v>0</v>
      </c>
      <c r="O47" s="2">
        <f ca="1">IFERROR(SUMIFS(INDIRECT("'Thanh Toán ("&amp;O$3&amp;")'!$F:$F"),INDIRECT("'Thanh Toán ("&amp;O$3&amp;")'!$D:$D"),'Tổng Đơn'!$B47),0)</f>
        <v>0</v>
      </c>
      <c r="P47" s="2">
        <f ca="1">IFERROR(SUMIFS(INDIRECT("'Thanh Toán ("&amp;P$3&amp;")'!$F:$F"),INDIRECT("'Thanh Toán ("&amp;P$3&amp;")'!$D:$D"),'Tổng Đơn'!$B47),0)</f>
        <v>0</v>
      </c>
      <c r="Q47" s="2">
        <f ca="1">IFERROR(SUMIFS(INDIRECT("'Thanh Toán ("&amp;Q$3&amp;")'!$F:$F"),INDIRECT("'Thanh Toán ("&amp;Q$3&amp;")'!$D:$D"),'Tổng Đơn'!$B47),0)</f>
        <v>0</v>
      </c>
      <c r="R47" s="2">
        <f ca="1">IFERROR(SUMIFS(INDIRECT("'Thanh Toán ("&amp;R$3&amp;")'!$F:$F"),INDIRECT("'Thanh Toán ("&amp;R$3&amp;")'!$D:$D"),'Tổng Đơn'!$B47),0)</f>
        <v>0</v>
      </c>
      <c r="S47" s="2">
        <f ca="1">IFERROR(SUMIFS(INDIRECT("'Thanh Toán ("&amp;S$3&amp;")'!$F:$F"),INDIRECT("'Thanh Toán ("&amp;S$3&amp;")'!$D:$D"),'Tổng Đơn'!$B47),0)</f>
        <v>0</v>
      </c>
      <c r="T47" s="2">
        <f ca="1">IFERROR(SUMIFS(INDIRECT("'Thanh Toán ("&amp;T$3&amp;")'!$F:$F"),INDIRECT("'Thanh Toán ("&amp;T$3&amp;")'!$D:$D"),'Tổng Đơn'!$B47),0)</f>
        <v>0</v>
      </c>
      <c r="U47" s="2">
        <f ca="1">IFERROR(SUMIFS(INDIRECT("'Thanh Toán ("&amp;U$3&amp;")'!$F:$F"),INDIRECT("'Thanh Toán ("&amp;U$3&amp;")'!$D:$D"),'Tổng Đơn'!$B47),0)</f>
        <v>0</v>
      </c>
      <c r="V47" s="2">
        <f ca="1">IFERROR(SUMIFS(INDIRECT("'Thanh Toán ("&amp;V$3&amp;")'!$F:$F"),INDIRECT("'Thanh Toán ("&amp;V$3&amp;")'!$D:$D"),'Tổng Đơn'!$B47),0)</f>
        <v>0</v>
      </c>
      <c r="W47" s="2">
        <f ca="1">IFERROR(SUMIFS(INDIRECT("'Thanh Toán ("&amp;W$3&amp;")'!$F:$F"),INDIRECT("'Thanh Toán ("&amp;W$3&amp;")'!$D:$D"),'Tổng Đơn'!$B47),0)</f>
        <v>0</v>
      </c>
      <c r="X47" s="2">
        <f ca="1">IFERROR(SUMIFS(INDIRECT("'Thanh Toán ("&amp;X$3&amp;")'!$F:$F"),INDIRECT("'Thanh Toán ("&amp;X$3&amp;")'!$D:$D"),'Tổng Đơn'!$B47),0)</f>
        <v>0</v>
      </c>
      <c r="Y47" s="2">
        <f ca="1">IFERROR(SUMIFS(INDIRECT("'Thanh Toán ("&amp;Y$3&amp;")'!$F:$F"),INDIRECT("'Thanh Toán ("&amp;Y$3&amp;")'!$D:$D"),'Tổng Đơn'!$B47),0)</f>
        <v>0</v>
      </c>
      <c r="Z47" s="2">
        <f ca="1">IFERROR(SUMIFS(INDIRECT("'Thanh Toán ("&amp;Z$3&amp;")'!$F:$F"),INDIRECT("'Thanh Toán ("&amp;Z$3&amp;")'!$D:$D"),'Tổng Đơn'!$B47),0)</f>
        <v>0</v>
      </c>
      <c r="AA47" s="2">
        <f ca="1">IFERROR(SUMIFS(INDIRECT("'Thanh Toán ("&amp;AA$3&amp;")'!$F:$F"),INDIRECT("'Thanh Toán ("&amp;AA$3&amp;")'!$D:$D"),'Tổng Đơn'!$B47),0)</f>
        <v>0</v>
      </c>
      <c r="AB47" s="2">
        <f ca="1">IFERROR(SUMIFS(INDIRECT("'Thanh Toán ("&amp;AB$3&amp;")'!$F:$F"),INDIRECT("'Thanh Toán ("&amp;AB$3&amp;")'!$D:$D"),'Tổng Đơn'!$B47),0)</f>
        <v>0</v>
      </c>
      <c r="AC47" s="2">
        <f ca="1">IFERROR(SUMIFS(INDIRECT("'Thanh Toán ("&amp;AC$3&amp;")'!$F:$F"),INDIRECT("'Thanh Toán ("&amp;AC$3&amp;")'!$D:$D"),'Tổng Đơn'!$B47),0)</f>
        <v>0</v>
      </c>
      <c r="AD47" s="2">
        <f ca="1">IFERROR(SUMIFS(INDIRECT("'Thanh Toán ("&amp;AD$3&amp;")'!$F:$F"),INDIRECT("'Thanh Toán ("&amp;AD$3&amp;")'!$D:$D"),'Tổng Đơn'!$B47),0)</f>
        <v>0</v>
      </c>
      <c r="AE47" s="2">
        <f ca="1">IFERROR(SUMIFS(INDIRECT("'Thanh Toán ("&amp;AE$3&amp;")'!$F:$F"),INDIRECT("'Thanh Toán ("&amp;AE$3&amp;")'!$D:$D"),'Tổng Đơn'!$B47),0)</f>
        <v>0</v>
      </c>
      <c r="AF47" s="2">
        <f ca="1">IFERROR(SUMIFS(INDIRECT("'Thanh Toán ("&amp;AF$3&amp;")'!$F:$F"),INDIRECT("'Thanh Toán ("&amp;AF$3&amp;")'!$D:$D"),'Tổng Đơn'!$B47),0)</f>
        <v>0</v>
      </c>
      <c r="AG47" s="2">
        <f ca="1">IFERROR(SUMIFS(INDIRECT("'Thanh Toán ("&amp;AG$3&amp;")'!$F:$F"),INDIRECT("'Thanh Toán ("&amp;AG$3&amp;")'!$D:$D"),'Tổng Đơn'!$B47),0)</f>
        <v>0</v>
      </c>
      <c r="AH47" s="2">
        <f ca="1">IFERROR(SUMIFS(INDIRECT("'Thanh Toán ("&amp;AH$3&amp;")'!$F:$F"),INDIRECT("'Thanh Toán ("&amp;AH$3&amp;")'!$D:$D"),'Tổng Đơn'!$B47),0)</f>
        <v>0</v>
      </c>
      <c r="AI47" s="2">
        <f ca="1">IFERROR(SUMIFS(INDIRECT("'Thanh Toán ("&amp;AI$3&amp;")'!$F:$F"),INDIRECT("'Thanh Toán ("&amp;AI$3&amp;")'!$D:$D"),'Tổng Đơn'!$B47),0)</f>
        <v>0</v>
      </c>
      <c r="AJ47" s="2">
        <f ca="1">IFERROR(SUMIFS(INDIRECT("'Thanh Toán ("&amp;AJ$3&amp;")'!$F:$F"),INDIRECT("'Thanh Toán ("&amp;AJ$3&amp;")'!$D:$D"),'Tổng Đơn'!$B47),0)</f>
        <v>0</v>
      </c>
      <c r="AK47" s="2">
        <f ca="1">IFERROR(SUMIFS(INDIRECT("'Thanh Toán ("&amp;AK$3&amp;")'!$F:$F"),INDIRECT("'Thanh Toán ("&amp;AK$3&amp;")'!$D:$D"),'Tổng Đơn'!$B47),0)</f>
        <v>0</v>
      </c>
      <c r="AL47" s="2">
        <f ca="1">IFERROR(SUMIFS(INDIRECT("'Thanh Toán ("&amp;AL$3&amp;")'!$F:$F"),INDIRECT("'Thanh Toán ("&amp;AL$3&amp;")'!$D:$D"),'Tổng Đơn'!$B47),0)</f>
        <v>0</v>
      </c>
      <c r="AM47" s="2">
        <f ca="1">IFERROR(SUMIFS(INDIRECT("'Thanh Toán ("&amp;AM$3&amp;")'!$F:$F"),INDIRECT("'Thanh Toán ("&amp;AM$3&amp;")'!$D:$D"),'Tổng Đơn'!$B47),0)</f>
        <v>0</v>
      </c>
      <c r="AN47" s="2">
        <f ca="1">IFERROR(SUMIFS(INDIRECT("'Thanh Toán ("&amp;AN$3&amp;")'!$F:$F"),INDIRECT("'Thanh Toán ("&amp;AN$3&amp;")'!$D:$D"),'Tổng Đơn'!$B47),0)</f>
        <v>0</v>
      </c>
      <c r="AO47" s="2">
        <f ca="1">IFERROR(SUMIFS(INDIRECT("'Thanh Toán ("&amp;AO$3&amp;")'!$F:$F"),INDIRECT("'Thanh Toán ("&amp;AO$3&amp;")'!$D:$D"),'Tổng Đơn'!$B47),0)</f>
        <v>0</v>
      </c>
      <c r="AP47" s="2">
        <f ca="1">IFERROR(SUMIFS(INDIRECT("'Thanh Toán ("&amp;AP$3&amp;")'!$F:$F"),INDIRECT("'Thanh Toán ("&amp;AP$3&amp;")'!$D:$D"),'Tổng Đơn'!$B47),0)</f>
        <v>0</v>
      </c>
      <c r="AQ47" s="2">
        <f ca="1">IFERROR(SUMIFS(INDIRECT("'Thanh Toán ("&amp;AQ$3&amp;")'!$F:$F"),INDIRECT("'Thanh Toán ("&amp;AQ$3&amp;")'!$D:$D"),'Tổng Đơn'!$B47),0)</f>
        <v>0</v>
      </c>
      <c r="AR47" s="2">
        <f ca="1">IFERROR(SUMIFS(INDIRECT("'Thanh Toán ("&amp;AR$3&amp;")'!$F:$F"),INDIRECT("'Thanh Toán ("&amp;AR$3&amp;")'!$D:$D"),'Tổng Đơn'!$B47),0)</f>
        <v>0</v>
      </c>
      <c r="AS47" s="2">
        <f ca="1">IFERROR(SUMIFS(INDIRECT("'Thanh Toán ("&amp;AS$3&amp;")'!$F:$F"),INDIRECT("'Thanh Toán ("&amp;AS$3&amp;")'!$D:$D"),'Tổng Đơn'!$B47),0)</f>
        <v>0</v>
      </c>
      <c r="AT47" s="2">
        <f ca="1">IFERROR(SUMIFS(INDIRECT("'Thanh Toán ("&amp;AT$3&amp;")'!$F:$F"),INDIRECT("'Thanh Toán ("&amp;AT$3&amp;")'!$D:$D"),'Tổng Đơn'!$B47),0)</f>
        <v>0</v>
      </c>
      <c r="AU47" s="2">
        <f ca="1">IFERROR(SUMIFS(INDIRECT("'Thanh Toán ("&amp;AU$3&amp;")'!$F:$F"),INDIRECT("'Thanh Toán ("&amp;AU$3&amp;")'!$D:$D"),'Tổng Đơn'!$B47),0)</f>
        <v>0</v>
      </c>
      <c r="AV47" s="2">
        <f ca="1">IFERROR(SUMIFS(INDIRECT("'Thanh Toán ("&amp;AV$3&amp;")'!$F:$F"),INDIRECT("'Thanh Toán ("&amp;AV$3&amp;")'!$D:$D"),'Tổng Đơn'!$B47),0)</f>
        <v>0</v>
      </c>
      <c r="AW47" s="2">
        <f ca="1">IFERROR(SUMIFS(INDIRECT("'Thanh Toán ("&amp;AW$3&amp;")'!$F:$F"),INDIRECT("'Thanh Toán ("&amp;AW$3&amp;")'!$D:$D"),'Tổng Đơn'!$B47),0)</f>
        <v>0</v>
      </c>
      <c r="AX47" s="2">
        <f ca="1">IFERROR(SUMIFS(INDIRECT("'Thanh Toán ("&amp;AX$3&amp;")'!$F:$F"),INDIRECT("'Thanh Toán ("&amp;AX$3&amp;")'!$D:$D"),'Tổng Đơn'!$B47),0)</f>
        <v>0</v>
      </c>
      <c r="AY47" s="2">
        <f ca="1">IFERROR(SUMIFS(INDIRECT("'Thanh Toán ("&amp;AY$3&amp;")'!$F:$F"),INDIRECT("'Thanh Toán ("&amp;AY$3&amp;")'!$D:$D"),'Tổng Đơn'!$B47),0)</f>
        <v>0</v>
      </c>
      <c r="AZ47" s="2">
        <f ca="1">IFERROR(SUMIFS(INDIRECT("'Thanh Toán ("&amp;AZ$3&amp;")'!$F:$F"),INDIRECT("'Thanh Toán ("&amp;AZ$3&amp;")'!$D:$D"),'Tổng Đơn'!$B47),0)</f>
        <v>0</v>
      </c>
      <c r="BA47" s="2">
        <f ca="1">IFERROR(SUMIFS(INDIRECT("'Thanh Toán ("&amp;BA$3&amp;")'!$F:$F"),INDIRECT("'Thanh Toán ("&amp;BA$3&amp;")'!$D:$D"),'Tổng Đơn'!$B47),0)</f>
        <v>0</v>
      </c>
      <c r="BB47" s="2">
        <f ca="1">IFERROR(SUMIFS(INDIRECT("'Thanh Toán ("&amp;BB$3&amp;")'!$F:$F"),INDIRECT("'Thanh Toán ("&amp;BB$3&amp;")'!$D:$D"),'Tổng Đơn'!$B47),0)</f>
        <v>0</v>
      </c>
      <c r="BC47" s="2">
        <f ca="1">IFERROR(SUMIFS(INDIRECT("'Thanh Toán ("&amp;BC$3&amp;")'!$F:$F"),INDIRECT("'Thanh Toán ("&amp;BC$3&amp;")'!$D:$D"),'Tổng Đơn'!$B47),0)</f>
        <v>0</v>
      </c>
    </row>
    <row r="48" spans="1:55" ht="18" customHeight="1" x14ac:dyDescent="0.25">
      <c r="A48" s="201">
        <v>41</v>
      </c>
      <c r="B48" s="202" t="s">
        <v>37</v>
      </c>
      <c r="C48" s="201" t="s">
        <v>100</v>
      </c>
      <c r="D48" s="203">
        <f>VLOOKUP($C48,Sheet1!$C$5:$D$98,2,0)</f>
        <v>66000</v>
      </c>
      <c r="E48" s="204">
        <v>0.5</v>
      </c>
      <c r="F48" s="205">
        <f t="shared" ca="1" si="5"/>
        <v>0</v>
      </c>
      <c r="G48" s="206">
        <f>IFERROR(VLOOKUP($B48,Gà!C:J,8,0),IFERROR(VLOOKUP($B48,TVP!C:J,7,0),IFERROR(VLOOKUP($B48,Kitkool!C:J,8,0),IFERROR(VLOOKUP($B48,'La Cusina'!C:J,8,0),VLOOKUP($B48,'Quốc Nhân'!C:J,8,0)))))</f>
        <v>55.755097015660397</v>
      </c>
      <c r="H48" s="207">
        <f t="shared" ca="1" si="4"/>
        <v>0</v>
      </c>
      <c r="I48" s="207"/>
      <c r="J48" s="207">
        <f t="shared" ca="1" si="3"/>
        <v>0</v>
      </c>
      <c r="K48" s="53"/>
      <c r="L48" s="2">
        <f ca="1">IFERROR(SUMIFS(INDIRECT("'Thanh Toán ("&amp;L$3&amp;")'!$F:$F"),INDIRECT("'Thanh Toán ("&amp;L$3&amp;")'!$D:$D"),'Tổng Đơn'!$B48),0)</f>
        <v>0</v>
      </c>
      <c r="M48" s="2">
        <f ca="1">IFERROR(SUMIFS(INDIRECT("'Thanh Toán ("&amp;M$3&amp;")'!$F:$F"),INDIRECT("'Thanh Toán ("&amp;M$3&amp;")'!$D:$D"),'Tổng Đơn'!$B48),0)</f>
        <v>0</v>
      </c>
      <c r="N48" s="2">
        <f ca="1">IFERROR(SUMIFS(INDIRECT("'Thanh Toán ("&amp;N$3&amp;")'!$F:$F"),INDIRECT("'Thanh Toán ("&amp;N$3&amp;")'!$D:$D"),'Tổng Đơn'!$B48),0)</f>
        <v>0</v>
      </c>
      <c r="O48" s="2">
        <f ca="1">IFERROR(SUMIFS(INDIRECT("'Thanh Toán ("&amp;O$3&amp;")'!$F:$F"),INDIRECT("'Thanh Toán ("&amp;O$3&amp;")'!$D:$D"),'Tổng Đơn'!$B48),0)</f>
        <v>0</v>
      </c>
      <c r="P48" s="2">
        <f ca="1">IFERROR(SUMIFS(INDIRECT("'Thanh Toán ("&amp;P$3&amp;")'!$F:$F"),INDIRECT("'Thanh Toán ("&amp;P$3&amp;")'!$D:$D"),'Tổng Đơn'!$B48),0)</f>
        <v>0</v>
      </c>
      <c r="Q48" s="2">
        <f ca="1">IFERROR(SUMIFS(INDIRECT("'Thanh Toán ("&amp;Q$3&amp;")'!$F:$F"),INDIRECT("'Thanh Toán ("&amp;Q$3&amp;")'!$D:$D"),'Tổng Đơn'!$B48),0)</f>
        <v>0</v>
      </c>
      <c r="R48" s="2">
        <f ca="1">IFERROR(SUMIFS(INDIRECT("'Thanh Toán ("&amp;R$3&amp;")'!$F:$F"),INDIRECT("'Thanh Toán ("&amp;R$3&amp;")'!$D:$D"),'Tổng Đơn'!$B48),0)</f>
        <v>0</v>
      </c>
      <c r="S48" s="2">
        <f ca="1">IFERROR(SUMIFS(INDIRECT("'Thanh Toán ("&amp;S$3&amp;")'!$F:$F"),INDIRECT("'Thanh Toán ("&amp;S$3&amp;")'!$D:$D"),'Tổng Đơn'!$B48),0)</f>
        <v>0</v>
      </c>
      <c r="T48" s="2">
        <f ca="1">IFERROR(SUMIFS(INDIRECT("'Thanh Toán ("&amp;T$3&amp;")'!$F:$F"),INDIRECT("'Thanh Toán ("&amp;T$3&amp;")'!$D:$D"),'Tổng Đơn'!$B48),0)</f>
        <v>0</v>
      </c>
      <c r="U48" s="2">
        <f ca="1">IFERROR(SUMIFS(INDIRECT("'Thanh Toán ("&amp;U$3&amp;")'!$F:$F"),INDIRECT("'Thanh Toán ("&amp;U$3&amp;")'!$D:$D"),'Tổng Đơn'!$B48),0)</f>
        <v>0</v>
      </c>
      <c r="V48" s="2">
        <f ca="1">IFERROR(SUMIFS(INDIRECT("'Thanh Toán ("&amp;V$3&amp;")'!$F:$F"),INDIRECT("'Thanh Toán ("&amp;V$3&amp;")'!$D:$D"),'Tổng Đơn'!$B48),0)</f>
        <v>0</v>
      </c>
      <c r="W48" s="2">
        <f ca="1">IFERROR(SUMIFS(INDIRECT("'Thanh Toán ("&amp;W$3&amp;")'!$F:$F"),INDIRECT("'Thanh Toán ("&amp;W$3&amp;")'!$D:$D"),'Tổng Đơn'!$B48),0)</f>
        <v>0</v>
      </c>
      <c r="X48" s="2">
        <f ca="1">IFERROR(SUMIFS(INDIRECT("'Thanh Toán ("&amp;X$3&amp;")'!$F:$F"),INDIRECT("'Thanh Toán ("&amp;X$3&amp;")'!$D:$D"),'Tổng Đơn'!$B48),0)</f>
        <v>0</v>
      </c>
      <c r="Y48" s="2">
        <f ca="1">IFERROR(SUMIFS(INDIRECT("'Thanh Toán ("&amp;Y$3&amp;")'!$F:$F"),INDIRECT("'Thanh Toán ("&amp;Y$3&amp;")'!$D:$D"),'Tổng Đơn'!$B48),0)</f>
        <v>0</v>
      </c>
      <c r="Z48" s="2">
        <f ca="1">IFERROR(SUMIFS(INDIRECT("'Thanh Toán ("&amp;Z$3&amp;")'!$F:$F"),INDIRECT("'Thanh Toán ("&amp;Z$3&amp;")'!$D:$D"),'Tổng Đơn'!$B48),0)</f>
        <v>0</v>
      </c>
      <c r="AA48" s="2">
        <f ca="1">IFERROR(SUMIFS(INDIRECT("'Thanh Toán ("&amp;AA$3&amp;")'!$F:$F"),INDIRECT("'Thanh Toán ("&amp;AA$3&amp;")'!$D:$D"),'Tổng Đơn'!$B48),0)</f>
        <v>0</v>
      </c>
      <c r="AB48" s="2">
        <f ca="1">IFERROR(SUMIFS(INDIRECT("'Thanh Toán ("&amp;AB$3&amp;")'!$F:$F"),INDIRECT("'Thanh Toán ("&amp;AB$3&amp;")'!$D:$D"),'Tổng Đơn'!$B48),0)</f>
        <v>0</v>
      </c>
      <c r="AC48" s="2">
        <f ca="1">IFERROR(SUMIFS(INDIRECT("'Thanh Toán ("&amp;AC$3&amp;")'!$F:$F"),INDIRECT("'Thanh Toán ("&amp;AC$3&amp;")'!$D:$D"),'Tổng Đơn'!$B48),0)</f>
        <v>0</v>
      </c>
      <c r="AD48" s="2">
        <f ca="1">IFERROR(SUMIFS(INDIRECT("'Thanh Toán ("&amp;AD$3&amp;")'!$F:$F"),INDIRECT("'Thanh Toán ("&amp;AD$3&amp;")'!$D:$D"),'Tổng Đơn'!$B48),0)</f>
        <v>0</v>
      </c>
      <c r="AE48" s="2">
        <f ca="1">IFERROR(SUMIFS(INDIRECT("'Thanh Toán ("&amp;AE$3&amp;")'!$F:$F"),INDIRECT("'Thanh Toán ("&amp;AE$3&amp;")'!$D:$D"),'Tổng Đơn'!$B48),0)</f>
        <v>0</v>
      </c>
      <c r="AF48" s="2">
        <f ca="1">IFERROR(SUMIFS(INDIRECT("'Thanh Toán ("&amp;AF$3&amp;")'!$F:$F"),INDIRECT("'Thanh Toán ("&amp;AF$3&amp;")'!$D:$D"),'Tổng Đơn'!$B48),0)</f>
        <v>0</v>
      </c>
      <c r="AG48" s="2">
        <f ca="1">IFERROR(SUMIFS(INDIRECT("'Thanh Toán ("&amp;AG$3&amp;")'!$F:$F"),INDIRECT("'Thanh Toán ("&amp;AG$3&amp;")'!$D:$D"),'Tổng Đơn'!$B48),0)</f>
        <v>0</v>
      </c>
      <c r="AH48" s="2">
        <f ca="1">IFERROR(SUMIFS(INDIRECT("'Thanh Toán ("&amp;AH$3&amp;")'!$F:$F"),INDIRECT("'Thanh Toán ("&amp;AH$3&amp;")'!$D:$D"),'Tổng Đơn'!$B48),0)</f>
        <v>0</v>
      </c>
      <c r="AI48" s="2">
        <f ca="1">IFERROR(SUMIFS(INDIRECT("'Thanh Toán ("&amp;AI$3&amp;")'!$F:$F"),INDIRECT("'Thanh Toán ("&amp;AI$3&amp;")'!$D:$D"),'Tổng Đơn'!$B48),0)</f>
        <v>0</v>
      </c>
      <c r="AJ48" s="2">
        <f ca="1">IFERROR(SUMIFS(INDIRECT("'Thanh Toán ("&amp;AJ$3&amp;")'!$F:$F"),INDIRECT("'Thanh Toán ("&amp;AJ$3&amp;")'!$D:$D"),'Tổng Đơn'!$B48),0)</f>
        <v>0</v>
      </c>
      <c r="AK48" s="2">
        <f ca="1">IFERROR(SUMIFS(INDIRECT("'Thanh Toán ("&amp;AK$3&amp;")'!$F:$F"),INDIRECT("'Thanh Toán ("&amp;AK$3&amp;")'!$D:$D"),'Tổng Đơn'!$B48),0)</f>
        <v>0</v>
      </c>
      <c r="AL48" s="2">
        <f ca="1">IFERROR(SUMIFS(INDIRECT("'Thanh Toán ("&amp;AL$3&amp;")'!$F:$F"),INDIRECT("'Thanh Toán ("&amp;AL$3&amp;")'!$D:$D"),'Tổng Đơn'!$B48),0)</f>
        <v>0</v>
      </c>
      <c r="AM48" s="2">
        <f ca="1">IFERROR(SUMIFS(INDIRECT("'Thanh Toán ("&amp;AM$3&amp;")'!$F:$F"),INDIRECT("'Thanh Toán ("&amp;AM$3&amp;")'!$D:$D"),'Tổng Đơn'!$B48),0)</f>
        <v>0</v>
      </c>
      <c r="AN48" s="2">
        <f ca="1">IFERROR(SUMIFS(INDIRECT("'Thanh Toán ("&amp;AN$3&amp;")'!$F:$F"),INDIRECT("'Thanh Toán ("&amp;AN$3&amp;")'!$D:$D"),'Tổng Đơn'!$B48),0)</f>
        <v>0</v>
      </c>
      <c r="AO48" s="2">
        <f ca="1">IFERROR(SUMIFS(INDIRECT("'Thanh Toán ("&amp;AO$3&amp;")'!$F:$F"),INDIRECT("'Thanh Toán ("&amp;AO$3&amp;")'!$D:$D"),'Tổng Đơn'!$B48),0)</f>
        <v>0</v>
      </c>
      <c r="AP48" s="2">
        <f ca="1">IFERROR(SUMIFS(INDIRECT("'Thanh Toán ("&amp;AP$3&amp;")'!$F:$F"),INDIRECT("'Thanh Toán ("&amp;AP$3&amp;")'!$D:$D"),'Tổng Đơn'!$B48),0)</f>
        <v>0</v>
      </c>
      <c r="AQ48" s="2">
        <f ca="1">IFERROR(SUMIFS(INDIRECT("'Thanh Toán ("&amp;AQ$3&amp;")'!$F:$F"),INDIRECT("'Thanh Toán ("&amp;AQ$3&amp;")'!$D:$D"),'Tổng Đơn'!$B48),0)</f>
        <v>0</v>
      </c>
      <c r="AR48" s="2">
        <f ca="1">IFERROR(SUMIFS(INDIRECT("'Thanh Toán ("&amp;AR$3&amp;")'!$F:$F"),INDIRECT("'Thanh Toán ("&amp;AR$3&amp;")'!$D:$D"),'Tổng Đơn'!$B48),0)</f>
        <v>0</v>
      </c>
      <c r="AS48" s="2">
        <f ca="1">IFERROR(SUMIFS(INDIRECT("'Thanh Toán ("&amp;AS$3&amp;")'!$F:$F"),INDIRECT("'Thanh Toán ("&amp;AS$3&amp;")'!$D:$D"),'Tổng Đơn'!$B48),0)</f>
        <v>0</v>
      </c>
      <c r="AT48" s="2">
        <f ca="1">IFERROR(SUMIFS(INDIRECT("'Thanh Toán ("&amp;AT$3&amp;")'!$F:$F"),INDIRECT("'Thanh Toán ("&amp;AT$3&amp;")'!$D:$D"),'Tổng Đơn'!$B48),0)</f>
        <v>0</v>
      </c>
      <c r="AU48" s="2">
        <f ca="1">IFERROR(SUMIFS(INDIRECT("'Thanh Toán ("&amp;AU$3&amp;")'!$F:$F"),INDIRECT("'Thanh Toán ("&amp;AU$3&amp;")'!$D:$D"),'Tổng Đơn'!$B48),0)</f>
        <v>0</v>
      </c>
      <c r="AV48" s="2">
        <f ca="1">IFERROR(SUMIFS(INDIRECT("'Thanh Toán ("&amp;AV$3&amp;")'!$F:$F"),INDIRECT("'Thanh Toán ("&amp;AV$3&amp;")'!$D:$D"),'Tổng Đơn'!$B48),0)</f>
        <v>0</v>
      </c>
      <c r="AW48" s="2">
        <f ca="1">IFERROR(SUMIFS(INDIRECT("'Thanh Toán ("&amp;AW$3&amp;")'!$F:$F"),INDIRECT("'Thanh Toán ("&amp;AW$3&amp;")'!$D:$D"),'Tổng Đơn'!$B48),0)</f>
        <v>0</v>
      </c>
      <c r="AX48" s="2">
        <f ca="1">IFERROR(SUMIFS(INDIRECT("'Thanh Toán ("&amp;AX$3&amp;")'!$F:$F"),INDIRECT("'Thanh Toán ("&amp;AX$3&amp;")'!$D:$D"),'Tổng Đơn'!$B48),0)</f>
        <v>0</v>
      </c>
      <c r="AY48" s="2">
        <f ca="1">IFERROR(SUMIFS(INDIRECT("'Thanh Toán ("&amp;AY$3&amp;")'!$F:$F"),INDIRECT("'Thanh Toán ("&amp;AY$3&amp;")'!$D:$D"),'Tổng Đơn'!$B48),0)</f>
        <v>0</v>
      </c>
      <c r="AZ48" s="2">
        <f ca="1">IFERROR(SUMIFS(INDIRECT("'Thanh Toán ("&amp;AZ$3&amp;")'!$F:$F"),INDIRECT("'Thanh Toán ("&amp;AZ$3&amp;")'!$D:$D"),'Tổng Đơn'!$B48),0)</f>
        <v>0</v>
      </c>
      <c r="BA48" s="2">
        <f ca="1">IFERROR(SUMIFS(INDIRECT("'Thanh Toán ("&amp;BA$3&amp;")'!$F:$F"),INDIRECT("'Thanh Toán ("&amp;BA$3&amp;")'!$D:$D"),'Tổng Đơn'!$B48),0)</f>
        <v>0</v>
      </c>
      <c r="BB48" s="2">
        <f ca="1">IFERROR(SUMIFS(INDIRECT("'Thanh Toán ("&amp;BB$3&amp;")'!$F:$F"),INDIRECT("'Thanh Toán ("&amp;BB$3&amp;")'!$D:$D"),'Tổng Đơn'!$B48),0)</f>
        <v>0</v>
      </c>
      <c r="BC48" s="2">
        <f ca="1">IFERROR(SUMIFS(INDIRECT("'Thanh Toán ("&amp;BC$3&amp;")'!$F:$F"),INDIRECT("'Thanh Toán ("&amp;BC$3&amp;")'!$D:$D"),'Tổng Đơn'!$B48),0)</f>
        <v>0</v>
      </c>
    </row>
    <row r="49" spans="1:55" ht="18" customHeight="1" x14ac:dyDescent="0.25">
      <c r="A49" s="201">
        <v>42</v>
      </c>
      <c r="B49" s="202" t="s">
        <v>36</v>
      </c>
      <c r="C49" s="208" t="s">
        <v>101</v>
      </c>
      <c r="D49" s="203">
        <f>VLOOKUP($C49,Sheet1!$C$5:$D$98,2,0)</f>
        <v>66000</v>
      </c>
      <c r="E49" s="204">
        <v>0.5</v>
      </c>
      <c r="F49" s="205">
        <f t="shared" ca="1" si="5"/>
        <v>0</v>
      </c>
      <c r="G49" s="206">
        <f>IFERROR(VLOOKUP($B49,Gà!C:J,8,0),IFERROR(VLOOKUP($B49,TVP!C:J,7,0),IFERROR(VLOOKUP($B49,Kitkool!C:J,8,0),IFERROR(VLOOKUP($B49,'La Cusina'!C:J,8,0),VLOOKUP($B49,'Quốc Nhân'!C:J,8,0)))))</f>
        <v>55.755097015660397</v>
      </c>
      <c r="H49" s="207">
        <f t="shared" ca="1" si="4"/>
        <v>0</v>
      </c>
      <c r="I49" s="207"/>
      <c r="J49" s="207">
        <f t="shared" ca="1" si="3"/>
        <v>0</v>
      </c>
      <c r="K49" s="53"/>
      <c r="L49" s="2">
        <f ca="1">IFERROR(SUMIFS(INDIRECT("'Thanh Toán ("&amp;L$3&amp;")'!$F:$F"),INDIRECT("'Thanh Toán ("&amp;L$3&amp;")'!$D:$D"),'Tổng Đơn'!$B49),0)</f>
        <v>0</v>
      </c>
      <c r="M49" s="2">
        <f ca="1">IFERROR(SUMIFS(INDIRECT("'Thanh Toán ("&amp;M$3&amp;")'!$F:$F"),INDIRECT("'Thanh Toán ("&amp;M$3&amp;")'!$D:$D"),'Tổng Đơn'!$B49),0)</f>
        <v>0</v>
      </c>
      <c r="N49" s="2">
        <f ca="1">IFERROR(SUMIFS(INDIRECT("'Thanh Toán ("&amp;N$3&amp;")'!$F:$F"),INDIRECT("'Thanh Toán ("&amp;N$3&amp;")'!$D:$D"),'Tổng Đơn'!$B49),0)</f>
        <v>0</v>
      </c>
      <c r="O49" s="2">
        <f ca="1">IFERROR(SUMIFS(INDIRECT("'Thanh Toán ("&amp;O$3&amp;")'!$F:$F"),INDIRECT("'Thanh Toán ("&amp;O$3&amp;")'!$D:$D"),'Tổng Đơn'!$B49),0)</f>
        <v>0</v>
      </c>
      <c r="P49" s="2">
        <f ca="1">IFERROR(SUMIFS(INDIRECT("'Thanh Toán ("&amp;P$3&amp;")'!$F:$F"),INDIRECT("'Thanh Toán ("&amp;P$3&amp;")'!$D:$D"),'Tổng Đơn'!$B49),0)</f>
        <v>0</v>
      </c>
      <c r="Q49" s="2">
        <f ca="1">IFERROR(SUMIFS(INDIRECT("'Thanh Toán ("&amp;Q$3&amp;")'!$F:$F"),INDIRECT("'Thanh Toán ("&amp;Q$3&amp;")'!$D:$D"),'Tổng Đơn'!$B49),0)</f>
        <v>0</v>
      </c>
      <c r="R49" s="2">
        <f ca="1">IFERROR(SUMIFS(INDIRECT("'Thanh Toán ("&amp;R$3&amp;")'!$F:$F"),INDIRECT("'Thanh Toán ("&amp;R$3&amp;")'!$D:$D"),'Tổng Đơn'!$B49),0)</f>
        <v>0</v>
      </c>
      <c r="S49" s="2">
        <f ca="1">IFERROR(SUMIFS(INDIRECT("'Thanh Toán ("&amp;S$3&amp;")'!$F:$F"),INDIRECT("'Thanh Toán ("&amp;S$3&amp;")'!$D:$D"),'Tổng Đơn'!$B49),0)</f>
        <v>0</v>
      </c>
      <c r="T49" s="2">
        <f ca="1">IFERROR(SUMIFS(INDIRECT("'Thanh Toán ("&amp;T$3&amp;")'!$F:$F"),INDIRECT("'Thanh Toán ("&amp;T$3&amp;")'!$D:$D"),'Tổng Đơn'!$B49),0)</f>
        <v>0</v>
      </c>
      <c r="U49" s="2">
        <f ca="1">IFERROR(SUMIFS(INDIRECT("'Thanh Toán ("&amp;U$3&amp;")'!$F:$F"),INDIRECT("'Thanh Toán ("&amp;U$3&amp;")'!$D:$D"),'Tổng Đơn'!$B49),0)</f>
        <v>0</v>
      </c>
      <c r="V49" s="2">
        <f ca="1">IFERROR(SUMIFS(INDIRECT("'Thanh Toán ("&amp;V$3&amp;")'!$F:$F"),INDIRECT("'Thanh Toán ("&amp;V$3&amp;")'!$D:$D"),'Tổng Đơn'!$B49),0)</f>
        <v>0</v>
      </c>
      <c r="W49" s="2">
        <f ca="1">IFERROR(SUMIFS(INDIRECT("'Thanh Toán ("&amp;W$3&amp;")'!$F:$F"),INDIRECT("'Thanh Toán ("&amp;W$3&amp;")'!$D:$D"),'Tổng Đơn'!$B49),0)</f>
        <v>0</v>
      </c>
      <c r="X49" s="2">
        <f ca="1">IFERROR(SUMIFS(INDIRECT("'Thanh Toán ("&amp;X$3&amp;")'!$F:$F"),INDIRECT("'Thanh Toán ("&amp;X$3&amp;")'!$D:$D"),'Tổng Đơn'!$B49),0)</f>
        <v>0</v>
      </c>
      <c r="Y49" s="2">
        <f ca="1">IFERROR(SUMIFS(INDIRECT("'Thanh Toán ("&amp;Y$3&amp;")'!$F:$F"),INDIRECT("'Thanh Toán ("&amp;Y$3&amp;")'!$D:$D"),'Tổng Đơn'!$B49),0)</f>
        <v>0</v>
      </c>
      <c r="Z49" s="2">
        <f ca="1">IFERROR(SUMIFS(INDIRECT("'Thanh Toán ("&amp;Z$3&amp;")'!$F:$F"),INDIRECT("'Thanh Toán ("&amp;Z$3&amp;")'!$D:$D"),'Tổng Đơn'!$B49),0)</f>
        <v>0</v>
      </c>
      <c r="AA49" s="2">
        <f ca="1">IFERROR(SUMIFS(INDIRECT("'Thanh Toán ("&amp;AA$3&amp;")'!$F:$F"),INDIRECT("'Thanh Toán ("&amp;AA$3&amp;")'!$D:$D"),'Tổng Đơn'!$B49),0)</f>
        <v>0</v>
      </c>
      <c r="AB49" s="2">
        <f ca="1">IFERROR(SUMIFS(INDIRECT("'Thanh Toán ("&amp;AB$3&amp;")'!$F:$F"),INDIRECT("'Thanh Toán ("&amp;AB$3&amp;")'!$D:$D"),'Tổng Đơn'!$B49),0)</f>
        <v>0</v>
      </c>
      <c r="AC49" s="2">
        <f ca="1">IFERROR(SUMIFS(INDIRECT("'Thanh Toán ("&amp;AC$3&amp;")'!$F:$F"),INDIRECT("'Thanh Toán ("&amp;AC$3&amp;")'!$D:$D"),'Tổng Đơn'!$B49),0)</f>
        <v>0</v>
      </c>
      <c r="AD49" s="2">
        <f ca="1">IFERROR(SUMIFS(INDIRECT("'Thanh Toán ("&amp;AD$3&amp;")'!$F:$F"),INDIRECT("'Thanh Toán ("&amp;AD$3&amp;")'!$D:$D"),'Tổng Đơn'!$B49),0)</f>
        <v>0</v>
      </c>
      <c r="AE49" s="2">
        <f ca="1">IFERROR(SUMIFS(INDIRECT("'Thanh Toán ("&amp;AE$3&amp;")'!$F:$F"),INDIRECT("'Thanh Toán ("&amp;AE$3&amp;")'!$D:$D"),'Tổng Đơn'!$B49),0)</f>
        <v>0</v>
      </c>
      <c r="AF49" s="2">
        <f ca="1">IFERROR(SUMIFS(INDIRECT("'Thanh Toán ("&amp;AF$3&amp;")'!$F:$F"),INDIRECT("'Thanh Toán ("&amp;AF$3&amp;")'!$D:$D"),'Tổng Đơn'!$B49),0)</f>
        <v>0</v>
      </c>
      <c r="AG49" s="2">
        <f ca="1">IFERROR(SUMIFS(INDIRECT("'Thanh Toán ("&amp;AG$3&amp;")'!$F:$F"),INDIRECT("'Thanh Toán ("&amp;AG$3&amp;")'!$D:$D"),'Tổng Đơn'!$B49),0)</f>
        <v>0</v>
      </c>
      <c r="AH49" s="2">
        <f ca="1">IFERROR(SUMIFS(INDIRECT("'Thanh Toán ("&amp;AH$3&amp;")'!$F:$F"),INDIRECT("'Thanh Toán ("&amp;AH$3&amp;")'!$D:$D"),'Tổng Đơn'!$B49),0)</f>
        <v>0</v>
      </c>
      <c r="AI49" s="2">
        <f ca="1">IFERROR(SUMIFS(INDIRECT("'Thanh Toán ("&amp;AI$3&amp;")'!$F:$F"),INDIRECT("'Thanh Toán ("&amp;AI$3&amp;")'!$D:$D"),'Tổng Đơn'!$B49),0)</f>
        <v>0</v>
      </c>
      <c r="AJ49" s="2">
        <f ca="1">IFERROR(SUMIFS(INDIRECT("'Thanh Toán ("&amp;AJ$3&amp;")'!$F:$F"),INDIRECT("'Thanh Toán ("&amp;AJ$3&amp;")'!$D:$D"),'Tổng Đơn'!$B49),0)</f>
        <v>0</v>
      </c>
      <c r="AK49" s="2">
        <f ca="1">IFERROR(SUMIFS(INDIRECT("'Thanh Toán ("&amp;AK$3&amp;")'!$F:$F"),INDIRECT("'Thanh Toán ("&amp;AK$3&amp;")'!$D:$D"),'Tổng Đơn'!$B49),0)</f>
        <v>0</v>
      </c>
      <c r="AL49" s="2">
        <f ca="1">IFERROR(SUMIFS(INDIRECT("'Thanh Toán ("&amp;AL$3&amp;")'!$F:$F"),INDIRECT("'Thanh Toán ("&amp;AL$3&amp;")'!$D:$D"),'Tổng Đơn'!$B49),0)</f>
        <v>0</v>
      </c>
      <c r="AM49" s="2">
        <f ca="1">IFERROR(SUMIFS(INDIRECT("'Thanh Toán ("&amp;AM$3&amp;")'!$F:$F"),INDIRECT("'Thanh Toán ("&amp;AM$3&amp;")'!$D:$D"),'Tổng Đơn'!$B49),0)</f>
        <v>0</v>
      </c>
      <c r="AN49" s="2">
        <f ca="1">IFERROR(SUMIFS(INDIRECT("'Thanh Toán ("&amp;AN$3&amp;")'!$F:$F"),INDIRECT("'Thanh Toán ("&amp;AN$3&amp;")'!$D:$D"),'Tổng Đơn'!$B49),0)</f>
        <v>0</v>
      </c>
      <c r="AO49" s="2">
        <f ca="1">IFERROR(SUMIFS(INDIRECT("'Thanh Toán ("&amp;AO$3&amp;")'!$F:$F"),INDIRECT("'Thanh Toán ("&amp;AO$3&amp;")'!$D:$D"),'Tổng Đơn'!$B49),0)</f>
        <v>0</v>
      </c>
      <c r="AP49" s="2">
        <f ca="1">IFERROR(SUMIFS(INDIRECT("'Thanh Toán ("&amp;AP$3&amp;")'!$F:$F"),INDIRECT("'Thanh Toán ("&amp;AP$3&amp;")'!$D:$D"),'Tổng Đơn'!$B49),0)</f>
        <v>0</v>
      </c>
      <c r="AQ49" s="2">
        <f ca="1">IFERROR(SUMIFS(INDIRECT("'Thanh Toán ("&amp;AQ$3&amp;")'!$F:$F"),INDIRECT("'Thanh Toán ("&amp;AQ$3&amp;")'!$D:$D"),'Tổng Đơn'!$B49),0)</f>
        <v>0</v>
      </c>
      <c r="AR49" s="2">
        <f ca="1">IFERROR(SUMIFS(INDIRECT("'Thanh Toán ("&amp;AR$3&amp;")'!$F:$F"),INDIRECT("'Thanh Toán ("&amp;AR$3&amp;")'!$D:$D"),'Tổng Đơn'!$B49),0)</f>
        <v>0</v>
      </c>
      <c r="AS49" s="2">
        <f ca="1">IFERROR(SUMIFS(INDIRECT("'Thanh Toán ("&amp;AS$3&amp;")'!$F:$F"),INDIRECT("'Thanh Toán ("&amp;AS$3&amp;")'!$D:$D"),'Tổng Đơn'!$B49),0)</f>
        <v>0</v>
      </c>
      <c r="AT49" s="2">
        <f ca="1">IFERROR(SUMIFS(INDIRECT("'Thanh Toán ("&amp;AT$3&amp;")'!$F:$F"),INDIRECT("'Thanh Toán ("&amp;AT$3&amp;")'!$D:$D"),'Tổng Đơn'!$B49),0)</f>
        <v>0</v>
      </c>
      <c r="AU49" s="2">
        <f ca="1">IFERROR(SUMIFS(INDIRECT("'Thanh Toán ("&amp;AU$3&amp;")'!$F:$F"),INDIRECT("'Thanh Toán ("&amp;AU$3&amp;")'!$D:$D"),'Tổng Đơn'!$B49),0)</f>
        <v>0</v>
      </c>
      <c r="AV49" s="2">
        <f ca="1">IFERROR(SUMIFS(INDIRECT("'Thanh Toán ("&amp;AV$3&amp;")'!$F:$F"),INDIRECT("'Thanh Toán ("&amp;AV$3&amp;")'!$D:$D"),'Tổng Đơn'!$B49),0)</f>
        <v>0</v>
      </c>
      <c r="AW49" s="2">
        <f ca="1">IFERROR(SUMIFS(INDIRECT("'Thanh Toán ("&amp;AW$3&amp;")'!$F:$F"),INDIRECT("'Thanh Toán ("&amp;AW$3&amp;")'!$D:$D"),'Tổng Đơn'!$B49),0)</f>
        <v>0</v>
      </c>
      <c r="AX49" s="2">
        <f ca="1">IFERROR(SUMIFS(INDIRECT("'Thanh Toán ("&amp;AX$3&amp;")'!$F:$F"),INDIRECT("'Thanh Toán ("&amp;AX$3&amp;")'!$D:$D"),'Tổng Đơn'!$B49),0)</f>
        <v>0</v>
      </c>
      <c r="AY49" s="2">
        <f ca="1">IFERROR(SUMIFS(INDIRECT("'Thanh Toán ("&amp;AY$3&amp;")'!$F:$F"),INDIRECT("'Thanh Toán ("&amp;AY$3&amp;")'!$D:$D"),'Tổng Đơn'!$B49),0)</f>
        <v>0</v>
      </c>
      <c r="AZ49" s="2">
        <f ca="1">IFERROR(SUMIFS(INDIRECT("'Thanh Toán ("&amp;AZ$3&amp;")'!$F:$F"),INDIRECT("'Thanh Toán ("&amp;AZ$3&amp;")'!$D:$D"),'Tổng Đơn'!$B49),0)</f>
        <v>0</v>
      </c>
      <c r="BA49" s="2">
        <f ca="1">IFERROR(SUMIFS(INDIRECT("'Thanh Toán ("&amp;BA$3&amp;")'!$F:$F"),INDIRECT("'Thanh Toán ("&amp;BA$3&amp;")'!$D:$D"),'Tổng Đơn'!$B49),0)</f>
        <v>0</v>
      </c>
      <c r="BB49" s="2">
        <f ca="1">IFERROR(SUMIFS(INDIRECT("'Thanh Toán ("&amp;BB$3&amp;")'!$F:$F"),INDIRECT("'Thanh Toán ("&amp;BB$3&amp;")'!$D:$D"),'Tổng Đơn'!$B49),0)</f>
        <v>0</v>
      </c>
      <c r="BC49" s="2">
        <f ca="1">IFERROR(SUMIFS(INDIRECT("'Thanh Toán ("&amp;BC$3&amp;")'!$F:$F"),INDIRECT("'Thanh Toán ("&amp;BC$3&amp;")'!$D:$D"),'Tổng Đơn'!$B49),0)</f>
        <v>0</v>
      </c>
    </row>
    <row r="50" spans="1:55" ht="18" customHeight="1" x14ac:dyDescent="0.25">
      <c r="A50" s="201">
        <v>43</v>
      </c>
      <c r="B50" s="202" t="s">
        <v>51</v>
      </c>
      <c r="C50" s="201" t="s">
        <v>102</v>
      </c>
      <c r="D50" s="203">
        <f>VLOOKUP($C50,Sheet1!$C$5:$D$98,2,0)</f>
        <v>65000</v>
      </c>
      <c r="E50" s="204">
        <v>0.5</v>
      </c>
      <c r="F50" s="205">
        <f t="shared" ca="1" si="5"/>
        <v>0</v>
      </c>
      <c r="G50" s="206">
        <f>IFERROR(VLOOKUP($B50,Gà!C:J,8,0),IFERROR(VLOOKUP($B50,TVP!C:J,7,0),IFERROR(VLOOKUP($B50,Kitkool!C:J,8,0),IFERROR(VLOOKUP($B50,'La Cusina'!C:J,8,0),VLOOKUP($B50,'Quốc Nhân'!C:J,8,0)))))</f>
        <v>54.248202501723625</v>
      </c>
      <c r="H50" s="207">
        <f t="shared" ca="1" si="4"/>
        <v>0</v>
      </c>
      <c r="I50" s="207"/>
      <c r="J50" s="207">
        <f t="shared" ca="1" si="3"/>
        <v>0</v>
      </c>
      <c r="K50" s="53"/>
      <c r="L50" s="2">
        <f ca="1">IFERROR(SUMIFS(INDIRECT("'Thanh Toán ("&amp;L$3&amp;")'!$F:$F"),INDIRECT("'Thanh Toán ("&amp;L$3&amp;")'!$D:$D"),'Tổng Đơn'!$B50),0)</f>
        <v>0</v>
      </c>
      <c r="M50" s="2">
        <f ca="1">IFERROR(SUMIFS(INDIRECT("'Thanh Toán ("&amp;M$3&amp;")'!$F:$F"),INDIRECT("'Thanh Toán ("&amp;M$3&amp;")'!$D:$D"),'Tổng Đơn'!$B50),0)</f>
        <v>0</v>
      </c>
      <c r="N50" s="2">
        <f ca="1">IFERROR(SUMIFS(INDIRECT("'Thanh Toán ("&amp;N$3&amp;")'!$F:$F"),INDIRECT("'Thanh Toán ("&amp;N$3&amp;")'!$D:$D"),'Tổng Đơn'!$B50),0)</f>
        <v>0</v>
      </c>
      <c r="O50" s="2">
        <f ca="1">IFERROR(SUMIFS(INDIRECT("'Thanh Toán ("&amp;O$3&amp;")'!$F:$F"),INDIRECT("'Thanh Toán ("&amp;O$3&amp;")'!$D:$D"),'Tổng Đơn'!$B50),0)</f>
        <v>0</v>
      </c>
      <c r="P50" s="2">
        <f ca="1">IFERROR(SUMIFS(INDIRECT("'Thanh Toán ("&amp;P$3&amp;")'!$F:$F"),INDIRECT("'Thanh Toán ("&amp;P$3&amp;")'!$D:$D"),'Tổng Đơn'!$B50),0)</f>
        <v>0</v>
      </c>
      <c r="Q50" s="2">
        <f ca="1">IFERROR(SUMIFS(INDIRECT("'Thanh Toán ("&amp;Q$3&amp;")'!$F:$F"),INDIRECT("'Thanh Toán ("&amp;Q$3&amp;")'!$D:$D"),'Tổng Đơn'!$B50),0)</f>
        <v>0</v>
      </c>
      <c r="R50" s="2">
        <f ca="1">IFERROR(SUMIFS(INDIRECT("'Thanh Toán ("&amp;R$3&amp;")'!$F:$F"),INDIRECT("'Thanh Toán ("&amp;R$3&amp;")'!$D:$D"),'Tổng Đơn'!$B50),0)</f>
        <v>0</v>
      </c>
      <c r="S50" s="2">
        <f ca="1">IFERROR(SUMIFS(INDIRECT("'Thanh Toán ("&amp;S$3&amp;")'!$F:$F"),INDIRECT("'Thanh Toán ("&amp;S$3&amp;")'!$D:$D"),'Tổng Đơn'!$B50),0)</f>
        <v>0</v>
      </c>
      <c r="T50" s="2">
        <f ca="1">IFERROR(SUMIFS(INDIRECT("'Thanh Toán ("&amp;T$3&amp;")'!$F:$F"),INDIRECT("'Thanh Toán ("&amp;T$3&amp;")'!$D:$D"),'Tổng Đơn'!$B50),0)</f>
        <v>0</v>
      </c>
      <c r="U50" s="2">
        <f ca="1">IFERROR(SUMIFS(INDIRECT("'Thanh Toán ("&amp;U$3&amp;")'!$F:$F"),INDIRECT("'Thanh Toán ("&amp;U$3&amp;")'!$D:$D"),'Tổng Đơn'!$B50),0)</f>
        <v>0</v>
      </c>
      <c r="V50" s="2">
        <f ca="1">IFERROR(SUMIFS(INDIRECT("'Thanh Toán ("&amp;V$3&amp;")'!$F:$F"),INDIRECT("'Thanh Toán ("&amp;V$3&amp;")'!$D:$D"),'Tổng Đơn'!$B50),0)</f>
        <v>0</v>
      </c>
      <c r="W50" s="2">
        <f ca="1">IFERROR(SUMIFS(INDIRECT("'Thanh Toán ("&amp;W$3&amp;")'!$F:$F"),INDIRECT("'Thanh Toán ("&amp;W$3&amp;")'!$D:$D"),'Tổng Đơn'!$B50),0)</f>
        <v>0</v>
      </c>
      <c r="X50" s="2">
        <f ca="1">IFERROR(SUMIFS(INDIRECT("'Thanh Toán ("&amp;X$3&amp;")'!$F:$F"),INDIRECT("'Thanh Toán ("&amp;X$3&amp;")'!$D:$D"),'Tổng Đơn'!$B50),0)</f>
        <v>0</v>
      </c>
      <c r="Y50" s="2">
        <f ca="1">IFERROR(SUMIFS(INDIRECT("'Thanh Toán ("&amp;Y$3&amp;")'!$F:$F"),INDIRECT("'Thanh Toán ("&amp;Y$3&amp;")'!$D:$D"),'Tổng Đơn'!$B50),0)</f>
        <v>0</v>
      </c>
      <c r="Z50" s="2">
        <f ca="1">IFERROR(SUMIFS(INDIRECT("'Thanh Toán ("&amp;Z$3&amp;")'!$F:$F"),INDIRECT("'Thanh Toán ("&amp;Z$3&amp;")'!$D:$D"),'Tổng Đơn'!$B50),0)</f>
        <v>0</v>
      </c>
      <c r="AA50" s="2">
        <f ca="1">IFERROR(SUMIFS(INDIRECT("'Thanh Toán ("&amp;AA$3&amp;")'!$F:$F"),INDIRECT("'Thanh Toán ("&amp;AA$3&amp;")'!$D:$D"),'Tổng Đơn'!$B50),0)</f>
        <v>0</v>
      </c>
      <c r="AB50" s="2">
        <f ca="1">IFERROR(SUMIFS(INDIRECT("'Thanh Toán ("&amp;AB$3&amp;")'!$F:$F"),INDIRECT("'Thanh Toán ("&amp;AB$3&amp;")'!$D:$D"),'Tổng Đơn'!$B50),0)</f>
        <v>0</v>
      </c>
      <c r="AC50" s="2">
        <f ca="1">IFERROR(SUMIFS(INDIRECT("'Thanh Toán ("&amp;AC$3&amp;")'!$F:$F"),INDIRECT("'Thanh Toán ("&amp;AC$3&amp;")'!$D:$D"),'Tổng Đơn'!$B50),0)</f>
        <v>0</v>
      </c>
      <c r="AD50" s="2">
        <f ca="1">IFERROR(SUMIFS(INDIRECT("'Thanh Toán ("&amp;AD$3&amp;")'!$F:$F"),INDIRECT("'Thanh Toán ("&amp;AD$3&amp;")'!$D:$D"),'Tổng Đơn'!$B50),0)</f>
        <v>0</v>
      </c>
      <c r="AE50" s="2">
        <f ca="1">IFERROR(SUMIFS(INDIRECT("'Thanh Toán ("&amp;AE$3&amp;")'!$F:$F"),INDIRECT("'Thanh Toán ("&amp;AE$3&amp;")'!$D:$D"),'Tổng Đơn'!$B50),0)</f>
        <v>0</v>
      </c>
      <c r="AF50" s="2">
        <f ca="1">IFERROR(SUMIFS(INDIRECT("'Thanh Toán ("&amp;AF$3&amp;")'!$F:$F"),INDIRECT("'Thanh Toán ("&amp;AF$3&amp;")'!$D:$D"),'Tổng Đơn'!$B50),0)</f>
        <v>0</v>
      </c>
      <c r="AG50" s="2">
        <f ca="1">IFERROR(SUMIFS(INDIRECT("'Thanh Toán ("&amp;AG$3&amp;")'!$F:$F"),INDIRECT("'Thanh Toán ("&amp;AG$3&amp;")'!$D:$D"),'Tổng Đơn'!$B50),0)</f>
        <v>0</v>
      </c>
      <c r="AH50" s="2">
        <f ca="1">IFERROR(SUMIFS(INDIRECT("'Thanh Toán ("&amp;AH$3&amp;")'!$F:$F"),INDIRECT("'Thanh Toán ("&amp;AH$3&amp;")'!$D:$D"),'Tổng Đơn'!$B50),0)</f>
        <v>0</v>
      </c>
      <c r="AI50" s="2">
        <f ca="1">IFERROR(SUMIFS(INDIRECT("'Thanh Toán ("&amp;AI$3&amp;")'!$F:$F"),INDIRECT("'Thanh Toán ("&amp;AI$3&amp;")'!$D:$D"),'Tổng Đơn'!$B50),0)</f>
        <v>0</v>
      </c>
      <c r="AJ50" s="2">
        <f ca="1">IFERROR(SUMIFS(INDIRECT("'Thanh Toán ("&amp;AJ$3&amp;")'!$F:$F"),INDIRECT("'Thanh Toán ("&amp;AJ$3&amp;")'!$D:$D"),'Tổng Đơn'!$B50),0)</f>
        <v>0</v>
      </c>
      <c r="AK50" s="2">
        <f ca="1">IFERROR(SUMIFS(INDIRECT("'Thanh Toán ("&amp;AK$3&amp;")'!$F:$F"),INDIRECT("'Thanh Toán ("&amp;AK$3&amp;")'!$D:$D"),'Tổng Đơn'!$B50),0)</f>
        <v>0</v>
      </c>
      <c r="AL50" s="2">
        <f ca="1">IFERROR(SUMIFS(INDIRECT("'Thanh Toán ("&amp;AL$3&amp;")'!$F:$F"),INDIRECT("'Thanh Toán ("&amp;AL$3&amp;")'!$D:$D"),'Tổng Đơn'!$B50),0)</f>
        <v>0</v>
      </c>
      <c r="AM50" s="2">
        <f ca="1">IFERROR(SUMIFS(INDIRECT("'Thanh Toán ("&amp;AM$3&amp;")'!$F:$F"),INDIRECT("'Thanh Toán ("&amp;AM$3&amp;")'!$D:$D"),'Tổng Đơn'!$B50),0)</f>
        <v>0</v>
      </c>
      <c r="AN50" s="2">
        <f ca="1">IFERROR(SUMIFS(INDIRECT("'Thanh Toán ("&amp;AN$3&amp;")'!$F:$F"),INDIRECT("'Thanh Toán ("&amp;AN$3&amp;")'!$D:$D"),'Tổng Đơn'!$B50),0)</f>
        <v>0</v>
      </c>
      <c r="AO50" s="2">
        <f ca="1">IFERROR(SUMIFS(INDIRECT("'Thanh Toán ("&amp;AO$3&amp;")'!$F:$F"),INDIRECT("'Thanh Toán ("&amp;AO$3&amp;")'!$D:$D"),'Tổng Đơn'!$B50),0)</f>
        <v>0</v>
      </c>
      <c r="AP50" s="2">
        <f ca="1">IFERROR(SUMIFS(INDIRECT("'Thanh Toán ("&amp;AP$3&amp;")'!$F:$F"),INDIRECT("'Thanh Toán ("&amp;AP$3&amp;")'!$D:$D"),'Tổng Đơn'!$B50),0)</f>
        <v>0</v>
      </c>
      <c r="AQ50" s="2">
        <f ca="1">IFERROR(SUMIFS(INDIRECT("'Thanh Toán ("&amp;AQ$3&amp;")'!$F:$F"),INDIRECT("'Thanh Toán ("&amp;AQ$3&amp;")'!$D:$D"),'Tổng Đơn'!$B50),0)</f>
        <v>0</v>
      </c>
      <c r="AR50" s="2">
        <f ca="1">IFERROR(SUMIFS(INDIRECT("'Thanh Toán ("&amp;AR$3&amp;")'!$F:$F"),INDIRECT("'Thanh Toán ("&amp;AR$3&amp;")'!$D:$D"),'Tổng Đơn'!$B50),0)</f>
        <v>0</v>
      </c>
      <c r="AS50" s="2">
        <f ca="1">IFERROR(SUMIFS(INDIRECT("'Thanh Toán ("&amp;AS$3&amp;")'!$F:$F"),INDIRECT("'Thanh Toán ("&amp;AS$3&amp;")'!$D:$D"),'Tổng Đơn'!$B50),0)</f>
        <v>0</v>
      </c>
      <c r="AT50" s="2">
        <f ca="1">IFERROR(SUMIFS(INDIRECT("'Thanh Toán ("&amp;AT$3&amp;")'!$F:$F"),INDIRECT("'Thanh Toán ("&amp;AT$3&amp;")'!$D:$D"),'Tổng Đơn'!$B50),0)</f>
        <v>0</v>
      </c>
      <c r="AU50" s="2">
        <f ca="1">IFERROR(SUMIFS(INDIRECT("'Thanh Toán ("&amp;AU$3&amp;")'!$F:$F"),INDIRECT("'Thanh Toán ("&amp;AU$3&amp;")'!$D:$D"),'Tổng Đơn'!$B50),0)</f>
        <v>0</v>
      </c>
      <c r="AV50" s="2">
        <f ca="1">IFERROR(SUMIFS(INDIRECT("'Thanh Toán ("&amp;AV$3&amp;")'!$F:$F"),INDIRECT("'Thanh Toán ("&amp;AV$3&amp;")'!$D:$D"),'Tổng Đơn'!$B50),0)</f>
        <v>0</v>
      </c>
      <c r="AW50" s="2">
        <f ca="1">IFERROR(SUMIFS(INDIRECT("'Thanh Toán ("&amp;AW$3&amp;")'!$F:$F"),INDIRECT("'Thanh Toán ("&amp;AW$3&amp;")'!$D:$D"),'Tổng Đơn'!$B50),0)</f>
        <v>0</v>
      </c>
      <c r="AX50" s="2">
        <f ca="1">IFERROR(SUMIFS(INDIRECT("'Thanh Toán ("&amp;AX$3&amp;")'!$F:$F"),INDIRECT("'Thanh Toán ("&amp;AX$3&amp;")'!$D:$D"),'Tổng Đơn'!$B50),0)</f>
        <v>0</v>
      </c>
      <c r="AY50" s="2">
        <f ca="1">IFERROR(SUMIFS(INDIRECT("'Thanh Toán ("&amp;AY$3&amp;")'!$F:$F"),INDIRECT("'Thanh Toán ("&amp;AY$3&amp;")'!$D:$D"),'Tổng Đơn'!$B50),0)</f>
        <v>0</v>
      </c>
      <c r="AZ50" s="2">
        <f ca="1">IFERROR(SUMIFS(INDIRECT("'Thanh Toán ("&amp;AZ$3&amp;")'!$F:$F"),INDIRECT("'Thanh Toán ("&amp;AZ$3&amp;")'!$D:$D"),'Tổng Đơn'!$B50),0)</f>
        <v>0</v>
      </c>
      <c r="BA50" s="2">
        <f ca="1">IFERROR(SUMIFS(INDIRECT("'Thanh Toán ("&amp;BA$3&amp;")'!$F:$F"),INDIRECT("'Thanh Toán ("&amp;BA$3&amp;")'!$D:$D"),'Tổng Đơn'!$B50),0)</f>
        <v>0</v>
      </c>
      <c r="BB50" s="2">
        <f ca="1">IFERROR(SUMIFS(INDIRECT("'Thanh Toán ("&amp;BB$3&amp;")'!$F:$F"),INDIRECT("'Thanh Toán ("&amp;BB$3&amp;")'!$D:$D"),'Tổng Đơn'!$B50),0)</f>
        <v>0</v>
      </c>
      <c r="BC50" s="2">
        <f ca="1">IFERROR(SUMIFS(INDIRECT("'Thanh Toán ("&amp;BC$3&amp;")'!$F:$F"),INDIRECT("'Thanh Toán ("&amp;BC$3&amp;")'!$D:$D"),'Tổng Đơn'!$B50),0)</f>
        <v>0</v>
      </c>
    </row>
    <row r="51" spans="1:55" ht="18" customHeight="1" x14ac:dyDescent="0.25">
      <c r="A51" s="201">
        <v>44</v>
      </c>
      <c r="B51" s="202" t="s">
        <v>52</v>
      </c>
      <c r="C51" s="208" t="s">
        <v>103</v>
      </c>
      <c r="D51" s="203">
        <f>VLOOKUP($C51,Sheet1!$C$5:$D$98,2,0)</f>
        <v>54000</v>
      </c>
      <c r="E51" s="204">
        <v>0.5</v>
      </c>
      <c r="F51" s="205">
        <f t="shared" ca="1" si="5"/>
        <v>0</v>
      </c>
      <c r="G51" s="206">
        <f>IFERROR(VLOOKUP($B51,Gà!C:J,8,0),IFERROR(VLOOKUP($B51,TVP!C:J,7,0),IFERROR(VLOOKUP($B51,Kitkool!C:J,8,0),IFERROR(VLOOKUP($B51,'La Cusina'!C:J,8,0),VLOOKUP($B51,'Quốc Nhân'!C:J,8,0)))))</f>
        <v>45.206835418103026</v>
      </c>
      <c r="H51" s="207">
        <f t="shared" ca="1" si="4"/>
        <v>0</v>
      </c>
      <c r="I51" s="207"/>
      <c r="J51" s="207">
        <f t="shared" ca="1" si="3"/>
        <v>0</v>
      </c>
      <c r="K51" s="53"/>
      <c r="L51" s="2">
        <f ca="1">IFERROR(SUMIFS(INDIRECT("'Thanh Toán ("&amp;L$3&amp;")'!$F:$F"),INDIRECT("'Thanh Toán ("&amp;L$3&amp;")'!$D:$D"),'Tổng Đơn'!$B51),0)</f>
        <v>0</v>
      </c>
      <c r="M51" s="2">
        <f ca="1">IFERROR(SUMIFS(INDIRECT("'Thanh Toán ("&amp;M$3&amp;")'!$F:$F"),INDIRECT("'Thanh Toán ("&amp;M$3&amp;")'!$D:$D"),'Tổng Đơn'!$B51),0)</f>
        <v>0</v>
      </c>
      <c r="N51" s="2">
        <f ca="1">IFERROR(SUMIFS(INDIRECT("'Thanh Toán ("&amp;N$3&amp;")'!$F:$F"),INDIRECT("'Thanh Toán ("&amp;N$3&amp;")'!$D:$D"),'Tổng Đơn'!$B51),0)</f>
        <v>0</v>
      </c>
      <c r="O51" s="2">
        <f ca="1">IFERROR(SUMIFS(INDIRECT("'Thanh Toán ("&amp;O$3&amp;")'!$F:$F"),INDIRECT("'Thanh Toán ("&amp;O$3&amp;")'!$D:$D"),'Tổng Đơn'!$B51),0)</f>
        <v>0</v>
      </c>
      <c r="P51" s="2">
        <f ca="1">IFERROR(SUMIFS(INDIRECT("'Thanh Toán ("&amp;P$3&amp;")'!$F:$F"),INDIRECT("'Thanh Toán ("&amp;P$3&amp;")'!$D:$D"),'Tổng Đơn'!$B51),0)</f>
        <v>0</v>
      </c>
      <c r="Q51" s="2">
        <f ca="1">IFERROR(SUMIFS(INDIRECT("'Thanh Toán ("&amp;Q$3&amp;")'!$F:$F"),INDIRECT("'Thanh Toán ("&amp;Q$3&amp;")'!$D:$D"),'Tổng Đơn'!$B51),0)</f>
        <v>0</v>
      </c>
      <c r="R51" s="2">
        <f ca="1">IFERROR(SUMIFS(INDIRECT("'Thanh Toán ("&amp;R$3&amp;")'!$F:$F"),INDIRECT("'Thanh Toán ("&amp;R$3&amp;")'!$D:$D"),'Tổng Đơn'!$B51),0)</f>
        <v>0</v>
      </c>
      <c r="S51" s="2">
        <f ca="1">IFERROR(SUMIFS(INDIRECT("'Thanh Toán ("&amp;S$3&amp;")'!$F:$F"),INDIRECT("'Thanh Toán ("&amp;S$3&amp;")'!$D:$D"),'Tổng Đơn'!$B51),0)</f>
        <v>0</v>
      </c>
      <c r="T51" s="2">
        <f ca="1">IFERROR(SUMIFS(INDIRECT("'Thanh Toán ("&amp;T$3&amp;")'!$F:$F"),INDIRECT("'Thanh Toán ("&amp;T$3&amp;")'!$D:$D"),'Tổng Đơn'!$B51),0)</f>
        <v>0</v>
      </c>
      <c r="U51" s="2">
        <f ca="1">IFERROR(SUMIFS(INDIRECT("'Thanh Toán ("&amp;U$3&amp;")'!$F:$F"),INDIRECT("'Thanh Toán ("&amp;U$3&amp;")'!$D:$D"),'Tổng Đơn'!$B51),0)</f>
        <v>0</v>
      </c>
      <c r="V51" s="2">
        <f ca="1">IFERROR(SUMIFS(INDIRECT("'Thanh Toán ("&amp;V$3&amp;")'!$F:$F"),INDIRECT("'Thanh Toán ("&amp;V$3&amp;")'!$D:$D"),'Tổng Đơn'!$B51),0)</f>
        <v>0</v>
      </c>
      <c r="W51" s="2">
        <f ca="1">IFERROR(SUMIFS(INDIRECT("'Thanh Toán ("&amp;W$3&amp;")'!$F:$F"),INDIRECT("'Thanh Toán ("&amp;W$3&amp;")'!$D:$D"),'Tổng Đơn'!$B51),0)</f>
        <v>0</v>
      </c>
      <c r="X51" s="2">
        <f ca="1">IFERROR(SUMIFS(INDIRECT("'Thanh Toán ("&amp;X$3&amp;")'!$F:$F"),INDIRECT("'Thanh Toán ("&amp;X$3&amp;")'!$D:$D"),'Tổng Đơn'!$B51),0)</f>
        <v>0</v>
      </c>
      <c r="Y51" s="2">
        <f ca="1">IFERROR(SUMIFS(INDIRECT("'Thanh Toán ("&amp;Y$3&amp;")'!$F:$F"),INDIRECT("'Thanh Toán ("&amp;Y$3&amp;")'!$D:$D"),'Tổng Đơn'!$B51),0)</f>
        <v>0</v>
      </c>
      <c r="Z51" s="2">
        <f ca="1">IFERROR(SUMIFS(INDIRECT("'Thanh Toán ("&amp;Z$3&amp;")'!$F:$F"),INDIRECT("'Thanh Toán ("&amp;Z$3&amp;")'!$D:$D"),'Tổng Đơn'!$B51),0)</f>
        <v>0</v>
      </c>
      <c r="AA51" s="2">
        <f ca="1">IFERROR(SUMIFS(INDIRECT("'Thanh Toán ("&amp;AA$3&amp;")'!$F:$F"),INDIRECT("'Thanh Toán ("&amp;AA$3&amp;")'!$D:$D"),'Tổng Đơn'!$B51),0)</f>
        <v>0</v>
      </c>
      <c r="AB51" s="2">
        <f ca="1">IFERROR(SUMIFS(INDIRECT("'Thanh Toán ("&amp;AB$3&amp;")'!$F:$F"),INDIRECT("'Thanh Toán ("&amp;AB$3&amp;")'!$D:$D"),'Tổng Đơn'!$B51),0)</f>
        <v>0</v>
      </c>
      <c r="AC51" s="2">
        <f ca="1">IFERROR(SUMIFS(INDIRECT("'Thanh Toán ("&amp;AC$3&amp;")'!$F:$F"),INDIRECT("'Thanh Toán ("&amp;AC$3&amp;")'!$D:$D"),'Tổng Đơn'!$B51),0)</f>
        <v>0</v>
      </c>
      <c r="AD51" s="2">
        <f ca="1">IFERROR(SUMIFS(INDIRECT("'Thanh Toán ("&amp;AD$3&amp;")'!$F:$F"),INDIRECT("'Thanh Toán ("&amp;AD$3&amp;")'!$D:$D"),'Tổng Đơn'!$B51),0)</f>
        <v>0</v>
      </c>
      <c r="AE51" s="2">
        <f ca="1">IFERROR(SUMIFS(INDIRECT("'Thanh Toán ("&amp;AE$3&amp;")'!$F:$F"),INDIRECT("'Thanh Toán ("&amp;AE$3&amp;")'!$D:$D"),'Tổng Đơn'!$B51),0)</f>
        <v>0</v>
      </c>
      <c r="AF51" s="2">
        <f ca="1">IFERROR(SUMIFS(INDIRECT("'Thanh Toán ("&amp;AF$3&amp;")'!$F:$F"),INDIRECT("'Thanh Toán ("&amp;AF$3&amp;")'!$D:$D"),'Tổng Đơn'!$B51),0)</f>
        <v>0</v>
      </c>
      <c r="AG51" s="2">
        <f ca="1">IFERROR(SUMIFS(INDIRECT("'Thanh Toán ("&amp;AG$3&amp;")'!$F:$F"),INDIRECT("'Thanh Toán ("&amp;AG$3&amp;")'!$D:$D"),'Tổng Đơn'!$B51),0)</f>
        <v>0</v>
      </c>
      <c r="AH51" s="2">
        <f ca="1">IFERROR(SUMIFS(INDIRECT("'Thanh Toán ("&amp;AH$3&amp;")'!$F:$F"),INDIRECT("'Thanh Toán ("&amp;AH$3&amp;")'!$D:$D"),'Tổng Đơn'!$B51),0)</f>
        <v>0</v>
      </c>
      <c r="AI51" s="2">
        <f ca="1">IFERROR(SUMIFS(INDIRECT("'Thanh Toán ("&amp;AI$3&amp;")'!$F:$F"),INDIRECT("'Thanh Toán ("&amp;AI$3&amp;")'!$D:$D"),'Tổng Đơn'!$B51),0)</f>
        <v>0</v>
      </c>
      <c r="AJ51" s="2">
        <f ca="1">IFERROR(SUMIFS(INDIRECT("'Thanh Toán ("&amp;AJ$3&amp;")'!$F:$F"),INDIRECT("'Thanh Toán ("&amp;AJ$3&amp;")'!$D:$D"),'Tổng Đơn'!$B51),0)</f>
        <v>0</v>
      </c>
      <c r="AK51" s="2">
        <f ca="1">IFERROR(SUMIFS(INDIRECT("'Thanh Toán ("&amp;AK$3&amp;")'!$F:$F"),INDIRECT("'Thanh Toán ("&amp;AK$3&amp;")'!$D:$D"),'Tổng Đơn'!$B51),0)</f>
        <v>0</v>
      </c>
      <c r="AL51" s="2">
        <f ca="1">IFERROR(SUMIFS(INDIRECT("'Thanh Toán ("&amp;AL$3&amp;")'!$F:$F"),INDIRECT("'Thanh Toán ("&amp;AL$3&amp;")'!$D:$D"),'Tổng Đơn'!$B51),0)</f>
        <v>0</v>
      </c>
      <c r="AM51" s="2">
        <f ca="1">IFERROR(SUMIFS(INDIRECT("'Thanh Toán ("&amp;AM$3&amp;")'!$F:$F"),INDIRECT("'Thanh Toán ("&amp;AM$3&amp;")'!$D:$D"),'Tổng Đơn'!$B51),0)</f>
        <v>0</v>
      </c>
      <c r="AN51" s="2">
        <f ca="1">IFERROR(SUMIFS(INDIRECT("'Thanh Toán ("&amp;AN$3&amp;")'!$F:$F"),INDIRECT("'Thanh Toán ("&amp;AN$3&amp;")'!$D:$D"),'Tổng Đơn'!$B51),0)</f>
        <v>0</v>
      </c>
      <c r="AO51" s="2">
        <f ca="1">IFERROR(SUMIFS(INDIRECT("'Thanh Toán ("&amp;AO$3&amp;")'!$F:$F"),INDIRECT("'Thanh Toán ("&amp;AO$3&amp;")'!$D:$D"),'Tổng Đơn'!$B51),0)</f>
        <v>0</v>
      </c>
      <c r="AP51" s="2">
        <f ca="1">IFERROR(SUMIFS(INDIRECT("'Thanh Toán ("&amp;AP$3&amp;")'!$F:$F"),INDIRECT("'Thanh Toán ("&amp;AP$3&amp;")'!$D:$D"),'Tổng Đơn'!$B51),0)</f>
        <v>0</v>
      </c>
      <c r="AQ51" s="2">
        <f ca="1">IFERROR(SUMIFS(INDIRECT("'Thanh Toán ("&amp;AQ$3&amp;")'!$F:$F"),INDIRECT("'Thanh Toán ("&amp;AQ$3&amp;")'!$D:$D"),'Tổng Đơn'!$B51),0)</f>
        <v>0</v>
      </c>
      <c r="AR51" s="2">
        <f ca="1">IFERROR(SUMIFS(INDIRECT("'Thanh Toán ("&amp;AR$3&amp;")'!$F:$F"),INDIRECT("'Thanh Toán ("&amp;AR$3&amp;")'!$D:$D"),'Tổng Đơn'!$B51),0)</f>
        <v>0</v>
      </c>
      <c r="AS51" s="2">
        <f ca="1">IFERROR(SUMIFS(INDIRECT("'Thanh Toán ("&amp;AS$3&amp;")'!$F:$F"),INDIRECT("'Thanh Toán ("&amp;AS$3&amp;")'!$D:$D"),'Tổng Đơn'!$B51),0)</f>
        <v>0</v>
      </c>
      <c r="AT51" s="2">
        <f ca="1">IFERROR(SUMIFS(INDIRECT("'Thanh Toán ("&amp;AT$3&amp;")'!$F:$F"),INDIRECT("'Thanh Toán ("&amp;AT$3&amp;")'!$D:$D"),'Tổng Đơn'!$B51),0)</f>
        <v>0</v>
      </c>
      <c r="AU51" s="2">
        <f ca="1">IFERROR(SUMIFS(INDIRECT("'Thanh Toán ("&amp;AU$3&amp;")'!$F:$F"),INDIRECT("'Thanh Toán ("&amp;AU$3&amp;")'!$D:$D"),'Tổng Đơn'!$B51),0)</f>
        <v>0</v>
      </c>
      <c r="AV51" s="2">
        <f ca="1">IFERROR(SUMIFS(INDIRECT("'Thanh Toán ("&amp;AV$3&amp;")'!$F:$F"),INDIRECT("'Thanh Toán ("&amp;AV$3&amp;")'!$D:$D"),'Tổng Đơn'!$B51),0)</f>
        <v>0</v>
      </c>
      <c r="AW51" s="2">
        <f ca="1">IFERROR(SUMIFS(INDIRECT("'Thanh Toán ("&amp;AW$3&amp;")'!$F:$F"),INDIRECT("'Thanh Toán ("&amp;AW$3&amp;")'!$D:$D"),'Tổng Đơn'!$B51),0)</f>
        <v>0</v>
      </c>
      <c r="AX51" s="2">
        <f ca="1">IFERROR(SUMIFS(INDIRECT("'Thanh Toán ("&amp;AX$3&amp;")'!$F:$F"),INDIRECT("'Thanh Toán ("&amp;AX$3&amp;")'!$D:$D"),'Tổng Đơn'!$B51),0)</f>
        <v>0</v>
      </c>
      <c r="AY51" s="2">
        <f ca="1">IFERROR(SUMIFS(INDIRECT("'Thanh Toán ("&amp;AY$3&amp;")'!$F:$F"),INDIRECT("'Thanh Toán ("&amp;AY$3&amp;")'!$D:$D"),'Tổng Đơn'!$B51),0)</f>
        <v>0</v>
      </c>
      <c r="AZ51" s="2">
        <f ca="1">IFERROR(SUMIFS(INDIRECT("'Thanh Toán ("&amp;AZ$3&amp;")'!$F:$F"),INDIRECT("'Thanh Toán ("&amp;AZ$3&amp;")'!$D:$D"),'Tổng Đơn'!$B51),0)</f>
        <v>0</v>
      </c>
      <c r="BA51" s="2">
        <f ca="1">IFERROR(SUMIFS(INDIRECT("'Thanh Toán ("&amp;BA$3&amp;")'!$F:$F"),INDIRECT("'Thanh Toán ("&amp;BA$3&amp;")'!$D:$D"),'Tổng Đơn'!$B51),0)</f>
        <v>0</v>
      </c>
      <c r="BB51" s="2">
        <f ca="1">IFERROR(SUMIFS(INDIRECT("'Thanh Toán ("&amp;BB$3&amp;")'!$F:$F"),INDIRECT("'Thanh Toán ("&amp;BB$3&amp;")'!$D:$D"),'Tổng Đơn'!$B51),0)</f>
        <v>0</v>
      </c>
      <c r="BC51" s="2">
        <f ca="1">IFERROR(SUMIFS(INDIRECT("'Thanh Toán ("&amp;BC$3&amp;")'!$F:$F"),INDIRECT("'Thanh Toán ("&amp;BC$3&amp;")'!$D:$D"),'Tổng Đơn'!$B51),0)</f>
        <v>0</v>
      </c>
    </row>
    <row r="52" spans="1:55" ht="18" customHeight="1" x14ac:dyDescent="0.25">
      <c r="A52" s="201">
        <v>45</v>
      </c>
      <c r="B52" s="202" t="s">
        <v>46</v>
      </c>
      <c r="C52" s="201" t="s">
        <v>104</v>
      </c>
      <c r="D52" s="203">
        <f>VLOOKUP($C52,Sheet1!$C$5:$D$98,2,0)</f>
        <v>59000</v>
      </c>
      <c r="E52" s="204">
        <v>0.5</v>
      </c>
      <c r="F52" s="205">
        <f t="shared" ca="1" si="5"/>
        <v>0</v>
      </c>
      <c r="G52" s="206">
        <f>IFERROR(VLOOKUP($B52,Gà!C:J,8,0),IFERROR(VLOOKUP($B52,TVP!C:J,7,0),IFERROR(VLOOKUP($B52,Kitkool!C:J,8,0),IFERROR(VLOOKUP($B52,'La Cusina'!C:J,8,0),VLOOKUP($B52,'Quốc Nhân'!C:J,8,0)))))</f>
        <v>49.225220788601071</v>
      </c>
      <c r="H52" s="207">
        <f t="shared" ca="1" si="4"/>
        <v>0</v>
      </c>
      <c r="I52" s="207"/>
      <c r="J52" s="207">
        <f t="shared" ca="1" si="3"/>
        <v>0</v>
      </c>
      <c r="K52" s="53"/>
      <c r="L52" s="2">
        <f ca="1">IFERROR(SUMIFS(INDIRECT("'Thanh Toán ("&amp;L$3&amp;")'!$F:$F"),INDIRECT("'Thanh Toán ("&amp;L$3&amp;")'!$D:$D"),'Tổng Đơn'!$B52),0)</f>
        <v>0</v>
      </c>
      <c r="M52" s="2">
        <f ca="1">IFERROR(SUMIFS(INDIRECT("'Thanh Toán ("&amp;M$3&amp;")'!$F:$F"),INDIRECT("'Thanh Toán ("&amp;M$3&amp;")'!$D:$D"),'Tổng Đơn'!$B52),0)</f>
        <v>0</v>
      </c>
      <c r="N52" s="2">
        <f ca="1">IFERROR(SUMIFS(INDIRECT("'Thanh Toán ("&amp;N$3&amp;")'!$F:$F"),INDIRECT("'Thanh Toán ("&amp;N$3&amp;")'!$D:$D"),'Tổng Đơn'!$B52),0)</f>
        <v>0</v>
      </c>
      <c r="O52" s="2">
        <f ca="1">IFERROR(SUMIFS(INDIRECT("'Thanh Toán ("&amp;O$3&amp;")'!$F:$F"),INDIRECT("'Thanh Toán ("&amp;O$3&amp;")'!$D:$D"),'Tổng Đơn'!$B52),0)</f>
        <v>0</v>
      </c>
      <c r="P52" s="2">
        <f ca="1">IFERROR(SUMIFS(INDIRECT("'Thanh Toán ("&amp;P$3&amp;")'!$F:$F"),INDIRECT("'Thanh Toán ("&amp;P$3&amp;")'!$D:$D"),'Tổng Đơn'!$B52),0)</f>
        <v>0</v>
      </c>
      <c r="Q52" s="2">
        <f ca="1">IFERROR(SUMIFS(INDIRECT("'Thanh Toán ("&amp;Q$3&amp;")'!$F:$F"),INDIRECT("'Thanh Toán ("&amp;Q$3&amp;")'!$D:$D"),'Tổng Đơn'!$B52),0)</f>
        <v>0</v>
      </c>
      <c r="R52" s="2">
        <f ca="1">IFERROR(SUMIFS(INDIRECT("'Thanh Toán ("&amp;R$3&amp;")'!$F:$F"),INDIRECT("'Thanh Toán ("&amp;R$3&amp;")'!$D:$D"),'Tổng Đơn'!$B52),0)</f>
        <v>0</v>
      </c>
      <c r="S52" s="2">
        <f ca="1">IFERROR(SUMIFS(INDIRECT("'Thanh Toán ("&amp;S$3&amp;")'!$F:$F"),INDIRECT("'Thanh Toán ("&amp;S$3&amp;")'!$D:$D"),'Tổng Đơn'!$B52),0)</f>
        <v>0</v>
      </c>
      <c r="T52" s="2">
        <f ca="1">IFERROR(SUMIFS(INDIRECT("'Thanh Toán ("&amp;T$3&amp;")'!$F:$F"),INDIRECT("'Thanh Toán ("&amp;T$3&amp;")'!$D:$D"),'Tổng Đơn'!$B52),0)</f>
        <v>0</v>
      </c>
      <c r="U52" s="2">
        <f ca="1">IFERROR(SUMIFS(INDIRECT("'Thanh Toán ("&amp;U$3&amp;")'!$F:$F"),INDIRECT("'Thanh Toán ("&amp;U$3&amp;")'!$D:$D"),'Tổng Đơn'!$B52),0)</f>
        <v>0</v>
      </c>
      <c r="V52" s="2">
        <f ca="1">IFERROR(SUMIFS(INDIRECT("'Thanh Toán ("&amp;V$3&amp;")'!$F:$F"),INDIRECT("'Thanh Toán ("&amp;V$3&amp;")'!$D:$D"),'Tổng Đơn'!$B52),0)</f>
        <v>0</v>
      </c>
      <c r="W52" s="2">
        <f ca="1">IFERROR(SUMIFS(INDIRECT("'Thanh Toán ("&amp;W$3&amp;")'!$F:$F"),INDIRECT("'Thanh Toán ("&amp;W$3&amp;")'!$D:$D"),'Tổng Đơn'!$B52),0)</f>
        <v>0</v>
      </c>
      <c r="X52" s="2">
        <f ca="1">IFERROR(SUMIFS(INDIRECT("'Thanh Toán ("&amp;X$3&amp;")'!$F:$F"),INDIRECT("'Thanh Toán ("&amp;X$3&amp;")'!$D:$D"),'Tổng Đơn'!$B52),0)</f>
        <v>0</v>
      </c>
      <c r="Y52" s="2">
        <f ca="1">IFERROR(SUMIFS(INDIRECT("'Thanh Toán ("&amp;Y$3&amp;")'!$F:$F"),INDIRECT("'Thanh Toán ("&amp;Y$3&amp;")'!$D:$D"),'Tổng Đơn'!$B52),0)</f>
        <v>0</v>
      </c>
      <c r="Z52" s="2">
        <f ca="1">IFERROR(SUMIFS(INDIRECT("'Thanh Toán ("&amp;Z$3&amp;")'!$F:$F"),INDIRECT("'Thanh Toán ("&amp;Z$3&amp;")'!$D:$D"),'Tổng Đơn'!$B52),0)</f>
        <v>0</v>
      </c>
      <c r="AA52" s="2">
        <f ca="1">IFERROR(SUMIFS(INDIRECT("'Thanh Toán ("&amp;AA$3&amp;")'!$F:$F"),INDIRECT("'Thanh Toán ("&amp;AA$3&amp;")'!$D:$D"),'Tổng Đơn'!$B52),0)</f>
        <v>0</v>
      </c>
      <c r="AB52" s="2">
        <f ca="1">IFERROR(SUMIFS(INDIRECT("'Thanh Toán ("&amp;AB$3&amp;")'!$F:$F"),INDIRECT("'Thanh Toán ("&amp;AB$3&amp;")'!$D:$D"),'Tổng Đơn'!$B52),0)</f>
        <v>0</v>
      </c>
      <c r="AC52" s="2">
        <f ca="1">IFERROR(SUMIFS(INDIRECT("'Thanh Toán ("&amp;AC$3&amp;")'!$F:$F"),INDIRECT("'Thanh Toán ("&amp;AC$3&amp;")'!$D:$D"),'Tổng Đơn'!$B52),0)</f>
        <v>0</v>
      </c>
      <c r="AD52" s="2">
        <f ca="1">IFERROR(SUMIFS(INDIRECT("'Thanh Toán ("&amp;AD$3&amp;")'!$F:$F"),INDIRECT("'Thanh Toán ("&amp;AD$3&amp;")'!$D:$D"),'Tổng Đơn'!$B52),0)</f>
        <v>0</v>
      </c>
      <c r="AE52" s="2">
        <f ca="1">IFERROR(SUMIFS(INDIRECT("'Thanh Toán ("&amp;AE$3&amp;")'!$F:$F"),INDIRECT("'Thanh Toán ("&amp;AE$3&amp;")'!$D:$D"),'Tổng Đơn'!$B52),0)</f>
        <v>0</v>
      </c>
      <c r="AF52" s="2">
        <f ca="1">IFERROR(SUMIFS(INDIRECT("'Thanh Toán ("&amp;AF$3&amp;")'!$F:$F"),INDIRECT("'Thanh Toán ("&amp;AF$3&amp;")'!$D:$D"),'Tổng Đơn'!$B52),0)</f>
        <v>0</v>
      </c>
      <c r="AG52" s="2">
        <f ca="1">IFERROR(SUMIFS(INDIRECT("'Thanh Toán ("&amp;AG$3&amp;")'!$F:$F"),INDIRECT("'Thanh Toán ("&amp;AG$3&amp;")'!$D:$D"),'Tổng Đơn'!$B52),0)</f>
        <v>0</v>
      </c>
      <c r="AH52" s="2">
        <f ca="1">IFERROR(SUMIFS(INDIRECT("'Thanh Toán ("&amp;AH$3&amp;")'!$F:$F"),INDIRECT("'Thanh Toán ("&amp;AH$3&amp;")'!$D:$D"),'Tổng Đơn'!$B52),0)</f>
        <v>0</v>
      </c>
      <c r="AI52" s="2">
        <f ca="1">IFERROR(SUMIFS(INDIRECT("'Thanh Toán ("&amp;AI$3&amp;")'!$F:$F"),INDIRECT("'Thanh Toán ("&amp;AI$3&amp;")'!$D:$D"),'Tổng Đơn'!$B52),0)</f>
        <v>0</v>
      </c>
      <c r="AJ52" s="2">
        <f ca="1">IFERROR(SUMIFS(INDIRECT("'Thanh Toán ("&amp;AJ$3&amp;")'!$F:$F"),INDIRECT("'Thanh Toán ("&amp;AJ$3&amp;")'!$D:$D"),'Tổng Đơn'!$B52),0)</f>
        <v>0</v>
      </c>
      <c r="AK52" s="2">
        <f ca="1">IFERROR(SUMIFS(INDIRECT("'Thanh Toán ("&amp;AK$3&amp;")'!$F:$F"),INDIRECT("'Thanh Toán ("&amp;AK$3&amp;")'!$D:$D"),'Tổng Đơn'!$B52),0)</f>
        <v>0</v>
      </c>
      <c r="AL52" s="2">
        <f ca="1">IFERROR(SUMIFS(INDIRECT("'Thanh Toán ("&amp;AL$3&amp;")'!$F:$F"),INDIRECT("'Thanh Toán ("&amp;AL$3&amp;")'!$D:$D"),'Tổng Đơn'!$B52),0)</f>
        <v>0</v>
      </c>
      <c r="AM52" s="2">
        <f ca="1">IFERROR(SUMIFS(INDIRECT("'Thanh Toán ("&amp;AM$3&amp;")'!$F:$F"),INDIRECT("'Thanh Toán ("&amp;AM$3&amp;")'!$D:$D"),'Tổng Đơn'!$B52),0)</f>
        <v>0</v>
      </c>
      <c r="AN52" s="2">
        <f ca="1">IFERROR(SUMIFS(INDIRECT("'Thanh Toán ("&amp;AN$3&amp;")'!$F:$F"),INDIRECT("'Thanh Toán ("&amp;AN$3&amp;")'!$D:$D"),'Tổng Đơn'!$B52),0)</f>
        <v>0</v>
      </c>
      <c r="AO52" s="2">
        <f ca="1">IFERROR(SUMIFS(INDIRECT("'Thanh Toán ("&amp;AO$3&amp;")'!$F:$F"),INDIRECT("'Thanh Toán ("&amp;AO$3&amp;")'!$D:$D"),'Tổng Đơn'!$B52),0)</f>
        <v>0</v>
      </c>
      <c r="AP52" s="2">
        <f ca="1">IFERROR(SUMIFS(INDIRECT("'Thanh Toán ("&amp;AP$3&amp;")'!$F:$F"),INDIRECT("'Thanh Toán ("&amp;AP$3&amp;")'!$D:$D"),'Tổng Đơn'!$B52),0)</f>
        <v>0</v>
      </c>
      <c r="AQ52" s="2">
        <f ca="1">IFERROR(SUMIFS(INDIRECT("'Thanh Toán ("&amp;AQ$3&amp;")'!$F:$F"),INDIRECT("'Thanh Toán ("&amp;AQ$3&amp;")'!$D:$D"),'Tổng Đơn'!$B52),0)</f>
        <v>0</v>
      </c>
      <c r="AR52" s="2">
        <f ca="1">IFERROR(SUMIFS(INDIRECT("'Thanh Toán ("&amp;AR$3&amp;")'!$F:$F"),INDIRECT("'Thanh Toán ("&amp;AR$3&amp;")'!$D:$D"),'Tổng Đơn'!$B52),0)</f>
        <v>0</v>
      </c>
      <c r="AS52" s="2">
        <f ca="1">IFERROR(SUMIFS(INDIRECT("'Thanh Toán ("&amp;AS$3&amp;")'!$F:$F"),INDIRECT("'Thanh Toán ("&amp;AS$3&amp;")'!$D:$D"),'Tổng Đơn'!$B52),0)</f>
        <v>0</v>
      </c>
      <c r="AT52" s="2">
        <f ca="1">IFERROR(SUMIFS(INDIRECT("'Thanh Toán ("&amp;AT$3&amp;")'!$F:$F"),INDIRECT("'Thanh Toán ("&amp;AT$3&amp;")'!$D:$D"),'Tổng Đơn'!$B52),0)</f>
        <v>0</v>
      </c>
      <c r="AU52" s="2">
        <f ca="1">IFERROR(SUMIFS(INDIRECT("'Thanh Toán ("&amp;AU$3&amp;")'!$F:$F"),INDIRECT("'Thanh Toán ("&amp;AU$3&amp;")'!$D:$D"),'Tổng Đơn'!$B52),0)</f>
        <v>0</v>
      </c>
      <c r="AV52" s="2">
        <f ca="1">IFERROR(SUMIFS(INDIRECT("'Thanh Toán ("&amp;AV$3&amp;")'!$F:$F"),INDIRECT("'Thanh Toán ("&amp;AV$3&amp;")'!$D:$D"),'Tổng Đơn'!$B52),0)</f>
        <v>0</v>
      </c>
      <c r="AW52" s="2">
        <f ca="1">IFERROR(SUMIFS(INDIRECT("'Thanh Toán ("&amp;AW$3&amp;")'!$F:$F"),INDIRECT("'Thanh Toán ("&amp;AW$3&amp;")'!$D:$D"),'Tổng Đơn'!$B52),0)</f>
        <v>0</v>
      </c>
      <c r="AX52" s="2">
        <f ca="1">IFERROR(SUMIFS(INDIRECT("'Thanh Toán ("&amp;AX$3&amp;")'!$F:$F"),INDIRECT("'Thanh Toán ("&amp;AX$3&amp;")'!$D:$D"),'Tổng Đơn'!$B52),0)</f>
        <v>0</v>
      </c>
      <c r="AY52" s="2">
        <f ca="1">IFERROR(SUMIFS(INDIRECT("'Thanh Toán ("&amp;AY$3&amp;")'!$F:$F"),INDIRECT("'Thanh Toán ("&amp;AY$3&amp;")'!$D:$D"),'Tổng Đơn'!$B52),0)</f>
        <v>0</v>
      </c>
      <c r="AZ52" s="2">
        <f ca="1">IFERROR(SUMIFS(INDIRECT("'Thanh Toán ("&amp;AZ$3&amp;")'!$F:$F"),INDIRECT("'Thanh Toán ("&amp;AZ$3&amp;")'!$D:$D"),'Tổng Đơn'!$B52),0)</f>
        <v>0</v>
      </c>
      <c r="BA52" s="2">
        <f ca="1">IFERROR(SUMIFS(INDIRECT("'Thanh Toán ("&amp;BA$3&amp;")'!$F:$F"),INDIRECT("'Thanh Toán ("&amp;BA$3&amp;")'!$D:$D"),'Tổng Đơn'!$B52),0)</f>
        <v>0</v>
      </c>
      <c r="BB52" s="2">
        <f ca="1">IFERROR(SUMIFS(INDIRECT("'Thanh Toán ("&amp;BB$3&amp;")'!$F:$F"),INDIRECT("'Thanh Toán ("&amp;BB$3&amp;")'!$D:$D"),'Tổng Đơn'!$B52),0)</f>
        <v>0</v>
      </c>
      <c r="BC52" s="2">
        <f ca="1">IFERROR(SUMIFS(INDIRECT("'Thanh Toán ("&amp;BC$3&amp;")'!$F:$F"),INDIRECT("'Thanh Toán ("&amp;BC$3&amp;")'!$D:$D"),'Tổng Đơn'!$B52),0)</f>
        <v>0</v>
      </c>
    </row>
    <row r="53" spans="1:55" ht="18" customHeight="1" x14ac:dyDescent="0.25">
      <c r="A53" s="210">
        <v>46</v>
      </c>
      <c r="B53" s="211" t="s">
        <v>294</v>
      </c>
      <c r="C53" s="201" t="s">
        <v>105</v>
      </c>
      <c r="D53" s="203">
        <f>VLOOKUP($C53,Sheet1!$C$5:$D$98,2,0)</f>
        <v>40000</v>
      </c>
      <c r="E53" s="204">
        <v>0.5</v>
      </c>
      <c r="F53" s="205">
        <f t="shared" ca="1" si="5"/>
        <v>0</v>
      </c>
      <c r="G53" s="206">
        <f>IFERROR(VLOOKUP($B53,Gà!C:J,8,0),IFERROR(VLOOKUP($B53,TVP!C:J,7,0),IFERROR(VLOOKUP($B53,Kitkool!C:J,8,0),IFERROR(VLOOKUP($B53,'La Cusina'!C:J,8,0),VLOOKUP($B53,'Quốc Nhân'!C:J,8,0)))))</f>
        <v>31.802400884536407</v>
      </c>
      <c r="H53" s="207">
        <f t="shared" ca="1" si="4"/>
        <v>0</v>
      </c>
      <c r="I53" s="207"/>
      <c r="J53" s="207">
        <f t="shared" ca="1" si="3"/>
        <v>0</v>
      </c>
      <c r="K53" s="53"/>
      <c r="L53" s="2">
        <f ca="1">IFERROR(SUMIFS(INDIRECT("'Thanh Toán ("&amp;L$3&amp;")'!$F:$F"),INDIRECT("'Thanh Toán ("&amp;L$3&amp;")'!$D:$D"),'Tổng Đơn'!$B53),0)</f>
        <v>0</v>
      </c>
      <c r="M53" s="2">
        <f ca="1">IFERROR(SUMIFS(INDIRECT("'Thanh Toán ("&amp;M$3&amp;")'!$F:$F"),INDIRECT("'Thanh Toán ("&amp;M$3&amp;")'!$D:$D"),'Tổng Đơn'!$B53),0)</f>
        <v>0</v>
      </c>
      <c r="N53" s="2">
        <f ca="1">IFERROR(SUMIFS(INDIRECT("'Thanh Toán ("&amp;N$3&amp;")'!$F:$F"),INDIRECT("'Thanh Toán ("&amp;N$3&amp;")'!$D:$D"),'Tổng Đơn'!$B53),0)</f>
        <v>0</v>
      </c>
      <c r="O53" s="2">
        <f ca="1">IFERROR(SUMIFS(INDIRECT("'Thanh Toán ("&amp;O$3&amp;")'!$F:$F"),INDIRECT("'Thanh Toán ("&amp;O$3&amp;")'!$D:$D"),'Tổng Đơn'!$B53),0)</f>
        <v>0</v>
      </c>
      <c r="P53" s="2">
        <f ca="1">IFERROR(SUMIFS(INDIRECT("'Thanh Toán ("&amp;P$3&amp;")'!$F:$F"),INDIRECT("'Thanh Toán ("&amp;P$3&amp;")'!$D:$D"),'Tổng Đơn'!$B53),0)</f>
        <v>0</v>
      </c>
      <c r="Q53" s="2">
        <f ca="1">IFERROR(SUMIFS(INDIRECT("'Thanh Toán ("&amp;Q$3&amp;")'!$F:$F"),INDIRECT("'Thanh Toán ("&amp;Q$3&amp;")'!$D:$D"),'Tổng Đơn'!$B53),0)</f>
        <v>0</v>
      </c>
      <c r="R53" s="2">
        <f ca="1">IFERROR(SUMIFS(INDIRECT("'Thanh Toán ("&amp;R$3&amp;")'!$F:$F"),INDIRECT("'Thanh Toán ("&amp;R$3&amp;")'!$D:$D"),'Tổng Đơn'!$B53),0)</f>
        <v>0</v>
      </c>
      <c r="S53" s="2">
        <f ca="1">IFERROR(SUMIFS(INDIRECT("'Thanh Toán ("&amp;S$3&amp;")'!$F:$F"),INDIRECT("'Thanh Toán ("&amp;S$3&amp;")'!$D:$D"),'Tổng Đơn'!$B53),0)</f>
        <v>0</v>
      </c>
      <c r="T53" s="2">
        <f ca="1">IFERROR(SUMIFS(INDIRECT("'Thanh Toán ("&amp;T$3&amp;")'!$F:$F"),INDIRECT("'Thanh Toán ("&amp;T$3&amp;")'!$D:$D"),'Tổng Đơn'!$B53),0)</f>
        <v>0</v>
      </c>
      <c r="U53" s="2">
        <f ca="1">IFERROR(SUMIFS(INDIRECT("'Thanh Toán ("&amp;U$3&amp;")'!$F:$F"),INDIRECT("'Thanh Toán ("&amp;U$3&amp;")'!$D:$D"),'Tổng Đơn'!$B53),0)</f>
        <v>0</v>
      </c>
      <c r="V53" s="2">
        <f ca="1">IFERROR(SUMIFS(INDIRECT("'Thanh Toán ("&amp;V$3&amp;")'!$F:$F"),INDIRECT("'Thanh Toán ("&amp;V$3&amp;")'!$D:$D"),'Tổng Đơn'!$B53),0)</f>
        <v>0</v>
      </c>
      <c r="W53" s="2">
        <f ca="1">IFERROR(SUMIFS(INDIRECT("'Thanh Toán ("&amp;W$3&amp;")'!$F:$F"),INDIRECT("'Thanh Toán ("&amp;W$3&amp;")'!$D:$D"),'Tổng Đơn'!$B53),0)</f>
        <v>0</v>
      </c>
      <c r="X53" s="2">
        <f ca="1">IFERROR(SUMIFS(INDIRECT("'Thanh Toán ("&amp;X$3&amp;")'!$F:$F"),INDIRECT("'Thanh Toán ("&amp;X$3&amp;")'!$D:$D"),'Tổng Đơn'!$B53),0)</f>
        <v>0</v>
      </c>
      <c r="Y53" s="2">
        <f ca="1">IFERROR(SUMIFS(INDIRECT("'Thanh Toán ("&amp;Y$3&amp;")'!$F:$F"),INDIRECT("'Thanh Toán ("&amp;Y$3&amp;")'!$D:$D"),'Tổng Đơn'!$B53),0)</f>
        <v>0</v>
      </c>
      <c r="Z53" s="2">
        <f ca="1">IFERROR(SUMIFS(INDIRECT("'Thanh Toán ("&amp;Z$3&amp;")'!$F:$F"),INDIRECT("'Thanh Toán ("&amp;Z$3&amp;")'!$D:$D"),'Tổng Đơn'!$B53),0)</f>
        <v>0</v>
      </c>
      <c r="AA53" s="2">
        <f ca="1">IFERROR(SUMIFS(INDIRECT("'Thanh Toán ("&amp;AA$3&amp;")'!$F:$F"),INDIRECT("'Thanh Toán ("&amp;AA$3&amp;")'!$D:$D"),'Tổng Đơn'!$B53),0)</f>
        <v>0</v>
      </c>
      <c r="AB53" s="2">
        <f ca="1">IFERROR(SUMIFS(INDIRECT("'Thanh Toán ("&amp;AB$3&amp;")'!$F:$F"),INDIRECT("'Thanh Toán ("&amp;AB$3&amp;")'!$D:$D"),'Tổng Đơn'!$B53),0)</f>
        <v>0</v>
      </c>
      <c r="AC53" s="2">
        <f ca="1">IFERROR(SUMIFS(INDIRECT("'Thanh Toán ("&amp;AC$3&amp;")'!$F:$F"),INDIRECT("'Thanh Toán ("&amp;AC$3&amp;")'!$D:$D"),'Tổng Đơn'!$B53),0)</f>
        <v>0</v>
      </c>
      <c r="AD53" s="2">
        <f ca="1">IFERROR(SUMIFS(INDIRECT("'Thanh Toán ("&amp;AD$3&amp;")'!$F:$F"),INDIRECT("'Thanh Toán ("&amp;AD$3&amp;")'!$D:$D"),'Tổng Đơn'!$B53),0)</f>
        <v>0</v>
      </c>
      <c r="AE53" s="2">
        <f ca="1">IFERROR(SUMIFS(INDIRECT("'Thanh Toán ("&amp;AE$3&amp;")'!$F:$F"),INDIRECT("'Thanh Toán ("&amp;AE$3&amp;")'!$D:$D"),'Tổng Đơn'!$B53),0)</f>
        <v>0</v>
      </c>
      <c r="AF53" s="2">
        <f ca="1">IFERROR(SUMIFS(INDIRECT("'Thanh Toán ("&amp;AF$3&amp;")'!$F:$F"),INDIRECT("'Thanh Toán ("&amp;AF$3&amp;")'!$D:$D"),'Tổng Đơn'!$B53),0)</f>
        <v>0</v>
      </c>
      <c r="AG53" s="2">
        <f ca="1">IFERROR(SUMIFS(INDIRECT("'Thanh Toán ("&amp;AG$3&amp;")'!$F:$F"),INDIRECT("'Thanh Toán ("&amp;AG$3&amp;")'!$D:$D"),'Tổng Đơn'!$B53),0)</f>
        <v>0</v>
      </c>
      <c r="AH53" s="2">
        <f ca="1">IFERROR(SUMIFS(INDIRECT("'Thanh Toán ("&amp;AH$3&amp;")'!$F:$F"),INDIRECT("'Thanh Toán ("&amp;AH$3&amp;")'!$D:$D"),'Tổng Đơn'!$B53),0)</f>
        <v>0</v>
      </c>
      <c r="AI53" s="2">
        <f ca="1">IFERROR(SUMIFS(INDIRECT("'Thanh Toán ("&amp;AI$3&amp;")'!$F:$F"),INDIRECT("'Thanh Toán ("&amp;AI$3&amp;")'!$D:$D"),'Tổng Đơn'!$B53),0)</f>
        <v>0</v>
      </c>
      <c r="AJ53" s="2">
        <f ca="1">IFERROR(SUMIFS(INDIRECT("'Thanh Toán ("&amp;AJ$3&amp;")'!$F:$F"),INDIRECT("'Thanh Toán ("&amp;AJ$3&amp;")'!$D:$D"),'Tổng Đơn'!$B53),0)</f>
        <v>0</v>
      </c>
      <c r="AK53" s="2">
        <f ca="1">IFERROR(SUMIFS(INDIRECT("'Thanh Toán ("&amp;AK$3&amp;")'!$F:$F"),INDIRECT("'Thanh Toán ("&amp;AK$3&amp;")'!$D:$D"),'Tổng Đơn'!$B53),0)</f>
        <v>0</v>
      </c>
      <c r="AL53" s="2">
        <f ca="1">IFERROR(SUMIFS(INDIRECT("'Thanh Toán ("&amp;AL$3&amp;")'!$F:$F"),INDIRECT("'Thanh Toán ("&amp;AL$3&amp;")'!$D:$D"),'Tổng Đơn'!$B53),0)</f>
        <v>0</v>
      </c>
      <c r="AM53" s="2">
        <f ca="1">IFERROR(SUMIFS(INDIRECT("'Thanh Toán ("&amp;AM$3&amp;")'!$F:$F"),INDIRECT("'Thanh Toán ("&amp;AM$3&amp;")'!$D:$D"),'Tổng Đơn'!$B53),0)</f>
        <v>0</v>
      </c>
      <c r="AN53" s="2">
        <f ca="1">IFERROR(SUMIFS(INDIRECT("'Thanh Toán ("&amp;AN$3&amp;")'!$F:$F"),INDIRECT("'Thanh Toán ("&amp;AN$3&amp;")'!$D:$D"),'Tổng Đơn'!$B53),0)</f>
        <v>0</v>
      </c>
      <c r="AO53" s="2">
        <f ca="1">IFERROR(SUMIFS(INDIRECT("'Thanh Toán ("&amp;AO$3&amp;")'!$F:$F"),INDIRECT("'Thanh Toán ("&amp;AO$3&amp;")'!$D:$D"),'Tổng Đơn'!$B53),0)</f>
        <v>0</v>
      </c>
      <c r="AP53" s="2">
        <f ca="1">IFERROR(SUMIFS(INDIRECT("'Thanh Toán ("&amp;AP$3&amp;")'!$F:$F"),INDIRECT("'Thanh Toán ("&amp;AP$3&amp;")'!$D:$D"),'Tổng Đơn'!$B53),0)</f>
        <v>0</v>
      </c>
      <c r="AQ53" s="2">
        <f ca="1">IFERROR(SUMIFS(INDIRECT("'Thanh Toán ("&amp;AQ$3&amp;")'!$F:$F"),INDIRECT("'Thanh Toán ("&amp;AQ$3&amp;")'!$D:$D"),'Tổng Đơn'!$B53),0)</f>
        <v>0</v>
      </c>
      <c r="AR53" s="2">
        <f ca="1">IFERROR(SUMIFS(INDIRECT("'Thanh Toán ("&amp;AR$3&amp;")'!$F:$F"),INDIRECT("'Thanh Toán ("&amp;AR$3&amp;")'!$D:$D"),'Tổng Đơn'!$B53),0)</f>
        <v>0</v>
      </c>
      <c r="AS53" s="2">
        <f ca="1">IFERROR(SUMIFS(INDIRECT("'Thanh Toán ("&amp;AS$3&amp;")'!$F:$F"),INDIRECT("'Thanh Toán ("&amp;AS$3&amp;")'!$D:$D"),'Tổng Đơn'!$B53),0)</f>
        <v>0</v>
      </c>
      <c r="AT53" s="2">
        <f ca="1">IFERROR(SUMIFS(INDIRECT("'Thanh Toán ("&amp;AT$3&amp;")'!$F:$F"),INDIRECT("'Thanh Toán ("&amp;AT$3&amp;")'!$D:$D"),'Tổng Đơn'!$B53),0)</f>
        <v>0</v>
      </c>
      <c r="AU53" s="2">
        <f ca="1">IFERROR(SUMIFS(INDIRECT("'Thanh Toán ("&amp;AU$3&amp;")'!$F:$F"),INDIRECT("'Thanh Toán ("&amp;AU$3&amp;")'!$D:$D"),'Tổng Đơn'!$B53),0)</f>
        <v>0</v>
      </c>
      <c r="AV53" s="2">
        <f ca="1">IFERROR(SUMIFS(INDIRECT("'Thanh Toán ("&amp;AV$3&amp;")'!$F:$F"),INDIRECT("'Thanh Toán ("&amp;AV$3&amp;")'!$D:$D"),'Tổng Đơn'!$B53),0)</f>
        <v>0</v>
      </c>
      <c r="AW53" s="2">
        <f ca="1">IFERROR(SUMIFS(INDIRECT("'Thanh Toán ("&amp;AW$3&amp;")'!$F:$F"),INDIRECT("'Thanh Toán ("&amp;AW$3&amp;")'!$D:$D"),'Tổng Đơn'!$B53),0)</f>
        <v>0</v>
      </c>
      <c r="AX53" s="2">
        <f ca="1">IFERROR(SUMIFS(INDIRECT("'Thanh Toán ("&amp;AX$3&amp;")'!$F:$F"),INDIRECT("'Thanh Toán ("&amp;AX$3&amp;")'!$D:$D"),'Tổng Đơn'!$B53),0)</f>
        <v>0</v>
      </c>
      <c r="AY53" s="2">
        <f ca="1">IFERROR(SUMIFS(INDIRECT("'Thanh Toán ("&amp;AY$3&amp;")'!$F:$F"),INDIRECT("'Thanh Toán ("&amp;AY$3&amp;")'!$D:$D"),'Tổng Đơn'!$B53),0)</f>
        <v>0</v>
      </c>
      <c r="AZ53" s="2">
        <f ca="1">IFERROR(SUMIFS(INDIRECT("'Thanh Toán ("&amp;AZ$3&amp;")'!$F:$F"),INDIRECT("'Thanh Toán ("&amp;AZ$3&amp;")'!$D:$D"),'Tổng Đơn'!$B53),0)</f>
        <v>0</v>
      </c>
      <c r="BA53" s="2">
        <f ca="1">IFERROR(SUMIFS(INDIRECT("'Thanh Toán ("&amp;BA$3&amp;")'!$F:$F"),INDIRECT("'Thanh Toán ("&amp;BA$3&amp;")'!$D:$D"),'Tổng Đơn'!$B53),0)</f>
        <v>0</v>
      </c>
      <c r="BB53" s="2">
        <f ca="1">IFERROR(SUMIFS(INDIRECT("'Thanh Toán ("&amp;BB$3&amp;")'!$F:$F"),INDIRECT("'Thanh Toán ("&amp;BB$3&amp;")'!$D:$D"),'Tổng Đơn'!$B53),0)</f>
        <v>0</v>
      </c>
      <c r="BC53" s="2">
        <f ca="1">IFERROR(SUMIFS(INDIRECT("'Thanh Toán ("&amp;BC$3&amp;")'!$F:$F"),INDIRECT("'Thanh Toán ("&amp;BC$3&amp;")'!$D:$D"),'Tổng Đơn'!$B53),0)</f>
        <v>0</v>
      </c>
    </row>
    <row r="54" spans="1:55" ht="18" customHeight="1" x14ac:dyDescent="0.25">
      <c r="A54" s="210">
        <v>47</v>
      </c>
      <c r="B54" s="211" t="s">
        <v>140</v>
      </c>
      <c r="C54" s="201" t="s">
        <v>126</v>
      </c>
      <c r="D54" s="203">
        <f>VLOOKUP($C54,Sheet1!$C$5:$D$98,2,0)</f>
        <v>35000</v>
      </c>
      <c r="E54" s="204">
        <v>0.5</v>
      </c>
      <c r="F54" s="205">
        <f t="shared" ca="1" si="5"/>
        <v>0</v>
      </c>
      <c r="G54" s="206">
        <f>IFERROR(VLOOKUP($B54,Gà!C:J,8,0),IFERROR(VLOOKUP($B54,TVP!C:J,7,0),IFERROR(VLOOKUP($B54,Kitkool!C:J,8,0),IFERROR(VLOOKUP($B54,'La Cusina'!C:J,8,0),VLOOKUP($B54,'Quốc Nhân'!C:J,8,0)))))</f>
        <v>22.056503839275251</v>
      </c>
      <c r="H54" s="207">
        <f t="shared" ca="1" si="4"/>
        <v>0</v>
      </c>
      <c r="I54" s="207"/>
      <c r="J54" s="207">
        <f t="shared" ca="1" si="3"/>
        <v>0</v>
      </c>
      <c r="K54" s="53"/>
      <c r="L54" s="2">
        <f ca="1">IFERROR(SUMIFS(INDIRECT("'Thanh Toán ("&amp;L$3&amp;")'!$F:$F"),INDIRECT("'Thanh Toán ("&amp;L$3&amp;")'!$D:$D"),'Tổng Đơn'!$B54),0)</f>
        <v>0</v>
      </c>
      <c r="M54" s="2">
        <f ca="1">IFERROR(SUMIFS(INDIRECT("'Thanh Toán ("&amp;M$3&amp;")'!$F:$F"),INDIRECT("'Thanh Toán ("&amp;M$3&amp;")'!$D:$D"),'Tổng Đơn'!$B54),0)</f>
        <v>0</v>
      </c>
      <c r="N54" s="2">
        <f ca="1">IFERROR(SUMIFS(INDIRECT("'Thanh Toán ("&amp;N$3&amp;")'!$F:$F"),INDIRECT("'Thanh Toán ("&amp;N$3&amp;")'!$D:$D"),'Tổng Đơn'!$B54),0)</f>
        <v>0</v>
      </c>
      <c r="O54" s="2">
        <f ca="1">IFERROR(SUMIFS(INDIRECT("'Thanh Toán ("&amp;O$3&amp;")'!$F:$F"),INDIRECT("'Thanh Toán ("&amp;O$3&amp;")'!$D:$D"),'Tổng Đơn'!$B54),0)</f>
        <v>0</v>
      </c>
      <c r="P54" s="2">
        <f ca="1">IFERROR(SUMIFS(INDIRECT("'Thanh Toán ("&amp;P$3&amp;")'!$F:$F"),INDIRECT("'Thanh Toán ("&amp;P$3&amp;")'!$D:$D"),'Tổng Đơn'!$B54),0)</f>
        <v>0</v>
      </c>
      <c r="Q54" s="2">
        <f ca="1">IFERROR(SUMIFS(INDIRECT("'Thanh Toán ("&amp;Q$3&amp;")'!$F:$F"),INDIRECT("'Thanh Toán ("&amp;Q$3&amp;")'!$D:$D"),'Tổng Đơn'!$B54),0)</f>
        <v>0</v>
      </c>
      <c r="R54" s="2">
        <f ca="1">IFERROR(SUMIFS(INDIRECT("'Thanh Toán ("&amp;R$3&amp;")'!$F:$F"),INDIRECT("'Thanh Toán ("&amp;R$3&amp;")'!$D:$D"),'Tổng Đơn'!$B54),0)</f>
        <v>0</v>
      </c>
      <c r="S54" s="2">
        <f ca="1">IFERROR(SUMIFS(INDIRECT("'Thanh Toán ("&amp;S$3&amp;")'!$F:$F"),INDIRECT("'Thanh Toán ("&amp;S$3&amp;")'!$D:$D"),'Tổng Đơn'!$B54),0)</f>
        <v>0</v>
      </c>
      <c r="T54" s="2">
        <f ca="1">IFERROR(SUMIFS(INDIRECT("'Thanh Toán ("&amp;T$3&amp;")'!$F:$F"),INDIRECT("'Thanh Toán ("&amp;T$3&amp;")'!$D:$D"),'Tổng Đơn'!$B54),0)</f>
        <v>0</v>
      </c>
      <c r="U54" s="2">
        <f ca="1">IFERROR(SUMIFS(INDIRECT("'Thanh Toán ("&amp;U$3&amp;")'!$F:$F"),INDIRECT("'Thanh Toán ("&amp;U$3&amp;")'!$D:$D"),'Tổng Đơn'!$B54),0)</f>
        <v>0</v>
      </c>
      <c r="V54" s="2">
        <f ca="1">IFERROR(SUMIFS(INDIRECT("'Thanh Toán ("&amp;V$3&amp;")'!$F:$F"),INDIRECT("'Thanh Toán ("&amp;V$3&amp;")'!$D:$D"),'Tổng Đơn'!$B54),0)</f>
        <v>0</v>
      </c>
      <c r="W54" s="2">
        <f ca="1">IFERROR(SUMIFS(INDIRECT("'Thanh Toán ("&amp;W$3&amp;")'!$F:$F"),INDIRECT("'Thanh Toán ("&amp;W$3&amp;")'!$D:$D"),'Tổng Đơn'!$B54),0)</f>
        <v>0</v>
      </c>
      <c r="X54" s="2">
        <f ca="1">IFERROR(SUMIFS(INDIRECT("'Thanh Toán ("&amp;X$3&amp;")'!$F:$F"),INDIRECT("'Thanh Toán ("&amp;X$3&amp;")'!$D:$D"),'Tổng Đơn'!$B54),0)</f>
        <v>0</v>
      </c>
      <c r="Y54" s="2">
        <f ca="1">IFERROR(SUMIFS(INDIRECT("'Thanh Toán ("&amp;Y$3&amp;")'!$F:$F"),INDIRECT("'Thanh Toán ("&amp;Y$3&amp;")'!$D:$D"),'Tổng Đơn'!$B54),0)</f>
        <v>0</v>
      </c>
      <c r="Z54" s="2">
        <f ca="1">IFERROR(SUMIFS(INDIRECT("'Thanh Toán ("&amp;Z$3&amp;")'!$F:$F"),INDIRECT("'Thanh Toán ("&amp;Z$3&amp;")'!$D:$D"),'Tổng Đơn'!$B54),0)</f>
        <v>0</v>
      </c>
      <c r="AA54" s="2">
        <f ca="1">IFERROR(SUMIFS(INDIRECT("'Thanh Toán ("&amp;AA$3&amp;")'!$F:$F"),INDIRECT("'Thanh Toán ("&amp;AA$3&amp;")'!$D:$D"),'Tổng Đơn'!$B54),0)</f>
        <v>0</v>
      </c>
      <c r="AB54" s="2">
        <f ca="1">IFERROR(SUMIFS(INDIRECT("'Thanh Toán ("&amp;AB$3&amp;")'!$F:$F"),INDIRECT("'Thanh Toán ("&amp;AB$3&amp;")'!$D:$D"),'Tổng Đơn'!$B54),0)</f>
        <v>0</v>
      </c>
      <c r="AC54" s="2">
        <f ca="1">IFERROR(SUMIFS(INDIRECT("'Thanh Toán ("&amp;AC$3&amp;")'!$F:$F"),INDIRECT("'Thanh Toán ("&amp;AC$3&amp;")'!$D:$D"),'Tổng Đơn'!$B54),0)</f>
        <v>0</v>
      </c>
      <c r="AD54" s="2">
        <f ca="1">IFERROR(SUMIFS(INDIRECT("'Thanh Toán ("&amp;AD$3&amp;")'!$F:$F"),INDIRECT("'Thanh Toán ("&amp;AD$3&amp;")'!$D:$D"),'Tổng Đơn'!$B54),0)</f>
        <v>0</v>
      </c>
      <c r="AE54" s="2">
        <f ca="1">IFERROR(SUMIFS(INDIRECT("'Thanh Toán ("&amp;AE$3&amp;")'!$F:$F"),INDIRECT("'Thanh Toán ("&amp;AE$3&amp;")'!$D:$D"),'Tổng Đơn'!$B54),0)</f>
        <v>0</v>
      </c>
      <c r="AF54" s="2">
        <f ca="1">IFERROR(SUMIFS(INDIRECT("'Thanh Toán ("&amp;AF$3&amp;")'!$F:$F"),INDIRECT("'Thanh Toán ("&amp;AF$3&amp;")'!$D:$D"),'Tổng Đơn'!$B54),0)</f>
        <v>0</v>
      </c>
      <c r="AG54" s="2">
        <f ca="1">IFERROR(SUMIFS(INDIRECT("'Thanh Toán ("&amp;AG$3&amp;")'!$F:$F"),INDIRECT("'Thanh Toán ("&amp;AG$3&amp;")'!$D:$D"),'Tổng Đơn'!$B54),0)</f>
        <v>0</v>
      </c>
      <c r="AH54" s="2">
        <f ca="1">IFERROR(SUMIFS(INDIRECT("'Thanh Toán ("&amp;AH$3&amp;")'!$F:$F"),INDIRECT("'Thanh Toán ("&amp;AH$3&amp;")'!$D:$D"),'Tổng Đơn'!$B54),0)</f>
        <v>0</v>
      </c>
      <c r="AI54" s="2">
        <f ca="1">IFERROR(SUMIFS(INDIRECT("'Thanh Toán ("&amp;AI$3&amp;")'!$F:$F"),INDIRECT("'Thanh Toán ("&amp;AI$3&amp;")'!$D:$D"),'Tổng Đơn'!$B54),0)</f>
        <v>0</v>
      </c>
      <c r="AJ54" s="2">
        <f ca="1">IFERROR(SUMIFS(INDIRECT("'Thanh Toán ("&amp;AJ$3&amp;")'!$F:$F"),INDIRECT("'Thanh Toán ("&amp;AJ$3&amp;")'!$D:$D"),'Tổng Đơn'!$B54),0)</f>
        <v>0</v>
      </c>
      <c r="AK54" s="2">
        <f ca="1">IFERROR(SUMIFS(INDIRECT("'Thanh Toán ("&amp;AK$3&amp;")'!$F:$F"),INDIRECT("'Thanh Toán ("&amp;AK$3&amp;")'!$D:$D"),'Tổng Đơn'!$B54),0)</f>
        <v>0</v>
      </c>
      <c r="AL54" s="2">
        <f ca="1">IFERROR(SUMIFS(INDIRECT("'Thanh Toán ("&amp;AL$3&amp;")'!$F:$F"),INDIRECT("'Thanh Toán ("&amp;AL$3&amp;")'!$D:$D"),'Tổng Đơn'!$B54),0)</f>
        <v>0</v>
      </c>
      <c r="AM54" s="2">
        <f ca="1">IFERROR(SUMIFS(INDIRECT("'Thanh Toán ("&amp;AM$3&amp;")'!$F:$F"),INDIRECT("'Thanh Toán ("&amp;AM$3&amp;")'!$D:$D"),'Tổng Đơn'!$B54),0)</f>
        <v>0</v>
      </c>
      <c r="AN54" s="2">
        <f ca="1">IFERROR(SUMIFS(INDIRECT("'Thanh Toán ("&amp;AN$3&amp;")'!$F:$F"),INDIRECT("'Thanh Toán ("&amp;AN$3&amp;")'!$D:$D"),'Tổng Đơn'!$B54),0)</f>
        <v>0</v>
      </c>
      <c r="AO54" s="2">
        <f ca="1">IFERROR(SUMIFS(INDIRECT("'Thanh Toán ("&amp;AO$3&amp;")'!$F:$F"),INDIRECT("'Thanh Toán ("&amp;AO$3&amp;")'!$D:$D"),'Tổng Đơn'!$B54),0)</f>
        <v>0</v>
      </c>
      <c r="AP54" s="2">
        <f ca="1">IFERROR(SUMIFS(INDIRECT("'Thanh Toán ("&amp;AP$3&amp;")'!$F:$F"),INDIRECT("'Thanh Toán ("&amp;AP$3&amp;")'!$D:$D"),'Tổng Đơn'!$B54),0)</f>
        <v>0</v>
      </c>
      <c r="AQ54" s="2">
        <f ca="1">IFERROR(SUMIFS(INDIRECT("'Thanh Toán ("&amp;AQ$3&amp;")'!$F:$F"),INDIRECT("'Thanh Toán ("&amp;AQ$3&amp;")'!$D:$D"),'Tổng Đơn'!$B54),0)</f>
        <v>0</v>
      </c>
      <c r="AR54" s="2">
        <f ca="1">IFERROR(SUMIFS(INDIRECT("'Thanh Toán ("&amp;AR$3&amp;")'!$F:$F"),INDIRECT("'Thanh Toán ("&amp;AR$3&amp;")'!$D:$D"),'Tổng Đơn'!$B54),0)</f>
        <v>0</v>
      </c>
      <c r="AS54" s="2">
        <f ca="1">IFERROR(SUMIFS(INDIRECT("'Thanh Toán ("&amp;AS$3&amp;")'!$F:$F"),INDIRECT("'Thanh Toán ("&amp;AS$3&amp;")'!$D:$D"),'Tổng Đơn'!$B54),0)</f>
        <v>0</v>
      </c>
      <c r="AT54" s="2">
        <f ca="1">IFERROR(SUMIFS(INDIRECT("'Thanh Toán ("&amp;AT$3&amp;")'!$F:$F"),INDIRECT("'Thanh Toán ("&amp;AT$3&amp;")'!$D:$D"),'Tổng Đơn'!$B54),0)</f>
        <v>0</v>
      </c>
      <c r="AU54" s="2">
        <f ca="1">IFERROR(SUMIFS(INDIRECT("'Thanh Toán ("&amp;AU$3&amp;")'!$F:$F"),INDIRECT("'Thanh Toán ("&amp;AU$3&amp;")'!$D:$D"),'Tổng Đơn'!$B54),0)</f>
        <v>0</v>
      </c>
      <c r="AV54" s="2">
        <f ca="1">IFERROR(SUMIFS(INDIRECT("'Thanh Toán ("&amp;AV$3&amp;")'!$F:$F"),INDIRECT("'Thanh Toán ("&amp;AV$3&amp;")'!$D:$D"),'Tổng Đơn'!$B54),0)</f>
        <v>0</v>
      </c>
      <c r="AW54" s="2">
        <f ca="1">IFERROR(SUMIFS(INDIRECT("'Thanh Toán ("&amp;AW$3&amp;")'!$F:$F"),INDIRECT("'Thanh Toán ("&amp;AW$3&amp;")'!$D:$D"),'Tổng Đơn'!$B54),0)</f>
        <v>0</v>
      </c>
      <c r="AX54" s="2">
        <f ca="1">IFERROR(SUMIFS(INDIRECT("'Thanh Toán ("&amp;AX$3&amp;")'!$F:$F"),INDIRECT("'Thanh Toán ("&amp;AX$3&amp;")'!$D:$D"),'Tổng Đơn'!$B54),0)</f>
        <v>0</v>
      </c>
      <c r="AY54" s="2">
        <f ca="1">IFERROR(SUMIFS(INDIRECT("'Thanh Toán ("&amp;AY$3&amp;")'!$F:$F"),INDIRECT("'Thanh Toán ("&amp;AY$3&amp;")'!$D:$D"),'Tổng Đơn'!$B54),0)</f>
        <v>0</v>
      </c>
      <c r="AZ54" s="2">
        <f ca="1">IFERROR(SUMIFS(INDIRECT("'Thanh Toán ("&amp;AZ$3&amp;")'!$F:$F"),INDIRECT("'Thanh Toán ("&amp;AZ$3&amp;")'!$D:$D"),'Tổng Đơn'!$B54),0)</f>
        <v>0</v>
      </c>
      <c r="BA54" s="2">
        <f ca="1">IFERROR(SUMIFS(INDIRECT("'Thanh Toán ("&amp;BA$3&amp;")'!$F:$F"),INDIRECT("'Thanh Toán ("&amp;BA$3&amp;")'!$D:$D"),'Tổng Đơn'!$B54),0)</f>
        <v>0</v>
      </c>
      <c r="BB54" s="2">
        <f ca="1">IFERROR(SUMIFS(INDIRECT("'Thanh Toán ("&amp;BB$3&amp;")'!$F:$F"),INDIRECT("'Thanh Toán ("&amp;BB$3&amp;")'!$D:$D"),'Tổng Đơn'!$B54),0)</f>
        <v>0</v>
      </c>
      <c r="BC54" s="2">
        <f ca="1">IFERROR(SUMIFS(INDIRECT("'Thanh Toán ("&amp;BC$3&amp;")'!$F:$F"),INDIRECT("'Thanh Toán ("&amp;BC$3&amp;")'!$D:$D"),'Tổng Đơn'!$B54),0)</f>
        <v>0</v>
      </c>
    </row>
    <row r="55" spans="1:55" ht="18" customHeight="1" x14ac:dyDescent="0.25">
      <c r="A55" s="210">
        <v>48</v>
      </c>
      <c r="B55" s="211" t="s">
        <v>259</v>
      </c>
      <c r="C55" s="201" t="s">
        <v>141</v>
      </c>
      <c r="D55" s="203">
        <f>VLOOKUP($C55,Sheet1!$C$5:$D$98,2,0)</f>
        <v>105000</v>
      </c>
      <c r="E55" s="204">
        <v>0.5</v>
      </c>
      <c r="F55" s="205">
        <f t="shared" ca="1" si="5"/>
        <v>0</v>
      </c>
      <c r="G55" s="206">
        <f>IFERROR(VLOOKUP($B55,Gà!C:J,8,0),IFERROR(VLOOKUP($B55,TVP!C:J,7,0),IFERROR(VLOOKUP($B55,Kitkool!C:J,8,0),IFERROR(VLOOKUP($B55,'La Cusina'!C:J,8,0),VLOOKUP($B55,'Quốc Nhân'!C:J,8,0)))))</f>
        <v>98.5</v>
      </c>
      <c r="H55" s="207">
        <f t="shared" ca="1" si="4"/>
        <v>0</v>
      </c>
      <c r="I55" s="207"/>
      <c r="J55" s="207">
        <f t="shared" ca="1" si="3"/>
        <v>0</v>
      </c>
      <c r="K55" s="53"/>
      <c r="L55" s="2">
        <f ca="1">IFERROR(SUMIFS(INDIRECT("'Thanh Toán ("&amp;L$3&amp;")'!$F:$F"),INDIRECT("'Thanh Toán ("&amp;L$3&amp;")'!$D:$D"),'Tổng Đơn'!$B55),0)</f>
        <v>0</v>
      </c>
      <c r="M55" s="2">
        <f ca="1">IFERROR(SUMIFS(INDIRECT("'Thanh Toán ("&amp;M$3&amp;")'!$F:$F"),INDIRECT("'Thanh Toán ("&amp;M$3&amp;")'!$D:$D"),'Tổng Đơn'!$B55),0)</f>
        <v>0</v>
      </c>
      <c r="N55" s="2">
        <f ca="1">IFERROR(SUMIFS(INDIRECT("'Thanh Toán ("&amp;N$3&amp;")'!$F:$F"),INDIRECT("'Thanh Toán ("&amp;N$3&amp;")'!$D:$D"),'Tổng Đơn'!$B55),0)</f>
        <v>0</v>
      </c>
      <c r="O55" s="2">
        <f ca="1">IFERROR(SUMIFS(INDIRECT("'Thanh Toán ("&amp;O$3&amp;")'!$F:$F"),INDIRECT("'Thanh Toán ("&amp;O$3&amp;")'!$D:$D"),'Tổng Đơn'!$B55),0)</f>
        <v>0</v>
      </c>
      <c r="P55" s="2">
        <f ca="1">IFERROR(SUMIFS(INDIRECT("'Thanh Toán ("&amp;P$3&amp;")'!$F:$F"),INDIRECT("'Thanh Toán ("&amp;P$3&amp;")'!$D:$D"),'Tổng Đơn'!$B55),0)</f>
        <v>0</v>
      </c>
      <c r="Q55" s="2">
        <f ca="1">IFERROR(SUMIFS(INDIRECT("'Thanh Toán ("&amp;Q$3&amp;")'!$F:$F"),INDIRECT("'Thanh Toán ("&amp;Q$3&amp;")'!$D:$D"),'Tổng Đơn'!$B55),0)</f>
        <v>0</v>
      </c>
      <c r="R55" s="2">
        <f ca="1">IFERROR(SUMIFS(INDIRECT("'Thanh Toán ("&amp;R$3&amp;")'!$F:$F"),INDIRECT("'Thanh Toán ("&amp;R$3&amp;")'!$D:$D"),'Tổng Đơn'!$B55),0)</f>
        <v>0</v>
      </c>
      <c r="S55" s="2">
        <f ca="1">IFERROR(SUMIFS(INDIRECT("'Thanh Toán ("&amp;S$3&amp;")'!$F:$F"),INDIRECT("'Thanh Toán ("&amp;S$3&amp;")'!$D:$D"),'Tổng Đơn'!$B55),0)</f>
        <v>0</v>
      </c>
      <c r="T55" s="2">
        <f ca="1">IFERROR(SUMIFS(INDIRECT("'Thanh Toán ("&amp;T$3&amp;")'!$F:$F"),INDIRECT("'Thanh Toán ("&amp;T$3&amp;")'!$D:$D"),'Tổng Đơn'!$B55),0)</f>
        <v>0</v>
      </c>
      <c r="U55" s="2">
        <f ca="1">IFERROR(SUMIFS(INDIRECT("'Thanh Toán ("&amp;U$3&amp;")'!$F:$F"),INDIRECT("'Thanh Toán ("&amp;U$3&amp;")'!$D:$D"),'Tổng Đơn'!$B55),0)</f>
        <v>0</v>
      </c>
      <c r="V55" s="2">
        <f ca="1">IFERROR(SUMIFS(INDIRECT("'Thanh Toán ("&amp;V$3&amp;")'!$F:$F"),INDIRECT("'Thanh Toán ("&amp;V$3&amp;")'!$D:$D"),'Tổng Đơn'!$B55),0)</f>
        <v>0</v>
      </c>
      <c r="W55" s="2">
        <f ca="1">IFERROR(SUMIFS(INDIRECT("'Thanh Toán ("&amp;W$3&amp;")'!$F:$F"),INDIRECT("'Thanh Toán ("&amp;W$3&amp;")'!$D:$D"),'Tổng Đơn'!$B55),0)</f>
        <v>0</v>
      </c>
      <c r="X55" s="2">
        <f ca="1">IFERROR(SUMIFS(INDIRECT("'Thanh Toán ("&amp;X$3&amp;")'!$F:$F"),INDIRECT("'Thanh Toán ("&amp;X$3&amp;")'!$D:$D"),'Tổng Đơn'!$B55),0)</f>
        <v>0</v>
      </c>
      <c r="Y55" s="2">
        <f ca="1">IFERROR(SUMIFS(INDIRECT("'Thanh Toán ("&amp;Y$3&amp;")'!$F:$F"),INDIRECT("'Thanh Toán ("&amp;Y$3&amp;")'!$D:$D"),'Tổng Đơn'!$B55),0)</f>
        <v>0</v>
      </c>
      <c r="Z55" s="2">
        <f ca="1">IFERROR(SUMIFS(INDIRECT("'Thanh Toán ("&amp;Z$3&amp;")'!$F:$F"),INDIRECT("'Thanh Toán ("&amp;Z$3&amp;")'!$D:$D"),'Tổng Đơn'!$B55),0)</f>
        <v>0</v>
      </c>
      <c r="AA55" s="2">
        <f ca="1">IFERROR(SUMIFS(INDIRECT("'Thanh Toán ("&amp;AA$3&amp;")'!$F:$F"),INDIRECT("'Thanh Toán ("&amp;AA$3&amp;")'!$D:$D"),'Tổng Đơn'!$B55),0)</f>
        <v>0</v>
      </c>
      <c r="AB55" s="2">
        <f ca="1">IFERROR(SUMIFS(INDIRECT("'Thanh Toán ("&amp;AB$3&amp;")'!$F:$F"),INDIRECT("'Thanh Toán ("&amp;AB$3&amp;")'!$D:$D"),'Tổng Đơn'!$B55),0)</f>
        <v>0</v>
      </c>
      <c r="AC55" s="2">
        <f ca="1">IFERROR(SUMIFS(INDIRECT("'Thanh Toán ("&amp;AC$3&amp;")'!$F:$F"),INDIRECT("'Thanh Toán ("&amp;AC$3&amp;")'!$D:$D"),'Tổng Đơn'!$B55),0)</f>
        <v>0</v>
      </c>
      <c r="AD55" s="2">
        <f ca="1">IFERROR(SUMIFS(INDIRECT("'Thanh Toán ("&amp;AD$3&amp;")'!$F:$F"),INDIRECT("'Thanh Toán ("&amp;AD$3&amp;")'!$D:$D"),'Tổng Đơn'!$B55),0)</f>
        <v>0</v>
      </c>
      <c r="AE55" s="2">
        <f ca="1">IFERROR(SUMIFS(INDIRECT("'Thanh Toán ("&amp;AE$3&amp;")'!$F:$F"),INDIRECT("'Thanh Toán ("&amp;AE$3&amp;")'!$D:$D"),'Tổng Đơn'!$B55),0)</f>
        <v>0</v>
      </c>
      <c r="AF55" s="2">
        <f ca="1">IFERROR(SUMIFS(INDIRECT("'Thanh Toán ("&amp;AF$3&amp;")'!$F:$F"),INDIRECT("'Thanh Toán ("&amp;AF$3&amp;")'!$D:$D"),'Tổng Đơn'!$B55),0)</f>
        <v>0</v>
      </c>
      <c r="AG55" s="2">
        <f ca="1">IFERROR(SUMIFS(INDIRECT("'Thanh Toán ("&amp;AG$3&amp;")'!$F:$F"),INDIRECT("'Thanh Toán ("&amp;AG$3&amp;")'!$D:$D"),'Tổng Đơn'!$B55),0)</f>
        <v>0</v>
      </c>
      <c r="AH55" s="2">
        <f ca="1">IFERROR(SUMIFS(INDIRECT("'Thanh Toán ("&amp;AH$3&amp;")'!$F:$F"),INDIRECT("'Thanh Toán ("&amp;AH$3&amp;")'!$D:$D"),'Tổng Đơn'!$B55),0)</f>
        <v>0</v>
      </c>
      <c r="AI55" s="2">
        <f ca="1">IFERROR(SUMIFS(INDIRECT("'Thanh Toán ("&amp;AI$3&amp;")'!$F:$F"),INDIRECT("'Thanh Toán ("&amp;AI$3&amp;")'!$D:$D"),'Tổng Đơn'!$B55),0)</f>
        <v>0</v>
      </c>
      <c r="AJ55" s="2">
        <f ca="1">IFERROR(SUMIFS(INDIRECT("'Thanh Toán ("&amp;AJ$3&amp;")'!$F:$F"),INDIRECT("'Thanh Toán ("&amp;AJ$3&amp;")'!$D:$D"),'Tổng Đơn'!$B55),0)</f>
        <v>0</v>
      </c>
      <c r="AK55" s="2">
        <f ca="1">IFERROR(SUMIFS(INDIRECT("'Thanh Toán ("&amp;AK$3&amp;")'!$F:$F"),INDIRECT("'Thanh Toán ("&amp;AK$3&amp;")'!$D:$D"),'Tổng Đơn'!$B55),0)</f>
        <v>0</v>
      </c>
      <c r="AL55" s="2">
        <f ca="1">IFERROR(SUMIFS(INDIRECT("'Thanh Toán ("&amp;AL$3&amp;")'!$F:$F"),INDIRECT("'Thanh Toán ("&amp;AL$3&amp;")'!$D:$D"),'Tổng Đơn'!$B55),0)</f>
        <v>0</v>
      </c>
      <c r="AM55" s="2">
        <f ca="1">IFERROR(SUMIFS(INDIRECT("'Thanh Toán ("&amp;AM$3&amp;")'!$F:$F"),INDIRECT("'Thanh Toán ("&amp;AM$3&amp;")'!$D:$D"),'Tổng Đơn'!$B55),0)</f>
        <v>0</v>
      </c>
      <c r="AN55" s="2">
        <f ca="1">IFERROR(SUMIFS(INDIRECT("'Thanh Toán ("&amp;AN$3&amp;")'!$F:$F"),INDIRECT("'Thanh Toán ("&amp;AN$3&amp;")'!$D:$D"),'Tổng Đơn'!$B55),0)</f>
        <v>0</v>
      </c>
      <c r="AO55" s="2">
        <f ca="1">IFERROR(SUMIFS(INDIRECT("'Thanh Toán ("&amp;AO$3&amp;")'!$F:$F"),INDIRECT("'Thanh Toán ("&amp;AO$3&amp;")'!$D:$D"),'Tổng Đơn'!$B55),0)</f>
        <v>0</v>
      </c>
      <c r="AP55" s="2">
        <f ca="1">IFERROR(SUMIFS(INDIRECT("'Thanh Toán ("&amp;AP$3&amp;")'!$F:$F"),INDIRECT("'Thanh Toán ("&amp;AP$3&amp;")'!$D:$D"),'Tổng Đơn'!$B55),0)</f>
        <v>0</v>
      </c>
      <c r="AQ55" s="2">
        <f ca="1">IFERROR(SUMIFS(INDIRECT("'Thanh Toán ("&amp;AQ$3&amp;")'!$F:$F"),INDIRECT("'Thanh Toán ("&amp;AQ$3&amp;")'!$D:$D"),'Tổng Đơn'!$B55),0)</f>
        <v>0</v>
      </c>
      <c r="AR55" s="2">
        <f ca="1">IFERROR(SUMIFS(INDIRECT("'Thanh Toán ("&amp;AR$3&amp;")'!$F:$F"),INDIRECT("'Thanh Toán ("&amp;AR$3&amp;")'!$D:$D"),'Tổng Đơn'!$B55),0)</f>
        <v>0</v>
      </c>
      <c r="AS55" s="2">
        <f ca="1">IFERROR(SUMIFS(INDIRECT("'Thanh Toán ("&amp;AS$3&amp;")'!$F:$F"),INDIRECT("'Thanh Toán ("&amp;AS$3&amp;")'!$D:$D"),'Tổng Đơn'!$B55),0)</f>
        <v>0</v>
      </c>
      <c r="AT55" s="2">
        <f ca="1">IFERROR(SUMIFS(INDIRECT("'Thanh Toán ("&amp;AT$3&amp;")'!$F:$F"),INDIRECT("'Thanh Toán ("&amp;AT$3&amp;")'!$D:$D"),'Tổng Đơn'!$B55),0)</f>
        <v>0</v>
      </c>
      <c r="AU55" s="2">
        <f ca="1">IFERROR(SUMIFS(INDIRECT("'Thanh Toán ("&amp;AU$3&amp;")'!$F:$F"),INDIRECT("'Thanh Toán ("&amp;AU$3&amp;")'!$D:$D"),'Tổng Đơn'!$B55),0)</f>
        <v>0</v>
      </c>
      <c r="AV55" s="2">
        <f ca="1">IFERROR(SUMIFS(INDIRECT("'Thanh Toán ("&amp;AV$3&amp;")'!$F:$F"),INDIRECT("'Thanh Toán ("&amp;AV$3&amp;")'!$D:$D"),'Tổng Đơn'!$B55),0)</f>
        <v>0</v>
      </c>
      <c r="AW55" s="2">
        <f ca="1">IFERROR(SUMIFS(INDIRECT("'Thanh Toán ("&amp;AW$3&amp;")'!$F:$F"),INDIRECT("'Thanh Toán ("&amp;AW$3&amp;")'!$D:$D"),'Tổng Đơn'!$B55),0)</f>
        <v>0</v>
      </c>
      <c r="AX55" s="2">
        <f ca="1">IFERROR(SUMIFS(INDIRECT("'Thanh Toán ("&amp;AX$3&amp;")'!$F:$F"),INDIRECT("'Thanh Toán ("&amp;AX$3&amp;")'!$D:$D"),'Tổng Đơn'!$B55),0)</f>
        <v>0</v>
      </c>
      <c r="AY55" s="2">
        <f ca="1">IFERROR(SUMIFS(INDIRECT("'Thanh Toán ("&amp;AY$3&amp;")'!$F:$F"),INDIRECT("'Thanh Toán ("&amp;AY$3&amp;")'!$D:$D"),'Tổng Đơn'!$B55),0)</f>
        <v>0</v>
      </c>
      <c r="AZ55" s="2">
        <f ca="1">IFERROR(SUMIFS(INDIRECT("'Thanh Toán ("&amp;AZ$3&amp;")'!$F:$F"),INDIRECT("'Thanh Toán ("&amp;AZ$3&amp;")'!$D:$D"),'Tổng Đơn'!$B55),0)</f>
        <v>0</v>
      </c>
      <c r="BA55" s="2">
        <f ca="1">IFERROR(SUMIFS(INDIRECT("'Thanh Toán ("&amp;BA$3&amp;")'!$F:$F"),INDIRECT("'Thanh Toán ("&amp;BA$3&amp;")'!$D:$D"),'Tổng Đơn'!$B55),0)</f>
        <v>0</v>
      </c>
      <c r="BB55" s="2">
        <f ca="1">IFERROR(SUMIFS(INDIRECT("'Thanh Toán ("&amp;BB$3&amp;")'!$F:$F"),INDIRECT("'Thanh Toán ("&amp;BB$3&amp;")'!$D:$D"),'Tổng Đơn'!$B55),0)</f>
        <v>0</v>
      </c>
      <c r="BC55" s="2">
        <f ca="1">IFERROR(SUMIFS(INDIRECT("'Thanh Toán ("&amp;BC$3&amp;")'!$F:$F"),INDIRECT("'Thanh Toán ("&amp;BC$3&amp;")'!$D:$D"),'Tổng Đơn'!$B55),0)</f>
        <v>0</v>
      </c>
    </row>
    <row r="56" spans="1:55" ht="18" customHeight="1" x14ac:dyDescent="0.25">
      <c r="A56" s="210">
        <v>49</v>
      </c>
      <c r="B56" s="211" t="s">
        <v>144</v>
      </c>
      <c r="C56" s="201" t="s">
        <v>143</v>
      </c>
      <c r="D56" s="203">
        <f>VLOOKUP($C56,Sheet1!$C$5:$D$98,2,0)</f>
        <v>42000</v>
      </c>
      <c r="E56" s="204">
        <v>0.5</v>
      </c>
      <c r="F56" s="205">
        <f t="shared" ca="1" si="5"/>
        <v>2</v>
      </c>
      <c r="G56" s="206">
        <f>IFERROR(VLOOKUP($B56,Gà!C:J,8,0),IFERROR(VLOOKUP($B56,TVP!C:J,7,0),IFERROR(VLOOKUP($B56,Kitkool!C:J,8,0),IFERROR(VLOOKUP($B56,'La Cusina'!C:J,8,0),VLOOKUP($B56,'Quốc Nhân'!C:J,8,0)))))</f>
        <v>38.337821380716477</v>
      </c>
      <c r="H56" s="207">
        <f t="shared" ca="1" si="4"/>
        <v>7324.3572385670413</v>
      </c>
      <c r="I56" s="207"/>
      <c r="J56" s="207">
        <f t="shared" ca="1" si="3"/>
        <v>76675.642761432959</v>
      </c>
      <c r="K56" s="53"/>
      <c r="L56" s="2">
        <f ca="1">IFERROR(SUMIFS(INDIRECT("'Thanh Toán ("&amp;L$3&amp;")'!$F:$F"),INDIRECT("'Thanh Toán ("&amp;L$3&amp;")'!$D:$D"),'Tổng Đơn'!$B56),0)</f>
        <v>1</v>
      </c>
      <c r="M56" s="2">
        <f ca="1">IFERROR(SUMIFS(INDIRECT("'Thanh Toán ("&amp;M$3&amp;")'!$F:$F"),INDIRECT("'Thanh Toán ("&amp;M$3&amp;")'!$D:$D"),'Tổng Đơn'!$B56),0)</f>
        <v>1</v>
      </c>
      <c r="N56" s="2">
        <f ca="1">IFERROR(SUMIFS(INDIRECT("'Thanh Toán ("&amp;N$3&amp;")'!$F:$F"),INDIRECT("'Thanh Toán ("&amp;N$3&amp;")'!$D:$D"),'Tổng Đơn'!$B56),0)</f>
        <v>0</v>
      </c>
      <c r="O56" s="2">
        <f ca="1">IFERROR(SUMIFS(INDIRECT("'Thanh Toán ("&amp;O$3&amp;")'!$F:$F"),INDIRECT("'Thanh Toán ("&amp;O$3&amp;")'!$D:$D"),'Tổng Đơn'!$B56),0)</f>
        <v>0</v>
      </c>
      <c r="P56" s="2">
        <f ca="1">IFERROR(SUMIFS(INDIRECT("'Thanh Toán ("&amp;P$3&amp;")'!$F:$F"),INDIRECT("'Thanh Toán ("&amp;P$3&amp;")'!$D:$D"),'Tổng Đơn'!$B56),0)</f>
        <v>0</v>
      </c>
      <c r="Q56" s="2">
        <f ca="1">IFERROR(SUMIFS(INDIRECT("'Thanh Toán ("&amp;Q$3&amp;")'!$F:$F"),INDIRECT("'Thanh Toán ("&amp;Q$3&amp;")'!$D:$D"),'Tổng Đơn'!$B56),0)</f>
        <v>0</v>
      </c>
      <c r="R56" s="2">
        <f ca="1">IFERROR(SUMIFS(INDIRECT("'Thanh Toán ("&amp;R$3&amp;")'!$F:$F"),INDIRECT("'Thanh Toán ("&amp;R$3&amp;")'!$D:$D"),'Tổng Đơn'!$B56),0)</f>
        <v>0</v>
      </c>
      <c r="S56" s="2">
        <f ca="1">IFERROR(SUMIFS(INDIRECT("'Thanh Toán ("&amp;S$3&amp;")'!$F:$F"),INDIRECT("'Thanh Toán ("&amp;S$3&amp;")'!$D:$D"),'Tổng Đơn'!$B56),0)</f>
        <v>0</v>
      </c>
      <c r="T56" s="2">
        <f ca="1">IFERROR(SUMIFS(INDIRECT("'Thanh Toán ("&amp;T$3&amp;")'!$F:$F"),INDIRECT("'Thanh Toán ("&amp;T$3&amp;")'!$D:$D"),'Tổng Đơn'!$B56),0)</f>
        <v>0</v>
      </c>
      <c r="U56" s="2">
        <f ca="1">IFERROR(SUMIFS(INDIRECT("'Thanh Toán ("&amp;U$3&amp;")'!$F:$F"),INDIRECT("'Thanh Toán ("&amp;U$3&amp;")'!$D:$D"),'Tổng Đơn'!$B56),0)</f>
        <v>0</v>
      </c>
      <c r="V56" s="2">
        <f ca="1">IFERROR(SUMIFS(INDIRECT("'Thanh Toán ("&amp;V$3&amp;")'!$F:$F"),INDIRECT("'Thanh Toán ("&amp;V$3&amp;")'!$D:$D"),'Tổng Đơn'!$B56),0)</f>
        <v>0</v>
      </c>
      <c r="W56" s="2">
        <f ca="1">IFERROR(SUMIFS(INDIRECT("'Thanh Toán ("&amp;W$3&amp;")'!$F:$F"),INDIRECT("'Thanh Toán ("&amp;W$3&amp;")'!$D:$D"),'Tổng Đơn'!$B56),0)</f>
        <v>0</v>
      </c>
      <c r="X56" s="2">
        <f ca="1">IFERROR(SUMIFS(INDIRECT("'Thanh Toán ("&amp;X$3&amp;")'!$F:$F"),INDIRECT("'Thanh Toán ("&amp;X$3&amp;")'!$D:$D"),'Tổng Đơn'!$B56),0)</f>
        <v>0</v>
      </c>
      <c r="Y56" s="2">
        <f ca="1">IFERROR(SUMIFS(INDIRECT("'Thanh Toán ("&amp;Y$3&amp;")'!$F:$F"),INDIRECT("'Thanh Toán ("&amp;Y$3&amp;")'!$D:$D"),'Tổng Đơn'!$B56),0)</f>
        <v>0</v>
      </c>
      <c r="Z56" s="2">
        <f ca="1">IFERROR(SUMIFS(INDIRECT("'Thanh Toán ("&amp;Z$3&amp;")'!$F:$F"),INDIRECT("'Thanh Toán ("&amp;Z$3&amp;")'!$D:$D"),'Tổng Đơn'!$B56),0)</f>
        <v>0</v>
      </c>
      <c r="AA56" s="2">
        <f ca="1">IFERROR(SUMIFS(INDIRECT("'Thanh Toán ("&amp;AA$3&amp;")'!$F:$F"),INDIRECT("'Thanh Toán ("&amp;AA$3&amp;")'!$D:$D"),'Tổng Đơn'!$B56),0)</f>
        <v>0</v>
      </c>
      <c r="AB56" s="2">
        <f ca="1">IFERROR(SUMIFS(INDIRECT("'Thanh Toán ("&amp;AB$3&amp;")'!$F:$F"),INDIRECT("'Thanh Toán ("&amp;AB$3&amp;")'!$D:$D"),'Tổng Đơn'!$B56),0)</f>
        <v>0</v>
      </c>
      <c r="AC56" s="2">
        <f ca="1">IFERROR(SUMIFS(INDIRECT("'Thanh Toán ("&amp;AC$3&amp;")'!$F:$F"),INDIRECT("'Thanh Toán ("&amp;AC$3&amp;")'!$D:$D"),'Tổng Đơn'!$B56),0)</f>
        <v>0</v>
      </c>
      <c r="AD56" s="2">
        <f ca="1">IFERROR(SUMIFS(INDIRECT("'Thanh Toán ("&amp;AD$3&amp;")'!$F:$F"),INDIRECT("'Thanh Toán ("&amp;AD$3&amp;")'!$D:$D"),'Tổng Đơn'!$B56),0)</f>
        <v>0</v>
      </c>
      <c r="AE56" s="2">
        <f ca="1">IFERROR(SUMIFS(INDIRECT("'Thanh Toán ("&amp;AE$3&amp;")'!$F:$F"),INDIRECT("'Thanh Toán ("&amp;AE$3&amp;")'!$D:$D"),'Tổng Đơn'!$B56),0)</f>
        <v>0</v>
      </c>
      <c r="AF56" s="2">
        <f ca="1">IFERROR(SUMIFS(INDIRECT("'Thanh Toán ("&amp;AF$3&amp;")'!$F:$F"),INDIRECT("'Thanh Toán ("&amp;AF$3&amp;")'!$D:$D"),'Tổng Đơn'!$B56),0)</f>
        <v>0</v>
      </c>
      <c r="AG56" s="2">
        <f ca="1">IFERROR(SUMIFS(INDIRECT("'Thanh Toán ("&amp;AG$3&amp;")'!$F:$F"),INDIRECT("'Thanh Toán ("&amp;AG$3&amp;")'!$D:$D"),'Tổng Đơn'!$B56),0)</f>
        <v>0</v>
      </c>
      <c r="AH56" s="2">
        <f ca="1">IFERROR(SUMIFS(INDIRECT("'Thanh Toán ("&amp;AH$3&amp;")'!$F:$F"),INDIRECT("'Thanh Toán ("&amp;AH$3&amp;")'!$D:$D"),'Tổng Đơn'!$B56),0)</f>
        <v>0</v>
      </c>
      <c r="AI56" s="2">
        <f ca="1">IFERROR(SUMIFS(INDIRECT("'Thanh Toán ("&amp;AI$3&amp;")'!$F:$F"),INDIRECT("'Thanh Toán ("&amp;AI$3&amp;")'!$D:$D"),'Tổng Đơn'!$B56),0)</f>
        <v>0</v>
      </c>
      <c r="AJ56" s="2">
        <f ca="1">IFERROR(SUMIFS(INDIRECT("'Thanh Toán ("&amp;AJ$3&amp;")'!$F:$F"),INDIRECT("'Thanh Toán ("&amp;AJ$3&amp;")'!$D:$D"),'Tổng Đơn'!$B56),0)</f>
        <v>0</v>
      </c>
      <c r="AK56" s="2">
        <f ca="1">IFERROR(SUMIFS(INDIRECT("'Thanh Toán ("&amp;AK$3&amp;")'!$F:$F"),INDIRECT("'Thanh Toán ("&amp;AK$3&amp;")'!$D:$D"),'Tổng Đơn'!$B56),0)</f>
        <v>0</v>
      </c>
      <c r="AL56" s="2">
        <f ca="1">IFERROR(SUMIFS(INDIRECT("'Thanh Toán ("&amp;AL$3&amp;")'!$F:$F"),INDIRECT("'Thanh Toán ("&amp;AL$3&amp;")'!$D:$D"),'Tổng Đơn'!$B56),0)</f>
        <v>0</v>
      </c>
      <c r="AM56" s="2">
        <f ca="1">IFERROR(SUMIFS(INDIRECT("'Thanh Toán ("&amp;AM$3&amp;")'!$F:$F"),INDIRECT("'Thanh Toán ("&amp;AM$3&amp;")'!$D:$D"),'Tổng Đơn'!$B56),0)</f>
        <v>0</v>
      </c>
      <c r="AN56" s="2">
        <f ca="1">IFERROR(SUMIFS(INDIRECT("'Thanh Toán ("&amp;AN$3&amp;")'!$F:$F"),INDIRECT("'Thanh Toán ("&amp;AN$3&amp;")'!$D:$D"),'Tổng Đơn'!$B56),0)</f>
        <v>0</v>
      </c>
      <c r="AO56" s="2">
        <f ca="1">IFERROR(SUMIFS(INDIRECT("'Thanh Toán ("&amp;AO$3&amp;")'!$F:$F"),INDIRECT("'Thanh Toán ("&amp;AO$3&amp;")'!$D:$D"),'Tổng Đơn'!$B56),0)</f>
        <v>0</v>
      </c>
      <c r="AP56" s="2">
        <f ca="1">IFERROR(SUMIFS(INDIRECT("'Thanh Toán ("&amp;AP$3&amp;")'!$F:$F"),INDIRECT("'Thanh Toán ("&amp;AP$3&amp;")'!$D:$D"),'Tổng Đơn'!$B56),0)</f>
        <v>0</v>
      </c>
      <c r="AQ56" s="2">
        <f ca="1">IFERROR(SUMIFS(INDIRECT("'Thanh Toán ("&amp;AQ$3&amp;")'!$F:$F"),INDIRECT("'Thanh Toán ("&amp;AQ$3&amp;")'!$D:$D"),'Tổng Đơn'!$B56),0)</f>
        <v>0</v>
      </c>
      <c r="AR56" s="2">
        <f ca="1">IFERROR(SUMIFS(INDIRECT("'Thanh Toán ("&amp;AR$3&amp;")'!$F:$F"),INDIRECT("'Thanh Toán ("&amp;AR$3&amp;")'!$D:$D"),'Tổng Đơn'!$B56),0)</f>
        <v>0</v>
      </c>
      <c r="AS56" s="2">
        <f ca="1">IFERROR(SUMIFS(INDIRECT("'Thanh Toán ("&amp;AS$3&amp;")'!$F:$F"),INDIRECT("'Thanh Toán ("&amp;AS$3&amp;")'!$D:$D"),'Tổng Đơn'!$B56),0)</f>
        <v>0</v>
      </c>
      <c r="AT56" s="2">
        <f ca="1">IFERROR(SUMIFS(INDIRECT("'Thanh Toán ("&amp;AT$3&amp;")'!$F:$F"),INDIRECT("'Thanh Toán ("&amp;AT$3&amp;")'!$D:$D"),'Tổng Đơn'!$B56),0)</f>
        <v>0</v>
      </c>
      <c r="AU56" s="2">
        <f ca="1">IFERROR(SUMIFS(INDIRECT("'Thanh Toán ("&amp;AU$3&amp;")'!$F:$F"),INDIRECT("'Thanh Toán ("&amp;AU$3&amp;")'!$D:$D"),'Tổng Đơn'!$B56),0)</f>
        <v>0</v>
      </c>
      <c r="AV56" s="2">
        <f ca="1">IFERROR(SUMIFS(INDIRECT("'Thanh Toán ("&amp;AV$3&amp;")'!$F:$F"),INDIRECT("'Thanh Toán ("&amp;AV$3&amp;")'!$D:$D"),'Tổng Đơn'!$B56),0)</f>
        <v>0</v>
      </c>
      <c r="AW56" s="2">
        <f ca="1">IFERROR(SUMIFS(INDIRECT("'Thanh Toán ("&amp;AW$3&amp;")'!$F:$F"),INDIRECT("'Thanh Toán ("&amp;AW$3&amp;")'!$D:$D"),'Tổng Đơn'!$B56),0)</f>
        <v>0</v>
      </c>
      <c r="AX56" s="2">
        <f ca="1">IFERROR(SUMIFS(INDIRECT("'Thanh Toán ("&amp;AX$3&amp;")'!$F:$F"),INDIRECT("'Thanh Toán ("&amp;AX$3&amp;")'!$D:$D"),'Tổng Đơn'!$B56),0)</f>
        <v>0</v>
      </c>
      <c r="AY56" s="2">
        <f ca="1">IFERROR(SUMIFS(INDIRECT("'Thanh Toán ("&amp;AY$3&amp;")'!$F:$F"),INDIRECT("'Thanh Toán ("&amp;AY$3&amp;")'!$D:$D"),'Tổng Đơn'!$B56),0)</f>
        <v>0</v>
      </c>
      <c r="AZ56" s="2">
        <f ca="1">IFERROR(SUMIFS(INDIRECT("'Thanh Toán ("&amp;AZ$3&amp;")'!$F:$F"),INDIRECT("'Thanh Toán ("&amp;AZ$3&amp;")'!$D:$D"),'Tổng Đơn'!$B56),0)</f>
        <v>0</v>
      </c>
      <c r="BA56" s="2">
        <f ca="1">IFERROR(SUMIFS(INDIRECT("'Thanh Toán ("&amp;BA$3&amp;")'!$F:$F"),INDIRECT("'Thanh Toán ("&amp;BA$3&amp;")'!$D:$D"),'Tổng Đơn'!$B56),0)</f>
        <v>0</v>
      </c>
      <c r="BB56" s="2">
        <f ca="1">IFERROR(SUMIFS(INDIRECT("'Thanh Toán ("&amp;BB$3&amp;")'!$F:$F"),INDIRECT("'Thanh Toán ("&amp;BB$3&amp;")'!$D:$D"),'Tổng Đơn'!$B56),0)</f>
        <v>0</v>
      </c>
      <c r="BC56" s="2">
        <f ca="1">IFERROR(SUMIFS(INDIRECT("'Thanh Toán ("&amp;BC$3&amp;")'!$F:$F"),INDIRECT("'Thanh Toán ("&amp;BC$3&amp;")'!$D:$D"),'Tổng Đơn'!$B56),0)</f>
        <v>0</v>
      </c>
    </row>
    <row r="57" spans="1:55" ht="18" customHeight="1" x14ac:dyDescent="0.25">
      <c r="A57" s="210">
        <v>50</v>
      </c>
      <c r="B57" s="211" t="s">
        <v>147</v>
      </c>
      <c r="C57" s="201" t="s">
        <v>145</v>
      </c>
      <c r="D57" s="203">
        <f>VLOOKUP($C57,Sheet1!$C$5:$D$98,2,0)</f>
        <v>35000</v>
      </c>
      <c r="E57" s="204">
        <v>0.5</v>
      </c>
      <c r="F57" s="205">
        <f t="shared" ca="1" si="5"/>
        <v>0</v>
      </c>
      <c r="G57" s="206">
        <f>IFERROR(VLOOKUP($B57,Gà!C:J,8,0),IFERROR(VLOOKUP($B57,TVP!C:J,7,0),IFERROR(VLOOKUP($B57,Kitkool!C:J,8,0),IFERROR(VLOOKUP($B57,'La Cusina'!C:J,8,0),VLOOKUP($B57,'Quốc Nhân'!C:J,8,0)))))</f>
        <v>27.80500940138279</v>
      </c>
      <c r="H57" s="207">
        <f t="shared" ca="1" si="4"/>
        <v>0</v>
      </c>
      <c r="I57" s="207"/>
      <c r="J57" s="207">
        <f t="shared" ca="1" si="3"/>
        <v>0</v>
      </c>
      <c r="K57" s="53"/>
      <c r="L57" s="2">
        <f ca="1">IFERROR(SUMIFS(INDIRECT("'Thanh Toán ("&amp;L$3&amp;")'!$F:$F"),INDIRECT("'Thanh Toán ("&amp;L$3&amp;")'!$D:$D"),'Tổng Đơn'!$B57),0)</f>
        <v>0</v>
      </c>
      <c r="M57" s="2">
        <f ca="1">IFERROR(SUMIFS(INDIRECT("'Thanh Toán ("&amp;M$3&amp;")'!$F:$F"),INDIRECT("'Thanh Toán ("&amp;M$3&amp;")'!$D:$D"),'Tổng Đơn'!$B57),0)</f>
        <v>0</v>
      </c>
      <c r="N57" s="2">
        <f ca="1">IFERROR(SUMIFS(INDIRECT("'Thanh Toán ("&amp;N$3&amp;")'!$F:$F"),INDIRECT("'Thanh Toán ("&amp;N$3&amp;")'!$D:$D"),'Tổng Đơn'!$B57),0)</f>
        <v>0</v>
      </c>
      <c r="O57" s="2">
        <f ca="1">IFERROR(SUMIFS(INDIRECT("'Thanh Toán ("&amp;O$3&amp;")'!$F:$F"),INDIRECT("'Thanh Toán ("&amp;O$3&amp;")'!$D:$D"),'Tổng Đơn'!$B57),0)</f>
        <v>0</v>
      </c>
      <c r="P57" s="2">
        <f ca="1">IFERROR(SUMIFS(INDIRECT("'Thanh Toán ("&amp;P$3&amp;")'!$F:$F"),INDIRECT("'Thanh Toán ("&amp;P$3&amp;")'!$D:$D"),'Tổng Đơn'!$B57),0)</f>
        <v>0</v>
      </c>
      <c r="Q57" s="2">
        <f ca="1">IFERROR(SUMIFS(INDIRECT("'Thanh Toán ("&amp;Q$3&amp;")'!$F:$F"),INDIRECT("'Thanh Toán ("&amp;Q$3&amp;")'!$D:$D"),'Tổng Đơn'!$B57),0)</f>
        <v>0</v>
      </c>
      <c r="R57" s="2">
        <f ca="1">IFERROR(SUMIFS(INDIRECT("'Thanh Toán ("&amp;R$3&amp;")'!$F:$F"),INDIRECT("'Thanh Toán ("&amp;R$3&amp;")'!$D:$D"),'Tổng Đơn'!$B57),0)</f>
        <v>0</v>
      </c>
      <c r="S57" s="2">
        <f ca="1">IFERROR(SUMIFS(INDIRECT("'Thanh Toán ("&amp;S$3&amp;")'!$F:$F"),INDIRECT("'Thanh Toán ("&amp;S$3&amp;")'!$D:$D"),'Tổng Đơn'!$B57),0)</f>
        <v>0</v>
      </c>
      <c r="T57" s="2">
        <f ca="1">IFERROR(SUMIFS(INDIRECT("'Thanh Toán ("&amp;T$3&amp;")'!$F:$F"),INDIRECT("'Thanh Toán ("&amp;T$3&amp;")'!$D:$D"),'Tổng Đơn'!$B57),0)</f>
        <v>0</v>
      </c>
      <c r="U57" s="2">
        <f ca="1">IFERROR(SUMIFS(INDIRECT("'Thanh Toán ("&amp;U$3&amp;")'!$F:$F"),INDIRECT("'Thanh Toán ("&amp;U$3&amp;")'!$D:$D"),'Tổng Đơn'!$B57),0)</f>
        <v>0</v>
      </c>
      <c r="V57" s="2">
        <f ca="1">IFERROR(SUMIFS(INDIRECT("'Thanh Toán ("&amp;V$3&amp;")'!$F:$F"),INDIRECT("'Thanh Toán ("&amp;V$3&amp;")'!$D:$D"),'Tổng Đơn'!$B57),0)</f>
        <v>0</v>
      </c>
      <c r="W57" s="2">
        <f ca="1">IFERROR(SUMIFS(INDIRECT("'Thanh Toán ("&amp;W$3&amp;")'!$F:$F"),INDIRECT("'Thanh Toán ("&amp;W$3&amp;")'!$D:$D"),'Tổng Đơn'!$B57),0)</f>
        <v>0</v>
      </c>
      <c r="X57" s="2">
        <f ca="1">IFERROR(SUMIFS(INDIRECT("'Thanh Toán ("&amp;X$3&amp;")'!$F:$F"),INDIRECT("'Thanh Toán ("&amp;X$3&amp;")'!$D:$D"),'Tổng Đơn'!$B57),0)</f>
        <v>0</v>
      </c>
      <c r="Y57" s="2">
        <f ca="1">IFERROR(SUMIFS(INDIRECT("'Thanh Toán ("&amp;Y$3&amp;")'!$F:$F"),INDIRECT("'Thanh Toán ("&amp;Y$3&amp;")'!$D:$D"),'Tổng Đơn'!$B57),0)</f>
        <v>0</v>
      </c>
      <c r="Z57" s="2">
        <f ca="1">IFERROR(SUMIFS(INDIRECT("'Thanh Toán ("&amp;Z$3&amp;")'!$F:$F"),INDIRECT("'Thanh Toán ("&amp;Z$3&amp;")'!$D:$D"),'Tổng Đơn'!$B57),0)</f>
        <v>0</v>
      </c>
      <c r="AA57" s="2">
        <f ca="1">IFERROR(SUMIFS(INDIRECT("'Thanh Toán ("&amp;AA$3&amp;")'!$F:$F"),INDIRECT("'Thanh Toán ("&amp;AA$3&amp;")'!$D:$D"),'Tổng Đơn'!$B57),0)</f>
        <v>0</v>
      </c>
      <c r="AB57" s="2">
        <f ca="1">IFERROR(SUMIFS(INDIRECT("'Thanh Toán ("&amp;AB$3&amp;")'!$F:$F"),INDIRECT("'Thanh Toán ("&amp;AB$3&amp;")'!$D:$D"),'Tổng Đơn'!$B57),0)</f>
        <v>0</v>
      </c>
      <c r="AC57" s="2">
        <f ca="1">IFERROR(SUMIFS(INDIRECT("'Thanh Toán ("&amp;AC$3&amp;")'!$F:$F"),INDIRECT("'Thanh Toán ("&amp;AC$3&amp;")'!$D:$D"),'Tổng Đơn'!$B57),0)</f>
        <v>0</v>
      </c>
      <c r="AD57" s="2">
        <f ca="1">IFERROR(SUMIFS(INDIRECT("'Thanh Toán ("&amp;AD$3&amp;")'!$F:$F"),INDIRECT("'Thanh Toán ("&amp;AD$3&amp;")'!$D:$D"),'Tổng Đơn'!$B57),0)</f>
        <v>0</v>
      </c>
      <c r="AE57" s="2">
        <f ca="1">IFERROR(SUMIFS(INDIRECT("'Thanh Toán ("&amp;AE$3&amp;")'!$F:$F"),INDIRECT("'Thanh Toán ("&amp;AE$3&amp;")'!$D:$D"),'Tổng Đơn'!$B57),0)</f>
        <v>0</v>
      </c>
      <c r="AF57" s="2">
        <f ca="1">IFERROR(SUMIFS(INDIRECT("'Thanh Toán ("&amp;AF$3&amp;")'!$F:$F"),INDIRECT("'Thanh Toán ("&amp;AF$3&amp;")'!$D:$D"),'Tổng Đơn'!$B57),0)</f>
        <v>0</v>
      </c>
      <c r="AG57" s="2">
        <f ca="1">IFERROR(SUMIFS(INDIRECT("'Thanh Toán ("&amp;AG$3&amp;")'!$F:$F"),INDIRECT("'Thanh Toán ("&amp;AG$3&amp;")'!$D:$D"),'Tổng Đơn'!$B57),0)</f>
        <v>0</v>
      </c>
      <c r="AH57" s="2">
        <f ca="1">IFERROR(SUMIFS(INDIRECT("'Thanh Toán ("&amp;AH$3&amp;")'!$F:$F"),INDIRECT("'Thanh Toán ("&amp;AH$3&amp;")'!$D:$D"),'Tổng Đơn'!$B57),0)</f>
        <v>0</v>
      </c>
      <c r="AI57" s="2">
        <f ca="1">IFERROR(SUMIFS(INDIRECT("'Thanh Toán ("&amp;AI$3&amp;")'!$F:$F"),INDIRECT("'Thanh Toán ("&amp;AI$3&amp;")'!$D:$D"),'Tổng Đơn'!$B57),0)</f>
        <v>0</v>
      </c>
      <c r="AJ57" s="2">
        <f ca="1">IFERROR(SUMIFS(INDIRECT("'Thanh Toán ("&amp;AJ$3&amp;")'!$F:$F"),INDIRECT("'Thanh Toán ("&amp;AJ$3&amp;")'!$D:$D"),'Tổng Đơn'!$B57),0)</f>
        <v>0</v>
      </c>
      <c r="AK57" s="2">
        <f ca="1">IFERROR(SUMIFS(INDIRECT("'Thanh Toán ("&amp;AK$3&amp;")'!$F:$F"),INDIRECT("'Thanh Toán ("&amp;AK$3&amp;")'!$D:$D"),'Tổng Đơn'!$B57),0)</f>
        <v>0</v>
      </c>
      <c r="AL57" s="2">
        <f ca="1">IFERROR(SUMIFS(INDIRECT("'Thanh Toán ("&amp;AL$3&amp;")'!$F:$F"),INDIRECT("'Thanh Toán ("&amp;AL$3&amp;")'!$D:$D"),'Tổng Đơn'!$B57),0)</f>
        <v>0</v>
      </c>
      <c r="AM57" s="2">
        <f ca="1">IFERROR(SUMIFS(INDIRECT("'Thanh Toán ("&amp;AM$3&amp;")'!$F:$F"),INDIRECT("'Thanh Toán ("&amp;AM$3&amp;")'!$D:$D"),'Tổng Đơn'!$B57),0)</f>
        <v>0</v>
      </c>
      <c r="AN57" s="2">
        <f ca="1">IFERROR(SUMIFS(INDIRECT("'Thanh Toán ("&amp;AN$3&amp;")'!$F:$F"),INDIRECT("'Thanh Toán ("&amp;AN$3&amp;")'!$D:$D"),'Tổng Đơn'!$B57),0)</f>
        <v>0</v>
      </c>
      <c r="AO57" s="2">
        <f ca="1">IFERROR(SUMIFS(INDIRECT("'Thanh Toán ("&amp;AO$3&amp;")'!$F:$F"),INDIRECT("'Thanh Toán ("&amp;AO$3&amp;")'!$D:$D"),'Tổng Đơn'!$B57),0)</f>
        <v>0</v>
      </c>
      <c r="AP57" s="2">
        <f ca="1">IFERROR(SUMIFS(INDIRECT("'Thanh Toán ("&amp;AP$3&amp;")'!$F:$F"),INDIRECT("'Thanh Toán ("&amp;AP$3&amp;")'!$D:$D"),'Tổng Đơn'!$B57),0)</f>
        <v>0</v>
      </c>
      <c r="AQ57" s="2">
        <f ca="1">IFERROR(SUMIFS(INDIRECT("'Thanh Toán ("&amp;AQ$3&amp;")'!$F:$F"),INDIRECT("'Thanh Toán ("&amp;AQ$3&amp;")'!$D:$D"),'Tổng Đơn'!$B57),0)</f>
        <v>0</v>
      </c>
      <c r="AR57" s="2">
        <f ca="1">IFERROR(SUMIFS(INDIRECT("'Thanh Toán ("&amp;AR$3&amp;")'!$F:$F"),INDIRECT("'Thanh Toán ("&amp;AR$3&amp;")'!$D:$D"),'Tổng Đơn'!$B57),0)</f>
        <v>0</v>
      </c>
      <c r="AS57" s="2">
        <f ca="1">IFERROR(SUMIFS(INDIRECT("'Thanh Toán ("&amp;AS$3&amp;")'!$F:$F"),INDIRECT("'Thanh Toán ("&amp;AS$3&amp;")'!$D:$D"),'Tổng Đơn'!$B57),0)</f>
        <v>0</v>
      </c>
      <c r="AT57" s="2">
        <f ca="1">IFERROR(SUMIFS(INDIRECT("'Thanh Toán ("&amp;AT$3&amp;")'!$F:$F"),INDIRECT("'Thanh Toán ("&amp;AT$3&amp;")'!$D:$D"),'Tổng Đơn'!$B57),0)</f>
        <v>0</v>
      </c>
      <c r="AU57" s="2">
        <f ca="1">IFERROR(SUMIFS(INDIRECT("'Thanh Toán ("&amp;AU$3&amp;")'!$F:$F"),INDIRECT("'Thanh Toán ("&amp;AU$3&amp;")'!$D:$D"),'Tổng Đơn'!$B57),0)</f>
        <v>0</v>
      </c>
      <c r="AV57" s="2">
        <f ca="1">IFERROR(SUMIFS(INDIRECT("'Thanh Toán ("&amp;AV$3&amp;")'!$F:$F"),INDIRECT("'Thanh Toán ("&amp;AV$3&amp;")'!$D:$D"),'Tổng Đơn'!$B57),0)</f>
        <v>0</v>
      </c>
      <c r="AW57" s="2">
        <f ca="1">IFERROR(SUMIFS(INDIRECT("'Thanh Toán ("&amp;AW$3&amp;")'!$F:$F"),INDIRECT("'Thanh Toán ("&amp;AW$3&amp;")'!$D:$D"),'Tổng Đơn'!$B57),0)</f>
        <v>0</v>
      </c>
      <c r="AX57" s="2">
        <f ca="1">IFERROR(SUMIFS(INDIRECT("'Thanh Toán ("&amp;AX$3&amp;")'!$F:$F"),INDIRECT("'Thanh Toán ("&amp;AX$3&amp;")'!$D:$D"),'Tổng Đơn'!$B57),0)</f>
        <v>0</v>
      </c>
      <c r="AY57" s="2">
        <f ca="1">IFERROR(SUMIFS(INDIRECT("'Thanh Toán ("&amp;AY$3&amp;")'!$F:$F"),INDIRECT("'Thanh Toán ("&amp;AY$3&amp;")'!$D:$D"),'Tổng Đơn'!$B57),0)</f>
        <v>0</v>
      </c>
      <c r="AZ57" s="2">
        <f ca="1">IFERROR(SUMIFS(INDIRECT("'Thanh Toán ("&amp;AZ$3&amp;")'!$F:$F"),INDIRECT("'Thanh Toán ("&amp;AZ$3&amp;")'!$D:$D"),'Tổng Đơn'!$B57),0)</f>
        <v>0</v>
      </c>
      <c r="BA57" s="2">
        <f ca="1">IFERROR(SUMIFS(INDIRECT("'Thanh Toán ("&amp;BA$3&amp;")'!$F:$F"),INDIRECT("'Thanh Toán ("&amp;BA$3&amp;")'!$D:$D"),'Tổng Đơn'!$B57),0)</f>
        <v>0</v>
      </c>
      <c r="BB57" s="2">
        <f ca="1">IFERROR(SUMIFS(INDIRECT("'Thanh Toán ("&amp;BB$3&amp;")'!$F:$F"),INDIRECT("'Thanh Toán ("&amp;BB$3&amp;")'!$D:$D"),'Tổng Đơn'!$B57),0)</f>
        <v>0</v>
      </c>
      <c r="BC57" s="2">
        <f ca="1">IFERROR(SUMIFS(INDIRECT("'Thanh Toán ("&amp;BC$3&amp;")'!$F:$F"),INDIRECT("'Thanh Toán ("&amp;BC$3&amp;")'!$D:$D"),'Tổng Đơn'!$B57),0)</f>
        <v>0</v>
      </c>
    </row>
    <row r="58" spans="1:55" ht="18" customHeight="1" x14ac:dyDescent="0.25">
      <c r="A58" s="210">
        <v>51</v>
      </c>
      <c r="B58" s="211" t="s">
        <v>163</v>
      </c>
      <c r="C58" s="201" t="s">
        <v>158</v>
      </c>
      <c r="D58" s="203">
        <f>VLOOKUP($C58,Sheet1!$C$5:$D$98,2,0)</f>
        <v>69000</v>
      </c>
      <c r="E58" s="204">
        <v>0.5</v>
      </c>
      <c r="F58" s="205">
        <f t="shared" ca="1" si="5"/>
        <v>0</v>
      </c>
      <c r="G58" s="206">
        <f>IFERROR(VLOOKUP($B58,Gà!C:J,8,0),IFERROR(VLOOKUP($B58,TVP!C:J,7,0),IFERROR(VLOOKUP($B58,Kitkool!C:J,8,0),IFERROR(VLOOKUP($B58,'La Cusina'!C:J,8,0),VLOOKUP($B58,'Quốc Nhân'!C:J,8,0)))))</f>
        <v>58.266587872221677</v>
      </c>
      <c r="H58" s="207">
        <f t="shared" ca="1" si="4"/>
        <v>0</v>
      </c>
      <c r="I58" s="207"/>
      <c r="J58" s="207">
        <f t="shared" ca="1" si="3"/>
        <v>0</v>
      </c>
      <c r="K58" s="53"/>
      <c r="L58" s="2">
        <f ca="1">IFERROR(SUMIFS(INDIRECT("'Thanh Toán ("&amp;L$3&amp;")'!$F:$F"),INDIRECT("'Thanh Toán ("&amp;L$3&amp;")'!$D:$D"),'Tổng Đơn'!$B58),0)</f>
        <v>0</v>
      </c>
      <c r="M58" s="2">
        <f ca="1">IFERROR(SUMIFS(INDIRECT("'Thanh Toán ("&amp;M$3&amp;")'!$F:$F"),INDIRECT("'Thanh Toán ("&amp;M$3&amp;")'!$D:$D"),'Tổng Đơn'!$B58),0)</f>
        <v>0</v>
      </c>
      <c r="N58" s="2">
        <f ca="1">IFERROR(SUMIFS(INDIRECT("'Thanh Toán ("&amp;N$3&amp;")'!$F:$F"),INDIRECT("'Thanh Toán ("&amp;N$3&amp;")'!$D:$D"),'Tổng Đơn'!$B58),0)</f>
        <v>0</v>
      </c>
      <c r="O58" s="2">
        <f ca="1">IFERROR(SUMIFS(INDIRECT("'Thanh Toán ("&amp;O$3&amp;")'!$F:$F"),INDIRECT("'Thanh Toán ("&amp;O$3&amp;")'!$D:$D"),'Tổng Đơn'!$B58),0)</f>
        <v>0</v>
      </c>
      <c r="P58" s="2">
        <f ca="1">IFERROR(SUMIFS(INDIRECT("'Thanh Toán ("&amp;P$3&amp;")'!$F:$F"),INDIRECT("'Thanh Toán ("&amp;P$3&amp;")'!$D:$D"),'Tổng Đơn'!$B58),0)</f>
        <v>0</v>
      </c>
      <c r="Q58" s="2">
        <f ca="1">IFERROR(SUMIFS(INDIRECT("'Thanh Toán ("&amp;Q$3&amp;")'!$F:$F"),INDIRECT("'Thanh Toán ("&amp;Q$3&amp;")'!$D:$D"),'Tổng Đơn'!$B58),0)</f>
        <v>0</v>
      </c>
      <c r="R58" s="2">
        <f ca="1">IFERROR(SUMIFS(INDIRECT("'Thanh Toán ("&amp;R$3&amp;")'!$F:$F"),INDIRECT("'Thanh Toán ("&amp;R$3&amp;")'!$D:$D"),'Tổng Đơn'!$B58),0)</f>
        <v>0</v>
      </c>
      <c r="S58" s="2">
        <f ca="1">IFERROR(SUMIFS(INDIRECT("'Thanh Toán ("&amp;S$3&amp;")'!$F:$F"),INDIRECT("'Thanh Toán ("&amp;S$3&amp;")'!$D:$D"),'Tổng Đơn'!$B58),0)</f>
        <v>0</v>
      </c>
      <c r="T58" s="2">
        <f ca="1">IFERROR(SUMIFS(INDIRECT("'Thanh Toán ("&amp;T$3&amp;")'!$F:$F"),INDIRECT("'Thanh Toán ("&amp;T$3&amp;")'!$D:$D"),'Tổng Đơn'!$B58),0)</f>
        <v>0</v>
      </c>
      <c r="U58" s="2">
        <f ca="1">IFERROR(SUMIFS(INDIRECT("'Thanh Toán ("&amp;U$3&amp;")'!$F:$F"),INDIRECT("'Thanh Toán ("&amp;U$3&amp;")'!$D:$D"),'Tổng Đơn'!$B58),0)</f>
        <v>0</v>
      </c>
      <c r="V58" s="2">
        <f ca="1">IFERROR(SUMIFS(INDIRECT("'Thanh Toán ("&amp;V$3&amp;")'!$F:$F"),INDIRECT("'Thanh Toán ("&amp;V$3&amp;")'!$D:$D"),'Tổng Đơn'!$B58),0)</f>
        <v>0</v>
      </c>
      <c r="W58" s="2">
        <f ca="1">IFERROR(SUMIFS(INDIRECT("'Thanh Toán ("&amp;W$3&amp;")'!$F:$F"),INDIRECT("'Thanh Toán ("&amp;W$3&amp;")'!$D:$D"),'Tổng Đơn'!$B58),0)</f>
        <v>0</v>
      </c>
      <c r="X58" s="2">
        <f ca="1">IFERROR(SUMIFS(INDIRECT("'Thanh Toán ("&amp;X$3&amp;")'!$F:$F"),INDIRECT("'Thanh Toán ("&amp;X$3&amp;")'!$D:$D"),'Tổng Đơn'!$B58),0)</f>
        <v>0</v>
      </c>
      <c r="Y58" s="2">
        <f ca="1">IFERROR(SUMIFS(INDIRECT("'Thanh Toán ("&amp;Y$3&amp;")'!$F:$F"),INDIRECT("'Thanh Toán ("&amp;Y$3&amp;")'!$D:$D"),'Tổng Đơn'!$B58),0)</f>
        <v>0</v>
      </c>
      <c r="Z58" s="2">
        <f ca="1">IFERROR(SUMIFS(INDIRECT("'Thanh Toán ("&amp;Z$3&amp;")'!$F:$F"),INDIRECT("'Thanh Toán ("&amp;Z$3&amp;")'!$D:$D"),'Tổng Đơn'!$B58),0)</f>
        <v>0</v>
      </c>
      <c r="AA58" s="2">
        <f ca="1">IFERROR(SUMIFS(INDIRECT("'Thanh Toán ("&amp;AA$3&amp;")'!$F:$F"),INDIRECT("'Thanh Toán ("&amp;AA$3&amp;")'!$D:$D"),'Tổng Đơn'!$B58),0)</f>
        <v>0</v>
      </c>
      <c r="AB58" s="2">
        <f ca="1">IFERROR(SUMIFS(INDIRECT("'Thanh Toán ("&amp;AB$3&amp;")'!$F:$F"),INDIRECT("'Thanh Toán ("&amp;AB$3&amp;")'!$D:$D"),'Tổng Đơn'!$B58),0)</f>
        <v>0</v>
      </c>
      <c r="AC58" s="2">
        <f ca="1">IFERROR(SUMIFS(INDIRECT("'Thanh Toán ("&amp;AC$3&amp;")'!$F:$F"),INDIRECT("'Thanh Toán ("&amp;AC$3&amp;")'!$D:$D"),'Tổng Đơn'!$B58),0)</f>
        <v>0</v>
      </c>
      <c r="AD58" s="2">
        <f ca="1">IFERROR(SUMIFS(INDIRECT("'Thanh Toán ("&amp;AD$3&amp;")'!$F:$F"),INDIRECT("'Thanh Toán ("&amp;AD$3&amp;")'!$D:$D"),'Tổng Đơn'!$B58),0)</f>
        <v>0</v>
      </c>
      <c r="AE58" s="2">
        <f ca="1">IFERROR(SUMIFS(INDIRECT("'Thanh Toán ("&amp;AE$3&amp;")'!$F:$F"),INDIRECT("'Thanh Toán ("&amp;AE$3&amp;")'!$D:$D"),'Tổng Đơn'!$B58),0)</f>
        <v>0</v>
      </c>
      <c r="AF58" s="2">
        <f ca="1">IFERROR(SUMIFS(INDIRECT("'Thanh Toán ("&amp;AF$3&amp;")'!$F:$F"),INDIRECT("'Thanh Toán ("&amp;AF$3&amp;")'!$D:$D"),'Tổng Đơn'!$B58),0)</f>
        <v>0</v>
      </c>
      <c r="AG58" s="2">
        <f ca="1">IFERROR(SUMIFS(INDIRECT("'Thanh Toán ("&amp;AG$3&amp;")'!$F:$F"),INDIRECT("'Thanh Toán ("&amp;AG$3&amp;")'!$D:$D"),'Tổng Đơn'!$B58),0)</f>
        <v>0</v>
      </c>
      <c r="AH58" s="2">
        <f ca="1">IFERROR(SUMIFS(INDIRECT("'Thanh Toán ("&amp;AH$3&amp;")'!$F:$F"),INDIRECT("'Thanh Toán ("&amp;AH$3&amp;")'!$D:$D"),'Tổng Đơn'!$B58),0)</f>
        <v>0</v>
      </c>
      <c r="AI58" s="2">
        <f ca="1">IFERROR(SUMIFS(INDIRECT("'Thanh Toán ("&amp;AI$3&amp;")'!$F:$F"),INDIRECT("'Thanh Toán ("&amp;AI$3&amp;")'!$D:$D"),'Tổng Đơn'!$B58),0)</f>
        <v>0</v>
      </c>
      <c r="AJ58" s="2">
        <f ca="1">IFERROR(SUMIFS(INDIRECT("'Thanh Toán ("&amp;AJ$3&amp;")'!$F:$F"),INDIRECT("'Thanh Toán ("&amp;AJ$3&amp;")'!$D:$D"),'Tổng Đơn'!$B58),0)</f>
        <v>0</v>
      </c>
      <c r="AK58" s="2">
        <f ca="1">IFERROR(SUMIFS(INDIRECT("'Thanh Toán ("&amp;AK$3&amp;")'!$F:$F"),INDIRECT("'Thanh Toán ("&amp;AK$3&amp;")'!$D:$D"),'Tổng Đơn'!$B58),0)</f>
        <v>0</v>
      </c>
      <c r="AL58" s="2">
        <f ca="1">IFERROR(SUMIFS(INDIRECT("'Thanh Toán ("&amp;AL$3&amp;")'!$F:$F"),INDIRECT("'Thanh Toán ("&amp;AL$3&amp;")'!$D:$D"),'Tổng Đơn'!$B58),0)</f>
        <v>0</v>
      </c>
      <c r="AM58" s="2">
        <f ca="1">IFERROR(SUMIFS(INDIRECT("'Thanh Toán ("&amp;AM$3&amp;")'!$F:$F"),INDIRECT("'Thanh Toán ("&amp;AM$3&amp;")'!$D:$D"),'Tổng Đơn'!$B58),0)</f>
        <v>0</v>
      </c>
      <c r="AN58" s="2">
        <f ca="1">IFERROR(SUMIFS(INDIRECT("'Thanh Toán ("&amp;AN$3&amp;")'!$F:$F"),INDIRECT("'Thanh Toán ("&amp;AN$3&amp;")'!$D:$D"),'Tổng Đơn'!$B58),0)</f>
        <v>0</v>
      </c>
      <c r="AO58" s="2">
        <f ca="1">IFERROR(SUMIFS(INDIRECT("'Thanh Toán ("&amp;AO$3&amp;")'!$F:$F"),INDIRECT("'Thanh Toán ("&amp;AO$3&amp;")'!$D:$D"),'Tổng Đơn'!$B58),0)</f>
        <v>0</v>
      </c>
      <c r="AP58" s="2">
        <f ca="1">IFERROR(SUMIFS(INDIRECT("'Thanh Toán ("&amp;AP$3&amp;")'!$F:$F"),INDIRECT("'Thanh Toán ("&amp;AP$3&amp;")'!$D:$D"),'Tổng Đơn'!$B58),0)</f>
        <v>0</v>
      </c>
      <c r="AQ58" s="2">
        <f ca="1">IFERROR(SUMIFS(INDIRECT("'Thanh Toán ("&amp;AQ$3&amp;")'!$F:$F"),INDIRECT("'Thanh Toán ("&amp;AQ$3&amp;")'!$D:$D"),'Tổng Đơn'!$B58),0)</f>
        <v>0</v>
      </c>
      <c r="AR58" s="2">
        <f ca="1">IFERROR(SUMIFS(INDIRECT("'Thanh Toán ("&amp;AR$3&amp;")'!$F:$F"),INDIRECT("'Thanh Toán ("&amp;AR$3&amp;")'!$D:$D"),'Tổng Đơn'!$B58),0)</f>
        <v>0</v>
      </c>
      <c r="AS58" s="2">
        <f ca="1">IFERROR(SUMIFS(INDIRECT("'Thanh Toán ("&amp;AS$3&amp;")'!$F:$F"),INDIRECT("'Thanh Toán ("&amp;AS$3&amp;")'!$D:$D"),'Tổng Đơn'!$B58),0)</f>
        <v>0</v>
      </c>
      <c r="AT58" s="2">
        <f ca="1">IFERROR(SUMIFS(INDIRECT("'Thanh Toán ("&amp;AT$3&amp;")'!$F:$F"),INDIRECT("'Thanh Toán ("&amp;AT$3&amp;")'!$D:$D"),'Tổng Đơn'!$B58),0)</f>
        <v>0</v>
      </c>
      <c r="AU58" s="2">
        <f ca="1">IFERROR(SUMIFS(INDIRECT("'Thanh Toán ("&amp;AU$3&amp;")'!$F:$F"),INDIRECT("'Thanh Toán ("&amp;AU$3&amp;")'!$D:$D"),'Tổng Đơn'!$B58),0)</f>
        <v>0</v>
      </c>
      <c r="AV58" s="2">
        <f ca="1">IFERROR(SUMIFS(INDIRECT("'Thanh Toán ("&amp;AV$3&amp;")'!$F:$F"),INDIRECT("'Thanh Toán ("&amp;AV$3&amp;")'!$D:$D"),'Tổng Đơn'!$B58),0)</f>
        <v>0</v>
      </c>
      <c r="AW58" s="2">
        <f ca="1">IFERROR(SUMIFS(INDIRECT("'Thanh Toán ("&amp;AW$3&amp;")'!$F:$F"),INDIRECT("'Thanh Toán ("&amp;AW$3&amp;")'!$D:$D"),'Tổng Đơn'!$B58),0)</f>
        <v>0</v>
      </c>
      <c r="AX58" s="2">
        <f ca="1">IFERROR(SUMIFS(INDIRECT("'Thanh Toán ("&amp;AX$3&amp;")'!$F:$F"),INDIRECT("'Thanh Toán ("&amp;AX$3&amp;")'!$D:$D"),'Tổng Đơn'!$B58),0)</f>
        <v>0</v>
      </c>
      <c r="AY58" s="2">
        <f ca="1">IFERROR(SUMIFS(INDIRECT("'Thanh Toán ("&amp;AY$3&amp;")'!$F:$F"),INDIRECT("'Thanh Toán ("&amp;AY$3&amp;")'!$D:$D"),'Tổng Đơn'!$B58),0)</f>
        <v>0</v>
      </c>
      <c r="AZ58" s="2">
        <f ca="1">IFERROR(SUMIFS(INDIRECT("'Thanh Toán ("&amp;AZ$3&amp;")'!$F:$F"),INDIRECT("'Thanh Toán ("&amp;AZ$3&amp;")'!$D:$D"),'Tổng Đơn'!$B58),0)</f>
        <v>0</v>
      </c>
      <c r="BA58" s="2">
        <f ca="1">IFERROR(SUMIFS(INDIRECT("'Thanh Toán ("&amp;BA$3&amp;")'!$F:$F"),INDIRECT("'Thanh Toán ("&amp;BA$3&amp;")'!$D:$D"),'Tổng Đơn'!$B58),0)</f>
        <v>0</v>
      </c>
      <c r="BB58" s="2">
        <f ca="1">IFERROR(SUMIFS(INDIRECT("'Thanh Toán ("&amp;BB$3&amp;")'!$F:$F"),INDIRECT("'Thanh Toán ("&amp;BB$3&amp;")'!$D:$D"),'Tổng Đơn'!$B58),0)</f>
        <v>0</v>
      </c>
      <c r="BC58" s="2">
        <f ca="1">IFERROR(SUMIFS(INDIRECT("'Thanh Toán ("&amp;BC$3&amp;")'!$F:$F"),INDIRECT("'Thanh Toán ("&amp;BC$3&amp;")'!$D:$D"),'Tổng Đơn'!$B58),0)</f>
        <v>0</v>
      </c>
    </row>
    <row r="59" spans="1:55" ht="18" customHeight="1" x14ac:dyDescent="0.25">
      <c r="A59" s="210">
        <v>52</v>
      </c>
      <c r="B59" s="211" t="s">
        <v>165</v>
      </c>
      <c r="C59" s="201" t="s">
        <v>164</v>
      </c>
      <c r="D59" s="203">
        <f>VLOOKUP($C59,Sheet1!$C$5:$D$98,2,0)</f>
        <v>76000</v>
      </c>
      <c r="E59" s="204">
        <v>0.5</v>
      </c>
      <c r="F59" s="205">
        <f t="shared" ca="1" si="5"/>
        <v>0</v>
      </c>
      <c r="G59" s="206">
        <f>IFERROR(VLOOKUP($B59,Gà!C:J,8,0),IFERROR(VLOOKUP($B59,TVP!C:J,7,0),IFERROR(VLOOKUP($B59,Kitkool!C:J,8,0),IFERROR(VLOOKUP($B59,'La Cusina'!C:J,8,0),VLOOKUP($B59,'Quốc Nhân'!C:J,8,0)))))</f>
        <v>63.289569585344232</v>
      </c>
      <c r="H59" s="207">
        <f t="shared" ca="1" si="4"/>
        <v>0</v>
      </c>
      <c r="I59" s="207"/>
      <c r="J59" s="207">
        <f t="shared" ca="1" si="3"/>
        <v>0</v>
      </c>
      <c r="K59" s="53"/>
      <c r="L59" s="2">
        <f ca="1">IFERROR(SUMIFS(INDIRECT("'Thanh Toán ("&amp;L$3&amp;")'!$F:$F"),INDIRECT("'Thanh Toán ("&amp;L$3&amp;")'!$D:$D"),'Tổng Đơn'!$B59),0)</f>
        <v>0</v>
      </c>
      <c r="M59" s="2">
        <f ca="1">IFERROR(SUMIFS(INDIRECT("'Thanh Toán ("&amp;M$3&amp;")'!$F:$F"),INDIRECT("'Thanh Toán ("&amp;M$3&amp;")'!$D:$D"),'Tổng Đơn'!$B59),0)</f>
        <v>0</v>
      </c>
      <c r="N59" s="2">
        <f ca="1">IFERROR(SUMIFS(INDIRECT("'Thanh Toán ("&amp;N$3&amp;")'!$F:$F"),INDIRECT("'Thanh Toán ("&amp;N$3&amp;")'!$D:$D"),'Tổng Đơn'!$B59),0)</f>
        <v>0</v>
      </c>
      <c r="O59" s="2">
        <f ca="1">IFERROR(SUMIFS(INDIRECT("'Thanh Toán ("&amp;O$3&amp;")'!$F:$F"),INDIRECT("'Thanh Toán ("&amp;O$3&amp;")'!$D:$D"),'Tổng Đơn'!$B59),0)</f>
        <v>0</v>
      </c>
      <c r="P59" s="2">
        <f ca="1">IFERROR(SUMIFS(INDIRECT("'Thanh Toán ("&amp;P$3&amp;")'!$F:$F"),INDIRECT("'Thanh Toán ("&amp;P$3&amp;")'!$D:$D"),'Tổng Đơn'!$B59),0)</f>
        <v>0</v>
      </c>
      <c r="Q59" s="2">
        <f ca="1">IFERROR(SUMIFS(INDIRECT("'Thanh Toán ("&amp;Q$3&amp;")'!$F:$F"),INDIRECT("'Thanh Toán ("&amp;Q$3&amp;")'!$D:$D"),'Tổng Đơn'!$B59),0)</f>
        <v>0</v>
      </c>
      <c r="R59" s="2">
        <f ca="1">IFERROR(SUMIFS(INDIRECT("'Thanh Toán ("&amp;R$3&amp;")'!$F:$F"),INDIRECT("'Thanh Toán ("&amp;R$3&amp;")'!$D:$D"),'Tổng Đơn'!$B59),0)</f>
        <v>0</v>
      </c>
      <c r="S59" s="2">
        <f ca="1">IFERROR(SUMIFS(INDIRECT("'Thanh Toán ("&amp;S$3&amp;")'!$F:$F"),INDIRECT("'Thanh Toán ("&amp;S$3&amp;")'!$D:$D"),'Tổng Đơn'!$B59),0)</f>
        <v>0</v>
      </c>
      <c r="T59" s="2">
        <f ca="1">IFERROR(SUMIFS(INDIRECT("'Thanh Toán ("&amp;T$3&amp;")'!$F:$F"),INDIRECT("'Thanh Toán ("&amp;T$3&amp;")'!$D:$D"),'Tổng Đơn'!$B59),0)</f>
        <v>0</v>
      </c>
      <c r="U59" s="2">
        <f ca="1">IFERROR(SUMIFS(INDIRECT("'Thanh Toán ("&amp;U$3&amp;")'!$F:$F"),INDIRECT("'Thanh Toán ("&amp;U$3&amp;")'!$D:$D"),'Tổng Đơn'!$B59),0)</f>
        <v>0</v>
      </c>
      <c r="V59" s="2">
        <f ca="1">IFERROR(SUMIFS(INDIRECT("'Thanh Toán ("&amp;V$3&amp;")'!$F:$F"),INDIRECT("'Thanh Toán ("&amp;V$3&amp;")'!$D:$D"),'Tổng Đơn'!$B59),0)</f>
        <v>0</v>
      </c>
      <c r="W59" s="2">
        <f ca="1">IFERROR(SUMIFS(INDIRECT("'Thanh Toán ("&amp;W$3&amp;")'!$F:$F"),INDIRECT("'Thanh Toán ("&amp;W$3&amp;")'!$D:$D"),'Tổng Đơn'!$B59),0)</f>
        <v>0</v>
      </c>
      <c r="X59" s="2">
        <f ca="1">IFERROR(SUMIFS(INDIRECT("'Thanh Toán ("&amp;X$3&amp;")'!$F:$F"),INDIRECT("'Thanh Toán ("&amp;X$3&amp;")'!$D:$D"),'Tổng Đơn'!$B59),0)</f>
        <v>0</v>
      </c>
      <c r="Y59" s="2">
        <f ca="1">IFERROR(SUMIFS(INDIRECT("'Thanh Toán ("&amp;Y$3&amp;")'!$F:$F"),INDIRECT("'Thanh Toán ("&amp;Y$3&amp;")'!$D:$D"),'Tổng Đơn'!$B59),0)</f>
        <v>0</v>
      </c>
      <c r="Z59" s="2">
        <f ca="1">IFERROR(SUMIFS(INDIRECT("'Thanh Toán ("&amp;Z$3&amp;")'!$F:$F"),INDIRECT("'Thanh Toán ("&amp;Z$3&amp;")'!$D:$D"),'Tổng Đơn'!$B59),0)</f>
        <v>0</v>
      </c>
      <c r="AA59" s="2">
        <f ca="1">IFERROR(SUMIFS(INDIRECT("'Thanh Toán ("&amp;AA$3&amp;")'!$F:$F"),INDIRECT("'Thanh Toán ("&amp;AA$3&amp;")'!$D:$D"),'Tổng Đơn'!$B59),0)</f>
        <v>0</v>
      </c>
      <c r="AB59" s="2">
        <f ca="1">IFERROR(SUMIFS(INDIRECT("'Thanh Toán ("&amp;AB$3&amp;")'!$F:$F"),INDIRECT("'Thanh Toán ("&amp;AB$3&amp;")'!$D:$D"),'Tổng Đơn'!$B59),0)</f>
        <v>0</v>
      </c>
      <c r="AC59" s="2">
        <f ca="1">IFERROR(SUMIFS(INDIRECT("'Thanh Toán ("&amp;AC$3&amp;")'!$F:$F"),INDIRECT("'Thanh Toán ("&amp;AC$3&amp;")'!$D:$D"),'Tổng Đơn'!$B59),0)</f>
        <v>0</v>
      </c>
      <c r="AD59" s="2">
        <f ca="1">IFERROR(SUMIFS(INDIRECT("'Thanh Toán ("&amp;AD$3&amp;")'!$F:$F"),INDIRECT("'Thanh Toán ("&amp;AD$3&amp;")'!$D:$D"),'Tổng Đơn'!$B59),0)</f>
        <v>0</v>
      </c>
      <c r="AE59" s="2">
        <f ca="1">IFERROR(SUMIFS(INDIRECT("'Thanh Toán ("&amp;AE$3&amp;")'!$F:$F"),INDIRECT("'Thanh Toán ("&amp;AE$3&amp;")'!$D:$D"),'Tổng Đơn'!$B59),0)</f>
        <v>0</v>
      </c>
      <c r="AF59" s="2">
        <f ca="1">IFERROR(SUMIFS(INDIRECT("'Thanh Toán ("&amp;AF$3&amp;")'!$F:$F"),INDIRECT("'Thanh Toán ("&amp;AF$3&amp;")'!$D:$D"),'Tổng Đơn'!$B59),0)</f>
        <v>0</v>
      </c>
      <c r="AG59" s="2">
        <f ca="1">IFERROR(SUMIFS(INDIRECT("'Thanh Toán ("&amp;AG$3&amp;")'!$F:$F"),INDIRECT("'Thanh Toán ("&amp;AG$3&amp;")'!$D:$D"),'Tổng Đơn'!$B59),0)</f>
        <v>0</v>
      </c>
      <c r="AH59" s="2">
        <f ca="1">IFERROR(SUMIFS(INDIRECT("'Thanh Toán ("&amp;AH$3&amp;")'!$F:$F"),INDIRECT("'Thanh Toán ("&amp;AH$3&amp;")'!$D:$D"),'Tổng Đơn'!$B59),0)</f>
        <v>0</v>
      </c>
      <c r="AI59" s="2">
        <f ca="1">IFERROR(SUMIFS(INDIRECT("'Thanh Toán ("&amp;AI$3&amp;")'!$F:$F"),INDIRECT("'Thanh Toán ("&amp;AI$3&amp;")'!$D:$D"),'Tổng Đơn'!$B59),0)</f>
        <v>0</v>
      </c>
      <c r="AJ59" s="2">
        <f ca="1">IFERROR(SUMIFS(INDIRECT("'Thanh Toán ("&amp;AJ$3&amp;")'!$F:$F"),INDIRECT("'Thanh Toán ("&amp;AJ$3&amp;")'!$D:$D"),'Tổng Đơn'!$B59),0)</f>
        <v>0</v>
      </c>
      <c r="AK59" s="2">
        <f ca="1">IFERROR(SUMIFS(INDIRECT("'Thanh Toán ("&amp;AK$3&amp;")'!$F:$F"),INDIRECT("'Thanh Toán ("&amp;AK$3&amp;")'!$D:$D"),'Tổng Đơn'!$B59),0)</f>
        <v>0</v>
      </c>
      <c r="AL59" s="2">
        <f ca="1">IFERROR(SUMIFS(INDIRECT("'Thanh Toán ("&amp;AL$3&amp;")'!$F:$F"),INDIRECT("'Thanh Toán ("&amp;AL$3&amp;")'!$D:$D"),'Tổng Đơn'!$B59),0)</f>
        <v>0</v>
      </c>
      <c r="AM59" s="2">
        <f ca="1">IFERROR(SUMIFS(INDIRECT("'Thanh Toán ("&amp;AM$3&amp;")'!$F:$F"),INDIRECT("'Thanh Toán ("&amp;AM$3&amp;")'!$D:$D"),'Tổng Đơn'!$B59),0)</f>
        <v>0</v>
      </c>
      <c r="AN59" s="2">
        <f ca="1">IFERROR(SUMIFS(INDIRECT("'Thanh Toán ("&amp;AN$3&amp;")'!$F:$F"),INDIRECT("'Thanh Toán ("&amp;AN$3&amp;")'!$D:$D"),'Tổng Đơn'!$B59),0)</f>
        <v>0</v>
      </c>
      <c r="AO59" s="2">
        <f ca="1">IFERROR(SUMIFS(INDIRECT("'Thanh Toán ("&amp;AO$3&amp;")'!$F:$F"),INDIRECT("'Thanh Toán ("&amp;AO$3&amp;")'!$D:$D"),'Tổng Đơn'!$B59),0)</f>
        <v>0</v>
      </c>
      <c r="AP59" s="2">
        <f ca="1">IFERROR(SUMIFS(INDIRECT("'Thanh Toán ("&amp;AP$3&amp;")'!$F:$F"),INDIRECT("'Thanh Toán ("&amp;AP$3&amp;")'!$D:$D"),'Tổng Đơn'!$B59),0)</f>
        <v>0</v>
      </c>
      <c r="AQ59" s="2">
        <f ca="1">IFERROR(SUMIFS(INDIRECT("'Thanh Toán ("&amp;AQ$3&amp;")'!$F:$F"),INDIRECT("'Thanh Toán ("&amp;AQ$3&amp;")'!$D:$D"),'Tổng Đơn'!$B59),0)</f>
        <v>0</v>
      </c>
      <c r="AR59" s="2">
        <f ca="1">IFERROR(SUMIFS(INDIRECT("'Thanh Toán ("&amp;AR$3&amp;")'!$F:$F"),INDIRECT("'Thanh Toán ("&amp;AR$3&amp;")'!$D:$D"),'Tổng Đơn'!$B59),0)</f>
        <v>0</v>
      </c>
      <c r="AS59" s="2">
        <f ca="1">IFERROR(SUMIFS(INDIRECT("'Thanh Toán ("&amp;AS$3&amp;")'!$F:$F"),INDIRECT("'Thanh Toán ("&amp;AS$3&amp;")'!$D:$D"),'Tổng Đơn'!$B59),0)</f>
        <v>0</v>
      </c>
      <c r="AT59" s="2">
        <f ca="1">IFERROR(SUMIFS(INDIRECT("'Thanh Toán ("&amp;AT$3&amp;")'!$F:$F"),INDIRECT("'Thanh Toán ("&amp;AT$3&amp;")'!$D:$D"),'Tổng Đơn'!$B59),0)</f>
        <v>0</v>
      </c>
      <c r="AU59" s="2">
        <f ca="1">IFERROR(SUMIFS(INDIRECT("'Thanh Toán ("&amp;AU$3&amp;")'!$F:$F"),INDIRECT("'Thanh Toán ("&amp;AU$3&amp;")'!$D:$D"),'Tổng Đơn'!$B59),0)</f>
        <v>0</v>
      </c>
      <c r="AV59" s="2">
        <f ca="1">IFERROR(SUMIFS(INDIRECT("'Thanh Toán ("&amp;AV$3&amp;")'!$F:$F"),INDIRECT("'Thanh Toán ("&amp;AV$3&amp;")'!$D:$D"),'Tổng Đơn'!$B59),0)</f>
        <v>0</v>
      </c>
      <c r="AW59" s="2">
        <f ca="1">IFERROR(SUMIFS(INDIRECT("'Thanh Toán ("&amp;AW$3&amp;")'!$F:$F"),INDIRECT("'Thanh Toán ("&amp;AW$3&amp;")'!$D:$D"),'Tổng Đơn'!$B59),0)</f>
        <v>0</v>
      </c>
      <c r="AX59" s="2">
        <f ca="1">IFERROR(SUMIFS(INDIRECT("'Thanh Toán ("&amp;AX$3&amp;")'!$F:$F"),INDIRECT("'Thanh Toán ("&amp;AX$3&amp;")'!$D:$D"),'Tổng Đơn'!$B59),0)</f>
        <v>0</v>
      </c>
      <c r="AY59" s="2">
        <f ca="1">IFERROR(SUMIFS(INDIRECT("'Thanh Toán ("&amp;AY$3&amp;")'!$F:$F"),INDIRECT("'Thanh Toán ("&amp;AY$3&amp;")'!$D:$D"),'Tổng Đơn'!$B59),0)</f>
        <v>0</v>
      </c>
      <c r="AZ59" s="2">
        <f ca="1">IFERROR(SUMIFS(INDIRECT("'Thanh Toán ("&amp;AZ$3&amp;")'!$F:$F"),INDIRECT("'Thanh Toán ("&amp;AZ$3&amp;")'!$D:$D"),'Tổng Đơn'!$B59),0)</f>
        <v>0</v>
      </c>
      <c r="BA59" s="2">
        <f ca="1">IFERROR(SUMIFS(INDIRECT("'Thanh Toán ("&amp;BA$3&amp;")'!$F:$F"),INDIRECT("'Thanh Toán ("&amp;BA$3&amp;")'!$D:$D"),'Tổng Đơn'!$B59),0)</f>
        <v>0</v>
      </c>
      <c r="BB59" s="2">
        <f ca="1">IFERROR(SUMIFS(INDIRECT("'Thanh Toán ("&amp;BB$3&amp;")'!$F:$F"),INDIRECT("'Thanh Toán ("&amp;BB$3&amp;")'!$D:$D"),'Tổng Đơn'!$B59),0)</f>
        <v>0</v>
      </c>
      <c r="BC59" s="2">
        <f ca="1">IFERROR(SUMIFS(INDIRECT("'Thanh Toán ("&amp;BC$3&amp;")'!$F:$F"),INDIRECT("'Thanh Toán ("&amp;BC$3&amp;")'!$D:$D"),'Tổng Đơn'!$B59),0)</f>
        <v>0</v>
      </c>
    </row>
    <row r="60" spans="1:55" ht="18" customHeight="1" x14ac:dyDescent="0.25">
      <c r="A60" s="210">
        <v>53</v>
      </c>
      <c r="B60" s="211" t="s">
        <v>175</v>
      </c>
      <c r="C60" s="201" t="s">
        <v>166</v>
      </c>
      <c r="D60" s="203">
        <f>VLOOKUP($C60,Sheet1!$C$5:$D$98,2,0)</f>
        <v>30000</v>
      </c>
      <c r="E60" s="204">
        <v>0.5</v>
      </c>
      <c r="F60" s="205">
        <f t="shared" ca="1" si="5"/>
        <v>0</v>
      </c>
      <c r="G60" s="206">
        <f>IFERROR(VLOOKUP($B60,Gà!C:J,8,0),IFERROR(VLOOKUP($B60,TVP!C:J,7,0),IFERROR(VLOOKUP($B60,Kitkool!C:J,8,0),IFERROR(VLOOKUP($B60,'La Cusina'!C:J,8,0),VLOOKUP($B60,'Quốc Nhân'!C:J,8,0)))))</f>
        <v>22.312974814150543</v>
      </c>
      <c r="H60" s="207">
        <f t="shared" ca="1" si="4"/>
        <v>0</v>
      </c>
      <c r="I60" s="207"/>
      <c r="J60" s="207">
        <f t="shared" ca="1" si="3"/>
        <v>0</v>
      </c>
      <c r="K60" s="53"/>
      <c r="L60" s="2">
        <f ca="1">IFERROR(SUMIFS(INDIRECT("'Thanh Toán ("&amp;L$3&amp;")'!$F:$F"),INDIRECT("'Thanh Toán ("&amp;L$3&amp;")'!$D:$D"),'Tổng Đơn'!$B60),0)</f>
        <v>0</v>
      </c>
      <c r="M60" s="2">
        <f ca="1">IFERROR(SUMIFS(INDIRECT("'Thanh Toán ("&amp;M$3&amp;")'!$F:$F"),INDIRECT("'Thanh Toán ("&amp;M$3&amp;")'!$D:$D"),'Tổng Đơn'!$B60),0)</f>
        <v>0</v>
      </c>
      <c r="N60" s="2">
        <f ca="1">IFERROR(SUMIFS(INDIRECT("'Thanh Toán ("&amp;N$3&amp;")'!$F:$F"),INDIRECT("'Thanh Toán ("&amp;N$3&amp;")'!$D:$D"),'Tổng Đơn'!$B60),0)</f>
        <v>0</v>
      </c>
      <c r="O60" s="2">
        <f ca="1">IFERROR(SUMIFS(INDIRECT("'Thanh Toán ("&amp;O$3&amp;")'!$F:$F"),INDIRECT("'Thanh Toán ("&amp;O$3&amp;")'!$D:$D"),'Tổng Đơn'!$B60),0)</f>
        <v>0</v>
      </c>
      <c r="P60" s="2">
        <f ca="1">IFERROR(SUMIFS(INDIRECT("'Thanh Toán ("&amp;P$3&amp;")'!$F:$F"),INDIRECT("'Thanh Toán ("&amp;P$3&amp;")'!$D:$D"),'Tổng Đơn'!$B60),0)</f>
        <v>0</v>
      </c>
      <c r="Q60" s="2">
        <f ca="1">IFERROR(SUMIFS(INDIRECT("'Thanh Toán ("&amp;Q$3&amp;")'!$F:$F"),INDIRECT("'Thanh Toán ("&amp;Q$3&amp;")'!$D:$D"),'Tổng Đơn'!$B60),0)</f>
        <v>0</v>
      </c>
      <c r="R60" s="2">
        <f ca="1">IFERROR(SUMIFS(INDIRECT("'Thanh Toán ("&amp;R$3&amp;")'!$F:$F"),INDIRECT("'Thanh Toán ("&amp;R$3&amp;")'!$D:$D"),'Tổng Đơn'!$B60),0)</f>
        <v>0</v>
      </c>
      <c r="S60" s="2">
        <f ca="1">IFERROR(SUMIFS(INDIRECT("'Thanh Toán ("&amp;S$3&amp;")'!$F:$F"),INDIRECT("'Thanh Toán ("&amp;S$3&amp;")'!$D:$D"),'Tổng Đơn'!$B60),0)</f>
        <v>0</v>
      </c>
      <c r="T60" s="2">
        <f ca="1">IFERROR(SUMIFS(INDIRECT("'Thanh Toán ("&amp;T$3&amp;")'!$F:$F"),INDIRECT("'Thanh Toán ("&amp;T$3&amp;")'!$D:$D"),'Tổng Đơn'!$B60),0)</f>
        <v>0</v>
      </c>
      <c r="U60" s="2">
        <f ca="1">IFERROR(SUMIFS(INDIRECT("'Thanh Toán ("&amp;U$3&amp;")'!$F:$F"),INDIRECT("'Thanh Toán ("&amp;U$3&amp;")'!$D:$D"),'Tổng Đơn'!$B60),0)</f>
        <v>0</v>
      </c>
      <c r="V60" s="2">
        <f ca="1">IFERROR(SUMIFS(INDIRECT("'Thanh Toán ("&amp;V$3&amp;")'!$F:$F"),INDIRECT("'Thanh Toán ("&amp;V$3&amp;")'!$D:$D"),'Tổng Đơn'!$B60),0)</f>
        <v>0</v>
      </c>
      <c r="W60" s="2">
        <f ca="1">IFERROR(SUMIFS(INDIRECT("'Thanh Toán ("&amp;W$3&amp;")'!$F:$F"),INDIRECT("'Thanh Toán ("&amp;W$3&amp;")'!$D:$D"),'Tổng Đơn'!$B60),0)</f>
        <v>0</v>
      </c>
      <c r="X60" s="2">
        <f ca="1">IFERROR(SUMIFS(INDIRECT("'Thanh Toán ("&amp;X$3&amp;")'!$F:$F"),INDIRECT("'Thanh Toán ("&amp;X$3&amp;")'!$D:$D"),'Tổng Đơn'!$B60),0)</f>
        <v>0</v>
      </c>
      <c r="Y60" s="2">
        <f ca="1">IFERROR(SUMIFS(INDIRECT("'Thanh Toán ("&amp;Y$3&amp;")'!$F:$F"),INDIRECT("'Thanh Toán ("&amp;Y$3&amp;")'!$D:$D"),'Tổng Đơn'!$B60),0)</f>
        <v>0</v>
      </c>
      <c r="Z60" s="2">
        <f ca="1">IFERROR(SUMIFS(INDIRECT("'Thanh Toán ("&amp;Z$3&amp;")'!$F:$F"),INDIRECT("'Thanh Toán ("&amp;Z$3&amp;")'!$D:$D"),'Tổng Đơn'!$B60),0)</f>
        <v>0</v>
      </c>
      <c r="AA60" s="2">
        <f ca="1">IFERROR(SUMIFS(INDIRECT("'Thanh Toán ("&amp;AA$3&amp;")'!$F:$F"),INDIRECT("'Thanh Toán ("&amp;AA$3&amp;")'!$D:$D"),'Tổng Đơn'!$B60),0)</f>
        <v>0</v>
      </c>
      <c r="AB60" s="2">
        <f ca="1">IFERROR(SUMIFS(INDIRECT("'Thanh Toán ("&amp;AB$3&amp;")'!$F:$F"),INDIRECT("'Thanh Toán ("&amp;AB$3&amp;")'!$D:$D"),'Tổng Đơn'!$B60),0)</f>
        <v>0</v>
      </c>
      <c r="AC60" s="2">
        <f ca="1">IFERROR(SUMIFS(INDIRECT("'Thanh Toán ("&amp;AC$3&amp;")'!$F:$F"),INDIRECT("'Thanh Toán ("&amp;AC$3&amp;")'!$D:$D"),'Tổng Đơn'!$B60),0)</f>
        <v>0</v>
      </c>
      <c r="AD60" s="2">
        <f ca="1">IFERROR(SUMIFS(INDIRECT("'Thanh Toán ("&amp;AD$3&amp;")'!$F:$F"),INDIRECT("'Thanh Toán ("&amp;AD$3&amp;")'!$D:$D"),'Tổng Đơn'!$B60),0)</f>
        <v>0</v>
      </c>
      <c r="AE60" s="2">
        <f ca="1">IFERROR(SUMIFS(INDIRECT("'Thanh Toán ("&amp;AE$3&amp;")'!$F:$F"),INDIRECT("'Thanh Toán ("&amp;AE$3&amp;")'!$D:$D"),'Tổng Đơn'!$B60),0)</f>
        <v>0</v>
      </c>
      <c r="AF60" s="2">
        <f ca="1">IFERROR(SUMIFS(INDIRECT("'Thanh Toán ("&amp;AF$3&amp;")'!$F:$F"),INDIRECT("'Thanh Toán ("&amp;AF$3&amp;")'!$D:$D"),'Tổng Đơn'!$B60),0)</f>
        <v>0</v>
      </c>
      <c r="AG60" s="2">
        <f ca="1">IFERROR(SUMIFS(INDIRECT("'Thanh Toán ("&amp;AG$3&amp;")'!$F:$F"),INDIRECT("'Thanh Toán ("&amp;AG$3&amp;")'!$D:$D"),'Tổng Đơn'!$B60),0)</f>
        <v>0</v>
      </c>
      <c r="AH60" s="2">
        <f ca="1">IFERROR(SUMIFS(INDIRECT("'Thanh Toán ("&amp;AH$3&amp;")'!$F:$F"),INDIRECT("'Thanh Toán ("&amp;AH$3&amp;")'!$D:$D"),'Tổng Đơn'!$B60),0)</f>
        <v>0</v>
      </c>
      <c r="AI60" s="2">
        <f ca="1">IFERROR(SUMIFS(INDIRECT("'Thanh Toán ("&amp;AI$3&amp;")'!$F:$F"),INDIRECT("'Thanh Toán ("&amp;AI$3&amp;")'!$D:$D"),'Tổng Đơn'!$B60),0)</f>
        <v>0</v>
      </c>
      <c r="AJ60" s="2">
        <f ca="1">IFERROR(SUMIFS(INDIRECT("'Thanh Toán ("&amp;AJ$3&amp;")'!$F:$F"),INDIRECT("'Thanh Toán ("&amp;AJ$3&amp;")'!$D:$D"),'Tổng Đơn'!$B60),0)</f>
        <v>0</v>
      </c>
      <c r="AK60" s="2">
        <f ca="1">IFERROR(SUMIFS(INDIRECT("'Thanh Toán ("&amp;AK$3&amp;")'!$F:$F"),INDIRECT("'Thanh Toán ("&amp;AK$3&amp;")'!$D:$D"),'Tổng Đơn'!$B60),0)</f>
        <v>0</v>
      </c>
      <c r="AL60" s="2">
        <f ca="1">IFERROR(SUMIFS(INDIRECT("'Thanh Toán ("&amp;AL$3&amp;")'!$F:$F"),INDIRECT("'Thanh Toán ("&amp;AL$3&amp;")'!$D:$D"),'Tổng Đơn'!$B60),0)</f>
        <v>0</v>
      </c>
      <c r="AM60" s="2">
        <f ca="1">IFERROR(SUMIFS(INDIRECT("'Thanh Toán ("&amp;AM$3&amp;")'!$F:$F"),INDIRECT("'Thanh Toán ("&amp;AM$3&amp;")'!$D:$D"),'Tổng Đơn'!$B60),0)</f>
        <v>0</v>
      </c>
      <c r="AN60" s="2">
        <f ca="1">IFERROR(SUMIFS(INDIRECT("'Thanh Toán ("&amp;AN$3&amp;")'!$F:$F"),INDIRECT("'Thanh Toán ("&amp;AN$3&amp;")'!$D:$D"),'Tổng Đơn'!$B60),0)</f>
        <v>0</v>
      </c>
      <c r="AO60" s="2">
        <f ca="1">IFERROR(SUMIFS(INDIRECT("'Thanh Toán ("&amp;AO$3&amp;")'!$F:$F"),INDIRECT("'Thanh Toán ("&amp;AO$3&amp;")'!$D:$D"),'Tổng Đơn'!$B60),0)</f>
        <v>0</v>
      </c>
      <c r="AP60" s="2">
        <f ca="1">IFERROR(SUMIFS(INDIRECT("'Thanh Toán ("&amp;AP$3&amp;")'!$F:$F"),INDIRECT("'Thanh Toán ("&amp;AP$3&amp;")'!$D:$D"),'Tổng Đơn'!$B60),0)</f>
        <v>0</v>
      </c>
      <c r="AQ60" s="2">
        <f ca="1">IFERROR(SUMIFS(INDIRECT("'Thanh Toán ("&amp;AQ$3&amp;")'!$F:$F"),INDIRECT("'Thanh Toán ("&amp;AQ$3&amp;")'!$D:$D"),'Tổng Đơn'!$B60),0)</f>
        <v>0</v>
      </c>
      <c r="AR60" s="2">
        <f ca="1">IFERROR(SUMIFS(INDIRECT("'Thanh Toán ("&amp;AR$3&amp;")'!$F:$F"),INDIRECT("'Thanh Toán ("&amp;AR$3&amp;")'!$D:$D"),'Tổng Đơn'!$B60),0)</f>
        <v>0</v>
      </c>
      <c r="AS60" s="2">
        <f ca="1">IFERROR(SUMIFS(INDIRECT("'Thanh Toán ("&amp;AS$3&amp;")'!$F:$F"),INDIRECT("'Thanh Toán ("&amp;AS$3&amp;")'!$D:$D"),'Tổng Đơn'!$B60),0)</f>
        <v>0</v>
      </c>
      <c r="AT60" s="2">
        <f ca="1">IFERROR(SUMIFS(INDIRECT("'Thanh Toán ("&amp;AT$3&amp;")'!$F:$F"),INDIRECT("'Thanh Toán ("&amp;AT$3&amp;")'!$D:$D"),'Tổng Đơn'!$B60),0)</f>
        <v>0</v>
      </c>
      <c r="AU60" s="2">
        <f ca="1">IFERROR(SUMIFS(INDIRECT("'Thanh Toán ("&amp;AU$3&amp;")'!$F:$F"),INDIRECT("'Thanh Toán ("&amp;AU$3&amp;")'!$D:$D"),'Tổng Đơn'!$B60),0)</f>
        <v>0</v>
      </c>
      <c r="AV60" s="2">
        <f ca="1">IFERROR(SUMIFS(INDIRECT("'Thanh Toán ("&amp;AV$3&amp;")'!$F:$F"),INDIRECT("'Thanh Toán ("&amp;AV$3&amp;")'!$D:$D"),'Tổng Đơn'!$B60),0)</f>
        <v>0</v>
      </c>
      <c r="AW60" s="2">
        <f ca="1">IFERROR(SUMIFS(INDIRECT("'Thanh Toán ("&amp;AW$3&amp;")'!$F:$F"),INDIRECT("'Thanh Toán ("&amp;AW$3&amp;")'!$D:$D"),'Tổng Đơn'!$B60),0)</f>
        <v>0</v>
      </c>
      <c r="AX60" s="2">
        <f ca="1">IFERROR(SUMIFS(INDIRECT("'Thanh Toán ("&amp;AX$3&amp;")'!$F:$F"),INDIRECT("'Thanh Toán ("&amp;AX$3&amp;")'!$D:$D"),'Tổng Đơn'!$B60),0)</f>
        <v>0</v>
      </c>
      <c r="AY60" s="2">
        <f ca="1">IFERROR(SUMIFS(INDIRECT("'Thanh Toán ("&amp;AY$3&amp;")'!$F:$F"),INDIRECT("'Thanh Toán ("&amp;AY$3&amp;")'!$D:$D"),'Tổng Đơn'!$B60),0)</f>
        <v>0</v>
      </c>
      <c r="AZ60" s="2">
        <f ca="1">IFERROR(SUMIFS(INDIRECT("'Thanh Toán ("&amp;AZ$3&amp;")'!$F:$F"),INDIRECT("'Thanh Toán ("&amp;AZ$3&amp;")'!$D:$D"),'Tổng Đơn'!$B60),0)</f>
        <v>0</v>
      </c>
      <c r="BA60" s="2">
        <f ca="1">IFERROR(SUMIFS(INDIRECT("'Thanh Toán ("&amp;BA$3&amp;")'!$F:$F"),INDIRECT("'Thanh Toán ("&amp;BA$3&amp;")'!$D:$D"),'Tổng Đơn'!$B60),0)</f>
        <v>0</v>
      </c>
      <c r="BB60" s="2">
        <f ca="1">IFERROR(SUMIFS(INDIRECT("'Thanh Toán ("&amp;BB$3&amp;")'!$F:$F"),INDIRECT("'Thanh Toán ("&amp;BB$3&amp;")'!$D:$D"),'Tổng Đơn'!$B60),0)</f>
        <v>0</v>
      </c>
      <c r="BC60" s="2">
        <f ca="1">IFERROR(SUMIFS(INDIRECT("'Thanh Toán ("&amp;BC$3&amp;")'!$F:$F"),INDIRECT("'Thanh Toán ("&amp;BC$3&amp;")'!$D:$D"),'Tổng Đơn'!$B60),0)</f>
        <v>0</v>
      </c>
    </row>
    <row r="61" spans="1:55" ht="18" customHeight="1" x14ac:dyDescent="0.25">
      <c r="A61" s="210">
        <v>54</v>
      </c>
      <c r="B61" s="211" t="s">
        <v>173</v>
      </c>
      <c r="C61" s="201" t="s">
        <v>172</v>
      </c>
      <c r="D61" s="203">
        <f>VLOOKUP($C61,Sheet1!$C$5:$D$98,2,0)</f>
        <v>45000</v>
      </c>
      <c r="E61" s="204">
        <v>1</v>
      </c>
      <c r="F61" s="205">
        <f t="shared" ca="1" si="5"/>
        <v>2</v>
      </c>
      <c r="G61" s="206">
        <f>IFERROR(VLOOKUP($B61,Gà!C:J,8,0),IFERROR(VLOOKUP($B61,TVP!C:J,7,0),IFERROR(VLOOKUP($B61,Kitkool!C:J,8,0),IFERROR(VLOOKUP($B61,'La Cusina'!C:J,8,0),VLOOKUP($B61,'Quốc Nhân'!C:J,8,0)))))</f>
        <v>40.009472080545805</v>
      </c>
      <c r="H61" s="207">
        <f t="shared" ca="1" si="4"/>
        <v>9981.055838908389</v>
      </c>
      <c r="I61" s="207"/>
      <c r="J61" s="207">
        <f t="shared" ca="1" si="3"/>
        <v>80018.944161091611</v>
      </c>
      <c r="K61" s="53"/>
      <c r="L61" s="2">
        <f ca="1">IFERROR(SUMIFS(INDIRECT("'Thanh Toán ("&amp;L$3&amp;")'!$F:$F"),INDIRECT("'Thanh Toán ("&amp;L$3&amp;")'!$D:$D"),'Tổng Đơn'!$B61),0)</f>
        <v>0</v>
      </c>
      <c r="M61" s="2">
        <f ca="1">IFERROR(SUMIFS(INDIRECT("'Thanh Toán ("&amp;M$3&amp;")'!$F:$F"),INDIRECT("'Thanh Toán ("&amp;M$3&amp;")'!$D:$D"),'Tổng Đơn'!$B61),0)</f>
        <v>1</v>
      </c>
      <c r="N61" s="2">
        <f ca="1">IFERROR(SUMIFS(INDIRECT("'Thanh Toán ("&amp;N$3&amp;")'!$F:$F"),INDIRECT("'Thanh Toán ("&amp;N$3&amp;")'!$D:$D"),'Tổng Đơn'!$B61),0)</f>
        <v>0</v>
      </c>
      <c r="O61" s="2">
        <f ca="1">IFERROR(SUMIFS(INDIRECT("'Thanh Toán ("&amp;O$3&amp;")'!$F:$F"),INDIRECT("'Thanh Toán ("&amp;O$3&amp;")'!$D:$D"),'Tổng Đơn'!$B61),0)</f>
        <v>0</v>
      </c>
      <c r="P61" s="2">
        <f ca="1">IFERROR(SUMIFS(INDIRECT("'Thanh Toán ("&amp;P$3&amp;")'!$F:$F"),INDIRECT("'Thanh Toán ("&amp;P$3&amp;")'!$D:$D"),'Tổng Đơn'!$B61),0)</f>
        <v>0</v>
      </c>
      <c r="Q61" s="2">
        <f ca="1">IFERROR(SUMIFS(INDIRECT("'Thanh Toán ("&amp;Q$3&amp;")'!$F:$F"),INDIRECT("'Thanh Toán ("&amp;Q$3&amp;")'!$D:$D"),'Tổng Đơn'!$B61),0)</f>
        <v>0</v>
      </c>
      <c r="R61" s="2">
        <f ca="1">IFERROR(SUMIFS(INDIRECT("'Thanh Toán ("&amp;R$3&amp;")'!$F:$F"),INDIRECT("'Thanh Toán ("&amp;R$3&amp;")'!$D:$D"),'Tổng Đơn'!$B61),0)</f>
        <v>0</v>
      </c>
      <c r="S61" s="2">
        <f ca="1">IFERROR(SUMIFS(INDIRECT("'Thanh Toán ("&amp;S$3&amp;")'!$F:$F"),INDIRECT("'Thanh Toán ("&amp;S$3&amp;")'!$D:$D"),'Tổng Đơn'!$B61),0)</f>
        <v>0</v>
      </c>
      <c r="T61" s="2">
        <f ca="1">IFERROR(SUMIFS(INDIRECT("'Thanh Toán ("&amp;T$3&amp;")'!$F:$F"),INDIRECT("'Thanh Toán ("&amp;T$3&amp;")'!$D:$D"),'Tổng Đơn'!$B61),0)</f>
        <v>0</v>
      </c>
      <c r="U61" s="2">
        <f ca="1">IFERROR(SUMIFS(INDIRECT("'Thanh Toán ("&amp;U$3&amp;")'!$F:$F"),INDIRECT("'Thanh Toán ("&amp;U$3&amp;")'!$D:$D"),'Tổng Đơn'!$B61),0)</f>
        <v>0</v>
      </c>
      <c r="V61" s="2">
        <f ca="1">IFERROR(SUMIFS(INDIRECT("'Thanh Toán ("&amp;V$3&amp;")'!$F:$F"),INDIRECT("'Thanh Toán ("&amp;V$3&amp;")'!$D:$D"),'Tổng Đơn'!$B61),0)</f>
        <v>0</v>
      </c>
      <c r="W61" s="2">
        <f ca="1">IFERROR(SUMIFS(INDIRECT("'Thanh Toán ("&amp;W$3&amp;")'!$F:$F"),INDIRECT("'Thanh Toán ("&amp;W$3&amp;")'!$D:$D"),'Tổng Đơn'!$B61),0)</f>
        <v>1</v>
      </c>
      <c r="X61" s="2">
        <f ca="1">IFERROR(SUMIFS(INDIRECT("'Thanh Toán ("&amp;X$3&amp;")'!$F:$F"),INDIRECT("'Thanh Toán ("&amp;X$3&amp;")'!$D:$D"),'Tổng Đơn'!$B61),0)</f>
        <v>0</v>
      </c>
      <c r="Y61" s="2">
        <f ca="1">IFERROR(SUMIFS(INDIRECT("'Thanh Toán ("&amp;Y$3&amp;")'!$F:$F"),INDIRECT("'Thanh Toán ("&amp;Y$3&amp;")'!$D:$D"),'Tổng Đơn'!$B61),0)</f>
        <v>0</v>
      </c>
      <c r="Z61" s="2">
        <f ca="1">IFERROR(SUMIFS(INDIRECT("'Thanh Toán ("&amp;Z$3&amp;")'!$F:$F"),INDIRECT("'Thanh Toán ("&amp;Z$3&amp;")'!$D:$D"),'Tổng Đơn'!$B61),0)</f>
        <v>0</v>
      </c>
      <c r="AA61" s="2">
        <f ca="1">IFERROR(SUMIFS(INDIRECT("'Thanh Toán ("&amp;AA$3&amp;")'!$F:$F"),INDIRECT("'Thanh Toán ("&amp;AA$3&amp;")'!$D:$D"),'Tổng Đơn'!$B61),0)</f>
        <v>0</v>
      </c>
      <c r="AB61" s="2">
        <f ca="1">IFERROR(SUMIFS(INDIRECT("'Thanh Toán ("&amp;AB$3&amp;")'!$F:$F"),INDIRECT("'Thanh Toán ("&amp;AB$3&amp;")'!$D:$D"),'Tổng Đơn'!$B61),0)</f>
        <v>0</v>
      </c>
      <c r="AC61" s="2">
        <f ca="1">IFERROR(SUMIFS(INDIRECT("'Thanh Toán ("&amp;AC$3&amp;")'!$F:$F"),INDIRECT("'Thanh Toán ("&amp;AC$3&amp;")'!$D:$D"),'Tổng Đơn'!$B61),0)</f>
        <v>0</v>
      </c>
      <c r="AD61" s="2">
        <f ca="1">IFERROR(SUMIFS(INDIRECT("'Thanh Toán ("&amp;AD$3&amp;")'!$F:$F"),INDIRECT("'Thanh Toán ("&amp;AD$3&amp;")'!$D:$D"),'Tổng Đơn'!$B61),0)</f>
        <v>0</v>
      </c>
      <c r="AE61" s="2">
        <f ca="1">IFERROR(SUMIFS(INDIRECT("'Thanh Toán ("&amp;AE$3&amp;")'!$F:$F"),INDIRECT("'Thanh Toán ("&amp;AE$3&amp;")'!$D:$D"),'Tổng Đơn'!$B61),0)</f>
        <v>0</v>
      </c>
      <c r="AF61" s="2">
        <f ca="1">IFERROR(SUMIFS(INDIRECT("'Thanh Toán ("&amp;AF$3&amp;")'!$F:$F"),INDIRECT("'Thanh Toán ("&amp;AF$3&amp;")'!$D:$D"),'Tổng Đơn'!$B61),0)</f>
        <v>0</v>
      </c>
      <c r="AG61" s="2">
        <f ca="1">IFERROR(SUMIFS(INDIRECT("'Thanh Toán ("&amp;AG$3&amp;")'!$F:$F"),INDIRECT("'Thanh Toán ("&amp;AG$3&amp;")'!$D:$D"),'Tổng Đơn'!$B61),0)</f>
        <v>0</v>
      </c>
      <c r="AH61" s="2">
        <f ca="1">IFERROR(SUMIFS(INDIRECT("'Thanh Toán ("&amp;AH$3&amp;")'!$F:$F"),INDIRECT("'Thanh Toán ("&amp;AH$3&amp;")'!$D:$D"),'Tổng Đơn'!$B61),0)</f>
        <v>0</v>
      </c>
      <c r="AI61" s="2">
        <f ca="1">IFERROR(SUMIFS(INDIRECT("'Thanh Toán ("&amp;AI$3&amp;")'!$F:$F"),INDIRECT("'Thanh Toán ("&amp;AI$3&amp;")'!$D:$D"),'Tổng Đơn'!$B61),0)</f>
        <v>0</v>
      </c>
      <c r="AJ61" s="2">
        <f ca="1">IFERROR(SUMIFS(INDIRECT("'Thanh Toán ("&amp;AJ$3&amp;")'!$F:$F"),INDIRECT("'Thanh Toán ("&amp;AJ$3&amp;")'!$D:$D"),'Tổng Đơn'!$B61),0)</f>
        <v>0</v>
      </c>
      <c r="AK61" s="2">
        <f ca="1">IFERROR(SUMIFS(INDIRECT("'Thanh Toán ("&amp;AK$3&amp;")'!$F:$F"),INDIRECT("'Thanh Toán ("&amp;AK$3&amp;")'!$D:$D"),'Tổng Đơn'!$B61),0)</f>
        <v>0</v>
      </c>
      <c r="AL61" s="2">
        <f ca="1">IFERROR(SUMIFS(INDIRECT("'Thanh Toán ("&amp;AL$3&amp;")'!$F:$F"),INDIRECT("'Thanh Toán ("&amp;AL$3&amp;")'!$D:$D"),'Tổng Đơn'!$B61),0)</f>
        <v>0</v>
      </c>
      <c r="AM61" s="2">
        <f ca="1">IFERROR(SUMIFS(INDIRECT("'Thanh Toán ("&amp;AM$3&amp;")'!$F:$F"),INDIRECT("'Thanh Toán ("&amp;AM$3&amp;")'!$D:$D"),'Tổng Đơn'!$B61),0)</f>
        <v>0</v>
      </c>
      <c r="AN61" s="2">
        <f ca="1">IFERROR(SUMIFS(INDIRECT("'Thanh Toán ("&amp;AN$3&amp;")'!$F:$F"),INDIRECT("'Thanh Toán ("&amp;AN$3&amp;")'!$D:$D"),'Tổng Đơn'!$B61),0)</f>
        <v>0</v>
      </c>
      <c r="AO61" s="2">
        <f ca="1">IFERROR(SUMIFS(INDIRECT("'Thanh Toán ("&amp;AO$3&amp;")'!$F:$F"),INDIRECT("'Thanh Toán ("&amp;AO$3&amp;")'!$D:$D"),'Tổng Đơn'!$B61),0)</f>
        <v>0</v>
      </c>
      <c r="AP61" s="2">
        <f ca="1">IFERROR(SUMIFS(INDIRECT("'Thanh Toán ("&amp;AP$3&amp;")'!$F:$F"),INDIRECT("'Thanh Toán ("&amp;AP$3&amp;")'!$D:$D"),'Tổng Đơn'!$B61),0)</f>
        <v>0</v>
      </c>
      <c r="AQ61" s="2">
        <f ca="1">IFERROR(SUMIFS(INDIRECT("'Thanh Toán ("&amp;AQ$3&amp;")'!$F:$F"),INDIRECT("'Thanh Toán ("&amp;AQ$3&amp;")'!$D:$D"),'Tổng Đơn'!$B61),0)</f>
        <v>0</v>
      </c>
      <c r="AR61" s="2">
        <f ca="1">IFERROR(SUMIFS(INDIRECT("'Thanh Toán ("&amp;AR$3&amp;")'!$F:$F"),INDIRECT("'Thanh Toán ("&amp;AR$3&amp;")'!$D:$D"),'Tổng Đơn'!$B61),0)</f>
        <v>0</v>
      </c>
      <c r="AS61" s="2">
        <f ca="1">IFERROR(SUMIFS(INDIRECT("'Thanh Toán ("&amp;AS$3&amp;")'!$F:$F"),INDIRECT("'Thanh Toán ("&amp;AS$3&amp;")'!$D:$D"),'Tổng Đơn'!$B61),0)</f>
        <v>0</v>
      </c>
      <c r="AT61" s="2">
        <f ca="1">IFERROR(SUMIFS(INDIRECT("'Thanh Toán ("&amp;AT$3&amp;")'!$F:$F"),INDIRECT("'Thanh Toán ("&amp;AT$3&amp;")'!$D:$D"),'Tổng Đơn'!$B61),0)</f>
        <v>0</v>
      </c>
      <c r="AU61" s="2">
        <f ca="1">IFERROR(SUMIFS(INDIRECT("'Thanh Toán ("&amp;AU$3&amp;")'!$F:$F"),INDIRECT("'Thanh Toán ("&amp;AU$3&amp;")'!$D:$D"),'Tổng Đơn'!$B61),0)</f>
        <v>0</v>
      </c>
      <c r="AV61" s="2">
        <f ca="1">IFERROR(SUMIFS(INDIRECT("'Thanh Toán ("&amp;AV$3&amp;")'!$F:$F"),INDIRECT("'Thanh Toán ("&amp;AV$3&amp;")'!$D:$D"),'Tổng Đơn'!$B61),0)</f>
        <v>0</v>
      </c>
      <c r="AW61" s="2">
        <f ca="1">IFERROR(SUMIFS(INDIRECT("'Thanh Toán ("&amp;AW$3&amp;")'!$F:$F"),INDIRECT("'Thanh Toán ("&amp;AW$3&amp;")'!$D:$D"),'Tổng Đơn'!$B61),0)</f>
        <v>0</v>
      </c>
      <c r="AX61" s="2">
        <f ca="1">IFERROR(SUMIFS(INDIRECT("'Thanh Toán ("&amp;AX$3&amp;")'!$F:$F"),INDIRECT("'Thanh Toán ("&amp;AX$3&amp;")'!$D:$D"),'Tổng Đơn'!$B61),0)</f>
        <v>0</v>
      </c>
      <c r="AY61" s="2">
        <f ca="1">IFERROR(SUMIFS(INDIRECT("'Thanh Toán ("&amp;AY$3&amp;")'!$F:$F"),INDIRECT("'Thanh Toán ("&amp;AY$3&amp;")'!$D:$D"),'Tổng Đơn'!$B61),0)</f>
        <v>0</v>
      </c>
      <c r="AZ61" s="2">
        <f ca="1">IFERROR(SUMIFS(INDIRECT("'Thanh Toán ("&amp;AZ$3&amp;")'!$F:$F"),INDIRECT("'Thanh Toán ("&amp;AZ$3&amp;")'!$D:$D"),'Tổng Đơn'!$B61),0)</f>
        <v>0</v>
      </c>
      <c r="BA61" s="2">
        <f ca="1">IFERROR(SUMIFS(INDIRECT("'Thanh Toán ("&amp;BA$3&amp;")'!$F:$F"),INDIRECT("'Thanh Toán ("&amp;BA$3&amp;")'!$D:$D"),'Tổng Đơn'!$B61),0)</f>
        <v>0</v>
      </c>
      <c r="BB61" s="2">
        <f ca="1">IFERROR(SUMIFS(INDIRECT("'Thanh Toán ("&amp;BB$3&amp;")'!$F:$F"),INDIRECT("'Thanh Toán ("&amp;BB$3&amp;")'!$D:$D"),'Tổng Đơn'!$B61),0)</f>
        <v>0</v>
      </c>
      <c r="BC61" s="2">
        <f ca="1">IFERROR(SUMIFS(INDIRECT("'Thanh Toán ("&amp;BC$3&amp;")'!$F:$F"),INDIRECT("'Thanh Toán ("&amp;BC$3&amp;")'!$D:$D"),'Tổng Đơn'!$B61),0)</f>
        <v>0</v>
      </c>
    </row>
    <row r="62" spans="1:55" ht="18" customHeight="1" x14ac:dyDescent="0.25">
      <c r="A62" s="210">
        <v>55</v>
      </c>
      <c r="B62" s="211" t="s">
        <v>171</v>
      </c>
      <c r="C62" s="201" t="s">
        <v>174</v>
      </c>
      <c r="D62" s="203">
        <f>VLOOKUP($C62,Sheet1!$C$5:$D$98,2,0)</f>
        <v>80000</v>
      </c>
      <c r="E62" s="204">
        <v>0.5</v>
      </c>
      <c r="F62" s="205">
        <f t="shared" ca="1" si="5"/>
        <v>2</v>
      </c>
      <c r="G62" s="206">
        <f>IFERROR(VLOOKUP($B62,Gà!C:J,8,0),IFERROR(VLOOKUP($B62,TVP!C:J,7,0),IFERROR(VLOOKUP($B62,Kitkool!C:J,8,0),IFERROR(VLOOKUP($B62,'La Cusina'!C:J,8,0),VLOOKUP($B62,'Quốc Nhân'!C:J,8,0)))))</f>
        <v>74.376582713835148</v>
      </c>
      <c r="H62" s="207">
        <f t="shared" ca="1" si="4"/>
        <v>11246.83457232971</v>
      </c>
      <c r="I62" s="207"/>
      <c r="J62" s="207">
        <f t="shared" ca="1" si="3"/>
        <v>148753.16542767029</v>
      </c>
      <c r="K62" s="53"/>
      <c r="L62" s="2">
        <f ca="1">IFERROR(SUMIFS(INDIRECT("'Thanh Toán ("&amp;L$3&amp;")'!$F:$F"),INDIRECT("'Thanh Toán ("&amp;L$3&amp;")'!$D:$D"),'Tổng Đơn'!$B62),0)</f>
        <v>0</v>
      </c>
      <c r="M62" s="2">
        <f ca="1">IFERROR(SUMIFS(INDIRECT("'Thanh Toán ("&amp;M$3&amp;")'!$F:$F"),INDIRECT("'Thanh Toán ("&amp;M$3&amp;")'!$D:$D"),'Tổng Đơn'!$B62),0)</f>
        <v>1</v>
      </c>
      <c r="N62" s="2">
        <f ca="1">IFERROR(SUMIFS(INDIRECT("'Thanh Toán ("&amp;N$3&amp;")'!$F:$F"),INDIRECT("'Thanh Toán ("&amp;N$3&amp;")'!$D:$D"),'Tổng Đơn'!$B62),0)</f>
        <v>0</v>
      </c>
      <c r="O62" s="2">
        <f ca="1">IFERROR(SUMIFS(INDIRECT("'Thanh Toán ("&amp;O$3&amp;")'!$F:$F"),INDIRECT("'Thanh Toán ("&amp;O$3&amp;")'!$D:$D"),'Tổng Đơn'!$B62),0)</f>
        <v>0</v>
      </c>
      <c r="P62" s="2">
        <f ca="1">IFERROR(SUMIFS(INDIRECT("'Thanh Toán ("&amp;P$3&amp;")'!$F:$F"),INDIRECT("'Thanh Toán ("&amp;P$3&amp;")'!$D:$D"),'Tổng Đơn'!$B62),0)</f>
        <v>0</v>
      </c>
      <c r="Q62" s="2">
        <f ca="1">IFERROR(SUMIFS(INDIRECT("'Thanh Toán ("&amp;Q$3&amp;")'!$F:$F"),INDIRECT("'Thanh Toán ("&amp;Q$3&amp;")'!$D:$D"),'Tổng Đơn'!$B62),0)</f>
        <v>0</v>
      </c>
      <c r="R62" s="2">
        <f ca="1">IFERROR(SUMIFS(INDIRECT("'Thanh Toán ("&amp;R$3&amp;")'!$F:$F"),INDIRECT("'Thanh Toán ("&amp;R$3&amp;")'!$D:$D"),'Tổng Đơn'!$B62),0)</f>
        <v>0</v>
      </c>
      <c r="S62" s="2">
        <f ca="1">IFERROR(SUMIFS(INDIRECT("'Thanh Toán ("&amp;S$3&amp;")'!$F:$F"),INDIRECT("'Thanh Toán ("&amp;S$3&amp;")'!$D:$D"),'Tổng Đơn'!$B62),0)</f>
        <v>0</v>
      </c>
      <c r="T62" s="2">
        <f ca="1">IFERROR(SUMIFS(INDIRECT("'Thanh Toán ("&amp;T$3&amp;")'!$F:$F"),INDIRECT("'Thanh Toán ("&amp;T$3&amp;")'!$D:$D"),'Tổng Đơn'!$B62),0)</f>
        <v>1</v>
      </c>
      <c r="U62" s="2">
        <f ca="1">IFERROR(SUMIFS(INDIRECT("'Thanh Toán ("&amp;U$3&amp;")'!$F:$F"),INDIRECT("'Thanh Toán ("&amp;U$3&amp;")'!$D:$D"),'Tổng Đơn'!$B62),0)</f>
        <v>0</v>
      </c>
      <c r="V62" s="2">
        <f ca="1">IFERROR(SUMIFS(INDIRECT("'Thanh Toán ("&amp;V$3&amp;")'!$F:$F"),INDIRECT("'Thanh Toán ("&amp;V$3&amp;")'!$D:$D"),'Tổng Đơn'!$B62),0)</f>
        <v>0</v>
      </c>
      <c r="W62" s="2">
        <f ca="1">IFERROR(SUMIFS(INDIRECT("'Thanh Toán ("&amp;W$3&amp;")'!$F:$F"),INDIRECT("'Thanh Toán ("&amp;W$3&amp;")'!$D:$D"),'Tổng Đơn'!$B62),0)</f>
        <v>0</v>
      </c>
      <c r="X62" s="2">
        <f ca="1">IFERROR(SUMIFS(INDIRECT("'Thanh Toán ("&amp;X$3&amp;")'!$F:$F"),INDIRECT("'Thanh Toán ("&amp;X$3&amp;")'!$D:$D"),'Tổng Đơn'!$B62),0)</f>
        <v>0</v>
      </c>
      <c r="Y62" s="2">
        <f ca="1">IFERROR(SUMIFS(INDIRECT("'Thanh Toán ("&amp;Y$3&amp;")'!$F:$F"),INDIRECT("'Thanh Toán ("&amp;Y$3&amp;")'!$D:$D"),'Tổng Đơn'!$B62),0)</f>
        <v>0</v>
      </c>
      <c r="Z62" s="2">
        <f ca="1">IFERROR(SUMIFS(INDIRECT("'Thanh Toán ("&amp;Z$3&amp;")'!$F:$F"),INDIRECT("'Thanh Toán ("&amp;Z$3&amp;")'!$D:$D"),'Tổng Đơn'!$B62),0)</f>
        <v>0</v>
      </c>
      <c r="AA62" s="2">
        <f ca="1">IFERROR(SUMIFS(INDIRECT("'Thanh Toán ("&amp;AA$3&amp;")'!$F:$F"),INDIRECT("'Thanh Toán ("&amp;AA$3&amp;")'!$D:$D"),'Tổng Đơn'!$B62),0)</f>
        <v>0</v>
      </c>
      <c r="AB62" s="2">
        <f ca="1">IFERROR(SUMIFS(INDIRECT("'Thanh Toán ("&amp;AB$3&amp;")'!$F:$F"),INDIRECT("'Thanh Toán ("&amp;AB$3&amp;")'!$D:$D"),'Tổng Đơn'!$B62),0)</f>
        <v>0</v>
      </c>
      <c r="AC62" s="2">
        <f ca="1">IFERROR(SUMIFS(INDIRECT("'Thanh Toán ("&amp;AC$3&amp;")'!$F:$F"),INDIRECT("'Thanh Toán ("&amp;AC$3&amp;")'!$D:$D"),'Tổng Đơn'!$B62),0)</f>
        <v>0</v>
      </c>
      <c r="AD62" s="2">
        <f ca="1">IFERROR(SUMIFS(INDIRECT("'Thanh Toán ("&amp;AD$3&amp;")'!$F:$F"),INDIRECT("'Thanh Toán ("&amp;AD$3&amp;")'!$D:$D"),'Tổng Đơn'!$B62),0)</f>
        <v>0</v>
      </c>
      <c r="AE62" s="2">
        <f ca="1">IFERROR(SUMIFS(INDIRECT("'Thanh Toán ("&amp;AE$3&amp;")'!$F:$F"),INDIRECT("'Thanh Toán ("&amp;AE$3&amp;")'!$D:$D"),'Tổng Đơn'!$B62),0)</f>
        <v>0</v>
      </c>
      <c r="AF62" s="2">
        <f ca="1">IFERROR(SUMIFS(INDIRECT("'Thanh Toán ("&amp;AF$3&amp;")'!$F:$F"),INDIRECT("'Thanh Toán ("&amp;AF$3&amp;")'!$D:$D"),'Tổng Đơn'!$B62),0)</f>
        <v>0</v>
      </c>
      <c r="AG62" s="2">
        <f ca="1">IFERROR(SUMIFS(INDIRECT("'Thanh Toán ("&amp;AG$3&amp;")'!$F:$F"),INDIRECT("'Thanh Toán ("&amp;AG$3&amp;")'!$D:$D"),'Tổng Đơn'!$B62),0)</f>
        <v>0</v>
      </c>
      <c r="AH62" s="2">
        <f ca="1">IFERROR(SUMIFS(INDIRECT("'Thanh Toán ("&amp;AH$3&amp;")'!$F:$F"),INDIRECT("'Thanh Toán ("&amp;AH$3&amp;")'!$D:$D"),'Tổng Đơn'!$B62),0)</f>
        <v>0</v>
      </c>
      <c r="AI62" s="2">
        <f ca="1">IFERROR(SUMIFS(INDIRECT("'Thanh Toán ("&amp;AI$3&amp;")'!$F:$F"),INDIRECT("'Thanh Toán ("&amp;AI$3&amp;")'!$D:$D"),'Tổng Đơn'!$B62),0)</f>
        <v>0</v>
      </c>
      <c r="AJ62" s="2">
        <f ca="1">IFERROR(SUMIFS(INDIRECT("'Thanh Toán ("&amp;AJ$3&amp;")'!$F:$F"),INDIRECT("'Thanh Toán ("&amp;AJ$3&amp;")'!$D:$D"),'Tổng Đơn'!$B62),0)</f>
        <v>0</v>
      </c>
      <c r="AK62" s="2">
        <f ca="1">IFERROR(SUMIFS(INDIRECT("'Thanh Toán ("&amp;AK$3&amp;")'!$F:$F"),INDIRECT("'Thanh Toán ("&amp;AK$3&amp;")'!$D:$D"),'Tổng Đơn'!$B62),0)</f>
        <v>0</v>
      </c>
      <c r="AL62" s="2">
        <f ca="1">IFERROR(SUMIFS(INDIRECT("'Thanh Toán ("&amp;AL$3&amp;")'!$F:$F"),INDIRECT("'Thanh Toán ("&amp;AL$3&amp;")'!$D:$D"),'Tổng Đơn'!$B62),0)</f>
        <v>0</v>
      </c>
      <c r="AM62" s="2">
        <f ca="1">IFERROR(SUMIFS(INDIRECT("'Thanh Toán ("&amp;AM$3&amp;")'!$F:$F"),INDIRECT("'Thanh Toán ("&amp;AM$3&amp;")'!$D:$D"),'Tổng Đơn'!$B62),0)</f>
        <v>0</v>
      </c>
      <c r="AN62" s="2">
        <f ca="1">IFERROR(SUMIFS(INDIRECT("'Thanh Toán ("&amp;AN$3&amp;")'!$F:$F"),INDIRECT("'Thanh Toán ("&amp;AN$3&amp;")'!$D:$D"),'Tổng Đơn'!$B62),0)</f>
        <v>0</v>
      </c>
      <c r="AO62" s="2">
        <f ca="1">IFERROR(SUMIFS(INDIRECT("'Thanh Toán ("&amp;AO$3&amp;")'!$F:$F"),INDIRECT("'Thanh Toán ("&amp;AO$3&amp;")'!$D:$D"),'Tổng Đơn'!$B62),0)</f>
        <v>0</v>
      </c>
      <c r="AP62" s="2">
        <f ca="1">IFERROR(SUMIFS(INDIRECT("'Thanh Toán ("&amp;AP$3&amp;")'!$F:$F"),INDIRECT("'Thanh Toán ("&amp;AP$3&amp;")'!$D:$D"),'Tổng Đơn'!$B62),0)</f>
        <v>0</v>
      </c>
      <c r="AQ62" s="2">
        <f ca="1">IFERROR(SUMIFS(INDIRECT("'Thanh Toán ("&amp;AQ$3&amp;")'!$F:$F"),INDIRECT("'Thanh Toán ("&amp;AQ$3&amp;")'!$D:$D"),'Tổng Đơn'!$B62),0)</f>
        <v>0</v>
      </c>
      <c r="AR62" s="2">
        <f ca="1">IFERROR(SUMIFS(INDIRECT("'Thanh Toán ("&amp;AR$3&amp;")'!$F:$F"),INDIRECT("'Thanh Toán ("&amp;AR$3&amp;")'!$D:$D"),'Tổng Đơn'!$B62),0)</f>
        <v>0</v>
      </c>
      <c r="AS62" s="2">
        <f ca="1">IFERROR(SUMIFS(INDIRECT("'Thanh Toán ("&amp;AS$3&amp;")'!$F:$F"),INDIRECT("'Thanh Toán ("&amp;AS$3&amp;")'!$D:$D"),'Tổng Đơn'!$B62),0)</f>
        <v>0</v>
      </c>
      <c r="AT62" s="2">
        <f ca="1">IFERROR(SUMIFS(INDIRECT("'Thanh Toán ("&amp;AT$3&amp;")'!$F:$F"),INDIRECT("'Thanh Toán ("&amp;AT$3&amp;")'!$D:$D"),'Tổng Đơn'!$B62),0)</f>
        <v>0</v>
      </c>
      <c r="AU62" s="2">
        <f ca="1">IFERROR(SUMIFS(INDIRECT("'Thanh Toán ("&amp;AU$3&amp;")'!$F:$F"),INDIRECT("'Thanh Toán ("&amp;AU$3&amp;")'!$D:$D"),'Tổng Đơn'!$B62),0)</f>
        <v>0</v>
      </c>
      <c r="AV62" s="2">
        <f ca="1">IFERROR(SUMIFS(INDIRECT("'Thanh Toán ("&amp;AV$3&amp;")'!$F:$F"),INDIRECT("'Thanh Toán ("&amp;AV$3&amp;")'!$D:$D"),'Tổng Đơn'!$B62),0)</f>
        <v>0</v>
      </c>
      <c r="AW62" s="2">
        <f ca="1">IFERROR(SUMIFS(INDIRECT("'Thanh Toán ("&amp;AW$3&amp;")'!$F:$F"),INDIRECT("'Thanh Toán ("&amp;AW$3&amp;")'!$D:$D"),'Tổng Đơn'!$B62),0)</f>
        <v>0</v>
      </c>
      <c r="AX62" s="2">
        <f ca="1">IFERROR(SUMIFS(INDIRECT("'Thanh Toán ("&amp;AX$3&amp;")'!$F:$F"),INDIRECT("'Thanh Toán ("&amp;AX$3&amp;")'!$D:$D"),'Tổng Đơn'!$B62),0)</f>
        <v>0</v>
      </c>
      <c r="AY62" s="2">
        <f ca="1">IFERROR(SUMIFS(INDIRECT("'Thanh Toán ("&amp;AY$3&amp;")'!$F:$F"),INDIRECT("'Thanh Toán ("&amp;AY$3&amp;")'!$D:$D"),'Tổng Đơn'!$B62),0)</f>
        <v>0</v>
      </c>
      <c r="AZ62" s="2">
        <f ca="1">IFERROR(SUMIFS(INDIRECT("'Thanh Toán ("&amp;AZ$3&amp;")'!$F:$F"),INDIRECT("'Thanh Toán ("&amp;AZ$3&amp;")'!$D:$D"),'Tổng Đơn'!$B62),0)</f>
        <v>0</v>
      </c>
      <c r="BA62" s="2">
        <f ca="1">IFERROR(SUMIFS(INDIRECT("'Thanh Toán ("&amp;BA$3&amp;")'!$F:$F"),INDIRECT("'Thanh Toán ("&amp;BA$3&amp;")'!$D:$D"),'Tổng Đơn'!$B62),0)</f>
        <v>0</v>
      </c>
      <c r="BB62" s="2">
        <f ca="1">IFERROR(SUMIFS(INDIRECT("'Thanh Toán ("&amp;BB$3&amp;")'!$F:$F"),INDIRECT("'Thanh Toán ("&amp;BB$3&amp;")'!$D:$D"),'Tổng Đơn'!$B62),0)</f>
        <v>0</v>
      </c>
      <c r="BC62" s="2">
        <f ca="1">IFERROR(SUMIFS(INDIRECT("'Thanh Toán ("&amp;BC$3&amp;")'!$F:$F"),INDIRECT("'Thanh Toán ("&amp;BC$3&amp;")'!$D:$D"),'Tổng Đơn'!$B62),0)</f>
        <v>0</v>
      </c>
    </row>
    <row r="63" spans="1:55" ht="18" customHeight="1" x14ac:dyDescent="0.25">
      <c r="A63" s="210">
        <v>56</v>
      </c>
      <c r="B63" s="211" t="s">
        <v>291</v>
      </c>
      <c r="C63" s="201" t="s">
        <v>176</v>
      </c>
      <c r="D63" s="203">
        <f>VLOOKUP($C63,Sheet1!$C$5:$D$98,2,0)</f>
        <v>42000</v>
      </c>
      <c r="E63" s="204">
        <v>0.5</v>
      </c>
      <c r="F63" s="205">
        <f t="shared" ca="1" si="5"/>
        <v>1</v>
      </c>
      <c r="G63" s="206">
        <f>IFERROR(VLOOKUP($B63,Gà!C:J,8,0),IFERROR(VLOOKUP($B63,TVP!C:J,7,0),IFERROR(VLOOKUP($B63,Kitkool!C:J,8,0),IFERROR(VLOOKUP($B63,'La Cusina'!C:J,8,0),VLOOKUP($B63,'Quốc Nhân'!C:J,8,0)))))</f>
        <v>37.957704281543457</v>
      </c>
      <c r="H63" s="207">
        <f t="shared" ca="1" si="4"/>
        <v>4042.2957184565457</v>
      </c>
      <c r="I63" s="207"/>
      <c r="J63" s="207">
        <f t="shared" ca="1" si="3"/>
        <v>37957.704281543454</v>
      </c>
      <c r="K63" s="53"/>
      <c r="L63" s="2">
        <f ca="1">IFERROR(SUMIFS(INDIRECT("'Thanh Toán ("&amp;L$3&amp;")'!$F:$F"),INDIRECT("'Thanh Toán ("&amp;L$3&amp;")'!$D:$D"),'Tổng Đơn'!$B63),0)</f>
        <v>1</v>
      </c>
      <c r="M63" s="2">
        <f ca="1">IFERROR(SUMIFS(INDIRECT("'Thanh Toán ("&amp;M$3&amp;")'!$F:$F"),INDIRECT("'Thanh Toán ("&amp;M$3&amp;")'!$D:$D"),'Tổng Đơn'!$B63),0)</f>
        <v>0</v>
      </c>
      <c r="N63" s="2">
        <f ca="1">IFERROR(SUMIFS(INDIRECT("'Thanh Toán ("&amp;N$3&amp;")'!$F:$F"),INDIRECT("'Thanh Toán ("&amp;N$3&amp;")'!$D:$D"),'Tổng Đơn'!$B63),0)</f>
        <v>0</v>
      </c>
      <c r="O63" s="2">
        <f ca="1">IFERROR(SUMIFS(INDIRECT("'Thanh Toán ("&amp;O$3&amp;")'!$F:$F"),INDIRECT("'Thanh Toán ("&amp;O$3&amp;")'!$D:$D"),'Tổng Đơn'!$B63),0)</f>
        <v>0</v>
      </c>
      <c r="P63" s="2">
        <f ca="1">IFERROR(SUMIFS(INDIRECT("'Thanh Toán ("&amp;P$3&amp;")'!$F:$F"),INDIRECT("'Thanh Toán ("&amp;P$3&amp;")'!$D:$D"),'Tổng Đơn'!$B63),0)</f>
        <v>0</v>
      </c>
      <c r="Q63" s="2">
        <f ca="1">IFERROR(SUMIFS(INDIRECT("'Thanh Toán ("&amp;Q$3&amp;")'!$F:$F"),INDIRECT("'Thanh Toán ("&amp;Q$3&amp;")'!$D:$D"),'Tổng Đơn'!$B63),0)</f>
        <v>0</v>
      </c>
      <c r="R63" s="2">
        <f ca="1">IFERROR(SUMIFS(INDIRECT("'Thanh Toán ("&amp;R$3&amp;")'!$F:$F"),INDIRECT("'Thanh Toán ("&amp;R$3&amp;")'!$D:$D"),'Tổng Đơn'!$B63),0)</f>
        <v>0</v>
      </c>
      <c r="S63" s="2">
        <f ca="1">IFERROR(SUMIFS(INDIRECT("'Thanh Toán ("&amp;S$3&amp;")'!$F:$F"),INDIRECT("'Thanh Toán ("&amp;S$3&amp;")'!$D:$D"),'Tổng Đơn'!$B63),0)</f>
        <v>0</v>
      </c>
      <c r="T63" s="2">
        <f ca="1">IFERROR(SUMIFS(INDIRECT("'Thanh Toán ("&amp;T$3&amp;")'!$F:$F"),INDIRECT("'Thanh Toán ("&amp;T$3&amp;")'!$D:$D"),'Tổng Đơn'!$B63),0)</f>
        <v>0</v>
      </c>
      <c r="U63" s="2">
        <f ca="1">IFERROR(SUMIFS(INDIRECT("'Thanh Toán ("&amp;U$3&amp;")'!$F:$F"),INDIRECT("'Thanh Toán ("&amp;U$3&amp;")'!$D:$D"),'Tổng Đơn'!$B63),0)</f>
        <v>0</v>
      </c>
      <c r="V63" s="2">
        <f ca="1">IFERROR(SUMIFS(INDIRECT("'Thanh Toán ("&amp;V$3&amp;")'!$F:$F"),INDIRECT("'Thanh Toán ("&amp;V$3&amp;")'!$D:$D"),'Tổng Đơn'!$B63),0)</f>
        <v>0</v>
      </c>
      <c r="W63" s="2">
        <f ca="1">IFERROR(SUMIFS(INDIRECT("'Thanh Toán ("&amp;W$3&amp;")'!$F:$F"),INDIRECT("'Thanh Toán ("&amp;W$3&amp;")'!$D:$D"),'Tổng Đơn'!$B63),0)</f>
        <v>0</v>
      </c>
      <c r="X63" s="2">
        <f ca="1">IFERROR(SUMIFS(INDIRECT("'Thanh Toán ("&amp;X$3&amp;")'!$F:$F"),INDIRECT("'Thanh Toán ("&amp;X$3&amp;")'!$D:$D"),'Tổng Đơn'!$B63),0)</f>
        <v>0</v>
      </c>
      <c r="Y63" s="2">
        <f ca="1">IFERROR(SUMIFS(INDIRECT("'Thanh Toán ("&amp;Y$3&amp;")'!$F:$F"),INDIRECT("'Thanh Toán ("&amp;Y$3&amp;")'!$D:$D"),'Tổng Đơn'!$B63),0)</f>
        <v>0</v>
      </c>
      <c r="Z63" s="2">
        <f ca="1">IFERROR(SUMIFS(INDIRECT("'Thanh Toán ("&amp;Z$3&amp;")'!$F:$F"),INDIRECT("'Thanh Toán ("&amp;Z$3&amp;")'!$D:$D"),'Tổng Đơn'!$B63),0)</f>
        <v>0</v>
      </c>
      <c r="AA63" s="2">
        <f ca="1">IFERROR(SUMIFS(INDIRECT("'Thanh Toán ("&amp;AA$3&amp;")'!$F:$F"),INDIRECT("'Thanh Toán ("&amp;AA$3&amp;")'!$D:$D"),'Tổng Đơn'!$B63),0)</f>
        <v>0</v>
      </c>
      <c r="AB63" s="2">
        <f ca="1">IFERROR(SUMIFS(INDIRECT("'Thanh Toán ("&amp;AB$3&amp;")'!$F:$F"),INDIRECT("'Thanh Toán ("&amp;AB$3&amp;")'!$D:$D"),'Tổng Đơn'!$B63),0)</f>
        <v>0</v>
      </c>
      <c r="AC63" s="2">
        <f ca="1">IFERROR(SUMIFS(INDIRECT("'Thanh Toán ("&amp;AC$3&amp;")'!$F:$F"),INDIRECT("'Thanh Toán ("&amp;AC$3&amp;")'!$D:$D"),'Tổng Đơn'!$B63),0)</f>
        <v>0</v>
      </c>
      <c r="AD63" s="2">
        <f ca="1">IFERROR(SUMIFS(INDIRECT("'Thanh Toán ("&amp;AD$3&amp;")'!$F:$F"),INDIRECT("'Thanh Toán ("&amp;AD$3&amp;")'!$D:$D"),'Tổng Đơn'!$B63),0)</f>
        <v>0</v>
      </c>
      <c r="AE63" s="2">
        <f ca="1">IFERROR(SUMIFS(INDIRECT("'Thanh Toán ("&amp;AE$3&amp;")'!$F:$F"),INDIRECT("'Thanh Toán ("&amp;AE$3&amp;")'!$D:$D"),'Tổng Đơn'!$B63),0)</f>
        <v>0</v>
      </c>
      <c r="AF63" s="2">
        <f ca="1">IFERROR(SUMIFS(INDIRECT("'Thanh Toán ("&amp;AF$3&amp;")'!$F:$F"),INDIRECT("'Thanh Toán ("&amp;AF$3&amp;")'!$D:$D"),'Tổng Đơn'!$B63),0)</f>
        <v>0</v>
      </c>
      <c r="AG63" s="2">
        <f ca="1">IFERROR(SUMIFS(INDIRECT("'Thanh Toán ("&amp;AG$3&amp;")'!$F:$F"),INDIRECT("'Thanh Toán ("&amp;AG$3&amp;")'!$D:$D"),'Tổng Đơn'!$B63),0)</f>
        <v>0</v>
      </c>
      <c r="AH63" s="2">
        <f ca="1">IFERROR(SUMIFS(INDIRECT("'Thanh Toán ("&amp;AH$3&amp;")'!$F:$F"),INDIRECT("'Thanh Toán ("&amp;AH$3&amp;")'!$D:$D"),'Tổng Đơn'!$B63),0)</f>
        <v>0</v>
      </c>
      <c r="AI63" s="2">
        <f ca="1">IFERROR(SUMIFS(INDIRECT("'Thanh Toán ("&amp;AI$3&amp;")'!$F:$F"),INDIRECT("'Thanh Toán ("&amp;AI$3&amp;")'!$D:$D"),'Tổng Đơn'!$B63),0)</f>
        <v>0</v>
      </c>
      <c r="AJ63" s="2">
        <f ca="1">IFERROR(SUMIFS(INDIRECT("'Thanh Toán ("&amp;AJ$3&amp;")'!$F:$F"),INDIRECT("'Thanh Toán ("&amp;AJ$3&amp;")'!$D:$D"),'Tổng Đơn'!$B63),0)</f>
        <v>0</v>
      </c>
      <c r="AK63" s="2">
        <f ca="1">IFERROR(SUMIFS(INDIRECT("'Thanh Toán ("&amp;AK$3&amp;")'!$F:$F"),INDIRECT("'Thanh Toán ("&amp;AK$3&amp;")'!$D:$D"),'Tổng Đơn'!$B63),0)</f>
        <v>0</v>
      </c>
      <c r="AL63" s="2">
        <f ca="1">IFERROR(SUMIFS(INDIRECT("'Thanh Toán ("&amp;AL$3&amp;")'!$F:$F"),INDIRECT("'Thanh Toán ("&amp;AL$3&amp;")'!$D:$D"),'Tổng Đơn'!$B63),0)</f>
        <v>0</v>
      </c>
      <c r="AM63" s="2">
        <f ca="1">IFERROR(SUMIFS(INDIRECT("'Thanh Toán ("&amp;AM$3&amp;")'!$F:$F"),INDIRECT("'Thanh Toán ("&amp;AM$3&amp;")'!$D:$D"),'Tổng Đơn'!$B63),0)</f>
        <v>0</v>
      </c>
      <c r="AN63" s="2">
        <f ca="1">IFERROR(SUMIFS(INDIRECT("'Thanh Toán ("&amp;AN$3&amp;")'!$F:$F"),INDIRECT("'Thanh Toán ("&amp;AN$3&amp;")'!$D:$D"),'Tổng Đơn'!$B63),0)</f>
        <v>0</v>
      </c>
      <c r="AO63" s="2">
        <f ca="1">IFERROR(SUMIFS(INDIRECT("'Thanh Toán ("&amp;AO$3&amp;")'!$F:$F"),INDIRECT("'Thanh Toán ("&amp;AO$3&amp;")'!$D:$D"),'Tổng Đơn'!$B63),0)</f>
        <v>0</v>
      </c>
      <c r="AP63" s="2">
        <f ca="1">IFERROR(SUMIFS(INDIRECT("'Thanh Toán ("&amp;AP$3&amp;")'!$F:$F"),INDIRECT("'Thanh Toán ("&amp;AP$3&amp;")'!$D:$D"),'Tổng Đơn'!$B63),0)</f>
        <v>0</v>
      </c>
      <c r="AQ63" s="2">
        <f ca="1">IFERROR(SUMIFS(INDIRECT("'Thanh Toán ("&amp;AQ$3&amp;")'!$F:$F"),INDIRECT("'Thanh Toán ("&amp;AQ$3&amp;")'!$D:$D"),'Tổng Đơn'!$B63),0)</f>
        <v>0</v>
      </c>
      <c r="AR63" s="2">
        <f ca="1">IFERROR(SUMIFS(INDIRECT("'Thanh Toán ("&amp;AR$3&amp;")'!$F:$F"),INDIRECT("'Thanh Toán ("&amp;AR$3&amp;")'!$D:$D"),'Tổng Đơn'!$B63),0)</f>
        <v>0</v>
      </c>
      <c r="AS63" s="2">
        <f ca="1">IFERROR(SUMIFS(INDIRECT("'Thanh Toán ("&amp;AS$3&amp;")'!$F:$F"),INDIRECT("'Thanh Toán ("&amp;AS$3&amp;")'!$D:$D"),'Tổng Đơn'!$B63),0)</f>
        <v>0</v>
      </c>
      <c r="AT63" s="2">
        <f ca="1">IFERROR(SUMIFS(INDIRECT("'Thanh Toán ("&amp;AT$3&amp;")'!$F:$F"),INDIRECT("'Thanh Toán ("&amp;AT$3&amp;")'!$D:$D"),'Tổng Đơn'!$B63),0)</f>
        <v>0</v>
      </c>
      <c r="AU63" s="2">
        <f ca="1">IFERROR(SUMIFS(INDIRECT("'Thanh Toán ("&amp;AU$3&amp;")'!$F:$F"),INDIRECT("'Thanh Toán ("&amp;AU$3&amp;")'!$D:$D"),'Tổng Đơn'!$B63),0)</f>
        <v>0</v>
      </c>
      <c r="AV63" s="2">
        <f ca="1">IFERROR(SUMIFS(INDIRECT("'Thanh Toán ("&amp;AV$3&amp;")'!$F:$F"),INDIRECT("'Thanh Toán ("&amp;AV$3&amp;")'!$D:$D"),'Tổng Đơn'!$B63),0)</f>
        <v>0</v>
      </c>
      <c r="AW63" s="2">
        <f ca="1">IFERROR(SUMIFS(INDIRECT("'Thanh Toán ("&amp;AW$3&amp;")'!$F:$F"),INDIRECT("'Thanh Toán ("&amp;AW$3&amp;")'!$D:$D"),'Tổng Đơn'!$B63),0)</f>
        <v>0</v>
      </c>
      <c r="AX63" s="2">
        <f ca="1">IFERROR(SUMIFS(INDIRECT("'Thanh Toán ("&amp;AX$3&amp;")'!$F:$F"),INDIRECT("'Thanh Toán ("&amp;AX$3&amp;")'!$D:$D"),'Tổng Đơn'!$B63),0)</f>
        <v>0</v>
      </c>
      <c r="AY63" s="2">
        <f ca="1">IFERROR(SUMIFS(INDIRECT("'Thanh Toán ("&amp;AY$3&amp;")'!$F:$F"),INDIRECT("'Thanh Toán ("&amp;AY$3&amp;")'!$D:$D"),'Tổng Đơn'!$B63),0)</f>
        <v>0</v>
      </c>
      <c r="AZ63" s="2">
        <f ca="1">IFERROR(SUMIFS(INDIRECT("'Thanh Toán ("&amp;AZ$3&amp;")'!$F:$F"),INDIRECT("'Thanh Toán ("&amp;AZ$3&amp;")'!$D:$D"),'Tổng Đơn'!$B63),0)</f>
        <v>0</v>
      </c>
      <c r="BA63" s="2">
        <f ca="1">IFERROR(SUMIFS(INDIRECT("'Thanh Toán ("&amp;BA$3&amp;")'!$F:$F"),INDIRECT("'Thanh Toán ("&amp;BA$3&amp;")'!$D:$D"),'Tổng Đơn'!$B63),0)</f>
        <v>0</v>
      </c>
      <c r="BB63" s="2">
        <f ca="1">IFERROR(SUMIFS(INDIRECT("'Thanh Toán ("&amp;BB$3&amp;")'!$F:$F"),INDIRECT("'Thanh Toán ("&amp;BB$3&amp;")'!$D:$D"),'Tổng Đơn'!$B63),0)</f>
        <v>0</v>
      </c>
      <c r="BC63" s="2">
        <f ca="1">IFERROR(SUMIFS(INDIRECT("'Thanh Toán ("&amp;BC$3&amp;")'!$F:$F"),INDIRECT("'Thanh Toán ("&amp;BC$3&amp;")'!$D:$D"),'Tổng Đơn'!$B63),0)</f>
        <v>0</v>
      </c>
    </row>
    <row r="64" spans="1:55" ht="18" customHeight="1" x14ac:dyDescent="0.25">
      <c r="A64" s="210">
        <v>57</v>
      </c>
      <c r="B64" s="211" t="s">
        <v>178</v>
      </c>
      <c r="C64" s="201" t="s">
        <v>177</v>
      </c>
      <c r="D64" s="203">
        <f>VLOOKUP($C64,Sheet1!$C$5:$D$98,2,0)</f>
        <v>35000</v>
      </c>
      <c r="E64" s="204">
        <v>0.5</v>
      </c>
      <c r="F64" s="205">
        <f t="shared" ca="1" si="5"/>
        <v>0</v>
      </c>
      <c r="G64" s="206">
        <f>IFERROR(VLOOKUP($B64,Gà!C:J,8,0),IFERROR(VLOOKUP($B64,TVP!C:J,7,0),IFERROR(VLOOKUP($B64,Kitkool!C:J,8,0),IFERROR(VLOOKUP($B64,'La Cusina'!C:J,8,0),VLOOKUP($B64,'Quốc Nhân'!C:J,8,0)))))</f>
        <v>30.263575035284646</v>
      </c>
      <c r="H64" s="207">
        <f t="shared" ca="1" si="4"/>
        <v>0</v>
      </c>
      <c r="I64" s="207"/>
      <c r="J64" s="207">
        <f t="shared" ca="1" si="3"/>
        <v>0</v>
      </c>
      <c r="K64" s="53"/>
      <c r="L64" s="2">
        <f ca="1">IFERROR(SUMIFS(INDIRECT("'Thanh Toán ("&amp;L$3&amp;")'!$F:$F"),INDIRECT("'Thanh Toán ("&amp;L$3&amp;")'!$D:$D"),'Tổng Đơn'!$B64),0)</f>
        <v>0</v>
      </c>
      <c r="M64" s="2">
        <f ca="1">IFERROR(SUMIFS(INDIRECT("'Thanh Toán ("&amp;M$3&amp;")'!$F:$F"),INDIRECT("'Thanh Toán ("&amp;M$3&amp;")'!$D:$D"),'Tổng Đơn'!$B64),0)</f>
        <v>0</v>
      </c>
      <c r="N64" s="2">
        <f ca="1">IFERROR(SUMIFS(INDIRECT("'Thanh Toán ("&amp;N$3&amp;")'!$F:$F"),INDIRECT("'Thanh Toán ("&amp;N$3&amp;")'!$D:$D"),'Tổng Đơn'!$B64),0)</f>
        <v>0</v>
      </c>
      <c r="O64" s="2">
        <f ca="1">IFERROR(SUMIFS(INDIRECT("'Thanh Toán ("&amp;O$3&amp;")'!$F:$F"),INDIRECT("'Thanh Toán ("&amp;O$3&amp;")'!$D:$D"),'Tổng Đơn'!$B64),0)</f>
        <v>0</v>
      </c>
      <c r="P64" s="2">
        <f ca="1">IFERROR(SUMIFS(INDIRECT("'Thanh Toán ("&amp;P$3&amp;")'!$F:$F"),INDIRECT("'Thanh Toán ("&amp;P$3&amp;")'!$D:$D"),'Tổng Đơn'!$B64),0)</f>
        <v>0</v>
      </c>
      <c r="Q64" s="2">
        <f ca="1">IFERROR(SUMIFS(INDIRECT("'Thanh Toán ("&amp;Q$3&amp;")'!$F:$F"),INDIRECT("'Thanh Toán ("&amp;Q$3&amp;")'!$D:$D"),'Tổng Đơn'!$B64),0)</f>
        <v>0</v>
      </c>
      <c r="R64" s="2">
        <f ca="1">IFERROR(SUMIFS(INDIRECT("'Thanh Toán ("&amp;R$3&amp;")'!$F:$F"),INDIRECT("'Thanh Toán ("&amp;R$3&amp;")'!$D:$D"),'Tổng Đơn'!$B64),0)</f>
        <v>0</v>
      </c>
      <c r="S64" s="2">
        <f ca="1">IFERROR(SUMIFS(INDIRECT("'Thanh Toán ("&amp;S$3&amp;")'!$F:$F"),INDIRECT("'Thanh Toán ("&amp;S$3&amp;")'!$D:$D"),'Tổng Đơn'!$B64),0)</f>
        <v>0</v>
      </c>
      <c r="T64" s="2">
        <f ca="1">IFERROR(SUMIFS(INDIRECT("'Thanh Toán ("&amp;T$3&amp;")'!$F:$F"),INDIRECT("'Thanh Toán ("&amp;T$3&amp;")'!$D:$D"),'Tổng Đơn'!$B64),0)</f>
        <v>0</v>
      </c>
      <c r="U64" s="2">
        <f ca="1">IFERROR(SUMIFS(INDIRECT("'Thanh Toán ("&amp;U$3&amp;")'!$F:$F"),INDIRECT("'Thanh Toán ("&amp;U$3&amp;")'!$D:$D"),'Tổng Đơn'!$B64),0)</f>
        <v>0</v>
      </c>
      <c r="V64" s="2">
        <f ca="1">IFERROR(SUMIFS(INDIRECT("'Thanh Toán ("&amp;V$3&amp;")'!$F:$F"),INDIRECT("'Thanh Toán ("&amp;V$3&amp;")'!$D:$D"),'Tổng Đơn'!$B64),0)</f>
        <v>0</v>
      </c>
      <c r="W64" s="2">
        <f ca="1">IFERROR(SUMIFS(INDIRECT("'Thanh Toán ("&amp;W$3&amp;")'!$F:$F"),INDIRECT("'Thanh Toán ("&amp;W$3&amp;")'!$D:$D"),'Tổng Đơn'!$B64),0)</f>
        <v>0</v>
      </c>
      <c r="X64" s="2">
        <f ca="1">IFERROR(SUMIFS(INDIRECT("'Thanh Toán ("&amp;X$3&amp;")'!$F:$F"),INDIRECT("'Thanh Toán ("&amp;X$3&amp;")'!$D:$D"),'Tổng Đơn'!$B64),0)</f>
        <v>0</v>
      </c>
      <c r="Y64" s="2">
        <f ca="1">IFERROR(SUMIFS(INDIRECT("'Thanh Toán ("&amp;Y$3&amp;")'!$F:$F"),INDIRECT("'Thanh Toán ("&amp;Y$3&amp;")'!$D:$D"),'Tổng Đơn'!$B64),0)</f>
        <v>0</v>
      </c>
      <c r="Z64" s="2">
        <f ca="1">IFERROR(SUMIFS(INDIRECT("'Thanh Toán ("&amp;Z$3&amp;")'!$F:$F"),INDIRECT("'Thanh Toán ("&amp;Z$3&amp;")'!$D:$D"),'Tổng Đơn'!$B64),0)</f>
        <v>0</v>
      </c>
      <c r="AA64" s="2">
        <f ca="1">IFERROR(SUMIFS(INDIRECT("'Thanh Toán ("&amp;AA$3&amp;")'!$F:$F"),INDIRECT("'Thanh Toán ("&amp;AA$3&amp;")'!$D:$D"),'Tổng Đơn'!$B64),0)</f>
        <v>0</v>
      </c>
      <c r="AB64" s="2">
        <f ca="1">IFERROR(SUMIFS(INDIRECT("'Thanh Toán ("&amp;AB$3&amp;")'!$F:$F"),INDIRECT("'Thanh Toán ("&amp;AB$3&amp;")'!$D:$D"),'Tổng Đơn'!$B64),0)</f>
        <v>0</v>
      </c>
      <c r="AC64" s="2">
        <f ca="1">IFERROR(SUMIFS(INDIRECT("'Thanh Toán ("&amp;AC$3&amp;")'!$F:$F"),INDIRECT("'Thanh Toán ("&amp;AC$3&amp;")'!$D:$D"),'Tổng Đơn'!$B64),0)</f>
        <v>0</v>
      </c>
      <c r="AD64" s="2">
        <f ca="1">IFERROR(SUMIFS(INDIRECT("'Thanh Toán ("&amp;AD$3&amp;")'!$F:$F"),INDIRECT("'Thanh Toán ("&amp;AD$3&amp;")'!$D:$D"),'Tổng Đơn'!$B64),0)</f>
        <v>0</v>
      </c>
      <c r="AE64" s="2">
        <f ca="1">IFERROR(SUMIFS(INDIRECT("'Thanh Toán ("&amp;AE$3&amp;")'!$F:$F"),INDIRECT("'Thanh Toán ("&amp;AE$3&amp;")'!$D:$D"),'Tổng Đơn'!$B64),0)</f>
        <v>0</v>
      </c>
      <c r="AF64" s="2">
        <f ca="1">IFERROR(SUMIFS(INDIRECT("'Thanh Toán ("&amp;AF$3&amp;")'!$F:$F"),INDIRECT("'Thanh Toán ("&amp;AF$3&amp;")'!$D:$D"),'Tổng Đơn'!$B64),0)</f>
        <v>0</v>
      </c>
      <c r="AG64" s="2">
        <f ca="1">IFERROR(SUMIFS(INDIRECT("'Thanh Toán ("&amp;AG$3&amp;")'!$F:$F"),INDIRECT("'Thanh Toán ("&amp;AG$3&amp;")'!$D:$D"),'Tổng Đơn'!$B64),0)</f>
        <v>0</v>
      </c>
      <c r="AH64" s="2">
        <f ca="1">IFERROR(SUMIFS(INDIRECT("'Thanh Toán ("&amp;AH$3&amp;")'!$F:$F"),INDIRECT("'Thanh Toán ("&amp;AH$3&amp;")'!$D:$D"),'Tổng Đơn'!$B64),0)</f>
        <v>0</v>
      </c>
      <c r="AI64" s="2">
        <f ca="1">IFERROR(SUMIFS(INDIRECT("'Thanh Toán ("&amp;AI$3&amp;")'!$F:$F"),INDIRECT("'Thanh Toán ("&amp;AI$3&amp;")'!$D:$D"),'Tổng Đơn'!$B64),0)</f>
        <v>0</v>
      </c>
      <c r="AJ64" s="2">
        <f ca="1">IFERROR(SUMIFS(INDIRECT("'Thanh Toán ("&amp;AJ$3&amp;")'!$F:$F"),INDIRECT("'Thanh Toán ("&amp;AJ$3&amp;")'!$D:$D"),'Tổng Đơn'!$B64),0)</f>
        <v>0</v>
      </c>
      <c r="AK64" s="2">
        <f ca="1">IFERROR(SUMIFS(INDIRECT("'Thanh Toán ("&amp;AK$3&amp;")'!$F:$F"),INDIRECT("'Thanh Toán ("&amp;AK$3&amp;")'!$D:$D"),'Tổng Đơn'!$B64),0)</f>
        <v>0</v>
      </c>
      <c r="AL64" s="2">
        <f ca="1">IFERROR(SUMIFS(INDIRECT("'Thanh Toán ("&amp;AL$3&amp;")'!$F:$F"),INDIRECT("'Thanh Toán ("&amp;AL$3&amp;")'!$D:$D"),'Tổng Đơn'!$B64),0)</f>
        <v>0</v>
      </c>
      <c r="AM64" s="2">
        <f ca="1">IFERROR(SUMIFS(INDIRECT("'Thanh Toán ("&amp;AM$3&amp;")'!$F:$F"),INDIRECT("'Thanh Toán ("&amp;AM$3&amp;")'!$D:$D"),'Tổng Đơn'!$B64),0)</f>
        <v>0</v>
      </c>
      <c r="AN64" s="2">
        <f ca="1">IFERROR(SUMIFS(INDIRECT("'Thanh Toán ("&amp;AN$3&amp;")'!$F:$F"),INDIRECT("'Thanh Toán ("&amp;AN$3&amp;")'!$D:$D"),'Tổng Đơn'!$B64),0)</f>
        <v>0</v>
      </c>
      <c r="AO64" s="2">
        <f ca="1">IFERROR(SUMIFS(INDIRECT("'Thanh Toán ("&amp;AO$3&amp;")'!$F:$F"),INDIRECT("'Thanh Toán ("&amp;AO$3&amp;")'!$D:$D"),'Tổng Đơn'!$B64),0)</f>
        <v>0</v>
      </c>
      <c r="AP64" s="2">
        <f ca="1">IFERROR(SUMIFS(INDIRECT("'Thanh Toán ("&amp;AP$3&amp;")'!$F:$F"),INDIRECT("'Thanh Toán ("&amp;AP$3&amp;")'!$D:$D"),'Tổng Đơn'!$B64),0)</f>
        <v>0</v>
      </c>
      <c r="AQ64" s="2">
        <f ca="1">IFERROR(SUMIFS(INDIRECT("'Thanh Toán ("&amp;AQ$3&amp;")'!$F:$F"),INDIRECT("'Thanh Toán ("&amp;AQ$3&amp;")'!$D:$D"),'Tổng Đơn'!$B64),0)</f>
        <v>0</v>
      </c>
      <c r="AR64" s="2">
        <f ca="1">IFERROR(SUMIFS(INDIRECT("'Thanh Toán ("&amp;AR$3&amp;")'!$F:$F"),INDIRECT("'Thanh Toán ("&amp;AR$3&amp;")'!$D:$D"),'Tổng Đơn'!$B64),0)</f>
        <v>0</v>
      </c>
      <c r="AS64" s="2">
        <f ca="1">IFERROR(SUMIFS(INDIRECT("'Thanh Toán ("&amp;AS$3&amp;")'!$F:$F"),INDIRECT("'Thanh Toán ("&amp;AS$3&amp;")'!$D:$D"),'Tổng Đơn'!$B64),0)</f>
        <v>0</v>
      </c>
      <c r="AT64" s="2">
        <f ca="1">IFERROR(SUMIFS(INDIRECT("'Thanh Toán ("&amp;AT$3&amp;")'!$F:$F"),INDIRECT("'Thanh Toán ("&amp;AT$3&amp;")'!$D:$D"),'Tổng Đơn'!$B64),0)</f>
        <v>0</v>
      </c>
      <c r="AU64" s="2">
        <f ca="1">IFERROR(SUMIFS(INDIRECT("'Thanh Toán ("&amp;AU$3&amp;")'!$F:$F"),INDIRECT("'Thanh Toán ("&amp;AU$3&amp;")'!$D:$D"),'Tổng Đơn'!$B64),0)</f>
        <v>0</v>
      </c>
      <c r="AV64" s="2">
        <f ca="1">IFERROR(SUMIFS(INDIRECT("'Thanh Toán ("&amp;AV$3&amp;")'!$F:$F"),INDIRECT("'Thanh Toán ("&amp;AV$3&amp;")'!$D:$D"),'Tổng Đơn'!$B64),0)</f>
        <v>0</v>
      </c>
      <c r="AW64" s="2">
        <f ca="1">IFERROR(SUMIFS(INDIRECT("'Thanh Toán ("&amp;AW$3&amp;")'!$F:$F"),INDIRECT("'Thanh Toán ("&amp;AW$3&amp;")'!$D:$D"),'Tổng Đơn'!$B64),0)</f>
        <v>0</v>
      </c>
      <c r="AX64" s="2">
        <f ca="1">IFERROR(SUMIFS(INDIRECT("'Thanh Toán ("&amp;AX$3&amp;")'!$F:$F"),INDIRECT("'Thanh Toán ("&amp;AX$3&amp;")'!$D:$D"),'Tổng Đơn'!$B64),0)</f>
        <v>0</v>
      </c>
      <c r="AY64" s="2">
        <f ca="1">IFERROR(SUMIFS(INDIRECT("'Thanh Toán ("&amp;AY$3&amp;")'!$F:$F"),INDIRECT("'Thanh Toán ("&amp;AY$3&amp;")'!$D:$D"),'Tổng Đơn'!$B64),0)</f>
        <v>0</v>
      </c>
      <c r="AZ64" s="2">
        <f ca="1">IFERROR(SUMIFS(INDIRECT("'Thanh Toán ("&amp;AZ$3&amp;")'!$F:$F"),INDIRECT("'Thanh Toán ("&amp;AZ$3&amp;")'!$D:$D"),'Tổng Đơn'!$B64),0)</f>
        <v>0</v>
      </c>
      <c r="BA64" s="2">
        <f ca="1">IFERROR(SUMIFS(INDIRECT("'Thanh Toán ("&amp;BA$3&amp;")'!$F:$F"),INDIRECT("'Thanh Toán ("&amp;BA$3&amp;")'!$D:$D"),'Tổng Đơn'!$B64),0)</f>
        <v>0</v>
      </c>
      <c r="BB64" s="2">
        <f ca="1">IFERROR(SUMIFS(INDIRECT("'Thanh Toán ("&amp;BB$3&amp;")'!$F:$F"),INDIRECT("'Thanh Toán ("&amp;BB$3&amp;")'!$D:$D"),'Tổng Đơn'!$B64),0)</f>
        <v>0</v>
      </c>
      <c r="BC64" s="2">
        <f ca="1">IFERROR(SUMIFS(INDIRECT("'Thanh Toán ("&amp;BC$3&amp;")'!$F:$F"),INDIRECT("'Thanh Toán ("&amp;BC$3&amp;")'!$D:$D"),'Tổng Đơn'!$B64),0)</f>
        <v>0</v>
      </c>
    </row>
    <row r="65" spans="1:55" ht="18" customHeight="1" x14ac:dyDescent="0.25">
      <c r="A65" s="210">
        <v>58</v>
      </c>
      <c r="B65" s="211" t="s">
        <v>179</v>
      </c>
      <c r="C65" s="201" t="s">
        <v>180</v>
      </c>
      <c r="D65" s="203">
        <f>VLOOKUP($C65,Sheet1!$C$5:$D$98,2,0)</f>
        <v>38000</v>
      </c>
      <c r="E65" s="204">
        <v>0.5</v>
      </c>
      <c r="F65" s="205">
        <f t="shared" ca="1" si="5"/>
        <v>0</v>
      </c>
      <c r="G65" s="206">
        <f>IFERROR(VLOOKUP($B65,Gà!C:J,8,0),IFERROR(VLOOKUP($B65,TVP!C:J,7,0),IFERROR(VLOOKUP($B65,Kitkool!C:J,8,0),IFERROR(VLOOKUP($B65,'La Cusina'!C:J,8,0),VLOOKUP($B65,'Quốc Nhân'!C:J,8,0)))))</f>
        <v>32.315342834286994</v>
      </c>
      <c r="H65" s="207">
        <f t="shared" ca="1" si="4"/>
        <v>0</v>
      </c>
      <c r="I65" s="207"/>
      <c r="J65" s="207">
        <f t="shared" ca="1" si="3"/>
        <v>0</v>
      </c>
      <c r="K65" s="53"/>
      <c r="L65" s="2">
        <f ca="1">IFERROR(SUMIFS(INDIRECT("'Thanh Toán ("&amp;L$3&amp;")'!$F:$F"),INDIRECT("'Thanh Toán ("&amp;L$3&amp;")'!$D:$D"),'Tổng Đơn'!$B65),0)</f>
        <v>0</v>
      </c>
      <c r="M65" s="2">
        <f ca="1">IFERROR(SUMIFS(INDIRECT("'Thanh Toán ("&amp;M$3&amp;")'!$F:$F"),INDIRECT("'Thanh Toán ("&amp;M$3&amp;")'!$D:$D"),'Tổng Đơn'!$B65),0)</f>
        <v>0</v>
      </c>
      <c r="N65" s="2">
        <f ca="1">IFERROR(SUMIFS(INDIRECT("'Thanh Toán ("&amp;N$3&amp;")'!$F:$F"),INDIRECT("'Thanh Toán ("&amp;N$3&amp;")'!$D:$D"),'Tổng Đơn'!$B65),0)</f>
        <v>0</v>
      </c>
      <c r="O65" s="2">
        <f ca="1">IFERROR(SUMIFS(INDIRECT("'Thanh Toán ("&amp;O$3&amp;")'!$F:$F"),INDIRECT("'Thanh Toán ("&amp;O$3&amp;")'!$D:$D"),'Tổng Đơn'!$B65),0)</f>
        <v>0</v>
      </c>
      <c r="P65" s="2">
        <f ca="1">IFERROR(SUMIFS(INDIRECT("'Thanh Toán ("&amp;P$3&amp;")'!$F:$F"),INDIRECT("'Thanh Toán ("&amp;P$3&amp;")'!$D:$D"),'Tổng Đơn'!$B65),0)</f>
        <v>0</v>
      </c>
      <c r="Q65" s="2">
        <f ca="1">IFERROR(SUMIFS(INDIRECT("'Thanh Toán ("&amp;Q$3&amp;")'!$F:$F"),INDIRECT("'Thanh Toán ("&amp;Q$3&amp;")'!$D:$D"),'Tổng Đơn'!$B65),0)</f>
        <v>0</v>
      </c>
      <c r="R65" s="2">
        <f ca="1">IFERROR(SUMIFS(INDIRECT("'Thanh Toán ("&amp;R$3&amp;")'!$F:$F"),INDIRECT("'Thanh Toán ("&amp;R$3&amp;")'!$D:$D"),'Tổng Đơn'!$B65),0)</f>
        <v>0</v>
      </c>
      <c r="S65" s="2">
        <f ca="1">IFERROR(SUMIFS(INDIRECT("'Thanh Toán ("&amp;S$3&amp;")'!$F:$F"),INDIRECT("'Thanh Toán ("&amp;S$3&amp;")'!$D:$D"),'Tổng Đơn'!$B65),0)</f>
        <v>0</v>
      </c>
      <c r="T65" s="2">
        <f ca="1">IFERROR(SUMIFS(INDIRECT("'Thanh Toán ("&amp;T$3&amp;")'!$F:$F"),INDIRECT("'Thanh Toán ("&amp;T$3&amp;")'!$D:$D"),'Tổng Đơn'!$B65),0)</f>
        <v>0</v>
      </c>
      <c r="U65" s="2">
        <f ca="1">IFERROR(SUMIFS(INDIRECT("'Thanh Toán ("&amp;U$3&amp;")'!$F:$F"),INDIRECT("'Thanh Toán ("&amp;U$3&amp;")'!$D:$D"),'Tổng Đơn'!$B65),0)</f>
        <v>0</v>
      </c>
      <c r="V65" s="2">
        <f ca="1">IFERROR(SUMIFS(INDIRECT("'Thanh Toán ("&amp;V$3&amp;")'!$F:$F"),INDIRECT("'Thanh Toán ("&amp;V$3&amp;")'!$D:$D"),'Tổng Đơn'!$B65),0)</f>
        <v>0</v>
      </c>
      <c r="W65" s="2">
        <f ca="1">IFERROR(SUMIFS(INDIRECT("'Thanh Toán ("&amp;W$3&amp;")'!$F:$F"),INDIRECT("'Thanh Toán ("&amp;W$3&amp;")'!$D:$D"),'Tổng Đơn'!$B65),0)</f>
        <v>0</v>
      </c>
      <c r="X65" s="2">
        <f ca="1">IFERROR(SUMIFS(INDIRECT("'Thanh Toán ("&amp;X$3&amp;")'!$F:$F"),INDIRECT("'Thanh Toán ("&amp;X$3&amp;")'!$D:$D"),'Tổng Đơn'!$B65),0)</f>
        <v>0</v>
      </c>
      <c r="Y65" s="2">
        <f ca="1">IFERROR(SUMIFS(INDIRECT("'Thanh Toán ("&amp;Y$3&amp;")'!$F:$F"),INDIRECT("'Thanh Toán ("&amp;Y$3&amp;")'!$D:$D"),'Tổng Đơn'!$B65),0)</f>
        <v>0</v>
      </c>
      <c r="Z65" s="2">
        <f ca="1">IFERROR(SUMIFS(INDIRECT("'Thanh Toán ("&amp;Z$3&amp;")'!$F:$F"),INDIRECT("'Thanh Toán ("&amp;Z$3&amp;")'!$D:$D"),'Tổng Đơn'!$B65),0)</f>
        <v>0</v>
      </c>
      <c r="AA65" s="2">
        <f ca="1">IFERROR(SUMIFS(INDIRECT("'Thanh Toán ("&amp;AA$3&amp;")'!$F:$F"),INDIRECT("'Thanh Toán ("&amp;AA$3&amp;")'!$D:$D"),'Tổng Đơn'!$B65),0)</f>
        <v>0</v>
      </c>
      <c r="AB65" s="2">
        <f ca="1">IFERROR(SUMIFS(INDIRECT("'Thanh Toán ("&amp;AB$3&amp;")'!$F:$F"),INDIRECT("'Thanh Toán ("&amp;AB$3&amp;")'!$D:$D"),'Tổng Đơn'!$B65),0)</f>
        <v>0</v>
      </c>
      <c r="AC65" s="2">
        <f ca="1">IFERROR(SUMIFS(INDIRECT("'Thanh Toán ("&amp;AC$3&amp;")'!$F:$F"),INDIRECT("'Thanh Toán ("&amp;AC$3&amp;")'!$D:$D"),'Tổng Đơn'!$B65),0)</f>
        <v>0</v>
      </c>
      <c r="AD65" s="2">
        <f ca="1">IFERROR(SUMIFS(INDIRECT("'Thanh Toán ("&amp;AD$3&amp;")'!$F:$F"),INDIRECT("'Thanh Toán ("&amp;AD$3&amp;")'!$D:$D"),'Tổng Đơn'!$B65),0)</f>
        <v>0</v>
      </c>
      <c r="AE65" s="2">
        <f ca="1">IFERROR(SUMIFS(INDIRECT("'Thanh Toán ("&amp;AE$3&amp;")'!$F:$F"),INDIRECT("'Thanh Toán ("&amp;AE$3&amp;")'!$D:$D"),'Tổng Đơn'!$B65),0)</f>
        <v>0</v>
      </c>
      <c r="AF65" s="2">
        <f ca="1">IFERROR(SUMIFS(INDIRECT("'Thanh Toán ("&amp;AF$3&amp;")'!$F:$F"),INDIRECT("'Thanh Toán ("&amp;AF$3&amp;")'!$D:$D"),'Tổng Đơn'!$B65),0)</f>
        <v>0</v>
      </c>
      <c r="AG65" s="2">
        <f ca="1">IFERROR(SUMIFS(INDIRECT("'Thanh Toán ("&amp;AG$3&amp;")'!$F:$F"),INDIRECT("'Thanh Toán ("&amp;AG$3&amp;")'!$D:$D"),'Tổng Đơn'!$B65),0)</f>
        <v>0</v>
      </c>
      <c r="AH65" s="2">
        <f ca="1">IFERROR(SUMIFS(INDIRECT("'Thanh Toán ("&amp;AH$3&amp;")'!$F:$F"),INDIRECT("'Thanh Toán ("&amp;AH$3&amp;")'!$D:$D"),'Tổng Đơn'!$B65),0)</f>
        <v>0</v>
      </c>
      <c r="AI65" s="2">
        <f ca="1">IFERROR(SUMIFS(INDIRECT("'Thanh Toán ("&amp;AI$3&amp;")'!$F:$F"),INDIRECT("'Thanh Toán ("&amp;AI$3&amp;")'!$D:$D"),'Tổng Đơn'!$B65),0)</f>
        <v>0</v>
      </c>
      <c r="AJ65" s="2">
        <f ca="1">IFERROR(SUMIFS(INDIRECT("'Thanh Toán ("&amp;AJ$3&amp;")'!$F:$F"),INDIRECT("'Thanh Toán ("&amp;AJ$3&amp;")'!$D:$D"),'Tổng Đơn'!$B65),0)</f>
        <v>0</v>
      </c>
      <c r="AK65" s="2">
        <f ca="1">IFERROR(SUMIFS(INDIRECT("'Thanh Toán ("&amp;AK$3&amp;")'!$F:$F"),INDIRECT("'Thanh Toán ("&amp;AK$3&amp;")'!$D:$D"),'Tổng Đơn'!$B65),0)</f>
        <v>0</v>
      </c>
      <c r="AL65" s="2">
        <f ca="1">IFERROR(SUMIFS(INDIRECT("'Thanh Toán ("&amp;AL$3&amp;")'!$F:$F"),INDIRECT("'Thanh Toán ("&amp;AL$3&amp;")'!$D:$D"),'Tổng Đơn'!$B65),0)</f>
        <v>0</v>
      </c>
      <c r="AM65" s="2">
        <f ca="1">IFERROR(SUMIFS(INDIRECT("'Thanh Toán ("&amp;AM$3&amp;")'!$F:$F"),INDIRECT("'Thanh Toán ("&amp;AM$3&amp;")'!$D:$D"),'Tổng Đơn'!$B65),0)</f>
        <v>0</v>
      </c>
      <c r="AN65" s="2">
        <f ca="1">IFERROR(SUMIFS(INDIRECT("'Thanh Toán ("&amp;AN$3&amp;")'!$F:$F"),INDIRECT("'Thanh Toán ("&amp;AN$3&amp;")'!$D:$D"),'Tổng Đơn'!$B65),0)</f>
        <v>0</v>
      </c>
      <c r="AO65" s="2">
        <f ca="1">IFERROR(SUMIFS(INDIRECT("'Thanh Toán ("&amp;AO$3&amp;")'!$F:$F"),INDIRECT("'Thanh Toán ("&amp;AO$3&amp;")'!$D:$D"),'Tổng Đơn'!$B65),0)</f>
        <v>0</v>
      </c>
      <c r="AP65" s="2">
        <f ca="1">IFERROR(SUMIFS(INDIRECT("'Thanh Toán ("&amp;AP$3&amp;")'!$F:$F"),INDIRECT("'Thanh Toán ("&amp;AP$3&amp;")'!$D:$D"),'Tổng Đơn'!$B65),0)</f>
        <v>0</v>
      </c>
      <c r="AQ65" s="2">
        <f ca="1">IFERROR(SUMIFS(INDIRECT("'Thanh Toán ("&amp;AQ$3&amp;")'!$F:$F"),INDIRECT("'Thanh Toán ("&amp;AQ$3&amp;")'!$D:$D"),'Tổng Đơn'!$B65),0)</f>
        <v>0</v>
      </c>
      <c r="AR65" s="2">
        <f ca="1">IFERROR(SUMIFS(INDIRECT("'Thanh Toán ("&amp;AR$3&amp;")'!$F:$F"),INDIRECT("'Thanh Toán ("&amp;AR$3&amp;")'!$D:$D"),'Tổng Đơn'!$B65),0)</f>
        <v>0</v>
      </c>
      <c r="AS65" s="2">
        <f ca="1">IFERROR(SUMIFS(INDIRECT("'Thanh Toán ("&amp;AS$3&amp;")'!$F:$F"),INDIRECT("'Thanh Toán ("&amp;AS$3&amp;")'!$D:$D"),'Tổng Đơn'!$B65),0)</f>
        <v>0</v>
      </c>
      <c r="AT65" s="2">
        <f ca="1">IFERROR(SUMIFS(INDIRECT("'Thanh Toán ("&amp;AT$3&amp;")'!$F:$F"),INDIRECT("'Thanh Toán ("&amp;AT$3&amp;")'!$D:$D"),'Tổng Đơn'!$B65),0)</f>
        <v>0</v>
      </c>
      <c r="AU65" s="2">
        <f ca="1">IFERROR(SUMIFS(INDIRECT("'Thanh Toán ("&amp;AU$3&amp;")'!$F:$F"),INDIRECT("'Thanh Toán ("&amp;AU$3&amp;")'!$D:$D"),'Tổng Đơn'!$B65),0)</f>
        <v>0</v>
      </c>
      <c r="AV65" s="2">
        <f ca="1">IFERROR(SUMIFS(INDIRECT("'Thanh Toán ("&amp;AV$3&amp;")'!$F:$F"),INDIRECT("'Thanh Toán ("&amp;AV$3&amp;")'!$D:$D"),'Tổng Đơn'!$B65),0)</f>
        <v>0</v>
      </c>
      <c r="AW65" s="2">
        <f ca="1">IFERROR(SUMIFS(INDIRECT("'Thanh Toán ("&amp;AW$3&amp;")'!$F:$F"),INDIRECT("'Thanh Toán ("&amp;AW$3&amp;")'!$D:$D"),'Tổng Đơn'!$B65),0)</f>
        <v>0</v>
      </c>
      <c r="AX65" s="2">
        <f ca="1">IFERROR(SUMIFS(INDIRECT("'Thanh Toán ("&amp;AX$3&amp;")'!$F:$F"),INDIRECT("'Thanh Toán ("&amp;AX$3&amp;")'!$D:$D"),'Tổng Đơn'!$B65),0)</f>
        <v>0</v>
      </c>
      <c r="AY65" s="2">
        <f ca="1">IFERROR(SUMIFS(INDIRECT("'Thanh Toán ("&amp;AY$3&amp;")'!$F:$F"),INDIRECT("'Thanh Toán ("&amp;AY$3&amp;")'!$D:$D"),'Tổng Đơn'!$B65),0)</f>
        <v>0</v>
      </c>
      <c r="AZ65" s="2">
        <f ca="1">IFERROR(SUMIFS(INDIRECT("'Thanh Toán ("&amp;AZ$3&amp;")'!$F:$F"),INDIRECT("'Thanh Toán ("&amp;AZ$3&amp;")'!$D:$D"),'Tổng Đơn'!$B65),0)</f>
        <v>0</v>
      </c>
      <c r="BA65" s="2">
        <f ca="1">IFERROR(SUMIFS(INDIRECT("'Thanh Toán ("&amp;BA$3&amp;")'!$F:$F"),INDIRECT("'Thanh Toán ("&amp;BA$3&amp;")'!$D:$D"),'Tổng Đơn'!$B65),0)</f>
        <v>0</v>
      </c>
      <c r="BB65" s="2">
        <f ca="1">IFERROR(SUMIFS(INDIRECT("'Thanh Toán ("&amp;BB$3&amp;")'!$F:$F"),INDIRECT("'Thanh Toán ("&amp;BB$3&amp;")'!$D:$D"),'Tổng Đơn'!$B65),0)</f>
        <v>0</v>
      </c>
      <c r="BC65" s="2">
        <f ca="1">IFERROR(SUMIFS(INDIRECT("'Thanh Toán ("&amp;BC$3&amp;")'!$F:$F"),INDIRECT("'Thanh Toán ("&amp;BC$3&amp;")'!$D:$D"),'Tổng Đơn'!$B65),0)</f>
        <v>0</v>
      </c>
    </row>
    <row r="66" spans="1:55" ht="18" customHeight="1" x14ac:dyDescent="0.25">
      <c r="A66" s="210">
        <v>59</v>
      </c>
      <c r="B66" s="211" t="s">
        <v>185</v>
      </c>
      <c r="C66" s="201" t="s">
        <v>181</v>
      </c>
      <c r="D66" s="203">
        <f>VLOOKUP($C66,Sheet1!$C$5:$D$98,2,0)</f>
        <v>70000</v>
      </c>
      <c r="E66" s="204">
        <v>0.5</v>
      </c>
      <c r="F66" s="205">
        <f t="shared" ca="1" si="5"/>
        <v>3</v>
      </c>
      <c r="G66" s="206">
        <f>IFERROR(VLOOKUP($B66,Gà!C:J,8,0),IFERROR(VLOOKUP($B66,TVP!C:J,7,0),IFERROR(VLOOKUP($B66,Kitkool!C:J,8,0),IFERROR(VLOOKUP($B66,'La Cusina'!C:J,8,0),VLOOKUP($B66,'Quốc Nhân'!C:J,8,0)))))</f>
        <v>61.340514209146363</v>
      </c>
      <c r="H66" s="207">
        <f t="shared" ca="1" si="4"/>
        <v>25978.457372560908</v>
      </c>
      <c r="I66" s="207"/>
      <c r="J66" s="207">
        <f t="shared" ca="1" si="3"/>
        <v>184021.54262743908</v>
      </c>
      <c r="K66" s="53"/>
      <c r="L66" s="2">
        <f ca="1">IFERROR(SUMIFS(INDIRECT("'Thanh Toán ("&amp;L$3&amp;")'!$F:$F"),INDIRECT("'Thanh Toán ("&amp;L$3&amp;")'!$D:$D"),'Tổng Đơn'!$B66),0)</f>
        <v>0</v>
      </c>
      <c r="M66" s="2">
        <f ca="1">IFERROR(SUMIFS(INDIRECT("'Thanh Toán ("&amp;M$3&amp;")'!$F:$F"),INDIRECT("'Thanh Toán ("&amp;M$3&amp;")'!$D:$D"),'Tổng Đơn'!$B66),0)</f>
        <v>1</v>
      </c>
      <c r="N66" s="2">
        <f ca="1">IFERROR(SUMIFS(INDIRECT("'Thanh Toán ("&amp;N$3&amp;")'!$F:$F"),INDIRECT("'Thanh Toán ("&amp;N$3&amp;")'!$D:$D"),'Tổng Đơn'!$B66),0)</f>
        <v>0</v>
      </c>
      <c r="O66" s="2">
        <f ca="1">IFERROR(SUMIFS(INDIRECT("'Thanh Toán ("&amp;O$3&amp;")'!$F:$F"),INDIRECT("'Thanh Toán ("&amp;O$3&amp;")'!$D:$D"),'Tổng Đơn'!$B66),0)</f>
        <v>2</v>
      </c>
      <c r="P66" s="2">
        <f ca="1">IFERROR(SUMIFS(INDIRECT("'Thanh Toán ("&amp;P$3&amp;")'!$F:$F"),INDIRECT("'Thanh Toán ("&amp;P$3&amp;")'!$D:$D"),'Tổng Đơn'!$B66),0)</f>
        <v>0</v>
      </c>
      <c r="Q66" s="2">
        <f ca="1">IFERROR(SUMIFS(INDIRECT("'Thanh Toán ("&amp;Q$3&amp;")'!$F:$F"),INDIRECT("'Thanh Toán ("&amp;Q$3&amp;")'!$D:$D"),'Tổng Đơn'!$B66),0)</f>
        <v>0</v>
      </c>
      <c r="R66" s="2">
        <f ca="1">IFERROR(SUMIFS(INDIRECT("'Thanh Toán ("&amp;R$3&amp;")'!$F:$F"),INDIRECT("'Thanh Toán ("&amp;R$3&amp;")'!$D:$D"),'Tổng Đơn'!$B66),0)</f>
        <v>0</v>
      </c>
      <c r="S66" s="2">
        <f ca="1">IFERROR(SUMIFS(INDIRECT("'Thanh Toán ("&amp;S$3&amp;")'!$F:$F"),INDIRECT("'Thanh Toán ("&amp;S$3&amp;")'!$D:$D"),'Tổng Đơn'!$B66),0)</f>
        <v>0</v>
      </c>
      <c r="T66" s="2">
        <f ca="1">IFERROR(SUMIFS(INDIRECT("'Thanh Toán ("&amp;T$3&amp;")'!$F:$F"),INDIRECT("'Thanh Toán ("&amp;T$3&amp;")'!$D:$D"),'Tổng Đơn'!$B66),0)</f>
        <v>0</v>
      </c>
      <c r="U66" s="2">
        <f ca="1">IFERROR(SUMIFS(INDIRECT("'Thanh Toán ("&amp;U$3&amp;")'!$F:$F"),INDIRECT("'Thanh Toán ("&amp;U$3&amp;")'!$D:$D"),'Tổng Đơn'!$B66),0)</f>
        <v>0</v>
      </c>
      <c r="V66" s="2">
        <f ca="1">IFERROR(SUMIFS(INDIRECT("'Thanh Toán ("&amp;V$3&amp;")'!$F:$F"),INDIRECT("'Thanh Toán ("&amp;V$3&amp;")'!$D:$D"),'Tổng Đơn'!$B66),0)</f>
        <v>0</v>
      </c>
      <c r="W66" s="2">
        <f ca="1">IFERROR(SUMIFS(INDIRECT("'Thanh Toán ("&amp;W$3&amp;")'!$F:$F"),INDIRECT("'Thanh Toán ("&amp;W$3&amp;")'!$D:$D"),'Tổng Đơn'!$B66),0)</f>
        <v>0</v>
      </c>
      <c r="X66" s="2">
        <f ca="1">IFERROR(SUMIFS(INDIRECT("'Thanh Toán ("&amp;X$3&amp;")'!$F:$F"),INDIRECT("'Thanh Toán ("&amp;X$3&amp;")'!$D:$D"),'Tổng Đơn'!$B66),0)</f>
        <v>0</v>
      </c>
      <c r="Y66" s="2">
        <f ca="1">IFERROR(SUMIFS(INDIRECT("'Thanh Toán ("&amp;Y$3&amp;")'!$F:$F"),INDIRECT("'Thanh Toán ("&amp;Y$3&amp;")'!$D:$D"),'Tổng Đơn'!$B66),0)</f>
        <v>0</v>
      </c>
      <c r="Z66" s="2">
        <f ca="1">IFERROR(SUMIFS(INDIRECT("'Thanh Toán ("&amp;Z$3&amp;")'!$F:$F"),INDIRECT("'Thanh Toán ("&amp;Z$3&amp;")'!$D:$D"),'Tổng Đơn'!$B66),0)</f>
        <v>0</v>
      </c>
      <c r="AA66" s="2">
        <f ca="1">IFERROR(SUMIFS(INDIRECT("'Thanh Toán ("&amp;AA$3&amp;")'!$F:$F"),INDIRECT("'Thanh Toán ("&amp;AA$3&amp;")'!$D:$D"),'Tổng Đơn'!$B66),0)</f>
        <v>0</v>
      </c>
      <c r="AB66" s="2">
        <f ca="1">IFERROR(SUMIFS(INDIRECT("'Thanh Toán ("&amp;AB$3&amp;")'!$F:$F"),INDIRECT("'Thanh Toán ("&amp;AB$3&amp;")'!$D:$D"),'Tổng Đơn'!$B66),0)</f>
        <v>0</v>
      </c>
      <c r="AC66" s="2">
        <f ca="1">IFERROR(SUMIFS(INDIRECT("'Thanh Toán ("&amp;AC$3&amp;")'!$F:$F"),INDIRECT("'Thanh Toán ("&amp;AC$3&amp;")'!$D:$D"),'Tổng Đơn'!$B66),0)</f>
        <v>0</v>
      </c>
      <c r="AD66" s="2">
        <f ca="1">IFERROR(SUMIFS(INDIRECT("'Thanh Toán ("&amp;AD$3&amp;")'!$F:$F"),INDIRECT("'Thanh Toán ("&amp;AD$3&amp;")'!$D:$D"),'Tổng Đơn'!$B66),0)</f>
        <v>0</v>
      </c>
      <c r="AE66" s="2">
        <f ca="1">IFERROR(SUMIFS(INDIRECT("'Thanh Toán ("&amp;AE$3&amp;")'!$F:$F"),INDIRECT("'Thanh Toán ("&amp;AE$3&amp;")'!$D:$D"),'Tổng Đơn'!$B66),0)</f>
        <v>0</v>
      </c>
      <c r="AF66" s="2">
        <f ca="1">IFERROR(SUMIFS(INDIRECT("'Thanh Toán ("&amp;AF$3&amp;")'!$F:$F"),INDIRECT("'Thanh Toán ("&amp;AF$3&amp;")'!$D:$D"),'Tổng Đơn'!$B66),0)</f>
        <v>0</v>
      </c>
      <c r="AG66" s="2">
        <f ca="1">IFERROR(SUMIFS(INDIRECT("'Thanh Toán ("&amp;AG$3&amp;")'!$F:$F"),INDIRECT("'Thanh Toán ("&amp;AG$3&amp;")'!$D:$D"),'Tổng Đơn'!$B66),0)</f>
        <v>0</v>
      </c>
      <c r="AH66" s="2">
        <f ca="1">IFERROR(SUMIFS(INDIRECT("'Thanh Toán ("&amp;AH$3&amp;")'!$F:$F"),INDIRECT("'Thanh Toán ("&amp;AH$3&amp;")'!$D:$D"),'Tổng Đơn'!$B66),0)</f>
        <v>0</v>
      </c>
      <c r="AI66" s="2">
        <f ca="1">IFERROR(SUMIFS(INDIRECT("'Thanh Toán ("&amp;AI$3&amp;")'!$F:$F"),INDIRECT("'Thanh Toán ("&amp;AI$3&amp;")'!$D:$D"),'Tổng Đơn'!$B66),0)</f>
        <v>0</v>
      </c>
      <c r="AJ66" s="2">
        <f ca="1">IFERROR(SUMIFS(INDIRECT("'Thanh Toán ("&amp;AJ$3&amp;")'!$F:$F"),INDIRECT("'Thanh Toán ("&amp;AJ$3&amp;")'!$D:$D"),'Tổng Đơn'!$B66),0)</f>
        <v>0</v>
      </c>
      <c r="AK66" s="2">
        <f ca="1">IFERROR(SUMIFS(INDIRECT("'Thanh Toán ("&amp;AK$3&amp;")'!$F:$F"),INDIRECT("'Thanh Toán ("&amp;AK$3&amp;")'!$D:$D"),'Tổng Đơn'!$B66),0)</f>
        <v>0</v>
      </c>
      <c r="AL66" s="2">
        <f ca="1">IFERROR(SUMIFS(INDIRECT("'Thanh Toán ("&amp;AL$3&amp;")'!$F:$F"),INDIRECT("'Thanh Toán ("&amp;AL$3&amp;")'!$D:$D"),'Tổng Đơn'!$B66),0)</f>
        <v>0</v>
      </c>
      <c r="AM66" s="2">
        <f ca="1">IFERROR(SUMIFS(INDIRECT("'Thanh Toán ("&amp;AM$3&amp;")'!$F:$F"),INDIRECT("'Thanh Toán ("&amp;AM$3&amp;")'!$D:$D"),'Tổng Đơn'!$B66),0)</f>
        <v>0</v>
      </c>
      <c r="AN66" s="2">
        <f ca="1">IFERROR(SUMIFS(INDIRECT("'Thanh Toán ("&amp;AN$3&amp;")'!$F:$F"),INDIRECT("'Thanh Toán ("&amp;AN$3&amp;")'!$D:$D"),'Tổng Đơn'!$B66),0)</f>
        <v>0</v>
      </c>
      <c r="AO66" s="2">
        <f ca="1">IFERROR(SUMIFS(INDIRECT("'Thanh Toán ("&amp;AO$3&amp;")'!$F:$F"),INDIRECT("'Thanh Toán ("&amp;AO$3&amp;")'!$D:$D"),'Tổng Đơn'!$B66),0)</f>
        <v>0</v>
      </c>
      <c r="AP66" s="2">
        <f ca="1">IFERROR(SUMIFS(INDIRECT("'Thanh Toán ("&amp;AP$3&amp;")'!$F:$F"),INDIRECT("'Thanh Toán ("&amp;AP$3&amp;")'!$D:$D"),'Tổng Đơn'!$B66),0)</f>
        <v>0</v>
      </c>
      <c r="AQ66" s="2">
        <f ca="1">IFERROR(SUMIFS(INDIRECT("'Thanh Toán ("&amp;AQ$3&amp;")'!$F:$F"),INDIRECT("'Thanh Toán ("&amp;AQ$3&amp;")'!$D:$D"),'Tổng Đơn'!$B66),0)</f>
        <v>0</v>
      </c>
      <c r="AR66" s="2">
        <f ca="1">IFERROR(SUMIFS(INDIRECT("'Thanh Toán ("&amp;AR$3&amp;")'!$F:$F"),INDIRECT("'Thanh Toán ("&amp;AR$3&amp;")'!$D:$D"),'Tổng Đơn'!$B66),0)</f>
        <v>0</v>
      </c>
      <c r="AS66" s="2">
        <f ca="1">IFERROR(SUMIFS(INDIRECT("'Thanh Toán ("&amp;AS$3&amp;")'!$F:$F"),INDIRECT("'Thanh Toán ("&amp;AS$3&amp;")'!$D:$D"),'Tổng Đơn'!$B66),0)</f>
        <v>0</v>
      </c>
      <c r="AT66" s="2">
        <f ca="1">IFERROR(SUMIFS(INDIRECT("'Thanh Toán ("&amp;AT$3&amp;")'!$F:$F"),INDIRECT("'Thanh Toán ("&amp;AT$3&amp;")'!$D:$D"),'Tổng Đơn'!$B66),0)</f>
        <v>0</v>
      </c>
      <c r="AU66" s="2">
        <f ca="1">IFERROR(SUMIFS(INDIRECT("'Thanh Toán ("&amp;AU$3&amp;")'!$F:$F"),INDIRECT("'Thanh Toán ("&amp;AU$3&amp;")'!$D:$D"),'Tổng Đơn'!$B66),0)</f>
        <v>0</v>
      </c>
      <c r="AV66" s="2">
        <f ca="1">IFERROR(SUMIFS(INDIRECT("'Thanh Toán ("&amp;AV$3&amp;")'!$F:$F"),INDIRECT("'Thanh Toán ("&amp;AV$3&amp;")'!$D:$D"),'Tổng Đơn'!$B66),0)</f>
        <v>0</v>
      </c>
      <c r="AW66" s="2">
        <f ca="1">IFERROR(SUMIFS(INDIRECT("'Thanh Toán ("&amp;AW$3&amp;")'!$F:$F"),INDIRECT("'Thanh Toán ("&amp;AW$3&amp;")'!$D:$D"),'Tổng Đơn'!$B66),0)</f>
        <v>0</v>
      </c>
      <c r="AX66" s="2">
        <f ca="1">IFERROR(SUMIFS(INDIRECT("'Thanh Toán ("&amp;AX$3&amp;")'!$F:$F"),INDIRECT("'Thanh Toán ("&amp;AX$3&amp;")'!$D:$D"),'Tổng Đơn'!$B66),0)</f>
        <v>0</v>
      </c>
      <c r="AY66" s="2">
        <f ca="1">IFERROR(SUMIFS(INDIRECT("'Thanh Toán ("&amp;AY$3&amp;")'!$F:$F"),INDIRECT("'Thanh Toán ("&amp;AY$3&amp;")'!$D:$D"),'Tổng Đơn'!$B66),0)</f>
        <v>0</v>
      </c>
      <c r="AZ66" s="2">
        <f ca="1">IFERROR(SUMIFS(INDIRECT("'Thanh Toán ("&amp;AZ$3&amp;")'!$F:$F"),INDIRECT("'Thanh Toán ("&amp;AZ$3&amp;")'!$D:$D"),'Tổng Đơn'!$B66),0)</f>
        <v>0</v>
      </c>
      <c r="BA66" s="2">
        <f ca="1">IFERROR(SUMIFS(INDIRECT("'Thanh Toán ("&amp;BA$3&amp;")'!$F:$F"),INDIRECT("'Thanh Toán ("&amp;BA$3&amp;")'!$D:$D"),'Tổng Đơn'!$B66),0)</f>
        <v>0</v>
      </c>
      <c r="BB66" s="2">
        <f ca="1">IFERROR(SUMIFS(INDIRECT("'Thanh Toán ("&amp;BB$3&amp;")'!$F:$F"),INDIRECT("'Thanh Toán ("&amp;BB$3&amp;")'!$D:$D"),'Tổng Đơn'!$B66),0)</f>
        <v>0</v>
      </c>
      <c r="BC66" s="2">
        <f ca="1">IFERROR(SUMIFS(INDIRECT("'Thanh Toán ("&amp;BC$3&amp;")'!$F:$F"),INDIRECT("'Thanh Toán ("&amp;BC$3&amp;")'!$D:$D"),'Tổng Đơn'!$B66),0)</f>
        <v>0</v>
      </c>
    </row>
    <row r="67" spans="1:55" ht="18" customHeight="1" x14ac:dyDescent="0.25">
      <c r="A67" s="210">
        <v>60</v>
      </c>
      <c r="B67" s="211" t="s">
        <v>200</v>
      </c>
      <c r="C67" s="201" t="s">
        <v>186</v>
      </c>
      <c r="D67" s="203">
        <f>VLOOKUP($C67,Sheet1!$C$5:$D$98,2,0)</f>
        <v>54000</v>
      </c>
      <c r="E67" s="204">
        <v>0.5</v>
      </c>
      <c r="F67" s="205">
        <f t="shared" ca="1" si="5"/>
        <v>0</v>
      </c>
      <c r="G67" s="206">
        <f>IFERROR(VLOOKUP($B67,Gà!C:J,8,0),IFERROR(VLOOKUP($B67,TVP!C:J,7,0),IFERROR(VLOOKUP($B67,Kitkool!C:J,8,0),IFERROR(VLOOKUP($B67,'La Cusina'!C:J,8,0),VLOOKUP($B67,'Quốc Nhân'!C:J,8,0)))))</f>
        <v>44.983043753373998</v>
      </c>
      <c r="H67" s="207">
        <f t="shared" ca="1" si="4"/>
        <v>0</v>
      </c>
      <c r="I67" s="207"/>
      <c r="J67" s="207">
        <f t="shared" ca="1" si="3"/>
        <v>0</v>
      </c>
      <c r="K67" s="53"/>
      <c r="L67" s="2">
        <f ca="1">IFERROR(SUMIFS(INDIRECT("'Thanh Toán ("&amp;L$3&amp;")'!$F:$F"),INDIRECT("'Thanh Toán ("&amp;L$3&amp;")'!$D:$D"),'Tổng Đơn'!$B67),0)</f>
        <v>0</v>
      </c>
      <c r="M67" s="2">
        <f ca="1">IFERROR(SUMIFS(INDIRECT("'Thanh Toán ("&amp;M$3&amp;")'!$F:$F"),INDIRECT("'Thanh Toán ("&amp;M$3&amp;")'!$D:$D"),'Tổng Đơn'!$B67),0)</f>
        <v>0</v>
      </c>
      <c r="N67" s="2">
        <f ca="1">IFERROR(SUMIFS(INDIRECT("'Thanh Toán ("&amp;N$3&amp;")'!$F:$F"),INDIRECT("'Thanh Toán ("&amp;N$3&amp;")'!$D:$D"),'Tổng Đơn'!$B67),0)</f>
        <v>0</v>
      </c>
      <c r="O67" s="2">
        <f ca="1">IFERROR(SUMIFS(INDIRECT("'Thanh Toán ("&amp;O$3&amp;")'!$F:$F"),INDIRECT("'Thanh Toán ("&amp;O$3&amp;")'!$D:$D"),'Tổng Đơn'!$B67),0)</f>
        <v>0</v>
      </c>
      <c r="P67" s="2">
        <f ca="1">IFERROR(SUMIFS(INDIRECT("'Thanh Toán ("&amp;P$3&amp;")'!$F:$F"),INDIRECT("'Thanh Toán ("&amp;P$3&amp;")'!$D:$D"),'Tổng Đơn'!$B67),0)</f>
        <v>0</v>
      </c>
      <c r="Q67" s="2">
        <f ca="1">IFERROR(SUMIFS(INDIRECT("'Thanh Toán ("&amp;Q$3&amp;")'!$F:$F"),INDIRECT("'Thanh Toán ("&amp;Q$3&amp;")'!$D:$D"),'Tổng Đơn'!$B67),0)</f>
        <v>0</v>
      </c>
      <c r="R67" s="2">
        <f ca="1">IFERROR(SUMIFS(INDIRECT("'Thanh Toán ("&amp;R$3&amp;")'!$F:$F"),INDIRECT("'Thanh Toán ("&amp;R$3&amp;")'!$D:$D"),'Tổng Đơn'!$B67),0)</f>
        <v>0</v>
      </c>
      <c r="S67" s="2">
        <f ca="1">IFERROR(SUMIFS(INDIRECT("'Thanh Toán ("&amp;S$3&amp;")'!$F:$F"),INDIRECT("'Thanh Toán ("&amp;S$3&amp;")'!$D:$D"),'Tổng Đơn'!$B67),0)</f>
        <v>0</v>
      </c>
      <c r="T67" s="2">
        <f ca="1">IFERROR(SUMIFS(INDIRECT("'Thanh Toán ("&amp;T$3&amp;")'!$F:$F"),INDIRECT("'Thanh Toán ("&amp;T$3&amp;")'!$D:$D"),'Tổng Đơn'!$B67),0)</f>
        <v>0</v>
      </c>
      <c r="U67" s="2">
        <f ca="1">IFERROR(SUMIFS(INDIRECT("'Thanh Toán ("&amp;U$3&amp;")'!$F:$F"),INDIRECT("'Thanh Toán ("&amp;U$3&amp;")'!$D:$D"),'Tổng Đơn'!$B67),0)</f>
        <v>0</v>
      </c>
      <c r="V67" s="2">
        <f ca="1">IFERROR(SUMIFS(INDIRECT("'Thanh Toán ("&amp;V$3&amp;")'!$F:$F"),INDIRECT("'Thanh Toán ("&amp;V$3&amp;")'!$D:$D"),'Tổng Đơn'!$B67),0)</f>
        <v>0</v>
      </c>
      <c r="W67" s="2">
        <f ca="1">IFERROR(SUMIFS(INDIRECT("'Thanh Toán ("&amp;W$3&amp;")'!$F:$F"),INDIRECT("'Thanh Toán ("&amp;W$3&amp;")'!$D:$D"),'Tổng Đơn'!$B67),0)</f>
        <v>0</v>
      </c>
      <c r="X67" s="2">
        <f ca="1">IFERROR(SUMIFS(INDIRECT("'Thanh Toán ("&amp;X$3&amp;")'!$F:$F"),INDIRECT("'Thanh Toán ("&amp;X$3&amp;")'!$D:$D"),'Tổng Đơn'!$B67),0)</f>
        <v>0</v>
      </c>
      <c r="Y67" s="2">
        <f ca="1">IFERROR(SUMIFS(INDIRECT("'Thanh Toán ("&amp;Y$3&amp;")'!$F:$F"),INDIRECT("'Thanh Toán ("&amp;Y$3&amp;")'!$D:$D"),'Tổng Đơn'!$B67),0)</f>
        <v>0</v>
      </c>
      <c r="Z67" s="2">
        <f ca="1">IFERROR(SUMIFS(INDIRECT("'Thanh Toán ("&amp;Z$3&amp;")'!$F:$F"),INDIRECT("'Thanh Toán ("&amp;Z$3&amp;")'!$D:$D"),'Tổng Đơn'!$B67),0)</f>
        <v>0</v>
      </c>
      <c r="AA67" s="2">
        <f ca="1">IFERROR(SUMIFS(INDIRECT("'Thanh Toán ("&amp;AA$3&amp;")'!$F:$F"),INDIRECT("'Thanh Toán ("&amp;AA$3&amp;")'!$D:$D"),'Tổng Đơn'!$B67),0)</f>
        <v>0</v>
      </c>
      <c r="AB67" s="2">
        <f ca="1">IFERROR(SUMIFS(INDIRECT("'Thanh Toán ("&amp;AB$3&amp;")'!$F:$F"),INDIRECT("'Thanh Toán ("&amp;AB$3&amp;")'!$D:$D"),'Tổng Đơn'!$B67),0)</f>
        <v>0</v>
      </c>
      <c r="AC67" s="2">
        <f ca="1">IFERROR(SUMIFS(INDIRECT("'Thanh Toán ("&amp;AC$3&amp;")'!$F:$F"),INDIRECT("'Thanh Toán ("&amp;AC$3&amp;")'!$D:$D"),'Tổng Đơn'!$B67),0)</f>
        <v>0</v>
      </c>
      <c r="AD67" s="2">
        <f ca="1">IFERROR(SUMIFS(INDIRECT("'Thanh Toán ("&amp;AD$3&amp;")'!$F:$F"),INDIRECT("'Thanh Toán ("&amp;AD$3&amp;")'!$D:$D"),'Tổng Đơn'!$B67),0)</f>
        <v>0</v>
      </c>
      <c r="AE67" s="2">
        <f ca="1">IFERROR(SUMIFS(INDIRECT("'Thanh Toán ("&amp;AE$3&amp;")'!$F:$F"),INDIRECT("'Thanh Toán ("&amp;AE$3&amp;")'!$D:$D"),'Tổng Đơn'!$B67),0)</f>
        <v>0</v>
      </c>
      <c r="AF67" s="2">
        <f ca="1">IFERROR(SUMIFS(INDIRECT("'Thanh Toán ("&amp;AF$3&amp;")'!$F:$F"),INDIRECT("'Thanh Toán ("&amp;AF$3&amp;")'!$D:$D"),'Tổng Đơn'!$B67),0)</f>
        <v>0</v>
      </c>
      <c r="AG67" s="2">
        <f ca="1">IFERROR(SUMIFS(INDIRECT("'Thanh Toán ("&amp;AG$3&amp;")'!$F:$F"),INDIRECT("'Thanh Toán ("&amp;AG$3&amp;")'!$D:$D"),'Tổng Đơn'!$B67),0)</f>
        <v>0</v>
      </c>
      <c r="AH67" s="2">
        <f ca="1">IFERROR(SUMIFS(INDIRECT("'Thanh Toán ("&amp;AH$3&amp;")'!$F:$F"),INDIRECT("'Thanh Toán ("&amp;AH$3&amp;")'!$D:$D"),'Tổng Đơn'!$B67),0)</f>
        <v>0</v>
      </c>
      <c r="AI67" s="2">
        <f ca="1">IFERROR(SUMIFS(INDIRECT("'Thanh Toán ("&amp;AI$3&amp;")'!$F:$F"),INDIRECT("'Thanh Toán ("&amp;AI$3&amp;")'!$D:$D"),'Tổng Đơn'!$B67),0)</f>
        <v>0</v>
      </c>
      <c r="AJ67" s="2">
        <f ca="1">IFERROR(SUMIFS(INDIRECT("'Thanh Toán ("&amp;AJ$3&amp;")'!$F:$F"),INDIRECT("'Thanh Toán ("&amp;AJ$3&amp;")'!$D:$D"),'Tổng Đơn'!$B67),0)</f>
        <v>0</v>
      </c>
      <c r="AK67" s="2">
        <f ca="1">IFERROR(SUMIFS(INDIRECT("'Thanh Toán ("&amp;AK$3&amp;")'!$F:$F"),INDIRECT("'Thanh Toán ("&amp;AK$3&amp;")'!$D:$D"),'Tổng Đơn'!$B67),0)</f>
        <v>0</v>
      </c>
      <c r="AL67" s="2">
        <f ca="1">IFERROR(SUMIFS(INDIRECT("'Thanh Toán ("&amp;AL$3&amp;")'!$F:$F"),INDIRECT("'Thanh Toán ("&amp;AL$3&amp;")'!$D:$D"),'Tổng Đơn'!$B67),0)</f>
        <v>0</v>
      </c>
      <c r="AM67" s="2">
        <f ca="1">IFERROR(SUMIFS(INDIRECT("'Thanh Toán ("&amp;AM$3&amp;")'!$F:$F"),INDIRECT("'Thanh Toán ("&amp;AM$3&amp;")'!$D:$D"),'Tổng Đơn'!$B67),0)</f>
        <v>0</v>
      </c>
      <c r="AN67" s="2">
        <f ca="1">IFERROR(SUMIFS(INDIRECT("'Thanh Toán ("&amp;AN$3&amp;")'!$F:$F"),INDIRECT("'Thanh Toán ("&amp;AN$3&amp;")'!$D:$D"),'Tổng Đơn'!$B67),0)</f>
        <v>0</v>
      </c>
      <c r="AO67" s="2">
        <f ca="1">IFERROR(SUMIFS(INDIRECT("'Thanh Toán ("&amp;AO$3&amp;")'!$F:$F"),INDIRECT("'Thanh Toán ("&amp;AO$3&amp;")'!$D:$D"),'Tổng Đơn'!$B67),0)</f>
        <v>0</v>
      </c>
      <c r="AP67" s="2">
        <f ca="1">IFERROR(SUMIFS(INDIRECT("'Thanh Toán ("&amp;AP$3&amp;")'!$F:$F"),INDIRECT("'Thanh Toán ("&amp;AP$3&amp;")'!$D:$D"),'Tổng Đơn'!$B67),0)</f>
        <v>0</v>
      </c>
      <c r="AQ67" s="2">
        <f ca="1">IFERROR(SUMIFS(INDIRECT("'Thanh Toán ("&amp;AQ$3&amp;")'!$F:$F"),INDIRECT("'Thanh Toán ("&amp;AQ$3&amp;")'!$D:$D"),'Tổng Đơn'!$B67),0)</f>
        <v>0</v>
      </c>
      <c r="AR67" s="2">
        <f ca="1">IFERROR(SUMIFS(INDIRECT("'Thanh Toán ("&amp;AR$3&amp;")'!$F:$F"),INDIRECT("'Thanh Toán ("&amp;AR$3&amp;")'!$D:$D"),'Tổng Đơn'!$B67),0)</f>
        <v>0</v>
      </c>
      <c r="AS67" s="2">
        <f ca="1">IFERROR(SUMIFS(INDIRECT("'Thanh Toán ("&amp;AS$3&amp;")'!$F:$F"),INDIRECT("'Thanh Toán ("&amp;AS$3&amp;")'!$D:$D"),'Tổng Đơn'!$B67),0)</f>
        <v>0</v>
      </c>
      <c r="AT67" s="2">
        <f ca="1">IFERROR(SUMIFS(INDIRECT("'Thanh Toán ("&amp;AT$3&amp;")'!$F:$F"),INDIRECT("'Thanh Toán ("&amp;AT$3&amp;")'!$D:$D"),'Tổng Đơn'!$B67),0)</f>
        <v>0</v>
      </c>
      <c r="AU67" s="2">
        <f ca="1">IFERROR(SUMIFS(INDIRECT("'Thanh Toán ("&amp;AU$3&amp;")'!$F:$F"),INDIRECT("'Thanh Toán ("&amp;AU$3&amp;")'!$D:$D"),'Tổng Đơn'!$B67),0)</f>
        <v>0</v>
      </c>
      <c r="AV67" s="2">
        <f ca="1">IFERROR(SUMIFS(INDIRECT("'Thanh Toán ("&amp;AV$3&amp;")'!$F:$F"),INDIRECT("'Thanh Toán ("&amp;AV$3&amp;")'!$D:$D"),'Tổng Đơn'!$B67),0)</f>
        <v>0</v>
      </c>
      <c r="AW67" s="2">
        <f ca="1">IFERROR(SUMIFS(INDIRECT("'Thanh Toán ("&amp;AW$3&amp;")'!$F:$F"),INDIRECT("'Thanh Toán ("&amp;AW$3&amp;")'!$D:$D"),'Tổng Đơn'!$B67),0)</f>
        <v>0</v>
      </c>
      <c r="AX67" s="2">
        <f ca="1">IFERROR(SUMIFS(INDIRECT("'Thanh Toán ("&amp;AX$3&amp;")'!$F:$F"),INDIRECT("'Thanh Toán ("&amp;AX$3&amp;")'!$D:$D"),'Tổng Đơn'!$B67),0)</f>
        <v>0</v>
      </c>
      <c r="AY67" s="2">
        <f ca="1">IFERROR(SUMIFS(INDIRECT("'Thanh Toán ("&amp;AY$3&amp;")'!$F:$F"),INDIRECT("'Thanh Toán ("&amp;AY$3&amp;")'!$D:$D"),'Tổng Đơn'!$B67),0)</f>
        <v>0</v>
      </c>
      <c r="AZ67" s="2">
        <f ca="1">IFERROR(SUMIFS(INDIRECT("'Thanh Toán ("&amp;AZ$3&amp;")'!$F:$F"),INDIRECT("'Thanh Toán ("&amp;AZ$3&amp;")'!$D:$D"),'Tổng Đơn'!$B67),0)</f>
        <v>0</v>
      </c>
      <c r="BA67" s="2">
        <f ca="1">IFERROR(SUMIFS(INDIRECT("'Thanh Toán ("&amp;BA$3&amp;")'!$F:$F"),INDIRECT("'Thanh Toán ("&amp;BA$3&amp;")'!$D:$D"),'Tổng Đơn'!$B67),0)</f>
        <v>0</v>
      </c>
      <c r="BB67" s="2">
        <f ca="1">IFERROR(SUMIFS(INDIRECT("'Thanh Toán ("&amp;BB$3&amp;")'!$F:$F"),INDIRECT("'Thanh Toán ("&amp;BB$3&amp;")'!$D:$D"),'Tổng Đơn'!$B67),0)</f>
        <v>0</v>
      </c>
      <c r="BC67" s="2">
        <f ca="1">IFERROR(SUMIFS(INDIRECT("'Thanh Toán ("&amp;BC$3&amp;")'!$F:$F"),INDIRECT("'Thanh Toán ("&amp;BC$3&amp;")'!$D:$D"),'Tổng Đơn'!$B67),0)</f>
        <v>0</v>
      </c>
    </row>
    <row r="68" spans="1:55" ht="18" customHeight="1" x14ac:dyDescent="0.25">
      <c r="A68" s="210">
        <v>61</v>
      </c>
      <c r="B68" s="211" t="s">
        <v>203</v>
      </c>
      <c r="C68" s="201" t="s">
        <v>201</v>
      </c>
      <c r="D68" s="203">
        <f>VLOOKUP($C68,Sheet1!$C$5:$D$98,2,0)</f>
        <v>47000</v>
      </c>
      <c r="E68" s="204">
        <v>0.5</v>
      </c>
      <c r="F68" s="205">
        <f t="shared" ref="F68:F80" ca="1" si="6">SUM(L68:BR68)</f>
        <v>0</v>
      </c>
      <c r="G68" s="206">
        <f>IFERROR(VLOOKUP($B68,Gà!C:J,8,0),IFERROR(VLOOKUP($B68,TVP!C:J,7,0),IFERROR(VLOOKUP($B68,Kitkool!C:J,8,0),IFERROR(VLOOKUP($B68,'La Cusina'!C:J,8,0),VLOOKUP($B68,'Quốc Nhân'!C:J,8,0)))))</f>
        <v>43.600065728799912</v>
      </c>
      <c r="H68" s="207">
        <f t="shared" ca="1" si="4"/>
        <v>0</v>
      </c>
      <c r="I68" s="207"/>
      <c r="J68" s="207">
        <f t="shared" ca="1" si="3"/>
        <v>0</v>
      </c>
      <c r="K68" s="53"/>
      <c r="L68" s="2">
        <f ca="1">IFERROR(SUMIFS(INDIRECT("'Thanh Toán ("&amp;L$3&amp;")'!$F:$F"),INDIRECT("'Thanh Toán ("&amp;L$3&amp;")'!$D:$D"),'Tổng Đơn'!$B68),0)</f>
        <v>0</v>
      </c>
      <c r="M68" s="2">
        <f ca="1">IFERROR(SUMIFS(INDIRECT("'Thanh Toán ("&amp;M$3&amp;")'!$F:$F"),INDIRECT("'Thanh Toán ("&amp;M$3&amp;")'!$D:$D"),'Tổng Đơn'!$B68),0)</f>
        <v>0</v>
      </c>
      <c r="N68" s="2">
        <f ca="1">IFERROR(SUMIFS(INDIRECT("'Thanh Toán ("&amp;N$3&amp;")'!$F:$F"),INDIRECT("'Thanh Toán ("&amp;N$3&amp;")'!$D:$D"),'Tổng Đơn'!$B68),0)</f>
        <v>0</v>
      </c>
      <c r="O68" s="2">
        <f ca="1">IFERROR(SUMIFS(INDIRECT("'Thanh Toán ("&amp;O$3&amp;")'!$F:$F"),INDIRECT("'Thanh Toán ("&amp;O$3&amp;")'!$D:$D"),'Tổng Đơn'!$B68),0)</f>
        <v>0</v>
      </c>
      <c r="P68" s="2">
        <f ca="1">IFERROR(SUMIFS(INDIRECT("'Thanh Toán ("&amp;P$3&amp;")'!$F:$F"),INDIRECT("'Thanh Toán ("&amp;P$3&amp;")'!$D:$D"),'Tổng Đơn'!$B68),0)</f>
        <v>0</v>
      </c>
      <c r="Q68" s="2">
        <f ca="1">IFERROR(SUMIFS(INDIRECT("'Thanh Toán ("&amp;Q$3&amp;")'!$F:$F"),INDIRECT("'Thanh Toán ("&amp;Q$3&amp;")'!$D:$D"),'Tổng Đơn'!$B68),0)</f>
        <v>0</v>
      </c>
      <c r="R68" s="2">
        <f ca="1">IFERROR(SUMIFS(INDIRECT("'Thanh Toán ("&amp;R$3&amp;")'!$F:$F"),INDIRECT("'Thanh Toán ("&amp;R$3&amp;")'!$D:$D"),'Tổng Đơn'!$B68),0)</f>
        <v>0</v>
      </c>
      <c r="S68" s="2">
        <f ca="1">IFERROR(SUMIFS(INDIRECT("'Thanh Toán ("&amp;S$3&amp;")'!$F:$F"),INDIRECT("'Thanh Toán ("&amp;S$3&amp;")'!$D:$D"),'Tổng Đơn'!$B68),0)</f>
        <v>0</v>
      </c>
      <c r="T68" s="2">
        <f ca="1">IFERROR(SUMIFS(INDIRECT("'Thanh Toán ("&amp;T$3&amp;")'!$F:$F"),INDIRECT("'Thanh Toán ("&amp;T$3&amp;")'!$D:$D"),'Tổng Đơn'!$B68),0)</f>
        <v>0</v>
      </c>
      <c r="U68" s="2">
        <f ca="1">IFERROR(SUMIFS(INDIRECT("'Thanh Toán ("&amp;U$3&amp;")'!$F:$F"),INDIRECT("'Thanh Toán ("&amp;U$3&amp;")'!$D:$D"),'Tổng Đơn'!$B68),0)</f>
        <v>0</v>
      </c>
      <c r="V68" s="2">
        <f ca="1">IFERROR(SUMIFS(INDIRECT("'Thanh Toán ("&amp;V$3&amp;")'!$F:$F"),INDIRECT("'Thanh Toán ("&amp;V$3&amp;")'!$D:$D"),'Tổng Đơn'!$B68),0)</f>
        <v>0</v>
      </c>
      <c r="W68" s="2">
        <f ca="1">IFERROR(SUMIFS(INDIRECT("'Thanh Toán ("&amp;W$3&amp;")'!$F:$F"),INDIRECT("'Thanh Toán ("&amp;W$3&amp;")'!$D:$D"),'Tổng Đơn'!$B68),0)</f>
        <v>0</v>
      </c>
      <c r="X68" s="2">
        <f ca="1">IFERROR(SUMIFS(INDIRECT("'Thanh Toán ("&amp;X$3&amp;")'!$F:$F"),INDIRECT("'Thanh Toán ("&amp;X$3&amp;")'!$D:$D"),'Tổng Đơn'!$B68),0)</f>
        <v>0</v>
      </c>
      <c r="Y68" s="2">
        <f ca="1">IFERROR(SUMIFS(INDIRECT("'Thanh Toán ("&amp;Y$3&amp;")'!$F:$F"),INDIRECT("'Thanh Toán ("&amp;Y$3&amp;")'!$D:$D"),'Tổng Đơn'!$B68),0)</f>
        <v>0</v>
      </c>
      <c r="Z68" s="2">
        <f ca="1">IFERROR(SUMIFS(INDIRECT("'Thanh Toán ("&amp;Z$3&amp;")'!$F:$F"),INDIRECT("'Thanh Toán ("&amp;Z$3&amp;")'!$D:$D"),'Tổng Đơn'!$B68),0)</f>
        <v>0</v>
      </c>
      <c r="AA68" s="2">
        <f ca="1">IFERROR(SUMIFS(INDIRECT("'Thanh Toán ("&amp;AA$3&amp;")'!$F:$F"),INDIRECT("'Thanh Toán ("&amp;AA$3&amp;")'!$D:$D"),'Tổng Đơn'!$B68),0)</f>
        <v>0</v>
      </c>
      <c r="AB68" s="2">
        <f ca="1">IFERROR(SUMIFS(INDIRECT("'Thanh Toán ("&amp;AB$3&amp;")'!$F:$F"),INDIRECT("'Thanh Toán ("&amp;AB$3&amp;")'!$D:$D"),'Tổng Đơn'!$B68),0)</f>
        <v>0</v>
      </c>
      <c r="AC68" s="2">
        <f ca="1">IFERROR(SUMIFS(INDIRECT("'Thanh Toán ("&amp;AC$3&amp;")'!$F:$F"),INDIRECT("'Thanh Toán ("&amp;AC$3&amp;")'!$D:$D"),'Tổng Đơn'!$B68),0)</f>
        <v>0</v>
      </c>
      <c r="AD68" s="2">
        <f ca="1">IFERROR(SUMIFS(INDIRECT("'Thanh Toán ("&amp;AD$3&amp;")'!$F:$F"),INDIRECT("'Thanh Toán ("&amp;AD$3&amp;")'!$D:$D"),'Tổng Đơn'!$B68),0)</f>
        <v>0</v>
      </c>
      <c r="AE68" s="2">
        <f ca="1">IFERROR(SUMIFS(INDIRECT("'Thanh Toán ("&amp;AE$3&amp;")'!$F:$F"),INDIRECT("'Thanh Toán ("&amp;AE$3&amp;")'!$D:$D"),'Tổng Đơn'!$B68),0)</f>
        <v>0</v>
      </c>
      <c r="AF68" s="2">
        <f ca="1">IFERROR(SUMIFS(INDIRECT("'Thanh Toán ("&amp;AF$3&amp;")'!$F:$F"),INDIRECT("'Thanh Toán ("&amp;AF$3&amp;")'!$D:$D"),'Tổng Đơn'!$B68),0)</f>
        <v>0</v>
      </c>
      <c r="AG68" s="2">
        <f ca="1">IFERROR(SUMIFS(INDIRECT("'Thanh Toán ("&amp;AG$3&amp;")'!$F:$F"),INDIRECT("'Thanh Toán ("&amp;AG$3&amp;")'!$D:$D"),'Tổng Đơn'!$B68),0)</f>
        <v>0</v>
      </c>
      <c r="AH68" s="2">
        <f ca="1">IFERROR(SUMIFS(INDIRECT("'Thanh Toán ("&amp;AH$3&amp;")'!$F:$F"),INDIRECT("'Thanh Toán ("&amp;AH$3&amp;")'!$D:$D"),'Tổng Đơn'!$B68),0)</f>
        <v>0</v>
      </c>
      <c r="AI68" s="2">
        <f ca="1">IFERROR(SUMIFS(INDIRECT("'Thanh Toán ("&amp;AI$3&amp;")'!$F:$F"),INDIRECT("'Thanh Toán ("&amp;AI$3&amp;")'!$D:$D"),'Tổng Đơn'!$B68),0)</f>
        <v>0</v>
      </c>
      <c r="AJ68" s="2">
        <f ca="1">IFERROR(SUMIFS(INDIRECT("'Thanh Toán ("&amp;AJ$3&amp;")'!$F:$F"),INDIRECT("'Thanh Toán ("&amp;AJ$3&amp;")'!$D:$D"),'Tổng Đơn'!$B68),0)</f>
        <v>0</v>
      </c>
      <c r="AK68" s="2">
        <f ca="1">IFERROR(SUMIFS(INDIRECT("'Thanh Toán ("&amp;AK$3&amp;")'!$F:$F"),INDIRECT("'Thanh Toán ("&amp;AK$3&amp;")'!$D:$D"),'Tổng Đơn'!$B68),0)</f>
        <v>0</v>
      </c>
      <c r="AL68" s="2">
        <f ca="1">IFERROR(SUMIFS(INDIRECT("'Thanh Toán ("&amp;AL$3&amp;")'!$F:$F"),INDIRECT("'Thanh Toán ("&amp;AL$3&amp;")'!$D:$D"),'Tổng Đơn'!$B68),0)</f>
        <v>0</v>
      </c>
      <c r="AM68" s="2">
        <f ca="1">IFERROR(SUMIFS(INDIRECT("'Thanh Toán ("&amp;AM$3&amp;")'!$F:$F"),INDIRECT("'Thanh Toán ("&amp;AM$3&amp;")'!$D:$D"),'Tổng Đơn'!$B68),0)</f>
        <v>0</v>
      </c>
      <c r="AN68" s="2">
        <f ca="1">IFERROR(SUMIFS(INDIRECT("'Thanh Toán ("&amp;AN$3&amp;")'!$F:$F"),INDIRECT("'Thanh Toán ("&amp;AN$3&amp;")'!$D:$D"),'Tổng Đơn'!$B68),0)</f>
        <v>0</v>
      </c>
      <c r="AO68" s="2">
        <f ca="1">IFERROR(SUMIFS(INDIRECT("'Thanh Toán ("&amp;AO$3&amp;")'!$F:$F"),INDIRECT("'Thanh Toán ("&amp;AO$3&amp;")'!$D:$D"),'Tổng Đơn'!$B68),0)</f>
        <v>0</v>
      </c>
      <c r="AP68" s="2">
        <f ca="1">IFERROR(SUMIFS(INDIRECT("'Thanh Toán ("&amp;AP$3&amp;")'!$F:$F"),INDIRECT("'Thanh Toán ("&amp;AP$3&amp;")'!$D:$D"),'Tổng Đơn'!$B68),0)</f>
        <v>0</v>
      </c>
      <c r="AQ68" s="2">
        <f ca="1">IFERROR(SUMIFS(INDIRECT("'Thanh Toán ("&amp;AQ$3&amp;")'!$F:$F"),INDIRECT("'Thanh Toán ("&amp;AQ$3&amp;")'!$D:$D"),'Tổng Đơn'!$B68),0)</f>
        <v>0</v>
      </c>
      <c r="AR68" s="2">
        <f ca="1">IFERROR(SUMIFS(INDIRECT("'Thanh Toán ("&amp;AR$3&amp;")'!$F:$F"),INDIRECT("'Thanh Toán ("&amp;AR$3&amp;")'!$D:$D"),'Tổng Đơn'!$B68),0)</f>
        <v>0</v>
      </c>
      <c r="AS68" s="2">
        <f ca="1">IFERROR(SUMIFS(INDIRECT("'Thanh Toán ("&amp;AS$3&amp;")'!$F:$F"),INDIRECT("'Thanh Toán ("&amp;AS$3&amp;")'!$D:$D"),'Tổng Đơn'!$B68),0)</f>
        <v>0</v>
      </c>
      <c r="AT68" s="2">
        <f ca="1">IFERROR(SUMIFS(INDIRECT("'Thanh Toán ("&amp;AT$3&amp;")'!$F:$F"),INDIRECT("'Thanh Toán ("&amp;AT$3&amp;")'!$D:$D"),'Tổng Đơn'!$B68),0)</f>
        <v>0</v>
      </c>
      <c r="AU68" s="2">
        <f ca="1">IFERROR(SUMIFS(INDIRECT("'Thanh Toán ("&amp;AU$3&amp;")'!$F:$F"),INDIRECT("'Thanh Toán ("&amp;AU$3&amp;")'!$D:$D"),'Tổng Đơn'!$B68),0)</f>
        <v>0</v>
      </c>
      <c r="AV68" s="2">
        <f ca="1">IFERROR(SUMIFS(INDIRECT("'Thanh Toán ("&amp;AV$3&amp;")'!$F:$F"),INDIRECT("'Thanh Toán ("&amp;AV$3&amp;")'!$D:$D"),'Tổng Đơn'!$B68),0)</f>
        <v>0</v>
      </c>
      <c r="AW68" s="2">
        <f ca="1">IFERROR(SUMIFS(INDIRECT("'Thanh Toán ("&amp;AW$3&amp;")'!$F:$F"),INDIRECT("'Thanh Toán ("&amp;AW$3&amp;")'!$D:$D"),'Tổng Đơn'!$B68),0)</f>
        <v>0</v>
      </c>
      <c r="AX68" s="2">
        <f ca="1">IFERROR(SUMIFS(INDIRECT("'Thanh Toán ("&amp;AX$3&amp;")'!$F:$F"),INDIRECT("'Thanh Toán ("&amp;AX$3&amp;")'!$D:$D"),'Tổng Đơn'!$B68),0)</f>
        <v>0</v>
      </c>
      <c r="AY68" s="2">
        <f ca="1">IFERROR(SUMIFS(INDIRECT("'Thanh Toán ("&amp;AY$3&amp;")'!$F:$F"),INDIRECT("'Thanh Toán ("&amp;AY$3&amp;")'!$D:$D"),'Tổng Đơn'!$B68),0)</f>
        <v>0</v>
      </c>
      <c r="AZ68" s="2">
        <f ca="1">IFERROR(SUMIFS(INDIRECT("'Thanh Toán ("&amp;AZ$3&amp;")'!$F:$F"),INDIRECT("'Thanh Toán ("&amp;AZ$3&amp;")'!$D:$D"),'Tổng Đơn'!$B68),0)</f>
        <v>0</v>
      </c>
      <c r="BA68" s="2">
        <f ca="1">IFERROR(SUMIFS(INDIRECT("'Thanh Toán ("&amp;BA$3&amp;")'!$F:$F"),INDIRECT("'Thanh Toán ("&amp;BA$3&amp;")'!$D:$D"),'Tổng Đơn'!$B68),0)</f>
        <v>0</v>
      </c>
      <c r="BB68" s="2">
        <f ca="1">IFERROR(SUMIFS(INDIRECT("'Thanh Toán ("&amp;BB$3&amp;")'!$F:$F"),INDIRECT("'Thanh Toán ("&amp;BB$3&amp;")'!$D:$D"),'Tổng Đơn'!$B68),0)</f>
        <v>0</v>
      </c>
      <c r="BC68" s="2">
        <f ca="1">IFERROR(SUMIFS(INDIRECT("'Thanh Toán ("&amp;BC$3&amp;")'!$F:$F"),INDIRECT("'Thanh Toán ("&amp;BC$3&amp;")'!$D:$D"),'Tổng Đơn'!$B68),0)</f>
        <v>0</v>
      </c>
    </row>
    <row r="69" spans="1:55" ht="18" customHeight="1" x14ac:dyDescent="0.25">
      <c r="A69" s="210">
        <v>62</v>
      </c>
      <c r="B69" s="211" t="s">
        <v>206</v>
      </c>
      <c r="C69" s="201" t="s">
        <v>204</v>
      </c>
      <c r="D69" s="203">
        <f>VLOOKUP($C69,Sheet1!$C$5:$D$98,2,0)</f>
        <v>50000</v>
      </c>
      <c r="E69" s="204">
        <v>0.5</v>
      </c>
      <c r="F69" s="205">
        <f t="shared" ca="1" si="6"/>
        <v>0</v>
      </c>
      <c r="G69" s="206">
        <f>IFERROR(VLOOKUP($B69,Gà!C:J,8,0),IFERROR(VLOOKUP($B69,TVP!C:J,7,0),IFERROR(VLOOKUP($B69,Kitkool!C:J,8,0),IFERROR(VLOOKUP($B69,'La Cusina'!C:J,8,0),VLOOKUP($B69,'Quốc Nhân'!C:J,8,0)))))</f>
        <v>44.625949628301086</v>
      </c>
      <c r="H69" s="207">
        <f t="shared" ca="1" si="4"/>
        <v>0</v>
      </c>
      <c r="I69" s="207"/>
      <c r="J69" s="207">
        <f t="shared" ca="1" si="3"/>
        <v>0</v>
      </c>
      <c r="K69" s="53"/>
      <c r="L69" s="2">
        <f ca="1">IFERROR(SUMIFS(INDIRECT("'Thanh Toán ("&amp;L$3&amp;")'!$F:$F"),INDIRECT("'Thanh Toán ("&amp;L$3&amp;")'!$D:$D"),'Tổng Đơn'!$B69),0)</f>
        <v>0</v>
      </c>
      <c r="M69" s="2">
        <f ca="1">IFERROR(SUMIFS(INDIRECT("'Thanh Toán ("&amp;M$3&amp;")'!$F:$F"),INDIRECT("'Thanh Toán ("&amp;M$3&amp;")'!$D:$D"),'Tổng Đơn'!$B69),0)</f>
        <v>0</v>
      </c>
      <c r="N69" s="2">
        <f ca="1">IFERROR(SUMIFS(INDIRECT("'Thanh Toán ("&amp;N$3&amp;")'!$F:$F"),INDIRECT("'Thanh Toán ("&amp;N$3&amp;")'!$D:$D"),'Tổng Đơn'!$B69),0)</f>
        <v>0</v>
      </c>
      <c r="O69" s="2">
        <f ca="1">IFERROR(SUMIFS(INDIRECT("'Thanh Toán ("&amp;O$3&amp;")'!$F:$F"),INDIRECT("'Thanh Toán ("&amp;O$3&amp;")'!$D:$D"),'Tổng Đơn'!$B69),0)</f>
        <v>0</v>
      </c>
      <c r="P69" s="2">
        <f ca="1">IFERROR(SUMIFS(INDIRECT("'Thanh Toán ("&amp;P$3&amp;")'!$F:$F"),INDIRECT("'Thanh Toán ("&amp;P$3&amp;")'!$D:$D"),'Tổng Đơn'!$B69),0)</f>
        <v>0</v>
      </c>
      <c r="Q69" s="2">
        <f ca="1">IFERROR(SUMIFS(INDIRECT("'Thanh Toán ("&amp;Q$3&amp;")'!$F:$F"),INDIRECT("'Thanh Toán ("&amp;Q$3&amp;")'!$D:$D"),'Tổng Đơn'!$B69),0)</f>
        <v>0</v>
      </c>
      <c r="R69" s="2">
        <f ca="1">IFERROR(SUMIFS(INDIRECT("'Thanh Toán ("&amp;R$3&amp;")'!$F:$F"),INDIRECT("'Thanh Toán ("&amp;R$3&amp;")'!$D:$D"),'Tổng Đơn'!$B69),0)</f>
        <v>0</v>
      </c>
      <c r="S69" s="2">
        <f ca="1">IFERROR(SUMIFS(INDIRECT("'Thanh Toán ("&amp;S$3&amp;")'!$F:$F"),INDIRECT("'Thanh Toán ("&amp;S$3&amp;")'!$D:$D"),'Tổng Đơn'!$B69),0)</f>
        <v>0</v>
      </c>
      <c r="T69" s="2">
        <f ca="1">IFERROR(SUMIFS(INDIRECT("'Thanh Toán ("&amp;T$3&amp;")'!$F:$F"),INDIRECT("'Thanh Toán ("&amp;T$3&amp;")'!$D:$D"),'Tổng Đơn'!$B69),0)</f>
        <v>0</v>
      </c>
      <c r="U69" s="2">
        <f ca="1">IFERROR(SUMIFS(INDIRECT("'Thanh Toán ("&amp;U$3&amp;")'!$F:$F"),INDIRECT("'Thanh Toán ("&amp;U$3&amp;")'!$D:$D"),'Tổng Đơn'!$B69),0)</f>
        <v>0</v>
      </c>
      <c r="V69" s="2">
        <f ca="1">IFERROR(SUMIFS(INDIRECT("'Thanh Toán ("&amp;V$3&amp;")'!$F:$F"),INDIRECT("'Thanh Toán ("&amp;V$3&amp;")'!$D:$D"),'Tổng Đơn'!$B69),0)</f>
        <v>0</v>
      </c>
      <c r="W69" s="2">
        <f ca="1">IFERROR(SUMIFS(INDIRECT("'Thanh Toán ("&amp;W$3&amp;")'!$F:$F"),INDIRECT("'Thanh Toán ("&amp;W$3&amp;")'!$D:$D"),'Tổng Đơn'!$B69),0)</f>
        <v>0</v>
      </c>
      <c r="X69" s="2">
        <f ca="1">IFERROR(SUMIFS(INDIRECT("'Thanh Toán ("&amp;X$3&amp;")'!$F:$F"),INDIRECT("'Thanh Toán ("&amp;X$3&amp;")'!$D:$D"),'Tổng Đơn'!$B69),0)</f>
        <v>0</v>
      </c>
      <c r="Y69" s="2">
        <f ca="1">IFERROR(SUMIFS(INDIRECT("'Thanh Toán ("&amp;Y$3&amp;")'!$F:$F"),INDIRECT("'Thanh Toán ("&amp;Y$3&amp;")'!$D:$D"),'Tổng Đơn'!$B69),0)</f>
        <v>0</v>
      </c>
      <c r="Z69" s="2">
        <f ca="1">IFERROR(SUMIFS(INDIRECT("'Thanh Toán ("&amp;Z$3&amp;")'!$F:$F"),INDIRECT("'Thanh Toán ("&amp;Z$3&amp;")'!$D:$D"),'Tổng Đơn'!$B69),0)</f>
        <v>0</v>
      </c>
      <c r="AA69" s="2">
        <f ca="1">IFERROR(SUMIFS(INDIRECT("'Thanh Toán ("&amp;AA$3&amp;")'!$F:$F"),INDIRECT("'Thanh Toán ("&amp;AA$3&amp;")'!$D:$D"),'Tổng Đơn'!$B69),0)</f>
        <v>0</v>
      </c>
      <c r="AB69" s="2">
        <f ca="1">IFERROR(SUMIFS(INDIRECT("'Thanh Toán ("&amp;AB$3&amp;")'!$F:$F"),INDIRECT("'Thanh Toán ("&amp;AB$3&amp;")'!$D:$D"),'Tổng Đơn'!$B69),0)</f>
        <v>0</v>
      </c>
      <c r="AC69" s="2">
        <f ca="1">IFERROR(SUMIFS(INDIRECT("'Thanh Toán ("&amp;AC$3&amp;")'!$F:$F"),INDIRECT("'Thanh Toán ("&amp;AC$3&amp;")'!$D:$D"),'Tổng Đơn'!$B69),0)</f>
        <v>0</v>
      </c>
      <c r="AD69" s="2">
        <f ca="1">IFERROR(SUMIFS(INDIRECT("'Thanh Toán ("&amp;AD$3&amp;")'!$F:$F"),INDIRECT("'Thanh Toán ("&amp;AD$3&amp;")'!$D:$D"),'Tổng Đơn'!$B69),0)</f>
        <v>0</v>
      </c>
      <c r="AE69" s="2">
        <f ca="1">IFERROR(SUMIFS(INDIRECT("'Thanh Toán ("&amp;AE$3&amp;")'!$F:$F"),INDIRECT("'Thanh Toán ("&amp;AE$3&amp;")'!$D:$D"),'Tổng Đơn'!$B69),0)</f>
        <v>0</v>
      </c>
      <c r="AF69" s="2">
        <f ca="1">IFERROR(SUMIFS(INDIRECT("'Thanh Toán ("&amp;AF$3&amp;")'!$F:$F"),INDIRECT("'Thanh Toán ("&amp;AF$3&amp;")'!$D:$D"),'Tổng Đơn'!$B69),0)</f>
        <v>0</v>
      </c>
      <c r="AG69" s="2">
        <f ca="1">IFERROR(SUMIFS(INDIRECT("'Thanh Toán ("&amp;AG$3&amp;")'!$F:$F"),INDIRECT("'Thanh Toán ("&amp;AG$3&amp;")'!$D:$D"),'Tổng Đơn'!$B69),0)</f>
        <v>0</v>
      </c>
      <c r="AH69" s="2">
        <f ca="1">IFERROR(SUMIFS(INDIRECT("'Thanh Toán ("&amp;AH$3&amp;")'!$F:$F"),INDIRECT("'Thanh Toán ("&amp;AH$3&amp;")'!$D:$D"),'Tổng Đơn'!$B69),0)</f>
        <v>0</v>
      </c>
      <c r="AI69" s="2">
        <f ca="1">IFERROR(SUMIFS(INDIRECT("'Thanh Toán ("&amp;AI$3&amp;")'!$F:$F"),INDIRECT("'Thanh Toán ("&amp;AI$3&amp;")'!$D:$D"),'Tổng Đơn'!$B69),0)</f>
        <v>0</v>
      </c>
      <c r="AJ69" s="2">
        <f ca="1">IFERROR(SUMIFS(INDIRECT("'Thanh Toán ("&amp;AJ$3&amp;")'!$F:$F"),INDIRECT("'Thanh Toán ("&amp;AJ$3&amp;")'!$D:$D"),'Tổng Đơn'!$B69),0)</f>
        <v>0</v>
      </c>
      <c r="AK69" s="2">
        <f ca="1">IFERROR(SUMIFS(INDIRECT("'Thanh Toán ("&amp;AK$3&amp;")'!$F:$F"),INDIRECT("'Thanh Toán ("&amp;AK$3&amp;")'!$D:$D"),'Tổng Đơn'!$B69),0)</f>
        <v>0</v>
      </c>
      <c r="AL69" s="2">
        <f ca="1">IFERROR(SUMIFS(INDIRECT("'Thanh Toán ("&amp;AL$3&amp;")'!$F:$F"),INDIRECT("'Thanh Toán ("&amp;AL$3&amp;")'!$D:$D"),'Tổng Đơn'!$B69),0)</f>
        <v>0</v>
      </c>
      <c r="AM69" s="2">
        <f ca="1">IFERROR(SUMIFS(INDIRECT("'Thanh Toán ("&amp;AM$3&amp;")'!$F:$F"),INDIRECT("'Thanh Toán ("&amp;AM$3&amp;")'!$D:$D"),'Tổng Đơn'!$B69),0)</f>
        <v>0</v>
      </c>
      <c r="AN69" s="2">
        <f ca="1">IFERROR(SUMIFS(INDIRECT("'Thanh Toán ("&amp;AN$3&amp;")'!$F:$F"),INDIRECT("'Thanh Toán ("&amp;AN$3&amp;")'!$D:$D"),'Tổng Đơn'!$B69),0)</f>
        <v>0</v>
      </c>
      <c r="AO69" s="2">
        <f ca="1">IFERROR(SUMIFS(INDIRECT("'Thanh Toán ("&amp;AO$3&amp;")'!$F:$F"),INDIRECT("'Thanh Toán ("&amp;AO$3&amp;")'!$D:$D"),'Tổng Đơn'!$B69),0)</f>
        <v>0</v>
      </c>
      <c r="AP69" s="2">
        <f ca="1">IFERROR(SUMIFS(INDIRECT("'Thanh Toán ("&amp;AP$3&amp;")'!$F:$F"),INDIRECT("'Thanh Toán ("&amp;AP$3&amp;")'!$D:$D"),'Tổng Đơn'!$B69),0)</f>
        <v>0</v>
      </c>
      <c r="AQ69" s="2">
        <f ca="1">IFERROR(SUMIFS(INDIRECT("'Thanh Toán ("&amp;AQ$3&amp;")'!$F:$F"),INDIRECT("'Thanh Toán ("&amp;AQ$3&amp;")'!$D:$D"),'Tổng Đơn'!$B69),0)</f>
        <v>0</v>
      </c>
      <c r="AR69" s="2">
        <f ca="1">IFERROR(SUMIFS(INDIRECT("'Thanh Toán ("&amp;AR$3&amp;")'!$F:$F"),INDIRECT("'Thanh Toán ("&amp;AR$3&amp;")'!$D:$D"),'Tổng Đơn'!$B69),0)</f>
        <v>0</v>
      </c>
      <c r="AS69" s="2">
        <f ca="1">IFERROR(SUMIFS(INDIRECT("'Thanh Toán ("&amp;AS$3&amp;")'!$F:$F"),INDIRECT("'Thanh Toán ("&amp;AS$3&amp;")'!$D:$D"),'Tổng Đơn'!$B69),0)</f>
        <v>0</v>
      </c>
      <c r="AT69" s="2">
        <f ca="1">IFERROR(SUMIFS(INDIRECT("'Thanh Toán ("&amp;AT$3&amp;")'!$F:$F"),INDIRECT("'Thanh Toán ("&amp;AT$3&amp;")'!$D:$D"),'Tổng Đơn'!$B69),0)</f>
        <v>0</v>
      </c>
      <c r="AU69" s="2">
        <f ca="1">IFERROR(SUMIFS(INDIRECT("'Thanh Toán ("&amp;AU$3&amp;")'!$F:$F"),INDIRECT("'Thanh Toán ("&amp;AU$3&amp;")'!$D:$D"),'Tổng Đơn'!$B69),0)</f>
        <v>0</v>
      </c>
      <c r="AV69" s="2">
        <f ca="1">IFERROR(SUMIFS(INDIRECT("'Thanh Toán ("&amp;AV$3&amp;")'!$F:$F"),INDIRECT("'Thanh Toán ("&amp;AV$3&amp;")'!$D:$D"),'Tổng Đơn'!$B69),0)</f>
        <v>0</v>
      </c>
      <c r="AW69" s="2">
        <f ca="1">IFERROR(SUMIFS(INDIRECT("'Thanh Toán ("&amp;AW$3&amp;")'!$F:$F"),INDIRECT("'Thanh Toán ("&amp;AW$3&amp;")'!$D:$D"),'Tổng Đơn'!$B69),0)</f>
        <v>0</v>
      </c>
      <c r="AX69" s="2">
        <f ca="1">IFERROR(SUMIFS(INDIRECT("'Thanh Toán ("&amp;AX$3&amp;")'!$F:$F"),INDIRECT("'Thanh Toán ("&amp;AX$3&amp;")'!$D:$D"),'Tổng Đơn'!$B69),0)</f>
        <v>0</v>
      </c>
      <c r="AY69" s="2">
        <f ca="1">IFERROR(SUMIFS(INDIRECT("'Thanh Toán ("&amp;AY$3&amp;")'!$F:$F"),INDIRECT("'Thanh Toán ("&amp;AY$3&amp;")'!$D:$D"),'Tổng Đơn'!$B69),0)</f>
        <v>0</v>
      </c>
      <c r="AZ69" s="2">
        <f ca="1">IFERROR(SUMIFS(INDIRECT("'Thanh Toán ("&amp;AZ$3&amp;")'!$F:$F"),INDIRECT("'Thanh Toán ("&amp;AZ$3&amp;")'!$D:$D"),'Tổng Đơn'!$B69),0)</f>
        <v>0</v>
      </c>
      <c r="BA69" s="2">
        <f ca="1">IFERROR(SUMIFS(INDIRECT("'Thanh Toán ("&amp;BA$3&amp;")'!$F:$F"),INDIRECT("'Thanh Toán ("&amp;BA$3&amp;")'!$D:$D"),'Tổng Đơn'!$B69),0)</f>
        <v>0</v>
      </c>
      <c r="BB69" s="2">
        <f ca="1">IFERROR(SUMIFS(INDIRECT("'Thanh Toán ("&amp;BB$3&amp;")'!$F:$F"),INDIRECT("'Thanh Toán ("&amp;BB$3&amp;")'!$D:$D"),'Tổng Đơn'!$B69),0)</f>
        <v>0</v>
      </c>
      <c r="BC69" s="2">
        <f ca="1">IFERROR(SUMIFS(INDIRECT("'Thanh Toán ("&amp;BC$3&amp;")'!$F:$F"),INDIRECT("'Thanh Toán ("&amp;BC$3&amp;")'!$D:$D"),'Tổng Đơn'!$B69),0)</f>
        <v>0</v>
      </c>
    </row>
    <row r="70" spans="1:55" ht="18" customHeight="1" x14ac:dyDescent="0.25">
      <c r="A70" s="210">
        <v>63</v>
      </c>
      <c r="B70" s="211" t="s">
        <v>205</v>
      </c>
      <c r="C70" s="201" t="s">
        <v>210</v>
      </c>
      <c r="D70" s="203">
        <f>VLOOKUP($C70,Sheet1!$C$5:$D$98,2,0)</f>
        <v>42000</v>
      </c>
      <c r="E70" s="204">
        <v>0.5</v>
      </c>
      <c r="F70" s="205">
        <f t="shared" ca="1" si="6"/>
        <v>0</v>
      </c>
      <c r="G70" s="206">
        <f>IFERROR(VLOOKUP($B70,Gà!C:J,8,0),IFERROR(VLOOKUP($B70,TVP!C:J,7,0),IFERROR(VLOOKUP($B70,Kitkool!C:J,8,0),IFERROR(VLOOKUP($B70,'La Cusina'!C:J,8,0),VLOOKUP($B70,'Quốc Nhân'!C:J,8,0)))))</f>
        <v>37.315479477230703</v>
      </c>
      <c r="H70" s="207">
        <f t="shared" ref="H70:H79" ca="1" si="7">(D70-G70*1000)*$F70</f>
        <v>0</v>
      </c>
      <c r="I70" s="207"/>
      <c r="J70" s="207">
        <f t="shared" ref="J70:J79" ca="1" si="8">F70*G70*1000</f>
        <v>0</v>
      </c>
      <c r="K70" s="53"/>
      <c r="L70" s="2">
        <f ca="1">IFERROR(SUMIFS(INDIRECT("'Thanh Toán ("&amp;L$3&amp;")'!$F:$F"),INDIRECT("'Thanh Toán ("&amp;L$3&amp;")'!$D:$D"),'Tổng Đơn'!$B70),0)</f>
        <v>0</v>
      </c>
      <c r="M70" s="2">
        <f ca="1">IFERROR(SUMIFS(INDIRECT("'Thanh Toán ("&amp;M$3&amp;")'!$F:$F"),INDIRECT("'Thanh Toán ("&amp;M$3&amp;")'!$D:$D"),'Tổng Đơn'!$B70),0)</f>
        <v>0</v>
      </c>
      <c r="N70" s="2">
        <f ca="1">IFERROR(SUMIFS(INDIRECT("'Thanh Toán ("&amp;N$3&amp;")'!$F:$F"),INDIRECT("'Thanh Toán ("&amp;N$3&amp;")'!$D:$D"),'Tổng Đơn'!$B70),0)</f>
        <v>0</v>
      </c>
      <c r="O70" s="2">
        <f ca="1">IFERROR(SUMIFS(INDIRECT("'Thanh Toán ("&amp;O$3&amp;")'!$F:$F"),INDIRECT("'Thanh Toán ("&amp;O$3&amp;")'!$D:$D"),'Tổng Đơn'!$B70),0)</f>
        <v>0</v>
      </c>
      <c r="P70" s="2">
        <f ca="1">IFERROR(SUMIFS(INDIRECT("'Thanh Toán ("&amp;P$3&amp;")'!$F:$F"),INDIRECT("'Thanh Toán ("&amp;P$3&amp;")'!$D:$D"),'Tổng Đơn'!$B70),0)</f>
        <v>0</v>
      </c>
      <c r="Q70" s="2">
        <f ca="1">IFERROR(SUMIFS(INDIRECT("'Thanh Toán ("&amp;Q$3&amp;")'!$F:$F"),INDIRECT("'Thanh Toán ("&amp;Q$3&amp;")'!$D:$D"),'Tổng Đơn'!$B70),0)</f>
        <v>0</v>
      </c>
      <c r="R70" s="2">
        <f ca="1">IFERROR(SUMIFS(INDIRECT("'Thanh Toán ("&amp;R$3&amp;")'!$F:$F"),INDIRECT("'Thanh Toán ("&amp;R$3&amp;")'!$D:$D"),'Tổng Đơn'!$B70),0)</f>
        <v>0</v>
      </c>
      <c r="S70" s="2">
        <f ca="1">IFERROR(SUMIFS(INDIRECT("'Thanh Toán ("&amp;S$3&amp;")'!$F:$F"),INDIRECT("'Thanh Toán ("&amp;S$3&amp;")'!$D:$D"),'Tổng Đơn'!$B70),0)</f>
        <v>0</v>
      </c>
      <c r="T70" s="2">
        <f ca="1">IFERROR(SUMIFS(INDIRECT("'Thanh Toán ("&amp;T$3&amp;")'!$F:$F"),INDIRECT("'Thanh Toán ("&amp;T$3&amp;")'!$D:$D"),'Tổng Đơn'!$B70),0)</f>
        <v>0</v>
      </c>
      <c r="U70" s="2">
        <f ca="1">IFERROR(SUMIFS(INDIRECT("'Thanh Toán ("&amp;U$3&amp;")'!$F:$F"),INDIRECT("'Thanh Toán ("&amp;U$3&amp;")'!$D:$D"),'Tổng Đơn'!$B70),0)</f>
        <v>0</v>
      </c>
      <c r="V70" s="2">
        <f ca="1">IFERROR(SUMIFS(INDIRECT("'Thanh Toán ("&amp;V$3&amp;")'!$F:$F"),INDIRECT("'Thanh Toán ("&amp;V$3&amp;")'!$D:$D"),'Tổng Đơn'!$B70),0)</f>
        <v>0</v>
      </c>
      <c r="W70" s="2">
        <f ca="1">IFERROR(SUMIFS(INDIRECT("'Thanh Toán ("&amp;W$3&amp;")'!$F:$F"),INDIRECT("'Thanh Toán ("&amp;W$3&amp;")'!$D:$D"),'Tổng Đơn'!$B70),0)</f>
        <v>0</v>
      </c>
      <c r="X70" s="2">
        <f ca="1">IFERROR(SUMIFS(INDIRECT("'Thanh Toán ("&amp;X$3&amp;")'!$F:$F"),INDIRECT("'Thanh Toán ("&amp;X$3&amp;")'!$D:$D"),'Tổng Đơn'!$B70),0)</f>
        <v>0</v>
      </c>
      <c r="Y70" s="2">
        <f ca="1">IFERROR(SUMIFS(INDIRECT("'Thanh Toán ("&amp;Y$3&amp;")'!$F:$F"),INDIRECT("'Thanh Toán ("&amp;Y$3&amp;")'!$D:$D"),'Tổng Đơn'!$B70),0)</f>
        <v>0</v>
      </c>
      <c r="Z70" s="2">
        <f ca="1">IFERROR(SUMIFS(INDIRECT("'Thanh Toán ("&amp;Z$3&amp;")'!$F:$F"),INDIRECT("'Thanh Toán ("&amp;Z$3&amp;")'!$D:$D"),'Tổng Đơn'!$B70),0)</f>
        <v>0</v>
      </c>
      <c r="AA70" s="2">
        <f ca="1">IFERROR(SUMIFS(INDIRECT("'Thanh Toán ("&amp;AA$3&amp;")'!$F:$F"),INDIRECT("'Thanh Toán ("&amp;AA$3&amp;")'!$D:$D"),'Tổng Đơn'!$B70),0)</f>
        <v>0</v>
      </c>
      <c r="AB70" s="2">
        <f ca="1">IFERROR(SUMIFS(INDIRECT("'Thanh Toán ("&amp;AB$3&amp;")'!$F:$F"),INDIRECT("'Thanh Toán ("&amp;AB$3&amp;")'!$D:$D"),'Tổng Đơn'!$B70),0)</f>
        <v>0</v>
      </c>
      <c r="AC70" s="2">
        <f ca="1">IFERROR(SUMIFS(INDIRECT("'Thanh Toán ("&amp;AC$3&amp;")'!$F:$F"),INDIRECT("'Thanh Toán ("&amp;AC$3&amp;")'!$D:$D"),'Tổng Đơn'!$B70),0)</f>
        <v>0</v>
      </c>
      <c r="AD70" s="2">
        <f ca="1">IFERROR(SUMIFS(INDIRECT("'Thanh Toán ("&amp;AD$3&amp;")'!$F:$F"),INDIRECT("'Thanh Toán ("&amp;AD$3&amp;")'!$D:$D"),'Tổng Đơn'!$B70),0)</f>
        <v>0</v>
      </c>
      <c r="AE70" s="2">
        <f ca="1">IFERROR(SUMIFS(INDIRECT("'Thanh Toán ("&amp;AE$3&amp;")'!$F:$F"),INDIRECT("'Thanh Toán ("&amp;AE$3&amp;")'!$D:$D"),'Tổng Đơn'!$B70),0)</f>
        <v>0</v>
      </c>
      <c r="AF70" s="2">
        <f ca="1">IFERROR(SUMIFS(INDIRECT("'Thanh Toán ("&amp;AF$3&amp;")'!$F:$F"),INDIRECT("'Thanh Toán ("&amp;AF$3&amp;")'!$D:$D"),'Tổng Đơn'!$B70),0)</f>
        <v>0</v>
      </c>
      <c r="AG70" s="2">
        <f ca="1">IFERROR(SUMIFS(INDIRECT("'Thanh Toán ("&amp;AG$3&amp;")'!$F:$F"),INDIRECT("'Thanh Toán ("&amp;AG$3&amp;")'!$D:$D"),'Tổng Đơn'!$B70),0)</f>
        <v>0</v>
      </c>
      <c r="AH70" s="2">
        <f ca="1">IFERROR(SUMIFS(INDIRECT("'Thanh Toán ("&amp;AH$3&amp;")'!$F:$F"),INDIRECT("'Thanh Toán ("&amp;AH$3&amp;")'!$D:$D"),'Tổng Đơn'!$B70),0)</f>
        <v>0</v>
      </c>
      <c r="AI70" s="2">
        <f ca="1">IFERROR(SUMIFS(INDIRECT("'Thanh Toán ("&amp;AI$3&amp;")'!$F:$F"),INDIRECT("'Thanh Toán ("&amp;AI$3&amp;")'!$D:$D"),'Tổng Đơn'!$B70),0)</f>
        <v>0</v>
      </c>
      <c r="AJ70" s="2">
        <f ca="1">IFERROR(SUMIFS(INDIRECT("'Thanh Toán ("&amp;AJ$3&amp;")'!$F:$F"),INDIRECT("'Thanh Toán ("&amp;AJ$3&amp;")'!$D:$D"),'Tổng Đơn'!$B70),0)</f>
        <v>0</v>
      </c>
      <c r="AK70" s="2">
        <f ca="1">IFERROR(SUMIFS(INDIRECT("'Thanh Toán ("&amp;AK$3&amp;")'!$F:$F"),INDIRECT("'Thanh Toán ("&amp;AK$3&amp;")'!$D:$D"),'Tổng Đơn'!$B70),0)</f>
        <v>0</v>
      </c>
      <c r="AL70" s="2">
        <f ca="1">IFERROR(SUMIFS(INDIRECT("'Thanh Toán ("&amp;AL$3&amp;")'!$F:$F"),INDIRECT("'Thanh Toán ("&amp;AL$3&amp;")'!$D:$D"),'Tổng Đơn'!$B70),0)</f>
        <v>0</v>
      </c>
      <c r="AM70" s="2">
        <f ca="1">IFERROR(SUMIFS(INDIRECT("'Thanh Toán ("&amp;AM$3&amp;")'!$F:$F"),INDIRECT("'Thanh Toán ("&amp;AM$3&amp;")'!$D:$D"),'Tổng Đơn'!$B70),0)</f>
        <v>0</v>
      </c>
      <c r="AN70" s="2">
        <f ca="1">IFERROR(SUMIFS(INDIRECT("'Thanh Toán ("&amp;AN$3&amp;")'!$F:$F"),INDIRECT("'Thanh Toán ("&amp;AN$3&amp;")'!$D:$D"),'Tổng Đơn'!$B70),0)</f>
        <v>0</v>
      </c>
      <c r="AO70" s="2">
        <f ca="1">IFERROR(SUMIFS(INDIRECT("'Thanh Toán ("&amp;AO$3&amp;")'!$F:$F"),INDIRECT("'Thanh Toán ("&amp;AO$3&amp;")'!$D:$D"),'Tổng Đơn'!$B70),0)</f>
        <v>0</v>
      </c>
      <c r="AP70" s="2">
        <f ca="1">IFERROR(SUMIFS(INDIRECT("'Thanh Toán ("&amp;AP$3&amp;")'!$F:$F"),INDIRECT("'Thanh Toán ("&amp;AP$3&amp;")'!$D:$D"),'Tổng Đơn'!$B70),0)</f>
        <v>0</v>
      </c>
      <c r="AQ70" s="2">
        <f ca="1">IFERROR(SUMIFS(INDIRECT("'Thanh Toán ("&amp;AQ$3&amp;")'!$F:$F"),INDIRECT("'Thanh Toán ("&amp;AQ$3&amp;")'!$D:$D"),'Tổng Đơn'!$B70),0)</f>
        <v>0</v>
      </c>
      <c r="AR70" s="2">
        <f ca="1">IFERROR(SUMIFS(INDIRECT("'Thanh Toán ("&amp;AR$3&amp;")'!$F:$F"),INDIRECT("'Thanh Toán ("&amp;AR$3&amp;")'!$D:$D"),'Tổng Đơn'!$B70),0)</f>
        <v>0</v>
      </c>
      <c r="AS70" s="2">
        <f ca="1">IFERROR(SUMIFS(INDIRECT("'Thanh Toán ("&amp;AS$3&amp;")'!$F:$F"),INDIRECT("'Thanh Toán ("&amp;AS$3&amp;")'!$D:$D"),'Tổng Đơn'!$B70),0)</f>
        <v>0</v>
      </c>
      <c r="AT70" s="2">
        <f ca="1">IFERROR(SUMIFS(INDIRECT("'Thanh Toán ("&amp;AT$3&amp;")'!$F:$F"),INDIRECT("'Thanh Toán ("&amp;AT$3&amp;")'!$D:$D"),'Tổng Đơn'!$B70),0)</f>
        <v>0</v>
      </c>
      <c r="AU70" s="2">
        <f ca="1">IFERROR(SUMIFS(INDIRECT("'Thanh Toán ("&amp;AU$3&amp;")'!$F:$F"),INDIRECT("'Thanh Toán ("&amp;AU$3&amp;")'!$D:$D"),'Tổng Đơn'!$B70),0)</f>
        <v>0</v>
      </c>
      <c r="AV70" s="2">
        <f ca="1">IFERROR(SUMIFS(INDIRECT("'Thanh Toán ("&amp;AV$3&amp;")'!$F:$F"),INDIRECT("'Thanh Toán ("&amp;AV$3&amp;")'!$D:$D"),'Tổng Đơn'!$B70),0)</f>
        <v>0</v>
      </c>
      <c r="AW70" s="2">
        <f ca="1">IFERROR(SUMIFS(INDIRECT("'Thanh Toán ("&amp;AW$3&amp;")'!$F:$F"),INDIRECT("'Thanh Toán ("&amp;AW$3&amp;")'!$D:$D"),'Tổng Đơn'!$B70),0)</f>
        <v>0</v>
      </c>
      <c r="AX70" s="2">
        <f ca="1">IFERROR(SUMIFS(INDIRECT("'Thanh Toán ("&amp;AX$3&amp;")'!$F:$F"),INDIRECT("'Thanh Toán ("&amp;AX$3&amp;")'!$D:$D"),'Tổng Đơn'!$B70),0)</f>
        <v>0</v>
      </c>
      <c r="AY70" s="2">
        <f ca="1">IFERROR(SUMIFS(INDIRECT("'Thanh Toán ("&amp;AY$3&amp;")'!$F:$F"),INDIRECT("'Thanh Toán ("&amp;AY$3&amp;")'!$D:$D"),'Tổng Đơn'!$B70),0)</f>
        <v>0</v>
      </c>
      <c r="AZ70" s="2">
        <f ca="1">IFERROR(SUMIFS(INDIRECT("'Thanh Toán ("&amp;AZ$3&amp;")'!$F:$F"),INDIRECT("'Thanh Toán ("&amp;AZ$3&amp;")'!$D:$D"),'Tổng Đơn'!$B70),0)</f>
        <v>0</v>
      </c>
      <c r="BA70" s="2">
        <f ca="1">IFERROR(SUMIFS(INDIRECT("'Thanh Toán ("&amp;BA$3&amp;")'!$F:$F"),INDIRECT("'Thanh Toán ("&amp;BA$3&amp;")'!$D:$D"),'Tổng Đơn'!$B70),0)</f>
        <v>0</v>
      </c>
      <c r="BB70" s="2">
        <f ca="1">IFERROR(SUMIFS(INDIRECT("'Thanh Toán ("&amp;BB$3&amp;")'!$F:$F"),INDIRECT("'Thanh Toán ("&amp;BB$3&amp;")'!$D:$D"),'Tổng Đơn'!$B70),0)</f>
        <v>0</v>
      </c>
      <c r="BC70" s="2">
        <f ca="1">IFERROR(SUMIFS(INDIRECT("'Thanh Toán ("&amp;BC$3&amp;")'!$F:$F"),INDIRECT("'Thanh Toán ("&amp;BC$3&amp;")'!$D:$D"),'Tổng Đơn'!$B70),0)</f>
        <v>0</v>
      </c>
    </row>
    <row r="71" spans="1:55" ht="18" customHeight="1" x14ac:dyDescent="0.25">
      <c r="A71" s="210">
        <v>64</v>
      </c>
      <c r="B71" s="211" t="s">
        <v>241</v>
      </c>
      <c r="C71" s="201" t="s">
        <v>211</v>
      </c>
      <c r="D71" s="203">
        <f>VLOOKUP($C71,Sheet1!$C$5:$D$98,2,0)</f>
        <v>18000</v>
      </c>
      <c r="E71" s="204">
        <v>0.3</v>
      </c>
      <c r="F71" s="205">
        <f t="shared" ca="1" si="6"/>
        <v>2</v>
      </c>
      <c r="G71" s="206">
        <f>IFERROR(VLOOKUP($B71,Gà!C:J,8,0),IFERROR(VLOOKUP($B71,TVP!C:J,7,0),IFERROR(VLOOKUP($B71,Kitkool!C:J,8,0),IFERROR(VLOOKUP($B71,'La Cusina'!C:J,8,0),VLOOKUP($B71,'Quốc Nhân'!C:J,8,0)))))</f>
        <v>12.268102841829274</v>
      </c>
      <c r="H71" s="207">
        <f t="shared" ca="1" si="7"/>
        <v>11463.794316341453</v>
      </c>
      <c r="I71" s="207"/>
      <c r="J71" s="207">
        <f t="shared" ca="1" si="8"/>
        <v>24536.205683658547</v>
      </c>
      <c r="K71" s="53"/>
      <c r="L71" s="2">
        <f ca="1">IFERROR(SUMIFS(INDIRECT("'Thanh Toán ("&amp;L$3&amp;")'!$F:$F"),INDIRECT("'Thanh Toán ("&amp;L$3&amp;")'!$D:$D"),'Tổng Đơn'!$B71),0)</f>
        <v>0</v>
      </c>
      <c r="M71" s="2">
        <f ca="1">IFERROR(SUMIFS(INDIRECT("'Thanh Toán ("&amp;M$3&amp;")'!$F:$F"),INDIRECT("'Thanh Toán ("&amp;M$3&amp;")'!$D:$D"),'Tổng Đơn'!$B71),0)</f>
        <v>2</v>
      </c>
      <c r="N71" s="2">
        <f ca="1">IFERROR(SUMIFS(INDIRECT("'Thanh Toán ("&amp;N$3&amp;")'!$F:$F"),INDIRECT("'Thanh Toán ("&amp;N$3&amp;")'!$D:$D"),'Tổng Đơn'!$B71),0)</f>
        <v>0</v>
      </c>
      <c r="O71" s="2">
        <f ca="1">IFERROR(SUMIFS(INDIRECT("'Thanh Toán ("&amp;O$3&amp;")'!$F:$F"),INDIRECT("'Thanh Toán ("&amp;O$3&amp;")'!$D:$D"),'Tổng Đơn'!$B71),0)</f>
        <v>0</v>
      </c>
      <c r="P71" s="2">
        <f ca="1">IFERROR(SUMIFS(INDIRECT("'Thanh Toán ("&amp;P$3&amp;")'!$F:$F"),INDIRECT("'Thanh Toán ("&amp;P$3&amp;")'!$D:$D"),'Tổng Đơn'!$B71),0)</f>
        <v>0</v>
      </c>
      <c r="Q71" s="2">
        <f ca="1">IFERROR(SUMIFS(INDIRECT("'Thanh Toán ("&amp;Q$3&amp;")'!$F:$F"),INDIRECT("'Thanh Toán ("&amp;Q$3&amp;")'!$D:$D"),'Tổng Đơn'!$B71),0)</f>
        <v>0</v>
      </c>
      <c r="R71" s="2">
        <f ca="1">IFERROR(SUMIFS(INDIRECT("'Thanh Toán ("&amp;R$3&amp;")'!$F:$F"),INDIRECT("'Thanh Toán ("&amp;R$3&amp;")'!$D:$D"),'Tổng Đơn'!$B71),0)</f>
        <v>0</v>
      </c>
      <c r="S71" s="2">
        <f ca="1">IFERROR(SUMIFS(INDIRECT("'Thanh Toán ("&amp;S$3&amp;")'!$F:$F"),INDIRECT("'Thanh Toán ("&amp;S$3&amp;")'!$D:$D"),'Tổng Đơn'!$B71),0)</f>
        <v>0</v>
      </c>
      <c r="T71" s="2">
        <f ca="1">IFERROR(SUMIFS(INDIRECT("'Thanh Toán ("&amp;T$3&amp;")'!$F:$F"),INDIRECT("'Thanh Toán ("&amp;T$3&amp;")'!$D:$D"),'Tổng Đơn'!$B71),0)</f>
        <v>0</v>
      </c>
      <c r="U71" s="2">
        <f ca="1">IFERROR(SUMIFS(INDIRECT("'Thanh Toán ("&amp;U$3&amp;")'!$F:$F"),INDIRECT("'Thanh Toán ("&amp;U$3&amp;")'!$D:$D"),'Tổng Đơn'!$B71),0)</f>
        <v>0</v>
      </c>
      <c r="V71" s="2">
        <f ca="1">IFERROR(SUMIFS(INDIRECT("'Thanh Toán ("&amp;V$3&amp;")'!$F:$F"),INDIRECT("'Thanh Toán ("&amp;V$3&amp;")'!$D:$D"),'Tổng Đơn'!$B71),0)</f>
        <v>0</v>
      </c>
      <c r="W71" s="2">
        <f ca="1">IFERROR(SUMIFS(INDIRECT("'Thanh Toán ("&amp;W$3&amp;")'!$F:$F"),INDIRECT("'Thanh Toán ("&amp;W$3&amp;")'!$D:$D"),'Tổng Đơn'!$B71),0)</f>
        <v>0</v>
      </c>
      <c r="X71" s="2">
        <f ca="1">IFERROR(SUMIFS(INDIRECT("'Thanh Toán ("&amp;X$3&amp;")'!$F:$F"),INDIRECT("'Thanh Toán ("&amp;X$3&amp;")'!$D:$D"),'Tổng Đơn'!$B71),0)</f>
        <v>0</v>
      </c>
      <c r="Y71" s="2">
        <f ca="1">IFERROR(SUMIFS(INDIRECT("'Thanh Toán ("&amp;Y$3&amp;")'!$F:$F"),INDIRECT("'Thanh Toán ("&amp;Y$3&amp;")'!$D:$D"),'Tổng Đơn'!$B71),0)</f>
        <v>0</v>
      </c>
      <c r="Z71" s="2">
        <f ca="1">IFERROR(SUMIFS(INDIRECT("'Thanh Toán ("&amp;Z$3&amp;")'!$F:$F"),INDIRECT("'Thanh Toán ("&amp;Z$3&amp;")'!$D:$D"),'Tổng Đơn'!$B71),0)</f>
        <v>0</v>
      </c>
      <c r="AA71" s="2">
        <f ca="1">IFERROR(SUMIFS(INDIRECT("'Thanh Toán ("&amp;AA$3&amp;")'!$F:$F"),INDIRECT("'Thanh Toán ("&amp;AA$3&amp;")'!$D:$D"),'Tổng Đơn'!$B71),0)</f>
        <v>0</v>
      </c>
      <c r="AB71" s="2">
        <f ca="1">IFERROR(SUMIFS(INDIRECT("'Thanh Toán ("&amp;AB$3&amp;")'!$F:$F"),INDIRECT("'Thanh Toán ("&amp;AB$3&amp;")'!$D:$D"),'Tổng Đơn'!$B71),0)</f>
        <v>0</v>
      </c>
      <c r="AC71" s="2">
        <f ca="1">IFERROR(SUMIFS(INDIRECT("'Thanh Toán ("&amp;AC$3&amp;")'!$F:$F"),INDIRECT("'Thanh Toán ("&amp;AC$3&amp;")'!$D:$D"),'Tổng Đơn'!$B71),0)</f>
        <v>0</v>
      </c>
      <c r="AD71" s="2">
        <f ca="1">IFERROR(SUMIFS(INDIRECT("'Thanh Toán ("&amp;AD$3&amp;")'!$F:$F"),INDIRECT("'Thanh Toán ("&amp;AD$3&amp;")'!$D:$D"),'Tổng Đơn'!$B71),0)</f>
        <v>0</v>
      </c>
      <c r="AE71" s="2">
        <f ca="1">IFERROR(SUMIFS(INDIRECT("'Thanh Toán ("&amp;AE$3&amp;")'!$F:$F"),INDIRECT("'Thanh Toán ("&amp;AE$3&amp;")'!$D:$D"),'Tổng Đơn'!$B71),0)</f>
        <v>0</v>
      </c>
      <c r="AF71" s="2">
        <f ca="1">IFERROR(SUMIFS(INDIRECT("'Thanh Toán ("&amp;AF$3&amp;")'!$F:$F"),INDIRECT("'Thanh Toán ("&amp;AF$3&amp;")'!$D:$D"),'Tổng Đơn'!$B71),0)</f>
        <v>0</v>
      </c>
      <c r="AG71" s="2">
        <f ca="1">IFERROR(SUMIFS(INDIRECT("'Thanh Toán ("&amp;AG$3&amp;")'!$F:$F"),INDIRECT("'Thanh Toán ("&amp;AG$3&amp;")'!$D:$D"),'Tổng Đơn'!$B71),0)</f>
        <v>0</v>
      </c>
      <c r="AH71" s="2">
        <f ca="1">IFERROR(SUMIFS(INDIRECT("'Thanh Toán ("&amp;AH$3&amp;")'!$F:$F"),INDIRECT("'Thanh Toán ("&amp;AH$3&amp;")'!$D:$D"),'Tổng Đơn'!$B71),0)</f>
        <v>0</v>
      </c>
      <c r="AI71" s="2">
        <f ca="1">IFERROR(SUMIFS(INDIRECT("'Thanh Toán ("&amp;AI$3&amp;")'!$F:$F"),INDIRECT("'Thanh Toán ("&amp;AI$3&amp;")'!$D:$D"),'Tổng Đơn'!$B71),0)</f>
        <v>0</v>
      </c>
      <c r="AJ71" s="2">
        <f ca="1">IFERROR(SUMIFS(INDIRECT("'Thanh Toán ("&amp;AJ$3&amp;")'!$F:$F"),INDIRECT("'Thanh Toán ("&amp;AJ$3&amp;")'!$D:$D"),'Tổng Đơn'!$B71),0)</f>
        <v>0</v>
      </c>
      <c r="AK71" s="2">
        <f ca="1">IFERROR(SUMIFS(INDIRECT("'Thanh Toán ("&amp;AK$3&amp;")'!$F:$F"),INDIRECT("'Thanh Toán ("&amp;AK$3&amp;")'!$D:$D"),'Tổng Đơn'!$B71),0)</f>
        <v>0</v>
      </c>
      <c r="AL71" s="2">
        <f ca="1">IFERROR(SUMIFS(INDIRECT("'Thanh Toán ("&amp;AL$3&amp;")'!$F:$F"),INDIRECT("'Thanh Toán ("&amp;AL$3&amp;")'!$D:$D"),'Tổng Đơn'!$B71),0)</f>
        <v>0</v>
      </c>
      <c r="AM71" s="2">
        <f ca="1">IFERROR(SUMIFS(INDIRECT("'Thanh Toán ("&amp;AM$3&amp;")'!$F:$F"),INDIRECT("'Thanh Toán ("&amp;AM$3&amp;")'!$D:$D"),'Tổng Đơn'!$B71),0)</f>
        <v>0</v>
      </c>
      <c r="AN71" s="2">
        <f ca="1">IFERROR(SUMIFS(INDIRECT("'Thanh Toán ("&amp;AN$3&amp;")'!$F:$F"),INDIRECT("'Thanh Toán ("&amp;AN$3&amp;")'!$D:$D"),'Tổng Đơn'!$B71),0)</f>
        <v>0</v>
      </c>
      <c r="AO71" s="2">
        <f ca="1">IFERROR(SUMIFS(INDIRECT("'Thanh Toán ("&amp;AO$3&amp;")'!$F:$F"),INDIRECT("'Thanh Toán ("&amp;AO$3&amp;")'!$D:$D"),'Tổng Đơn'!$B71),0)</f>
        <v>0</v>
      </c>
      <c r="AP71" s="2">
        <f ca="1">IFERROR(SUMIFS(INDIRECT("'Thanh Toán ("&amp;AP$3&amp;")'!$F:$F"),INDIRECT("'Thanh Toán ("&amp;AP$3&amp;")'!$D:$D"),'Tổng Đơn'!$B71),0)</f>
        <v>0</v>
      </c>
      <c r="AQ71" s="2">
        <f ca="1">IFERROR(SUMIFS(INDIRECT("'Thanh Toán ("&amp;AQ$3&amp;")'!$F:$F"),INDIRECT("'Thanh Toán ("&amp;AQ$3&amp;")'!$D:$D"),'Tổng Đơn'!$B71),0)</f>
        <v>0</v>
      </c>
      <c r="AR71" s="2">
        <f ca="1">IFERROR(SUMIFS(INDIRECT("'Thanh Toán ("&amp;AR$3&amp;")'!$F:$F"),INDIRECT("'Thanh Toán ("&amp;AR$3&amp;")'!$D:$D"),'Tổng Đơn'!$B71),0)</f>
        <v>0</v>
      </c>
      <c r="AS71" s="2">
        <f ca="1">IFERROR(SUMIFS(INDIRECT("'Thanh Toán ("&amp;AS$3&amp;")'!$F:$F"),INDIRECT("'Thanh Toán ("&amp;AS$3&amp;")'!$D:$D"),'Tổng Đơn'!$B71),0)</f>
        <v>0</v>
      </c>
      <c r="AT71" s="2">
        <f ca="1">IFERROR(SUMIFS(INDIRECT("'Thanh Toán ("&amp;AT$3&amp;")'!$F:$F"),INDIRECT("'Thanh Toán ("&amp;AT$3&amp;")'!$D:$D"),'Tổng Đơn'!$B71),0)</f>
        <v>0</v>
      </c>
      <c r="AU71" s="2">
        <f ca="1">IFERROR(SUMIFS(INDIRECT("'Thanh Toán ("&amp;AU$3&amp;")'!$F:$F"),INDIRECT("'Thanh Toán ("&amp;AU$3&amp;")'!$D:$D"),'Tổng Đơn'!$B71),0)</f>
        <v>0</v>
      </c>
      <c r="AV71" s="2">
        <f ca="1">IFERROR(SUMIFS(INDIRECT("'Thanh Toán ("&amp;AV$3&amp;")'!$F:$F"),INDIRECT("'Thanh Toán ("&amp;AV$3&amp;")'!$D:$D"),'Tổng Đơn'!$B71),0)</f>
        <v>0</v>
      </c>
      <c r="AW71" s="2">
        <f ca="1">IFERROR(SUMIFS(INDIRECT("'Thanh Toán ("&amp;AW$3&amp;")'!$F:$F"),INDIRECT("'Thanh Toán ("&amp;AW$3&amp;")'!$D:$D"),'Tổng Đơn'!$B71),0)</f>
        <v>0</v>
      </c>
      <c r="AX71" s="2">
        <f ca="1">IFERROR(SUMIFS(INDIRECT("'Thanh Toán ("&amp;AX$3&amp;")'!$F:$F"),INDIRECT("'Thanh Toán ("&amp;AX$3&amp;")'!$D:$D"),'Tổng Đơn'!$B71),0)</f>
        <v>0</v>
      </c>
      <c r="AY71" s="2">
        <f ca="1">IFERROR(SUMIFS(INDIRECT("'Thanh Toán ("&amp;AY$3&amp;")'!$F:$F"),INDIRECT("'Thanh Toán ("&amp;AY$3&amp;")'!$D:$D"),'Tổng Đơn'!$B71),0)</f>
        <v>0</v>
      </c>
      <c r="AZ71" s="2">
        <f ca="1">IFERROR(SUMIFS(INDIRECT("'Thanh Toán ("&amp;AZ$3&amp;")'!$F:$F"),INDIRECT("'Thanh Toán ("&amp;AZ$3&amp;")'!$D:$D"),'Tổng Đơn'!$B71),0)</f>
        <v>0</v>
      </c>
      <c r="BA71" s="2">
        <f ca="1">IFERROR(SUMIFS(INDIRECT("'Thanh Toán ("&amp;BA$3&amp;")'!$F:$F"),INDIRECT("'Thanh Toán ("&amp;BA$3&amp;")'!$D:$D"),'Tổng Đơn'!$B71),0)</f>
        <v>0</v>
      </c>
      <c r="BB71" s="2">
        <f ca="1">IFERROR(SUMIFS(INDIRECT("'Thanh Toán ("&amp;BB$3&amp;")'!$F:$F"),INDIRECT("'Thanh Toán ("&amp;BB$3&amp;")'!$D:$D"),'Tổng Đơn'!$B71),0)</f>
        <v>0</v>
      </c>
      <c r="BC71" s="2">
        <f ca="1">IFERROR(SUMIFS(INDIRECT("'Thanh Toán ("&amp;BC$3&amp;")'!$F:$F"),INDIRECT("'Thanh Toán ("&amp;BC$3&amp;")'!$D:$D"),'Tổng Đơn'!$B71),0)</f>
        <v>0</v>
      </c>
    </row>
    <row r="72" spans="1:55" ht="18" customHeight="1" x14ac:dyDescent="0.25">
      <c r="A72" s="210">
        <v>65</v>
      </c>
      <c r="B72" s="211" t="s">
        <v>233</v>
      </c>
      <c r="C72" s="201" t="s">
        <v>242</v>
      </c>
      <c r="D72" s="203">
        <f>VLOOKUP($C72,Sheet1!$C$5:$D$98,2,0)</f>
        <v>23000</v>
      </c>
      <c r="E72" s="204">
        <v>0.5</v>
      </c>
      <c r="F72" s="205">
        <f t="shared" ca="1" si="6"/>
        <v>24</v>
      </c>
      <c r="G72" s="206">
        <f>IFERROR(VLOOKUP($B72,Gà!C:J,8,0),IFERROR(VLOOKUP($B72,TVP!C:J,7,0),IFERROR(VLOOKUP($B72,Kitkool!C:J,8,0),IFERROR(VLOOKUP($B72,'La Cusina'!C:J,8,0),VLOOKUP($B72,'Quốc Nhân'!C:J,8,0)))))</f>
        <v>19.463747307968415</v>
      </c>
      <c r="H72" s="207">
        <f t="shared" ca="1" si="7"/>
        <v>84870.064608758083</v>
      </c>
      <c r="I72" s="207"/>
      <c r="J72" s="207">
        <f t="shared" ca="1" si="8"/>
        <v>467129.93539124192</v>
      </c>
      <c r="K72" s="53"/>
      <c r="L72" s="2">
        <f ca="1">IFERROR(SUMIFS(INDIRECT("'Thanh Toán ("&amp;L$3&amp;")'!$F:$F"),INDIRECT("'Thanh Toán ("&amp;L$3&amp;")'!$D:$D"),'Tổng Đơn'!$B72),0)</f>
        <v>2</v>
      </c>
      <c r="M72" s="2">
        <f ca="1">IFERROR(SUMIFS(INDIRECT("'Thanh Toán ("&amp;M$3&amp;")'!$F:$F"),INDIRECT("'Thanh Toán ("&amp;M$3&amp;")'!$D:$D"),'Tổng Đơn'!$B72),0)</f>
        <v>2</v>
      </c>
      <c r="N72" s="2">
        <f ca="1">IFERROR(SUMIFS(INDIRECT("'Thanh Toán ("&amp;N$3&amp;")'!$F:$F"),INDIRECT("'Thanh Toán ("&amp;N$3&amp;")'!$D:$D"),'Tổng Đơn'!$B72),0)</f>
        <v>0</v>
      </c>
      <c r="O72" s="2">
        <f ca="1">IFERROR(SUMIFS(INDIRECT("'Thanh Toán ("&amp;O$3&amp;")'!$F:$F"),INDIRECT("'Thanh Toán ("&amp;O$3&amp;")'!$D:$D"),'Tổng Đơn'!$B72),0)</f>
        <v>4</v>
      </c>
      <c r="P72" s="2">
        <f ca="1">IFERROR(SUMIFS(INDIRECT("'Thanh Toán ("&amp;P$3&amp;")'!$F:$F"),INDIRECT("'Thanh Toán ("&amp;P$3&amp;")'!$D:$D"),'Tổng Đơn'!$B72),0)</f>
        <v>1</v>
      </c>
      <c r="Q72" s="2">
        <f ca="1">IFERROR(SUMIFS(INDIRECT("'Thanh Toán ("&amp;Q$3&amp;")'!$F:$F"),INDIRECT("'Thanh Toán ("&amp;Q$3&amp;")'!$D:$D"),'Tổng Đơn'!$B72),0)</f>
        <v>10</v>
      </c>
      <c r="R72" s="2">
        <f ca="1">IFERROR(SUMIFS(INDIRECT("'Thanh Toán ("&amp;R$3&amp;")'!$F:$F"),INDIRECT("'Thanh Toán ("&amp;R$3&amp;")'!$D:$D"),'Tổng Đơn'!$B72),0)</f>
        <v>0</v>
      </c>
      <c r="S72" s="2">
        <f ca="1">IFERROR(SUMIFS(INDIRECT("'Thanh Toán ("&amp;S$3&amp;")'!$F:$F"),INDIRECT("'Thanh Toán ("&amp;S$3&amp;")'!$D:$D"),'Tổng Đơn'!$B72),0)</f>
        <v>0</v>
      </c>
      <c r="T72" s="2">
        <f ca="1">IFERROR(SUMIFS(INDIRECT("'Thanh Toán ("&amp;T$3&amp;")'!$F:$F"),INDIRECT("'Thanh Toán ("&amp;T$3&amp;")'!$D:$D"),'Tổng Đơn'!$B72),0)</f>
        <v>0</v>
      </c>
      <c r="U72" s="2">
        <f ca="1">IFERROR(SUMIFS(INDIRECT("'Thanh Toán ("&amp;U$3&amp;")'!$F:$F"),INDIRECT("'Thanh Toán ("&amp;U$3&amp;")'!$D:$D"),'Tổng Đơn'!$B72),0)</f>
        <v>0</v>
      </c>
      <c r="V72" s="2">
        <f ca="1">IFERROR(SUMIFS(INDIRECT("'Thanh Toán ("&amp;V$3&amp;")'!$F:$F"),INDIRECT("'Thanh Toán ("&amp;V$3&amp;")'!$D:$D"),'Tổng Đơn'!$B72),0)</f>
        <v>1</v>
      </c>
      <c r="W72" s="2">
        <f ca="1">IFERROR(SUMIFS(INDIRECT("'Thanh Toán ("&amp;W$3&amp;")'!$F:$F"),INDIRECT("'Thanh Toán ("&amp;W$3&amp;")'!$D:$D"),'Tổng Đơn'!$B72),0)</f>
        <v>2</v>
      </c>
      <c r="X72" s="2">
        <f ca="1">IFERROR(SUMIFS(INDIRECT("'Thanh Toán ("&amp;X$3&amp;")'!$F:$F"),INDIRECT("'Thanh Toán ("&amp;X$3&amp;")'!$D:$D"),'Tổng Đơn'!$B72),0)</f>
        <v>1</v>
      </c>
      <c r="Y72" s="2">
        <f ca="1">IFERROR(SUMIFS(INDIRECT("'Thanh Toán ("&amp;Y$3&amp;")'!$F:$F"),INDIRECT("'Thanh Toán ("&amp;Y$3&amp;")'!$D:$D"),'Tổng Đơn'!$B72),0)</f>
        <v>1</v>
      </c>
      <c r="Z72" s="2">
        <f ca="1">IFERROR(SUMIFS(INDIRECT("'Thanh Toán ("&amp;Z$3&amp;")'!$F:$F"),INDIRECT("'Thanh Toán ("&amp;Z$3&amp;")'!$D:$D"),'Tổng Đơn'!$B72),0)</f>
        <v>0</v>
      </c>
      <c r="AA72" s="2">
        <f ca="1">IFERROR(SUMIFS(INDIRECT("'Thanh Toán ("&amp;AA$3&amp;")'!$F:$F"),INDIRECT("'Thanh Toán ("&amp;AA$3&amp;")'!$D:$D"),'Tổng Đơn'!$B72),0)</f>
        <v>0</v>
      </c>
      <c r="AB72" s="2">
        <f ca="1">IFERROR(SUMIFS(INDIRECT("'Thanh Toán ("&amp;AB$3&amp;")'!$F:$F"),INDIRECT("'Thanh Toán ("&amp;AB$3&amp;")'!$D:$D"),'Tổng Đơn'!$B72),0)</f>
        <v>0</v>
      </c>
      <c r="AC72" s="2">
        <f ca="1">IFERROR(SUMIFS(INDIRECT("'Thanh Toán ("&amp;AC$3&amp;")'!$F:$F"),INDIRECT("'Thanh Toán ("&amp;AC$3&amp;")'!$D:$D"),'Tổng Đơn'!$B72),0)</f>
        <v>0</v>
      </c>
      <c r="AD72" s="2">
        <f ca="1">IFERROR(SUMIFS(INDIRECT("'Thanh Toán ("&amp;AD$3&amp;")'!$F:$F"),INDIRECT("'Thanh Toán ("&amp;AD$3&amp;")'!$D:$D"),'Tổng Đơn'!$B72),0)</f>
        <v>0</v>
      </c>
      <c r="AE72" s="2">
        <f ca="1">IFERROR(SUMIFS(INDIRECT("'Thanh Toán ("&amp;AE$3&amp;")'!$F:$F"),INDIRECT("'Thanh Toán ("&amp;AE$3&amp;")'!$D:$D"),'Tổng Đơn'!$B72),0)</f>
        <v>0</v>
      </c>
      <c r="AF72" s="2">
        <f ca="1">IFERROR(SUMIFS(INDIRECT("'Thanh Toán ("&amp;AF$3&amp;")'!$F:$F"),INDIRECT("'Thanh Toán ("&amp;AF$3&amp;")'!$D:$D"),'Tổng Đơn'!$B72),0)</f>
        <v>0</v>
      </c>
      <c r="AG72" s="2">
        <f ca="1">IFERROR(SUMIFS(INDIRECT("'Thanh Toán ("&amp;AG$3&amp;")'!$F:$F"),INDIRECT("'Thanh Toán ("&amp;AG$3&amp;")'!$D:$D"),'Tổng Đơn'!$B72),0)</f>
        <v>0</v>
      </c>
      <c r="AH72" s="2">
        <f ca="1">IFERROR(SUMIFS(INDIRECT("'Thanh Toán ("&amp;AH$3&amp;")'!$F:$F"),INDIRECT("'Thanh Toán ("&amp;AH$3&amp;")'!$D:$D"),'Tổng Đơn'!$B72),0)</f>
        <v>0</v>
      </c>
      <c r="AI72" s="2">
        <f ca="1">IFERROR(SUMIFS(INDIRECT("'Thanh Toán ("&amp;AI$3&amp;")'!$F:$F"),INDIRECT("'Thanh Toán ("&amp;AI$3&amp;")'!$D:$D"),'Tổng Đơn'!$B72),0)</f>
        <v>0</v>
      </c>
      <c r="AJ72" s="2">
        <f ca="1">IFERROR(SUMIFS(INDIRECT("'Thanh Toán ("&amp;AJ$3&amp;")'!$F:$F"),INDIRECT("'Thanh Toán ("&amp;AJ$3&amp;")'!$D:$D"),'Tổng Đơn'!$B72),0)</f>
        <v>0</v>
      </c>
      <c r="AK72" s="2">
        <f ca="1">IFERROR(SUMIFS(INDIRECT("'Thanh Toán ("&amp;AK$3&amp;")'!$F:$F"),INDIRECT("'Thanh Toán ("&amp;AK$3&amp;")'!$D:$D"),'Tổng Đơn'!$B72),0)</f>
        <v>0</v>
      </c>
      <c r="AL72" s="2">
        <f ca="1">IFERROR(SUMIFS(INDIRECT("'Thanh Toán ("&amp;AL$3&amp;")'!$F:$F"),INDIRECT("'Thanh Toán ("&amp;AL$3&amp;")'!$D:$D"),'Tổng Đơn'!$B72),0)</f>
        <v>0</v>
      </c>
      <c r="AM72" s="2">
        <f ca="1">IFERROR(SUMIFS(INDIRECT("'Thanh Toán ("&amp;AM$3&amp;")'!$F:$F"),INDIRECT("'Thanh Toán ("&amp;AM$3&amp;")'!$D:$D"),'Tổng Đơn'!$B72),0)</f>
        <v>0</v>
      </c>
      <c r="AN72" s="2">
        <f ca="1">IFERROR(SUMIFS(INDIRECT("'Thanh Toán ("&amp;AN$3&amp;")'!$F:$F"),INDIRECT("'Thanh Toán ("&amp;AN$3&amp;")'!$D:$D"),'Tổng Đơn'!$B72),0)</f>
        <v>0</v>
      </c>
      <c r="AO72" s="2">
        <f ca="1">IFERROR(SUMIFS(INDIRECT("'Thanh Toán ("&amp;AO$3&amp;")'!$F:$F"),INDIRECT("'Thanh Toán ("&amp;AO$3&amp;")'!$D:$D"),'Tổng Đơn'!$B72),0)</f>
        <v>0</v>
      </c>
      <c r="AP72" s="2">
        <f ca="1">IFERROR(SUMIFS(INDIRECT("'Thanh Toán ("&amp;AP$3&amp;")'!$F:$F"),INDIRECT("'Thanh Toán ("&amp;AP$3&amp;")'!$D:$D"),'Tổng Đơn'!$B72),0)</f>
        <v>0</v>
      </c>
      <c r="AQ72" s="2">
        <f ca="1">IFERROR(SUMIFS(INDIRECT("'Thanh Toán ("&amp;AQ$3&amp;")'!$F:$F"),INDIRECT("'Thanh Toán ("&amp;AQ$3&amp;")'!$D:$D"),'Tổng Đơn'!$B72),0)</f>
        <v>0</v>
      </c>
      <c r="AR72" s="2">
        <f ca="1">IFERROR(SUMIFS(INDIRECT("'Thanh Toán ("&amp;AR$3&amp;")'!$F:$F"),INDIRECT("'Thanh Toán ("&amp;AR$3&amp;")'!$D:$D"),'Tổng Đơn'!$B72),0)</f>
        <v>0</v>
      </c>
      <c r="AS72" s="2">
        <f ca="1">IFERROR(SUMIFS(INDIRECT("'Thanh Toán ("&amp;AS$3&amp;")'!$F:$F"),INDIRECT("'Thanh Toán ("&amp;AS$3&amp;")'!$D:$D"),'Tổng Đơn'!$B72),0)</f>
        <v>0</v>
      </c>
      <c r="AT72" s="2">
        <f ca="1">IFERROR(SUMIFS(INDIRECT("'Thanh Toán ("&amp;AT$3&amp;")'!$F:$F"),INDIRECT("'Thanh Toán ("&amp;AT$3&amp;")'!$D:$D"),'Tổng Đơn'!$B72),0)</f>
        <v>0</v>
      </c>
      <c r="AU72" s="2">
        <f ca="1">IFERROR(SUMIFS(INDIRECT("'Thanh Toán ("&amp;AU$3&amp;")'!$F:$F"),INDIRECT("'Thanh Toán ("&amp;AU$3&amp;")'!$D:$D"),'Tổng Đơn'!$B72),0)</f>
        <v>0</v>
      </c>
      <c r="AV72" s="2">
        <f ca="1">IFERROR(SUMIFS(INDIRECT("'Thanh Toán ("&amp;AV$3&amp;")'!$F:$F"),INDIRECT("'Thanh Toán ("&amp;AV$3&amp;")'!$D:$D"),'Tổng Đơn'!$B72),0)</f>
        <v>0</v>
      </c>
      <c r="AW72" s="2">
        <f ca="1">IFERROR(SUMIFS(INDIRECT("'Thanh Toán ("&amp;AW$3&amp;")'!$F:$F"),INDIRECT("'Thanh Toán ("&amp;AW$3&amp;")'!$D:$D"),'Tổng Đơn'!$B72),0)</f>
        <v>0</v>
      </c>
      <c r="AX72" s="2">
        <f ca="1">IFERROR(SUMIFS(INDIRECT("'Thanh Toán ("&amp;AX$3&amp;")'!$F:$F"),INDIRECT("'Thanh Toán ("&amp;AX$3&amp;")'!$D:$D"),'Tổng Đơn'!$B72),0)</f>
        <v>0</v>
      </c>
      <c r="AY72" s="2">
        <f ca="1">IFERROR(SUMIFS(INDIRECT("'Thanh Toán ("&amp;AY$3&amp;")'!$F:$F"),INDIRECT("'Thanh Toán ("&amp;AY$3&amp;")'!$D:$D"),'Tổng Đơn'!$B72),0)</f>
        <v>0</v>
      </c>
      <c r="AZ72" s="2">
        <f ca="1">IFERROR(SUMIFS(INDIRECT("'Thanh Toán ("&amp;AZ$3&amp;")'!$F:$F"),INDIRECT("'Thanh Toán ("&amp;AZ$3&amp;")'!$D:$D"),'Tổng Đơn'!$B72),0)</f>
        <v>0</v>
      </c>
      <c r="BA72" s="2">
        <f ca="1">IFERROR(SUMIFS(INDIRECT("'Thanh Toán ("&amp;BA$3&amp;")'!$F:$F"),INDIRECT("'Thanh Toán ("&amp;BA$3&amp;")'!$D:$D"),'Tổng Đơn'!$B72),0)</f>
        <v>0</v>
      </c>
      <c r="BB72" s="2">
        <f ca="1">IFERROR(SUMIFS(INDIRECT("'Thanh Toán ("&amp;BB$3&amp;")'!$F:$F"),INDIRECT("'Thanh Toán ("&amp;BB$3&amp;")'!$D:$D"),'Tổng Đơn'!$B72),0)</f>
        <v>0</v>
      </c>
      <c r="BC72" s="2">
        <f ca="1">IFERROR(SUMIFS(INDIRECT("'Thanh Toán ("&amp;BC$3&amp;")'!$F:$F"),INDIRECT("'Thanh Toán ("&amp;BC$3&amp;")'!$D:$D"),'Tổng Đơn'!$B72),0)</f>
        <v>0</v>
      </c>
    </row>
    <row r="73" spans="1:55" ht="18" customHeight="1" x14ac:dyDescent="0.25">
      <c r="A73" s="210">
        <v>66</v>
      </c>
      <c r="B73" s="211" t="s">
        <v>234</v>
      </c>
      <c r="C73" s="201" t="s">
        <v>243</v>
      </c>
      <c r="D73" s="203">
        <f>VLOOKUP($C73,Sheet1!$C$5:$D$98,2,0)</f>
        <v>26000</v>
      </c>
      <c r="E73" s="204">
        <v>0.5</v>
      </c>
      <c r="F73" s="205">
        <f t="shared" ca="1" si="6"/>
        <v>1</v>
      </c>
      <c r="G73" s="206">
        <f>IFERROR(VLOOKUP($B73,Gà!C:J,8,0),IFERROR(VLOOKUP($B73,TVP!C:J,7,0),IFERROR(VLOOKUP($B73,Kitkool!C:J,8,0),IFERROR(VLOOKUP($B73,'La Cusina'!C:J,8,0),VLOOKUP($B73,'Quốc Nhân'!C:J,8,0)))))</f>
        <v>21.512562814070353</v>
      </c>
      <c r="H73" s="207">
        <f t="shared" ca="1" si="7"/>
        <v>4487.437185929648</v>
      </c>
      <c r="I73" s="207"/>
      <c r="J73" s="207">
        <f t="shared" ca="1" si="8"/>
        <v>21512.562814070352</v>
      </c>
      <c r="K73" s="53"/>
      <c r="L73" s="2">
        <f ca="1">IFERROR(SUMIFS(INDIRECT("'Thanh Toán ("&amp;L$3&amp;")'!$F:$F"),INDIRECT("'Thanh Toán ("&amp;L$3&amp;")'!$D:$D"),'Tổng Đơn'!$B73),0)</f>
        <v>0</v>
      </c>
      <c r="M73" s="2">
        <f ca="1">IFERROR(SUMIFS(INDIRECT("'Thanh Toán ("&amp;M$3&amp;")'!$F:$F"),INDIRECT("'Thanh Toán ("&amp;M$3&amp;")'!$D:$D"),'Tổng Đơn'!$B73),0)</f>
        <v>0</v>
      </c>
      <c r="N73" s="2">
        <f ca="1">IFERROR(SUMIFS(INDIRECT("'Thanh Toán ("&amp;N$3&amp;")'!$F:$F"),INDIRECT("'Thanh Toán ("&amp;N$3&amp;")'!$D:$D"),'Tổng Đơn'!$B73),0)</f>
        <v>0</v>
      </c>
      <c r="O73" s="2">
        <f ca="1">IFERROR(SUMIFS(INDIRECT("'Thanh Toán ("&amp;O$3&amp;")'!$F:$F"),INDIRECT("'Thanh Toán ("&amp;O$3&amp;")'!$D:$D"),'Tổng Đơn'!$B73),0)</f>
        <v>0</v>
      </c>
      <c r="P73" s="2">
        <f ca="1">IFERROR(SUMIFS(INDIRECT("'Thanh Toán ("&amp;P$3&amp;")'!$F:$F"),INDIRECT("'Thanh Toán ("&amp;P$3&amp;")'!$D:$D"),'Tổng Đơn'!$B73),0)</f>
        <v>0</v>
      </c>
      <c r="Q73" s="2">
        <f ca="1">IFERROR(SUMIFS(INDIRECT("'Thanh Toán ("&amp;Q$3&amp;")'!$F:$F"),INDIRECT("'Thanh Toán ("&amp;Q$3&amp;")'!$D:$D"),'Tổng Đơn'!$B73),0)</f>
        <v>0</v>
      </c>
      <c r="R73" s="2">
        <f ca="1">IFERROR(SUMIFS(INDIRECT("'Thanh Toán ("&amp;R$3&amp;")'!$F:$F"),INDIRECT("'Thanh Toán ("&amp;R$3&amp;")'!$D:$D"),'Tổng Đơn'!$B73),0)</f>
        <v>0</v>
      </c>
      <c r="S73" s="2">
        <f ca="1">IFERROR(SUMIFS(INDIRECT("'Thanh Toán ("&amp;S$3&amp;")'!$F:$F"),INDIRECT("'Thanh Toán ("&amp;S$3&amp;")'!$D:$D"),'Tổng Đơn'!$B73),0)</f>
        <v>0</v>
      </c>
      <c r="T73" s="2">
        <f ca="1">IFERROR(SUMIFS(INDIRECT("'Thanh Toán ("&amp;T$3&amp;")'!$F:$F"),INDIRECT("'Thanh Toán ("&amp;T$3&amp;")'!$D:$D"),'Tổng Đơn'!$B73),0)</f>
        <v>0</v>
      </c>
      <c r="U73" s="2">
        <f ca="1">IFERROR(SUMIFS(INDIRECT("'Thanh Toán ("&amp;U$3&amp;")'!$F:$F"),INDIRECT("'Thanh Toán ("&amp;U$3&amp;")'!$D:$D"),'Tổng Đơn'!$B73),0)</f>
        <v>0</v>
      </c>
      <c r="V73" s="2">
        <f ca="1">IFERROR(SUMIFS(INDIRECT("'Thanh Toán ("&amp;V$3&amp;")'!$F:$F"),INDIRECT("'Thanh Toán ("&amp;V$3&amp;")'!$D:$D"),'Tổng Đơn'!$B73),0)</f>
        <v>0</v>
      </c>
      <c r="W73" s="2">
        <f ca="1">IFERROR(SUMIFS(INDIRECT("'Thanh Toán ("&amp;W$3&amp;")'!$F:$F"),INDIRECT("'Thanh Toán ("&amp;W$3&amp;")'!$D:$D"),'Tổng Đơn'!$B73),0)</f>
        <v>1</v>
      </c>
      <c r="X73" s="2">
        <f ca="1">IFERROR(SUMIFS(INDIRECT("'Thanh Toán ("&amp;X$3&amp;")'!$F:$F"),INDIRECT("'Thanh Toán ("&amp;X$3&amp;")'!$D:$D"),'Tổng Đơn'!$B73),0)</f>
        <v>0</v>
      </c>
      <c r="Y73" s="2">
        <f ca="1">IFERROR(SUMIFS(INDIRECT("'Thanh Toán ("&amp;Y$3&amp;")'!$F:$F"),INDIRECT("'Thanh Toán ("&amp;Y$3&amp;")'!$D:$D"),'Tổng Đơn'!$B73),0)</f>
        <v>0</v>
      </c>
      <c r="Z73" s="2">
        <f ca="1">IFERROR(SUMIFS(INDIRECT("'Thanh Toán ("&amp;Z$3&amp;")'!$F:$F"),INDIRECT("'Thanh Toán ("&amp;Z$3&amp;")'!$D:$D"),'Tổng Đơn'!$B73),0)</f>
        <v>0</v>
      </c>
      <c r="AA73" s="2">
        <f ca="1">IFERROR(SUMIFS(INDIRECT("'Thanh Toán ("&amp;AA$3&amp;")'!$F:$F"),INDIRECT("'Thanh Toán ("&amp;AA$3&amp;")'!$D:$D"),'Tổng Đơn'!$B73),0)</f>
        <v>0</v>
      </c>
      <c r="AB73" s="2">
        <f ca="1">IFERROR(SUMIFS(INDIRECT("'Thanh Toán ("&amp;AB$3&amp;")'!$F:$F"),INDIRECT("'Thanh Toán ("&amp;AB$3&amp;")'!$D:$D"),'Tổng Đơn'!$B73),0)</f>
        <v>0</v>
      </c>
      <c r="AC73" s="2">
        <f ca="1">IFERROR(SUMIFS(INDIRECT("'Thanh Toán ("&amp;AC$3&amp;")'!$F:$F"),INDIRECT("'Thanh Toán ("&amp;AC$3&amp;")'!$D:$D"),'Tổng Đơn'!$B73),0)</f>
        <v>0</v>
      </c>
      <c r="AD73" s="2">
        <f ca="1">IFERROR(SUMIFS(INDIRECT("'Thanh Toán ("&amp;AD$3&amp;")'!$F:$F"),INDIRECT("'Thanh Toán ("&amp;AD$3&amp;")'!$D:$D"),'Tổng Đơn'!$B73),0)</f>
        <v>0</v>
      </c>
      <c r="AE73" s="2">
        <f ca="1">IFERROR(SUMIFS(INDIRECT("'Thanh Toán ("&amp;AE$3&amp;")'!$F:$F"),INDIRECT("'Thanh Toán ("&amp;AE$3&amp;")'!$D:$D"),'Tổng Đơn'!$B73),0)</f>
        <v>0</v>
      </c>
      <c r="AF73" s="2">
        <f ca="1">IFERROR(SUMIFS(INDIRECT("'Thanh Toán ("&amp;AF$3&amp;")'!$F:$F"),INDIRECT("'Thanh Toán ("&amp;AF$3&amp;")'!$D:$D"),'Tổng Đơn'!$B73),0)</f>
        <v>0</v>
      </c>
      <c r="AG73" s="2">
        <f ca="1">IFERROR(SUMIFS(INDIRECT("'Thanh Toán ("&amp;AG$3&amp;")'!$F:$F"),INDIRECT("'Thanh Toán ("&amp;AG$3&amp;")'!$D:$D"),'Tổng Đơn'!$B73),0)</f>
        <v>0</v>
      </c>
      <c r="AH73" s="2">
        <f ca="1">IFERROR(SUMIFS(INDIRECT("'Thanh Toán ("&amp;AH$3&amp;")'!$F:$F"),INDIRECT("'Thanh Toán ("&amp;AH$3&amp;")'!$D:$D"),'Tổng Đơn'!$B73),0)</f>
        <v>0</v>
      </c>
      <c r="AI73" s="2">
        <f ca="1">IFERROR(SUMIFS(INDIRECT("'Thanh Toán ("&amp;AI$3&amp;")'!$F:$F"),INDIRECT("'Thanh Toán ("&amp;AI$3&amp;")'!$D:$D"),'Tổng Đơn'!$B73),0)</f>
        <v>0</v>
      </c>
      <c r="AJ73" s="2">
        <f ca="1">IFERROR(SUMIFS(INDIRECT("'Thanh Toán ("&amp;AJ$3&amp;")'!$F:$F"),INDIRECT("'Thanh Toán ("&amp;AJ$3&amp;")'!$D:$D"),'Tổng Đơn'!$B73),0)</f>
        <v>0</v>
      </c>
      <c r="AK73" s="2">
        <f ca="1">IFERROR(SUMIFS(INDIRECT("'Thanh Toán ("&amp;AK$3&amp;")'!$F:$F"),INDIRECT("'Thanh Toán ("&amp;AK$3&amp;")'!$D:$D"),'Tổng Đơn'!$B73),0)</f>
        <v>0</v>
      </c>
      <c r="AL73" s="2">
        <f ca="1">IFERROR(SUMIFS(INDIRECT("'Thanh Toán ("&amp;AL$3&amp;")'!$F:$F"),INDIRECT("'Thanh Toán ("&amp;AL$3&amp;")'!$D:$D"),'Tổng Đơn'!$B73),0)</f>
        <v>0</v>
      </c>
      <c r="AM73" s="2">
        <f ca="1">IFERROR(SUMIFS(INDIRECT("'Thanh Toán ("&amp;AM$3&amp;")'!$F:$F"),INDIRECT("'Thanh Toán ("&amp;AM$3&amp;")'!$D:$D"),'Tổng Đơn'!$B73),0)</f>
        <v>0</v>
      </c>
      <c r="AN73" s="2">
        <f ca="1">IFERROR(SUMIFS(INDIRECT("'Thanh Toán ("&amp;AN$3&amp;")'!$F:$F"),INDIRECT("'Thanh Toán ("&amp;AN$3&amp;")'!$D:$D"),'Tổng Đơn'!$B73),0)</f>
        <v>0</v>
      </c>
      <c r="AO73" s="2">
        <f ca="1">IFERROR(SUMIFS(INDIRECT("'Thanh Toán ("&amp;AO$3&amp;")'!$F:$F"),INDIRECT("'Thanh Toán ("&amp;AO$3&amp;")'!$D:$D"),'Tổng Đơn'!$B73),0)</f>
        <v>0</v>
      </c>
      <c r="AP73" s="2">
        <f ca="1">IFERROR(SUMIFS(INDIRECT("'Thanh Toán ("&amp;AP$3&amp;")'!$F:$F"),INDIRECT("'Thanh Toán ("&amp;AP$3&amp;")'!$D:$D"),'Tổng Đơn'!$B73),0)</f>
        <v>0</v>
      </c>
      <c r="AQ73" s="2">
        <f ca="1">IFERROR(SUMIFS(INDIRECT("'Thanh Toán ("&amp;AQ$3&amp;")'!$F:$F"),INDIRECT("'Thanh Toán ("&amp;AQ$3&amp;")'!$D:$D"),'Tổng Đơn'!$B73),0)</f>
        <v>0</v>
      </c>
      <c r="AR73" s="2">
        <f ca="1">IFERROR(SUMIFS(INDIRECT("'Thanh Toán ("&amp;AR$3&amp;")'!$F:$F"),INDIRECT("'Thanh Toán ("&amp;AR$3&amp;")'!$D:$D"),'Tổng Đơn'!$B73),0)</f>
        <v>0</v>
      </c>
      <c r="AS73" s="2">
        <f ca="1">IFERROR(SUMIFS(INDIRECT("'Thanh Toán ("&amp;AS$3&amp;")'!$F:$F"),INDIRECT("'Thanh Toán ("&amp;AS$3&amp;")'!$D:$D"),'Tổng Đơn'!$B73),0)</f>
        <v>0</v>
      </c>
      <c r="AT73" s="2">
        <f ca="1">IFERROR(SUMIFS(INDIRECT("'Thanh Toán ("&amp;AT$3&amp;")'!$F:$F"),INDIRECT("'Thanh Toán ("&amp;AT$3&amp;")'!$D:$D"),'Tổng Đơn'!$B73),0)</f>
        <v>0</v>
      </c>
      <c r="AU73" s="2">
        <f ca="1">IFERROR(SUMIFS(INDIRECT("'Thanh Toán ("&amp;AU$3&amp;")'!$F:$F"),INDIRECT("'Thanh Toán ("&amp;AU$3&amp;")'!$D:$D"),'Tổng Đơn'!$B73),0)</f>
        <v>0</v>
      </c>
      <c r="AV73" s="2">
        <f ca="1">IFERROR(SUMIFS(INDIRECT("'Thanh Toán ("&amp;AV$3&amp;")'!$F:$F"),INDIRECT("'Thanh Toán ("&amp;AV$3&amp;")'!$D:$D"),'Tổng Đơn'!$B73),0)</f>
        <v>0</v>
      </c>
      <c r="AW73" s="2">
        <f ca="1">IFERROR(SUMIFS(INDIRECT("'Thanh Toán ("&amp;AW$3&amp;")'!$F:$F"),INDIRECT("'Thanh Toán ("&amp;AW$3&amp;")'!$D:$D"),'Tổng Đơn'!$B73),0)</f>
        <v>0</v>
      </c>
      <c r="AX73" s="2">
        <f ca="1">IFERROR(SUMIFS(INDIRECT("'Thanh Toán ("&amp;AX$3&amp;")'!$F:$F"),INDIRECT("'Thanh Toán ("&amp;AX$3&amp;")'!$D:$D"),'Tổng Đơn'!$B73),0)</f>
        <v>0</v>
      </c>
      <c r="AY73" s="2">
        <f ca="1">IFERROR(SUMIFS(INDIRECT("'Thanh Toán ("&amp;AY$3&amp;")'!$F:$F"),INDIRECT("'Thanh Toán ("&amp;AY$3&amp;")'!$D:$D"),'Tổng Đơn'!$B73),0)</f>
        <v>0</v>
      </c>
      <c r="AZ73" s="2">
        <f ca="1">IFERROR(SUMIFS(INDIRECT("'Thanh Toán ("&amp;AZ$3&amp;")'!$F:$F"),INDIRECT("'Thanh Toán ("&amp;AZ$3&amp;")'!$D:$D"),'Tổng Đơn'!$B73),0)</f>
        <v>0</v>
      </c>
      <c r="BA73" s="2">
        <f ca="1">IFERROR(SUMIFS(INDIRECT("'Thanh Toán ("&amp;BA$3&amp;")'!$F:$F"),INDIRECT("'Thanh Toán ("&amp;BA$3&amp;")'!$D:$D"),'Tổng Đơn'!$B73),0)</f>
        <v>0</v>
      </c>
      <c r="BB73" s="2">
        <f ca="1">IFERROR(SUMIFS(INDIRECT("'Thanh Toán ("&amp;BB$3&amp;")'!$F:$F"),INDIRECT("'Thanh Toán ("&amp;BB$3&amp;")'!$D:$D"),'Tổng Đơn'!$B73),0)</f>
        <v>0</v>
      </c>
      <c r="BC73" s="2">
        <f ca="1">IFERROR(SUMIFS(INDIRECT("'Thanh Toán ("&amp;BC$3&amp;")'!$F:$F"),INDIRECT("'Thanh Toán ("&amp;BC$3&amp;")'!$D:$D"),'Tổng Đơn'!$B73),0)</f>
        <v>0</v>
      </c>
    </row>
    <row r="74" spans="1:55" ht="18" customHeight="1" x14ac:dyDescent="0.25">
      <c r="A74" s="210">
        <v>67</v>
      </c>
      <c r="B74" s="211" t="s">
        <v>235</v>
      </c>
      <c r="C74" s="201" t="s">
        <v>244</v>
      </c>
      <c r="D74" s="203">
        <f>VLOOKUP($C74,Sheet1!$C$5:$D$98,2,0)</f>
        <v>26000</v>
      </c>
      <c r="E74" s="204">
        <v>0.5</v>
      </c>
      <c r="F74" s="205">
        <f t="shared" ca="1" si="6"/>
        <v>0</v>
      </c>
      <c r="G74" s="206">
        <f>IFERROR(VLOOKUP($B74,Gà!C:J,8,0),IFERROR(VLOOKUP($B74,TVP!C:J,7,0),IFERROR(VLOOKUP($B74,Kitkool!C:J,8,0),IFERROR(VLOOKUP($B74,'La Cusina'!C:J,8,0),VLOOKUP($B74,'Quốc Nhân'!C:J,8,0)))))</f>
        <v>21.512562814070353</v>
      </c>
      <c r="H74" s="207">
        <f t="shared" ca="1" si="7"/>
        <v>0</v>
      </c>
      <c r="I74" s="207"/>
      <c r="J74" s="207">
        <f t="shared" ca="1" si="8"/>
        <v>0</v>
      </c>
      <c r="K74" s="53"/>
      <c r="L74" s="2">
        <f ca="1">IFERROR(SUMIFS(INDIRECT("'Thanh Toán ("&amp;L$3&amp;")'!$F:$F"),INDIRECT("'Thanh Toán ("&amp;L$3&amp;")'!$D:$D"),'Tổng Đơn'!$B74),0)</f>
        <v>0</v>
      </c>
      <c r="M74" s="2">
        <f ca="1">IFERROR(SUMIFS(INDIRECT("'Thanh Toán ("&amp;M$3&amp;")'!$F:$F"),INDIRECT("'Thanh Toán ("&amp;M$3&amp;")'!$D:$D"),'Tổng Đơn'!$B74),0)</f>
        <v>0</v>
      </c>
      <c r="N74" s="2">
        <f ca="1">IFERROR(SUMIFS(INDIRECT("'Thanh Toán ("&amp;N$3&amp;")'!$F:$F"),INDIRECT("'Thanh Toán ("&amp;N$3&amp;")'!$D:$D"),'Tổng Đơn'!$B74),0)</f>
        <v>0</v>
      </c>
      <c r="O74" s="2">
        <f ca="1">IFERROR(SUMIFS(INDIRECT("'Thanh Toán ("&amp;O$3&amp;")'!$F:$F"),INDIRECT("'Thanh Toán ("&amp;O$3&amp;")'!$D:$D"),'Tổng Đơn'!$B74),0)</f>
        <v>0</v>
      </c>
      <c r="P74" s="2">
        <f ca="1">IFERROR(SUMIFS(INDIRECT("'Thanh Toán ("&amp;P$3&amp;")'!$F:$F"),INDIRECT("'Thanh Toán ("&amp;P$3&amp;")'!$D:$D"),'Tổng Đơn'!$B74),0)</f>
        <v>0</v>
      </c>
      <c r="Q74" s="2">
        <f ca="1">IFERROR(SUMIFS(INDIRECT("'Thanh Toán ("&amp;Q$3&amp;")'!$F:$F"),INDIRECT("'Thanh Toán ("&amp;Q$3&amp;")'!$D:$D"),'Tổng Đơn'!$B74),0)</f>
        <v>0</v>
      </c>
      <c r="R74" s="2">
        <f ca="1">IFERROR(SUMIFS(INDIRECT("'Thanh Toán ("&amp;R$3&amp;")'!$F:$F"),INDIRECT("'Thanh Toán ("&amp;R$3&amp;")'!$D:$D"),'Tổng Đơn'!$B74),0)</f>
        <v>0</v>
      </c>
      <c r="S74" s="2">
        <f ca="1">IFERROR(SUMIFS(INDIRECT("'Thanh Toán ("&amp;S$3&amp;")'!$F:$F"),INDIRECT("'Thanh Toán ("&amp;S$3&amp;")'!$D:$D"),'Tổng Đơn'!$B74),0)</f>
        <v>0</v>
      </c>
      <c r="T74" s="2">
        <f ca="1">IFERROR(SUMIFS(INDIRECT("'Thanh Toán ("&amp;T$3&amp;")'!$F:$F"),INDIRECT("'Thanh Toán ("&amp;T$3&amp;")'!$D:$D"),'Tổng Đơn'!$B74),0)</f>
        <v>0</v>
      </c>
      <c r="U74" s="2">
        <f ca="1">IFERROR(SUMIFS(INDIRECT("'Thanh Toán ("&amp;U$3&amp;")'!$F:$F"),INDIRECT("'Thanh Toán ("&amp;U$3&amp;")'!$D:$D"),'Tổng Đơn'!$B74),0)</f>
        <v>0</v>
      </c>
      <c r="V74" s="2">
        <f ca="1">IFERROR(SUMIFS(INDIRECT("'Thanh Toán ("&amp;V$3&amp;")'!$F:$F"),INDIRECT("'Thanh Toán ("&amp;V$3&amp;")'!$D:$D"),'Tổng Đơn'!$B74),0)</f>
        <v>0</v>
      </c>
      <c r="W74" s="2">
        <f ca="1">IFERROR(SUMIFS(INDIRECT("'Thanh Toán ("&amp;W$3&amp;")'!$F:$F"),INDIRECT("'Thanh Toán ("&amp;W$3&amp;")'!$D:$D"),'Tổng Đơn'!$B74),0)</f>
        <v>0</v>
      </c>
      <c r="X74" s="2">
        <f ca="1">IFERROR(SUMIFS(INDIRECT("'Thanh Toán ("&amp;X$3&amp;")'!$F:$F"),INDIRECT("'Thanh Toán ("&amp;X$3&amp;")'!$D:$D"),'Tổng Đơn'!$B74),0)</f>
        <v>0</v>
      </c>
      <c r="Y74" s="2">
        <f ca="1">IFERROR(SUMIFS(INDIRECT("'Thanh Toán ("&amp;Y$3&amp;")'!$F:$F"),INDIRECT("'Thanh Toán ("&amp;Y$3&amp;")'!$D:$D"),'Tổng Đơn'!$B74),0)</f>
        <v>0</v>
      </c>
      <c r="Z74" s="2">
        <f ca="1">IFERROR(SUMIFS(INDIRECT("'Thanh Toán ("&amp;Z$3&amp;")'!$F:$F"),INDIRECT("'Thanh Toán ("&amp;Z$3&amp;")'!$D:$D"),'Tổng Đơn'!$B74),0)</f>
        <v>0</v>
      </c>
      <c r="AA74" s="2">
        <f ca="1">IFERROR(SUMIFS(INDIRECT("'Thanh Toán ("&amp;AA$3&amp;")'!$F:$F"),INDIRECT("'Thanh Toán ("&amp;AA$3&amp;")'!$D:$D"),'Tổng Đơn'!$B74),0)</f>
        <v>0</v>
      </c>
      <c r="AB74" s="2">
        <f ca="1">IFERROR(SUMIFS(INDIRECT("'Thanh Toán ("&amp;AB$3&amp;")'!$F:$F"),INDIRECT("'Thanh Toán ("&amp;AB$3&amp;")'!$D:$D"),'Tổng Đơn'!$B74),0)</f>
        <v>0</v>
      </c>
      <c r="AC74" s="2">
        <f ca="1">IFERROR(SUMIFS(INDIRECT("'Thanh Toán ("&amp;AC$3&amp;")'!$F:$F"),INDIRECT("'Thanh Toán ("&amp;AC$3&amp;")'!$D:$D"),'Tổng Đơn'!$B74),0)</f>
        <v>0</v>
      </c>
      <c r="AD74" s="2">
        <f ca="1">IFERROR(SUMIFS(INDIRECT("'Thanh Toán ("&amp;AD$3&amp;")'!$F:$F"),INDIRECT("'Thanh Toán ("&amp;AD$3&amp;")'!$D:$D"),'Tổng Đơn'!$B74),0)</f>
        <v>0</v>
      </c>
      <c r="AE74" s="2">
        <f ca="1">IFERROR(SUMIFS(INDIRECT("'Thanh Toán ("&amp;AE$3&amp;")'!$F:$F"),INDIRECT("'Thanh Toán ("&amp;AE$3&amp;")'!$D:$D"),'Tổng Đơn'!$B74),0)</f>
        <v>0</v>
      </c>
      <c r="AF74" s="2">
        <f ca="1">IFERROR(SUMIFS(INDIRECT("'Thanh Toán ("&amp;AF$3&amp;")'!$F:$F"),INDIRECT("'Thanh Toán ("&amp;AF$3&amp;")'!$D:$D"),'Tổng Đơn'!$B74),0)</f>
        <v>0</v>
      </c>
      <c r="AG74" s="2">
        <f ca="1">IFERROR(SUMIFS(INDIRECT("'Thanh Toán ("&amp;AG$3&amp;")'!$F:$F"),INDIRECT("'Thanh Toán ("&amp;AG$3&amp;")'!$D:$D"),'Tổng Đơn'!$B74),0)</f>
        <v>0</v>
      </c>
      <c r="AH74" s="2">
        <f ca="1">IFERROR(SUMIFS(INDIRECT("'Thanh Toán ("&amp;AH$3&amp;")'!$F:$F"),INDIRECT("'Thanh Toán ("&amp;AH$3&amp;")'!$D:$D"),'Tổng Đơn'!$B74),0)</f>
        <v>0</v>
      </c>
      <c r="AI74" s="2">
        <f ca="1">IFERROR(SUMIFS(INDIRECT("'Thanh Toán ("&amp;AI$3&amp;")'!$F:$F"),INDIRECT("'Thanh Toán ("&amp;AI$3&amp;")'!$D:$D"),'Tổng Đơn'!$B74),0)</f>
        <v>0</v>
      </c>
      <c r="AJ74" s="2">
        <f ca="1">IFERROR(SUMIFS(INDIRECT("'Thanh Toán ("&amp;AJ$3&amp;")'!$F:$F"),INDIRECT("'Thanh Toán ("&amp;AJ$3&amp;")'!$D:$D"),'Tổng Đơn'!$B74),0)</f>
        <v>0</v>
      </c>
      <c r="AK74" s="2">
        <f ca="1">IFERROR(SUMIFS(INDIRECT("'Thanh Toán ("&amp;AK$3&amp;")'!$F:$F"),INDIRECT("'Thanh Toán ("&amp;AK$3&amp;")'!$D:$D"),'Tổng Đơn'!$B74),0)</f>
        <v>0</v>
      </c>
      <c r="AL74" s="2">
        <f ca="1">IFERROR(SUMIFS(INDIRECT("'Thanh Toán ("&amp;AL$3&amp;")'!$F:$F"),INDIRECT("'Thanh Toán ("&amp;AL$3&amp;")'!$D:$D"),'Tổng Đơn'!$B74),0)</f>
        <v>0</v>
      </c>
      <c r="AM74" s="2">
        <f ca="1">IFERROR(SUMIFS(INDIRECT("'Thanh Toán ("&amp;AM$3&amp;")'!$F:$F"),INDIRECT("'Thanh Toán ("&amp;AM$3&amp;")'!$D:$D"),'Tổng Đơn'!$B74),0)</f>
        <v>0</v>
      </c>
      <c r="AN74" s="2">
        <f ca="1">IFERROR(SUMIFS(INDIRECT("'Thanh Toán ("&amp;AN$3&amp;")'!$F:$F"),INDIRECT("'Thanh Toán ("&amp;AN$3&amp;")'!$D:$D"),'Tổng Đơn'!$B74),0)</f>
        <v>0</v>
      </c>
      <c r="AO74" s="2">
        <f ca="1">IFERROR(SUMIFS(INDIRECT("'Thanh Toán ("&amp;AO$3&amp;")'!$F:$F"),INDIRECT("'Thanh Toán ("&amp;AO$3&amp;")'!$D:$D"),'Tổng Đơn'!$B74),0)</f>
        <v>0</v>
      </c>
      <c r="AP74" s="2">
        <f ca="1">IFERROR(SUMIFS(INDIRECT("'Thanh Toán ("&amp;AP$3&amp;")'!$F:$F"),INDIRECT("'Thanh Toán ("&amp;AP$3&amp;")'!$D:$D"),'Tổng Đơn'!$B74),0)</f>
        <v>0</v>
      </c>
      <c r="AQ74" s="2">
        <f ca="1">IFERROR(SUMIFS(INDIRECT("'Thanh Toán ("&amp;AQ$3&amp;")'!$F:$F"),INDIRECT("'Thanh Toán ("&amp;AQ$3&amp;")'!$D:$D"),'Tổng Đơn'!$B74),0)</f>
        <v>0</v>
      </c>
      <c r="AR74" s="2">
        <f ca="1">IFERROR(SUMIFS(INDIRECT("'Thanh Toán ("&amp;AR$3&amp;")'!$F:$F"),INDIRECT("'Thanh Toán ("&amp;AR$3&amp;")'!$D:$D"),'Tổng Đơn'!$B74),0)</f>
        <v>0</v>
      </c>
      <c r="AS74" s="2">
        <f ca="1">IFERROR(SUMIFS(INDIRECT("'Thanh Toán ("&amp;AS$3&amp;")'!$F:$F"),INDIRECT("'Thanh Toán ("&amp;AS$3&amp;")'!$D:$D"),'Tổng Đơn'!$B74),0)</f>
        <v>0</v>
      </c>
      <c r="AT74" s="2">
        <f ca="1">IFERROR(SUMIFS(INDIRECT("'Thanh Toán ("&amp;AT$3&amp;")'!$F:$F"),INDIRECT("'Thanh Toán ("&amp;AT$3&amp;")'!$D:$D"),'Tổng Đơn'!$B74),0)</f>
        <v>0</v>
      </c>
      <c r="AU74" s="2">
        <f ca="1">IFERROR(SUMIFS(INDIRECT("'Thanh Toán ("&amp;AU$3&amp;")'!$F:$F"),INDIRECT("'Thanh Toán ("&amp;AU$3&amp;")'!$D:$D"),'Tổng Đơn'!$B74),0)</f>
        <v>0</v>
      </c>
      <c r="AV74" s="2">
        <f ca="1">IFERROR(SUMIFS(INDIRECT("'Thanh Toán ("&amp;AV$3&amp;")'!$F:$F"),INDIRECT("'Thanh Toán ("&amp;AV$3&amp;")'!$D:$D"),'Tổng Đơn'!$B74),0)</f>
        <v>0</v>
      </c>
      <c r="AW74" s="2">
        <f ca="1">IFERROR(SUMIFS(INDIRECT("'Thanh Toán ("&amp;AW$3&amp;")'!$F:$F"),INDIRECT("'Thanh Toán ("&amp;AW$3&amp;")'!$D:$D"),'Tổng Đơn'!$B74),0)</f>
        <v>0</v>
      </c>
      <c r="AX74" s="2">
        <f ca="1">IFERROR(SUMIFS(INDIRECT("'Thanh Toán ("&amp;AX$3&amp;")'!$F:$F"),INDIRECT("'Thanh Toán ("&amp;AX$3&amp;")'!$D:$D"),'Tổng Đơn'!$B74),0)</f>
        <v>0</v>
      </c>
      <c r="AY74" s="2">
        <f ca="1">IFERROR(SUMIFS(INDIRECT("'Thanh Toán ("&amp;AY$3&amp;")'!$F:$F"),INDIRECT("'Thanh Toán ("&amp;AY$3&amp;")'!$D:$D"),'Tổng Đơn'!$B74),0)</f>
        <v>0</v>
      </c>
      <c r="AZ74" s="2">
        <f ca="1">IFERROR(SUMIFS(INDIRECT("'Thanh Toán ("&amp;AZ$3&amp;")'!$F:$F"),INDIRECT("'Thanh Toán ("&amp;AZ$3&amp;")'!$D:$D"),'Tổng Đơn'!$B74),0)</f>
        <v>0</v>
      </c>
      <c r="BA74" s="2">
        <f ca="1">IFERROR(SUMIFS(INDIRECT("'Thanh Toán ("&amp;BA$3&amp;")'!$F:$F"),INDIRECT("'Thanh Toán ("&amp;BA$3&amp;")'!$D:$D"),'Tổng Đơn'!$B74),0)</f>
        <v>0</v>
      </c>
      <c r="BB74" s="2">
        <f ca="1">IFERROR(SUMIFS(INDIRECT("'Thanh Toán ("&amp;BB$3&amp;")'!$F:$F"),INDIRECT("'Thanh Toán ("&amp;BB$3&amp;")'!$D:$D"),'Tổng Đơn'!$B74),0)</f>
        <v>0</v>
      </c>
      <c r="BC74" s="2">
        <f ca="1">IFERROR(SUMIFS(INDIRECT("'Thanh Toán ("&amp;BC$3&amp;")'!$F:$F"),INDIRECT("'Thanh Toán ("&amp;BC$3&amp;")'!$D:$D"),'Tổng Đơn'!$B74),0)</f>
        <v>0</v>
      </c>
    </row>
    <row r="75" spans="1:55" ht="18" customHeight="1" x14ac:dyDescent="0.25">
      <c r="A75" s="210">
        <v>68</v>
      </c>
      <c r="B75" s="211" t="s">
        <v>236</v>
      </c>
      <c r="C75" s="201" t="s">
        <v>245</v>
      </c>
      <c r="D75" s="203">
        <f>VLOOKUP($C75,Sheet1!$C$5:$D$98,2,0)</f>
        <v>26000</v>
      </c>
      <c r="E75" s="204">
        <v>0.5</v>
      </c>
      <c r="F75" s="205">
        <f t="shared" ca="1" si="6"/>
        <v>0</v>
      </c>
      <c r="G75" s="206">
        <f>IFERROR(VLOOKUP($B75,Gà!C:J,8,0),IFERROR(VLOOKUP($B75,TVP!C:J,7,0),IFERROR(VLOOKUP($B75,Kitkool!C:J,8,0),IFERROR(VLOOKUP($B75,'La Cusina'!C:J,8,0),VLOOKUP($B75,'Quốc Nhân'!C:J,8,0)))))</f>
        <v>20.488155061019384</v>
      </c>
      <c r="H75" s="207">
        <f t="shared" ca="1" si="7"/>
        <v>0</v>
      </c>
      <c r="I75" s="207"/>
      <c r="J75" s="207">
        <f t="shared" ca="1" si="8"/>
        <v>0</v>
      </c>
      <c r="K75" s="53"/>
      <c r="L75" s="2">
        <f ca="1">IFERROR(SUMIFS(INDIRECT("'Thanh Toán ("&amp;L$3&amp;")'!$F:$F"),INDIRECT("'Thanh Toán ("&amp;L$3&amp;")'!$D:$D"),'Tổng Đơn'!$B75),0)</f>
        <v>0</v>
      </c>
      <c r="M75" s="2">
        <f ca="1">IFERROR(SUMIFS(INDIRECT("'Thanh Toán ("&amp;M$3&amp;")'!$F:$F"),INDIRECT("'Thanh Toán ("&amp;M$3&amp;")'!$D:$D"),'Tổng Đơn'!$B75),0)</f>
        <v>0</v>
      </c>
      <c r="N75" s="2">
        <f ca="1">IFERROR(SUMIFS(INDIRECT("'Thanh Toán ("&amp;N$3&amp;")'!$F:$F"),INDIRECT("'Thanh Toán ("&amp;N$3&amp;")'!$D:$D"),'Tổng Đơn'!$B75),0)</f>
        <v>0</v>
      </c>
      <c r="O75" s="2">
        <f ca="1">IFERROR(SUMIFS(INDIRECT("'Thanh Toán ("&amp;O$3&amp;")'!$F:$F"),INDIRECT("'Thanh Toán ("&amp;O$3&amp;")'!$D:$D"),'Tổng Đơn'!$B75),0)</f>
        <v>0</v>
      </c>
      <c r="P75" s="2">
        <f ca="1">IFERROR(SUMIFS(INDIRECT("'Thanh Toán ("&amp;P$3&amp;")'!$F:$F"),INDIRECT("'Thanh Toán ("&amp;P$3&amp;")'!$D:$D"),'Tổng Đơn'!$B75),0)</f>
        <v>0</v>
      </c>
      <c r="Q75" s="2">
        <f ca="1">IFERROR(SUMIFS(INDIRECT("'Thanh Toán ("&amp;Q$3&amp;")'!$F:$F"),INDIRECT("'Thanh Toán ("&amp;Q$3&amp;")'!$D:$D"),'Tổng Đơn'!$B75),0)</f>
        <v>0</v>
      </c>
      <c r="R75" s="2">
        <f ca="1">IFERROR(SUMIFS(INDIRECT("'Thanh Toán ("&amp;R$3&amp;")'!$F:$F"),INDIRECT("'Thanh Toán ("&amp;R$3&amp;")'!$D:$D"),'Tổng Đơn'!$B75),0)</f>
        <v>0</v>
      </c>
      <c r="S75" s="2">
        <f ca="1">IFERROR(SUMIFS(INDIRECT("'Thanh Toán ("&amp;S$3&amp;")'!$F:$F"),INDIRECT("'Thanh Toán ("&amp;S$3&amp;")'!$D:$D"),'Tổng Đơn'!$B75),0)</f>
        <v>0</v>
      </c>
      <c r="T75" s="2">
        <f ca="1">IFERROR(SUMIFS(INDIRECT("'Thanh Toán ("&amp;T$3&amp;")'!$F:$F"),INDIRECT("'Thanh Toán ("&amp;T$3&amp;")'!$D:$D"),'Tổng Đơn'!$B75),0)</f>
        <v>0</v>
      </c>
      <c r="U75" s="2">
        <f ca="1">IFERROR(SUMIFS(INDIRECT("'Thanh Toán ("&amp;U$3&amp;")'!$F:$F"),INDIRECT("'Thanh Toán ("&amp;U$3&amp;")'!$D:$D"),'Tổng Đơn'!$B75),0)</f>
        <v>0</v>
      </c>
      <c r="V75" s="2">
        <f ca="1">IFERROR(SUMIFS(INDIRECT("'Thanh Toán ("&amp;V$3&amp;")'!$F:$F"),INDIRECT("'Thanh Toán ("&amp;V$3&amp;")'!$D:$D"),'Tổng Đơn'!$B75),0)</f>
        <v>0</v>
      </c>
      <c r="W75" s="2">
        <f ca="1">IFERROR(SUMIFS(INDIRECT("'Thanh Toán ("&amp;W$3&amp;")'!$F:$F"),INDIRECT("'Thanh Toán ("&amp;W$3&amp;")'!$D:$D"),'Tổng Đơn'!$B75),0)</f>
        <v>0</v>
      </c>
      <c r="X75" s="2">
        <f ca="1">IFERROR(SUMIFS(INDIRECT("'Thanh Toán ("&amp;X$3&amp;")'!$F:$F"),INDIRECT("'Thanh Toán ("&amp;X$3&amp;")'!$D:$D"),'Tổng Đơn'!$B75),0)</f>
        <v>0</v>
      </c>
      <c r="Y75" s="2">
        <f ca="1">IFERROR(SUMIFS(INDIRECT("'Thanh Toán ("&amp;Y$3&amp;")'!$F:$F"),INDIRECT("'Thanh Toán ("&amp;Y$3&amp;")'!$D:$D"),'Tổng Đơn'!$B75),0)</f>
        <v>0</v>
      </c>
      <c r="Z75" s="2">
        <f ca="1">IFERROR(SUMIFS(INDIRECT("'Thanh Toán ("&amp;Z$3&amp;")'!$F:$F"),INDIRECT("'Thanh Toán ("&amp;Z$3&amp;")'!$D:$D"),'Tổng Đơn'!$B75),0)</f>
        <v>0</v>
      </c>
      <c r="AA75" s="2">
        <f ca="1">IFERROR(SUMIFS(INDIRECT("'Thanh Toán ("&amp;AA$3&amp;")'!$F:$F"),INDIRECT("'Thanh Toán ("&amp;AA$3&amp;")'!$D:$D"),'Tổng Đơn'!$B75),0)</f>
        <v>0</v>
      </c>
      <c r="AB75" s="2">
        <f ca="1">IFERROR(SUMIFS(INDIRECT("'Thanh Toán ("&amp;AB$3&amp;")'!$F:$F"),INDIRECT("'Thanh Toán ("&amp;AB$3&amp;")'!$D:$D"),'Tổng Đơn'!$B75),0)</f>
        <v>0</v>
      </c>
      <c r="AC75" s="2">
        <f ca="1">IFERROR(SUMIFS(INDIRECT("'Thanh Toán ("&amp;AC$3&amp;")'!$F:$F"),INDIRECT("'Thanh Toán ("&amp;AC$3&amp;")'!$D:$D"),'Tổng Đơn'!$B75),0)</f>
        <v>0</v>
      </c>
      <c r="AD75" s="2">
        <f ca="1">IFERROR(SUMIFS(INDIRECT("'Thanh Toán ("&amp;AD$3&amp;")'!$F:$F"),INDIRECT("'Thanh Toán ("&amp;AD$3&amp;")'!$D:$D"),'Tổng Đơn'!$B75),0)</f>
        <v>0</v>
      </c>
      <c r="AE75" s="2">
        <f ca="1">IFERROR(SUMIFS(INDIRECT("'Thanh Toán ("&amp;AE$3&amp;")'!$F:$F"),INDIRECT("'Thanh Toán ("&amp;AE$3&amp;")'!$D:$D"),'Tổng Đơn'!$B75),0)</f>
        <v>0</v>
      </c>
      <c r="AF75" s="2">
        <f ca="1">IFERROR(SUMIFS(INDIRECT("'Thanh Toán ("&amp;AF$3&amp;")'!$F:$F"),INDIRECT("'Thanh Toán ("&amp;AF$3&amp;")'!$D:$D"),'Tổng Đơn'!$B75),0)</f>
        <v>0</v>
      </c>
      <c r="AG75" s="2">
        <f ca="1">IFERROR(SUMIFS(INDIRECT("'Thanh Toán ("&amp;AG$3&amp;")'!$F:$F"),INDIRECT("'Thanh Toán ("&amp;AG$3&amp;")'!$D:$D"),'Tổng Đơn'!$B75),0)</f>
        <v>0</v>
      </c>
      <c r="AH75" s="2">
        <f ca="1">IFERROR(SUMIFS(INDIRECT("'Thanh Toán ("&amp;AH$3&amp;")'!$F:$F"),INDIRECT("'Thanh Toán ("&amp;AH$3&amp;")'!$D:$D"),'Tổng Đơn'!$B75),0)</f>
        <v>0</v>
      </c>
      <c r="AI75" s="2">
        <f ca="1">IFERROR(SUMIFS(INDIRECT("'Thanh Toán ("&amp;AI$3&amp;")'!$F:$F"),INDIRECT("'Thanh Toán ("&amp;AI$3&amp;")'!$D:$D"),'Tổng Đơn'!$B75),0)</f>
        <v>0</v>
      </c>
      <c r="AJ75" s="2">
        <f ca="1">IFERROR(SUMIFS(INDIRECT("'Thanh Toán ("&amp;AJ$3&amp;")'!$F:$F"),INDIRECT("'Thanh Toán ("&amp;AJ$3&amp;")'!$D:$D"),'Tổng Đơn'!$B75),0)</f>
        <v>0</v>
      </c>
      <c r="AK75" s="2">
        <f ca="1">IFERROR(SUMIFS(INDIRECT("'Thanh Toán ("&amp;AK$3&amp;")'!$F:$F"),INDIRECT("'Thanh Toán ("&amp;AK$3&amp;")'!$D:$D"),'Tổng Đơn'!$B75),0)</f>
        <v>0</v>
      </c>
      <c r="AL75" s="2">
        <f ca="1">IFERROR(SUMIFS(INDIRECT("'Thanh Toán ("&amp;AL$3&amp;")'!$F:$F"),INDIRECT("'Thanh Toán ("&amp;AL$3&amp;")'!$D:$D"),'Tổng Đơn'!$B75),0)</f>
        <v>0</v>
      </c>
      <c r="AM75" s="2">
        <f ca="1">IFERROR(SUMIFS(INDIRECT("'Thanh Toán ("&amp;AM$3&amp;")'!$F:$F"),INDIRECT("'Thanh Toán ("&amp;AM$3&amp;")'!$D:$D"),'Tổng Đơn'!$B75),0)</f>
        <v>0</v>
      </c>
      <c r="AN75" s="2">
        <f ca="1">IFERROR(SUMIFS(INDIRECT("'Thanh Toán ("&amp;AN$3&amp;")'!$F:$F"),INDIRECT("'Thanh Toán ("&amp;AN$3&amp;")'!$D:$D"),'Tổng Đơn'!$B75),0)</f>
        <v>0</v>
      </c>
      <c r="AO75" s="2">
        <f ca="1">IFERROR(SUMIFS(INDIRECT("'Thanh Toán ("&amp;AO$3&amp;")'!$F:$F"),INDIRECT("'Thanh Toán ("&amp;AO$3&amp;")'!$D:$D"),'Tổng Đơn'!$B75),0)</f>
        <v>0</v>
      </c>
      <c r="AP75" s="2">
        <f ca="1">IFERROR(SUMIFS(INDIRECT("'Thanh Toán ("&amp;AP$3&amp;")'!$F:$F"),INDIRECT("'Thanh Toán ("&amp;AP$3&amp;")'!$D:$D"),'Tổng Đơn'!$B75),0)</f>
        <v>0</v>
      </c>
      <c r="AQ75" s="2">
        <f ca="1">IFERROR(SUMIFS(INDIRECT("'Thanh Toán ("&amp;AQ$3&amp;")'!$F:$F"),INDIRECT("'Thanh Toán ("&amp;AQ$3&amp;")'!$D:$D"),'Tổng Đơn'!$B75),0)</f>
        <v>0</v>
      </c>
      <c r="AR75" s="2">
        <f ca="1">IFERROR(SUMIFS(INDIRECT("'Thanh Toán ("&amp;AR$3&amp;")'!$F:$F"),INDIRECT("'Thanh Toán ("&amp;AR$3&amp;")'!$D:$D"),'Tổng Đơn'!$B75),0)</f>
        <v>0</v>
      </c>
      <c r="AS75" s="2">
        <f ca="1">IFERROR(SUMIFS(INDIRECT("'Thanh Toán ("&amp;AS$3&amp;")'!$F:$F"),INDIRECT("'Thanh Toán ("&amp;AS$3&amp;")'!$D:$D"),'Tổng Đơn'!$B75),0)</f>
        <v>0</v>
      </c>
      <c r="AT75" s="2">
        <f ca="1">IFERROR(SUMIFS(INDIRECT("'Thanh Toán ("&amp;AT$3&amp;")'!$F:$F"),INDIRECT("'Thanh Toán ("&amp;AT$3&amp;")'!$D:$D"),'Tổng Đơn'!$B75),0)</f>
        <v>0</v>
      </c>
      <c r="AU75" s="2">
        <f ca="1">IFERROR(SUMIFS(INDIRECT("'Thanh Toán ("&amp;AU$3&amp;")'!$F:$F"),INDIRECT("'Thanh Toán ("&amp;AU$3&amp;")'!$D:$D"),'Tổng Đơn'!$B75),0)</f>
        <v>0</v>
      </c>
      <c r="AV75" s="2">
        <f ca="1">IFERROR(SUMIFS(INDIRECT("'Thanh Toán ("&amp;AV$3&amp;")'!$F:$F"),INDIRECT("'Thanh Toán ("&amp;AV$3&amp;")'!$D:$D"),'Tổng Đơn'!$B75),0)</f>
        <v>0</v>
      </c>
      <c r="AW75" s="2">
        <f ca="1">IFERROR(SUMIFS(INDIRECT("'Thanh Toán ("&amp;AW$3&amp;")'!$F:$F"),INDIRECT("'Thanh Toán ("&amp;AW$3&amp;")'!$D:$D"),'Tổng Đơn'!$B75),0)</f>
        <v>0</v>
      </c>
      <c r="AX75" s="2">
        <f ca="1">IFERROR(SUMIFS(INDIRECT("'Thanh Toán ("&amp;AX$3&amp;")'!$F:$F"),INDIRECT("'Thanh Toán ("&amp;AX$3&amp;")'!$D:$D"),'Tổng Đơn'!$B75),0)</f>
        <v>0</v>
      </c>
      <c r="AY75" s="2">
        <f ca="1">IFERROR(SUMIFS(INDIRECT("'Thanh Toán ("&amp;AY$3&amp;")'!$F:$F"),INDIRECT("'Thanh Toán ("&amp;AY$3&amp;")'!$D:$D"),'Tổng Đơn'!$B75),0)</f>
        <v>0</v>
      </c>
      <c r="AZ75" s="2">
        <f ca="1">IFERROR(SUMIFS(INDIRECT("'Thanh Toán ("&amp;AZ$3&amp;")'!$F:$F"),INDIRECT("'Thanh Toán ("&amp;AZ$3&amp;")'!$D:$D"),'Tổng Đơn'!$B75),0)</f>
        <v>0</v>
      </c>
      <c r="BA75" s="2">
        <f ca="1">IFERROR(SUMIFS(INDIRECT("'Thanh Toán ("&amp;BA$3&amp;")'!$F:$F"),INDIRECT("'Thanh Toán ("&amp;BA$3&amp;")'!$D:$D"),'Tổng Đơn'!$B75),0)</f>
        <v>0</v>
      </c>
      <c r="BB75" s="2">
        <f ca="1">IFERROR(SUMIFS(INDIRECT("'Thanh Toán ("&amp;BB$3&amp;")'!$F:$F"),INDIRECT("'Thanh Toán ("&amp;BB$3&amp;")'!$D:$D"),'Tổng Đơn'!$B75),0)</f>
        <v>0</v>
      </c>
      <c r="BC75" s="2">
        <f ca="1">IFERROR(SUMIFS(INDIRECT("'Thanh Toán ("&amp;BC$3&amp;")'!$F:$F"),INDIRECT("'Thanh Toán ("&amp;BC$3&amp;")'!$D:$D"),'Tổng Đơn'!$B75),0)</f>
        <v>0</v>
      </c>
    </row>
    <row r="76" spans="1:55" ht="18" customHeight="1" x14ac:dyDescent="0.25">
      <c r="A76" s="210">
        <v>69</v>
      </c>
      <c r="B76" s="211" t="s">
        <v>237</v>
      </c>
      <c r="C76" s="201" t="s">
        <v>246</v>
      </c>
      <c r="D76" s="203">
        <f>VLOOKUP($C76,Sheet1!$C$5:$D$98,2,0)</f>
        <v>26000</v>
      </c>
      <c r="E76" s="204">
        <v>0.5</v>
      </c>
      <c r="F76" s="205">
        <f t="shared" ca="1" si="6"/>
        <v>3</v>
      </c>
      <c r="G76" s="206">
        <f>IFERROR(VLOOKUP($B76,Gà!C:J,8,0),IFERROR(VLOOKUP($B76,TVP!C:J,7,0),IFERROR(VLOOKUP($B76,Kitkool!C:J,8,0),IFERROR(VLOOKUP($B76,'La Cusina'!C:J,8,0),VLOOKUP($B76,'Quốc Nhân'!C:J,8,0)))))</f>
        <v>20.953794948769822</v>
      </c>
      <c r="H76" s="207">
        <f t="shared" ca="1" si="7"/>
        <v>15138.615153690538</v>
      </c>
      <c r="I76" s="207"/>
      <c r="J76" s="207">
        <f t="shared" ca="1" si="8"/>
        <v>62861.384846309462</v>
      </c>
      <c r="K76" s="53"/>
      <c r="L76" s="2">
        <f ca="1">IFERROR(SUMIFS(INDIRECT("'Thanh Toán ("&amp;L$3&amp;")'!$F:$F"),INDIRECT("'Thanh Toán ("&amp;L$3&amp;")'!$D:$D"),'Tổng Đơn'!$B76),0)</f>
        <v>0</v>
      </c>
      <c r="M76" s="2">
        <f ca="1">IFERROR(SUMIFS(INDIRECT("'Thanh Toán ("&amp;M$3&amp;")'!$F:$F"),INDIRECT("'Thanh Toán ("&amp;M$3&amp;")'!$D:$D"),'Tổng Đơn'!$B76),0)</f>
        <v>0</v>
      </c>
      <c r="N76" s="2">
        <f ca="1">IFERROR(SUMIFS(INDIRECT("'Thanh Toán ("&amp;N$3&amp;")'!$F:$F"),INDIRECT("'Thanh Toán ("&amp;N$3&amp;")'!$D:$D"),'Tổng Đơn'!$B76),0)</f>
        <v>1</v>
      </c>
      <c r="O76" s="2">
        <f ca="1">IFERROR(SUMIFS(INDIRECT("'Thanh Toán ("&amp;O$3&amp;")'!$F:$F"),INDIRECT("'Thanh Toán ("&amp;O$3&amp;")'!$D:$D"),'Tổng Đơn'!$B76),0)</f>
        <v>2</v>
      </c>
      <c r="P76" s="2">
        <f ca="1">IFERROR(SUMIFS(INDIRECT("'Thanh Toán ("&amp;P$3&amp;")'!$F:$F"),INDIRECT("'Thanh Toán ("&amp;P$3&amp;")'!$D:$D"),'Tổng Đơn'!$B76),0)</f>
        <v>0</v>
      </c>
      <c r="Q76" s="2">
        <f ca="1">IFERROR(SUMIFS(INDIRECT("'Thanh Toán ("&amp;Q$3&amp;")'!$F:$F"),INDIRECT("'Thanh Toán ("&amp;Q$3&amp;")'!$D:$D"),'Tổng Đơn'!$B76),0)</f>
        <v>0</v>
      </c>
      <c r="R76" s="2">
        <f ca="1">IFERROR(SUMIFS(INDIRECT("'Thanh Toán ("&amp;R$3&amp;")'!$F:$F"),INDIRECT("'Thanh Toán ("&amp;R$3&amp;")'!$D:$D"),'Tổng Đơn'!$B76),0)</f>
        <v>0</v>
      </c>
      <c r="S76" s="2">
        <f ca="1">IFERROR(SUMIFS(INDIRECT("'Thanh Toán ("&amp;S$3&amp;")'!$F:$F"),INDIRECT("'Thanh Toán ("&amp;S$3&amp;")'!$D:$D"),'Tổng Đơn'!$B76),0)</f>
        <v>0</v>
      </c>
      <c r="T76" s="2">
        <f ca="1">IFERROR(SUMIFS(INDIRECT("'Thanh Toán ("&amp;T$3&amp;")'!$F:$F"),INDIRECT("'Thanh Toán ("&amp;T$3&amp;")'!$D:$D"),'Tổng Đơn'!$B76),0)</f>
        <v>0</v>
      </c>
      <c r="U76" s="2">
        <f ca="1">IFERROR(SUMIFS(INDIRECT("'Thanh Toán ("&amp;U$3&amp;")'!$F:$F"),INDIRECT("'Thanh Toán ("&amp;U$3&amp;")'!$D:$D"),'Tổng Đơn'!$B76),0)</f>
        <v>0</v>
      </c>
      <c r="V76" s="2">
        <f ca="1">IFERROR(SUMIFS(INDIRECT("'Thanh Toán ("&amp;V$3&amp;")'!$F:$F"),INDIRECT("'Thanh Toán ("&amp;V$3&amp;")'!$D:$D"),'Tổng Đơn'!$B76),0)</f>
        <v>0</v>
      </c>
      <c r="W76" s="2">
        <f ca="1">IFERROR(SUMIFS(INDIRECT("'Thanh Toán ("&amp;W$3&amp;")'!$F:$F"),INDIRECT("'Thanh Toán ("&amp;W$3&amp;")'!$D:$D"),'Tổng Đơn'!$B76),0)</f>
        <v>0</v>
      </c>
      <c r="X76" s="2">
        <f ca="1">IFERROR(SUMIFS(INDIRECT("'Thanh Toán ("&amp;X$3&amp;")'!$F:$F"),INDIRECT("'Thanh Toán ("&amp;X$3&amp;")'!$D:$D"),'Tổng Đơn'!$B76),0)</f>
        <v>0</v>
      </c>
      <c r="Y76" s="2">
        <f ca="1">IFERROR(SUMIFS(INDIRECT("'Thanh Toán ("&amp;Y$3&amp;")'!$F:$F"),INDIRECT("'Thanh Toán ("&amp;Y$3&amp;")'!$D:$D"),'Tổng Đơn'!$B76),0)</f>
        <v>0</v>
      </c>
      <c r="Z76" s="2">
        <f ca="1">IFERROR(SUMIFS(INDIRECT("'Thanh Toán ("&amp;Z$3&amp;")'!$F:$F"),INDIRECT("'Thanh Toán ("&amp;Z$3&amp;")'!$D:$D"),'Tổng Đơn'!$B76),0)</f>
        <v>0</v>
      </c>
      <c r="AA76" s="2">
        <f ca="1">IFERROR(SUMIFS(INDIRECT("'Thanh Toán ("&amp;AA$3&amp;")'!$F:$F"),INDIRECT("'Thanh Toán ("&amp;AA$3&amp;")'!$D:$D"),'Tổng Đơn'!$B76),0)</f>
        <v>0</v>
      </c>
      <c r="AB76" s="2">
        <f ca="1">IFERROR(SUMIFS(INDIRECT("'Thanh Toán ("&amp;AB$3&amp;")'!$F:$F"),INDIRECT("'Thanh Toán ("&amp;AB$3&amp;")'!$D:$D"),'Tổng Đơn'!$B76),0)</f>
        <v>0</v>
      </c>
      <c r="AC76" s="2">
        <f ca="1">IFERROR(SUMIFS(INDIRECT("'Thanh Toán ("&amp;AC$3&amp;")'!$F:$F"),INDIRECT("'Thanh Toán ("&amp;AC$3&amp;")'!$D:$D"),'Tổng Đơn'!$B76),0)</f>
        <v>0</v>
      </c>
      <c r="AD76" s="2">
        <f ca="1">IFERROR(SUMIFS(INDIRECT("'Thanh Toán ("&amp;AD$3&amp;")'!$F:$F"),INDIRECT("'Thanh Toán ("&amp;AD$3&amp;")'!$D:$D"),'Tổng Đơn'!$B76),0)</f>
        <v>0</v>
      </c>
      <c r="AE76" s="2">
        <f ca="1">IFERROR(SUMIFS(INDIRECT("'Thanh Toán ("&amp;AE$3&amp;")'!$F:$F"),INDIRECT("'Thanh Toán ("&amp;AE$3&amp;")'!$D:$D"),'Tổng Đơn'!$B76),0)</f>
        <v>0</v>
      </c>
      <c r="AF76" s="2">
        <f ca="1">IFERROR(SUMIFS(INDIRECT("'Thanh Toán ("&amp;AF$3&amp;")'!$F:$F"),INDIRECT("'Thanh Toán ("&amp;AF$3&amp;")'!$D:$D"),'Tổng Đơn'!$B76),0)</f>
        <v>0</v>
      </c>
      <c r="AG76" s="2">
        <f ca="1">IFERROR(SUMIFS(INDIRECT("'Thanh Toán ("&amp;AG$3&amp;")'!$F:$F"),INDIRECT("'Thanh Toán ("&amp;AG$3&amp;")'!$D:$D"),'Tổng Đơn'!$B76),0)</f>
        <v>0</v>
      </c>
      <c r="AH76" s="2">
        <f ca="1">IFERROR(SUMIFS(INDIRECT("'Thanh Toán ("&amp;AH$3&amp;")'!$F:$F"),INDIRECT("'Thanh Toán ("&amp;AH$3&amp;")'!$D:$D"),'Tổng Đơn'!$B76),0)</f>
        <v>0</v>
      </c>
      <c r="AI76" s="2">
        <f ca="1">IFERROR(SUMIFS(INDIRECT("'Thanh Toán ("&amp;AI$3&amp;")'!$F:$F"),INDIRECT("'Thanh Toán ("&amp;AI$3&amp;")'!$D:$D"),'Tổng Đơn'!$B76),0)</f>
        <v>0</v>
      </c>
      <c r="AJ76" s="2">
        <f ca="1">IFERROR(SUMIFS(INDIRECT("'Thanh Toán ("&amp;AJ$3&amp;")'!$F:$F"),INDIRECT("'Thanh Toán ("&amp;AJ$3&amp;")'!$D:$D"),'Tổng Đơn'!$B76),0)</f>
        <v>0</v>
      </c>
      <c r="AK76" s="2">
        <f ca="1">IFERROR(SUMIFS(INDIRECT("'Thanh Toán ("&amp;AK$3&amp;")'!$F:$F"),INDIRECT("'Thanh Toán ("&amp;AK$3&amp;")'!$D:$D"),'Tổng Đơn'!$B76),0)</f>
        <v>0</v>
      </c>
      <c r="AL76" s="2">
        <f ca="1">IFERROR(SUMIFS(INDIRECT("'Thanh Toán ("&amp;AL$3&amp;")'!$F:$F"),INDIRECT("'Thanh Toán ("&amp;AL$3&amp;")'!$D:$D"),'Tổng Đơn'!$B76),0)</f>
        <v>0</v>
      </c>
      <c r="AM76" s="2">
        <f ca="1">IFERROR(SUMIFS(INDIRECT("'Thanh Toán ("&amp;AM$3&amp;")'!$F:$F"),INDIRECT("'Thanh Toán ("&amp;AM$3&amp;")'!$D:$D"),'Tổng Đơn'!$B76),0)</f>
        <v>0</v>
      </c>
      <c r="AN76" s="2">
        <f ca="1">IFERROR(SUMIFS(INDIRECT("'Thanh Toán ("&amp;AN$3&amp;")'!$F:$F"),INDIRECT("'Thanh Toán ("&amp;AN$3&amp;")'!$D:$D"),'Tổng Đơn'!$B76),0)</f>
        <v>0</v>
      </c>
      <c r="AO76" s="2">
        <f ca="1">IFERROR(SUMIFS(INDIRECT("'Thanh Toán ("&amp;AO$3&amp;")'!$F:$F"),INDIRECT("'Thanh Toán ("&amp;AO$3&amp;")'!$D:$D"),'Tổng Đơn'!$B76),0)</f>
        <v>0</v>
      </c>
      <c r="AP76" s="2">
        <f ca="1">IFERROR(SUMIFS(INDIRECT("'Thanh Toán ("&amp;AP$3&amp;")'!$F:$F"),INDIRECT("'Thanh Toán ("&amp;AP$3&amp;")'!$D:$D"),'Tổng Đơn'!$B76),0)</f>
        <v>0</v>
      </c>
      <c r="AQ76" s="2">
        <f ca="1">IFERROR(SUMIFS(INDIRECT("'Thanh Toán ("&amp;AQ$3&amp;")'!$F:$F"),INDIRECT("'Thanh Toán ("&amp;AQ$3&amp;")'!$D:$D"),'Tổng Đơn'!$B76),0)</f>
        <v>0</v>
      </c>
      <c r="AR76" s="2">
        <f ca="1">IFERROR(SUMIFS(INDIRECT("'Thanh Toán ("&amp;AR$3&amp;")'!$F:$F"),INDIRECT("'Thanh Toán ("&amp;AR$3&amp;")'!$D:$D"),'Tổng Đơn'!$B76),0)</f>
        <v>0</v>
      </c>
      <c r="AS76" s="2">
        <f ca="1">IFERROR(SUMIFS(INDIRECT("'Thanh Toán ("&amp;AS$3&amp;")'!$F:$F"),INDIRECT("'Thanh Toán ("&amp;AS$3&amp;")'!$D:$D"),'Tổng Đơn'!$B76),0)</f>
        <v>0</v>
      </c>
      <c r="AT76" s="2">
        <f ca="1">IFERROR(SUMIFS(INDIRECT("'Thanh Toán ("&amp;AT$3&amp;")'!$F:$F"),INDIRECT("'Thanh Toán ("&amp;AT$3&amp;")'!$D:$D"),'Tổng Đơn'!$B76),0)</f>
        <v>0</v>
      </c>
      <c r="AU76" s="2">
        <f ca="1">IFERROR(SUMIFS(INDIRECT("'Thanh Toán ("&amp;AU$3&amp;")'!$F:$F"),INDIRECT("'Thanh Toán ("&amp;AU$3&amp;")'!$D:$D"),'Tổng Đơn'!$B76),0)</f>
        <v>0</v>
      </c>
      <c r="AV76" s="2">
        <f ca="1">IFERROR(SUMIFS(INDIRECT("'Thanh Toán ("&amp;AV$3&amp;")'!$F:$F"),INDIRECT("'Thanh Toán ("&amp;AV$3&amp;")'!$D:$D"),'Tổng Đơn'!$B76),0)</f>
        <v>0</v>
      </c>
      <c r="AW76" s="2">
        <f ca="1">IFERROR(SUMIFS(INDIRECT("'Thanh Toán ("&amp;AW$3&amp;")'!$F:$F"),INDIRECT("'Thanh Toán ("&amp;AW$3&amp;")'!$D:$D"),'Tổng Đơn'!$B76),0)</f>
        <v>0</v>
      </c>
      <c r="AX76" s="2">
        <f ca="1">IFERROR(SUMIFS(INDIRECT("'Thanh Toán ("&amp;AX$3&amp;")'!$F:$F"),INDIRECT("'Thanh Toán ("&amp;AX$3&amp;")'!$D:$D"),'Tổng Đơn'!$B76),0)</f>
        <v>0</v>
      </c>
      <c r="AY76" s="2">
        <f ca="1">IFERROR(SUMIFS(INDIRECT("'Thanh Toán ("&amp;AY$3&amp;")'!$F:$F"),INDIRECT("'Thanh Toán ("&amp;AY$3&amp;")'!$D:$D"),'Tổng Đơn'!$B76),0)</f>
        <v>0</v>
      </c>
      <c r="AZ76" s="2">
        <f ca="1">IFERROR(SUMIFS(INDIRECT("'Thanh Toán ("&amp;AZ$3&amp;")'!$F:$F"),INDIRECT("'Thanh Toán ("&amp;AZ$3&amp;")'!$D:$D"),'Tổng Đơn'!$B76),0)</f>
        <v>0</v>
      </c>
      <c r="BA76" s="2">
        <f ca="1">IFERROR(SUMIFS(INDIRECT("'Thanh Toán ("&amp;BA$3&amp;")'!$F:$F"),INDIRECT("'Thanh Toán ("&amp;BA$3&amp;")'!$D:$D"),'Tổng Đơn'!$B76),0)</f>
        <v>0</v>
      </c>
      <c r="BB76" s="2">
        <f ca="1">IFERROR(SUMIFS(INDIRECT("'Thanh Toán ("&amp;BB$3&amp;")'!$F:$F"),INDIRECT("'Thanh Toán ("&amp;BB$3&amp;")'!$D:$D"),'Tổng Đơn'!$B76),0)</f>
        <v>0</v>
      </c>
      <c r="BC76" s="2">
        <f ca="1">IFERROR(SUMIFS(INDIRECT("'Thanh Toán ("&amp;BC$3&amp;")'!$F:$F"),INDIRECT("'Thanh Toán ("&amp;BC$3&amp;")'!$D:$D"),'Tổng Đơn'!$B76),0)</f>
        <v>0</v>
      </c>
    </row>
    <row r="77" spans="1:55" ht="18" customHeight="1" x14ac:dyDescent="0.25">
      <c r="A77" s="210">
        <v>70</v>
      </c>
      <c r="B77" s="211" t="s">
        <v>238</v>
      </c>
      <c r="C77" s="201" t="s">
        <v>247</v>
      </c>
      <c r="D77" s="203">
        <f>VLOOKUP($C77,Sheet1!$C$5:$D$98,2,0)</f>
        <v>35000</v>
      </c>
      <c r="E77" s="204">
        <v>0.5</v>
      </c>
      <c r="F77" s="205">
        <f t="shared" ca="1" si="6"/>
        <v>15</v>
      </c>
      <c r="G77" s="206">
        <f>IFERROR(VLOOKUP($B77,Gà!C:J,8,0),IFERROR(VLOOKUP($B77,TVP!C:J,7,0),IFERROR(VLOOKUP($B77,Kitkool!C:J,8,0),IFERROR(VLOOKUP($B77,'La Cusina'!C:J,8,0),VLOOKUP($B77,'Quốc Nhân'!C:J,8,0)))))</f>
        <v>29.800952816028193</v>
      </c>
      <c r="H77" s="207">
        <f t="shared" ca="1" si="7"/>
        <v>77985.707759577126</v>
      </c>
      <c r="I77" s="207"/>
      <c r="J77" s="207">
        <f t="shared" ca="1" si="8"/>
        <v>447014.29224042292</v>
      </c>
      <c r="K77" s="53"/>
      <c r="L77" s="2">
        <f ca="1">IFERROR(SUMIFS(INDIRECT("'Thanh Toán ("&amp;L$3&amp;")'!$F:$F"),INDIRECT("'Thanh Toán ("&amp;L$3&amp;")'!$D:$D"),'Tổng Đơn'!$B77),0)</f>
        <v>2</v>
      </c>
      <c r="M77" s="2">
        <f ca="1">IFERROR(SUMIFS(INDIRECT("'Thanh Toán ("&amp;M$3&amp;")'!$F:$F"),INDIRECT("'Thanh Toán ("&amp;M$3&amp;")'!$D:$D"),'Tổng Đơn'!$B77),0)</f>
        <v>0</v>
      </c>
      <c r="N77" s="2">
        <f ca="1">IFERROR(SUMIFS(INDIRECT("'Thanh Toán ("&amp;N$3&amp;")'!$F:$F"),INDIRECT("'Thanh Toán ("&amp;N$3&amp;")'!$D:$D"),'Tổng Đơn'!$B77),0)</f>
        <v>1</v>
      </c>
      <c r="O77" s="2">
        <f ca="1">IFERROR(SUMIFS(INDIRECT("'Thanh Toán ("&amp;O$3&amp;")'!$F:$F"),INDIRECT("'Thanh Toán ("&amp;O$3&amp;")'!$D:$D"),'Tổng Đơn'!$B77),0)</f>
        <v>0</v>
      </c>
      <c r="P77" s="2">
        <f ca="1">IFERROR(SUMIFS(INDIRECT("'Thanh Toán ("&amp;P$3&amp;")'!$F:$F"),INDIRECT("'Thanh Toán ("&amp;P$3&amp;")'!$D:$D"),'Tổng Đơn'!$B77),0)</f>
        <v>0</v>
      </c>
      <c r="Q77" s="2">
        <f ca="1">IFERROR(SUMIFS(INDIRECT("'Thanh Toán ("&amp;Q$3&amp;")'!$F:$F"),INDIRECT("'Thanh Toán ("&amp;Q$3&amp;")'!$D:$D"),'Tổng Đơn'!$B77),0)</f>
        <v>0</v>
      </c>
      <c r="R77" s="2">
        <f ca="1">IFERROR(SUMIFS(INDIRECT("'Thanh Toán ("&amp;R$3&amp;")'!$F:$F"),INDIRECT("'Thanh Toán ("&amp;R$3&amp;")'!$D:$D"),'Tổng Đơn'!$B77),0)</f>
        <v>0</v>
      </c>
      <c r="S77" s="2">
        <f ca="1">IFERROR(SUMIFS(INDIRECT("'Thanh Toán ("&amp;S$3&amp;")'!$F:$F"),INDIRECT("'Thanh Toán ("&amp;S$3&amp;")'!$D:$D"),'Tổng Đơn'!$B77),0)</f>
        <v>10</v>
      </c>
      <c r="T77" s="2">
        <f ca="1">IFERROR(SUMIFS(INDIRECT("'Thanh Toán ("&amp;T$3&amp;")'!$F:$F"),INDIRECT("'Thanh Toán ("&amp;T$3&amp;")'!$D:$D"),'Tổng Đơn'!$B77),0)</f>
        <v>0</v>
      </c>
      <c r="U77" s="2">
        <f ca="1">IFERROR(SUMIFS(INDIRECT("'Thanh Toán ("&amp;U$3&amp;")'!$F:$F"),INDIRECT("'Thanh Toán ("&amp;U$3&amp;")'!$D:$D"),'Tổng Đơn'!$B77),0)</f>
        <v>1</v>
      </c>
      <c r="V77" s="2">
        <f ca="1">IFERROR(SUMIFS(INDIRECT("'Thanh Toán ("&amp;V$3&amp;")'!$F:$F"),INDIRECT("'Thanh Toán ("&amp;V$3&amp;")'!$D:$D"),'Tổng Đơn'!$B77),0)</f>
        <v>0</v>
      </c>
      <c r="W77" s="2">
        <f ca="1">IFERROR(SUMIFS(INDIRECT("'Thanh Toán ("&amp;W$3&amp;")'!$F:$F"),INDIRECT("'Thanh Toán ("&amp;W$3&amp;")'!$D:$D"),'Tổng Đơn'!$B77),0)</f>
        <v>0</v>
      </c>
      <c r="X77" s="2">
        <f ca="1">IFERROR(SUMIFS(INDIRECT("'Thanh Toán ("&amp;X$3&amp;")'!$F:$F"),INDIRECT("'Thanh Toán ("&amp;X$3&amp;")'!$D:$D"),'Tổng Đơn'!$B77),0)</f>
        <v>1</v>
      </c>
      <c r="Y77" s="2">
        <f ca="1">IFERROR(SUMIFS(INDIRECT("'Thanh Toán ("&amp;Y$3&amp;")'!$F:$F"),INDIRECT("'Thanh Toán ("&amp;Y$3&amp;")'!$D:$D"),'Tổng Đơn'!$B77),0)</f>
        <v>0</v>
      </c>
      <c r="Z77" s="2">
        <f ca="1">IFERROR(SUMIFS(INDIRECT("'Thanh Toán ("&amp;Z$3&amp;")'!$F:$F"),INDIRECT("'Thanh Toán ("&amp;Z$3&amp;")'!$D:$D"),'Tổng Đơn'!$B77),0)</f>
        <v>0</v>
      </c>
      <c r="AA77" s="2">
        <f ca="1">IFERROR(SUMIFS(INDIRECT("'Thanh Toán ("&amp;AA$3&amp;")'!$F:$F"),INDIRECT("'Thanh Toán ("&amp;AA$3&amp;")'!$D:$D"),'Tổng Đơn'!$B77),0)</f>
        <v>0</v>
      </c>
      <c r="AB77" s="2">
        <f ca="1">IFERROR(SUMIFS(INDIRECT("'Thanh Toán ("&amp;AB$3&amp;")'!$F:$F"),INDIRECT("'Thanh Toán ("&amp;AB$3&amp;")'!$D:$D"),'Tổng Đơn'!$B77),0)</f>
        <v>0</v>
      </c>
      <c r="AC77" s="2">
        <f ca="1">IFERROR(SUMIFS(INDIRECT("'Thanh Toán ("&amp;AC$3&amp;")'!$F:$F"),INDIRECT("'Thanh Toán ("&amp;AC$3&amp;")'!$D:$D"),'Tổng Đơn'!$B77),0)</f>
        <v>0</v>
      </c>
      <c r="AD77" s="2">
        <f ca="1">IFERROR(SUMIFS(INDIRECT("'Thanh Toán ("&amp;AD$3&amp;")'!$F:$F"),INDIRECT("'Thanh Toán ("&amp;AD$3&amp;")'!$D:$D"),'Tổng Đơn'!$B77),0)</f>
        <v>0</v>
      </c>
      <c r="AE77" s="2">
        <f ca="1">IFERROR(SUMIFS(INDIRECT("'Thanh Toán ("&amp;AE$3&amp;")'!$F:$F"),INDIRECT("'Thanh Toán ("&amp;AE$3&amp;")'!$D:$D"),'Tổng Đơn'!$B77),0)</f>
        <v>0</v>
      </c>
      <c r="AF77" s="2">
        <f ca="1">IFERROR(SUMIFS(INDIRECT("'Thanh Toán ("&amp;AF$3&amp;")'!$F:$F"),INDIRECT("'Thanh Toán ("&amp;AF$3&amp;")'!$D:$D"),'Tổng Đơn'!$B77),0)</f>
        <v>0</v>
      </c>
      <c r="AG77" s="2">
        <f ca="1">IFERROR(SUMIFS(INDIRECT("'Thanh Toán ("&amp;AG$3&amp;")'!$F:$F"),INDIRECT("'Thanh Toán ("&amp;AG$3&amp;")'!$D:$D"),'Tổng Đơn'!$B77),0)</f>
        <v>0</v>
      </c>
      <c r="AH77" s="2">
        <f ca="1">IFERROR(SUMIFS(INDIRECT("'Thanh Toán ("&amp;AH$3&amp;")'!$F:$F"),INDIRECT("'Thanh Toán ("&amp;AH$3&amp;")'!$D:$D"),'Tổng Đơn'!$B77),0)</f>
        <v>0</v>
      </c>
      <c r="AI77" s="2">
        <f ca="1">IFERROR(SUMIFS(INDIRECT("'Thanh Toán ("&amp;AI$3&amp;")'!$F:$F"),INDIRECT("'Thanh Toán ("&amp;AI$3&amp;")'!$D:$D"),'Tổng Đơn'!$B77),0)</f>
        <v>0</v>
      </c>
      <c r="AJ77" s="2">
        <f ca="1">IFERROR(SUMIFS(INDIRECT("'Thanh Toán ("&amp;AJ$3&amp;")'!$F:$F"),INDIRECT("'Thanh Toán ("&amp;AJ$3&amp;")'!$D:$D"),'Tổng Đơn'!$B77),0)</f>
        <v>0</v>
      </c>
      <c r="AK77" s="2">
        <f ca="1">IFERROR(SUMIFS(INDIRECT("'Thanh Toán ("&amp;AK$3&amp;")'!$F:$F"),INDIRECT("'Thanh Toán ("&amp;AK$3&amp;")'!$D:$D"),'Tổng Đơn'!$B77),0)</f>
        <v>0</v>
      </c>
      <c r="AL77" s="2">
        <f ca="1">IFERROR(SUMIFS(INDIRECT("'Thanh Toán ("&amp;AL$3&amp;")'!$F:$F"),INDIRECT("'Thanh Toán ("&amp;AL$3&amp;")'!$D:$D"),'Tổng Đơn'!$B77),0)</f>
        <v>0</v>
      </c>
      <c r="AM77" s="2">
        <f ca="1">IFERROR(SUMIFS(INDIRECT("'Thanh Toán ("&amp;AM$3&amp;")'!$F:$F"),INDIRECT("'Thanh Toán ("&amp;AM$3&amp;")'!$D:$D"),'Tổng Đơn'!$B77),0)</f>
        <v>0</v>
      </c>
      <c r="AN77" s="2">
        <f ca="1">IFERROR(SUMIFS(INDIRECT("'Thanh Toán ("&amp;AN$3&amp;")'!$F:$F"),INDIRECT("'Thanh Toán ("&amp;AN$3&amp;")'!$D:$D"),'Tổng Đơn'!$B77),0)</f>
        <v>0</v>
      </c>
      <c r="AO77" s="2">
        <f ca="1">IFERROR(SUMIFS(INDIRECT("'Thanh Toán ("&amp;AO$3&amp;")'!$F:$F"),INDIRECT("'Thanh Toán ("&amp;AO$3&amp;")'!$D:$D"),'Tổng Đơn'!$B77),0)</f>
        <v>0</v>
      </c>
      <c r="AP77" s="2">
        <f ca="1">IFERROR(SUMIFS(INDIRECT("'Thanh Toán ("&amp;AP$3&amp;")'!$F:$F"),INDIRECT("'Thanh Toán ("&amp;AP$3&amp;")'!$D:$D"),'Tổng Đơn'!$B77),0)</f>
        <v>0</v>
      </c>
      <c r="AQ77" s="2">
        <f ca="1">IFERROR(SUMIFS(INDIRECT("'Thanh Toán ("&amp;AQ$3&amp;")'!$F:$F"),INDIRECT("'Thanh Toán ("&amp;AQ$3&amp;")'!$D:$D"),'Tổng Đơn'!$B77),0)</f>
        <v>0</v>
      </c>
      <c r="AR77" s="2">
        <f ca="1">IFERROR(SUMIFS(INDIRECT("'Thanh Toán ("&amp;AR$3&amp;")'!$F:$F"),INDIRECT("'Thanh Toán ("&amp;AR$3&amp;")'!$D:$D"),'Tổng Đơn'!$B77),0)</f>
        <v>0</v>
      </c>
      <c r="AS77" s="2">
        <f ca="1">IFERROR(SUMIFS(INDIRECT("'Thanh Toán ("&amp;AS$3&amp;")'!$F:$F"),INDIRECT("'Thanh Toán ("&amp;AS$3&amp;")'!$D:$D"),'Tổng Đơn'!$B77),0)</f>
        <v>0</v>
      </c>
      <c r="AT77" s="2">
        <f ca="1">IFERROR(SUMIFS(INDIRECT("'Thanh Toán ("&amp;AT$3&amp;")'!$F:$F"),INDIRECT("'Thanh Toán ("&amp;AT$3&amp;")'!$D:$D"),'Tổng Đơn'!$B77),0)</f>
        <v>0</v>
      </c>
      <c r="AU77" s="2">
        <f ca="1">IFERROR(SUMIFS(INDIRECT("'Thanh Toán ("&amp;AU$3&amp;")'!$F:$F"),INDIRECT("'Thanh Toán ("&amp;AU$3&amp;")'!$D:$D"),'Tổng Đơn'!$B77),0)</f>
        <v>0</v>
      </c>
      <c r="AV77" s="2">
        <f ca="1">IFERROR(SUMIFS(INDIRECT("'Thanh Toán ("&amp;AV$3&amp;")'!$F:$F"),INDIRECT("'Thanh Toán ("&amp;AV$3&amp;")'!$D:$D"),'Tổng Đơn'!$B77),0)</f>
        <v>0</v>
      </c>
      <c r="AW77" s="2">
        <f ca="1">IFERROR(SUMIFS(INDIRECT("'Thanh Toán ("&amp;AW$3&amp;")'!$F:$F"),INDIRECT("'Thanh Toán ("&amp;AW$3&amp;")'!$D:$D"),'Tổng Đơn'!$B77),0)</f>
        <v>0</v>
      </c>
      <c r="AX77" s="2">
        <f ca="1">IFERROR(SUMIFS(INDIRECT("'Thanh Toán ("&amp;AX$3&amp;")'!$F:$F"),INDIRECT("'Thanh Toán ("&amp;AX$3&amp;")'!$D:$D"),'Tổng Đơn'!$B77),0)</f>
        <v>0</v>
      </c>
      <c r="AY77" s="2">
        <f ca="1">IFERROR(SUMIFS(INDIRECT("'Thanh Toán ("&amp;AY$3&amp;")'!$F:$F"),INDIRECT("'Thanh Toán ("&amp;AY$3&amp;")'!$D:$D"),'Tổng Đơn'!$B77),0)</f>
        <v>0</v>
      </c>
      <c r="AZ77" s="2">
        <f ca="1">IFERROR(SUMIFS(INDIRECT("'Thanh Toán ("&amp;AZ$3&amp;")'!$F:$F"),INDIRECT("'Thanh Toán ("&amp;AZ$3&amp;")'!$D:$D"),'Tổng Đơn'!$B77),0)</f>
        <v>0</v>
      </c>
      <c r="BA77" s="2">
        <f ca="1">IFERROR(SUMIFS(INDIRECT("'Thanh Toán ("&amp;BA$3&amp;")'!$F:$F"),INDIRECT("'Thanh Toán ("&amp;BA$3&amp;")'!$D:$D"),'Tổng Đơn'!$B77),0)</f>
        <v>0</v>
      </c>
      <c r="BB77" s="2">
        <f ca="1">IFERROR(SUMIFS(INDIRECT("'Thanh Toán ("&amp;BB$3&amp;")'!$F:$F"),INDIRECT("'Thanh Toán ("&amp;BB$3&amp;")'!$D:$D"),'Tổng Đơn'!$B77),0)</f>
        <v>0</v>
      </c>
      <c r="BC77" s="2">
        <f ca="1">IFERROR(SUMIFS(INDIRECT("'Thanh Toán ("&amp;BC$3&amp;")'!$F:$F"),INDIRECT("'Thanh Toán ("&amp;BC$3&amp;")'!$D:$D"),'Tổng Đơn'!$B77),0)</f>
        <v>0</v>
      </c>
    </row>
    <row r="78" spans="1:55" ht="18" customHeight="1" x14ac:dyDescent="0.25">
      <c r="A78" s="210">
        <v>71</v>
      </c>
      <c r="B78" s="211" t="s">
        <v>239</v>
      </c>
      <c r="C78" s="201" t="s">
        <v>248</v>
      </c>
      <c r="D78" s="203">
        <f>VLOOKUP($C78,Sheet1!$C$5:$D$98,2,0)</f>
        <v>40000</v>
      </c>
      <c r="E78" s="204">
        <v>0.5</v>
      </c>
      <c r="F78" s="205">
        <f t="shared" ca="1" si="6"/>
        <v>0</v>
      </c>
      <c r="G78" s="206">
        <f>IFERROR(VLOOKUP($B78,Gà!C:J,8,0),IFERROR(VLOOKUP($B78,TVP!C:J,7,0),IFERROR(VLOOKUP($B78,Kitkool!C:J,8,0),IFERROR(VLOOKUP($B78,'La Cusina'!C:J,8,0),VLOOKUP($B78,'Quốc Nhân'!C:J,8,0)))))</f>
        <v>34.922991581283043</v>
      </c>
      <c r="H78" s="207">
        <f t="shared" ca="1" si="7"/>
        <v>0</v>
      </c>
      <c r="I78" s="207"/>
      <c r="J78" s="207">
        <f t="shared" ca="1" si="8"/>
        <v>0</v>
      </c>
      <c r="K78" s="53"/>
      <c r="L78" s="2">
        <f ca="1">IFERROR(SUMIFS(INDIRECT("'Thanh Toán ("&amp;L$3&amp;")'!$F:$F"),INDIRECT("'Thanh Toán ("&amp;L$3&amp;")'!$D:$D"),'Tổng Đơn'!$B78),0)</f>
        <v>0</v>
      </c>
      <c r="M78" s="2">
        <f ca="1">IFERROR(SUMIFS(INDIRECT("'Thanh Toán ("&amp;M$3&amp;")'!$F:$F"),INDIRECT("'Thanh Toán ("&amp;M$3&amp;")'!$D:$D"),'Tổng Đơn'!$B78),0)</f>
        <v>0</v>
      </c>
      <c r="N78" s="2">
        <f ca="1">IFERROR(SUMIFS(INDIRECT("'Thanh Toán ("&amp;N$3&amp;")'!$F:$F"),INDIRECT("'Thanh Toán ("&amp;N$3&amp;")'!$D:$D"),'Tổng Đơn'!$B78),0)</f>
        <v>0</v>
      </c>
      <c r="O78" s="2">
        <f ca="1">IFERROR(SUMIFS(INDIRECT("'Thanh Toán ("&amp;O$3&amp;")'!$F:$F"),INDIRECT("'Thanh Toán ("&amp;O$3&amp;")'!$D:$D"),'Tổng Đơn'!$B78),0)</f>
        <v>0</v>
      </c>
      <c r="P78" s="2">
        <f ca="1">IFERROR(SUMIFS(INDIRECT("'Thanh Toán ("&amp;P$3&amp;")'!$F:$F"),INDIRECT("'Thanh Toán ("&amp;P$3&amp;")'!$D:$D"),'Tổng Đơn'!$B78),0)</f>
        <v>0</v>
      </c>
      <c r="Q78" s="2">
        <f ca="1">IFERROR(SUMIFS(INDIRECT("'Thanh Toán ("&amp;Q$3&amp;")'!$F:$F"),INDIRECT("'Thanh Toán ("&amp;Q$3&amp;")'!$D:$D"),'Tổng Đơn'!$B78),0)</f>
        <v>0</v>
      </c>
      <c r="R78" s="2">
        <f ca="1">IFERROR(SUMIFS(INDIRECT("'Thanh Toán ("&amp;R$3&amp;")'!$F:$F"),INDIRECT("'Thanh Toán ("&amp;R$3&amp;")'!$D:$D"),'Tổng Đơn'!$B78),0)</f>
        <v>0</v>
      </c>
      <c r="S78" s="2">
        <f ca="1">IFERROR(SUMIFS(INDIRECT("'Thanh Toán ("&amp;S$3&amp;")'!$F:$F"),INDIRECT("'Thanh Toán ("&amp;S$3&amp;")'!$D:$D"),'Tổng Đơn'!$B78),0)</f>
        <v>0</v>
      </c>
      <c r="T78" s="2">
        <f ca="1">IFERROR(SUMIFS(INDIRECT("'Thanh Toán ("&amp;T$3&amp;")'!$F:$F"),INDIRECT("'Thanh Toán ("&amp;T$3&amp;")'!$D:$D"),'Tổng Đơn'!$B78),0)</f>
        <v>0</v>
      </c>
      <c r="U78" s="2">
        <f ca="1">IFERROR(SUMIFS(INDIRECT("'Thanh Toán ("&amp;U$3&amp;")'!$F:$F"),INDIRECT("'Thanh Toán ("&amp;U$3&amp;")'!$D:$D"),'Tổng Đơn'!$B78),0)</f>
        <v>0</v>
      </c>
      <c r="V78" s="2">
        <f ca="1">IFERROR(SUMIFS(INDIRECT("'Thanh Toán ("&amp;V$3&amp;")'!$F:$F"),INDIRECT("'Thanh Toán ("&amp;V$3&amp;")'!$D:$D"),'Tổng Đơn'!$B78),0)</f>
        <v>0</v>
      </c>
      <c r="W78" s="2">
        <f ca="1">IFERROR(SUMIFS(INDIRECT("'Thanh Toán ("&amp;W$3&amp;")'!$F:$F"),INDIRECT("'Thanh Toán ("&amp;W$3&amp;")'!$D:$D"),'Tổng Đơn'!$B78),0)</f>
        <v>0</v>
      </c>
      <c r="X78" s="2">
        <f ca="1">IFERROR(SUMIFS(INDIRECT("'Thanh Toán ("&amp;X$3&amp;")'!$F:$F"),INDIRECT("'Thanh Toán ("&amp;X$3&amp;")'!$D:$D"),'Tổng Đơn'!$B78),0)</f>
        <v>0</v>
      </c>
      <c r="Y78" s="2">
        <f ca="1">IFERROR(SUMIFS(INDIRECT("'Thanh Toán ("&amp;Y$3&amp;")'!$F:$F"),INDIRECT("'Thanh Toán ("&amp;Y$3&amp;")'!$D:$D"),'Tổng Đơn'!$B78),0)</f>
        <v>0</v>
      </c>
      <c r="Z78" s="2">
        <f ca="1">IFERROR(SUMIFS(INDIRECT("'Thanh Toán ("&amp;Z$3&amp;")'!$F:$F"),INDIRECT("'Thanh Toán ("&amp;Z$3&amp;")'!$D:$D"),'Tổng Đơn'!$B78),0)</f>
        <v>0</v>
      </c>
      <c r="AA78" s="2">
        <f ca="1">IFERROR(SUMIFS(INDIRECT("'Thanh Toán ("&amp;AA$3&amp;")'!$F:$F"),INDIRECT("'Thanh Toán ("&amp;AA$3&amp;")'!$D:$D"),'Tổng Đơn'!$B78),0)</f>
        <v>0</v>
      </c>
      <c r="AB78" s="2">
        <f ca="1">IFERROR(SUMIFS(INDIRECT("'Thanh Toán ("&amp;AB$3&amp;")'!$F:$F"),INDIRECT("'Thanh Toán ("&amp;AB$3&amp;")'!$D:$D"),'Tổng Đơn'!$B78),0)</f>
        <v>0</v>
      </c>
      <c r="AC78" s="2">
        <f ca="1">IFERROR(SUMIFS(INDIRECT("'Thanh Toán ("&amp;AC$3&amp;")'!$F:$F"),INDIRECT("'Thanh Toán ("&amp;AC$3&amp;")'!$D:$D"),'Tổng Đơn'!$B78),0)</f>
        <v>0</v>
      </c>
      <c r="AD78" s="2">
        <f ca="1">IFERROR(SUMIFS(INDIRECT("'Thanh Toán ("&amp;AD$3&amp;")'!$F:$F"),INDIRECT("'Thanh Toán ("&amp;AD$3&amp;")'!$D:$D"),'Tổng Đơn'!$B78),0)</f>
        <v>0</v>
      </c>
      <c r="AE78" s="2">
        <f ca="1">IFERROR(SUMIFS(INDIRECT("'Thanh Toán ("&amp;AE$3&amp;")'!$F:$F"),INDIRECT("'Thanh Toán ("&amp;AE$3&amp;")'!$D:$D"),'Tổng Đơn'!$B78),0)</f>
        <v>0</v>
      </c>
      <c r="AF78" s="2">
        <f ca="1">IFERROR(SUMIFS(INDIRECT("'Thanh Toán ("&amp;AF$3&amp;")'!$F:$F"),INDIRECT("'Thanh Toán ("&amp;AF$3&amp;")'!$D:$D"),'Tổng Đơn'!$B78),0)</f>
        <v>0</v>
      </c>
      <c r="AG78" s="2">
        <f ca="1">IFERROR(SUMIFS(INDIRECT("'Thanh Toán ("&amp;AG$3&amp;")'!$F:$F"),INDIRECT("'Thanh Toán ("&amp;AG$3&amp;")'!$D:$D"),'Tổng Đơn'!$B78),0)</f>
        <v>0</v>
      </c>
      <c r="AH78" s="2">
        <f ca="1">IFERROR(SUMIFS(INDIRECT("'Thanh Toán ("&amp;AH$3&amp;")'!$F:$F"),INDIRECT("'Thanh Toán ("&amp;AH$3&amp;")'!$D:$D"),'Tổng Đơn'!$B78),0)</f>
        <v>0</v>
      </c>
      <c r="AI78" s="2">
        <f ca="1">IFERROR(SUMIFS(INDIRECT("'Thanh Toán ("&amp;AI$3&amp;")'!$F:$F"),INDIRECT("'Thanh Toán ("&amp;AI$3&amp;")'!$D:$D"),'Tổng Đơn'!$B78),0)</f>
        <v>0</v>
      </c>
      <c r="AJ78" s="2">
        <f ca="1">IFERROR(SUMIFS(INDIRECT("'Thanh Toán ("&amp;AJ$3&amp;")'!$F:$F"),INDIRECT("'Thanh Toán ("&amp;AJ$3&amp;")'!$D:$D"),'Tổng Đơn'!$B78),0)</f>
        <v>0</v>
      </c>
      <c r="AK78" s="2">
        <f ca="1">IFERROR(SUMIFS(INDIRECT("'Thanh Toán ("&amp;AK$3&amp;")'!$F:$F"),INDIRECT("'Thanh Toán ("&amp;AK$3&amp;")'!$D:$D"),'Tổng Đơn'!$B78),0)</f>
        <v>0</v>
      </c>
      <c r="AL78" s="2">
        <f ca="1">IFERROR(SUMIFS(INDIRECT("'Thanh Toán ("&amp;AL$3&amp;")'!$F:$F"),INDIRECT("'Thanh Toán ("&amp;AL$3&amp;")'!$D:$D"),'Tổng Đơn'!$B78),0)</f>
        <v>0</v>
      </c>
      <c r="AM78" s="2">
        <f ca="1">IFERROR(SUMIFS(INDIRECT("'Thanh Toán ("&amp;AM$3&amp;")'!$F:$F"),INDIRECT("'Thanh Toán ("&amp;AM$3&amp;")'!$D:$D"),'Tổng Đơn'!$B78),0)</f>
        <v>0</v>
      </c>
      <c r="AN78" s="2">
        <f ca="1">IFERROR(SUMIFS(INDIRECT("'Thanh Toán ("&amp;AN$3&amp;")'!$F:$F"),INDIRECT("'Thanh Toán ("&amp;AN$3&amp;")'!$D:$D"),'Tổng Đơn'!$B78),0)</f>
        <v>0</v>
      </c>
      <c r="AO78" s="2">
        <f ca="1">IFERROR(SUMIFS(INDIRECT("'Thanh Toán ("&amp;AO$3&amp;")'!$F:$F"),INDIRECT("'Thanh Toán ("&amp;AO$3&amp;")'!$D:$D"),'Tổng Đơn'!$B78),0)</f>
        <v>0</v>
      </c>
      <c r="AP78" s="2">
        <f ca="1">IFERROR(SUMIFS(INDIRECT("'Thanh Toán ("&amp;AP$3&amp;")'!$F:$F"),INDIRECT("'Thanh Toán ("&amp;AP$3&amp;")'!$D:$D"),'Tổng Đơn'!$B78),0)</f>
        <v>0</v>
      </c>
      <c r="AQ78" s="2">
        <f ca="1">IFERROR(SUMIFS(INDIRECT("'Thanh Toán ("&amp;AQ$3&amp;")'!$F:$F"),INDIRECT("'Thanh Toán ("&amp;AQ$3&amp;")'!$D:$D"),'Tổng Đơn'!$B78),0)</f>
        <v>0</v>
      </c>
      <c r="AR78" s="2">
        <f ca="1">IFERROR(SUMIFS(INDIRECT("'Thanh Toán ("&amp;AR$3&amp;")'!$F:$F"),INDIRECT("'Thanh Toán ("&amp;AR$3&amp;")'!$D:$D"),'Tổng Đơn'!$B78),0)</f>
        <v>0</v>
      </c>
      <c r="AS78" s="2">
        <f ca="1">IFERROR(SUMIFS(INDIRECT("'Thanh Toán ("&amp;AS$3&amp;")'!$F:$F"),INDIRECT("'Thanh Toán ("&amp;AS$3&amp;")'!$D:$D"),'Tổng Đơn'!$B78),0)</f>
        <v>0</v>
      </c>
      <c r="AT78" s="2">
        <f ca="1">IFERROR(SUMIFS(INDIRECT("'Thanh Toán ("&amp;AT$3&amp;")'!$F:$F"),INDIRECT("'Thanh Toán ("&amp;AT$3&amp;")'!$D:$D"),'Tổng Đơn'!$B78),0)</f>
        <v>0</v>
      </c>
      <c r="AU78" s="2">
        <f ca="1">IFERROR(SUMIFS(INDIRECT("'Thanh Toán ("&amp;AU$3&amp;")'!$F:$F"),INDIRECT("'Thanh Toán ("&amp;AU$3&amp;")'!$D:$D"),'Tổng Đơn'!$B78),0)</f>
        <v>0</v>
      </c>
      <c r="AV78" s="2">
        <f ca="1">IFERROR(SUMIFS(INDIRECT("'Thanh Toán ("&amp;AV$3&amp;")'!$F:$F"),INDIRECT("'Thanh Toán ("&amp;AV$3&amp;")'!$D:$D"),'Tổng Đơn'!$B78),0)</f>
        <v>0</v>
      </c>
      <c r="AW78" s="2">
        <f ca="1">IFERROR(SUMIFS(INDIRECT("'Thanh Toán ("&amp;AW$3&amp;")'!$F:$F"),INDIRECT("'Thanh Toán ("&amp;AW$3&amp;")'!$D:$D"),'Tổng Đơn'!$B78),0)</f>
        <v>0</v>
      </c>
      <c r="AX78" s="2">
        <f ca="1">IFERROR(SUMIFS(INDIRECT("'Thanh Toán ("&amp;AX$3&amp;")'!$F:$F"),INDIRECT("'Thanh Toán ("&amp;AX$3&amp;")'!$D:$D"),'Tổng Đơn'!$B78),0)</f>
        <v>0</v>
      </c>
      <c r="AY78" s="2">
        <f ca="1">IFERROR(SUMIFS(INDIRECT("'Thanh Toán ("&amp;AY$3&amp;")'!$F:$F"),INDIRECT("'Thanh Toán ("&amp;AY$3&amp;")'!$D:$D"),'Tổng Đơn'!$B78),0)</f>
        <v>0</v>
      </c>
      <c r="AZ78" s="2">
        <f ca="1">IFERROR(SUMIFS(INDIRECT("'Thanh Toán ("&amp;AZ$3&amp;")'!$F:$F"),INDIRECT("'Thanh Toán ("&amp;AZ$3&amp;")'!$D:$D"),'Tổng Đơn'!$B78),0)</f>
        <v>0</v>
      </c>
      <c r="BA78" s="2">
        <f ca="1">IFERROR(SUMIFS(INDIRECT("'Thanh Toán ("&amp;BA$3&amp;")'!$F:$F"),INDIRECT("'Thanh Toán ("&amp;BA$3&amp;")'!$D:$D"),'Tổng Đơn'!$B78),0)</f>
        <v>0</v>
      </c>
      <c r="BB78" s="2">
        <f ca="1">IFERROR(SUMIFS(INDIRECT("'Thanh Toán ("&amp;BB$3&amp;")'!$F:$F"),INDIRECT("'Thanh Toán ("&amp;BB$3&amp;")'!$D:$D"),'Tổng Đơn'!$B78),0)</f>
        <v>0</v>
      </c>
      <c r="BC78" s="2">
        <f ca="1">IFERROR(SUMIFS(INDIRECT("'Thanh Toán ("&amp;BC$3&amp;")'!$F:$F"),INDIRECT("'Thanh Toán ("&amp;BC$3&amp;")'!$D:$D"),'Tổng Đơn'!$B78),0)</f>
        <v>0</v>
      </c>
    </row>
    <row r="79" spans="1:55" ht="18" customHeight="1" x14ac:dyDescent="0.25">
      <c r="A79" s="210">
        <v>72</v>
      </c>
      <c r="B79" s="211" t="s">
        <v>240</v>
      </c>
      <c r="C79" s="201" t="s">
        <v>249</v>
      </c>
      <c r="D79" s="203">
        <f>VLOOKUP($C79,Sheet1!$C$5:$D$98,2,0)</f>
        <v>43000</v>
      </c>
      <c r="E79" s="204">
        <v>0.5</v>
      </c>
      <c r="F79" s="205">
        <f t="shared" ca="1" si="6"/>
        <v>2</v>
      </c>
      <c r="G79" s="206">
        <f>IFERROR(VLOOKUP($B79,Gà!C:J,8,0),IFERROR(VLOOKUP($B79,TVP!C:J,7,0),IFERROR(VLOOKUP($B79,Kitkool!C:J,8,0),IFERROR(VLOOKUP($B79,'La Cusina'!C:J,8,0),VLOOKUP($B79,'Quốc Nhân'!C:J,8,0)))))</f>
        <v>37.903086862885857</v>
      </c>
      <c r="H79" s="207">
        <f t="shared" ca="1" si="7"/>
        <v>10193.826274228282</v>
      </c>
      <c r="I79" s="207"/>
      <c r="J79" s="207">
        <f t="shared" ca="1" si="8"/>
        <v>75806.173725771718</v>
      </c>
      <c r="K79" s="53"/>
      <c r="L79" s="2">
        <f ca="1">IFERROR(SUMIFS(INDIRECT("'Thanh Toán ("&amp;L$3&amp;")'!$F:$F"),INDIRECT("'Thanh Toán ("&amp;L$3&amp;")'!$D:$D"),'Tổng Đơn'!$B79),0)</f>
        <v>0</v>
      </c>
      <c r="M79" s="2">
        <f ca="1">IFERROR(SUMIFS(INDIRECT("'Thanh Toán ("&amp;M$3&amp;")'!$F:$F"),INDIRECT("'Thanh Toán ("&amp;M$3&amp;")'!$D:$D"),'Tổng Đơn'!$B79),0)</f>
        <v>1</v>
      </c>
      <c r="N79" s="2">
        <f ca="1">IFERROR(SUMIFS(INDIRECT("'Thanh Toán ("&amp;N$3&amp;")'!$F:$F"),INDIRECT("'Thanh Toán ("&amp;N$3&amp;")'!$D:$D"),'Tổng Đơn'!$B79),0)</f>
        <v>0</v>
      </c>
      <c r="O79" s="2">
        <f ca="1">IFERROR(SUMIFS(INDIRECT("'Thanh Toán ("&amp;O$3&amp;")'!$F:$F"),INDIRECT("'Thanh Toán ("&amp;O$3&amp;")'!$D:$D"),'Tổng Đơn'!$B79),0)</f>
        <v>0</v>
      </c>
      <c r="P79" s="2">
        <f ca="1">IFERROR(SUMIFS(INDIRECT("'Thanh Toán ("&amp;P$3&amp;")'!$F:$F"),INDIRECT("'Thanh Toán ("&amp;P$3&amp;")'!$D:$D"),'Tổng Đơn'!$B79),0)</f>
        <v>0</v>
      </c>
      <c r="Q79" s="2">
        <f ca="1">IFERROR(SUMIFS(INDIRECT("'Thanh Toán ("&amp;Q$3&amp;")'!$F:$F"),INDIRECT("'Thanh Toán ("&amp;Q$3&amp;")'!$D:$D"),'Tổng Đơn'!$B79),0)</f>
        <v>0</v>
      </c>
      <c r="R79" s="2">
        <f ca="1">IFERROR(SUMIFS(INDIRECT("'Thanh Toán ("&amp;R$3&amp;")'!$F:$F"),INDIRECT("'Thanh Toán ("&amp;R$3&amp;")'!$D:$D"),'Tổng Đơn'!$B79),0)</f>
        <v>0</v>
      </c>
      <c r="S79" s="2">
        <f ca="1">IFERROR(SUMIFS(INDIRECT("'Thanh Toán ("&amp;S$3&amp;")'!$F:$F"),INDIRECT("'Thanh Toán ("&amp;S$3&amp;")'!$D:$D"),'Tổng Đơn'!$B79),0)</f>
        <v>0</v>
      </c>
      <c r="T79" s="2">
        <f ca="1">IFERROR(SUMIFS(INDIRECT("'Thanh Toán ("&amp;T$3&amp;")'!$F:$F"),INDIRECT("'Thanh Toán ("&amp;T$3&amp;")'!$D:$D"),'Tổng Đơn'!$B79),0)</f>
        <v>0</v>
      </c>
      <c r="U79" s="2">
        <f ca="1">IFERROR(SUMIFS(INDIRECT("'Thanh Toán ("&amp;U$3&amp;")'!$F:$F"),INDIRECT("'Thanh Toán ("&amp;U$3&amp;")'!$D:$D"),'Tổng Đơn'!$B79),0)</f>
        <v>0</v>
      </c>
      <c r="V79" s="2">
        <f ca="1">IFERROR(SUMIFS(INDIRECT("'Thanh Toán ("&amp;V$3&amp;")'!$F:$F"),INDIRECT("'Thanh Toán ("&amp;V$3&amp;")'!$D:$D"),'Tổng Đơn'!$B79),0)</f>
        <v>0</v>
      </c>
      <c r="W79" s="2">
        <f ca="1">IFERROR(SUMIFS(INDIRECT("'Thanh Toán ("&amp;W$3&amp;")'!$F:$F"),INDIRECT("'Thanh Toán ("&amp;W$3&amp;")'!$D:$D"),'Tổng Đơn'!$B79),0)</f>
        <v>0</v>
      </c>
      <c r="X79" s="2">
        <f ca="1">IFERROR(SUMIFS(INDIRECT("'Thanh Toán ("&amp;X$3&amp;")'!$F:$F"),INDIRECT("'Thanh Toán ("&amp;X$3&amp;")'!$D:$D"),'Tổng Đơn'!$B79),0)</f>
        <v>1</v>
      </c>
      <c r="Y79" s="2">
        <f ca="1">IFERROR(SUMIFS(INDIRECT("'Thanh Toán ("&amp;Y$3&amp;")'!$F:$F"),INDIRECT("'Thanh Toán ("&amp;Y$3&amp;")'!$D:$D"),'Tổng Đơn'!$B79),0)</f>
        <v>0</v>
      </c>
      <c r="Z79" s="2">
        <f ca="1">IFERROR(SUMIFS(INDIRECT("'Thanh Toán ("&amp;Z$3&amp;")'!$F:$F"),INDIRECT("'Thanh Toán ("&amp;Z$3&amp;")'!$D:$D"),'Tổng Đơn'!$B79),0)</f>
        <v>0</v>
      </c>
      <c r="AA79" s="2">
        <f ca="1">IFERROR(SUMIFS(INDIRECT("'Thanh Toán ("&amp;AA$3&amp;")'!$F:$F"),INDIRECT("'Thanh Toán ("&amp;AA$3&amp;")'!$D:$D"),'Tổng Đơn'!$B79),0)</f>
        <v>0</v>
      </c>
      <c r="AB79" s="2">
        <f ca="1">IFERROR(SUMIFS(INDIRECT("'Thanh Toán ("&amp;AB$3&amp;")'!$F:$F"),INDIRECT("'Thanh Toán ("&amp;AB$3&amp;")'!$D:$D"),'Tổng Đơn'!$B79),0)</f>
        <v>0</v>
      </c>
      <c r="AC79" s="2">
        <f ca="1">IFERROR(SUMIFS(INDIRECT("'Thanh Toán ("&amp;AC$3&amp;")'!$F:$F"),INDIRECT("'Thanh Toán ("&amp;AC$3&amp;")'!$D:$D"),'Tổng Đơn'!$B79),0)</f>
        <v>0</v>
      </c>
      <c r="AD79" s="2">
        <f ca="1">IFERROR(SUMIFS(INDIRECT("'Thanh Toán ("&amp;AD$3&amp;")'!$F:$F"),INDIRECT("'Thanh Toán ("&amp;AD$3&amp;")'!$D:$D"),'Tổng Đơn'!$B79),0)</f>
        <v>0</v>
      </c>
      <c r="AE79" s="2">
        <f ca="1">IFERROR(SUMIFS(INDIRECT("'Thanh Toán ("&amp;AE$3&amp;")'!$F:$F"),INDIRECT("'Thanh Toán ("&amp;AE$3&amp;")'!$D:$D"),'Tổng Đơn'!$B79),0)</f>
        <v>0</v>
      </c>
      <c r="AF79" s="2">
        <f ca="1">IFERROR(SUMIFS(INDIRECT("'Thanh Toán ("&amp;AF$3&amp;")'!$F:$F"),INDIRECT("'Thanh Toán ("&amp;AF$3&amp;")'!$D:$D"),'Tổng Đơn'!$B79),0)</f>
        <v>0</v>
      </c>
      <c r="AG79" s="2">
        <f ca="1">IFERROR(SUMIFS(INDIRECT("'Thanh Toán ("&amp;AG$3&amp;")'!$F:$F"),INDIRECT("'Thanh Toán ("&amp;AG$3&amp;")'!$D:$D"),'Tổng Đơn'!$B79),0)</f>
        <v>0</v>
      </c>
      <c r="AH79" s="2">
        <f ca="1">IFERROR(SUMIFS(INDIRECT("'Thanh Toán ("&amp;AH$3&amp;")'!$F:$F"),INDIRECT("'Thanh Toán ("&amp;AH$3&amp;")'!$D:$D"),'Tổng Đơn'!$B79),0)</f>
        <v>0</v>
      </c>
      <c r="AI79" s="2">
        <f ca="1">IFERROR(SUMIFS(INDIRECT("'Thanh Toán ("&amp;AI$3&amp;")'!$F:$F"),INDIRECT("'Thanh Toán ("&amp;AI$3&amp;")'!$D:$D"),'Tổng Đơn'!$B79),0)</f>
        <v>0</v>
      </c>
      <c r="AJ79" s="2">
        <f ca="1">IFERROR(SUMIFS(INDIRECT("'Thanh Toán ("&amp;AJ$3&amp;")'!$F:$F"),INDIRECT("'Thanh Toán ("&amp;AJ$3&amp;")'!$D:$D"),'Tổng Đơn'!$B79),0)</f>
        <v>0</v>
      </c>
      <c r="AK79" s="2">
        <f ca="1">IFERROR(SUMIFS(INDIRECT("'Thanh Toán ("&amp;AK$3&amp;")'!$F:$F"),INDIRECT("'Thanh Toán ("&amp;AK$3&amp;")'!$D:$D"),'Tổng Đơn'!$B79),0)</f>
        <v>0</v>
      </c>
      <c r="AL79" s="2">
        <f ca="1">IFERROR(SUMIFS(INDIRECT("'Thanh Toán ("&amp;AL$3&amp;")'!$F:$F"),INDIRECT("'Thanh Toán ("&amp;AL$3&amp;")'!$D:$D"),'Tổng Đơn'!$B79),0)</f>
        <v>0</v>
      </c>
      <c r="AM79" s="2">
        <f ca="1">IFERROR(SUMIFS(INDIRECT("'Thanh Toán ("&amp;AM$3&amp;")'!$F:$F"),INDIRECT("'Thanh Toán ("&amp;AM$3&amp;")'!$D:$D"),'Tổng Đơn'!$B79),0)</f>
        <v>0</v>
      </c>
      <c r="AN79" s="2">
        <f ca="1">IFERROR(SUMIFS(INDIRECT("'Thanh Toán ("&amp;AN$3&amp;")'!$F:$F"),INDIRECT("'Thanh Toán ("&amp;AN$3&amp;")'!$D:$D"),'Tổng Đơn'!$B79),0)</f>
        <v>0</v>
      </c>
      <c r="AO79" s="2">
        <f ca="1">IFERROR(SUMIFS(INDIRECT("'Thanh Toán ("&amp;AO$3&amp;")'!$F:$F"),INDIRECT("'Thanh Toán ("&amp;AO$3&amp;")'!$D:$D"),'Tổng Đơn'!$B79),0)</f>
        <v>0</v>
      </c>
      <c r="AP79" s="2">
        <f ca="1">IFERROR(SUMIFS(INDIRECT("'Thanh Toán ("&amp;AP$3&amp;")'!$F:$F"),INDIRECT("'Thanh Toán ("&amp;AP$3&amp;")'!$D:$D"),'Tổng Đơn'!$B79),0)</f>
        <v>0</v>
      </c>
      <c r="AQ79" s="2">
        <f ca="1">IFERROR(SUMIFS(INDIRECT("'Thanh Toán ("&amp;AQ$3&amp;")'!$F:$F"),INDIRECT("'Thanh Toán ("&amp;AQ$3&amp;")'!$D:$D"),'Tổng Đơn'!$B79),0)</f>
        <v>0</v>
      </c>
      <c r="AR79" s="2">
        <f ca="1">IFERROR(SUMIFS(INDIRECT("'Thanh Toán ("&amp;AR$3&amp;")'!$F:$F"),INDIRECT("'Thanh Toán ("&amp;AR$3&amp;")'!$D:$D"),'Tổng Đơn'!$B79),0)</f>
        <v>0</v>
      </c>
      <c r="AS79" s="2">
        <f ca="1">IFERROR(SUMIFS(INDIRECT("'Thanh Toán ("&amp;AS$3&amp;")'!$F:$F"),INDIRECT("'Thanh Toán ("&amp;AS$3&amp;")'!$D:$D"),'Tổng Đơn'!$B79),0)</f>
        <v>0</v>
      </c>
      <c r="AT79" s="2">
        <f ca="1">IFERROR(SUMIFS(INDIRECT("'Thanh Toán ("&amp;AT$3&amp;")'!$F:$F"),INDIRECT("'Thanh Toán ("&amp;AT$3&amp;")'!$D:$D"),'Tổng Đơn'!$B79),0)</f>
        <v>0</v>
      </c>
      <c r="AU79" s="2">
        <f ca="1">IFERROR(SUMIFS(INDIRECT("'Thanh Toán ("&amp;AU$3&amp;")'!$F:$F"),INDIRECT("'Thanh Toán ("&amp;AU$3&amp;")'!$D:$D"),'Tổng Đơn'!$B79),0)</f>
        <v>0</v>
      </c>
      <c r="AV79" s="2">
        <f ca="1">IFERROR(SUMIFS(INDIRECT("'Thanh Toán ("&amp;AV$3&amp;")'!$F:$F"),INDIRECT("'Thanh Toán ("&amp;AV$3&amp;")'!$D:$D"),'Tổng Đơn'!$B79),0)</f>
        <v>0</v>
      </c>
      <c r="AW79" s="2">
        <f ca="1">IFERROR(SUMIFS(INDIRECT("'Thanh Toán ("&amp;AW$3&amp;")'!$F:$F"),INDIRECT("'Thanh Toán ("&amp;AW$3&amp;")'!$D:$D"),'Tổng Đơn'!$B79),0)</f>
        <v>0</v>
      </c>
      <c r="AX79" s="2">
        <f ca="1">IFERROR(SUMIFS(INDIRECT("'Thanh Toán ("&amp;AX$3&amp;")'!$F:$F"),INDIRECT("'Thanh Toán ("&amp;AX$3&amp;")'!$D:$D"),'Tổng Đơn'!$B79),0)</f>
        <v>0</v>
      </c>
      <c r="AY79" s="2">
        <f ca="1">IFERROR(SUMIFS(INDIRECT("'Thanh Toán ("&amp;AY$3&amp;")'!$F:$F"),INDIRECT("'Thanh Toán ("&amp;AY$3&amp;")'!$D:$D"),'Tổng Đơn'!$B79),0)</f>
        <v>0</v>
      </c>
      <c r="AZ79" s="2">
        <f ca="1">IFERROR(SUMIFS(INDIRECT("'Thanh Toán ("&amp;AZ$3&amp;")'!$F:$F"),INDIRECT("'Thanh Toán ("&amp;AZ$3&amp;")'!$D:$D"),'Tổng Đơn'!$B79),0)</f>
        <v>0</v>
      </c>
      <c r="BA79" s="2">
        <f ca="1">IFERROR(SUMIFS(INDIRECT("'Thanh Toán ("&amp;BA$3&amp;")'!$F:$F"),INDIRECT("'Thanh Toán ("&amp;BA$3&amp;")'!$D:$D"),'Tổng Đơn'!$B79),0)</f>
        <v>0</v>
      </c>
      <c r="BB79" s="2">
        <f ca="1">IFERROR(SUMIFS(INDIRECT("'Thanh Toán ("&amp;BB$3&amp;")'!$F:$F"),INDIRECT("'Thanh Toán ("&amp;BB$3&amp;")'!$D:$D"),'Tổng Đơn'!$B79),0)</f>
        <v>0</v>
      </c>
      <c r="BC79" s="2">
        <f ca="1">IFERROR(SUMIFS(INDIRECT("'Thanh Toán ("&amp;BC$3&amp;")'!$F:$F"),INDIRECT("'Thanh Toán ("&amp;BC$3&amp;")'!$D:$D"),'Tổng Đơn'!$B79),0)</f>
        <v>0</v>
      </c>
    </row>
    <row r="80" spans="1:55" ht="18" customHeight="1" x14ac:dyDescent="0.25">
      <c r="A80" s="210">
        <v>73</v>
      </c>
      <c r="B80" s="211" t="s">
        <v>297</v>
      </c>
      <c r="C80" s="201" t="s">
        <v>250</v>
      </c>
      <c r="D80" s="203">
        <f>VLOOKUP($C80,Sheet1!$C$5:$D$98,2,0)</f>
        <v>40000</v>
      </c>
      <c r="E80" s="204">
        <v>0.5</v>
      </c>
      <c r="F80" s="205">
        <f t="shared" ca="1" si="6"/>
        <v>0</v>
      </c>
      <c r="G80" s="206">
        <f>IFERROR(VLOOKUP($B80,Gà!C:J,8,0),IFERROR(VLOOKUP($B80,TVP!C:J,7,0),IFERROR(VLOOKUP($B80,Kitkool!C:J,8,0),IFERROR(VLOOKUP($B80,'La Cusina'!C:J,8,0),VLOOKUP($B80,'Quốc Nhân'!C:J,8,0)))))</f>
        <v>34.759624718516271</v>
      </c>
      <c r="H80" s="207">
        <f t="shared" ref="H80" ca="1" si="9">(D80-G80*1000)*$F80</f>
        <v>0</v>
      </c>
      <c r="I80" s="207"/>
      <c r="J80" s="207">
        <f t="shared" ref="J80" ca="1" si="10">F80*G80*1000</f>
        <v>0</v>
      </c>
      <c r="K80" s="53"/>
      <c r="L80" s="2">
        <f ca="1">IFERROR(SUMIFS(INDIRECT("'Thanh Toán ("&amp;L$3&amp;")'!$F:$F"),INDIRECT("'Thanh Toán ("&amp;L$3&amp;")'!$D:$D"),'Tổng Đơn'!$B80),0)</f>
        <v>0</v>
      </c>
      <c r="M80" s="2">
        <f ca="1">IFERROR(SUMIFS(INDIRECT("'Thanh Toán ("&amp;M$3&amp;")'!$F:$F"),INDIRECT("'Thanh Toán ("&amp;M$3&amp;")'!$D:$D"),'Tổng Đơn'!$B80),0)</f>
        <v>0</v>
      </c>
      <c r="N80" s="2">
        <f ca="1">IFERROR(SUMIFS(INDIRECT("'Thanh Toán ("&amp;N$3&amp;")'!$F:$F"),INDIRECT("'Thanh Toán ("&amp;N$3&amp;")'!$D:$D"),'Tổng Đơn'!$B80),0)</f>
        <v>0</v>
      </c>
      <c r="O80" s="2">
        <f ca="1">IFERROR(SUMIFS(INDIRECT("'Thanh Toán ("&amp;O$3&amp;")'!$F:$F"),INDIRECT("'Thanh Toán ("&amp;O$3&amp;")'!$D:$D"),'Tổng Đơn'!$B80),0)</f>
        <v>0</v>
      </c>
      <c r="P80" s="2">
        <f ca="1">IFERROR(SUMIFS(INDIRECT("'Thanh Toán ("&amp;P$3&amp;")'!$F:$F"),INDIRECT("'Thanh Toán ("&amp;P$3&amp;")'!$D:$D"),'Tổng Đơn'!$B80),0)</f>
        <v>0</v>
      </c>
      <c r="Q80" s="2">
        <f ca="1">IFERROR(SUMIFS(INDIRECT("'Thanh Toán ("&amp;Q$3&amp;")'!$F:$F"),INDIRECT("'Thanh Toán ("&amp;Q$3&amp;")'!$D:$D"),'Tổng Đơn'!$B80),0)</f>
        <v>0</v>
      </c>
      <c r="R80" s="2">
        <f ca="1">IFERROR(SUMIFS(INDIRECT("'Thanh Toán ("&amp;R$3&amp;")'!$F:$F"),INDIRECT("'Thanh Toán ("&amp;R$3&amp;")'!$D:$D"),'Tổng Đơn'!$B80),0)</f>
        <v>0</v>
      </c>
      <c r="S80" s="2">
        <f ca="1">IFERROR(SUMIFS(INDIRECT("'Thanh Toán ("&amp;S$3&amp;")'!$F:$F"),INDIRECT("'Thanh Toán ("&amp;S$3&amp;")'!$D:$D"),'Tổng Đơn'!$B80),0)</f>
        <v>0</v>
      </c>
      <c r="T80" s="2">
        <f ca="1">IFERROR(SUMIFS(INDIRECT("'Thanh Toán ("&amp;T$3&amp;")'!$F:$F"),INDIRECT("'Thanh Toán ("&amp;T$3&amp;")'!$D:$D"),'Tổng Đơn'!$B80),0)</f>
        <v>0</v>
      </c>
      <c r="U80" s="2">
        <f ca="1">IFERROR(SUMIFS(INDIRECT("'Thanh Toán ("&amp;U$3&amp;")'!$F:$F"),INDIRECT("'Thanh Toán ("&amp;U$3&amp;")'!$D:$D"),'Tổng Đơn'!$B80),0)</f>
        <v>0</v>
      </c>
      <c r="V80" s="2">
        <f ca="1">IFERROR(SUMIFS(INDIRECT("'Thanh Toán ("&amp;V$3&amp;")'!$F:$F"),INDIRECT("'Thanh Toán ("&amp;V$3&amp;")'!$D:$D"),'Tổng Đơn'!$B80),0)</f>
        <v>0</v>
      </c>
      <c r="W80" s="2">
        <f ca="1">IFERROR(SUMIFS(INDIRECT("'Thanh Toán ("&amp;W$3&amp;")'!$F:$F"),INDIRECT("'Thanh Toán ("&amp;W$3&amp;")'!$D:$D"),'Tổng Đơn'!$B80),0)</f>
        <v>0</v>
      </c>
      <c r="X80" s="2">
        <f ca="1">IFERROR(SUMIFS(INDIRECT("'Thanh Toán ("&amp;X$3&amp;")'!$F:$F"),INDIRECT("'Thanh Toán ("&amp;X$3&amp;")'!$D:$D"),'Tổng Đơn'!$B80),0)</f>
        <v>0</v>
      </c>
      <c r="Y80" s="2">
        <f ca="1">IFERROR(SUMIFS(INDIRECT("'Thanh Toán ("&amp;Y$3&amp;")'!$F:$F"),INDIRECT("'Thanh Toán ("&amp;Y$3&amp;")'!$D:$D"),'Tổng Đơn'!$B80),0)</f>
        <v>0</v>
      </c>
      <c r="Z80" s="2">
        <f ca="1">IFERROR(SUMIFS(INDIRECT("'Thanh Toán ("&amp;Z$3&amp;")'!$F:$F"),INDIRECT("'Thanh Toán ("&amp;Z$3&amp;")'!$D:$D"),'Tổng Đơn'!$B80),0)</f>
        <v>0</v>
      </c>
      <c r="AA80" s="2">
        <f ca="1">IFERROR(SUMIFS(INDIRECT("'Thanh Toán ("&amp;AA$3&amp;")'!$F:$F"),INDIRECT("'Thanh Toán ("&amp;AA$3&amp;")'!$D:$D"),'Tổng Đơn'!$B80),0)</f>
        <v>0</v>
      </c>
      <c r="AB80" s="2">
        <f ca="1">IFERROR(SUMIFS(INDIRECT("'Thanh Toán ("&amp;AB$3&amp;")'!$F:$F"),INDIRECT("'Thanh Toán ("&amp;AB$3&amp;")'!$D:$D"),'Tổng Đơn'!$B80),0)</f>
        <v>0</v>
      </c>
      <c r="AC80" s="2">
        <f ca="1">IFERROR(SUMIFS(INDIRECT("'Thanh Toán ("&amp;AC$3&amp;")'!$F:$F"),INDIRECT("'Thanh Toán ("&amp;AC$3&amp;")'!$D:$D"),'Tổng Đơn'!$B80),0)</f>
        <v>0</v>
      </c>
      <c r="AD80" s="2">
        <f ca="1">IFERROR(SUMIFS(INDIRECT("'Thanh Toán ("&amp;AD$3&amp;")'!$F:$F"),INDIRECT("'Thanh Toán ("&amp;AD$3&amp;")'!$D:$D"),'Tổng Đơn'!$B80),0)</f>
        <v>0</v>
      </c>
      <c r="AE80" s="2">
        <f ca="1">IFERROR(SUMIFS(INDIRECT("'Thanh Toán ("&amp;AE$3&amp;")'!$F:$F"),INDIRECT("'Thanh Toán ("&amp;AE$3&amp;")'!$D:$D"),'Tổng Đơn'!$B80),0)</f>
        <v>0</v>
      </c>
      <c r="AF80" s="2">
        <f ca="1">IFERROR(SUMIFS(INDIRECT("'Thanh Toán ("&amp;AF$3&amp;")'!$F:$F"),INDIRECT("'Thanh Toán ("&amp;AF$3&amp;")'!$D:$D"),'Tổng Đơn'!$B80),0)</f>
        <v>0</v>
      </c>
      <c r="AG80" s="2">
        <f ca="1">IFERROR(SUMIFS(INDIRECT("'Thanh Toán ("&amp;AG$3&amp;")'!$F:$F"),INDIRECT("'Thanh Toán ("&amp;AG$3&amp;")'!$D:$D"),'Tổng Đơn'!$B80),0)</f>
        <v>0</v>
      </c>
      <c r="AH80" s="2">
        <f ca="1">IFERROR(SUMIFS(INDIRECT("'Thanh Toán ("&amp;AH$3&amp;")'!$F:$F"),INDIRECT("'Thanh Toán ("&amp;AH$3&amp;")'!$D:$D"),'Tổng Đơn'!$B80),0)</f>
        <v>0</v>
      </c>
      <c r="AI80" s="2">
        <f ca="1">IFERROR(SUMIFS(INDIRECT("'Thanh Toán ("&amp;AI$3&amp;")'!$F:$F"),INDIRECT("'Thanh Toán ("&amp;AI$3&amp;")'!$D:$D"),'Tổng Đơn'!$B80),0)</f>
        <v>0</v>
      </c>
      <c r="AJ80" s="2">
        <f ca="1">IFERROR(SUMIFS(INDIRECT("'Thanh Toán ("&amp;AJ$3&amp;")'!$F:$F"),INDIRECT("'Thanh Toán ("&amp;AJ$3&amp;")'!$D:$D"),'Tổng Đơn'!$B80),0)</f>
        <v>0</v>
      </c>
      <c r="AK80" s="2">
        <f ca="1">IFERROR(SUMIFS(INDIRECT("'Thanh Toán ("&amp;AK$3&amp;")'!$F:$F"),INDIRECT("'Thanh Toán ("&amp;AK$3&amp;")'!$D:$D"),'Tổng Đơn'!$B80),0)</f>
        <v>0</v>
      </c>
      <c r="AL80" s="2">
        <f ca="1">IFERROR(SUMIFS(INDIRECT("'Thanh Toán ("&amp;AL$3&amp;")'!$F:$F"),INDIRECT("'Thanh Toán ("&amp;AL$3&amp;")'!$D:$D"),'Tổng Đơn'!$B80),0)</f>
        <v>0</v>
      </c>
      <c r="AM80" s="2">
        <f ca="1">IFERROR(SUMIFS(INDIRECT("'Thanh Toán ("&amp;AM$3&amp;")'!$F:$F"),INDIRECT("'Thanh Toán ("&amp;AM$3&amp;")'!$D:$D"),'Tổng Đơn'!$B80),0)</f>
        <v>0</v>
      </c>
      <c r="AN80" s="2">
        <f ca="1">IFERROR(SUMIFS(INDIRECT("'Thanh Toán ("&amp;AN$3&amp;")'!$F:$F"),INDIRECT("'Thanh Toán ("&amp;AN$3&amp;")'!$D:$D"),'Tổng Đơn'!$B80),0)</f>
        <v>0</v>
      </c>
      <c r="AO80" s="2">
        <f ca="1">IFERROR(SUMIFS(INDIRECT("'Thanh Toán ("&amp;AO$3&amp;")'!$F:$F"),INDIRECT("'Thanh Toán ("&amp;AO$3&amp;")'!$D:$D"),'Tổng Đơn'!$B80),0)</f>
        <v>0</v>
      </c>
      <c r="AP80" s="2">
        <f ca="1">IFERROR(SUMIFS(INDIRECT("'Thanh Toán ("&amp;AP$3&amp;")'!$F:$F"),INDIRECT("'Thanh Toán ("&amp;AP$3&amp;")'!$D:$D"),'Tổng Đơn'!$B80),0)</f>
        <v>0</v>
      </c>
      <c r="AQ80" s="2">
        <f ca="1">IFERROR(SUMIFS(INDIRECT("'Thanh Toán ("&amp;AQ$3&amp;")'!$F:$F"),INDIRECT("'Thanh Toán ("&amp;AQ$3&amp;")'!$D:$D"),'Tổng Đơn'!$B80),0)</f>
        <v>0</v>
      </c>
      <c r="AR80" s="2">
        <f ca="1">IFERROR(SUMIFS(INDIRECT("'Thanh Toán ("&amp;AR$3&amp;")'!$F:$F"),INDIRECT("'Thanh Toán ("&amp;AR$3&amp;")'!$D:$D"),'Tổng Đơn'!$B80),0)</f>
        <v>0</v>
      </c>
      <c r="AS80" s="2">
        <f ca="1">IFERROR(SUMIFS(INDIRECT("'Thanh Toán ("&amp;AS$3&amp;")'!$F:$F"),INDIRECT("'Thanh Toán ("&amp;AS$3&amp;")'!$D:$D"),'Tổng Đơn'!$B80),0)</f>
        <v>0</v>
      </c>
      <c r="AT80" s="2">
        <f ca="1">IFERROR(SUMIFS(INDIRECT("'Thanh Toán ("&amp;AT$3&amp;")'!$F:$F"),INDIRECT("'Thanh Toán ("&amp;AT$3&amp;")'!$D:$D"),'Tổng Đơn'!$B80),0)</f>
        <v>0</v>
      </c>
      <c r="AU80" s="2">
        <f ca="1">IFERROR(SUMIFS(INDIRECT("'Thanh Toán ("&amp;AU$3&amp;")'!$F:$F"),INDIRECT("'Thanh Toán ("&amp;AU$3&amp;")'!$D:$D"),'Tổng Đơn'!$B80),0)</f>
        <v>0</v>
      </c>
      <c r="AV80" s="2">
        <f ca="1">IFERROR(SUMIFS(INDIRECT("'Thanh Toán ("&amp;AV$3&amp;")'!$F:$F"),INDIRECT("'Thanh Toán ("&amp;AV$3&amp;")'!$D:$D"),'Tổng Đơn'!$B80),0)</f>
        <v>0</v>
      </c>
      <c r="AW80" s="2">
        <f ca="1">IFERROR(SUMIFS(INDIRECT("'Thanh Toán ("&amp;AW$3&amp;")'!$F:$F"),INDIRECT("'Thanh Toán ("&amp;AW$3&amp;")'!$D:$D"),'Tổng Đơn'!$B80),0)</f>
        <v>0</v>
      </c>
      <c r="AX80" s="2">
        <f ca="1">IFERROR(SUMIFS(INDIRECT("'Thanh Toán ("&amp;AX$3&amp;")'!$F:$F"),INDIRECT("'Thanh Toán ("&amp;AX$3&amp;")'!$D:$D"),'Tổng Đơn'!$B80),0)</f>
        <v>0</v>
      </c>
      <c r="AY80" s="2">
        <f ca="1">IFERROR(SUMIFS(INDIRECT("'Thanh Toán ("&amp;AY$3&amp;")'!$F:$F"),INDIRECT("'Thanh Toán ("&amp;AY$3&amp;")'!$D:$D"),'Tổng Đơn'!$B80),0)</f>
        <v>0</v>
      </c>
      <c r="AZ80" s="2">
        <f ca="1">IFERROR(SUMIFS(INDIRECT("'Thanh Toán ("&amp;AZ$3&amp;")'!$F:$F"),INDIRECT("'Thanh Toán ("&amp;AZ$3&amp;")'!$D:$D"),'Tổng Đơn'!$B80),0)</f>
        <v>0</v>
      </c>
      <c r="BA80" s="2">
        <f ca="1">IFERROR(SUMIFS(INDIRECT("'Thanh Toán ("&amp;BA$3&amp;")'!$F:$F"),INDIRECT("'Thanh Toán ("&amp;BA$3&amp;")'!$D:$D"),'Tổng Đơn'!$B80),0)</f>
        <v>0</v>
      </c>
      <c r="BB80" s="2">
        <f ca="1">IFERROR(SUMIFS(INDIRECT("'Thanh Toán ("&amp;BB$3&amp;")'!$F:$F"),INDIRECT("'Thanh Toán ("&amp;BB$3&amp;")'!$D:$D"),'Tổng Đơn'!$B80),0)</f>
        <v>0</v>
      </c>
      <c r="BC80" s="2">
        <f ca="1">IFERROR(SUMIFS(INDIRECT("'Thanh Toán ("&amp;BC$3&amp;")'!$F:$F"),INDIRECT("'Thanh Toán ("&amp;BC$3&amp;")'!$D:$D"),'Tổng Đơn'!$B80),0)</f>
        <v>0</v>
      </c>
    </row>
  </sheetData>
  <sheetProtection algorithmName="SHA-512" hashValue="ob9FcWRSKjP1p2jLKur2Cuo0uRljAG8oJxpKS1gJI679OZ9gy3NquINtAT+DfsrJvVMXxxq+yKwIWg4OecxU1A==" saltValue="q59JzLendsFK11aEHFrZnw==" spinCount="100000" sheet="1" formatCells="0" formatColumns="0" formatRows="0" insertColumns="0" insertRows="0" insertHyperlinks="0" deleteColumns="0" deleteRows="0" sort="0" autoFilter="0" pivotTables="0"/>
  <autoFilter ref="A4:AO80"/>
  <mergeCells count="6">
    <mergeCell ref="A1:A2"/>
    <mergeCell ref="F1:F2"/>
    <mergeCell ref="D1:D2"/>
    <mergeCell ref="C1:C2"/>
    <mergeCell ref="B1:B2"/>
    <mergeCell ref="E1:E2"/>
  </mergeCells>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tabColor theme="1"/>
    <pageSetUpPr fitToPage="1"/>
  </sheetPr>
  <dimension ref="A1:N53"/>
  <sheetViews>
    <sheetView zoomScaleNormal="100" workbookViewId="0">
      <pane ySplit="7" topLeftCell="A8" activePane="bottomLeft" state="frozen"/>
      <selection activeCell="L29" sqref="L2:L29"/>
      <selection pane="bottomLeft" activeCell="D6" sqref="D6"/>
    </sheetView>
  </sheetViews>
  <sheetFormatPr defaultRowHeight="15" x14ac:dyDescent="0.25"/>
  <cols>
    <col min="1" max="1" width="11.7109375" style="14" customWidth="1"/>
    <col min="2" max="2" width="11.28515625" style="14" customWidth="1"/>
    <col min="3" max="3" width="9.140625" style="14"/>
    <col min="4" max="4" width="38.42578125" style="14" bestFit="1" customWidth="1"/>
    <col min="5" max="5" width="12.28515625" style="79"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33" t="s">
        <v>223</v>
      </c>
      <c r="D1" s="233"/>
      <c r="E1" s="233"/>
      <c r="F1" s="233"/>
      <c r="G1" s="233"/>
      <c r="H1" s="233"/>
    </row>
    <row r="2" spans="1:14" ht="15.75" customHeight="1" x14ac:dyDescent="0.25">
      <c r="C2" s="233"/>
      <c r="D2" s="233"/>
      <c r="E2" s="233"/>
      <c r="F2" s="233"/>
      <c r="G2" s="233"/>
      <c r="H2" s="233"/>
    </row>
    <row r="3" spans="1:14" ht="15" customHeight="1" x14ac:dyDescent="0.25">
      <c r="C3" s="235" t="s">
        <v>225</v>
      </c>
      <c r="D3" s="235"/>
      <c r="E3" s="235"/>
      <c r="F3" s="238" t="s">
        <v>227</v>
      </c>
      <c r="G3" s="238"/>
      <c r="H3" s="238"/>
    </row>
    <row r="4" spans="1:14" x14ac:dyDescent="0.25">
      <c r="C4" s="236" t="s">
        <v>226</v>
      </c>
      <c r="D4" s="236"/>
      <c r="E4" s="236"/>
      <c r="F4" s="239" t="s">
        <v>228</v>
      </c>
      <c r="G4" s="239"/>
      <c r="H4" s="239"/>
    </row>
    <row r="5" spans="1:14" s="172" customFormat="1" ht="21" customHeight="1" x14ac:dyDescent="0.25">
      <c r="C5" s="237" t="s">
        <v>224</v>
      </c>
      <c r="D5" s="237"/>
      <c r="E5" s="237"/>
      <c r="F5" s="237"/>
      <c r="G5" s="237"/>
      <c r="H5" s="237"/>
    </row>
    <row r="6" spans="1:14" s="172" customFormat="1" ht="17.25" customHeight="1" x14ac:dyDescent="0.25">
      <c r="C6" s="182" t="s">
        <v>229</v>
      </c>
      <c r="D6" s="187"/>
      <c r="E6" s="177"/>
      <c r="F6" s="177"/>
      <c r="G6" s="234" t="str">
        <f ca="1">"Ngày "&amp;DAY(TODAY())&amp;" Tháng "&amp;MONTH(TODAY())&amp;" Năm "&amp;YEAR(TODAY())</f>
        <v>Ngày 14 Tháng 2 Năm 2022</v>
      </c>
      <c r="H6" s="234"/>
    </row>
    <row r="7" spans="1:14" s="176" customFormat="1" ht="24" customHeight="1" x14ac:dyDescent="0.25">
      <c r="A7" s="173" t="s">
        <v>118</v>
      </c>
      <c r="B7" s="173" t="s">
        <v>16</v>
      </c>
      <c r="C7" s="174" t="s">
        <v>0</v>
      </c>
      <c r="D7" s="174" t="s">
        <v>17</v>
      </c>
      <c r="E7" s="178" t="str">
        <f>"Quy cách"&amp;CHAR(10)&amp;"(Kg)"</f>
        <v>Quy cách
(Kg)</v>
      </c>
      <c r="F7" s="174" t="s">
        <v>16</v>
      </c>
      <c r="G7" s="174" t="s">
        <v>18</v>
      </c>
      <c r="H7" s="174" t="s">
        <v>19</v>
      </c>
      <c r="I7" s="175">
        <f>SUBTOTAL(9,I8:I37)</f>
        <v>0</v>
      </c>
      <c r="L7" s="172"/>
    </row>
    <row r="8" spans="1:14" s="44" customFormat="1" ht="14.25" customHeight="1" x14ac:dyDescent="0.25">
      <c r="A8" s="183"/>
      <c r="B8" s="183"/>
      <c r="C8" s="45" t="str">
        <f t="shared" ref="C8:C37" si="0">IF(OR(SUM($C7,$A8&lt;&gt;"")=0,$A8=""),"",SUM($C7,$A8&lt;&gt;""))</f>
        <v/>
      </c>
      <c r="D8" s="179" t="str">
        <f>IFERROR(VLOOKUP($A8,Sheet1!$A$1:$B$98,2,0),"")</f>
        <v/>
      </c>
      <c r="E8" s="180" t="str">
        <f>IFERROR(VLOOKUP($A8,'Tổng Đơn'!$A$5:$E$79,5,0),"")</f>
        <v/>
      </c>
      <c r="F8" s="45" t="str">
        <f t="shared" ref="F8:F37" si="1">IF($B8="","",B8)</f>
        <v/>
      </c>
      <c r="G8" s="191" t="str">
        <f>IFERROR(VLOOKUP($A8,Sheet1!$A1:$D$98,4,0),"")</f>
        <v/>
      </c>
      <c r="H8" s="181" t="str">
        <f>IF($C7=MAX($C$8:$C$56),SUM($H7:$H$8),IFERROR($G8*$F8,""))</f>
        <v/>
      </c>
      <c r="I8" s="80" t="str">
        <f t="shared" ref="I8:I37" si="2">IF(TYPE($A8)&lt;&gt;1,"",IFERROR(F8*E8,""))</f>
        <v/>
      </c>
      <c r="L8" s="47"/>
    </row>
    <row r="9" spans="1:14" s="44" customFormat="1" ht="14.25" customHeight="1" x14ac:dyDescent="0.25">
      <c r="A9" s="183"/>
      <c r="B9" s="183"/>
      <c r="C9" s="45" t="str">
        <f t="shared" si="0"/>
        <v/>
      </c>
      <c r="D9" s="179" t="str">
        <f>IFERROR(VLOOKUP($A9,Sheet1!$A$1:$B$98,2,0),"")</f>
        <v/>
      </c>
      <c r="E9" s="45" t="str">
        <f>IFERROR(VLOOKUP($A9,'Tổng Đơn'!$A$5:$E$79,5,0),"")</f>
        <v/>
      </c>
      <c r="F9" s="45" t="str">
        <f t="shared" si="1"/>
        <v/>
      </c>
      <c r="G9" s="191" t="str">
        <f>IF(AND($C9="",$C8&lt;&gt;""),"Tổng Cộng",IFERROR(VLOOKUP($A9,Sheet1!$A$1:$D$98,4,0),""))</f>
        <v/>
      </c>
      <c r="H9" s="181" t="str">
        <f>IF($C8=MAX($C$8:$C$56),SUM($H$8:$H8),IFERROR($G9*$F9,""))</f>
        <v/>
      </c>
      <c r="I9" s="80" t="str">
        <f t="shared" si="2"/>
        <v/>
      </c>
      <c r="L9" s="46"/>
    </row>
    <row r="10" spans="1:14" s="44" customFormat="1" ht="14.25" customHeight="1" x14ac:dyDescent="0.25">
      <c r="A10" s="183"/>
      <c r="B10" s="183"/>
      <c r="C10" s="45" t="str">
        <f t="shared" si="0"/>
        <v/>
      </c>
      <c r="D10" s="179" t="str">
        <f>IFERROR(VLOOKUP($A10,Sheet1!$A$1:$B$98,2,0),"")</f>
        <v/>
      </c>
      <c r="E10" s="45" t="str">
        <f>IFERROR(VLOOKUP($A10,'Tổng Đơn'!$A$5:$E$79,5,0),"")</f>
        <v/>
      </c>
      <c r="F10" s="45" t="str">
        <f t="shared" ref="F10" si="3">IF($B10="","",B10)</f>
        <v/>
      </c>
      <c r="G10" s="191" t="str">
        <f>IF(AND($C10="",$C9&lt;&gt;""),"Tổng Cộng",IFERROR(VLOOKUP($A10,Sheet1!$A$1:$D$98,4,0),""))</f>
        <v/>
      </c>
      <c r="H10" s="181" t="str">
        <f>IF($C9=MAX($C$8:$C$56),SUM($H$8:$H9),IFERROR($G10*$F10,""))</f>
        <v/>
      </c>
      <c r="I10" s="80" t="str">
        <f t="shared" si="2"/>
        <v/>
      </c>
      <c r="L10" s="46"/>
    </row>
    <row r="11" spans="1:14" s="44" customFormat="1" ht="14.25" customHeight="1" x14ac:dyDescent="0.25">
      <c r="A11" s="183"/>
      <c r="B11" s="183"/>
      <c r="C11" s="45" t="str">
        <f t="shared" si="0"/>
        <v/>
      </c>
      <c r="D11" s="179" t="str">
        <f>IFERROR(VLOOKUP($A11,Sheet1!$A$1:$B$98,2,0),"")</f>
        <v/>
      </c>
      <c r="E11" s="45" t="str">
        <f>IFERROR(VLOOKUP($A11,'Tổng Đơn'!$A$5:$E$79,5,0),"")</f>
        <v/>
      </c>
      <c r="F11" s="45" t="str">
        <f t="shared" si="1"/>
        <v/>
      </c>
      <c r="G11" s="191" t="str">
        <f>IF(AND($C11="",$C10&lt;&gt;""),"Tổng Cộng",IFERROR(VLOOKUP($A11,Sheet1!$A$1:$D$98,4,0),""))</f>
        <v/>
      </c>
      <c r="H11" s="181" t="str">
        <f>IF($C10=MAX($C$8:$C$56),SUM($H$8:$H10),IFERROR($G11*$F11,""))</f>
        <v/>
      </c>
      <c r="I11" s="80" t="str">
        <f t="shared" si="2"/>
        <v/>
      </c>
      <c r="L11" s="46"/>
    </row>
    <row r="12" spans="1:14" s="44" customFormat="1" ht="14.25" customHeight="1" x14ac:dyDescent="0.25">
      <c r="A12" s="183"/>
      <c r="B12" s="183"/>
      <c r="C12" s="45" t="str">
        <f t="shared" si="0"/>
        <v/>
      </c>
      <c r="D12" s="179" t="str">
        <f>IFERROR(VLOOKUP($A12,Sheet1!$A$1:$B$98,2,0),"")</f>
        <v/>
      </c>
      <c r="E12" s="45" t="str">
        <f>IFERROR(VLOOKUP($A12,'Tổng Đơn'!$A$5:$E$79,5,0),"")</f>
        <v/>
      </c>
      <c r="F12" s="45" t="str">
        <f t="shared" si="1"/>
        <v/>
      </c>
      <c r="G12" s="191" t="str">
        <f>IF(AND($C12="",$C11&lt;&gt;""),"Tổng Cộng",IFERROR(VLOOKUP($A12,Sheet1!$A$1:$D$98,4,0),""))</f>
        <v/>
      </c>
      <c r="H12" s="181" t="str">
        <f>IF($C11=MAX($C$8:$C$56),SUM($H$8:$H11),IFERROR($G12*$F12,""))</f>
        <v/>
      </c>
      <c r="I12" s="80" t="str">
        <f t="shared" si="2"/>
        <v/>
      </c>
      <c r="J12" s="153"/>
      <c r="L12" s="46"/>
      <c r="M12" s="161"/>
      <c r="N12" s="154"/>
    </row>
    <row r="13" spans="1:14" s="44" customFormat="1" ht="14.25" customHeight="1" x14ac:dyDescent="0.25">
      <c r="A13" s="183"/>
      <c r="B13" s="183"/>
      <c r="C13" s="45" t="str">
        <f t="shared" si="0"/>
        <v/>
      </c>
      <c r="D13" s="179" t="str">
        <f>IFERROR(VLOOKUP($A13,Sheet1!$A$1:$B$98,2,0),"")</f>
        <v/>
      </c>
      <c r="E13" s="45" t="str">
        <f>IFERROR(VLOOKUP($A13,'Tổng Đơn'!$A$5:$E$79,5,0),"")</f>
        <v/>
      </c>
      <c r="F13" s="45" t="str">
        <f t="shared" si="1"/>
        <v/>
      </c>
      <c r="G13" s="191" t="str">
        <f>IF(AND($C13="",$C12&lt;&gt;""),"Tổng Cộng",IFERROR(VLOOKUP($A13,Sheet1!$A$1:$D$98,4,0),""))</f>
        <v/>
      </c>
      <c r="H13" s="181" t="str">
        <f>IF($C12=MAX($C$8:$C$56),SUM($H$8:$H12),IFERROR($G13*$F13,""))</f>
        <v/>
      </c>
      <c r="I13" s="80" t="str">
        <f t="shared" si="2"/>
        <v/>
      </c>
      <c r="L13" s="46"/>
    </row>
    <row r="14" spans="1:14" s="44" customFormat="1" ht="14.25" customHeight="1" x14ac:dyDescent="0.25">
      <c r="A14" s="183"/>
      <c r="B14" s="183"/>
      <c r="C14" s="45" t="str">
        <f t="shared" si="0"/>
        <v/>
      </c>
      <c r="D14" s="179" t="str">
        <f>IFERROR(VLOOKUP($A14,Sheet1!$A$1:$B$98,2,0),"")</f>
        <v/>
      </c>
      <c r="E14" s="45" t="str">
        <f>IFERROR(VLOOKUP($A14,'Tổng Đơn'!$A$5:$E$79,5,0),"")</f>
        <v/>
      </c>
      <c r="F14" s="45" t="str">
        <f t="shared" ref="F14" si="4">IF($B14="","",B14)</f>
        <v/>
      </c>
      <c r="G14" s="191" t="str">
        <f>IF(AND($C14="",$C13&lt;&gt;""),"Tổng Cộng",IFERROR(VLOOKUP($A14,Sheet1!$A$1:$D$98,4,0),""))</f>
        <v/>
      </c>
      <c r="H14" s="181" t="str">
        <f>IF($C13=MAX($C$8:$C$56),SUM($H$8:$H13),IFERROR($G14*$F14,""))</f>
        <v/>
      </c>
      <c r="I14" s="80" t="str">
        <f t="shared" si="2"/>
        <v/>
      </c>
      <c r="L14" s="46"/>
      <c r="M14" s="162"/>
    </row>
    <row r="15" spans="1:14" s="44" customFormat="1" ht="14.25" customHeight="1" x14ac:dyDescent="0.25">
      <c r="A15" s="183"/>
      <c r="B15" s="183"/>
      <c r="C15" s="45" t="str">
        <f t="shared" si="0"/>
        <v/>
      </c>
      <c r="D15" s="179" t="str">
        <f>IFERROR(VLOOKUP($A15,Sheet1!$A$1:$B$98,2,0),"")</f>
        <v/>
      </c>
      <c r="E15" s="45" t="str">
        <f>IFERROR(VLOOKUP($A15,'Tổng Đơn'!$A$5:$E$79,5,0),"")</f>
        <v/>
      </c>
      <c r="F15" s="45" t="str">
        <f t="shared" si="1"/>
        <v/>
      </c>
      <c r="G15" s="191" t="str">
        <f>IF(AND($C15="",$C14&lt;&gt;""),"Tổng Cộng",IFERROR(VLOOKUP($A15,Sheet1!$A$1:$D$98,4,0),""))</f>
        <v/>
      </c>
      <c r="H15" s="181" t="str">
        <f>IF($C14=MAX($C$8:$C$56),SUM($H$8:$H14),IFERROR($G15*$F15,""))</f>
        <v/>
      </c>
      <c r="I15" s="80" t="str">
        <f t="shared" si="2"/>
        <v/>
      </c>
      <c r="L15" s="46"/>
    </row>
    <row r="16" spans="1:14" s="44" customFormat="1" ht="14.25" customHeight="1" x14ac:dyDescent="0.25">
      <c r="A16" s="183"/>
      <c r="B16" s="183"/>
      <c r="C16" s="45" t="str">
        <f t="shared" si="0"/>
        <v/>
      </c>
      <c r="D16" s="179" t="str">
        <f>IFERROR(VLOOKUP($A16,Sheet1!$A$1:$B$98,2,0),"")</f>
        <v/>
      </c>
      <c r="E16" s="45" t="str">
        <f>IFERROR(VLOOKUP($A16,'Tổng Đơn'!$A$5:$E$79,5,0),"")</f>
        <v/>
      </c>
      <c r="F16" s="45" t="str">
        <f t="shared" si="1"/>
        <v/>
      </c>
      <c r="G16" s="191" t="str">
        <f>IF(AND($C16="",$C15&lt;&gt;""),"Tổng Cộng",IFERROR(VLOOKUP($A16,Sheet1!$A$1:$D$98,4,0),""))</f>
        <v/>
      </c>
      <c r="H16" s="181" t="str">
        <f>IF($C15=MAX($C$8:$C$56),SUM($H$8:$H15),IFERROR($G16*$F16,""))</f>
        <v/>
      </c>
      <c r="I16" s="80" t="str">
        <f t="shared" si="2"/>
        <v/>
      </c>
      <c r="L16" s="46"/>
    </row>
    <row r="17" spans="1:12" s="44" customFormat="1" ht="14.25" customHeight="1" x14ac:dyDescent="0.25">
      <c r="A17" s="183"/>
      <c r="B17" s="183"/>
      <c r="C17" s="45" t="str">
        <f t="shared" si="0"/>
        <v/>
      </c>
      <c r="D17" s="190" t="str">
        <f>IFERROR(VLOOKUP($A17,Sheet1!$A$1:$B$98,2,0),"")</f>
        <v/>
      </c>
      <c r="E17" s="45" t="str">
        <f>IFERROR(VLOOKUP($A17,'Tổng Đơn'!$A$5:$E$79,5,0),"")</f>
        <v/>
      </c>
      <c r="F17" s="45" t="str">
        <f t="shared" si="1"/>
        <v/>
      </c>
      <c r="G17" s="191" t="str">
        <f>IF(AND($C17="",$C16&lt;&gt;""),"Tổng Cộng",IFERROR(VLOOKUP($A17,Sheet1!$A$1:$D$98,4,0),""))</f>
        <v/>
      </c>
      <c r="H17" s="181" t="str">
        <f>IF($C16=MAX($C$8:$C$56),SUM($H$8:$H16),IFERROR($G17*$F17,""))</f>
        <v/>
      </c>
      <c r="I17" s="80" t="str">
        <f t="shared" si="2"/>
        <v/>
      </c>
      <c r="L17" s="46"/>
    </row>
    <row r="18" spans="1:12" s="44" customFormat="1" ht="14.25" customHeight="1" x14ac:dyDescent="0.25">
      <c r="A18" s="183"/>
      <c r="B18" s="183"/>
      <c r="C18" s="45" t="str">
        <f t="shared" si="0"/>
        <v/>
      </c>
      <c r="D18" s="190" t="str">
        <f>IFERROR(VLOOKUP($A18,Sheet1!$A$1:$B$98,2,0),"")</f>
        <v/>
      </c>
      <c r="E18" s="45" t="str">
        <f>IFERROR(VLOOKUP($A18,'Tổng Đơn'!$A$5:$E$79,5,0),"")</f>
        <v/>
      </c>
      <c r="F18" s="45" t="str">
        <f t="shared" si="1"/>
        <v/>
      </c>
      <c r="G18" s="191" t="str">
        <f>IF(AND($C18="",$C17&lt;&gt;""),"Tổng Cộng",IFERROR(VLOOKUP($A18,Sheet1!$A$1:$D$98,4,0),""))</f>
        <v/>
      </c>
      <c r="H18" s="181" t="str">
        <f>IF($C17=MAX($C$8:$C$56),SUM($H$8:$H17),IFERROR($G18*$F18,""))</f>
        <v/>
      </c>
      <c r="I18" s="80" t="str">
        <f t="shared" si="2"/>
        <v/>
      </c>
      <c r="L18" s="46"/>
    </row>
    <row r="19" spans="1:12" s="44" customFormat="1" ht="14.25" customHeight="1" x14ac:dyDescent="0.25">
      <c r="A19" s="183"/>
      <c r="B19" s="183"/>
      <c r="C19" s="45" t="str">
        <f t="shared" si="0"/>
        <v/>
      </c>
      <c r="D19" s="190" t="str">
        <f>IFERROR(VLOOKUP($A19,Sheet1!$A$1:$B$98,2,0),"")</f>
        <v/>
      </c>
      <c r="E19" s="45" t="str">
        <f>IFERROR(VLOOKUP($A19,'Tổng Đơn'!$A$5:$E$79,5,0),"")</f>
        <v/>
      </c>
      <c r="F19" s="45" t="str">
        <f t="shared" si="1"/>
        <v/>
      </c>
      <c r="G19" s="191" t="str">
        <f>IF(AND($C19="",$C18&lt;&gt;""),"Tổng Cộng",IFERROR(VLOOKUP($A19,Sheet1!$A$1:$D$98,4,0),""))</f>
        <v/>
      </c>
      <c r="H19" s="181" t="str">
        <f>IF($C18=MAX($C$8:$C$56),SUM($H$8:$H18),IFERROR($G19*$F19,""))</f>
        <v/>
      </c>
      <c r="I19" s="80" t="str">
        <f t="shared" si="2"/>
        <v/>
      </c>
      <c r="L19" s="46"/>
    </row>
    <row r="20" spans="1:12" s="44" customFormat="1" ht="14.25" customHeight="1" x14ac:dyDescent="0.25">
      <c r="A20" s="183"/>
      <c r="B20" s="183"/>
      <c r="C20" s="45" t="str">
        <f t="shared" si="0"/>
        <v/>
      </c>
      <c r="D20" s="190" t="str">
        <f>IFERROR(VLOOKUP($A20,Sheet1!$A$1:$B$98,2,0),"")</f>
        <v/>
      </c>
      <c r="E20" s="45" t="str">
        <f>IFERROR(VLOOKUP($A20,'Tổng Đơn'!$A$5:$E$79,5,0),"")</f>
        <v/>
      </c>
      <c r="F20" s="45" t="str">
        <f t="shared" si="1"/>
        <v/>
      </c>
      <c r="G20" s="191" t="str">
        <f>IF(AND($C20="",$C19&lt;&gt;""),"Tổng Cộng",IFERROR(VLOOKUP($A20,Sheet1!$A$1:$D$98,4,0),""))</f>
        <v/>
      </c>
      <c r="H20" s="181" t="str">
        <f>IF($C19=MAX($C$8:$C$56),SUM($H$8:$H19),IFERROR($G20*$F20,""))</f>
        <v/>
      </c>
      <c r="I20" s="80" t="str">
        <f t="shared" si="2"/>
        <v/>
      </c>
      <c r="L20" s="46"/>
    </row>
    <row r="21" spans="1:12" s="44" customFormat="1" ht="14.25" customHeight="1" x14ac:dyDescent="0.25">
      <c r="A21" s="183"/>
      <c r="B21" s="183"/>
      <c r="C21" s="45" t="str">
        <f t="shared" si="0"/>
        <v/>
      </c>
      <c r="D21" s="190" t="str">
        <f>IFERROR(VLOOKUP($A21,Sheet1!$A$1:$B$98,2,0),"")</f>
        <v/>
      </c>
      <c r="E21" s="45" t="str">
        <f>IFERROR(VLOOKUP($A21,'Tổng Đơn'!$A$5:$E$79,5,0),"")</f>
        <v/>
      </c>
      <c r="F21" s="45" t="str">
        <f t="shared" si="1"/>
        <v/>
      </c>
      <c r="G21" s="191" t="str">
        <f>IF(AND($C21="",$C20&lt;&gt;""),"Tổng Cộng",IFERROR(VLOOKUP($A21,Sheet1!$A$1:$D$98,4,0),""))</f>
        <v/>
      </c>
      <c r="H21" s="181" t="str">
        <f>IF($C20=MAX($C$8:$C$56),SUM($H$8:$H20),IFERROR($G21*$F21,""))</f>
        <v/>
      </c>
      <c r="I21" s="80" t="str">
        <f t="shared" si="2"/>
        <v/>
      </c>
      <c r="L21" s="46"/>
    </row>
    <row r="22" spans="1:12" s="44" customFormat="1" ht="14.25" customHeight="1" x14ac:dyDescent="0.25">
      <c r="A22" s="183"/>
      <c r="B22" s="183"/>
      <c r="C22" s="45" t="str">
        <f t="shared" si="0"/>
        <v/>
      </c>
      <c r="D22" s="179" t="str">
        <f>IFERROR(VLOOKUP($A22,Sheet1!$A$1:$B$98,2,0),"")</f>
        <v/>
      </c>
      <c r="E22" s="45" t="str">
        <f>IFERROR(VLOOKUP($A22,'Tổng Đơn'!$A$5:$E$79,5,0),"")</f>
        <v/>
      </c>
      <c r="F22" s="45" t="str">
        <f t="shared" si="1"/>
        <v/>
      </c>
      <c r="G22" s="191" t="str">
        <f>IF(AND($C22="",$C21&lt;&gt;""),"Tổng Cộng",IFERROR(VLOOKUP($A22,Sheet1!$A$1:$D$98,4,0),""))</f>
        <v/>
      </c>
      <c r="H22" s="181" t="str">
        <f>IF($C21=MAX($C$8:$C$56),SUM($H$8:$H21),IFERROR($G22*$F22,""))</f>
        <v/>
      </c>
      <c r="I22" s="80" t="str">
        <f t="shared" si="2"/>
        <v/>
      </c>
      <c r="L22" s="46"/>
    </row>
    <row r="23" spans="1:12" s="44" customFormat="1" ht="14.25" customHeight="1" x14ac:dyDescent="0.25">
      <c r="A23" s="183"/>
      <c r="B23" s="183"/>
      <c r="C23" s="45" t="str">
        <f t="shared" si="0"/>
        <v/>
      </c>
      <c r="D23" s="179" t="str">
        <f>IFERROR(VLOOKUP($A23,Sheet1!$A$1:$B$98,2,0),"")</f>
        <v/>
      </c>
      <c r="E23" s="45" t="str">
        <f>IFERROR(VLOOKUP($A23,'Tổng Đơn'!$A$5:$E$79,5,0),"")</f>
        <v/>
      </c>
      <c r="F23" s="45" t="str">
        <f t="shared" si="1"/>
        <v/>
      </c>
      <c r="G23" s="191" t="str">
        <f>IF(AND($C23="",$C22&lt;&gt;""),"Tổng Cộng",IFERROR(VLOOKUP($A23,Sheet1!$A$1:$D$98,4,0),""))</f>
        <v/>
      </c>
      <c r="H23" s="181" t="str">
        <f>IF($C22=MAX($C$8:$C$56),SUM($H$8:$H22),IFERROR($G23*$F23,""))</f>
        <v/>
      </c>
      <c r="I23" s="80" t="str">
        <f t="shared" si="2"/>
        <v/>
      </c>
      <c r="L23" s="46"/>
    </row>
    <row r="24" spans="1:12" s="44" customFormat="1" ht="14.25" customHeight="1" x14ac:dyDescent="0.25">
      <c r="A24" s="183"/>
      <c r="B24" s="183"/>
      <c r="C24" s="45" t="str">
        <f t="shared" si="0"/>
        <v/>
      </c>
      <c r="D24" s="179" t="str">
        <f>IFERROR(VLOOKUP($A24,Sheet1!$A$1:$B$98,2,0),"")</f>
        <v/>
      </c>
      <c r="E24" s="45" t="str">
        <f>IFERROR(VLOOKUP($A24,'Tổng Đơn'!$A$5:$E$79,5,0),"")</f>
        <v/>
      </c>
      <c r="F24" s="45" t="str">
        <f t="shared" si="1"/>
        <v/>
      </c>
      <c r="G24" s="191" t="str">
        <f>IF(AND($C24="",$C23&lt;&gt;""),"Tổng Cộng",IFERROR(VLOOKUP($A24,Sheet1!$A$1:$D$98,4,0),""))</f>
        <v/>
      </c>
      <c r="H24" s="181" t="str">
        <f>IF($C23=MAX($C$8:$C$56),SUM($H$8:$H23),IFERROR($G24*$F24,""))</f>
        <v/>
      </c>
      <c r="I24" s="80" t="str">
        <f t="shared" si="2"/>
        <v/>
      </c>
      <c r="L24" s="46"/>
    </row>
    <row r="25" spans="1:12" s="44" customFormat="1" ht="14.25" customHeight="1" x14ac:dyDescent="0.25">
      <c r="A25" s="183"/>
      <c r="B25" s="183"/>
      <c r="C25" s="45" t="str">
        <f t="shared" si="0"/>
        <v/>
      </c>
      <c r="D25" s="179" t="str">
        <f>IFERROR(VLOOKUP($A25,Sheet1!$A$1:$B$98,2,0),"")</f>
        <v/>
      </c>
      <c r="E25" s="45" t="str">
        <f>IFERROR(VLOOKUP($A25,'Tổng Đơn'!$A$5:$E$79,5,0),"")</f>
        <v/>
      </c>
      <c r="F25" s="45" t="str">
        <f t="shared" si="1"/>
        <v/>
      </c>
      <c r="G25" s="191" t="str">
        <f>IF(AND($C25="",$C24&lt;&gt;""),"Tổng Cộng",IFERROR(VLOOKUP($A25,Sheet1!$A$1:$D$98,4,0),""))</f>
        <v/>
      </c>
      <c r="H25" s="181" t="str">
        <f>IF($C24=MAX($C$8:$C$56),SUM($H$8:$H24),IFERROR($G25*$F25,""))</f>
        <v/>
      </c>
      <c r="I25" s="80" t="str">
        <f t="shared" si="2"/>
        <v/>
      </c>
      <c r="L25" s="46"/>
    </row>
    <row r="26" spans="1:12" s="44" customFormat="1" ht="14.25" customHeight="1" x14ac:dyDescent="0.25">
      <c r="A26" s="183"/>
      <c r="B26" s="183"/>
      <c r="C26" s="45" t="str">
        <f t="shared" si="0"/>
        <v/>
      </c>
      <c r="D26" s="179" t="str">
        <f>IFERROR(VLOOKUP($A26,Sheet1!$A$1:$B$98,2,0),"")</f>
        <v/>
      </c>
      <c r="E26" s="45" t="str">
        <f>IFERROR(VLOOKUP($A26,'Tổng Đơn'!$A$5:$E$79,5,0),"")</f>
        <v/>
      </c>
      <c r="F26" s="45" t="str">
        <f t="shared" si="1"/>
        <v/>
      </c>
      <c r="G26" s="191" t="str">
        <f>IF(AND($C26="",$C25&lt;&gt;""),"Tổng Cộng",IFERROR(VLOOKUP($A26,Sheet1!$A$1:$D$98,4,0),""))</f>
        <v/>
      </c>
      <c r="H26" s="181" t="str">
        <f>IF($C25=MAX($C$8:$C$56),SUM($H$8:$H25),IFERROR($G26*$F26,""))</f>
        <v/>
      </c>
      <c r="I26" s="80" t="str">
        <f t="shared" si="2"/>
        <v/>
      </c>
      <c r="L26" s="46"/>
    </row>
    <row r="27" spans="1:12" s="44" customFormat="1" ht="14.25" customHeight="1" x14ac:dyDescent="0.25">
      <c r="A27" s="183"/>
      <c r="B27" s="183"/>
      <c r="C27" s="45" t="str">
        <f t="shared" si="0"/>
        <v/>
      </c>
      <c r="D27" s="179" t="str">
        <f>IFERROR(VLOOKUP($A27,Sheet1!$A$1:$B$98,2,0),"")</f>
        <v/>
      </c>
      <c r="E27" s="45" t="str">
        <f>IFERROR(VLOOKUP($A27,'Tổng Đơn'!$A$5:$E$79,5,0),"")</f>
        <v/>
      </c>
      <c r="F27" s="45" t="str">
        <f t="shared" si="1"/>
        <v/>
      </c>
      <c r="G27" s="191" t="str">
        <f>IF(AND($C27="",$C26&lt;&gt;""),"Tổng Cộng",IFERROR(VLOOKUP($A27,Sheet1!$A$1:$D$98,4,0),""))</f>
        <v/>
      </c>
      <c r="H27" s="181" t="str">
        <f>IF($C26=MAX($C$8:$C$56),SUM($H$8:$H26),IFERROR($G27*$F27,""))</f>
        <v/>
      </c>
      <c r="I27" s="80" t="str">
        <f t="shared" si="2"/>
        <v/>
      </c>
      <c r="L27" s="46"/>
    </row>
    <row r="28" spans="1:12" s="44" customFormat="1" ht="14.25" customHeight="1" x14ac:dyDescent="0.25">
      <c r="A28" s="183"/>
      <c r="B28" s="183"/>
      <c r="C28" s="45" t="str">
        <f t="shared" si="0"/>
        <v/>
      </c>
      <c r="D28" s="179" t="str">
        <f>IFERROR(VLOOKUP($A28,Sheet1!$A$1:$B$98,2,0),"")</f>
        <v/>
      </c>
      <c r="E28" s="45" t="str">
        <f>IFERROR(VLOOKUP($A28,'Tổng Đơn'!$A$5:$E$79,5,0),"")</f>
        <v/>
      </c>
      <c r="F28" s="45" t="str">
        <f t="shared" si="1"/>
        <v/>
      </c>
      <c r="G28" s="191" t="str">
        <f>IF(AND($C28="",$C27&lt;&gt;""),"Tổng Cộng",IFERROR(VLOOKUP($A28,Sheet1!$A$1:$D$98,4,0),""))</f>
        <v/>
      </c>
      <c r="H28" s="181" t="str">
        <f>IF($C27=MAX($C$8:$C$56),SUM($H$8:$H27),IFERROR($G28*$F28,""))</f>
        <v/>
      </c>
      <c r="I28" s="80" t="str">
        <f t="shared" si="2"/>
        <v/>
      </c>
      <c r="L28" s="46"/>
    </row>
    <row r="29" spans="1:12" s="44" customFormat="1" ht="14.25" customHeight="1" x14ac:dyDescent="0.25">
      <c r="A29" s="183"/>
      <c r="B29" s="183"/>
      <c r="C29" s="45" t="str">
        <f t="shared" si="0"/>
        <v/>
      </c>
      <c r="D29" s="179" t="str">
        <f>IFERROR(VLOOKUP($A29,Sheet1!$A$1:$B$98,2,0),"")</f>
        <v/>
      </c>
      <c r="E29" s="45" t="str">
        <f>IFERROR(VLOOKUP($A29,'Tổng Đơn'!$A$5:$E$79,5,0),"")</f>
        <v/>
      </c>
      <c r="F29" s="45" t="str">
        <f t="shared" si="1"/>
        <v/>
      </c>
      <c r="G29" s="191" t="str">
        <f>IF(AND($C29="",$C28&lt;&gt;""),"Tổng Cộng",IFERROR(VLOOKUP($A29,Sheet1!$A$1:$D$98,4,0),""))</f>
        <v/>
      </c>
      <c r="H29" s="181" t="str">
        <f>IF($C28=MAX($C$8:$C$56),SUM($H$8:$H28),IFERROR($G29*$F29,""))</f>
        <v/>
      </c>
      <c r="I29" s="80" t="str">
        <f t="shared" si="2"/>
        <v/>
      </c>
      <c r="L29" s="46"/>
    </row>
    <row r="30" spans="1:12" s="44" customFormat="1" ht="14.25" customHeight="1" x14ac:dyDescent="0.25">
      <c r="A30" s="183"/>
      <c r="B30" s="183"/>
      <c r="C30" s="45" t="str">
        <f t="shared" si="0"/>
        <v/>
      </c>
      <c r="D30" s="179" t="str">
        <f>IFERROR(VLOOKUP($A30,Sheet1!$A$1:$B$98,2,0),"")</f>
        <v/>
      </c>
      <c r="E30" s="45" t="str">
        <f>IFERROR(VLOOKUP($A30,'Tổng Đơn'!$A$5:$E$79,5,0),"")</f>
        <v/>
      </c>
      <c r="F30" s="45" t="str">
        <f t="shared" si="1"/>
        <v/>
      </c>
      <c r="G30" s="191" t="str">
        <f>IF(AND($C30="",$C29&lt;&gt;""),"Tổng Cộng",IFERROR(VLOOKUP($A30,Sheet1!$A$1:$D$98,4,0),""))</f>
        <v/>
      </c>
      <c r="H30" s="181" t="str">
        <f>IF($C29=MAX($C$8:$C$56),SUM($H$8:$H29),IFERROR($G30*$F30,""))</f>
        <v/>
      </c>
      <c r="I30" s="80" t="str">
        <f t="shared" si="2"/>
        <v/>
      </c>
      <c r="L30" s="46"/>
    </row>
    <row r="31" spans="1:12" s="44" customFormat="1" ht="14.25" customHeight="1" x14ac:dyDescent="0.25">
      <c r="A31" s="183"/>
      <c r="B31" s="183"/>
      <c r="C31" s="45" t="str">
        <f t="shared" si="0"/>
        <v/>
      </c>
      <c r="D31" s="179" t="str">
        <f>IFERROR(VLOOKUP($A31,Sheet1!$A$1:$B$98,2,0),"")</f>
        <v/>
      </c>
      <c r="E31" s="45" t="str">
        <f>IFERROR(VLOOKUP($A31,'Tổng Đơn'!$A$5:$E$79,5,0),"")</f>
        <v/>
      </c>
      <c r="F31" s="45" t="str">
        <f t="shared" si="1"/>
        <v/>
      </c>
      <c r="G31" s="191" t="str">
        <f>IF(AND($C31="",$C30&lt;&gt;""),"Tổng Cộng",IFERROR(VLOOKUP($A31,Sheet1!$A$1:$D$98,4,0),""))</f>
        <v/>
      </c>
      <c r="H31" s="181" t="str">
        <f>IF($C30=MAX($C$8:$C$56),SUM($H$8:$H30),IFERROR($G31*$F31,""))</f>
        <v/>
      </c>
      <c r="I31" s="80" t="str">
        <f t="shared" si="2"/>
        <v/>
      </c>
      <c r="L31" s="46"/>
    </row>
    <row r="32" spans="1:12" s="44" customFormat="1" ht="14.25" customHeight="1" x14ac:dyDescent="0.25">
      <c r="A32" s="183"/>
      <c r="B32" s="183"/>
      <c r="C32" s="45" t="str">
        <f t="shared" si="0"/>
        <v/>
      </c>
      <c r="D32" s="179" t="str">
        <f>IFERROR(VLOOKUP($A32,Sheet1!$A$1:$B$98,2,0),"")</f>
        <v/>
      </c>
      <c r="E32" s="45" t="str">
        <f>IFERROR(VLOOKUP($A32,'Tổng Đơn'!$A$5:$E$79,5,0),"")</f>
        <v/>
      </c>
      <c r="F32" s="45" t="str">
        <f t="shared" si="1"/>
        <v/>
      </c>
      <c r="G32" s="191" t="str">
        <f>IF(AND($C32="",$C31&lt;&gt;""),"Tổng Cộng",IFERROR(VLOOKUP($A32,Sheet1!$A$1:$D$98,4,0),""))</f>
        <v/>
      </c>
      <c r="H32" s="181" t="str">
        <f>IF($C31=MAX($C$8:$C$56),SUM($H$8:$H31),IFERROR($G32*$F32,""))</f>
        <v/>
      </c>
      <c r="I32" s="80" t="str">
        <f t="shared" si="2"/>
        <v/>
      </c>
      <c r="L32" s="46"/>
    </row>
    <row r="33" spans="1:12" s="44" customFormat="1" ht="14.25" customHeight="1" x14ac:dyDescent="0.25">
      <c r="A33" s="183"/>
      <c r="B33" s="183"/>
      <c r="C33" s="45" t="str">
        <f t="shared" si="0"/>
        <v/>
      </c>
      <c r="D33" s="179" t="str">
        <f>IFERROR(VLOOKUP($A33,Sheet1!$A$1:$B$98,2,0),"")</f>
        <v/>
      </c>
      <c r="E33" s="45" t="str">
        <f>IFERROR(VLOOKUP($A33,'Tổng Đơn'!$A$5:$E$79,5,0),"")</f>
        <v/>
      </c>
      <c r="F33" s="45" t="str">
        <f t="shared" si="1"/>
        <v/>
      </c>
      <c r="G33" s="191" t="str">
        <f>IF(AND($C33="",$C32&lt;&gt;""),"Tổng Cộng",IFERROR(VLOOKUP($A33,Sheet1!$A$1:$D$98,4,0),""))</f>
        <v/>
      </c>
      <c r="H33" s="181" t="str">
        <f>IF($C32=MAX($C$8:$C$56),SUM($H$8:$H32),IFERROR($G33*$F33,""))</f>
        <v/>
      </c>
      <c r="I33" s="80" t="str">
        <f t="shared" si="2"/>
        <v/>
      </c>
      <c r="L33" s="46"/>
    </row>
    <row r="34" spans="1:12" s="44" customFormat="1" ht="14.25" customHeight="1" x14ac:dyDescent="0.25">
      <c r="A34" s="183"/>
      <c r="B34" s="183"/>
      <c r="C34" s="45" t="str">
        <f t="shared" si="0"/>
        <v/>
      </c>
      <c r="D34" s="179" t="str">
        <f>IFERROR(VLOOKUP($A34,Sheet1!$A$1:$B$98,2,0),"")</f>
        <v/>
      </c>
      <c r="E34" s="45" t="str">
        <f>IFERROR(VLOOKUP($A34,'Tổng Đơn'!$A$5:$E$79,5,0),"")</f>
        <v/>
      </c>
      <c r="F34" s="45" t="str">
        <f t="shared" si="1"/>
        <v/>
      </c>
      <c r="G34" s="191" t="str">
        <f>IF(AND($C34="",$C33&lt;&gt;""),"Tổng Cộng",IFERROR(VLOOKUP($A34,Sheet1!$A$1:$D$98,4,0),""))</f>
        <v/>
      </c>
      <c r="H34" s="181" t="str">
        <f>IF($C33=MAX($C$8:$C$56),SUM($H$8:$H33),IFERROR($G34*$F34,""))</f>
        <v/>
      </c>
      <c r="I34" s="80" t="str">
        <f t="shared" si="2"/>
        <v/>
      </c>
      <c r="L34" s="46"/>
    </row>
    <row r="35" spans="1:12" s="44" customFormat="1" ht="14.25" customHeight="1" x14ac:dyDescent="0.25">
      <c r="A35" s="183"/>
      <c r="B35" s="183"/>
      <c r="C35" s="45" t="str">
        <f t="shared" si="0"/>
        <v/>
      </c>
      <c r="D35" s="179" t="str">
        <f>IFERROR(VLOOKUP($A35,Sheet1!$A$1:$B$98,2,0),"")</f>
        <v/>
      </c>
      <c r="E35" s="45" t="str">
        <f>IFERROR(VLOOKUP($A35,'Tổng Đơn'!$A$5:$E$79,5,0),"")</f>
        <v/>
      </c>
      <c r="F35" s="45" t="str">
        <f t="shared" si="1"/>
        <v/>
      </c>
      <c r="G35" s="191" t="str">
        <f>IF(AND($C35="",$C34&lt;&gt;""),"Tổng Cộng",IFERROR(VLOOKUP($A35,Sheet1!$A$1:$D$98,4,0),""))</f>
        <v/>
      </c>
      <c r="H35" s="181" t="str">
        <f>IF($C34=MAX($C$8:$C$56),SUM($H$8:$H34),IFERROR($G35*$F35,""))</f>
        <v/>
      </c>
      <c r="I35" s="80" t="str">
        <f t="shared" si="2"/>
        <v/>
      </c>
      <c r="L35" s="46"/>
    </row>
    <row r="36" spans="1:12" s="44" customFormat="1" ht="14.25" customHeight="1" x14ac:dyDescent="0.25">
      <c r="A36" s="183"/>
      <c r="B36" s="183"/>
      <c r="C36" s="45" t="str">
        <f t="shared" si="0"/>
        <v/>
      </c>
      <c r="D36" s="179" t="str">
        <f>IFERROR(VLOOKUP($A36,Sheet1!$A$1:$B$98,2,0),"")</f>
        <v/>
      </c>
      <c r="E36" s="45" t="str">
        <f>IFERROR(VLOOKUP($A36,'Tổng Đơn'!$A$5:$E$79,5,0),"")</f>
        <v/>
      </c>
      <c r="F36" s="45" t="str">
        <f t="shared" si="1"/>
        <v/>
      </c>
      <c r="G36" s="191" t="str">
        <f>IF(AND($C36="",$C35&lt;&gt;""),"Tổng Cộng",IFERROR(VLOOKUP($A36,Sheet1!$A$1:$D$98,4,0),""))</f>
        <v/>
      </c>
      <c r="H36" s="181" t="str">
        <f>IF($C35=MAX($C$8:$C$56),SUM($H$8:$H35),IFERROR($G36*$F36,""))</f>
        <v/>
      </c>
      <c r="I36" s="80" t="str">
        <f t="shared" si="2"/>
        <v/>
      </c>
      <c r="L36" s="46"/>
    </row>
    <row r="37" spans="1:12" s="44" customFormat="1" ht="14.25" customHeight="1" x14ac:dyDescent="0.25">
      <c r="A37" s="183"/>
      <c r="B37" s="183"/>
      <c r="C37" s="45" t="str">
        <f t="shared" si="0"/>
        <v/>
      </c>
      <c r="D37" s="179" t="str">
        <f>IFERROR(VLOOKUP($A37,Sheet1!$A$1:$B$98,2,0),"")</f>
        <v/>
      </c>
      <c r="E37" s="45" t="str">
        <f>IFERROR(VLOOKUP($A37,'Tổng Đơn'!$A$5:$E$79,5,0),"")</f>
        <v/>
      </c>
      <c r="F37" s="45" t="str">
        <f t="shared" si="1"/>
        <v/>
      </c>
      <c r="G37" s="191" t="str">
        <f>IF(AND($C37="",$C36&lt;&gt;""),"Tổng Cộng",IFERROR(VLOOKUP($A37,Sheet1!$A$1:$D$98,4,0),""))</f>
        <v/>
      </c>
      <c r="H37" s="181" t="str">
        <f>IF($C36=MAX($C$8:$C$56),SUM($H$8:$H36),IFERROR($G37*$F37,""))</f>
        <v/>
      </c>
      <c r="I37" s="80" t="str">
        <f t="shared" si="2"/>
        <v/>
      </c>
      <c r="L37" s="46"/>
    </row>
    <row r="38" spans="1:12" s="44" customFormat="1" ht="14.25" customHeight="1" x14ac:dyDescent="0.25">
      <c r="A38" s="183"/>
      <c r="B38" s="183"/>
      <c r="C38" s="48"/>
      <c r="D38" s="49"/>
      <c r="E38" s="78"/>
      <c r="F38" s="45"/>
      <c r="G38" s="192" t="str">
        <f>IF(AND($C38="",$C37&lt;&gt;""),"Tổng Cộng",IFERROR(VLOOKUP($A38,Sheet1!$A$1:$D$98,4,0),""))</f>
        <v/>
      </c>
      <c r="H38" s="50" t="str">
        <f>IF($C37=MAX($C$8:$C$56),SUM($H$8:$H37),IFERROR($G38*$F38,""))</f>
        <v/>
      </c>
      <c r="I38" s="80"/>
      <c r="L38" s="46"/>
    </row>
    <row r="39" spans="1:12" ht="15" customHeight="1" x14ac:dyDescent="0.25">
      <c r="F39" s="51"/>
      <c r="G39" s="171"/>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C1:H2"/>
    <mergeCell ref="G6:H6"/>
    <mergeCell ref="C3:E3"/>
    <mergeCell ref="C4:E4"/>
    <mergeCell ref="C5:H5"/>
    <mergeCell ref="F3:H3"/>
    <mergeCell ref="F4:H4"/>
  </mergeCells>
  <conditionalFormatting sqref="H8:H9 C38:E38 C9:G9 F15:H38 D15:E37 D10:H14">
    <cfRule type="expression" dxfId="59" priority="29">
      <formula>$C7=MAX($C$8:$C$37)</formula>
    </cfRule>
  </conditionalFormatting>
  <conditionalFormatting sqref="C10:C37">
    <cfRule type="expression" dxfId="58" priority="16">
      <formula>$C9=MAX($C$8:$C$37)</formula>
    </cfRule>
  </conditionalFormatting>
  <conditionalFormatting sqref="E8:E38">
    <cfRule type="expression" dxfId="57" priority="36">
      <formula>AND($A8="",$F8&lt;&gt;"")</formula>
    </cfRule>
  </conditionalFormatting>
  <conditionalFormatting sqref="F8:F38">
    <cfRule type="expression" dxfId="56" priority="38">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8194" r:id="rId4" name="Button 2">
              <controlPr defaultSize="0" print="0" autoFill="0" autoPict="0" macro="[0]!Macro4">
                <anchor moveWithCells="1" sizeWithCells="1">
                  <from>
                    <xdr:col>0</xdr:col>
                    <xdr:colOff>0</xdr:colOff>
                    <xdr:row>0</xdr:row>
                    <xdr:rowOff>0</xdr:rowOff>
                  </from>
                  <to>
                    <xdr:col>1</xdr:col>
                    <xdr:colOff>723900</xdr:colOff>
                    <xdr:row>7</xdr:row>
                    <xdr:rowOff>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5">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RowHeight="15" x14ac:dyDescent="0.25"/>
  <cols>
    <col min="1" max="1" width="11.7109375" style="14" customWidth="1"/>
    <col min="2" max="2" width="11.28515625" style="14" customWidth="1"/>
    <col min="3" max="3" width="9.140625" style="14"/>
    <col min="4" max="4" width="38.42578125" style="14" bestFit="1" customWidth="1"/>
    <col min="5" max="5" width="12.28515625" style="79"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33" t="s">
        <v>223</v>
      </c>
      <c r="D1" s="233"/>
      <c r="E1" s="233"/>
      <c r="F1" s="233"/>
      <c r="G1" s="233"/>
      <c r="H1" s="233"/>
    </row>
    <row r="2" spans="1:14" ht="15.75" customHeight="1" x14ac:dyDescent="0.25">
      <c r="C2" s="233"/>
      <c r="D2" s="233"/>
      <c r="E2" s="233"/>
      <c r="F2" s="233"/>
      <c r="G2" s="233"/>
      <c r="H2" s="233"/>
    </row>
    <row r="3" spans="1:14" ht="15" customHeight="1" x14ac:dyDescent="0.25">
      <c r="C3" s="235" t="s">
        <v>225</v>
      </c>
      <c r="D3" s="235"/>
      <c r="E3" s="235"/>
      <c r="F3" s="238" t="s">
        <v>227</v>
      </c>
      <c r="G3" s="238"/>
      <c r="H3" s="238"/>
    </row>
    <row r="4" spans="1:14" x14ac:dyDescent="0.25">
      <c r="C4" s="236" t="s">
        <v>226</v>
      </c>
      <c r="D4" s="236"/>
      <c r="E4" s="236"/>
      <c r="F4" s="239" t="s">
        <v>228</v>
      </c>
      <c r="G4" s="239"/>
      <c r="H4" s="239"/>
    </row>
    <row r="5" spans="1:14" s="172" customFormat="1" ht="21" customHeight="1" x14ac:dyDescent="0.25">
      <c r="C5" s="237" t="s">
        <v>224</v>
      </c>
      <c r="D5" s="237"/>
      <c r="E5" s="237"/>
      <c r="F5" s="237"/>
      <c r="G5" s="237"/>
      <c r="H5" s="237"/>
    </row>
    <row r="6" spans="1:14" s="172" customFormat="1" ht="17.25" customHeight="1" x14ac:dyDescent="0.25">
      <c r="C6" s="182" t="s">
        <v>229</v>
      </c>
      <c r="D6" s="187" t="s">
        <v>312</v>
      </c>
      <c r="E6" s="177"/>
      <c r="F6" s="177"/>
      <c r="G6" s="234" t="str">
        <f ca="1">"Ngày "&amp;DAY(TODAY())&amp;" Tháng "&amp;MONTH(TODAY())&amp;" Năm "&amp;YEAR(TODAY())</f>
        <v>Ngày 14 Tháng 2 Năm 2022</v>
      </c>
      <c r="H6" s="234"/>
    </row>
    <row r="7" spans="1:14" s="176" customFormat="1" ht="24" customHeight="1" x14ac:dyDescent="0.25">
      <c r="A7" s="173" t="s">
        <v>118</v>
      </c>
      <c r="B7" s="173" t="s">
        <v>16</v>
      </c>
      <c r="C7" s="174" t="s">
        <v>0</v>
      </c>
      <c r="D7" s="174" t="s">
        <v>17</v>
      </c>
      <c r="E7" s="178" t="str">
        <f>"Quy cách"&amp;CHAR(10)&amp;"(Kg)"</f>
        <v>Quy cách
(Kg)</v>
      </c>
      <c r="F7" s="174" t="s">
        <v>16</v>
      </c>
      <c r="G7" s="174" t="s">
        <v>18</v>
      </c>
      <c r="H7" s="174" t="s">
        <v>19</v>
      </c>
      <c r="I7" s="175">
        <f>SUBTOTAL(9,I8:I37)</f>
        <v>1.5</v>
      </c>
      <c r="L7" s="172"/>
    </row>
    <row r="8" spans="1:14" s="44" customFormat="1" ht="14.25" customHeight="1" x14ac:dyDescent="0.25">
      <c r="A8" s="183">
        <v>3</v>
      </c>
      <c r="B8" s="183">
        <v>1</v>
      </c>
      <c r="C8" s="45">
        <f t="shared" ref="C8:C37" si="0">IF(OR(SUM($C7,$A8&lt;&gt;"")=0,$A8=""),"",SUM($C7,$A8&lt;&gt;""))</f>
        <v>1</v>
      </c>
      <c r="D8" s="179" t="str">
        <f>IFERROR(VLOOKUP($A8,Sheet1!$A$1:$B$98,2,0),"")</f>
        <v>Cá viên rau củ HM</v>
      </c>
      <c r="E8" s="180">
        <f>IFERROR(VLOOKUP($A8,'Tổng Đơn'!$A$5:$E$79,5,0),"")</f>
        <v>0.5</v>
      </c>
      <c r="F8" s="45">
        <f t="shared" ref="F8:F37" si="1">IF($B8="","",B8)</f>
        <v>1</v>
      </c>
      <c r="G8" s="191">
        <f>IFERROR(VLOOKUP($A8,Sheet1!$A1:$D$98,4,0),"")</f>
        <v>28000</v>
      </c>
      <c r="H8" s="181">
        <f>IF($C7=MAX($C$8:$C$56),SUM($H7:$H$8),IFERROR($G8*$F8,""))</f>
        <v>28000</v>
      </c>
      <c r="I8" s="80">
        <f t="shared" ref="I8:I37" si="2">IF(TYPE($A8)&lt;&gt;1,"",IFERROR(F8*E8,""))</f>
        <v>0.5</v>
      </c>
      <c r="L8" s="47"/>
    </row>
    <row r="9" spans="1:14" s="44" customFormat="1" ht="14.25" customHeight="1" x14ac:dyDescent="0.25">
      <c r="A9" s="183">
        <v>4</v>
      </c>
      <c r="B9" s="183">
        <v>1</v>
      </c>
      <c r="C9" s="45">
        <f t="shared" si="0"/>
        <v>2</v>
      </c>
      <c r="D9" s="179" t="str">
        <f>IFERROR(VLOOKUP($A9,Sheet1!$A$1:$B$98,2,0),"")</f>
        <v>Tôm viên HM</v>
      </c>
      <c r="E9" s="45">
        <f>IFERROR(VLOOKUP($A9,'Tổng Đơn'!$A$5:$E$79,5,0),"")</f>
        <v>0.5</v>
      </c>
      <c r="F9" s="45">
        <f t="shared" si="1"/>
        <v>1</v>
      </c>
      <c r="G9" s="191">
        <f>IF(AND($C9="",$C8&lt;&gt;""),"Tổng Cộng",IFERROR(VLOOKUP($A9,Sheet1!$A$1:$D$98,4,0),""))</f>
        <v>30000</v>
      </c>
      <c r="H9" s="181">
        <f>IF($C8=MAX($C$8:$C$56),SUM($H$8:$H8),IFERROR($G9*$F9,""))</f>
        <v>30000</v>
      </c>
      <c r="I9" s="80">
        <f t="shared" si="2"/>
        <v>0.5</v>
      </c>
      <c r="L9" s="46"/>
    </row>
    <row r="10" spans="1:14" s="44" customFormat="1" ht="14.25" customHeight="1" x14ac:dyDescent="0.25">
      <c r="A10" s="183">
        <v>65</v>
      </c>
      <c r="B10" s="183">
        <v>1</v>
      </c>
      <c r="C10" s="45">
        <f t="shared" si="0"/>
        <v>3</v>
      </c>
      <c r="D10" s="179" t="str">
        <f>IFERROR(VLOOKUP($A10,Sheet1!$A$1:$B$98,2,0),"")</f>
        <v>Cá viên KK</v>
      </c>
      <c r="E10" s="45">
        <f>IFERROR(VLOOKUP($A10,'Tổng Đơn'!$A$5:$E$79,5,0),"")</f>
        <v>0.5</v>
      </c>
      <c r="F10" s="45">
        <f t="shared" si="1"/>
        <v>1</v>
      </c>
      <c r="G10" s="191">
        <f>IF(AND($C10="",$C9&lt;&gt;""),"Tổng Cộng",IFERROR(VLOOKUP($A10,Sheet1!$A$1:$D$98,4,0),""))</f>
        <v>23000</v>
      </c>
      <c r="H10" s="181">
        <f>IF($C9=MAX($C$8:$C$56),SUM($H$8:$H9),IFERROR($G10*$F10,""))</f>
        <v>23000</v>
      </c>
      <c r="I10" s="80">
        <f t="shared" si="2"/>
        <v>0.5</v>
      </c>
      <c r="L10" s="46"/>
    </row>
    <row r="11" spans="1:14" s="44" customFormat="1" ht="14.25" customHeight="1" x14ac:dyDescent="0.25">
      <c r="A11" s="183" t="s">
        <v>298</v>
      </c>
      <c r="B11" s="183"/>
      <c r="C11" s="45" t="str">
        <f t="shared" si="0"/>
        <v/>
      </c>
      <c r="D11" s="179" t="str">
        <f>IFERROR(VLOOKUP($A11,Sheet1!$A$1:$B$98,2,0),"")</f>
        <v/>
      </c>
      <c r="E11" s="45" t="str">
        <f>IFERROR(VLOOKUP($A11,'Tổng Đơn'!$A$5:$E$79,5,0),"")</f>
        <v/>
      </c>
      <c r="F11" s="45" t="str">
        <f t="shared" si="1"/>
        <v/>
      </c>
      <c r="G11" s="191" t="str">
        <f>IF(AND($C11="",$C10&lt;&gt;""),"Tổng Cộng",IFERROR(VLOOKUP($A11,Sheet1!$A$1:$D$98,4,0),""))</f>
        <v>Tổng Cộng</v>
      </c>
      <c r="H11" s="181">
        <f>IF($C10=MAX($C$8:$C$56),SUM($H$8:$H10),IFERROR($G11*$F11,""))</f>
        <v>81000</v>
      </c>
      <c r="I11" s="80" t="str">
        <f t="shared" si="2"/>
        <v/>
      </c>
      <c r="L11" s="46"/>
    </row>
    <row r="12" spans="1:14" s="44" customFormat="1" ht="14.25" customHeight="1" x14ac:dyDescent="0.25">
      <c r="A12" s="183" t="s">
        <v>298</v>
      </c>
      <c r="B12" s="183"/>
      <c r="C12" s="45" t="str">
        <f t="shared" si="0"/>
        <v/>
      </c>
      <c r="D12" s="179" t="str">
        <f>IFERROR(VLOOKUP($A12,Sheet1!$A$1:$B$98,2,0),"")</f>
        <v/>
      </c>
      <c r="E12" s="45" t="str">
        <f>IFERROR(VLOOKUP($A12,'Tổng Đơn'!$A$5:$E$79,5,0),"")</f>
        <v/>
      </c>
      <c r="F12" s="45" t="str">
        <f t="shared" si="1"/>
        <v/>
      </c>
      <c r="G12" s="191" t="str">
        <f>IF(AND($C12="",$C11&lt;&gt;""),"Tổng Cộng",IFERROR(VLOOKUP($A12,Sheet1!$A$1:$D$98,4,0),""))</f>
        <v/>
      </c>
      <c r="H12" s="181" t="str">
        <f>IF($C11=MAX($C$8:$C$56),SUM($H$8:$H11),IFERROR($G12*$F12,""))</f>
        <v/>
      </c>
      <c r="I12" s="80" t="str">
        <f t="shared" si="2"/>
        <v/>
      </c>
      <c r="J12" s="153"/>
      <c r="L12" s="46"/>
      <c r="M12" s="161"/>
      <c r="N12" s="154"/>
    </row>
    <row r="13" spans="1:14" s="44" customFormat="1" ht="14.25" customHeight="1" x14ac:dyDescent="0.25">
      <c r="A13" s="183" t="s">
        <v>298</v>
      </c>
      <c r="B13" s="183"/>
      <c r="C13" s="45" t="str">
        <f t="shared" si="0"/>
        <v/>
      </c>
      <c r="D13" s="179" t="str">
        <f>IFERROR(VLOOKUP($A13,Sheet1!$A$1:$B$98,2,0),"")</f>
        <v/>
      </c>
      <c r="E13" s="45" t="str">
        <f>IFERROR(VLOOKUP($A13,'Tổng Đơn'!$A$5:$E$79,5,0),"")</f>
        <v/>
      </c>
      <c r="F13" s="45" t="str">
        <f t="shared" si="1"/>
        <v/>
      </c>
      <c r="G13" s="191" t="str">
        <f>IF(AND($C13="",$C12&lt;&gt;""),"Tổng Cộng",IFERROR(VLOOKUP($A13,Sheet1!$A$1:$D$98,4,0),""))</f>
        <v/>
      </c>
      <c r="H13" s="181" t="str">
        <f>IF($C12=MAX($C$8:$C$56),SUM($H$8:$H12),IFERROR($G13*$F13,""))</f>
        <v/>
      </c>
      <c r="I13" s="80" t="str">
        <f t="shared" si="2"/>
        <v/>
      </c>
      <c r="L13" s="46"/>
    </row>
    <row r="14" spans="1:14" s="44" customFormat="1" ht="14.25" customHeight="1" x14ac:dyDescent="0.25">
      <c r="A14" s="183" t="s">
        <v>298</v>
      </c>
      <c r="B14" s="183"/>
      <c r="C14" s="45" t="str">
        <f t="shared" si="0"/>
        <v/>
      </c>
      <c r="D14" s="179" t="str">
        <f>IFERROR(VLOOKUP($A14,Sheet1!$A$1:$B$98,2,0),"")</f>
        <v/>
      </c>
      <c r="E14" s="45" t="str">
        <f>IFERROR(VLOOKUP($A14,'Tổng Đơn'!$A$5:$E$79,5,0),"")</f>
        <v/>
      </c>
      <c r="F14" s="45" t="str">
        <f t="shared" si="1"/>
        <v/>
      </c>
      <c r="G14" s="191" t="str">
        <f>IF(AND($C14="",$C13&lt;&gt;""),"Tổng Cộng",IFERROR(VLOOKUP($A14,Sheet1!$A$1:$D$98,4,0),""))</f>
        <v/>
      </c>
      <c r="H14" s="181" t="str">
        <f>IF($C13=MAX($C$8:$C$56),SUM($H$8:$H13),IFERROR($G14*$F14,""))</f>
        <v/>
      </c>
      <c r="I14" s="80" t="str">
        <f t="shared" si="2"/>
        <v/>
      </c>
      <c r="L14" s="46"/>
      <c r="M14" s="162"/>
    </row>
    <row r="15" spans="1:14" s="44" customFormat="1" ht="14.25" customHeight="1" x14ac:dyDescent="0.25">
      <c r="A15" s="183" t="s">
        <v>298</v>
      </c>
      <c r="B15" s="183"/>
      <c r="C15" s="45" t="str">
        <f t="shared" si="0"/>
        <v/>
      </c>
      <c r="D15" s="179" t="str">
        <f>IFERROR(VLOOKUP($A15,Sheet1!$A$1:$B$98,2,0),"")</f>
        <v/>
      </c>
      <c r="E15" s="45" t="str">
        <f>IFERROR(VLOOKUP($A15,'Tổng Đơn'!$A$5:$E$79,5,0),"")</f>
        <v/>
      </c>
      <c r="F15" s="45" t="str">
        <f t="shared" si="1"/>
        <v/>
      </c>
      <c r="G15" s="191" t="str">
        <f>IF(AND($C15="",$C14&lt;&gt;""),"Tổng Cộng",IFERROR(VLOOKUP($A15,Sheet1!$A$1:$D$98,4,0),""))</f>
        <v/>
      </c>
      <c r="H15" s="181" t="str">
        <f>IF($C14=MAX($C$8:$C$56),SUM($H$8:$H14),IFERROR($G15*$F15,""))</f>
        <v/>
      </c>
      <c r="I15" s="80" t="str">
        <f t="shared" si="2"/>
        <v/>
      </c>
      <c r="L15" s="46"/>
    </row>
    <row r="16" spans="1:14" s="44" customFormat="1" ht="14.25" customHeight="1" x14ac:dyDescent="0.25">
      <c r="A16" s="183" t="s">
        <v>298</v>
      </c>
      <c r="B16" s="183"/>
      <c r="C16" s="45" t="str">
        <f t="shared" si="0"/>
        <v/>
      </c>
      <c r="D16" s="179" t="str">
        <f>IFERROR(VLOOKUP($A16,Sheet1!$A$1:$B$98,2,0),"")</f>
        <v/>
      </c>
      <c r="E16" s="45" t="str">
        <f>IFERROR(VLOOKUP($A16,'Tổng Đơn'!$A$5:$E$79,5,0),"")</f>
        <v/>
      </c>
      <c r="F16" s="45" t="str">
        <f t="shared" si="1"/>
        <v/>
      </c>
      <c r="G16" s="191" t="str">
        <f>IF(AND($C16="",$C15&lt;&gt;""),"Tổng Cộng",IFERROR(VLOOKUP($A16,Sheet1!$A$1:$D$98,4,0),""))</f>
        <v/>
      </c>
      <c r="H16" s="181" t="str">
        <f>IF($C15=MAX($C$8:$C$56),SUM($H$8:$H15),IFERROR($G16*$F16,""))</f>
        <v/>
      </c>
      <c r="I16" s="80" t="str">
        <f t="shared" si="2"/>
        <v/>
      </c>
      <c r="L16" s="46"/>
    </row>
    <row r="17" spans="1:12" s="44" customFormat="1" ht="14.25" customHeight="1" x14ac:dyDescent="0.25">
      <c r="A17" s="183" t="s">
        <v>298</v>
      </c>
      <c r="B17" s="183"/>
      <c r="C17" s="45" t="str">
        <f t="shared" si="0"/>
        <v/>
      </c>
      <c r="D17" s="190" t="str">
        <f>IFERROR(VLOOKUP($A17,Sheet1!$A$1:$B$98,2,0),"")</f>
        <v/>
      </c>
      <c r="E17" s="45" t="str">
        <f>IFERROR(VLOOKUP($A17,'Tổng Đơn'!$A$5:$E$79,5,0),"")</f>
        <v/>
      </c>
      <c r="F17" s="45" t="str">
        <f t="shared" si="1"/>
        <v/>
      </c>
      <c r="G17" s="191" t="str">
        <f>IF(AND($C17="",$C16&lt;&gt;""),"Tổng Cộng",IFERROR(VLOOKUP($A17,Sheet1!$A$1:$D$98,4,0),""))</f>
        <v/>
      </c>
      <c r="H17" s="181" t="str">
        <f>IF($C16=MAX($C$8:$C$56),SUM($H$8:$H16),IFERROR($G17*$F17,""))</f>
        <v/>
      </c>
      <c r="I17" s="80" t="str">
        <f t="shared" si="2"/>
        <v/>
      </c>
      <c r="L17" s="46"/>
    </row>
    <row r="18" spans="1:12" s="44" customFormat="1" ht="14.25" customHeight="1" x14ac:dyDescent="0.25">
      <c r="A18" s="183" t="s">
        <v>298</v>
      </c>
      <c r="B18" s="183"/>
      <c r="C18" s="45" t="str">
        <f t="shared" si="0"/>
        <v/>
      </c>
      <c r="D18" s="190" t="str">
        <f>IFERROR(VLOOKUP($A18,Sheet1!$A$1:$B$98,2,0),"")</f>
        <v/>
      </c>
      <c r="E18" s="45" t="str">
        <f>IFERROR(VLOOKUP($A18,'Tổng Đơn'!$A$5:$E$79,5,0),"")</f>
        <v/>
      </c>
      <c r="F18" s="45" t="str">
        <f t="shared" si="1"/>
        <v/>
      </c>
      <c r="G18" s="191" t="str">
        <f>IF(AND($C18="",$C17&lt;&gt;""),"Tổng Cộng",IFERROR(VLOOKUP($A18,Sheet1!$A$1:$D$98,4,0),""))</f>
        <v/>
      </c>
      <c r="H18" s="181" t="str">
        <f>IF($C17=MAX($C$8:$C$56),SUM($H$8:$H17),IFERROR($G18*$F18,""))</f>
        <v/>
      </c>
      <c r="I18" s="80" t="str">
        <f t="shared" si="2"/>
        <v/>
      </c>
      <c r="L18" s="46"/>
    </row>
    <row r="19" spans="1:12" s="44" customFormat="1" ht="14.25" customHeight="1" x14ac:dyDescent="0.25">
      <c r="A19" s="183" t="s">
        <v>298</v>
      </c>
      <c r="B19" s="183"/>
      <c r="C19" s="45" t="str">
        <f t="shared" si="0"/>
        <v/>
      </c>
      <c r="D19" s="190" t="str">
        <f>IFERROR(VLOOKUP($A19,Sheet1!$A$1:$B$98,2,0),"")</f>
        <v/>
      </c>
      <c r="E19" s="45" t="str">
        <f>IFERROR(VLOOKUP($A19,'Tổng Đơn'!$A$5:$E$79,5,0),"")</f>
        <v/>
      </c>
      <c r="F19" s="45" t="str">
        <f t="shared" si="1"/>
        <v/>
      </c>
      <c r="G19" s="191" t="str">
        <f>IF(AND($C19="",$C18&lt;&gt;""),"Tổng Cộng",IFERROR(VLOOKUP($A19,Sheet1!$A$1:$D$98,4,0),""))</f>
        <v/>
      </c>
      <c r="H19" s="181" t="str">
        <f>IF($C18=MAX($C$8:$C$56),SUM($H$8:$H18),IFERROR($G19*$F19,""))</f>
        <v/>
      </c>
      <c r="I19" s="80" t="str">
        <f t="shared" si="2"/>
        <v/>
      </c>
      <c r="L19" s="46"/>
    </row>
    <row r="20" spans="1:12" s="44" customFormat="1" ht="14.25" customHeight="1" x14ac:dyDescent="0.25">
      <c r="A20" s="183" t="s">
        <v>298</v>
      </c>
      <c r="B20" s="183"/>
      <c r="C20" s="45" t="str">
        <f t="shared" si="0"/>
        <v/>
      </c>
      <c r="D20" s="190" t="str">
        <f>IFERROR(VLOOKUP($A20,Sheet1!$A$1:$B$98,2,0),"")</f>
        <v/>
      </c>
      <c r="E20" s="45" t="str">
        <f>IFERROR(VLOOKUP($A20,'Tổng Đơn'!$A$5:$E$79,5,0),"")</f>
        <v/>
      </c>
      <c r="F20" s="45" t="str">
        <f t="shared" si="1"/>
        <v/>
      </c>
      <c r="G20" s="191" t="str">
        <f>IF(AND($C20="",$C19&lt;&gt;""),"Tổng Cộng",IFERROR(VLOOKUP($A20,Sheet1!$A$1:$D$98,4,0),""))</f>
        <v/>
      </c>
      <c r="H20" s="181" t="str">
        <f>IF($C19=MAX($C$8:$C$56),SUM($H$8:$H19),IFERROR($G20*$F20,""))</f>
        <v/>
      </c>
      <c r="I20" s="80" t="str">
        <f t="shared" si="2"/>
        <v/>
      </c>
      <c r="L20" s="46"/>
    </row>
    <row r="21" spans="1:12" s="44" customFormat="1" ht="14.25" customHeight="1" x14ac:dyDescent="0.25">
      <c r="A21" s="183" t="s">
        <v>298</v>
      </c>
      <c r="B21" s="183"/>
      <c r="C21" s="45" t="str">
        <f t="shared" si="0"/>
        <v/>
      </c>
      <c r="D21" s="190" t="str">
        <f>IFERROR(VLOOKUP($A21,Sheet1!$A$1:$B$98,2,0),"")</f>
        <v/>
      </c>
      <c r="E21" s="45" t="str">
        <f>IFERROR(VLOOKUP($A21,'Tổng Đơn'!$A$5:$E$79,5,0),"")</f>
        <v/>
      </c>
      <c r="F21" s="45" t="str">
        <f t="shared" si="1"/>
        <v/>
      </c>
      <c r="G21" s="191" t="str">
        <f>IF(AND($C21="",$C20&lt;&gt;""),"Tổng Cộng",IFERROR(VLOOKUP($A21,Sheet1!$A$1:$D$98,4,0),""))</f>
        <v/>
      </c>
      <c r="H21" s="181" t="str">
        <f>IF($C20=MAX($C$8:$C$56),SUM($H$8:$H20),IFERROR($G21*$F21,""))</f>
        <v/>
      </c>
      <c r="I21" s="80" t="str">
        <f t="shared" si="2"/>
        <v/>
      </c>
      <c r="L21" s="46"/>
    </row>
    <row r="22" spans="1:12" s="44" customFormat="1" ht="14.25" customHeight="1" x14ac:dyDescent="0.25">
      <c r="A22" s="183" t="s">
        <v>298</v>
      </c>
      <c r="B22" s="183"/>
      <c r="C22" s="45" t="str">
        <f t="shared" si="0"/>
        <v/>
      </c>
      <c r="D22" s="179" t="str">
        <f>IFERROR(VLOOKUP($A22,Sheet1!$A$1:$B$98,2,0),"")</f>
        <v/>
      </c>
      <c r="E22" s="45" t="str">
        <f>IFERROR(VLOOKUP($A22,'Tổng Đơn'!$A$5:$E$79,5,0),"")</f>
        <v/>
      </c>
      <c r="F22" s="45" t="str">
        <f t="shared" si="1"/>
        <v/>
      </c>
      <c r="G22" s="191" t="str">
        <f>IF(AND($C22="",$C21&lt;&gt;""),"Tổng Cộng",IFERROR(VLOOKUP($A22,Sheet1!$A$1:$D$98,4,0),""))</f>
        <v/>
      </c>
      <c r="H22" s="181" t="str">
        <f>IF($C21=MAX($C$8:$C$56),SUM($H$8:$H21),IFERROR($G22*$F22,""))</f>
        <v/>
      </c>
      <c r="I22" s="80" t="str">
        <f t="shared" si="2"/>
        <v/>
      </c>
      <c r="L22" s="46"/>
    </row>
    <row r="23" spans="1:12" s="44" customFormat="1" ht="14.25" customHeight="1" x14ac:dyDescent="0.25">
      <c r="A23" s="183" t="s">
        <v>298</v>
      </c>
      <c r="B23" s="183"/>
      <c r="C23" s="45" t="str">
        <f t="shared" si="0"/>
        <v/>
      </c>
      <c r="D23" s="179" t="str">
        <f>IFERROR(VLOOKUP($A23,Sheet1!$A$1:$B$98,2,0),"")</f>
        <v/>
      </c>
      <c r="E23" s="45" t="str">
        <f>IFERROR(VLOOKUP($A23,'Tổng Đơn'!$A$5:$E$79,5,0),"")</f>
        <v/>
      </c>
      <c r="F23" s="45" t="str">
        <f t="shared" si="1"/>
        <v/>
      </c>
      <c r="G23" s="191" t="str">
        <f>IF(AND($C23="",$C22&lt;&gt;""),"Tổng Cộng",IFERROR(VLOOKUP($A23,Sheet1!$A$1:$D$98,4,0),""))</f>
        <v/>
      </c>
      <c r="H23" s="181" t="str">
        <f>IF($C22=MAX($C$8:$C$56),SUM($H$8:$H22),IFERROR($G23*$F23,""))</f>
        <v/>
      </c>
      <c r="I23" s="80" t="str">
        <f t="shared" si="2"/>
        <v/>
      </c>
      <c r="L23" s="46"/>
    </row>
    <row r="24" spans="1:12" s="44" customFormat="1" ht="14.25" customHeight="1" x14ac:dyDescent="0.25">
      <c r="A24" s="183" t="s">
        <v>298</v>
      </c>
      <c r="B24" s="183"/>
      <c r="C24" s="45" t="str">
        <f t="shared" si="0"/>
        <v/>
      </c>
      <c r="D24" s="179" t="str">
        <f>IFERROR(VLOOKUP($A24,Sheet1!$A$1:$B$98,2,0),"")</f>
        <v/>
      </c>
      <c r="E24" s="45" t="str">
        <f>IFERROR(VLOOKUP($A24,'Tổng Đơn'!$A$5:$E$79,5,0),"")</f>
        <v/>
      </c>
      <c r="F24" s="45" t="str">
        <f t="shared" si="1"/>
        <v/>
      </c>
      <c r="G24" s="191" t="str">
        <f>IF(AND($C24="",$C23&lt;&gt;""),"Tổng Cộng",IFERROR(VLOOKUP($A24,Sheet1!$A$1:$D$98,4,0),""))</f>
        <v/>
      </c>
      <c r="H24" s="181" t="str">
        <f>IF($C23=MAX($C$8:$C$56),SUM($H$8:$H23),IFERROR($G24*$F24,""))</f>
        <v/>
      </c>
      <c r="I24" s="80" t="str">
        <f t="shared" si="2"/>
        <v/>
      </c>
      <c r="L24" s="46"/>
    </row>
    <row r="25" spans="1:12" s="44" customFormat="1" ht="14.25" customHeight="1" x14ac:dyDescent="0.25">
      <c r="A25" s="183" t="s">
        <v>298</v>
      </c>
      <c r="B25" s="183"/>
      <c r="C25" s="45" t="str">
        <f t="shared" si="0"/>
        <v/>
      </c>
      <c r="D25" s="179" t="str">
        <f>IFERROR(VLOOKUP($A25,Sheet1!$A$1:$B$98,2,0),"")</f>
        <v/>
      </c>
      <c r="E25" s="45" t="str">
        <f>IFERROR(VLOOKUP($A25,'Tổng Đơn'!$A$5:$E$79,5,0),"")</f>
        <v/>
      </c>
      <c r="F25" s="45" t="str">
        <f t="shared" si="1"/>
        <v/>
      </c>
      <c r="G25" s="191" t="str">
        <f>IF(AND($C25="",$C24&lt;&gt;""),"Tổng Cộng",IFERROR(VLOOKUP($A25,Sheet1!$A$1:$D$98,4,0),""))</f>
        <v/>
      </c>
      <c r="H25" s="181" t="str">
        <f>IF($C24=MAX($C$8:$C$56),SUM($H$8:$H24),IFERROR($G25*$F25,""))</f>
        <v/>
      </c>
      <c r="I25" s="80" t="str">
        <f t="shared" si="2"/>
        <v/>
      </c>
      <c r="L25" s="46"/>
    </row>
    <row r="26" spans="1:12" s="44" customFormat="1" ht="14.25" customHeight="1" x14ac:dyDescent="0.25">
      <c r="A26" s="183" t="s">
        <v>298</v>
      </c>
      <c r="B26" s="183"/>
      <c r="C26" s="45" t="str">
        <f t="shared" si="0"/>
        <v/>
      </c>
      <c r="D26" s="179" t="str">
        <f>IFERROR(VLOOKUP($A26,Sheet1!$A$1:$B$98,2,0),"")</f>
        <v/>
      </c>
      <c r="E26" s="45" t="str">
        <f>IFERROR(VLOOKUP($A26,'Tổng Đơn'!$A$5:$E$79,5,0),"")</f>
        <v/>
      </c>
      <c r="F26" s="45" t="str">
        <f t="shared" si="1"/>
        <v/>
      </c>
      <c r="G26" s="191" t="str">
        <f>IF(AND($C26="",$C25&lt;&gt;""),"Tổng Cộng",IFERROR(VLOOKUP($A26,Sheet1!$A$1:$D$98,4,0),""))</f>
        <v/>
      </c>
      <c r="H26" s="181" t="str">
        <f>IF($C25=MAX($C$8:$C$56),SUM($H$8:$H25),IFERROR($G26*$F26,""))</f>
        <v/>
      </c>
      <c r="I26" s="80" t="str">
        <f t="shared" si="2"/>
        <v/>
      </c>
      <c r="L26" s="46"/>
    </row>
    <row r="27" spans="1:12" s="44" customFormat="1" ht="14.25" customHeight="1" x14ac:dyDescent="0.25">
      <c r="A27" s="183" t="s">
        <v>298</v>
      </c>
      <c r="B27" s="183"/>
      <c r="C27" s="45" t="str">
        <f t="shared" si="0"/>
        <v/>
      </c>
      <c r="D27" s="179" t="str">
        <f>IFERROR(VLOOKUP($A27,Sheet1!$A$1:$B$98,2,0),"")</f>
        <v/>
      </c>
      <c r="E27" s="45" t="str">
        <f>IFERROR(VLOOKUP($A27,'Tổng Đơn'!$A$5:$E$79,5,0),"")</f>
        <v/>
      </c>
      <c r="F27" s="45" t="str">
        <f t="shared" si="1"/>
        <v/>
      </c>
      <c r="G27" s="191" t="str">
        <f>IF(AND($C27="",$C26&lt;&gt;""),"Tổng Cộng",IFERROR(VLOOKUP($A27,Sheet1!$A$1:$D$98,4,0),""))</f>
        <v/>
      </c>
      <c r="H27" s="181" t="str">
        <f>IF($C26=MAX($C$8:$C$56),SUM($H$8:$H26),IFERROR($G27*$F27,""))</f>
        <v/>
      </c>
      <c r="I27" s="80" t="str">
        <f t="shared" si="2"/>
        <v/>
      </c>
      <c r="L27" s="46"/>
    </row>
    <row r="28" spans="1:12" s="44" customFormat="1" ht="14.25" customHeight="1" x14ac:dyDescent="0.25">
      <c r="A28" s="183" t="s">
        <v>298</v>
      </c>
      <c r="B28" s="183"/>
      <c r="C28" s="45" t="str">
        <f t="shared" si="0"/>
        <v/>
      </c>
      <c r="D28" s="179" t="str">
        <f>IFERROR(VLOOKUP($A28,Sheet1!$A$1:$B$98,2,0),"")</f>
        <v/>
      </c>
      <c r="E28" s="45" t="str">
        <f>IFERROR(VLOOKUP($A28,'Tổng Đơn'!$A$5:$E$79,5,0),"")</f>
        <v/>
      </c>
      <c r="F28" s="45" t="str">
        <f t="shared" si="1"/>
        <v/>
      </c>
      <c r="G28" s="191" t="str">
        <f>IF(AND($C28="",$C27&lt;&gt;""),"Tổng Cộng",IFERROR(VLOOKUP($A28,Sheet1!$A$1:$D$98,4,0),""))</f>
        <v/>
      </c>
      <c r="H28" s="181" t="str">
        <f>IF($C27=MAX($C$8:$C$56),SUM($H$8:$H27),IFERROR($G28*$F28,""))</f>
        <v/>
      </c>
      <c r="I28" s="80" t="str">
        <f t="shared" si="2"/>
        <v/>
      </c>
      <c r="L28" s="46"/>
    </row>
    <row r="29" spans="1:12" s="44" customFormat="1" ht="14.25" customHeight="1" x14ac:dyDescent="0.25">
      <c r="A29" s="183" t="s">
        <v>298</v>
      </c>
      <c r="B29" s="183"/>
      <c r="C29" s="45" t="str">
        <f t="shared" si="0"/>
        <v/>
      </c>
      <c r="D29" s="179" t="str">
        <f>IFERROR(VLOOKUP($A29,Sheet1!$A$1:$B$98,2,0),"")</f>
        <v/>
      </c>
      <c r="E29" s="45" t="str">
        <f>IFERROR(VLOOKUP($A29,'Tổng Đơn'!$A$5:$E$79,5,0),"")</f>
        <v/>
      </c>
      <c r="F29" s="45" t="str">
        <f t="shared" si="1"/>
        <v/>
      </c>
      <c r="G29" s="191" t="str">
        <f>IF(AND($C29="",$C28&lt;&gt;""),"Tổng Cộng",IFERROR(VLOOKUP($A29,Sheet1!$A$1:$D$98,4,0),""))</f>
        <v/>
      </c>
      <c r="H29" s="181" t="str">
        <f>IF($C28=MAX($C$8:$C$56),SUM($H$8:$H28),IFERROR($G29*$F29,""))</f>
        <v/>
      </c>
      <c r="I29" s="80" t="str">
        <f t="shared" si="2"/>
        <v/>
      </c>
      <c r="L29" s="46"/>
    </row>
    <row r="30" spans="1:12" s="44" customFormat="1" ht="14.25" customHeight="1" x14ac:dyDescent="0.25">
      <c r="A30" s="183" t="s">
        <v>298</v>
      </c>
      <c r="B30" s="183"/>
      <c r="C30" s="45" t="str">
        <f t="shared" si="0"/>
        <v/>
      </c>
      <c r="D30" s="179" t="str">
        <f>IFERROR(VLOOKUP($A30,Sheet1!$A$1:$B$98,2,0),"")</f>
        <v/>
      </c>
      <c r="E30" s="45" t="str">
        <f>IFERROR(VLOOKUP($A30,'Tổng Đơn'!$A$5:$E$79,5,0),"")</f>
        <v/>
      </c>
      <c r="F30" s="45" t="str">
        <f t="shared" si="1"/>
        <v/>
      </c>
      <c r="G30" s="191" t="str">
        <f>IF(AND($C30="",$C29&lt;&gt;""),"Tổng Cộng",IFERROR(VLOOKUP($A30,Sheet1!$A$1:$D$98,4,0),""))</f>
        <v/>
      </c>
      <c r="H30" s="181" t="str">
        <f>IF($C29=MAX($C$8:$C$56),SUM($H$8:$H29),IFERROR($G30*$F30,""))</f>
        <v/>
      </c>
      <c r="I30" s="80" t="str">
        <f t="shared" si="2"/>
        <v/>
      </c>
      <c r="L30" s="46"/>
    </row>
    <row r="31" spans="1:12" s="44" customFormat="1" ht="14.25" customHeight="1" x14ac:dyDescent="0.25">
      <c r="A31" s="183" t="s">
        <v>298</v>
      </c>
      <c r="B31" s="183"/>
      <c r="C31" s="45" t="str">
        <f t="shared" si="0"/>
        <v/>
      </c>
      <c r="D31" s="179" t="str">
        <f>IFERROR(VLOOKUP($A31,Sheet1!$A$1:$B$98,2,0),"")</f>
        <v/>
      </c>
      <c r="E31" s="45" t="str">
        <f>IFERROR(VLOOKUP($A31,'Tổng Đơn'!$A$5:$E$79,5,0),"")</f>
        <v/>
      </c>
      <c r="F31" s="45" t="str">
        <f t="shared" si="1"/>
        <v/>
      </c>
      <c r="G31" s="191" t="str">
        <f>IF(AND($C31="",$C30&lt;&gt;""),"Tổng Cộng",IFERROR(VLOOKUP($A31,Sheet1!$A$1:$D$98,4,0),""))</f>
        <v/>
      </c>
      <c r="H31" s="181" t="str">
        <f>IF($C30=MAX($C$8:$C$56),SUM($H$8:$H30),IFERROR($G31*$F31,""))</f>
        <v/>
      </c>
      <c r="I31" s="80" t="str">
        <f t="shared" si="2"/>
        <v/>
      </c>
      <c r="L31" s="46"/>
    </row>
    <row r="32" spans="1:12" s="44" customFormat="1" ht="14.25" customHeight="1" x14ac:dyDescent="0.25">
      <c r="A32" s="183" t="s">
        <v>298</v>
      </c>
      <c r="B32" s="183"/>
      <c r="C32" s="45" t="str">
        <f t="shared" si="0"/>
        <v/>
      </c>
      <c r="D32" s="179" t="str">
        <f>IFERROR(VLOOKUP($A32,Sheet1!$A$1:$B$98,2,0),"")</f>
        <v/>
      </c>
      <c r="E32" s="45" t="str">
        <f>IFERROR(VLOOKUP($A32,'Tổng Đơn'!$A$5:$E$79,5,0),"")</f>
        <v/>
      </c>
      <c r="F32" s="45" t="str">
        <f t="shared" si="1"/>
        <v/>
      </c>
      <c r="G32" s="191" t="str">
        <f>IF(AND($C32="",$C31&lt;&gt;""),"Tổng Cộng",IFERROR(VLOOKUP($A32,Sheet1!$A$1:$D$98,4,0),""))</f>
        <v/>
      </c>
      <c r="H32" s="181" t="str">
        <f>IF($C31=MAX($C$8:$C$56),SUM($H$8:$H31),IFERROR($G32*$F32,""))</f>
        <v/>
      </c>
      <c r="I32" s="80" t="str">
        <f t="shared" si="2"/>
        <v/>
      </c>
      <c r="L32" s="46"/>
    </row>
    <row r="33" spans="1:12" s="44" customFormat="1" ht="14.25" customHeight="1" x14ac:dyDescent="0.25">
      <c r="A33" s="183" t="s">
        <v>298</v>
      </c>
      <c r="B33" s="183"/>
      <c r="C33" s="45" t="str">
        <f t="shared" si="0"/>
        <v/>
      </c>
      <c r="D33" s="179" t="str">
        <f>IFERROR(VLOOKUP($A33,Sheet1!$A$1:$B$98,2,0),"")</f>
        <v/>
      </c>
      <c r="E33" s="45" t="str">
        <f>IFERROR(VLOOKUP($A33,'Tổng Đơn'!$A$5:$E$79,5,0),"")</f>
        <v/>
      </c>
      <c r="F33" s="45" t="str">
        <f t="shared" si="1"/>
        <v/>
      </c>
      <c r="G33" s="191" t="str">
        <f>IF(AND($C33="",$C32&lt;&gt;""),"Tổng Cộng",IFERROR(VLOOKUP($A33,Sheet1!$A$1:$D$98,4,0),""))</f>
        <v/>
      </c>
      <c r="H33" s="181" t="str">
        <f>IF($C32=MAX($C$8:$C$56),SUM($H$8:$H32),IFERROR($G33*$F33,""))</f>
        <v/>
      </c>
      <c r="I33" s="80" t="str">
        <f t="shared" si="2"/>
        <v/>
      </c>
      <c r="L33" s="46"/>
    </row>
    <row r="34" spans="1:12" s="44" customFormat="1" ht="14.25" customHeight="1" x14ac:dyDescent="0.25">
      <c r="A34" s="183" t="s">
        <v>298</v>
      </c>
      <c r="B34" s="183"/>
      <c r="C34" s="45" t="str">
        <f t="shared" si="0"/>
        <v/>
      </c>
      <c r="D34" s="179" t="str">
        <f>IFERROR(VLOOKUP($A34,Sheet1!$A$1:$B$98,2,0),"")</f>
        <v/>
      </c>
      <c r="E34" s="45" t="str">
        <f>IFERROR(VLOOKUP($A34,'Tổng Đơn'!$A$5:$E$79,5,0),"")</f>
        <v/>
      </c>
      <c r="F34" s="45" t="str">
        <f t="shared" si="1"/>
        <v/>
      </c>
      <c r="G34" s="191" t="str">
        <f>IF(AND($C34="",$C33&lt;&gt;""),"Tổng Cộng",IFERROR(VLOOKUP($A34,Sheet1!$A$1:$D$98,4,0),""))</f>
        <v/>
      </c>
      <c r="H34" s="181" t="str">
        <f>IF($C33=MAX($C$8:$C$56),SUM($H$8:$H33),IFERROR($G34*$F34,""))</f>
        <v/>
      </c>
      <c r="I34" s="80" t="str">
        <f t="shared" si="2"/>
        <v/>
      </c>
      <c r="L34" s="46"/>
    </row>
    <row r="35" spans="1:12" s="44" customFormat="1" ht="14.25" customHeight="1" x14ac:dyDescent="0.25">
      <c r="A35" s="183" t="s">
        <v>298</v>
      </c>
      <c r="B35" s="183"/>
      <c r="C35" s="45" t="str">
        <f t="shared" si="0"/>
        <v/>
      </c>
      <c r="D35" s="179" t="str">
        <f>IFERROR(VLOOKUP($A35,Sheet1!$A$1:$B$98,2,0),"")</f>
        <v/>
      </c>
      <c r="E35" s="45" t="str">
        <f>IFERROR(VLOOKUP($A35,'Tổng Đơn'!$A$5:$E$79,5,0),"")</f>
        <v/>
      </c>
      <c r="F35" s="45" t="str">
        <f t="shared" si="1"/>
        <v/>
      </c>
      <c r="G35" s="191" t="str">
        <f>IF(AND($C35="",$C34&lt;&gt;""),"Tổng Cộng",IFERROR(VLOOKUP($A35,Sheet1!$A$1:$D$98,4,0),""))</f>
        <v/>
      </c>
      <c r="H35" s="181" t="str">
        <f>IF($C34=MAX($C$8:$C$56),SUM($H$8:$H34),IFERROR($G35*$F35,""))</f>
        <v/>
      </c>
      <c r="I35" s="80" t="str">
        <f t="shared" si="2"/>
        <v/>
      </c>
      <c r="L35" s="46"/>
    </row>
    <row r="36" spans="1:12" s="44" customFormat="1" ht="14.25" customHeight="1" x14ac:dyDescent="0.25">
      <c r="A36" s="183" t="s">
        <v>298</v>
      </c>
      <c r="B36" s="183"/>
      <c r="C36" s="45" t="str">
        <f t="shared" si="0"/>
        <v/>
      </c>
      <c r="D36" s="179" t="str">
        <f>IFERROR(VLOOKUP($A36,Sheet1!$A$1:$B$98,2,0),"")</f>
        <v/>
      </c>
      <c r="E36" s="45" t="str">
        <f>IFERROR(VLOOKUP($A36,'Tổng Đơn'!$A$5:$E$79,5,0),"")</f>
        <v/>
      </c>
      <c r="F36" s="45" t="str">
        <f t="shared" si="1"/>
        <v/>
      </c>
      <c r="G36" s="191" t="str">
        <f>IF(AND($C36="",$C35&lt;&gt;""),"Tổng Cộng",IFERROR(VLOOKUP($A36,Sheet1!$A$1:$D$98,4,0),""))</f>
        <v/>
      </c>
      <c r="H36" s="181" t="str">
        <f>IF($C35=MAX($C$8:$C$56),SUM($H$8:$H35),IFERROR($G36*$F36,""))</f>
        <v/>
      </c>
      <c r="I36" s="80" t="str">
        <f t="shared" si="2"/>
        <v/>
      </c>
      <c r="L36" s="46"/>
    </row>
    <row r="37" spans="1:12" s="44" customFormat="1" ht="14.25" customHeight="1" x14ac:dyDescent="0.25">
      <c r="A37" s="183" t="s">
        <v>298</v>
      </c>
      <c r="B37" s="183"/>
      <c r="C37" s="45" t="str">
        <f t="shared" si="0"/>
        <v/>
      </c>
      <c r="D37" s="179" t="str">
        <f>IFERROR(VLOOKUP($A37,Sheet1!$A$1:$B$98,2,0),"")</f>
        <v/>
      </c>
      <c r="E37" s="45" t="str">
        <f>IFERROR(VLOOKUP($A37,'Tổng Đơn'!$A$5:$E$79,5,0),"")</f>
        <v/>
      </c>
      <c r="F37" s="45" t="str">
        <f t="shared" si="1"/>
        <v/>
      </c>
      <c r="G37" s="191" t="str">
        <f>IF(AND($C37="",$C36&lt;&gt;""),"Tổng Cộng",IFERROR(VLOOKUP($A37,Sheet1!$A$1:$D$98,4,0),""))</f>
        <v/>
      </c>
      <c r="H37" s="181" t="str">
        <f>IF($C36=MAX($C$8:$C$56),SUM($H$8:$H36),IFERROR($G37*$F37,""))</f>
        <v/>
      </c>
      <c r="I37" s="80" t="str">
        <f t="shared" si="2"/>
        <v/>
      </c>
      <c r="L37" s="46"/>
    </row>
    <row r="38" spans="1:12" s="44" customFormat="1" ht="14.25" customHeight="1" x14ac:dyDescent="0.25">
      <c r="A38" s="183"/>
      <c r="B38" s="183"/>
      <c r="C38" s="48"/>
      <c r="D38" s="49"/>
      <c r="E38" s="78"/>
      <c r="F38" s="45"/>
      <c r="G38" s="192" t="str">
        <f>IF(AND($C38="",$C37&lt;&gt;""),"Tổng Cộng",IFERROR(VLOOKUP($A38,Sheet1!$A$1:$D$98,4,0),""))</f>
        <v/>
      </c>
      <c r="H38" s="50" t="str">
        <f>IF($C37=MAX($C$8:$C$56),SUM($H$8:$H37),IFERROR($G38*$F38,""))</f>
        <v/>
      </c>
      <c r="I38" s="80"/>
      <c r="L38" s="46"/>
    </row>
    <row r="39" spans="1:12" ht="15" customHeight="1" x14ac:dyDescent="0.25">
      <c r="F39" s="51"/>
      <c r="G39" s="171"/>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H9 C38:E38 C9:G9 F15:H38 D15:E37 D10:H14">
    <cfRule type="expression" dxfId="3" priority="2">
      <formula>$C7=MAX($C$8:$C$37)</formula>
    </cfRule>
  </conditionalFormatting>
  <conditionalFormatting sqref="C10:C37">
    <cfRule type="expression" dxfId="2" priority="1">
      <formula>$C9=MAX($C$8:$C$37)</formula>
    </cfRule>
  </conditionalFormatting>
  <conditionalFormatting sqref="E8:E38">
    <cfRule type="expression" dxfId="1" priority="3">
      <formula>AND($A8="",$F8&lt;&gt;"")</formula>
    </cfRule>
  </conditionalFormatting>
  <conditionalFormatting sqref="F8:F38">
    <cfRule type="expression" dxfId="0"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66913" r:id="rId4" name="Button 1">
              <controlPr defaultSize="0" print="0" autoFill="0" autoPict="0" macro="[0]!Macro4">
                <anchor moveWithCells="1" sizeWithCells="1">
                  <from>
                    <xdr:col>0</xdr:col>
                    <xdr:colOff>0</xdr:colOff>
                    <xdr:row>0</xdr:row>
                    <xdr:rowOff>0</xdr:rowOff>
                  </from>
                  <to>
                    <xdr:col>1</xdr:col>
                    <xdr:colOff>723900</xdr:colOff>
                    <xdr:row>7</xdr:row>
                    <xdr:rowOff>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4">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RowHeight="15" x14ac:dyDescent="0.25"/>
  <cols>
    <col min="1" max="1" width="11.7109375" style="14" customWidth="1"/>
    <col min="2" max="2" width="11.28515625" style="14" customWidth="1"/>
    <col min="3" max="3" width="9.140625" style="14"/>
    <col min="4" max="4" width="38.42578125" style="14" bestFit="1" customWidth="1"/>
    <col min="5" max="5" width="12.28515625" style="79"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33" t="s">
        <v>223</v>
      </c>
      <c r="D1" s="233"/>
      <c r="E1" s="233"/>
      <c r="F1" s="233"/>
      <c r="G1" s="233"/>
      <c r="H1" s="233"/>
    </row>
    <row r="2" spans="1:14" ht="15.75" customHeight="1" x14ac:dyDescent="0.25">
      <c r="C2" s="233"/>
      <c r="D2" s="233"/>
      <c r="E2" s="233"/>
      <c r="F2" s="233"/>
      <c r="G2" s="233"/>
      <c r="H2" s="233"/>
    </row>
    <row r="3" spans="1:14" ht="15" customHeight="1" x14ac:dyDescent="0.25">
      <c r="C3" s="235" t="s">
        <v>225</v>
      </c>
      <c r="D3" s="235"/>
      <c r="E3" s="235"/>
      <c r="F3" s="238" t="s">
        <v>227</v>
      </c>
      <c r="G3" s="238"/>
      <c r="H3" s="238"/>
    </row>
    <row r="4" spans="1:14" x14ac:dyDescent="0.25">
      <c r="C4" s="236" t="s">
        <v>226</v>
      </c>
      <c r="D4" s="236"/>
      <c r="E4" s="236"/>
      <c r="F4" s="239" t="s">
        <v>228</v>
      </c>
      <c r="G4" s="239"/>
      <c r="H4" s="239"/>
    </row>
    <row r="5" spans="1:14" s="172" customFormat="1" ht="21" customHeight="1" x14ac:dyDescent="0.25">
      <c r="C5" s="237" t="s">
        <v>224</v>
      </c>
      <c r="D5" s="237"/>
      <c r="E5" s="237"/>
      <c r="F5" s="237"/>
      <c r="G5" s="237"/>
      <c r="H5" s="237"/>
    </row>
    <row r="6" spans="1:14" s="172" customFormat="1" ht="17.25" customHeight="1" x14ac:dyDescent="0.25">
      <c r="C6" s="182" t="s">
        <v>229</v>
      </c>
      <c r="D6" s="187" t="s">
        <v>311</v>
      </c>
      <c r="E6" s="177"/>
      <c r="F6" s="177"/>
      <c r="G6" s="234" t="str">
        <f ca="1">"Ngày "&amp;DAY(TODAY())&amp;" Tháng "&amp;MONTH(TODAY())&amp;" Năm "&amp;YEAR(TODAY())</f>
        <v>Ngày 14 Tháng 2 Năm 2022</v>
      </c>
      <c r="H6" s="234"/>
    </row>
    <row r="7" spans="1:14" s="176" customFormat="1" ht="24" customHeight="1" x14ac:dyDescent="0.25">
      <c r="A7" s="173" t="s">
        <v>118</v>
      </c>
      <c r="B7" s="173" t="s">
        <v>16</v>
      </c>
      <c r="C7" s="174" t="s">
        <v>0</v>
      </c>
      <c r="D7" s="174" t="s">
        <v>17</v>
      </c>
      <c r="E7" s="178" t="str">
        <f>"Quy cách"&amp;CHAR(10)&amp;"(Kg)"</f>
        <v>Quy cách
(Kg)</v>
      </c>
      <c r="F7" s="174" t="s">
        <v>16</v>
      </c>
      <c r="G7" s="174" t="s">
        <v>18</v>
      </c>
      <c r="H7" s="174" t="s">
        <v>19</v>
      </c>
      <c r="I7" s="175">
        <f>SUBTOTAL(9,I8:I37)</f>
        <v>2.5</v>
      </c>
      <c r="L7" s="172"/>
    </row>
    <row r="8" spans="1:14" s="44" customFormat="1" ht="14.25" customHeight="1" x14ac:dyDescent="0.25">
      <c r="A8" s="183">
        <v>9</v>
      </c>
      <c r="B8" s="183">
        <v>1</v>
      </c>
      <c r="C8" s="45">
        <f t="shared" ref="C8:C37" si="0">IF(OR(SUM($C7,$A8&lt;&gt;"")=0,$A8=""),"",SUM($C7,$A8&lt;&gt;""))</f>
        <v>1</v>
      </c>
      <c r="D8" s="179" t="str">
        <f>IFERROR(VLOOKUP($A8,Sheet1!$A$1:$B$98,2,0),"")</f>
        <v>Hải sản sốt cam LC</v>
      </c>
      <c r="E8" s="180">
        <f>IFERROR(VLOOKUP($A8,'Tổng Đơn'!$A$5:$E$79,5,0),"")</f>
        <v>0.5</v>
      </c>
      <c r="F8" s="45">
        <f t="shared" ref="F8:F37" si="1">IF($B8="","",B8)</f>
        <v>1</v>
      </c>
      <c r="G8" s="191">
        <f>IFERROR(VLOOKUP($A8,Sheet1!$A1:$D$98,4,0),"")</f>
        <v>45000</v>
      </c>
      <c r="H8" s="181">
        <f>IF($C7=MAX($C$8:$C$56),SUM($H7:$H$8),IFERROR($G8*$F8,""))</f>
        <v>45000</v>
      </c>
      <c r="I8" s="80">
        <f t="shared" ref="I8:I37" si="2">IF(TYPE($A8)&lt;&gt;1,"",IFERROR(F8*E8,""))</f>
        <v>0.5</v>
      </c>
      <c r="L8" s="47"/>
    </row>
    <row r="9" spans="1:14" s="44" customFormat="1" ht="14.25" customHeight="1" x14ac:dyDescent="0.25">
      <c r="A9" s="183">
        <v>16</v>
      </c>
      <c r="B9" s="183">
        <v>1</v>
      </c>
      <c r="C9" s="45">
        <f t="shared" si="0"/>
        <v>2</v>
      </c>
      <c r="D9" s="179" t="str">
        <f>IFERROR(VLOOKUP($A9,Sheet1!$A$1:$B$98,2,0),"")</f>
        <v>Phô mai que (13 que)</v>
      </c>
      <c r="E9" s="45">
        <f>IFERROR(VLOOKUP($A9,'Tổng Đơn'!$A$5:$E$79,5,0),"")</f>
        <v>0.5</v>
      </c>
      <c r="F9" s="45">
        <f t="shared" si="1"/>
        <v>1</v>
      </c>
      <c r="G9" s="191">
        <f>IF(AND($C9="",$C8&lt;&gt;""),"Tổng Cộng",IFERROR(VLOOKUP($A9,Sheet1!$A$1:$D$98,4,0),""))</f>
        <v>40000</v>
      </c>
      <c r="H9" s="181">
        <f>IF($C8=MAX($C$8:$C$56),SUM($H$8:$H8),IFERROR($G9*$F9,""))</f>
        <v>40000</v>
      </c>
      <c r="I9" s="80">
        <f t="shared" si="2"/>
        <v>0.5</v>
      </c>
      <c r="L9" s="46"/>
    </row>
    <row r="10" spans="1:14" s="44" customFormat="1" ht="14.25" customHeight="1" x14ac:dyDescent="0.25">
      <c r="A10" s="183">
        <v>65</v>
      </c>
      <c r="B10" s="183">
        <v>1</v>
      </c>
      <c r="C10" s="45">
        <f t="shared" si="0"/>
        <v>3</v>
      </c>
      <c r="D10" s="179" t="str">
        <f>IFERROR(VLOOKUP($A10,Sheet1!$A$1:$B$98,2,0),"")</f>
        <v>Cá viên KK</v>
      </c>
      <c r="E10" s="45">
        <f>IFERROR(VLOOKUP($A10,'Tổng Đơn'!$A$5:$E$79,5,0),"")</f>
        <v>0.5</v>
      </c>
      <c r="F10" s="45">
        <f t="shared" si="1"/>
        <v>1</v>
      </c>
      <c r="G10" s="191">
        <f>IF(AND($C10="",$C9&lt;&gt;""),"Tổng Cộng",IFERROR(VLOOKUP($A10,Sheet1!$A$1:$D$98,4,0),""))</f>
        <v>23000</v>
      </c>
      <c r="H10" s="181">
        <f>IF($C9=MAX($C$8:$C$56),SUM($H$8:$H9),IFERROR($G10*$F10,""))</f>
        <v>23000</v>
      </c>
      <c r="I10" s="80">
        <f t="shared" si="2"/>
        <v>0.5</v>
      </c>
      <c r="L10" s="46"/>
    </row>
    <row r="11" spans="1:14" s="44" customFormat="1" ht="14.25" customHeight="1" x14ac:dyDescent="0.25">
      <c r="A11" s="183">
        <v>70</v>
      </c>
      <c r="B11" s="183">
        <v>1</v>
      </c>
      <c r="C11" s="45">
        <f t="shared" si="0"/>
        <v>4</v>
      </c>
      <c r="D11" s="179" t="str">
        <f>IFERROR(VLOOKUP($A11,Sheet1!$A$1:$B$98,2,0),"")</f>
        <v>XX Đức KK</v>
      </c>
      <c r="E11" s="45">
        <f>IFERROR(VLOOKUP($A11,'Tổng Đơn'!$A$5:$E$79,5,0),"")</f>
        <v>0.5</v>
      </c>
      <c r="F11" s="45">
        <f t="shared" si="1"/>
        <v>1</v>
      </c>
      <c r="G11" s="191">
        <f>IF(AND($C11="",$C10&lt;&gt;""),"Tổng Cộng",IFERROR(VLOOKUP($A11,Sheet1!$A$1:$D$98,4,0),""))</f>
        <v>35000</v>
      </c>
      <c r="H11" s="181">
        <f>IF($C10=MAX($C$8:$C$56),SUM($H$8:$H10),IFERROR($G11*$F11,""))</f>
        <v>35000</v>
      </c>
      <c r="I11" s="80">
        <f t="shared" si="2"/>
        <v>0.5</v>
      </c>
      <c r="L11" s="46"/>
    </row>
    <row r="12" spans="1:14" s="44" customFormat="1" ht="14.25" customHeight="1" x14ac:dyDescent="0.25">
      <c r="A12" s="183">
        <v>72</v>
      </c>
      <c r="B12" s="183">
        <v>1</v>
      </c>
      <c r="C12" s="45">
        <f t="shared" si="0"/>
        <v>5</v>
      </c>
      <c r="D12" s="179" t="str">
        <f>IFERROR(VLOOKUP($A12,Sheet1!$A$1:$B$98,2,0),"")</f>
        <v>Bánh bao thả lẩu Trứng cá KK</v>
      </c>
      <c r="E12" s="45">
        <f>IFERROR(VLOOKUP($A12,'Tổng Đơn'!$A$5:$E$79,5,0),"")</f>
        <v>0.5</v>
      </c>
      <c r="F12" s="45">
        <f t="shared" si="1"/>
        <v>1</v>
      </c>
      <c r="G12" s="191">
        <f>IF(AND($C12="",$C11&lt;&gt;""),"Tổng Cộng",IFERROR(VLOOKUP($A12,Sheet1!$A$1:$D$98,4,0),""))</f>
        <v>43000</v>
      </c>
      <c r="H12" s="181">
        <f>IF($C11=MAX($C$8:$C$56),SUM($H$8:$H11),IFERROR($G12*$F12,""))</f>
        <v>43000</v>
      </c>
      <c r="I12" s="80">
        <f t="shared" si="2"/>
        <v>0.5</v>
      </c>
      <c r="J12" s="153"/>
      <c r="L12" s="46"/>
      <c r="M12" s="161"/>
      <c r="N12" s="154"/>
    </row>
    <row r="13" spans="1:14" s="44" customFormat="1" ht="14.25" customHeight="1" x14ac:dyDescent="0.25">
      <c r="A13" s="183" t="s">
        <v>298</v>
      </c>
      <c r="B13" s="183"/>
      <c r="C13" s="45" t="str">
        <f t="shared" si="0"/>
        <v/>
      </c>
      <c r="D13" s="179" t="str">
        <f>IFERROR(VLOOKUP($A13,Sheet1!$A$1:$B$98,2,0),"")</f>
        <v/>
      </c>
      <c r="E13" s="45" t="str">
        <f>IFERROR(VLOOKUP($A13,'Tổng Đơn'!$A$5:$E$79,5,0),"")</f>
        <v/>
      </c>
      <c r="F13" s="45" t="str">
        <f t="shared" si="1"/>
        <v/>
      </c>
      <c r="G13" s="191" t="str">
        <f>IF(AND($C13="",$C12&lt;&gt;""),"Tổng Cộng",IFERROR(VLOOKUP($A13,Sheet1!$A$1:$D$98,4,0),""))</f>
        <v>Tổng Cộng</v>
      </c>
      <c r="H13" s="181">
        <f>IF($C12=MAX($C$8:$C$56),SUM($H$8:$H12),IFERROR($G13*$F13,""))</f>
        <v>186000</v>
      </c>
      <c r="I13" s="80" t="str">
        <f t="shared" si="2"/>
        <v/>
      </c>
      <c r="L13" s="46"/>
    </row>
    <row r="14" spans="1:14" s="44" customFormat="1" ht="14.25" customHeight="1" x14ac:dyDescent="0.25">
      <c r="A14" s="183" t="s">
        <v>298</v>
      </c>
      <c r="B14" s="183"/>
      <c r="C14" s="45" t="str">
        <f t="shared" si="0"/>
        <v/>
      </c>
      <c r="D14" s="179" t="str">
        <f>IFERROR(VLOOKUP($A14,Sheet1!$A$1:$B$98,2,0),"")</f>
        <v/>
      </c>
      <c r="E14" s="45" t="str">
        <f>IFERROR(VLOOKUP($A14,'Tổng Đơn'!$A$5:$E$79,5,0),"")</f>
        <v/>
      </c>
      <c r="F14" s="45" t="str">
        <f t="shared" si="1"/>
        <v/>
      </c>
      <c r="G14" s="191" t="str">
        <f>IF(AND($C14="",$C13&lt;&gt;""),"Tổng Cộng",IFERROR(VLOOKUP($A14,Sheet1!$A$1:$D$98,4,0),""))</f>
        <v/>
      </c>
      <c r="H14" s="181" t="str">
        <f>IF($C13=MAX($C$8:$C$56),SUM($H$8:$H13),IFERROR($G14*$F14,""))</f>
        <v/>
      </c>
      <c r="I14" s="80" t="str">
        <f t="shared" si="2"/>
        <v/>
      </c>
      <c r="L14" s="46"/>
      <c r="M14" s="162"/>
    </row>
    <row r="15" spans="1:14" s="44" customFormat="1" ht="14.25" customHeight="1" x14ac:dyDescent="0.25">
      <c r="A15" s="183" t="s">
        <v>298</v>
      </c>
      <c r="B15" s="183"/>
      <c r="C15" s="45" t="str">
        <f t="shared" si="0"/>
        <v/>
      </c>
      <c r="D15" s="179" t="str">
        <f>IFERROR(VLOOKUP($A15,Sheet1!$A$1:$B$98,2,0),"")</f>
        <v/>
      </c>
      <c r="E15" s="45" t="str">
        <f>IFERROR(VLOOKUP($A15,'Tổng Đơn'!$A$5:$E$79,5,0),"")</f>
        <v/>
      </c>
      <c r="F15" s="45" t="str">
        <f t="shared" si="1"/>
        <v/>
      </c>
      <c r="G15" s="191" t="str">
        <f>IF(AND($C15="",$C14&lt;&gt;""),"Tổng Cộng",IFERROR(VLOOKUP($A15,Sheet1!$A$1:$D$98,4,0),""))</f>
        <v/>
      </c>
      <c r="H15" s="181" t="str">
        <f>IF($C14=MAX($C$8:$C$56),SUM($H$8:$H14),IFERROR($G15*$F15,""))</f>
        <v/>
      </c>
      <c r="I15" s="80" t="str">
        <f t="shared" si="2"/>
        <v/>
      </c>
      <c r="L15" s="46"/>
    </row>
    <row r="16" spans="1:14" s="44" customFormat="1" ht="14.25" customHeight="1" x14ac:dyDescent="0.25">
      <c r="A16" s="183" t="s">
        <v>298</v>
      </c>
      <c r="B16" s="183"/>
      <c r="C16" s="45" t="str">
        <f t="shared" si="0"/>
        <v/>
      </c>
      <c r="D16" s="179" t="str">
        <f>IFERROR(VLOOKUP($A16,Sheet1!$A$1:$B$98,2,0),"")</f>
        <v/>
      </c>
      <c r="E16" s="45" t="str">
        <f>IFERROR(VLOOKUP($A16,'Tổng Đơn'!$A$5:$E$79,5,0),"")</f>
        <v/>
      </c>
      <c r="F16" s="45" t="str">
        <f t="shared" si="1"/>
        <v/>
      </c>
      <c r="G16" s="191" t="str">
        <f>IF(AND($C16="",$C15&lt;&gt;""),"Tổng Cộng",IFERROR(VLOOKUP($A16,Sheet1!$A$1:$D$98,4,0),""))</f>
        <v/>
      </c>
      <c r="H16" s="181" t="str">
        <f>IF($C15=MAX($C$8:$C$56),SUM($H$8:$H15),IFERROR($G16*$F16,""))</f>
        <v/>
      </c>
      <c r="I16" s="80" t="str">
        <f t="shared" si="2"/>
        <v/>
      </c>
      <c r="L16" s="46"/>
    </row>
    <row r="17" spans="1:12" s="44" customFormat="1" ht="14.25" customHeight="1" x14ac:dyDescent="0.25">
      <c r="A17" s="183" t="s">
        <v>298</v>
      </c>
      <c r="B17" s="183"/>
      <c r="C17" s="45" t="str">
        <f t="shared" si="0"/>
        <v/>
      </c>
      <c r="D17" s="190" t="str">
        <f>IFERROR(VLOOKUP($A17,Sheet1!$A$1:$B$98,2,0),"")</f>
        <v/>
      </c>
      <c r="E17" s="45" t="str">
        <f>IFERROR(VLOOKUP($A17,'Tổng Đơn'!$A$5:$E$79,5,0),"")</f>
        <v/>
      </c>
      <c r="F17" s="45" t="str">
        <f t="shared" si="1"/>
        <v/>
      </c>
      <c r="G17" s="191" t="str">
        <f>IF(AND($C17="",$C16&lt;&gt;""),"Tổng Cộng",IFERROR(VLOOKUP($A17,Sheet1!$A$1:$D$98,4,0),""))</f>
        <v/>
      </c>
      <c r="H17" s="181" t="str">
        <f>IF($C16=MAX($C$8:$C$56),SUM($H$8:$H16),IFERROR($G17*$F17,""))</f>
        <v/>
      </c>
      <c r="I17" s="80" t="str">
        <f t="shared" si="2"/>
        <v/>
      </c>
      <c r="L17" s="46"/>
    </row>
    <row r="18" spans="1:12" s="44" customFormat="1" ht="14.25" customHeight="1" x14ac:dyDescent="0.25">
      <c r="A18" s="183" t="s">
        <v>298</v>
      </c>
      <c r="B18" s="183"/>
      <c r="C18" s="45" t="str">
        <f t="shared" si="0"/>
        <v/>
      </c>
      <c r="D18" s="190" t="str">
        <f>IFERROR(VLOOKUP($A18,Sheet1!$A$1:$B$98,2,0),"")</f>
        <v/>
      </c>
      <c r="E18" s="45" t="str">
        <f>IFERROR(VLOOKUP($A18,'Tổng Đơn'!$A$5:$E$79,5,0),"")</f>
        <v/>
      </c>
      <c r="F18" s="45" t="str">
        <f t="shared" si="1"/>
        <v/>
      </c>
      <c r="G18" s="191" t="str">
        <f>IF(AND($C18="",$C17&lt;&gt;""),"Tổng Cộng",IFERROR(VLOOKUP($A18,Sheet1!$A$1:$D$98,4,0),""))</f>
        <v/>
      </c>
      <c r="H18" s="181" t="str">
        <f>IF($C17=MAX($C$8:$C$56),SUM($H$8:$H17),IFERROR($G18*$F18,""))</f>
        <v/>
      </c>
      <c r="I18" s="80" t="str">
        <f t="shared" si="2"/>
        <v/>
      </c>
      <c r="L18" s="46"/>
    </row>
    <row r="19" spans="1:12" s="44" customFormat="1" ht="14.25" customHeight="1" x14ac:dyDescent="0.25">
      <c r="A19" s="183" t="s">
        <v>298</v>
      </c>
      <c r="B19" s="183"/>
      <c r="C19" s="45" t="str">
        <f t="shared" si="0"/>
        <v/>
      </c>
      <c r="D19" s="190" t="str">
        <f>IFERROR(VLOOKUP($A19,Sheet1!$A$1:$B$98,2,0),"")</f>
        <v/>
      </c>
      <c r="E19" s="45" t="str">
        <f>IFERROR(VLOOKUP($A19,'Tổng Đơn'!$A$5:$E$79,5,0),"")</f>
        <v/>
      </c>
      <c r="F19" s="45" t="str">
        <f t="shared" si="1"/>
        <v/>
      </c>
      <c r="G19" s="191" t="str">
        <f>IF(AND($C19="",$C18&lt;&gt;""),"Tổng Cộng",IFERROR(VLOOKUP($A19,Sheet1!$A$1:$D$98,4,0),""))</f>
        <v/>
      </c>
      <c r="H19" s="181" t="str">
        <f>IF($C18=MAX($C$8:$C$56),SUM($H$8:$H18),IFERROR($G19*$F19,""))</f>
        <v/>
      </c>
      <c r="I19" s="80" t="str">
        <f t="shared" si="2"/>
        <v/>
      </c>
      <c r="L19" s="46"/>
    </row>
    <row r="20" spans="1:12" s="44" customFormat="1" ht="14.25" customHeight="1" x14ac:dyDescent="0.25">
      <c r="A20" s="183" t="s">
        <v>298</v>
      </c>
      <c r="B20" s="183"/>
      <c r="C20" s="45" t="str">
        <f t="shared" si="0"/>
        <v/>
      </c>
      <c r="D20" s="190" t="str">
        <f>IFERROR(VLOOKUP($A20,Sheet1!$A$1:$B$98,2,0),"")</f>
        <v/>
      </c>
      <c r="E20" s="45" t="str">
        <f>IFERROR(VLOOKUP($A20,'Tổng Đơn'!$A$5:$E$79,5,0),"")</f>
        <v/>
      </c>
      <c r="F20" s="45" t="str">
        <f t="shared" si="1"/>
        <v/>
      </c>
      <c r="G20" s="191" t="str">
        <f>IF(AND($C20="",$C19&lt;&gt;""),"Tổng Cộng",IFERROR(VLOOKUP($A20,Sheet1!$A$1:$D$98,4,0),""))</f>
        <v/>
      </c>
      <c r="H20" s="181" t="str">
        <f>IF($C19=MAX($C$8:$C$56),SUM($H$8:$H19),IFERROR($G20*$F20,""))</f>
        <v/>
      </c>
      <c r="I20" s="80" t="str">
        <f t="shared" si="2"/>
        <v/>
      </c>
      <c r="L20" s="46"/>
    </row>
    <row r="21" spans="1:12" s="44" customFormat="1" ht="14.25" customHeight="1" x14ac:dyDescent="0.25">
      <c r="A21" s="183" t="s">
        <v>298</v>
      </c>
      <c r="B21" s="183"/>
      <c r="C21" s="45" t="str">
        <f t="shared" si="0"/>
        <v/>
      </c>
      <c r="D21" s="190" t="str">
        <f>IFERROR(VLOOKUP($A21,Sheet1!$A$1:$B$98,2,0),"")</f>
        <v/>
      </c>
      <c r="E21" s="45" t="str">
        <f>IFERROR(VLOOKUP($A21,'Tổng Đơn'!$A$5:$E$79,5,0),"")</f>
        <v/>
      </c>
      <c r="F21" s="45" t="str">
        <f t="shared" si="1"/>
        <v/>
      </c>
      <c r="G21" s="191" t="str">
        <f>IF(AND($C21="",$C20&lt;&gt;""),"Tổng Cộng",IFERROR(VLOOKUP($A21,Sheet1!$A$1:$D$98,4,0),""))</f>
        <v/>
      </c>
      <c r="H21" s="181" t="str">
        <f>IF($C20=MAX($C$8:$C$56),SUM($H$8:$H20),IFERROR($G21*$F21,""))</f>
        <v/>
      </c>
      <c r="I21" s="80" t="str">
        <f t="shared" si="2"/>
        <v/>
      </c>
      <c r="L21" s="46"/>
    </row>
    <row r="22" spans="1:12" s="44" customFormat="1" ht="14.25" customHeight="1" x14ac:dyDescent="0.25">
      <c r="A22" s="183" t="s">
        <v>298</v>
      </c>
      <c r="B22" s="183"/>
      <c r="C22" s="45" t="str">
        <f t="shared" si="0"/>
        <v/>
      </c>
      <c r="D22" s="179" t="str">
        <f>IFERROR(VLOOKUP($A22,Sheet1!$A$1:$B$98,2,0),"")</f>
        <v/>
      </c>
      <c r="E22" s="45" t="str">
        <f>IFERROR(VLOOKUP($A22,'Tổng Đơn'!$A$5:$E$79,5,0),"")</f>
        <v/>
      </c>
      <c r="F22" s="45" t="str">
        <f t="shared" si="1"/>
        <v/>
      </c>
      <c r="G22" s="191" t="str">
        <f>IF(AND($C22="",$C21&lt;&gt;""),"Tổng Cộng",IFERROR(VLOOKUP($A22,Sheet1!$A$1:$D$98,4,0),""))</f>
        <v/>
      </c>
      <c r="H22" s="181" t="str">
        <f>IF($C21=MAX($C$8:$C$56),SUM($H$8:$H21),IFERROR($G22*$F22,""))</f>
        <v/>
      </c>
      <c r="I22" s="80" t="str">
        <f t="shared" si="2"/>
        <v/>
      </c>
      <c r="L22" s="46"/>
    </row>
    <row r="23" spans="1:12" s="44" customFormat="1" ht="14.25" customHeight="1" x14ac:dyDescent="0.25">
      <c r="A23" s="183" t="s">
        <v>298</v>
      </c>
      <c r="B23" s="183"/>
      <c r="C23" s="45" t="str">
        <f t="shared" si="0"/>
        <v/>
      </c>
      <c r="D23" s="179" t="str">
        <f>IFERROR(VLOOKUP($A23,Sheet1!$A$1:$B$98,2,0),"")</f>
        <v/>
      </c>
      <c r="E23" s="45" t="str">
        <f>IFERROR(VLOOKUP($A23,'Tổng Đơn'!$A$5:$E$79,5,0),"")</f>
        <v/>
      </c>
      <c r="F23" s="45" t="str">
        <f t="shared" si="1"/>
        <v/>
      </c>
      <c r="G23" s="191" t="str">
        <f>IF(AND($C23="",$C22&lt;&gt;""),"Tổng Cộng",IFERROR(VLOOKUP($A23,Sheet1!$A$1:$D$98,4,0),""))</f>
        <v/>
      </c>
      <c r="H23" s="181" t="str">
        <f>IF($C22=MAX($C$8:$C$56),SUM($H$8:$H22),IFERROR($G23*$F23,""))</f>
        <v/>
      </c>
      <c r="I23" s="80" t="str">
        <f t="shared" si="2"/>
        <v/>
      </c>
      <c r="L23" s="46"/>
    </row>
    <row r="24" spans="1:12" s="44" customFormat="1" ht="14.25" customHeight="1" x14ac:dyDescent="0.25">
      <c r="A24" s="183" t="s">
        <v>298</v>
      </c>
      <c r="B24" s="183"/>
      <c r="C24" s="45" t="str">
        <f t="shared" si="0"/>
        <v/>
      </c>
      <c r="D24" s="179" t="str">
        <f>IFERROR(VLOOKUP($A24,Sheet1!$A$1:$B$98,2,0),"")</f>
        <v/>
      </c>
      <c r="E24" s="45" t="str">
        <f>IFERROR(VLOOKUP($A24,'Tổng Đơn'!$A$5:$E$79,5,0),"")</f>
        <v/>
      </c>
      <c r="F24" s="45" t="str">
        <f t="shared" si="1"/>
        <v/>
      </c>
      <c r="G24" s="191" t="str">
        <f>IF(AND($C24="",$C23&lt;&gt;""),"Tổng Cộng",IFERROR(VLOOKUP($A24,Sheet1!$A$1:$D$98,4,0),""))</f>
        <v/>
      </c>
      <c r="H24" s="181" t="str">
        <f>IF($C23=MAX($C$8:$C$56),SUM($H$8:$H23),IFERROR($G24*$F24,""))</f>
        <v/>
      </c>
      <c r="I24" s="80" t="str">
        <f t="shared" si="2"/>
        <v/>
      </c>
      <c r="L24" s="46"/>
    </row>
    <row r="25" spans="1:12" s="44" customFormat="1" ht="14.25" customHeight="1" x14ac:dyDescent="0.25">
      <c r="A25" s="183" t="s">
        <v>298</v>
      </c>
      <c r="B25" s="183"/>
      <c r="C25" s="45" t="str">
        <f t="shared" si="0"/>
        <v/>
      </c>
      <c r="D25" s="179" t="str">
        <f>IFERROR(VLOOKUP($A25,Sheet1!$A$1:$B$98,2,0),"")</f>
        <v/>
      </c>
      <c r="E25" s="45" t="str">
        <f>IFERROR(VLOOKUP($A25,'Tổng Đơn'!$A$5:$E$79,5,0),"")</f>
        <v/>
      </c>
      <c r="F25" s="45" t="str">
        <f t="shared" si="1"/>
        <v/>
      </c>
      <c r="G25" s="191" t="str">
        <f>IF(AND($C25="",$C24&lt;&gt;""),"Tổng Cộng",IFERROR(VLOOKUP($A25,Sheet1!$A$1:$D$98,4,0),""))</f>
        <v/>
      </c>
      <c r="H25" s="181" t="str">
        <f>IF($C24=MAX($C$8:$C$56),SUM($H$8:$H24),IFERROR($G25*$F25,""))</f>
        <v/>
      </c>
      <c r="I25" s="80" t="str">
        <f t="shared" si="2"/>
        <v/>
      </c>
      <c r="L25" s="46"/>
    </row>
    <row r="26" spans="1:12" s="44" customFormat="1" ht="14.25" customHeight="1" x14ac:dyDescent="0.25">
      <c r="A26" s="183" t="s">
        <v>298</v>
      </c>
      <c r="B26" s="183"/>
      <c r="C26" s="45" t="str">
        <f t="shared" si="0"/>
        <v/>
      </c>
      <c r="D26" s="179" t="str">
        <f>IFERROR(VLOOKUP($A26,Sheet1!$A$1:$B$98,2,0),"")</f>
        <v/>
      </c>
      <c r="E26" s="45" t="str">
        <f>IFERROR(VLOOKUP($A26,'Tổng Đơn'!$A$5:$E$79,5,0),"")</f>
        <v/>
      </c>
      <c r="F26" s="45" t="str">
        <f t="shared" si="1"/>
        <v/>
      </c>
      <c r="G26" s="191" t="str">
        <f>IF(AND($C26="",$C25&lt;&gt;""),"Tổng Cộng",IFERROR(VLOOKUP($A26,Sheet1!$A$1:$D$98,4,0),""))</f>
        <v/>
      </c>
      <c r="H26" s="181" t="str">
        <f>IF($C25=MAX($C$8:$C$56),SUM($H$8:$H25),IFERROR($G26*$F26,""))</f>
        <v/>
      </c>
      <c r="I26" s="80" t="str">
        <f t="shared" si="2"/>
        <v/>
      </c>
      <c r="L26" s="46"/>
    </row>
    <row r="27" spans="1:12" s="44" customFormat="1" ht="14.25" customHeight="1" x14ac:dyDescent="0.25">
      <c r="A27" s="183" t="s">
        <v>298</v>
      </c>
      <c r="B27" s="183"/>
      <c r="C27" s="45" t="str">
        <f t="shared" si="0"/>
        <v/>
      </c>
      <c r="D27" s="179" t="str">
        <f>IFERROR(VLOOKUP($A27,Sheet1!$A$1:$B$98,2,0),"")</f>
        <v/>
      </c>
      <c r="E27" s="45" t="str">
        <f>IFERROR(VLOOKUP($A27,'Tổng Đơn'!$A$5:$E$79,5,0),"")</f>
        <v/>
      </c>
      <c r="F27" s="45" t="str">
        <f t="shared" si="1"/>
        <v/>
      </c>
      <c r="G27" s="191" t="str">
        <f>IF(AND($C27="",$C26&lt;&gt;""),"Tổng Cộng",IFERROR(VLOOKUP($A27,Sheet1!$A$1:$D$98,4,0),""))</f>
        <v/>
      </c>
      <c r="H27" s="181" t="str">
        <f>IF($C26=MAX($C$8:$C$56),SUM($H$8:$H26),IFERROR($G27*$F27,""))</f>
        <v/>
      </c>
      <c r="I27" s="80" t="str">
        <f t="shared" si="2"/>
        <v/>
      </c>
      <c r="L27" s="46"/>
    </row>
    <row r="28" spans="1:12" s="44" customFormat="1" ht="14.25" customHeight="1" x14ac:dyDescent="0.25">
      <c r="A28" s="183" t="s">
        <v>298</v>
      </c>
      <c r="B28" s="183"/>
      <c r="C28" s="45" t="str">
        <f t="shared" si="0"/>
        <v/>
      </c>
      <c r="D28" s="179" t="str">
        <f>IFERROR(VLOOKUP($A28,Sheet1!$A$1:$B$98,2,0),"")</f>
        <v/>
      </c>
      <c r="E28" s="45" t="str">
        <f>IFERROR(VLOOKUP($A28,'Tổng Đơn'!$A$5:$E$79,5,0),"")</f>
        <v/>
      </c>
      <c r="F28" s="45" t="str">
        <f t="shared" si="1"/>
        <v/>
      </c>
      <c r="G28" s="191" t="str">
        <f>IF(AND($C28="",$C27&lt;&gt;""),"Tổng Cộng",IFERROR(VLOOKUP($A28,Sheet1!$A$1:$D$98,4,0),""))</f>
        <v/>
      </c>
      <c r="H28" s="181" t="str">
        <f>IF($C27=MAX($C$8:$C$56),SUM($H$8:$H27),IFERROR($G28*$F28,""))</f>
        <v/>
      </c>
      <c r="I28" s="80" t="str">
        <f t="shared" si="2"/>
        <v/>
      </c>
      <c r="L28" s="46"/>
    </row>
    <row r="29" spans="1:12" s="44" customFormat="1" ht="14.25" customHeight="1" x14ac:dyDescent="0.25">
      <c r="A29" s="183" t="s">
        <v>298</v>
      </c>
      <c r="B29" s="183"/>
      <c r="C29" s="45" t="str">
        <f t="shared" si="0"/>
        <v/>
      </c>
      <c r="D29" s="179" t="str">
        <f>IFERROR(VLOOKUP($A29,Sheet1!$A$1:$B$98,2,0),"")</f>
        <v/>
      </c>
      <c r="E29" s="45" t="str">
        <f>IFERROR(VLOOKUP($A29,'Tổng Đơn'!$A$5:$E$79,5,0),"")</f>
        <v/>
      </c>
      <c r="F29" s="45" t="str">
        <f t="shared" si="1"/>
        <v/>
      </c>
      <c r="G29" s="191" t="str">
        <f>IF(AND($C29="",$C28&lt;&gt;""),"Tổng Cộng",IFERROR(VLOOKUP($A29,Sheet1!$A$1:$D$98,4,0),""))</f>
        <v/>
      </c>
      <c r="H29" s="181" t="str">
        <f>IF($C28=MAX($C$8:$C$56),SUM($H$8:$H28),IFERROR($G29*$F29,""))</f>
        <v/>
      </c>
      <c r="I29" s="80" t="str">
        <f t="shared" si="2"/>
        <v/>
      </c>
      <c r="L29" s="46"/>
    </row>
    <row r="30" spans="1:12" s="44" customFormat="1" ht="14.25" customHeight="1" x14ac:dyDescent="0.25">
      <c r="A30" s="183" t="s">
        <v>298</v>
      </c>
      <c r="B30" s="183"/>
      <c r="C30" s="45" t="str">
        <f t="shared" si="0"/>
        <v/>
      </c>
      <c r="D30" s="179" t="str">
        <f>IFERROR(VLOOKUP($A30,Sheet1!$A$1:$B$98,2,0),"")</f>
        <v/>
      </c>
      <c r="E30" s="45" t="str">
        <f>IFERROR(VLOOKUP($A30,'Tổng Đơn'!$A$5:$E$79,5,0),"")</f>
        <v/>
      </c>
      <c r="F30" s="45" t="str">
        <f t="shared" si="1"/>
        <v/>
      </c>
      <c r="G30" s="191" t="str">
        <f>IF(AND($C30="",$C29&lt;&gt;""),"Tổng Cộng",IFERROR(VLOOKUP($A30,Sheet1!$A$1:$D$98,4,0),""))</f>
        <v/>
      </c>
      <c r="H30" s="181" t="str">
        <f>IF($C29=MAX($C$8:$C$56),SUM($H$8:$H29),IFERROR($G30*$F30,""))</f>
        <v/>
      </c>
      <c r="I30" s="80" t="str">
        <f t="shared" si="2"/>
        <v/>
      </c>
      <c r="L30" s="46"/>
    </row>
    <row r="31" spans="1:12" s="44" customFormat="1" ht="14.25" customHeight="1" x14ac:dyDescent="0.25">
      <c r="A31" s="183" t="s">
        <v>298</v>
      </c>
      <c r="B31" s="183"/>
      <c r="C31" s="45" t="str">
        <f t="shared" si="0"/>
        <v/>
      </c>
      <c r="D31" s="179" t="str">
        <f>IFERROR(VLOOKUP($A31,Sheet1!$A$1:$B$98,2,0),"")</f>
        <v/>
      </c>
      <c r="E31" s="45" t="str">
        <f>IFERROR(VLOOKUP($A31,'Tổng Đơn'!$A$5:$E$79,5,0),"")</f>
        <v/>
      </c>
      <c r="F31" s="45" t="str">
        <f t="shared" si="1"/>
        <v/>
      </c>
      <c r="G31" s="191" t="str">
        <f>IF(AND($C31="",$C30&lt;&gt;""),"Tổng Cộng",IFERROR(VLOOKUP($A31,Sheet1!$A$1:$D$98,4,0),""))</f>
        <v/>
      </c>
      <c r="H31" s="181" t="str">
        <f>IF($C30=MAX($C$8:$C$56),SUM($H$8:$H30),IFERROR($G31*$F31,""))</f>
        <v/>
      </c>
      <c r="I31" s="80" t="str">
        <f t="shared" si="2"/>
        <v/>
      </c>
      <c r="L31" s="46"/>
    </row>
    <row r="32" spans="1:12" s="44" customFormat="1" ht="14.25" customHeight="1" x14ac:dyDescent="0.25">
      <c r="A32" s="183" t="s">
        <v>298</v>
      </c>
      <c r="B32" s="183"/>
      <c r="C32" s="45" t="str">
        <f t="shared" si="0"/>
        <v/>
      </c>
      <c r="D32" s="179" t="str">
        <f>IFERROR(VLOOKUP($A32,Sheet1!$A$1:$B$98,2,0),"")</f>
        <v/>
      </c>
      <c r="E32" s="45" t="str">
        <f>IFERROR(VLOOKUP($A32,'Tổng Đơn'!$A$5:$E$79,5,0),"")</f>
        <v/>
      </c>
      <c r="F32" s="45" t="str">
        <f t="shared" si="1"/>
        <v/>
      </c>
      <c r="G32" s="191" t="str">
        <f>IF(AND($C32="",$C31&lt;&gt;""),"Tổng Cộng",IFERROR(VLOOKUP($A32,Sheet1!$A$1:$D$98,4,0),""))</f>
        <v/>
      </c>
      <c r="H32" s="181" t="str">
        <f>IF($C31=MAX($C$8:$C$56),SUM($H$8:$H31),IFERROR($G32*$F32,""))</f>
        <v/>
      </c>
      <c r="I32" s="80" t="str">
        <f t="shared" si="2"/>
        <v/>
      </c>
      <c r="L32" s="46"/>
    </row>
    <row r="33" spans="1:12" s="44" customFormat="1" ht="14.25" customHeight="1" x14ac:dyDescent="0.25">
      <c r="A33" s="183" t="s">
        <v>298</v>
      </c>
      <c r="B33" s="183"/>
      <c r="C33" s="45" t="str">
        <f t="shared" si="0"/>
        <v/>
      </c>
      <c r="D33" s="179" t="str">
        <f>IFERROR(VLOOKUP($A33,Sheet1!$A$1:$B$98,2,0),"")</f>
        <v/>
      </c>
      <c r="E33" s="45" t="str">
        <f>IFERROR(VLOOKUP($A33,'Tổng Đơn'!$A$5:$E$79,5,0),"")</f>
        <v/>
      </c>
      <c r="F33" s="45" t="str">
        <f t="shared" si="1"/>
        <v/>
      </c>
      <c r="G33" s="191" t="str">
        <f>IF(AND($C33="",$C32&lt;&gt;""),"Tổng Cộng",IFERROR(VLOOKUP($A33,Sheet1!$A$1:$D$98,4,0),""))</f>
        <v/>
      </c>
      <c r="H33" s="181" t="str">
        <f>IF($C32=MAX($C$8:$C$56),SUM($H$8:$H32),IFERROR($G33*$F33,""))</f>
        <v/>
      </c>
      <c r="I33" s="80" t="str">
        <f t="shared" si="2"/>
        <v/>
      </c>
      <c r="L33" s="46"/>
    </row>
    <row r="34" spans="1:12" s="44" customFormat="1" ht="14.25" customHeight="1" x14ac:dyDescent="0.25">
      <c r="A34" s="183" t="s">
        <v>298</v>
      </c>
      <c r="B34" s="183"/>
      <c r="C34" s="45" t="str">
        <f t="shared" si="0"/>
        <v/>
      </c>
      <c r="D34" s="179" t="str">
        <f>IFERROR(VLOOKUP($A34,Sheet1!$A$1:$B$98,2,0),"")</f>
        <v/>
      </c>
      <c r="E34" s="45" t="str">
        <f>IFERROR(VLOOKUP($A34,'Tổng Đơn'!$A$5:$E$79,5,0),"")</f>
        <v/>
      </c>
      <c r="F34" s="45" t="str">
        <f t="shared" si="1"/>
        <v/>
      </c>
      <c r="G34" s="191" t="str">
        <f>IF(AND($C34="",$C33&lt;&gt;""),"Tổng Cộng",IFERROR(VLOOKUP($A34,Sheet1!$A$1:$D$98,4,0),""))</f>
        <v/>
      </c>
      <c r="H34" s="181" t="str">
        <f>IF($C33=MAX($C$8:$C$56),SUM($H$8:$H33),IFERROR($G34*$F34,""))</f>
        <v/>
      </c>
      <c r="I34" s="80" t="str">
        <f t="shared" si="2"/>
        <v/>
      </c>
      <c r="L34" s="46"/>
    </row>
    <row r="35" spans="1:12" s="44" customFormat="1" ht="14.25" customHeight="1" x14ac:dyDescent="0.25">
      <c r="A35" s="183" t="s">
        <v>298</v>
      </c>
      <c r="B35" s="183"/>
      <c r="C35" s="45" t="str">
        <f t="shared" si="0"/>
        <v/>
      </c>
      <c r="D35" s="179" t="str">
        <f>IFERROR(VLOOKUP($A35,Sheet1!$A$1:$B$98,2,0),"")</f>
        <v/>
      </c>
      <c r="E35" s="45" t="str">
        <f>IFERROR(VLOOKUP($A35,'Tổng Đơn'!$A$5:$E$79,5,0),"")</f>
        <v/>
      </c>
      <c r="F35" s="45" t="str">
        <f t="shared" si="1"/>
        <v/>
      </c>
      <c r="G35" s="191" t="str">
        <f>IF(AND($C35="",$C34&lt;&gt;""),"Tổng Cộng",IFERROR(VLOOKUP($A35,Sheet1!$A$1:$D$98,4,0),""))</f>
        <v/>
      </c>
      <c r="H35" s="181" t="str">
        <f>IF($C34=MAX($C$8:$C$56),SUM($H$8:$H34),IFERROR($G35*$F35,""))</f>
        <v/>
      </c>
      <c r="I35" s="80" t="str">
        <f t="shared" si="2"/>
        <v/>
      </c>
      <c r="L35" s="46"/>
    </row>
    <row r="36" spans="1:12" s="44" customFormat="1" ht="14.25" customHeight="1" x14ac:dyDescent="0.25">
      <c r="A36" s="183" t="s">
        <v>298</v>
      </c>
      <c r="B36" s="183"/>
      <c r="C36" s="45" t="str">
        <f t="shared" si="0"/>
        <v/>
      </c>
      <c r="D36" s="179" t="str">
        <f>IFERROR(VLOOKUP($A36,Sheet1!$A$1:$B$98,2,0),"")</f>
        <v/>
      </c>
      <c r="E36" s="45" t="str">
        <f>IFERROR(VLOOKUP($A36,'Tổng Đơn'!$A$5:$E$79,5,0),"")</f>
        <v/>
      </c>
      <c r="F36" s="45" t="str">
        <f t="shared" si="1"/>
        <v/>
      </c>
      <c r="G36" s="191" t="str">
        <f>IF(AND($C36="",$C35&lt;&gt;""),"Tổng Cộng",IFERROR(VLOOKUP($A36,Sheet1!$A$1:$D$98,4,0),""))</f>
        <v/>
      </c>
      <c r="H36" s="181" t="str">
        <f>IF($C35=MAX($C$8:$C$56),SUM($H$8:$H35),IFERROR($G36*$F36,""))</f>
        <v/>
      </c>
      <c r="I36" s="80" t="str">
        <f t="shared" si="2"/>
        <v/>
      </c>
      <c r="L36" s="46"/>
    </row>
    <row r="37" spans="1:12" s="44" customFormat="1" ht="14.25" customHeight="1" x14ac:dyDescent="0.25">
      <c r="A37" s="183" t="s">
        <v>298</v>
      </c>
      <c r="B37" s="183"/>
      <c r="C37" s="45" t="str">
        <f t="shared" si="0"/>
        <v/>
      </c>
      <c r="D37" s="179" t="str">
        <f>IFERROR(VLOOKUP($A37,Sheet1!$A$1:$B$98,2,0),"")</f>
        <v/>
      </c>
      <c r="E37" s="45" t="str">
        <f>IFERROR(VLOOKUP($A37,'Tổng Đơn'!$A$5:$E$79,5,0),"")</f>
        <v/>
      </c>
      <c r="F37" s="45" t="str">
        <f t="shared" si="1"/>
        <v/>
      </c>
      <c r="G37" s="191" t="str">
        <f>IF(AND($C37="",$C36&lt;&gt;""),"Tổng Cộng",IFERROR(VLOOKUP($A37,Sheet1!$A$1:$D$98,4,0),""))</f>
        <v/>
      </c>
      <c r="H37" s="181" t="str">
        <f>IF($C36=MAX($C$8:$C$56),SUM($H$8:$H36),IFERROR($G37*$F37,""))</f>
        <v/>
      </c>
      <c r="I37" s="80" t="str">
        <f t="shared" si="2"/>
        <v/>
      </c>
      <c r="L37" s="46"/>
    </row>
    <row r="38" spans="1:12" s="44" customFormat="1" ht="14.25" customHeight="1" x14ac:dyDescent="0.25">
      <c r="A38" s="183"/>
      <c r="B38" s="183"/>
      <c r="C38" s="48"/>
      <c r="D38" s="49"/>
      <c r="E38" s="78"/>
      <c r="F38" s="45"/>
      <c r="G38" s="192" t="str">
        <f>IF(AND($C38="",$C37&lt;&gt;""),"Tổng Cộng",IFERROR(VLOOKUP($A38,Sheet1!$A$1:$D$98,4,0),""))</f>
        <v/>
      </c>
      <c r="H38" s="50" t="str">
        <f>IF($C37=MAX($C$8:$C$56),SUM($H$8:$H37),IFERROR($G38*$F38,""))</f>
        <v/>
      </c>
      <c r="I38" s="80"/>
      <c r="L38" s="46"/>
    </row>
    <row r="39" spans="1:12" ht="15" customHeight="1" x14ac:dyDescent="0.25">
      <c r="F39" s="51"/>
      <c r="G39" s="171"/>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H9 C38:E38 C9:G9 F15:H38 D15:E37 D10:H14">
    <cfRule type="expression" dxfId="55" priority="2">
      <formula>$C7=MAX($C$8:$C$37)</formula>
    </cfRule>
  </conditionalFormatting>
  <conditionalFormatting sqref="C10:C37">
    <cfRule type="expression" dxfId="54" priority="1">
      <formula>$C9=MAX($C$8:$C$37)</formula>
    </cfRule>
  </conditionalFormatting>
  <conditionalFormatting sqref="E8:E38">
    <cfRule type="expression" dxfId="53" priority="3">
      <formula>AND($A8="",$F8&lt;&gt;"")</formula>
    </cfRule>
  </conditionalFormatting>
  <conditionalFormatting sqref="F8:F38">
    <cfRule type="expression" dxfId="52"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53601" r:id="rId4" name="Button 1">
              <controlPr defaultSize="0" print="0" autoFill="0" autoPict="0" macro="[0]!Macro4">
                <anchor moveWithCells="1" sizeWithCells="1">
                  <from>
                    <xdr:col>0</xdr:col>
                    <xdr:colOff>0</xdr:colOff>
                    <xdr:row>0</xdr:row>
                    <xdr:rowOff>0</xdr:rowOff>
                  </from>
                  <to>
                    <xdr:col>1</xdr:col>
                    <xdr:colOff>723900</xdr:colOff>
                    <xdr:row>7</xdr:row>
                    <xdr:rowOff>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3">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RowHeight="15" x14ac:dyDescent="0.25"/>
  <cols>
    <col min="1" max="1" width="11.7109375" style="14" customWidth="1"/>
    <col min="2" max="2" width="11.28515625" style="14" customWidth="1"/>
    <col min="3" max="3" width="9.140625" style="14"/>
    <col min="4" max="4" width="38.42578125" style="14" bestFit="1" customWidth="1"/>
    <col min="5" max="5" width="12.28515625" style="79"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33" t="s">
        <v>223</v>
      </c>
      <c r="D1" s="233"/>
      <c r="E1" s="233"/>
      <c r="F1" s="233"/>
      <c r="G1" s="233"/>
      <c r="H1" s="233"/>
    </row>
    <row r="2" spans="1:14" ht="15.75" customHeight="1" x14ac:dyDescent="0.25">
      <c r="C2" s="233"/>
      <c r="D2" s="233"/>
      <c r="E2" s="233"/>
      <c r="F2" s="233"/>
      <c r="G2" s="233"/>
      <c r="H2" s="233"/>
    </row>
    <row r="3" spans="1:14" ht="15" customHeight="1" x14ac:dyDescent="0.25">
      <c r="C3" s="235" t="s">
        <v>225</v>
      </c>
      <c r="D3" s="235"/>
      <c r="E3" s="235"/>
      <c r="F3" s="238" t="s">
        <v>227</v>
      </c>
      <c r="G3" s="238"/>
      <c r="H3" s="238"/>
    </row>
    <row r="4" spans="1:14" x14ac:dyDescent="0.25">
      <c r="C4" s="236" t="s">
        <v>226</v>
      </c>
      <c r="D4" s="236"/>
      <c r="E4" s="236"/>
      <c r="F4" s="239" t="s">
        <v>228</v>
      </c>
      <c r="G4" s="239"/>
      <c r="H4" s="239"/>
    </row>
    <row r="5" spans="1:14" s="172" customFormat="1" ht="21" customHeight="1" x14ac:dyDescent="0.25">
      <c r="C5" s="237" t="s">
        <v>224</v>
      </c>
      <c r="D5" s="237"/>
      <c r="E5" s="237"/>
      <c r="F5" s="237"/>
      <c r="G5" s="237"/>
      <c r="H5" s="237"/>
    </row>
    <row r="6" spans="1:14" s="172" customFormat="1" ht="17.25" customHeight="1" x14ac:dyDescent="0.25">
      <c r="C6" s="182" t="s">
        <v>229</v>
      </c>
      <c r="D6" s="187" t="s">
        <v>310</v>
      </c>
      <c r="E6" s="177"/>
      <c r="F6" s="177"/>
      <c r="G6" s="234" t="str">
        <f ca="1">"Ngày "&amp;DAY(TODAY())&amp;" Tháng "&amp;MONTH(TODAY())&amp;" Năm "&amp;YEAR(TODAY())</f>
        <v>Ngày 14 Tháng 2 Năm 2022</v>
      </c>
      <c r="H6" s="234"/>
    </row>
    <row r="7" spans="1:14" s="176" customFormat="1" ht="24" customHeight="1" x14ac:dyDescent="0.25">
      <c r="A7" s="173" t="s">
        <v>118</v>
      </c>
      <c r="B7" s="173" t="s">
        <v>16</v>
      </c>
      <c r="C7" s="174" t="s">
        <v>0</v>
      </c>
      <c r="D7" s="174" t="s">
        <v>17</v>
      </c>
      <c r="E7" s="178" t="str">
        <f>"Quy cách"&amp;CHAR(10)&amp;"(Kg)"</f>
        <v>Quy cách
(Kg)</v>
      </c>
      <c r="F7" s="174" t="s">
        <v>16</v>
      </c>
      <c r="G7" s="174" t="s">
        <v>18</v>
      </c>
      <c r="H7" s="174" t="s">
        <v>19</v>
      </c>
      <c r="I7" s="175">
        <f>SUBTOTAL(9,I8:I37)</f>
        <v>3</v>
      </c>
      <c r="L7" s="172"/>
    </row>
    <row r="8" spans="1:14" s="44" customFormat="1" ht="14.25" customHeight="1" x14ac:dyDescent="0.25">
      <c r="A8" s="183">
        <v>21</v>
      </c>
      <c r="B8" s="183">
        <v>1</v>
      </c>
      <c r="C8" s="45">
        <f t="shared" ref="C8:C37" si="0">IF(OR(SUM($C7,$A8&lt;&gt;"")=0,$A8=""),"",SUM($C7,$A8&lt;&gt;""))</f>
        <v>1</v>
      </c>
      <c r="D8" s="179" t="str">
        <f>IFERROR(VLOOKUP($A8,Sheet1!$A$1:$B$98,2,0),"")</f>
        <v>XX Đức HS ĐNA</v>
      </c>
      <c r="E8" s="180">
        <f>IFERROR(VLOOKUP($A8,'Tổng Đơn'!$A$5:$E$79,5,0),"")</f>
        <v>0.5</v>
      </c>
      <c r="F8" s="45">
        <f t="shared" ref="F8:F37" si="1">IF($B8="","",B8)</f>
        <v>1</v>
      </c>
      <c r="G8" s="191">
        <f>IFERROR(VLOOKUP($A8,Sheet1!$A1:$D$98,4,0),"")</f>
        <v>33000</v>
      </c>
      <c r="H8" s="181">
        <f>IF($C7=MAX($C$8:$C$56),SUM($H7:$H$8),IFERROR($G8*$F8,""))</f>
        <v>33000</v>
      </c>
      <c r="I8" s="80">
        <f t="shared" ref="I8:I37" si="2">IF(TYPE($A8)&lt;&gt;1,"",IFERROR(F8*E8,""))</f>
        <v>0.5</v>
      </c>
      <c r="L8" s="47"/>
    </row>
    <row r="9" spans="1:14" s="44" customFormat="1" ht="14.25" customHeight="1" x14ac:dyDescent="0.25">
      <c r="A9" s="183">
        <v>54</v>
      </c>
      <c r="B9" s="183">
        <v>1</v>
      </c>
      <c r="C9" s="45">
        <f t="shared" si="0"/>
        <v>2</v>
      </c>
      <c r="D9" s="179" t="str">
        <f>IFERROR(VLOOKUP($A9,Sheet1!$A$1:$B$98,2,0),"")</f>
        <v>Khoai tây Simplot</v>
      </c>
      <c r="E9" s="45">
        <f>IFERROR(VLOOKUP($A9,'Tổng Đơn'!$A$5:$E$79,5,0),"")</f>
        <v>1</v>
      </c>
      <c r="F9" s="45">
        <f t="shared" si="1"/>
        <v>1</v>
      </c>
      <c r="G9" s="191">
        <f>IF(AND($C9="",$C8&lt;&gt;""),"Tổng Cộng",IFERROR(VLOOKUP($A9,Sheet1!$A$1:$D$98,4,0),""))</f>
        <v>45000</v>
      </c>
      <c r="H9" s="181">
        <f>IF($C8=MAX($C$8:$C$56),SUM($H$8:$H8),IFERROR($G9*$F9,""))</f>
        <v>45000</v>
      </c>
      <c r="I9" s="80">
        <f t="shared" si="2"/>
        <v>1</v>
      </c>
      <c r="L9" s="46"/>
    </row>
    <row r="10" spans="1:14" s="44" customFormat="1" ht="14.25" customHeight="1" x14ac:dyDescent="0.25">
      <c r="A10" s="183">
        <v>65</v>
      </c>
      <c r="B10" s="183">
        <v>2</v>
      </c>
      <c r="C10" s="45">
        <f t="shared" si="0"/>
        <v>3</v>
      </c>
      <c r="D10" s="179" t="str">
        <f>IFERROR(VLOOKUP($A10,Sheet1!$A$1:$B$98,2,0),"")</f>
        <v>Cá viên KK</v>
      </c>
      <c r="E10" s="45">
        <f>IFERROR(VLOOKUP($A10,'Tổng Đơn'!$A$5:$E$79,5,0),"")</f>
        <v>0.5</v>
      </c>
      <c r="F10" s="45">
        <f t="shared" si="1"/>
        <v>2</v>
      </c>
      <c r="G10" s="191">
        <f>IF(AND($C10="",$C9&lt;&gt;""),"Tổng Cộng",IFERROR(VLOOKUP($A10,Sheet1!$A$1:$D$98,4,0),""))</f>
        <v>23000</v>
      </c>
      <c r="H10" s="181">
        <f>IF($C9=MAX($C$8:$C$56),SUM($H$8:$H9),IFERROR($G10*$F10,""))</f>
        <v>46000</v>
      </c>
      <c r="I10" s="80">
        <f t="shared" si="2"/>
        <v>1</v>
      </c>
      <c r="L10" s="46"/>
    </row>
    <row r="11" spans="1:14" s="44" customFormat="1" ht="14.25" customHeight="1" x14ac:dyDescent="0.25">
      <c r="A11" s="183">
        <v>66</v>
      </c>
      <c r="B11" s="183">
        <v>1</v>
      </c>
      <c r="C11" s="45">
        <f t="shared" si="0"/>
        <v>4</v>
      </c>
      <c r="D11" s="179" t="str">
        <f>IFERROR(VLOOKUP($A11,Sheet1!$A$1:$B$98,2,0),"")</f>
        <v>Cá viên rau củ KK</v>
      </c>
      <c r="E11" s="45">
        <f>IFERROR(VLOOKUP($A11,'Tổng Đơn'!$A$5:$E$79,5,0),"")</f>
        <v>0.5</v>
      </c>
      <c r="F11" s="45">
        <f t="shared" si="1"/>
        <v>1</v>
      </c>
      <c r="G11" s="191">
        <f>IF(AND($C11="",$C10&lt;&gt;""),"Tổng Cộng",IFERROR(VLOOKUP($A11,Sheet1!$A$1:$D$98,4,0),""))</f>
        <v>26000</v>
      </c>
      <c r="H11" s="181">
        <f>IF($C10=MAX($C$8:$C$56),SUM($H$8:$H10),IFERROR($G11*$F11,""))</f>
        <v>26000</v>
      </c>
      <c r="I11" s="80">
        <f t="shared" si="2"/>
        <v>0.5</v>
      </c>
      <c r="L11" s="46"/>
    </row>
    <row r="12" spans="1:14" s="44" customFormat="1" ht="14.25" customHeight="1" x14ac:dyDescent="0.25">
      <c r="A12" s="183" t="s">
        <v>298</v>
      </c>
      <c r="B12" s="183"/>
      <c r="C12" s="45" t="str">
        <f t="shared" si="0"/>
        <v/>
      </c>
      <c r="D12" s="179" t="str">
        <f>IFERROR(VLOOKUP($A12,Sheet1!$A$1:$B$98,2,0),"")</f>
        <v/>
      </c>
      <c r="E12" s="45" t="str">
        <f>IFERROR(VLOOKUP($A12,'Tổng Đơn'!$A$5:$E$79,5,0),"")</f>
        <v/>
      </c>
      <c r="F12" s="45" t="str">
        <f t="shared" si="1"/>
        <v/>
      </c>
      <c r="G12" s="191" t="str">
        <f>IF(AND($C12="",$C11&lt;&gt;""),"Tổng Cộng",IFERROR(VLOOKUP($A12,Sheet1!$A$1:$D$98,4,0),""))</f>
        <v>Tổng Cộng</v>
      </c>
      <c r="H12" s="181">
        <f>IF($C11=MAX($C$8:$C$56),SUM($H$8:$H11),IFERROR($G12*$F12,""))</f>
        <v>150000</v>
      </c>
      <c r="I12" s="80" t="str">
        <f t="shared" si="2"/>
        <v/>
      </c>
      <c r="J12" s="153"/>
      <c r="L12" s="46"/>
      <c r="M12" s="161"/>
      <c r="N12" s="154"/>
    </row>
    <row r="13" spans="1:14" s="44" customFormat="1" ht="14.25" customHeight="1" x14ac:dyDescent="0.25">
      <c r="A13" s="183" t="s">
        <v>298</v>
      </c>
      <c r="B13" s="183"/>
      <c r="C13" s="45" t="str">
        <f t="shared" si="0"/>
        <v/>
      </c>
      <c r="D13" s="179" t="str">
        <f>IFERROR(VLOOKUP($A13,Sheet1!$A$1:$B$98,2,0),"")</f>
        <v/>
      </c>
      <c r="E13" s="45" t="str">
        <f>IFERROR(VLOOKUP($A13,'Tổng Đơn'!$A$5:$E$79,5,0),"")</f>
        <v/>
      </c>
      <c r="F13" s="45" t="str">
        <f t="shared" si="1"/>
        <v/>
      </c>
      <c r="G13" s="191" t="str">
        <f>IF(AND($C13="",$C12&lt;&gt;""),"Tổng Cộng",IFERROR(VLOOKUP($A13,Sheet1!$A$1:$D$98,4,0),""))</f>
        <v/>
      </c>
      <c r="H13" s="181" t="str">
        <f>IF($C12=MAX($C$8:$C$56),SUM($H$8:$H12),IFERROR($G13*$F13,""))</f>
        <v/>
      </c>
      <c r="I13" s="80" t="str">
        <f t="shared" si="2"/>
        <v/>
      </c>
      <c r="L13" s="46"/>
    </row>
    <row r="14" spans="1:14" s="44" customFormat="1" ht="14.25" customHeight="1" x14ac:dyDescent="0.25">
      <c r="A14" s="183" t="s">
        <v>298</v>
      </c>
      <c r="B14" s="183"/>
      <c r="C14" s="45" t="str">
        <f t="shared" si="0"/>
        <v/>
      </c>
      <c r="D14" s="179" t="str">
        <f>IFERROR(VLOOKUP($A14,Sheet1!$A$1:$B$98,2,0),"")</f>
        <v/>
      </c>
      <c r="E14" s="45" t="str">
        <f>IFERROR(VLOOKUP($A14,'Tổng Đơn'!$A$5:$E$79,5,0),"")</f>
        <v/>
      </c>
      <c r="F14" s="45" t="str">
        <f t="shared" si="1"/>
        <v/>
      </c>
      <c r="G14" s="191" t="str">
        <f>IF(AND($C14="",$C13&lt;&gt;""),"Tổng Cộng",IFERROR(VLOOKUP($A14,Sheet1!$A$1:$D$98,4,0),""))</f>
        <v/>
      </c>
      <c r="H14" s="181" t="str">
        <f>IF($C13=MAX($C$8:$C$56),SUM($H$8:$H13),IFERROR($G14*$F14,""))</f>
        <v/>
      </c>
      <c r="I14" s="80" t="str">
        <f t="shared" si="2"/>
        <v/>
      </c>
      <c r="L14" s="46"/>
      <c r="M14" s="162"/>
    </row>
    <row r="15" spans="1:14" s="44" customFormat="1" ht="14.25" customHeight="1" x14ac:dyDescent="0.25">
      <c r="A15" s="183" t="s">
        <v>298</v>
      </c>
      <c r="B15" s="183"/>
      <c r="C15" s="45" t="str">
        <f t="shared" si="0"/>
        <v/>
      </c>
      <c r="D15" s="179" t="str">
        <f>IFERROR(VLOOKUP($A15,Sheet1!$A$1:$B$98,2,0),"")</f>
        <v/>
      </c>
      <c r="E15" s="45" t="str">
        <f>IFERROR(VLOOKUP($A15,'Tổng Đơn'!$A$5:$E$79,5,0),"")</f>
        <v/>
      </c>
      <c r="F15" s="45" t="str">
        <f t="shared" si="1"/>
        <v/>
      </c>
      <c r="G15" s="191" t="str">
        <f>IF(AND($C15="",$C14&lt;&gt;""),"Tổng Cộng",IFERROR(VLOOKUP($A15,Sheet1!$A$1:$D$98,4,0),""))</f>
        <v/>
      </c>
      <c r="H15" s="181" t="str">
        <f>IF($C14=MAX($C$8:$C$56),SUM($H$8:$H14),IFERROR($G15*$F15,""))</f>
        <v/>
      </c>
      <c r="I15" s="80" t="str">
        <f t="shared" si="2"/>
        <v/>
      </c>
      <c r="L15" s="46"/>
    </row>
    <row r="16" spans="1:14" s="44" customFormat="1" ht="14.25" customHeight="1" x14ac:dyDescent="0.25">
      <c r="A16" s="183" t="s">
        <v>298</v>
      </c>
      <c r="B16" s="183"/>
      <c r="C16" s="45" t="str">
        <f t="shared" si="0"/>
        <v/>
      </c>
      <c r="D16" s="179" t="str">
        <f>IFERROR(VLOOKUP($A16,Sheet1!$A$1:$B$98,2,0),"")</f>
        <v/>
      </c>
      <c r="E16" s="45" t="str">
        <f>IFERROR(VLOOKUP($A16,'Tổng Đơn'!$A$5:$E$79,5,0),"")</f>
        <v/>
      </c>
      <c r="F16" s="45" t="str">
        <f t="shared" si="1"/>
        <v/>
      </c>
      <c r="G16" s="191" t="str">
        <f>IF(AND($C16="",$C15&lt;&gt;""),"Tổng Cộng",IFERROR(VLOOKUP($A16,Sheet1!$A$1:$D$98,4,0),""))</f>
        <v/>
      </c>
      <c r="H16" s="181" t="str">
        <f>IF($C15=MAX($C$8:$C$56),SUM($H$8:$H15),IFERROR($G16*$F16,""))</f>
        <v/>
      </c>
      <c r="I16" s="80" t="str">
        <f t="shared" si="2"/>
        <v/>
      </c>
      <c r="L16" s="46"/>
    </row>
    <row r="17" spans="1:12" s="44" customFormat="1" ht="14.25" customHeight="1" x14ac:dyDescent="0.25">
      <c r="A17" s="183" t="s">
        <v>298</v>
      </c>
      <c r="B17" s="183"/>
      <c r="C17" s="45" t="str">
        <f t="shared" si="0"/>
        <v/>
      </c>
      <c r="D17" s="190" t="str">
        <f>IFERROR(VLOOKUP($A17,Sheet1!$A$1:$B$98,2,0),"")</f>
        <v/>
      </c>
      <c r="E17" s="45" t="str">
        <f>IFERROR(VLOOKUP($A17,'Tổng Đơn'!$A$5:$E$79,5,0),"")</f>
        <v/>
      </c>
      <c r="F17" s="45" t="str">
        <f t="shared" si="1"/>
        <v/>
      </c>
      <c r="G17" s="191" t="str">
        <f>IF(AND($C17="",$C16&lt;&gt;""),"Tổng Cộng",IFERROR(VLOOKUP($A17,Sheet1!$A$1:$D$98,4,0),""))</f>
        <v/>
      </c>
      <c r="H17" s="181" t="str">
        <f>IF($C16=MAX($C$8:$C$56),SUM($H$8:$H16),IFERROR($G17*$F17,""))</f>
        <v/>
      </c>
      <c r="I17" s="80" t="str">
        <f t="shared" si="2"/>
        <v/>
      </c>
      <c r="L17" s="46"/>
    </row>
    <row r="18" spans="1:12" s="44" customFormat="1" ht="14.25" customHeight="1" x14ac:dyDescent="0.25">
      <c r="A18" s="183" t="s">
        <v>298</v>
      </c>
      <c r="B18" s="183"/>
      <c r="C18" s="45" t="str">
        <f t="shared" si="0"/>
        <v/>
      </c>
      <c r="D18" s="190" t="str">
        <f>IFERROR(VLOOKUP($A18,Sheet1!$A$1:$B$98,2,0),"")</f>
        <v/>
      </c>
      <c r="E18" s="45" t="str">
        <f>IFERROR(VLOOKUP($A18,'Tổng Đơn'!$A$5:$E$79,5,0),"")</f>
        <v/>
      </c>
      <c r="F18" s="45" t="str">
        <f t="shared" si="1"/>
        <v/>
      </c>
      <c r="G18" s="191" t="str">
        <f>IF(AND($C18="",$C17&lt;&gt;""),"Tổng Cộng",IFERROR(VLOOKUP($A18,Sheet1!$A$1:$D$98,4,0),""))</f>
        <v/>
      </c>
      <c r="H18" s="181" t="str">
        <f>IF($C17=MAX($C$8:$C$56),SUM($H$8:$H17),IFERROR($G18*$F18,""))</f>
        <v/>
      </c>
      <c r="I18" s="80" t="str">
        <f t="shared" si="2"/>
        <v/>
      </c>
      <c r="L18" s="46"/>
    </row>
    <row r="19" spans="1:12" s="44" customFormat="1" ht="14.25" customHeight="1" x14ac:dyDescent="0.25">
      <c r="A19" s="183" t="s">
        <v>298</v>
      </c>
      <c r="B19" s="183"/>
      <c r="C19" s="45" t="str">
        <f t="shared" si="0"/>
        <v/>
      </c>
      <c r="D19" s="190" t="str">
        <f>IFERROR(VLOOKUP($A19,Sheet1!$A$1:$B$98,2,0),"")</f>
        <v/>
      </c>
      <c r="E19" s="45" t="str">
        <f>IFERROR(VLOOKUP($A19,'Tổng Đơn'!$A$5:$E$79,5,0),"")</f>
        <v/>
      </c>
      <c r="F19" s="45" t="str">
        <f t="shared" si="1"/>
        <v/>
      </c>
      <c r="G19" s="191" t="str">
        <f>IF(AND($C19="",$C18&lt;&gt;""),"Tổng Cộng",IFERROR(VLOOKUP($A19,Sheet1!$A$1:$D$98,4,0),""))</f>
        <v/>
      </c>
      <c r="H19" s="181" t="str">
        <f>IF($C18=MAX($C$8:$C$56),SUM($H$8:$H18),IFERROR($G19*$F19,""))</f>
        <v/>
      </c>
      <c r="I19" s="80" t="str">
        <f t="shared" si="2"/>
        <v/>
      </c>
      <c r="L19" s="46"/>
    </row>
    <row r="20" spans="1:12" s="44" customFormat="1" ht="14.25" customHeight="1" x14ac:dyDescent="0.25">
      <c r="A20" s="183" t="s">
        <v>298</v>
      </c>
      <c r="B20" s="183"/>
      <c r="C20" s="45" t="str">
        <f t="shared" si="0"/>
        <v/>
      </c>
      <c r="D20" s="190" t="str">
        <f>IFERROR(VLOOKUP($A20,Sheet1!$A$1:$B$98,2,0),"")</f>
        <v/>
      </c>
      <c r="E20" s="45" t="str">
        <f>IFERROR(VLOOKUP($A20,'Tổng Đơn'!$A$5:$E$79,5,0),"")</f>
        <v/>
      </c>
      <c r="F20" s="45" t="str">
        <f t="shared" si="1"/>
        <v/>
      </c>
      <c r="G20" s="191" t="str">
        <f>IF(AND($C20="",$C19&lt;&gt;""),"Tổng Cộng",IFERROR(VLOOKUP($A20,Sheet1!$A$1:$D$98,4,0),""))</f>
        <v/>
      </c>
      <c r="H20" s="181" t="str">
        <f>IF($C19=MAX($C$8:$C$56),SUM($H$8:$H19),IFERROR($G20*$F20,""))</f>
        <v/>
      </c>
      <c r="I20" s="80" t="str">
        <f t="shared" si="2"/>
        <v/>
      </c>
      <c r="L20" s="46"/>
    </row>
    <row r="21" spans="1:12" s="44" customFormat="1" ht="14.25" customHeight="1" x14ac:dyDescent="0.25">
      <c r="A21" s="183" t="s">
        <v>298</v>
      </c>
      <c r="B21" s="183"/>
      <c r="C21" s="45" t="str">
        <f t="shared" si="0"/>
        <v/>
      </c>
      <c r="D21" s="190" t="str">
        <f>IFERROR(VLOOKUP($A21,Sheet1!$A$1:$B$98,2,0),"")</f>
        <v/>
      </c>
      <c r="E21" s="45" t="str">
        <f>IFERROR(VLOOKUP($A21,'Tổng Đơn'!$A$5:$E$79,5,0),"")</f>
        <v/>
      </c>
      <c r="F21" s="45" t="str">
        <f t="shared" si="1"/>
        <v/>
      </c>
      <c r="G21" s="191" t="str">
        <f>IF(AND($C21="",$C20&lt;&gt;""),"Tổng Cộng",IFERROR(VLOOKUP($A21,Sheet1!$A$1:$D$98,4,0),""))</f>
        <v/>
      </c>
      <c r="H21" s="181" t="str">
        <f>IF($C20=MAX($C$8:$C$56),SUM($H$8:$H20),IFERROR($G21*$F21,""))</f>
        <v/>
      </c>
      <c r="I21" s="80" t="str">
        <f t="shared" si="2"/>
        <v/>
      </c>
      <c r="L21" s="46"/>
    </row>
    <row r="22" spans="1:12" s="44" customFormat="1" ht="14.25" customHeight="1" x14ac:dyDescent="0.25">
      <c r="A22" s="183" t="s">
        <v>298</v>
      </c>
      <c r="B22" s="183"/>
      <c r="C22" s="45" t="str">
        <f t="shared" si="0"/>
        <v/>
      </c>
      <c r="D22" s="179" t="str">
        <f>IFERROR(VLOOKUP($A22,Sheet1!$A$1:$B$98,2,0),"")</f>
        <v/>
      </c>
      <c r="E22" s="45" t="str">
        <f>IFERROR(VLOOKUP($A22,'Tổng Đơn'!$A$5:$E$79,5,0),"")</f>
        <v/>
      </c>
      <c r="F22" s="45" t="str">
        <f t="shared" si="1"/>
        <v/>
      </c>
      <c r="G22" s="191" t="str">
        <f>IF(AND($C22="",$C21&lt;&gt;""),"Tổng Cộng",IFERROR(VLOOKUP($A22,Sheet1!$A$1:$D$98,4,0),""))</f>
        <v/>
      </c>
      <c r="H22" s="181" t="str">
        <f>IF($C21=MAX($C$8:$C$56),SUM($H$8:$H21),IFERROR($G22*$F22,""))</f>
        <v/>
      </c>
      <c r="I22" s="80" t="str">
        <f t="shared" si="2"/>
        <v/>
      </c>
      <c r="L22" s="46"/>
    </row>
    <row r="23" spans="1:12" s="44" customFormat="1" ht="14.25" customHeight="1" x14ac:dyDescent="0.25">
      <c r="A23" s="183" t="s">
        <v>298</v>
      </c>
      <c r="B23" s="183"/>
      <c r="C23" s="45" t="str">
        <f t="shared" si="0"/>
        <v/>
      </c>
      <c r="D23" s="179" t="str">
        <f>IFERROR(VLOOKUP($A23,Sheet1!$A$1:$B$98,2,0),"")</f>
        <v/>
      </c>
      <c r="E23" s="45" t="str">
        <f>IFERROR(VLOOKUP($A23,'Tổng Đơn'!$A$5:$E$79,5,0),"")</f>
        <v/>
      </c>
      <c r="F23" s="45" t="str">
        <f t="shared" si="1"/>
        <v/>
      </c>
      <c r="G23" s="191" t="str">
        <f>IF(AND($C23="",$C22&lt;&gt;""),"Tổng Cộng",IFERROR(VLOOKUP($A23,Sheet1!$A$1:$D$98,4,0),""))</f>
        <v/>
      </c>
      <c r="H23" s="181" t="str">
        <f>IF($C22=MAX($C$8:$C$56),SUM($H$8:$H22),IFERROR($G23*$F23,""))</f>
        <v/>
      </c>
      <c r="I23" s="80" t="str">
        <f t="shared" si="2"/>
        <v/>
      </c>
      <c r="L23" s="46"/>
    </row>
    <row r="24" spans="1:12" s="44" customFormat="1" ht="14.25" customHeight="1" x14ac:dyDescent="0.25">
      <c r="A24" s="183" t="s">
        <v>298</v>
      </c>
      <c r="B24" s="183"/>
      <c r="C24" s="45" t="str">
        <f t="shared" si="0"/>
        <v/>
      </c>
      <c r="D24" s="179" t="str">
        <f>IFERROR(VLOOKUP($A24,Sheet1!$A$1:$B$98,2,0),"")</f>
        <v/>
      </c>
      <c r="E24" s="45" t="str">
        <f>IFERROR(VLOOKUP($A24,'Tổng Đơn'!$A$5:$E$79,5,0),"")</f>
        <v/>
      </c>
      <c r="F24" s="45" t="str">
        <f t="shared" si="1"/>
        <v/>
      </c>
      <c r="G24" s="191" t="str">
        <f>IF(AND($C24="",$C23&lt;&gt;""),"Tổng Cộng",IFERROR(VLOOKUP($A24,Sheet1!$A$1:$D$98,4,0),""))</f>
        <v/>
      </c>
      <c r="H24" s="181" t="str">
        <f>IF($C23=MAX($C$8:$C$56),SUM($H$8:$H23),IFERROR($G24*$F24,""))</f>
        <v/>
      </c>
      <c r="I24" s="80" t="str">
        <f t="shared" si="2"/>
        <v/>
      </c>
      <c r="L24" s="46"/>
    </row>
    <row r="25" spans="1:12" s="44" customFormat="1" ht="14.25" customHeight="1" x14ac:dyDescent="0.25">
      <c r="A25" s="183" t="s">
        <v>298</v>
      </c>
      <c r="B25" s="183"/>
      <c r="C25" s="45" t="str">
        <f t="shared" si="0"/>
        <v/>
      </c>
      <c r="D25" s="179" t="str">
        <f>IFERROR(VLOOKUP($A25,Sheet1!$A$1:$B$98,2,0),"")</f>
        <v/>
      </c>
      <c r="E25" s="45" t="str">
        <f>IFERROR(VLOOKUP($A25,'Tổng Đơn'!$A$5:$E$79,5,0),"")</f>
        <v/>
      </c>
      <c r="F25" s="45" t="str">
        <f t="shared" si="1"/>
        <v/>
      </c>
      <c r="G25" s="191" t="str">
        <f>IF(AND($C25="",$C24&lt;&gt;""),"Tổng Cộng",IFERROR(VLOOKUP($A25,Sheet1!$A$1:$D$98,4,0),""))</f>
        <v/>
      </c>
      <c r="H25" s="181" t="str">
        <f>IF($C24=MAX($C$8:$C$56),SUM($H$8:$H24),IFERROR($G25*$F25,""))</f>
        <v/>
      </c>
      <c r="I25" s="80" t="str">
        <f t="shared" si="2"/>
        <v/>
      </c>
      <c r="L25" s="46"/>
    </row>
    <row r="26" spans="1:12" s="44" customFormat="1" ht="14.25" customHeight="1" x14ac:dyDescent="0.25">
      <c r="A26" s="183" t="s">
        <v>298</v>
      </c>
      <c r="B26" s="183"/>
      <c r="C26" s="45" t="str">
        <f t="shared" si="0"/>
        <v/>
      </c>
      <c r="D26" s="179" t="str">
        <f>IFERROR(VLOOKUP($A26,Sheet1!$A$1:$B$98,2,0),"")</f>
        <v/>
      </c>
      <c r="E26" s="45" t="str">
        <f>IFERROR(VLOOKUP($A26,'Tổng Đơn'!$A$5:$E$79,5,0),"")</f>
        <v/>
      </c>
      <c r="F26" s="45" t="str">
        <f t="shared" si="1"/>
        <v/>
      </c>
      <c r="G26" s="191" t="str">
        <f>IF(AND($C26="",$C25&lt;&gt;""),"Tổng Cộng",IFERROR(VLOOKUP($A26,Sheet1!$A$1:$D$98,4,0),""))</f>
        <v/>
      </c>
      <c r="H26" s="181" t="str">
        <f>IF($C25=MAX($C$8:$C$56),SUM($H$8:$H25),IFERROR($G26*$F26,""))</f>
        <v/>
      </c>
      <c r="I26" s="80" t="str">
        <f t="shared" si="2"/>
        <v/>
      </c>
      <c r="L26" s="46"/>
    </row>
    <row r="27" spans="1:12" s="44" customFormat="1" ht="14.25" customHeight="1" x14ac:dyDescent="0.25">
      <c r="A27" s="183" t="s">
        <v>298</v>
      </c>
      <c r="B27" s="183"/>
      <c r="C27" s="45" t="str">
        <f t="shared" si="0"/>
        <v/>
      </c>
      <c r="D27" s="179" t="str">
        <f>IFERROR(VLOOKUP($A27,Sheet1!$A$1:$B$98,2,0),"")</f>
        <v/>
      </c>
      <c r="E27" s="45" t="str">
        <f>IFERROR(VLOOKUP($A27,'Tổng Đơn'!$A$5:$E$79,5,0),"")</f>
        <v/>
      </c>
      <c r="F27" s="45" t="str">
        <f t="shared" si="1"/>
        <v/>
      </c>
      <c r="G27" s="191" t="str">
        <f>IF(AND($C27="",$C26&lt;&gt;""),"Tổng Cộng",IFERROR(VLOOKUP($A27,Sheet1!$A$1:$D$98,4,0),""))</f>
        <v/>
      </c>
      <c r="H27" s="181" t="str">
        <f>IF($C26=MAX($C$8:$C$56),SUM($H$8:$H26),IFERROR($G27*$F27,""))</f>
        <v/>
      </c>
      <c r="I27" s="80" t="str">
        <f t="shared" si="2"/>
        <v/>
      </c>
      <c r="L27" s="46"/>
    </row>
    <row r="28" spans="1:12" s="44" customFormat="1" ht="14.25" customHeight="1" x14ac:dyDescent="0.25">
      <c r="A28" s="183" t="s">
        <v>298</v>
      </c>
      <c r="B28" s="183"/>
      <c r="C28" s="45" t="str">
        <f t="shared" si="0"/>
        <v/>
      </c>
      <c r="D28" s="179" t="str">
        <f>IFERROR(VLOOKUP($A28,Sheet1!$A$1:$B$98,2,0),"")</f>
        <v/>
      </c>
      <c r="E28" s="45" t="str">
        <f>IFERROR(VLOOKUP($A28,'Tổng Đơn'!$A$5:$E$79,5,0),"")</f>
        <v/>
      </c>
      <c r="F28" s="45" t="str">
        <f t="shared" si="1"/>
        <v/>
      </c>
      <c r="G28" s="191" t="str">
        <f>IF(AND($C28="",$C27&lt;&gt;""),"Tổng Cộng",IFERROR(VLOOKUP($A28,Sheet1!$A$1:$D$98,4,0),""))</f>
        <v/>
      </c>
      <c r="H28" s="181" t="str">
        <f>IF($C27=MAX($C$8:$C$56),SUM($H$8:$H27),IFERROR($G28*$F28,""))</f>
        <v/>
      </c>
      <c r="I28" s="80" t="str">
        <f t="shared" si="2"/>
        <v/>
      </c>
      <c r="L28" s="46"/>
    </row>
    <row r="29" spans="1:12" s="44" customFormat="1" ht="14.25" customHeight="1" x14ac:dyDescent="0.25">
      <c r="A29" s="183" t="s">
        <v>298</v>
      </c>
      <c r="B29" s="183"/>
      <c r="C29" s="45" t="str">
        <f t="shared" si="0"/>
        <v/>
      </c>
      <c r="D29" s="179" t="str">
        <f>IFERROR(VLOOKUP($A29,Sheet1!$A$1:$B$98,2,0),"")</f>
        <v/>
      </c>
      <c r="E29" s="45" t="str">
        <f>IFERROR(VLOOKUP($A29,'Tổng Đơn'!$A$5:$E$79,5,0),"")</f>
        <v/>
      </c>
      <c r="F29" s="45" t="str">
        <f t="shared" si="1"/>
        <v/>
      </c>
      <c r="G29" s="191" t="str">
        <f>IF(AND($C29="",$C28&lt;&gt;""),"Tổng Cộng",IFERROR(VLOOKUP($A29,Sheet1!$A$1:$D$98,4,0),""))</f>
        <v/>
      </c>
      <c r="H29" s="181" t="str">
        <f>IF($C28=MAX($C$8:$C$56),SUM($H$8:$H28),IFERROR($G29*$F29,""))</f>
        <v/>
      </c>
      <c r="I29" s="80" t="str">
        <f t="shared" si="2"/>
        <v/>
      </c>
      <c r="L29" s="46"/>
    </row>
    <row r="30" spans="1:12" s="44" customFormat="1" ht="14.25" customHeight="1" x14ac:dyDescent="0.25">
      <c r="A30" s="183" t="s">
        <v>298</v>
      </c>
      <c r="B30" s="183"/>
      <c r="C30" s="45" t="str">
        <f t="shared" si="0"/>
        <v/>
      </c>
      <c r="D30" s="179" t="str">
        <f>IFERROR(VLOOKUP($A30,Sheet1!$A$1:$B$98,2,0),"")</f>
        <v/>
      </c>
      <c r="E30" s="45" t="str">
        <f>IFERROR(VLOOKUP($A30,'Tổng Đơn'!$A$5:$E$79,5,0),"")</f>
        <v/>
      </c>
      <c r="F30" s="45" t="str">
        <f t="shared" si="1"/>
        <v/>
      </c>
      <c r="G30" s="191" t="str">
        <f>IF(AND($C30="",$C29&lt;&gt;""),"Tổng Cộng",IFERROR(VLOOKUP($A30,Sheet1!$A$1:$D$98,4,0),""))</f>
        <v/>
      </c>
      <c r="H30" s="181" t="str">
        <f>IF($C29=MAX($C$8:$C$56),SUM($H$8:$H29),IFERROR($G30*$F30,""))</f>
        <v/>
      </c>
      <c r="I30" s="80" t="str">
        <f t="shared" si="2"/>
        <v/>
      </c>
      <c r="L30" s="46"/>
    </row>
    <row r="31" spans="1:12" s="44" customFormat="1" ht="14.25" customHeight="1" x14ac:dyDescent="0.25">
      <c r="A31" s="183" t="s">
        <v>298</v>
      </c>
      <c r="B31" s="183"/>
      <c r="C31" s="45" t="str">
        <f t="shared" si="0"/>
        <v/>
      </c>
      <c r="D31" s="179" t="str">
        <f>IFERROR(VLOOKUP($A31,Sheet1!$A$1:$B$98,2,0),"")</f>
        <v/>
      </c>
      <c r="E31" s="45" t="str">
        <f>IFERROR(VLOOKUP($A31,'Tổng Đơn'!$A$5:$E$79,5,0),"")</f>
        <v/>
      </c>
      <c r="F31" s="45" t="str">
        <f t="shared" si="1"/>
        <v/>
      </c>
      <c r="G31" s="191" t="str">
        <f>IF(AND($C31="",$C30&lt;&gt;""),"Tổng Cộng",IFERROR(VLOOKUP($A31,Sheet1!$A$1:$D$98,4,0),""))</f>
        <v/>
      </c>
      <c r="H31" s="181" t="str">
        <f>IF($C30=MAX($C$8:$C$56),SUM($H$8:$H30),IFERROR($G31*$F31,""))</f>
        <v/>
      </c>
      <c r="I31" s="80" t="str">
        <f t="shared" si="2"/>
        <v/>
      </c>
      <c r="L31" s="46"/>
    </row>
    <row r="32" spans="1:12" s="44" customFormat="1" ht="14.25" customHeight="1" x14ac:dyDescent="0.25">
      <c r="A32" s="183" t="s">
        <v>298</v>
      </c>
      <c r="B32" s="183"/>
      <c r="C32" s="45" t="str">
        <f t="shared" si="0"/>
        <v/>
      </c>
      <c r="D32" s="179" t="str">
        <f>IFERROR(VLOOKUP($A32,Sheet1!$A$1:$B$98,2,0),"")</f>
        <v/>
      </c>
      <c r="E32" s="45" t="str">
        <f>IFERROR(VLOOKUP($A32,'Tổng Đơn'!$A$5:$E$79,5,0),"")</f>
        <v/>
      </c>
      <c r="F32" s="45" t="str">
        <f t="shared" si="1"/>
        <v/>
      </c>
      <c r="G32" s="191" t="str">
        <f>IF(AND($C32="",$C31&lt;&gt;""),"Tổng Cộng",IFERROR(VLOOKUP($A32,Sheet1!$A$1:$D$98,4,0),""))</f>
        <v/>
      </c>
      <c r="H32" s="181" t="str">
        <f>IF($C31=MAX($C$8:$C$56),SUM($H$8:$H31),IFERROR($G32*$F32,""))</f>
        <v/>
      </c>
      <c r="I32" s="80" t="str">
        <f t="shared" si="2"/>
        <v/>
      </c>
      <c r="L32" s="46"/>
    </row>
    <row r="33" spans="1:12" s="44" customFormat="1" ht="14.25" customHeight="1" x14ac:dyDescent="0.25">
      <c r="A33" s="183" t="s">
        <v>298</v>
      </c>
      <c r="B33" s="183"/>
      <c r="C33" s="45" t="str">
        <f t="shared" si="0"/>
        <v/>
      </c>
      <c r="D33" s="179" t="str">
        <f>IFERROR(VLOOKUP($A33,Sheet1!$A$1:$B$98,2,0),"")</f>
        <v/>
      </c>
      <c r="E33" s="45" t="str">
        <f>IFERROR(VLOOKUP($A33,'Tổng Đơn'!$A$5:$E$79,5,0),"")</f>
        <v/>
      </c>
      <c r="F33" s="45" t="str">
        <f t="shared" si="1"/>
        <v/>
      </c>
      <c r="G33" s="191" t="str">
        <f>IF(AND($C33="",$C32&lt;&gt;""),"Tổng Cộng",IFERROR(VLOOKUP($A33,Sheet1!$A$1:$D$98,4,0),""))</f>
        <v/>
      </c>
      <c r="H33" s="181" t="str">
        <f>IF($C32=MAX($C$8:$C$56),SUM($H$8:$H32),IFERROR($G33*$F33,""))</f>
        <v/>
      </c>
      <c r="I33" s="80" t="str">
        <f t="shared" si="2"/>
        <v/>
      </c>
      <c r="L33" s="46"/>
    </row>
    <row r="34" spans="1:12" s="44" customFormat="1" ht="14.25" customHeight="1" x14ac:dyDescent="0.25">
      <c r="A34" s="183" t="s">
        <v>298</v>
      </c>
      <c r="B34" s="183"/>
      <c r="C34" s="45" t="str">
        <f t="shared" si="0"/>
        <v/>
      </c>
      <c r="D34" s="179" t="str">
        <f>IFERROR(VLOOKUP($A34,Sheet1!$A$1:$B$98,2,0),"")</f>
        <v/>
      </c>
      <c r="E34" s="45" t="str">
        <f>IFERROR(VLOOKUP($A34,'Tổng Đơn'!$A$5:$E$79,5,0),"")</f>
        <v/>
      </c>
      <c r="F34" s="45" t="str">
        <f t="shared" si="1"/>
        <v/>
      </c>
      <c r="G34" s="191" t="str">
        <f>IF(AND($C34="",$C33&lt;&gt;""),"Tổng Cộng",IFERROR(VLOOKUP($A34,Sheet1!$A$1:$D$98,4,0),""))</f>
        <v/>
      </c>
      <c r="H34" s="181" t="str">
        <f>IF($C33=MAX($C$8:$C$56),SUM($H$8:$H33),IFERROR($G34*$F34,""))</f>
        <v/>
      </c>
      <c r="I34" s="80" t="str">
        <f t="shared" si="2"/>
        <v/>
      </c>
      <c r="L34" s="46"/>
    </row>
    <row r="35" spans="1:12" s="44" customFormat="1" ht="14.25" customHeight="1" x14ac:dyDescent="0.25">
      <c r="A35" s="183" t="s">
        <v>298</v>
      </c>
      <c r="B35" s="183"/>
      <c r="C35" s="45" t="str">
        <f t="shared" si="0"/>
        <v/>
      </c>
      <c r="D35" s="179" t="str">
        <f>IFERROR(VLOOKUP($A35,Sheet1!$A$1:$B$98,2,0),"")</f>
        <v/>
      </c>
      <c r="E35" s="45" t="str">
        <f>IFERROR(VLOOKUP($A35,'Tổng Đơn'!$A$5:$E$79,5,0),"")</f>
        <v/>
      </c>
      <c r="F35" s="45" t="str">
        <f t="shared" si="1"/>
        <v/>
      </c>
      <c r="G35" s="191" t="str">
        <f>IF(AND($C35="",$C34&lt;&gt;""),"Tổng Cộng",IFERROR(VLOOKUP($A35,Sheet1!$A$1:$D$98,4,0),""))</f>
        <v/>
      </c>
      <c r="H35" s="181" t="str">
        <f>IF($C34=MAX($C$8:$C$56),SUM($H$8:$H34),IFERROR($G35*$F35,""))</f>
        <v/>
      </c>
      <c r="I35" s="80" t="str">
        <f t="shared" si="2"/>
        <v/>
      </c>
      <c r="L35" s="46"/>
    </row>
    <row r="36" spans="1:12" s="44" customFormat="1" ht="14.25" customHeight="1" x14ac:dyDescent="0.25">
      <c r="A36" s="183" t="s">
        <v>298</v>
      </c>
      <c r="B36" s="183"/>
      <c r="C36" s="45" t="str">
        <f t="shared" si="0"/>
        <v/>
      </c>
      <c r="D36" s="179" t="str">
        <f>IFERROR(VLOOKUP($A36,Sheet1!$A$1:$B$98,2,0),"")</f>
        <v/>
      </c>
      <c r="E36" s="45" t="str">
        <f>IFERROR(VLOOKUP($A36,'Tổng Đơn'!$A$5:$E$79,5,0),"")</f>
        <v/>
      </c>
      <c r="F36" s="45" t="str">
        <f t="shared" si="1"/>
        <v/>
      </c>
      <c r="G36" s="191" t="str">
        <f>IF(AND($C36="",$C35&lt;&gt;""),"Tổng Cộng",IFERROR(VLOOKUP($A36,Sheet1!$A$1:$D$98,4,0),""))</f>
        <v/>
      </c>
      <c r="H36" s="181" t="str">
        <f>IF($C35=MAX($C$8:$C$56),SUM($H$8:$H35),IFERROR($G36*$F36,""))</f>
        <v/>
      </c>
      <c r="I36" s="80" t="str">
        <f t="shared" si="2"/>
        <v/>
      </c>
      <c r="L36" s="46"/>
    </row>
    <row r="37" spans="1:12" s="44" customFormat="1" ht="14.25" customHeight="1" x14ac:dyDescent="0.25">
      <c r="A37" s="183" t="s">
        <v>298</v>
      </c>
      <c r="B37" s="183"/>
      <c r="C37" s="45" t="str">
        <f t="shared" si="0"/>
        <v/>
      </c>
      <c r="D37" s="179" t="str">
        <f>IFERROR(VLOOKUP($A37,Sheet1!$A$1:$B$98,2,0),"")</f>
        <v/>
      </c>
      <c r="E37" s="45" t="str">
        <f>IFERROR(VLOOKUP($A37,'Tổng Đơn'!$A$5:$E$79,5,0),"")</f>
        <v/>
      </c>
      <c r="F37" s="45" t="str">
        <f t="shared" si="1"/>
        <v/>
      </c>
      <c r="G37" s="191" t="str">
        <f>IF(AND($C37="",$C36&lt;&gt;""),"Tổng Cộng",IFERROR(VLOOKUP($A37,Sheet1!$A$1:$D$98,4,0),""))</f>
        <v/>
      </c>
      <c r="H37" s="181" t="str">
        <f>IF($C36=MAX($C$8:$C$56),SUM($H$8:$H36),IFERROR($G37*$F37,""))</f>
        <v/>
      </c>
      <c r="I37" s="80" t="str">
        <f t="shared" si="2"/>
        <v/>
      </c>
      <c r="L37" s="46"/>
    </row>
    <row r="38" spans="1:12" s="44" customFormat="1" ht="14.25" customHeight="1" x14ac:dyDescent="0.25">
      <c r="A38" s="183"/>
      <c r="B38" s="183"/>
      <c r="C38" s="48"/>
      <c r="D38" s="49"/>
      <c r="E38" s="78"/>
      <c r="F38" s="45"/>
      <c r="G38" s="192" t="str">
        <f>IF(AND($C38="",$C37&lt;&gt;""),"Tổng Cộng",IFERROR(VLOOKUP($A38,Sheet1!$A$1:$D$98,4,0),""))</f>
        <v/>
      </c>
      <c r="H38" s="50" t="str">
        <f>IF($C37=MAX($C$8:$C$56),SUM($H$8:$H37),IFERROR($G38*$F38,""))</f>
        <v/>
      </c>
      <c r="I38" s="80"/>
      <c r="L38" s="46"/>
    </row>
    <row r="39" spans="1:12" ht="15" customHeight="1" x14ac:dyDescent="0.25">
      <c r="F39" s="51"/>
      <c r="G39" s="171"/>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H9 C38:E38 C9:G9 F15:H38 D15:E37 D10:H14">
    <cfRule type="expression" dxfId="51" priority="2">
      <formula>$C7=MAX($C$8:$C$37)</formula>
    </cfRule>
  </conditionalFormatting>
  <conditionalFormatting sqref="C10:C37">
    <cfRule type="expression" dxfId="50" priority="1">
      <formula>$C9=MAX($C$8:$C$37)</formula>
    </cfRule>
  </conditionalFormatting>
  <conditionalFormatting sqref="E8:E38">
    <cfRule type="expression" dxfId="49" priority="3">
      <formula>AND($A8="",$F8&lt;&gt;"")</formula>
    </cfRule>
  </conditionalFormatting>
  <conditionalFormatting sqref="F8:F38">
    <cfRule type="expression" dxfId="48"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52577" r:id="rId4" name="Button 1">
              <controlPr defaultSize="0" print="0" autoFill="0" autoPict="0" macro="[0]!Macro4">
                <anchor moveWithCells="1" sizeWithCells="1">
                  <from>
                    <xdr:col>0</xdr:col>
                    <xdr:colOff>0</xdr:colOff>
                    <xdr:row>0</xdr:row>
                    <xdr:rowOff>0</xdr:rowOff>
                  </from>
                  <to>
                    <xdr:col>1</xdr:col>
                    <xdr:colOff>723900</xdr:colOff>
                    <xdr:row>7</xdr:row>
                    <xdr:rowOff>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RowHeight="15" x14ac:dyDescent="0.25"/>
  <cols>
    <col min="1" max="1" width="11.7109375" style="14" customWidth="1"/>
    <col min="2" max="2" width="11.28515625" style="14" customWidth="1"/>
    <col min="3" max="3" width="9.140625" style="14"/>
    <col min="4" max="4" width="38.42578125" style="14" bestFit="1" customWidth="1"/>
    <col min="5" max="5" width="12.28515625" style="79"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33" t="s">
        <v>223</v>
      </c>
      <c r="D1" s="233"/>
      <c r="E1" s="233"/>
      <c r="F1" s="233"/>
      <c r="G1" s="233"/>
      <c r="H1" s="233"/>
    </row>
    <row r="2" spans="1:14" ht="15.75" customHeight="1" x14ac:dyDescent="0.25">
      <c r="C2" s="233"/>
      <c r="D2" s="233"/>
      <c r="E2" s="233"/>
      <c r="F2" s="233"/>
      <c r="G2" s="233"/>
      <c r="H2" s="233"/>
    </row>
    <row r="3" spans="1:14" ht="15" customHeight="1" x14ac:dyDescent="0.25">
      <c r="C3" s="235" t="s">
        <v>225</v>
      </c>
      <c r="D3" s="235"/>
      <c r="E3" s="235"/>
      <c r="F3" s="238" t="s">
        <v>227</v>
      </c>
      <c r="G3" s="238"/>
      <c r="H3" s="238"/>
    </row>
    <row r="4" spans="1:14" x14ac:dyDescent="0.25">
      <c r="C4" s="236" t="s">
        <v>226</v>
      </c>
      <c r="D4" s="236"/>
      <c r="E4" s="236"/>
      <c r="F4" s="239" t="s">
        <v>228</v>
      </c>
      <c r="G4" s="239"/>
      <c r="H4" s="239"/>
    </row>
    <row r="5" spans="1:14" s="172" customFormat="1" ht="21" customHeight="1" x14ac:dyDescent="0.25">
      <c r="C5" s="237" t="s">
        <v>224</v>
      </c>
      <c r="D5" s="237"/>
      <c r="E5" s="237"/>
      <c r="F5" s="237"/>
      <c r="G5" s="237"/>
      <c r="H5" s="237"/>
    </row>
    <row r="6" spans="1:14" s="172" customFormat="1" ht="17.25" customHeight="1" x14ac:dyDescent="0.25">
      <c r="C6" s="182" t="s">
        <v>229</v>
      </c>
      <c r="D6" s="187" t="s">
        <v>305</v>
      </c>
      <c r="E6" s="177"/>
      <c r="F6" s="177"/>
      <c r="G6" s="234" t="str">
        <f ca="1">"Ngày "&amp;DAY(TODAY())&amp;" Tháng "&amp;MONTH(TODAY())&amp;" Năm "&amp;YEAR(TODAY())</f>
        <v>Ngày 14 Tháng 2 Năm 2022</v>
      </c>
      <c r="H6" s="234"/>
    </row>
    <row r="7" spans="1:14" s="176" customFormat="1" ht="24" customHeight="1" x14ac:dyDescent="0.25">
      <c r="A7" s="173" t="s">
        <v>118</v>
      </c>
      <c r="B7" s="173" t="s">
        <v>16</v>
      </c>
      <c r="C7" s="174" t="s">
        <v>0</v>
      </c>
      <c r="D7" s="174" t="s">
        <v>17</v>
      </c>
      <c r="E7" s="178" t="str">
        <f>"Quy cách"&amp;CHAR(10)&amp;"(Kg)"</f>
        <v>Quy cách
(Kg)</v>
      </c>
      <c r="F7" s="174" t="s">
        <v>16</v>
      </c>
      <c r="G7" s="174" t="s">
        <v>18</v>
      </c>
      <c r="H7" s="174" t="s">
        <v>19</v>
      </c>
      <c r="I7" s="175">
        <f>SUBTOTAL(9,I8:I37)</f>
        <v>0.5</v>
      </c>
      <c r="L7" s="172"/>
    </row>
    <row r="8" spans="1:14" s="44" customFormat="1" ht="14.25" customHeight="1" x14ac:dyDescent="0.25">
      <c r="A8" s="183">
        <v>65</v>
      </c>
      <c r="B8" s="183">
        <v>1</v>
      </c>
      <c r="C8" s="45">
        <f t="shared" ref="C8:C37" si="0">IF(OR(SUM($C7,$A8&lt;&gt;"")=0,$A8=""),"",SUM($C7,$A8&lt;&gt;""))</f>
        <v>1</v>
      </c>
      <c r="D8" s="179" t="str">
        <f>IFERROR(VLOOKUP($A8,Sheet1!$A$1:$B$98,2,0),"")</f>
        <v>Cá viên KK</v>
      </c>
      <c r="E8" s="180">
        <f>IFERROR(VLOOKUP($A8,'Tổng Đơn'!$A$5:$E$79,5,0),"")</f>
        <v>0.5</v>
      </c>
      <c r="F8" s="45">
        <f t="shared" ref="F8:F37" si="1">IF($B8="","",B8)</f>
        <v>1</v>
      </c>
      <c r="G8" s="191">
        <f>IFERROR(VLOOKUP($A8,Sheet1!$A1:$D$98,4,0),"")</f>
        <v>23000</v>
      </c>
      <c r="H8" s="181">
        <f>IF($C7=MAX($C$8:$C$56),SUM($H7:$H$8),IFERROR($G8*$F8,""))</f>
        <v>23000</v>
      </c>
      <c r="I8" s="80">
        <f t="shared" ref="I8:I37" si="2">IF(TYPE($A8)&lt;&gt;1,"",IFERROR(F8*E8,""))</f>
        <v>0.5</v>
      </c>
      <c r="L8" s="47"/>
    </row>
    <row r="9" spans="1:14" s="44" customFormat="1" ht="14.25" customHeight="1" x14ac:dyDescent="0.25">
      <c r="A9" s="183" t="s">
        <v>298</v>
      </c>
      <c r="B9" s="183"/>
      <c r="C9" s="45" t="str">
        <f t="shared" si="0"/>
        <v/>
      </c>
      <c r="D9" s="179" t="str">
        <f>IFERROR(VLOOKUP($A9,Sheet1!$A$1:$B$98,2,0),"")</f>
        <v/>
      </c>
      <c r="E9" s="45" t="str">
        <f>IFERROR(VLOOKUP($A9,'Tổng Đơn'!$A$5:$E$79,5,0),"")</f>
        <v/>
      </c>
      <c r="F9" s="45" t="str">
        <f t="shared" si="1"/>
        <v/>
      </c>
      <c r="G9" s="191" t="str">
        <f>IF(AND($C9="",$C8&lt;&gt;""),"Tổng Cộng",IFERROR(VLOOKUP($A9,Sheet1!$A$1:$D$98,4,0),""))</f>
        <v>Tổng Cộng</v>
      </c>
      <c r="H9" s="181">
        <f>IF($C8=MAX($C$8:$C$56),SUM($H$8:$H8),IFERROR($G9*$F9,""))</f>
        <v>23000</v>
      </c>
      <c r="I9" s="80" t="str">
        <f t="shared" si="2"/>
        <v/>
      </c>
      <c r="L9" s="46"/>
    </row>
    <row r="10" spans="1:14" s="44" customFormat="1" ht="14.25" customHeight="1" x14ac:dyDescent="0.25">
      <c r="A10" s="183" t="s">
        <v>298</v>
      </c>
      <c r="B10" s="183"/>
      <c r="C10" s="45" t="str">
        <f t="shared" si="0"/>
        <v/>
      </c>
      <c r="D10" s="179" t="str">
        <f>IFERROR(VLOOKUP($A10,Sheet1!$A$1:$B$98,2,0),"")</f>
        <v/>
      </c>
      <c r="E10" s="45" t="str">
        <f>IFERROR(VLOOKUP($A10,'Tổng Đơn'!$A$5:$E$79,5,0),"")</f>
        <v/>
      </c>
      <c r="F10" s="45" t="str">
        <f t="shared" si="1"/>
        <v/>
      </c>
      <c r="G10" s="191" t="str">
        <f>IF(AND($C10="",$C9&lt;&gt;""),"Tổng Cộng",IFERROR(VLOOKUP($A10,Sheet1!$A$1:$D$98,4,0),""))</f>
        <v/>
      </c>
      <c r="H10" s="181" t="str">
        <f>IF($C9=MAX($C$8:$C$56),SUM($H$8:$H9),IFERROR($G10*$F10,""))</f>
        <v/>
      </c>
      <c r="I10" s="80" t="str">
        <f t="shared" si="2"/>
        <v/>
      </c>
      <c r="L10" s="46"/>
    </row>
    <row r="11" spans="1:14" s="44" customFormat="1" ht="14.25" customHeight="1" x14ac:dyDescent="0.25">
      <c r="A11" s="183" t="s">
        <v>298</v>
      </c>
      <c r="B11" s="183"/>
      <c r="C11" s="45" t="str">
        <f t="shared" si="0"/>
        <v/>
      </c>
      <c r="D11" s="179" t="str">
        <f>IFERROR(VLOOKUP($A11,Sheet1!$A$1:$B$98,2,0),"")</f>
        <v/>
      </c>
      <c r="E11" s="45" t="str">
        <f>IFERROR(VLOOKUP($A11,'Tổng Đơn'!$A$5:$E$79,5,0),"")</f>
        <v/>
      </c>
      <c r="F11" s="45" t="str">
        <f t="shared" si="1"/>
        <v/>
      </c>
      <c r="G11" s="191" t="str">
        <f>IF(AND($C11="",$C10&lt;&gt;""),"Tổng Cộng",IFERROR(VLOOKUP($A11,Sheet1!$A$1:$D$98,4,0),""))</f>
        <v/>
      </c>
      <c r="H11" s="181" t="str">
        <f>IF($C10=MAX($C$8:$C$56),SUM($H$8:$H10),IFERROR($G11*$F11,""))</f>
        <v/>
      </c>
      <c r="I11" s="80" t="str">
        <f t="shared" si="2"/>
        <v/>
      </c>
      <c r="L11" s="46"/>
    </row>
    <row r="12" spans="1:14" s="44" customFormat="1" ht="14.25" customHeight="1" x14ac:dyDescent="0.25">
      <c r="A12" s="183" t="s">
        <v>298</v>
      </c>
      <c r="B12" s="183"/>
      <c r="C12" s="45" t="str">
        <f t="shared" si="0"/>
        <v/>
      </c>
      <c r="D12" s="179" t="str">
        <f>IFERROR(VLOOKUP($A12,Sheet1!$A$1:$B$98,2,0),"")</f>
        <v/>
      </c>
      <c r="E12" s="45" t="str">
        <f>IFERROR(VLOOKUP($A12,'Tổng Đơn'!$A$5:$E$79,5,0),"")</f>
        <v/>
      </c>
      <c r="F12" s="45" t="str">
        <f t="shared" si="1"/>
        <v/>
      </c>
      <c r="G12" s="191" t="str">
        <f>IF(AND($C12="",$C11&lt;&gt;""),"Tổng Cộng",IFERROR(VLOOKUP($A12,Sheet1!$A$1:$D$98,4,0),""))</f>
        <v/>
      </c>
      <c r="H12" s="181" t="str">
        <f>IF($C11=MAX($C$8:$C$56),SUM($H$8:$H11),IFERROR($G12*$F12,""))</f>
        <v/>
      </c>
      <c r="I12" s="80" t="str">
        <f t="shared" si="2"/>
        <v/>
      </c>
      <c r="J12" s="153"/>
      <c r="L12" s="46"/>
      <c r="M12" s="161"/>
      <c r="N12" s="154"/>
    </row>
    <row r="13" spans="1:14" s="44" customFormat="1" ht="14.25" customHeight="1" x14ac:dyDescent="0.25">
      <c r="A13" s="183" t="s">
        <v>298</v>
      </c>
      <c r="B13" s="183"/>
      <c r="C13" s="45" t="str">
        <f t="shared" si="0"/>
        <v/>
      </c>
      <c r="D13" s="179" t="str">
        <f>IFERROR(VLOOKUP($A13,Sheet1!$A$1:$B$98,2,0),"")</f>
        <v/>
      </c>
      <c r="E13" s="45" t="str">
        <f>IFERROR(VLOOKUP($A13,'Tổng Đơn'!$A$5:$E$79,5,0),"")</f>
        <v/>
      </c>
      <c r="F13" s="45" t="str">
        <f t="shared" si="1"/>
        <v/>
      </c>
      <c r="G13" s="191" t="str">
        <f>IF(AND($C13="",$C12&lt;&gt;""),"Tổng Cộng",IFERROR(VLOOKUP($A13,Sheet1!$A$1:$D$98,4,0),""))</f>
        <v/>
      </c>
      <c r="H13" s="181" t="str">
        <f>IF($C12=MAX($C$8:$C$56),SUM($H$8:$H12),IFERROR($G13*$F13,""))</f>
        <v/>
      </c>
      <c r="I13" s="80" t="str">
        <f t="shared" si="2"/>
        <v/>
      </c>
      <c r="L13" s="46"/>
    </row>
    <row r="14" spans="1:14" s="44" customFormat="1" ht="14.25" customHeight="1" x14ac:dyDescent="0.25">
      <c r="A14" s="183" t="s">
        <v>298</v>
      </c>
      <c r="B14" s="183"/>
      <c r="C14" s="45" t="str">
        <f t="shared" si="0"/>
        <v/>
      </c>
      <c r="D14" s="179" t="str">
        <f>IFERROR(VLOOKUP($A14,Sheet1!$A$1:$B$98,2,0),"")</f>
        <v/>
      </c>
      <c r="E14" s="45" t="str">
        <f>IFERROR(VLOOKUP($A14,'Tổng Đơn'!$A$5:$E$79,5,0),"")</f>
        <v/>
      </c>
      <c r="F14" s="45" t="str">
        <f t="shared" si="1"/>
        <v/>
      </c>
      <c r="G14" s="191" t="str">
        <f>IF(AND($C14="",$C13&lt;&gt;""),"Tổng Cộng",IFERROR(VLOOKUP($A14,Sheet1!$A$1:$D$98,4,0),""))</f>
        <v/>
      </c>
      <c r="H14" s="181" t="str">
        <f>IF($C13=MAX($C$8:$C$56),SUM($H$8:$H13),IFERROR($G14*$F14,""))</f>
        <v/>
      </c>
      <c r="I14" s="80" t="str">
        <f t="shared" si="2"/>
        <v/>
      </c>
      <c r="L14" s="46"/>
      <c r="M14" s="162"/>
    </row>
    <row r="15" spans="1:14" s="44" customFormat="1" ht="14.25" customHeight="1" x14ac:dyDescent="0.25">
      <c r="A15" s="183" t="s">
        <v>298</v>
      </c>
      <c r="B15" s="183"/>
      <c r="C15" s="45" t="str">
        <f t="shared" si="0"/>
        <v/>
      </c>
      <c r="D15" s="179" t="str">
        <f>IFERROR(VLOOKUP($A15,Sheet1!$A$1:$B$98,2,0),"")</f>
        <v/>
      </c>
      <c r="E15" s="45" t="str">
        <f>IFERROR(VLOOKUP($A15,'Tổng Đơn'!$A$5:$E$79,5,0),"")</f>
        <v/>
      </c>
      <c r="F15" s="45" t="str">
        <f t="shared" si="1"/>
        <v/>
      </c>
      <c r="G15" s="191" t="str">
        <f>IF(AND($C15="",$C14&lt;&gt;""),"Tổng Cộng",IFERROR(VLOOKUP($A15,Sheet1!$A$1:$D$98,4,0),""))</f>
        <v/>
      </c>
      <c r="H15" s="181" t="str">
        <f>IF($C14=MAX($C$8:$C$56),SUM($H$8:$H14),IFERROR($G15*$F15,""))</f>
        <v/>
      </c>
      <c r="I15" s="80" t="str">
        <f t="shared" si="2"/>
        <v/>
      </c>
      <c r="L15" s="46"/>
    </row>
    <row r="16" spans="1:14" s="44" customFormat="1" ht="14.25" customHeight="1" x14ac:dyDescent="0.25">
      <c r="A16" s="183" t="s">
        <v>298</v>
      </c>
      <c r="B16" s="183"/>
      <c r="C16" s="45" t="str">
        <f t="shared" si="0"/>
        <v/>
      </c>
      <c r="D16" s="179" t="str">
        <f>IFERROR(VLOOKUP($A16,Sheet1!$A$1:$B$98,2,0),"")</f>
        <v/>
      </c>
      <c r="E16" s="45" t="str">
        <f>IFERROR(VLOOKUP($A16,'Tổng Đơn'!$A$5:$E$79,5,0),"")</f>
        <v/>
      </c>
      <c r="F16" s="45" t="str">
        <f t="shared" si="1"/>
        <v/>
      </c>
      <c r="G16" s="191" t="str">
        <f>IF(AND($C16="",$C15&lt;&gt;""),"Tổng Cộng",IFERROR(VLOOKUP($A16,Sheet1!$A$1:$D$98,4,0),""))</f>
        <v/>
      </c>
      <c r="H16" s="181" t="str">
        <f>IF($C15=MAX($C$8:$C$56),SUM($H$8:$H15),IFERROR($G16*$F16,""))</f>
        <v/>
      </c>
      <c r="I16" s="80" t="str">
        <f t="shared" si="2"/>
        <v/>
      </c>
      <c r="L16" s="46"/>
    </row>
    <row r="17" spans="1:12" s="44" customFormat="1" ht="14.25" customHeight="1" x14ac:dyDescent="0.25">
      <c r="A17" s="183" t="s">
        <v>298</v>
      </c>
      <c r="B17" s="183"/>
      <c r="C17" s="45" t="str">
        <f t="shared" si="0"/>
        <v/>
      </c>
      <c r="D17" s="190" t="str">
        <f>IFERROR(VLOOKUP($A17,Sheet1!$A$1:$B$98,2,0),"")</f>
        <v/>
      </c>
      <c r="E17" s="45" t="str">
        <f>IFERROR(VLOOKUP($A17,'Tổng Đơn'!$A$5:$E$79,5,0),"")</f>
        <v/>
      </c>
      <c r="F17" s="45" t="str">
        <f t="shared" si="1"/>
        <v/>
      </c>
      <c r="G17" s="191" t="str">
        <f>IF(AND($C17="",$C16&lt;&gt;""),"Tổng Cộng",IFERROR(VLOOKUP($A17,Sheet1!$A$1:$D$98,4,0),""))</f>
        <v/>
      </c>
      <c r="H17" s="181" t="str">
        <f>IF($C16=MAX($C$8:$C$56),SUM($H$8:$H16),IFERROR($G17*$F17,""))</f>
        <v/>
      </c>
      <c r="I17" s="80" t="str">
        <f t="shared" si="2"/>
        <v/>
      </c>
      <c r="L17" s="46"/>
    </row>
    <row r="18" spans="1:12" s="44" customFormat="1" ht="14.25" customHeight="1" x14ac:dyDescent="0.25">
      <c r="A18" s="183" t="s">
        <v>298</v>
      </c>
      <c r="B18" s="183"/>
      <c r="C18" s="45" t="str">
        <f t="shared" si="0"/>
        <v/>
      </c>
      <c r="D18" s="190" t="str">
        <f>IFERROR(VLOOKUP($A18,Sheet1!$A$1:$B$98,2,0),"")</f>
        <v/>
      </c>
      <c r="E18" s="45" t="str">
        <f>IFERROR(VLOOKUP($A18,'Tổng Đơn'!$A$5:$E$79,5,0),"")</f>
        <v/>
      </c>
      <c r="F18" s="45" t="str">
        <f t="shared" si="1"/>
        <v/>
      </c>
      <c r="G18" s="191" t="str">
        <f>IF(AND($C18="",$C17&lt;&gt;""),"Tổng Cộng",IFERROR(VLOOKUP($A18,Sheet1!$A$1:$D$98,4,0),""))</f>
        <v/>
      </c>
      <c r="H18" s="181" t="str">
        <f>IF($C17=MAX($C$8:$C$56),SUM($H$8:$H17),IFERROR($G18*$F18,""))</f>
        <v/>
      </c>
      <c r="I18" s="80" t="str">
        <f t="shared" si="2"/>
        <v/>
      </c>
      <c r="L18" s="46"/>
    </row>
    <row r="19" spans="1:12" s="44" customFormat="1" ht="14.25" customHeight="1" x14ac:dyDescent="0.25">
      <c r="A19" s="183" t="s">
        <v>298</v>
      </c>
      <c r="B19" s="183"/>
      <c r="C19" s="45" t="str">
        <f t="shared" si="0"/>
        <v/>
      </c>
      <c r="D19" s="190" t="str">
        <f>IFERROR(VLOOKUP($A19,Sheet1!$A$1:$B$98,2,0),"")</f>
        <v/>
      </c>
      <c r="E19" s="45" t="str">
        <f>IFERROR(VLOOKUP($A19,'Tổng Đơn'!$A$5:$E$79,5,0),"")</f>
        <v/>
      </c>
      <c r="F19" s="45" t="str">
        <f t="shared" si="1"/>
        <v/>
      </c>
      <c r="G19" s="191" t="str">
        <f>IF(AND($C19="",$C18&lt;&gt;""),"Tổng Cộng",IFERROR(VLOOKUP($A19,Sheet1!$A$1:$D$98,4,0),""))</f>
        <v/>
      </c>
      <c r="H19" s="181" t="str">
        <f>IF($C18=MAX($C$8:$C$56),SUM($H$8:$H18),IFERROR($G19*$F19,""))</f>
        <v/>
      </c>
      <c r="I19" s="80" t="str">
        <f t="shared" si="2"/>
        <v/>
      </c>
      <c r="L19" s="46"/>
    </row>
    <row r="20" spans="1:12" s="44" customFormat="1" ht="14.25" customHeight="1" x14ac:dyDescent="0.25">
      <c r="A20" s="183" t="s">
        <v>298</v>
      </c>
      <c r="B20" s="183"/>
      <c r="C20" s="45" t="str">
        <f t="shared" si="0"/>
        <v/>
      </c>
      <c r="D20" s="190" t="str">
        <f>IFERROR(VLOOKUP($A20,Sheet1!$A$1:$B$98,2,0),"")</f>
        <v/>
      </c>
      <c r="E20" s="45" t="str">
        <f>IFERROR(VLOOKUP($A20,'Tổng Đơn'!$A$5:$E$79,5,0),"")</f>
        <v/>
      </c>
      <c r="F20" s="45" t="str">
        <f t="shared" si="1"/>
        <v/>
      </c>
      <c r="G20" s="191" t="str">
        <f>IF(AND($C20="",$C19&lt;&gt;""),"Tổng Cộng",IFERROR(VLOOKUP($A20,Sheet1!$A$1:$D$98,4,0),""))</f>
        <v/>
      </c>
      <c r="H20" s="181" t="str">
        <f>IF($C19=MAX($C$8:$C$56),SUM($H$8:$H19),IFERROR($G20*$F20,""))</f>
        <v/>
      </c>
      <c r="I20" s="80" t="str">
        <f t="shared" si="2"/>
        <v/>
      </c>
      <c r="L20" s="46"/>
    </row>
    <row r="21" spans="1:12" s="44" customFormat="1" ht="14.25" customHeight="1" x14ac:dyDescent="0.25">
      <c r="A21" s="183" t="s">
        <v>298</v>
      </c>
      <c r="B21" s="183"/>
      <c r="C21" s="45" t="str">
        <f t="shared" si="0"/>
        <v/>
      </c>
      <c r="D21" s="190" t="str">
        <f>IFERROR(VLOOKUP($A21,Sheet1!$A$1:$B$98,2,0),"")</f>
        <v/>
      </c>
      <c r="E21" s="45" t="str">
        <f>IFERROR(VLOOKUP($A21,'Tổng Đơn'!$A$5:$E$79,5,0),"")</f>
        <v/>
      </c>
      <c r="F21" s="45" t="str">
        <f t="shared" si="1"/>
        <v/>
      </c>
      <c r="G21" s="191" t="str">
        <f>IF(AND($C21="",$C20&lt;&gt;""),"Tổng Cộng",IFERROR(VLOOKUP($A21,Sheet1!$A$1:$D$98,4,0),""))</f>
        <v/>
      </c>
      <c r="H21" s="181" t="str">
        <f>IF($C20=MAX($C$8:$C$56),SUM($H$8:$H20),IFERROR($G21*$F21,""))</f>
        <v/>
      </c>
      <c r="I21" s="80" t="str">
        <f t="shared" si="2"/>
        <v/>
      </c>
      <c r="L21" s="46"/>
    </row>
    <row r="22" spans="1:12" s="44" customFormat="1" ht="14.25" customHeight="1" x14ac:dyDescent="0.25">
      <c r="A22" s="183" t="s">
        <v>298</v>
      </c>
      <c r="B22" s="183"/>
      <c r="C22" s="45" t="str">
        <f t="shared" si="0"/>
        <v/>
      </c>
      <c r="D22" s="179" t="str">
        <f>IFERROR(VLOOKUP($A22,Sheet1!$A$1:$B$98,2,0),"")</f>
        <v/>
      </c>
      <c r="E22" s="45" t="str">
        <f>IFERROR(VLOOKUP($A22,'Tổng Đơn'!$A$5:$E$79,5,0),"")</f>
        <v/>
      </c>
      <c r="F22" s="45" t="str">
        <f t="shared" si="1"/>
        <v/>
      </c>
      <c r="G22" s="191" t="str">
        <f>IF(AND($C22="",$C21&lt;&gt;""),"Tổng Cộng",IFERROR(VLOOKUP($A22,Sheet1!$A$1:$D$98,4,0),""))</f>
        <v/>
      </c>
      <c r="H22" s="181" t="str">
        <f>IF($C21=MAX($C$8:$C$56),SUM($H$8:$H21),IFERROR($G22*$F22,""))</f>
        <v/>
      </c>
      <c r="I22" s="80" t="str">
        <f t="shared" si="2"/>
        <v/>
      </c>
      <c r="L22" s="46"/>
    </row>
    <row r="23" spans="1:12" s="44" customFormat="1" ht="14.25" customHeight="1" x14ac:dyDescent="0.25">
      <c r="A23" s="183" t="s">
        <v>298</v>
      </c>
      <c r="B23" s="183"/>
      <c r="C23" s="45" t="str">
        <f t="shared" si="0"/>
        <v/>
      </c>
      <c r="D23" s="179" t="str">
        <f>IFERROR(VLOOKUP($A23,Sheet1!$A$1:$B$98,2,0),"")</f>
        <v/>
      </c>
      <c r="E23" s="45" t="str">
        <f>IFERROR(VLOOKUP($A23,'Tổng Đơn'!$A$5:$E$79,5,0),"")</f>
        <v/>
      </c>
      <c r="F23" s="45" t="str">
        <f t="shared" si="1"/>
        <v/>
      </c>
      <c r="G23" s="191" t="str">
        <f>IF(AND($C23="",$C22&lt;&gt;""),"Tổng Cộng",IFERROR(VLOOKUP($A23,Sheet1!$A$1:$D$98,4,0),""))</f>
        <v/>
      </c>
      <c r="H23" s="181" t="str">
        <f>IF($C22=MAX($C$8:$C$56),SUM($H$8:$H22),IFERROR($G23*$F23,""))</f>
        <v/>
      </c>
      <c r="I23" s="80" t="str">
        <f t="shared" si="2"/>
        <v/>
      </c>
      <c r="L23" s="46"/>
    </row>
    <row r="24" spans="1:12" s="44" customFormat="1" ht="14.25" customHeight="1" x14ac:dyDescent="0.25">
      <c r="A24" s="183" t="s">
        <v>298</v>
      </c>
      <c r="B24" s="183"/>
      <c r="C24" s="45" t="str">
        <f t="shared" si="0"/>
        <v/>
      </c>
      <c r="D24" s="179" t="str">
        <f>IFERROR(VLOOKUP($A24,Sheet1!$A$1:$B$98,2,0),"")</f>
        <v/>
      </c>
      <c r="E24" s="45" t="str">
        <f>IFERROR(VLOOKUP($A24,'Tổng Đơn'!$A$5:$E$79,5,0),"")</f>
        <v/>
      </c>
      <c r="F24" s="45" t="str">
        <f t="shared" si="1"/>
        <v/>
      </c>
      <c r="G24" s="191" t="str">
        <f>IF(AND($C24="",$C23&lt;&gt;""),"Tổng Cộng",IFERROR(VLOOKUP($A24,Sheet1!$A$1:$D$98,4,0),""))</f>
        <v/>
      </c>
      <c r="H24" s="181" t="str">
        <f>IF($C23=MAX($C$8:$C$56),SUM($H$8:$H23),IFERROR($G24*$F24,""))</f>
        <v/>
      </c>
      <c r="I24" s="80" t="str">
        <f t="shared" si="2"/>
        <v/>
      </c>
      <c r="L24" s="46"/>
    </row>
    <row r="25" spans="1:12" s="44" customFormat="1" ht="14.25" customHeight="1" x14ac:dyDescent="0.25">
      <c r="A25" s="183" t="s">
        <v>298</v>
      </c>
      <c r="B25" s="183"/>
      <c r="C25" s="45" t="str">
        <f t="shared" si="0"/>
        <v/>
      </c>
      <c r="D25" s="179" t="str">
        <f>IFERROR(VLOOKUP($A25,Sheet1!$A$1:$B$98,2,0),"")</f>
        <v/>
      </c>
      <c r="E25" s="45" t="str">
        <f>IFERROR(VLOOKUP($A25,'Tổng Đơn'!$A$5:$E$79,5,0),"")</f>
        <v/>
      </c>
      <c r="F25" s="45" t="str">
        <f t="shared" si="1"/>
        <v/>
      </c>
      <c r="G25" s="191" t="str">
        <f>IF(AND($C25="",$C24&lt;&gt;""),"Tổng Cộng",IFERROR(VLOOKUP($A25,Sheet1!$A$1:$D$98,4,0),""))</f>
        <v/>
      </c>
      <c r="H25" s="181" t="str">
        <f>IF($C24=MAX($C$8:$C$56),SUM($H$8:$H24),IFERROR($G25*$F25,""))</f>
        <v/>
      </c>
      <c r="I25" s="80" t="str">
        <f t="shared" si="2"/>
        <v/>
      </c>
      <c r="L25" s="46"/>
    </row>
    <row r="26" spans="1:12" s="44" customFormat="1" ht="14.25" customHeight="1" x14ac:dyDescent="0.25">
      <c r="A26" s="183" t="s">
        <v>298</v>
      </c>
      <c r="B26" s="183"/>
      <c r="C26" s="45" t="str">
        <f t="shared" si="0"/>
        <v/>
      </c>
      <c r="D26" s="179" t="str">
        <f>IFERROR(VLOOKUP($A26,Sheet1!$A$1:$B$98,2,0),"")</f>
        <v/>
      </c>
      <c r="E26" s="45" t="str">
        <f>IFERROR(VLOOKUP($A26,'Tổng Đơn'!$A$5:$E$79,5,0),"")</f>
        <v/>
      </c>
      <c r="F26" s="45" t="str">
        <f t="shared" si="1"/>
        <v/>
      </c>
      <c r="G26" s="191" t="str">
        <f>IF(AND($C26="",$C25&lt;&gt;""),"Tổng Cộng",IFERROR(VLOOKUP($A26,Sheet1!$A$1:$D$98,4,0),""))</f>
        <v/>
      </c>
      <c r="H26" s="181" t="str">
        <f>IF($C25=MAX($C$8:$C$56),SUM($H$8:$H25),IFERROR($G26*$F26,""))</f>
        <v/>
      </c>
      <c r="I26" s="80" t="str">
        <f t="shared" si="2"/>
        <v/>
      </c>
      <c r="L26" s="46"/>
    </row>
    <row r="27" spans="1:12" s="44" customFormat="1" ht="14.25" customHeight="1" x14ac:dyDescent="0.25">
      <c r="A27" s="183" t="s">
        <v>298</v>
      </c>
      <c r="B27" s="183"/>
      <c r="C27" s="45" t="str">
        <f t="shared" si="0"/>
        <v/>
      </c>
      <c r="D27" s="179" t="str">
        <f>IFERROR(VLOOKUP($A27,Sheet1!$A$1:$B$98,2,0),"")</f>
        <v/>
      </c>
      <c r="E27" s="45" t="str">
        <f>IFERROR(VLOOKUP($A27,'Tổng Đơn'!$A$5:$E$79,5,0),"")</f>
        <v/>
      </c>
      <c r="F27" s="45" t="str">
        <f t="shared" si="1"/>
        <v/>
      </c>
      <c r="G27" s="191" t="str">
        <f>IF(AND($C27="",$C26&lt;&gt;""),"Tổng Cộng",IFERROR(VLOOKUP($A27,Sheet1!$A$1:$D$98,4,0),""))</f>
        <v/>
      </c>
      <c r="H27" s="181" t="str">
        <f>IF($C26=MAX($C$8:$C$56),SUM($H$8:$H26),IFERROR($G27*$F27,""))</f>
        <v/>
      </c>
      <c r="I27" s="80" t="str">
        <f t="shared" si="2"/>
        <v/>
      </c>
      <c r="L27" s="46"/>
    </row>
    <row r="28" spans="1:12" s="44" customFormat="1" ht="14.25" customHeight="1" x14ac:dyDescent="0.25">
      <c r="A28" s="183" t="s">
        <v>298</v>
      </c>
      <c r="B28" s="183"/>
      <c r="C28" s="45" t="str">
        <f t="shared" si="0"/>
        <v/>
      </c>
      <c r="D28" s="179" t="str">
        <f>IFERROR(VLOOKUP($A28,Sheet1!$A$1:$B$98,2,0),"")</f>
        <v/>
      </c>
      <c r="E28" s="45" t="str">
        <f>IFERROR(VLOOKUP($A28,'Tổng Đơn'!$A$5:$E$79,5,0),"")</f>
        <v/>
      </c>
      <c r="F28" s="45" t="str">
        <f t="shared" si="1"/>
        <v/>
      </c>
      <c r="G28" s="191" t="str">
        <f>IF(AND($C28="",$C27&lt;&gt;""),"Tổng Cộng",IFERROR(VLOOKUP($A28,Sheet1!$A$1:$D$98,4,0),""))</f>
        <v/>
      </c>
      <c r="H28" s="181" t="str">
        <f>IF($C27=MAX($C$8:$C$56),SUM($H$8:$H27),IFERROR($G28*$F28,""))</f>
        <v/>
      </c>
      <c r="I28" s="80" t="str">
        <f t="shared" si="2"/>
        <v/>
      </c>
      <c r="L28" s="46"/>
    </row>
    <row r="29" spans="1:12" s="44" customFormat="1" ht="14.25" customHeight="1" x14ac:dyDescent="0.25">
      <c r="A29" s="183" t="s">
        <v>298</v>
      </c>
      <c r="B29" s="183"/>
      <c r="C29" s="45" t="str">
        <f t="shared" si="0"/>
        <v/>
      </c>
      <c r="D29" s="179" t="str">
        <f>IFERROR(VLOOKUP($A29,Sheet1!$A$1:$B$98,2,0),"")</f>
        <v/>
      </c>
      <c r="E29" s="45" t="str">
        <f>IFERROR(VLOOKUP($A29,'Tổng Đơn'!$A$5:$E$79,5,0),"")</f>
        <v/>
      </c>
      <c r="F29" s="45" t="str">
        <f t="shared" si="1"/>
        <v/>
      </c>
      <c r="G29" s="191" t="str">
        <f>IF(AND($C29="",$C28&lt;&gt;""),"Tổng Cộng",IFERROR(VLOOKUP($A29,Sheet1!$A$1:$D$98,4,0),""))</f>
        <v/>
      </c>
      <c r="H29" s="181" t="str">
        <f>IF($C28=MAX($C$8:$C$56),SUM($H$8:$H28),IFERROR($G29*$F29,""))</f>
        <v/>
      </c>
      <c r="I29" s="80" t="str">
        <f t="shared" si="2"/>
        <v/>
      </c>
      <c r="L29" s="46"/>
    </row>
    <row r="30" spans="1:12" s="44" customFormat="1" ht="14.25" customHeight="1" x14ac:dyDescent="0.25">
      <c r="A30" s="183" t="s">
        <v>298</v>
      </c>
      <c r="B30" s="183"/>
      <c r="C30" s="45" t="str">
        <f t="shared" si="0"/>
        <v/>
      </c>
      <c r="D30" s="179" t="str">
        <f>IFERROR(VLOOKUP($A30,Sheet1!$A$1:$B$98,2,0),"")</f>
        <v/>
      </c>
      <c r="E30" s="45" t="str">
        <f>IFERROR(VLOOKUP($A30,'Tổng Đơn'!$A$5:$E$79,5,0),"")</f>
        <v/>
      </c>
      <c r="F30" s="45" t="str">
        <f t="shared" si="1"/>
        <v/>
      </c>
      <c r="G30" s="191" t="str">
        <f>IF(AND($C30="",$C29&lt;&gt;""),"Tổng Cộng",IFERROR(VLOOKUP($A30,Sheet1!$A$1:$D$98,4,0),""))</f>
        <v/>
      </c>
      <c r="H30" s="181" t="str">
        <f>IF($C29=MAX($C$8:$C$56),SUM($H$8:$H29),IFERROR($G30*$F30,""))</f>
        <v/>
      </c>
      <c r="I30" s="80" t="str">
        <f t="shared" si="2"/>
        <v/>
      </c>
      <c r="L30" s="46"/>
    </row>
    <row r="31" spans="1:12" s="44" customFormat="1" ht="14.25" customHeight="1" x14ac:dyDescent="0.25">
      <c r="A31" s="183" t="s">
        <v>298</v>
      </c>
      <c r="B31" s="183"/>
      <c r="C31" s="45" t="str">
        <f t="shared" si="0"/>
        <v/>
      </c>
      <c r="D31" s="179" t="str">
        <f>IFERROR(VLOOKUP($A31,Sheet1!$A$1:$B$98,2,0),"")</f>
        <v/>
      </c>
      <c r="E31" s="45" t="str">
        <f>IFERROR(VLOOKUP($A31,'Tổng Đơn'!$A$5:$E$79,5,0),"")</f>
        <v/>
      </c>
      <c r="F31" s="45" t="str">
        <f t="shared" si="1"/>
        <v/>
      </c>
      <c r="G31" s="191" t="str">
        <f>IF(AND($C31="",$C30&lt;&gt;""),"Tổng Cộng",IFERROR(VLOOKUP($A31,Sheet1!$A$1:$D$98,4,0),""))</f>
        <v/>
      </c>
      <c r="H31" s="181" t="str">
        <f>IF($C30=MAX($C$8:$C$56),SUM($H$8:$H30),IFERROR($G31*$F31,""))</f>
        <v/>
      </c>
      <c r="I31" s="80" t="str">
        <f t="shared" si="2"/>
        <v/>
      </c>
      <c r="L31" s="46"/>
    </row>
    <row r="32" spans="1:12" s="44" customFormat="1" ht="14.25" customHeight="1" x14ac:dyDescent="0.25">
      <c r="A32" s="183" t="s">
        <v>298</v>
      </c>
      <c r="B32" s="183"/>
      <c r="C32" s="45" t="str">
        <f t="shared" si="0"/>
        <v/>
      </c>
      <c r="D32" s="179" t="str">
        <f>IFERROR(VLOOKUP($A32,Sheet1!$A$1:$B$98,2,0),"")</f>
        <v/>
      </c>
      <c r="E32" s="45" t="str">
        <f>IFERROR(VLOOKUP($A32,'Tổng Đơn'!$A$5:$E$79,5,0),"")</f>
        <v/>
      </c>
      <c r="F32" s="45" t="str">
        <f t="shared" si="1"/>
        <v/>
      </c>
      <c r="G32" s="191" t="str">
        <f>IF(AND($C32="",$C31&lt;&gt;""),"Tổng Cộng",IFERROR(VLOOKUP($A32,Sheet1!$A$1:$D$98,4,0),""))</f>
        <v/>
      </c>
      <c r="H32" s="181" t="str">
        <f>IF($C31=MAX($C$8:$C$56),SUM($H$8:$H31),IFERROR($G32*$F32,""))</f>
        <v/>
      </c>
      <c r="I32" s="80" t="str">
        <f t="shared" si="2"/>
        <v/>
      </c>
      <c r="L32" s="46"/>
    </row>
    <row r="33" spans="1:12" s="44" customFormat="1" ht="14.25" customHeight="1" x14ac:dyDescent="0.25">
      <c r="A33" s="183" t="s">
        <v>298</v>
      </c>
      <c r="B33" s="183"/>
      <c r="C33" s="45" t="str">
        <f t="shared" si="0"/>
        <v/>
      </c>
      <c r="D33" s="179" t="str">
        <f>IFERROR(VLOOKUP($A33,Sheet1!$A$1:$B$98,2,0),"")</f>
        <v/>
      </c>
      <c r="E33" s="45" t="str">
        <f>IFERROR(VLOOKUP($A33,'Tổng Đơn'!$A$5:$E$79,5,0),"")</f>
        <v/>
      </c>
      <c r="F33" s="45" t="str">
        <f t="shared" si="1"/>
        <v/>
      </c>
      <c r="G33" s="191" t="str">
        <f>IF(AND($C33="",$C32&lt;&gt;""),"Tổng Cộng",IFERROR(VLOOKUP($A33,Sheet1!$A$1:$D$98,4,0),""))</f>
        <v/>
      </c>
      <c r="H33" s="181" t="str">
        <f>IF($C32=MAX($C$8:$C$56),SUM($H$8:$H32),IFERROR($G33*$F33,""))</f>
        <v/>
      </c>
      <c r="I33" s="80" t="str">
        <f t="shared" si="2"/>
        <v/>
      </c>
      <c r="L33" s="46"/>
    </row>
    <row r="34" spans="1:12" s="44" customFormat="1" ht="14.25" customHeight="1" x14ac:dyDescent="0.25">
      <c r="A34" s="183" t="s">
        <v>298</v>
      </c>
      <c r="B34" s="183"/>
      <c r="C34" s="45" t="str">
        <f t="shared" si="0"/>
        <v/>
      </c>
      <c r="D34" s="179" t="str">
        <f>IFERROR(VLOOKUP($A34,Sheet1!$A$1:$B$98,2,0),"")</f>
        <v/>
      </c>
      <c r="E34" s="45" t="str">
        <f>IFERROR(VLOOKUP($A34,'Tổng Đơn'!$A$5:$E$79,5,0),"")</f>
        <v/>
      </c>
      <c r="F34" s="45" t="str">
        <f t="shared" si="1"/>
        <v/>
      </c>
      <c r="G34" s="191" t="str">
        <f>IF(AND($C34="",$C33&lt;&gt;""),"Tổng Cộng",IFERROR(VLOOKUP($A34,Sheet1!$A$1:$D$98,4,0),""))</f>
        <v/>
      </c>
      <c r="H34" s="181" t="str">
        <f>IF($C33=MAX($C$8:$C$56),SUM($H$8:$H33),IFERROR($G34*$F34,""))</f>
        <v/>
      </c>
      <c r="I34" s="80" t="str">
        <f t="shared" si="2"/>
        <v/>
      </c>
      <c r="L34" s="46"/>
    </row>
    <row r="35" spans="1:12" s="44" customFormat="1" ht="14.25" customHeight="1" x14ac:dyDescent="0.25">
      <c r="A35" s="183" t="s">
        <v>298</v>
      </c>
      <c r="B35" s="183"/>
      <c r="C35" s="45" t="str">
        <f t="shared" si="0"/>
        <v/>
      </c>
      <c r="D35" s="179" t="str">
        <f>IFERROR(VLOOKUP($A35,Sheet1!$A$1:$B$98,2,0),"")</f>
        <v/>
      </c>
      <c r="E35" s="45" t="str">
        <f>IFERROR(VLOOKUP($A35,'Tổng Đơn'!$A$5:$E$79,5,0),"")</f>
        <v/>
      </c>
      <c r="F35" s="45" t="str">
        <f t="shared" si="1"/>
        <v/>
      </c>
      <c r="G35" s="191" t="str">
        <f>IF(AND($C35="",$C34&lt;&gt;""),"Tổng Cộng",IFERROR(VLOOKUP($A35,Sheet1!$A$1:$D$98,4,0),""))</f>
        <v/>
      </c>
      <c r="H35" s="181" t="str">
        <f>IF($C34=MAX($C$8:$C$56),SUM($H$8:$H34),IFERROR($G35*$F35,""))</f>
        <v/>
      </c>
      <c r="I35" s="80" t="str">
        <f t="shared" si="2"/>
        <v/>
      </c>
      <c r="L35" s="46"/>
    </row>
    <row r="36" spans="1:12" s="44" customFormat="1" ht="14.25" customHeight="1" x14ac:dyDescent="0.25">
      <c r="A36" s="183" t="s">
        <v>298</v>
      </c>
      <c r="B36" s="183"/>
      <c r="C36" s="45" t="str">
        <f t="shared" si="0"/>
        <v/>
      </c>
      <c r="D36" s="179" t="str">
        <f>IFERROR(VLOOKUP($A36,Sheet1!$A$1:$B$98,2,0),"")</f>
        <v/>
      </c>
      <c r="E36" s="45" t="str">
        <f>IFERROR(VLOOKUP($A36,'Tổng Đơn'!$A$5:$E$79,5,0),"")</f>
        <v/>
      </c>
      <c r="F36" s="45" t="str">
        <f t="shared" si="1"/>
        <v/>
      </c>
      <c r="G36" s="191" t="str">
        <f>IF(AND($C36="",$C35&lt;&gt;""),"Tổng Cộng",IFERROR(VLOOKUP($A36,Sheet1!$A$1:$D$98,4,0),""))</f>
        <v/>
      </c>
      <c r="H36" s="181" t="str">
        <f>IF($C35=MAX($C$8:$C$56),SUM($H$8:$H35),IFERROR($G36*$F36,""))</f>
        <v/>
      </c>
      <c r="I36" s="80" t="str">
        <f t="shared" si="2"/>
        <v/>
      </c>
      <c r="L36" s="46"/>
    </row>
    <row r="37" spans="1:12" s="44" customFormat="1" ht="14.25" customHeight="1" x14ac:dyDescent="0.25">
      <c r="A37" s="183" t="s">
        <v>298</v>
      </c>
      <c r="B37" s="183"/>
      <c r="C37" s="45" t="str">
        <f t="shared" si="0"/>
        <v/>
      </c>
      <c r="D37" s="179" t="str">
        <f>IFERROR(VLOOKUP($A37,Sheet1!$A$1:$B$98,2,0),"")</f>
        <v/>
      </c>
      <c r="E37" s="45" t="str">
        <f>IFERROR(VLOOKUP($A37,'Tổng Đơn'!$A$5:$E$79,5,0),"")</f>
        <v/>
      </c>
      <c r="F37" s="45" t="str">
        <f t="shared" si="1"/>
        <v/>
      </c>
      <c r="G37" s="191" t="str">
        <f>IF(AND($C37="",$C36&lt;&gt;""),"Tổng Cộng",IFERROR(VLOOKUP($A37,Sheet1!$A$1:$D$98,4,0),""))</f>
        <v/>
      </c>
      <c r="H37" s="181" t="str">
        <f>IF($C36=MAX($C$8:$C$56),SUM($H$8:$H36),IFERROR($G37*$F37,""))</f>
        <v/>
      </c>
      <c r="I37" s="80" t="str">
        <f t="shared" si="2"/>
        <v/>
      </c>
      <c r="L37" s="46"/>
    </row>
    <row r="38" spans="1:12" s="44" customFormat="1" ht="14.25" customHeight="1" x14ac:dyDescent="0.25">
      <c r="A38" s="183"/>
      <c r="B38" s="183"/>
      <c r="C38" s="48"/>
      <c r="D38" s="49"/>
      <c r="E38" s="78"/>
      <c r="F38" s="45"/>
      <c r="G38" s="192" t="str">
        <f>IF(AND($C38="",$C37&lt;&gt;""),"Tổng Cộng",IFERROR(VLOOKUP($A38,Sheet1!$A$1:$D$98,4,0),""))</f>
        <v/>
      </c>
      <c r="H38" s="50" t="str">
        <f>IF($C37=MAX($C$8:$C$56),SUM($H$8:$H37),IFERROR($G38*$F38,""))</f>
        <v/>
      </c>
      <c r="I38" s="80"/>
      <c r="L38" s="46"/>
    </row>
    <row r="39" spans="1:12" ht="15" customHeight="1" x14ac:dyDescent="0.25">
      <c r="F39" s="51"/>
      <c r="G39" s="171"/>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H9 C38:E38 C9:G9 F15:H38 D15:E37 D10:H14">
    <cfRule type="expression" dxfId="47" priority="2">
      <formula>$C7=MAX($C$8:$C$37)</formula>
    </cfRule>
  </conditionalFormatting>
  <conditionalFormatting sqref="C10:C37">
    <cfRule type="expression" dxfId="46" priority="1">
      <formula>$C9=MAX($C$8:$C$37)</formula>
    </cfRule>
  </conditionalFormatting>
  <conditionalFormatting sqref="E8:E38">
    <cfRule type="expression" dxfId="45" priority="3">
      <formula>AND($A8="",$F8&lt;&gt;"")</formula>
    </cfRule>
  </conditionalFormatting>
  <conditionalFormatting sqref="F8:F38">
    <cfRule type="expression" dxfId="44"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51553" r:id="rId4" name="Button 1">
              <controlPr defaultSize="0" print="0" autoFill="0" autoPict="0" macro="[0]!Macro4">
                <anchor moveWithCells="1" sizeWithCells="1">
                  <from>
                    <xdr:col>0</xdr:col>
                    <xdr:colOff>0</xdr:colOff>
                    <xdr:row>0</xdr:row>
                    <xdr:rowOff>0</xdr:rowOff>
                  </from>
                  <to>
                    <xdr:col>1</xdr:col>
                    <xdr:colOff>723900</xdr:colOff>
                    <xdr:row>7</xdr:row>
                    <xdr:rowOff>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RowHeight="15" x14ac:dyDescent="0.25"/>
  <cols>
    <col min="1" max="1" width="11.7109375" style="14" customWidth="1"/>
    <col min="2" max="2" width="11.28515625" style="14" customWidth="1"/>
    <col min="3" max="3" width="9.140625" style="14"/>
    <col min="4" max="4" width="38.42578125" style="14" bestFit="1" customWidth="1"/>
    <col min="5" max="5" width="12.28515625" style="79"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33" t="s">
        <v>223</v>
      </c>
      <c r="D1" s="233"/>
      <c r="E1" s="233"/>
      <c r="F1" s="233"/>
      <c r="G1" s="233"/>
      <c r="H1" s="233"/>
    </row>
    <row r="2" spans="1:14" ht="15.75" customHeight="1" x14ac:dyDescent="0.25">
      <c r="C2" s="233"/>
      <c r="D2" s="233"/>
      <c r="E2" s="233"/>
      <c r="F2" s="233"/>
      <c r="G2" s="233"/>
      <c r="H2" s="233"/>
    </row>
    <row r="3" spans="1:14" ht="15" customHeight="1" x14ac:dyDescent="0.25">
      <c r="C3" s="235" t="s">
        <v>225</v>
      </c>
      <c r="D3" s="235"/>
      <c r="E3" s="235"/>
      <c r="F3" s="238" t="s">
        <v>227</v>
      </c>
      <c r="G3" s="238"/>
      <c r="H3" s="238"/>
    </row>
    <row r="4" spans="1:14" x14ac:dyDescent="0.25">
      <c r="C4" s="236" t="s">
        <v>226</v>
      </c>
      <c r="D4" s="236"/>
      <c r="E4" s="236"/>
      <c r="F4" s="239" t="s">
        <v>228</v>
      </c>
      <c r="G4" s="239"/>
      <c r="H4" s="239"/>
    </row>
    <row r="5" spans="1:14" s="172" customFormat="1" ht="21" customHeight="1" x14ac:dyDescent="0.25">
      <c r="C5" s="237" t="s">
        <v>224</v>
      </c>
      <c r="D5" s="237"/>
      <c r="E5" s="237"/>
      <c r="F5" s="237"/>
      <c r="G5" s="237"/>
      <c r="H5" s="237"/>
    </row>
    <row r="6" spans="1:14" s="172" customFormat="1" ht="17.25" customHeight="1" x14ac:dyDescent="0.25">
      <c r="C6" s="182" t="s">
        <v>229</v>
      </c>
      <c r="D6" s="187" t="s">
        <v>276</v>
      </c>
      <c r="E6" s="177"/>
      <c r="F6" s="177"/>
      <c r="G6" s="234" t="str">
        <f ca="1">"Ngày "&amp;DAY(TODAY())&amp;" Tháng "&amp;MONTH(TODAY())&amp;" Năm "&amp;YEAR(TODAY())</f>
        <v>Ngày 14 Tháng 2 Năm 2022</v>
      </c>
      <c r="H6" s="234"/>
    </row>
    <row r="7" spans="1:14" s="176" customFormat="1" ht="24" customHeight="1" x14ac:dyDescent="0.25">
      <c r="A7" s="173" t="s">
        <v>118</v>
      </c>
      <c r="B7" s="173" t="s">
        <v>16</v>
      </c>
      <c r="C7" s="174" t="s">
        <v>0</v>
      </c>
      <c r="D7" s="174" t="s">
        <v>17</v>
      </c>
      <c r="E7" s="178" t="str">
        <f>"Quy cách"&amp;CHAR(10)&amp;"(Kg)"</f>
        <v>Quy cách
(Kg)</v>
      </c>
      <c r="F7" s="174" t="s">
        <v>16</v>
      </c>
      <c r="G7" s="174" t="s">
        <v>18</v>
      </c>
      <c r="H7" s="174" t="s">
        <v>19</v>
      </c>
      <c r="I7" s="175">
        <f>SUBTOTAL(9,I8:I37)</f>
        <v>1</v>
      </c>
      <c r="L7" s="172"/>
    </row>
    <row r="8" spans="1:14" s="44" customFormat="1" ht="14.25" customHeight="1" x14ac:dyDescent="0.25">
      <c r="A8" s="183">
        <v>9</v>
      </c>
      <c r="B8" s="183">
        <v>1</v>
      </c>
      <c r="C8" s="45">
        <f t="shared" ref="C8:C37" si="0">IF(OR(SUM($C7,$A8&lt;&gt;"")=0,$A8=""),"",SUM($C7,$A8&lt;&gt;""))</f>
        <v>1</v>
      </c>
      <c r="D8" s="179" t="str">
        <f>IFERROR(VLOOKUP($A8,Sheet1!$A$1:$B$98,2,0),"")</f>
        <v>Hải sản sốt cam LC</v>
      </c>
      <c r="E8" s="180">
        <f>IFERROR(VLOOKUP($A8,'Tổng Đơn'!$A$5:$E$79,5,0),"")</f>
        <v>0.5</v>
      </c>
      <c r="F8" s="45">
        <f t="shared" ref="F8:F37" si="1">IF($B8="","",B8)</f>
        <v>1</v>
      </c>
      <c r="G8" s="191">
        <f>IFERROR(VLOOKUP($A8,Sheet1!$A1:$D$98,4,0),"")</f>
        <v>45000</v>
      </c>
      <c r="H8" s="181">
        <f>IF($C7=MAX($C$8:$C$56),SUM($H7:$H$8),IFERROR($G8*$F8,""))</f>
        <v>45000</v>
      </c>
      <c r="I8" s="80">
        <f t="shared" ref="I8:I37" si="2">IF(TYPE($A8)&lt;&gt;1,"",IFERROR(F8*E8,""))</f>
        <v>0.5</v>
      </c>
      <c r="L8" s="47"/>
    </row>
    <row r="9" spans="1:14" s="44" customFormat="1" ht="14.25" customHeight="1" x14ac:dyDescent="0.25">
      <c r="A9" s="183">
        <v>70</v>
      </c>
      <c r="B9" s="183">
        <v>1</v>
      </c>
      <c r="C9" s="45">
        <f t="shared" si="0"/>
        <v>2</v>
      </c>
      <c r="D9" s="179" t="str">
        <f>IFERROR(VLOOKUP($A9,Sheet1!$A$1:$B$98,2,0),"")</f>
        <v>XX Đức KK</v>
      </c>
      <c r="E9" s="45">
        <f>IFERROR(VLOOKUP($A9,'Tổng Đơn'!$A$5:$E$79,5,0),"")</f>
        <v>0.5</v>
      </c>
      <c r="F9" s="45">
        <f t="shared" si="1"/>
        <v>1</v>
      </c>
      <c r="G9" s="191">
        <f>IF(AND($C9="",$C8&lt;&gt;""),"Tổng Cộng",IFERROR(VLOOKUP($A9,Sheet1!$A$1:$D$98,4,0),""))</f>
        <v>35000</v>
      </c>
      <c r="H9" s="181">
        <f>IF($C8=MAX($C$8:$C$56),SUM($H$8:$H8),IFERROR($G9*$F9,""))</f>
        <v>35000</v>
      </c>
      <c r="I9" s="80">
        <f t="shared" si="2"/>
        <v>0.5</v>
      </c>
      <c r="L9" s="46"/>
    </row>
    <row r="10" spans="1:14" s="44" customFormat="1" ht="14.25" customHeight="1" x14ac:dyDescent="0.25">
      <c r="A10" s="183" t="s">
        <v>298</v>
      </c>
      <c r="B10" s="183"/>
      <c r="C10" s="45" t="str">
        <f t="shared" si="0"/>
        <v/>
      </c>
      <c r="D10" s="179" t="str">
        <f>IFERROR(VLOOKUP($A10,Sheet1!$A$1:$B$98,2,0),"")</f>
        <v/>
      </c>
      <c r="E10" s="45" t="str">
        <f>IFERROR(VLOOKUP($A10,'Tổng Đơn'!$A$5:$E$79,5,0),"")</f>
        <v/>
      </c>
      <c r="F10" s="45" t="str">
        <f t="shared" si="1"/>
        <v/>
      </c>
      <c r="G10" s="191" t="str">
        <f>IF(AND($C10="",$C9&lt;&gt;""),"Tổng Cộng",IFERROR(VLOOKUP($A10,Sheet1!$A$1:$D$98,4,0),""))</f>
        <v>Tổng Cộng</v>
      </c>
      <c r="H10" s="181">
        <f>IF($C9=MAX($C$8:$C$56),SUM($H$8:$H9),IFERROR($G10*$F10,""))</f>
        <v>80000</v>
      </c>
      <c r="I10" s="80" t="str">
        <f t="shared" si="2"/>
        <v/>
      </c>
      <c r="L10" s="46"/>
    </row>
    <row r="11" spans="1:14" s="44" customFormat="1" ht="14.25" customHeight="1" x14ac:dyDescent="0.25">
      <c r="A11" s="183" t="s">
        <v>298</v>
      </c>
      <c r="B11" s="183"/>
      <c r="C11" s="45" t="str">
        <f t="shared" si="0"/>
        <v/>
      </c>
      <c r="D11" s="179" t="str">
        <f>IFERROR(VLOOKUP($A11,Sheet1!$A$1:$B$98,2,0),"")</f>
        <v/>
      </c>
      <c r="E11" s="45" t="str">
        <f>IFERROR(VLOOKUP($A11,'Tổng Đơn'!$A$5:$E$79,5,0),"")</f>
        <v/>
      </c>
      <c r="F11" s="45" t="str">
        <f t="shared" si="1"/>
        <v/>
      </c>
      <c r="G11" s="191" t="str">
        <f>IF(AND($C11="",$C10&lt;&gt;""),"Tổng Cộng",IFERROR(VLOOKUP($A11,Sheet1!$A$1:$D$98,4,0),""))</f>
        <v/>
      </c>
      <c r="H11" s="181" t="str">
        <f>IF($C10=MAX($C$8:$C$56),SUM($H$8:$H10),IFERROR($G11*$F11,""))</f>
        <v/>
      </c>
      <c r="I11" s="80" t="str">
        <f t="shared" si="2"/>
        <v/>
      </c>
      <c r="L11" s="46"/>
    </row>
    <row r="12" spans="1:14" s="44" customFormat="1" ht="14.25" customHeight="1" x14ac:dyDescent="0.25">
      <c r="A12" s="183" t="s">
        <v>298</v>
      </c>
      <c r="B12" s="183"/>
      <c r="C12" s="45" t="str">
        <f t="shared" si="0"/>
        <v/>
      </c>
      <c r="D12" s="179" t="str">
        <f>IFERROR(VLOOKUP($A12,Sheet1!$A$1:$B$98,2,0),"")</f>
        <v/>
      </c>
      <c r="E12" s="45" t="str">
        <f>IFERROR(VLOOKUP($A12,'Tổng Đơn'!$A$5:$E$79,5,0),"")</f>
        <v/>
      </c>
      <c r="F12" s="45" t="str">
        <f t="shared" si="1"/>
        <v/>
      </c>
      <c r="G12" s="191" t="str">
        <f>IF(AND($C12="",$C11&lt;&gt;""),"Tổng Cộng",IFERROR(VLOOKUP($A12,Sheet1!$A$1:$D$98,4,0),""))</f>
        <v/>
      </c>
      <c r="H12" s="181" t="str">
        <f>IF($C11=MAX($C$8:$C$56),SUM($H$8:$H11),IFERROR($G12*$F12,""))</f>
        <v/>
      </c>
      <c r="I12" s="80" t="str">
        <f t="shared" si="2"/>
        <v/>
      </c>
      <c r="J12" s="153"/>
      <c r="L12" s="46"/>
      <c r="M12" s="161"/>
      <c r="N12" s="154"/>
    </row>
    <row r="13" spans="1:14" s="44" customFormat="1" ht="14.25" customHeight="1" x14ac:dyDescent="0.25">
      <c r="A13" s="183" t="s">
        <v>298</v>
      </c>
      <c r="B13" s="183"/>
      <c r="C13" s="45" t="str">
        <f t="shared" si="0"/>
        <v/>
      </c>
      <c r="D13" s="179" t="str">
        <f>IFERROR(VLOOKUP($A13,Sheet1!$A$1:$B$98,2,0),"")</f>
        <v/>
      </c>
      <c r="E13" s="45" t="str">
        <f>IFERROR(VLOOKUP($A13,'Tổng Đơn'!$A$5:$E$79,5,0),"")</f>
        <v/>
      </c>
      <c r="F13" s="45" t="str">
        <f t="shared" si="1"/>
        <v/>
      </c>
      <c r="G13" s="191" t="str">
        <f>IF(AND($C13="",$C12&lt;&gt;""),"Tổng Cộng",IFERROR(VLOOKUP($A13,Sheet1!$A$1:$D$98,4,0),""))</f>
        <v/>
      </c>
      <c r="H13" s="181" t="str">
        <f>IF($C12=MAX($C$8:$C$56),SUM($H$8:$H12),IFERROR($G13*$F13,""))</f>
        <v/>
      </c>
      <c r="I13" s="80" t="str">
        <f t="shared" si="2"/>
        <v/>
      </c>
      <c r="L13" s="46"/>
    </row>
    <row r="14" spans="1:14" s="44" customFormat="1" ht="14.25" customHeight="1" x14ac:dyDescent="0.25">
      <c r="A14" s="183" t="s">
        <v>298</v>
      </c>
      <c r="B14" s="183"/>
      <c r="C14" s="45" t="str">
        <f t="shared" si="0"/>
        <v/>
      </c>
      <c r="D14" s="179" t="str">
        <f>IFERROR(VLOOKUP($A14,Sheet1!$A$1:$B$98,2,0),"")</f>
        <v/>
      </c>
      <c r="E14" s="45" t="str">
        <f>IFERROR(VLOOKUP($A14,'Tổng Đơn'!$A$5:$E$79,5,0),"")</f>
        <v/>
      </c>
      <c r="F14" s="45" t="str">
        <f t="shared" si="1"/>
        <v/>
      </c>
      <c r="G14" s="191" t="str">
        <f>IF(AND($C14="",$C13&lt;&gt;""),"Tổng Cộng",IFERROR(VLOOKUP($A14,Sheet1!$A$1:$D$98,4,0),""))</f>
        <v/>
      </c>
      <c r="H14" s="181" t="str">
        <f>IF($C13=MAX($C$8:$C$56),SUM($H$8:$H13),IFERROR($G14*$F14,""))</f>
        <v/>
      </c>
      <c r="I14" s="80" t="str">
        <f t="shared" si="2"/>
        <v/>
      </c>
      <c r="L14" s="46"/>
      <c r="M14" s="162"/>
    </row>
    <row r="15" spans="1:14" s="44" customFormat="1" ht="14.25" customHeight="1" x14ac:dyDescent="0.25">
      <c r="A15" s="183" t="s">
        <v>298</v>
      </c>
      <c r="B15" s="183"/>
      <c r="C15" s="45" t="str">
        <f t="shared" si="0"/>
        <v/>
      </c>
      <c r="D15" s="179" t="str">
        <f>IFERROR(VLOOKUP($A15,Sheet1!$A$1:$B$98,2,0),"")</f>
        <v/>
      </c>
      <c r="E15" s="45" t="str">
        <f>IFERROR(VLOOKUP($A15,'Tổng Đơn'!$A$5:$E$79,5,0),"")</f>
        <v/>
      </c>
      <c r="F15" s="45" t="str">
        <f t="shared" si="1"/>
        <v/>
      </c>
      <c r="G15" s="191" t="str">
        <f>IF(AND($C15="",$C14&lt;&gt;""),"Tổng Cộng",IFERROR(VLOOKUP($A15,Sheet1!$A$1:$D$98,4,0),""))</f>
        <v/>
      </c>
      <c r="H15" s="181" t="str">
        <f>IF($C14=MAX($C$8:$C$56),SUM($H$8:$H14),IFERROR($G15*$F15,""))</f>
        <v/>
      </c>
      <c r="I15" s="80" t="str">
        <f t="shared" si="2"/>
        <v/>
      </c>
      <c r="L15" s="46"/>
    </row>
    <row r="16" spans="1:14" s="44" customFormat="1" ht="14.25" customHeight="1" x14ac:dyDescent="0.25">
      <c r="A16" s="183" t="s">
        <v>298</v>
      </c>
      <c r="B16" s="183"/>
      <c r="C16" s="45" t="str">
        <f t="shared" si="0"/>
        <v/>
      </c>
      <c r="D16" s="179" t="str">
        <f>IFERROR(VLOOKUP($A16,Sheet1!$A$1:$B$98,2,0),"")</f>
        <v/>
      </c>
      <c r="E16" s="45" t="str">
        <f>IFERROR(VLOOKUP($A16,'Tổng Đơn'!$A$5:$E$79,5,0),"")</f>
        <v/>
      </c>
      <c r="F16" s="45" t="str">
        <f t="shared" si="1"/>
        <v/>
      </c>
      <c r="G16" s="191" t="str">
        <f>IF(AND($C16="",$C15&lt;&gt;""),"Tổng Cộng",IFERROR(VLOOKUP($A16,Sheet1!$A$1:$D$98,4,0),""))</f>
        <v/>
      </c>
      <c r="H16" s="181" t="str">
        <f>IF($C15=MAX($C$8:$C$56),SUM($H$8:$H15),IFERROR($G16*$F16,""))</f>
        <v/>
      </c>
      <c r="I16" s="80" t="str">
        <f t="shared" si="2"/>
        <v/>
      </c>
      <c r="L16" s="46"/>
    </row>
    <row r="17" spans="1:12" s="44" customFormat="1" ht="14.25" customHeight="1" x14ac:dyDescent="0.25">
      <c r="A17" s="183" t="s">
        <v>298</v>
      </c>
      <c r="B17" s="183"/>
      <c r="C17" s="45" t="str">
        <f t="shared" si="0"/>
        <v/>
      </c>
      <c r="D17" s="190" t="str">
        <f>IFERROR(VLOOKUP($A17,Sheet1!$A$1:$B$98,2,0),"")</f>
        <v/>
      </c>
      <c r="E17" s="45" t="str">
        <f>IFERROR(VLOOKUP($A17,'Tổng Đơn'!$A$5:$E$79,5,0),"")</f>
        <v/>
      </c>
      <c r="F17" s="45" t="str">
        <f t="shared" si="1"/>
        <v/>
      </c>
      <c r="G17" s="191" t="str">
        <f>IF(AND($C17="",$C16&lt;&gt;""),"Tổng Cộng",IFERROR(VLOOKUP($A17,Sheet1!$A$1:$D$98,4,0),""))</f>
        <v/>
      </c>
      <c r="H17" s="181" t="str">
        <f>IF($C16=MAX($C$8:$C$56),SUM($H$8:$H16),IFERROR($G17*$F17,""))</f>
        <v/>
      </c>
      <c r="I17" s="80" t="str">
        <f t="shared" si="2"/>
        <v/>
      </c>
      <c r="L17" s="46"/>
    </row>
    <row r="18" spans="1:12" s="44" customFormat="1" ht="14.25" customHeight="1" x14ac:dyDescent="0.25">
      <c r="A18" s="183" t="s">
        <v>298</v>
      </c>
      <c r="B18" s="183"/>
      <c r="C18" s="45" t="str">
        <f t="shared" si="0"/>
        <v/>
      </c>
      <c r="D18" s="190" t="str">
        <f>IFERROR(VLOOKUP($A18,Sheet1!$A$1:$B$98,2,0),"")</f>
        <v/>
      </c>
      <c r="E18" s="45" t="str">
        <f>IFERROR(VLOOKUP($A18,'Tổng Đơn'!$A$5:$E$79,5,0),"")</f>
        <v/>
      </c>
      <c r="F18" s="45" t="str">
        <f t="shared" si="1"/>
        <v/>
      </c>
      <c r="G18" s="191" t="str">
        <f>IF(AND($C18="",$C17&lt;&gt;""),"Tổng Cộng",IFERROR(VLOOKUP($A18,Sheet1!$A$1:$D$98,4,0),""))</f>
        <v/>
      </c>
      <c r="H18" s="181" t="str">
        <f>IF($C17=MAX($C$8:$C$56),SUM($H$8:$H17),IFERROR($G18*$F18,""))</f>
        <v/>
      </c>
      <c r="I18" s="80" t="str">
        <f t="shared" si="2"/>
        <v/>
      </c>
      <c r="L18" s="46"/>
    </row>
    <row r="19" spans="1:12" s="44" customFormat="1" ht="14.25" customHeight="1" x14ac:dyDescent="0.25">
      <c r="A19" s="183" t="s">
        <v>298</v>
      </c>
      <c r="B19" s="183"/>
      <c r="C19" s="45" t="str">
        <f t="shared" si="0"/>
        <v/>
      </c>
      <c r="D19" s="190" t="str">
        <f>IFERROR(VLOOKUP($A19,Sheet1!$A$1:$B$98,2,0),"")</f>
        <v/>
      </c>
      <c r="E19" s="45" t="str">
        <f>IFERROR(VLOOKUP($A19,'Tổng Đơn'!$A$5:$E$79,5,0),"")</f>
        <v/>
      </c>
      <c r="F19" s="45" t="str">
        <f t="shared" si="1"/>
        <v/>
      </c>
      <c r="G19" s="191" t="str">
        <f>IF(AND($C19="",$C18&lt;&gt;""),"Tổng Cộng",IFERROR(VLOOKUP($A19,Sheet1!$A$1:$D$98,4,0),""))</f>
        <v/>
      </c>
      <c r="H19" s="181" t="str">
        <f>IF($C18=MAX($C$8:$C$56),SUM($H$8:$H18),IFERROR($G19*$F19,""))</f>
        <v/>
      </c>
      <c r="I19" s="80" t="str">
        <f t="shared" si="2"/>
        <v/>
      </c>
      <c r="L19" s="46"/>
    </row>
    <row r="20" spans="1:12" s="44" customFormat="1" ht="14.25" customHeight="1" x14ac:dyDescent="0.25">
      <c r="A20" s="183" t="s">
        <v>298</v>
      </c>
      <c r="B20" s="183"/>
      <c r="C20" s="45" t="str">
        <f t="shared" si="0"/>
        <v/>
      </c>
      <c r="D20" s="190" t="str">
        <f>IFERROR(VLOOKUP($A20,Sheet1!$A$1:$B$98,2,0),"")</f>
        <v/>
      </c>
      <c r="E20" s="45" t="str">
        <f>IFERROR(VLOOKUP($A20,'Tổng Đơn'!$A$5:$E$79,5,0),"")</f>
        <v/>
      </c>
      <c r="F20" s="45" t="str">
        <f t="shared" si="1"/>
        <v/>
      </c>
      <c r="G20" s="191" t="str">
        <f>IF(AND($C20="",$C19&lt;&gt;""),"Tổng Cộng",IFERROR(VLOOKUP($A20,Sheet1!$A$1:$D$98,4,0),""))</f>
        <v/>
      </c>
      <c r="H20" s="181" t="str">
        <f>IF($C19=MAX($C$8:$C$56),SUM($H$8:$H19),IFERROR($G20*$F20,""))</f>
        <v/>
      </c>
      <c r="I20" s="80" t="str">
        <f t="shared" si="2"/>
        <v/>
      </c>
      <c r="L20" s="46"/>
    </row>
    <row r="21" spans="1:12" s="44" customFormat="1" ht="14.25" customHeight="1" x14ac:dyDescent="0.25">
      <c r="A21" s="183" t="s">
        <v>298</v>
      </c>
      <c r="B21" s="183"/>
      <c r="C21" s="45" t="str">
        <f t="shared" si="0"/>
        <v/>
      </c>
      <c r="D21" s="190" t="str">
        <f>IFERROR(VLOOKUP($A21,Sheet1!$A$1:$B$98,2,0),"")</f>
        <v/>
      </c>
      <c r="E21" s="45" t="str">
        <f>IFERROR(VLOOKUP($A21,'Tổng Đơn'!$A$5:$E$79,5,0),"")</f>
        <v/>
      </c>
      <c r="F21" s="45" t="str">
        <f t="shared" si="1"/>
        <v/>
      </c>
      <c r="G21" s="191" t="str">
        <f>IF(AND($C21="",$C20&lt;&gt;""),"Tổng Cộng",IFERROR(VLOOKUP($A21,Sheet1!$A$1:$D$98,4,0),""))</f>
        <v/>
      </c>
      <c r="H21" s="181" t="str">
        <f>IF($C20=MAX($C$8:$C$56),SUM($H$8:$H20),IFERROR($G21*$F21,""))</f>
        <v/>
      </c>
      <c r="I21" s="80" t="str">
        <f t="shared" si="2"/>
        <v/>
      </c>
      <c r="L21" s="46"/>
    </row>
    <row r="22" spans="1:12" s="44" customFormat="1" ht="14.25" customHeight="1" x14ac:dyDescent="0.25">
      <c r="A22" s="183" t="s">
        <v>298</v>
      </c>
      <c r="B22" s="183"/>
      <c r="C22" s="45" t="str">
        <f t="shared" si="0"/>
        <v/>
      </c>
      <c r="D22" s="179" t="str">
        <f>IFERROR(VLOOKUP($A22,Sheet1!$A$1:$B$98,2,0),"")</f>
        <v/>
      </c>
      <c r="E22" s="45" t="str">
        <f>IFERROR(VLOOKUP($A22,'Tổng Đơn'!$A$5:$E$79,5,0),"")</f>
        <v/>
      </c>
      <c r="F22" s="45" t="str">
        <f t="shared" si="1"/>
        <v/>
      </c>
      <c r="G22" s="191" t="str">
        <f>IF(AND($C22="",$C21&lt;&gt;""),"Tổng Cộng",IFERROR(VLOOKUP($A22,Sheet1!$A$1:$D$98,4,0),""))</f>
        <v/>
      </c>
      <c r="H22" s="181" t="str">
        <f>IF($C21=MAX($C$8:$C$56),SUM($H$8:$H21),IFERROR($G22*$F22,""))</f>
        <v/>
      </c>
      <c r="I22" s="80" t="str">
        <f t="shared" si="2"/>
        <v/>
      </c>
      <c r="L22" s="46"/>
    </row>
    <row r="23" spans="1:12" s="44" customFormat="1" ht="14.25" customHeight="1" x14ac:dyDescent="0.25">
      <c r="A23" s="183" t="s">
        <v>298</v>
      </c>
      <c r="B23" s="183"/>
      <c r="C23" s="45" t="str">
        <f t="shared" si="0"/>
        <v/>
      </c>
      <c r="D23" s="179" t="str">
        <f>IFERROR(VLOOKUP($A23,Sheet1!$A$1:$B$98,2,0),"")</f>
        <v/>
      </c>
      <c r="E23" s="45" t="str">
        <f>IFERROR(VLOOKUP($A23,'Tổng Đơn'!$A$5:$E$79,5,0),"")</f>
        <v/>
      </c>
      <c r="F23" s="45" t="str">
        <f t="shared" si="1"/>
        <v/>
      </c>
      <c r="G23" s="191" t="str">
        <f>IF(AND($C23="",$C22&lt;&gt;""),"Tổng Cộng",IFERROR(VLOOKUP($A23,Sheet1!$A$1:$D$98,4,0),""))</f>
        <v/>
      </c>
      <c r="H23" s="181" t="str">
        <f>IF($C22=MAX($C$8:$C$56),SUM($H$8:$H22),IFERROR($G23*$F23,""))</f>
        <v/>
      </c>
      <c r="I23" s="80" t="str">
        <f t="shared" si="2"/>
        <v/>
      </c>
      <c r="L23" s="46"/>
    </row>
    <row r="24" spans="1:12" s="44" customFormat="1" ht="14.25" customHeight="1" x14ac:dyDescent="0.25">
      <c r="A24" s="183" t="s">
        <v>298</v>
      </c>
      <c r="B24" s="183"/>
      <c r="C24" s="45" t="str">
        <f t="shared" si="0"/>
        <v/>
      </c>
      <c r="D24" s="179" t="str">
        <f>IFERROR(VLOOKUP($A24,Sheet1!$A$1:$B$98,2,0),"")</f>
        <v/>
      </c>
      <c r="E24" s="45" t="str">
        <f>IFERROR(VLOOKUP($A24,'Tổng Đơn'!$A$5:$E$79,5,0),"")</f>
        <v/>
      </c>
      <c r="F24" s="45" t="str">
        <f t="shared" si="1"/>
        <v/>
      </c>
      <c r="G24" s="191" t="str">
        <f>IF(AND($C24="",$C23&lt;&gt;""),"Tổng Cộng",IFERROR(VLOOKUP($A24,Sheet1!$A$1:$D$98,4,0),""))</f>
        <v/>
      </c>
      <c r="H24" s="181" t="str">
        <f>IF($C23=MAX($C$8:$C$56),SUM($H$8:$H23),IFERROR($G24*$F24,""))</f>
        <v/>
      </c>
      <c r="I24" s="80" t="str">
        <f t="shared" si="2"/>
        <v/>
      </c>
      <c r="L24" s="46"/>
    </row>
    <row r="25" spans="1:12" s="44" customFormat="1" ht="14.25" customHeight="1" x14ac:dyDescent="0.25">
      <c r="A25" s="183" t="s">
        <v>298</v>
      </c>
      <c r="B25" s="183"/>
      <c r="C25" s="45" t="str">
        <f t="shared" si="0"/>
        <v/>
      </c>
      <c r="D25" s="179" t="str">
        <f>IFERROR(VLOOKUP($A25,Sheet1!$A$1:$B$98,2,0),"")</f>
        <v/>
      </c>
      <c r="E25" s="45" t="str">
        <f>IFERROR(VLOOKUP($A25,'Tổng Đơn'!$A$5:$E$79,5,0),"")</f>
        <v/>
      </c>
      <c r="F25" s="45" t="str">
        <f t="shared" si="1"/>
        <v/>
      </c>
      <c r="G25" s="191" t="str">
        <f>IF(AND($C25="",$C24&lt;&gt;""),"Tổng Cộng",IFERROR(VLOOKUP($A25,Sheet1!$A$1:$D$98,4,0),""))</f>
        <v/>
      </c>
      <c r="H25" s="181" t="str">
        <f>IF($C24=MAX($C$8:$C$56),SUM($H$8:$H24),IFERROR($G25*$F25,""))</f>
        <v/>
      </c>
      <c r="I25" s="80" t="str">
        <f t="shared" si="2"/>
        <v/>
      </c>
      <c r="L25" s="46"/>
    </row>
    <row r="26" spans="1:12" s="44" customFormat="1" ht="14.25" customHeight="1" x14ac:dyDescent="0.25">
      <c r="A26" s="183" t="s">
        <v>298</v>
      </c>
      <c r="B26" s="183"/>
      <c r="C26" s="45" t="str">
        <f t="shared" si="0"/>
        <v/>
      </c>
      <c r="D26" s="179" t="str">
        <f>IFERROR(VLOOKUP($A26,Sheet1!$A$1:$B$98,2,0),"")</f>
        <v/>
      </c>
      <c r="E26" s="45" t="str">
        <f>IFERROR(VLOOKUP($A26,'Tổng Đơn'!$A$5:$E$79,5,0),"")</f>
        <v/>
      </c>
      <c r="F26" s="45" t="str">
        <f t="shared" si="1"/>
        <v/>
      </c>
      <c r="G26" s="191" t="str">
        <f>IF(AND($C26="",$C25&lt;&gt;""),"Tổng Cộng",IFERROR(VLOOKUP($A26,Sheet1!$A$1:$D$98,4,0),""))</f>
        <v/>
      </c>
      <c r="H26" s="181" t="str">
        <f>IF($C25=MAX($C$8:$C$56),SUM($H$8:$H25),IFERROR($G26*$F26,""))</f>
        <v/>
      </c>
      <c r="I26" s="80" t="str">
        <f t="shared" si="2"/>
        <v/>
      </c>
      <c r="L26" s="46"/>
    </row>
    <row r="27" spans="1:12" s="44" customFormat="1" ht="14.25" customHeight="1" x14ac:dyDescent="0.25">
      <c r="A27" s="183" t="s">
        <v>298</v>
      </c>
      <c r="B27" s="183"/>
      <c r="C27" s="45" t="str">
        <f t="shared" si="0"/>
        <v/>
      </c>
      <c r="D27" s="179" t="str">
        <f>IFERROR(VLOOKUP($A27,Sheet1!$A$1:$B$98,2,0),"")</f>
        <v/>
      </c>
      <c r="E27" s="45" t="str">
        <f>IFERROR(VLOOKUP($A27,'Tổng Đơn'!$A$5:$E$79,5,0),"")</f>
        <v/>
      </c>
      <c r="F27" s="45" t="str">
        <f t="shared" si="1"/>
        <v/>
      </c>
      <c r="G27" s="191" t="str">
        <f>IF(AND($C27="",$C26&lt;&gt;""),"Tổng Cộng",IFERROR(VLOOKUP($A27,Sheet1!$A$1:$D$98,4,0),""))</f>
        <v/>
      </c>
      <c r="H27" s="181" t="str">
        <f>IF($C26=MAX($C$8:$C$56),SUM($H$8:$H26),IFERROR($G27*$F27,""))</f>
        <v/>
      </c>
      <c r="I27" s="80" t="str">
        <f t="shared" si="2"/>
        <v/>
      </c>
      <c r="L27" s="46"/>
    </row>
    <row r="28" spans="1:12" s="44" customFormat="1" ht="14.25" customHeight="1" x14ac:dyDescent="0.25">
      <c r="A28" s="183" t="s">
        <v>298</v>
      </c>
      <c r="B28" s="183"/>
      <c r="C28" s="45" t="str">
        <f t="shared" si="0"/>
        <v/>
      </c>
      <c r="D28" s="179" t="str">
        <f>IFERROR(VLOOKUP($A28,Sheet1!$A$1:$B$98,2,0),"")</f>
        <v/>
      </c>
      <c r="E28" s="45" t="str">
        <f>IFERROR(VLOOKUP($A28,'Tổng Đơn'!$A$5:$E$79,5,0),"")</f>
        <v/>
      </c>
      <c r="F28" s="45" t="str">
        <f t="shared" si="1"/>
        <v/>
      </c>
      <c r="G28" s="191" t="str">
        <f>IF(AND($C28="",$C27&lt;&gt;""),"Tổng Cộng",IFERROR(VLOOKUP($A28,Sheet1!$A$1:$D$98,4,0),""))</f>
        <v/>
      </c>
      <c r="H28" s="181" t="str">
        <f>IF($C27=MAX($C$8:$C$56),SUM($H$8:$H27),IFERROR($G28*$F28,""))</f>
        <v/>
      </c>
      <c r="I28" s="80" t="str">
        <f t="shared" si="2"/>
        <v/>
      </c>
      <c r="L28" s="46"/>
    </row>
    <row r="29" spans="1:12" s="44" customFormat="1" ht="14.25" customHeight="1" x14ac:dyDescent="0.25">
      <c r="A29" s="183" t="s">
        <v>298</v>
      </c>
      <c r="B29" s="183"/>
      <c r="C29" s="45" t="str">
        <f t="shared" si="0"/>
        <v/>
      </c>
      <c r="D29" s="179" t="str">
        <f>IFERROR(VLOOKUP($A29,Sheet1!$A$1:$B$98,2,0),"")</f>
        <v/>
      </c>
      <c r="E29" s="45" t="str">
        <f>IFERROR(VLOOKUP($A29,'Tổng Đơn'!$A$5:$E$79,5,0),"")</f>
        <v/>
      </c>
      <c r="F29" s="45" t="str">
        <f t="shared" si="1"/>
        <v/>
      </c>
      <c r="G29" s="191" t="str">
        <f>IF(AND($C29="",$C28&lt;&gt;""),"Tổng Cộng",IFERROR(VLOOKUP($A29,Sheet1!$A$1:$D$98,4,0),""))</f>
        <v/>
      </c>
      <c r="H29" s="181" t="str">
        <f>IF($C28=MAX($C$8:$C$56),SUM($H$8:$H28),IFERROR($G29*$F29,""))</f>
        <v/>
      </c>
      <c r="I29" s="80" t="str">
        <f t="shared" si="2"/>
        <v/>
      </c>
      <c r="L29" s="46"/>
    </row>
    <row r="30" spans="1:12" s="44" customFormat="1" ht="14.25" customHeight="1" x14ac:dyDescent="0.25">
      <c r="A30" s="183" t="s">
        <v>298</v>
      </c>
      <c r="B30" s="183"/>
      <c r="C30" s="45" t="str">
        <f t="shared" si="0"/>
        <v/>
      </c>
      <c r="D30" s="179" t="str">
        <f>IFERROR(VLOOKUP($A30,Sheet1!$A$1:$B$98,2,0),"")</f>
        <v/>
      </c>
      <c r="E30" s="45" t="str">
        <f>IFERROR(VLOOKUP($A30,'Tổng Đơn'!$A$5:$E$79,5,0),"")</f>
        <v/>
      </c>
      <c r="F30" s="45" t="str">
        <f t="shared" si="1"/>
        <v/>
      </c>
      <c r="G30" s="191" t="str">
        <f>IF(AND($C30="",$C29&lt;&gt;""),"Tổng Cộng",IFERROR(VLOOKUP($A30,Sheet1!$A$1:$D$98,4,0),""))</f>
        <v/>
      </c>
      <c r="H30" s="181" t="str">
        <f>IF($C29=MAX($C$8:$C$56),SUM($H$8:$H29),IFERROR($G30*$F30,""))</f>
        <v/>
      </c>
      <c r="I30" s="80" t="str">
        <f t="shared" si="2"/>
        <v/>
      </c>
      <c r="L30" s="46"/>
    </row>
    <row r="31" spans="1:12" s="44" customFormat="1" ht="14.25" customHeight="1" x14ac:dyDescent="0.25">
      <c r="A31" s="183" t="s">
        <v>298</v>
      </c>
      <c r="B31" s="183"/>
      <c r="C31" s="45" t="str">
        <f t="shared" si="0"/>
        <v/>
      </c>
      <c r="D31" s="179" t="str">
        <f>IFERROR(VLOOKUP($A31,Sheet1!$A$1:$B$98,2,0),"")</f>
        <v/>
      </c>
      <c r="E31" s="45" t="str">
        <f>IFERROR(VLOOKUP($A31,'Tổng Đơn'!$A$5:$E$79,5,0),"")</f>
        <v/>
      </c>
      <c r="F31" s="45" t="str">
        <f t="shared" si="1"/>
        <v/>
      </c>
      <c r="G31" s="191" t="str">
        <f>IF(AND($C31="",$C30&lt;&gt;""),"Tổng Cộng",IFERROR(VLOOKUP($A31,Sheet1!$A$1:$D$98,4,0),""))</f>
        <v/>
      </c>
      <c r="H31" s="181" t="str">
        <f>IF($C30=MAX($C$8:$C$56),SUM($H$8:$H30),IFERROR($G31*$F31,""))</f>
        <v/>
      </c>
      <c r="I31" s="80" t="str">
        <f t="shared" si="2"/>
        <v/>
      </c>
      <c r="L31" s="46"/>
    </row>
    <row r="32" spans="1:12" s="44" customFormat="1" ht="14.25" customHeight="1" x14ac:dyDescent="0.25">
      <c r="A32" s="183" t="s">
        <v>298</v>
      </c>
      <c r="B32" s="183"/>
      <c r="C32" s="45" t="str">
        <f t="shared" si="0"/>
        <v/>
      </c>
      <c r="D32" s="179" t="str">
        <f>IFERROR(VLOOKUP($A32,Sheet1!$A$1:$B$98,2,0),"")</f>
        <v/>
      </c>
      <c r="E32" s="45" t="str">
        <f>IFERROR(VLOOKUP($A32,'Tổng Đơn'!$A$5:$E$79,5,0),"")</f>
        <v/>
      </c>
      <c r="F32" s="45" t="str">
        <f t="shared" si="1"/>
        <v/>
      </c>
      <c r="G32" s="191" t="str">
        <f>IF(AND($C32="",$C31&lt;&gt;""),"Tổng Cộng",IFERROR(VLOOKUP($A32,Sheet1!$A$1:$D$98,4,0),""))</f>
        <v/>
      </c>
      <c r="H32" s="181" t="str">
        <f>IF($C31=MAX($C$8:$C$56),SUM($H$8:$H31),IFERROR($G32*$F32,""))</f>
        <v/>
      </c>
      <c r="I32" s="80" t="str">
        <f t="shared" si="2"/>
        <v/>
      </c>
      <c r="L32" s="46"/>
    </row>
    <row r="33" spans="1:12" s="44" customFormat="1" ht="14.25" customHeight="1" x14ac:dyDescent="0.25">
      <c r="A33" s="183" t="s">
        <v>298</v>
      </c>
      <c r="B33" s="183"/>
      <c r="C33" s="45" t="str">
        <f t="shared" si="0"/>
        <v/>
      </c>
      <c r="D33" s="179" t="str">
        <f>IFERROR(VLOOKUP($A33,Sheet1!$A$1:$B$98,2,0),"")</f>
        <v/>
      </c>
      <c r="E33" s="45" t="str">
        <f>IFERROR(VLOOKUP($A33,'Tổng Đơn'!$A$5:$E$79,5,0),"")</f>
        <v/>
      </c>
      <c r="F33" s="45" t="str">
        <f t="shared" si="1"/>
        <v/>
      </c>
      <c r="G33" s="191" t="str">
        <f>IF(AND($C33="",$C32&lt;&gt;""),"Tổng Cộng",IFERROR(VLOOKUP($A33,Sheet1!$A$1:$D$98,4,0),""))</f>
        <v/>
      </c>
      <c r="H33" s="181" t="str">
        <f>IF($C32=MAX($C$8:$C$56),SUM($H$8:$H32),IFERROR($G33*$F33,""))</f>
        <v/>
      </c>
      <c r="I33" s="80" t="str">
        <f t="shared" si="2"/>
        <v/>
      </c>
      <c r="L33" s="46"/>
    </row>
    <row r="34" spans="1:12" s="44" customFormat="1" ht="14.25" customHeight="1" x14ac:dyDescent="0.25">
      <c r="A34" s="183" t="s">
        <v>298</v>
      </c>
      <c r="B34" s="183"/>
      <c r="C34" s="45" t="str">
        <f t="shared" si="0"/>
        <v/>
      </c>
      <c r="D34" s="179" t="str">
        <f>IFERROR(VLOOKUP($A34,Sheet1!$A$1:$B$98,2,0),"")</f>
        <v/>
      </c>
      <c r="E34" s="45" t="str">
        <f>IFERROR(VLOOKUP($A34,'Tổng Đơn'!$A$5:$E$79,5,0),"")</f>
        <v/>
      </c>
      <c r="F34" s="45" t="str">
        <f t="shared" si="1"/>
        <v/>
      </c>
      <c r="G34" s="191" t="str">
        <f>IF(AND($C34="",$C33&lt;&gt;""),"Tổng Cộng",IFERROR(VLOOKUP($A34,Sheet1!$A$1:$D$98,4,0),""))</f>
        <v/>
      </c>
      <c r="H34" s="181" t="str">
        <f>IF($C33=MAX($C$8:$C$56),SUM($H$8:$H33),IFERROR($G34*$F34,""))</f>
        <v/>
      </c>
      <c r="I34" s="80" t="str">
        <f t="shared" si="2"/>
        <v/>
      </c>
      <c r="L34" s="46"/>
    </row>
    <row r="35" spans="1:12" s="44" customFormat="1" ht="14.25" customHeight="1" x14ac:dyDescent="0.25">
      <c r="A35" s="183" t="s">
        <v>298</v>
      </c>
      <c r="B35" s="183"/>
      <c r="C35" s="45" t="str">
        <f t="shared" si="0"/>
        <v/>
      </c>
      <c r="D35" s="179" t="str">
        <f>IFERROR(VLOOKUP($A35,Sheet1!$A$1:$B$98,2,0),"")</f>
        <v/>
      </c>
      <c r="E35" s="45" t="str">
        <f>IFERROR(VLOOKUP($A35,'Tổng Đơn'!$A$5:$E$79,5,0),"")</f>
        <v/>
      </c>
      <c r="F35" s="45" t="str">
        <f t="shared" si="1"/>
        <v/>
      </c>
      <c r="G35" s="191" t="str">
        <f>IF(AND($C35="",$C34&lt;&gt;""),"Tổng Cộng",IFERROR(VLOOKUP($A35,Sheet1!$A$1:$D$98,4,0),""))</f>
        <v/>
      </c>
      <c r="H35" s="181" t="str">
        <f>IF($C34=MAX($C$8:$C$56),SUM($H$8:$H34),IFERROR($G35*$F35,""))</f>
        <v/>
      </c>
      <c r="I35" s="80" t="str">
        <f t="shared" si="2"/>
        <v/>
      </c>
      <c r="L35" s="46"/>
    </row>
    <row r="36" spans="1:12" s="44" customFormat="1" ht="14.25" customHeight="1" x14ac:dyDescent="0.25">
      <c r="A36" s="183" t="s">
        <v>298</v>
      </c>
      <c r="B36" s="183"/>
      <c r="C36" s="45" t="str">
        <f t="shared" si="0"/>
        <v/>
      </c>
      <c r="D36" s="179" t="str">
        <f>IFERROR(VLOOKUP($A36,Sheet1!$A$1:$B$98,2,0),"")</f>
        <v/>
      </c>
      <c r="E36" s="45" t="str">
        <f>IFERROR(VLOOKUP($A36,'Tổng Đơn'!$A$5:$E$79,5,0),"")</f>
        <v/>
      </c>
      <c r="F36" s="45" t="str">
        <f t="shared" si="1"/>
        <v/>
      </c>
      <c r="G36" s="191" t="str">
        <f>IF(AND($C36="",$C35&lt;&gt;""),"Tổng Cộng",IFERROR(VLOOKUP($A36,Sheet1!$A$1:$D$98,4,0),""))</f>
        <v/>
      </c>
      <c r="H36" s="181" t="str">
        <f>IF($C35=MAX($C$8:$C$56),SUM($H$8:$H35),IFERROR($G36*$F36,""))</f>
        <v/>
      </c>
      <c r="I36" s="80" t="str">
        <f t="shared" si="2"/>
        <v/>
      </c>
      <c r="L36" s="46"/>
    </row>
    <row r="37" spans="1:12" s="44" customFormat="1" ht="14.25" customHeight="1" x14ac:dyDescent="0.25">
      <c r="A37" s="183" t="s">
        <v>298</v>
      </c>
      <c r="B37" s="183"/>
      <c r="C37" s="45" t="str">
        <f t="shared" si="0"/>
        <v/>
      </c>
      <c r="D37" s="179" t="str">
        <f>IFERROR(VLOOKUP($A37,Sheet1!$A$1:$B$98,2,0),"")</f>
        <v/>
      </c>
      <c r="E37" s="45" t="str">
        <f>IFERROR(VLOOKUP($A37,'Tổng Đơn'!$A$5:$E$79,5,0),"")</f>
        <v/>
      </c>
      <c r="F37" s="45" t="str">
        <f t="shared" si="1"/>
        <v/>
      </c>
      <c r="G37" s="191" t="str">
        <f>IF(AND($C37="",$C36&lt;&gt;""),"Tổng Cộng",IFERROR(VLOOKUP($A37,Sheet1!$A$1:$D$98,4,0),""))</f>
        <v/>
      </c>
      <c r="H37" s="181" t="str">
        <f>IF($C36=MAX($C$8:$C$56),SUM($H$8:$H36),IFERROR($G37*$F37,""))</f>
        <v/>
      </c>
      <c r="I37" s="80" t="str">
        <f t="shared" si="2"/>
        <v/>
      </c>
      <c r="L37" s="46"/>
    </row>
    <row r="38" spans="1:12" s="44" customFormat="1" ht="14.25" customHeight="1" x14ac:dyDescent="0.25">
      <c r="A38" s="183"/>
      <c r="B38" s="183"/>
      <c r="C38" s="48"/>
      <c r="D38" s="49"/>
      <c r="E38" s="78"/>
      <c r="F38" s="45"/>
      <c r="G38" s="192" t="str">
        <f>IF(AND($C38="",$C37&lt;&gt;""),"Tổng Cộng",IFERROR(VLOOKUP($A38,Sheet1!$A$1:$D$98,4,0),""))</f>
        <v/>
      </c>
      <c r="H38" s="50" t="str">
        <f>IF($C37=MAX($C$8:$C$56),SUM($H$8:$H37),IFERROR($G38*$F38,""))</f>
        <v/>
      </c>
      <c r="I38" s="80"/>
      <c r="L38" s="46"/>
    </row>
    <row r="39" spans="1:12" ht="15" customHeight="1" x14ac:dyDescent="0.25">
      <c r="F39" s="51"/>
      <c r="G39" s="171"/>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H9 C38:E38 C9:G9 F15:H38 D15:E37 D10:H14">
    <cfRule type="expression" dxfId="43" priority="2">
      <formula>$C7=MAX($C$8:$C$37)</formula>
    </cfRule>
  </conditionalFormatting>
  <conditionalFormatting sqref="C10:C37">
    <cfRule type="expression" dxfId="42" priority="1">
      <formula>$C9=MAX($C$8:$C$37)</formula>
    </cfRule>
  </conditionalFormatting>
  <conditionalFormatting sqref="E8:E38">
    <cfRule type="expression" dxfId="41" priority="3">
      <formula>AND($A8="",$F8&lt;&gt;"")</formula>
    </cfRule>
  </conditionalFormatting>
  <conditionalFormatting sqref="F8:F38">
    <cfRule type="expression" dxfId="40"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50529" r:id="rId4" name="Button 1">
              <controlPr defaultSize="0" print="0" autoFill="0" autoPict="0" macro="[0]!Macro4">
                <anchor moveWithCells="1" sizeWithCells="1">
                  <from>
                    <xdr:col>0</xdr:col>
                    <xdr:colOff>0</xdr:colOff>
                    <xdr:row>0</xdr:row>
                    <xdr:rowOff>0</xdr:rowOff>
                  </from>
                  <to>
                    <xdr:col>1</xdr:col>
                    <xdr:colOff>723900</xdr:colOff>
                    <xdr:row>7</xdr:row>
                    <xdr:rowOff>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RowHeight="15" x14ac:dyDescent="0.25"/>
  <cols>
    <col min="1" max="1" width="11.7109375" style="14" customWidth="1"/>
    <col min="2" max="2" width="11.28515625" style="14" customWidth="1"/>
    <col min="3" max="3" width="9.140625" style="14"/>
    <col min="4" max="4" width="38.42578125" style="14" bestFit="1" customWidth="1"/>
    <col min="5" max="5" width="12.28515625" style="79"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33" t="s">
        <v>223</v>
      </c>
      <c r="D1" s="233"/>
      <c r="E1" s="233"/>
      <c r="F1" s="233"/>
      <c r="G1" s="233"/>
      <c r="H1" s="233"/>
    </row>
    <row r="2" spans="1:14" ht="15.75" customHeight="1" x14ac:dyDescent="0.25">
      <c r="C2" s="233"/>
      <c r="D2" s="233"/>
      <c r="E2" s="233"/>
      <c r="F2" s="233"/>
      <c r="G2" s="233"/>
      <c r="H2" s="233"/>
    </row>
    <row r="3" spans="1:14" ht="15" customHeight="1" x14ac:dyDescent="0.25">
      <c r="C3" s="235" t="s">
        <v>225</v>
      </c>
      <c r="D3" s="235"/>
      <c r="E3" s="235"/>
      <c r="F3" s="238" t="s">
        <v>227</v>
      </c>
      <c r="G3" s="238"/>
      <c r="H3" s="238"/>
    </row>
    <row r="4" spans="1:14" x14ac:dyDescent="0.25">
      <c r="C4" s="236" t="s">
        <v>226</v>
      </c>
      <c r="D4" s="236"/>
      <c r="E4" s="236"/>
      <c r="F4" s="239" t="s">
        <v>228</v>
      </c>
      <c r="G4" s="239"/>
      <c r="H4" s="239"/>
    </row>
    <row r="5" spans="1:14" s="172" customFormat="1" ht="21" customHeight="1" x14ac:dyDescent="0.25">
      <c r="C5" s="237" t="s">
        <v>224</v>
      </c>
      <c r="D5" s="237"/>
      <c r="E5" s="237"/>
      <c r="F5" s="237"/>
      <c r="G5" s="237"/>
      <c r="H5" s="237"/>
    </row>
    <row r="6" spans="1:14" s="172" customFormat="1" ht="17.25" customHeight="1" x14ac:dyDescent="0.25">
      <c r="C6" s="182" t="s">
        <v>229</v>
      </c>
      <c r="D6" s="187" t="s">
        <v>309</v>
      </c>
      <c r="E6" s="177"/>
      <c r="F6" s="177"/>
      <c r="G6" s="234" t="str">
        <f ca="1">"Ngày "&amp;DAY(TODAY())&amp;" Tháng "&amp;MONTH(TODAY())&amp;" Năm "&amp;YEAR(TODAY())</f>
        <v>Ngày 14 Tháng 2 Năm 2022</v>
      </c>
      <c r="H6" s="234"/>
    </row>
    <row r="7" spans="1:14" s="176" customFormat="1" ht="24" customHeight="1" x14ac:dyDescent="0.25">
      <c r="A7" s="173" t="s">
        <v>118</v>
      </c>
      <c r="B7" s="173" t="s">
        <v>16</v>
      </c>
      <c r="C7" s="174" t="s">
        <v>0</v>
      </c>
      <c r="D7" s="174" t="s">
        <v>17</v>
      </c>
      <c r="E7" s="178" t="str">
        <f>"Quy cách"&amp;CHAR(10)&amp;"(Kg)"</f>
        <v>Quy cách
(Kg)</v>
      </c>
      <c r="F7" s="174" t="s">
        <v>16</v>
      </c>
      <c r="G7" s="174" t="s">
        <v>18</v>
      </c>
      <c r="H7" s="174" t="s">
        <v>19</v>
      </c>
      <c r="I7" s="175">
        <f>SUBTOTAL(9,I8:I37)</f>
        <v>0.5</v>
      </c>
      <c r="L7" s="172"/>
    </row>
    <row r="8" spans="1:14" s="44" customFormat="1" ht="14.25" customHeight="1" x14ac:dyDescent="0.25">
      <c r="A8" s="183">
        <v>55</v>
      </c>
      <c r="B8" s="183">
        <v>1</v>
      </c>
      <c r="C8" s="45">
        <f t="shared" ref="C8:C37" si="0">IF(OR(SUM($C7,$A8&lt;&gt;"")=0,$A8=""),"",SUM($C7,$A8&lt;&gt;""))</f>
        <v>1</v>
      </c>
      <c r="D8" s="179" t="str">
        <f>IFERROR(VLOOKUP($A8,Sheet1!$A$1:$B$98,2,0),"")</f>
        <v>Đậu hủ phô mai EB</v>
      </c>
      <c r="E8" s="180">
        <f>IFERROR(VLOOKUP($A8,'Tổng Đơn'!$A$5:$E$79,5,0),"")</f>
        <v>0.5</v>
      </c>
      <c r="F8" s="45">
        <f t="shared" ref="F8:F37" si="1">IF($B8="","",B8)</f>
        <v>1</v>
      </c>
      <c r="G8" s="191">
        <f>IFERROR(VLOOKUP($A8,Sheet1!$A1:$D$98,4,0),"")</f>
        <v>80000</v>
      </c>
      <c r="H8" s="181">
        <f>IF($C7=MAX($C$8:$C$56),SUM($H7:$H$8),IFERROR($G8*$F8,""))</f>
        <v>80000</v>
      </c>
      <c r="I8" s="80">
        <f t="shared" ref="I8:I37" si="2">IF(TYPE($A8)&lt;&gt;1,"",IFERROR(F8*E8,""))</f>
        <v>0.5</v>
      </c>
      <c r="L8" s="47"/>
    </row>
    <row r="9" spans="1:14" s="44" customFormat="1" ht="14.25" customHeight="1" x14ac:dyDescent="0.25">
      <c r="A9" s="183" t="s">
        <v>215</v>
      </c>
      <c r="B9" s="183">
        <v>1.4</v>
      </c>
      <c r="C9" s="45">
        <f t="shared" si="0"/>
        <v>2</v>
      </c>
      <c r="D9" s="179" t="str">
        <f>IFERROR(VLOOKUP($A9,Sheet1!$A$1:$B$98,2,0),"")</f>
        <v>0-Đùi tỏi Gà</v>
      </c>
      <c r="E9" s="45">
        <f>IFERROR(VLOOKUP($A9,'Tổng Đơn'!$A$5:$E$79,5,0),"")</f>
        <v>1</v>
      </c>
      <c r="F9" s="45">
        <f t="shared" si="1"/>
        <v>1.4</v>
      </c>
      <c r="G9" s="191">
        <f>IF(AND($C9="",$C8&lt;&gt;""),"Tổng Cộng",IFERROR(VLOOKUP($A9,Sheet1!$A$1:$D$98,4,0),""))</f>
        <v>45000</v>
      </c>
      <c r="H9" s="181">
        <f>IF($C8=MAX($C$8:$C$56),SUM($H$8:$H8),IFERROR($G9*$F9,""))</f>
        <v>62999.999999999993</v>
      </c>
      <c r="I9" s="80" t="str">
        <f t="shared" si="2"/>
        <v/>
      </c>
      <c r="L9" s="46"/>
    </row>
    <row r="10" spans="1:14" s="44" customFormat="1" ht="14.25" customHeight="1" x14ac:dyDescent="0.25">
      <c r="A10" s="183" t="s">
        <v>298</v>
      </c>
      <c r="B10" s="183"/>
      <c r="C10" s="45" t="str">
        <f t="shared" si="0"/>
        <v/>
      </c>
      <c r="D10" s="179" t="str">
        <f>IFERROR(VLOOKUP($A10,Sheet1!$A$1:$B$98,2,0),"")</f>
        <v/>
      </c>
      <c r="E10" s="45" t="str">
        <f>IFERROR(VLOOKUP($A10,'Tổng Đơn'!$A$5:$E$79,5,0),"")</f>
        <v/>
      </c>
      <c r="F10" s="45" t="str">
        <f t="shared" si="1"/>
        <v/>
      </c>
      <c r="G10" s="191" t="str">
        <f>IF(AND($C10="",$C9&lt;&gt;""),"Tổng Cộng",IFERROR(VLOOKUP($A10,Sheet1!$A$1:$D$98,4,0),""))</f>
        <v>Tổng Cộng</v>
      </c>
      <c r="H10" s="181">
        <f>IF($C9=MAX($C$8:$C$56),SUM($H$8:$H9),IFERROR($G10*$F10,""))</f>
        <v>143000</v>
      </c>
      <c r="I10" s="80" t="str">
        <f t="shared" si="2"/>
        <v/>
      </c>
      <c r="L10" s="46"/>
    </row>
    <row r="11" spans="1:14" s="44" customFormat="1" ht="14.25" customHeight="1" x14ac:dyDescent="0.25">
      <c r="A11" s="183" t="s">
        <v>298</v>
      </c>
      <c r="B11" s="183"/>
      <c r="C11" s="45" t="str">
        <f t="shared" si="0"/>
        <v/>
      </c>
      <c r="D11" s="179" t="str">
        <f>IFERROR(VLOOKUP($A11,Sheet1!$A$1:$B$98,2,0),"")</f>
        <v/>
      </c>
      <c r="E11" s="45" t="str">
        <f>IFERROR(VLOOKUP($A11,'Tổng Đơn'!$A$5:$E$79,5,0),"")</f>
        <v/>
      </c>
      <c r="F11" s="45" t="str">
        <f t="shared" si="1"/>
        <v/>
      </c>
      <c r="G11" s="191" t="str">
        <f>IF(AND($C11="",$C10&lt;&gt;""),"Tổng Cộng",IFERROR(VLOOKUP($A11,Sheet1!$A$1:$D$98,4,0),""))</f>
        <v/>
      </c>
      <c r="H11" s="181" t="str">
        <f>IF($C10=MAX($C$8:$C$56),SUM($H$8:$H10),IFERROR($G11*$F11,""))</f>
        <v/>
      </c>
      <c r="I11" s="80" t="str">
        <f t="shared" si="2"/>
        <v/>
      </c>
      <c r="L11" s="46"/>
    </row>
    <row r="12" spans="1:14" s="44" customFormat="1" ht="14.25" customHeight="1" x14ac:dyDescent="0.25">
      <c r="A12" s="183" t="s">
        <v>298</v>
      </c>
      <c r="B12" s="183"/>
      <c r="C12" s="45" t="str">
        <f t="shared" si="0"/>
        <v/>
      </c>
      <c r="D12" s="179" t="str">
        <f>IFERROR(VLOOKUP($A12,Sheet1!$A$1:$B$98,2,0),"")</f>
        <v/>
      </c>
      <c r="E12" s="45" t="str">
        <f>IFERROR(VLOOKUP($A12,'Tổng Đơn'!$A$5:$E$79,5,0),"")</f>
        <v/>
      </c>
      <c r="F12" s="45" t="str">
        <f t="shared" si="1"/>
        <v/>
      </c>
      <c r="G12" s="191" t="str">
        <f>IF(AND($C12="",$C11&lt;&gt;""),"Tổng Cộng",IFERROR(VLOOKUP($A12,Sheet1!$A$1:$D$98,4,0),""))</f>
        <v/>
      </c>
      <c r="H12" s="181" t="str">
        <f>IF($C11=MAX($C$8:$C$56),SUM($H$8:$H11),IFERROR($G12*$F12,""))</f>
        <v/>
      </c>
      <c r="I12" s="80" t="str">
        <f t="shared" si="2"/>
        <v/>
      </c>
      <c r="J12" s="153"/>
      <c r="L12" s="46"/>
      <c r="M12" s="161"/>
      <c r="N12" s="154"/>
    </row>
    <row r="13" spans="1:14" s="44" customFormat="1" ht="14.25" customHeight="1" x14ac:dyDescent="0.25">
      <c r="A13" s="183" t="s">
        <v>298</v>
      </c>
      <c r="B13" s="183"/>
      <c r="C13" s="45" t="str">
        <f t="shared" si="0"/>
        <v/>
      </c>
      <c r="D13" s="179" t="str">
        <f>IFERROR(VLOOKUP($A13,Sheet1!$A$1:$B$98,2,0),"")</f>
        <v/>
      </c>
      <c r="E13" s="45" t="str">
        <f>IFERROR(VLOOKUP($A13,'Tổng Đơn'!$A$5:$E$79,5,0),"")</f>
        <v/>
      </c>
      <c r="F13" s="45" t="str">
        <f t="shared" si="1"/>
        <v/>
      </c>
      <c r="G13" s="191" t="str">
        <f>IF(AND($C13="",$C12&lt;&gt;""),"Tổng Cộng",IFERROR(VLOOKUP($A13,Sheet1!$A$1:$D$98,4,0),""))</f>
        <v/>
      </c>
      <c r="H13" s="181" t="str">
        <f>IF($C12=MAX($C$8:$C$56),SUM($H$8:$H12),IFERROR($G13*$F13,""))</f>
        <v/>
      </c>
      <c r="I13" s="80" t="str">
        <f t="shared" si="2"/>
        <v/>
      </c>
      <c r="L13" s="46"/>
    </row>
    <row r="14" spans="1:14" s="44" customFormat="1" ht="14.25" customHeight="1" x14ac:dyDescent="0.25">
      <c r="A14" s="183" t="s">
        <v>298</v>
      </c>
      <c r="B14" s="183"/>
      <c r="C14" s="45" t="str">
        <f t="shared" si="0"/>
        <v/>
      </c>
      <c r="D14" s="179" t="str">
        <f>IFERROR(VLOOKUP($A14,Sheet1!$A$1:$B$98,2,0),"")</f>
        <v/>
      </c>
      <c r="E14" s="45" t="str">
        <f>IFERROR(VLOOKUP($A14,'Tổng Đơn'!$A$5:$E$79,5,0),"")</f>
        <v/>
      </c>
      <c r="F14" s="45" t="str">
        <f t="shared" si="1"/>
        <v/>
      </c>
      <c r="G14" s="191" t="str">
        <f>IF(AND($C14="",$C13&lt;&gt;""),"Tổng Cộng",IFERROR(VLOOKUP($A14,Sheet1!$A$1:$D$98,4,0),""))</f>
        <v/>
      </c>
      <c r="H14" s="181" t="str">
        <f>IF($C13=MAX($C$8:$C$56),SUM($H$8:$H13),IFERROR($G14*$F14,""))</f>
        <v/>
      </c>
      <c r="I14" s="80" t="str">
        <f t="shared" si="2"/>
        <v/>
      </c>
      <c r="L14" s="46"/>
      <c r="M14" s="162"/>
    </row>
    <row r="15" spans="1:14" s="44" customFormat="1" ht="14.25" customHeight="1" x14ac:dyDescent="0.25">
      <c r="A15" s="183" t="s">
        <v>298</v>
      </c>
      <c r="B15" s="183"/>
      <c r="C15" s="45" t="str">
        <f t="shared" si="0"/>
        <v/>
      </c>
      <c r="D15" s="179" t="str">
        <f>IFERROR(VLOOKUP($A15,Sheet1!$A$1:$B$98,2,0),"")</f>
        <v/>
      </c>
      <c r="E15" s="45" t="str">
        <f>IFERROR(VLOOKUP($A15,'Tổng Đơn'!$A$5:$E$79,5,0),"")</f>
        <v/>
      </c>
      <c r="F15" s="45" t="str">
        <f t="shared" si="1"/>
        <v/>
      </c>
      <c r="G15" s="191" t="str">
        <f>IF(AND($C15="",$C14&lt;&gt;""),"Tổng Cộng",IFERROR(VLOOKUP($A15,Sheet1!$A$1:$D$98,4,0),""))</f>
        <v/>
      </c>
      <c r="H15" s="181" t="str">
        <f>IF($C14=MAX($C$8:$C$56),SUM($H$8:$H14),IFERROR($G15*$F15,""))</f>
        <v/>
      </c>
      <c r="I15" s="80" t="str">
        <f t="shared" si="2"/>
        <v/>
      </c>
      <c r="L15" s="46"/>
    </row>
    <row r="16" spans="1:14" s="44" customFormat="1" ht="14.25" customHeight="1" x14ac:dyDescent="0.25">
      <c r="A16" s="183" t="s">
        <v>298</v>
      </c>
      <c r="B16" s="183"/>
      <c r="C16" s="45" t="str">
        <f t="shared" si="0"/>
        <v/>
      </c>
      <c r="D16" s="179" t="str">
        <f>IFERROR(VLOOKUP($A16,Sheet1!$A$1:$B$98,2,0),"")</f>
        <v/>
      </c>
      <c r="E16" s="45" t="str">
        <f>IFERROR(VLOOKUP($A16,'Tổng Đơn'!$A$5:$E$79,5,0),"")</f>
        <v/>
      </c>
      <c r="F16" s="45" t="str">
        <f t="shared" si="1"/>
        <v/>
      </c>
      <c r="G16" s="191" t="str">
        <f>IF(AND($C16="",$C15&lt;&gt;""),"Tổng Cộng",IFERROR(VLOOKUP($A16,Sheet1!$A$1:$D$98,4,0),""))</f>
        <v/>
      </c>
      <c r="H16" s="181" t="str">
        <f>IF($C15=MAX($C$8:$C$56),SUM($H$8:$H15),IFERROR($G16*$F16,""))</f>
        <v/>
      </c>
      <c r="I16" s="80" t="str">
        <f t="shared" si="2"/>
        <v/>
      </c>
      <c r="L16" s="46"/>
    </row>
    <row r="17" spans="1:12" s="44" customFormat="1" ht="14.25" customHeight="1" x14ac:dyDescent="0.25">
      <c r="A17" s="183" t="s">
        <v>298</v>
      </c>
      <c r="B17" s="183"/>
      <c r="C17" s="45" t="str">
        <f t="shared" si="0"/>
        <v/>
      </c>
      <c r="D17" s="190" t="str">
        <f>IFERROR(VLOOKUP($A17,Sheet1!$A$1:$B$98,2,0),"")</f>
        <v/>
      </c>
      <c r="E17" s="45" t="str">
        <f>IFERROR(VLOOKUP($A17,'Tổng Đơn'!$A$5:$E$79,5,0),"")</f>
        <v/>
      </c>
      <c r="F17" s="45" t="str">
        <f t="shared" si="1"/>
        <v/>
      </c>
      <c r="G17" s="191" t="str">
        <f>IF(AND($C17="",$C16&lt;&gt;""),"Tổng Cộng",IFERROR(VLOOKUP($A17,Sheet1!$A$1:$D$98,4,0),""))</f>
        <v/>
      </c>
      <c r="H17" s="181" t="str">
        <f>IF($C16=MAX($C$8:$C$56),SUM($H$8:$H16),IFERROR($G17*$F17,""))</f>
        <v/>
      </c>
      <c r="I17" s="80" t="str">
        <f t="shared" si="2"/>
        <v/>
      </c>
      <c r="L17" s="46"/>
    </row>
    <row r="18" spans="1:12" s="44" customFormat="1" ht="14.25" customHeight="1" x14ac:dyDescent="0.25">
      <c r="A18" s="183" t="s">
        <v>298</v>
      </c>
      <c r="B18" s="183"/>
      <c r="C18" s="45" t="str">
        <f t="shared" si="0"/>
        <v/>
      </c>
      <c r="D18" s="190" t="str">
        <f>IFERROR(VLOOKUP($A18,Sheet1!$A$1:$B$98,2,0),"")</f>
        <v/>
      </c>
      <c r="E18" s="45" t="str">
        <f>IFERROR(VLOOKUP($A18,'Tổng Đơn'!$A$5:$E$79,5,0),"")</f>
        <v/>
      </c>
      <c r="F18" s="45" t="str">
        <f t="shared" si="1"/>
        <v/>
      </c>
      <c r="G18" s="191" t="str">
        <f>IF(AND($C18="",$C17&lt;&gt;""),"Tổng Cộng",IFERROR(VLOOKUP($A18,Sheet1!$A$1:$D$98,4,0),""))</f>
        <v/>
      </c>
      <c r="H18" s="181" t="str">
        <f>IF($C17=MAX($C$8:$C$56),SUM($H$8:$H17),IFERROR($G18*$F18,""))</f>
        <v/>
      </c>
      <c r="I18" s="80" t="str">
        <f t="shared" si="2"/>
        <v/>
      </c>
      <c r="L18" s="46"/>
    </row>
    <row r="19" spans="1:12" s="44" customFormat="1" ht="14.25" customHeight="1" x14ac:dyDescent="0.25">
      <c r="A19" s="183" t="s">
        <v>298</v>
      </c>
      <c r="B19" s="183"/>
      <c r="C19" s="45" t="str">
        <f t="shared" si="0"/>
        <v/>
      </c>
      <c r="D19" s="190" t="str">
        <f>IFERROR(VLOOKUP($A19,Sheet1!$A$1:$B$98,2,0),"")</f>
        <v/>
      </c>
      <c r="E19" s="45" t="str">
        <f>IFERROR(VLOOKUP($A19,'Tổng Đơn'!$A$5:$E$79,5,0),"")</f>
        <v/>
      </c>
      <c r="F19" s="45" t="str">
        <f t="shared" si="1"/>
        <v/>
      </c>
      <c r="G19" s="191" t="str">
        <f>IF(AND($C19="",$C18&lt;&gt;""),"Tổng Cộng",IFERROR(VLOOKUP($A19,Sheet1!$A$1:$D$98,4,0),""))</f>
        <v/>
      </c>
      <c r="H19" s="181" t="str">
        <f>IF($C18=MAX($C$8:$C$56),SUM($H$8:$H18),IFERROR($G19*$F19,""))</f>
        <v/>
      </c>
      <c r="I19" s="80" t="str">
        <f t="shared" si="2"/>
        <v/>
      </c>
      <c r="L19" s="46"/>
    </row>
    <row r="20" spans="1:12" s="44" customFormat="1" ht="14.25" customHeight="1" x14ac:dyDescent="0.25">
      <c r="A20" s="183" t="s">
        <v>298</v>
      </c>
      <c r="B20" s="183"/>
      <c r="C20" s="45" t="str">
        <f t="shared" si="0"/>
        <v/>
      </c>
      <c r="D20" s="190" t="str">
        <f>IFERROR(VLOOKUP($A20,Sheet1!$A$1:$B$98,2,0),"")</f>
        <v/>
      </c>
      <c r="E20" s="45" t="str">
        <f>IFERROR(VLOOKUP($A20,'Tổng Đơn'!$A$5:$E$79,5,0),"")</f>
        <v/>
      </c>
      <c r="F20" s="45" t="str">
        <f t="shared" si="1"/>
        <v/>
      </c>
      <c r="G20" s="191" t="str">
        <f>IF(AND($C20="",$C19&lt;&gt;""),"Tổng Cộng",IFERROR(VLOOKUP($A20,Sheet1!$A$1:$D$98,4,0),""))</f>
        <v/>
      </c>
      <c r="H20" s="181" t="str">
        <f>IF($C19=MAX($C$8:$C$56),SUM($H$8:$H19),IFERROR($G20*$F20,""))</f>
        <v/>
      </c>
      <c r="I20" s="80" t="str">
        <f t="shared" si="2"/>
        <v/>
      </c>
      <c r="L20" s="46"/>
    </row>
    <row r="21" spans="1:12" s="44" customFormat="1" ht="14.25" customHeight="1" x14ac:dyDescent="0.25">
      <c r="A21" s="183" t="s">
        <v>298</v>
      </c>
      <c r="B21" s="183"/>
      <c r="C21" s="45" t="str">
        <f t="shared" si="0"/>
        <v/>
      </c>
      <c r="D21" s="190" t="str">
        <f>IFERROR(VLOOKUP($A21,Sheet1!$A$1:$B$98,2,0),"")</f>
        <v/>
      </c>
      <c r="E21" s="45" t="str">
        <f>IFERROR(VLOOKUP($A21,'Tổng Đơn'!$A$5:$E$79,5,0),"")</f>
        <v/>
      </c>
      <c r="F21" s="45" t="str">
        <f t="shared" si="1"/>
        <v/>
      </c>
      <c r="G21" s="191" t="str">
        <f>IF(AND($C21="",$C20&lt;&gt;""),"Tổng Cộng",IFERROR(VLOOKUP($A21,Sheet1!$A$1:$D$98,4,0),""))</f>
        <v/>
      </c>
      <c r="H21" s="181" t="str">
        <f>IF($C20=MAX($C$8:$C$56),SUM($H$8:$H20),IFERROR($G21*$F21,""))</f>
        <v/>
      </c>
      <c r="I21" s="80" t="str">
        <f t="shared" si="2"/>
        <v/>
      </c>
      <c r="L21" s="46"/>
    </row>
    <row r="22" spans="1:12" s="44" customFormat="1" ht="14.25" customHeight="1" x14ac:dyDescent="0.25">
      <c r="A22" s="183" t="s">
        <v>298</v>
      </c>
      <c r="B22" s="183"/>
      <c r="C22" s="45" t="str">
        <f t="shared" si="0"/>
        <v/>
      </c>
      <c r="D22" s="179" t="str">
        <f>IFERROR(VLOOKUP($A22,Sheet1!$A$1:$B$98,2,0),"")</f>
        <v/>
      </c>
      <c r="E22" s="45" t="str">
        <f>IFERROR(VLOOKUP($A22,'Tổng Đơn'!$A$5:$E$79,5,0),"")</f>
        <v/>
      </c>
      <c r="F22" s="45" t="str">
        <f t="shared" si="1"/>
        <v/>
      </c>
      <c r="G22" s="191" t="str">
        <f>IF(AND($C22="",$C21&lt;&gt;""),"Tổng Cộng",IFERROR(VLOOKUP($A22,Sheet1!$A$1:$D$98,4,0),""))</f>
        <v/>
      </c>
      <c r="H22" s="181" t="str">
        <f>IF($C21=MAX($C$8:$C$56),SUM($H$8:$H21),IFERROR($G22*$F22,""))</f>
        <v/>
      </c>
      <c r="I22" s="80" t="str">
        <f t="shared" si="2"/>
        <v/>
      </c>
      <c r="L22" s="46"/>
    </row>
    <row r="23" spans="1:12" s="44" customFormat="1" ht="14.25" customHeight="1" x14ac:dyDescent="0.25">
      <c r="A23" s="183" t="s">
        <v>298</v>
      </c>
      <c r="B23" s="183"/>
      <c r="C23" s="45" t="str">
        <f t="shared" si="0"/>
        <v/>
      </c>
      <c r="D23" s="179" t="str">
        <f>IFERROR(VLOOKUP($A23,Sheet1!$A$1:$B$98,2,0),"")</f>
        <v/>
      </c>
      <c r="E23" s="45" t="str">
        <f>IFERROR(VLOOKUP($A23,'Tổng Đơn'!$A$5:$E$79,5,0),"")</f>
        <v/>
      </c>
      <c r="F23" s="45" t="str">
        <f t="shared" si="1"/>
        <v/>
      </c>
      <c r="G23" s="191" t="str">
        <f>IF(AND($C23="",$C22&lt;&gt;""),"Tổng Cộng",IFERROR(VLOOKUP($A23,Sheet1!$A$1:$D$98,4,0),""))</f>
        <v/>
      </c>
      <c r="H23" s="181" t="str">
        <f>IF($C22=MAX($C$8:$C$56),SUM($H$8:$H22),IFERROR($G23*$F23,""))</f>
        <v/>
      </c>
      <c r="I23" s="80" t="str">
        <f t="shared" si="2"/>
        <v/>
      </c>
      <c r="L23" s="46"/>
    </row>
    <row r="24" spans="1:12" s="44" customFormat="1" ht="14.25" customHeight="1" x14ac:dyDescent="0.25">
      <c r="A24" s="183" t="s">
        <v>298</v>
      </c>
      <c r="B24" s="183"/>
      <c r="C24" s="45" t="str">
        <f t="shared" si="0"/>
        <v/>
      </c>
      <c r="D24" s="179" t="str">
        <f>IFERROR(VLOOKUP($A24,Sheet1!$A$1:$B$98,2,0),"")</f>
        <v/>
      </c>
      <c r="E24" s="45" t="str">
        <f>IFERROR(VLOOKUP($A24,'Tổng Đơn'!$A$5:$E$79,5,0),"")</f>
        <v/>
      </c>
      <c r="F24" s="45" t="str">
        <f t="shared" si="1"/>
        <v/>
      </c>
      <c r="G24" s="191" t="str">
        <f>IF(AND($C24="",$C23&lt;&gt;""),"Tổng Cộng",IFERROR(VLOOKUP($A24,Sheet1!$A$1:$D$98,4,0),""))</f>
        <v/>
      </c>
      <c r="H24" s="181" t="str">
        <f>IF($C23=MAX($C$8:$C$56),SUM($H$8:$H23),IFERROR($G24*$F24,""))</f>
        <v/>
      </c>
      <c r="I24" s="80" t="str">
        <f t="shared" si="2"/>
        <v/>
      </c>
      <c r="L24" s="46"/>
    </row>
    <row r="25" spans="1:12" s="44" customFormat="1" ht="14.25" customHeight="1" x14ac:dyDescent="0.25">
      <c r="A25" s="183" t="s">
        <v>298</v>
      </c>
      <c r="B25" s="183"/>
      <c r="C25" s="45" t="str">
        <f t="shared" si="0"/>
        <v/>
      </c>
      <c r="D25" s="179" t="str">
        <f>IFERROR(VLOOKUP($A25,Sheet1!$A$1:$B$98,2,0),"")</f>
        <v/>
      </c>
      <c r="E25" s="45" t="str">
        <f>IFERROR(VLOOKUP($A25,'Tổng Đơn'!$A$5:$E$79,5,0),"")</f>
        <v/>
      </c>
      <c r="F25" s="45" t="str">
        <f t="shared" si="1"/>
        <v/>
      </c>
      <c r="G25" s="191" t="str">
        <f>IF(AND($C25="",$C24&lt;&gt;""),"Tổng Cộng",IFERROR(VLOOKUP($A25,Sheet1!$A$1:$D$98,4,0),""))</f>
        <v/>
      </c>
      <c r="H25" s="181" t="str">
        <f>IF($C24=MAX($C$8:$C$56),SUM($H$8:$H24),IFERROR($G25*$F25,""))</f>
        <v/>
      </c>
      <c r="I25" s="80" t="str">
        <f t="shared" si="2"/>
        <v/>
      </c>
      <c r="L25" s="46"/>
    </row>
    <row r="26" spans="1:12" s="44" customFormat="1" ht="14.25" customHeight="1" x14ac:dyDescent="0.25">
      <c r="A26" s="183" t="s">
        <v>298</v>
      </c>
      <c r="B26" s="183"/>
      <c r="C26" s="45" t="str">
        <f t="shared" si="0"/>
        <v/>
      </c>
      <c r="D26" s="179" t="str">
        <f>IFERROR(VLOOKUP($A26,Sheet1!$A$1:$B$98,2,0),"")</f>
        <v/>
      </c>
      <c r="E26" s="45" t="str">
        <f>IFERROR(VLOOKUP($A26,'Tổng Đơn'!$A$5:$E$79,5,0),"")</f>
        <v/>
      </c>
      <c r="F26" s="45" t="str">
        <f t="shared" si="1"/>
        <v/>
      </c>
      <c r="G26" s="191" t="str">
        <f>IF(AND($C26="",$C25&lt;&gt;""),"Tổng Cộng",IFERROR(VLOOKUP($A26,Sheet1!$A$1:$D$98,4,0),""))</f>
        <v/>
      </c>
      <c r="H26" s="181" t="str">
        <f>IF($C25=MAX($C$8:$C$56),SUM($H$8:$H25),IFERROR($G26*$F26,""))</f>
        <v/>
      </c>
      <c r="I26" s="80" t="str">
        <f t="shared" si="2"/>
        <v/>
      </c>
      <c r="L26" s="46"/>
    </row>
    <row r="27" spans="1:12" s="44" customFormat="1" ht="14.25" customHeight="1" x14ac:dyDescent="0.25">
      <c r="A27" s="183" t="s">
        <v>298</v>
      </c>
      <c r="B27" s="183"/>
      <c r="C27" s="45" t="str">
        <f t="shared" si="0"/>
        <v/>
      </c>
      <c r="D27" s="179" t="str">
        <f>IFERROR(VLOOKUP($A27,Sheet1!$A$1:$B$98,2,0),"")</f>
        <v/>
      </c>
      <c r="E27" s="45" t="str">
        <f>IFERROR(VLOOKUP($A27,'Tổng Đơn'!$A$5:$E$79,5,0),"")</f>
        <v/>
      </c>
      <c r="F27" s="45" t="str">
        <f t="shared" si="1"/>
        <v/>
      </c>
      <c r="G27" s="191" t="str">
        <f>IF(AND($C27="",$C26&lt;&gt;""),"Tổng Cộng",IFERROR(VLOOKUP($A27,Sheet1!$A$1:$D$98,4,0),""))</f>
        <v/>
      </c>
      <c r="H27" s="181" t="str">
        <f>IF($C26=MAX($C$8:$C$56),SUM($H$8:$H26),IFERROR($G27*$F27,""))</f>
        <v/>
      </c>
      <c r="I27" s="80" t="str">
        <f t="shared" si="2"/>
        <v/>
      </c>
      <c r="L27" s="46"/>
    </row>
    <row r="28" spans="1:12" s="44" customFormat="1" ht="14.25" customHeight="1" x14ac:dyDescent="0.25">
      <c r="A28" s="183" t="s">
        <v>298</v>
      </c>
      <c r="B28" s="183"/>
      <c r="C28" s="45" t="str">
        <f t="shared" si="0"/>
        <v/>
      </c>
      <c r="D28" s="179" t="str">
        <f>IFERROR(VLOOKUP($A28,Sheet1!$A$1:$B$98,2,0),"")</f>
        <v/>
      </c>
      <c r="E28" s="45" t="str">
        <f>IFERROR(VLOOKUP($A28,'Tổng Đơn'!$A$5:$E$79,5,0),"")</f>
        <v/>
      </c>
      <c r="F28" s="45" t="str">
        <f t="shared" si="1"/>
        <v/>
      </c>
      <c r="G28" s="191" t="str">
        <f>IF(AND($C28="",$C27&lt;&gt;""),"Tổng Cộng",IFERROR(VLOOKUP($A28,Sheet1!$A$1:$D$98,4,0),""))</f>
        <v/>
      </c>
      <c r="H28" s="181" t="str">
        <f>IF($C27=MAX($C$8:$C$56),SUM($H$8:$H27),IFERROR($G28*$F28,""))</f>
        <v/>
      </c>
      <c r="I28" s="80" t="str">
        <f t="shared" si="2"/>
        <v/>
      </c>
      <c r="L28" s="46"/>
    </row>
    <row r="29" spans="1:12" s="44" customFormat="1" ht="14.25" customHeight="1" x14ac:dyDescent="0.25">
      <c r="A29" s="183" t="s">
        <v>298</v>
      </c>
      <c r="B29" s="183"/>
      <c r="C29" s="45" t="str">
        <f t="shared" si="0"/>
        <v/>
      </c>
      <c r="D29" s="179" t="str">
        <f>IFERROR(VLOOKUP($A29,Sheet1!$A$1:$B$98,2,0),"")</f>
        <v/>
      </c>
      <c r="E29" s="45" t="str">
        <f>IFERROR(VLOOKUP($A29,'Tổng Đơn'!$A$5:$E$79,5,0),"")</f>
        <v/>
      </c>
      <c r="F29" s="45" t="str">
        <f t="shared" si="1"/>
        <v/>
      </c>
      <c r="G29" s="191" t="str">
        <f>IF(AND($C29="",$C28&lt;&gt;""),"Tổng Cộng",IFERROR(VLOOKUP($A29,Sheet1!$A$1:$D$98,4,0),""))</f>
        <v/>
      </c>
      <c r="H29" s="181" t="str">
        <f>IF($C28=MAX($C$8:$C$56),SUM($H$8:$H28),IFERROR($G29*$F29,""))</f>
        <v/>
      </c>
      <c r="I29" s="80" t="str">
        <f t="shared" si="2"/>
        <v/>
      </c>
      <c r="L29" s="46"/>
    </row>
    <row r="30" spans="1:12" s="44" customFormat="1" ht="14.25" customHeight="1" x14ac:dyDescent="0.25">
      <c r="A30" s="183" t="s">
        <v>298</v>
      </c>
      <c r="B30" s="183"/>
      <c r="C30" s="45" t="str">
        <f t="shared" si="0"/>
        <v/>
      </c>
      <c r="D30" s="179" t="str">
        <f>IFERROR(VLOOKUP($A30,Sheet1!$A$1:$B$98,2,0),"")</f>
        <v/>
      </c>
      <c r="E30" s="45" t="str">
        <f>IFERROR(VLOOKUP($A30,'Tổng Đơn'!$A$5:$E$79,5,0),"")</f>
        <v/>
      </c>
      <c r="F30" s="45" t="str">
        <f t="shared" si="1"/>
        <v/>
      </c>
      <c r="G30" s="191" t="str">
        <f>IF(AND($C30="",$C29&lt;&gt;""),"Tổng Cộng",IFERROR(VLOOKUP($A30,Sheet1!$A$1:$D$98,4,0),""))</f>
        <v/>
      </c>
      <c r="H30" s="181" t="str">
        <f>IF($C29=MAX($C$8:$C$56),SUM($H$8:$H29),IFERROR($G30*$F30,""))</f>
        <v/>
      </c>
      <c r="I30" s="80" t="str">
        <f t="shared" si="2"/>
        <v/>
      </c>
      <c r="L30" s="46"/>
    </row>
    <row r="31" spans="1:12" s="44" customFormat="1" ht="14.25" customHeight="1" x14ac:dyDescent="0.25">
      <c r="A31" s="183" t="s">
        <v>298</v>
      </c>
      <c r="B31" s="183"/>
      <c r="C31" s="45" t="str">
        <f t="shared" si="0"/>
        <v/>
      </c>
      <c r="D31" s="179" t="str">
        <f>IFERROR(VLOOKUP($A31,Sheet1!$A$1:$B$98,2,0),"")</f>
        <v/>
      </c>
      <c r="E31" s="45" t="str">
        <f>IFERROR(VLOOKUP($A31,'Tổng Đơn'!$A$5:$E$79,5,0),"")</f>
        <v/>
      </c>
      <c r="F31" s="45" t="str">
        <f t="shared" si="1"/>
        <v/>
      </c>
      <c r="G31" s="191" t="str">
        <f>IF(AND($C31="",$C30&lt;&gt;""),"Tổng Cộng",IFERROR(VLOOKUP($A31,Sheet1!$A$1:$D$98,4,0),""))</f>
        <v/>
      </c>
      <c r="H31" s="181" t="str">
        <f>IF($C30=MAX($C$8:$C$56),SUM($H$8:$H30),IFERROR($G31*$F31,""))</f>
        <v/>
      </c>
      <c r="I31" s="80" t="str">
        <f t="shared" si="2"/>
        <v/>
      </c>
      <c r="L31" s="46"/>
    </row>
    <row r="32" spans="1:12" s="44" customFormat="1" ht="14.25" customHeight="1" x14ac:dyDescent="0.25">
      <c r="A32" s="183" t="s">
        <v>298</v>
      </c>
      <c r="B32" s="183"/>
      <c r="C32" s="45" t="str">
        <f t="shared" si="0"/>
        <v/>
      </c>
      <c r="D32" s="179" t="str">
        <f>IFERROR(VLOOKUP($A32,Sheet1!$A$1:$B$98,2,0),"")</f>
        <v/>
      </c>
      <c r="E32" s="45" t="str">
        <f>IFERROR(VLOOKUP($A32,'Tổng Đơn'!$A$5:$E$79,5,0),"")</f>
        <v/>
      </c>
      <c r="F32" s="45" t="str">
        <f t="shared" si="1"/>
        <v/>
      </c>
      <c r="G32" s="191" t="str">
        <f>IF(AND($C32="",$C31&lt;&gt;""),"Tổng Cộng",IFERROR(VLOOKUP($A32,Sheet1!$A$1:$D$98,4,0),""))</f>
        <v/>
      </c>
      <c r="H32" s="181" t="str">
        <f>IF($C31=MAX($C$8:$C$56),SUM($H$8:$H31),IFERROR($G32*$F32,""))</f>
        <v/>
      </c>
      <c r="I32" s="80" t="str">
        <f t="shared" si="2"/>
        <v/>
      </c>
      <c r="L32" s="46"/>
    </row>
    <row r="33" spans="1:12" s="44" customFormat="1" ht="14.25" customHeight="1" x14ac:dyDescent="0.25">
      <c r="A33" s="183" t="s">
        <v>298</v>
      </c>
      <c r="B33" s="183"/>
      <c r="C33" s="45" t="str">
        <f t="shared" si="0"/>
        <v/>
      </c>
      <c r="D33" s="179" t="str">
        <f>IFERROR(VLOOKUP($A33,Sheet1!$A$1:$B$98,2,0),"")</f>
        <v/>
      </c>
      <c r="E33" s="45" t="str">
        <f>IFERROR(VLOOKUP($A33,'Tổng Đơn'!$A$5:$E$79,5,0),"")</f>
        <v/>
      </c>
      <c r="F33" s="45" t="str">
        <f t="shared" si="1"/>
        <v/>
      </c>
      <c r="G33" s="191" t="str">
        <f>IF(AND($C33="",$C32&lt;&gt;""),"Tổng Cộng",IFERROR(VLOOKUP($A33,Sheet1!$A$1:$D$98,4,0),""))</f>
        <v/>
      </c>
      <c r="H33" s="181" t="str">
        <f>IF($C32=MAX($C$8:$C$56),SUM($H$8:$H32),IFERROR($G33*$F33,""))</f>
        <v/>
      </c>
      <c r="I33" s="80" t="str">
        <f t="shared" si="2"/>
        <v/>
      </c>
      <c r="L33" s="46"/>
    </row>
    <row r="34" spans="1:12" s="44" customFormat="1" ht="14.25" customHeight="1" x14ac:dyDescent="0.25">
      <c r="A34" s="183" t="s">
        <v>298</v>
      </c>
      <c r="B34" s="183"/>
      <c r="C34" s="45" t="str">
        <f t="shared" si="0"/>
        <v/>
      </c>
      <c r="D34" s="179" t="str">
        <f>IFERROR(VLOOKUP($A34,Sheet1!$A$1:$B$98,2,0),"")</f>
        <v/>
      </c>
      <c r="E34" s="45" t="str">
        <f>IFERROR(VLOOKUP($A34,'Tổng Đơn'!$A$5:$E$79,5,0),"")</f>
        <v/>
      </c>
      <c r="F34" s="45" t="str">
        <f t="shared" si="1"/>
        <v/>
      </c>
      <c r="G34" s="191" t="str">
        <f>IF(AND($C34="",$C33&lt;&gt;""),"Tổng Cộng",IFERROR(VLOOKUP($A34,Sheet1!$A$1:$D$98,4,0),""))</f>
        <v/>
      </c>
      <c r="H34" s="181" t="str">
        <f>IF($C33=MAX($C$8:$C$56),SUM($H$8:$H33),IFERROR($G34*$F34,""))</f>
        <v/>
      </c>
      <c r="I34" s="80" t="str">
        <f t="shared" si="2"/>
        <v/>
      </c>
      <c r="L34" s="46"/>
    </row>
    <row r="35" spans="1:12" s="44" customFormat="1" ht="14.25" customHeight="1" x14ac:dyDescent="0.25">
      <c r="A35" s="183" t="s">
        <v>298</v>
      </c>
      <c r="B35" s="183"/>
      <c r="C35" s="45" t="str">
        <f t="shared" si="0"/>
        <v/>
      </c>
      <c r="D35" s="179" t="str">
        <f>IFERROR(VLOOKUP($A35,Sheet1!$A$1:$B$98,2,0),"")</f>
        <v/>
      </c>
      <c r="E35" s="45" t="str">
        <f>IFERROR(VLOOKUP($A35,'Tổng Đơn'!$A$5:$E$79,5,0),"")</f>
        <v/>
      </c>
      <c r="F35" s="45" t="str">
        <f t="shared" si="1"/>
        <v/>
      </c>
      <c r="G35" s="191" t="str">
        <f>IF(AND($C35="",$C34&lt;&gt;""),"Tổng Cộng",IFERROR(VLOOKUP($A35,Sheet1!$A$1:$D$98,4,0),""))</f>
        <v/>
      </c>
      <c r="H35" s="181" t="str">
        <f>IF($C34=MAX($C$8:$C$56),SUM($H$8:$H34),IFERROR($G35*$F35,""))</f>
        <v/>
      </c>
      <c r="I35" s="80" t="str">
        <f t="shared" si="2"/>
        <v/>
      </c>
      <c r="L35" s="46"/>
    </row>
    <row r="36" spans="1:12" s="44" customFormat="1" ht="14.25" customHeight="1" x14ac:dyDescent="0.25">
      <c r="A36" s="183" t="s">
        <v>298</v>
      </c>
      <c r="B36" s="183"/>
      <c r="C36" s="45" t="str">
        <f t="shared" si="0"/>
        <v/>
      </c>
      <c r="D36" s="179" t="str">
        <f>IFERROR(VLOOKUP($A36,Sheet1!$A$1:$B$98,2,0),"")</f>
        <v/>
      </c>
      <c r="E36" s="45" t="str">
        <f>IFERROR(VLOOKUP($A36,'Tổng Đơn'!$A$5:$E$79,5,0),"")</f>
        <v/>
      </c>
      <c r="F36" s="45" t="str">
        <f t="shared" si="1"/>
        <v/>
      </c>
      <c r="G36" s="191" t="str">
        <f>IF(AND($C36="",$C35&lt;&gt;""),"Tổng Cộng",IFERROR(VLOOKUP($A36,Sheet1!$A$1:$D$98,4,0),""))</f>
        <v/>
      </c>
      <c r="H36" s="181" t="str">
        <f>IF($C35=MAX($C$8:$C$56),SUM($H$8:$H35),IFERROR($G36*$F36,""))</f>
        <v/>
      </c>
      <c r="I36" s="80" t="str">
        <f t="shared" si="2"/>
        <v/>
      </c>
      <c r="L36" s="46"/>
    </row>
    <row r="37" spans="1:12" s="44" customFormat="1" ht="14.25" customHeight="1" x14ac:dyDescent="0.25">
      <c r="A37" s="183" t="s">
        <v>298</v>
      </c>
      <c r="B37" s="183"/>
      <c r="C37" s="45" t="str">
        <f t="shared" si="0"/>
        <v/>
      </c>
      <c r="D37" s="179" t="str">
        <f>IFERROR(VLOOKUP($A37,Sheet1!$A$1:$B$98,2,0),"")</f>
        <v/>
      </c>
      <c r="E37" s="45" t="str">
        <f>IFERROR(VLOOKUP($A37,'Tổng Đơn'!$A$5:$E$79,5,0),"")</f>
        <v/>
      </c>
      <c r="F37" s="45" t="str">
        <f t="shared" si="1"/>
        <v/>
      </c>
      <c r="G37" s="191" t="str">
        <f>IF(AND($C37="",$C36&lt;&gt;""),"Tổng Cộng",IFERROR(VLOOKUP($A37,Sheet1!$A$1:$D$98,4,0),""))</f>
        <v/>
      </c>
      <c r="H37" s="181" t="str">
        <f>IF($C36=MAX($C$8:$C$56),SUM($H$8:$H36),IFERROR($G37*$F37,""))</f>
        <v/>
      </c>
      <c r="I37" s="80" t="str">
        <f t="shared" si="2"/>
        <v/>
      </c>
      <c r="L37" s="46"/>
    </row>
    <row r="38" spans="1:12" s="44" customFormat="1" ht="14.25" customHeight="1" x14ac:dyDescent="0.25">
      <c r="A38" s="183"/>
      <c r="B38" s="183"/>
      <c r="C38" s="48"/>
      <c r="D38" s="49"/>
      <c r="E38" s="78"/>
      <c r="F38" s="45"/>
      <c r="G38" s="192" t="str">
        <f>IF(AND($C38="",$C37&lt;&gt;""),"Tổng Cộng",IFERROR(VLOOKUP($A38,Sheet1!$A$1:$D$98,4,0),""))</f>
        <v/>
      </c>
      <c r="H38" s="50" t="str">
        <f>IF($C37=MAX($C$8:$C$56),SUM($H$8:$H37),IFERROR($G38*$F38,""))</f>
        <v/>
      </c>
      <c r="I38" s="80"/>
      <c r="L38" s="46"/>
    </row>
    <row r="39" spans="1:12" ht="15" customHeight="1" x14ac:dyDescent="0.25">
      <c r="F39" s="51"/>
      <c r="G39" s="171"/>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H9 C38:E38 C9:G9 F15:H38 D15:E37 D10:H14">
    <cfRule type="expression" dxfId="39" priority="2">
      <formula>$C7=MAX($C$8:$C$37)</formula>
    </cfRule>
  </conditionalFormatting>
  <conditionalFormatting sqref="C10:C37">
    <cfRule type="expression" dxfId="38" priority="1">
      <formula>$C9=MAX($C$8:$C$37)</formula>
    </cfRule>
  </conditionalFormatting>
  <conditionalFormatting sqref="E8:E38">
    <cfRule type="expression" dxfId="37" priority="3">
      <formula>AND($A8="",$F8&lt;&gt;"")</formula>
    </cfRule>
  </conditionalFormatting>
  <conditionalFormatting sqref="F8:F38">
    <cfRule type="expression" dxfId="36"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49505" r:id="rId4" name="Button 1">
              <controlPr defaultSize="0" print="0" autoFill="0" autoPict="0" macro="[0]!Macro4">
                <anchor moveWithCells="1" sizeWithCells="1">
                  <from>
                    <xdr:col>0</xdr:col>
                    <xdr:colOff>0</xdr:colOff>
                    <xdr:row>0</xdr:row>
                    <xdr:rowOff>0</xdr:rowOff>
                  </from>
                  <to>
                    <xdr:col>1</xdr:col>
                    <xdr:colOff>723900</xdr:colOff>
                    <xdr:row>7</xdr:row>
                    <xdr:rowOff>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8">
    <tabColor theme="1"/>
    <pageSetUpPr fitToPage="1"/>
  </sheetPr>
  <dimension ref="A1:N53"/>
  <sheetViews>
    <sheetView zoomScaleNormal="100" workbookViewId="0">
      <pane ySplit="7" topLeftCell="A8" activePane="bottomLeft" state="frozen"/>
      <selection activeCell="L2" sqref="L2:L29"/>
      <selection pane="bottomLeft" activeCell="D6" sqref="D6"/>
    </sheetView>
  </sheetViews>
  <sheetFormatPr defaultRowHeight="15" x14ac:dyDescent="0.25"/>
  <cols>
    <col min="1" max="1" width="11.7109375" style="14" customWidth="1"/>
    <col min="2" max="2" width="11.28515625" style="14" customWidth="1"/>
    <col min="3" max="3" width="9.140625" style="14"/>
    <col min="4" max="4" width="38.42578125" style="14" bestFit="1" customWidth="1"/>
    <col min="5" max="5" width="12.28515625" style="79"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33" t="s">
        <v>223</v>
      </c>
      <c r="D1" s="233"/>
      <c r="E1" s="233"/>
      <c r="F1" s="233"/>
      <c r="G1" s="233"/>
      <c r="H1" s="233"/>
    </row>
    <row r="2" spans="1:14" ht="15.75" customHeight="1" x14ac:dyDescent="0.25">
      <c r="C2" s="233"/>
      <c r="D2" s="233"/>
      <c r="E2" s="233"/>
      <c r="F2" s="233"/>
      <c r="G2" s="233"/>
      <c r="H2" s="233"/>
    </row>
    <row r="3" spans="1:14" ht="15" customHeight="1" x14ac:dyDescent="0.25">
      <c r="C3" s="235" t="s">
        <v>225</v>
      </c>
      <c r="D3" s="235"/>
      <c r="E3" s="235"/>
      <c r="F3" s="238" t="s">
        <v>227</v>
      </c>
      <c r="G3" s="238"/>
      <c r="H3" s="238"/>
    </row>
    <row r="4" spans="1:14" x14ac:dyDescent="0.25">
      <c r="C4" s="236" t="s">
        <v>226</v>
      </c>
      <c r="D4" s="236"/>
      <c r="E4" s="236"/>
      <c r="F4" s="239" t="s">
        <v>228</v>
      </c>
      <c r="G4" s="239"/>
      <c r="H4" s="239"/>
    </row>
    <row r="5" spans="1:14" s="172" customFormat="1" ht="21" customHeight="1" x14ac:dyDescent="0.25">
      <c r="C5" s="237" t="s">
        <v>224</v>
      </c>
      <c r="D5" s="237"/>
      <c r="E5" s="237"/>
      <c r="F5" s="237"/>
      <c r="G5" s="237"/>
      <c r="H5" s="237"/>
    </row>
    <row r="6" spans="1:14" s="172" customFormat="1" ht="17.25" customHeight="1" x14ac:dyDescent="0.25">
      <c r="C6" s="182" t="s">
        <v>229</v>
      </c>
      <c r="D6" s="187" t="s">
        <v>308</v>
      </c>
      <c r="E6" s="177"/>
      <c r="F6" s="177"/>
      <c r="G6" s="234" t="str">
        <f ca="1">"Ngày "&amp;DAY(TODAY())&amp;" Tháng "&amp;MONTH(TODAY())&amp;" Năm "&amp;YEAR(TODAY())</f>
        <v>Ngày 14 Tháng 2 Năm 2022</v>
      </c>
      <c r="H6" s="234"/>
    </row>
    <row r="7" spans="1:14" s="176" customFormat="1" ht="24" customHeight="1" x14ac:dyDescent="0.25">
      <c r="A7" s="173" t="s">
        <v>118</v>
      </c>
      <c r="B7" s="173" t="s">
        <v>16</v>
      </c>
      <c r="C7" s="174" t="s">
        <v>0</v>
      </c>
      <c r="D7" s="174" t="s">
        <v>17</v>
      </c>
      <c r="E7" s="178" t="str">
        <f>"Quy cách"&amp;CHAR(10)&amp;"(Kg)"</f>
        <v>Quy cách
(Kg)</v>
      </c>
      <c r="F7" s="174" t="s">
        <v>16</v>
      </c>
      <c r="G7" s="174" t="s">
        <v>18</v>
      </c>
      <c r="H7" s="174" t="s">
        <v>19</v>
      </c>
      <c r="I7" s="175">
        <f>SUBTOTAL(9,I8:I37)</f>
        <v>5</v>
      </c>
      <c r="L7" s="172"/>
    </row>
    <row r="8" spans="1:14" s="44" customFormat="1" ht="14.25" customHeight="1" x14ac:dyDescent="0.25">
      <c r="A8" s="183">
        <v>70</v>
      </c>
      <c r="B8" s="183">
        <v>10</v>
      </c>
      <c r="C8" s="45">
        <f t="shared" ref="C8:C37" si="0">IF(OR(SUM($C7,$A8&lt;&gt;"")=0,$A8=""),"",SUM($C7,$A8&lt;&gt;""))</f>
        <v>1</v>
      </c>
      <c r="D8" s="179" t="str">
        <f>IFERROR(VLOOKUP($A8,Sheet1!$A$1:$B$98,2,0),"")</f>
        <v>XX Đức KK</v>
      </c>
      <c r="E8" s="180">
        <f>IFERROR(VLOOKUP($A8,'Tổng Đơn'!$A$5:$E$79,5,0),"")</f>
        <v>0.5</v>
      </c>
      <c r="F8" s="45">
        <f t="shared" ref="F8:F37" si="1">IF($B8="","",B8)</f>
        <v>10</v>
      </c>
      <c r="G8" s="191">
        <f>IFERROR(VLOOKUP($A8,Sheet1!$A1:$D$98,4,0),"")</f>
        <v>35000</v>
      </c>
      <c r="H8" s="181">
        <f>IF($C7=MAX($C$8:$C$56),SUM($H7:$H$8),IFERROR($G8*$F8,""))</f>
        <v>350000</v>
      </c>
      <c r="I8" s="80">
        <f t="shared" ref="I8:I37" si="2">IF(TYPE($A8)&lt;&gt;1,"",IFERROR(F8*E8,""))</f>
        <v>5</v>
      </c>
      <c r="L8" s="47"/>
    </row>
    <row r="9" spans="1:14" s="44" customFormat="1" ht="14.25" customHeight="1" x14ac:dyDescent="0.25">
      <c r="A9" s="183" t="s">
        <v>298</v>
      </c>
      <c r="B9" s="183"/>
      <c r="C9" s="45" t="str">
        <f t="shared" si="0"/>
        <v/>
      </c>
      <c r="D9" s="179" t="str">
        <f>IFERROR(VLOOKUP($A9,Sheet1!$A$1:$B$98,2,0),"")</f>
        <v/>
      </c>
      <c r="E9" s="45" t="str">
        <f>IFERROR(VLOOKUP($A9,'Tổng Đơn'!$A$5:$E$79,5,0),"")</f>
        <v/>
      </c>
      <c r="F9" s="45" t="str">
        <f t="shared" si="1"/>
        <v/>
      </c>
      <c r="G9" s="191" t="str">
        <f>IF(AND($C9="",$C8&lt;&gt;""),"Tổng Cộng",IFERROR(VLOOKUP($A9,Sheet1!$A$1:$D$98,4,0),""))</f>
        <v>Tổng Cộng</v>
      </c>
      <c r="H9" s="181">
        <f>IF($C8=MAX($C$8:$C$56),SUM($H$8:$H8),IFERROR($G9*$F9,""))</f>
        <v>350000</v>
      </c>
      <c r="I9" s="80" t="str">
        <f t="shared" si="2"/>
        <v/>
      </c>
      <c r="L9" s="46"/>
    </row>
    <row r="10" spans="1:14" s="44" customFormat="1" ht="14.25" customHeight="1" x14ac:dyDescent="0.25">
      <c r="A10" s="183" t="s">
        <v>298</v>
      </c>
      <c r="B10" s="183"/>
      <c r="C10" s="45" t="str">
        <f t="shared" si="0"/>
        <v/>
      </c>
      <c r="D10" s="179" t="str">
        <f>IFERROR(VLOOKUP($A10,Sheet1!$A$1:$B$98,2,0),"")</f>
        <v/>
      </c>
      <c r="E10" s="45" t="str">
        <f>IFERROR(VLOOKUP($A10,'Tổng Đơn'!$A$5:$E$79,5,0),"")</f>
        <v/>
      </c>
      <c r="F10" s="45" t="str">
        <f t="shared" si="1"/>
        <v/>
      </c>
      <c r="G10" s="191" t="str">
        <f>IF(AND($C10="",$C9&lt;&gt;""),"Tổng Cộng",IFERROR(VLOOKUP($A10,Sheet1!$A$1:$D$98,4,0),""))</f>
        <v/>
      </c>
      <c r="H10" s="181" t="str">
        <f>IF($C9=MAX($C$8:$C$56),SUM($H$8:$H9),IFERROR($G10*$F10,""))</f>
        <v/>
      </c>
      <c r="I10" s="80" t="str">
        <f t="shared" si="2"/>
        <v/>
      </c>
      <c r="L10" s="46"/>
    </row>
    <row r="11" spans="1:14" s="44" customFormat="1" ht="14.25" customHeight="1" x14ac:dyDescent="0.25">
      <c r="A11" s="183" t="s">
        <v>298</v>
      </c>
      <c r="B11" s="183"/>
      <c r="C11" s="45" t="str">
        <f t="shared" si="0"/>
        <v/>
      </c>
      <c r="D11" s="179" t="str">
        <f>IFERROR(VLOOKUP($A11,Sheet1!$A$1:$B$98,2,0),"")</f>
        <v/>
      </c>
      <c r="E11" s="45" t="str">
        <f>IFERROR(VLOOKUP($A11,'Tổng Đơn'!$A$5:$E$79,5,0),"")</f>
        <v/>
      </c>
      <c r="F11" s="45" t="str">
        <f t="shared" si="1"/>
        <v/>
      </c>
      <c r="G11" s="191" t="str">
        <f>IF(AND($C11="",$C10&lt;&gt;""),"Tổng Cộng",IFERROR(VLOOKUP($A11,Sheet1!$A$1:$D$98,4,0),""))</f>
        <v/>
      </c>
      <c r="H11" s="181" t="str">
        <f>IF($C10=MAX($C$8:$C$56),SUM($H$8:$H10),IFERROR($G11*$F11,""))</f>
        <v/>
      </c>
      <c r="I11" s="80" t="str">
        <f t="shared" si="2"/>
        <v/>
      </c>
      <c r="L11" s="46"/>
    </row>
    <row r="12" spans="1:14" s="44" customFormat="1" ht="14.25" customHeight="1" x14ac:dyDescent="0.25">
      <c r="A12" s="183" t="s">
        <v>298</v>
      </c>
      <c r="B12" s="183"/>
      <c r="C12" s="45" t="str">
        <f t="shared" si="0"/>
        <v/>
      </c>
      <c r="D12" s="179" t="str">
        <f>IFERROR(VLOOKUP($A12,Sheet1!$A$1:$B$98,2,0),"")</f>
        <v/>
      </c>
      <c r="E12" s="45" t="str">
        <f>IFERROR(VLOOKUP($A12,'Tổng Đơn'!$A$5:$E$79,5,0),"")</f>
        <v/>
      </c>
      <c r="F12" s="45" t="str">
        <f t="shared" si="1"/>
        <v/>
      </c>
      <c r="G12" s="191" t="str">
        <f>IF(AND($C12="",$C11&lt;&gt;""),"Tổng Cộng",IFERROR(VLOOKUP($A12,Sheet1!$A$1:$D$98,4,0),""))</f>
        <v/>
      </c>
      <c r="H12" s="181" t="str">
        <f>IF($C11=MAX($C$8:$C$56),SUM($H$8:$H11),IFERROR($G12*$F12,""))</f>
        <v/>
      </c>
      <c r="I12" s="80" t="str">
        <f t="shared" si="2"/>
        <v/>
      </c>
      <c r="J12" s="153"/>
      <c r="L12" s="46"/>
      <c r="M12" s="161"/>
      <c r="N12" s="154"/>
    </row>
    <row r="13" spans="1:14" s="44" customFormat="1" ht="14.25" customHeight="1" x14ac:dyDescent="0.25">
      <c r="A13" s="183" t="s">
        <v>298</v>
      </c>
      <c r="B13" s="183"/>
      <c r="C13" s="45" t="str">
        <f t="shared" si="0"/>
        <v/>
      </c>
      <c r="D13" s="179" t="str">
        <f>IFERROR(VLOOKUP($A13,Sheet1!$A$1:$B$98,2,0),"")</f>
        <v/>
      </c>
      <c r="E13" s="45" t="str">
        <f>IFERROR(VLOOKUP($A13,'Tổng Đơn'!$A$5:$E$79,5,0),"")</f>
        <v/>
      </c>
      <c r="F13" s="45" t="str">
        <f t="shared" si="1"/>
        <v/>
      </c>
      <c r="G13" s="191" t="str">
        <f>IF(AND($C13="",$C12&lt;&gt;""),"Tổng Cộng",IFERROR(VLOOKUP($A13,Sheet1!$A$1:$D$98,4,0),""))</f>
        <v/>
      </c>
      <c r="H13" s="181" t="str">
        <f>IF($C12=MAX($C$8:$C$56),SUM($H$8:$H12),IFERROR($G13*$F13,""))</f>
        <v/>
      </c>
      <c r="I13" s="80" t="str">
        <f t="shared" si="2"/>
        <v/>
      </c>
      <c r="L13" s="46"/>
    </row>
    <row r="14" spans="1:14" s="44" customFormat="1" ht="14.25" customHeight="1" x14ac:dyDescent="0.25">
      <c r="A14" s="183" t="s">
        <v>298</v>
      </c>
      <c r="B14" s="183"/>
      <c r="C14" s="45" t="str">
        <f t="shared" si="0"/>
        <v/>
      </c>
      <c r="D14" s="179" t="str">
        <f>IFERROR(VLOOKUP($A14,Sheet1!$A$1:$B$98,2,0),"")</f>
        <v/>
      </c>
      <c r="E14" s="45" t="str">
        <f>IFERROR(VLOOKUP($A14,'Tổng Đơn'!$A$5:$E$79,5,0),"")</f>
        <v/>
      </c>
      <c r="F14" s="45" t="str">
        <f t="shared" si="1"/>
        <v/>
      </c>
      <c r="G14" s="191" t="str">
        <f>IF(AND($C14="",$C13&lt;&gt;""),"Tổng Cộng",IFERROR(VLOOKUP($A14,Sheet1!$A$1:$D$98,4,0),""))</f>
        <v/>
      </c>
      <c r="H14" s="181" t="str">
        <f>IF($C13=MAX($C$8:$C$56),SUM($H$8:$H13),IFERROR($G14*$F14,""))</f>
        <v/>
      </c>
      <c r="I14" s="80" t="str">
        <f t="shared" si="2"/>
        <v/>
      </c>
      <c r="L14" s="46"/>
      <c r="M14" s="162"/>
    </row>
    <row r="15" spans="1:14" s="44" customFormat="1" ht="14.25" customHeight="1" x14ac:dyDescent="0.25">
      <c r="A15" s="183" t="s">
        <v>298</v>
      </c>
      <c r="B15" s="183"/>
      <c r="C15" s="45" t="str">
        <f t="shared" si="0"/>
        <v/>
      </c>
      <c r="D15" s="179" t="str">
        <f>IFERROR(VLOOKUP($A15,Sheet1!$A$1:$B$98,2,0),"")</f>
        <v/>
      </c>
      <c r="E15" s="45" t="str">
        <f>IFERROR(VLOOKUP($A15,'Tổng Đơn'!$A$5:$E$79,5,0),"")</f>
        <v/>
      </c>
      <c r="F15" s="45" t="str">
        <f t="shared" si="1"/>
        <v/>
      </c>
      <c r="G15" s="191" t="str">
        <f>IF(AND($C15="",$C14&lt;&gt;""),"Tổng Cộng",IFERROR(VLOOKUP($A15,Sheet1!$A$1:$D$98,4,0),""))</f>
        <v/>
      </c>
      <c r="H15" s="181" t="str">
        <f>IF($C14=MAX($C$8:$C$56),SUM($H$8:$H14),IFERROR($G15*$F15,""))</f>
        <v/>
      </c>
      <c r="I15" s="80" t="str">
        <f t="shared" si="2"/>
        <v/>
      </c>
      <c r="L15" s="46"/>
    </row>
    <row r="16" spans="1:14" s="44" customFormat="1" ht="14.25" customHeight="1" x14ac:dyDescent="0.25">
      <c r="A16" s="183" t="s">
        <v>298</v>
      </c>
      <c r="B16" s="183"/>
      <c r="C16" s="45" t="str">
        <f t="shared" si="0"/>
        <v/>
      </c>
      <c r="D16" s="179" t="str">
        <f>IFERROR(VLOOKUP($A16,Sheet1!$A$1:$B$98,2,0),"")</f>
        <v/>
      </c>
      <c r="E16" s="45" t="str">
        <f>IFERROR(VLOOKUP($A16,'Tổng Đơn'!$A$5:$E$79,5,0),"")</f>
        <v/>
      </c>
      <c r="F16" s="45" t="str">
        <f t="shared" si="1"/>
        <v/>
      </c>
      <c r="G16" s="191" t="str">
        <f>IF(AND($C16="",$C15&lt;&gt;""),"Tổng Cộng",IFERROR(VLOOKUP($A16,Sheet1!$A$1:$D$98,4,0),""))</f>
        <v/>
      </c>
      <c r="H16" s="181" t="str">
        <f>IF($C15=MAX($C$8:$C$56),SUM($H$8:$H15),IFERROR($G16*$F16,""))</f>
        <v/>
      </c>
      <c r="I16" s="80" t="str">
        <f t="shared" si="2"/>
        <v/>
      </c>
      <c r="L16" s="46"/>
    </row>
    <row r="17" spans="1:12" s="44" customFormat="1" ht="14.25" customHeight="1" x14ac:dyDescent="0.25">
      <c r="A17" s="183" t="s">
        <v>298</v>
      </c>
      <c r="B17" s="183"/>
      <c r="C17" s="45" t="str">
        <f t="shared" si="0"/>
        <v/>
      </c>
      <c r="D17" s="190" t="str">
        <f>IFERROR(VLOOKUP($A17,Sheet1!$A$1:$B$98,2,0),"")</f>
        <v/>
      </c>
      <c r="E17" s="45" t="str">
        <f>IFERROR(VLOOKUP($A17,'Tổng Đơn'!$A$5:$E$79,5,0),"")</f>
        <v/>
      </c>
      <c r="F17" s="45" t="str">
        <f t="shared" si="1"/>
        <v/>
      </c>
      <c r="G17" s="191" t="str">
        <f>IF(AND($C17="",$C16&lt;&gt;""),"Tổng Cộng",IFERROR(VLOOKUP($A17,Sheet1!$A$1:$D$98,4,0),""))</f>
        <v/>
      </c>
      <c r="H17" s="181" t="str">
        <f>IF($C16=MAX($C$8:$C$56),SUM($H$8:$H16),IFERROR($G17*$F17,""))</f>
        <v/>
      </c>
      <c r="I17" s="80" t="str">
        <f t="shared" si="2"/>
        <v/>
      </c>
      <c r="L17" s="46"/>
    </row>
    <row r="18" spans="1:12" s="44" customFormat="1" ht="14.25" customHeight="1" x14ac:dyDescent="0.25">
      <c r="A18" s="183" t="s">
        <v>298</v>
      </c>
      <c r="B18" s="183"/>
      <c r="C18" s="45" t="str">
        <f t="shared" si="0"/>
        <v/>
      </c>
      <c r="D18" s="190" t="str">
        <f>IFERROR(VLOOKUP($A18,Sheet1!$A$1:$B$98,2,0),"")</f>
        <v/>
      </c>
      <c r="E18" s="45" t="str">
        <f>IFERROR(VLOOKUP($A18,'Tổng Đơn'!$A$5:$E$79,5,0),"")</f>
        <v/>
      </c>
      <c r="F18" s="45" t="str">
        <f t="shared" si="1"/>
        <v/>
      </c>
      <c r="G18" s="191" t="str">
        <f>IF(AND($C18="",$C17&lt;&gt;""),"Tổng Cộng",IFERROR(VLOOKUP($A18,Sheet1!$A$1:$D$98,4,0),""))</f>
        <v/>
      </c>
      <c r="H18" s="181" t="str">
        <f>IF($C17=MAX($C$8:$C$56),SUM($H$8:$H17),IFERROR($G18*$F18,""))</f>
        <v/>
      </c>
      <c r="I18" s="80" t="str">
        <f t="shared" si="2"/>
        <v/>
      </c>
      <c r="L18" s="46"/>
    </row>
    <row r="19" spans="1:12" s="44" customFormat="1" ht="14.25" customHeight="1" x14ac:dyDescent="0.25">
      <c r="A19" s="183" t="s">
        <v>298</v>
      </c>
      <c r="B19" s="183"/>
      <c r="C19" s="45" t="str">
        <f t="shared" si="0"/>
        <v/>
      </c>
      <c r="D19" s="190" t="str">
        <f>IFERROR(VLOOKUP($A19,Sheet1!$A$1:$B$98,2,0),"")</f>
        <v/>
      </c>
      <c r="E19" s="45" t="str">
        <f>IFERROR(VLOOKUP($A19,'Tổng Đơn'!$A$5:$E$79,5,0),"")</f>
        <v/>
      </c>
      <c r="F19" s="45" t="str">
        <f t="shared" si="1"/>
        <v/>
      </c>
      <c r="G19" s="191" t="str">
        <f>IF(AND($C19="",$C18&lt;&gt;""),"Tổng Cộng",IFERROR(VLOOKUP($A19,Sheet1!$A$1:$D$98,4,0),""))</f>
        <v/>
      </c>
      <c r="H19" s="181" t="str">
        <f>IF($C18=MAX($C$8:$C$56),SUM($H$8:$H18),IFERROR($G19*$F19,""))</f>
        <v/>
      </c>
      <c r="I19" s="80" t="str">
        <f t="shared" si="2"/>
        <v/>
      </c>
      <c r="L19" s="46"/>
    </row>
    <row r="20" spans="1:12" s="44" customFormat="1" ht="14.25" customHeight="1" x14ac:dyDescent="0.25">
      <c r="A20" s="183" t="s">
        <v>298</v>
      </c>
      <c r="B20" s="183"/>
      <c r="C20" s="45" t="str">
        <f t="shared" si="0"/>
        <v/>
      </c>
      <c r="D20" s="190" t="str">
        <f>IFERROR(VLOOKUP($A20,Sheet1!$A$1:$B$98,2,0),"")</f>
        <v/>
      </c>
      <c r="E20" s="45" t="str">
        <f>IFERROR(VLOOKUP($A20,'Tổng Đơn'!$A$5:$E$79,5,0),"")</f>
        <v/>
      </c>
      <c r="F20" s="45" t="str">
        <f t="shared" si="1"/>
        <v/>
      </c>
      <c r="G20" s="191" t="str">
        <f>IF(AND($C20="",$C19&lt;&gt;""),"Tổng Cộng",IFERROR(VLOOKUP($A20,Sheet1!$A$1:$D$98,4,0),""))</f>
        <v/>
      </c>
      <c r="H20" s="181" t="str">
        <f>IF($C19=MAX($C$8:$C$56),SUM($H$8:$H19),IFERROR($G20*$F20,""))</f>
        <v/>
      </c>
      <c r="I20" s="80" t="str">
        <f t="shared" si="2"/>
        <v/>
      </c>
      <c r="L20" s="46"/>
    </row>
    <row r="21" spans="1:12" s="44" customFormat="1" ht="14.25" customHeight="1" x14ac:dyDescent="0.25">
      <c r="A21" s="183" t="s">
        <v>298</v>
      </c>
      <c r="B21" s="183"/>
      <c r="C21" s="45" t="str">
        <f t="shared" si="0"/>
        <v/>
      </c>
      <c r="D21" s="190" t="str">
        <f>IFERROR(VLOOKUP($A21,Sheet1!$A$1:$B$98,2,0),"")</f>
        <v/>
      </c>
      <c r="E21" s="45" t="str">
        <f>IFERROR(VLOOKUP($A21,'Tổng Đơn'!$A$5:$E$79,5,0),"")</f>
        <v/>
      </c>
      <c r="F21" s="45" t="str">
        <f t="shared" si="1"/>
        <v/>
      </c>
      <c r="G21" s="191" t="str">
        <f>IF(AND($C21="",$C20&lt;&gt;""),"Tổng Cộng",IFERROR(VLOOKUP($A21,Sheet1!$A$1:$D$98,4,0),""))</f>
        <v/>
      </c>
      <c r="H21" s="181" t="str">
        <f>IF($C20=MAX($C$8:$C$56),SUM($H$8:$H20),IFERROR($G21*$F21,""))</f>
        <v/>
      </c>
      <c r="I21" s="80" t="str">
        <f t="shared" si="2"/>
        <v/>
      </c>
      <c r="L21" s="46"/>
    </row>
    <row r="22" spans="1:12" s="44" customFormat="1" ht="14.25" customHeight="1" x14ac:dyDescent="0.25">
      <c r="A22" s="183" t="s">
        <v>298</v>
      </c>
      <c r="B22" s="183"/>
      <c r="C22" s="45" t="str">
        <f t="shared" si="0"/>
        <v/>
      </c>
      <c r="D22" s="179" t="str">
        <f>IFERROR(VLOOKUP($A22,Sheet1!$A$1:$B$98,2,0),"")</f>
        <v/>
      </c>
      <c r="E22" s="45" t="str">
        <f>IFERROR(VLOOKUP($A22,'Tổng Đơn'!$A$5:$E$79,5,0),"")</f>
        <v/>
      </c>
      <c r="F22" s="45" t="str">
        <f t="shared" si="1"/>
        <v/>
      </c>
      <c r="G22" s="191" t="str">
        <f>IF(AND($C22="",$C21&lt;&gt;""),"Tổng Cộng",IFERROR(VLOOKUP($A22,Sheet1!$A$1:$D$98,4,0),""))</f>
        <v/>
      </c>
      <c r="H22" s="181" t="str">
        <f>IF($C21=MAX($C$8:$C$56),SUM($H$8:$H21),IFERROR($G22*$F22,""))</f>
        <v/>
      </c>
      <c r="I22" s="80" t="str">
        <f t="shared" si="2"/>
        <v/>
      </c>
      <c r="L22" s="46"/>
    </row>
    <row r="23" spans="1:12" s="44" customFormat="1" ht="14.25" customHeight="1" x14ac:dyDescent="0.25">
      <c r="A23" s="183" t="s">
        <v>298</v>
      </c>
      <c r="B23" s="183"/>
      <c r="C23" s="45" t="str">
        <f t="shared" si="0"/>
        <v/>
      </c>
      <c r="D23" s="179" t="str">
        <f>IFERROR(VLOOKUP($A23,Sheet1!$A$1:$B$98,2,0),"")</f>
        <v/>
      </c>
      <c r="E23" s="45" t="str">
        <f>IFERROR(VLOOKUP($A23,'Tổng Đơn'!$A$5:$E$79,5,0),"")</f>
        <v/>
      </c>
      <c r="F23" s="45" t="str">
        <f t="shared" si="1"/>
        <v/>
      </c>
      <c r="G23" s="191" t="str">
        <f>IF(AND($C23="",$C22&lt;&gt;""),"Tổng Cộng",IFERROR(VLOOKUP($A23,Sheet1!$A$1:$D$98,4,0),""))</f>
        <v/>
      </c>
      <c r="H23" s="181" t="str">
        <f>IF($C22=MAX($C$8:$C$56),SUM($H$8:$H22),IFERROR($G23*$F23,""))</f>
        <v/>
      </c>
      <c r="I23" s="80" t="str">
        <f t="shared" si="2"/>
        <v/>
      </c>
      <c r="L23" s="46"/>
    </row>
    <row r="24" spans="1:12" s="44" customFormat="1" ht="14.25" customHeight="1" x14ac:dyDescent="0.25">
      <c r="A24" s="183" t="s">
        <v>298</v>
      </c>
      <c r="B24" s="183"/>
      <c r="C24" s="45" t="str">
        <f t="shared" si="0"/>
        <v/>
      </c>
      <c r="D24" s="179" t="str">
        <f>IFERROR(VLOOKUP($A24,Sheet1!$A$1:$B$98,2,0),"")</f>
        <v/>
      </c>
      <c r="E24" s="45" t="str">
        <f>IFERROR(VLOOKUP($A24,'Tổng Đơn'!$A$5:$E$79,5,0),"")</f>
        <v/>
      </c>
      <c r="F24" s="45" t="str">
        <f t="shared" si="1"/>
        <v/>
      </c>
      <c r="G24" s="191" t="str">
        <f>IF(AND($C24="",$C23&lt;&gt;""),"Tổng Cộng",IFERROR(VLOOKUP($A24,Sheet1!$A$1:$D$98,4,0),""))</f>
        <v/>
      </c>
      <c r="H24" s="181" t="str">
        <f>IF($C23=MAX($C$8:$C$56),SUM($H$8:$H23),IFERROR($G24*$F24,""))</f>
        <v/>
      </c>
      <c r="I24" s="80" t="str">
        <f t="shared" si="2"/>
        <v/>
      </c>
      <c r="L24" s="46"/>
    </row>
    <row r="25" spans="1:12" s="44" customFormat="1" ht="14.25" customHeight="1" x14ac:dyDescent="0.25">
      <c r="A25" s="183" t="s">
        <v>298</v>
      </c>
      <c r="B25" s="183"/>
      <c r="C25" s="45" t="str">
        <f t="shared" si="0"/>
        <v/>
      </c>
      <c r="D25" s="179" t="str">
        <f>IFERROR(VLOOKUP($A25,Sheet1!$A$1:$B$98,2,0),"")</f>
        <v/>
      </c>
      <c r="E25" s="45" t="str">
        <f>IFERROR(VLOOKUP($A25,'Tổng Đơn'!$A$5:$E$79,5,0),"")</f>
        <v/>
      </c>
      <c r="F25" s="45" t="str">
        <f t="shared" si="1"/>
        <v/>
      </c>
      <c r="G25" s="191" t="str">
        <f>IF(AND($C25="",$C24&lt;&gt;""),"Tổng Cộng",IFERROR(VLOOKUP($A25,Sheet1!$A$1:$D$98,4,0),""))</f>
        <v/>
      </c>
      <c r="H25" s="181" t="str">
        <f>IF($C24=MAX($C$8:$C$56),SUM($H$8:$H24),IFERROR($G25*$F25,""))</f>
        <v/>
      </c>
      <c r="I25" s="80" t="str">
        <f t="shared" si="2"/>
        <v/>
      </c>
      <c r="L25" s="46"/>
    </row>
    <row r="26" spans="1:12" s="44" customFormat="1" ht="14.25" customHeight="1" x14ac:dyDescent="0.25">
      <c r="A26" s="183" t="s">
        <v>298</v>
      </c>
      <c r="B26" s="183"/>
      <c r="C26" s="45" t="str">
        <f t="shared" si="0"/>
        <v/>
      </c>
      <c r="D26" s="179" t="str">
        <f>IFERROR(VLOOKUP($A26,Sheet1!$A$1:$B$98,2,0),"")</f>
        <v/>
      </c>
      <c r="E26" s="45" t="str">
        <f>IFERROR(VLOOKUP($A26,'Tổng Đơn'!$A$5:$E$79,5,0),"")</f>
        <v/>
      </c>
      <c r="F26" s="45" t="str">
        <f t="shared" si="1"/>
        <v/>
      </c>
      <c r="G26" s="191" t="str">
        <f>IF(AND($C26="",$C25&lt;&gt;""),"Tổng Cộng",IFERROR(VLOOKUP($A26,Sheet1!$A$1:$D$98,4,0),""))</f>
        <v/>
      </c>
      <c r="H26" s="181" t="str">
        <f>IF($C25=MAX($C$8:$C$56),SUM($H$8:$H25),IFERROR($G26*$F26,""))</f>
        <v/>
      </c>
      <c r="I26" s="80" t="str">
        <f t="shared" si="2"/>
        <v/>
      </c>
      <c r="L26" s="46"/>
    </row>
    <row r="27" spans="1:12" s="44" customFormat="1" ht="14.25" customHeight="1" x14ac:dyDescent="0.25">
      <c r="A27" s="183" t="s">
        <v>298</v>
      </c>
      <c r="B27" s="183"/>
      <c r="C27" s="45" t="str">
        <f t="shared" si="0"/>
        <v/>
      </c>
      <c r="D27" s="179" t="str">
        <f>IFERROR(VLOOKUP($A27,Sheet1!$A$1:$B$98,2,0),"")</f>
        <v/>
      </c>
      <c r="E27" s="45" t="str">
        <f>IFERROR(VLOOKUP($A27,'Tổng Đơn'!$A$5:$E$79,5,0),"")</f>
        <v/>
      </c>
      <c r="F27" s="45" t="str">
        <f t="shared" si="1"/>
        <v/>
      </c>
      <c r="G27" s="191" t="str">
        <f>IF(AND($C27="",$C26&lt;&gt;""),"Tổng Cộng",IFERROR(VLOOKUP($A27,Sheet1!$A$1:$D$98,4,0),""))</f>
        <v/>
      </c>
      <c r="H27" s="181" t="str">
        <f>IF($C26=MAX($C$8:$C$56),SUM($H$8:$H26),IFERROR($G27*$F27,""))</f>
        <v/>
      </c>
      <c r="I27" s="80" t="str">
        <f t="shared" si="2"/>
        <v/>
      </c>
      <c r="L27" s="46"/>
    </row>
    <row r="28" spans="1:12" s="44" customFormat="1" ht="14.25" customHeight="1" x14ac:dyDescent="0.25">
      <c r="A28" s="183" t="s">
        <v>298</v>
      </c>
      <c r="B28" s="183"/>
      <c r="C28" s="45" t="str">
        <f t="shared" si="0"/>
        <v/>
      </c>
      <c r="D28" s="179" t="str">
        <f>IFERROR(VLOOKUP($A28,Sheet1!$A$1:$B$98,2,0),"")</f>
        <v/>
      </c>
      <c r="E28" s="45" t="str">
        <f>IFERROR(VLOOKUP($A28,'Tổng Đơn'!$A$5:$E$79,5,0),"")</f>
        <v/>
      </c>
      <c r="F28" s="45" t="str">
        <f t="shared" si="1"/>
        <v/>
      </c>
      <c r="G28" s="191" t="str">
        <f>IF(AND($C28="",$C27&lt;&gt;""),"Tổng Cộng",IFERROR(VLOOKUP($A28,Sheet1!$A$1:$D$98,4,0),""))</f>
        <v/>
      </c>
      <c r="H28" s="181" t="str">
        <f>IF($C27=MAX($C$8:$C$56),SUM($H$8:$H27),IFERROR($G28*$F28,""))</f>
        <v/>
      </c>
      <c r="I28" s="80" t="str">
        <f t="shared" si="2"/>
        <v/>
      </c>
      <c r="L28" s="46"/>
    </row>
    <row r="29" spans="1:12" s="44" customFormat="1" ht="14.25" customHeight="1" x14ac:dyDescent="0.25">
      <c r="A29" s="183" t="s">
        <v>298</v>
      </c>
      <c r="B29" s="183"/>
      <c r="C29" s="45" t="str">
        <f t="shared" si="0"/>
        <v/>
      </c>
      <c r="D29" s="179" t="str">
        <f>IFERROR(VLOOKUP($A29,Sheet1!$A$1:$B$98,2,0),"")</f>
        <v/>
      </c>
      <c r="E29" s="45" t="str">
        <f>IFERROR(VLOOKUP($A29,'Tổng Đơn'!$A$5:$E$79,5,0),"")</f>
        <v/>
      </c>
      <c r="F29" s="45" t="str">
        <f t="shared" si="1"/>
        <v/>
      </c>
      <c r="G29" s="191" t="str">
        <f>IF(AND($C29="",$C28&lt;&gt;""),"Tổng Cộng",IFERROR(VLOOKUP($A29,Sheet1!$A$1:$D$98,4,0),""))</f>
        <v/>
      </c>
      <c r="H29" s="181" t="str">
        <f>IF($C28=MAX($C$8:$C$56),SUM($H$8:$H28),IFERROR($G29*$F29,""))</f>
        <v/>
      </c>
      <c r="I29" s="80" t="str">
        <f t="shared" si="2"/>
        <v/>
      </c>
      <c r="L29" s="46"/>
    </row>
    <row r="30" spans="1:12" s="44" customFormat="1" ht="14.25" customHeight="1" x14ac:dyDescent="0.25">
      <c r="A30" s="183" t="s">
        <v>298</v>
      </c>
      <c r="B30" s="183"/>
      <c r="C30" s="45" t="str">
        <f t="shared" si="0"/>
        <v/>
      </c>
      <c r="D30" s="179" t="str">
        <f>IFERROR(VLOOKUP($A30,Sheet1!$A$1:$B$98,2,0),"")</f>
        <v/>
      </c>
      <c r="E30" s="45" t="str">
        <f>IFERROR(VLOOKUP($A30,'Tổng Đơn'!$A$5:$E$79,5,0),"")</f>
        <v/>
      </c>
      <c r="F30" s="45" t="str">
        <f t="shared" si="1"/>
        <v/>
      </c>
      <c r="G30" s="191" t="str">
        <f>IF(AND($C30="",$C29&lt;&gt;""),"Tổng Cộng",IFERROR(VLOOKUP($A30,Sheet1!$A$1:$D$98,4,0),""))</f>
        <v/>
      </c>
      <c r="H30" s="181" t="str">
        <f>IF($C29=MAX($C$8:$C$56),SUM($H$8:$H29),IFERROR($G30*$F30,""))</f>
        <v/>
      </c>
      <c r="I30" s="80" t="str">
        <f t="shared" si="2"/>
        <v/>
      </c>
      <c r="L30" s="46"/>
    </row>
    <row r="31" spans="1:12" s="44" customFormat="1" ht="14.25" customHeight="1" x14ac:dyDescent="0.25">
      <c r="A31" s="183" t="s">
        <v>298</v>
      </c>
      <c r="B31" s="183"/>
      <c r="C31" s="45" t="str">
        <f t="shared" si="0"/>
        <v/>
      </c>
      <c r="D31" s="179" t="str">
        <f>IFERROR(VLOOKUP($A31,Sheet1!$A$1:$B$98,2,0),"")</f>
        <v/>
      </c>
      <c r="E31" s="45" t="str">
        <f>IFERROR(VLOOKUP($A31,'Tổng Đơn'!$A$5:$E$79,5,0),"")</f>
        <v/>
      </c>
      <c r="F31" s="45" t="str">
        <f t="shared" si="1"/>
        <v/>
      </c>
      <c r="G31" s="191" t="str">
        <f>IF(AND($C31="",$C30&lt;&gt;""),"Tổng Cộng",IFERROR(VLOOKUP($A31,Sheet1!$A$1:$D$98,4,0),""))</f>
        <v/>
      </c>
      <c r="H31" s="181" t="str">
        <f>IF($C30=MAX($C$8:$C$56),SUM($H$8:$H30),IFERROR($G31*$F31,""))</f>
        <v/>
      </c>
      <c r="I31" s="80" t="str">
        <f t="shared" si="2"/>
        <v/>
      </c>
      <c r="L31" s="46"/>
    </row>
    <row r="32" spans="1:12" s="44" customFormat="1" ht="14.25" customHeight="1" x14ac:dyDescent="0.25">
      <c r="A32" s="183" t="s">
        <v>298</v>
      </c>
      <c r="B32" s="183"/>
      <c r="C32" s="45" t="str">
        <f t="shared" si="0"/>
        <v/>
      </c>
      <c r="D32" s="179" t="str">
        <f>IFERROR(VLOOKUP($A32,Sheet1!$A$1:$B$98,2,0),"")</f>
        <v/>
      </c>
      <c r="E32" s="45" t="str">
        <f>IFERROR(VLOOKUP($A32,'Tổng Đơn'!$A$5:$E$79,5,0),"")</f>
        <v/>
      </c>
      <c r="F32" s="45" t="str">
        <f t="shared" si="1"/>
        <v/>
      </c>
      <c r="G32" s="191" t="str">
        <f>IF(AND($C32="",$C31&lt;&gt;""),"Tổng Cộng",IFERROR(VLOOKUP($A32,Sheet1!$A$1:$D$98,4,0),""))</f>
        <v/>
      </c>
      <c r="H32" s="181" t="str">
        <f>IF($C31=MAX($C$8:$C$56),SUM($H$8:$H31),IFERROR($G32*$F32,""))</f>
        <v/>
      </c>
      <c r="I32" s="80" t="str">
        <f t="shared" si="2"/>
        <v/>
      </c>
      <c r="L32" s="46"/>
    </row>
    <row r="33" spans="1:12" s="44" customFormat="1" ht="14.25" customHeight="1" x14ac:dyDescent="0.25">
      <c r="A33" s="183" t="s">
        <v>298</v>
      </c>
      <c r="B33" s="183"/>
      <c r="C33" s="45" t="str">
        <f t="shared" si="0"/>
        <v/>
      </c>
      <c r="D33" s="179" t="str">
        <f>IFERROR(VLOOKUP($A33,Sheet1!$A$1:$B$98,2,0),"")</f>
        <v/>
      </c>
      <c r="E33" s="45" t="str">
        <f>IFERROR(VLOOKUP($A33,'Tổng Đơn'!$A$5:$E$79,5,0),"")</f>
        <v/>
      </c>
      <c r="F33" s="45" t="str">
        <f t="shared" si="1"/>
        <v/>
      </c>
      <c r="G33" s="191" t="str">
        <f>IF(AND($C33="",$C32&lt;&gt;""),"Tổng Cộng",IFERROR(VLOOKUP($A33,Sheet1!$A$1:$D$98,4,0),""))</f>
        <v/>
      </c>
      <c r="H33" s="181" t="str">
        <f>IF($C32=MAX($C$8:$C$56),SUM($H$8:$H32),IFERROR($G33*$F33,""))</f>
        <v/>
      </c>
      <c r="I33" s="80" t="str">
        <f t="shared" si="2"/>
        <v/>
      </c>
      <c r="L33" s="46"/>
    </row>
    <row r="34" spans="1:12" s="44" customFormat="1" ht="14.25" customHeight="1" x14ac:dyDescent="0.25">
      <c r="A34" s="183" t="s">
        <v>298</v>
      </c>
      <c r="B34" s="183"/>
      <c r="C34" s="45" t="str">
        <f t="shared" si="0"/>
        <v/>
      </c>
      <c r="D34" s="179" t="str">
        <f>IFERROR(VLOOKUP($A34,Sheet1!$A$1:$B$98,2,0),"")</f>
        <v/>
      </c>
      <c r="E34" s="45" t="str">
        <f>IFERROR(VLOOKUP($A34,'Tổng Đơn'!$A$5:$E$79,5,0),"")</f>
        <v/>
      </c>
      <c r="F34" s="45" t="str">
        <f t="shared" si="1"/>
        <v/>
      </c>
      <c r="G34" s="191" t="str">
        <f>IF(AND($C34="",$C33&lt;&gt;""),"Tổng Cộng",IFERROR(VLOOKUP($A34,Sheet1!$A$1:$D$98,4,0),""))</f>
        <v/>
      </c>
      <c r="H34" s="181" t="str">
        <f>IF($C33=MAX($C$8:$C$56),SUM($H$8:$H33),IFERROR($G34*$F34,""))</f>
        <v/>
      </c>
      <c r="I34" s="80" t="str">
        <f t="shared" si="2"/>
        <v/>
      </c>
      <c r="L34" s="46"/>
    </row>
    <row r="35" spans="1:12" s="44" customFormat="1" ht="14.25" customHeight="1" x14ac:dyDescent="0.25">
      <c r="A35" s="183" t="s">
        <v>298</v>
      </c>
      <c r="B35" s="183"/>
      <c r="C35" s="45" t="str">
        <f t="shared" si="0"/>
        <v/>
      </c>
      <c r="D35" s="179" t="str">
        <f>IFERROR(VLOOKUP($A35,Sheet1!$A$1:$B$98,2,0),"")</f>
        <v/>
      </c>
      <c r="E35" s="45" t="str">
        <f>IFERROR(VLOOKUP($A35,'Tổng Đơn'!$A$5:$E$79,5,0),"")</f>
        <v/>
      </c>
      <c r="F35" s="45" t="str">
        <f t="shared" si="1"/>
        <v/>
      </c>
      <c r="G35" s="191" t="str">
        <f>IF(AND($C35="",$C34&lt;&gt;""),"Tổng Cộng",IFERROR(VLOOKUP($A35,Sheet1!$A$1:$D$98,4,0),""))</f>
        <v/>
      </c>
      <c r="H35" s="181" t="str">
        <f>IF($C34=MAX($C$8:$C$56),SUM($H$8:$H34),IFERROR($G35*$F35,""))</f>
        <v/>
      </c>
      <c r="I35" s="80" t="str">
        <f t="shared" si="2"/>
        <v/>
      </c>
      <c r="L35" s="46"/>
    </row>
    <row r="36" spans="1:12" s="44" customFormat="1" ht="14.25" customHeight="1" x14ac:dyDescent="0.25">
      <c r="A36" s="183" t="s">
        <v>298</v>
      </c>
      <c r="B36" s="183"/>
      <c r="C36" s="45" t="str">
        <f t="shared" si="0"/>
        <v/>
      </c>
      <c r="D36" s="179" t="str">
        <f>IFERROR(VLOOKUP($A36,Sheet1!$A$1:$B$98,2,0),"")</f>
        <v/>
      </c>
      <c r="E36" s="45" t="str">
        <f>IFERROR(VLOOKUP($A36,'Tổng Đơn'!$A$5:$E$79,5,0),"")</f>
        <v/>
      </c>
      <c r="F36" s="45" t="str">
        <f t="shared" si="1"/>
        <v/>
      </c>
      <c r="G36" s="191" t="str">
        <f>IF(AND($C36="",$C35&lt;&gt;""),"Tổng Cộng",IFERROR(VLOOKUP($A36,Sheet1!$A$1:$D$98,4,0),""))</f>
        <v/>
      </c>
      <c r="H36" s="181" t="str">
        <f>IF($C35=MAX($C$8:$C$56),SUM($H$8:$H35),IFERROR($G36*$F36,""))</f>
        <v/>
      </c>
      <c r="I36" s="80" t="str">
        <f t="shared" si="2"/>
        <v/>
      </c>
      <c r="L36" s="46"/>
    </row>
    <row r="37" spans="1:12" s="44" customFormat="1" ht="14.25" customHeight="1" x14ac:dyDescent="0.25">
      <c r="A37" s="183" t="s">
        <v>298</v>
      </c>
      <c r="B37" s="183"/>
      <c r="C37" s="45" t="str">
        <f t="shared" si="0"/>
        <v/>
      </c>
      <c r="D37" s="179" t="str">
        <f>IFERROR(VLOOKUP($A37,Sheet1!$A$1:$B$98,2,0),"")</f>
        <v/>
      </c>
      <c r="E37" s="45" t="str">
        <f>IFERROR(VLOOKUP($A37,'Tổng Đơn'!$A$5:$E$79,5,0),"")</f>
        <v/>
      </c>
      <c r="F37" s="45" t="str">
        <f t="shared" si="1"/>
        <v/>
      </c>
      <c r="G37" s="191" t="str">
        <f>IF(AND($C37="",$C36&lt;&gt;""),"Tổng Cộng",IFERROR(VLOOKUP($A37,Sheet1!$A$1:$D$98,4,0),""))</f>
        <v/>
      </c>
      <c r="H37" s="181" t="str">
        <f>IF($C36=MAX($C$8:$C$56),SUM($H$8:$H36),IFERROR($G37*$F37,""))</f>
        <v/>
      </c>
      <c r="I37" s="80" t="str">
        <f t="shared" si="2"/>
        <v/>
      </c>
      <c r="L37" s="46"/>
    </row>
    <row r="38" spans="1:12" s="44" customFormat="1" ht="14.25" customHeight="1" x14ac:dyDescent="0.25">
      <c r="A38" s="183"/>
      <c r="B38" s="183"/>
      <c r="C38" s="48"/>
      <c r="D38" s="49"/>
      <c r="E38" s="78"/>
      <c r="F38" s="45"/>
      <c r="G38" s="192" t="str">
        <f>IF(AND($C38="",$C37&lt;&gt;""),"Tổng Cộng",IFERROR(VLOOKUP($A38,Sheet1!$A$1:$D$98,4,0),""))</f>
        <v/>
      </c>
      <c r="H38" s="50" t="str">
        <f>IF($C37=MAX($C$8:$C$56),SUM($H$8:$H37),IFERROR($G38*$F38,""))</f>
        <v/>
      </c>
      <c r="I38" s="80"/>
      <c r="L38" s="46"/>
    </row>
    <row r="39" spans="1:12" ht="15" customHeight="1" x14ac:dyDescent="0.25">
      <c r="F39" s="51"/>
      <c r="G39" s="171"/>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H9 C38:E38 C9:G9 F15:H38 D15:E37 D10:H14">
    <cfRule type="expression" dxfId="35" priority="2">
      <formula>$C7=MAX($C$8:$C$37)</formula>
    </cfRule>
  </conditionalFormatting>
  <conditionalFormatting sqref="C10:C37">
    <cfRule type="expression" dxfId="34" priority="1">
      <formula>$C9=MAX($C$8:$C$37)</formula>
    </cfRule>
  </conditionalFormatting>
  <conditionalFormatting sqref="E8:E38">
    <cfRule type="expression" dxfId="33" priority="3">
      <formula>AND($A8="",$F8&lt;&gt;"")</formula>
    </cfRule>
  </conditionalFormatting>
  <conditionalFormatting sqref="F8:F38">
    <cfRule type="expression" dxfId="32"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48481" r:id="rId4" name="Button 1">
              <controlPr defaultSize="0" print="0" autoFill="0" autoPict="0" macro="[0]!Macro4">
                <anchor moveWithCells="1" sizeWithCells="1">
                  <from>
                    <xdr:col>0</xdr:col>
                    <xdr:colOff>0</xdr:colOff>
                    <xdr:row>0</xdr:row>
                    <xdr:rowOff>0</xdr:rowOff>
                  </from>
                  <to>
                    <xdr:col>1</xdr:col>
                    <xdr:colOff>723900</xdr:colOff>
                    <xdr:row>7</xdr:row>
                    <xdr:rowOff>0</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tabColor theme="1"/>
    <pageSetUpPr fitToPage="1"/>
  </sheetPr>
  <dimension ref="A1:N53"/>
  <sheetViews>
    <sheetView zoomScaleNormal="100" workbookViewId="0">
      <pane ySplit="7" topLeftCell="A8" activePane="bottomLeft" state="frozen"/>
      <selection activeCell="L2" sqref="L2:L29"/>
      <selection pane="bottomLeft" activeCell="A10" sqref="A10"/>
    </sheetView>
  </sheetViews>
  <sheetFormatPr defaultRowHeight="15" x14ac:dyDescent="0.25"/>
  <cols>
    <col min="1" max="1" width="11.7109375" style="14" customWidth="1"/>
    <col min="2" max="2" width="11.28515625" style="14" customWidth="1"/>
    <col min="3" max="3" width="9.140625" style="14"/>
    <col min="4" max="4" width="38.42578125" style="14" bestFit="1" customWidth="1"/>
    <col min="5" max="5" width="12.28515625" style="79"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33" t="s">
        <v>223</v>
      </c>
      <c r="D1" s="233"/>
      <c r="E1" s="233"/>
      <c r="F1" s="233"/>
      <c r="G1" s="233"/>
      <c r="H1" s="233"/>
    </row>
    <row r="2" spans="1:14" ht="15.75" customHeight="1" x14ac:dyDescent="0.25">
      <c r="C2" s="233"/>
      <c r="D2" s="233"/>
      <c r="E2" s="233"/>
      <c r="F2" s="233"/>
      <c r="G2" s="233"/>
      <c r="H2" s="233"/>
    </row>
    <row r="3" spans="1:14" ht="15" customHeight="1" x14ac:dyDescent="0.25">
      <c r="C3" s="235" t="s">
        <v>225</v>
      </c>
      <c r="D3" s="235"/>
      <c r="E3" s="235"/>
      <c r="F3" s="238" t="s">
        <v>227</v>
      </c>
      <c r="G3" s="238"/>
      <c r="H3" s="238"/>
    </row>
    <row r="4" spans="1:14" x14ac:dyDescent="0.25">
      <c r="C4" s="236" t="s">
        <v>226</v>
      </c>
      <c r="D4" s="236"/>
      <c r="E4" s="236"/>
      <c r="F4" s="239" t="s">
        <v>228</v>
      </c>
      <c r="G4" s="239"/>
      <c r="H4" s="239"/>
    </row>
    <row r="5" spans="1:14" s="172" customFormat="1" ht="21" customHeight="1" x14ac:dyDescent="0.25">
      <c r="C5" s="237" t="s">
        <v>224</v>
      </c>
      <c r="D5" s="237"/>
      <c r="E5" s="237"/>
      <c r="F5" s="237"/>
      <c r="G5" s="237"/>
      <c r="H5" s="237"/>
    </row>
    <row r="6" spans="1:14" s="172" customFormat="1" ht="17.25" customHeight="1" x14ac:dyDescent="0.25">
      <c r="C6" s="182" t="s">
        <v>229</v>
      </c>
      <c r="D6" s="187" t="s">
        <v>307</v>
      </c>
      <c r="E6" s="177"/>
      <c r="F6" s="177"/>
      <c r="G6" s="234" t="str">
        <f ca="1">"Ngày "&amp;DAY(TODAY())&amp;" Tháng "&amp;MONTH(TODAY())&amp;" Năm "&amp;YEAR(TODAY())</f>
        <v>Ngày 14 Tháng 2 Năm 2022</v>
      </c>
      <c r="H6" s="234"/>
    </row>
    <row r="7" spans="1:14" s="176" customFormat="1" ht="24" customHeight="1" x14ac:dyDescent="0.25">
      <c r="A7" s="173" t="s">
        <v>118</v>
      </c>
      <c r="B7" s="173" t="s">
        <v>16</v>
      </c>
      <c r="C7" s="174" t="s">
        <v>0</v>
      </c>
      <c r="D7" s="174" t="s">
        <v>17</v>
      </c>
      <c r="E7" s="178" t="str">
        <f>"Quy cách"&amp;CHAR(10)&amp;"(Kg)"</f>
        <v>Quy cách
(Kg)</v>
      </c>
      <c r="F7" s="174" t="s">
        <v>16</v>
      </c>
      <c r="G7" s="174" t="s">
        <v>18</v>
      </c>
      <c r="H7" s="174" t="s">
        <v>19</v>
      </c>
      <c r="I7" s="175">
        <f>SUBTOTAL(9,I8:I37)</f>
        <v>1</v>
      </c>
      <c r="L7" s="172"/>
    </row>
    <row r="8" spans="1:14" s="44" customFormat="1" ht="14.25" customHeight="1" x14ac:dyDescent="0.25">
      <c r="A8" s="183">
        <v>20</v>
      </c>
      <c r="B8" s="183">
        <v>1</v>
      </c>
      <c r="C8" s="45">
        <f t="shared" ref="C8:C37" si="0">IF(OR(SUM($C7,$A8&lt;&gt;"")=0,$A8=""),"",SUM($C7,$A8&lt;&gt;""))</f>
        <v>1</v>
      </c>
      <c r="D8" s="179" t="str">
        <f>IFERROR(VLOOKUP($A8,Sheet1!$A$1:$B$98,2,0),"")</f>
        <v>XX Đỏ ĐNA (bao xanh)</v>
      </c>
      <c r="E8" s="180">
        <f>IFERROR(VLOOKUP($A8,'Tổng Đơn'!$A$5:$E$79,5,0),"")</f>
        <v>0.5</v>
      </c>
      <c r="F8" s="45">
        <f t="shared" ref="F8:F37" si="1">IF($B8="","",B8)</f>
        <v>1</v>
      </c>
      <c r="G8" s="191">
        <f>IFERROR(VLOOKUP($A8,Sheet1!$A1:$D$98,4,0),"")</f>
        <v>26000</v>
      </c>
      <c r="H8" s="181">
        <f>IF($C7=MAX($C$8:$C$56),SUM($H7:$H$8),IFERROR($G8*$F8,""))</f>
        <v>26000</v>
      </c>
      <c r="I8" s="80">
        <f t="shared" ref="I8:I37" si="2">IF(TYPE($A8)&lt;&gt;1,"",IFERROR(F8*E8,""))</f>
        <v>0.5</v>
      </c>
      <c r="L8" s="47"/>
    </row>
    <row r="9" spans="1:14" s="44" customFormat="1" ht="14.25" customHeight="1" x14ac:dyDescent="0.25">
      <c r="A9" s="183">
        <v>17</v>
      </c>
      <c r="B9" s="183">
        <v>1</v>
      </c>
      <c r="C9" s="45">
        <f t="shared" si="0"/>
        <v>2</v>
      </c>
      <c r="D9" s="179" t="str">
        <f>IFERROR(VLOOKUP($A9,Sheet1!$A$1:$B$98,2,0),"")</f>
        <v>Phô mai viên (35v)</v>
      </c>
      <c r="E9" s="45">
        <f>IFERROR(VLOOKUP($A9,'Tổng Đơn'!$A$5:$E$79,5,0),"")</f>
        <v>0.5</v>
      </c>
      <c r="F9" s="45">
        <f t="shared" si="1"/>
        <v>1</v>
      </c>
      <c r="G9" s="191">
        <f>IF(AND($C9="",$C8&lt;&gt;""),"Tổng Cộng",IFERROR(VLOOKUP($A9,Sheet1!$A$1:$D$98,4,0),""))</f>
        <v>40000</v>
      </c>
      <c r="H9" s="181">
        <f>IF($C8=MAX($C$8:$C$56),SUM($H$8:$H8),IFERROR($G9*$F9,""))</f>
        <v>40000</v>
      </c>
      <c r="I9" s="80">
        <f t="shared" si="2"/>
        <v>0.5</v>
      </c>
      <c r="L9" s="46"/>
    </row>
    <row r="10" spans="1:14" s="44" customFormat="1" ht="14.25" customHeight="1" x14ac:dyDescent="0.25">
      <c r="A10" s="183" t="s">
        <v>298</v>
      </c>
      <c r="B10" s="183"/>
      <c r="C10" s="45" t="str">
        <f t="shared" si="0"/>
        <v/>
      </c>
      <c r="D10" s="179" t="str">
        <f>IFERROR(VLOOKUP($A10,Sheet1!$A$1:$B$98,2,0),"")</f>
        <v/>
      </c>
      <c r="E10" s="45" t="str">
        <f>IFERROR(VLOOKUP($A10,'Tổng Đơn'!$A$5:$E$79,5,0),"")</f>
        <v/>
      </c>
      <c r="F10" s="45" t="str">
        <f t="shared" si="1"/>
        <v/>
      </c>
      <c r="G10" s="191" t="str">
        <f>IF(AND($C10="",$C9&lt;&gt;""),"Tổng Cộng",IFERROR(VLOOKUP($A10,Sheet1!$A$1:$D$98,4,0),""))</f>
        <v>Tổng Cộng</v>
      </c>
      <c r="H10" s="181">
        <f>IF($C9=MAX($C$8:$C$56),SUM($H$8:$H9),IFERROR($G10*$F10,""))</f>
        <v>66000</v>
      </c>
      <c r="I10" s="80" t="str">
        <f t="shared" si="2"/>
        <v/>
      </c>
      <c r="L10" s="46"/>
    </row>
    <row r="11" spans="1:14" s="44" customFormat="1" ht="14.25" customHeight="1" x14ac:dyDescent="0.25">
      <c r="A11" s="183" t="s">
        <v>298</v>
      </c>
      <c r="B11" s="183"/>
      <c r="C11" s="45" t="str">
        <f t="shared" si="0"/>
        <v/>
      </c>
      <c r="D11" s="179" t="str">
        <f>IFERROR(VLOOKUP($A11,Sheet1!$A$1:$B$98,2,0),"")</f>
        <v/>
      </c>
      <c r="E11" s="45" t="str">
        <f>IFERROR(VLOOKUP($A11,'Tổng Đơn'!$A$5:$E$79,5,0),"")</f>
        <v/>
      </c>
      <c r="F11" s="45" t="str">
        <f t="shared" si="1"/>
        <v/>
      </c>
      <c r="G11" s="191" t="str">
        <f>IF(AND($C11="",$C10&lt;&gt;""),"Tổng Cộng",IFERROR(VLOOKUP($A11,Sheet1!$A$1:$D$98,4,0),""))</f>
        <v/>
      </c>
      <c r="H11" s="181" t="str">
        <f>IF($C10=MAX($C$8:$C$56),SUM($H$8:$H10),IFERROR($G11*$F11,""))</f>
        <v/>
      </c>
      <c r="I11" s="80" t="str">
        <f t="shared" si="2"/>
        <v/>
      </c>
      <c r="L11" s="46"/>
    </row>
    <row r="12" spans="1:14" s="44" customFormat="1" ht="14.25" customHeight="1" x14ac:dyDescent="0.25">
      <c r="A12" s="183" t="s">
        <v>298</v>
      </c>
      <c r="B12" s="183"/>
      <c r="C12" s="45" t="str">
        <f t="shared" si="0"/>
        <v/>
      </c>
      <c r="D12" s="179" t="str">
        <f>IFERROR(VLOOKUP($A12,Sheet1!$A$1:$B$98,2,0),"")</f>
        <v/>
      </c>
      <c r="E12" s="45" t="str">
        <f>IFERROR(VLOOKUP($A12,'Tổng Đơn'!$A$5:$E$79,5,0),"")</f>
        <v/>
      </c>
      <c r="F12" s="45" t="str">
        <f t="shared" si="1"/>
        <v/>
      </c>
      <c r="G12" s="191" t="str">
        <f>IF(AND($C12="",$C11&lt;&gt;""),"Tổng Cộng",IFERROR(VLOOKUP($A12,Sheet1!$A$1:$D$98,4,0),""))</f>
        <v/>
      </c>
      <c r="H12" s="181" t="str">
        <f>IF($C11=MAX($C$8:$C$56),SUM($H$8:$H11),IFERROR($G12*$F12,""))</f>
        <v/>
      </c>
      <c r="I12" s="80" t="str">
        <f t="shared" si="2"/>
        <v/>
      </c>
      <c r="J12" s="153"/>
      <c r="L12" s="46"/>
      <c r="M12" s="161"/>
      <c r="N12" s="154"/>
    </row>
    <row r="13" spans="1:14" s="44" customFormat="1" ht="14.25" customHeight="1" x14ac:dyDescent="0.25">
      <c r="A13" s="183" t="s">
        <v>298</v>
      </c>
      <c r="B13" s="183"/>
      <c r="C13" s="45" t="str">
        <f t="shared" si="0"/>
        <v/>
      </c>
      <c r="D13" s="179" t="str">
        <f>IFERROR(VLOOKUP($A13,Sheet1!$A$1:$B$98,2,0),"")</f>
        <v/>
      </c>
      <c r="E13" s="45" t="str">
        <f>IFERROR(VLOOKUP($A13,'Tổng Đơn'!$A$5:$E$79,5,0),"")</f>
        <v/>
      </c>
      <c r="F13" s="45" t="str">
        <f t="shared" si="1"/>
        <v/>
      </c>
      <c r="G13" s="191" t="str">
        <f>IF(AND($C13="",$C12&lt;&gt;""),"Tổng Cộng",IFERROR(VLOOKUP($A13,Sheet1!$A$1:$D$98,4,0),""))</f>
        <v/>
      </c>
      <c r="H13" s="181" t="str">
        <f>IF($C12=MAX($C$8:$C$56),SUM($H$8:$H12),IFERROR($G13*$F13,""))</f>
        <v/>
      </c>
      <c r="I13" s="80" t="str">
        <f t="shared" si="2"/>
        <v/>
      </c>
      <c r="L13" s="46"/>
    </row>
    <row r="14" spans="1:14" s="44" customFormat="1" ht="14.25" customHeight="1" x14ac:dyDescent="0.25">
      <c r="A14" s="183" t="s">
        <v>298</v>
      </c>
      <c r="B14" s="183"/>
      <c r="C14" s="45" t="str">
        <f t="shared" si="0"/>
        <v/>
      </c>
      <c r="D14" s="179" t="str">
        <f>IFERROR(VLOOKUP($A14,Sheet1!$A$1:$B$98,2,0),"")</f>
        <v/>
      </c>
      <c r="E14" s="45" t="str">
        <f>IFERROR(VLOOKUP($A14,'Tổng Đơn'!$A$5:$E$79,5,0),"")</f>
        <v/>
      </c>
      <c r="F14" s="45" t="str">
        <f t="shared" si="1"/>
        <v/>
      </c>
      <c r="G14" s="191" t="str">
        <f>IF(AND($C14="",$C13&lt;&gt;""),"Tổng Cộng",IFERROR(VLOOKUP($A14,Sheet1!$A$1:$D$98,4,0),""))</f>
        <v/>
      </c>
      <c r="H14" s="181" t="str">
        <f>IF($C13=MAX($C$8:$C$56),SUM($H$8:$H13),IFERROR($G14*$F14,""))</f>
        <v/>
      </c>
      <c r="I14" s="80" t="str">
        <f t="shared" si="2"/>
        <v/>
      </c>
      <c r="L14" s="46"/>
      <c r="M14" s="162"/>
    </row>
    <row r="15" spans="1:14" s="44" customFormat="1" ht="14.25" customHeight="1" x14ac:dyDescent="0.25">
      <c r="A15" s="183" t="s">
        <v>298</v>
      </c>
      <c r="B15" s="183"/>
      <c r="C15" s="45" t="str">
        <f t="shared" si="0"/>
        <v/>
      </c>
      <c r="D15" s="179" t="str">
        <f>IFERROR(VLOOKUP($A15,Sheet1!$A$1:$B$98,2,0),"")</f>
        <v/>
      </c>
      <c r="E15" s="45" t="str">
        <f>IFERROR(VLOOKUP($A15,'Tổng Đơn'!$A$5:$E$79,5,0),"")</f>
        <v/>
      </c>
      <c r="F15" s="45" t="str">
        <f t="shared" si="1"/>
        <v/>
      </c>
      <c r="G15" s="191" t="str">
        <f>IF(AND($C15="",$C14&lt;&gt;""),"Tổng Cộng",IFERROR(VLOOKUP($A15,Sheet1!$A$1:$D$98,4,0),""))</f>
        <v/>
      </c>
      <c r="H15" s="181" t="str">
        <f>IF($C14=MAX($C$8:$C$56),SUM($H$8:$H14),IFERROR($G15*$F15,""))</f>
        <v/>
      </c>
      <c r="I15" s="80" t="str">
        <f t="shared" si="2"/>
        <v/>
      </c>
      <c r="L15" s="46"/>
    </row>
    <row r="16" spans="1:14" s="44" customFormat="1" ht="14.25" customHeight="1" x14ac:dyDescent="0.25">
      <c r="A16" s="183" t="s">
        <v>298</v>
      </c>
      <c r="B16" s="183"/>
      <c r="C16" s="45" t="str">
        <f t="shared" si="0"/>
        <v/>
      </c>
      <c r="D16" s="179" t="str">
        <f>IFERROR(VLOOKUP($A16,Sheet1!$A$1:$B$98,2,0),"")</f>
        <v/>
      </c>
      <c r="E16" s="45" t="str">
        <f>IFERROR(VLOOKUP($A16,'Tổng Đơn'!$A$5:$E$79,5,0),"")</f>
        <v/>
      </c>
      <c r="F16" s="45" t="str">
        <f t="shared" si="1"/>
        <v/>
      </c>
      <c r="G16" s="191" t="str">
        <f>IF(AND($C16="",$C15&lt;&gt;""),"Tổng Cộng",IFERROR(VLOOKUP($A16,Sheet1!$A$1:$D$98,4,0),""))</f>
        <v/>
      </c>
      <c r="H16" s="181" t="str">
        <f>IF($C15=MAX($C$8:$C$56),SUM($H$8:$H15),IFERROR($G16*$F16,""))</f>
        <v/>
      </c>
      <c r="I16" s="80" t="str">
        <f t="shared" si="2"/>
        <v/>
      </c>
      <c r="L16" s="46"/>
    </row>
    <row r="17" spans="1:12" s="44" customFormat="1" ht="14.25" customHeight="1" x14ac:dyDescent="0.25">
      <c r="A17" s="183" t="s">
        <v>298</v>
      </c>
      <c r="B17" s="183"/>
      <c r="C17" s="45" t="str">
        <f t="shared" si="0"/>
        <v/>
      </c>
      <c r="D17" s="190" t="str">
        <f>IFERROR(VLOOKUP($A17,Sheet1!$A$1:$B$98,2,0),"")</f>
        <v/>
      </c>
      <c r="E17" s="45" t="str">
        <f>IFERROR(VLOOKUP($A17,'Tổng Đơn'!$A$5:$E$79,5,0),"")</f>
        <v/>
      </c>
      <c r="F17" s="45" t="str">
        <f t="shared" si="1"/>
        <v/>
      </c>
      <c r="G17" s="191" t="str">
        <f>IF(AND($C17="",$C16&lt;&gt;""),"Tổng Cộng",IFERROR(VLOOKUP($A17,Sheet1!$A$1:$D$98,4,0),""))</f>
        <v/>
      </c>
      <c r="H17" s="181" t="str">
        <f>IF($C16=MAX($C$8:$C$56),SUM($H$8:$H16),IFERROR($G17*$F17,""))</f>
        <v/>
      </c>
      <c r="I17" s="80" t="str">
        <f t="shared" si="2"/>
        <v/>
      </c>
      <c r="L17" s="46"/>
    </row>
    <row r="18" spans="1:12" s="44" customFormat="1" ht="14.25" customHeight="1" x14ac:dyDescent="0.25">
      <c r="A18" s="183" t="s">
        <v>298</v>
      </c>
      <c r="B18" s="183"/>
      <c r="C18" s="45" t="str">
        <f t="shared" si="0"/>
        <v/>
      </c>
      <c r="D18" s="190" t="str">
        <f>IFERROR(VLOOKUP($A18,Sheet1!$A$1:$B$98,2,0),"")</f>
        <v/>
      </c>
      <c r="E18" s="45" t="str">
        <f>IFERROR(VLOOKUP($A18,'Tổng Đơn'!$A$5:$E$79,5,0),"")</f>
        <v/>
      </c>
      <c r="F18" s="45" t="str">
        <f t="shared" si="1"/>
        <v/>
      </c>
      <c r="G18" s="191" t="str">
        <f>IF(AND($C18="",$C17&lt;&gt;""),"Tổng Cộng",IFERROR(VLOOKUP($A18,Sheet1!$A$1:$D$98,4,0),""))</f>
        <v/>
      </c>
      <c r="H18" s="181" t="str">
        <f>IF($C17=MAX($C$8:$C$56),SUM($H$8:$H17),IFERROR($G18*$F18,""))</f>
        <v/>
      </c>
      <c r="I18" s="80" t="str">
        <f t="shared" si="2"/>
        <v/>
      </c>
      <c r="L18" s="46"/>
    </row>
    <row r="19" spans="1:12" s="44" customFormat="1" ht="14.25" customHeight="1" x14ac:dyDescent="0.25">
      <c r="A19" s="183" t="s">
        <v>298</v>
      </c>
      <c r="B19" s="183"/>
      <c r="C19" s="45" t="str">
        <f t="shared" si="0"/>
        <v/>
      </c>
      <c r="D19" s="190" t="str">
        <f>IFERROR(VLOOKUP($A19,Sheet1!$A$1:$B$98,2,0),"")</f>
        <v/>
      </c>
      <c r="E19" s="45" t="str">
        <f>IFERROR(VLOOKUP($A19,'Tổng Đơn'!$A$5:$E$79,5,0),"")</f>
        <v/>
      </c>
      <c r="F19" s="45" t="str">
        <f t="shared" si="1"/>
        <v/>
      </c>
      <c r="G19" s="191" t="str">
        <f>IF(AND($C19="",$C18&lt;&gt;""),"Tổng Cộng",IFERROR(VLOOKUP($A19,Sheet1!$A$1:$D$98,4,0),""))</f>
        <v/>
      </c>
      <c r="H19" s="181" t="str">
        <f>IF($C18=MAX($C$8:$C$56),SUM($H$8:$H18),IFERROR($G19*$F19,""))</f>
        <v/>
      </c>
      <c r="I19" s="80" t="str">
        <f t="shared" si="2"/>
        <v/>
      </c>
      <c r="L19" s="46"/>
    </row>
    <row r="20" spans="1:12" s="44" customFormat="1" ht="14.25" customHeight="1" x14ac:dyDescent="0.25">
      <c r="A20" s="183" t="s">
        <v>298</v>
      </c>
      <c r="B20" s="183"/>
      <c r="C20" s="45" t="str">
        <f t="shared" si="0"/>
        <v/>
      </c>
      <c r="D20" s="190" t="str">
        <f>IFERROR(VLOOKUP($A20,Sheet1!$A$1:$B$98,2,0),"")</f>
        <v/>
      </c>
      <c r="E20" s="45" t="str">
        <f>IFERROR(VLOOKUP($A20,'Tổng Đơn'!$A$5:$E$79,5,0),"")</f>
        <v/>
      </c>
      <c r="F20" s="45" t="str">
        <f t="shared" si="1"/>
        <v/>
      </c>
      <c r="G20" s="191" t="str">
        <f>IF(AND($C20="",$C19&lt;&gt;""),"Tổng Cộng",IFERROR(VLOOKUP($A20,Sheet1!$A$1:$D$98,4,0),""))</f>
        <v/>
      </c>
      <c r="H20" s="181" t="str">
        <f>IF($C19=MAX($C$8:$C$56),SUM($H$8:$H19),IFERROR($G20*$F20,""))</f>
        <v/>
      </c>
      <c r="I20" s="80" t="str">
        <f t="shared" si="2"/>
        <v/>
      </c>
      <c r="L20" s="46"/>
    </row>
    <row r="21" spans="1:12" s="44" customFormat="1" ht="14.25" customHeight="1" x14ac:dyDescent="0.25">
      <c r="A21" s="183" t="s">
        <v>298</v>
      </c>
      <c r="B21" s="183"/>
      <c r="C21" s="45" t="str">
        <f t="shared" si="0"/>
        <v/>
      </c>
      <c r="D21" s="190" t="str">
        <f>IFERROR(VLOOKUP($A21,Sheet1!$A$1:$B$98,2,0),"")</f>
        <v/>
      </c>
      <c r="E21" s="45" t="str">
        <f>IFERROR(VLOOKUP($A21,'Tổng Đơn'!$A$5:$E$79,5,0),"")</f>
        <v/>
      </c>
      <c r="F21" s="45" t="str">
        <f t="shared" si="1"/>
        <v/>
      </c>
      <c r="G21" s="191" t="str">
        <f>IF(AND($C21="",$C20&lt;&gt;""),"Tổng Cộng",IFERROR(VLOOKUP($A21,Sheet1!$A$1:$D$98,4,0),""))</f>
        <v/>
      </c>
      <c r="H21" s="181" t="str">
        <f>IF($C20=MAX($C$8:$C$56),SUM($H$8:$H20),IFERROR($G21*$F21,""))</f>
        <v/>
      </c>
      <c r="I21" s="80" t="str">
        <f t="shared" si="2"/>
        <v/>
      </c>
      <c r="L21" s="46"/>
    </row>
    <row r="22" spans="1:12" s="44" customFormat="1" ht="14.25" customHeight="1" x14ac:dyDescent="0.25">
      <c r="A22" s="183" t="s">
        <v>298</v>
      </c>
      <c r="B22" s="183"/>
      <c r="C22" s="45" t="str">
        <f t="shared" si="0"/>
        <v/>
      </c>
      <c r="D22" s="179" t="str">
        <f>IFERROR(VLOOKUP($A22,Sheet1!$A$1:$B$98,2,0),"")</f>
        <v/>
      </c>
      <c r="E22" s="45" t="str">
        <f>IFERROR(VLOOKUP($A22,'Tổng Đơn'!$A$5:$E$79,5,0),"")</f>
        <v/>
      </c>
      <c r="F22" s="45" t="str">
        <f t="shared" si="1"/>
        <v/>
      </c>
      <c r="G22" s="191" t="str">
        <f>IF(AND($C22="",$C21&lt;&gt;""),"Tổng Cộng",IFERROR(VLOOKUP($A22,Sheet1!$A$1:$D$98,4,0),""))</f>
        <v/>
      </c>
      <c r="H22" s="181" t="str">
        <f>IF($C21=MAX($C$8:$C$56),SUM($H$8:$H21),IFERROR($G22*$F22,""))</f>
        <v/>
      </c>
      <c r="I22" s="80" t="str">
        <f t="shared" si="2"/>
        <v/>
      </c>
      <c r="L22" s="46"/>
    </row>
    <row r="23" spans="1:12" s="44" customFormat="1" ht="14.25" customHeight="1" x14ac:dyDescent="0.25">
      <c r="A23" s="183" t="s">
        <v>298</v>
      </c>
      <c r="B23" s="183"/>
      <c r="C23" s="45" t="str">
        <f t="shared" si="0"/>
        <v/>
      </c>
      <c r="D23" s="179" t="str">
        <f>IFERROR(VLOOKUP($A23,Sheet1!$A$1:$B$98,2,0),"")</f>
        <v/>
      </c>
      <c r="E23" s="45" t="str">
        <f>IFERROR(VLOOKUP($A23,'Tổng Đơn'!$A$5:$E$79,5,0),"")</f>
        <v/>
      </c>
      <c r="F23" s="45" t="str">
        <f t="shared" si="1"/>
        <v/>
      </c>
      <c r="G23" s="191" t="str">
        <f>IF(AND($C23="",$C22&lt;&gt;""),"Tổng Cộng",IFERROR(VLOOKUP($A23,Sheet1!$A$1:$D$98,4,0),""))</f>
        <v/>
      </c>
      <c r="H23" s="181" t="str">
        <f>IF($C22=MAX($C$8:$C$56),SUM($H$8:$H22),IFERROR($G23*$F23,""))</f>
        <v/>
      </c>
      <c r="I23" s="80" t="str">
        <f t="shared" si="2"/>
        <v/>
      </c>
      <c r="L23" s="46"/>
    </row>
    <row r="24" spans="1:12" s="44" customFormat="1" ht="14.25" customHeight="1" x14ac:dyDescent="0.25">
      <c r="A24" s="183" t="s">
        <v>298</v>
      </c>
      <c r="B24" s="183"/>
      <c r="C24" s="45" t="str">
        <f t="shared" si="0"/>
        <v/>
      </c>
      <c r="D24" s="179" t="str">
        <f>IFERROR(VLOOKUP($A24,Sheet1!$A$1:$B$98,2,0),"")</f>
        <v/>
      </c>
      <c r="E24" s="45" t="str">
        <f>IFERROR(VLOOKUP($A24,'Tổng Đơn'!$A$5:$E$79,5,0),"")</f>
        <v/>
      </c>
      <c r="F24" s="45" t="str">
        <f t="shared" si="1"/>
        <v/>
      </c>
      <c r="G24" s="191" t="str">
        <f>IF(AND($C24="",$C23&lt;&gt;""),"Tổng Cộng",IFERROR(VLOOKUP($A24,Sheet1!$A$1:$D$98,4,0),""))</f>
        <v/>
      </c>
      <c r="H24" s="181" t="str">
        <f>IF($C23=MAX($C$8:$C$56),SUM($H$8:$H23),IFERROR($G24*$F24,""))</f>
        <v/>
      </c>
      <c r="I24" s="80" t="str">
        <f t="shared" si="2"/>
        <v/>
      </c>
      <c r="L24" s="46"/>
    </row>
    <row r="25" spans="1:12" s="44" customFormat="1" ht="14.25" customHeight="1" x14ac:dyDescent="0.25">
      <c r="A25" s="183" t="s">
        <v>298</v>
      </c>
      <c r="B25" s="183"/>
      <c r="C25" s="45" t="str">
        <f t="shared" si="0"/>
        <v/>
      </c>
      <c r="D25" s="179" t="str">
        <f>IFERROR(VLOOKUP($A25,Sheet1!$A$1:$B$98,2,0),"")</f>
        <v/>
      </c>
      <c r="E25" s="45" t="str">
        <f>IFERROR(VLOOKUP($A25,'Tổng Đơn'!$A$5:$E$79,5,0),"")</f>
        <v/>
      </c>
      <c r="F25" s="45" t="str">
        <f t="shared" si="1"/>
        <v/>
      </c>
      <c r="G25" s="191" t="str">
        <f>IF(AND($C25="",$C24&lt;&gt;""),"Tổng Cộng",IFERROR(VLOOKUP($A25,Sheet1!$A$1:$D$98,4,0),""))</f>
        <v/>
      </c>
      <c r="H25" s="181" t="str">
        <f>IF($C24=MAX($C$8:$C$56),SUM($H$8:$H24),IFERROR($G25*$F25,""))</f>
        <v/>
      </c>
      <c r="I25" s="80" t="str">
        <f t="shared" si="2"/>
        <v/>
      </c>
      <c r="L25" s="46"/>
    </row>
    <row r="26" spans="1:12" s="44" customFormat="1" ht="14.25" customHeight="1" x14ac:dyDescent="0.25">
      <c r="A26" s="183" t="s">
        <v>298</v>
      </c>
      <c r="B26" s="183"/>
      <c r="C26" s="45" t="str">
        <f t="shared" si="0"/>
        <v/>
      </c>
      <c r="D26" s="179" t="str">
        <f>IFERROR(VLOOKUP($A26,Sheet1!$A$1:$B$98,2,0),"")</f>
        <v/>
      </c>
      <c r="E26" s="45" t="str">
        <f>IFERROR(VLOOKUP($A26,'Tổng Đơn'!$A$5:$E$79,5,0),"")</f>
        <v/>
      </c>
      <c r="F26" s="45" t="str">
        <f t="shared" si="1"/>
        <v/>
      </c>
      <c r="G26" s="191" t="str">
        <f>IF(AND($C26="",$C25&lt;&gt;""),"Tổng Cộng",IFERROR(VLOOKUP($A26,Sheet1!$A$1:$D$98,4,0),""))</f>
        <v/>
      </c>
      <c r="H26" s="181" t="str">
        <f>IF($C25=MAX($C$8:$C$56),SUM($H$8:$H25),IFERROR($G26*$F26,""))</f>
        <v/>
      </c>
      <c r="I26" s="80" t="str">
        <f t="shared" si="2"/>
        <v/>
      </c>
      <c r="L26" s="46"/>
    </row>
    <row r="27" spans="1:12" s="44" customFormat="1" ht="14.25" customHeight="1" x14ac:dyDescent="0.25">
      <c r="A27" s="183" t="s">
        <v>298</v>
      </c>
      <c r="B27" s="183"/>
      <c r="C27" s="45" t="str">
        <f t="shared" si="0"/>
        <v/>
      </c>
      <c r="D27" s="179" t="str">
        <f>IFERROR(VLOOKUP($A27,Sheet1!$A$1:$B$98,2,0),"")</f>
        <v/>
      </c>
      <c r="E27" s="45" t="str">
        <f>IFERROR(VLOOKUP($A27,'Tổng Đơn'!$A$5:$E$79,5,0),"")</f>
        <v/>
      </c>
      <c r="F27" s="45" t="str">
        <f t="shared" si="1"/>
        <v/>
      </c>
      <c r="G27" s="191" t="str">
        <f>IF(AND($C27="",$C26&lt;&gt;""),"Tổng Cộng",IFERROR(VLOOKUP($A27,Sheet1!$A$1:$D$98,4,0),""))</f>
        <v/>
      </c>
      <c r="H27" s="181" t="str">
        <f>IF($C26=MAX($C$8:$C$56),SUM($H$8:$H26),IFERROR($G27*$F27,""))</f>
        <v/>
      </c>
      <c r="I27" s="80" t="str">
        <f t="shared" si="2"/>
        <v/>
      </c>
      <c r="L27" s="46"/>
    </row>
    <row r="28" spans="1:12" s="44" customFormat="1" ht="14.25" customHeight="1" x14ac:dyDescent="0.25">
      <c r="A28" s="183" t="s">
        <v>298</v>
      </c>
      <c r="B28" s="183"/>
      <c r="C28" s="45" t="str">
        <f t="shared" si="0"/>
        <v/>
      </c>
      <c r="D28" s="179" t="str">
        <f>IFERROR(VLOOKUP($A28,Sheet1!$A$1:$B$98,2,0),"")</f>
        <v/>
      </c>
      <c r="E28" s="45" t="str">
        <f>IFERROR(VLOOKUP($A28,'Tổng Đơn'!$A$5:$E$79,5,0),"")</f>
        <v/>
      </c>
      <c r="F28" s="45" t="str">
        <f t="shared" si="1"/>
        <v/>
      </c>
      <c r="G28" s="191" t="str">
        <f>IF(AND($C28="",$C27&lt;&gt;""),"Tổng Cộng",IFERROR(VLOOKUP($A28,Sheet1!$A$1:$D$98,4,0),""))</f>
        <v/>
      </c>
      <c r="H28" s="181" t="str">
        <f>IF($C27=MAX($C$8:$C$56),SUM($H$8:$H27),IFERROR($G28*$F28,""))</f>
        <v/>
      </c>
      <c r="I28" s="80" t="str">
        <f t="shared" si="2"/>
        <v/>
      </c>
      <c r="L28" s="46"/>
    </row>
    <row r="29" spans="1:12" s="44" customFormat="1" ht="14.25" customHeight="1" x14ac:dyDescent="0.25">
      <c r="A29" s="183" t="s">
        <v>298</v>
      </c>
      <c r="B29" s="183"/>
      <c r="C29" s="45" t="str">
        <f t="shared" si="0"/>
        <v/>
      </c>
      <c r="D29" s="179" t="str">
        <f>IFERROR(VLOOKUP($A29,Sheet1!$A$1:$B$98,2,0),"")</f>
        <v/>
      </c>
      <c r="E29" s="45" t="str">
        <f>IFERROR(VLOOKUP($A29,'Tổng Đơn'!$A$5:$E$79,5,0),"")</f>
        <v/>
      </c>
      <c r="F29" s="45" t="str">
        <f t="shared" si="1"/>
        <v/>
      </c>
      <c r="G29" s="191" t="str">
        <f>IF(AND($C29="",$C28&lt;&gt;""),"Tổng Cộng",IFERROR(VLOOKUP($A29,Sheet1!$A$1:$D$98,4,0),""))</f>
        <v/>
      </c>
      <c r="H29" s="181" t="str">
        <f>IF($C28=MAX($C$8:$C$56),SUM($H$8:$H28),IFERROR($G29*$F29,""))</f>
        <v/>
      </c>
      <c r="I29" s="80" t="str">
        <f t="shared" si="2"/>
        <v/>
      </c>
      <c r="L29" s="46"/>
    </row>
    <row r="30" spans="1:12" s="44" customFormat="1" ht="14.25" customHeight="1" x14ac:dyDescent="0.25">
      <c r="A30" s="183" t="s">
        <v>298</v>
      </c>
      <c r="B30" s="183"/>
      <c r="C30" s="45" t="str">
        <f t="shared" si="0"/>
        <v/>
      </c>
      <c r="D30" s="179" t="str">
        <f>IFERROR(VLOOKUP($A30,Sheet1!$A$1:$B$98,2,0),"")</f>
        <v/>
      </c>
      <c r="E30" s="45" t="str">
        <f>IFERROR(VLOOKUP($A30,'Tổng Đơn'!$A$5:$E$79,5,0),"")</f>
        <v/>
      </c>
      <c r="F30" s="45" t="str">
        <f t="shared" si="1"/>
        <v/>
      </c>
      <c r="G30" s="191" t="str">
        <f>IF(AND($C30="",$C29&lt;&gt;""),"Tổng Cộng",IFERROR(VLOOKUP($A30,Sheet1!$A$1:$D$98,4,0),""))</f>
        <v/>
      </c>
      <c r="H30" s="181" t="str">
        <f>IF($C29=MAX($C$8:$C$56),SUM($H$8:$H29),IFERROR($G30*$F30,""))</f>
        <v/>
      </c>
      <c r="I30" s="80" t="str">
        <f t="shared" si="2"/>
        <v/>
      </c>
      <c r="L30" s="46"/>
    </row>
    <row r="31" spans="1:12" s="44" customFormat="1" ht="14.25" customHeight="1" x14ac:dyDescent="0.25">
      <c r="A31" s="183" t="s">
        <v>298</v>
      </c>
      <c r="B31" s="183"/>
      <c r="C31" s="45" t="str">
        <f t="shared" si="0"/>
        <v/>
      </c>
      <c r="D31" s="179" t="str">
        <f>IFERROR(VLOOKUP($A31,Sheet1!$A$1:$B$98,2,0),"")</f>
        <v/>
      </c>
      <c r="E31" s="45" t="str">
        <f>IFERROR(VLOOKUP($A31,'Tổng Đơn'!$A$5:$E$79,5,0),"")</f>
        <v/>
      </c>
      <c r="F31" s="45" t="str">
        <f t="shared" si="1"/>
        <v/>
      </c>
      <c r="G31" s="191" t="str">
        <f>IF(AND($C31="",$C30&lt;&gt;""),"Tổng Cộng",IFERROR(VLOOKUP($A31,Sheet1!$A$1:$D$98,4,0),""))</f>
        <v/>
      </c>
      <c r="H31" s="181" t="str">
        <f>IF($C30=MAX($C$8:$C$56),SUM($H$8:$H30),IFERROR($G31*$F31,""))</f>
        <v/>
      </c>
      <c r="I31" s="80" t="str">
        <f t="shared" si="2"/>
        <v/>
      </c>
      <c r="L31" s="46"/>
    </row>
    <row r="32" spans="1:12" s="44" customFormat="1" ht="14.25" customHeight="1" x14ac:dyDescent="0.25">
      <c r="A32" s="183" t="s">
        <v>298</v>
      </c>
      <c r="B32" s="183"/>
      <c r="C32" s="45" t="str">
        <f t="shared" si="0"/>
        <v/>
      </c>
      <c r="D32" s="179" t="str">
        <f>IFERROR(VLOOKUP($A32,Sheet1!$A$1:$B$98,2,0),"")</f>
        <v/>
      </c>
      <c r="E32" s="45" t="str">
        <f>IFERROR(VLOOKUP($A32,'Tổng Đơn'!$A$5:$E$79,5,0),"")</f>
        <v/>
      </c>
      <c r="F32" s="45" t="str">
        <f t="shared" si="1"/>
        <v/>
      </c>
      <c r="G32" s="191" t="str">
        <f>IF(AND($C32="",$C31&lt;&gt;""),"Tổng Cộng",IFERROR(VLOOKUP($A32,Sheet1!$A$1:$D$98,4,0),""))</f>
        <v/>
      </c>
      <c r="H32" s="181" t="str">
        <f>IF($C31=MAX($C$8:$C$56),SUM($H$8:$H31),IFERROR($G32*$F32,""))</f>
        <v/>
      </c>
      <c r="I32" s="80" t="str">
        <f t="shared" si="2"/>
        <v/>
      </c>
      <c r="L32" s="46"/>
    </row>
    <row r="33" spans="1:12" s="44" customFormat="1" ht="14.25" customHeight="1" x14ac:dyDescent="0.25">
      <c r="A33" s="183" t="s">
        <v>298</v>
      </c>
      <c r="B33" s="183"/>
      <c r="C33" s="45" t="str">
        <f t="shared" si="0"/>
        <v/>
      </c>
      <c r="D33" s="179" t="str">
        <f>IFERROR(VLOOKUP($A33,Sheet1!$A$1:$B$98,2,0),"")</f>
        <v/>
      </c>
      <c r="E33" s="45" t="str">
        <f>IFERROR(VLOOKUP($A33,'Tổng Đơn'!$A$5:$E$79,5,0),"")</f>
        <v/>
      </c>
      <c r="F33" s="45" t="str">
        <f t="shared" si="1"/>
        <v/>
      </c>
      <c r="G33" s="191" t="str">
        <f>IF(AND($C33="",$C32&lt;&gt;""),"Tổng Cộng",IFERROR(VLOOKUP($A33,Sheet1!$A$1:$D$98,4,0),""))</f>
        <v/>
      </c>
      <c r="H33" s="181" t="str">
        <f>IF($C32=MAX($C$8:$C$56),SUM($H$8:$H32),IFERROR($G33*$F33,""))</f>
        <v/>
      </c>
      <c r="I33" s="80" t="str">
        <f t="shared" si="2"/>
        <v/>
      </c>
      <c r="L33" s="46"/>
    </row>
    <row r="34" spans="1:12" s="44" customFormat="1" ht="14.25" customHeight="1" x14ac:dyDescent="0.25">
      <c r="A34" s="183" t="s">
        <v>298</v>
      </c>
      <c r="B34" s="183"/>
      <c r="C34" s="45" t="str">
        <f t="shared" si="0"/>
        <v/>
      </c>
      <c r="D34" s="179" t="str">
        <f>IFERROR(VLOOKUP($A34,Sheet1!$A$1:$B$98,2,0),"")</f>
        <v/>
      </c>
      <c r="E34" s="45" t="str">
        <f>IFERROR(VLOOKUP($A34,'Tổng Đơn'!$A$5:$E$79,5,0),"")</f>
        <v/>
      </c>
      <c r="F34" s="45" t="str">
        <f t="shared" si="1"/>
        <v/>
      </c>
      <c r="G34" s="191" t="str">
        <f>IF(AND($C34="",$C33&lt;&gt;""),"Tổng Cộng",IFERROR(VLOOKUP($A34,Sheet1!$A$1:$D$98,4,0),""))</f>
        <v/>
      </c>
      <c r="H34" s="181" t="str">
        <f>IF($C33=MAX($C$8:$C$56),SUM($H$8:$H33),IFERROR($G34*$F34,""))</f>
        <v/>
      </c>
      <c r="I34" s="80" t="str">
        <f t="shared" si="2"/>
        <v/>
      </c>
      <c r="L34" s="46"/>
    </row>
    <row r="35" spans="1:12" s="44" customFormat="1" ht="14.25" customHeight="1" x14ac:dyDescent="0.25">
      <c r="A35" s="183" t="s">
        <v>298</v>
      </c>
      <c r="B35" s="183"/>
      <c r="C35" s="45" t="str">
        <f t="shared" si="0"/>
        <v/>
      </c>
      <c r="D35" s="179" t="str">
        <f>IFERROR(VLOOKUP($A35,Sheet1!$A$1:$B$98,2,0),"")</f>
        <v/>
      </c>
      <c r="E35" s="45" t="str">
        <f>IFERROR(VLOOKUP($A35,'Tổng Đơn'!$A$5:$E$79,5,0),"")</f>
        <v/>
      </c>
      <c r="F35" s="45" t="str">
        <f t="shared" si="1"/>
        <v/>
      </c>
      <c r="G35" s="191" t="str">
        <f>IF(AND($C35="",$C34&lt;&gt;""),"Tổng Cộng",IFERROR(VLOOKUP($A35,Sheet1!$A$1:$D$98,4,0),""))</f>
        <v/>
      </c>
      <c r="H35" s="181" t="str">
        <f>IF($C34=MAX($C$8:$C$56),SUM($H$8:$H34),IFERROR($G35*$F35,""))</f>
        <v/>
      </c>
      <c r="I35" s="80" t="str">
        <f t="shared" si="2"/>
        <v/>
      </c>
      <c r="L35" s="46"/>
    </row>
    <row r="36" spans="1:12" s="44" customFormat="1" ht="14.25" customHeight="1" x14ac:dyDescent="0.25">
      <c r="A36" s="183" t="s">
        <v>298</v>
      </c>
      <c r="B36" s="183"/>
      <c r="C36" s="45" t="str">
        <f t="shared" si="0"/>
        <v/>
      </c>
      <c r="D36" s="179" t="str">
        <f>IFERROR(VLOOKUP($A36,Sheet1!$A$1:$B$98,2,0),"")</f>
        <v/>
      </c>
      <c r="E36" s="45" t="str">
        <f>IFERROR(VLOOKUP($A36,'Tổng Đơn'!$A$5:$E$79,5,0),"")</f>
        <v/>
      </c>
      <c r="F36" s="45" t="str">
        <f t="shared" si="1"/>
        <v/>
      </c>
      <c r="G36" s="191" t="str">
        <f>IF(AND($C36="",$C35&lt;&gt;""),"Tổng Cộng",IFERROR(VLOOKUP($A36,Sheet1!$A$1:$D$98,4,0),""))</f>
        <v/>
      </c>
      <c r="H36" s="181" t="str">
        <f>IF($C35=MAX($C$8:$C$56),SUM($H$8:$H35),IFERROR($G36*$F36,""))</f>
        <v/>
      </c>
      <c r="I36" s="80" t="str">
        <f t="shared" si="2"/>
        <v/>
      </c>
      <c r="L36" s="46"/>
    </row>
    <row r="37" spans="1:12" s="44" customFormat="1" ht="14.25" customHeight="1" x14ac:dyDescent="0.25">
      <c r="A37" s="183" t="s">
        <v>298</v>
      </c>
      <c r="B37" s="183"/>
      <c r="C37" s="45" t="str">
        <f t="shared" si="0"/>
        <v/>
      </c>
      <c r="D37" s="179" t="str">
        <f>IFERROR(VLOOKUP($A37,Sheet1!$A$1:$B$98,2,0),"")</f>
        <v/>
      </c>
      <c r="E37" s="45" t="str">
        <f>IFERROR(VLOOKUP($A37,'Tổng Đơn'!$A$5:$E$79,5,0),"")</f>
        <v/>
      </c>
      <c r="F37" s="45" t="str">
        <f t="shared" si="1"/>
        <v/>
      </c>
      <c r="G37" s="191" t="str">
        <f>IF(AND($C37="",$C36&lt;&gt;""),"Tổng Cộng",IFERROR(VLOOKUP($A37,Sheet1!$A$1:$D$98,4,0),""))</f>
        <v/>
      </c>
      <c r="H37" s="181" t="str">
        <f>IF($C36=MAX($C$8:$C$56),SUM($H$8:$H36),IFERROR($G37*$F37,""))</f>
        <v/>
      </c>
      <c r="I37" s="80" t="str">
        <f t="shared" si="2"/>
        <v/>
      </c>
      <c r="L37" s="46"/>
    </row>
    <row r="38" spans="1:12" s="44" customFormat="1" ht="14.25" customHeight="1" x14ac:dyDescent="0.25">
      <c r="A38" s="183"/>
      <c r="B38" s="183"/>
      <c r="C38" s="48"/>
      <c r="D38" s="49"/>
      <c r="E38" s="78"/>
      <c r="F38" s="45"/>
      <c r="G38" s="192" t="str">
        <f>IF(AND($C38="",$C37&lt;&gt;""),"Tổng Cộng",IFERROR(VLOOKUP($A38,Sheet1!$A$1:$D$98,4,0),""))</f>
        <v/>
      </c>
      <c r="H38" s="50" t="str">
        <f>IF($C37=MAX($C$8:$C$56),SUM($H$8:$H37),IFERROR($G38*$F38,""))</f>
        <v/>
      </c>
      <c r="I38" s="80"/>
      <c r="L38" s="46"/>
    </row>
    <row r="39" spans="1:12" ht="15" customHeight="1" x14ac:dyDescent="0.25">
      <c r="F39" s="51"/>
      <c r="G39" s="171"/>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H9 C38:E38 C9:G9 F15:H38 D15:E37 D10:H14">
    <cfRule type="expression" dxfId="31" priority="2">
      <formula>$C7=MAX($C$8:$C$37)</formula>
    </cfRule>
  </conditionalFormatting>
  <conditionalFormatting sqref="C10:C37">
    <cfRule type="expression" dxfId="30" priority="1">
      <formula>$C9=MAX($C$8:$C$37)</formula>
    </cfRule>
  </conditionalFormatting>
  <conditionalFormatting sqref="E8:E38">
    <cfRule type="expression" dxfId="29" priority="3">
      <formula>AND($A8="",$F8&lt;&gt;"")</formula>
    </cfRule>
  </conditionalFormatting>
  <conditionalFormatting sqref="F8:F38">
    <cfRule type="expression" dxfId="28"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47457" r:id="rId4" name="Button 1">
              <controlPr defaultSize="0" print="0" autoFill="0" autoPict="0" macro="[0]!Macro4">
                <anchor moveWithCells="1" sizeWithCells="1">
                  <from>
                    <xdr:col>0</xdr:col>
                    <xdr:colOff>0</xdr:colOff>
                    <xdr:row>0</xdr:row>
                    <xdr:rowOff>0</xdr:rowOff>
                  </from>
                  <to>
                    <xdr:col>1</xdr:col>
                    <xdr:colOff>723900</xdr:colOff>
                    <xdr:row>7</xdr:row>
                    <xdr:rowOff>0</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tabColor theme="1"/>
    <pageSetUpPr fitToPage="1"/>
  </sheetPr>
  <dimension ref="A1:N53"/>
  <sheetViews>
    <sheetView zoomScaleNormal="100" workbookViewId="0">
      <pane ySplit="7" topLeftCell="A8" activePane="bottomLeft" state="frozen"/>
      <selection activeCell="L2" sqref="L2:L29"/>
      <selection pane="bottomLeft" activeCell="D12" sqref="D12"/>
    </sheetView>
  </sheetViews>
  <sheetFormatPr defaultRowHeight="15" x14ac:dyDescent="0.25"/>
  <cols>
    <col min="1" max="1" width="11.7109375" style="14" customWidth="1"/>
    <col min="2" max="2" width="11.28515625" style="14" customWidth="1"/>
    <col min="3" max="3" width="9.140625" style="14"/>
    <col min="4" max="4" width="38.42578125" style="14" bestFit="1" customWidth="1"/>
    <col min="5" max="5" width="12.28515625" style="79"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33" t="s">
        <v>223</v>
      </c>
      <c r="D1" s="233"/>
      <c r="E1" s="233"/>
      <c r="F1" s="233"/>
      <c r="G1" s="233"/>
      <c r="H1" s="233"/>
    </row>
    <row r="2" spans="1:14" ht="15.75" customHeight="1" x14ac:dyDescent="0.25">
      <c r="C2" s="233"/>
      <c r="D2" s="233"/>
      <c r="E2" s="233"/>
      <c r="F2" s="233"/>
      <c r="G2" s="233"/>
      <c r="H2" s="233"/>
    </row>
    <row r="3" spans="1:14" ht="15" customHeight="1" x14ac:dyDescent="0.25">
      <c r="C3" s="235" t="s">
        <v>225</v>
      </c>
      <c r="D3" s="235"/>
      <c r="E3" s="235"/>
      <c r="F3" s="238" t="s">
        <v>227</v>
      </c>
      <c r="G3" s="238"/>
      <c r="H3" s="238"/>
    </row>
    <row r="4" spans="1:14" x14ac:dyDescent="0.25">
      <c r="C4" s="236" t="s">
        <v>226</v>
      </c>
      <c r="D4" s="236"/>
      <c r="E4" s="236"/>
      <c r="F4" s="239" t="s">
        <v>228</v>
      </c>
      <c r="G4" s="239"/>
      <c r="H4" s="239"/>
    </row>
    <row r="5" spans="1:14" s="172" customFormat="1" ht="21" customHeight="1" x14ac:dyDescent="0.25">
      <c r="C5" s="237" t="s">
        <v>224</v>
      </c>
      <c r="D5" s="237"/>
      <c r="E5" s="237"/>
      <c r="F5" s="237"/>
      <c r="G5" s="237"/>
      <c r="H5" s="237"/>
    </row>
    <row r="6" spans="1:14" s="172" customFormat="1" ht="17.25" customHeight="1" x14ac:dyDescent="0.25">
      <c r="C6" s="182" t="s">
        <v>229</v>
      </c>
      <c r="D6" s="187" t="s">
        <v>292</v>
      </c>
      <c r="E6" s="177"/>
      <c r="F6" s="177"/>
      <c r="G6" s="234" t="str">
        <f ca="1">"Ngày "&amp;DAY(TODAY())&amp;" Tháng "&amp;MONTH(TODAY())&amp;" Năm "&amp;YEAR(TODAY())</f>
        <v>Ngày 14 Tháng 2 Năm 2022</v>
      </c>
      <c r="H6" s="234"/>
    </row>
    <row r="7" spans="1:14" s="176" customFormat="1" ht="24" customHeight="1" x14ac:dyDescent="0.25">
      <c r="A7" s="173" t="s">
        <v>118</v>
      </c>
      <c r="B7" s="173" t="s">
        <v>16</v>
      </c>
      <c r="C7" s="174" t="s">
        <v>0</v>
      </c>
      <c r="D7" s="174" t="s">
        <v>17</v>
      </c>
      <c r="E7" s="178" t="str">
        <f>"Quy cách"&amp;CHAR(10)&amp;"(Kg)"</f>
        <v>Quy cách
(Kg)</v>
      </c>
      <c r="F7" s="174" t="s">
        <v>16</v>
      </c>
      <c r="G7" s="174" t="s">
        <v>18</v>
      </c>
      <c r="H7" s="174" t="s">
        <v>19</v>
      </c>
      <c r="I7" s="175">
        <f>SUBTOTAL(9,I8:I37)</f>
        <v>14.5</v>
      </c>
      <c r="L7" s="172"/>
    </row>
    <row r="8" spans="1:14" s="44" customFormat="1" ht="14.25" customHeight="1" x14ac:dyDescent="0.25">
      <c r="A8" s="183">
        <v>1</v>
      </c>
      <c r="B8" s="183">
        <v>5</v>
      </c>
      <c r="C8" s="45">
        <f t="shared" ref="C8:C37" si="0">IF(OR(SUM($C7,$A8&lt;&gt;"")=0,$A8=""),"",SUM($C7,$A8&lt;&gt;""))</f>
        <v>1</v>
      </c>
      <c r="D8" s="179" t="str">
        <f>IFERROR(VLOOKUP($A8,Sheet1!$A$1:$B$98,2,0),"")</f>
        <v>Phô mai sữa que LC</v>
      </c>
      <c r="E8" s="180">
        <f>IFERROR(VLOOKUP($A8,'Tổng Đơn'!$A$5:$E$79,5,0),"")</f>
        <v>0.5</v>
      </c>
      <c r="F8" s="45">
        <f t="shared" ref="F8:F37" si="1">IF($B8="","",B8)</f>
        <v>5</v>
      </c>
      <c r="G8" s="191">
        <f>IFERROR(VLOOKUP($A8,Sheet1!$A1:$D$98,4,0),"")</f>
        <v>46000</v>
      </c>
      <c r="H8" s="181">
        <f>IF($C7=MAX($C$8:$C$56),SUM($H7:$H$8),IFERROR($G8*$F8,""))</f>
        <v>230000</v>
      </c>
      <c r="I8" s="80">
        <f t="shared" ref="I8:I37" si="2">IF(TYPE($A8)&lt;&gt;1,"",IFERROR(F8*E8,""))</f>
        <v>2.5</v>
      </c>
      <c r="L8" s="47"/>
    </row>
    <row r="9" spans="1:14" s="44" customFormat="1" ht="14.25" customHeight="1" x14ac:dyDescent="0.25">
      <c r="A9" s="183">
        <v>9</v>
      </c>
      <c r="B9" s="183">
        <v>4</v>
      </c>
      <c r="C9" s="45">
        <f t="shared" si="0"/>
        <v>2</v>
      </c>
      <c r="D9" s="179" t="str">
        <f>IFERROR(VLOOKUP($A9,Sheet1!$A$1:$B$98,2,0),"")</f>
        <v>Hải sản sốt cam LC</v>
      </c>
      <c r="E9" s="45">
        <f>IFERROR(VLOOKUP($A9,'Tổng Đơn'!$A$5:$E$79,5,0),"")</f>
        <v>0.5</v>
      </c>
      <c r="F9" s="45">
        <f t="shared" si="1"/>
        <v>4</v>
      </c>
      <c r="G9" s="191">
        <f>IF(AND($C9="",$C8&lt;&gt;""),"Tổng Cộng",IFERROR(VLOOKUP($A9,Sheet1!$A$1:$D$98,4,0),""))</f>
        <v>45000</v>
      </c>
      <c r="H9" s="181">
        <f>IF($C8=MAX($C$8:$C$56),SUM($H$8:$H8),IFERROR($G9*$F9,""))</f>
        <v>180000</v>
      </c>
      <c r="I9" s="80">
        <f t="shared" si="2"/>
        <v>2</v>
      </c>
      <c r="L9" s="46"/>
    </row>
    <row r="10" spans="1:14" s="44" customFormat="1" ht="14.25" customHeight="1" x14ac:dyDescent="0.25">
      <c r="A10" s="183">
        <v>16</v>
      </c>
      <c r="B10" s="183">
        <v>10</v>
      </c>
      <c r="C10" s="45">
        <f t="shared" si="0"/>
        <v>3</v>
      </c>
      <c r="D10" s="179" t="str">
        <f>IFERROR(VLOOKUP($A10,Sheet1!$A$1:$B$98,2,0),"")</f>
        <v>Phô mai que (13 que)</v>
      </c>
      <c r="E10" s="45">
        <f>IFERROR(VLOOKUP($A10,'Tổng Đơn'!$A$5:$E$79,5,0),"")</f>
        <v>0.5</v>
      </c>
      <c r="F10" s="45">
        <f t="shared" si="1"/>
        <v>10</v>
      </c>
      <c r="G10" s="191">
        <f>IF(AND($C10="",$C9&lt;&gt;""),"Tổng Cộng",IFERROR(VLOOKUP($A10,Sheet1!$A$1:$D$98,4,0),""))</f>
        <v>40000</v>
      </c>
      <c r="H10" s="181">
        <f>IF($C9=MAX($C$8:$C$56),SUM($H$8:$H9),IFERROR($G10*$F10,""))</f>
        <v>400000</v>
      </c>
      <c r="I10" s="80">
        <f t="shared" si="2"/>
        <v>5</v>
      </c>
      <c r="L10" s="46"/>
    </row>
    <row r="11" spans="1:14" s="44" customFormat="1" ht="14.25" customHeight="1" x14ac:dyDescent="0.25">
      <c r="A11" s="183">
        <v>65</v>
      </c>
      <c r="B11" s="183">
        <v>10</v>
      </c>
      <c r="C11" s="45">
        <f t="shared" si="0"/>
        <v>4</v>
      </c>
      <c r="D11" s="179" t="str">
        <f>IFERROR(VLOOKUP($A11,Sheet1!$A$1:$B$98,2,0),"")</f>
        <v>Cá viên KK</v>
      </c>
      <c r="E11" s="45">
        <f>IFERROR(VLOOKUP($A11,'Tổng Đơn'!$A$5:$E$79,5,0),"")</f>
        <v>0.5</v>
      </c>
      <c r="F11" s="45">
        <f t="shared" si="1"/>
        <v>10</v>
      </c>
      <c r="G11" s="191">
        <f>IF(AND($C11="",$C10&lt;&gt;""),"Tổng Cộng",IFERROR(VLOOKUP($A11,Sheet1!$A$1:$D$98,4,0),""))</f>
        <v>23000</v>
      </c>
      <c r="H11" s="181">
        <f>IF($C10=MAX($C$8:$C$56),SUM($H$8:$H10),IFERROR($G11*$F11,""))</f>
        <v>230000</v>
      </c>
      <c r="I11" s="80">
        <f t="shared" si="2"/>
        <v>5</v>
      </c>
      <c r="L11" s="46"/>
    </row>
    <row r="12" spans="1:14" s="44" customFormat="1" ht="14.25" customHeight="1" x14ac:dyDescent="0.25">
      <c r="A12" s="183">
        <v>11</v>
      </c>
      <c r="B12" s="183">
        <v>1</v>
      </c>
      <c r="C12" s="45">
        <f t="shared" si="0"/>
        <v>5</v>
      </c>
      <c r="D12" s="222" t="s">
        <v>306</v>
      </c>
      <c r="E12" s="45" t="s">
        <v>299</v>
      </c>
      <c r="F12" s="45" t="s">
        <v>299</v>
      </c>
      <c r="G12" s="191" t="s">
        <v>299</v>
      </c>
      <c r="H12" s="181">
        <v>-17000</v>
      </c>
      <c r="I12" s="80" t="str">
        <f t="shared" si="2"/>
        <v/>
      </c>
      <c r="J12" s="153"/>
      <c r="L12" s="46"/>
      <c r="M12" s="161"/>
      <c r="N12" s="154"/>
    </row>
    <row r="13" spans="1:14" s="44" customFormat="1" ht="14.25" customHeight="1" x14ac:dyDescent="0.25">
      <c r="A13" s="183" t="s">
        <v>298</v>
      </c>
      <c r="B13" s="183"/>
      <c r="C13" s="45" t="str">
        <f t="shared" si="0"/>
        <v/>
      </c>
      <c r="D13" s="179" t="str">
        <f>IFERROR(VLOOKUP($A13,Sheet1!$A$1:$B$98,2,0),"")</f>
        <v/>
      </c>
      <c r="E13" s="45" t="str">
        <f>IFERROR(VLOOKUP($A13,'Tổng Đơn'!$A$5:$E$79,5,0),"")</f>
        <v/>
      </c>
      <c r="F13" s="45" t="str">
        <f t="shared" si="1"/>
        <v/>
      </c>
      <c r="G13" s="191" t="str">
        <f>IF(AND($C13="",$C12&lt;&gt;""),"Tổng Cộng",IFERROR(VLOOKUP($A13,Sheet1!$A$1:$D$98,4,0),""))</f>
        <v>Tổng Cộng</v>
      </c>
      <c r="H13" s="181">
        <f>IF($C12=MAX($C$8:$C$56),SUM($H$8:$H12),IFERROR($G13*$F13,""))</f>
        <v>1023000</v>
      </c>
      <c r="I13" s="80" t="str">
        <f t="shared" si="2"/>
        <v/>
      </c>
      <c r="L13" s="46"/>
    </row>
    <row r="14" spans="1:14" s="44" customFormat="1" ht="14.25" customHeight="1" x14ac:dyDescent="0.25">
      <c r="A14" s="183" t="s">
        <v>298</v>
      </c>
      <c r="B14" s="183"/>
      <c r="C14" s="45" t="str">
        <f t="shared" si="0"/>
        <v/>
      </c>
      <c r="D14" s="179" t="str">
        <f>IFERROR(VLOOKUP($A14,Sheet1!$A$1:$B$98,2,0),"")</f>
        <v/>
      </c>
      <c r="E14" s="45" t="str">
        <f>IFERROR(VLOOKUP($A14,'Tổng Đơn'!$A$5:$E$79,5,0),"")</f>
        <v/>
      </c>
      <c r="F14" s="45" t="str">
        <f t="shared" si="1"/>
        <v/>
      </c>
      <c r="G14" s="191" t="str">
        <f>IF(AND($C14="",$C13&lt;&gt;""),"Tổng Cộng",IFERROR(VLOOKUP($A14,Sheet1!$A$1:$D$98,4,0),""))</f>
        <v/>
      </c>
      <c r="H14" s="181" t="str">
        <f>IF($C13=MAX($C$8:$C$56),SUM($H$8:$H13),IFERROR($G14*$F14,""))</f>
        <v/>
      </c>
      <c r="I14" s="80" t="str">
        <f t="shared" si="2"/>
        <v/>
      </c>
      <c r="L14" s="46"/>
      <c r="M14" s="162"/>
    </row>
    <row r="15" spans="1:14" s="44" customFormat="1" ht="14.25" customHeight="1" x14ac:dyDescent="0.25">
      <c r="A15" s="183" t="s">
        <v>298</v>
      </c>
      <c r="B15" s="183"/>
      <c r="C15" s="45" t="str">
        <f t="shared" si="0"/>
        <v/>
      </c>
      <c r="D15" s="179" t="str">
        <f>IFERROR(VLOOKUP($A15,Sheet1!$A$1:$B$98,2,0),"")</f>
        <v/>
      </c>
      <c r="E15" s="45" t="str">
        <f>IFERROR(VLOOKUP($A15,'Tổng Đơn'!$A$5:$E$79,5,0),"")</f>
        <v/>
      </c>
      <c r="F15" s="45" t="str">
        <f t="shared" si="1"/>
        <v/>
      </c>
      <c r="G15" s="191" t="str">
        <f>IF(AND($C15="",$C14&lt;&gt;""),"Tổng Cộng",IFERROR(VLOOKUP($A15,Sheet1!$A$1:$D$98,4,0),""))</f>
        <v/>
      </c>
      <c r="H15" s="181" t="str">
        <f>IF($C14=MAX($C$8:$C$56),SUM($H$8:$H14),IFERROR($G15*$F15,""))</f>
        <v/>
      </c>
      <c r="I15" s="80" t="str">
        <f t="shared" si="2"/>
        <v/>
      </c>
      <c r="L15" s="46"/>
    </row>
    <row r="16" spans="1:14" s="44" customFormat="1" ht="14.25" customHeight="1" x14ac:dyDescent="0.25">
      <c r="A16" s="183" t="s">
        <v>298</v>
      </c>
      <c r="B16" s="183"/>
      <c r="C16" s="45" t="str">
        <f t="shared" si="0"/>
        <v/>
      </c>
      <c r="D16" s="179" t="str">
        <f>IFERROR(VLOOKUP($A16,Sheet1!$A$1:$B$98,2,0),"")</f>
        <v/>
      </c>
      <c r="E16" s="45" t="str">
        <f>IFERROR(VLOOKUP($A16,'Tổng Đơn'!$A$5:$E$79,5,0),"")</f>
        <v/>
      </c>
      <c r="F16" s="45" t="str">
        <f t="shared" si="1"/>
        <v/>
      </c>
      <c r="G16" s="191" t="str">
        <f>IF(AND($C16="",$C15&lt;&gt;""),"Tổng Cộng",IFERROR(VLOOKUP($A16,Sheet1!$A$1:$D$98,4,0),""))</f>
        <v/>
      </c>
      <c r="H16" s="181" t="str">
        <f>IF($C15=MAX($C$8:$C$56),SUM($H$8:$H15),IFERROR($G16*$F16,""))</f>
        <v/>
      </c>
      <c r="I16" s="80" t="str">
        <f t="shared" si="2"/>
        <v/>
      </c>
      <c r="L16" s="46"/>
    </row>
    <row r="17" spans="1:12" s="44" customFormat="1" ht="14.25" customHeight="1" x14ac:dyDescent="0.25">
      <c r="A17" s="183" t="s">
        <v>298</v>
      </c>
      <c r="B17" s="183"/>
      <c r="C17" s="45" t="str">
        <f t="shared" si="0"/>
        <v/>
      </c>
      <c r="D17" s="190" t="str">
        <f>IFERROR(VLOOKUP($A17,Sheet1!$A$1:$B$98,2,0),"")</f>
        <v/>
      </c>
      <c r="E17" s="45" t="str">
        <f>IFERROR(VLOOKUP($A17,'Tổng Đơn'!$A$5:$E$79,5,0),"")</f>
        <v/>
      </c>
      <c r="F17" s="45" t="str">
        <f t="shared" si="1"/>
        <v/>
      </c>
      <c r="G17" s="191" t="str">
        <f>IF(AND($C17="",$C16&lt;&gt;""),"Tổng Cộng",IFERROR(VLOOKUP($A17,Sheet1!$A$1:$D$98,4,0),""))</f>
        <v/>
      </c>
      <c r="H17" s="181" t="str">
        <f>IF($C16=MAX($C$8:$C$56),SUM($H$8:$H16),IFERROR($G17*$F17,""))</f>
        <v/>
      </c>
      <c r="I17" s="80" t="str">
        <f t="shared" si="2"/>
        <v/>
      </c>
      <c r="L17" s="46"/>
    </row>
    <row r="18" spans="1:12" s="44" customFormat="1" ht="14.25" customHeight="1" x14ac:dyDescent="0.25">
      <c r="A18" s="183" t="s">
        <v>298</v>
      </c>
      <c r="B18" s="183"/>
      <c r="C18" s="45" t="str">
        <f t="shared" si="0"/>
        <v/>
      </c>
      <c r="D18" s="190" t="str">
        <f>IFERROR(VLOOKUP($A18,Sheet1!$A$1:$B$98,2,0),"")</f>
        <v/>
      </c>
      <c r="E18" s="45" t="str">
        <f>IFERROR(VLOOKUP($A18,'Tổng Đơn'!$A$5:$E$79,5,0),"")</f>
        <v/>
      </c>
      <c r="F18" s="45" t="str">
        <f t="shared" si="1"/>
        <v/>
      </c>
      <c r="G18" s="191" t="str">
        <f>IF(AND($C18="",$C17&lt;&gt;""),"Tổng Cộng",IFERROR(VLOOKUP($A18,Sheet1!$A$1:$D$98,4,0),""))</f>
        <v/>
      </c>
      <c r="H18" s="181" t="str">
        <f>IF($C17=MAX($C$8:$C$56),SUM($H$8:$H17),IFERROR($G18*$F18,""))</f>
        <v/>
      </c>
      <c r="I18" s="80" t="str">
        <f t="shared" si="2"/>
        <v/>
      </c>
      <c r="L18" s="46"/>
    </row>
    <row r="19" spans="1:12" s="44" customFormat="1" ht="14.25" customHeight="1" x14ac:dyDescent="0.25">
      <c r="A19" s="183" t="s">
        <v>298</v>
      </c>
      <c r="B19" s="183"/>
      <c r="C19" s="45" t="str">
        <f t="shared" si="0"/>
        <v/>
      </c>
      <c r="D19" s="190" t="str">
        <f>IFERROR(VLOOKUP($A19,Sheet1!$A$1:$B$98,2,0),"")</f>
        <v/>
      </c>
      <c r="E19" s="45" t="str">
        <f>IFERROR(VLOOKUP($A19,'Tổng Đơn'!$A$5:$E$79,5,0),"")</f>
        <v/>
      </c>
      <c r="F19" s="45" t="str">
        <f t="shared" si="1"/>
        <v/>
      </c>
      <c r="G19" s="191" t="str">
        <f>IF(AND($C19="",$C18&lt;&gt;""),"Tổng Cộng",IFERROR(VLOOKUP($A19,Sheet1!$A$1:$D$98,4,0),""))</f>
        <v/>
      </c>
      <c r="H19" s="181" t="str">
        <f>IF($C18=MAX($C$8:$C$56),SUM($H$8:$H18),IFERROR($G19*$F19,""))</f>
        <v/>
      </c>
      <c r="I19" s="80" t="str">
        <f t="shared" si="2"/>
        <v/>
      </c>
      <c r="L19" s="46"/>
    </row>
    <row r="20" spans="1:12" s="44" customFormat="1" ht="14.25" customHeight="1" x14ac:dyDescent="0.25">
      <c r="A20" s="183" t="s">
        <v>298</v>
      </c>
      <c r="B20" s="183"/>
      <c r="C20" s="45" t="str">
        <f t="shared" si="0"/>
        <v/>
      </c>
      <c r="D20" s="190" t="str">
        <f>IFERROR(VLOOKUP($A20,Sheet1!$A$1:$B$98,2,0),"")</f>
        <v/>
      </c>
      <c r="E20" s="45" t="str">
        <f>IFERROR(VLOOKUP($A20,'Tổng Đơn'!$A$5:$E$79,5,0),"")</f>
        <v/>
      </c>
      <c r="F20" s="45" t="str">
        <f t="shared" si="1"/>
        <v/>
      </c>
      <c r="G20" s="191" t="str">
        <f>IF(AND($C20="",$C19&lt;&gt;""),"Tổng Cộng",IFERROR(VLOOKUP($A20,Sheet1!$A$1:$D$98,4,0),""))</f>
        <v/>
      </c>
      <c r="H20" s="181" t="str">
        <f>IF($C19=MAX($C$8:$C$56),SUM($H$8:$H19),IFERROR($G20*$F20,""))</f>
        <v/>
      </c>
      <c r="I20" s="80" t="str">
        <f t="shared" si="2"/>
        <v/>
      </c>
      <c r="L20" s="46"/>
    </row>
    <row r="21" spans="1:12" s="44" customFormat="1" ht="14.25" customHeight="1" x14ac:dyDescent="0.25">
      <c r="A21" s="183" t="s">
        <v>298</v>
      </c>
      <c r="B21" s="183"/>
      <c r="C21" s="45" t="str">
        <f t="shared" si="0"/>
        <v/>
      </c>
      <c r="D21" s="190" t="str">
        <f>IFERROR(VLOOKUP($A21,Sheet1!$A$1:$B$98,2,0),"")</f>
        <v/>
      </c>
      <c r="E21" s="45" t="str">
        <f>IFERROR(VLOOKUP($A21,'Tổng Đơn'!$A$5:$E$79,5,0),"")</f>
        <v/>
      </c>
      <c r="F21" s="45" t="str">
        <f t="shared" si="1"/>
        <v/>
      </c>
      <c r="G21" s="191" t="str">
        <f>IF(AND($C21="",$C20&lt;&gt;""),"Tổng Cộng",IFERROR(VLOOKUP($A21,Sheet1!$A$1:$D$98,4,0),""))</f>
        <v/>
      </c>
      <c r="H21" s="181" t="str">
        <f>IF($C20=MAX($C$8:$C$56),SUM($H$8:$H20),IFERROR($G21*$F21,""))</f>
        <v/>
      </c>
      <c r="I21" s="80" t="str">
        <f t="shared" si="2"/>
        <v/>
      </c>
      <c r="L21" s="46"/>
    </row>
    <row r="22" spans="1:12" s="44" customFormat="1" ht="14.25" customHeight="1" x14ac:dyDescent="0.25">
      <c r="A22" s="183" t="s">
        <v>298</v>
      </c>
      <c r="B22" s="183"/>
      <c r="C22" s="45" t="str">
        <f t="shared" si="0"/>
        <v/>
      </c>
      <c r="D22" s="179" t="str">
        <f>IFERROR(VLOOKUP($A22,Sheet1!$A$1:$B$98,2,0),"")</f>
        <v/>
      </c>
      <c r="E22" s="45" t="str">
        <f>IFERROR(VLOOKUP($A22,'Tổng Đơn'!$A$5:$E$79,5,0),"")</f>
        <v/>
      </c>
      <c r="F22" s="45" t="str">
        <f t="shared" si="1"/>
        <v/>
      </c>
      <c r="G22" s="191" t="str">
        <f>IF(AND($C22="",$C21&lt;&gt;""),"Tổng Cộng",IFERROR(VLOOKUP($A22,Sheet1!$A$1:$D$98,4,0),""))</f>
        <v/>
      </c>
      <c r="H22" s="181" t="str">
        <f>IF($C21=MAX($C$8:$C$56),SUM($H$8:$H21),IFERROR($G22*$F22,""))</f>
        <v/>
      </c>
      <c r="I22" s="80" t="str">
        <f t="shared" si="2"/>
        <v/>
      </c>
      <c r="L22" s="46"/>
    </row>
    <row r="23" spans="1:12" s="44" customFormat="1" ht="14.25" customHeight="1" x14ac:dyDescent="0.25">
      <c r="A23" s="183" t="s">
        <v>298</v>
      </c>
      <c r="B23" s="183"/>
      <c r="C23" s="45" t="str">
        <f t="shared" si="0"/>
        <v/>
      </c>
      <c r="D23" s="179" t="str">
        <f>IFERROR(VLOOKUP($A23,Sheet1!$A$1:$B$98,2,0),"")</f>
        <v/>
      </c>
      <c r="E23" s="45" t="str">
        <f>IFERROR(VLOOKUP($A23,'Tổng Đơn'!$A$5:$E$79,5,0),"")</f>
        <v/>
      </c>
      <c r="F23" s="45" t="str">
        <f t="shared" si="1"/>
        <v/>
      </c>
      <c r="G23" s="191" t="str">
        <f>IF(AND($C23="",$C22&lt;&gt;""),"Tổng Cộng",IFERROR(VLOOKUP($A23,Sheet1!$A$1:$D$98,4,0),""))</f>
        <v/>
      </c>
      <c r="H23" s="181" t="str">
        <f>IF($C22=MAX($C$8:$C$56),SUM($H$8:$H22),IFERROR($G23*$F23,""))</f>
        <v/>
      </c>
      <c r="I23" s="80" t="str">
        <f t="shared" si="2"/>
        <v/>
      </c>
      <c r="L23" s="46"/>
    </row>
    <row r="24" spans="1:12" s="44" customFormat="1" ht="14.25" customHeight="1" x14ac:dyDescent="0.25">
      <c r="A24" s="183" t="s">
        <v>298</v>
      </c>
      <c r="B24" s="183"/>
      <c r="C24" s="45" t="str">
        <f t="shared" si="0"/>
        <v/>
      </c>
      <c r="D24" s="179" t="str">
        <f>IFERROR(VLOOKUP($A24,Sheet1!$A$1:$B$98,2,0),"")</f>
        <v/>
      </c>
      <c r="E24" s="45" t="str">
        <f>IFERROR(VLOOKUP($A24,'Tổng Đơn'!$A$5:$E$79,5,0),"")</f>
        <v/>
      </c>
      <c r="F24" s="45" t="str">
        <f t="shared" si="1"/>
        <v/>
      </c>
      <c r="G24" s="191" t="str">
        <f>IF(AND($C24="",$C23&lt;&gt;""),"Tổng Cộng",IFERROR(VLOOKUP($A24,Sheet1!$A$1:$D$98,4,0),""))</f>
        <v/>
      </c>
      <c r="H24" s="181" t="str">
        <f>IF($C23=MAX($C$8:$C$56),SUM($H$8:$H23),IFERROR($G24*$F24,""))</f>
        <v/>
      </c>
      <c r="I24" s="80" t="str">
        <f t="shared" si="2"/>
        <v/>
      </c>
      <c r="L24" s="46"/>
    </row>
    <row r="25" spans="1:12" s="44" customFormat="1" ht="14.25" customHeight="1" x14ac:dyDescent="0.25">
      <c r="A25" s="183" t="s">
        <v>298</v>
      </c>
      <c r="B25" s="183"/>
      <c r="C25" s="45" t="str">
        <f t="shared" si="0"/>
        <v/>
      </c>
      <c r="D25" s="179" t="str">
        <f>IFERROR(VLOOKUP($A25,Sheet1!$A$1:$B$98,2,0),"")</f>
        <v/>
      </c>
      <c r="E25" s="45" t="str">
        <f>IFERROR(VLOOKUP($A25,'Tổng Đơn'!$A$5:$E$79,5,0),"")</f>
        <v/>
      </c>
      <c r="F25" s="45" t="str">
        <f t="shared" si="1"/>
        <v/>
      </c>
      <c r="G25" s="191" t="str">
        <f>IF(AND($C25="",$C24&lt;&gt;""),"Tổng Cộng",IFERROR(VLOOKUP($A25,Sheet1!$A$1:$D$98,4,0),""))</f>
        <v/>
      </c>
      <c r="H25" s="181" t="str">
        <f>IF($C24=MAX($C$8:$C$56),SUM($H$8:$H24),IFERROR($G25*$F25,""))</f>
        <v/>
      </c>
      <c r="I25" s="80" t="str">
        <f t="shared" si="2"/>
        <v/>
      </c>
      <c r="L25" s="46"/>
    </row>
    <row r="26" spans="1:12" s="44" customFormat="1" ht="14.25" customHeight="1" x14ac:dyDescent="0.25">
      <c r="A26" s="183" t="s">
        <v>298</v>
      </c>
      <c r="B26" s="183"/>
      <c r="C26" s="45" t="str">
        <f t="shared" si="0"/>
        <v/>
      </c>
      <c r="D26" s="179" t="str">
        <f>IFERROR(VLOOKUP($A26,Sheet1!$A$1:$B$98,2,0),"")</f>
        <v/>
      </c>
      <c r="E26" s="45" t="str">
        <f>IFERROR(VLOOKUP($A26,'Tổng Đơn'!$A$5:$E$79,5,0),"")</f>
        <v/>
      </c>
      <c r="F26" s="45" t="str">
        <f t="shared" si="1"/>
        <v/>
      </c>
      <c r="G26" s="191" t="str">
        <f>IF(AND($C26="",$C25&lt;&gt;""),"Tổng Cộng",IFERROR(VLOOKUP($A26,Sheet1!$A$1:$D$98,4,0),""))</f>
        <v/>
      </c>
      <c r="H26" s="181" t="str">
        <f>IF($C25=MAX($C$8:$C$56),SUM($H$8:$H25),IFERROR($G26*$F26,""))</f>
        <v/>
      </c>
      <c r="I26" s="80" t="str">
        <f t="shared" si="2"/>
        <v/>
      </c>
      <c r="L26" s="46"/>
    </row>
    <row r="27" spans="1:12" s="44" customFormat="1" ht="14.25" customHeight="1" x14ac:dyDescent="0.25">
      <c r="A27" s="183" t="s">
        <v>298</v>
      </c>
      <c r="B27" s="183"/>
      <c r="C27" s="45" t="str">
        <f t="shared" si="0"/>
        <v/>
      </c>
      <c r="D27" s="179" t="str">
        <f>IFERROR(VLOOKUP($A27,Sheet1!$A$1:$B$98,2,0),"")</f>
        <v/>
      </c>
      <c r="E27" s="45" t="str">
        <f>IFERROR(VLOOKUP($A27,'Tổng Đơn'!$A$5:$E$79,5,0),"")</f>
        <v/>
      </c>
      <c r="F27" s="45" t="str">
        <f t="shared" si="1"/>
        <v/>
      </c>
      <c r="G27" s="191" t="str">
        <f>IF(AND($C27="",$C26&lt;&gt;""),"Tổng Cộng",IFERROR(VLOOKUP($A27,Sheet1!$A$1:$D$98,4,0),""))</f>
        <v/>
      </c>
      <c r="H27" s="181" t="str">
        <f>IF($C26=MAX($C$8:$C$56),SUM($H$8:$H26),IFERROR($G27*$F27,""))</f>
        <v/>
      </c>
      <c r="I27" s="80" t="str">
        <f t="shared" si="2"/>
        <v/>
      </c>
      <c r="L27" s="46"/>
    </row>
    <row r="28" spans="1:12" s="44" customFormat="1" ht="14.25" customHeight="1" x14ac:dyDescent="0.25">
      <c r="A28" s="183" t="s">
        <v>298</v>
      </c>
      <c r="B28" s="183"/>
      <c r="C28" s="45" t="str">
        <f t="shared" si="0"/>
        <v/>
      </c>
      <c r="D28" s="179" t="str">
        <f>IFERROR(VLOOKUP($A28,Sheet1!$A$1:$B$98,2,0),"")</f>
        <v/>
      </c>
      <c r="E28" s="45" t="str">
        <f>IFERROR(VLOOKUP($A28,'Tổng Đơn'!$A$5:$E$79,5,0),"")</f>
        <v/>
      </c>
      <c r="F28" s="45" t="str">
        <f t="shared" si="1"/>
        <v/>
      </c>
      <c r="G28" s="191" t="str">
        <f>IF(AND($C28="",$C27&lt;&gt;""),"Tổng Cộng",IFERROR(VLOOKUP($A28,Sheet1!$A$1:$D$98,4,0),""))</f>
        <v/>
      </c>
      <c r="H28" s="181" t="str">
        <f>IF($C27=MAX($C$8:$C$56),SUM($H$8:$H27),IFERROR($G28*$F28,""))</f>
        <v/>
      </c>
      <c r="I28" s="80" t="str">
        <f t="shared" si="2"/>
        <v/>
      </c>
      <c r="L28" s="46"/>
    </row>
    <row r="29" spans="1:12" s="44" customFormat="1" ht="14.25" customHeight="1" x14ac:dyDescent="0.25">
      <c r="A29" s="183" t="s">
        <v>298</v>
      </c>
      <c r="B29" s="183"/>
      <c r="C29" s="45" t="str">
        <f t="shared" si="0"/>
        <v/>
      </c>
      <c r="D29" s="179" t="str">
        <f>IFERROR(VLOOKUP($A29,Sheet1!$A$1:$B$98,2,0),"")</f>
        <v/>
      </c>
      <c r="E29" s="45" t="str">
        <f>IFERROR(VLOOKUP($A29,'Tổng Đơn'!$A$5:$E$79,5,0),"")</f>
        <v/>
      </c>
      <c r="F29" s="45" t="str">
        <f t="shared" si="1"/>
        <v/>
      </c>
      <c r="G29" s="191" t="str">
        <f>IF(AND($C29="",$C28&lt;&gt;""),"Tổng Cộng",IFERROR(VLOOKUP($A29,Sheet1!$A$1:$D$98,4,0),""))</f>
        <v/>
      </c>
      <c r="H29" s="181" t="str">
        <f>IF($C28=MAX($C$8:$C$56),SUM($H$8:$H28),IFERROR($G29*$F29,""))</f>
        <v/>
      </c>
      <c r="I29" s="80" t="str">
        <f t="shared" si="2"/>
        <v/>
      </c>
      <c r="L29" s="46"/>
    </row>
    <row r="30" spans="1:12" s="44" customFormat="1" ht="14.25" customHeight="1" x14ac:dyDescent="0.25">
      <c r="A30" s="183" t="s">
        <v>298</v>
      </c>
      <c r="B30" s="183"/>
      <c r="C30" s="45" t="str">
        <f t="shared" si="0"/>
        <v/>
      </c>
      <c r="D30" s="179" t="str">
        <f>IFERROR(VLOOKUP($A30,Sheet1!$A$1:$B$98,2,0),"")</f>
        <v/>
      </c>
      <c r="E30" s="45" t="str">
        <f>IFERROR(VLOOKUP($A30,'Tổng Đơn'!$A$5:$E$79,5,0),"")</f>
        <v/>
      </c>
      <c r="F30" s="45" t="str">
        <f t="shared" si="1"/>
        <v/>
      </c>
      <c r="G30" s="191" t="str">
        <f>IF(AND($C30="",$C29&lt;&gt;""),"Tổng Cộng",IFERROR(VLOOKUP($A30,Sheet1!$A$1:$D$98,4,0),""))</f>
        <v/>
      </c>
      <c r="H30" s="181" t="str">
        <f>IF($C29=MAX($C$8:$C$56),SUM($H$8:$H29),IFERROR($G30*$F30,""))</f>
        <v/>
      </c>
      <c r="I30" s="80" t="str">
        <f t="shared" si="2"/>
        <v/>
      </c>
      <c r="L30" s="46"/>
    </row>
    <row r="31" spans="1:12" s="44" customFormat="1" ht="14.25" customHeight="1" x14ac:dyDescent="0.25">
      <c r="A31" s="183" t="s">
        <v>298</v>
      </c>
      <c r="B31" s="183"/>
      <c r="C31" s="45" t="str">
        <f t="shared" si="0"/>
        <v/>
      </c>
      <c r="D31" s="179" t="str">
        <f>IFERROR(VLOOKUP($A31,Sheet1!$A$1:$B$98,2,0),"")</f>
        <v/>
      </c>
      <c r="E31" s="45" t="str">
        <f>IFERROR(VLOOKUP($A31,'Tổng Đơn'!$A$5:$E$79,5,0),"")</f>
        <v/>
      </c>
      <c r="F31" s="45" t="str">
        <f t="shared" si="1"/>
        <v/>
      </c>
      <c r="G31" s="191" t="str">
        <f>IF(AND($C31="",$C30&lt;&gt;""),"Tổng Cộng",IFERROR(VLOOKUP($A31,Sheet1!$A$1:$D$98,4,0),""))</f>
        <v/>
      </c>
      <c r="H31" s="181" t="str">
        <f>IF($C30=MAX($C$8:$C$56),SUM($H$8:$H30),IFERROR($G31*$F31,""))</f>
        <v/>
      </c>
      <c r="I31" s="80" t="str">
        <f t="shared" si="2"/>
        <v/>
      </c>
      <c r="L31" s="46"/>
    </row>
    <row r="32" spans="1:12" s="44" customFormat="1" ht="14.25" customHeight="1" x14ac:dyDescent="0.25">
      <c r="A32" s="183" t="s">
        <v>298</v>
      </c>
      <c r="B32" s="183"/>
      <c r="C32" s="45" t="str">
        <f t="shared" si="0"/>
        <v/>
      </c>
      <c r="D32" s="179" t="str">
        <f>IFERROR(VLOOKUP($A32,Sheet1!$A$1:$B$98,2,0),"")</f>
        <v/>
      </c>
      <c r="E32" s="45" t="str">
        <f>IFERROR(VLOOKUP($A32,'Tổng Đơn'!$A$5:$E$79,5,0),"")</f>
        <v/>
      </c>
      <c r="F32" s="45" t="str">
        <f t="shared" si="1"/>
        <v/>
      </c>
      <c r="G32" s="191" t="str">
        <f>IF(AND($C32="",$C31&lt;&gt;""),"Tổng Cộng",IFERROR(VLOOKUP($A32,Sheet1!$A$1:$D$98,4,0),""))</f>
        <v/>
      </c>
      <c r="H32" s="181" t="str">
        <f>IF($C31=MAX($C$8:$C$56),SUM($H$8:$H31),IFERROR($G32*$F32,""))</f>
        <v/>
      </c>
      <c r="I32" s="80" t="str">
        <f t="shared" si="2"/>
        <v/>
      </c>
      <c r="L32" s="46"/>
    </row>
    <row r="33" spans="1:12" s="44" customFormat="1" ht="14.25" customHeight="1" x14ac:dyDescent="0.25">
      <c r="A33" s="183" t="s">
        <v>298</v>
      </c>
      <c r="B33" s="183"/>
      <c r="C33" s="45" t="str">
        <f t="shared" si="0"/>
        <v/>
      </c>
      <c r="D33" s="179" t="str">
        <f>IFERROR(VLOOKUP($A33,Sheet1!$A$1:$B$98,2,0),"")</f>
        <v/>
      </c>
      <c r="E33" s="45" t="str">
        <f>IFERROR(VLOOKUP($A33,'Tổng Đơn'!$A$5:$E$79,5,0),"")</f>
        <v/>
      </c>
      <c r="F33" s="45" t="str">
        <f t="shared" si="1"/>
        <v/>
      </c>
      <c r="G33" s="191" t="str">
        <f>IF(AND($C33="",$C32&lt;&gt;""),"Tổng Cộng",IFERROR(VLOOKUP($A33,Sheet1!$A$1:$D$98,4,0),""))</f>
        <v/>
      </c>
      <c r="H33" s="181" t="str">
        <f>IF($C32=MAX($C$8:$C$56),SUM($H$8:$H32),IFERROR($G33*$F33,""))</f>
        <v/>
      </c>
      <c r="I33" s="80" t="str">
        <f t="shared" si="2"/>
        <v/>
      </c>
      <c r="L33" s="46"/>
    </row>
    <row r="34" spans="1:12" s="44" customFormat="1" ht="14.25" customHeight="1" x14ac:dyDescent="0.25">
      <c r="A34" s="183" t="s">
        <v>298</v>
      </c>
      <c r="B34" s="183"/>
      <c r="C34" s="45" t="str">
        <f t="shared" si="0"/>
        <v/>
      </c>
      <c r="D34" s="179" t="str">
        <f>IFERROR(VLOOKUP($A34,Sheet1!$A$1:$B$98,2,0),"")</f>
        <v/>
      </c>
      <c r="E34" s="45" t="str">
        <f>IFERROR(VLOOKUP($A34,'Tổng Đơn'!$A$5:$E$79,5,0),"")</f>
        <v/>
      </c>
      <c r="F34" s="45" t="str">
        <f t="shared" si="1"/>
        <v/>
      </c>
      <c r="G34" s="191" t="str">
        <f>IF(AND($C34="",$C33&lt;&gt;""),"Tổng Cộng",IFERROR(VLOOKUP($A34,Sheet1!$A$1:$D$98,4,0),""))</f>
        <v/>
      </c>
      <c r="H34" s="181" t="str">
        <f>IF($C33=MAX($C$8:$C$56),SUM($H$8:$H33),IFERROR($G34*$F34,""))</f>
        <v/>
      </c>
      <c r="I34" s="80" t="str">
        <f t="shared" si="2"/>
        <v/>
      </c>
      <c r="L34" s="46"/>
    </row>
    <row r="35" spans="1:12" s="44" customFormat="1" ht="14.25" customHeight="1" x14ac:dyDescent="0.25">
      <c r="A35" s="183" t="s">
        <v>298</v>
      </c>
      <c r="B35" s="183"/>
      <c r="C35" s="45" t="str">
        <f t="shared" si="0"/>
        <v/>
      </c>
      <c r="D35" s="179" t="str">
        <f>IFERROR(VLOOKUP($A35,Sheet1!$A$1:$B$98,2,0),"")</f>
        <v/>
      </c>
      <c r="E35" s="45" t="str">
        <f>IFERROR(VLOOKUP($A35,'Tổng Đơn'!$A$5:$E$79,5,0),"")</f>
        <v/>
      </c>
      <c r="F35" s="45" t="str">
        <f t="shared" si="1"/>
        <v/>
      </c>
      <c r="G35" s="191" t="str">
        <f>IF(AND($C35="",$C34&lt;&gt;""),"Tổng Cộng",IFERROR(VLOOKUP($A35,Sheet1!$A$1:$D$98,4,0),""))</f>
        <v/>
      </c>
      <c r="H35" s="181" t="str">
        <f>IF($C34=MAX($C$8:$C$56),SUM($H$8:$H34),IFERROR($G35*$F35,""))</f>
        <v/>
      </c>
      <c r="I35" s="80" t="str">
        <f t="shared" si="2"/>
        <v/>
      </c>
      <c r="L35" s="46"/>
    </row>
    <row r="36" spans="1:12" s="44" customFormat="1" ht="14.25" customHeight="1" x14ac:dyDescent="0.25">
      <c r="A36" s="183" t="s">
        <v>298</v>
      </c>
      <c r="B36" s="183"/>
      <c r="C36" s="45" t="str">
        <f t="shared" si="0"/>
        <v/>
      </c>
      <c r="D36" s="179" t="str">
        <f>IFERROR(VLOOKUP($A36,Sheet1!$A$1:$B$98,2,0),"")</f>
        <v/>
      </c>
      <c r="E36" s="45" t="str">
        <f>IFERROR(VLOOKUP($A36,'Tổng Đơn'!$A$5:$E$79,5,0),"")</f>
        <v/>
      </c>
      <c r="F36" s="45" t="str">
        <f t="shared" si="1"/>
        <v/>
      </c>
      <c r="G36" s="191" t="str">
        <f>IF(AND($C36="",$C35&lt;&gt;""),"Tổng Cộng",IFERROR(VLOOKUP($A36,Sheet1!$A$1:$D$98,4,0),""))</f>
        <v/>
      </c>
      <c r="H36" s="181" t="str">
        <f>IF($C35=MAX($C$8:$C$56),SUM($H$8:$H35),IFERROR($G36*$F36,""))</f>
        <v/>
      </c>
      <c r="I36" s="80" t="str">
        <f t="shared" si="2"/>
        <v/>
      </c>
      <c r="L36" s="46"/>
    </row>
    <row r="37" spans="1:12" s="44" customFormat="1" ht="14.25" customHeight="1" x14ac:dyDescent="0.25">
      <c r="A37" s="183" t="s">
        <v>298</v>
      </c>
      <c r="B37" s="183"/>
      <c r="C37" s="45" t="str">
        <f t="shared" si="0"/>
        <v/>
      </c>
      <c r="D37" s="179" t="str">
        <f>IFERROR(VLOOKUP($A37,Sheet1!$A$1:$B$98,2,0),"")</f>
        <v/>
      </c>
      <c r="E37" s="45" t="str">
        <f>IFERROR(VLOOKUP($A37,'Tổng Đơn'!$A$5:$E$79,5,0),"")</f>
        <v/>
      </c>
      <c r="F37" s="45" t="str">
        <f t="shared" si="1"/>
        <v/>
      </c>
      <c r="G37" s="191" t="str">
        <f>IF(AND($C37="",$C36&lt;&gt;""),"Tổng Cộng",IFERROR(VLOOKUP($A37,Sheet1!$A$1:$D$98,4,0),""))</f>
        <v/>
      </c>
      <c r="H37" s="181" t="str">
        <f>IF($C36=MAX($C$8:$C$56),SUM($H$8:$H36),IFERROR($G37*$F37,""))</f>
        <v/>
      </c>
      <c r="I37" s="80" t="str">
        <f t="shared" si="2"/>
        <v/>
      </c>
      <c r="L37" s="46"/>
    </row>
    <row r="38" spans="1:12" s="44" customFormat="1" ht="14.25" customHeight="1" x14ac:dyDescent="0.25">
      <c r="A38" s="183"/>
      <c r="B38" s="183"/>
      <c r="C38" s="48"/>
      <c r="D38" s="49"/>
      <c r="E38" s="78"/>
      <c r="F38" s="45"/>
      <c r="G38" s="192" t="str">
        <f>IF(AND($C38="",$C37&lt;&gt;""),"Tổng Cộng",IFERROR(VLOOKUP($A38,Sheet1!$A$1:$D$98,4,0),""))</f>
        <v/>
      </c>
      <c r="H38" s="50" t="str">
        <f>IF($C37=MAX($C$8:$C$56),SUM($H$8:$H37),IFERROR($G38*$F38,""))</f>
        <v/>
      </c>
      <c r="I38" s="80"/>
      <c r="L38" s="46"/>
    </row>
    <row r="39" spans="1:12" ht="15" customHeight="1" x14ac:dyDescent="0.25">
      <c r="F39" s="51"/>
      <c r="G39" s="171"/>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H9 C38:E38 C9:G9 F15:H38 D15:E37 D10:H14">
    <cfRule type="expression" dxfId="27" priority="2">
      <formula>$C7=MAX($C$8:$C$37)</formula>
    </cfRule>
  </conditionalFormatting>
  <conditionalFormatting sqref="C10:C37">
    <cfRule type="expression" dxfId="26" priority="1">
      <formula>$C9=MAX($C$8:$C$37)</formula>
    </cfRule>
  </conditionalFormatting>
  <conditionalFormatting sqref="E8:E38">
    <cfRule type="expression" dxfId="25" priority="3">
      <formula>AND($A8="",$F8&lt;&gt;"")</formula>
    </cfRule>
  </conditionalFormatting>
  <conditionalFormatting sqref="F8:F38">
    <cfRule type="expression" dxfId="24"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46433" r:id="rId4" name="Button 1">
              <controlPr defaultSize="0" print="0" autoFill="0" autoPict="0" macro="[0]!Macro4">
                <anchor moveWithCells="1" sizeWithCells="1">
                  <from>
                    <xdr:col>0</xdr:col>
                    <xdr:colOff>0</xdr:colOff>
                    <xdr:row>0</xdr:row>
                    <xdr:rowOff>0</xdr:rowOff>
                  </from>
                  <to>
                    <xdr:col>1</xdr:col>
                    <xdr:colOff>723900</xdr:colOff>
                    <xdr:row>7</xdr:row>
                    <xdr:rowOff>0</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RowHeight="15" x14ac:dyDescent="0.25"/>
  <cols>
    <col min="1" max="1" width="11.7109375" style="14" customWidth="1"/>
    <col min="2" max="2" width="11.28515625" style="14" customWidth="1"/>
    <col min="3" max="3" width="9.140625" style="14"/>
    <col min="4" max="4" width="38.42578125" style="14" bestFit="1" customWidth="1"/>
    <col min="5" max="5" width="12.28515625" style="79"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33" t="s">
        <v>223</v>
      </c>
      <c r="D1" s="233"/>
      <c r="E1" s="233"/>
      <c r="F1" s="233"/>
      <c r="G1" s="233"/>
      <c r="H1" s="233"/>
    </row>
    <row r="2" spans="1:14" ht="15.75" customHeight="1" x14ac:dyDescent="0.25">
      <c r="C2" s="233"/>
      <c r="D2" s="233"/>
      <c r="E2" s="233"/>
      <c r="F2" s="233"/>
      <c r="G2" s="233"/>
      <c r="H2" s="233"/>
    </row>
    <row r="3" spans="1:14" ht="15" customHeight="1" x14ac:dyDescent="0.25">
      <c r="C3" s="235" t="s">
        <v>225</v>
      </c>
      <c r="D3" s="235"/>
      <c r="E3" s="235"/>
      <c r="F3" s="238" t="s">
        <v>227</v>
      </c>
      <c r="G3" s="238"/>
      <c r="H3" s="238"/>
    </row>
    <row r="4" spans="1:14" x14ac:dyDescent="0.25">
      <c r="C4" s="236" t="s">
        <v>226</v>
      </c>
      <c r="D4" s="236"/>
      <c r="E4" s="236"/>
      <c r="F4" s="239" t="s">
        <v>228</v>
      </c>
      <c r="G4" s="239"/>
      <c r="H4" s="239"/>
    </row>
    <row r="5" spans="1:14" s="172" customFormat="1" ht="21" customHeight="1" x14ac:dyDescent="0.25">
      <c r="C5" s="237" t="s">
        <v>224</v>
      </c>
      <c r="D5" s="237"/>
      <c r="E5" s="237"/>
      <c r="F5" s="237"/>
      <c r="G5" s="237"/>
      <c r="H5" s="237"/>
    </row>
    <row r="6" spans="1:14" s="172" customFormat="1" ht="17.25" customHeight="1" x14ac:dyDescent="0.25">
      <c r="C6" s="182" t="s">
        <v>229</v>
      </c>
      <c r="D6" s="187" t="s">
        <v>305</v>
      </c>
      <c r="E6" s="177"/>
      <c r="F6" s="177"/>
      <c r="G6" s="234" t="str">
        <f ca="1">"Ngày "&amp;DAY(TODAY())&amp;" Tháng "&amp;MONTH(TODAY())&amp;" Năm "&amp;YEAR(TODAY())</f>
        <v>Ngày 14 Tháng 2 Năm 2022</v>
      </c>
      <c r="H6" s="234"/>
    </row>
    <row r="7" spans="1:14" s="176" customFormat="1" ht="24" customHeight="1" x14ac:dyDescent="0.25">
      <c r="A7" s="173" t="s">
        <v>118</v>
      </c>
      <c r="B7" s="173" t="s">
        <v>16</v>
      </c>
      <c r="C7" s="174" t="s">
        <v>0</v>
      </c>
      <c r="D7" s="174" t="s">
        <v>17</v>
      </c>
      <c r="E7" s="178" t="str">
        <f>"Quy cách"&amp;CHAR(10)&amp;"(Kg)"</f>
        <v>Quy cách
(Kg)</v>
      </c>
      <c r="F7" s="174" t="s">
        <v>16</v>
      </c>
      <c r="G7" s="174" t="s">
        <v>18</v>
      </c>
      <c r="H7" s="174" t="s">
        <v>19</v>
      </c>
      <c r="I7" s="175">
        <f>SUBTOTAL(9,I8:I37)</f>
        <v>1</v>
      </c>
      <c r="L7" s="172"/>
    </row>
    <row r="8" spans="1:14" s="44" customFormat="1" ht="14.25" customHeight="1" x14ac:dyDescent="0.25">
      <c r="A8" s="183">
        <v>17</v>
      </c>
      <c r="B8" s="183">
        <v>1</v>
      </c>
      <c r="C8" s="45">
        <f t="shared" ref="C8:C37" si="0">IF(OR(SUM($C7,$A8&lt;&gt;"")=0,$A8=""),"",SUM($C7,$A8&lt;&gt;""))</f>
        <v>1</v>
      </c>
      <c r="D8" s="179" t="str">
        <f>IFERROR(VLOOKUP($A8,Sheet1!$A$1:$B$98,2,0),"")</f>
        <v>Phô mai viên (35v)</v>
      </c>
      <c r="E8" s="180">
        <f>IFERROR(VLOOKUP($A8,'Tổng Đơn'!$A$5:$E$79,5,0),"")</f>
        <v>0.5</v>
      </c>
      <c r="F8" s="45">
        <f t="shared" ref="F8:F37" si="1">IF($B8="","",B8)</f>
        <v>1</v>
      </c>
      <c r="G8" s="191">
        <f>IFERROR(VLOOKUP($A8,Sheet1!$A1:$D$98,4,0),"")</f>
        <v>40000</v>
      </c>
      <c r="H8" s="181">
        <f>IF($C7=MAX($C$8:$C$56),SUM($H7:$H$8),IFERROR($G8*$F8,""))</f>
        <v>40000</v>
      </c>
      <c r="I8" s="80">
        <f t="shared" ref="I8:I37" si="2">IF(TYPE($A8)&lt;&gt;1,"",IFERROR(F8*E8,""))</f>
        <v>0.5</v>
      </c>
      <c r="L8" s="47"/>
    </row>
    <row r="9" spans="1:14" s="44" customFormat="1" ht="14.25" customHeight="1" x14ac:dyDescent="0.25">
      <c r="A9" s="183">
        <v>65</v>
      </c>
      <c r="B9" s="183">
        <v>1</v>
      </c>
      <c r="C9" s="45">
        <f t="shared" si="0"/>
        <v>2</v>
      </c>
      <c r="D9" s="179" t="str">
        <f>IFERROR(VLOOKUP($A9,Sheet1!$A$1:$B$98,2,0),"")</f>
        <v>Cá viên KK</v>
      </c>
      <c r="E9" s="45">
        <f>IFERROR(VLOOKUP($A9,'Tổng Đơn'!$A$5:$E$79,5,0),"")</f>
        <v>0.5</v>
      </c>
      <c r="F9" s="45">
        <f t="shared" si="1"/>
        <v>1</v>
      </c>
      <c r="G9" s="191">
        <f>IF(AND($C9="",$C8&lt;&gt;""),"Tổng Cộng",IFERROR(VLOOKUP($A9,Sheet1!$A$1:$D$98,4,0),""))</f>
        <v>23000</v>
      </c>
      <c r="H9" s="181">
        <f>IF($C8=MAX($C$8:$C$56),SUM($H$8:$H8),IFERROR($G9*$F9,""))</f>
        <v>23000</v>
      </c>
      <c r="I9" s="80">
        <f t="shared" si="2"/>
        <v>0.5</v>
      </c>
      <c r="L9" s="46"/>
    </row>
    <row r="10" spans="1:14" s="44" customFormat="1" ht="14.25" customHeight="1" x14ac:dyDescent="0.25">
      <c r="A10" s="183" t="s">
        <v>298</v>
      </c>
      <c r="B10" s="183"/>
      <c r="C10" s="45" t="str">
        <f t="shared" si="0"/>
        <v/>
      </c>
      <c r="D10" s="179" t="str">
        <f>IFERROR(VLOOKUP($A10,Sheet1!$A$1:$B$98,2,0),"")</f>
        <v/>
      </c>
      <c r="E10" s="45" t="str">
        <f>IFERROR(VLOOKUP($A10,'Tổng Đơn'!$A$5:$E$79,5,0),"")</f>
        <v/>
      </c>
      <c r="F10" s="45" t="str">
        <f t="shared" si="1"/>
        <v/>
      </c>
      <c r="G10" s="191" t="str">
        <f>IF(AND($C10="",$C9&lt;&gt;""),"Tổng Cộng",IFERROR(VLOOKUP($A10,Sheet1!$A$1:$D$98,4,0),""))</f>
        <v>Tổng Cộng</v>
      </c>
      <c r="H10" s="181">
        <f>IF($C9=MAX($C$8:$C$56),SUM($H$8:$H9),IFERROR($G10*$F10,""))</f>
        <v>63000</v>
      </c>
      <c r="I10" s="80" t="str">
        <f t="shared" si="2"/>
        <v/>
      </c>
      <c r="L10" s="46"/>
    </row>
    <row r="11" spans="1:14" s="44" customFormat="1" ht="14.25" customHeight="1" x14ac:dyDescent="0.25">
      <c r="A11" s="183" t="s">
        <v>298</v>
      </c>
      <c r="B11" s="183"/>
      <c r="C11" s="45" t="str">
        <f t="shared" si="0"/>
        <v/>
      </c>
      <c r="D11" s="179" t="str">
        <f>IFERROR(VLOOKUP($A11,Sheet1!$A$1:$B$98,2,0),"")</f>
        <v/>
      </c>
      <c r="E11" s="45" t="str">
        <f>IFERROR(VLOOKUP($A11,'Tổng Đơn'!$A$5:$E$79,5,0),"")</f>
        <v/>
      </c>
      <c r="F11" s="45" t="str">
        <f t="shared" si="1"/>
        <v/>
      </c>
      <c r="G11" s="191" t="str">
        <f>IF(AND($C11="",$C10&lt;&gt;""),"Tổng Cộng",IFERROR(VLOOKUP($A11,Sheet1!$A$1:$D$98,4,0),""))</f>
        <v/>
      </c>
      <c r="H11" s="181" t="str">
        <f>IF($C10=MAX($C$8:$C$56),SUM($H$8:$H10),IFERROR($G11*$F11,""))</f>
        <v/>
      </c>
      <c r="I11" s="80" t="str">
        <f t="shared" si="2"/>
        <v/>
      </c>
      <c r="L11" s="46"/>
    </row>
    <row r="12" spans="1:14" s="44" customFormat="1" ht="14.25" customHeight="1" x14ac:dyDescent="0.25">
      <c r="A12" s="183" t="s">
        <v>298</v>
      </c>
      <c r="B12" s="183"/>
      <c r="C12" s="45" t="str">
        <f t="shared" si="0"/>
        <v/>
      </c>
      <c r="D12" s="179" t="str">
        <f>IFERROR(VLOOKUP($A12,Sheet1!$A$1:$B$98,2,0),"")</f>
        <v/>
      </c>
      <c r="E12" s="45" t="str">
        <f>IFERROR(VLOOKUP($A12,'Tổng Đơn'!$A$5:$E$79,5,0),"")</f>
        <v/>
      </c>
      <c r="F12" s="45" t="str">
        <f t="shared" si="1"/>
        <v/>
      </c>
      <c r="G12" s="191" t="str">
        <f>IF(AND($C12="",$C11&lt;&gt;""),"Tổng Cộng",IFERROR(VLOOKUP($A12,Sheet1!$A$1:$D$98,4,0),""))</f>
        <v/>
      </c>
      <c r="H12" s="181" t="str">
        <f>IF($C11=MAX($C$8:$C$56),SUM($H$8:$H11),IFERROR($G12*$F12,""))</f>
        <v/>
      </c>
      <c r="I12" s="80" t="str">
        <f t="shared" si="2"/>
        <v/>
      </c>
      <c r="J12" s="153"/>
      <c r="L12" s="46"/>
      <c r="M12" s="161"/>
      <c r="N12" s="154"/>
    </row>
    <row r="13" spans="1:14" s="44" customFormat="1" ht="14.25" customHeight="1" x14ac:dyDescent="0.25">
      <c r="A13" s="183" t="s">
        <v>298</v>
      </c>
      <c r="B13" s="183"/>
      <c r="C13" s="45" t="str">
        <f t="shared" si="0"/>
        <v/>
      </c>
      <c r="D13" s="179" t="str">
        <f>IFERROR(VLOOKUP($A13,Sheet1!$A$1:$B$98,2,0),"")</f>
        <v/>
      </c>
      <c r="E13" s="45" t="str">
        <f>IFERROR(VLOOKUP($A13,'Tổng Đơn'!$A$5:$E$79,5,0),"")</f>
        <v/>
      </c>
      <c r="F13" s="45" t="str">
        <f t="shared" si="1"/>
        <v/>
      </c>
      <c r="G13" s="191" t="str">
        <f>IF(AND($C13="",$C12&lt;&gt;""),"Tổng Cộng",IFERROR(VLOOKUP($A13,Sheet1!$A$1:$D$98,4,0),""))</f>
        <v/>
      </c>
      <c r="H13" s="181" t="str">
        <f>IF($C12=MAX($C$8:$C$56),SUM($H$8:$H12),IFERROR($G13*$F13,""))</f>
        <v/>
      </c>
      <c r="I13" s="80" t="str">
        <f t="shared" si="2"/>
        <v/>
      </c>
      <c r="L13" s="46"/>
    </row>
    <row r="14" spans="1:14" s="44" customFormat="1" ht="14.25" customHeight="1" x14ac:dyDescent="0.25">
      <c r="A14" s="183" t="s">
        <v>298</v>
      </c>
      <c r="B14" s="183"/>
      <c r="C14" s="45" t="str">
        <f t="shared" si="0"/>
        <v/>
      </c>
      <c r="D14" s="179" t="str">
        <f>IFERROR(VLOOKUP($A14,Sheet1!$A$1:$B$98,2,0),"")</f>
        <v/>
      </c>
      <c r="E14" s="45" t="str">
        <f>IFERROR(VLOOKUP($A14,'Tổng Đơn'!$A$5:$E$79,5,0),"")</f>
        <v/>
      </c>
      <c r="F14" s="45" t="str">
        <f t="shared" si="1"/>
        <v/>
      </c>
      <c r="G14" s="191" t="str">
        <f>IF(AND($C14="",$C13&lt;&gt;""),"Tổng Cộng",IFERROR(VLOOKUP($A14,Sheet1!$A$1:$D$98,4,0),""))</f>
        <v/>
      </c>
      <c r="H14" s="181" t="str">
        <f>IF($C13=MAX($C$8:$C$56),SUM($H$8:$H13),IFERROR($G14*$F14,""))</f>
        <v/>
      </c>
      <c r="I14" s="80" t="str">
        <f t="shared" si="2"/>
        <v/>
      </c>
      <c r="L14" s="46"/>
      <c r="M14" s="162"/>
    </row>
    <row r="15" spans="1:14" s="44" customFormat="1" ht="14.25" customHeight="1" x14ac:dyDescent="0.25">
      <c r="A15" s="183" t="s">
        <v>298</v>
      </c>
      <c r="B15" s="183"/>
      <c r="C15" s="45" t="str">
        <f t="shared" si="0"/>
        <v/>
      </c>
      <c r="D15" s="179" t="str">
        <f>IFERROR(VLOOKUP($A15,Sheet1!$A$1:$B$98,2,0),"")</f>
        <v/>
      </c>
      <c r="E15" s="45" t="str">
        <f>IFERROR(VLOOKUP($A15,'Tổng Đơn'!$A$5:$E$79,5,0),"")</f>
        <v/>
      </c>
      <c r="F15" s="45" t="str">
        <f t="shared" si="1"/>
        <v/>
      </c>
      <c r="G15" s="191" t="str">
        <f>IF(AND($C15="",$C14&lt;&gt;""),"Tổng Cộng",IFERROR(VLOOKUP($A15,Sheet1!$A$1:$D$98,4,0),""))</f>
        <v/>
      </c>
      <c r="H15" s="181" t="str">
        <f>IF($C14=MAX($C$8:$C$56),SUM($H$8:$H14),IFERROR($G15*$F15,""))</f>
        <v/>
      </c>
      <c r="I15" s="80" t="str">
        <f t="shared" si="2"/>
        <v/>
      </c>
      <c r="L15" s="46"/>
    </row>
    <row r="16" spans="1:14" s="44" customFormat="1" ht="14.25" customHeight="1" x14ac:dyDescent="0.25">
      <c r="A16" s="183" t="s">
        <v>298</v>
      </c>
      <c r="B16" s="183"/>
      <c r="C16" s="45" t="str">
        <f t="shared" si="0"/>
        <v/>
      </c>
      <c r="D16" s="179" t="str">
        <f>IFERROR(VLOOKUP($A16,Sheet1!$A$1:$B$98,2,0),"")</f>
        <v/>
      </c>
      <c r="E16" s="45" t="str">
        <f>IFERROR(VLOOKUP($A16,'Tổng Đơn'!$A$5:$E$79,5,0),"")</f>
        <v/>
      </c>
      <c r="F16" s="45" t="str">
        <f t="shared" si="1"/>
        <v/>
      </c>
      <c r="G16" s="191" t="str">
        <f>IF(AND($C16="",$C15&lt;&gt;""),"Tổng Cộng",IFERROR(VLOOKUP($A16,Sheet1!$A$1:$D$98,4,0),""))</f>
        <v/>
      </c>
      <c r="H16" s="181" t="str">
        <f>IF($C15=MAX($C$8:$C$56),SUM($H$8:$H15),IFERROR($G16*$F16,""))</f>
        <v/>
      </c>
      <c r="I16" s="80" t="str">
        <f t="shared" si="2"/>
        <v/>
      </c>
      <c r="L16" s="46"/>
    </row>
    <row r="17" spans="1:12" s="44" customFormat="1" ht="14.25" customHeight="1" x14ac:dyDescent="0.25">
      <c r="A17" s="183" t="s">
        <v>298</v>
      </c>
      <c r="B17" s="183"/>
      <c r="C17" s="45" t="str">
        <f t="shared" si="0"/>
        <v/>
      </c>
      <c r="D17" s="190" t="str">
        <f>IFERROR(VLOOKUP($A17,Sheet1!$A$1:$B$98,2,0),"")</f>
        <v/>
      </c>
      <c r="E17" s="45" t="str">
        <f>IFERROR(VLOOKUP($A17,'Tổng Đơn'!$A$5:$E$79,5,0),"")</f>
        <v/>
      </c>
      <c r="F17" s="45" t="str">
        <f t="shared" si="1"/>
        <v/>
      </c>
      <c r="G17" s="191" t="str">
        <f>IF(AND($C17="",$C16&lt;&gt;""),"Tổng Cộng",IFERROR(VLOOKUP($A17,Sheet1!$A$1:$D$98,4,0),""))</f>
        <v/>
      </c>
      <c r="H17" s="181" t="str">
        <f>IF($C16=MAX($C$8:$C$56),SUM($H$8:$H16),IFERROR($G17*$F17,""))</f>
        <v/>
      </c>
      <c r="I17" s="80" t="str">
        <f t="shared" si="2"/>
        <v/>
      </c>
      <c r="L17" s="46"/>
    </row>
    <row r="18" spans="1:12" s="44" customFormat="1" ht="14.25" customHeight="1" x14ac:dyDescent="0.25">
      <c r="A18" s="183" t="s">
        <v>298</v>
      </c>
      <c r="B18" s="183"/>
      <c r="C18" s="45" t="str">
        <f t="shared" si="0"/>
        <v/>
      </c>
      <c r="D18" s="190" t="str">
        <f>IFERROR(VLOOKUP($A18,Sheet1!$A$1:$B$98,2,0),"")</f>
        <v/>
      </c>
      <c r="E18" s="45" t="str">
        <f>IFERROR(VLOOKUP($A18,'Tổng Đơn'!$A$5:$E$79,5,0),"")</f>
        <v/>
      </c>
      <c r="F18" s="45" t="str">
        <f t="shared" si="1"/>
        <v/>
      </c>
      <c r="G18" s="191" t="str">
        <f>IF(AND($C18="",$C17&lt;&gt;""),"Tổng Cộng",IFERROR(VLOOKUP($A18,Sheet1!$A$1:$D$98,4,0),""))</f>
        <v/>
      </c>
      <c r="H18" s="181" t="str">
        <f>IF($C17=MAX($C$8:$C$56),SUM($H$8:$H17),IFERROR($G18*$F18,""))</f>
        <v/>
      </c>
      <c r="I18" s="80" t="str">
        <f t="shared" si="2"/>
        <v/>
      </c>
      <c r="L18" s="46"/>
    </row>
    <row r="19" spans="1:12" s="44" customFormat="1" ht="14.25" customHeight="1" x14ac:dyDescent="0.25">
      <c r="A19" s="183" t="s">
        <v>298</v>
      </c>
      <c r="B19" s="183"/>
      <c r="C19" s="45" t="str">
        <f t="shared" si="0"/>
        <v/>
      </c>
      <c r="D19" s="190" t="str">
        <f>IFERROR(VLOOKUP($A19,Sheet1!$A$1:$B$98,2,0),"")</f>
        <v/>
      </c>
      <c r="E19" s="45" t="str">
        <f>IFERROR(VLOOKUP($A19,'Tổng Đơn'!$A$5:$E$79,5,0),"")</f>
        <v/>
      </c>
      <c r="F19" s="45" t="str">
        <f t="shared" si="1"/>
        <v/>
      </c>
      <c r="G19" s="191" t="str">
        <f>IF(AND($C19="",$C18&lt;&gt;""),"Tổng Cộng",IFERROR(VLOOKUP($A19,Sheet1!$A$1:$D$98,4,0),""))</f>
        <v/>
      </c>
      <c r="H19" s="181" t="str">
        <f>IF($C18=MAX($C$8:$C$56),SUM($H$8:$H18),IFERROR($G19*$F19,""))</f>
        <v/>
      </c>
      <c r="I19" s="80" t="str">
        <f t="shared" si="2"/>
        <v/>
      </c>
      <c r="L19" s="46"/>
    </row>
    <row r="20" spans="1:12" s="44" customFormat="1" ht="14.25" customHeight="1" x14ac:dyDescent="0.25">
      <c r="A20" s="183" t="s">
        <v>298</v>
      </c>
      <c r="B20" s="183"/>
      <c r="C20" s="45" t="str">
        <f t="shared" si="0"/>
        <v/>
      </c>
      <c r="D20" s="190" t="str">
        <f>IFERROR(VLOOKUP($A20,Sheet1!$A$1:$B$98,2,0),"")</f>
        <v/>
      </c>
      <c r="E20" s="45" t="str">
        <f>IFERROR(VLOOKUP($A20,'Tổng Đơn'!$A$5:$E$79,5,0),"")</f>
        <v/>
      </c>
      <c r="F20" s="45" t="str">
        <f t="shared" si="1"/>
        <v/>
      </c>
      <c r="G20" s="191" t="str">
        <f>IF(AND($C20="",$C19&lt;&gt;""),"Tổng Cộng",IFERROR(VLOOKUP($A20,Sheet1!$A$1:$D$98,4,0),""))</f>
        <v/>
      </c>
      <c r="H20" s="181" t="str">
        <f>IF($C19=MAX($C$8:$C$56),SUM($H$8:$H19),IFERROR($G20*$F20,""))</f>
        <v/>
      </c>
      <c r="I20" s="80" t="str">
        <f t="shared" si="2"/>
        <v/>
      </c>
      <c r="L20" s="46"/>
    </row>
    <row r="21" spans="1:12" s="44" customFormat="1" ht="14.25" customHeight="1" x14ac:dyDescent="0.25">
      <c r="A21" s="183" t="s">
        <v>298</v>
      </c>
      <c r="B21" s="183"/>
      <c r="C21" s="45" t="str">
        <f t="shared" si="0"/>
        <v/>
      </c>
      <c r="D21" s="190" t="str">
        <f>IFERROR(VLOOKUP($A21,Sheet1!$A$1:$B$98,2,0),"")</f>
        <v/>
      </c>
      <c r="E21" s="45" t="str">
        <f>IFERROR(VLOOKUP($A21,'Tổng Đơn'!$A$5:$E$79,5,0),"")</f>
        <v/>
      </c>
      <c r="F21" s="45" t="str">
        <f t="shared" si="1"/>
        <v/>
      </c>
      <c r="G21" s="191" t="str">
        <f>IF(AND($C21="",$C20&lt;&gt;""),"Tổng Cộng",IFERROR(VLOOKUP($A21,Sheet1!$A$1:$D$98,4,0),""))</f>
        <v/>
      </c>
      <c r="H21" s="181" t="str">
        <f>IF($C20=MAX($C$8:$C$56),SUM($H$8:$H20),IFERROR($G21*$F21,""))</f>
        <v/>
      </c>
      <c r="I21" s="80" t="str">
        <f t="shared" si="2"/>
        <v/>
      </c>
      <c r="L21" s="46"/>
    </row>
    <row r="22" spans="1:12" s="44" customFormat="1" ht="14.25" customHeight="1" x14ac:dyDescent="0.25">
      <c r="A22" s="183" t="s">
        <v>298</v>
      </c>
      <c r="B22" s="183"/>
      <c r="C22" s="45" t="str">
        <f t="shared" si="0"/>
        <v/>
      </c>
      <c r="D22" s="179" t="str">
        <f>IFERROR(VLOOKUP($A22,Sheet1!$A$1:$B$98,2,0),"")</f>
        <v/>
      </c>
      <c r="E22" s="45" t="str">
        <f>IFERROR(VLOOKUP($A22,'Tổng Đơn'!$A$5:$E$79,5,0),"")</f>
        <v/>
      </c>
      <c r="F22" s="45" t="str">
        <f t="shared" si="1"/>
        <v/>
      </c>
      <c r="G22" s="191" t="str">
        <f>IF(AND($C22="",$C21&lt;&gt;""),"Tổng Cộng",IFERROR(VLOOKUP($A22,Sheet1!$A$1:$D$98,4,0),""))</f>
        <v/>
      </c>
      <c r="H22" s="181" t="str">
        <f>IF($C21=MAX($C$8:$C$56),SUM($H$8:$H21),IFERROR($G22*$F22,""))</f>
        <v/>
      </c>
      <c r="I22" s="80" t="str">
        <f t="shared" si="2"/>
        <v/>
      </c>
      <c r="L22" s="46"/>
    </row>
    <row r="23" spans="1:12" s="44" customFormat="1" ht="14.25" customHeight="1" x14ac:dyDescent="0.25">
      <c r="A23" s="183" t="s">
        <v>298</v>
      </c>
      <c r="B23" s="183"/>
      <c r="C23" s="45" t="str">
        <f t="shared" si="0"/>
        <v/>
      </c>
      <c r="D23" s="179" t="str">
        <f>IFERROR(VLOOKUP($A23,Sheet1!$A$1:$B$98,2,0),"")</f>
        <v/>
      </c>
      <c r="E23" s="45" t="str">
        <f>IFERROR(VLOOKUP($A23,'Tổng Đơn'!$A$5:$E$79,5,0),"")</f>
        <v/>
      </c>
      <c r="F23" s="45" t="str">
        <f t="shared" si="1"/>
        <v/>
      </c>
      <c r="G23" s="191" t="str">
        <f>IF(AND($C23="",$C22&lt;&gt;""),"Tổng Cộng",IFERROR(VLOOKUP($A23,Sheet1!$A$1:$D$98,4,0),""))</f>
        <v/>
      </c>
      <c r="H23" s="181" t="str">
        <f>IF($C22=MAX($C$8:$C$56),SUM($H$8:$H22),IFERROR($G23*$F23,""))</f>
        <v/>
      </c>
      <c r="I23" s="80" t="str">
        <f t="shared" si="2"/>
        <v/>
      </c>
      <c r="L23" s="46"/>
    </row>
    <row r="24" spans="1:12" s="44" customFormat="1" ht="14.25" customHeight="1" x14ac:dyDescent="0.25">
      <c r="A24" s="183" t="s">
        <v>298</v>
      </c>
      <c r="B24" s="183"/>
      <c r="C24" s="45" t="str">
        <f t="shared" si="0"/>
        <v/>
      </c>
      <c r="D24" s="179" t="str">
        <f>IFERROR(VLOOKUP($A24,Sheet1!$A$1:$B$98,2,0),"")</f>
        <v/>
      </c>
      <c r="E24" s="45" t="str">
        <f>IFERROR(VLOOKUP($A24,'Tổng Đơn'!$A$5:$E$79,5,0),"")</f>
        <v/>
      </c>
      <c r="F24" s="45" t="str">
        <f t="shared" si="1"/>
        <v/>
      </c>
      <c r="G24" s="191" t="str">
        <f>IF(AND($C24="",$C23&lt;&gt;""),"Tổng Cộng",IFERROR(VLOOKUP($A24,Sheet1!$A$1:$D$98,4,0),""))</f>
        <v/>
      </c>
      <c r="H24" s="181" t="str">
        <f>IF($C23=MAX($C$8:$C$56),SUM($H$8:$H23),IFERROR($G24*$F24,""))</f>
        <v/>
      </c>
      <c r="I24" s="80" t="str">
        <f t="shared" si="2"/>
        <v/>
      </c>
      <c r="L24" s="46"/>
    </row>
    <row r="25" spans="1:12" s="44" customFormat="1" ht="14.25" customHeight="1" x14ac:dyDescent="0.25">
      <c r="A25" s="183" t="s">
        <v>298</v>
      </c>
      <c r="B25" s="183"/>
      <c r="C25" s="45" t="str">
        <f t="shared" si="0"/>
        <v/>
      </c>
      <c r="D25" s="179" t="str">
        <f>IFERROR(VLOOKUP($A25,Sheet1!$A$1:$B$98,2,0),"")</f>
        <v/>
      </c>
      <c r="E25" s="45" t="str">
        <f>IFERROR(VLOOKUP($A25,'Tổng Đơn'!$A$5:$E$79,5,0),"")</f>
        <v/>
      </c>
      <c r="F25" s="45" t="str">
        <f t="shared" si="1"/>
        <v/>
      </c>
      <c r="G25" s="191" t="str">
        <f>IF(AND($C25="",$C24&lt;&gt;""),"Tổng Cộng",IFERROR(VLOOKUP($A25,Sheet1!$A$1:$D$98,4,0),""))</f>
        <v/>
      </c>
      <c r="H25" s="181" t="str">
        <f>IF($C24=MAX($C$8:$C$56),SUM($H$8:$H24),IFERROR($G25*$F25,""))</f>
        <v/>
      </c>
      <c r="I25" s="80" t="str">
        <f t="shared" si="2"/>
        <v/>
      </c>
      <c r="L25" s="46"/>
    </row>
    <row r="26" spans="1:12" s="44" customFormat="1" ht="14.25" customHeight="1" x14ac:dyDescent="0.25">
      <c r="A26" s="183" t="s">
        <v>298</v>
      </c>
      <c r="B26" s="183"/>
      <c r="C26" s="45" t="str">
        <f t="shared" si="0"/>
        <v/>
      </c>
      <c r="D26" s="179" t="str">
        <f>IFERROR(VLOOKUP($A26,Sheet1!$A$1:$B$98,2,0),"")</f>
        <v/>
      </c>
      <c r="E26" s="45" t="str">
        <f>IFERROR(VLOOKUP($A26,'Tổng Đơn'!$A$5:$E$79,5,0),"")</f>
        <v/>
      </c>
      <c r="F26" s="45" t="str">
        <f t="shared" si="1"/>
        <v/>
      </c>
      <c r="G26" s="191" t="str">
        <f>IF(AND($C26="",$C25&lt;&gt;""),"Tổng Cộng",IFERROR(VLOOKUP($A26,Sheet1!$A$1:$D$98,4,0),""))</f>
        <v/>
      </c>
      <c r="H26" s="181" t="str">
        <f>IF($C25=MAX($C$8:$C$56),SUM($H$8:$H25),IFERROR($G26*$F26,""))</f>
        <v/>
      </c>
      <c r="I26" s="80" t="str">
        <f t="shared" si="2"/>
        <v/>
      </c>
      <c r="L26" s="46"/>
    </row>
    <row r="27" spans="1:12" s="44" customFormat="1" ht="14.25" customHeight="1" x14ac:dyDescent="0.25">
      <c r="A27" s="183" t="s">
        <v>298</v>
      </c>
      <c r="B27" s="183"/>
      <c r="C27" s="45" t="str">
        <f t="shared" si="0"/>
        <v/>
      </c>
      <c r="D27" s="179" t="str">
        <f>IFERROR(VLOOKUP($A27,Sheet1!$A$1:$B$98,2,0),"")</f>
        <v/>
      </c>
      <c r="E27" s="45" t="str">
        <f>IFERROR(VLOOKUP($A27,'Tổng Đơn'!$A$5:$E$79,5,0),"")</f>
        <v/>
      </c>
      <c r="F27" s="45" t="str">
        <f t="shared" si="1"/>
        <v/>
      </c>
      <c r="G27" s="191" t="str">
        <f>IF(AND($C27="",$C26&lt;&gt;""),"Tổng Cộng",IFERROR(VLOOKUP($A27,Sheet1!$A$1:$D$98,4,0),""))</f>
        <v/>
      </c>
      <c r="H27" s="181" t="str">
        <f>IF($C26=MAX($C$8:$C$56),SUM($H$8:$H26),IFERROR($G27*$F27,""))</f>
        <v/>
      </c>
      <c r="I27" s="80" t="str">
        <f t="shared" si="2"/>
        <v/>
      </c>
      <c r="L27" s="46"/>
    </row>
    <row r="28" spans="1:12" s="44" customFormat="1" ht="14.25" customHeight="1" x14ac:dyDescent="0.25">
      <c r="A28" s="183" t="s">
        <v>298</v>
      </c>
      <c r="B28" s="183"/>
      <c r="C28" s="45" t="str">
        <f t="shared" si="0"/>
        <v/>
      </c>
      <c r="D28" s="179" t="str">
        <f>IFERROR(VLOOKUP($A28,Sheet1!$A$1:$B$98,2,0),"")</f>
        <v/>
      </c>
      <c r="E28" s="45" t="str">
        <f>IFERROR(VLOOKUP($A28,'Tổng Đơn'!$A$5:$E$79,5,0),"")</f>
        <v/>
      </c>
      <c r="F28" s="45" t="str">
        <f t="shared" si="1"/>
        <v/>
      </c>
      <c r="G28" s="191" t="str">
        <f>IF(AND($C28="",$C27&lt;&gt;""),"Tổng Cộng",IFERROR(VLOOKUP($A28,Sheet1!$A$1:$D$98,4,0),""))</f>
        <v/>
      </c>
      <c r="H28" s="181" t="str">
        <f>IF($C27=MAX($C$8:$C$56),SUM($H$8:$H27),IFERROR($G28*$F28,""))</f>
        <v/>
      </c>
      <c r="I28" s="80" t="str">
        <f t="shared" si="2"/>
        <v/>
      </c>
      <c r="L28" s="46"/>
    </row>
    <row r="29" spans="1:12" s="44" customFormat="1" ht="14.25" customHeight="1" x14ac:dyDescent="0.25">
      <c r="A29" s="183" t="s">
        <v>298</v>
      </c>
      <c r="B29" s="183"/>
      <c r="C29" s="45" t="str">
        <f t="shared" si="0"/>
        <v/>
      </c>
      <c r="D29" s="179" t="str">
        <f>IFERROR(VLOOKUP($A29,Sheet1!$A$1:$B$98,2,0),"")</f>
        <v/>
      </c>
      <c r="E29" s="45" t="str">
        <f>IFERROR(VLOOKUP($A29,'Tổng Đơn'!$A$5:$E$79,5,0),"")</f>
        <v/>
      </c>
      <c r="F29" s="45" t="str">
        <f t="shared" si="1"/>
        <v/>
      </c>
      <c r="G29" s="191" t="str">
        <f>IF(AND($C29="",$C28&lt;&gt;""),"Tổng Cộng",IFERROR(VLOOKUP($A29,Sheet1!$A$1:$D$98,4,0),""))</f>
        <v/>
      </c>
      <c r="H29" s="181" t="str">
        <f>IF($C28=MAX($C$8:$C$56),SUM($H$8:$H28),IFERROR($G29*$F29,""))</f>
        <v/>
      </c>
      <c r="I29" s="80" t="str">
        <f t="shared" si="2"/>
        <v/>
      </c>
      <c r="L29" s="46"/>
    </row>
    <row r="30" spans="1:12" s="44" customFormat="1" ht="14.25" customHeight="1" x14ac:dyDescent="0.25">
      <c r="A30" s="183" t="s">
        <v>298</v>
      </c>
      <c r="B30" s="183"/>
      <c r="C30" s="45" t="str">
        <f t="shared" si="0"/>
        <v/>
      </c>
      <c r="D30" s="179" t="str">
        <f>IFERROR(VLOOKUP($A30,Sheet1!$A$1:$B$98,2,0),"")</f>
        <v/>
      </c>
      <c r="E30" s="45" t="str">
        <f>IFERROR(VLOOKUP($A30,'Tổng Đơn'!$A$5:$E$79,5,0),"")</f>
        <v/>
      </c>
      <c r="F30" s="45" t="str">
        <f t="shared" si="1"/>
        <v/>
      </c>
      <c r="G30" s="191" t="str">
        <f>IF(AND($C30="",$C29&lt;&gt;""),"Tổng Cộng",IFERROR(VLOOKUP($A30,Sheet1!$A$1:$D$98,4,0),""))</f>
        <v/>
      </c>
      <c r="H30" s="181" t="str">
        <f>IF($C29=MAX($C$8:$C$56),SUM($H$8:$H29),IFERROR($G30*$F30,""))</f>
        <v/>
      </c>
      <c r="I30" s="80" t="str">
        <f t="shared" si="2"/>
        <v/>
      </c>
      <c r="L30" s="46"/>
    </row>
    <row r="31" spans="1:12" s="44" customFormat="1" ht="14.25" customHeight="1" x14ac:dyDescent="0.25">
      <c r="A31" s="183" t="s">
        <v>298</v>
      </c>
      <c r="B31" s="183"/>
      <c r="C31" s="45" t="str">
        <f t="shared" si="0"/>
        <v/>
      </c>
      <c r="D31" s="179" t="str">
        <f>IFERROR(VLOOKUP($A31,Sheet1!$A$1:$B$98,2,0),"")</f>
        <v/>
      </c>
      <c r="E31" s="45" t="str">
        <f>IFERROR(VLOOKUP($A31,'Tổng Đơn'!$A$5:$E$79,5,0),"")</f>
        <v/>
      </c>
      <c r="F31" s="45" t="str">
        <f t="shared" si="1"/>
        <v/>
      </c>
      <c r="G31" s="191" t="str">
        <f>IF(AND($C31="",$C30&lt;&gt;""),"Tổng Cộng",IFERROR(VLOOKUP($A31,Sheet1!$A$1:$D$98,4,0),""))</f>
        <v/>
      </c>
      <c r="H31" s="181" t="str">
        <f>IF($C30=MAX($C$8:$C$56),SUM($H$8:$H30),IFERROR($G31*$F31,""))</f>
        <v/>
      </c>
      <c r="I31" s="80" t="str">
        <f t="shared" si="2"/>
        <v/>
      </c>
      <c r="L31" s="46"/>
    </row>
    <row r="32" spans="1:12" s="44" customFormat="1" ht="14.25" customHeight="1" x14ac:dyDescent="0.25">
      <c r="A32" s="183" t="s">
        <v>298</v>
      </c>
      <c r="B32" s="183"/>
      <c r="C32" s="45" t="str">
        <f t="shared" si="0"/>
        <v/>
      </c>
      <c r="D32" s="179" t="str">
        <f>IFERROR(VLOOKUP($A32,Sheet1!$A$1:$B$98,2,0),"")</f>
        <v/>
      </c>
      <c r="E32" s="45" t="str">
        <f>IFERROR(VLOOKUP($A32,'Tổng Đơn'!$A$5:$E$79,5,0),"")</f>
        <v/>
      </c>
      <c r="F32" s="45" t="str">
        <f t="shared" si="1"/>
        <v/>
      </c>
      <c r="G32" s="191" t="str">
        <f>IF(AND($C32="",$C31&lt;&gt;""),"Tổng Cộng",IFERROR(VLOOKUP($A32,Sheet1!$A$1:$D$98,4,0),""))</f>
        <v/>
      </c>
      <c r="H32" s="181" t="str">
        <f>IF($C31=MAX($C$8:$C$56),SUM($H$8:$H31),IFERROR($G32*$F32,""))</f>
        <v/>
      </c>
      <c r="I32" s="80" t="str">
        <f t="shared" si="2"/>
        <v/>
      </c>
      <c r="L32" s="46"/>
    </row>
    <row r="33" spans="1:12" s="44" customFormat="1" ht="14.25" customHeight="1" x14ac:dyDescent="0.25">
      <c r="A33" s="183" t="s">
        <v>298</v>
      </c>
      <c r="B33" s="183"/>
      <c r="C33" s="45" t="str">
        <f t="shared" si="0"/>
        <v/>
      </c>
      <c r="D33" s="179" t="str">
        <f>IFERROR(VLOOKUP($A33,Sheet1!$A$1:$B$98,2,0),"")</f>
        <v/>
      </c>
      <c r="E33" s="45" t="str">
        <f>IFERROR(VLOOKUP($A33,'Tổng Đơn'!$A$5:$E$79,5,0),"")</f>
        <v/>
      </c>
      <c r="F33" s="45" t="str">
        <f t="shared" si="1"/>
        <v/>
      </c>
      <c r="G33" s="191" t="str">
        <f>IF(AND($C33="",$C32&lt;&gt;""),"Tổng Cộng",IFERROR(VLOOKUP($A33,Sheet1!$A$1:$D$98,4,0),""))</f>
        <v/>
      </c>
      <c r="H33" s="181" t="str">
        <f>IF($C32=MAX($C$8:$C$56),SUM($H$8:$H32),IFERROR($G33*$F33,""))</f>
        <v/>
      </c>
      <c r="I33" s="80" t="str">
        <f t="shared" si="2"/>
        <v/>
      </c>
      <c r="L33" s="46"/>
    </row>
    <row r="34" spans="1:12" s="44" customFormat="1" ht="14.25" customHeight="1" x14ac:dyDescent="0.25">
      <c r="A34" s="183" t="s">
        <v>298</v>
      </c>
      <c r="B34" s="183"/>
      <c r="C34" s="45" t="str">
        <f t="shared" si="0"/>
        <v/>
      </c>
      <c r="D34" s="179" t="str">
        <f>IFERROR(VLOOKUP($A34,Sheet1!$A$1:$B$98,2,0),"")</f>
        <v/>
      </c>
      <c r="E34" s="45" t="str">
        <f>IFERROR(VLOOKUP($A34,'Tổng Đơn'!$A$5:$E$79,5,0),"")</f>
        <v/>
      </c>
      <c r="F34" s="45" t="str">
        <f t="shared" si="1"/>
        <v/>
      </c>
      <c r="G34" s="191" t="str">
        <f>IF(AND($C34="",$C33&lt;&gt;""),"Tổng Cộng",IFERROR(VLOOKUP($A34,Sheet1!$A$1:$D$98,4,0),""))</f>
        <v/>
      </c>
      <c r="H34" s="181" t="str">
        <f>IF($C33=MAX($C$8:$C$56),SUM($H$8:$H33),IFERROR($G34*$F34,""))</f>
        <v/>
      </c>
      <c r="I34" s="80" t="str">
        <f t="shared" si="2"/>
        <v/>
      </c>
      <c r="L34" s="46"/>
    </row>
    <row r="35" spans="1:12" s="44" customFormat="1" ht="14.25" customHeight="1" x14ac:dyDescent="0.25">
      <c r="A35" s="183" t="s">
        <v>298</v>
      </c>
      <c r="B35" s="183"/>
      <c r="C35" s="45" t="str">
        <f t="shared" si="0"/>
        <v/>
      </c>
      <c r="D35" s="179" t="str">
        <f>IFERROR(VLOOKUP($A35,Sheet1!$A$1:$B$98,2,0),"")</f>
        <v/>
      </c>
      <c r="E35" s="45" t="str">
        <f>IFERROR(VLOOKUP($A35,'Tổng Đơn'!$A$5:$E$79,5,0),"")</f>
        <v/>
      </c>
      <c r="F35" s="45" t="str">
        <f t="shared" si="1"/>
        <v/>
      </c>
      <c r="G35" s="191" t="str">
        <f>IF(AND($C35="",$C34&lt;&gt;""),"Tổng Cộng",IFERROR(VLOOKUP($A35,Sheet1!$A$1:$D$98,4,0),""))</f>
        <v/>
      </c>
      <c r="H35" s="181" t="str">
        <f>IF($C34=MAX($C$8:$C$56),SUM($H$8:$H34),IFERROR($G35*$F35,""))</f>
        <v/>
      </c>
      <c r="I35" s="80" t="str">
        <f t="shared" si="2"/>
        <v/>
      </c>
      <c r="L35" s="46"/>
    </row>
    <row r="36" spans="1:12" s="44" customFormat="1" ht="14.25" customHeight="1" x14ac:dyDescent="0.25">
      <c r="A36" s="183" t="s">
        <v>298</v>
      </c>
      <c r="B36" s="183"/>
      <c r="C36" s="45" t="str">
        <f t="shared" si="0"/>
        <v/>
      </c>
      <c r="D36" s="179" t="str">
        <f>IFERROR(VLOOKUP($A36,Sheet1!$A$1:$B$98,2,0),"")</f>
        <v/>
      </c>
      <c r="E36" s="45" t="str">
        <f>IFERROR(VLOOKUP($A36,'Tổng Đơn'!$A$5:$E$79,5,0),"")</f>
        <v/>
      </c>
      <c r="F36" s="45" t="str">
        <f t="shared" si="1"/>
        <v/>
      </c>
      <c r="G36" s="191" t="str">
        <f>IF(AND($C36="",$C35&lt;&gt;""),"Tổng Cộng",IFERROR(VLOOKUP($A36,Sheet1!$A$1:$D$98,4,0),""))</f>
        <v/>
      </c>
      <c r="H36" s="181" t="str">
        <f>IF($C35=MAX($C$8:$C$56),SUM($H$8:$H35),IFERROR($G36*$F36,""))</f>
        <v/>
      </c>
      <c r="I36" s="80" t="str">
        <f t="shared" si="2"/>
        <v/>
      </c>
      <c r="L36" s="46"/>
    </row>
    <row r="37" spans="1:12" s="44" customFormat="1" ht="14.25" customHeight="1" x14ac:dyDescent="0.25">
      <c r="A37" s="183" t="s">
        <v>298</v>
      </c>
      <c r="B37" s="183"/>
      <c r="C37" s="45" t="str">
        <f t="shared" si="0"/>
        <v/>
      </c>
      <c r="D37" s="179" t="str">
        <f>IFERROR(VLOOKUP($A37,Sheet1!$A$1:$B$98,2,0),"")</f>
        <v/>
      </c>
      <c r="E37" s="45" t="str">
        <f>IFERROR(VLOOKUP($A37,'Tổng Đơn'!$A$5:$E$79,5,0),"")</f>
        <v/>
      </c>
      <c r="F37" s="45" t="str">
        <f t="shared" si="1"/>
        <v/>
      </c>
      <c r="G37" s="191" t="str">
        <f>IF(AND($C37="",$C36&lt;&gt;""),"Tổng Cộng",IFERROR(VLOOKUP($A37,Sheet1!$A$1:$D$98,4,0),""))</f>
        <v/>
      </c>
      <c r="H37" s="181" t="str">
        <f>IF($C36=MAX($C$8:$C$56),SUM($H$8:$H36),IFERROR($G37*$F37,""))</f>
        <v/>
      </c>
      <c r="I37" s="80" t="str">
        <f t="shared" si="2"/>
        <v/>
      </c>
      <c r="L37" s="46"/>
    </row>
    <row r="38" spans="1:12" s="44" customFormat="1" ht="14.25" customHeight="1" x14ac:dyDescent="0.25">
      <c r="A38" s="183"/>
      <c r="B38" s="183"/>
      <c r="C38" s="48"/>
      <c r="D38" s="49"/>
      <c r="E38" s="78"/>
      <c r="F38" s="45"/>
      <c r="G38" s="192" t="str">
        <f>IF(AND($C38="",$C37&lt;&gt;""),"Tổng Cộng",IFERROR(VLOOKUP($A38,Sheet1!$A$1:$D$98,4,0),""))</f>
        <v/>
      </c>
      <c r="H38" s="50" t="str">
        <f>IF($C37=MAX($C$8:$C$56),SUM($H$8:$H37),IFERROR($G38*$F38,""))</f>
        <v/>
      </c>
      <c r="I38" s="80"/>
      <c r="L38" s="46"/>
    </row>
    <row r="39" spans="1:12" ht="15" customHeight="1" x14ac:dyDescent="0.25">
      <c r="F39" s="51"/>
      <c r="G39" s="171"/>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H9 C38:E38 C9:G9 F15:H38 D15:E37 D10:H14">
    <cfRule type="expression" dxfId="23" priority="2">
      <formula>$C7=MAX($C$8:$C$37)</formula>
    </cfRule>
  </conditionalFormatting>
  <conditionalFormatting sqref="C10:C37">
    <cfRule type="expression" dxfId="22" priority="1">
      <formula>$C9=MAX($C$8:$C$37)</formula>
    </cfRule>
  </conditionalFormatting>
  <conditionalFormatting sqref="E8:E38">
    <cfRule type="expression" dxfId="21" priority="3">
      <formula>AND($A8="",$F8&lt;&gt;"")</formula>
    </cfRule>
  </conditionalFormatting>
  <conditionalFormatting sqref="F8:F38">
    <cfRule type="expression" dxfId="20"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45409" r:id="rId4" name="Button 1">
              <controlPr defaultSize="0" print="0" autoFill="0" autoPict="0" macro="[0]!Macro4">
                <anchor moveWithCells="1" sizeWithCells="1">
                  <from>
                    <xdr:col>0</xdr:col>
                    <xdr:colOff>0</xdr:colOff>
                    <xdr:row>0</xdr:row>
                    <xdr:rowOff>0</xdr:rowOff>
                  </from>
                  <to>
                    <xdr:col>1</xdr:col>
                    <xdr:colOff>723900</xdr:colOff>
                    <xdr:row>7</xdr:row>
                    <xdr:rowOff>0</xdr:rowOff>
                  </to>
                </anchor>
              </controlPr>
            </control>
          </mc:Choice>
        </mc:AlternateContent>
      </controls>
    </mc:Choice>
  </mc:AlternateConten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tabColor theme="1"/>
    <pageSetUpPr fitToPage="1"/>
  </sheetPr>
  <dimension ref="A1:N53"/>
  <sheetViews>
    <sheetView zoomScaleNormal="100" workbookViewId="0">
      <pane ySplit="7" topLeftCell="A8" activePane="bottomLeft" state="frozen"/>
      <selection activeCell="L2" sqref="L2:L29"/>
      <selection pane="bottomLeft" activeCell="L20" sqref="L20"/>
    </sheetView>
  </sheetViews>
  <sheetFormatPr defaultRowHeight="15" x14ac:dyDescent="0.25"/>
  <cols>
    <col min="1" max="1" width="11.7109375" style="14" customWidth="1"/>
    <col min="2" max="2" width="11.28515625" style="14" customWidth="1"/>
    <col min="3" max="3" width="9.140625" style="14"/>
    <col min="4" max="4" width="38.42578125" style="14" bestFit="1" customWidth="1"/>
    <col min="5" max="5" width="12.28515625" style="79"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33" t="s">
        <v>223</v>
      </c>
      <c r="D1" s="233"/>
      <c r="E1" s="233"/>
      <c r="F1" s="233"/>
      <c r="G1" s="233"/>
      <c r="H1" s="233"/>
    </row>
    <row r="2" spans="1:14" ht="15.75" customHeight="1" x14ac:dyDescent="0.25">
      <c r="C2" s="233"/>
      <c r="D2" s="233"/>
      <c r="E2" s="233"/>
      <c r="F2" s="233"/>
      <c r="G2" s="233"/>
      <c r="H2" s="233"/>
    </row>
    <row r="3" spans="1:14" ht="15" customHeight="1" x14ac:dyDescent="0.25">
      <c r="C3" s="235" t="s">
        <v>225</v>
      </c>
      <c r="D3" s="235"/>
      <c r="E3" s="235"/>
      <c r="F3" s="238" t="s">
        <v>227</v>
      </c>
      <c r="G3" s="238"/>
      <c r="H3" s="238"/>
    </row>
    <row r="4" spans="1:14" x14ac:dyDescent="0.25">
      <c r="C4" s="236" t="s">
        <v>226</v>
      </c>
      <c r="D4" s="236"/>
      <c r="E4" s="236"/>
      <c r="F4" s="239" t="s">
        <v>228</v>
      </c>
      <c r="G4" s="239"/>
      <c r="H4" s="239"/>
    </row>
    <row r="5" spans="1:14" s="172" customFormat="1" ht="21" customHeight="1" x14ac:dyDescent="0.25">
      <c r="C5" s="237" t="s">
        <v>224</v>
      </c>
      <c r="D5" s="237"/>
      <c r="E5" s="237"/>
      <c r="F5" s="237"/>
      <c r="G5" s="237"/>
      <c r="H5" s="237"/>
    </row>
    <row r="6" spans="1:14" s="172" customFormat="1" ht="17.25" customHeight="1" x14ac:dyDescent="0.25">
      <c r="C6" s="182" t="s">
        <v>229</v>
      </c>
      <c r="D6" s="187" t="s">
        <v>304</v>
      </c>
      <c r="E6" s="177"/>
      <c r="F6" s="177"/>
      <c r="G6" s="234" t="str">
        <f ca="1">"Ngày "&amp;DAY(TODAY())&amp;" Tháng "&amp;MONTH(TODAY())&amp;" Năm "&amp;YEAR(TODAY())</f>
        <v>Ngày 14 Tháng 2 Năm 2022</v>
      </c>
      <c r="H6" s="234"/>
    </row>
    <row r="7" spans="1:14" s="176" customFormat="1" ht="24" customHeight="1" x14ac:dyDescent="0.25">
      <c r="A7" s="173" t="s">
        <v>118</v>
      </c>
      <c r="B7" s="173" t="s">
        <v>16</v>
      </c>
      <c r="C7" s="174" t="s">
        <v>0</v>
      </c>
      <c r="D7" s="174" t="s">
        <v>17</v>
      </c>
      <c r="E7" s="178" t="str">
        <f>"Quy cách"&amp;CHAR(10)&amp;"(Kg)"</f>
        <v>Quy cách
(Kg)</v>
      </c>
      <c r="F7" s="174" t="s">
        <v>16</v>
      </c>
      <c r="G7" s="174" t="s">
        <v>18</v>
      </c>
      <c r="H7" s="174" t="s">
        <v>19</v>
      </c>
      <c r="I7" s="175">
        <f>SUBTOTAL(9,I8:I37)</f>
        <v>6</v>
      </c>
      <c r="L7" s="172"/>
    </row>
    <row r="8" spans="1:14" s="44" customFormat="1" ht="14.25" customHeight="1" x14ac:dyDescent="0.25">
      <c r="A8" s="183">
        <v>1</v>
      </c>
      <c r="B8" s="183">
        <v>2</v>
      </c>
      <c r="C8" s="45">
        <f t="shared" ref="C8:C37" si="0">IF(OR(SUM($C7,$A8&lt;&gt;"")=0,$A8=""),"",SUM($C7,$A8&lt;&gt;""))</f>
        <v>1</v>
      </c>
      <c r="D8" s="179" t="str">
        <f>IFERROR(VLOOKUP($A8,Sheet1!$A$1:$B$98,2,0),"")</f>
        <v>Phô mai sữa que LC</v>
      </c>
      <c r="E8" s="180">
        <f>IFERROR(VLOOKUP($A8,'Tổng Đơn'!$A$5:$E$79,5,0),"")</f>
        <v>0.5</v>
      </c>
      <c r="F8" s="45">
        <f t="shared" ref="F8:F37" si="1">IF($B8="","",B8)</f>
        <v>2</v>
      </c>
      <c r="G8" s="191">
        <f>IFERROR(VLOOKUP($A8,Sheet1!$A1:$D$98,4,0),"")</f>
        <v>46000</v>
      </c>
      <c r="H8" s="181">
        <f>IF($C7=MAX($C$8:$C$56),SUM($H7:$H$8),IFERROR($G8*$F8,""))</f>
        <v>92000</v>
      </c>
      <c r="I8" s="80">
        <f t="shared" ref="I8:I37" si="2">IF(TYPE($A8)&lt;&gt;1,"",IFERROR(F8*E8,""))</f>
        <v>1</v>
      </c>
      <c r="L8" s="47"/>
    </row>
    <row r="9" spans="1:14" s="44" customFormat="1" ht="14.25" customHeight="1" x14ac:dyDescent="0.25">
      <c r="A9" s="183">
        <v>26</v>
      </c>
      <c r="B9" s="183">
        <v>2</v>
      </c>
      <c r="C9" s="45">
        <f t="shared" si="0"/>
        <v>2</v>
      </c>
      <c r="D9" s="179" t="str">
        <f>IFERROR(VLOOKUP($A9,Sheet1!$A$1:$B$98,2,0),"")</f>
        <v>Chả giò Rế tôm mực LC</v>
      </c>
      <c r="E9" s="45">
        <f>IFERROR(VLOOKUP($A9,'Tổng Đơn'!$A$5:$E$79,5,0),"")</f>
        <v>0.5</v>
      </c>
      <c r="F9" s="45">
        <f t="shared" si="1"/>
        <v>2</v>
      </c>
      <c r="G9" s="191">
        <f>IF(AND($C9="",$C8&lt;&gt;""),"Tổng Cộng",IFERROR(VLOOKUP($A9,Sheet1!$A$1:$D$98,4,0),""))</f>
        <v>45000</v>
      </c>
      <c r="H9" s="181">
        <f>IF($C8=MAX($C$8:$C$56),SUM($H$8:$H8),IFERROR($G9*$F9,""))</f>
        <v>90000</v>
      </c>
      <c r="I9" s="80">
        <f t="shared" si="2"/>
        <v>1</v>
      </c>
      <c r="L9" s="46"/>
    </row>
    <row r="10" spans="1:14" s="44" customFormat="1" ht="14.25" customHeight="1" x14ac:dyDescent="0.25">
      <c r="A10" s="183">
        <v>59</v>
      </c>
      <c r="B10" s="183">
        <v>2</v>
      </c>
      <c r="C10" s="45">
        <f t="shared" si="0"/>
        <v>3</v>
      </c>
      <c r="D10" s="179" t="str">
        <f>IFERROR(VLOOKUP($A10,Sheet1!$A$1:$B$98,2,0),"")</f>
        <v>Thanh cua dài Liên Anh</v>
      </c>
      <c r="E10" s="45">
        <f>IFERROR(VLOOKUP($A10,'Tổng Đơn'!$A$5:$E$79,5,0),"")</f>
        <v>0.5</v>
      </c>
      <c r="F10" s="45">
        <f t="shared" si="1"/>
        <v>2</v>
      </c>
      <c r="G10" s="191">
        <f>IF(AND($C10="",$C9&lt;&gt;""),"Tổng Cộng",IFERROR(VLOOKUP($A10,Sheet1!$A$1:$D$98,4,0),""))</f>
        <v>70000</v>
      </c>
      <c r="H10" s="181">
        <f>IF($C9=MAX($C$8:$C$56),SUM($H$8:$H9),IFERROR($G10*$F10,""))</f>
        <v>140000</v>
      </c>
      <c r="I10" s="80">
        <f t="shared" si="2"/>
        <v>1</v>
      </c>
      <c r="L10" s="46"/>
    </row>
    <row r="11" spans="1:14" s="44" customFormat="1" ht="14.25" customHeight="1" x14ac:dyDescent="0.25">
      <c r="A11" s="183">
        <v>65</v>
      </c>
      <c r="B11" s="183">
        <v>4</v>
      </c>
      <c r="C11" s="45">
        <f t="shared" si="0"/>
        <v>4</v>
      </c>
      <c r="D11" s="179" t="str">
        <f>IFERROR(VLOOKUP($A11,Sheet1!$A$1:$B$98,2,0),"")</f>
        <v>Cá viên KK</v>
      </c>
      <c r="E11" s="45">
        <f>IFERROR(VLOOKUP($A11,'Tổng Đơn'!$A$5:$E$79,5,0),"")</f>
        <v>0.5</v>
      </c>
      <c r="F11" s="45">
        <f t="shared" si="1"/>
        <v>4</v>
      </c>
      <c r="G11" s="191">
        <f>IF(AND($C11="",$C10&lt;&gt;""),"Tổng Cộng",IFERROR(VLOOKUP($A11,Sheet1!$A$1:$D$98,4,0),""))</f>
        <v>23000</v>
      </c>
      <c r="H11" s="181">
        <f>IF($C10=MAX($C$8:$C$56),SUM($H$8:$H10),IFERROR($G11*$F11,""))</f>
        <v>92000</v>
      </c>
      <c r="I11" s="80">
        <f t="shared" si="2"/>
        <v>2</v>
      </c>
      <c r="L11" s="46"/>
    </row>
    <row r="12" spans="1:14" s="44" customFormat="1" ht="14.25" customHeight="1" x14ac:dyDescent="0.25">
      <c r="A12" s="183">
        <v>69</v>
      </c>
      <c r="B12" s="183">
        <v>2</v>
      </c>
      <c r="C12" s="45">
        <f t="shared" si="0"/>
        <v>5</v>
      </c>
      <c r="D12" s="179" t="str">
        <f>IFERROR(VLOOKUP($A12,Sheet1!$A$1:$B$98,2,0),"")</f>
        <v>XX Đỏ KK</v>
      </c>
      <c r="E12" s="45">
        <f>IFERROR(VLOOKUP($A12,'Tổng Đơn'!$A$5:$E$79,5,0),"")</f>
        <v>0.5</v>
      </c>
      <c r="F12" s="45">
        <f t="shared" si="1"/>
        <v>2</v>
      </c>
      <c r="G12" s="191">
        <f>IF(AND($C12="",$C11&lt;&gt;""),"Tổng Cộng",IFERROR(VLOOKUP($A12,Sheet1!$A$1:$D$98,4,0),""))</f>
        <v>26000</v>
      </c>
      <c r="H12" s="181">
        <f>IF($C11=MAX($C$8:$C$56),SUM($H$8:$H11),IFERROR($G12*$F12,""))</f>
        <v>52000</v>
      </c>
      <c r="I12" s="80">
        <f t="shared" si="2"/>
        <v>1</v>
      </c>
      <c r="J12" s="153"/>
      <c r="L12" s="46"/>
      <c r="M12" s="161"/>
      <c r="N12" s="154"/>
    </row>
    <row r="13" spans="1:14" s="44" customFormat="1" ht="14.25" customHeight="1" x14ac:dyDescent="0.25">
      <c r="A13" s="183" t="s">
        <v>298</v>
      </c>
      <c r="B13" s="183"/>
      <c r="C13" s="45" t="str">
        <f t="shared" si="0"/>
        <v/>
      </c>
      <c r="D13" s="179" t="str">
        <f>IFERROR(VLOOKUP($A13,Sheet1!$A$1:$B$98,2,0),"")</f>
        <v/>
      </c>
      <c r="E13" s="45" t="str">
        <f>IFERROR(VLOOKUP($A13,'Tổng Đơn'!$A$5:$E$79,5,0),"")</f>
        <v/>
      </c>
      <c r="F13" s="45" t="str">
        <f t="shared" si="1"/>
        <v/>
      </c>
      <c r="G13" s="191" t="str">
        <f>IF(AND($C13="",$C12&lt;&gt;""),"Tổng Cộng",IFERROR(VLOOKUP($A13,Sheet1!$A$1:$D$98,4,0),""))</f>
        <v>Tổng Cộng</v>
      </c>
      <c r="H13" s="181">
        <f>IF($C12=MAX($C$8:$C$56),SUM($H$8:$H12),IFERROR($G13*$F13,""))</f>
        <v>466000</v>
      </c>
      <c r="I13" s="80" t="str">
        <f t="shared" si="2"/>
        <v/>
      </c>
      <c r="L13" s="46"/>
    </row>
    <row r="14" spans="1:14" s="44" customFormat="1" ht="14.25" customHeight="1" x14ac:dyDescent="0.25">
      <c r="A14" s="183" t="s">
        <v>298</v>
      </c>
      <c r="B14" s="183"/>
      <c r="C14" s="45" t="str">
        <f t="shared" si="0"/>
        <v/>
      </c>
      <c r="D14" s="179" t="str">
        <f>IFERROR(VLOOKUP($A14,Sheet1!$A$1:$B$98,2,0),"")</f>
        <v/>
      </c>
      <c r="E14" s="45" t="str">
        <f>IFERROR(VLOOKUP($A14,'Tổng Đơn'!$A$5:$E$79,5,0),"")</f>
        <v/>
      </c>
      <c r="F14" s="45" t="str">
        <f t="shared" si="1"/>
        <v/>
      </c>
      <c r="G14" s="191" t="str">
        <f>IF(AND($C14="",$C13&lt;&gt;""),"Tổng Cộng",IFERROR(VLOOKUP($A14,Sheet1!$A$1:$D$98,4,0),""))</f>
        <v/>
      </c>
      <c r="H14" s="181" t="str">
        <f>IF($C13=MAX($C$8:$C$56),SUM($H$8:$H13),IFERROR($G14*$F14,""))</f>
        <v/>
      </c>
      <c r="I14" s="80" t="str">
        <f t="shared" si="2"/>
        <v/>
      </c>
      <c r="L14" s="46"/>
      <c r="M14" s="162"/>
    </row>
    <row r="15" spans="1:14" s="44" customFormat="1" ht="14.25" customHeight="1" x14ac:dyDescent="0.25">
      <c r="A15" s="183" t="s">
        <v>298</v>
      </c>
      <c r="B15" s="183"/>
      <c r="C15" s="45" t="str">
        <f t="shared" si="0"/>
        <v/>
      </c>
      <c r="D15" s="179" t="str">
        <f>IFERROR(VLOOKUP($A15,Sheet1!$A$1:$B$98,2,0),"")</f>
        <v/>
      </c>
      <c r="E15" s="45" t="str">
        <f>IFERROR(VLOOKUP($A15,'Tổng Đơn'!$A$5:$E$79,5,0),"")</f>
        <v/>
      </c>
      <c r="F15" s="45" t="str">
        <f t="shared" si="1"/>
        <v/>
      </c>
      <c r="G15" s="191" t="str">
        <f>IF(AND($C15="",$C14&lt;&gt;""),"Tổng Cộng",IFERROR(VLOOKUP($A15,Sheet1!$A$1:$D$98,4,0),""))</f>
        <v/>
      </c>
      <c r="H15" s="181" t="str">
        <f>IF($C14=MAX($C$8:$C$56),SUM($H$8:$H14),IFERROR($G15*$F15,""))</f>
        <v/>
      </c>
      <c r="I15" s="80" t="str">
        <f t="shared" si="2"/>
        <v/>
      </c>
      <c r="L15" s="46"/>
    </row>
    <row r="16" spans="1:14" s="44" customFormat="1" ht="14.25" customHeight="1" x14ac:dyDescent="0.25">
      <c r="A16" s="183" t="s">
        <v>298</v>
      </c>
      <c r="B16" s="183"/>
      <c r="C16" s="45" t="str">
        <f t="shared" si="0"/>
        <v/>
      </c>
      <c r="D16" s="179" t="str">
        <f>IFERROR(VLOOKUP($A16,Sheet1!$A$1:$B$98,2,0),"")</f>
        <v/>
      </c>
      <c r="E16" s="45" t="str">
        <f>IFERROR(VLOOKUP($A16,'Tổng Đơn'!$A$5:$E$79,5,0),"")</f>
        <v/>
      </c>
      <c r="F16" s="45" t="str">
        <f t="shared" si="1"/>
        <v/>
      </c>
      <c r="G16" s="191" t="str">
        <f>IF(AND($C16="",$C15&lt;&gt;""),"Tổng Cộng",IFERROR(VLOOKUP($A16,Sheet1!$A$1:$D$98,4,0),""))</f>
        <v/>
      </c>
      <c r="H16" s="181" t="str">
        <f>IF($C15=MAX($C$8:$C$56),SUM($H$8:$H15),IFERROR($G16*$F16,""))</f>
        <v/>
      </c>
      <c r="I16" s="80" t="str">
        <f t="shared" si="2"/>
        <v/>
      </c>
      <c r="L16" s="46"/>
    </row>
    <row r="17" spans="1:12" s="44" customFormat="1" ht="14.25" customHeight="1" x14ac:dyDescent="0.25">
      <c r="A17" s="183" t="s">
        <v>298</v>
      </c>
      <c r="B17" s="183"/>
      <c r="C17" s="45" t="str">
        <f t="shared" si="0"/>
        <v/>
      </c>
      <c r="D17" s="190" t="str">
        <f>IFERROR(VLOOKUP($A17,Sheet1!$A$1:$B$98,2,0),"")</f>
        <v/>
      </c>
      <c r="E17" s="45" t="str">
        <f>IFERROR(VLOOKUP($A17,'Tổng Đơn'!$A$5:$E$79,5,0),"")</f>
        <v/>
      </c>
      <c r="F17" s="45" t="str">
        <f t="shared" si="1"/>
        <v/>
      </c>
      <c r="G17" s="191" t="str">
        <f>IF(AND($C17="",$C16&lt;&gt;""),"Tổng Cộng",IFERROR(VLOOKUP($A17,Sheet1!$A$1:$D$98,4,0),""))</f>
        <v/>
      </c>
      <c r="H17" s="181" t="str">
        <f>IF($C16=MAX($C$8:$C$56),SUM($H$8:$H16),IFERROR($G17*$F17,""))</f>
        <v/>
      </c>
      <c r="I17" s="80" t="str">
        <f t="shared" si="2"/>
        <v/>
      </c>
      <c r="L17" s="46"/>
    </row>
    <row r="18" spans="1:12" s="44" customFormat="1" ht="14.25" customHeight="1" x14ac:dyDescent="0.25">
      <c r="A18" s="183" t="s">
        <v>298</v>
      </c>
      <c r="B18" s="183"/>
      <c r="C18" s="45" t="str">
        <f t="shared" si="0"/>
        <v/>
      </c>
      <c r="D18" s="190" t="str">
        <f>IFERROR(VLOOKUP($A18,Sheet1!$A$1:$B$98,2,0),"")</f>
        <v/>
      </c>
      <c r="E18" s="45" t="str">
        <f>IFERROR(VLOOKUP($A18,'Tổng Đơn'!$A$5:$E$79,5,0),"")</f>
        <v/>
      </c>
      <c r="F18" s="45" t="str">
        <f t="shared" si="1"/>
        <v/>
      </c>
      <c r="G18" s="191" t="str">
        <f>IF(AND($C18="",$C17&lt;&gt;""),"Tổng Cộng",IFERROR(VLOOKUP($A18,Sheet1!$A$1:$D$98,4,0),""))</f>
        <v/>
      </c>
      <c r="H18" s="181" t="str">
        <f>IF($C17=MAX($C$8:$C$56),SUM($H$8:$H17),IFERROR($G18*$F18,""))</f>
        <v/>
      </c>
      <c r="I18" s="80" t="str">
        <f t="shared" si="2"/>
        <v/>
      </c>
      <c r="L18" s="46"/>
    </row>
    <row r="19" spans="1:12" s="44" customFormat="1" ht="14.25" customHeight="1" x14ac:dyDescent="0.25">
      <c r="A19" s="183" t="s">
        <v>298</v>
      </c>
      <c r="B19" s="183"/>
      <c r="C19" s="45" t="str">
        <f t="shared" si="0"/>
        <v/>
      </c>
      <c r="D19" s="190" t="str">
        <f>IFERROR(VLOOKUP($A19,Sheet1!$A$1:$B$98,2,0),"")</f>
        <v/>
      </c>
      <c r="E19" s="45" t="str">
        <f>IFERROR(VLOOKUP($A19,'Tổng Đơn'!$A$5:$E$79,5,0),"")</f>
        <v/>
      </c>
      <c r="F19" s="45" t="str">
        <f t="shared" si="1"/>
        <v/>
      </c>
      <c r="G19" s="191" t="str">
        <f>IF(AND($C19="",$C18&lt;&gt;""),"Tổng Cộng",IFERROR(VLOOKUP($A19,Sheet1!$A$1:$D$98,4,0),""))</f>
        <v/>
      </c>
      <c r="H19" s="181" t="str">
        <f>IF($C18=MAX($C$8:$C$56),SUM($H$8:$H18),IFERROR($G19*$F19,""))</f>
        <v/>
      </c>
      <c r="I19" s="80" t="str">
        <f t="shared" si="2"/>
        <v/>
      </c>
      <c r="L19" s="46"/>
    </row>
    <row r="20" spans="1:12" s="44" customFormat="1" ht="14.25" customHeight="1" x14ac:dyDescent="0.25">
      <c r="A20" s="183" t="s">
        <v>298</v>
      </c>
      <c r="B20" s="183"/>
      <c r="C20" s="45" t="str">
        <f t="shared" si="0"/>
        <v/>
      </c>
      <c r="D20" s="190" t="str">
        <f>IFERROR(VLOOKUP($A20,Sheet1!$A$1:$B$98,2,0),"")</f>
        <v/>
      </c>
      <c r="E20" s="45" t="str">
        <f>IFERROR(VLOOKUP($A20,'Tổng Đơn'!$A$5:$E$79,5,0),"")</f>
        <v/>
      </c>
      <c r="F20" s="45" t="str">
        <f t="shared" si="1"/>
        <v/>
      </c>
      <c r="G20" s="191" t="str">
        <f>IF(AND($C20="",$C19&lt;&gt;""),"Tổng Cộng",IFERROR(VLOOKUP($A20,Sheet1!$A$1:$D$98,4,0),""))</f>
        <v/>
      </c>
      <c r="H20" s="181" t="str">
        <f>IF($C19=MAX($C$8:$C$56),SUM($H$8:$H19),IFERROR($G20*$F20,""))</f>
        <v/>
      </c>
      <c r="I20" s="80" t="str">
        <f t="shared" si="2"/>
        <v/>
      </c>
      <c r="L20" s="46"/>
    </row>
    <row r="21" spans="1:12" s="44" customFormat="1" ht="14.25" customHeight="1" x14ac:dyDescent="0.25">
      <c r="A21" s="183" t="s">
        <v>298</v>
      </c>
      <c r="B21" s="183"/>
      <c r="C21" s="45" t="str">
        <f t="shared" si="0"/>
        <v/>
      </c>
      <c r="D21" s="190" t="str">
        <f>IFERROR(VLOOKUP($A21,Sheet1!$A$1:$B$98,2,0),"")</f>
        <v/>
      </c>
      <c r="E21" s="45" t="str">
        <f>IFERROR(VLOOKUP($A21,'Tổng Đơn'!$A$5:$E$79,5,0),"")</f>
        <v/>
      </c>
      <c r="F21" s="45" t="str">
        <f t="shared" si="1"/>
        <v/>
      </c>
      <c r="G21" s="191" t="str">
        <f>IF(AND($C21="",$C20&lt;&gt;""),"Tổng Cộng",IFERROR(VLOOKUP($A21,Sheet1!$A$1:$D$98,4,0),""))</f>
        <v/>
      </c>
      <c r="H21" s="181" t="str">
        <f>IF($C20=MAX($C$8:$C$56),SUM($H$8:$H20),IFERROR($G21*$F21,""))</f>
        <v/>
      </c>
      <c r="I21" s="80" t="str">
        <f t="shared" si="2"/>
        <v/>
      </c>
      <c r="L21" s="46"/>
    </row>
    <row r="22" spans="1:12" s="44" customFormat="1" ht="14.25" customHeight="1" x14ac:dyDescent="0.25">
      <c r="A22" s="183" t="s">
        <v>298</v>
      </c>
      <c r="B22" s="183"/>
      <c r="C22" s="45" t="str">
        <f t="shared" si="0"/>
        <v/>
      </c>
      <c r="D22" s="179" t="str">
        <f>IFERROR(VLOOKUP($A22,Sheet1!$A$1:$B$98,2,0),"")</f>
        <v/>
      </c>
      <c r="E22" s="45" t="str">
        <f>IFERROR(VLOOKUP($A22,'Tổng Đơn'!$A$5:$E$79,5,0),"")</f>
        <v/>
      </c>
      <c r="F22" s="45" t="str">
        <f t="shared" si="1"/>
        <v/>
      </c>
      <c r="G22" s="191" t="str">
        <f>IF(AND($C22="",$C21&lt;&gt;""),"Tổng Cộng",IFERROR(VLOOKUP($A22,Sheet1!$A$1:$D$98,4,0),""))</f>
        <v/>
      </c>
      <c r="H22" s="181" t="str">
        <f>IF($C21=MAX($C$8:$C$56),SUM($H$8:$H21),IFERROR($G22*$F22,""))</f>
        <v/>
      </c>
      <c r="I22" s="80" t="str">
        <f t="shared" si="2"/>
        <v/>
      </c>
      <c r="L22" s="46"/>
    </row>
    <row r="23" spans="1:12" s="44" customFormat="1" ht="14.25" customHeight="1" x14ac:dyDescent="0.25">
      <c r="A23" s="183" t="s">
        <v>298</v>
      </c>
      <c r="B23" s="183"/>
      <c r="C23" s="45" t="str">
        <f t="shared" si="0"/>
        <v/>
      </c>
      <c r="D23" s="179" t="str">
        <f>IFERROR(VLOOKUP($A23,Sheet1!$A$1:$B$98,2,0),"")</f>
        <v/>
      </c>
      <c r="E23" s="45" t="str">
        <f>IFERROR(VLOOKUP($A23,'Tổng Đơn'!$A$5:$E$79,5,0),"")</f>
        <v/>
      </c>
      <c r="F23" s="45" t="str">
        <f t="shared" si="1"/>
        <v/>
      </c>
      <c r="G23" s="191" t="str">
        <f>IF(AND($C23="",$C22&lt;&gt;""),"Tổng Cộng",IFERROR(VLOOKUP($A23,Sheet1!$A$1:$D$98,4,0),""))</f>
        <v/>
      </c>
      <c r="H23" s="181" t="str">
        <f>IF($C22=MAX($C$8:$C$56),SUM($H$8:$H22),IFERROR($G23*$F23,""))</f>
        <v/>
      </c>
      <c r="I23" s="80" t="str">
        <f t="shared" si="2"/>
        <v/>
      </c>
      <c r="L23" s="46"/>
    </row>
    <row r="24" spans="1:12" s="44" customFormat="1" ht="14.25" customHeight="1" x14ac:dyDescent="0.25">
      <c r="A24" s="183" t="s">
        <v>298</v>
      </c>
      <c r="B24" s="183"/>
      <c r="C24" s="45" t="str">
        <f t="shared" si="0"/>
        <v/>
      </c>
      <c r="D24" s="179" t="str">
        <f>IFERROR(VLOOKUP($A24,Sheet1!$A$1:$B$98,2,0),"")</f>
        <v/>
      </c>
      <c r="E24" s="45" t="str">
        <f>IFERROR(VLOOKUP($A24,'Tổng Đơn'!$A$5:$E$79,5,0),"")</f>
        <v/>
      </c>
      <c r="F24" s="45" t="str">
        <f t="shared" si="1"/>
        <v/>
      </c>
      <c r="G24" s="191" t="str">
        <f>IF(AND($C24="",$C23&lt;&gt;""),"Tổng Cộng",IFERROR(VLOOKUP($A24,Sheet1!$A$1:$D$98,4,0),""))</f>
        <v/>
      </c>
      <c r="H24" s="181" t="str">
        <f>IF($C23=MAX($C$8:$C$56),SUM($H$8:$H23),IFERROR($G24*$F24,""))</f>
        <v/>
      </c>
      <c r="I24" s="80" t="str">
        <f t="shared" si="2"/>
        <v/>
      </c>
      <c r="L24" s="46"/>
    </row>
    <row r="25" spans="1:12" s="44" customFormat="1" ht="14.25" customHeight="1" x14ac:dyDescent="0.25">
      <c r="A25" s="183" t="s">
        <v>298</v>
      </c>
      <c r="B25" s="183"/>
      <c r="C25" s="45" t="str">
        <f t="shared" si="0"/>
        <v/>
      </c>
      <c r="D25" s="179" t="str">
        <f>IFERROR(VLOOKUP($A25,Sheet1!$A$1:$B$98,2,0),"")</f>
        <v/>
      </c>
      <c r="E25" s="45" t="str">
        <f>IFERROR(VLOOKUP($A25,'Tổng Đơn'!$A$5:$E$79,5,0),"")</f>
        <v/>
      </c>
      <c r="F25" s="45" t="str">
        <f t="shared" si="1"/>
        <v/>
      </c>
      <c r="G25" s="191" t="str">
        <f>IF(AND($C25="",$C24&lt;&gt;""),"Tổng Cộng",IFERROR(VLOOKUP($A25,Sheet1!$A$1:$D$98,4,0),""))</f>
        <v/>
      </c>
      <c r="H25" s="181" t="str">
        <f>IF($C24=MAX($C$8:$C$56),SUM($H$8:$H24),IFERROR($G25*$F25,""))</f>
        <v/>
      </c>
      <c r="I25" s="80" t="str">
        <f t="shared" si="2"/>
        <v/>
      </c>
      <c r="L25" s="46"/>
    </row>
    <row r="26" spans="1:12" s="44" customFormat="1" ht="14.25" customHeight="1" x14ac:dyDescent="0.25">
      <c r="A26" s="183" t="s">
        <v>298</v>
      </c>
      <c r="B26" s="183"/>
      <c r="C26" s="45" t="str">
        <f t="shared" si="0"/>
        <v/>
      </c>
      <c r="D26" s="179" t="str">
        <f>IFERROR(VLOOKUP($A26,Sheet1!$A$1:$B$98,2,0),"")</f>
        <v/>
      </c>
      <c r="E26" s="45" t="str">
        <f>IFERROR(VLOOKUP($A26,'Tổng Đơn'!$A$5:$E$79,5,0),"")</f>
        <v/>
      </c>
      <c r="F26" s="45" t="str">
        <f t="shared" si="1"/>
        <v/>
      </c>
      <c r="G26" s="191" t="str">
        <f>IF(AND($C26="",$C25&lt;&gt;""),"Tổng Cộng",IFERROR(VLOOKUP($A26,Sheet1!$A$1:$D$98,4,0),""))</f>
        <v/>
      </c>
      <c r="H26" s="181" t="str">
        <f>IF($C25=MAX($C$8:$C$56),SUM($H$8:$H25),IFERROR($G26*$F26,""))</f>
        <v/>
      </c>
      <c r="I26" s="80" t="str">
        <f t="shared" si="2"/>
        <v/>
      </c>
      <c r="L26" s="46"/>
    </row>
    <row r="27" spans="1:12" s="44" customFormat="1" ht="14.25" customHeight="1" x14ac:dyDescent="0.25">
      <c r="A27" s="183" t="s">
        <v>298</v>
      </c>
      <c r="B27" s="183"/>
      <c r="C27" s="45" t="str">
        <f t="shared" si="0"/>
        <v/>
      </c>
      <c r="D27" s="179" t="str">
        <f>IFERROR(VLOOKUP($A27,Sheet1!$A$1:$B$98,2,0),"")</f>
        <v/>
      </c>
      <c r="E27" s="45" t="str">
        <f>IFERROR(VLOOKUP($A27,'Tổng Đơn'!$A$5:$E$79,5,0),"")</f>
        <v/>
      </c>
      <c r="F27" s="45" t="str">
        <f t="shared" si="1"/>
        <v/>
      </c>
      <c r="G27" s="191" t="str">
        <f>IF(AND($C27="",$C26&lt;&gt;""),"Tổng Cộng",IFERROR(VLOOKUP($A27,Sheet1!$A$1:$D$98,4,0),""))</f>
        <v/>
      </c>
      <c r="H27" s="181" t="str">
        <f>IF($C26=MAX($C$8:$C$56),SUM($H$8:$H26),IFERROR($G27*$F27,""))</f>
        <v/>
      </c>
      <c r="I27" s="80" t="str">
        <f t="shared" si="2"/>
        <v/>
      </c>
      <c r="L27" s="46"/>
    </row>
    <row r="28" spans="1:12" s="44" customFormat="1" ht="14.25" customHeight="1" x14ac:dyDescent="0.25">
      <c r="A28" s="183" t="s">
        <v>298</v>
      </c>
      <c r="B28" s="183"/>
      <c r="C28" s="45" t="str">
        <f t="shared" si="0"/>
        <v/>
      </c>
      <c r="D28" s="179" t="str">
        <f>IFERROR(VLOOKUP($A28,Sheet1!$A$1:$B$98,2,0),"")</f>
        <v/>
      </c>
      <c r="E28" s="45" t="str">
        <f>IFERROR(VLOOKUP($A28,'Tổng Đơn'!$A$5:$E$79,5,0),"")</f>
        <v/>
      </c>
      <c r="F28" s="45" t="str">
        <f t="shared" si="1"/>
        <v/>
      </c>
      <c r="G28" s="191" t="str">
        <f>IF(AND($C28="",$C27&lt;&gt;""),"Tổng Cộng",IFERROR(VLOOKUP($A28,Sheet1!$A$1:$D$98,4,0),""))</f>
        <v/>
      </c>
      <c r="H28" s="181" t="str">
        <f>IF($C27=MAX($C$8:$C$56),SUM($H$8:$H27),IFERROR($G28*$F28,""))</f>
        <v/>
      </c>
      <c r="I28" s="80" t="str">
        <f t="shared" si="2"/>
        <v/>
      </c>
      <c r="L28" s="46"/>
    </row>
    <row r="29" spans="1:12" s="44" customFormat="1" ht="14.25" customHeight="1" x14ac:dyDescent="0.25">
      <c r="A29" s="183" t="s">
        <v>298</v>
      </c>
      <c r="B29" s="183"/>
      <c r="C29" s="45" t="str">
        <f t="shared" si="0"/>
        <v/>
      </c>
      <c r="D29" s="179" t="str">
        <f>IFERROR(VLOOKUP($A29,Sheet1!$A$1:$B$98,2,0),"")</f>
        <v/>
      </c>
      <c r="E29" s="45" t="str">
        <f>IFERROR(VLOOKUP($A29,'Tổng Đơn'!$A$5:$E$79,5,0),"")</f>
        <v/>
      </c>
      <c r="F29" s="45" t="str">
        <f t="shared" si="1"/>
        <v/>
      </c>
      <c r="G29" s="191" t="str">
        <f>IF(AND($C29="",$C28&lt;&gt;""),"Tổng Cộng",IFERROR(VLOOKUP($A29,Sheet1!$A$1:$D$98,4,0),""))</f>
        <v/>
      </c>
      <c r="H29" s="181" t="str">
        <f>IF($C28=MAX($C$8:$C$56),SUM($H$8:$H28),IFERROR($G29*$F29,""))</f>
        <v/>
      </c>
      <c r="I29" s="80" t="str">
        <f t="shared" si="2"/>
        <v/>
      </c>
      <c r="L29" s="46"/>
    </row>
    <row r="30" spans="1:12" s="44" customFormat="1" ht="14.25" customHeight="1" x14ac:dyDescent="0.25">
      <c r="A30" s="183" t="s">
        <v>298</v>
      </c>
      <c r="B30" s="183"/>
      <c r="C30" s="45" t="str">
        <f t="shared" si="0"/>
        <v/>
      </c>
      <c r="D30" s="179" t="str">
        <f>IFERROR(VLOOKUP($A30,Sheet1!$A$1:$B$98,2,0),"")</f>
        <v/>
      </c>
      <c r="E30" s="45" t="str">
        <f>IFERROR(VLOOKUP($A30,'Tổng Đơn'!$A$5:$E$79,5,0),"")</f>
        <v/>
      </c>
      <c r="F30" s="45" t="str">
        <f t="shared" si="1"/>
        <v/>
      </c>
      <c r="G30" s="191" t="str">
        <f>IF(AND($C30="",$C29&lt;&gt;""),"Tổng Cộng",IFERROR(VLOOKUP($A30,Sheet1!$A$1:$D$98,4,0),""))</f>
        <v/>
      </c>
      <c r="H30" s="181" t="str">
        <f>IF($C29=MAX($C$8:$C$56),SUM($H$8:$H29),IFERROR($G30*$F30,""))</f>
        <v/>
      </c>
      <c r="I30" s="80" t="str">
        <f t="shared" si="2"/>
        <v/>
      </c>
      <c r="L30" s="46"/>
    </row>
    <row r="31" spans="1:12" s="44" customFormat="1" ht="14.25" customHeight="1" x14ac:dyDescent="0.25">
      <c r="A31" s="183" t="s">
        <v>298</v>
      </c>
      <c r="B31" s="183"/>
      <c r="C31" s="45" t="str">
        <f t="shared" si="0"/>
        <v/>
      </c>
      <c r="D31" s="179" t="str">
        <f>IFERROR(VLOOKUP($A31,Sheet1!$A$1:$B$98,2,0),"")</f>
        <v/>
      </c>
      <c r="E31" s="45" t="str">
        <f>IFERROR(VLOOKUP($A31,'Tổng Đơn'!$A$5:$E$79,5,0),"")</f>
        <v/>
      </c>
      <c r="F31" s="45" t="str">
        <f t="shared" si="1"/>
        <v/>
      </c>
      <c r="G31" s="191" t="str">
        <f>IF(AND($C31="",$C30&lt;&gt;""),"Tổng Cộng",IFERROR(VLOOKUP($A31,Sheet1!$A$1:$D$98,4,0),""))</f>
        <v/>
      </c>
      <c r="H31" s="181" t="str">
        <f>IF($C30=MAX($C$8:$C$56),SUM($H$8:$H30),IFERROR($G31*$F31,""))</f>
        <v/>
      </c>
      <c r="I31" s="80" t="str">
        <f t="shared" si="2"/>
        <v/>
      </c>
      <c r="L31" s="46"/>
    </row>
    <row r="32" spans="1:12" s="44" customFormat="1" ht="14.25" customHeight="1" x14ac:dyDescent="0.25">
      <c r="A32" s="183" t="s">
        <v>298</v>
      </c>
      <c r="B32" s="183"/>
      <c r="C32" s="45" t="str">
        <f t="shared" si="0"/>
        <v/>
      </c>
      <c r="D32" s="179" t="str">
        <f>IFERROR(VLOOKUP($A32,Sheet1!$A$1:$B$98,2,0),"")</f>
        <v/>
      </c>
      <c r="E32" s="45" t="str">
        <f>IFERROR(VLOOKUP($A32,'Tổng Đơn'!$A$5:$E$79,5,0),"")</f>
        <v/>
      </c>
      <c r="F32" s="45" t="str">
        <f t="shared" si="1"/>
        <v/>
      </c>
      <c r="G32" s="191" t="str">
        <f>IF(AND($C32="",$C31&lt;&gt;""),"Tổng Cộng",IFERROR(VLOOKUP($A32,Sheet1!$A$1:$D$98,4,0),""))</f>
        <v/>
      </c>
      <c r="H32" s="181" t="str">
        <f>IF($C31=MAX($C$8:$C$56),SUM($H$8:$H31),IFERROR($G32*$F32,""))</f>
        <v/>
      </c>
      <c r="I32" s="80" t="str">
        <f t="shared" si="2"/>
        <v/>
      </c>
      <c r="L32" s="46"/>
    </row>
    <row r="33" spans="1:12" s="44" customFormat="1" ht="14.25" customHeight="1" x14ac:dyDescent="0.25">
      <c r="A33" s="183" t="s">
        <v>298</v>
      </c>
      <c r="B33" s="183"/>
      <c r="C33" s="45" t="str">
        <f t="shared" si="0"/>
        <v/>
      </c>
      <c r="D33" s="179" t="str">
        <f>IFERROR(VLOOKUP($A33,Sheet1!$A$1:$B$98,2,0),"")</f>
        <v/>
      </c>
      <c r="E33" s="45" t="str">
        <f>IFERROR(VLOOKUP($A33,'Tổng Đơn'!$A$5:$E$79,5,0),"")</f>
        <v/>
      </c>
      <c r="F33" s="45" t="str">
        <f t="shared" si="1"/>
        <v/>
      </c>
      <c r="G33" s="191" t="str">
        <f>IF(AND($C33="",$C32&lt;&gt;""),"Tổng Cộng",IFERROR(VLOOKUP($A33,Sheet1!$A$1:$D$98,4,0),""))</f>
        <v/>
      </c>
      <c r="H33" s="181" t="str">
        <f>IF($C32=MAX($C$8:$C$56),SUM($H$8:$H32),IFERROR($G33*$F33,""))</f>
        <v/>
      </c>
      <c r="I33" s="80" t="str">
        <f t="shared" si="2"/>
        <v/>
      </c>
      <c r="L33" s="46"/>
    </row>
    <row r="34" spans="1:12" s="44" customFormat="1" ht="14.25" customHeight="1" x14ac:dyDescent="0.25">
      <c r="A34" s="183" t="s">
        <v>298</v>
      </c>
      <c r="B34" s="183"/>
      <c r="C34" s="45" t="str">
        <f t="shared" si="0"/>
        <v/>
      </c>
      <c r="D34" s="179" t="str">
        <f>IFERROR(VLOOKUP($A34,Sheet1!$A$1:$B$98,2,0),"")</f>
        <v/>
      </c>
      <c r="E34" s="45" t="str">
        <f>IFERROR(VLOOKUP($A34,'Tổng Đơn'!$A$5:$E$79,5,0),"")</f>
        <v/>
      </c>
      <c r="F34" s="45" t="str">
        <f t="shared" si="1"/>
        <v/>
      </c>
      <c r="G34" s="191" t="str">
        <f>IF(AND($C34="",$C33&lt;&gt;""),"Tổng Cộng",IFERROR(VLOOKUP($A34,Sheet1!$A$1:$D$98,4,0),""))</f>
        <v/>
      </c>
      <c r="H34" s="181" t="str">
        <f>IF($C33=MAX($C$8:$C$56),SUM($H$8:$H33),IFERROR($G34*$F34,""))</f>
        <v/>
      </c>
      <c r="I34" s="80" t="str">
        <f t="shared" si="2"/>
        <v/>
      </c>
      <c r="L34" s="46"/>
    </row>
    <row r="35" spans="1:12" s="44" customFormat="1" ht="14.25" customHeight="1" x14ac:dyDescent="0.25">
      <c r="A35" s="183" t="s">
        <v>298</v>
      </c>
      <c r="B35" s="183"/>
      <c r="C35" s="45" t="str">
        <f t="shared" si="0"/>
        <v/>
      </c>
      <c r="D35" s="179" t="str">
        <f>IFERROR(VLOOKUP($A35,Sheet1!$A$1:$B$98,2,0),"")</f>
        <v/>
      </c>
      <c r="E35" s="45" t="str">
        <f>IFERROR(VLOOKUP($A35,'Tổng Đơn'!$A$5:$E$79,5,0),"")</f>
        <v/>
      </c>
      <c r="F35" s="45" t="str">
        <f t="shared" si="1"/>
        <v/>
      </c>
      <c r="G35" s="191" t="str">
        <f>IF(AND($C35="",$C34&lt;&gt;""),"Tổng Cộng",IFERROR(VLOOKUP($A35,Sheet1!$A$1:$D$98,4,0),""))</f>
        <v/>
      </c>
      <c r="H35" s="181" t="str">
        <f>IF($C34=MAX($C$8:$C$56),SUM($H$8:$H34),IFERROR($G35*$F35,""))</f>
        <v/>
      </c>
      <c r="I35" s="80" t="str">
        <f t="shared" si="2"/>
        <v/>
      </c>
      <c r="L35" s="46"/>
    </row>
    <row r="36" spans="1:12" s="44" customFormat="1" ht="14.25" customHeight="1" x14ac:dyDescent="0.25">
      <c r="A36" s="183" t="s">
        <v>298</v>
      </c>
      <c r="B36" s="183"/>
      <c r="C36" s="45" t="str">
        <f t="shared" si="0"/>
        <v/>
      </c>
      <c r="D36" s="179" t="str">
        <f>IFERROR(VLOOKUP($A36,Sheet1!$A$1:$B$98,2,0),"")</f>
        <v/>
      </c>
      <c r="E36" s="45" t="str">
        <f>IFERROR(VLOOKUP($A36,'Tổng Đơn'!$A$5:$E$79,5,0),"")</f>
        <v/>
      </c>
      <c r="F36" s="45" t="str">
        <f t="shared" si="1"/>
        <v/>
      </c>
      <c r="G36" s="191" t="str">
        <f>IF(AND($C36="",$C35&lt;&gt;""),"Tổng Cộng",IFERROR(VLOOKUP($A36,Sheet1!$A$1:$D$98,4,0),""))</f>
        <v/>
      </c>
      <c r="H36" s="181" t="str">
        <f>IF($C35=MAX($C$8:$C$56),SUM($H$8:$H35),IFERROR($G36*$F36,""))</f>
        <v/>
      </c>
      <c r="I36" s="80" t="str">
        <f t="shared" si="2"/>
        <v/>
      </c>
      <c r="L36" s="46"/>
    </row>
    <row r="37" spans="1:12" s="44" customFormat="1" ht="14.25" customHeight="1" x14ac:dyDescent="0.25">
      <c r="A37" s="183" t="s">
        <v>298</v>
      </c>
      <c r="B37" s="183"/>
      <c r="C37" s="45" t="str">
        <f t="shared" si="0"/>
        <v/>
      </c>
      <c r="D37" s="179" t="str">
        <f>IFERROR(VLOOKUP($A37,Sheet1!$A$1:$B$98,2,0),"")</f>
        <v/>
      </c>
      <c r="E37" s="45" t="str">
        <f>IFERROR(VLOOKUP($A37,'Tổng Đơn'!$A$5:$E$79,5,0),"")</f>
        <v/>
      </c>
      <c r="F37" s="45" t="str">
        <f t="shared" si="1"/>
        <v/>
      </c>
      <c r="G37" s="191" t="str">
        <f>IF(AND($C37="",$C36&lt;&gt;""),"Tổng Cộng",IFERROR(VLOOKUP($A37,Sheet1!$A$1:$D$98,4,0),""))</f>
        <v/>
      </c>
      <c r="H37" s="181" t="str">
        <f>IF($C36=MAX($C$8:$C$56),SUM($H$8:$H36),IFERROR($G37*$F37,""))</f>
        <v/>
      </c>
      <c r="I37" s="80" t="str">
        <f t="shared" si="2"/>
        <v/>
      </c>
      <c r="L37" s="46"/>
    </row>
    <row r="38" spans="1:12" s="44" customFormat="1" ht="14.25" customHeight="1" x14ac:dyDescent="0.25">
      <c r="A38" s="183"/>
      <c r="B38" s="183"/>
      <c r="C38" s="48"/>
      <c r="D38" s="49"/>
      <c r="E38" s="78"/>
      <c r="F38" s="45"/>
      <c r="G38" s="192" t="str">
        <f>IF(AND($C38="",$C37&lt;&gt;""),"Tổng Cộng",IFERROR(VLOOKUP($A38,Sheet1!$A$1:$D$98,4,0),""))</f>
        <v/>
      </c>
      <c r="H38" s="50" t="str">
        <f>IF($C37=MAX($C$8:$C$56),SUM($H$8:$H37),IFERROR($G38*$F38,""))</f>
        <v/>
      </c>
      <c r="I38" s="80"/>
      <c r="L38" s="46"/>
    </row>
    <row r="39" spans="1:12" ht="15" customHeight="1" x14ac:dyDescent="0.25">
      <c r="F39" s="51"/>
      <c r="G39" s="171"/>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H9 C38:E38 C9:G9 F15:H38 D15:E37 D10:H14">
    <cfRule type="expression" dxfId="19" priority="2">
      <formula>$C7=MAX($C$8:$C$37)</formula>
    </cfRule>
  </conditionalFormatting>
  <conditionalFormatting sqref="C10:C37">
    <cfRule type="expression" dxfId="18" priority="1">
      <formula>$C9=MAX($C$8:$C$37)</formula>
    </cfRule>
  </conditionalFormatting>
  <conditionalFormatting sqref="E8:E38">
    <cfRule type="expression" dxfId="17" priority="3">
      <formula>AND($A8="",$F8&lt;&gt;"")</formula>
    </cfRule>
  </conditionalFormatting>
  <conditionalFormatting sqref="F8:F38">
    <cfRule type="expression" dxfId="16"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36193" r:id="rId4" name="Button 1">
              <controlPr defaultSize="0" print="0" autoFill="0" autoPict="0" macro="[0]!Macro4">
                <anchor moveWithCells="1" sizeWithCells="1">
                  <from>
                    <xdr:col>0</xdr:col>
                    <xdr:colOff>0</xdr:colOff>
                    <xdr:row>0</xdr:row>
                    <xdr:rowOff>0</xdr:rowOff>
                  </from>
                  <to>
                    <xdr:col>1</xdr:col>
                    <xdr:colOff>723900</xdr:colOff>
                    <xdr:row>7</xdr:row>
                    <xdr:rowOff>0</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RowHeight="15" x14ac:dyDescent="0.25"/>
  <cols>
    <col min="1" max="1" width="11.7109375" style="14" customWidth="1"/>
    <col min="2" max="2" width="11.28515625" style="14" customWidth="1"/>
    <col min="3" max="3" width="9.140625" style="14"/>
    <col min="4" max="4" width="38.42578125" style="14" bestFit="1" customWidth="1"/>
    <col min="5" max="5" width="12.28515625" style="79"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33" t="s">
        <v>223</v>
      </c>
      <c r="D1" s="233"/>
      <c r="E1" s="233"/>
      <c r="F1" s="233"/>
      <c r="G1" s="233"/>
      <c r="H1" s="233"/>
    </row>
    <row r="2" spans="1:14" ht="15.75" customHeight="1" x14ac:dyDescent="0.25">
      <c r="C2" s="233"/>
      <c r="D2" s="233"/>
      <c r="E2" s="233"/>
      <c r="F2" s="233"/>
      <c r="G2" s="233"/>
      <c r="H2" s="233"/>
    </row>
    <row r="3" spans="1:14" ht="15" customHeight="1" x14ac:dyDescent="0.25">
      <c r="C3" s="235" t="s">
        <v>225</v>
      </c>
      <c r="D3" s="235"/>
      <c r="E3" s="235"/>
      <c r="F3" s="238" t="s">
        <v>227</v>
      </c>
      <c r="G3" s="238"/>
      <c r="H3" s="238"/>
    </row>
    <row r="4" spans="1:14" x14ac:dyDescent="0.25">
      <c r="C4" s="236" t="s">
        <v>226</v>
      </c>
      <c r="D4" s="236"/>
      <c r="E4" s="236"/>
      <c r="F4" s="239" t="s">
        <v>228</v>
      </c>
      <c r="G4" s="239"/>
      <c r="H4" s="239"/>
    </row>
    <row r="5" spans="1:14" s="172" customFormat="1" ht="21" customHeight="1" x14ac:dyDescent="0.25">
      <c r="C5" s="237" t="s">
        <v>224</v>
      </c>
      <c r="D5" s="237"/>
      <c r="E5" s="237"/>
      <c r="F5" s="237"/>
      <c r="G5" s="237"/>
      <c r="H5" s="237"/>
    </row>
    <row r="6" spans="1:14" s="172" customFormat="1" ht="17.25" customHeight="1" x14ac:dyDescent="0.25">
      <c r="C6" s="182" t="s">
        <v>229</v>
      </c>
      <c r="D6" s="187" t="s">
        <v>303</v>
      </c>
      <c r="E6" s="177"/>
      <c r="F6" s="177"/>
      <c r="G6" s="234" t="str">
        <f ca="1">"Ngày "&amp;DAY(TODAY())&amp;" Tháng "&amp;MONTH(TODAY())&amp;" Năm "&amp;YEAR(TODAY())</f>
        <v>Ngày 14 Tháng 2 Năm 2022</v>
      </c>
      <c r="H6" s="234"/>
    </row>
    <row r="7" spans="1:14" s="176" customFormat="1" ht="24" customHeight="1" x14ac:dyDescent="0.25">
      <c r="A7" s="173" t="s">
        <v>118</v>
      </c>
      <c r="B7" s="173" t="s">
        <v>16</v>
      </c>
      <c r="C7" s="174" t="s">
        <v>0</v>
      </c>
      <c r="D7" s="174" t="s">
        <v>17</v>
      </c>
      <c r="E7" s="178" t="str">
        <f>"Quy cách"&amp;CHAR(10)&amp;"(Kg)"</f>
        <v>Quy cách
(Kg)</v>
      </c>
      <c r="F7" s="174" t="s">
        <v>16</v>
      </c>
      <c r="G7" s="174" t="s">
        <v>18</v>
      </c>
      <c r="H7" s="174" t="s">
        <v>19</v>
      </c>
      <c r="I7" s="175">
        <f>SUBTOTAL(9,I8:I37)</f>
        <v>3</v>
      </c>
      <c r="L7" s="172"/>
    </row>
    <row r="8" spans="1:14" s="44" customFormat="1" ht="14.25" customHeight="1" x14ac:dyDescent="0.25">
      <c r="A8" s="183">
        <v>2</v>
      </c>
      <c r="B8" s="183">
        <v>3</v>
      </c>
      <c r="C8" s="45">
        <f t="shared" ref="C8:C37" si="0">IF(OR(SUM($C7,$A8&lt;&gt;"")=0,$A8=""),"",SUM($C7,$A8&lt;&gt;""))</f>
        <v>1</v>
      </c>
      <c r="D8" s="179" t="str">
        <f>IFERROR(VLOOKUP($A8,Sheet1!$A$1:$B$98,2,0),"")</f>
        <v>Cá viên HM</v>
      </c>
      <c r="E8" s="180">
        <f>IFERROR(VLOOKUP($A8,'Tổng Đơn'!$A$5:$E$79,5,0),"")</f>
        <v>0.5</v>
      </c>
      <c r="F8" s="45">
        <f t="shared" ref="F8:F37" si="1">IF($B8="","",B8)</f>
        <v>3</v>
      </c>
      <c r="G8" s="191">
        <f>IFERROR(VLOOKUP($A8,Sheet1!$A1:$D$98,4,0),"")</f>
        <v>25000</v>
      </c>
      <c r="H8" s="181">
        <f>IF($C7=MAX($C$8:$C$56),SUM($H7:$H$8),IFERROR($G8*$F8,""))</f>
        <v>75000</v>
      </c>
      <c r="I8" s="80">
        <f t="shared" ref="I8:I37" si="2">IF(TYPE($A8)&lt;&gt;1,"",IFERROR(F8*E8,""))</f>
        <v>1.5</v>
      </c>
      <c r="L8" s="47"/>
    </row>
    <row r="9" spans="1:14" s="44" customFormat="1" ht="14.25" customHeight="1" x14ac:dyDescent="0.25">
      <c r="A9" s="183">
        <v>16</v>
      </c>
      <c r="B9" s="183">
        <v>1</v>
      </c>
      <c r="C9" s="45">
        <f t="shared" si="0"/>
        <v>2</v>
      </c>
      <c r="D9" s="179" t="str">
        <f>IFERROR(VLOOKUP($A9,Sheet1!$A$1:$B$98,2,0),"")</f>
        <v>Phô mai que (13 que)</v>
      </c>
      <c r="E9" s="45">
        <f>IFERROR(VLOOKUP($A9,'Tổng Đơn'!$A$5:$E$79,5,0),"")</f>
        <v>0.5</v>
      </c>
      <c r="F9" s="45">
        <f t="shared" si="1"/>
        <v>1</v>
      </c>
      <c r="G9" s="191">
        <f>IF(AND($C9="",$C8&lt;&gt;""),"Tổng Cộng",IFERROR(VLOOKUP($A9,Sheet1!$A$1:$D$98,4,0),""))</f>
        <v>40000</v>
      </c>
      <c r="H9" s="181">
        <f>IF($C8=MAX($C$8:$C$56),SUM($H$8:$H8),IFERROR($G9*$F9,""))</f>
        <v>40000</v>
      </c>
      <c r="I9" s="80">
        <f t="shared" si="2"/>
        <v>0.5</v>
      </c>
      <c r="L9" s="46"/>
    </row>
    <row r="10" spans="1:14" s="44" customFormat="1" ht="14.25" customHeight="1" x14ac:dyDescent="0.25">
      <c r="A10" s="183">
        <v>69</v>
      </c>
      <c r="B10" s="183">
        <v>1</v>
      </c>
      <c r="C10" s="45">
        <f t="shared" si="0"/>
        <v>3</v>
      </c>
      <c r="D10" s="179" t="str">
        <f>IFERROR(VLOOKUP($A10,Sheet1!$A$1:$B$98,2,0),"")</f>
        <v>XX Đỏ KK</v>
      </c>
      <c r="E10" s="45">
        <f>IFERROR(VLOOKUP($A10,'Tổng Đơn'!$A$5:$E$79,5,0),"")</f>
        <v>0.5</v>
      </c>
      <c r="F10" s="45">
        <f t="shared" si="1"/>
        <v>1</v>
      </c>
      <c r="G10" s="191">
        <f>IF(AND($C10="",$C9&lt;&gt;""),"Tổng Cộng",IFERROR(VLOOKUP($A10,Sheet1!$A$1:$D$98,4,0),""))</f>
        <v>26000</v>
      </c>
      <c r="H10" s="181">
        <f>IF($C9=MAX($C$8:$C$56),SUM($H$8:$H9),IFERROR($G10*$F10,""))</f>
        <v>26000</v>
      </c>
      <c r="I10" s="80">
        <f t="shared" si="2"/>
        <v>0.5</v>
      </c>
      <c r="L10" s="46"/>
    </row>
    <row r="11" spans="1:14" s="44" customFormat="1" ht="14.25" customHeight="1" x14ac:dyDescent="0.25">
      <c r="A11" s="183">
        <v>70</v>
      </c>
      <c r="B11" s="183">
        <v>1</v>
      </c>
      <c r="C11" s="45">
        <f t="shared" si="0"/>
        <v>4</v>
      </c>
      <c r="D11" s="179" t="str">
        <f>IFERROR(VLOOKUP($A11,Sheet1!$A$1:$B$98,2,0),"")</f>
        <v>XX Đức KK</v>
      </c>
      <c r="E11" s="45">
        <f>IFERROR(VLOOKUP($A11,'Tổng Đơn'!$A$5:$E$79,5,0),"")</f>
        <v>0.5</v>
      </c>
      <c r="F11" s="45">
        <f t="shared" si="1"/>
        <v>1</v>
      </c>
      <c r="G11" s="191">
        <f>IF(AND($C11="",$C10&lt;&gt;""),"Tổng Cộng",IFERROR(VLOOKUP($A11,Sheet1!$A$1:$D$98,4,0),""))</f>
        <v>35000</v>
      </c>
      <c r="H11" s="181">
        <f>IF($C10=MAX($C$8:$C$56),SUM($H$8:$H10),IFERROR($G11*$F11,""))</f>
        <v>35000</v>
      </c>
      <c r="I11" s="80">
        <f t="shared" si="2"/>
        <v>0.5</v>
      </c>
      <c r="L11" s="46"/>
    </row>
    <row r="12" spans="1:14" s="44" customFormat="1" ht="14.25" customHeight="1" x14ac:dyDescent="0.25">
      <c r="A12" s="183" t="s">
        <v>298</v>
      </c>
      <c r="B12" s="183"/>
      <c r="C12" s="45" t="str">
        <f t="shared" si="0"/>
        <v/>
      </c>
      <c r="D12" s="179" t="str">
        <f>IFERROR(VLOOKUP($A12,Sheet1!$A$1:$B$98,2,0),"")</f>
        <v/>
      </c>
      <c r="E12" s="45" t="str">
        <f>IFERROR(VLOOKUP($A12,'Tổng Đơn'!$A$5:$E$79,5,0),"")</f>
        <v/>
      </c>
      <c r="F12" s="45" t="str">
        <f t="shared" si="1"/>
        <v/>
      </c>
      <c r="G12" s="191" t="str">
        <f>IF(AND($C12="",$C11&lt;&gt;""),"Tổng Cộng",IFERROR(VLOOKUP($A12,Sheet1!$A$1:$D$98,4,0),""))</f>
        <v>Tổng Cộng</v>
      </c>
      <c r="H12" s="181">
        <f>IF($C11=MAX($C$8:$C$56),SUM($H$8:$H11),IFERROR($G12*$F12,""))</f>
        <v>176000</v>
      </c>
      <c r="I12" s="80" t="str">
        <f t="shared" si="2"/>
        <v/>
      </c>
      <c r="J12" s="153"/>
      <c r="L12" s="46"/>
      <c r="M12" s="161"/>
      <c r="N12" s="154"/>
    </row>
    <row r="13" spans="1:14" s="44" customFormat="1" ht="14.25" customHeight="1" x14ac:dyDescent="0.25">
      <c r="A13" s="183" t="s">
        <v>298</v>
      </c>
      <c r="B13" s="183"/>
      <c r="C13" s="45" t="str">
        <f t="shared" si="0"/>
        <v/>
      </c>
      <c r="D13" s="179" t="str">
        <f>IFERROR(VLOOKUP($A13,Sheet1!$A$1:$B$98,2,0),"")</f>
        <v/>
      </c>
      <c r="E13" s="45" t="str">
        <f>IFERROR(VLOOKUP($A13,'Tổng Đơn'!$A$5:$E$79,5,0),"")</f>
        <v/>
      </c>
      <c r="F13" s="45" t="str">
        <f t="shared" si="1"/>
        <v/>
      </c>
      <c r="G13" s="191" t="str">
        <f>IF(AND($C13="",$C12&lt;&gt;""),"Tổng Cộng",IFERROR(VLOOKUP($A13,Sheet1!$A$1:$D$98,4,0),""))</f>
        <v/>
      </c>
      <c r="H13" s="181" t="str">
        <f>IF($C12=MAX($C$8:$C$56),SUM($H$8:$H12),IFERROR($G13*$F13,""))</f>
        <v/>
      </c>
      <c r="I13" s="80" t="str">
        <f t="shared" si="2"/>
        <v/>
      </c>
      <c r="L13" s="46"/>
    </row>
    <row r="14" spans="1:14" s="44" customFormat="1" ht="14.25" customHeight="1" x14ac:dyDescent="0.25">
      <c r="A14" s="183" t="s">
        <v>298</v>
      </c>
      <c r="B14" s="183"/>
      <c r="C14" s="45" t="str">
        <f t="shared" si="0"/>
        <v/>
      </c>
      <c r="D14" s="179" t="str">
        <f>IFERROR(VLOOKUP($A14,Sheet1!$A$1:$B$98,2,0),"")</f>
        <v/>
      </c>
      <c r="E14" s="45" t="str">
        <f>IFERROR(VLOOKUP($A14,'Tổng Đơn'!$A$5:$E$79,5,0),"")</f>
        <v/>
      </c>
      <c r="F14" s="45" t="str">
        <f t="shared" si="1"/>
        <v/>
      </c>
      <c r="G14" s="191" t="str">
        <f>IF(AND($C14="",$C13&lt;&gt;""),"Tổng Cộng",IFERROR(VLOOKUP($A14,Sheet1!$A$1:$D$98,4,0),""))</f>
        <v/>
      </c>
      <c r="H14" s="181" t="str">
        <f>IF($C13=MAX($C$8:$C$56),SUM($H$8:$H13),IFERROR($G14*$F14,""))</f>
        <v/>
      </c>
      <c r="I14" s="80" t="str">
        <f t="shared" si="2"/>
        <v/>
      </c>
      <c r="L14" s="46"/>
      <c r="M14" s="162"/>
    </row>
    <row r="15" spans="1:14" s="44" customFormat="1" ht="14.25" customHeight="1" x14ac:dyDescent="0.25">
      <c r="A15" s="183" t="s">
        <v>298</v>
      </c>
      <c r="B15" s="183"/>
      <c r="C15" s="45" t="str">
        <f t="shared" si="0"/>
        <v/>
      </c>
      <c r="D15" s="179" t="str">
        <f>IFERROR(VLOOKUP($A15,Sheet1!$A$1:$B$98,2,0),"")</f>
        <v/>
      </c>
      <c r="E15" s="45" t="str">
        <f>IFERROR(VLOOKUP($A15,'Tổng Đơn'!$A$5:$E$79,5,0),"")</f>
        <v/>
      </c>
      <c r="F15" s="45" t="str">
        <f t="shared" si="1"/>
        <v/>
      </c>
      <c r="G15" s="191" t="str">
        <f>IF(AND($C15="",$C14&lt;&gt;""),"Tổng Cộng",IFERROR(VLOOKUP($A15,Sheet1!$A$1:$D$98,4,0),""))</f>
        <v/>
      </c>
      <c r="H15" s="181" t="str">
        <f>IF($C14=MAX($C$8:$C$56),SUM($H$8:$H14),IFERROR($G15*$F15,""))</f>
        <v/>
      </c>
      <c r="I15" s="80" t="str">
        <f t="shared" si="2"/>
        <v/>
      </c>
      <c r="L15" s="46"/>
    </row>
    <row r="16" spans="1:14" s="44" customFormat="1" ht="14.25" customHeight="1" x14ac:dyDescent="0.25">
      <c r="A16" s="183" t="s">
        <v>298</v>
      </c>
      <c r="B16" s="183"/>
      <c r="C16" s="45" t="str">
        <f t="shared" si="0"/>
        <v/>
      </c>
      <c r="D16" s="179" t="str">
        <f>IFERROR(VLOOKUP($A16,Sheet1!$A$1:$B$98,2,0),"")</f>
        <v/>
      </c>
      <c r="E16" s="45" t="str">
        <f>IFERROR(VLOOKUP($A16,'Tổng Đơn'!$A$5:$E$79,5,0),"")</f>
        <v/>
      </c>
      <c r="F16" s="45" t="str">
        <f t="shared" si="1"/>
        <v/>
      </c>
      <c r="G16" s="191" t="str">
        <f>IF(AND($C16="",$C15&lt;&gt;""),"Tổng Cộng",IFERROR(VLOOKUP($A16,Sheet1!$A$1:$D$98,4,0),""))</f>
        <v/>
      </c>
      <c r="H16" s="181" t="str">
        <f>IF($C15=MAX($C$8:$C$56),SUM($H$8:$H15),IFERROR($G16*$F16,""))</f>
        <v/>
      </c>
      <c r="I16" s="80" t="str">
        <f t="shared" si="2"/>
        <v/>
      </c>
      <c r="L16" s="46"/>
    </row>
    <row r="17" spans="1:12" s="44" customFormat="1" ht="14.25" customHeight="1" x14ac:dyDescent="0.25">
      <c r="A17" s="183" t="s">
        <v>298</v>
      </c>
      <c r="B17" s="183"/>
      <c r="C17" s="45" t="str">
        <f t="shared" si="0"/>
        <v/>
      </c>
      <c r="D17" s="190" t="str">
        <f>IFERROR(VLOOKUP($A17,Sheet1!$A$1:$B$98,2,0),"")</f>
        <v/>
      </c>
      <c r="E17" s="45" t="str">
        <f>IFERROR(VLOOKUP($A17,'Tổng Đơn'!$A$5:$E$79,5,0),"")</f>
        <v/>
      </c>
      <c r="F17" s="45" t="str">
        <f t="shared" si="1"/>
        <v/>
      </c>
      <c r="G17" s="191" t="str">
        <f>IF(AND($C17="",$C16&lt;&gt;""),"Tổng Cộng",IFERROR(VLOOKUP($A17,Sheet1!$A$1:$D$98,4,0),""))</f>
        <v/>
      </c>
      <c r="H17" s="181" t="str">
        <f>IF($C16=MAX($C$8:$C$56),SUM($H$8:$H16),IFERROR($G17*$F17,""))</f>
        <v/>
      </c>
      <c r="I17" s="80" t="str">
        <f t="shared" si="2"/>
        <v/>
      </c>
      <c r="L17" s="46"/>
    </row>
    <row r="18" spans="1:12" s="44" customFormat="1" ht="14.25" customHeight="1" x14ac:dyDescent="0.25">
      <c r="A18" s="183" t="s">
        <v>298</v>
      </c>
      <c r="B18" s="183"/>
      <c r="C18" s="45" t="str">
        <f t="shared" si="0"/>
        <v/>
      </c>
      <c r="D18" s="190" t="str">
        <f>IFERROR(VLOOKUP($A18,Sheet1!$A$1:$B$98,2,0),"")</f>
        <v/>
      </c>
      <c r="E18" s="45" t="str">
        <f>IFERROR(VLOOKUP($A18,'Tổng Đơn'!$A$5:$E$79,5,0),"")</f>
        <v/>
      </c>
      <c r="F18" s="45" t="str">
        <f t="shared" si="1"/>
        <v/>
      </c>
      <c r="G18" s="191" t="str">
        <f>IF(AND($C18="",$C17&lt;&gt;""),"Tổng Cộng",IFERROR(VLOOKUP($A18,Sheet1!$A$1:$D$98,4,0),""))</f>
        <v/>
      </c>
      <c r="H18" s="181" t="str">
        <f>IF($C17=MAX($C$8:$C$56),SUM($H$8:$H17),IFERROR($G18*$F18,""))</f>
        <v/>
      </c>
      <c r="I18" s="80" t="str">
        <f t="shared" si="2"/>
        <v/>
      </c>
      <c r="L18" s="46"/>
    </row>
    <row r="19" spans="1:12" s="44" customFormat="1" ht="14.25" customHeight="1" x14ac:dyDescent="0.25">
      <c r="A19" s="183" t="s">
        <v>298</v>
      </c>
      <c r="B19" s="183"/>
      <c r="C19" s="45" t="str">
        <f t="shared" si="0"/>
        <v/>
      </c>
      <c r="D19" s="190" t="str">
        <f>IFERROR(VLOOKUP($A19,Sheet1!$A$1:$B$98,2,0),"")</f>
        <v/>
      </c>
      <c r="E19" s="45" t="str">
        <f>IFERROR(VLOOKUP($A19,'Tổng Đơn'!$A$5:$E$79,5,0),"")</f>
        <v/>
      </c>
      <c r="F19" s="45" t="str">
        <f t="shared" si="1"/>
        <v/>
      </c>
      <c r="G19" s="191" t="str">
        <f>IF(AND($C19="",$C18&lt;&gt;""),"Tổng Cộng",IFERROR(VLOOKUP($A19,Sheet1!$A$1:$D$98,4,0),""))</f>
        <v/>
      </c>
      <c r="H19" s="181" t="str">
        <f>IF($C18=MAX($C$8:$C$56),SUM($H$8:$H18),IFERROR($G19*$F19,""))</f>
        <v/>
      </c>
      <c r="I19" s="80" t="str">
        <f t="shared" si="2"/>
        <v/>
      </c>
      <c r="L19" s="46"/>
    </row>
    <row r="20" spans="1:12" s="44" customFormat="1" ht="14.25" customHeight="1" x14ac:dyDescent="0.25">
      <c r="A20" s="183" t="s">
        <v>298</v>
      </c>
      <c r="B20" s="183"/>
      <c r="C20" s="45" t="str">
        <f t="shared" si="0"/>
        <v/>
      </c>
      <c r="D20" s="190" t="str">
        <f>IFERROR(VLOOKUP($A20,Sheet1!$A$1:$B$98,2,0),"")</f>
        <v/>
      </c>
      <c r="E20" s="45" t="str">
        <f>IFERROR(VLOOKUP($A20,'Tổng Đơn'!$A$5:$E$79,5,0),"")</f>
        <v/>
      </c>
      <c r="F20" s="45" t="str">
        <f t="shared" si="1"/>
        <v/>
      </c>
      <c r="G20" s="191" t="str">
        <f>IF(AND($C20="",$C19&lt;&gt;""),"Tổng Cộng",IFERROR(VLOOKUP($A20,Sheet1!$A$1:$D$98,4,0),""))</f>
        <v/>
      </c>
      <c r="H20" s="181" t="str">
        <f>IF($C19=MAX($C$8:$C$56),SUM($H$8:$H19),IFERROR($G20*$F20,""))</f>
        <v/>
      </c>
      <c r="I20" s="80" t="str">
        <f t="shared" si="2"/>
        <v/>
      </c>
      <c r="L20" s="46"/>
    </row>
    <row r="21" spans="1:12" s="44" customFormat="1" ht="14.25" customHeight="1" x14ac:dyDescent="0.25">
      <c r="A21" s="183" t="s">
        <v>298</v>
      </c>
      <c r="B21" s="183"/>
      <c r="C21" s="45" t="str">
        <f t="shared" si="0"/>
        <v/>
      </c>
      <c r="D21" s="190" t="str">
        <f>IFERROR(VLOOKUP($A21,Sheet1!$A$1:$B$98,2,0),"")</f>
        <v/>
      </c>
      <c r="E21" s="45" t="str">
        <f>IFERROR(VLOOKUP($A21,'Tổng Đơn'!$A$5:$E$79,5,0),"")</f>
        <v/>
      </c>
      <c r="F21" s="45" t="str">
        <f t="shared" si="1"/>
        <v/>
      </c>
      <c r="G21" s="191" t="str">
        <f>IF(AND($C21="",$C20&lt;&gt;""),"Tổng Cộng",IFERROR(VLOOKUP($A21,Sheet1!$A$1:$D$98,4,0),""))</f>
        <v/>
      </c>
      <c r="H21" s="181" t="str">
        <f>IF($C20=MAX($C$8:$C$56),SUM($H$8:$H20),IFERROR($G21*$F21,""))</f>
        <v/>
      </c>
      <c r="I21" s="80" t="str">
        <f t="shared" si="2"/>
        <v/>
      </c>
      <c r="L21" s="46"/>
    </row>
    <row r="22" spans="1:12" s="44" customFormat="1" ht="14.25" customHeight="1" x14ac:dyDescent="0.25">
      <c r="A22" s="183" t="s">
        <v>298</v>
      </c>
      <c r="B22" s="183"/>
      <c r="C22" s="45" t="str">
        <f t="shared" si="0"/>
        <v/>
      </c>
      <c r="D22" s="179" t="str">
        <f>IFERROR(VLOOKUP($A22,Sheet1!$A$1:$B$98,2,0),"")</f>
        <v/>
      </c>
      <c r="E22" s="45" t="str">
        <f>IFERROR(VLOOKUP($A22,'Tổng Đơn'!$A$5:$E$79,5,0),"")</f>
        <v/>
      </c>
      <c r="F22" s="45" t="str">
        <f t="shared" si="1"/>
        <v/>
      </c>
      <c r="G22" s="191" t="str">
        <f>IF(AND($C22="",$C21&lt;&gt;""),"Tổng Cộng",IFERROR(VLOOKUP($A22,Sheet1!$A$1:$D$98,4,0),""))</f>
        <v/>
      </c>
      <c r="H22" s="181" t="str">
        <f>IF($C21=MAX($C$8:$C$56),SUM($H$8:$H21),IFERROR($G22*$F22,""))</f>
        <v/>
      </c>
      <c r="I22" s="80" t="str">
        <f t="shared" si="2"/>
        <v/>
      </c>
      <c r="L22" s="46"/>
    </row>
    <row r="23" spans="1:12" s="44" customFormat="1" ht="14.25" customHeight="1" x14ac:dyDescent="0.25">
      <c r="A23" s="183" t="s">
        <v>298</v>
      </c>
      <c r="B23" s="183"/>
      <c r="C23" s="45" t="str">
        <f t="shared" si="0"/>
        <v/>
      </c>
      <c r="D23" s="179" t="str">
        <f>IFERROR(VLOOKUP($A23,Sheet1!$A$1:$B$98,2,0),"")</f>
        <v/>
      </c>
      <c r="E23" s="45" t="str">
        <f>IFERROR(VLOOKUP($A23,'Tổng Đơn'!$A$5:$E$79,5,0),"")</f>
        <v/>
      </c>
      <c r="F23" s="45" t="str">
        <f t="shared" si="1"/>
        <v/>
      </c>
      <c r="G23" s="191" t="str">
        <f>IF(AND($C23="",$C22&lt;&gt;""),"Tổng Cộng",IFERROR(VLOOKUP($A23,Sheet1!$A$1:$D$98,4,0),""))</f>
        <v/>
      </c>
      <c r="H23" s="181" t="str">
        <f>IF($C22=MAX($C$8:$C$56),SUM($H$8:$H22),IFERROR($G23*$F23,""))</f>
        <v/>
      </c>
      <c r="I23" s="80" t="str">
        <f t="shared" si="2"/>
        <v/>
      </c>
      <c r="L23" s="46"/>
    </row>
    <row r="24" spans="1:12" s="44" customFormat="1" ht="14.25" customHeight="1" x14ac:dyDescent="0.25">
      <c r="A24" s="183" t="s">
        <v>298</v>
      </c>
      <c r="B24" s="183"/>
      <c r="C24" s="45" t="str">
        <f t="shared" si="0"/>
        <v/>
      </c>
      <c r="D24" s="179" t="str">
        <f>IFERROR(VLOOKUP($A24,Sheet1!$A$1:$B$98,2,0),"")</f>
        <v/>
      </c>
      <c r="E24" s="45" t="str">
        <f>IFERROR(VLOOKUP($A24,'Tổng Đơn'!$A$5:$E$79,5,0),"")</f>
        <v/>
      </c>
      <c r="F24" s="45" t="str">
        <f t="shared" si="1"/>
        <v/>
      </c>
      <c r="G24" s="191" t="str">
        <f>IF(AND($C24="",$C23&lt;&gt;""),"Tổng Cộng",IFERROR(VLOOKUP($A24,Sheet1!$A$1:$D$98,4,0),""))</f>
        <v/>
      </c>
      <c r="H24" s="181" t="str">
        <f>IF($C23=MAX($C$8:$C$56),SUM($H$8:$H23),IFERROR($G24*$F24,""))</f>
        <v/>
      </c>
      <c r="I24" s="80" t="str">
        <f t="shared" si="2"/>
        <v/>
      </c>
      <c r="L24" s="46"/>
    </row>
    <row r="25" spans="1:12" s="44" customFormat="1" ht="14.25" customHeight="1" x14ac:dyDescent="0.25">
      <c r="A25" s="183" t="s">
        <v>298</v>
      </c>
      <c r="B25" s="183"/>
      <c r="C25" s="45" t="str">
        <f t="shared" si="0"/>
        <v/>
      </c>
      <c r="D25" s="179" t="str">
        <f>IFERROR(VLOOKUP($A25,Sheet1!$A$1:$B$98,2,0),"")</f>
        <v/>
      </c>
      <c r="E25" s="45" t="str">
        <f>IFERROR(VLOOKUP($A25,'Tổng Đơn'!$A$5:$E$79,5,0),"")</f>
        <v/>
      </c>
      <c r="F25" s="45" t="str">
        <f t="shared" si="1"/>
        <v/>
      </c>
      <c r="G25" s="191" t="str">
        <f>IF(AND($C25="",$C24&lt;&gt;""),"Tổng Cộng",IFERROR(VLOOKUP($A25,Sheet1!$A$1:$D$98,4,0),""))</f>
        <v/>
      </c>
      <c r="H25" s="181" t="str">
        <f>IF($C24=MAX($C$8:$C$56),SUM($H$8:$H24),IFERROR($G25*$F25,""))</f>
        <v/>
      </c>
      <c r="I25" s="80" t="str">
        <f t="shared" si="2"/>
        <v/>
      </c>
      <c r="L25" s="46"/>
    </row>
    <row r="26" spans="1:12" s="44" customFormat="1" ht="14.25" customHeight="1" x14ac:dyDescent="0.25">
      <c r="A26" s="183" t="s">
        <v>298</v>
      </c>
      <c r="B26" s="183"/>
      <c r="C26" s="45" t="str">
        <f t="shared" si="0"/>
        <v/>
      </c>
      <c r="D26" s="179" t="str">
        <f>IFERROR(VLOOKUP($A26,Sheet1!$A$1:$B$98,2,0),"")</f>
        <v/>
      </c>
      <c r="E26" s="45" t="str">
        <f>IFERROR(VLOOKUP($A26,'Tổng Đơn'!$A$5:$E$79,5,0),"")</f>
        <v/>
      </c>
      <c r="F26" s="45" t="str">
        <f t="shared" si="1"/>
        <v/>
      </c>
      <c r="G26" s="191" t="str">
        <f>IF(AND($C26="",$C25&lt;&gt;""),"Tổng Cộng",IFERROR(VLOOKUP($A26,Sheet1!$A$1:$D$98,4,0),""))</f>
        <v/>
      </c>
      <c r="H26" s="181" t="str">
        <f>IF($C25=MAX($C$8:$C$56),SUM($H$8:$H25),IFERROR($G26*$F26,""))</f>
        <v/>
      </c>
      <c r="I26" s="80" t="str">
        <f t="shared" si="2"/>
        <v/>
      </c>
      <c r="L26" s="46"/>
    </row>
    <row r="27" spans="1:12" s="44" customFormat="1" ht="14.25" customHeight="1" x14ac:dyDescent="0.25">
      <c r="A27" s="183" t="s">
        <v>298</v>
      </c>
      <c r="B27" s="183"/>
      <c r="C27" s="45" t="str">
        <f t="shared" si="0"/>
        <v/>
      </c>
      <c r="D27" s="179" t="str">
        <f>IFERROR(VLOOKUP($A27,Sheet1!$A$1:$B$98,2,0),"")</f>
        <v/>
      </c>
      <c r="E27" s="45" t="str">
        <f>IFERROR(VLOOKUP($A27,'Tổng Đơn'!$A$5:$E$79,5,0),"")</f>
        <v/>
      </c>
      <c r="F27" s="45" t="str">
        <f t="shared" si="1"/>
        <v/>
      </c>
      <c r="G27" s="191" t="str">
        <f>IF(AND($C27="",$C26&lt;&gt;""),"Tổng Cộng",IFERROR(VLOOKUP($A27,Sheet1!$A$1:$D$98,4,0),""))</f>
        <v/>
      </c>
      <c r="H27" s="181" t="str">
        <f>IF($C26=MAX($C$8:$C$56),SUM($H$8:$H26),IFERROR($G27*$F27,""))</f>
        <v/>
      </c>
      <c r="I27" s="80" t="str">
        <f t="shared" si="2"/>
        <v/>
      </c>
      <c r="L27" s="46"/>
    </row>
    <row r="28" spans="1:12" s="44" customFormat="1" ht="14.25" customHeight="1" x14ac:dyDescent="0.25">
      <c r="A28" s="183" t="s">
        <v>298</v>
      </c>
      <c r="B28" s="183"/>
      <c r="C28" s="45" t="str">
        <f t="shared" si="0"/>
        <v/>
      </c>
      <c r="D28" s="179" t="str">
        <f>IFERROR(VLOOKUP($A28,Sheet1!$A$1:$B$98,2,0),"")</f>
        <v/>
      </c>
      <c r="E28" s="45" t="str">
        <f>IFERROR(VLOOKUP($A28,'Tổng Đơn'!$A$5:$E$79,5,0),"")</f>
        <v/>
      </c>
      <c r="F28" s="45" t="str">
        <f t="shared" si="1"/>
        <v/>
      </c>
      <c r="G28" s="191" t="str">
        <f>IF(AND($C28="",$C27&lt;&gt;""),"Tổng Cộng",IFERROR(VLOOKUP($A28,Sheet1!$A$1:$D$98,4,0),""))</f>
        <v/>
      </c>
      <c r="H28" s="181" t="str">
        <f>IF($C27=MAX($C$8:$C$56),SUM($H$8:$H27),IFERROR($G28*$F28,""))</f>
        <v/>
      </c>
      <c r="I28" s="80" t="str">
        <f t="shared" si="2"/>
        <v/>
      </c>
      <c r="L28" s="46"/>
    </row>
    <row r="29" spans="1:12" s="44" customFormat="1" ht="14.25" customHeight="1" x14ac:dyDescent="0.25">
      <c r="A29" s="183" t="s">
        <v>298</v>
      </c>
      <c r="B29" s="183"/>
      <c r="C29" s="45" t="str">
        <f t="shared" si="0"/>
        <v/>
      </c>
      <c r="D29" s="179" t="str">
        <f>IFERROR(VLOOKUP($A29,Sheet1!$A$1:$B$98,2,0),"")</f>
        <v/>
      </c>
      <c r="E29" s="45" t="str">
        <f>IFERROR(VLOOKUP($A29,'Tổng Đơn'!$A$5:$E$79,5,0),"")</f>
        <v/>
      </c>
      <c r="F29" s="45" t="str">
        <f t="shared" si="1"/>
        <v/>
      </c>
      <c r="G29" s="191" t="str">
        <f>IF(AND($C29="",$C28&lt;&gt;""),"Tổng Cộng",IFERROR(VLOOKUP($A29,Sheet1!$A$1:$D$98,4,0),""))</f>
        <v/>
      </c>
      <c r="H29" s="181" t="str">
        <f>IF($C28=MAX($C$8:$C$56),SUM($H$8:$H28),IFERROR($G29*$F29,""))</f>
        <v/>
      </c>
      <c r="I29" s="80" t="str">
        <f t="shared" si="2"/>
        <v/>
      </c>
      <c r="L29" s="46"/>
    </row>
    <row r="30" spans="1:12" s="44" customFormat="1" ht="14.25" customHeight="1" x14ac:dyDescent="0.25">
      <c r="A30" s="183" t="s">
        <v>298</v>
      </c>
      <c r="B30" s="183"/>
      <c r="C30" s="45" t="str">
        <f t="shared" si="0"/>
        <v/>
      </c>
      <c r="D30" s="179" t="str">
        <f>IFERROR(VLOOKUP($A30,Sheet1!$A$1:$B$98,2,0),"")</f>
        <v/>
      </c>
      <c r="E30" s="45" t="str">
        <f>IFERROR(VLOOKUP($A30,'Tổng Đơn'!$A$5:$E$79,5,0),"")</f>
        <v/>
      </c>
      <c r="F30" s="45" t="str">
        <f t="shared" si="1"/>
        <v/>
      </c>
      <c r="G30" s="191" t="str">
        <f>IF(AND($C30="",$C29&lt;&gt;""),"Tổng Cộng",IFERROR(VLOOKUP($A30,Sheet1!$A$1:$D$98,4,0),""))</f>
        <v/>
      </c>
      <c r="H30" s="181" t="str">
        <f>IF($C29=MAX($C$8:$C$56),SUM($H$8:$H29),IFERROR($G30*$F30,""))</f>
        <v/>
      </c>
      <c r="I30" s="80" t="str">
        <f t="shared" si="2"/>
        <v/>
      </c>
      <c r="L30" s="46"/>
    </row>
    <row r="31" spans="1:12" s="44" customFormat="1" ht="14.25" customHeight="1" x14ac:dyDescent="0.25">
      <c r="A31" s="183" t="s">
        <v>298</v>
      </c>
      <c r="B31" s="183"/>
      <c r="C31" s="45" t="str">
        <f t="shared" si="0"/>
        <v/>
      </c>
      <c r="D31" s="179" t="str">
        <f>IFERROR(VLOOKUP($A31,Sheet1!$A$1:$B$98,2,0),"")</f>
        <v/>
      </c>
      <c r="E31" s="45" t="str">
        <f>IFERROR(VLOOKUP($A31,'Tổng Đơn'!$A$5:$E$79,5,0),"")</f>
        <v/>
      </c>
      <c r="F31" s="45" t="str">
        <f t="shared" si="1"/>
        <v/>
      </c>
      <c r="G31" s="191" t="str">
        <f>IF(AND($C31="",$C30&lt;&gt;""),"Tổng Cộng",IFERROR(VLOOKUP($A31,Sheet1!$A$1:$D$98,4,0),""))</f>
        <v/>
      </c>
      <c r="H31" s="181" t="str">
        <f>IF($C30=MAX($C$8:$C$56),SUM($H$8:$H30),IFERROR($G31*$F31,""))</f>
        <v/>
      </c>
      <c r="I31" s="80" t="str">
        <f t="shared" si="2"/>
        <v/>
      </c>
      <c r="L31" s="46"/>
    </row>
    <row r="32" spans="1:12" s="44" customFormat="1" ht="14.25" customHeight="1" x14ac:dyDescent="0.25">
      <c r="A32" s="183" t="s">
        <v>298</v>
      </c>
      <c r="B32" s="183"/>
      <c r="C32" s="45" t="str">
        <f t="shared" si="0"/>
        <v/>
      </c>
      <c r="D32" s="179" t="str">
        <f>IFERROR(VLOOKUP($A32,Sheet1!$A$1:$B$98,2,0),"")</f>
        <v/>
      </c>
      <c r="E32" s="45" t="str">
        <f>IFERROR(VLOOKUP($A32,'Tổng Đơn'!$A$5:$E$79,5,0),"")</f>
        <v/>
      </c>
      <c r="F32" s="45" t="str">
        <f t="shared" si="1"/>
        <v/>
      </c>
      <c r="G32" s="191" t="str">
        <f>IF(AND($C32="",$C31&lt;&gt;""),"Tổng Cộng",IFERROR(VLOOKUP($A32,Sheet1!$A$1:$D$98,4,0),""))</f>
        <v/>
      </c>
      <c r="H32" s="181" t="str">
        <f>IF($C31=MAX($C$8:$C$56),SUM($H$8:$H31),IFERROR($G32*$F32,""))</f>
        <v/>
      </c>
      <c r="I32" s="80" t="str">
        <f t="shared" si="2"/>
        <v/>
      </c>
      <c r="L32" s="46"/>
    </row>
    <row r="33" spans="1:12" s="44" customFormat="1" ht="14.25" customHeight="1" x14ac:dyDescent="0.25">
      <c r="A33" s="183" t="s">
        <v>298</v>
      </c>
      <c r="B33" s="183"/>
      <c r="C33" s="45" t="str">
        <f t="shared" si="0"/>
        <v/>
      </c>
      <c r="D33" s="179" t="str">
        <f>IFERROR(VLOOKUP($A33,Sheet1!$A$1:$B$98,2,0),"")</f>
        <v/>
      </c>
      <c r="E33" s="45" t="str">
        <f>IFERROR(VLOOKUP($A33,'Tổng Đơn'!$A$5:$E$79,5,0),"")</f>
        <v/>
      </c>
      <c r="F33" s="45" t="str">
        <f t="shared" si="1"/>
        <v/>
      </c>
      <c r="G33" s="191" t="str">
        <f>IF(AND($C33="",$C32&lt;&gt;""),"Tổng Cộng",IFERROR(VLOOKUP($A33,Sheet1!$A$1:$D$98,4,0),""))</f>
        <v/>
      </c>
      <c r="H33" s="181" t="str">
        <f>IF($C32=MAX($C$8:$C$56),SUM($H$8:$H32),IFERROR($G33*$F33,""))</f>
        <v/>
      </c>
      <c r="I33" s="80" t="str">
        <f t="shared" si="2"/>
        <v/>
      </c>
      <c r="L33" s="46"/>
    </row>
    <row r="34" spans="1:12" s="44" customFormat="1" ht="14.25" customHeight="1" x14ac:dyDescent="0.25">
      <c r="A34" s="183" t="s">
        <v>298</v>
      </c>
      <c r="B34" s="183"/>
      <c r="C34" s="45" t="str">
        <f t="shared" si="0"/>
        <v/>
      </c>
      <c r="D34" s="179" t="str">
        <f>IFERROR(VLOOKUP($A34,Sheet1!$A$1:$B$98,2,0),"")</f>
        <v/>
      </c>
      <c r="E34" s="45" t="str">
        <f>IFERROR(VLOOKUP($A34,'Tổng Đơn'!$A$5:$E$79,5,0),"")</f>
        <v/>
      </c>
      <c r="F34" s="45" t="str">
        <f t="shared" si="1"/>
        <v/>
      </c>
      <c r="G34" s="191" t="str">
        <f>IF(AND($C34="",$C33&lt;&gt;""),"Tổng Cộng",IFERROR(VLOOKUP($A34,Sheet1!$A$1:$D$98,4,0),""))</f>
        <v/>
      </c>
      <c r="H34" s="181" t="str">
        <f>IF($C33=MAX($C$8:$C$56),SUM($H$8:$H33),IFERROR($G34*$F34,""))</f>
        <v/>
      </c>
      <c r="I34" s="80" t="str">
        <f t="shared" si="2"/>
        <v/>
      </c>
      <c r="L34" s="46"/>
    </row>
    <row r="35" spans="1:12" s="44" customFormat="1" ht="14.25" customHeight="1" x14ac:dyDescent="0.25">
      <c r="A35" s="183" t="s">
        <v>298</v>
      </c>
      <c r="B35" s="183"/>
      <c r="C35" s="45" t="str">
        <f t="shared" si="0"/>
        <v/>
      </c>
      <c r="D35" s="179" t="str">
        <f>IFERROR(VLOOKUP($A35,Sheet1!$A$1:$B$98,2,0),"")</f>
        <v/>
      </c>
      <c r="E35" s="45" t="str">
        <f>IFERROR(VLOOKUP($A35,'Tổng Đơn'!$A$5:$E$79,5,0),"")</f>
        <v/>
      </c>
      <c r="F35" s="45" t="str">
        <f t="shared" si="1"/>
        <v/>
      </c>
      <c r="G35" s="191" t="str">
        <f>IF(AND($C35="",$C34&lt;&gt;""),"Tổng Cộng",IFERROR(VLOOKUP($A35,Sheet1!$A$1:$D$98,4,0),""))</f>
        <v/>
      </c>
      <c r="H35" s="181" t="str">
        <f>IF($C34=MAX($C$8:$C$56),SUM($H$8:$H34),IFERROR($G35*$F35,""))</f>
        <v/>
      </c>
      <c r="I35" s="80" t="str">
        <f t="shared" si="2"/>
        <v/>
      </c>
      <c r="L35" s="46"/>
    </row>
    <row r="36" spans="1:12" s="44" customFormat="1" ht="14.25" customHeight="1" x14ac:dyDescent="0.25">
      <c r="A36" s="183" t="s">
        <v>298</v>
      </c>
      <c r="B36" s="183"/>
      <c r="C36" s="45" t="str">
        <f t="shared" si="0"/>
        <v/>
      </c>
      <c r="D36" s="179" t="str">
        <f>IFERROR(VLOOKUP($A36,Sheet1!$A$1:$B$98,2,0),"")</f>
        <v/>
      </c>
      <c r="E36" s="45" t="str">
        <f>IFERROR(VLOOKUP($A36,'Tổng Đơn'!$A$5:$E$79,5,0),"")</f>
        <v/>
      </c>
      <c r="F36" s="45" t="str">
        <f t="shared" si="1"/>
        <v/>
      </c>
      <c r="G36" s="191" t="str">
        <f>IF(AND($C36="",$C35&lt;&gt;""),"Tổng Cộng",IFERROR(VLOOKUP($A36,Sheet1!$A$1:$D$98,4,0),""))</f>
        <v/>
      </c>
      <c r="H36" s="181" t="str">
        <f>IF($C35=MAX($C$8:$C$56),SUM($H$8:$H35),IFERROR($G36*$F36,""))</f>
        <v/>
      </c>
      <c r="I36" s="80" t="str">
        <f t="shared" si="2"/>
        <v/>
      </c>
      <c r="L36" s="46"/>
    </row>
    <row r="37" spans="1:12" s="44" customFormat="1" ht="14.25" customHeight="1" x14ac:dyDescent="0.25">
      <c r="A37" s="183" t="s">
        <v>298</v>
      </c>
      <c r="B37" s="183"/>
      <c r="C37" s="45" t="str">
        <f t="shared" si="0"/>
        <v/>
      </c>
      <c r="D37" s="179" t="str">
        <f>IFERROR(VLOOKUP($A37,Sheet1!$A$1:$B$98,2,0),"")</f>
        <v/>
      </c>
      <c r="E37" s="45" t="str">
        <f>IFERROR(VLOOKUP($A37,'Tổng Đơn'!$A$5:$E$79,5,0),"")</f>
        <v/>
      </c>
      <c r="F37" s="45" t="str">
        <f t="shared" si="1"/>
        <v/>
      </c>
      <c r="G37" s="191" t="str">
        <f>IF(AND($C37="",$C36&lt;&gt;""),"Tổng Cộng",IFERROR(VLOOKUP($A37,Sheet1!$A$1:$D$98,4,0),""))</f>
        <v/>
      </c>
      <c r="H37" s="181" t="str">
        <f>IF($C36=MAX($C$8:$C$56),SUM($H$8:$H36),IFERROR($G37*$F37,""))</f>
        <v/>
      </c>
      <c r="I37" s="80" t="str">
        <f t="shared" si="2"/>
        <v/>
      </c>
      <c r="L37" s="46"/>
    </row>
    <row r="38" spans="1:12" s="44" customFormat="1" ht="14.25" customHeight="1" x14ac:dyDescent="0.25">
      <c r="A38" s="183"/>
      <c r="B38" s="183"/>
      <c r="C38" s="48"/>
      <c r="D38" s="49"/>
      <c r="E38" s="78"/>
      <c r="F38" s="45"/>
      <c r="G38" s="192" t="str">
        <f>IF(AND($C38="",$C37&lt;&gt;""),"Tổng Cộng",IFERROR(VLOOKUP($A38,Sheet1!$A$1:$D$98,4,0),""))</f>
        <v/>
      </c>
      <c r="H38" s="50" t="str">
        <f>IF($C37=MAX($C$8:$C$56),SUM($H$8:$H37),IFERROR($G38*$F38,""))</f>
        <v/>
      </c>
      <c r="I38" s="80"/>
      <c r="L38" s="46"/>
    </row>
    <row r="39" spans="1:12" ht="15" customHeight="1" x14ac:dyDescent="0.25">
      <c r="F39" s="51"/>
      <c r="G39" s="171"/>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H9 C38:E38 C9:G9 F15:H38 D15:E37 D10:H14">
    <cfRule type="expression" dxfId="15" priority="2">
      <formula>$C7=MAX($C$8:$C$37)</formula>
    </cfRule>
  </conditionalFormatting>
  <conditionalFormatting sqref="C10:C37">
    <cfRule type="expression" dxfId="14" priority="1">
      <formula>$C9=MAX($C$8:$C$37)</formula>
    </cfRule>
  </conditionalFormatting>
  <conditionalFormatting sqref="E8:E38">
    <cfRule type="expression" dxfId="13" priority="3">
      <formula>AND($A8="",$F8&lt;&gt;"")</formula>
    </cfRule>
  </conditionalFormatting>
  <conditionalFormatting sqref="F8:F38">
    <cfRule type="expression" dxfId="12"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35169" r:id="rId4" name="Button 1">
              <controlPr defaultSize="0" print="0" autoFill="0" autoPict="0" macro="[0]!Macro4">
                <anchor moveWithCells="1" sizeWithCells="1">
                  <from>
                    <xdr:col>0</xdr:col>
                    <xdr:colOff>0</xdr:colOff>
                    <xdr:row>0</xdr:row>
                    <xdr:rowOff>0</xdr:rowOff>
                  </from>
                  <to>
                    <xdr:col>1</xdr:col>
                    <xdr:colOff>723900</xdr:colOff>
                    <xdr:row>7</xdr:row>
                    <xdr:rowOff>0</xdr:rowOff>
                  </to>
                </anchor>
              </controlPr>
            </control>
          </mc:Choice>
        </mc:AlternateContent>
      </controls>
    </mc:Choice>
  </mc:AlternateConten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tabColor theme="1"/>
    <pageSetUpPr fitToPage="1"/>
  </sheetPr>
  <dimension ref="A1:N53"/>
  <sheetViews>
    <sheetView zoomScaleNormal="100" workbookViewId="0">
      <pane ySplit="7" topLeftCell="A8" activePane="bottomLeft" state="frozen"/>
      <selection activeCell="L2" sqref="L2:L29"/>
      <selection pane="bottomLeft" activeCell="D21" sqref="D21"/>
    </sheetView>
  </sheetViews>
  <sheetFormatPr defaultRowHeight="15" x14ac:dyDescent="0.25"/>
  <cols>
    <col min="1" max="1" width="11.7109375" style="14" customWidth="1"/>
    <col min="2" max="2" width="11.28515625" style="14" customWidth="1"/>
    <col min="3" max="3" width="9.140625" style="14"/>
    <col min="4" max="4" width="38.42578125" style="14" bestFit="1" customWidth="1"/>
    <col min="5" max="5" width="12.28515625" style="79"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33" t="s">
        <v>223</v>
      </c>
      <c r="D1" s="233"/>
      <c r="E1" s="233"/>
      <c r="F1" s="233"/>
      <c r="G1" s="233"/>
      <c r="H1" s="233"/>
    </row>
    <row r="2" spans="1:14" ht="15.75" customHeight="1" x14ac:dyDescent="0.25">
      <c r="C2" s="233"/>
      <c r="D2" s="233"/>
      <c r="E2" s="233"/>
      <c r="F2" s="233"/>
      <c r="G2" s="233"/>
      <c r="H2" s="233"/>
    </row>
    <row r="3" spans="1:14" ht="15" customHeight="1" x14ac:dyDescent="0.25">
      <c r="C3" s="235" t="s">
        <v>225</v>
      </c>
      <c r="D3" s="235"/>
      <c r="E3" s="235"/>
      <c r="F3" s="238" t="s">
        <v>227</v>
      </c>
      <c r="G3" s="238"/>
      <c r="H3" s="238"/>
    </row>
    <row r="4" spans="1:14" x14ac:dyDescent="0.25">
      <c r="C4" s="236" t="s">
        <v>226</v>
      </c>
      <c r="D4" s="236"/>
      <c r="E4" s="236"/>
      <c r="F4" s="239" t="s">
        <v>228</v>
      </c>
      <c r="G4" s="239"/>
      <c r="H4" s="239"/>
    </row>
    <row r="5" spans="1:14" s="172" customFormat="1" ht="21" customHeight="1" x14ac:dyDescent="0.25">
      <c r="C5" s="237" t="s">
        <v>224</v>
      </c>
      <c r="D5" s="237"/>
      <c r="E5" s="237"/>
      <c r="F5" s="237"/>
      <c r="G5" s="237"/>
      <c r="H5" s="237"/>
    </row>
    <row r="6" spans="1:14" s="172" customFormat="1" ht="17.25" customHeight="1" x14ac:dyDescent="0.25">
      <c r="C6" s="182" t="s">
        <v>229</v>
      </c>
      <c r="D6" s="187" t="s">
        <v>301</v>
      </c>
      <c r="E6" s="177"/>
      <c r="F6" s="177"/>
      <c r="G6" s="234" t="str">
        <f ca="1">"Ngày "&amp;DAY(TODAY())&amp;" Tháng "&amp;MONTH(TODAY())&amp;" Năm "&amp;YEAR(TODAY())</f>
        <v>Ngày 14 Tháng 2 Năm 2022</v>
      </c>
      <c r="H6" s="234"/>
    </row>
    <row r="7" spans="1:14" s="176" customFormat="1" ht="24" customHeight="1" x14ac:dyDescent="0.25">
      <c r="A7" s="173" t="s">
        <v>118</v>
      </c>
      <c r="B7" s="173" t="s">
        <v>16</v>
      </c>
      <c r="C7" s="174" t="s">
        <v>0</v>
      </c>
      <c r="D7" s="174" t="s">
        <v>17</v>
      </c>
      <c r="E7" s="178" t="str">
        <f>"Quy cách"&amp;CHAR(10)&amp;"(Kg)"</f>
        <v>Quy cách
(Kg)</v>
      </c>
      <c r="F7" s="174" t="s">
        <v>16</v>
      </c>
      <c r="G7" s="174" t="s">
        <v>18</v>
      </c>
      <c r="H7" s="174" t="s">
        <v>19</v>
      </c>
      <c r="I7" s="175">
        <f>SUBTOTAL(9,I8:I37)</f>
        <v>6.6</v>
      </c>
      <c r="L7" s="172"/>
    </row>
    <row r="8" spans="1:14" s="44" customFormat="1" ht="14.25" customHeight="1" x14ac:dyDescent="0.25">
      <c r="A8" s="183">
        <v>8</v>
      </c>
      <c r="B8" s="183">
        <v>1</v>
      </c>
      <c r="C8" s="45">
        <f t="shared" ref="C8:C37" si="0">IF(OR(SUM($C7,$A8&lt;&gt;"")=0,$A8=""),"",SUM($C7,$A8&lt;&gt;""))</f>
        <v>1</v>
      </c>
      <c r="D8" s="179" t="str">
        <f>IFERROR(VLOOKUP($A8,Sheet1!$A$1:$B$98,2,0),"")</f>
        <v>Hoành thánh chiên 500gr (60 viên)</v>
      </c>
      <c r="E8" s="180">
        <f>IFERROR(VLOOKUP($A8,'Tổng Đơn'!$A$5:$E$79,5,0),"")</f>
        <v>0.5</v>
      </c>
      <c r="F8" s="45">
        <f t="shared" ref="F8:F37" si="1">IF($B8="","",B8)</f>
        <v>1</v>
      </c>
      <c r="G8" s="191">
        <f>IFERROR(VLOOKUP($A8,Sheet1!$A1:$D$98,4,0),"")</f>
        <v>35000</v>
      </c>
      <c r="H8" s="181">
        <f>IF($C7=MAX($C$8:$C$56),SUM($H7:$H$8),IFERROR($G8*$F8,""))</f>
        <v>35000</v>
      </c>
      <c r="I8" s="80">
        <f t="shared" ref="I8:I37" si="2">IF(TYPE($A8)&lt;&gt;1,"",IFERROR(F8*E8,""))</f>
        <v>0.5</v>
      </c>
      <c r="L8" s="47"/>
    </row>
    <row r="9" spans="1:14" s="44" customFormat="1" ht="14.25" customHeight="1" x14ac:dyDescent="0.25">
      <c r="A9" s="183">
        <v>9</v>
      </c>
      <c r="B9" s="183">
        <v>1</v>
      </c>
      <c r="C9" s="45">
        <f t="shared" si="0"/>
        <v>2</v>
      </c>
      <c r="D9" s="179" t="str">
        <f>IFERROR(VLOOKUP($A9,Sheet1!$A$1:$B$98,2,0),"")</f>
        <v>Hải sản sốt cam LC</v>
      </c>
      <c r="E9" s="45">
        <f>IFERROR(VLOOKUP($A9,'Tổng Đơn'!$A$5:$E$79,5,0),"")</f>
        <v>0.5</v>
      </c>
      <c r="F9" s="45">
        <f t="shared" si="1"/>
        <v>1</v>
      </c>
      <c r="G9" s="191">
        <f>IF(AND($C9="",$C8&lt;&gt;""),"Tổng Cộng",IFERROR(VLOOKUP($A9,Sheet1!$A$1:$D$98,4,0),""))</f>
        <v>45000</v>
      </c>
      <c r="H9" s="181">
        <f>IF($C8=MAX($C$8:$C$56),SUM($H$8:$H8),IFERROR($G9*$F9,""))</f>
        <v>45000</v>
      </c>
      <c r="I9" s="80">
        <f t="shared" si="2"/>
        <v>0.5</v>
      </c>
      <c r="L9" s="46"/>
    </row>
    <row r="10" spans="1:14" s="44" customFormat="1" ht="14.25" customHeight="1" x14ac:dyDescent="0.25">
      <c r="A10" s="183">
        <v>21</v>
      </c>
      <c r="B10" s="183">
        <v>1</v>
      </c>
      <c r="C10" s="45">
        <f t="shared" si="0"/>
        <v>3</v>
      </c>
      <c r="D10" s="179" t="str">
        <f>IFERROR(VLOOKUP($A10,Sheet1!$A$1:$B$98,2,0),"")</f>
        <v>XX Đức HS ĐNA</v>
      </c>
      <c r="E10" s="45">
        <f>IFERROR(VLOOKUP($A10,'Tổng Đơn'!$A$5:$E$79,5,0),"")</f>
        <v>0.5</v>
      </c>
      <c r="F10" s="45">
        <f t="shared" si="1"/>
        <v>1</v>
      </c>
      <c r="G10" s="191">
        <f>IF(AND($C10="",$C9&lt;&gt;""),"Tổng Cộng",IFERROR(VLOOKUP($A10,Sheet1!$A$1:$D$98,4,0),""))</f>
        <v>33000</v>
      </c>
      <c r="H10" s="181">
        <f>IF($C9=MAX($C$8:$C$56),SUM($H$8:$H9),IFERROR($G10*$F10,""))</f>
        <v>33000</v>
      </c>
      <c r="I10" s="80">
        <f t="shared" si="2"/>
        <v>0.5</v>
      </c>
      <c r="L10" s="46"/>
    </row>
    <row r="11" spans="1:14" s="44" customFormat="1" ht="14.25" customHeight="1" x14ac:dyDescent="0.25">
      <c r="A11" s="183">
        <v>26</v>
      </c>
      <c r="B11" s="183">
        <v>1</v>
      </c>
      <c r="C11" s="45">
        <f t="shared" si="0"/>
        <v>4</v>
      </c>
      <c r="D11" s="179" t="str">
        <f>IFERROR(VLOOKUP($A11,Sheet1!$A$1:$B$98,2,0),"")</f>
        <v>Chả giò Rế tôm mực LC</v>
      </c>
      <c r="E11" s="45">
        <f>IFERROR(VLOOKUP($A11,'Tổng Đơn'!$A$5:$E$79,5,0),"")</f>
        <v>0.5</v>
      </c>
      <c r="F11" s="45">
        <f t="shared" si="1"/>
        <v>1</v>
      </c>
      <c r="G11" s="191">
        <f>IF(AND($C11="",$C10&lt;&gt;""),"Tổng Cộng",IFERROR(VLOOKUP($A11,Sheet1!$A$1:$D$98,4,0),""))</f>
        <v>45000</v>
      </c>
      <c r="H11" s="181">
        <f>IF($C10=MAX($C$8:$C$56),SUM($H$8:$H10),IFERROR($G11*$F11,""))</f>
        <v>45000</v>
      </c>
      <c r="I11" s="80">
        <f t="shared" si="2"/>
        <v>0.5</v>
      </c>
      <c r="L11" s="46"/>
    </row>
    <row r="12" spans="1:14" s="44" customFormat="1" ht="14.25" customHeight="1" x14ac:dyDescent="0.25">
      <c r="A12" s="183">
        <v>49</v>
      </c>
      <c r="B12" s="183">
        <v>1</v>
      </c>
      <c r="C12" s="45">
        <f t="shared" si="0"/>
        <v>5</v>
      </c>
      <c r="D12" s="179" t="str">
        <f>IFERROR(VLOOKUP($A12,Sheet1!$A$1:$B$98,2,0),"")</f>
        <v>Bò lá lốt</v>
      </c>
      <c r="E12" s="45">
        <f>IFERROR(VLOOKUP($A12,'Tổng Đơn'!$A$5:$E$79,5,0),"")</f>
        <v>0.5</v>
      </c>
      <c r="F12" s="45">
        <f t="shared" si="1"/>
        <v>1</v>
      </c>
      <c r="G12" s="191">
        <f>IF(AND($C12="",$C11&lt;&gt;""),"Tổng Cộng",IFERROR(VLOOKUP($A12,Sheet1!$A$1:$D$98,4,0),""))</f>
        <v>42000</v>
      </c>
      <c r="H12" s="181">
        <f>IF($C11=MAX($C$8:$C$56),SUM($H$8:$H11),IFERROR($G12*$F12,""))</f>
        <v>42000</v>
      </c>
      <c r="I12" s="80">
        <f t="shared" si="2"/>
        <v>0.5</v>
      </c>
      <c r="J12" s="153"/>
      <c r="L12" s="46"/>
      <c r="M12" s="161"/>
      <c r="N12" s="154"/>
    </row>
    <row r="13" spans="1:14" s="44" customFormat="1" ht="14.25" customHeight="1" x14ac:dyDescent="0.25">
      <c r="A13" s="183">
        <v>54</v>
      </c>
      <c r="B13" s="183">
        <v>1</v>
      </c>
      <c r="C13" s="45">
        <f t="shared" si="0"/>
        <v>6</v>
      </c>
      <c r="D13" s="179" t="str">
        <f>IFERROR(VLOOKUP($A13,Sheet1!$A$1:$B$98,2,0),"")</f>
        <v>Khoai tây Simplot</v>
      </c>
      <c r="E13" s="45">
        <f>IFERROR(VLOOKUP($A13,'Tổng Đơn'!$A$5:$E$79,5,0),"")</f>
        <v>1</v>
      </c>
      <c r="F13" s="45">
        <f t="shared" si="1"/>
        <v>1</v>
      </c>
      <c r="G13" s="191">
        <f>IF(AND($C13="",$C12&lt;&gt;""),"Tổng Cộng",IFERROR(VLOOKUP($A13,Sheet1!$A$1:$D$98,4,0),""))</f>
        <v>45000</v>
      </c>
      <c r="H13" s="181">
        <f>IF($C12=MAX($C$8:$C$56),SUM($H$8:$H12),IFERROR($G13*$F13,""))</f>
        <v>45000</v>
      </c>
      <c r="I13" s="80">
        <f t="shared" si="2"/>
        <v>1</v>
      </c>
      <c r="L13" s="46"/>
    </row>
    <row r="14" spans="1:14" s="44" customFormat="1" ht="14.25" customHeight="1" x14ac:dyDescent="0.25">
      <c r="A14" s="183">
        <v>55</v>
      </c>
      <c r="B14" s="183">
        <v>1</v>
      </c>
      <c r="C14" s="45">
        <f t="shared" si="0"/>
        <v>7</v>
      </c>
      <c r="D14" s="179" t="str">
        <f>IFERROR(VLOOKUP($A14,Sheet1!$A$1:$B$98,2,0),"")</f>
        <v>Đậu hủ phô mai EB</v>
      </c>
      <c r="E14" s="45">
        <f>IFERROR(VLOOKUP($A14,'Tổng Đơn'!$A$5:$E$79,5,0),"")</f>
        <v>0.5</v>
      </c>
      <c r="F14" s="45">
        <f t="shared" si="1"/>
        <v>1</v>
      </c>
      <c r="G14" s="191">
        <f>IF(AND($C14="",$C13&lt;&gt;""),"Tổng Cộng",IFERROR(VLOOKUP($A14,Sheet1!$A$1:$D$98,4,0),""))</f>
        <v>80000</v>
      </c>
      <c r="H14" s="181">
        <f>IF($C13=MAX($C$8:$C$56),SUM($H$8:$H13),IFERROR($G14*$F14,""))</f>
        <v>80000</v>
      </c>
      <c r="I14" s="80">
        <f t="shared" si="2"/>
        <v>0.5</v>
      </c>
      <c r="L14" s="46"/>
      <c r="M14" s="162"/>
    </row>
    <row r="15" spans="1:14" s="44" customFormat="1" ht="14.25" customHeight="1" x14ac:dyDescent="0.25">
      <c r="A15" s="183">
        <v>59</v>
      </c>
      <c r="B15" s="183">
        <v>1</v>
      </c>
      <c r="C15" s="45">
        <f t="shared" si="0"/>
        <v>8</v>
      </c>
      <c r="D15" s="179" t="str">
        <f>IFERROR(VLOOKUP($A15,Sheet1!$A$1:$B$98,2,0),"")</f>
        <v>Thanh cua dài Liên Anh</v>
      </c>
      <c r="E15" s="45">
        <f>IFERROR(VLOOKUP($A15,'Tổng Đơn'!$A$5:$E$79,5,0),"")</f>
        <v>0.5</v>
      </c>
      <c r="F15" s="45">
        <f t="shared" si="1"/>
        <v>1</v>
      </c>
      <c r="G15" s="191">
        <f>IF(AND($C15="",$C14&lt;&gt;""),"Tổng Cộng",IFERROR(VLOOKUP($A15,Sheet1!$A$1:$D$98,4,0),""))</f>
        <v>70000</v>
      </c>
      <c r="H15" s="181">
        <f>IF($C14=MAX($C$8:$C$56),SUM($H$8:$H14),IFERROR($G15*$F15,""))</f>
        <v>70000</v>
      </c>
      <c r="I15" s="80">
        <f t="shared" si="2"/>
        <v>0.5</v>
      </c>
      <c r="L15" s="46"/>
    </row>
    <row r="16" spans="1:14" s="44" customFormat="1" ht="14.25" customHeight="1" x14ac:dyDescent="0.25">
      <c r="A16" s="183">
        <v>64</v>
      </c>
      <c r="B16" s="183">
        <v>2</v>
      </c>
      <c r="C16" s="45">
        <f t="shared" si="0"/>
        <v>9</v>
      </c>
      <c r="D16" s="179" t="str">
        <f>IFERROR(VLOOKUP($A16,Sheet1!$A$1:$B$98,2,0),"")</f>
        <v>Bánh bao ngọt không nhân</v>
      </c>
      <c r="E16" s="45">
        <f>IFERROR(VLOOKUP($A16,'Tổng Đơn'!$A$5:$E$79,5,0),"")</f>
        <v>0.3</v>
      </c>
      <c r="F16" s="45">
        <f t="shared" si="1"/>
        <v>2</v>
      </c>
      <c r="G16" s="191">
        <f>IF(AND($C16="",$C15&lt;&gt;""),"Tổng Cộng",IFERROR(VLOOKUP($A16,Sheet1!$A$1:$D$98,4,0),""))</f>
        <v>18000</v>
      </c>
      <c r="H16" s="181">
        <f>IF($C15=MAX($C$8:$C$56),SUM($H$8:$H15),IFERROR($G16*$F16,""))</f>
        <v>36000</v>
      </c>
      <c r="I16" s="80">
        <f t="shared" si="2"/>
        <v>0.6</v>
      </c>
      <c r="L16" s="46"/>
    </row>
    <row r="17" spans="1:12" s="44" customFormat="1" ht="14.25" customHeight="1" x14ac:dyDescent="0.25">
      <c r="A17" s="183">
        <v>65</v>
      </c>
      <c r="B17" s="183">
        <v>2</v>
      </c>
      <c r="C17" s="45">
        <f t="shared" si="0"/>
        <v>10</v>
      </c>
      <c r="D17" s="190" t="str">
        <f>IFERROR(VLOOKUP($A17,Sheet1!$A$1:$B$98,2,0),"")</f>
        <v>Cá viên KK</v>
      </c>
      <c r="E17" s="45">
        <f>IFERROR(VLOOKUP($A17,'Tổng Đơn'!$A$5:$E$79,5,0),"")</f>
        <v>0.5</v>
      </c>
      <c r="F17" s="45">
        <f t="shared" si="1"/>
        <v>2</v>
      </c>
      <c r="G17" s="191">
        <f>IF(AND($C17="",$C16&lt;&gt;""),"Tổng Cộng",IFERROR(VLOOKUP($A17,Sheet1!$A$1:$D$98,4,0),""))</f>
        <v>23000</v>
      </c>
      <c r="H17" s="181">
        <f>IF($C16=MAX($C$8:$C$56),SUM($H$8:$H16),IFERROR($G17*$F17,""))</f>
        <v>46000</v>
      </c>
      <c r="I17" s="80">
        <f t="shared" si="2"/>
        <v>1</v>
      </c>
      <c r="L17" s="46"/>
    </row>
    <row r="18" spans="1:12" s="44" customFormat="1" ht="14.25" customHeight="1" x14ac:dyDescent="0.25">
      <c r="A18" s="183">
        <v>72</v>
      </c>
      <c r="B18" s="183">
        <v>1</v>
      </c>
      <c r="C18" s="45">
        <f t="shared" si="0"/>
        <v>11</v>
      </c>
      <c r="D18" s="190" t="str">
        <f>IFERROR(VLOOKUP($A18,Sheet1!$A$1:$B$98,2,0),"")</f>
        <v>Bánh bao thả lẩu Trứng cá KK</v>
      </c>
      <c r="E18" s="45">
        <f>IFERROR(VLOOKUP($A18,'Tổng Đơn'!$A$5:$E$79,5,0),"")</f>
        <v>0.5</v>
      </c>
      <c r="F18" s="45">
        <f t="shared" si="1"/>
        <v>1</v>
      </c>
      <c r="G18" s="191">
        <f>IF(AND($C18="",$C17&lt;&gt;""),"Tổng Cộng",IFERROR(VLOOKUP($A18,Sheet1!$A$1:$D$98,4,0),""))</f>
        <v>43000</v>
      </c>
      <c r="H18" s="181">
        <f>IF($C17=MAX($C$8:$C$56),SUM($H$8:$H17),IFERROR($G18*$F18,""))</f>
        <v>43000</v>
      </c>
      <c r="I18" s="80">
        <f t="shared" si="2"/>
        <v>0.5</v>
      </c>
      <c r="L18" s="46"/>
    </row>
    <row r="19" spans="1:12" s="44" customFormat="1" ht="14.25" customHeight="1" x14ac:dyDescent="0.25">
      <c r="A19" s="183" t="s">
        <v>214</v>
      </c>
      <c r="B19" s="183">
        <v>4</v>
      </c>
      <c r="C19" s="45">
        <f t="shared" si="0"/>
        <v>12</v>
      </c>
      <c r="D19" s="190" t="str">
        <f>IFERROR(VLOOKUP($A19,Sheet1!$A$1:$B$98,2,0),"")</f>
        <v>0-Cánh Gà</v>
      </c>
      <c r="E19" s="45">
        <f>IFERROR(VLOOKUP($A19,'Tổng Đơn'!$A$5:$E$79,5,0),"")</f>
        <v>1</v>
      </c>
      <c r="F19" s="45">
        <f t="shared" si="1"/>
        <v>4</v>
      </c>
      <c r="G19" s="191">
        <f>IF(AND($C19="",$C18&lt;&gt;""),"Tổng Cộng",IFERROR(VLOOKUP($A19,Sheet1!$A$1:$D$98,4,0),""))</f>
        <v>70000</v>
      </c>
      <c r="H19" s="181">
        <f>IF($C18=MAX($C$8:$C$56),SUM($H$8:$H18),IFERROR($G19*$F19,""))</f>
        <v>280000</v>
      </c>
      <c r="I19" s="80" t="str">
        <f t="shared" si="2"/>
        <v/>
      </c>
      <c r="L19" s="46"/>
    </row>
    <row r="20" spans="1:12" s="44" customFormat="1" ht="14.25" customHeight="1" x14ac:dyDescent="0.25">
      <c r="A20" s="183" t="s">
        <v>215</v>
      </c>
      <c r="B20" s="183">
        <v>5</v>
      </c>
      <c r="C20" s="45">
        <f t="shared" si="0"/>
        <v>13</v>
      </c>
      <c r="D20" s="190" t="str">
        <f>IFERROR(VLOOKUP($A20,Sheet1!$A$1:$B$98,2,0),"")</f>
        <v>0-Đùi tỏi Gà</v>
      </c>
      <c r="E20" s="45">
        <f>IFERROR(VLOOKUP($A20,'Tổng Đơn'!$A$5:$E$79,5,0),"")</f>
        <v>1</v>
      </c>
      <c r="F20" s="45">
        <f t="shared" si="1"/>
        <v>5</v>
      </c>
      <c r="G20" s="191">
        <f>IF(AND($C20="",$C19&lt;&gt;""),"Tổng Cộng",IFERROR(VLOOKUP($A20,Sheet1!$A$1:$D$98,4,0),""))</f>
        <v>45000</v>
      </c>
      <c r="H20" s="181">
        <f>IF($C19=MAX($C$8:$C$56),SUM($H$8:$H19),IFERROR($G20*$F20,""))</f>
        <v>225000</v>
      </c>
      <c r="I20" s="80" t="str">
        <f t="shared" si="2"/>
        <v/>
      </c>
      <c r="L20" s="46"/>
    </row>
    <row r="21" spans="1:12" s="44" customFormat="1" ht="14.25" customHeight="1" x14ac:dyDescent="0.25">
      <c r="A21" s="183">
        <v>1</v>
      </c>
      <c r="B21" s="183">
        <v>1</v>
      </c>
      <c r="C21" s="45">
        <f t="shared" si="0"/>
        <v>14</v>
      </c>
      <c r="D21" s="222" t="s">
        <v>302</v>
      </c>
      <c r="E21" s="45" t="s">
        <v>299</v>
      </c>
      <c r="F21" s="45" t="s">
        <v>299</v>
      </c>
      <c r="G21" s="191" t="s">
        <v>299</v>
      </c>
      <c r="H21" s="181">
        <v>-6000</v>
      </c>
      <c r="I21" s="80" t="str">
        <f t="shared" si="2"/>
        <v/>
      </c>
      <c r="L21" s="46"/>
    </row>
    <row r="22" spans="1:12" s="44" customFormat="1" ht="14.25" customHeight="1" x14ac:dyDescent="0.25">
      <c r="A22" s="183" t="s">
        <v>298</v>
      </c>
      <c r="B22" s="183"/>
      <c r="C22" s="45" t="str">
        <f t="shared" si="0"/>
        <v/>
      </c>
      <c r="D22" s="179" t="str">
        <f>IFERROR(VLOOKUP($A22,Sheet1!$A$1:$B$98,2,0),"")</f>
        <v/>
      </c>
      <c r="E22" s="45" t="str">
        <f>IFERROR(VLOOKUP($A22,'Tổng Đơn'!$A$5:$E$79,5,0),"")</f>
        <v/>
      </c>
      <c r="F22" s="45" t="str">
        <f t="shared" si="1"/>
        <v/>
      </c>
      <c r="G22" s="191" t="str">
        <f>IF(AND($C22="",$C21&lt;&gt;""),"Tổng Cộng",IFERROR(VLOOKUP($A22,Sheet1!$A$1:$D$98,4,0),""))</f>
        <v>Tổng Cộng</v>
      </c>
      <c r="H22" s="181">
        <f>IF($C21=MAX($C$8:$C$56),SUM($H$8:$H21),IFERROR($G22*$F22,""))</f>
        <v>1019000</v>
      </c>
      <c r="I22" s="80" t="str">
        <f t="shared" si="2"/>
        <v/>
      </c>
      <c r="L22" s="46"/>
    </row>
    <row r="23" spans="1:12" s="44" customFormat="1" ht="14.25" customHeight="1" x14ac:dyDescent="0.25">
      <c r="A23" s="183" t="s">
        <v>298</v>
      </c>
      <c r="B23" s="183"/>
      <c r="C23" s="45" t="str">
        <f t="shared" si="0"/>
        <v/>
      </c>
      <c r="D23" s="179" t="str">
        <f>IFERROR(VLOOKUP($A23,Sheet1!$A$1:$B$98,2,0),"")</f>
        <v/>
      </c>
      <c r="E23" s="45" t="str">
        <f>IFERROR(VLOOKUP($A23,'Tổng Đơn'!$A$5:$E$79,5,0),"")</f>
        <v/>
      </c>
      <c r="F23" s="45" t="str">
        <f t="shared" si="1"/>
        <v/>
      </c>
      <c r="G23" s="191" t="str">
        <f>IF(AND($C23="",$C22&lt;&gt;""),"Tổng Cộng",IFERROR(VLOOKUP($A23,Sheet1!$A$1:$D$98,4,0),""))</f>
        <v/>
      </c>
      <c r="H23" s="181" t="str">
        <f>IF($C22=MAX($C$8:$C$56),SUM($H$8:$H22),IFERROR($G23*$F23,""))</f>
        <v/>
      </c>
      <c r="I23" s="80" t="str">
        <f t="shared" si="2"/>
        <v/>
      </c>
      <c r="L23" s="46"/>
    </row>
    <row r="24" spans="1:12" s="44" customFormat="1" ht="14.25" customHeight="1" x14ac:dyDescent="0.25">
      <c r="A24" s="183" t="s">
        <v>298</v>
      </c>
      <c r="B24" s="183"/>
      <c r="C24" s="45" t="str">
        <f t="shared" si="0"/>
        <v/>
      </c>
      <c r="D24" s="179" t="str">
        <f>IFERROR(VLOOKUP($A24,Sheet1!$A$1:$B$98,2,0),"")</f>
        <v/>
      </c>
      <c r="E24" s="45" t="str">
        <f>IFERROR(VLOOKUP($A24,'Tổng Đơn'!$A$5:$E$79,5,0),"")</f>
        <v/>
      </c>
      <c r="F24" s="45" t="str">
        <f t="shared" si="1"/>
        <v/>
      </c>
      <c r="G24" s="191" t="str">
        <f>IF(AND($C24="",$C23&lt;&gt;""),"Tổng Cộng",IFERROR(VLOOKUP($A24,Sheet1!$A$1:$D$98,4,0),""))</f>
        <v/>
      </c>
      <c r="H24" s="181" t="str">
        <f>IF($C23=MAX($C$8:$C$56),SUM($H$8:$H23),IFERROR($G24*$F24,""))</f>
        <v/>
      </c>
      <c r="I24" s="80" t="str">
        <f t="shared" si="2"/>
        <v/>
      </c>
      <c r="L24" s="46"/>
    </row>
    <row r="25" spans="1:12" s="44" customFormat="1" ht="14.25" customHeight="1" x14ac:dyDescent="0.25">
      <c r="A25" s="183" t="s">
        <v>298</v>
      </c>
      <c r="B25" s="183"/>
      <c r="C25" s="45" t="str">
        <f t="shared" si="0"/>
        <v/>
      </c>
      <c r="D25" s="179" t="str">
        <f>IFERROR(VLOOKUP($A25,Sheet1!$A$1:$B$98,2,0),"")</f>
        <v/>
      </c>
      <c r="E25" s="45" t="str">
        <f>IFERROR(VLOOKUP($A25,'Tổng Đơn'!$A$5:$E$79,5,0),"")</f>
        <v/>
      </c>
      <c r="F25" s="45" t="str">
        <f t="shared" si="1"/>
        <v/>
      </c>
      <c r="G25" s="191" t="str">
        <f>IF(AND($C25="",$C24&lt;&gt;""),"Tổng Cộng",IFERROR(VLOOKUP($A25,Sheet1!$A$1:$D$98,4,0),""))</f>
        <v/>
      </c>
      <c r="H25" s="181" t="str">
        <f>IF($C24=MAX($C$8:$C$56),SUM($H$8:$H24),IFERROR($G25*$F25,""))</f>
        <v/>
      </c>
      <c r="I25" s="80" t="str">
        <f t="shared" si="2"/>
        <v/>
      </c>
      <c r="L25" s="46"/>
    </row>
    <row r="26" spans="1:12" s="44" customFormat="1" ht="14.25" customHeight="1" x14ac:dyDescent="0.25">
      <c r="A26" s="183" t="s">
        <v>298</v>
      </c>
      <c r="B26" s="183"/>
      <c r="C26" s="45" t="str">
        <f t="shared" si="0"/>
        <v/>
      </c>
      <c r="D26" s="179" t="str">
        <f>IFERROR(VLOOKUP($A26,Sheet1!$A$1:$B$98,2,0),"")</f>
        <v/>
      </c>
      <c r="E26" s="45" t="str">
        <f>IFERROR(VLOOKUP($A26,'Tổng Đơn'!$A$5:$E$79,5,0),"")</f>
        <v/>
      </c>
      <c r="F26" s="45" t="str">
        <f t="shared" si="1"/>
        <v/>
      </c>
      <c r="G26" s="191" t="str">
        <f>IF(AND($C26="",$C25&lt;&gt;""),"Tổng Cộng",IFERROR(VLOOKUP($A26,Sheet1!$A$1:$D$98,4,0),""))</f>
        <v/>
      </c>
      <c r="H26" s="181" t="str">
        <f>IF($C25=MAX($C$8:$C$56),SUM($H$8:$H25),IFERROR($G26*$F26,""))</f>
        <v/>
      </c>
      <c r="I26" s="80" t="str">
        <f t="shared" si="2"/>
        <v/>
      </c>
      <c r="L26" s="46"/>
    </row>
    <row r="27" spans="1:12" s="44" customFormat="1" ht="14.25" customHeight="1" x14ac:dyDescent="0.25">
      <c r="A27" s="183" t="s">
        <v>298</v>
      </c>
      <c r="B27" s="183"/>
      <c r="C27" s="45" t="str">
        <f t="shared" si="0"/>
        <v/>
      </c>
      <c r="D27" s="179" t="str">
        <f>IFERROR(VLOOKUP($A27,Sheet1!$A$1:$B$98,2,0),"")</f>
        <v/>
      </c>
      <c r="E27" s="45" t="str">
        <f>IFERROR(VLOOKUP($A27,'Tổng Đơn'!$A$5:$E$79,5,0),"")</f>
        <v/>
      </c>
      <c r="F27" s="45" t="str">
        <f t="shared" si="1"/>
        <v/>
      </c>
      <c r="G27" s="191" t="str">
        <f>IF(AND($C27="",$C26&lt;&gt;""),"Tổng Cộng",IFERROR(VLOOKUP($A27,Sheet1!$A$1:$D$98,4,0),""))</f>
        <v/>
      </c>
      <c r="H27" s="181" t="str">
        <f>IF($C26=MAX($C$8:$C$56),SUM($H$8:$H26),IFERROR($G27*$F27,""))</f>
        <v/>
      </c>
      <c r="I27" s="80" t="str">
        <f t="shared" si="2"/>
        <v/>
      </c>
      <c r="L27" s="46"/>
    </row>
    <row r="28" spans="1:12" s="44" customFormat="1" ht="14.25" customHeight="1" x14ac:dyDescent="0.25">
      <c r="A28" s="183" t="s">
        <v>298</v>
      </c>
      <c r="B28" s="183"/>
      <c r="C28" s="45" t="str">
        <f t="shared" si="0"/>
        <v/>
      </c>
      <c r="D28" s="179" t="str">
        <f>IFERROR(VLOOKUP($A28,Sheet1!$A$1:$B$98,2,0),"")</f>
        <v/>
      </c>
      <c r="E28" s="45" t="str">
        <f>IFERROR(VLOOKUP($A28,'Tổng Đơn'!$A$5:$E$79,5,0),"")</f>
        <v/>
      </c>
      <c r="F28" s="45" t="str">
        <f t="shared" si="1"/>
        <v/>
      </c>
      <c r="G28" s="191" t="str">
        <f>IF(AND($C28="",$C27&lt;&gt;""),"Tổng Cộng",IFERROR(VLOOKUP($A28,Sheet1!$A$1:$D$98,4,0),""))</f>
        <v/>
      </c>
      <c r="H28" s="181" t="str">
        <f>IF($C27=MAX($C$8:$C$56),SUM($H$8:$H27),IFERROR($G28*$F28,""))</f>
        <v/>
      </c>
      <c r="I28" s="80" t="str">
        <f t="shared" si="2"/>
        <v/>
      </c>
      <c r="L28" s="46"/>
    </row>
    <row r="29" spans="1:12" s="44" customFormat="1" ht="14.25" customHeight="1" x14ac:dyDescent="0.25">
      <c r="A29" s="183" t="s">
        <v>298</v>
      </c>
      <c r="B29" s="183"/>
      <c r="C29" s="45" t="str">
        <f t="shared" si="0"/>
        <v/>
      </c>
      <c r="D29" s="179" t="str">
        <f>IFERROR(VLOOKUP($A29,Sheet1!$A$1:$B$98,2,0),"")</f>
        <v/>
      </c>
      <c r="E29" s="45" t="str">
        <f>IFERROR(VLOOKUP($A29,'Tổng Đơn'!$A$5:$E$79,5,0),"")</f>
        <v/>
      </c>
      <c r="F29" s="45" t="str">
        <f t="shared" si="1"/>
        <v/>
      </c>
      <c r="G29" s="191" t="str">
        <f>IF(AND($C29="",$C28&lt;&gt;""),"Tổng Cộng",IFERROR(VLOOKUP($A29,Sheet1!$A$1:$D$98,4,0),""))</f>
        <v/>
      </c>
      <c r="H29" s="181" t="str">
        <f>IF($C28=MAX($C$8:$C$56),SUM($H$8:$H28),IFERROR($G29*$F29,""))</f>
        <v/>
      </c>
      <c r="I29" s="80" t="str">
        <f t="shared" si="2"/>
        <v/>
      </c>
      <c r="L29" s="46"/>
    </row>
    <row r="30" spans="1:12" s="44" customFormat="1" ht="14.25" customHeight="1" x14ac:dyDescent="0.25">
      <c r="A30" s="183" t="s">
        <v>298</v>
      </c>
      <c r="B30" s="183"/>
      <c r="C30" s="45" t="str">
        <f t="shared" si="0"/>
        <v/>
      </c>
      <c r="D30" s="179" t="str">
        <f>IFERROR(VLOOKUP($A30,Sheet1!$A$1:$B$98,2,0),"")</f>
        <v/>
      </c>
      <c r="E30" s="45" t="str">
        <f>IFERROR(VLOOKUP($A30,'Tổng Đơn'!$A$5:$E$79,5,0),"")</f>
        <v/>
      </c>
      <c r="F30" s="45" t="str">
        <f t="shared" si="1"/>
        <v/>
      </c>
      <c r="G30" s="191" t="str">
        <f>IF(AND($C30="",$C29&lt;&gt;""),"Tổng Cộng",IFERROR(VLOOKUP($A30,Sheet1!$A$1:$D$98,4,0),""))</f>
        <v/>
      </c>
      <c r="H30" s="181" t="str">
        <f>IF($C29=MAX($C$8:$C$56),SUM($H$8:$H29),IFERROR($G30*$F30,""))</f>
        <v/>
      </c>
      <c r="I30" s="80" t="str">
        <f t="shared" si="2"/>
        <v/>
      </c>
      <c r="L30" s="46"/>
    </row>
    <row r="31" spans="1:12" s="44" customFormat="1" ht="14.25" customHeight="1" x14ac:dyDescent="0.25">
      <c r="A31" s="183" t="s">
        <v>298</v>
      </c>
      <c r="B31" s="183"/>
      <c r="C31" s="45" t="str">
        <f t="shared" si="0"/>
        <v/>
      </c>
      <c r="D31" s="179" t="str">
        <f>IFERROR(VLOOKUP($A31,Sheet1!$A$1:$B$98,2,0),"")</f>
        <v/>
      </c>
      <c r="E31" s="45" t="str">
        <f>IFERROR(VLOOKUP($A31,'Tổng Đơn'!$A$5:$E$79,5,0),"")</f>
        <v/>
      </c>
      <c r="F31" s="45" t="str">
        <f t="shared" si="1"/>
        <v/>
      </c>
      <c r="G31" s="191" t="str">
        <f>IF(AND($C31="",$C30&lt;&gt;""),"Tổng Cộng",IFERROR(VLOOKUP($A31,Sheet1!$A$1:$D$98,4,0),""))</f>
        <v/>
      </c>
      <c r="H31" s="181" t="str">
        <f>IF($C30=MAX($C$8:$C$56),SUM($H$8:$H30),IFERROR($G31*$F31,""))</f>
        <v/>
      </c>
      <c r="I31" s="80" t="str">
        <f t="shared" si="2"/>
        <v/>
      </c>
      <c r="L31" s="46"/>
    </row>
    <row r="32" spans="1:12" s="44" customFormat="1" ht="14.25" customHeight="1" x14ac:dyDescent="0.25">
      <c r="A32" s="183" t="s">
        <v>298</v>
      </c>
      <c r="B32" s="183"/>
      <c r="C32" s="45" t="str">
        <f t="shared" si="0"/>
        <v/>
      </c>
      <c r="D32" s="179" t="str">
        <f>IFERROR(VLOOKUP($A32,Sheet1!$A$1:$B$98,2,0),"")</f>
        <v/>
      </c>
      <c r="E32" s="45" t="str">
        <f>IFERROR(VLOOKUP($A32,'Tổng Đơn'!$A$5:$E$79,5,0),"")</f>
        <v/>
      </c>
      <c r="F32" s="45" t="str">
        <f t="shared" si="1"/>
        <v/>
      </c>
      <c r="G32" s="191" t="str">
        <f>IF(AND($C32="",$C31&lt;&gt;""),"Tổng Cộng",IFERROR(VLOOKUP($A32,Sheet1!$A$1:$D$98,4,0),""))</f>
        <v/>
      </c>
      <c r="H32" s="181" t="str">
        <f>IF($C31=MAX($C$8:$C$56),SUM($H$8:$H31),IFERROR($G32*$F32,""))</f>
        <v/>
      </c>
      <c r="I32" s="80" t="str">
        <f t="shared" si="2"/>
        <v/>
      </c>
      <c r="L32" s="46"/>
    </row>
    <row r="33" spans="1:12" s="44" customFormat="1" ht="14.25" customHeight="1" x14ac:dyDescent="0.25">
      <c r="A33" s="183" t="s">
        <v>298</v>
      </c>
      <c r="B33" s="183"/>
      <c r="C33" s="45" t="str">
        <f t="shared" si="0"/>
        <v/>
      </c>
      <c r="D33" s="179" t="str">
        <f>IFERROR(VLOOKUP($A33,Sheet1!$A$1:$B$98,2,0),"")</f>
        <v/>
      </c>
      <c r="E33" s="45" t="str">
        <f>IFERROR(VLOOKUP($A33,'Tổng Đơn'!$A$5:$E$79,5,0),"")</f>
        <v/>
      </c>
      <c r="F33" s="45" t="str">
        <f t="shared" si="1"/>
        <v/>
      </c>
      <c r="G33" s="191" t="str">
        <f>IF(AND($C33="",$C32&lt;&gt;""),"Tổng Cộng",IFERROR(VLOOKUP($A33,Sheet1!$A$1:$D$98,4,0),""))</f>
        <v/>
      </c>
      <c r="H33" s="181" t="str">
        <f>IF($C32=MAX($C$8:$C$56),SUM($H$8:$H32),IFERROR($G33*$F33,""))</f>
        <v/>
      </c>
      <c r="I33" s="80" t="str">
        <f t="shared" si="2"/>
        <v/>
      </c>
      <c r="L33" s="46"/>
    </row>
    <row r="34" spans="1:12" s="44" customFormat="1" ht="14.25" customHeight="1" x14ac:dyDescent="0.25">
      <c r="A34" s="183" t="s">
        <v>298</v>
      </c>
      <c r="B34" s="183"/>
      <c r="C34" s="45" t="str">
        <f t="shared" si="0"/>
        <v/>
      </c>
      <c r="D34" s="179" t="str">
        <f>IFERROR(VLOOKUP($A34,Sheet1!$A$1:$B$98,2,0),"")</f>
        <v/>
      </c>
      <c r="E34" s="45" t="str">
        <f>IFERROR(VLOOKUP($A34,'Tổng Đơn'!$A$5:$E$79,5,0),"")</f>
        <v/>
      </c>
      <c r="F34" s="45" t="str">
        <f t="shared" si="1"/>
        <v/>
      </c>
      <c r="G34" s="191" t="str">
        <f>IF(AND($C34="",$C33&lt;&gt;""),"Tổng Cộng",IFERROR(VLOOKUP($A34,Sheet1!$A$1:$D$98,4,0),""))</f>
        <v/>
      </c>
      <c r="H34" s="181" t="str">
        <f>IF($C33=MAX($C$8:$C$56),SUM($H$8:$H33),IFERROR($G34*$F34,""))</f>
        <v/>
      </c>
      <c r="I34" s="80" t="str">
        <f t="shared" si="2"/>
        <v/>
      </c>
      <c r="L34" s="46"/>
    </row>
    <row r="35" spans="1:12" s="44" customFormat="1" ht="14.25" customHeight="1" x14ac:dyDescent="0.25">
      <c r="A35" s="183" t="s">
        <v>298</v>
      </c>
      <c r="B35" s="183"/>
      <c r="C35" s="45" t="str">
        <f t="shared" si="0"/>
        <v/>
      </c>
      <c r="D35" s="179" t="str">
        <f>IFERROR(VLOOKUP($A35,Sheet1!$A$1:$B$98,2,0),"")</f>
        <v/>
      </c>
      <c r="E35" s="45" t="str">
        <f>IFERROR(VLOOKUP($A35,'Tổng Đơn'!$A$5:$E$79,5,0),"")</f>
        <v/>
      </c>
      <c r="F35" s="45" t="str">
        <f t="shared" si="1"/>
        <v/>
      </c>
      <c r="G35" s="191" t="str">
        <f>IF(AND($C35="",$C34&lt;&gt;""),"Tổng Cộng",IFERROR(VLOOKUP($A35,Sheet1!$A$1:$D$98,4,0),""))</f>
        <v/>
      </c>
      <c r="H35" s="181" t="str">
        <f>IF($C34=MAX($C$8:$C$56),SUM($H$8:$H34),IFERROR($G35*$F35,""))</f>
        <v/>
      </c>
      <c r="I35" s="80" t="str">
        <f t="shared" si="2"/>
        <v/>
      </c>
      <c r="L35" s="46"/>
    </row>
    <row r="36" spans="1:12" s="44" customFormat="1" ht="14.25" customHeight="1" x14ac:dyDescent="0.25">
      <c r="A36" s="183" t="s">
        <v>298</v>
      </c>
      <c r="B36" s="183"/>
      <c r="C36" s="45" t="str">
        <f t="shared" si="0"/>
        <v/>
      </c>
      <c r="D36" s="179" t="str">
        <f>IFERROR(VLOOKUP($A36,Sheet1!$A$1:$B$98,2,0),"")</f>
        <v/>
      </c>
      <c r="E36" s="45" t="str">
        <f>IFERROR(VLOOKUP($A36,'Tổng Đơn'!$A$5:$E$79,5,0),"")</f>
        <v/>
      </c>
      <c r="F36" s="45" t="str">
        <f t="shared" si="1"/>
        <v/>
      </c>
      <c r="G36" s="191" t="str">
        <f>IF(AND($C36="",$C35&lt;&gt;""),"Tổng Cộng",IFERROR(VLOOKUP($A36,Sheet1!$A$1:$D$98,4,0),""))</f>
        <v/>
      </c>
      <c r="H36" s="181" t="str">
        <f>IF($C35=MAX($C$8:$C$56),SUM($H$8:$H35),IFERROR($G36*$F36,""))</f>
        <v/>
      </c>
      <c r="I36" s="80" t="str">
        <f t="shared" si="2"/>
        <v/>
      </c>
      <c r="L36" s="46"/>
    </row>
    <row r="37" spans="1:12" s="44" customFormat="1" ht="14.25" customHeight="1" x14ac:dyDescent="0.25">
      <c r="A37" s="183" t="s">
        <v>298</v>
      </c>
      <c r="B37" s="183"/>
      <c r="C37" s="45" t="str">
        <f t="shared" si="0"/>
        <v/>
      </c>
      <c r="D37" s="179" t="str">
        <f>IFERROR(VLOOKUP($A37,Sheet1!$A$1:$B$98,2,0),"")</f>
        <v/>
      </c>
      <c r="E37" s="45" t="str">
        <f>IFERROR(VLOOKUP($A37,'Tổng Đơn'!$A$5:$E$79,5,0),"")</f>
        <v/>
      </c>
      <c r="F37" s="45" t="str">
        <f t="shared" si="1"/>
        <v/>
      </c>
      <c r="G37" s="191" t="str">
        <f>IF(AND($C37="",$C36&lt;&gt;""),"Tổng Cộng",IFERROR(VLOOKUP($A37,Sheet1!$A$1:$D$98,4,0),""))</f>
        <v/>
      </c>
      <c r="H37" s="181" t="str">
        <f>IF($C36=MAX($C$8:$C$56),SUM($H$8:$H36),IFERROR($G37*$F37,""))</f>
        <v/>
      </c>
      <c r="I37" s="80" t="str">
        <f t="shared" si="2"/>
        <v/>
      </c>
      <c r="L37" s="46"/>
    </row>
    <row r="38" spans="1:12" s="44" customFormat="1" ht="14.25" customHeight="1" x14ac:dyDescent="0.25">
      <c r="A38" s="183"/>
      <c r="B38" s="183"/>
      <c r="C38" s="48"/>
      <c r="D38" s="49"/>
      <c r="E38" s="78"/>
      <c r="F38" s="45"/>
      <c r="G38" s="192" t="str">
        <f>IF(AND($C38="",$C37&lt;&gt;""),"Tổng Cộng",IFERROR(VLOOKUP($A38,Sheet1!$A$1:$D$98,4,0),""))</f>
        <v/>
      </c>
      <c r="H38" s="50" t="str">
        <f>IF($C37=MAX($C$8:$C$56),SUM($H$8:$H37),IFERROR($G38*$F38,""))</f>
        <v/>
      </c>
      <c r="I38" s="80"/>
      <c r="L38" s="46"/>
    </row>
    <row r="39" spans="1:12" ht="15" customHeight="1" x14ac:dyDescent="0.25">
      <c r="F39" s="51"/>
      <c r="G39" s="171"/>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H9 C38:E38 C9:G9 F15:H38 D15:E37 D10:H14">
    <cfRule type="expression" dxfId="11" priority="2">
      <formula>$C7=MAX($C$8:$C$37)</formula>
    </cfRule>
  </conditionalFormatting>
  <conditionalFormatting sqref="C10:C37">
    <cfRule type="expression" dxfId="10" priority="1">
      <formula>$C9=MAX($C$8:$C$37)</formula>
    </cfRule>
  </conditionalFormatting>
  <conditionalFormatting sqref="E8:E38">
    <cfRule type="expression" dxfId="9" priority="3">
      <formula>AND($A8="",$F8&lt;&gt;"")</formula>
    </cfRule>
  </conditionalFormatting>
  <conditionalFormatting sqref="F8:F38">
    <cfRule type="expression" dxfId="8"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33121" r:id="rId4" name="Button 1">
              <controlPr defaultSize="0" print="0" autoFill="0" autoPict="0" macro="[0]!Macro4">
                <anchor moveWithCells="1" sizeWithCells="1">
                  <from>
                    <xdr:col>0</xdr:col>
                    <xdr:colOff>0</xdr:colOff>
                    <xdr:row>0</xdr:row>
                    <xdr:rowOff>0</xdr:rowOff>
                  </from>
                  <to>
                    <xdr:col>1</xdr:col>
                    <xdr:colOff>723900</xdr:colOff>
                    <xdr:row>7</xdr:row>
                    <xdr:rowOff>0</xdr:rowOff>
                  </to>
                </anchor>
              </controlPr>
            </control>
          </mc:Choice>
        </mc:AlternateContent>
      </controls>
    </mc:Choice>
  </mc:AlternateContent>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RowHeight="15" x14ac:dyDescent="0.25"/>
  <cols>
    <col min="1" max="1" width="11.7109375" style="14" customWidth="1"/>
    <col min="2" max="2" width="11.28515625" style="14" customWidth="1"/>
    <col min="3" max="3" width="9.140625" style="14"/>
    <col min="4" max="4" width="38.42578125" style="14" bestFit="1" customWidth="1"/>
    <col min="5" max="5" width="12.28515625" style="79"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33" t="s">
        <v>223</v>
      </c>
      <c r="D1" s="233"/>
      <c r="E1" s="233"/>
      <c r="F1" s="233"/>
      <c r="G1" s="233"/>
      <c r="H1" s="233"/>
    </row>
    <row r="2" spans="1:14" ht="15.75" customHeight="1" x14ac:dyDescent="0.25">
      <c r="C2" s="233"/>
      <c r="D2" s="233"/>
      <c r="E2" s="233"/>
      <c r="F2" s="233"/>
      <c r="G2" s="233"/>
      <c r="H2" s="233"/>
    </row>
    <row r="3" spans="1:14" ht="15" customHeight="1" x14ac:dyDescent="0.25">
      <c r="C3" s="235" t="s">
        <v>225</v>
      </c>
      <c r="D3" s="235"/>
      <c r="E3" s="235"/>
      <c r="F3" s="238" t="s">
        <v>227</v>
      </c>
      <c r="G3" s="238"/>
      <c r="H3" s="238"/>
    </row>
    <row r="4" spans="1:14" x14ac:dyDescent="0.25">
      <c r="C4" s="236" t="s">
        <v>226</v>
      </c>
      <c r="D4" s="236"/>
      <c r="E4" s="236"/>
      <c r="F4" s="239" t="s">
        <v>228</v>
      </c>
      <c r="G4" s="239"/>
      <c r="H4" s="239"/>
    </row>
    <row r="5" spans="1:14" s="172" customFormat="1" ht="21" customHeight="1" x14ac:dyDescent="0.25">
      <c r="C5" s="237" t="s">
        <v>224</v>
      </c>
      <c r="D5" s="237"/>
      <c r="E5" s="237"/>
      <c r="F5" s="237"/>
      <c r="G5" s="237"/>
      <c r="H5" s="237"/>
    </row>
    <row r="6" spans="1:14" s="172" customFormat="1" ht="17.25" customHeight="1" x14ac:dyDescent="0.25">
      <c r="C6" s="182" t="s">
        <v>229</v>
      </c>
      <c r="D6" s="187" t="s">
        <v>300</v>
      </c>
      <c r="E6" s="177"/>
      <c r="F6" s="177"/>
      <c r="G6" s="234" t="str">
        <f ca="1">"Ngày "&amp;DAY(TODAY())&amp;" Tháng "&amp;MONTH(TODAY())&amp;" Năm "&amp;YEAR(TODAY())</f>
        <v>Ngày 14 Tháng 2 Năm 2022</v>
      </c>
      <c r="H6" s="234"/>
    </row>
    <row r="7" spans="1:14" s="176" customFormat="1" ht="24" customHeight="1" x14ac:dyDescent="0.25">
      <c r="A7" s="173" t="s">
        <v>118</v>
      </c>
      <c r="B7" s="173" t="s">
        <v>16</v>
      </c>
      <c r="C7" s="174" t="s">
        <v>0</v>
      </c>
      <c r="D7" s="174" t="s">
        <v>17</v>
      </c>
      <c r="E7" s="178" t="str">
        <f>"Quy cách"&amp;CHAR(10)&amp;"(Kg)"</f>
        <v>Quy cách
(Kg)</v>
      </c>
      <c r="F7" s="174" t="s">
        <v>16</v>
      </c>
      <c r="G7" s="174" t="s">
        <v>18</v>
      </c>
      <c r="H7" s="174" t="s">
        <v>19</v>
      </c>
      <c r="I7" s="175">
        <f>SUBTOTAL(9,I8:I37)</f>
        <v>6.5</v>
      </c>
      <c r="L7" s="172"/>
    </row>
    <row r="8" spans="1:14" s="44" customFormat="1" ht="14.25" customHeight="1" x14ac:dyDescent="0.25">
      <c r="A8" s="183">
        <v>5</v>
      </c>
      <c r="B8" s="183">
        <v>1</v>
      </c>
      <c r="C8" s="45">
        <f t="shared" ref="C8:C37" si="0">IF(OR(SUM($C7,$A8&lt;&gt;"")=0,$A8=""),"",SUM($C7,$A8&lt;&gt;""))</f>
        <v>1</v>
      </c>
      <c r="D8" s="179" t="str">
        <f>IFERROR(VLOOKUP($A8,Sheet1!$A$1:$B$98,2,0),"")</f>
        <v>Chả tôm hình Surimi LC</v>
      </c>
      <c r="E8" s="180">
        <f>IFERROR(VLOOKUP($A8,'Tổng Đơn'!$A$5:$E$79,5,0),"")</f>
        <v>0.5</v>
      </c>
      <c r="F8" s="45">
        <f t="shared" ref="F8:F37" si="1">IF($B8="","",B8)</f>
        <v>1</v>
      </c>
      <c r="G8" s="191">
        <f>IFERROR(VLOOKUP($A8,Sheet1!$A1:$D$98,4,0),"")</f>
        <v>38000</v>
      </c>
      <c r="H8" s="181">
        <f>IF($C7=MAX($C$8:$C$56),SUM($H7:$H$8),IFERROR($G8*$F8,""))</f>
        <v>38000</v>
      </c>
      <c r="I8" s="80">
        <f t="shared" ref="I8:I37" si="2">IF(TYPE($A8)&lt;&gt;1,"",IFERROR(F8*E8,""))</f>
        <v>0.5</v>
      </c>
      <c r="L8" s="47"/>
    </row>
    <row r="9" spans="1:14" s="44" customFormat="1" ht="14.25" customHeight="1" x14ac:dyDescent="0.25">
      <c r="A9" s="183">
        <v>6</v>
      </c>
      <c r="B9" s="183">
        <v>2</v>
      </c>
      <c r="C9" s="45">
        <f t="shared" si="0"/>
        <v>2</v>
      </c>
      <c r="D9" s="179" t="str">
        <f>IFERROR(VLOOKUP($A9,Sheet1!$A$1:$B$98,2,0),"")</f>
        <v>Mực tẩm bột LC</v>
      </c>
      <c r="E9" s="45">
        <f>IFERROR(VLOOKUP($A9,'Tổng Đơn'!$A$5:$E$79,5,0),"")</f>
        <v>0.5</v>
      </c>
      <c r="F9" s="45">
        <f t="shared" si="1"/>
        <v>2</v>
      </c>
      <c r="G9" s="191">
        <f>IF(AND($C9="",$C8&lt;&gt;""),"Tổng Cộng",IFERROR(VLOOKUP($A9,Sheet1!$A$1:$D$98,4,0),""))</f>
        <v>42000</v>
      </c>
      <c r="H9" s="181">
        <f>IF($C8=MAX($C$8:$C$56),SUM($H$8:$H8),IFERROR($G9*$F9,""))</f>
        <v>84000</v>
      </c>
      <c r="I9" s="80">
        <f t="shared" si="2"/>
        <v>1</v>
      </c>
      <c r="L9" s="46"/>
    </row>
    <row r="10" spans="1:14" s="44" customFormat="1" ht="14.25" customHeight="1" x14ac:dyDescent="0.25">
      <c r="A10" s="183">
        <v>16</v>
      </c>
      <c r="B10" s="183">
        <v>3</v>
      </c>
      <c r="C10" s="45">
        <f t="shared" si="0"/>
        <v>3</v>
      </c>
      <c r="D10" s="179" t="str">
        <f>IFERROR(VLOOKUP($A10,Sheet1!$A$1:$B$98,2,0),"")</f>
        <v>Phô mai que (13 que)</v>
      </c>
      <c r="E10" s="45">
        <f>IFERROR(VLOOKUP($A10,'Tổng Đơn'!$A$5:$E$79,5,0),"")</f>
        <v>0.5</v>
      </c>
      <c r="F10" s="45">
        <f t="shared" si="1"/>
        <v>3</v>
      </c>
      <c r="G10" s="191">
        <f>IF(AND($C10="",$C9&lt;&gt;""),"Tổng Cộng",IFERROR(VLOOKUP($A10,Sheet1!$A$1:$D$98,4,0),""))</f>
        <v>40000</v>
      </c>
      <c r="H10" s="181">
        <f>IF($C9=MAX($C$8:$C$56),SUM($H$8:$H9),IFERROR($G10*$F10,""))</f>
        <v>120000</v>
      </c>
      <c r="I10" s="80">
        <f t="shared" si="2"/>
        <v>1.5</v>
      </c>
      <c r="L10" s="46"/>
    </row>
    <row r="11" spans="1:14" s="44" customFormat="1" ht="14.25" customHeight="1" x14ac:dyDescent="0.25">
      <c r="A11" s="183">
        <v>20</v>
      </c>
      <c r="B11" s="183">
        <v>1</v>
      </c>
      <c r="C11" s="45">
        <f t="shared" si="0"/>
        <v>4</v>
      </c>
      <c r="D11" s="179" t="str">
        <f>IFERROR(VLOOKUP($A11,Sheet1!$A$1:$B$98,2,0),"")</f>
        <v>XX Đỏ ĐNA (bao xanh)</v>
      </c>
      <c r="E11" s="45">
        <f>IFERROR(VLOOKUP($A11,'Tổng Đơn'!$A$5:$E$79,5,0),"")</f>
        <v>0.5</v>
      </c>
      <c r="F11" s="45">
        <f t="shared" si="1"/>
        <v>1</v>
      </c>
      <c r="G11" s="191">
        <f>IF(AND($C11="",$C10&lt;&gt;""),"Tổng Cộng",IFERROR(VLOOKUP($A11,Sheet1!$A$1:$D$98,4,0),""))</f>
        <v>26000</v>
      </c>
      <c r="H11" s="181">
        <f>IF($C10=MAX($C$8:$C$56),SUM($H$8:$H10),IFERROR($G11*$F11,""))</f>
        <v>26000</v>
      </c>
      <c r="I11" s="80">
        <f t="shared" si="2"/>
        <v>0.5</v>
      </c>
      <c r="L11" s="46"/>
    </row>
    <row r="12" spans="1:14" s="44" customFormat="1" ht="14.25" customHeight="1" x14ac:dyDescent="0.25">
      <c r="A12" s="183">
        <v>49</v>
      </c>
      <c r="B12" s="183">
        <v>1</v>
      </c>
      <c r="C12" s="45">
        <f t="shared" si="0"/>
        <v>5</v>
      </c>
      <c r="D12" s="179" t="str">
        <f>IFERROR(VLOOKUP($A12,Sheet1!$A$1:$B$98,2,0),"")</f>
        <v>Bò lá lốt</v>
      </c>
      <c r="E12" s="45">
        <f>IFERROR(VLOOKUP($A12,'Tổng Đơn'!$A$5:$E$79,5,0),"")</f>
        <v>0.5</v>
      </c>
      <c r="F12" s="45">
        <f t="shared" si="1"/>
        <v>1</v>
      </c>
      <c r="G12" s="191">
        <f>IF(AND($C12="",$C11&lt;&gt;""),"Tổng Cộng",IFERROR(VLOOKUP($A12,Sheet1!$A$1:$D$98,4,0),""))</f>
        <v>42000</v>
      </c>
      <c r="H12" s="181">
        <f>IF($C11=MAX($C$8:$C$56),SUM($H$8:$H11),IFERROR($G12*$F12,""))</f>
        <v>42000</v>
      </c>
      <c r="I12" s="80">
        <f t="shared" si="2"/>
        <v>0.5</v>
      </c>
      <c r="J12" s="153"/>
      <c r="L12" s="46"/>
      <c r="M12" s="161"/>
      <c r="N12" s="154"/>
    </row>
    <row r="13" spans="1:14" s="44" customFormat="1" ht="14.25" customHeight="1" x14ac:dyDescent="0.25">
      <c r="A13" s="183">
        <v>56</v>
      </c>
      <c r="B13" s="183">
        <v>1</v>
      </c>
      <c r="C13" s="45">
        <f t="shared" si="0"/>
        <v>6</v>
      </c>
      <c r="D13" s="179" t="str">
        <f>IFERROR(VLOOKUP($A13,Sheet1!$A$1:$B$98,2,0),"")</f>
        <v>Hồ lô ĐNA</v>
      </c>
      <c r="E13" s="45">
        <f>IFERROR(VLOOKUP($A13,'Tổng Đơn'!$A$5:$E$79,5,0),"")</f>
        <v>0.5</v>
      </c>
      <c r="F13" s="45">
        <f t="shared" si="1"/>
        <v>1</v>
      </c>
      <c r="G13" s="191">
        <f>IF(AND($C13="",$C12&lt;&gt;""),"Tổng Cộng",IFERROR(VLOOKUP($A13,Sheet1!$A$1:$D$98,4,0),""))</f>
        <v>42000</v>
      </c>
      <c r="H13" s="181">
        <f>IF($C12=MAX($C$8:$C$56),SUM($H$8:$H12),IFERROR($G13*$F13,""))</f>
        <v>42000</v>
      </c>
      <c r="I13" s="80">
        <f t="shared" si="2"/>
        <v>0.5</v>
      </c>
      <c r="L13" s="46"/>
    </row>
    <row r="14" spans="1:14" s="44" customFormat="1" ht="14.25" customHeight="1" x14ac:dyDescent="0.25">
      <c r="A14" s="183">
        <v>65</v>
      </c>
      <c r="B14" s="183">
        <v>2</v>
      </c>
      <c r="C14" s="45">
        <f t="shared" si="0"/>
        <v>7</v>
      </c>
      <c r="D14" s="179" t="str">
        <f>IFERROR(VLOOKUP($A14,Sheet1!$A$1:$B$98,2,0),"")</f>
        <v>Cá viên KK</v>
      </c>
      <c r="E14" s="45">
        <f>IFERROR(VLOOKUP($A14,'Tổng Đơn'!$A$5:$E$79,5,0),"")</f>
        <v>0.5</v>
      </c>
      <c r="F14" s="45">
        <f t="shared" si="1"/>
        <v>2</v>
      </c>
      <c r="G14" s="191">
        <f>IF(AND($C14="",$C13&lt;&gt;""),"Tổng Cộng",IFERROR(VLOOKUP($A14,Sheet1!$A$1:$D$98,4,0),""))</f>
        <v>23000</v>
      </c>
      <c r="H14" s="181">
        <f>IF($C13=MAX($C$8:$C$56),SUM($H$8:$H13),IFERROR($G14*$F14,""))</f>
        <v>46000</v>
      </c>
      <c r="I14" s="80">
        <f t="shared" si="2"/>
        <v>1</v>
      </c>
      <c r="L14" s="46"/>
      <c r="M14" s="162"/>
    </row>
    <row r="15" spans="1:14" s="44" customFormat="1" ht="14.25" customHeight="1" x14ac:dyDescent="0.25">
      <c r="A15" s="183">
        <v>70</v>
      </c>
      <c r="B15" s="183">
        <v>2</v>
      </c>
      <c r="C15" s="45">
        <f t="shared" si="0"/>
        <v>8</v>
      </c>
      <c r="D15" s="179" t="str">
        <f>IFERROR(VLOOKUP($A15,Sheet1!$A$1:$B$98,2,0),"")</f>
        <v>XX Đức KK</v>
      </c>
      <c r="E15" s="45">
        <f>IFERROR(VLOOKUP($A15,'Tổng Đơn'!$A$5:$E$79,5,0),"")</f>
        <v>0.5</v>
      </c>
      <c r="F15" s="45">
        <f t="shared" si="1"/>
        <v>2</v>
      </c>
      <c r="G15" s="191">
        <f>IF(AND($C15="",$C14&lt;&gt;""),"Tổng Cộng",IFERROR(VLOOKUP($A15,Sheet1!$A$1:$D$98,4,0),""))</f>
        <v>35000</v>
      </c>
      <c r="H15" s="181">
        <f>IF($C14=MAX($C$8:$C$56),SUM($H$8:$H14),IFERROR($G15*$F15,""))</f>
        <v>70000</v>
      </c>
      <c r="I15" s="80">
        <f t="shared" si="2"/>
        <v>1</v>
      </c>
      <c r="L15" s="46"/>
    </row>
    <row r="16" spans="1:14" s="44" customFormat="1" ht="14.25" customHeight="1" x14ac:dyDescent="0.25">
      <c r="A16" s="183" t="s">
        <v>298</v>
      </c>
      <c r="B16" s="183"/>
      <c r="C16" s="45" t="str">
        <f t="shared" si="0"/>
        <v/>
      </c>
      <c r="D16" s="179" t="str">
        <f>IFERROR(VLOOKUP($A16,Sheet1!$A$1:$B$98,2,0),"")</f>
        <v/>
      </c>
      <c r="E16" s="45" t="str">
        <f>IFERROR(VLOOKUP($A16,'Tổng Đơn'!$A$5:$E$79,5,0),"")</f>
        <v/>
      </c>
      <c r="F16" s="45" t="str">
        <f t="shared" si="1"/>
        <v/>
      </c>
      <c r="G16" s="191" t="str">
        <f>IF(AND($C16="",$C15&lt;&gt;""),"Tổng Cộng",IFERROR(VLOOKUP($A16,Sheet1!$A$1:$D$98,4,0),""))</f>
        <v>Tổng Cộng</v>
      </c>
      <c r="H16" s="181">
        <f>IF($C15=MAX($C$8:$C$56),SUM($H$8:$H15),IFERROR($G16*$F16,""))</f>
        <v>468000</v>
      </c>
      <c r="I16" s="80" t="str">
        <f t="shared" si="2"/>
        <v/>
      </c>
      <c r="L16" s="46"/>
    </row>
    <row r="17" spans="1:12" s="44" customFormat="1" ht="14.25" customHeight="1" x14ac:dyDescent="0.25">
      <c r="A17" s="183" t="s">
        <v>298</v>
      </c>
      <c r="B17" s="183"/>
      <c r="C17" s="45" t="str">
        <f t="shared" si="0"/>
        <v/>
      </c>
      <c r="D17" s="190" t="str">
        <f>IFERROR(VLOOKUP($A17,Sheet1!$A$1:$B$98,2,0),"")</f>
        <v/>
      </c>
      <c r="E17" s="45" t="str">
        <f>IFERROR(VLOOKUP($A17,'Tổng Đơn'!$A$5:$E$79,5,0),"")</f>
        <v/>
      </c>
      <c r="F17" s="45" t="str">
        <f t="shared" si="1"/>
        <v/>
      </c>
      <c r="G17" s="191" t="str">
        <f>IF(AND($C17="",$C16&lt;&gt;""),"Tổng Cộng",IFERROR(VLOOKUP($A17,Sheet1!$A$1:$D$98,4,0),""))</f>
        <v/>
      </c>
      <c r="H17" s="181" t="str">
        <f>IF($C16=MAX($C$8:$C$56),SUM($H$8:$H16),IFERROR($G17*$F17,""))</f>
        <v/>
      </c>
      <c r="I17" s="80" t="str">
        <f t="shared" si="2"/>
        <v/>
      </c>
      <c r="L17" s="46"/>
    </row>
    <row r="18" spans="1:12" s="44" customFormat="1" ht="14.25" customHeight="1" x14ac:dyDescent="0.25">
      <c r="A18" s="183" t="s">
        <v>298</v>
      </c>
      <c r="B18" s="183"/>
      <c r="C18" s="45" t="str">
        <f t="shared" si="0"/>
        <v/>
      </c>
      <c r="D18" s="190" t="str">
        <f>IFERROR(VLOOKUP($A18,Sheet1!$A$1:$B$98,2,0),"")</f>
        <v/>
      </c>
      <c r="E18" s="45" t="str">
        <f>IFERROR(VLOOKUP($A18,'Tổng Đơn'!$A$5:$E$79,5,0),"")</f>
        <v/>
      </c>
      <c r="F18" s="45" t="str">
        <f t="shared" si="1"/>
        <v/>
      </c>
      <c r="G18" s="191" t="str">
        <f>IF(AND($C18="",$C17&lt;&gt;""),"Tổng Cộng",IFERROR(VLOOKUP($A18,Sheet1!$A$1:$D$98,4,0),""))</f>
        <v/>
      </c>
      <c r="H18" s="181" t="str">
        <f>IF($C17=MAX($C$8:$C$56),SUM($H$8:$H17),IFERROR($G18*$F18,""))</f>
        <v/>
      </c>
      <c r="I18" s="80" t="str">
        <f t="shared" si="2"/>
        <v/>
      </c>
      <c r="L18" s="46"/>
    </row>
    <row r="19" spans="1:12" s="44" customFormat="1" ht="14.25" customHeight="1" x14ac:dyDescent="0.25">
      <c r="A19" s="183" t="s">
        <v>298</v>
      </c>
      <c r="B19" s="183"/>
      <c r="C19" s="45" t="str">
        <f t="shared" si="0"/>
        <v/>
      </c>
      <c r="D19" s="190" t="str">
        <f>IFERROR(VLOOKUP($A19,Sheet1!$A$1:$B$98,2,0),"")</f>
        <v/>
      </c>
      <c r="E19" s="45" t="str">
        <f>IFERROR(VLOOKUP($A19,'Tổng Đơn'!$A$5:$E$79,5,0),"")</f>
        <v/>
      </c>
      <c r="F19" s="45" t="str">
        <f t="shared" si="1"/>
        <v/>
      </c>
      <c r="G19" s="191" t="str">
        <f>IF(AND($C19="",$C18&lt;&gt;""),"Tổng Cộng",IFERROR(VLOOKUP($A19,Sheet1!$A$1:$D$98,4,0),""))</f>
        <v/>
      </c>
      <c r="H19" s="181" t="str">
        <f>IF($C18=MAX($C$8:$C$56),SUM($H$8:$H18),IFERROR($G19*$F19,""))</f>
        <v/>
      </c>
      <c r="I19" s="80" t="str">
        <f t="shared" si="2"/>
        <v/>
      </c>
      <c r="L19" s="46"/>
    </row>
    <row r="20" spans="1:12" s="44" customFormat="1" ht="14.25" customHeight="1" x14ac:dyDescent="0.25">
      <c r="A20" s="183" t="s">
        <v>298</v>
      </c>
      <c r="B20" s="183"/>
      <c r="C20" s="45" t="str">
        <f t="shared" si="0"/>
        <v/>
      </c>
      <c r="D20" s="190" t="str">
        <f>IFERROR(VLOOKUP($A20,Sheet1!$A$1:$B$98,2,0),"")</f>
        <v/>
      </c>
      <c r="E20" s="45" t="str">
        <f>IFERROR(VLOOKUP($A20,'Tổng Đơn'!$A$5:$E$79,5,0),"")</f>
        <v/>
      </c>
      <c r="F20" s="45" t="str">
        <f t="shared" si="1"/>
        <v/>
      </c>
      <c r="G20" s="191" t="str">
        <f>IF(AND($C20="",$C19&lt;&gt;""),"Tổng Cộng",IFERROR(VLOOKUP($A20,Sheet1!$A$1:$D$98,4,0),""))</f>
        <v/>
      </c>
      <c r="H20" s="181" t="str">
        <f>IF($C19=MAX($C$8:$C$56),SUM($H$8:$H19),IFERROR($G20*$F20,""))</f>
        <v/>
      </c>
      <c r="I20" s="80" t="str">
        <f t="shared" si="2"/>
        <v/>
      </c>
      <c r="L20" s="46"/>
    </row>
    <row r="21" spans="1:12" s="44" customFormat="1" ht="14.25" customHeight="1" x14ac:dyDescent="0.25">
      <c r="A21" s="183" t="s">
        <v>298</v>
      </c>
      <c r="B21" s="183"/>
      <c r="C21" s="45" t="str">
        <f t="shared" si="0"/>
        <v/>
      </c>
      <c r="D21" s="190" t="str">
        <f>IFERROR(VLOOKUP($A21,Sheet1!$A$1:$B$98,2,0),"")</f>
        <v/>
      </c>
      <c r="E21" s="45" t="str">
        <f>IFERROR(VLOOKUP($A21,'Tổng Đơn'!$A$5:$E$79,5,0),"")</f>
        <v/>
      </c>
      <c r="F21" s="45" t="str">
        <f t="shared" si="1"/>
        <v/>
      </c>
      <c r="G21" s="191" t="str">
        <f>IF(AND($C21="",$C20&lt;&gt;""),"Tổng Cộng",IFERROR(VLOOKUP($A21,Sheet1!$A$1:$D$98,4,0),""))</f>
        <v/>
      </c>
      <c r="H21" s="181" t="str">
        <f>IF($C20=MAX($C$8:$C$56),SUM($H$8:$H20),IFERROR($G21*$F21,""))</f>
        <v/>
      </c>
      <c r="I21" s="80" t="str">
        <f t="shared" si="2"/>
        <v/>
      </c>
      <c r="L21" s="46"/>
    </row>
    <row r="22" spans="1:12" s="44" customFormat="1" ht="14.25" customHeight="1" x14ac:dyDescent="0.25">
      <c r="A22" s="183" t="s">
        <v>298</v>
      </c>
      <c r="B22" s="183"/>
      <c r="C22" s="45" t="str">
        <f t="shared" si="0"/>
        <v/>
      </c>
      <c r="D22" s="179" t="str">
        <f>IFERROR(VLOOKUP($A22,Sheet1!$A$1:$B$98,2,0),"")</f>
        <v/>
      </c>
      <c r="E22" s="45" t="str">
        <f>IFERROR(VLOOKUP($A22,'Tổng Đơn'!$A$5:$E$79,5,0),"")</f>
        <v/>
      </c>
      <c r="F22" s="45" t="str">
        <f t="shared" si="1"/>
        <v/>
      </c>
      <c r="G22" s="191" t="str">
        <f>IF(AND($C22="",$C21&lt;&gt;""),"Tổng Cộng",IFERROR(VLOOKUP($A22,Sheet1!$A$1:$D$98,4,0),""))</f>
        <v/>
      </c>
      <c r="H22" s="181" t="str">
        <f>IF($C21=MAX($C$8:$C$56),SUM($H$8:$H21),IFERROR($G22*$F22,""))</f>
        <v/>
      </c>
      <c r="I22" s="80" t="str">
        <f t="shared" si="2"/>
        <v/>
      </c>
      <c r="L22" s="46"/>
    </row>
    <row r="23" spans="1:12" s="44" customFormat="1" ht="14.25" customHeight="1" x14ac:dyDescent="0.25">
      <c r="A23" s="183" t="s">
        <v>298</v>
      </c>
      <c r="B23" s="183"/>
      <c r="C23" s="45" t="str">
        <f t="shared" si="0"/>
        <v/>
      </c>
      <c r="D23" s="179" t="str">
        <f>IFERROR(VLOOKUP($A23,Sheet1!$A$1:$B$98,2,0),"")</f>
        <v/>
      </c>
      <c r="E23" s="45" t="str">
        <f>IFERROR(VLOOKUP($A23,'Tổng Đơn'!$A$5:$E$79,5,0),"")</f>
        <v/>
      </c>
      <c r="F23" s="45" t="str">
        <f t="shared" si="1"/>
        <v/>
      </c>
      <c r="G23" s="191" t="str">
        <f>IF(AND($C23="",$C22&lt;&gt;""),"Tổng Cộng",IFERROR(VLOOKUP($A23,Sheet1!$A$1:$D$98,4,0),""))</f>
        <v/>
      </c>
      <c r="H23" s="181" t="str">
        <f>IF($C22=MAX($C$8:$C$56),SUM($H$8:$H22),IFERROR($G23*$F23,""))</f>
        <v/>
      </c>
      <c r="I23" s="80" t="str">
        <f t="shared" si="2"/>
        <v/>
      </c>
      <c r="L23" s="46"/>
    </row>
    <row r="24" spans="1:12" s="44" customFormat="1" ht="14.25" customHeight="1" x14ac:dyDescent="0.25">
      <c r="A24" s="183" t="s">
        <v>298</v>
      </c>
      <c r="B24" s="183"/>
      <c r="C24" s="45" t="str">
        <f t="shared" si="0"/>
        <v/>
      </c>
      <c r="D24" s="179" t="str">
        <f>IFERROR(VLOOKUP($A24,Sheet1!$A$1:$B$98,2,0),"")</f>
        <v/>
      </c>
      <c r="E24" s="45" t="str">
        <f>IFERROR(VLOOKUP($A24,'Tổng Đơn'!$A$5:$E$79,5,0),"")</f>
        <v/>
      </c>
      <c r="F24" s="45" t="str">
        <f t="shared" si="1"/>
        <v/>
      </c>
      <c r="G24" s="191" t="str">
        <f>IF(AND($C24="",$C23&lt;&gt;""),"Tổng Cộng",IFERROR(VLOOKUP($A24,Sheet1!$A$1:$D$98,4,0),""))</f>
        <v/>
      </c>
      <c r="H24" s="181" t="str">
        <f>IF($C23=MAX($C$8:$C$56),SUM($H$8:$H23),IFERROR($G24*$F24,""))</f>
        <v/>
      </c>
      <c r="I24" s="80" t="str">
        <f t="shared" si="2"/>
        <v/>
      </c>
      <c r="L24" s="46"/>
    </row>
    <row r="25" spans="1:12" s="44" customFormat="1" ht="14.25" customHeight="1" x14ac:dyDescent="0.25">
      <c r="A25" s="183" t="s">
        <v>298</v>
      </c>
      <c r="B25" s="183"/>
      <c r="C25" s="45" t="str">
        <f t="shared" si="0"/>
        <v/>
      </c>
      <c r="D25" s="179" t="str">
        <f>IFERROR(VLOOKUP($A25,Sheet1!$A$1:$B$98,2,0),"")</f>
        <v/>
      </c>
      <c r="E25" s="45" t="str">
        <f>IFERROR(VLOOKUP($A25,'Tổng Đơn'!$A$5:$E$79,5,0),"")</f>
        <v/>
      </c>
      <c r="F25" s="45" t="str">
        <f t="shared" si="1"/>
        <v/>
      </c>
      <c r="G25" s="191" t="str">
        <f>IF(AND($C25="",$C24&lt;&gt;""),"Tổng Cộng",IFERROR(VLOOKUP($A25,Sheet1!$A$1:$D$98,4,0),""))</f>
        <v/>
      </c>
      <c r="H25" s="181" t="str">
        <f>IF($C24=MAX($C$8:$C$56),SUM($H$8:$H24),IFERROR($G25*$F25,""))</f>
        <v/>
      </c>
      <c r="I25" s="80" t="str">
        <f t="shared" si="2"/>
        <v/>
      </c>
      <c r="L25" s="46"/>
    </row>
    <row r="26" spans="1:12" s="44" customFormat="1" ht="14.25" customHeight="1" x14ac:dyDescent="0.25">
      <c r="A26" s="183" t="s">
        <v>298</v>
      </c>
      <c r="B26" s="183"/>
      <c r="C26" s="45" t="str">
        <f t="shared" si="0"/>
        <v/>
      </c>
      <c r="D26" s="179" t="str">
        <f>IFERROR(VLOOKUP($A26,Sheet1!$A$1:$B$98,2,0),"")</f>
        <v/>
      </c>
      <c r="E26" s="45" t="str">
        <f>IFERROR(VLOOKUP($A26,'Tổng Đơn'!$A$5:$E$79,5,0),"")</f>
        <v/>
      </c>
      <c r="F26" s="45" t="str">
        <f t="shared" si="1"/>
        <v/>
      </c>
      <c r="G26" s="191" t="str">
        <f>IF(AND($C26="",$C25&lt;&gt;""),"Tổng Cộng",IFERROR(VLOOKUP($A26,Sheet1!$A$1:$D$98,4,0),""))</f>
        <v/>
      </c>
      <c r="H26" s="181" t="str">
        <f>IF($C25=MAX($C$8:$C$56),SUM($H$8:$H25),IFERROR($G26*$F26,""))</f>
        <v/>
      </c>
      <c r="I26" s="80" t="str">
        <f t="shared" si="2"/>
        <v/>
      </c>
      <c r="L26" s="46"/>
    </row>
    <row r="27" spans="1:12" s="44" customFormat="1" ht="14.25" customHeight="1" x14ac:dyDescent="0.25">
      <c r="A27" s="183" t="s">
        <v>298</v>
      </c>
      <c r="B27" s="183"/>
      <c r="C27" s="45" t="str">
        <f t="shared" si="0"/>
        <v/>
      </c>
      <c r="D27" s="179" t="str">
        <f>IFERROR(VLOOKUP($A27,Sheet1!$A$1:$B$98,2,0),"")</f>
        <v/>
      </c>
      <c r="E27" s="45" t="str">
        <f>IFERROR(VLOOKUP($A27,'Tổng Đơn'!$A$5:$E$79,5,0),"")</f>
        <v/>
      </c>
      <c r="F27" s="45" t="str">
        <f t="shared" si="1"/>
        <v/>
      </c>
      <c r="G27" s="191" t="str">
        <f>IF(AND($C27="",$C26&lt;&gt;""),"Tổng Cộng",IFERROR(VLOOKUP($A27,Sheet1!$A$1:$D$98,4,0),""))</f>
        <v/>
      </c>
      <c r="H27" s="181" t="str">
        <f>IF($C26=MAX($C$8:$C$56),SUM($H$8:$H26),IFERROR($G27*$F27,""))</f>
        <v/>
      </c>
      <c r="I27" s="80" t="str">
        <f t="shared" si="2"/>
        <v/>
      </c>
      <c r="L27" s="46"/>
    </row>
    <row r="28" spans="1:12" s="44" customFormat="1" ht="14.25" customHeight="1" x14ac:dyDescent="0.25">
      <c r="A28" s="183" t="s">
        <v>298</v>
      </c>
      <c r="B28" s="183"/>
      <c r="C28" s="45" t="str">
        <f t="shared" si="0"/>
        <v/>
      </c>
      <c r="D28" s="179" t="str">
        <f>IFERROR(VLOOKUP($A28,Sheet1!$A$1:$B$98,2,0),"")</f>
        <v/>
      </c>
      <c r="E28" s="45" t="str">
        <f>IFERROR(VLOOKUP($A28,'Tổng Đơn'!$A$5:$E$79,5,0),"")</f>
        <v/>
      </c>
      <c r="F28" s="45" t="str">
        <f t="shared" si="1"/>
        <v/>
      </c>
      <c r="G28" s="191" t="str">
        <f>IF(AND($C28="",$C27&lt;&gt;""),"Tổng Cộng",IFERROR(VLOOKUP($A28,Sheet1!$A$1:$D$98,4,0),""))</f>
        <v/>
      </c>
      <c r="H28" s="181" t="str">
        <f>IF($C27=MAX($C$8:$C$56),SUM($H$8:$H27),IFERROR($G28*$F28,""))</f>
        <v/>
      </c>
      <c r="I28" s="80" t="str">
        <f t="shared" si="2"/>
        <v/>
      </c>
      <c r="L28" s="46"/>
    </row>
    <row r="29" spans="1:12" s="44" customFormat="1" ht="14.25" customHeight="1" x14ac:dyDescent="0.25">
      <c r="A29" s="183" t="s">
        <v>298</v>
      </c>
      <c r="B29" s="183"/>
      <c r="C29" s="45" t="str">
        <f t="shared" si="0"/>
        <v/>
      </c>
      <c r="D29" s="179" t="str">
        <f>IFERROR(VLOOKUP($A29,Sheet1!$A$1:$B$98,2,0),"")</f>
        <v/>
      </c>
      <c r="E29" s="45" t="str">
        <f>IFERROR(VLOOKUP($A29,'Tổng Đơn'!$A$5:$E$79,5,0),"")</f>
        <v/>
      </c>
      <c r="F29" s="45" t="str">
        <f t="shared" si="1"/>
        <v/>
      </c>
      <c r="G29" s="191" t="str">
        <f>IF(AND($C29="",$C28&lt;&gt;""),"Tổng Cộng",IFERROR(VLOOKUP($A29,Sheet1!$A$1:$D$98,4,0),""))</f>
        <v/>
      </c>
      <c r="H29" s="181" t="str">
        <f>IF($C28=MAX($C$8:$C$56),SUM($H$8:$H28),IFERROR($G29*$F29,""))</f>
        <v/>
      </c>
      <c r="I29" s="80" t="str">
        <f t="shared" si="2"/>
        <v/>
      </c>
      <c r="L29" s="46"/>
    </row>
    <row r="30" spans="1:12" s="44" customFormat="1" ht="14.25" customHeight="1" x14ac:dyDescent="0.25">
      <c r="A30" s="183" t="s">
        <v>298</v>
      </c>
      <c r="B30" s="183"/>
      <c r="C30" s="45" t="str">
        <f t="shared" si="0"/>
        <v/>
      </c>
      <c r="D30" s="179" t="str">
        <f>IFERROR(VLOOKUP($A30,Sheet1!$A$1:$B$98,2,0),"")</f>
        <v/>
      </c>
      <c r="E30" s="45" t="str">
        <f>IFERROR(VLOOKUP($A30,'Tổng Đơn'!$A$5:$E$79,5,0),"")</f>
        <v/>
      </c>
      <c r="F30" s="45" t="str">
        <f t="shared" si="1"/>
        <v/>
      </c>
      <c r="G30" s="191" t="str">
        <f>IF(AND($C30="",$C29&lt;&gt;""),"Tổng Cộng",IFERROR(VLOOKUP($A30,Sheet1!$A$1:$D$98,4,0),""))</f>
        <v/>
      </c>
      <c r="H30" s="181" t="str">
        <f>IF($C29=MAX($C$8:$C$56),SUM($H$8:$H29),IFERROR($G30*$F30,""))</f>
        <v/>
      </c>
      <c r="I30" s="80" t="str">
        <f t="shared" si="2"/>
        <v/>
      </c>
      <c r="L30" s="46"/>
    </row>
    <row r="31" spans="1:12" s="44" customFormat="1" ht="14.25" customHeight="1" x14ac:dyDescent="0.25">
      <c r="A31" s="183" t="s">
        <v>298</v>
      </c>
      <c r="B31" s="183"/>
      <c r="C31" s="45" t="str">
        <f t="shared" si="0"/>
        <v/>
      </c>
      <c r="D31" s="179" t="str">
        <f>IFERROR(VLOOKUP($A31,Sheet1!$A$1:$B$98,2,0),"")</f>
        <v/>
      </c>
      <c r="E31" s="45" t="str">
        <f>IFERROR(VLOOKUP($A31,'Tổng Đơn'!$A$5:$E$79,5,0),"")</f>
        <v/>
      </c>
      <c r="F31" s="45" t="str">
        <f t="shared" si="1"/>
        <v/>
      </c>
      <c r="G31" s="191" t="str">
        <f>IF(AND($C31="",$C30&lt;&gt;""),"Tổng Cộng",IFERROR(VLOOKUP($A31,Sheet1!$A$1:$D$98,4,0),""))</f>
        <v/>
      </c>
      <c r="H31" s="181" t="str">
        <f>IF($C30=MAX($C$8:$C$56),SUM($H$8:$H30),IFERROR($G31*$F31,""))</f>
        <v/>
      </c>
      <c r="I31" s="80" t="str">
        <f t="shared" si="2"/>
        <v/>
      </c>
      <c r="L31" s="46"/>
    </row>
    <row r="32" spans="1:12" s="44" customFormat="1" ht="14.25" customHeight="1" x14ac:dyDescent="0.25">
      <c r="A32" s="183" t="s">
        <v>298</v>
      </c>
      <c r="B32" s="183"/>
      <c r="C32" s="45" t="str">
        <f t="shared" si="0"/>
        <v/>
      </c>
      <c r="D32" s="179" t="str">
        <f>IFERROR(VLOOKUP($A32,Sheet1!$A$1:$B$98,2,0),"")</f>
        <v/>
      </c>
      <c r="E32" s="45" t="str">
        <f>IFERROR(VLOOKUP($A32,'Tổng Đơn'!$A$5:$E$79,5,0),"")</f>
        <v/>
      </c>
      <c r="F32" s="45" t="str">
        <f t="shared" si="1"/>
        <v/>
      </c>
      <c r="G32" s="191" t="str">
        <f>IF(AND($C32="",$C31&lt;&gt;""),"Tổng Cộng",IFERROR(VLOOKUP($A32,Sheet1!$A$1:$D$98,4,0),""))</f>
        <v/>
      </c>
      <c r="H32" s="181" t="str">
        <f>IF($C31=MAX($C$8:$C$56),SUM($H$8:$H31),IFERROR($G32*$F32,""))</f>
        <v/>
      </c>
      <c r="I32" s="80" t="str">
        <f t="shared" si="2"/>
        <v/>
      </c>
      <c r="L32" s="46"/>
    </row>
    <row r="33" spans="1:12" s="44" customFormat="1" ht="14.25" customHeight="1" x14ac:dyDescent="0.25">
      <c r="A33" s="183" t="s">
        <v>298</v>
      </c>
      <c r="B33" s="183"/>
      <c r="C33" s="45" t="str">
        <f t="shared" si="0"/>
        <v/>
      </c>
      <c r="D33" s="179" t="str">
        <f>IFERROR(VLOOKUP($A33,Sheet1!$A$1:$B$98,2,0),"")</f>
        <v/>
      </c>
      <c r="E33" s="45" t="str">
        <f>IFERROR(VLOOKUP($A33,'Tổng Đơn'!$A$5:$E$79,5,0),"")</f>
        <v/>
      </c>
      <c r="F33" s="45" t="str">
        <f t="shared" si="1"/>
        <v/>
      </c>
      <c r="G33" s="191" t="str">
        <f>IF(AND($C33="",$C32&lt;&gt;""),"Tổng Cộng",IFERROR(VLOOKUP($A33,Sheet1!$A$1:$D$98,4,0),""))</f>
        <v/>
      </c>
      <c r="H33" s="181" t="str">
        <f>IF($C32=MAX($C$8:$C$56),SUM($H$8:$H32),IFERROR($G33*$F33,""))</f>
        <v/>
      </c>
      <c r="I33" s="80" t="str">
        <f t="shared" si="2"/>
        <v/>
      </c>
      <c r="L33" s="46"/>
    </row>
    <row r="34" spans="1:12" s="44" customFormat="1" ht="14.25" customHeight="1" x14ac:dyDescent="0.25">
      <c r="A34" s="183" t="s">
        <v>298</v>
      </c>
      <c r="B34" s="183"/>
      <c r="C34" s="45" t="str">
        <f t="shared" si="0"/>
        <v/>
      </c>
      <c r="D34" s="179" t="str">
        <f>IFERROR(VLOOKUP($A34,Sheet1!$A$1:$B$98,2,0),"")</f>
        <v/>
      </c>
      <c r="E34" s="45" t="str">
        <f>IFERROR(VLOOKUP($A34,'Tổng Đơn'!$A$5:$E$79,5,0),"")</f>
        <v/>
      </c>
      <c r="F34" s="45" t="str">
        <f t="shared" si="1"/>
        <v/>
      </c>
      <c r="G34" s="191" t="str">
        <f>IF(AND($C34="",$C33&lt;&gt;""),"Tổng Cộng",IFERROR(VLOOKUP($A34,Sheet1!$A$1:$D$98,4,0),""))</f>
        <v/>
      </c>
      <c r="H34" s="181" t="str">
        <f>IF($C33=MAX($C$8:$C$56),SUM($H$8:$H33),IFERROR($G34*$F34,""))</f>
        <v/>
      </c>
      <c r="I34" s="80" t="str">
        <f t="shared" si="2"/>
        <v/>
      </c>
      <c r="L34" s="46"/>
    </row>
    <row r="35" spans="1:12" s="44" customFormat="1" ht="14.25" customHeight="1" x14ac:dyDescent="0.25">
      <c r="A35" s="183" t="s">
        <v>298</v>
      </c>
      <c r="B35" s="183"/>
      <c r="C35" s="45" t="str">
        <f t="shared" si="0"/>
        <v/>
      </c>
      <c r="D35" s="179" t="str">
        <f>IFERROR(VLOOKUP($A35,Sheet1!$A$1:$B$98,2,0),"")</f>
        <v/>
      </c>
      <c r="E35" s="45" t="str">
        <f>IFERROR(VLOOKUP($A35,'Tổng Đơn'!$A$5:$E$79,5,0),"")</f>
        <v/>
      </c>
      <c r="F35" s="45" t="str">
        <f t="shared" si="1"/>
        <v/>
      </c>
      <c r="G35" s="191" t="str">
        <f>IF(AND($C35="",$C34&lt;&gt;""),"Tổng Cộng",IFERROR(VLOOKUP($A35,Sheet1!$A$1:$D$98,4,0),""))</f>
        <v/>
      </c>
      <c r="H35" s="181" t="str">
        <f>IF($C34=MAX($C$8:$C$56),SUM($H$8:$H34),IFERROR($G35*$F35,""))</f>
        <v/>
      </c>
      <c r="I35" s="80" t="str">
        <f t="shared" si="2"/>
        <v/>
      </c>
      <c r="L35" s="46"/>
    </row>
    <row r="36" spans="1:12" s="44" customFormat="1" ht="14.25" customHeight="1" x14ac:dyDescent="0.25">
      <c r="A36" s="183" t="s">
        <v>298</v>
      </c>
      <c r="B36" s="183"/>
      <c r="C36" s="45" t="str">
        <f t="shared" si="0"/>
        <v/>
      </c>
      <c r="D36" s="179" t="str">
        <f>IFERROR(VLOOKUP($A36,Sheet1!$A$1:$B$98,2,0),"")</f>
        <v/>
      </c>
      <c r="E36" s="45" t="str">
        <f>IFERROR(VLOOKUP($A36,'Tổng Đơn'!$A$5:$E$79,5,0),"")</f>
        <v/>
      </c>
      <c r="F36" s="45" t="str">
        <f t="shared" si="1"/>
        <v/>
      </c>
      <c r="G36" s="191" t="str">
        <f>IF(AND($C36="",$C35&lt;&gt;""),"Tổng Cộng",IFERROR(VLOOKUP($A36,Sheet1!$A$1:$D$98,4,0),""))</f>
        <v/>
      </c>
      <c r="H36" s="181" t="str">
        <f>IF($C35=MAX($C$8:$C$56),SUM($H$8:$H35),IFERROR($G36*$F36,""))</f>
        <v/>
      </c>
      <c r="I36" s="80" t="str">
        <f t="shared" si="2"/>
        <v/>
      </c>
      <c r="L36" s="46"/>
    </row>
    <row r="37" spans="1:12" s="44" customFormat="1" ht="14.25" customHeight="1" x14ac:dyDescent="0.25">
      <c r="A37" s="183" t="s">
        <v>298</v>
      </c>
      <c r="B37" s="183"/>
      <c r="C37" s="45" t="str">
        <f t="shared" si="0"/>
        <v/>
      </c>
      <c r="D37" s="179" t="str">
        <f>IFERROR(VLOOKUP($A37,Sheet1!$A$1:$B$98,2,0),"")</f>
        <v/>
      </c>
      <c r="E37" s="45" t="str">
        <f>IFERROR(VLOOKUP($A37,'Tổng Đơn'!$A$5:$E$79,5,0),"")</f>
        <v/>
      </c>
      <c r="F37" s="45" t="str">
        <f t="shared" si="1"/>
        <v/>
      </c>
      <c r="G37" s="191" t="str">
        <f>IF(AND($C37="",$C36&lt;&gt;""),"Tổng Cộng",IFERROR(VLOOKUP($A37,Sheet1!$A$1:$D$98,4,0),""))</f>
        <v/>
      </c>
      <c r="H37" s="181" t="str">
        <f>IF($C36=MAX($C$8:$C$56),SUM($H$8:$H36),IFERROR($G37*$F37,""))</f>
        <v/>
      </c>
      <c r="I37" s="80" t="str">
        <f t="shared" si="2"/>
        <v/>
      </c>
      <c r="L37" s="46"/>
    </row>
    <row r="38" spans="1:12" s="44" customFormat="1" ht="14.25" customHeight="1" x14ac:dyDescent="0.25">
      <c r="A38" s="183"/>
      <c r="B38" s="183"/>
      <c r="C38" s="48"/>
      <c r="D38" s="49"/>
      <c r="E38" s="78"/>
      <c r="F38" s="45"/>
      <c r="G38" s="192" t="str">
        <f>IF(AND($C38="",$C37&lt;&gt;""),"Tổng Cộng",IFERROR(VLOOKUP($A38,Sheet1!$A$1:$D$98,4,0),""))</f>
        <v/>
      </c>
      <c r="H38" s="50" t="str">
        <f>IF($C37=MAX($C$8:$C$56),SUM($H$8:$H37),IFERROR($G38*$F38,""))</f>
        <v/>
      </c>
      <c r="I38" s="80"/>
      <c r="L38" s="46"/>
    </row>
    <row r="39" spans="1:12" ht="15" customHeight="1" x14ac:dyDescent="0.25">
      <c r="F39" s="51"/>
      <c r="G39" s="171"/>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H9 C38:E38 C9:G9 F15:H38 D15:E37 D10:H14">
    <cfRule type="expression" dxfId="7" priority="2">
      <formula>$C7=MAX($C$8:$C$37)</formula>
    </cfRule>
  </conditionalFormatting>
  <conditionalFormatting sqref="C10:C37">
    <cfRule type="expression" dxfId="6" priority="1">
      <formula>$C9=MAX($C$8:$C$37)</formula>
    </cfRule>
  </conditionalFormatting>
  <conditionalFormatting sqref="E8:E38">
    <cfRule type="expression" dxfId="5" priority="3">
      <formula>AND($A8="",$F8&lt;&gt;"")</formula>
    </cfRule>
  </conditionalFormatting>
  <conditionalFormatting sqref="F8:F38">
    <cfRule type="expression" dxfId="4"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32097" r:id="rId4" name="Button 1">
              <controlPr defaultSize="0" print="0" autoFill="0" autoPict="0" macro="[0]!Macro4">
                <anchor moveWithCells="1" sizeWithCells="1">
                  <from>
                    <xdr:col>0</xdr:col>
                    <xdr:colOff>0</xdr:colOff>
                    <xdr:row>0</xdr:row>
                    <xdr:rowOff>0</xdr:rowOff>
                  </from>
                  <to>
                    <xdr:col>1</xdr:col>
                    <xdr:colOff>723900</xdr:colOff>
                    <xdr:row>7</xdr:row>
                    <xdr:rowOff>0</xdr:rowOff>
                  </to>
                </anchor>
              </controlPr>
            </control>
          </mc:Choice>
        </mc:AlternateContent>
      </controls>
    </mc:Choice>
  </mc:AlternateContent>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dimension ref="A1:K36"/>
  <sheetViews>
    <sheetView workbookViewId="0">
      <pane ySplit="2" topLeftCell="A3" activePane="bottomLeft" state="frozen"/>
      <selection activeCell="Q5" sqref="Q5:Q22"/>
      <selection pane="bottomLeft" activeCell="H13" sqref="H13"/>
    </sheetView>
  </sheetViews>
  <sheetFormatPr defaultRowHeight="15" x14ac:dyDescent="0.25"/>
  <cols>
    <col min="1" max="1" width="7.140625" style="52" customWidth="1"/>
    <col min="2" max="2" width="37" style="52" customWidth="1"/>
    <col min="3" max="3" width="10.5703125" style="15" customWidth="1"/>
    <col min="4" max="4" width="13.140625" style="15" bestFit="1" customWidth="1"/>
    <col min="5" max="5" width="17.7109375" style="15" bestFit="1" customWidth="1"/>
    <col min="6" max="6" width="19.140625" style="52" bestFit="1" customWidth="1"/>
    <col min="7" max="7" width="14.7109375" style="52" customWidth="1"/>
    <col min="8" max="10" width="9.140625" style="52"/>
    <col min="11" max="11" width="10.5703125" style="52" bestFit="1" customWidth="1"/>
    <col min="12" max="16384" width="9.140625" style="52"/>
  </cols>
  <sheetData>
    <row r="1" spans="1:11" ht="18" customHeight="1" x14ac:dyDescent="0.25">
      <c r="D1" s="51" t="s">
        <v>119</v>
      </c>
      <c r="E1" s="51" t="s">
        <v>123</v>
      </c>
      <c r="F1" s="68" t="s">
        <v>120</v>
      </c>
      <c r="G1" s="68" t="s">
        <v>124</v>
      </c>
    </row>
    <row r="2" spans="1:11" s="70" customFormat="1" ht="26.25" customHeight="1" x14ac:dyDescent="0.25">
      <c r="C2" s="71"/>
      <c r="D2" s="72">
        <f>SUBTOTAL(9,D3:D35)</f>
        <v>0</v>
      </c>
      <c r="E2" s="72">
        <f t="shared" ref="E2:G2" si="0">SUBTOTAL(9,E3:E35)</f>
        <v>0</v>
      </c>
      <c r="F2" s="72">
        <f t="shared" si="0"/>
        <v>0</v>
      </c>
      <c r="G2" s="72">
        <f t="shared" si="0"/>
        <v>0</v>
      </c>
      <c r="I2" s="73" t="e">
        <f>G2/F2*100</f>
        <v>#DIV/0!</v>
      </c>
      <c r="K2" s="74">
        <f>F2-450000</f>
        <v>-450000</v>
      </c>
    </row>
    <row r="3" spans="1:11" s="15" customFormat="1" x14ac:dyDescent="0.25">
      <c r="A3" s="52">
        <v>1</v>
      </c>
      <c r="B3" s="52" t="s">
        <v>25</v>
      </c>
      <c r="C3" s="15" t="s">
        <v>108</v>
      </c>
      <c r="E3" s="57"/>
      <c r="F3" s="67"/>
      <c r="G3" s="69"/>
    </row>
    <row r="4" spans="1:11" x14ac:dyDescent="0.25">
      <c r="A4" s="52">
        <v>2</v>
      </c>
      <c r="B4" s="52" t="s">
        <v>1</v>
      </c>
      <c r="C4" s="15" t="s">
        <v>109</v>
      </c>
      <c r="E4" s="57"/>
      <c r="F4" s="67"/>
      <c r="G4" s="69"/>
    </row>
    <row r="5" spans="1:11" x14ac:dyDescent="0.25">
      <c r="A5" s="52">
        <v>3</v>
      </c>
      <c r="B5" s="52" t="s">
        <v>2</v>
      </c>
      <c r="C5" s="15" t="s">
        <v>110</v>
      </c>
      <c r="E5" s="57"/>
      <c r="F5" s="67"/>
      <c r="G5" s="69"/>
    </row>
    <row r="6" spans="1:11" x14ac:dyDescent="0.25">
      <c r="A6" s="52">
        <v>5</v>
      </c>
      <c r="B6" s="52" t="s">
        <v>30</v>
      </c>
      <c r="C6" s="15" t="s">
        <v>112</v>
      </c>
      <c r="E6" s="57"/>
      <c r="F6" s="67"/>
      <c r="G6" s="69"/>
    </row>
    <row r="7" spans="1:11" x14ac:dyDescent="0.25">
      <c r="A7" s="52">
        <v>7</v>
      </c>
      <c r="B7" s="52" t="s">
        <v>26</v>
      </c>
      <c r="C7" s="15" t="s">
        <v>114</v>
      </c>
      <c r="E7" s="57"/>
      <c r="F7" s="67"/>
      <c r="G7" s="69"/>
    </row>
    <row r="8" spans="1:11" x14ac:dyDescent="0.25">
      <c r="A8" s="52">
        <v>8</v>
      </c>
      <c r="B8" s="52" t="s">
        <v>61</v>
      </c>
      <c r="C8" s="15" t="s">
        <v>115</v>
      </c>
      <c r="E8" s="57"/>
      <c r="F8" s="67"/>
      <c r="G8" s="69"/>
    </row>
    <row r="9" spans="1:11" x14ac:dyDescent="0.25">
      <c r="A9" s="52">
        <v>9</v>
      </c>
      <c r="B9" s="52" t="s">
        <v>31</v>
      </c>
      <c r="C9" s="15" t="s">
        <v>116</v>
      </c>
      <c r="E9" s="57"/>
      <c r="F9" s="67"/>
      <c r="G9" s="69"/>
    </row>
    <row r="10" spans="1:11" x14ac:dyDescent="0.25">
      <c r="A10" s="52">
        <v>10</v>
      </c>
      <c r="B10" s="52" t="s">
        <v>6</v>
      </c>
      <c r="C10" s="15" t="s">
        <v>69</v>
      </c>
      <c r="E10" s="57"/>
      <c r="F10" s="67"/>
      <c r="G10" s="69"/>
    </row>
    <row r="11" spans="1:11" x14ac:dyDescent="0.25">
      <c r="A11" s="52">
        <v>11</v>
      </c>
      <c r="B11" s="52" t="s">
        <v>58</v>
      </c>
      <c r="C11" s="15" t="s">
        <v>70</v>
      </c>
      <c r="E11" s="57"/>
      <c r="F11" s="67"/>
      <c r="G11" s="69"/>
    </row>
    <row r="12" spans="1:11" x14ac:dyDescent="0.25">
      <c r="A12" s="52">
        <v>16</v>
      </c>
      <c r="B12" s="52" t="s">
        <v>5</v>
      </c>
      <c r="C12" s="15" t="s">
        <v>75</v>
      </c>
      <c r="E12" s="57"/>
      <c r="F12" s="67"/>
      <c r="G12" s="69"/>
    </row>
    <row r="13" spans="1:11" x14ac:dyDescent="0.25">
      <c r="A13" s="52">
        <v>17</v>
      </c>
      <c r="B13" s="52" t="s">
        <v>4</v>
      </c>
      <c r="C13" s="15" t="s">
        <v>76</v>
      </c>
      <c r="E13" s="57"/>
      <c r="F13" s="67"/>
      <c r="G13" s="69"/>
    </row>
    <row r="14" spans="1:11" x14ac:dyDescent="0.25">
      <c r="A14" s="52">
        <v>18</v>
      </c>
      <c r="B14" s="52" t="s">
        <v>9</v>
      </c>
      <c r="C14" s="15" t="s">
        <v>77</v>
      </c>
      <c r="E14" s="57"/>
      <c r="F14" s="67"/>
      <c r="G14" s="69"/>
    </row>
    <row r="15" spans="1:11" x14ac:dyDescent="0.25">
      <c r="A15" s="52">
        <v>19</v>
      </c>
      <c r="B15" s="52" t="s">
        <v>13</v>
      </c>
      <c r="C15" s="15" t="s">
        <v>78</v>
      </c>
      <c r="E15" s="57"/>
      <c r="F15" s="67"/>
      <c r="G15" s="69"/>
    </row>
    <row r="16" spans="1:11" x14ac:dyDescent="0.25">
      <c r="A16" s="52">
        <v>20</v>
      </c>
      <c r="B16" s="52" t="s">
        <v>12</v>
      </c>
      <c r="C16" s="15" t="s">
        <v>79</v>
      </c>
      <c r="E16" s="57"/>
      <c r="F16" s="67"/>
      <c r="G16" s="69"/>
    </row>
    <row r="17" spans="1:7" x14ac:dyDescent="0.25">
      <c r="A17" s="52">
        <v>21</v>
      </c>
      <c r="B17" s="52" t="s">
        <v>14</v>
      </c>
      <c r="C17" s="15" t="s">
        <v>80</v>
      </c>
      <c r="E17" s="57"/>
      <c r="F17" s="67"/>
      <c r="G17" s="69"/>
    </row>
    <row r="18" spans="1:7" x14ac:dyDescent="0.25">
      <c r="A18" s="52">
        <v>22</v>
      </c>
      <c r="B18" s="52" t="s">
        <v>7</v>
      </c>
      <c r="C18" s="15" t="s">
        <v>81</v>
      </c>
      <c r="E18" s="57"/>
      <c r="F18" s="67"/>
      <c r="G18" s="69"/>
    </row>
    <row r="19" spans="1:7" x14ac:dyDescent="0.25">
      <c r="A19" s="52">
        <v>23</v>
      </c>
      <c r="B19" s="52" t="s">
        <v>8</v>
      </c>
      <c r="C19" s="15" t="s">
        <v>82</v>
      </c>
      <c r="E19" s="57"/>
      <c r="F19" s="67"/>
      <c r="G19" s="69"/>
    </row>
    <row r="20" spans="1:7" x14ac:dyDescent="0.25">
      <c r="A20" s="52">
        <v>24</v>
      </c>
      <c r="B20" s="52" t="s">
        <v>27</v>
      </c>
      <c r="C20" s="15" t="s">
        <v>83</v>
      </c>
      <c r="E20" s="57"/>
      <c r="F20" s="67"/>
      <c r="G20" s="69"/>
    </row>
    <row r="21" spans="1:7" x14ac:dyDescent="0.25">
      <c r="A21" s="52">
        <v>26</v>
      </c>
      <c r="B21" s="52" t="s">
        <v>29</v>
      </c>
      <c r="C21" s="15" t="s">
        <v>85</v>
      </c>
      <c r="E21" s="57"/>
      <c r="F21" s="67"/>
      <c r="G21" s="69"/>
    </row>
    <row r="22" spans="1:7" x14ac:dyDescent="0.25">
      <c r="A22" s="52">
        <v>29</v>
      </c>
      <c r="B22" s="52" t="s">
        <v>38</v>
      </c>
      <c r="C22" s="15" t="s">
        <v>88</v>
      </c>
      <c r="E22" s="57"/>
      <c r="F22" s="67"/>
      <c r="G22" s="69"/>
    </row>
    <row r="23" spans="1:7" x14ac:dyDescent="0.25">
      <c r="A23" s="52">
        <v>30</v>
      </c>
      <c r="B23" s="52" t="s">
        <v>39</v>
      </c>
      <c r="C23" s="15" t="s">
        <v>89</v>
      </c>
      <c r="E23" s="57"/>
      <c r="F23" s="67"/>
      <c r="G23" s="69"/>
    </row>
    <row r="24" spans="1:7" x14ac:dyDescent="0.25">
      <c r="A24" s="52">
        <v>31</v>
      </c>
      <c r="B24" s="52" t="s">
        <v>67</v>
      </c>
      <c r="C24" s="15" t="s">
        <v>90</v>
      </c>
      <c r="E24" s="57"/>
      <c r="F24" s="67"/>
      <c r="G24" s="69"/>
    </row>
    <row r="25" spans="1:7" x14ac:dyDescent="0.25">
      <c r="A25" s="52">
        <v>32</v>
      </c>
      <c r="B25" s="52" t="s">
        <v>40</v>
      </c>
      <c r="C25" s="15" t="s">
        <v>91</v>
      </c>
      <c r="E25" s="57"/>
      <c r="F25" s="67"/>
      <c r="G25" s="69"/>
    </row>
    <row r="26" spans="1:7" x14ac:dyDescent="0.25">
      <c r="A26" s="52">
        <v>33</v>
      </c>
      <c r="B26" s="52" t="s">
        <v>41</v>
      </c>
      <c r="C26" s="15" t="s">
        <v>92</v>
      </c>
      <c r="E26" s="57"/>
      <c r="F26" s="67"/>
      <c r="G26" s="69"/>
    </row>
    <row r="27" spans="1:7" x14ac:dyDescent="0.25">
      <c r="A27" s="52">
        <v>34</v>
      </c>
      <c r="B27" s="52" t="s">
        <v>42</v>
      </c>
      <c r="C27" s="15" t="s">
        <v>93</v>
      </c>
      <c r="E27" s="57"/>
      <c r="F27" s="67"/>
      <c r="G27" s="69"/>
    </row>
    <row r="28" spans="1:7" x14ac:dyDescent="0.25">
      <c r="A28" s="52">
        <v>35</v>
      </c>
      <c r="B28" s="52" t="s">
        <v>43</v>
      </c>
      <c r="C28" s="15" t="s">
        <v>94</v>
      </c>
      <c r="E28" s="57"/>
      <c r="F28" s="67"/>
      <c r="G28" s="69"/>
    </row>
    <row r="29" spans="1:7" x14ac:dyDescent="0.25">
      <c r="A29" s="52">
        <v>37</v>
      </c>
      <c r="B29" s="52" t="s">
        <v>49</v>
      </c>
      <c r="C29" s="15" t="s">
        <v>96</v>
      </c>
      <c r="E29" s="57"/>
      <c r="F29" s="67"/>
      <c r="G29" s="69"/>
    </row>
    <row r="30" spans="1:7" x14ac:dyDescent="0.25">
      <c r="A30" s="52">
        <v>38</v>
      </c>
      <c r="B30" s="52" t="s">
        <v>45</v>
      </c>
      <c r="C30" s="15" t="s">
        <v>97</v>
      </c>
      <c r="E30" s="57"/>
      <c r="F30" s="67"/>
      <c r="G30" s="69"/>
    </row>
    <row r="31" spans="1:7" x14ac:dyDescent="0.25">
      <c r="A31" s="52">
        <v>40</v>
      </c>
      <c r="B31" s="52" t="s">
        <v>47</v>
      </c>
      <c r="C31" s="15" t="s">
        <v>99</v>
      </c>
      <c r="E31" s="57"/>
      <c r="F31" s="67"/>
      <c r="G31" s="69"/>
    </row>
    <row r="32" spans="1:7" x14ac:dyDescent="0.25">
      <c r="A32" s="52">
        <v>41</v>
      </c>
      <c r="B32" s="52" t="s">
        <v>37</v>
      </c>
      <c r="C32" s="15" t="s">
        <v>100</v>
      </c>
      <c r="E32" s="57"/>
      <c r="F32" s="67"/>
      <c r="G32" s="69"/>
    </row>
    <row r="33" spans="1:7" x14ac:dyDescent="0.25">
      <c r="A33" s="52">
        <v>42</v>
      </c>
      <c r="B33" s="52" t="s">
        <v>50</v>
      </c>
      <c r="C33" s="15" t="s">
        <v>101</v>
      </c>
      <c r="E33" s="57"/>
      <c r="F33" s="67"/>
      <c r="G33" s="69"/>
    </row>
    <row r="34" spans="1:7" x14ac:dyDescent="0.25">
      <c r="A34" s="52">
        <v>43</v>
      </c>
      <c r="B34" s="52" t="s">
        <v>36</v>
      </c>
      <c r="C34" s="15" t="s">
        <v>102</v>
      </c>
      <c r="E34" s="57"/>
      <c r="F34" s="67"/>
      <c r="G34" s="69"/>
    </row>
    <row r="35" spans="1:7" x14ac:dyDescent="0.25">
      <c r="A35" s="52">
        <v>46</v>
      </c>
      <c r="B35" s="52" t="s">
        <v>46</v>
      </c>
      <c r="C35" s="15" t="s">
        <v>105</v>
      </c>
      <c r="E35" s="57"/>
      <c r="F35" s="67"/>
      <c r="G35" s="69"/>
    </row>
    <row r="36" spans="1:7" x14ac:dyDescent="0.25">
      <c r="A36" s="52">
        <v>47</v>
      </c>
      <c r="B36" s="52" t="s">
        <v>125</v>
      </c>
      <c r="C36" s="15" t="s">
        <v>126</v>
      </c>
    </row>
  </sheetData>
  <autoFilter ref="A2:G35"/>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27</vt:i4>
      </vt:variant>
      <vt:variant>
        <vt:lpstr>Named Ranges</vt:lpstr>
      </vt:variant>
      <vt:variant>
        <vt:i4>17</vt:i4>
      </vt:variant>
    </vt:vector>
  </HeadingPairs>
  <TitlesOfParts>
    <vt:vector size="44" baseType="lpstr">
      <vt:lpstr>Hàng tặng TVP</vt:lpstr>
      <vt:lpstr>Gà</vt:lpstr>
      <vt:lpstr>TVP</vt:lpstr>
      <vt:lpstr>La Cusina</vt:lpstr>
      <vt:lpstr>Kitkool</vt:lpstr>
      <vt:lpstr>Sheet3</vt:lpstr>
      <vt:lpstr>Giá TVP</vt:lpstr>
      <vt:lpstr>Quốc Nhân</vt:lpstr>
      <vt:lpstr>Chi phí</vt:lpstr>
      <vt:lpstr>Sheet1</vt:lpstr>
      <vt:lpstr>Tổng Đơn</vt:lpstr>
      <vt:lpstr>Thanh Toán</vt:lpstr>
      <vt:lpstr>Thanh Toán (15)</vt:lpstr>
      <vt:lpstr>Thanh Toán (14)</vt:lpstr>
      <vt:lpstr>Thanh Toán (13)</vt:lpstr>
      <vt:lpstr>Thanh Toán (12)</vt:lpstr>
      <vt:lpstr>Thanh Toán (11)</vt:lpstr>
      <vt:lpstr>Thanh Toán (10)</vt:lpstr>
      <vt:lpstr>Thanh Toán (9)</vt:lpstr>
      <vt:lpstr>Thanh Toán (8)</vt:lpstr>
      <vt:lpstr>Thanh Toán (7)</vt:lpstr>
      <vt:lpstr>Thanh Toán (6)</vt:lpstr>
      <vt:lpstr>Thanh Toán (5)</vt:lpstr>
      <vt:lpstr>Thanh Toán (4)</vt:lpstr>
      <vt:lpstr>Thanh Toán (3)</vt:lpstr>
      <vt:lpstr>Thanh Toán (2)</vt:lpstr>
      <vt:lpstr>DS KHÁCH HÀNG KM (2)</vt:lpstr>
      <vt:lpstr>'Giá TVP'!Print_Area</vt:lpstr>
      <vt:lpstr>Sheet3!Print_Area</vt:lpstr>
      <vt:lpstr>'Thanh Toán'!Print_Area</vt:lpstr>
      <vt:lpstr>'Thanh Toán (10)'!Print_Area</vt:lpstr>
      <vt:lpstr>'Thanh Toán (11)'!Print_Area</vt:lpstr>
      <vt:lpstr>'Thanh Toán (12)'!Print_Area</vt:lpstr>
      <vt:lpstr>'Thanh Toán (13)'!Print_Area</vt:lpstr>
      <vt:lpstr>'Thanh Toán (14)'!Print_Area</vt:lpstr>
      <vt:lpstr>'Thanh Toán (15)'!Print_Area</vt:lpstr>
      <vt:lpstr>'Thanh Toán (2)'!Print_Area</vt:lpstr>
      <vt:lpstr>'Thanh Toán (3)'!Print_Area</vt:lpstr>
      <vt:lpstr>'Thanh Toán (4)'!Print_Area</vt:lpstr>
      <vt:lpstr>'Thanh Toán (5)'!Print_Area</vt:lpstr>
      <vt:lpstr>'Thanh Toán (6)'!Print_Area</vt:lpstr>
      <vt:lpstr>'Thanh Toán (7)'!Print_Area</vt:lpstr>
      <vt:lpstr>'Thanh Toán (8)'!Print_Area</vt:lpstr>
      <vt:lpstr>'Thanh Toán (9)'!Print_Area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Windows User</dc:creator>
  <cp:lastModifiedBy>Windows User</cp:lastModifiedBy>
  <cp:lastPrinted>2022-01-17T14:30:59Z</cp:lastPrinted>
  <dcterms:created xsi:type="dcterms:W3CDTF">2021-12-17T01:18:08Z</dcterms:created>
  <dcterms:modified xsi:type="dcterms:W3CDTF">2022-02-14T00:22:53Z</dcterms:modified>
</cp:coreProperties>
</file>