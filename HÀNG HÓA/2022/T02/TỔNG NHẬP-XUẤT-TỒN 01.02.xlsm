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firstSheet="4"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0)" sheetId="191" r:id="rId13"/>
    <sheet name="Thanh Toán (9)" sheetId="190" r:id="rId14"/>
    <sheet name="Thanh Toán (8)" sheetId="189" r:id="rId15"/>
    <sheet name="Thanh Toán (7)" sheetId="188" r:id="rId16"/>
    <sheet name="Thanh Toán (6)" sheetId="187" r:id="rId17"/>
    <sheet name="Thanh Toán (5)" sheetId="186" r:id="rId18"/>
    <sheet name="Thanh Toán (4)" sheetId="185" r:id="rId19"/>
    <sheet name="Thanh Toán (3)" sheetId="184" r:id="rId20"/>
    <sheet name="Thanh Toán (2)" sheetId="183" r:id="rId21"/>
    <sheet name="DS KHÁCH HÀNG KM (2)" sheetId="76" state="hidden" r:id="rId22"/>
  </sheets>
  <definedNames>
    <definedName name="_xlnm._FilterDatabase" localSheetId="8" hidden="1">'Chi phí'!$A$6:$E$29</definedName>
    <definedName name="_xlnm._FilterDatabase" localSheetId="21"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91" l="1"/>
  <c r="F37" i="191"/>
  <c r="E37" i="191"/>
  <c r="D37" i="191"/>
  <c r="I36" i="191"/>
  <c r="F36" i="191"/>
  <c r="E36" i="191"/>
  <c r="D36" i="191"/>
  <c r="I35" i="191"/>
  <c r="F35" i="191"/>
  <c r="E35" i="191"/>
  <c r="D35" i="191"/>
  <c r="I34" i="191"/>
  <c r="F34" i="191"/>
  <c r="E34" i="191"/>
  <c r="D34" i="191"/>
  <c r="I33" i="191"/>
  <c r="F33" i="191"/>
  <c r="E33" i="191"/>
  <c r="D33" i="191"/>
  <c r="I32" i="191"/>
  <c r="F32" i="191"/>
  <c r="E32" i="191"/>
  <c r="D32" i="191"/>
  <c r="I31" i="191"/>
  <c r="F31" i="191"/>
  <c r="E31" i="191"/>
  <c r="D31" i="191"/>
  <c r="I30" i="191"/>
  <c r="F30" i="191"/>
  <c r="E30" i="191"/>
  <c r="D30" i="191"/>
  <c r="I29" i="191"/>
  <c r="F29" i="191"/>
  <c r="E29" i="191"/>
  <c r="D29" i="191"/>
  <c r="I28" i="191"/>
  <c r="F28" i="191"/>
  <c r="E28" i="191"/>
  <c r="D28" i="191"/>
  <c r="I27" i="191"/>
  <c r="F27" i="191"/>
  <c r="E27" i="191"/>
  <c r="D27" i="191"/>
  <c r="L26" i="191"/>
  <c r="I26" i="191"/>
  <c r="F26" i="191"/>
  <c r="E26" i="191"/>
  <c r="D26" i="191"/>
  <c r="L25" i="191"/>
  <c r="I25" i="191"/>
  <c r="F25" i="191"/>
  <c r="E25" i="191"/>
  <c r="D25" i="191"/>
  <c r="L24" i="191"/>
  <c r="I24" i="191"/>
  <c r="F24" i="191"/>
  <c r="E24" i="191"/>
  <c r="D24" i="191"/>
  <c r="L23" i="191"/>
  <c r="I23" i="191"/>
  <c r="F23" i="191"/>
  <c r="E23" i="191"/>
  <c r="D23" i="191"/>
  <c r="L22" i="191"/>
  <c r="I22" i="191"/>
  <c r="F22" i="191"/>
  <c r="E22" i="191"/>
  <c r="D22" i="191"/>
  <c r="L21" i="191"/>
  <c r="I21" i="191"/>
  <c r="F21" i="191"/>
  <c r="E21" i="191"/>
  <c r="D21" i="191"/>
  <c r="L20" i="191"/>
  <c r="I20" i="191"/>
  <c r="F20" i="191"/>
  <c r="E20" i="191"/>
  <c r="D20" i="191"/>
  <c r="L19" i="191"/>
  <c r="I19" i="191"/>
  <c r="F19" i="191"/>
  <c r="E19" i="191"/>
  <c r="D19" i="191"/>
  <c r="L18" i="191"/>
  <c r="I18" i="191"/>
  <c r="F18" i="191"/>
  <c r="E18" i="191"/>
  <c r="D18" i="191"/>
  <c r="L17" i="191"/>
  <c r="I17" i="191"/>
  <c r="F17" i="191"/>
  <c r="E17" i="191"/>
  <c r="D17" i="191"/>
  <c r="L16" i="191"/>
  <c r="I16" i="191"/>
  <c r="F16" i="191"/>
  <c r="E16" i="191"/>
  <c r="D16" i="191"/>
  <c r="L15" i="191"/>
  <c r="I15" i="191"/>
  <c r="F15" i="191"/>
  <c r="E15" i="191"/>
  <c r="D15" i="191"/>
  <c r="L14" i="191"/>
  <c r="I14" i="191"/>
  <c r="F14" i="191"/>
  <c r="E14" i="191"/>
  <c r="D14" i="191"/>
  <c r="I13" i="191"/>
  <c r="F13" i="191"/>
  <c r="E13" i="191"/>
  <c r="D13" i="191"/>
  <c r="I12" i="191"/>
  <c r="F12" i="191"/>
  <c r="E12" i="191"/>
  <c r="D12" i="191"/>
  <c r="L11" i="191"/>
  <c r="F11" i="191"/>
  <c r="I11" i="191" s="1"/>
  <c r="E11" i="191"/>
  <c r="D11" i="191"/>
  <c r="L10" i="191"/>
  <c r="F10" i="191"/>
  <c r="I10" i="191" s="1"/>
  <c r="E10" i="191"/>
  <c r="D10" i="191"/>
  <c r="L9" i="191"/>
  <c r="F9" i="191"/>
  <c r="I9" i="191" s="1"/>
  <c r="E9" i="191"/>
  <c r="D9" i="191"/>
  <c r="C9" i="191"/>
  <c r="C10" i="191" s="1"/>
  <c r="L8" i="191"/>
  <c r="G8" i="191"/>
  <c r="F8" i="191"/>
  <c r="J8" i="191" s="1"/>
  <c r="E8" i="191"/>
  <c r="I8" i="191" s="1"/>
  <c r="I7" i="191" s="1"/>
  <c r="D8" i="191"/>
  <c r="C8" i="191"/>
  <c r="E7" i="191"/>
  <c r="G6" i="191"/>
  <c r="C11" i="191" l="1"/>
  <c r="G10" i="191"/>
  <c r="G9" i="191"/>
  <c r="I37" i="190"/>
  <c r="F37" i="190"/>
  <c r="E37" i="190"/>
  <c r="D37" i="190"/>
  <c r="I36" i="190"/>
  <c r="F36" i="190"/>
  <c r="E36" i="190"/>
  <c r="D36" i="190"/>
  <c r="I35" i="190"/>
  <c r="F35" i="190"/>
  <c r="E35" i="190"/>
  <c r="D35" i="190"/>
  <c r="I34" i="190"/>
  <c r="F34" i="190"/>
  <c r="E34" i="190"/>
  <c r="D34" i="190"/>
  <c r="I33" i="190"/>
  <c r="F33" i="190"/>
  <c r="E33" i="190"/>
  <c r="D33" i="190"/>
  <c r="I32" i="190"/>
  <c r="F32" i="190"/>
  <c r="E32" i="190"/>
  <c r="D32" i="190"/>
  <c r="I31" i="190"/>
  <c r="F31" i="190"/>
  <c r="E31" i="190"/>
  <c r="D31" i="190"/>
  <c r="I30" i="190"/>
  <c r="F30" i="190"/>
  <c r="E30" i="190"/>
  <c r="D30" i="190"/>
  <c r="I29" i="190"/>
  <c r="F29" i="190"/>
  <c r="E29" i="190"/>
  <c r="D29" i="190"/>
  <c r="I28" i="190"/>
  <c r="F28" i="190"/>
  <c r="E28" i="190"/>
  <c r="D28" i="190"/>
  <c r="I27" i="190"/>
  <c r="F27" i="190"/>
  <c r="E27" i="190"/>
  <c r="D27" i="190"/>
  <c r="L26" i="190"/>
  <c r="I26" i="190"/>
  <c r="F26" i="190"/>
  <c r="E26" i="190"/>
  <c r="D26" i="190"/>
  <c r="L25" i="190"/>
  <c r="I25" i="190"/>
  <c r="F25" i="190"/>
  <c r="E25" i="190"/>
  <c r="D25" i="190"/>
  <c r="L24" i="190"/>
  <c r="I24" i="190"/>
  <c r="F24" i="190"/>
  <c r="E24" i="190"/>
  <c r="D24" i="190"/>
  <c r="L23" i="190"/>
  <c r="I23" i="190"/>
  <c r="F23" i="190"/>
  <c r="E23" i="190"/>
  <c r="D23" i="190"/>
  <c r="L22" i="190"/>
  <c r="I22" i="190"/>
  <c r="F22" i="190"/>
  <c r="E22" i="190"/>
  <c r="D22" i="190"/>
  <c r="L21" i="190"/>
  <c r="I21" i="190"/>
  <c r="F21" i="190"/>
  <c r="E21" i="190"/>
  <c r="D21" i="190"/>
  <c r="L20" i="190"/>
  <c r="I20" i="190"/>
  <c r="F20" i="190"/>
  <c r="E20" i="190"/>
  <c r="D20" i="190"/>
  <c r="L19" i="190"/>
  <c r="I19" i="190"/>
  <c r="F19" i="190"/>
  <c r="E19" i="190"/>
  <c r="D19" i="190"/>
  <c r="L18" i="190"/>
  <c r="I18" i="190"/>
  <c r="F18" i="190"/>
  <c r="E18" i="190"/>
  <c r="D18" i="190"/>
  <c r="L17" i="190"/>
  <c r="I17" i="190"/>
  <c r="F17" i="190"/>
  <c r="E17" i="190"/>
  <c r="D17" i="190"/>
  <c r="L16" i="190"/>
  <c r="I16" i="190"/>
  <c r="F16" i="190"/>
  <c r="E16" i="190"/>
  <c r="D16" i="190"/>
  <c r="L15" i="190"/>
  <c r="I15" i="190"/>
  <c r="F15" i="190"/>
  <c r="E15" i="190"/>
  <c r="D15" i="190"/>
  <c r="L14" i="190"/>
  <c r="I14" i="190"/>
  <c r="F14" i="190"/>
  <c r="E14" i="190"/>
  <c r="D14" i="190"/>
  <c r="I13" i="190"/>
  <c r="F13" i="190"/>
  <c r="E13" i="190"/>
  <c r="D13" i="190"/>
  <c r="F12" i="190"/>
  <c r="I12" i="190" s="1"/>
  <c r="E12" i="190"/>
  <c r="D12" i="190"/>
  <c r="L11" i="190"/>
  <c r="F11" i="190"/>
  <c r="I11" i="190" s="1"/>
  <c r="E11" i="190"/>
  <c r="D11" i="190"/>
  <c r="L10" i="190"/>
  <c r="F10" i="190"/>
  <c r="I10" i="190" s="1"/>
  <c r="E10" i="190"/>
  <c r="D10" i="190"/>
  <c r="L9" i="190"/>
  <c r="F9" i="190"/>
  <c r="I9" i="190" s="1"/>
  <c r="E9" i="190"/>
  <c r="D9" i="190"/>
  <c r="L8" i="190"/>
  <c r="G8" i="190"/>
  <c r="F8" i="190"/>
  <c r="J8" i="190" s="1"/>
  <c r="E8" i="190"/>
  <c r="I8" i="190" s="1"/>
  <c r="I7" i="190" s="1"/>
  <c r="D8" i="190"/>
  <c r="C8" i="190"/>
  <c r="C9" i="190" s="1"/>
  <c r="E7" i="190"/>
  <c r="G6" i="190"/>
  <c r="I37" i="189"/>
  <c r="F37" i="189"/>
  <c r="E37" i="189"/>
  <c r="D37" i="189"/>
  <c r="I36" i="189"/>
  <c r="F36" i="189"/>
  <c r="E36" i="189"/>
  <c r="D36" i="189"/>
  <c r="I35" i="189"/>
  <c r="F35" i="189"/>
  <c r="E35" i="189"/>
  <c r="D35" i="189"/>
  <c r="I34" i="189"/>
  <c r="F34" i="189"/>
  <c r="E34" i="189"/>
  <c r="D34" i="189"/>
  <c r="I33" i="189"/>
  <c r="F33" i="189"/>
  <c r="E33" i="189"/>
  <c r="D33" i="189"/>
  <c r="I32" i="189"/>
  <c r="F32" i="189"/>
  <c r="E32" i="189"/>
  <c r="D32" i="189"/>
  <c r="I31" i="189"/>
  <c r="F31" i="189"/>
  <c r="E31" i="189"/>
  <c r="D31" i="189"/>
  <c r="I30" i="189"/>
  <c r="F30" i="189"/>
  <c r="E30" i="189"/>
  <c r="D30" i="189"/>
  <c r="I29" i="189"/>
  <c r="F29" i="189"/>
  <c r="E29" i="189"/>
  <c r="D29" i="189"/>
  <c r="I28" i="189"/>
  <c r="F28" i="189"/>
  <c r="E28" i="189"/>
  <c r="D28" i="189"/>
  <c r="I27" i="189"/>
  <c r="F27" i="189"/>
  <c r="E27" i="189"/>
  <c r="D27" i="189"/>
  <c r="L26" i="189"/>
  <c r="I26" i="189"/>
  <c r="F26" i="189"/>
  <c r="E26" i="189"/>
  <c r="D26" i="189"/>
  <c r="L25" i="189"/>
  <c r="I25" i="189"/>
  <c r="F25" i="189"/>
  <c r="E25" i="189"/>
  <c r="D25" i="189"/>
  <c r="L24" i="189"/>
  <c r="I24" i="189"/>
  <c r="F24" i="189"/>
  <c r="E24" i="189"/>
  <c r="D24" i="189"/>
  <c r="L23" i="189"/>
  <c r="I23" i="189"/>
  <c r="F23" i="189"/>
  <c r="E23" i="189"/>
  <c r="D23" i="189"/>
  <c r="L22" i="189"/>
  <c r="I22" i="189"/>
  <c r="F22" i="189"/>
  <c r="E22" i="189"/>
  <c r="D22" i="189"/>
  <c r="L21" i="189"/>
  <c r="I21" i="189"/>
  <c r="F21" i="189"/>
  <c r="E21" i="189"/>
  <c r="D21" i="189"/>
  <c r="L20" i="189"/>
  <c r="I20" i="189"/>
  <c r="F20" i="189"/>
  <c r="E20" i="189"/>
  <c r="D20" i="189"/>
  <c r="L19" i="189"/>
  <c r="I19" i="189"/>
  <c r="F19" i="189"/>
  <c r="E19" i="189"/>
  <c r="D19" i="189"/>
  <c r="L18" i="189"/>
  <c r="I18" i="189"/>
  <c r="F18" i="189"/>
  <c r="E18" i="189"/>
  <c r="D18" i="189"/>
  <c r="L17" i="189"/>
  <c r="I17" i="189"/>
  <c r="F17" i="189"/>
  <c r="E17" i="189"/>
  <c r="D17" i="189"/>
  <c r="L16" i="189"/>
  <c r="I16" i="189"/>
  <c r="F16" i="189"/>
  <c r="E16" i="189"/>
  <c r="D16" i="189"/>
  <c r="L15" i="189"/>
  <c r="I15" i="189"/>
  <c r="F15" i="189"/>
  <c r="E15" i="189"/>
  <c r="D15" i="189"/>
  <c r="L14" i="189"/>
  <c r="I14" i="189"/>
  <c r="F14" i="189"/>
  <c r="E14" i="189"/>
  <c r="D14" i="189"/>
  <c r="I13" i="189"/>
  <c r="F13" i="189"/>
  <c r="E13" i="189"/>
  <c r="D13" i="189"/>
  <c r="I12" i="189"/>
  <c r="F12" i="189"/>
  <c r="E12" i="189"/>
  <c r="D12" i="189"/>
  <c r="L11" i="189"/>
  <c r="I11" i="189"/>
  <c r="F11" i="189"/>
  <c r="E11" i="189"/>
  <c r="D11" i="189"/>
  <c r="L10" i="189"/>
  <c r="I10" i="189"/>
  <c r="F10" i="189"/>
  <c r="E10" i="189"/>
  <c r="D10" i="189"/>
  <c r="L9" i="189"/>
  <c r="F9" i="189"/>
  <c r="I9" i="189" s="1"/>
  <c r="E9" i="189"/>
  <c r="D9" i="189"/>
  <c r="C9" i="189"/>
  <c r="C10" i="189" s="1"/>
  <c r="L8" i="189"/>
  <c r="G8" i="189"/>
  <c r="F8" i="189"/>
  <c r="J8" i="189" s="1"/>
  <c r="E8" i="189"/>
  <c r="I8" i="189" s="1"/>
  <c r="I7" i="189" s="1"/>
  <c r="D8" i="189"/>
  <c r="C8" i="189"/>
  <c r="E7" i="189"/>
  <c r="G6" i="189"/>
  <c r="I37" i="188"/>
  <c r="F37" i="188"/>
  <c r="E37" i="188"/>
  <c r="D37" i="188"/>
  <c r="I36" i="188"/>
  <c r="F36" i="188"/>
  <c r="E36" i="188"/>
  <c r="D36" i="188"/>
  <c r="I35" i="188"/>
  <c r="F35" i="188"/>
  <c r="E35" i="188"/>
  <c r="D35" i="188"/>
  <c r="I34" i="188"/>
  <c r="F34" i="188"/>
  <c r="E34" i="188"/>
  <c r="D34" i="188"/>
  <c r="I33" i="188"/>
  <c r="F33" i="188"/>
  <c r="E33" i="188"/>
  <c r="D33" i="188"/>
  <c r="I32" i="188"/>
  <c r="F32" i="188"/>
  <c r="E32" i="188"/>
  <c r="D32" i="188"/>
  <c r="I31" i="188"/>
  <c r="F31" i="188"/>
  <c r="E31" i="188"/>
  <c r="D31" i="188"/>
  <c r="I30" i="188"/>
  <c r="F30" i="188"/>
  <c r="E30" i="188"/>
  <c r="D30" i="188"/>
  <c r="I29" i="188"/>
  <c r="F29" i="188"/>
  <c r="E29" i="188"/>
  <c r="D29" i="188"/>
  <c r="I28" i="188"/>
  <c r="F28" i="188"/>
  <c r="E28" i="188"/>
  <c r="D28" i="188"/>
  <c r="I27" i="188"/>
  <c r="F27" i="188"/>
  <c r="E27" i="188"/>
  <c r="D27" i="188"/>
  <c r="L26" i="188"/>
  <c r="I26" i="188"/>
  <c r="F26" i="188"/>
  <c r="E26" i="188"/>
  <c r="D26" i="188"/>
  <c r="L25" i="188"/>
  <c r="I25" i="188"/>
  <c r="F25" i="188"/>
  <c r="E25" i="188"/>
  <c r="D25" i="188"/>
  <c r="L24" i="188"/>
  <c r="I24" i="188"/>
  <c r="F24" i="188"/>
  <c r="E24" i="188"/>
  <c r="D24" i="188"/>
  <c r="L23" i="188"/>
  <c r="I23" i="188"/>
  <c r="F23" i="188"/>
  <c r="E23" i="188"/>
  <c r="D23" i="188"/>
  <c r="L22" i="188"/>
  <c r="I22" i="188"/>
  <c r="F22" i="188"/>
  <c r="E22" i="188"/>
  <c r="D22" i="188"/>
  <c r="L21" i="188"/>
  <c r="I21" i="188"/>
  <c r="F21" i="188"/>
  <c r="E21" i="188"/>
  <c r="D21" i="188"/>
  <c r="L20" i="188"/>
  <c r="I20" i="188"/>
  <c r="F20" i="188"/>
  <c r="E20" i="188"/>
  <c r="D20" i="188"/>
  <c r="L19" i="188"/>
  <c r="I19" i="188"/>
  <c r="F19" i="188"/>
  <c r="E19" i="188"/>
  <c r="D19" i="188"/>
  <c r="L18" i="188"/>
  <c r="I18" i="188"/>
  <c r="F18" i="188"/>
  <c r="E18" i="188"/>
  <c r="D18" i="188"/>
  <c r="L17" i="188"/>
  <c r="I17" i="188"/>
  <c r="F17" i="188"/>
  <c r="E17" i="188"/>
  <c r="D17" i="188"/>
  <c r="L16" i="188"/>
  <c r="I16" i="188"/>
  <c r="F16" i="188"/>
  <c r="E16" i="188"/>
  <c r="D16" i="188"/>
  <c r="L15" i="188"/>
  <c r="I15" i="188"/>
  <c r="F15" i="188"/>
  <c r="E15" i="188"/>
  <c r="D15" i="188"/>
  <c r="L14" i="188"/>
  <c r="I14" i="188"/>
  <c r="F14" i="188"/>
  <c r="E14" i="188"/>
  <c r="D14" i="188"/>
  <c r="I13" i="188"/>
  <c r="F13" i="188"/>
  <c r="E13" i="188"/>
  <c r="D13" i="188"/>
  <c r="I12" i="188"/>
  <c r="F12" i="188"/>
  <c r="E12" i="188"/>
  <c r="D12" i="188"/>
  <c r="L11" i="188"/>
  <c r="I11" i="188"/>
  <c r="F11" i="188"/>
  <c r="E11" i="188"/>
  <c r="D11" i="188"/>
  <c r="L10" i="188"/>
  <c r="I10" i="188"/>
  <c r="F10" i="188"/>
  <c r="E10" i="188"/>
  <c r="D10" i="188"/>
  <c r="L9" i="188"/>
  <c r="F9" i="188"/>
  <c r="I9" i="188" s="1"/>
  <c r="E9" i="188"/>
  <c r="D9" i="188"/>
  <c r="L8" i="188"/>
  <c r="G8" i="188"/>
  <c r="F8" i="188"/>
  <c r="J8" i="188" s="1"/>
  <c r="E8" i="188"/>
  <c r="I8" i="188" s="1"/>
  <c r="I7" i="188" s="1"/>
  <c r="D8" i="188"/>
  <c r="C8" i="188"/>
  <c r="C9" i="188" s="1"/>
  <c r="E7" i="188"/>
  <c r="G6" i="188"/>
  <c r="I37" i="187"/>
  <c r="F37" i="187"/>
  <c r="E37" i="187"/>
  <c r="D37" i="187"/>
  <c r="I36" i="187"/>
  <c r="F36" i="187"/>
  <c r="E36" i="187"/>
  <c r="D36" i="187"/>
  <c r="I35" i="187"/>
  <c r="F35" i="187"/>
  <c r="E35" i="187"/>
  <c r="D35" i="187"/>
  <c r="I34" i="187"/>
  <c r="F34" i="187"/>
  <c r="E34" i="187"/>
  <c r="D34" i="187"/>
  <c r="I33" i="187"/>
  <c r="F33" i="187"/>
  <c r="E33" i="187"/>
  <c r="D33" i="187"/>
  <c r="I32" i="187"/>
  <c r="F32" i="187"/>
  <c r="E32" i="187"/>
  <c r="D32" i="187"/>
  <c r="I31" i="187"/>
  <c r="F31" i="187"/>
  <c r="E31" i="187"/>
  <c r="D31" i="187"/>
  <c r="I30" i="187"/>
  <c r="F30" i="187"/>
  <c r="E30" i="187"/>
  <c r="D30" i="187"/>
  <c r="I29" i="187"/>
  <c r="F29" i="187"/>
  <c r="E29" i="187"/>
  <c r="D29" i="187"/>
  <c r="I28" i="187"/>
  <c r="F28" i="187"/>
  <c r="E28" i="187"/>
  <c r="D28" i="187"/>
  <c r="I27" i="187"/>
  <c r="F27" i="187"/>
  <c r="E27" i="187"/>
  <c r="D27" i="187"/>
  <c r="L26" i="187"/>
  <c r="I26" i="187"/>
  <c r="F26" i="187"/>
  <c r="E26" i="187"/>
  <c r="D26" i="187"/>
  <c r="L25" i="187"/>
  <c r="I25" i="187"/>
  <c r="F25" i="187"/>
  <c r="E25" i="187"/>
  <c r="D25" i="187"/>
  <c r="L24" i="187"/>
  <c r="I24" i="187"/>
  <c r="F24" i="187"/>
  <c r="E24" i="187"/>
  <c r="D24" i="187"/>
  <c r="L23" i="187"/>
  <c r="I23" i="187"/>
  <c r="F23" i="187"/>
  <c r="E23" i="187"/>
  <c r="D23" i="187"/>
  <c r="L22" i="187"/>
  <c r="I22" i="187"/>
  <c r="F22" i="187"/>
  <c r="E22" i="187"/>
  <c r="D22" i="187"/>
  <c r="L21" i="187"/>
  <c r="I21" i="187"/>
  <c r="F21" i="187"/>
  <c r="E21" i="187"/>
  <c r="D21" i="187"/>
  <c r="L20" i="187"/>
  <c r="I20" i="187"/>
  <c r="F20" i="187"/>
  <c r="E20" i="187"/>
  <c r="D20" i="187"/>
  <c r="L19" i="187"/>
  <c r="I19" i="187"/>
  <c r="F19" i="187"/>
  <c r="E19" i="187"/>
  <c r="D19" i="187"/>
  <c r="L18" i="187"/>
  <c r="I18" i="187"/>
  <c r="F18" i="187"/>
  <c r="E18" i="187"/>
  <c r="D18" i="187"/>
  <c r="L17" i="187"/>
  <c r="I17" i="187"/>
  <c r="F17" i="187"/>
  <c r="E17" i="187"/>
  <c r="D17" i="187"/>
  <c r="L16" i="187"/>
  <c r="I16" i="187"/>
  <c r="F16" i="187"/>
  <c r="E16" i="187"/>
  <c r="D16" i="187"/>
  <c r="L15" i="187"/>
  <c r="I15" i="187"/>
  <c r="F15" i="187"/>
  <c r="E15" i="187"/>
  <c r="D15" i="187"/>
  <c r="L14" i="187"/>
  <c r="I14" i="187"/>
  <c r="F14" i="187"/>
  <c r="J8" i="187" s="1"/>
  <c r="E14" i="187"/>
  <c r="D14" i="187"/>
  <c r="I13" i="187"/>
  <c r="F13" i="187"/>
  <c r="E13" i="187"/>
  <c r="D13" i="187"/>
  <c r="I12" i="187"/>
  <c r="F12" i="187"/>
  <c r="E12" i="187"/>
  <c r="D12" i="187"/>
  <c r="L11" i="187"/>
  <c r="F11" i="187"/>
  <c r="E11" i="187"/>
  <c r="I11" i="187" s="1"/>
  <c r="D11" i="187"/>
  <c r="L10" i="187"/>
  <c r="F10" i="187"/>
  <c r="E10" i="187"/>
  <c r="I10" i="187" s="1"/>
  <c r="D10" i="187"/>
  <c r="L9" i="187"/>
  <c r="F9" i="187"/>
  <c r="E9" i="187"/>
  <c r="I9" i="187" s="1"/>
  <c r="D9" i="187"/>
  <c r="L8" i="187"/>
  <c r="G8" i="187"/>
  <c r="F8" i="187"/>
  <c r="E8" i="187"/>
  <c r="I8" i="187" s="1"/>
  <c r="D8" i="187"/>
  <c r="C8" i="187"/>
  <c r="C9" i="187" s="1"/>
  <c r="E7" i="187"/>
  <c r="G6" i="187"/>
  <c r="I37" i="186"/>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L26" i="186"/>
  <c r="I26" i="186"/>
  <c r="F26" i="186"/>
  <c r="E26" i="186"/>
  <c r="D26" i="186"/>
  <c r="L25" i="186"/>
  <c r="I25" i="186"/>
  <c r="F25" i="186"/>
  <c r="E25" i="186"/>
  <c r="D25" i="186"/>
  <c r="L24" i="186"/>
  <c r="I24" i="186"/>
  <c r="F24" i="186"/>
  <c r="E24" i="186"/>
  <c r="D24" i="186"/>
  <c r="L23" i="186"/>
  <c r="I23" i="186"/>
  <c r="F23" i="186"/>
  <c r="E23" i="186"/>
  <c r="D23" i="186"/>
  <c r="L22" i="186"/>
  <c r="I22" i="186"/>
  <c r="F22" i="186"/>
  <c r="E22" i="186"/>
  <c r="D22" i="186"/>
  <c r="L21" i="186"/>
  <c r="I21" i="186"/>
  <c r="F21" i="186"/>
  <c r="E21" i="186"/>
  <c r="D21" i="186"/>
  <c r="L20" i="186"/>
  <c r="I20" i="186"/>
  <c r="F20" i="186"/>
  <c r="E20" i="186"/>
  <c r="D20" i="186"/>
  <c r="L19" i="186"/>
  <c r="I19" i="186"/>
  <c r="F19" i="186"/>
  <c r="E19" i="186"/>
  <c r="D19" i="186"/>
  <c r="L18" i="186"/>
  <c r="I18" i="186"/>
  <c r="F18" i="186"/>
  <c r="E18" i="186"/>
  <c r="D18" i="186"/>
  <c r="L17" i="186"/>
  <c r="I17" i="186"/>
  <c r="F17" i="186"/>
  <c r="E17" i="186"/>
  <c r="D17" i="186"/>
  <c r="L16" i="186"/>
  <c r="I16" i="186"/>
  <c r="F16" i="186"/>
  <c r="E16" i="186"/>
  <c r="D16" i="186"/>
  <c r="L15" i="186"/>
  <c r="I15" i="186"/>
  <c r="F15" i="186"/>
  <c r="E15" i="186"/>
  <c r="D15" i="186"/>
  <c r="L14" i="186"/>
  <c r="I14" i="186"/>
  <c r="F14" i="186"/>
  <c r="E14" i="186"/>
  <c r="D14" i="186"/>
  <c r="F13" i="186"/>
  <c r="E13" i="186"/>
  <c r="I13" i="186" s="1"/>
  <c r="D13" i="186"/>
  <c r="F12" i="186"/>
  <c r="I12" i="186" s="1"/>
  <c r="E12" i="186"/>
  <c r="D12" i="186"/>
  <c r="L11" i="186"/>
  <c r="F11" i="186"/>
  <c r="I11" i="186" s="1"/>
  <c r="E11" i="186"/>
  <c r="D11" i="186"/>
  <c r="L10" i="186"/>
  <c r="F10" i="186"/>
  <c r="I10" i="186" s="1"/>
  <c r="E10" i="186"/>
  <c r="D10" i="186"/>
  <c r="L9" i="186"/>
  <c r="F9" i="186"/>
  <c r="I9" i="186" s="1"/>
  <c r="E9" i="186"/>
  <c r="D9" i="186"/>
  <c r="C9" i="186"/>
  <c r="C10" i="186" s="1"/>
  <c r="L8" i="186"/>
  <c r="G8" i="186"/>
  <c r="F8" i="186"/>
  <c r="J8" i="186" s="1"/>
  <c r="E8" i="186"/>
  <c r="I8" i="186" s="1"/>
  <c r="I7" i="186" s="1"/>
  <c r="D8" i="186"/>
  <c r="C8" i="186"/>
  <c r="E7" i="186"/>
  <c r="G6"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L26" i="185"/>
  <c r="I26" i="185"/>
  <c r="F26" i="185"/>
  <c r="E26" i="185"/>
  <c r="D26" i="185"/>
  <c r="L25" i="185"/>
  <c r="I25" i="185"/>
  <c r="F25" i="185"/>
  <c r="E25" i="185"/>
  <c r="D25" i="185"/>
  <c r="L24" i="185"/>
  <c r="I24" i="185"/>
  <c r="F24" i="185"/>
  <c r="E24" i="185"/>
  <c r="D24" i="185"/>
  <c r="L23" i="185"/>
  <c r="I23" i="185"/>
  <c r="F23" i="185"/>
  <c r="E23" i="185"/>
  <c r="D23" i="185"/>
  <c r="L22" i="185"/>
  <c r="I22" i="185"/>
  <c r="F22" i="185"/>
  <c r="E22" i="185"/>
  <c r="D22" i="185"/>
  <c r="L21" i="185"/>
  <c r="I21" i="185"/>
  <c r="F21" i="185"/>
  <c r="E21" i="185"/>
  <c r="D21" i="185"/>
  <c r="L20" i="185"/>
  <c r="I20" i="185"/>
  <c r="F20" i="185"/>
  <c r="E20" i="185"/>
  <c r="D20" i="185"/>
  <c r="L19" i="185"/>
  <c r="I19" i="185"/>
  <c r="F19" i="185"/>
  <c r="E19" i="185"/>
  <c r="D19" i="185"/>
  <c r="L18" i="185"/>
  <c r="I18" i="185"/>
  <c r="F18" i="185"/>
  <c r="E18" i="185"/>
  <c r="D18" i="185"/>
  <c r="L17" i="185"/>
  <c r="I17" i="185"/>
  <c r="F17" i="185"/>
  <c r="E17" i="185"/>
  <c r="D17" i="185"/>
  <c r="L16" i="185"/>
  <c r="I16" i="185"/>
  <c r="F16" i="185"/>
  <c r="E16" i="185"/>
  <c r="D16" i="185"/>
  <c r="L15" i="185"/>
  <c r="I15" i="185"/>
  <c r="F15" i="185"/>
  <c r="E15" i="185"/>
  <c r="D15" i="185"/>
  <c r="L14" i="185"/>
  <c r="I14" i="185"/>
  <c r="F14" i="185"/>
  <c r="E14" i="185"/>
  <c r="D14" i="185"/>
  <c r="I13" i="185"/>
  <c r="F13" i="185"/>
  <c r="E13" i="185"/>
  <c r="D13" i="185"/>
  <c r="I12" i="185"/>
  <c r="F12" i="185"/>
  <c r="E12" i="185"/>
  <c r="D12" i="185"/>
  <c r="L11" i="185"/>
  <c r="I11" i="185"/>
  <c r="L10" i="185"/>
  <c r="F10" i="185"/>
  <c r="I10" i="185" s="1"/>
  <c r="E10" i="185"/>
  <c r="D10" i="185"/>
  <c r="L9" i="185"/>
  <c r="F9" i="185"/>
  <c r="I9" i="185" s="1"/>
  <c r="E9" i="185"/>
  <c r="D9" i="185"/>
  <c r="L8" i="185"/>
  <c r="G8" i="185"/>
  <c r="F8" i="185"/>
  <c r="E8" i="185"/>
  <c r="I8" i="185" s="1"/>
  <c r="D8" i="185"/>
  <c r="C8" i="185"/>
  <c r="C9" i="185" s="1"/>
  <c r="E7" i="185"/>
  <c r="G6" i="185"/>
  <c r="C12" i="191" l="1"/>
  <c r="G11" i="191"/>
  <c r="C10" i="190"/>
  <c r="G9" i="190"/>
  <c r="C11" i="189"/>
  <c r="G10" i="189"/>
  <c r="G9" i="189"/>
  <c r="C10" i="188"/>
  <c r="G9" i="188"/>
  <c r="C10" i="187"/>
  <c r="G9" i="187"/>
  <c r="I7" i="187"/>
  <c r="C11" i="186"/>
  <c r="G10" i="186"/>
  <c r="G9" i="186"/>
  <c r="J8" i="185"/>
  <c r="C10" i="185"/>
  <c r="G9" i="185"/>
  <c r="I7"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L26" i="184"/>
  <c r="I26" i="184"/>
  <c r="F26" i="184"/>
  <c r="E26" i="184"/>
  <c r="D26" i="184"/>
  <c r="L25" i="184"/>
  <c r="I25" i="184"/>
  <c r="F25" i="184"/>
  <c r="E25" i="184"/>
  <c r="D25" i="184"/>
  <c r="L24" i="184"/>
  <c r="I24" i="184"/>
  <c r="F24" i="184"/>
  <c r="E24" i="184"/>
  <c r="D24" i="184"/>
  <c r="L23" i="184"/>
  <c r="I23" i="184"/>
  <c r="F23" i="184"/>
  <c r="E23" i="184"/>
  <c r="D23" i="184"/>
  <c r="L22" i="184"/>
  <c r="I22" i="184"/>
  <c r="F22" i="184"/>
  <c r="E22" i="184"/>
  <c r="D22" i="184"/>
  <c r="L21" i="184"/>
  <c r="I21" i="184"/>
  <c r="F21" i="184"/>
  <c r="E21" i="184"/>
  <c r="D21" i="184"/>
  <c r="L20" i="184"/>
  <c r="I20" i="184"/>
  <c r="F20" i="184"/>
  <c r="E20" i="184"/>
  <c r="D20" i="184"/>
  <c r="L19" i="184"/>
  <c r="I19" i="184"/>
  <c r="F19" i="184"/>
  <c r="E19" i="184"/>
  <c r="D19" i="184"/>
  <c r="L18" i="184"/>
  <c r="I18" i="184"/>
  <c r="F18" i="184"/>
  <c r="E18" i="184"/>
  <c r="D18" i="184"/>
  <c r="L17" i="184"/>
  <c r="I17" i="184"/>
  <c r="F17" i="184"/>
  <c r="E17" i="184"/>
  <c r="D17" i="184"/>
  <c r="L16" i="184"/>
  <c r="I16" i="184"/>
  <c r="F16" i="184"/>
  <c r="E16" i="184"/>
  <c r="D16" i="184"/>
  <c r="L15" i="184"/>
  <c r="I15" i="184"/>
  <c r="F15" i="184"/>
  <c r="E15" i="184"/>
  <c r="D15" i="184"/>
  <c r="L14" i="184"/>
  <c r="I14" i="184"/>
  <c r="F14" i="184"/>
  <c r="E14" i="184"/>
  <c r="D14" i="184"/>
  <c r="F13" i="184"/>
  <c r="E13" i="184"/>
  <c r="I13" i="184" s="1"/>
  <c r="D13" i="184"/>
  <c r="F12" i="184"/>
  <c r="E12" i="184"/>
  <c r="I12" i="184" s="1"/>
  <c r="D12" i="184"/>
  <c r="L11" i="184"/>
  <c r="F11" i="184"/>
  <c r="E11" i="184"/>
  <c r="I11" i="184" s="1"/>
  <c r="D11" i="184"/>
  <c r="L10" i="184"/>
  <c r="F10" i="184"/>
  <c r="E10" i="184"/>
  <c r="I10" i="184" s="1"/>
  <c r="D10" i="184"/>
  <c r="L9" i="184"/>
  <c r="F9" i="184"/>
  <c r="E9" i="184"/>
  <c r="I9" i="184" s="1"/>
  <c r="D9" i="184"/>
  <c r="L8" i="184"/>
  <c r="G8" i="184"/>
  <c r="F8" i="184"/>
  <c r="J8" i="184" s="1"/>
  <c r="E8" i="184"/>
  <c r="I8" i="184" s="1"/>
  <c r="I7" i="184" s="1"/>
  <c r="D8" i="184"/>
  <c r="C8" i="184"/>
  <c r="C9" i="184" s="1"/>
  <c r="E7" i="184"/>
  <c r="G6"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L26" i="183"/>
  <c r="I26" i="183"/>
  <c r="F26" i="183"/>
  <c r="E26" i="183"/>
  <c r="D26" i="183"/>
  <c r="L25" i="183"/>
  <c r="I25" i="183"/>
  <c r="F25" i="183"/>
  <c r="E25" i="183"/>
  <c r="D25" i="183"/>
  <c r="L24" i="183"/>
  <c r="I24" i="183"/>
  <c r="F24" i="183"/>
  <c r="E24" i="183"/>
  <c r="D24" i="183"/>
  <c r="L23" i="183"/>
  <c r="I23" i="183"/>
  <c r="F23" i="183"/>
  <c r="E23" i="183"/>
  <c r="D23" i="183"/>
  <c r="L22" i="183"/>
  <c r="I22" i="183"/>
  <c r="F22" i="183"/>
  <c r="E22" i="183"/>
  <c r="D22" i="183"/>
  <c r="L21" i="183"/>
  <c r="I21" i="183"/>
  <c r="F21" i="183"/>
  <c r="E21" i="183"/>
  <c r="D21" i="183"/>
  <c r="L20" i="183"/>
  <c r="I20" i="183"/>
  <c r="F20" i="183"/>
  <c r="E20" i="183"/>
  <c r="D20" i="183"/>
  <c r="L19" i="183"/>
  <c r="I19" i="183"/>
  <c r="F19" i="183"/>
  <c r="E19" i="183"/>
  <c r="D19" i="183"/>
  <c r="L18" i="183"/>
  <c r="I18" i="183"/>
  <c r="F18" i="183"/>
  <c r="E18" i="183"/>
  <c r="D18" i="183"/>
  <c r="L17" i="183"/>
  <c r="I17" i="183"/>
  <c r="F17" i="183"/>
  <c r="E17" i="183"/>
  <c r="D17" i="183"/>
  <c r="L16" i="183"/>
  <c r="I16" i="183"/>
  <c r="F16" i="183"/>
  <c r="E16" i="183"/>
  <c r="D16" i="183"/>
  <c r="L15" i="183"/>
  <c r="F15" i="183"/>
  <c r="I15" i="183" s="1"/>
  <c r="E15" i="183"/>
  <c r="D15" i="183"/>
  <c r="L14" i="183"/>
  <c r="F14" i="183"/>
  <c r="I14" i="183" s="1"/>
  <c r="E14" i="183"/>
  <c r="D14" i="183"/>
  <c r="F13" i="183"/>
  <c r="E13" i="183"/>
  <c r="I13" i="183" s="1"/>
  <c r="D13" i="183"/>
  <c r="F12" i="183"/>
  <c r="I12" i="183" s="1"/>
  <c r="E12" i="183"/>
  <c r="D12" i="183"/>
  <c r="L11" i="183"/>
  <c r="F11" i="183"/>
  <c r="I11" i="183" s="1"/>
  <c r="E11" i="183"/>
  <c r="D11" i="183"/>
  <c r="L10" i="183"/>
  <c r="F10" i="183"/>
  <c r="I10" i="183" s="1"/>
  <c r="E10" i="183"/>
  <c r="D10" i="183"/>
  <c r="L9" i="183"/>
  <c r="F9" i="183"/>
  <c r="I9" i="183" s="1"/>
  <c r="E9" i="183"/>
  <c r="D9" i="183"/>
  <c r="L8" i="183"/>
  <c r="G8" i="183"/>
  <c r="F8" i="183"/>
  <c r="J8" i="183" s="1"/>
  <c r="E8" i="183"/>
  <c r="I8" i="183" s="1"/>
  <c r="I7" i="183" s="1"/>
  <c r="D8" i="183"/>
  <c r="C8" i="183"/>
  <c r="C9" i="183" s="1"/>
  <c r="E7" i="183"/>
  <c r="G6" i="183"/>
  <c r="G12" i="191" l="1"/>
  <c r="C13" i="191"/>
  <c r="C11" i="190"/>
  <c r="G10" i="190"/>
  <c r="C12" i="189"/>
  <c r="G11" i="189"/>
  <c r="C11" i="188"/>
  <c r="G10" i="188"/>
  <c r="C11" i="187"/>
  <c r="G10" i="187"/>
  <c r="C12" i="186"/>
  <c r="G11" i="186"/>
  <c r="C11" i="185"/>
  <c r="G10" i="185"/>
  <c r="C10" i="184"/>
  <c r="G9" i="184"/>
  <c r="C10" i="183"/>
  <c r="G9" i="183"/>
  <c r="G13" i="191" l="1"/>
  <c r="C14" i="191"/>
  <c r="C12" i="190"/>
  <c r="G11" i="190"/>
  <c r="G12" i="189"/>
  <c r="C13" i="189"/>
  <c r="C12" i="188"/>
  <c r="G11" i="188"/>
  <c r="C12" i="187"/>
  <c r="G11" i="187"/>
  <c r="G12" i="186"/>
  <c r="C13" i="186"/>
  <c r="C12" i="185"/>
  <c r="C11" i="184"/>
  <c r="G10" i="184"/>
  <c r="C11" i="183"/>
  <c r="G10" i="183"/>
  <c r="H4" i="95"/>
  <c r="C15" i="191" l="1"/>
  <c r="G14" i="191"/>
  <c r="G12" i="190"/>
  <c r="C13" i="190"/>
  <c r="G13" i="189"/>
  <c r="C14" i="189"/>
  <c r="G12" i="188"/>
  <c r="C13" i="188"/>
  <c r="G12" i="187"/>
  <c r="C13" i="187"/>
  <c r="G13" i="186"/>
  <c r="C14" i="186"/>
  <c r="G12" i="185"/>
  <c r="C13" i="185"/>
  <c r="C12" i="184"/>
  <c r="G11" i="184"/>
  <c r="C12" i="183"/>
  <c r="G11" i="183"/>
  <c r="I2" i="95"/>
  <c r="A2" i="137"/>
  <c r="F6" i="137"/>
  <c r="F7" i="137"/>
  <c r="C16" i="191" l="1"/>
  <c r="G15" i="191"/>
  <c r="G13" i="190"/>
  <c r="C14" i="190"/>
  <c r="C15" i="189"/>
  <c r="G14" i="189"/>
  <c r="G13" i="188"/>
  <c r="C14" i="188"/>
  <c r="C14" i="187"/>
  <c r="G13" i="187"/>
  <c r="C15" i="186"/>
  <c r="G14" i="186"/>
  <c r="G13" i="185"/>
  <c r="C14" i="185"/>
  <c r="G12" i="184"/>
  <c r="C13" i="184"/>
  <c r="G12" i="183"/>
  <c r="C13" i="183"/>
  <c r="D17" i="95"/>
  <c r="C17" i="191" l="1"/>
  <c r="G16" i="191"/>
  <c r="C15" i="190"/>
  <c r="G14" i="190"/>
  <c r="C16" i="189"/>
  <c r="G15" i="189"/>
  <c r="C15" i="188"/>
  <c r="G14" i="188"/>
  <c r="G14" i="187"/>
  <c r="C15" i="187"/>
  <c r="C16" i="186"/>
  <c r="G15" i="186"/>
  <c r="C15" i="185"/>
  <c r="G14" i="185"/>
  <c r="G13" i="184"/>
  <c r="C14" i="184"/>
  <c r="G13" i="183"/>
  <c r="C14" i="183"/>
  <c r="AX6" i="137"/>
  <c r="O2" i="150"/>
  <c r="C18" i="191" l="1"/>
  <c r="G17" i="191"/>
  <c r="C16" i="190"/>
  <c r="G15" i="190"/>
  <c r="C17" i="189"/>
  <c r="G16" i="189"/>
  <c r="C16" i="188"/>
  <c r="G15" i="188"/>
  <c r="C16" i="187"/>
  <c r="G15" i="187"/>
  <c r="C17" i="186"/>
  <c r="G16" i="186"/>
  <c r="C16" i="185"/>
  <c r="G15" i="185"/>
  <c r="C15" i="184"/>
  <c r="G14" i="184"/>
  <c r="C15" i="183"/>
  <c r="G14" i="183"/>
  <c r="F9" i="150"/>
  <c r="F5" i="150"/>
  <c r="C19" i="191" l="1"/>
  <c r="G18" i="191"/>
  <c r="C17" i="190"/>
  <c r="G16" i="190"/>
  <c r="C18" i="189"/>
  <c r="G17" i="189"/>
  <c r="C17" i="188"/>
  <c r="G16" i="188"/>
  <c r="G16" i="187"/>
  <c r="C17" i="187"/>
  <c r="C18" i="186"/>
  <c r="G17" i="186"/>
  <c r="C17" i="185"/>
  <c r="G16" i="185"/>
  <c r="C16" i="184"/>
  <c r="G15" i="184"/>
  <c r="C16" i="183"/>
  <c r="G15" i="183"/>
  <c r="A2" i="150"/>
  <c r="C20" i="191" l="1"/>
  <c r="G19" i="191"/>
  <c r="C18" i="190"/>
  <c r="G17" i="190"/>
  <c r="C19" i="189"/>
  <c r="G18" i="189"/>
  <c r="C18" i="188"/>
  <c r="G17" i="188"/>
  <c r="C18" i="187"/>
  <c r="G17" i="187"/>
  <c r="C19" i="186"/>
  <c r="G18" i="186"/>
  <c r="C18" i="185"/>
  <c r="G17" i="185"/>
  <c r="C17" i="184"/>
  <c r="G16" i="184"/>
  <c r="C17" i="183"/>
  <c r="G16" i="183"/>
  <c r="R5" i="8"/>
  <c r="C21" i="191" l="1"/>
  <c r="G20" i="191"/>
  <c r="C19" i="190"/>
  <c r="G18" i="190"/>
  <c r="C20" i="189"/>
  <c r="G19" i="189"/>
  <c r="C19" i="188"/>
  <c r="G18" i="188"/>
  <c r="G18" i="187"/>
  <c r="C19" i="187"/>
  <c r="C20" i="186"/>
  <c r="G19" i="186"/>
  <c r="C19" i="185"/>
  <c r="G18" i="185"/>
  <c r="C18" i="184"/>
  <c r="G17" i="184"/>
  <c r="C18" i="183"/>
  <c r="G17" i="183"/>
  <c r="A2" i="1"/>
  <c r="C22" i="191" l="1"/>
  <c r="G21" i="191"/>
  <c r="C20" i="190"/>
  <c r="G19" i="190"/>
  <c r="C21" i="189"/>
  <c r="G20" i="189"/>
  <c r="C20" i="188"/>
  <c r="G19" i="188"/>
  <c r="C20" i="187"/>
  <c r="G19" i="187"/>
  <c r="C21" i="186"/>
  <c r="G20" i="186"/>
  <c r="C20" i="185"/>
  <c r="G19" i="185"/>
  <c r="C19" i="184"/>
  <c r="G18" i="184"/>
  <c r="C19" i="183"/>
  <c r="G18" i="183"/>
  <c r="B25" i="95"/>
  <c r="C23" i="191" l="1"/>
  <c r="G22" i="191"/>
  <c r="C21" i="190"/>
  <c r="G20" i="190"/>
  <c r="C22" i="189"/>
  <c r="G21" i="189"/>
  <c r="C21" i="188"/>
  <c r="G20" i="188"/>
  <c r="G20" i="187"/>
  <c r="C21" i="187"/>
  <c r="C22" i="186"/>
  <c r="G21" i="186"/>
  <c r="C21" i="185"/>
  <c r="G20" i="185"/>
  <c r="C20" i="184"/>
  <c r="G19" i="184"/>
  <c r="C20" i="183"/>
  <c r="G19" i="183"/>
  <c r="G1" i="50"/>
  <c r="C24" i="191" l="1"/>
  <c r="G23" i="191"/>
  <c r="C22" i="190"/>
  <c r="G21" i="190"/>
  <c r="C23" i="189"/>
  <c r="G22" i="189"/>
  <c r="C22" i="188"/>
  <c r="G21" i="188"/>
  <c r="C22" i="187"/>
  <c r="G21" i="187"/>
  <c r="C23" i="186"/>
  <c r="G22" i="186"/>
  <c r="C22" i="185"/>
  <c r="G21" i="185"/>
  <c r="C21" i="184"/>
  <c r="G20" i="184"/>
  <c r="C21" i="183"/>
  <c r="G20" i="183"/>
  <c r="F5" i="137"/>
  <c r="C25" i="191" l="1"/>
  <c r="G24" i="191"/>
  <c r="C23" i="190"/>
  <c r="G22" i="190"/>
  <c r="C24" i="189"/>
  <c r="G23" i="189"/>
  <c r="C23" i="188"/>
  <c r="G22" i="188"/>
  <c r="G22" i="187"/>
  <c r="C23" i="187"/>
  <c r="C24" i="186"/>
  <c r="G23" i="186"/>
  <c r="C23" i="185"/>
  <c r="G22" i="185"/>
  <c r="C22" i="184"/>
  <c r="G21" i="184"/>
  <c r="C22" i="183"/>
  <c r="G21" i="183"/>
  <c r="D10" i="9"/>
  <c r="E10" i="9"/>
  <c r="F10" i="9"/>
  <c r="C26" i="191" l="1"/>
  <c r="G25" i="191"/>
  <c r="C24" i="190"/>
  <c r="G23" i="190"/>
  <c r="C25" i="189"/>
  <c r="G24" i="189"/>
  <c r="C24" i="188"/>
  <c r="G23" i="188"/>
  <c r="G23" i="187"/>
  <c r="C24" i="187"/>
  <c r="C25" i="186"/>
  <c r="G24" i="186"/>
  <c r="C24" i="185"/>
  <c r="G23" i="185"/>
  <c r="C23" i="184"/>
  <c r="G22" i="184"/>
  <c r="C23" i="183"/>
  <c r="G22" i="183"/>
  <c r="AX6" i="150"/>
  <c r="AX7" i="150"/>
  <c r="AX8" i="150"/>
  <c r="AX9" i="150"/>
  <c r="AX10" i="150"/>
  <c r="AX11" i="150"/>
  <c r="AX12" i="150"/>
  <c r="AX5" i="150"/>
  <c r="D9" i="150"/>
  <c r="D10" i="150"/>
  <c r="D11" i="150"/>
  <c r="C27" i="191" l="1"/>
  <c r="G26" i="191"/>
  <c r="C25" i="190"/>
  <c r="G24" i="190"/>
  <c r="C26" i="189"/>
  <c r="G25" i="189"/>
  <c r="C25" i="188"/>
  <c r="G24" i="188"/>
  <c r="C25" i="187"/>
  <c r="G24" i="187"/>
  <c r="C26" i="186"/>
  <c r="G25" i="186"/>
  <c r="C25" i="185"/>
  <c r="G24" i="185"/>
  <c r="C24" i="184"/>
  <c r="G23" i="184"/>
  <c r="C24" i="183"/>
  <c r="G23" i="183"/>
  <c r="P2" i="150"/>
  <c r="G27" i="191" l="1"/>
  <c r="C28" i="191"/>
  <c r="C26" i="190"/>
  <c r="G25" i="190"/>
  <c r="C27" i="189"/>
  <c r="G26" i="189"/>
  <c r="C26" i="188"/>
  <c r="G25" i="188"/>
  <c r="G25" i="187"/>
  <c r="C26" i="187"/>
  <c r="C27" i="186"/>
  <c r="G26" i="186"/>
  <c r="C26" i="185"/>
  <c r="G25" i="185"/>
  <c r="C25" i="184"/>
  <c r="G24" i="184"/>
  <c r="C25" i="183"/>
  <c r="G24" i="183"/>
  <c r="H5" i="95"/>
  <c r="C29" i="191" l="1"/>
  <c r="G28" i="191"/>
  <c r="C27" i="190"/>
  <c r="G26" i="190"/>
  <c r="C28" i="189"/>
  <c r="G27" i="189"/>
  <c r="C27" i="188"/>
  <c r="G26" i="188"/>
  <c r="C27" i="187"/>
  <c r="G26" i="187"/>
  <c r="G27" i="186"/>
  <c r="C28" i="186"/>
  <c r="C27" i="185"/>
  <c r="G26" i="185"/>
  <c r="C26" i="184"/>
  <c r="G25" i="184"/>
  <c r="C26" i="183"/>
  <c r="G25" i="183"/>
  <c r="D20" i="95"/>
  <c r="M8" i="137"/>
  <c r="G8" i="137"/>
  <c r="G29" i="191" l="1"/>
  <c r="C30" i="191"/>
  <c r="C28" i="190"/>
  <c r="G27" i="190"/>
  <c r="C29" i="189"/>
  <c r="G28" i="189"/>
  <c r="C28" i="188"/>
  <c r="G27" i="188"/>
  <c r="G27" i="187"/>
  <c r="C28" i="187"/>
  <c r="C29" i="186"/>
  <c r="G28" i="186"/>
  <c r="G27" i="185"/>
  <c r="C28" i="185"/>
  <c r="C27" i="184"/>
  <c r="G26" i="184"/>
  <c r="C27" i="183"/>
  <c r="G26" i="183"/>
  <c r="H8" i="137"/>
  <c r="G30" i="191" l="1"/>
  <c r="C31" i="191"/>
  <c r="C29" i="190"/>
  <c r="G28" i="190"/>
  <c r="G29" i="189"/>
  <c r="C30" i="189"/>
  <c r="C29" i="188"/>
  <c r="G28" i="188"/>
  <c r="C29" i="187"/>
  <c r="G28" i="187"/>
  <c r="G29" i="186"/>
  <c r="C30" i="186"/>
  <c r="C29" i="185"/>
  <c r="G28" i="185"/>
  <c r="C28" i="184"/>
  <c r="G27" i="184"/>
  <c r="C28" i="183"/>
  <c r="G27" i="183"/>
  <c r="H2" i="137"/>
  <c r="I8" i="137"/>
  <c r="J8" i="137" s="1"/>
  <c r="K8" i="137" s="1"/>
  <c r="A2" i="4"/>
  <c r="F9" i="4"/>
  <c r="G31" i="191" l="1"/>
  <c r="C32" i="191"/>
  <c r="G29" i="190"/>
  <c r="C30" i="190"/>
  <c r="G30" i="189"/>
  <c r="C31" i="189"/>
  <c r="G29" i="188"/>
  <c r="C30" i="188"/>
  <c r="G29" i="187"/>
  <c r="C30" i="187"/>
  <c r="G30" i="186"/>
  <c r="C31" i="186"/>
  <c r="G29" i="185"/>
  <c r="C30" i="185"/>
  <c r="C29" i="184"/>
  <c r="G28" i="184"/>
  <c r="C29" i="183"/>
  <c r="G28" i="183"/>
  <c r="P2" i="4"/>
  <c r="B11" i="95"/>
  <c r="B1" i="95" s="1"/>
  <c r="C33" i="191" l="1"/>
  <c r="G32" i="191"/>
  <c r="G30" i="190"/>
  <c r="C31" i="190"/>
  <c r="G31" i="189"/>
  <c r="C32" i="189"/>
  <c r="G30" i="188"/>
  <c r="C31" i="188"/>
  <c r="C31" i="187"/>
  <c r="G30" i="187"/>
  <c r="C32" i="186"/>
  <c r="G31" i="186"/>
  <c r="G30" i="185"/>
  <c r="C31" i="185"/>
  <c r="G29" i="184"/>
  <c r="C30" i="184"/>
  <c r="G29" i="183"/>
  <c r="C30" i="183"/>
  <c r="H7" i="137"/>
  <c r="K2" i="137"/>
  <c r="G33" i="191" l="1"/>
  <c r="C34" i="191"/>
  <c r="G31" i="190"/>
  <c r="C32" i="190"/>
  <c r="C33" i="189"/>
  <c r="G32" i="189"/>
  <c r="G31" i="188"/>
  <c r="C32" i="188"/>
  <c r="G31" i="187"/>
  <c r="C32" i="187"/>
  <c r="C33" i="186"/>
  <c r="G32" i="186"/>
  <c r="G31" i="185"/>
  <c r="C32" i="185"/>
  <c r="G30" i="184"/>
  <c r="C31" i="184"/>
  <c r="G30" i="183"/>
  <c r="C31" i="183"/>
  <c r="G56" i="50"/>
  <c r="G34" i="191" l="1"/>
  <c r="C35" i="191"/>
  <c r="C33" i="190"/>
  <c r="G32" i="190"/>
  <c r="G33" i="189"/>
  <c r="C34" i="189"/>
  <c r="C33" i="188"/>
  <c r="G32" i="188"/>
  <c r="C33" i="187"/>
  <c r="G32" i="187"/>
  <c r="G33" i="186"/>
  <c r="C34" i="186"/>
  <c r="C33" i="185"/>
  <c r="G32" i="185"/>
  <c r="C32" i="184"/>
  <c r="G31" i="184"/>
  <c r="C32" i="183"/>
  <c r="G31" i="183"/>
  <c r="P69" i="8"/>
  <c r="P70" i="8"/>
  <c r="P71" i="8"/>
  <c r="P72" i="8"/>
  <c r="P73" i="8"/>
  <c r="P74" i="8"/>
  <c r="P75" i="8"/>
  <c r="P76" i="8"/>
  <c r="P77" i="8"/>
  <c r="D73" i="50"/>
  <c r="D74" i="50"/>
  <c r="D75" i="50"/>
  <c r="D76" i="50"/>
  <c r="D77" i="50"/>
  <c r="D78" i="50"/>
  <c r="D79" i="50"/>
  <c r="D80" i="50"/>
  <c r="D72" i="50"/>
  <c r="M23" i="4"/>
  <c r="G35" i="191" l="1"/>
  <c r="C36" i="191"/>
  <c r="G33" i="190"/>
  <c r="C34" i="190"/>
  <c r="G34" i="189"/>
  <c r="C35" i="189"/>
  <c r="G33" i="188"/>
  <c r="C34" i="188"/>
  <c r="G33" i="187"/>
  <c r="C34" i="187"/>
  <c r="G34" i="186"/>
  <c r="C35" i="186"/>
  <c r="G33" i="185"/>
  <c r="C34" i="185"/>
  <c r="C33" i="184"/>
  <c r="G32" i="184"/>
  <c r="C33" i="183"/>
  <c r="G32" i="183"/>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C37" i="191" l="1"/>
  <c r="G36" i="191"/>
  <c r="H34" i="191"/>
  <c r="G34" i="190"/>
  <c r="C35" i="190"/>
  <c r="G35" i="189"/>
  <c r="C36" i="189"/>
  <c r="G34" i="188"/>
  <c r="C35" i="188"/>
  <c r="G34" i="187"/>
  <c r="C35" i="187"/>
  <c r="G35" i="186"/>
  <c r="C36" i="186"/>
  <c r="G34" i="185"/>
  <c r="C35" i="185"/>
  <c r="G33" i="184"/>
  <c r="C34" i="184"/>
  <c r="G33" i="183"/>
  <c r="C34" i="183"/>
  <c r="M4" i="150"/>
  <c r="H8" i="150"/>
  <c r="H11" i="150"/>
  <c r="H12" i="150"/>
  <c r="H37" i="191" l="1"/>
  <c r="G37" i="191"/>
  <c r="G38" i="191"/>
  <c r="H38" i="191" s="1"/>
  <c r="H11" i="191"/>
  <c r="H8" i="191"/>
  <c r="H12" i="191" s="1"/>
  <c r="H13" i="191"/>
  <c r="H10" i="191"/>
  <c r="H9" i="191"/>
  <c r="H15" i="191"/>
  <c r="H16" i="191"/>
  <c r="H14" i="191"/>
  <c r="H17" i="191"/>
  <c r="H18" i="191"/>
  <c r="H20" i="191"/>
  <c r="H19" i="191"/>
  <c r="H22" i="191"/>
  <c r="H23" i="191"/>
  <c r="H21" i="191"/>
  <c r="H25" i="191"/>
  <c r="H24" i="191"/>
  <c r="H26" i="191"/>
  <c r="H28" i="191"/>
  <c r="H27" i="191"/>
  <c r="H31" i="191"/>
  <c r="H30" i="191"/>
  <c r="H29" i="191"/>
  <c r="H32" i="191"/>
  <c r="H33" i="191"/>
  <c r="H35" i="191"/>
  <c r="H36" i="191"/>
  <c r="G35" i="190"/>
  <c r="C36" i="190"/>
  <c r="C37" i="189"/>
  <c r="G36" i="189"/>
  <c r="H36" i="189" s="1"/>
  <c r="H32" i="189"/>
  <c r="H31" i="189"/>
  <c r="G35" i="188"/>
  <c r="C36" i="188"/>
  <c r="C36" i="187"/>
  <c r="G35" i="187"/>
  <c r="H34" i="186"/>
  <c r="H35" i="186"/>
  <c r="C37" i="186"/>
  <c r="G36" i="186"/>
  <c r="H32" i="186"/>
  <c r="H33" i="186"/>
  <c r="G35" i="185"/>
  <c r="C36" i="185"/>
  <c r="G34" i="184"/>
  <c r="C35" i="184"/>
  <c r="G34" i="183"/>
  <c r="C35" i="183"/>
  <c r="AU42" i="50"/>
  <c r="AT57" i="50"/>
  <c r="BC73" i="50"/>
  <c r="BB13" i="50"/>
  <c r="AR31" i="50"/>
  <c r="AZ70" i="50"/>
  <c r="Z75" i="50"/>
  <c r="AR71" i="50"/>
  <c r="BB21" i="50"/>
  <c r="AU8" i="50"/>
  <c r="AV64" i="50"/>
  <c r="BC55" i="50"/>
  <c r="AT17" i="50"/>
  <c r="AV12" i="50"/>
  <c r="AL79" i="50"/>
  <c r="AJ73" i="50"/>
  <c r="BC13" i="50"/>
  <c r="AW14" i="50"/>
  <c r="AW54" i="50"/>
  <c r="AU56" i="50"/>
  <c r="AR33" i="50"/>
  <c r="AV51" i="50"/>
  <c r="AB72" i="50"/>
  <c r="AQ45" i="50"/>
  <c r="AW12" i="50"/>
  <c r="AU60" i="50"/>
  <c r="AP23" i="50"/>
  <c r="AP22" i="50"/>
  <c r="AT36" i="50"/>
  <c r="BC76" i="50"/>
  <c r="AT49" i="50"/>
  <c r="AS75" i="50"/>
  <c r="AW75" i="50"/>
  <c r="AW42" i="50"/>
  <c r="AX5" i="50"/>
  <c r="AQ6" i="50"/>
  <c r="AR46" i="50"/>
  <c r="AV16" i="50"/>
  <c r="AW64" i="50"/>
  <c r="AP50" i="50"/>
  <c r="AY54" i="50"/>
  <c r="AW56" i="50"/>
  <c r="BA77" i="50"/>
  <c r="AT35" i="50"/>
  <c r="BB7" i="50"/>
  <c r="AT9" i="50"/>
  <c r="AS57" i="50"/>
  <c r="BB71" i="50"/>
  <c r="AT31" i="50"/>
  <c r="BA37" i="50"/>
  <c r="AU10" i="50"/>
  <c r="AR63" i="50"/>
  <c r="AQ67" i="50"/>
  <c r="AM77" i="50"/>
  <c r="AQ52" i="50"/>
  <c r="AZ23" i="50"/>
  <c r="AP58" i="50"/>
  <c r="AR60" i="50"/>
  <c r="AT41" i="50"/>
  <c r="AS14" i="50"/>
  <c r="AU49" i="50"/>
  <c r="AS44" i="50"/>
  <c r="AP11" i="50"/>
  <c r="AS40" i="50"/>
  <c r="AS36" i="50"/>
  <c r="AY12" i="50"/>
  <c r="AW50" i="50"/>
  <c r="AQ72" i="50"/>
  <c r="BB69" i="50"/>
  <c r="AV18" i="50"/>
  <c r="AW24" i="50"/>
  <c r="AB73" i="50"/>
  <c r="AU40" i="50"/>
  <c r="BB41" i="50"/>
  <c r="AV68" i="50"/>
  <c r="AV28" i="50"/>
  <c r="AZ75" i="50"/>
  <c r="AX76" i="50"/>
  <c r="AF74" i="50"/>
  <c r="AU70" i="50"/>
  <c r="BA14" i="50"/>
  <c r="AY41" i="50"/>
  <c r="AV72" i="50"/>
  <c r="AW25" i="50"/>
  <c r="AX21" i="50"/>
  <c r="AZ36" i="50"/>
  <c r="AX22" i="50"/>
  <c r="V80" i="50"/>
  <c r="AW58" i="50"/>
  <c r="AS20" i="50"/>
  <c r="BB73" i="50"/>
  <c r="AT21" i="50"/>
  <c r="AQ41" i="50"/>
  <c r="AW32" i="50"/>
  <c r="AU20" i="50"/>
  <c r="AT72" i="50"/>
  <c r="AQ26" i="50"/>
  <c r="X79" i="50"/>
  <c r="AV54" i="50"/>
  <c r="AZ74" i="50"/>
  <c r="BA24" i="50"/>
  <c r="AR22" i="50"/>
  <c r="AT47" i="50"/>
  <c r="BA39" i="50"/>
  <c r="BC39" i="50"/>
  <c r="AV7" i="50"/>
  <c r="AZ47" i="50"/>
  <c r="BC80" i="50"/>
  <c r="AW69" i="50"/>
  <c r="BB36" i="50"/>
  <c r="AQ65" i="50"/>
  <c r="AY32" i="50"/>
  <c r="AR21" i="50"/>
  <c r="AS79" i="50"/>
  <c r="AZ49" i="50"/>
  <c r="T78" i="50"/>
  <c r="AT68" i="50"/>
  <c r="AU41" i="50"/>
  <c r="AK72" i="50"/>
  <c r="V73" i="50"/>
  <c r="AQ54" i="50"/>
  <c r="AX68" i="50"/>
  <c r="BC31" i="50"/>
  <c r="AN79" i="50"/>
  <c r="AY69" i="50"/>
  <c r="AH74" i="50"/>
  <c r="BA52" i="50"/>
  <c r="BB53" i="50"/>
  <c r="BB40" i="50"/>
  <c r="AP76" i="50"/>
  <c r="AT55" i="50"/>
  <c r="AQ29" i="50"/>
  <c r="AT10" i="50"/>
  <c r="AV27" i="50"/>
  <c r="AQ75" i="50"/>
  <c r="AU46" i="50"/>
  <c r="AX78" i="50"/>
  <c r="AR26" i="50"/>
  <c r="AV32" i="50"/>
  <c r="AW72" i="50"/>
  <c r="AQ30" i="50"/>
  <c r="AO78" i="50"/>
  <c r="AP30" i="50"/>
  <c r="AV80" i="50"/>
  <c r="AQ27" i="50"/>
  <c r="BA34" i="50"/>
  <c r="AS58" i="50"/>
  <c r="AY24" i="50"/>
  <c r="BC20" i="50"/>
  <c r="AX41" i="50"/>
  <c r="AX65" i="50"/>
  <c r="AZ42" i="50"/>
  <c r="AY29" i="50"/>
  <c r="AU65" i="50"/>
  <c r="AY63" i="50"/>
  <c r="AZ62" i="50"/>
  <c r="AS63" i="50"/>
  <c r="AW20" i="50"/>
  <c r="AU21" i="50"/>
  <c r="BA22" i="50"/>
  <c r="AV57" i="50"/>
  <c r="BC4" i="50"/>
  <c r="AX38" i="50"/>
  <c r="AR78" i="50"/>
  <c r="AZ8" i="50"/>
  <c r="BB57" i="50"/>
  <c r="AY79" i="50"/>
  <c r="AR48" i="50"/>
  <c r="BC18" i="50"/>
  <c r="AQ11" i="50"/>
  <c r="AS17" i="50"/>
  <c r="BC19" i="50"/>
  <c r="AW41" i="50"/>
  <c r="AN77" i="50"/>
  <c r="AK79" i="50"/>
  <c r="AP27" i="50"/>
  <c r="AX50" i="50"/>
  <c r="AP10" i="50"/>
  <c r="AV74" i="50"/>
  <c r="AS72" i="50"/>
  <c r="AP45" i="50"/>
  <c r="AT12" i="50"/>
  <c r="AG74" i="50"/>
  <c r="AZ21" i="50"/>
  <c r="AU73" i="50"/>
  <c r="AY25" i="50"/>
  <c r="AY37" i="50"/>
  <c r="AY56" i="50"/>
  <c r="BA73" i="50"/>
  <c r="AV8" i="50"/>
  <c r="AW6" i="50"/>
  <c r="AW61" i="50"/>
  <c r="AW8" i="50"/>
  <c r="AX51" i="50"/>
  <c r="AZ72" i="50"/>
  <c r="BC46" i="50"/>
  <c r="BC58" i="50"/>
  <c r="AK76" i="50"/>
  <c r="BA43" i="50"/>
  <c r="AW7" i="50"/>
  <c r="AY23" i="50"/>
  <c r="AX52" i="50"/>
  <c r="AV10" i="50"/>
  <c r="AU58" i="50"/>
  <c r="AQ35" i="50"/>
  <c r="BC29" i="50"/>
  <c r="AP56" i="50"/>
  <c r="AR75" i="50"/>
  <c r="AZ65" i="50"/>
  <c r="BC5" i="50"/>
  <c r="BA50" i="50"/>
  <c r="AW67" i="50"/>
  <c r="AT66" i="50"/>
  <c r="BC63" i="50"/>
  <c r="X80" i="50"/>
  <c r="BC49" i="50"/>
  <c r="AW47" i="50"/>
  <c r="AR50" i="50"/>
  <c r="BA29" i="50"/>
  <c r="AX67" i="50"/>
  <c r="AT29" i="50"/>
  <c r="AY18" i="50"/>
  <c r="BB20" i="50"/>
  <c r="AS55" i="50"/>
  <c r="AV31" i="50"/>
  <c r="BB67" i="50"/>
  <c r="AW60" i="50"/>
  <c r="AA74" i="50"/>
  <c r="AU36" i="50"/>
  <c r="AE79" i="50"/>
  <c r="AY77" i="50"/>
  <c r="AV73" i="50"/>
  <c r="AQ61" i="50"/>
  <c r="BC78" i="50"/>
  <c r="AZ12" i="50"/>
  <c r="AF75" i="50"/>
  <c r="AY28" i="50"/>
  <c r="AT74" i="50"/>
  <c r="AW40" i="50"/>
  <c r="AI80" i="50"/>
  <c r="BC66" i="50"/>
  <c r="AQ71" i="50"/>
  <c r="AT16" i="50"/>
  <c r="AV36" i="50"/>
  <c r="AZ67" i="50"/>
  <c r="AX56" i="50"/>
  <c r="AQ76" i="50"/>
  <c r="AV42" i="50"/>
  <c r="AI76" i="50"/>
  <c r="AV21" i="50"/>
  <c r="AX73" i="50"/>
  <c r="AT26" i="50"/>
  <c r="AK80" i="50"/>
  <c r="AV62" i="50"/>
  <c r="AP65" i="50"/>
  <c r="AX62" i="50"/>
  <c r="BC77" i="50"/>
  <c r="AT77" i="50"/>
  <c r="AT52" i="50"/>
  <c r="AV14" i="50"/>
  <c r="AY20" i="50"/>
  <c r="AR66" i="50"/>
  <c r="AV35" i="50"/>
  <c r="AQ46" i="50"/>
  <c r="AU35" i="50"/>
  <c r="BA48" i="50"/>
  <c r="AS61" i="50"/>
  <c r="AX6" i="50"/>
  <c r="AV34" i="50"/>
  <c r="AV71" i="50"/>
  <c r="AQ47" i="50"/>
  <c r="BA8" i="50"/>
  <c r="BB18" i="50"/>
  <c r="BB32" i="50"/>
  <c r="AQ16" i="50"/>
  <c r="AZ55" i="50"/>
  <c r="AS19" i="50"/>
  <c r="AP41" i="50"/>
  <c r="AY57" i="50"/>
  <c r="AR42" i="50"/>
  <c r="AQ58" i="50"/>
  <c r="AR58" i="50"/>
  <c r="AV47" i="50"/>
  <c r="AY43" i="50"/>
  <c r="AO80" i="50"/>
  <c r="AR36" i="50"/>
  <c r="BA17" i="50"/>
  <c r="BB11" i="50"/>
  <c r="AW43" i="50"/>
  <c r="AW44" i="50"/>
  <c r="AT43" i="50"/>
  <c r="BB55" i="50"/>
  <c r="AC74" i="50"/>
  <c r="BB38" i="50"/>
  <c r="AV55" i="50"/>
  <c r="AP36" i="50"/>
  <c r="BB74" i="50"/>
  <c r="BA13" i="50"/>
  <c r="AS37" i="50"/>
  <c r="AY75" i="50"/>
  <c r="AU7" i="50"/>
  <c r="AV63" i="50"/>
  <c r="AP25" i="50"/>
  <c r="AF73" i="50"/>
  <c r="AP51" i="50"/>
  <c r="BA12" i="50"/>
  <c r="BC15" i="50"/>
  <c r="AU33" i="50"/>
  <c r="AQ34" i="50"/>
  <c r="X72" i="50"/>
  <c r="AP70" i="50"/>
  <c r="AP49" i="50"/>
  <c r="AR61" i="50"/>
  <c r="BC69" i="50"/>
  <c r="AS26" i="50"/>
  <c r="AP55" i="50"/>
  <c r="AY76" i="50"/>
  <c r="AR15" i="50"/>
  <c r="AP32" i="50"/>
  <c r="BC70" i="50"/>
  <c r="AT11" i="50"/>
  <c r="AR7" i="50"/>
  <c r="AS6" i="50"/>
  <c r="AX30" i="50"/>
  <c r="BC8" i="50"/>
  <c r="AR32" i="50"/>
  <c r="AV9" i="50"/>
  <c r="AW17" i="50"/>
  <c r="BB35" i="50"/>
  <c r="AU22" i="50"/>
  <c r="AZ25" i="50"/>
  <c r="AW10" i="50"/>
  <c r="BB62" i="50"/>
  <c r="AU45" i="50"/>
  <c r="AQ8" i="50"/>
  <c r="AP44" i="50"/>
  <c r="AU76" i="50"/>
  <c r="AS5" i="50"/>
  <c r="AY8" i="50"/>
  <c r="AP38" i="50"/>
  <c r="AP59" i="50"/>
  <c r="BC40" i="50"/>
  <c r="AP68" i="50"/>
  <c r="AP57" i="50"/>
  <c r="BB46" i="50"/>
  <c r="AT22" i="50"/>
  <c r="AX17" i="50"/>
  <c r="AP37" i="50"/>
  <c r="BA19" i="50"/>
  <c r="BA46" i="50"/>
  <c r="AP42" i="50"/>
  <c r="AU75" i="50"/>
  <c r="BA80" i="50"/>
  <c r="BB6" i="50"/>
  <c r="AS52" i="50"/>
  <c r="AP33" i="50"/>
  <c r="AW36" i="50"/>
  <c r="AT20" i="50"/>
  <c r="AM74" i="50"/>
  <c r="AT33" i="50"/>
  <c r="AV69" i="50"/>
  <c r="AZ33" i="50"/>
  <c r="AP53" i="50"/>
  <c r="AQ22" i="50"/>
  <c r="AR65" i="50"/>
  <c r="AI78" i="50"/>
  <c r="AY65" i="50"/>
  <c r="AQ28" i="50"/>
  <c r="BC60" i="50"/>
  <c r="BC65" i="50"/>
  <c r="BA63" i="50"/>
  <c r="AX18" i="50"/>
  <c r="BC57" i="50"/>
  <c r="BB56" i="50"/>
  <c r="AZ26" i="50"/>
  <c r="AU52" i="50"/>
  <c r="AZ6" i="50"/>
  <c r="AU43" i="50"/>
  <c r="AV5" i="50"/>
  <c r="BA18" i="50"/>
  <c r="AP21" i="50"/>
  <c r="BC10" i="50"/>
  <c r="BB64" i="50"/>
  <c r="BC12" i="50"/>
  <c r="AR41" i="50"/>
  <c r="AY72" i="50"/>
  <c r="AS16" i="50"/>
  <c r="AT32" i="50"/>
  <c r="BC50" i="50"/>
  <c r="AZ51" i="50"/>
  <c r="AX16" i="50"/>
  <c r="AU66" i="50"/>
  <c r="AR12" i="50"/>
  <c r="AQ68" i="50"/>
  <c r="AQ74" i="50"/>
  <c r="AS18" i="50"/>
  <c r="AR77" i="50"/>
  <c r="AS25" i="50"/>
  <c r="BC14" i="50"/>
  <c r="AX55" i="50"/>
  <c r="AZ50" i="50"/>
  <c r="AT28" i="50"/>
  <c r="AS10" i="50"/>
  <c r="AW45" i="50"/>
  <c r="BA21" i="50"/>
  <c r="AD79" i="50"/>
  <c r="AX12" i="50"/>
  <c r="BA78" i="50"/>
  <c r="BA49" i="50"/>
  <c r="AU12" i="50"/>
  <c r="AM75" i="50"/>
  <c r="AX8" i="50"/>
  <c r="AP72" i="50"/>
  <c r="AZ68" i="50"/>
  <c r="BA6" i="50"/>
  <c r="X76" i="50"/>
  <c r="AZ10" i="50"/>
  <c r="AS45" i="50"/>
  <c r="BA69" i="50"/>
  <c r="AT15" i="50"/>
  <c r="AR67" i="50"/>
  <c r="BB23" i="50"/>
  <c r="AV56" i="50"/>
  <c r="AX31" i="50"/>
  <c r="AR28" i="50"/>
  <c r="AL80" i="50"/>
  <c r="AV53" i="50"/>
  <c r="BA64" i="50"/>
  <c r="AR45" i="50"/>
  <c r="AD76" i="50"/>
  <c r="AL77" i="50"/>
  <c r="AT64" i="50"/>
  <c r="AY49" i="50"/>
  <c r="AS23" i="50"/>
  <c r="AX25" i="50"/>
  <c r="BA41" i="50"/>
  <c r="BA70" i="50"/>
  <c r="BB43" i="50"/>
  <c r="AP8" i="50"/>
  <c r="AC76" i="50"/>
  <c r="AY48" i="50"/>
  <c r="BB42" i="50"/>
  <c r="AV20" i="50"/>
  <c r="AR64" i="50"/>
  <c r="AU64" i="50"/>
  <c r="AQ24" i="50"/>
  <c r="AQ9" i="50"/>
  <c r="AQ5" i="50"/>
  <c r="AQ63" i="50"/>
  <c r="AY22" i="50"/>
  <c r="AV48" i="50"/>
  <c r="BB37" i="50"/>
  <c r="AV52" i="50"/>
  <c r="AD75" i="50"/>
  <c r="AA75" i="50"/>
  <c r="AW49" i="50"/>
  <c r="AY26" i="50"/>
  <c r="AT80" i="50"/>
  <c r="AD77" i="50"/>
  <c r="AV38" i="50"/>
  <c r="AK73" i="50"/>
  <c r="AS35" i="50"/>
  <c r="AQ57" i="50"/>
  <c r="AZ57" i="50"/>
  <c r="AP67" i="50"/>
  <c r="AX13" i="50"/>
  <c r="AV23" i="50"/>
  <c r="AT45" i="50"/>
  <c r="AU11" i="50"/>
  <c r="AY7" i="50"/>
  <c r="AP39" i="50"/>
  <c r="AV44" i="50"/>
  <c r="AP69" i="50"/>
  <c r="AY34" i="50"/>
  <c r="AW74" i="50"/>
  <c r="AP75" i="50"/>
  <c r="AQ79" i="50"/>
  <c r="AS46" i="50"/>
  <c r="AZ54" i="50"/>
  <c r="AS13" i="50"/>
  <c r="AZ16" i="50"/>
  <c r="AX69" i="50"/>
  <c r="Y73" i="50"/>
  <c r="AY5" i="50"/>
  <c r="AX77" i="50"/>
  <c r="BA53" i="50"/>
  <c r="AK77" i="50"/>
  <c r="AY27" i="50"/>
  <c r="AW78" i="50"/>
  <c r="AY60" i="50"/>
  <c r="Y72" i="50"/>
  <c r="AT44" i="50"/>
  <c r="AT79" i="50"/>
  <c r="AV58" i="50"/>
  <c r="BB15" i="50"/>
  <c r="AS65" i="50"/>
  <c r="AT24" i="50"/>
  <c r="T75" i="50"/>
  <c r="Q74" i="50"/>
  <c r="S80" i="50"/>
  <c r="R75" i="50"/>
  <c r="AQ32" i="50"/>
  <c r="AP34" i="50"/>
  <c r="AD80" i="50"/>
  <c r="AA80" i="50"/>
  <c r="AS48" i="50"/>
  <c r="AS71" i="50"/>
  <c r="AL72" i="50"/>
  <c r="AS34" i="50"/>
  <c r="AR52" i="50"/>
  <c r="AT75" i="50"/>
  <c r="AR70" i="50"/>
  <c r="AS70" i="50"/>
  <c r="AV33" i="50"/>
  <c r="AR20" i="50"/>
  <c r="AQ56" i="50"/>
  <c r="BB28" i="50"/>
  <c r="AQ78" i="50"/>
  <c r="AV50" i="50"/>
  <c r="AZ15" i="50"/>
  <c r="AU71" i="50"/>
  <c r="BB50" i="50"/>
  <c r="AY45" i="50"/>
  <c r="BA11" i="50"/>
  <c r="AY17" i="50"/>
  <c r="BB29" i="50"/>
  <c r="AV77" i="50"/>
  <c r="BB8" i="50"/>
  <c r="BA28" i="50"/>
  <c r="BA68" i="50"/>
  <c r="BB34" i="50"/>
  <c r="AV45" i="50"/>
  <c r="AY50" i="50"/>
  <c r="AQ38" i="50"/>
  <c r="V75" i="50"/>
  <c r="AZ56" i="50"/>
  <c r="Y77" i="50"/>
  <c r="O77" i="50"/>
  <c r="AR35" i="50"/>
  <c r="AX32" i="50"/>
  <c r="AW27" i="50"/>
  <c r="AR59" i="50"/>
  <c r="AT46" i="50"/>
  <c r="AR54" i="50"/>
  <c r="AV37" i="50"/>
  <c r="AJ77" i="50"/>
  <c r="BC67" i="50"/>
  <c r="AC75" i="50"/>
  <c r="AT42" i="50"/>
  <c r="AH76" i="50"/>
  <c r="AU55" i="50"/>
  <c r="AW16" i="50"/>
  <c r="AY73" i="50"/>
  <c r="Z77" i="50"/>
  <c r="AQ13" i="50"/>
  <c r="AL76" i="50"/>
  <c r="AT39" i="50"/>
  <c r="AR17" i="50"/>
  <c r="AS27" i="50"/>
  <c r="AY71" i="50"/>
  <c r="AS51" i="50"/>
  <c r="BB52" i="50"/>
  <c r="AZ14" i="50"/>
  <c r="AO77" i="50"/>
  <c r="AW80" i="50"/>
  <c r="BC6" i="50"/>
  <c r="BC62" i="50"/>
  <c r="AZ32" i="50"/>
  <c r="AV24" i="50"/>
  <c r="AR13" i="50"/>
  <c r="AQ59" i="50"/>
  <c r="AQ51" i="50"/>
  <c r="AU34" i="50"/>
  <c r="AT63" i="50"/>
  <c r="AT25" i="50"/>
  <c r="BA57" i="50"/>
  <c r="AW21" i="50"/>
  <c r="Z73" i="50"/>
  <c r="AT38" i="50"/>
  <c r="AC72" i="50"/>
  <c r="AY53" i="50"/>
  <c r="AK75" i="50"/>
  <c r="AP48" i="50"/>
  <c r="AX48" i="50"/>
  <c r="AY33" i="50"/>
  <c r="AT60" i="50"/>
  <c r="AX79" i="50"/>
  <c r="AS59" i="50"/>
  <c r="AU25" i="50"/>
  <c r="AY52" i="50"/>
  <c r="BB12" i="50"/>
  <c r="AT30" i="50"/>
  <c r="AU48" i="50"/>
  <c r="AK78" i="50"/>
  <c r="AV6" i="50"/>
  <c r="AI79" i="50"/>
  <c r="AU47" i="50"/>
  <c r="BA9" i="50"/>
  <c r="AZ53" i="50"/>
  <c r="AX53" i="50"/>
  <c r="AW35" i="50"/>
  <c r="AR6" i="50"/>
  <c r="AP77" i="50"/>
  <c r="BB80" i="50"/>
  <c r="AY40" i="50"/>
  <c r="AY36" i="50"/>
  <c r="U79" i="50"/>
  <c r="AO75" i="50"/>
  <c r="AL78" i="50"/>
  <c r="AY9" i="50"/>
  <c r="AS9" i="50"/>
  <c r="AR51" i="50"/>
  <c r="AZ19" i="50"/>
  <c r="AS33" i="50"/>
  <c r="O73" i="50"/>
  <c r="AY61" i="50"/>
  <c r="AY80" i="50"/>
  <c r="AZ45" i="50"/>
  <c r="AW51" i="50"/>
  <c r="AE76" i="50"/>
  <c r="AM73" i="50"/>
  <c r="AV61" i="50"/>
  <c r="AQ40" i="50"/>
  <c r="AA79" i="50"/>
  <c r="Z76" i="50"/>
  <c r="L76" i="50"/>
  <c r="M80" i="50"/>
  <c r="R80" i="50"/>
  <c r="AX37" i="50"/>
  <c r="AZ69" i="50"/>
  <c r="BC45" i="50"/>
  <c r="AR62" i="50"/>
  <c r="AQ18" i="50"/>
  <c r="BB9" i="50"/>
  <c r="AZ60" i="50"/>
  <c r="AQ7" i="50"/>
  <c r="AV76" i="50"/>
  <c r="AX15" i="50"/>
  <c r="AR44" i="50"/>
  <c r="BC28" i="50"/>
  <c r="AU37" i="50"/>
  <c r="AP31" i="50"/>
  <c r="AY42" i="50"/>
  <c r="AS30" i="50"/>
  <c r="BA26" i="50"/>
  <c r="AT5" i="50"/>
  <c r="AW31" i="50"/>
  <c r="AN73" i="50"/>
  <c r="AI75" i="50"/>
  <c r="AQ55" i="50"/>
  <c r="AU50" i="50"/>
  <c r="AZ24" i="50"/>
  <c r="AZ40" i="50"/>
  <c r="AU29" i="50"/>
  <c r="AY74" i="50"/>
  <c r="AW52" i="50"/>
  <c r="AQ48" i="50"/>
  <c r="BA31" i="50"/>
  <c r="AU77" i="50"/>
  <c r="AP20" i="50"/>
  <c r="AW5" i="50"/>
  <c r="BA40" i="50"/>
  <c r="AS7" i="50"/>
  <c r="AQ31" i="50"/>
  <c r="BC16" i="50"/>
  <c r="BA66" i="50"/>
  <c r="AT54" i="50"/>
  <c r="AY59" i="50"/>
  <c r="AR72" i="50"/>
  <c r="BB31" i="50"/>
  <c r="AX29" i="50"/>
  <c r="BB72" i="50"/>
  <c r="AO72" i="50"/>
  <c r="AT76" i="50"/>
  <c r="AV30" i="50"/>
  <c r="AC80" i="50"/>
  <c r="AM78" i="50"/>
  <c r="AU23" i="50"/>
  <c r="AW53" i="50"/>
  <c r="AZ7" i="50"/>
  <c r="AS62" i="50"/>
  <c r="AT19" i="50"/>
  <c r="AZ43" i="50"/>
  <c r="AG75" i="50"/>
  <c r="W73" i="50"/>
  <c r="AX27" i="50"/>
  <c r="AW71" i="50"/>
  <c r="AX39" i="50"/>
  <c r="AX11" i="50"/>
  <c r="BA65" i="50"/>
  <c r="AJ80" i="50"/>
  <c r="AT73" i="50"/>
  <c r="AP16" i="50"/>
  <c r="AY21" i="50"/>
  <c r="AU44" i="50"/>
  <c r="AQ69" i="50"/>
  <c r="AX43" i="50"/>
  <c r="AS24" i="50"/>
  <c r="AP73" i="50"/>
  <c r="AQ37" i="50"/>
  <c r="AW66" i="50"/>
  <c r="AP61" i="50"/>
  <c r="BA75" i="50"/>
  <c r="BC11" i="50"/>
  <c r="AT67" i="50"/>
  <c r="BA20" i="50"/>
  <c r="AZ71" i="50"/>
  <c r="AR76" i="50"/>
  <c r="T79" i="50"/>
  <c r="AX46" i="50"/>
  <c r="AV75" i="50"/>
  <c r="AU24" i="50"/>
  <c r="AZ37" i="50"/>
  <c r="AZ11" i="50"/>
  <c r="AW23" i="50"/>
  <c r="AR23" i="50"/>
  <c r="Y76" i="50"/>
  <c r="BC43" i="50"/>
  <c r="AW34" i="50"/>
  <c r="BB26" i="50"/>
  <c r="AI73" i="50"/>
  <c r="AP74" i="50"/>
  <c r="BB78" i="50"/>
  <c r="AX26" i="50"/>
  <c r="BB19" i="50"/>
  <c r="AY70" i="50"/>
  <c r="BA62" i="50"/>
  <c r="AH75" i="50"/>
  <c r="AZ46" i="50"/>
  <c r="AV25" i="50"/>
  <c r="BB79" i="50"/>
  <c r="AP71" i="50"/>
  <c r="AS11" i="50"/>
  <c r="BC33" i="50"/>
  <c r="BB54" i="50"/>
  <c r="U72" i="50"/>
  <c r="AZ34" i="50"/>
  <c r="AY11" i="50"/>
  <c r="BB58" i="50"/>
  <c r="AR14" i="50"/>
  <c r="AT13" i="50"/>
  <c r="AQ39" i="50"/>
  <c r="AS29" i="50"/>
  <c r="AR40" i="50"/>
  <c r="W72" i="50"/>
  <c r="BC41" i="50"/>
  <c r="Z72" i="50"/>
  <c r="AR24" i="50"/>
  <c r="AR49" i="50"/>
  <c r="BB70" i="50"/>
  <c r="AZ80" i="50"/>
  <c r="AU79" i="50"/>
  <c r="S79" i="50"/>
  <c r="P79" i="50"/>
  <c r="N74" i="50"/>
  <c r="BA44" i="50"/>
  <c r="AW18" i="50"/>
  <c r="AZ76" i="50"/>
  <c r="BC38" i="50"/>
  <c r="AQ10" i="50"/>
  <c r="BC35" i="50"/>
  <c r="BC44" i="50"/>
  <c r="AS12" i="50"/>
  <c r="AP28" i="50"/>
  <c r="AP24" i="50"/>
  <c r="AU13" i="50"/>
  <c r="AI74" i="50"/>
  <c r="BC37" i="50"/>
  <c r="AS31" i="50"/>
  <c r="AQ43" i="50"/>
  <c r="AR79" i="50"/>
  <c r="BC32" i="50"/>
  <c r="AN78" i="50"/>
  <c r="AY6" i="50"/>
  <c r="AS76" i="50"/>
  <c r="AY19" i="50"/>
  <c r="AU54" i="50"/>
  <c r="AX47" i="50"/>
  <c r="AW30" i="50"/>
  <c r="AJ76" i="50"/>
  <c r="Z78" i="50"/>
  <c r="AT8" i="50"/>
  <c r="AN75" i="50"/>
  <c r="AW39" i="50"/>
  <c r="AS66" i="50"/>
  <c r="AU6" i="50"/>
  <c r="AT7" i="50"/>
  <c r="AQ66" i="50"/>
  <c r="BA54" i="50"/>
  <c r="BA25" i="50"/>
  <c r="AF78" i="50"/>
  <c r="AE73" i="50"/>
  <c r="AV11" i="50"/>
  <c r="AQ64" i="50"/>
  <c r="AY78" i="50"/>
  <c r="BA60" i="50"/>
  <c r="AY62" i="50"/>
  <c r="AW15" i="50"/>
  <c r="AZ66" i="50"/>
  <c r="AP78" i="50"/>
  <c r="V76" i="50"/>
  <c r="AR68" i="50"/>
  <c r="AV17" i="50"/>
  <c r="AX34" i="50"/>
  <c r="AZ29" i="50"/>
  <c r="AW73" i="50"/>
  <c r="AP79" i="50"/>
  <c r="AW28" i="50"/>
  <c r="Y80" i="50"/>
  <c r="AR11" i="50"/>
  <c r="AS21" i="50"/>
  <c r="BA47" i="50"/>
  <c r="V77" i="50"/>
  <c r="O79" i="50"/>
  <c r="AQ17" i="50"/>
  <c r="BC64" i="50"/>
  <c r="AR80" i="50"/>
  <c r="AU57" i="50"/>
  <c r="AS80" i="50"/>
  <c r="AT18" i="50"/>
  <c r="BC21" i="50"/>
  <c r="BA76" i="50"/>
  <c r="AT62" i="50"/>
  <c r="AV65" i="50"/>
  <c r="AR69" i="50"/>
  <c r="BA30" i="50"/>
  <c r="AK74" i="50"/>
  <c r="BB48" i="50"/>
  <c r="AQ77" i="50"/>
  <c r="AZ17" i="50"/>
  <c r="AU51" i="50"/>
  <c r="BB61" i="50"/>
  <c r="W80" i="50"/>
  <c r="BB45" i="50"/>
  <c r="AS60" i="50"/>
  <c r="AS69" i="50"/>
  <c r="AC77" i="50"/>
  <c r="Y79" i="50"/>
  <c r="AS50" i="50"/>
  <c r="AG73" i="50"/>
  <c r="AT78" i="50"/>
  <c r="AS56" i="50"/>
  <c r="BC17" i="50"/>
  <c r="U74" i="50"/>
  <c r="R72" i="50"/>
  <c r="AW9" i="50"/>
  <c r="AN76" i="50"/>
  <c r="AY64" i="50"/>
  <c r="AP52" i="50"/>
  <c r="AZ59" i="50"/>
  <c r="T74" i="50"/>
  <c r="AJ78" i="50"/>
  <c r="AX59" i="50"/>
  <c r="AJ74" i="50"/>
  <c r="AY46" i="50"/>
  <c r="AB79" i="50"/>
  <c r="AS15" i="50"/>
  <c r="V79" i="50"/>
  <c r="AY68" i="50"/>
  <c r="BB44" i="50"/>
  <c r="AX40" i="50"/>
  <c r="AX7" i="50"/>
  <c r="BC79" i="50"/>
  <c r="AL73" i="50"/>
  <c r="AU17" i="50"/>
  <c r="U73" i="50"/>
  <c r="AP6" i="50"/>
  <c r="AO79" i="50"/>
  <c r="AX80" i="50"/>
  <c r="BC25" i="50"/>
  <c r="AP47" i="50"/>
  <c r="AM80" i="50"/>
  <c r="AU31" i="50"/>
  <c r="AT37" i="50"/>
  <c r="AW70" i="50"/>
  <c r="AR10" i="50"/>
  <c r="P77" i="50"/>
  <c r="Q72" i="50"/>
  <c r="P75" i="50"/>
  <c r="AP43" i="50"/>
  <c r="AT34" i="50"/>
  <c r="AT61" i="50"/>
  <c r="AZ28" i="50"/>
  <c r="AW57" i="50"/>
  <c r="AW55" i="50"/>
  <c r="BC75" i="50"/>
  <c r="AP5" i="50"/>
  <c r="AU74" i="50"/>
  <c r="AV49" i="50"/>
  <c r="O78" i="50"/>
  <c r="AU18" i="50"/>
  <c r="AG77" i="50"/>
  <c r="AW77" i="50"/>
  <c r="AV70" i="50"/>
  <c r="AQ12" i="50"/>
  <c r="AS22" i="50"/>
  <c r="O75" i="50"/>
  <c r="O74" i="50"/>
  <c r="AX19" i="50"/>
  <c r="BC22" i="50"/>
  <c r="AY55" i="50"/>
  <c r="BC24" i="50"/>
  <c r="BB60" i="50"/>
  <c r="BA59" i="50"/>
  <c r="T80" i="50"/>
  <c r="W79" i="50"/>
  <c r="BC54" i="50"/>
  <c r="AU63" i="50"/>
  <c r="AJ75" i="50"/>
  <c r="AX74" i="50"/>
  <c r="AT53" i="50"/>
  <c r="X75" i="50"/>
  <c r="AV78" i="50"/>
  <c r="BA7" i="50"/>
  <c r="AC78" i="50"/>
  <c r="AS77" i="50"/>
  <c r="AZ77" i="50"/>
  <c r="AD78" i="50"/>
  <c r="O80" i="50"/>
  <c r="AR9" i="50"/>
  <c r="L74" i="50"/>
  <c r="M75" i="50"/>
  <c r="L73" i="50"/>
  <c r="AP7" i="50"/>
  <c r="P76" i="50"/>
  <c r="BC59" i="50"/>
  <c r="AR56" i="50"/>
  <c r="BC42" i="50"/>
  <c r="AS73" i="50"/>
  <c r="M79" i="50"/>
  <c r="L80" i="50"/>
  <c r="BB17" i="50"/>
  <c r="AH78" i="50"/>
  <c r="BC34" i="50"/>
  <c r="AX28" i="50"/>
  <c r="AX20" i="50"/>
  <c r="AP18" i="50"/>
  <c r="AQ44" i="50"/>
  <c r="AR73" i="50"/>
  <c r="AW33" i="50"/>
  <c r="AR53" i="50"/>
  <c r="AQ14" i="50"/>
  <c r="AH79" i="50"/>
  <c r="AX58" i="50"/>
  <c r="N75" i="50"/>
  <c r="AS28" i="50"/>
  <c r="BC61" i="50"/>
  <c r="AS68" i="50"/>
  <c r="BA36" i="50"/>
  <c r="AX63" i="50"/>
  <c r="AS38" i="50"/>
  <c r="AS67" i="50"/>
  <c r="AP17" i="50"/>
  <c r="AX60" i="50"/>
  <c r="AF76" i="50"/>
  <c r="AW26" i="50"/>
  <c r="AE75" i="50"/>
  <c r="AV29" i="50"/>
  <c r="BB5" i="50"/>
  <c r="AX66" i="50"/>
  <c r="BA71" i="50"/>
  <c r="AR19" i="50"/>
  <c r="AO76" i="50"/>
  <c r="AH80" i="50"/>
  <c r="AU61" i="50"/>
  <c r="AP26" i="50"/>
  <c r="BB49" i="50"/>
  <c r="AU28" i="50"/>
  <c r="AZ30" i="50"/>
  <c r="AV41" i="50"/>
  <c r="AU38" i="50"/>
  <c r="W74" i="50"/>
  <c r="AX72" i="50"/>
  <c r="AX36" i="50"/>
  <c r="AB76" i="50"/>
  <c r="L75" i="50"/>
  <c r="Q75" i="50"/>
  <c r="S74" i="50"/>
  <c r="BB27" i="50"/>
  <c r="AX70" i="50"/>
  <c r="AX42" i="50"/>
  <c r="AP12" i="50"/>
  <c r="AU80" i="50"/>
  <c r="AZ48" i="50"/>
  <c r="AS54" i="50"/>
  <c r="AX23" i="50"/>
  <c r="AR27" i="50"/>
  <c r="AW29" i="50"/>
  <c r="AP60" i="50"/>
  <c r="AY58" i="50"/>
  <c r="AX71" i="50"/>
  <c r="BB77" i="50"/>
  <c r="AJ79" i="50"/>
  <c r="Z79" i="50"/>
  <c r="AR39" i="50"/>
  <c r="AP9" i="50"/>
  <c r="AG79" i="50"/>
  <c r="AW38" i="50"/>
  <c r="BB76" i="50"/>
  <c r="AS41" i="50"/>
  <c r="AF79" i="50"/>
  <c r="AA72" i="50"/>
  <c r="AY66" i="50"/>
  <c r="AY67" i="50"/>
  <c r="AI77" i="50"/>
  <c r="BA58" i="50"/>
  <c r="AT70" i="50"/>
  <c r="AA78" i="50"/>
  <c r="AP54" i="50"/>
  <c r="W75" i="50"/>
  <c r="AU19" i="50"/>
  <c r="AQ20" i="50"/>
  <c r="AA77" i="50"/>
  <c r="AS8" i="50"/>
  <c r="AU62" i="50"/>
  <c r="AZ27" i="50"/>
  <c r="AZ63" i="50"/>
  <c r="AE74" i="50"/>
  <c r="AV15" i="50"/>
  <c r="U78" i="50"/>
  <c r="S72" i="50"/>
  <c r="N73" i="50"/>
  <c r="Z74" i="50"/>
  <c r="AR47" i="50"/>
  <c r="N79" i="50"/>
  <c r="AM79" i="50"/>
  <c r="BA32" i="50"/>
  <c r="BB47" i="50"/>
  <c r="X73" i="50"/>
  <c r="L72" i="50"/>
  <c r="AV26" i="50"/>
  <c r="AQ33" i="50"/>
  <c r="AA73" i="50"/>
  <c r="AX54" i="50"/>
  <c r="AW48" i="50"/>
  <c r="BB65" i="50"/>
  <c r="BC27" i="50"/>
  <c r="AW13" i="50"/>
  <c r="AX35" i="50"/>
  <c r="AX57" i="50"/>
  <c r="AT56" i="50"/>
  <c r="AZ22" i="50"/>
  <c r="AS42" i="50"/>
  <c r="BA61" i="50"/>
  <c r="AW59" i="50"/>
  <c r="BA67" i="50"/>
  <c r="AQ73" i="50"/>
  <c r="Z80" i="50"/>
  <c r="AQ60" i="50"/>
  <c r="AT59" i="50"/>
  <c r="AW46" i="50"/>
  <c r="AR16" i="50"/>
  <c r="AM76" i="50"/>
  <c r="BA72" i="50"/>
  <c r="AX49" i="50"/>
  <c r="BC56" i="50"/>
  <c r="V78" i="50"/>
  <c r="AY47" i="50"/>
  <c r="AE77" i="50"/>
  <c r="AL75" i="50"/>
  <c r="AQ19" i="50"/>
  <c r="BB10" i="50"/>
  <c r="AX45" i="50"/>
  <c r="AQ80" i="50"/>
  <c r="BB75" i="50"/>
  <c r="AV43" i="50"/>
  <c r="AU27" i="50"/>
  <c r="AY51" i="50"/>
  <c r="AQ36" i="50"/>
  <c r="BB63" i="50"/>
  <c r="AZ38" i="50"/>
  <c r="AN74" i="50"/>
  <c r="X78" i="50"/>
  <c r="AT27" i="50"/>
  <c r="AS43" i="50"/>
  <c r="N78" i="50"/>
  <c r="Q76" i="50"/>
  <c r="L78" i="50"/>
  <c r="AP46" i="50"/>
  <c r="BA45" i="50"/>
  <c r="BA79" i="50"/>
  <c r="AR55" i="50"/>
  <c r="W78" i="50"/>
  <c r="AZ58" i="50"/>
  <c r="T77" i="50"/>
  <c r="BB30" i="50"/>
  <c r="AD73" i="50"/>
  <c r="AJ72" i="50"/>
  <c r="T72" i="50"/>
  <c r="O72" i="50"/>
  <c r="AV67" i="50"/>
  <c r="AF77" i="50"/>
  <c r="AY16" i="50"/>
  <c r="BC51" i="50"/>
  <c r="AV60" i="50"/>
  <c r="Y74" i="50"/>
  <c r="AZ73" i="50"/>
  <c r="AR74" i="50"/>
  <c r="AT58" i="50"/>
  <c r="AV22" i="50"/>
  <c r="AP14" i="50"/>
  <c r="AG72" i="50"/>
  <c r="AQ42" i="50"/>
  <c r="AT6" i="50"/>
  <c r="AG76" i="50"/>
  <c r="BA5" i="50"/>
  <c r="BC7" i="50"/>
  <c r="AR30" i="50"/>
  <c r="BC74" i="50"/>
  <c r="AX24" i="50"/>
  <c r="AV39" i="50"/>
  <c r="AS32" i="50"/>
  <c r="AS49" i="50"/>
  <c r="BB14" i="50"/>
  <c r="BB24" i="50"/>
  <c r="AW76" i="50"/>
  <c r="AX64" i="50"/>
  <c r="AP66" i="50"/>
  <c r="BA10" i="50"/>
  <c r="AU9" i="50"/>
  <c r="N76" i="50"/>
  <c r="N72" i="50"/>
  <c r="AO73" i="50"/>
  <c r="P74" i="50"/>
  <c r="AB80" i="50"/>
  <c r="V72" i="50"/>
  <c r="AZ64" i="50"/>
  <c r="AT14" i="50"/>
  <c r="AY14" i="50"/>
  <c r="M72" i="50"/>
  <c r="AG78" i="50"/>
  <c r="AV46" i="50"/>
  <c r="AG80" i="50"/>
  <c r="AW79" i="50"/>
  <c r="AQ23" i="50"/>
  <c r="S78" i="50"/>
  <c r="BC9" i="50"/>
  <c r="BC52" i="50"/>
  <c r="BB51" i="50"/>
  <c r="AZ78" i="50"/>
  <c r="AU78" i="50"/>
  <c r="AR43" i="50"/>
  <c r="AY13" i="50"/>
  <c r="AU69" i="50"/>
  <c r="AR57" i="50"/>
  <c r="R74" i="50"/>
  <c r="BB39" i="50"/>
  <c r="U76" i="50"/>
  <c r="W77" i="50"/>
  <c r="AH77" i="50"/>
  <c r="AW37" i="50"/>
  <c r="R78" i="50"/>
  <c r="AT40" i="50"/>
  <c r="AV66" i="50"/>
  <c r="AZ44" i="50"/>
  <c r="AU14" i="50"/>
  <c r="BC23" i="50"/>
  <c r="M77" i="50"/>
  <c r="AX14" i="50"/>
  <c r="Q79" i="50"/>
  <c r="AZ18" i="50"/>
  <c r="AT69" i="50"/>
  <c r="AU32" i="50"/>
  <c r="AZ61" i="50"/>
  <c r="BA35" i="50"/>
  <c r="AV19" i="50"/>
  <c r="AP64" i="50"/>
  <c r="AX9" i="50"/>
  <c r="AU67" i="50"/>
  <c r="AS64" i="50"/>
  <c r="Q77" i="50"/>
  <c r="AV13" i="50"/>
  <c r="BA27" i="50"/>
  <c r="BC26" i="50"/>
  <c r="AR5" i="50"/>
  <c r="AE72" i="50"/>
  <c r="AW65" i="50"/>
  <c r="BB66" i="50"/>
  <c r="AQ53" i="50"/>
  <c r="AZ35" i="50"/>
  <c r="AU72" i="50"/>
  <c r="AZ9" i="50"/>
  <c r="BA51" i="50"/>
  <c r="AX75" i="50"/>
  <c r="BC72" i="50"/>
  <c r="AW22" i="50"/>
  <c r="BC68" i="50"/>
  <c r="AT65" i="50"/>
  <c r="AP40" i="50"/>
  <c r="AP62" i="50"/>
  <c r="BB25" i="50"/>
  <c r="AU53" i="50"/>
  <c r="AW62" i="50"/>
  <c r="AP29" i="50"/>
  <c r="AQ21" i="50"/>
  <c r="AP13" i="50"/>
  <c r="BC48" i="50"/>
  <c r="AB77" i="50"/>
  <c r="AZ41" i="50"/>
  <c r="T73" i="50"/>
  <c r="AQ49" i="50"/>
  <c r="AQ70" i="50"/>
  <c r="R77" i="50"/>
  <c r="R76" i="50"/>
  <c r="N77" i="50"/>
  <c r="BB22" i="50"/>
  <c r="AP15" i="50"/>
  <c r="AR37" i="50"/>
  <c r="AY38" i="50"/>
  <c r="BA15" i="50"/>
  <c r="AZ52" i="50"/>
  <c r="AU26" i="50"/>
  <c r="AF80" i="50"/>
  <c r="AZ39" i="50"/>
  <c r="AS78" i="50"/>
  <c r="AT50" i="50"/>
  <c r="X74" i="50"/>
  <c r="AX61" i="50"/>
  <c r="BA38" i="50"/>
  <c r="AY39" i="50"/>
  <c r="AE78" i="50"/>
  <c r="AN80" i="50"/>
  <c r="AY35" i="50"/>
  <c r="AO74" i="50"/>
  <c r="AX10" i="50"/>
  <c r="AP80" i="50"/>
  <c r="AR38" i="50"/>
  <c r="AV79" i="50"/>
  <c r="V74" i="50"/>
  <c r="AH73" i="50"/>
  <c r="AL74" i="50"/>
  <c r="AR18" i="50"/>
  <c r="BA16" i="50"/>
  <c r="AB78" i="50"/>
  <c r="U75" i="50"/>
  <c r="AZ79" i="50"/>
  <c r="AZ20" i="50"/>
  <c r="BA74" i="50"/>
  <c r="AW11" i="50"/>
  <c r="AR34" i="50"/>
  <c r="AI72" i="50"/>
  <c r="AS53" i="50"/>
  <c r="AQ50" i="50"/>
  <c r="AB74" i="50"/>
  <c r="AD74" i="50"/>
  <c r="AQ62" i="50"/>
  <c r="R79" i="50"/>
  <c r="Q80" i="50"/>
  <c r="P72" i="50"/>
  <c r="X77" i="50"/>
  <c r="P78" i="50"/>
  <c r="AB75" i="50"/>
  <c r="AS47" i="50"/>
  <c r="U77" i="50"/>
  <c r="AY30" i="50"/>
  <c r="AV40" i="50"/>
  <c r="P80" i="50"/>
  <c r="AW63" i="50"/>
  <c r="AR8" i="50"/>
  <c r="BC30" i="50"/>
  <c r="AZ31" i="50"/>
  <c r="AH72" i="50"/>
  <c r="M76" i="50"/>
  <c r="BA55" i="50"/>
  <c r="AP19" i="50"/>
  <c r="BB59" i="50"/>
  <c r="AU39" i="50"/>
  <c r="AR29" i="50"/>
  <c r="AU16" i="50"/>
  <c r="AY10" i="50"/>
  <c r="AD72" i="50"/>
  <c r="M78" i="50"/>
  <c r="P73" i="50"/>
  <c r="AY44" i="50"/>
  <c r="AN72" i="50"/>
  <c r="AE80" i="50"/>
  <c r="AY31" i="50"/>
  <c r="BC36" i="50"/>
  <c r="S73" i="50"/>
  <c r="AU59" i="50"/>
  <c r="BA56" i="50"/>
  <c r="AR25" i="50"/>
  <c r="AS39" i="50"/>
  <c r="O76" i="50"/>
  <c r="M73" i="50"/>
  <c r="AM72" i="50"/>
  <c r="M74" i="50"/>
  <c r="AY15" i="50"/>
  <c r="AP63" i="50"/>
  <c r="BA33" i="50"/>
  <c r="BB68" i="50"/>
  <c r="AA76" i="50"/>
  <c r="S75" i="50"/>
  <c r="BB16" i="50"/>
  <c r="AU30" i="50"/>
  <c r="S77" i="50"/>
  <c r="AC73" i="50"/>
  <c r="BA42" i="50"/>
  <c r="AW19" i="50"/>
  <c r="AU5" i="50"/>
  <c r="Q73" i="50"/>
  <c r="L79" i="50"/>
  <c r="AQ15" i="50"/>
  <c r="BC47" i="50"/>
  <c r="AT51" i="50"/>
  <c r="BC53" i="50"/>
  <c r="AT71" i="50"/>
  <c r="R73" i="50"/>
  <c r="AT23" i="50"/>
  <c r="U80" i="50"/>
  <c r="N80" i="50"/>
  <c r="AT48" i="50"/>
  <c r="AU15" i="50"/>
  <c r="S76" i="50"/>
  <c r="AV59" i="50"/>
  <c r="Y75" i="50"/>
  <c r="T76" i="50"/>
  <c r="AF72" i="50"/>
  <c r="AW68" i="50"/>
  <c r="BC71" i="50"/>
  <c r="AZ13" i="50"/>
  <c r="L77" i="50"/>
  <c r="AC79" i="50"/>
  <c r="AU68" i="50"/>
  <c r="BA23" i="50"/>
  <c r="AS74" i="50"/>
  <c r="Y78" i="50"/>
  <c r="W76" i="50"/>
  <c r="AP35" i="50"/>
  <c r="AX44" i="50"/>
  <c r="AQ25" i="50"/>
  <c r="AX33" i="50"/>
  <c r="BB33" i="50"/>
  <c r="AZ5" i="50"/>
  <c r="Q78" i="50"/>
  <c r="F77" i="50" l="1"/>
  <c r="F79" i="50"/>
  <c r="F78" i="50"/>
  <c r="F72" i="50"/>
  <c r="F75" i="50"/>
  <c r="F80" i="50"/>
  <c r="F73" i="50"/>
  <c r="F74" i="50"/>
  <c r="F76" i="50"/>
  <c r="C37" i="190"/>
  <c r="G36" i="190"/>
  <c r="H35" i="190"/>
  <c r="H35" i="189"/>
  <c r="G37" i="189"/>
  <c r="H37" i="189" s="1"/>
  <c r="G38" i="189"/>
  <c r="H38" i="189" s="1"/>
  <c r="H8" i="189"/>
  <c r="H12" i="189"/>
  <c r="H11" i="189"/>
  <c r="H9" i="189"/>
  <c r="H10" i="189"/>
  <c r="H14" i="189"/>
  <c r="H15" i="189"/>
  <c r="H13" i="189"/>
  <c r="H16" i="189"/>
  <c r="H17" i="189"/>
  <c r="H19" i="189"/>
  <c r="H18" i="189"/>
  <c r="H21" i="189"/>
  <c r="H20" i="189"/>
  <c r="H23" i="189"/>
  <c r="H22" i="189"/>
  <c r="H26" i="189"/>
  <c r="H24" i="189"/>
  <c r="H25" i="189"/>
  <c r="H28" i="189"/>
  <c r="H29" i="189"/>
  <c r="H27" i="189"/>
  <c r="H30" i="189"/>
  <c r="H34" i="189"/>
  <c r="H33" i="189"/>
  <c r="C37" i="188"/>
  <c r="G36" i="188"/>
  <c r="H34" i="188"/>
  <c r="H35" i="188"/>
  <c r="C37" i="187"/>
  <c r="G36" i="187"/>
  <c r="H34" i="187"/>
  <c r="G37" i="186"/>
  <c r="H37" i="186" s="1"/>
  <c r="G38" i="186"/>
  <c r="H38" i="186" s="1"/>
  <c r="H9" i="186"/>
  <c r="H11" i="186"/>
  <c r="H8" i="186"/>
  <c r="H14" i="186" s="1"/>
  <c r="H10" i="186"/>
  <c r="H13" i="186"/>
  <c r="H12" i="186"/>
  <c r="H16" i="186"/>
  <c r="H15" i="186"/>
  <c r="H17" i="186"/>
  <c r="H18" i="186"/>
  <c r="H19" i="186"/>
  <c r="H20" i="186"/>
  <c r="H21" i="186"/>
  <c r="H23" i="186"/>
  <c r="H22" i="186"/>
  <c r="H24" i="186"/>
  <c r="H26" i="186"/>
  <c r="H25" i="186"/>
  <c r="H27" i="186"/>
  <c r="H28" i="186"/>
  <c r="H29" i="186"/>
  <c r="H31" i="186"/>
  <c r="H30" i="186"/>
  <c r="H36" i="186"/>
  <c r="C37" i="185"/>
  <c r="G36" i="185"/>
  <c r="C36" i="184"/>
  <c r="G35" i="184"/>
  <c r="C36" i="183"/>
  <c r="G35" i="183"/>
  <c r="AQ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H33" i="190" l="1"/>
  <c r="H36" i="190"/>
  <c r="G37" i="190"/>
  <c r="H37" i="190" s="1"/>
  <c r="G38" i="190"/>
  <c r="H38" i="190" s="1"/>
  <c r="H8" i="190"/>
  <c r="H10" i="190"/>
  <c r="H9" i="190"/>
  <c r="H11" i="190"/>
  <c r="H13" i="190" s="1"/>
  <c r="H14" i="190"/>
  <c r="H12" i="190"/>
  <c r="H16" i="190"/>
  <c r="H15" i="190"/>
  <c r="H17" i="190"/>
  <c r="H19" i="190"/>
  <c r="H18" i="190"/>
  <c r="H20" i="190"/>
  <c r="H23" i="190"/>
  <c r="H21" i="190"/>
  <c r="H22" i="190"/>
  <c r="H24" i="190"/>
  <c r="H25" i="190"/>
  <c r="H26" i="190"/>
  <c r="H27" i="190"/>
  <c r="H28" i="190"/>
  <c r="H29" i="190"/>
  <c r="H31" i="190"/>
  <c r="H30" i="190"/>
  <c r="H32" i="190"/>
  <c r="H34" i="190"/>
  <c r="H36" i="188"/>
  <c r="G37" i="188"/>
  <c r="H37" i="188" s="1"/>
  <c r="G38" i="188"/>
  <c r="H38" i="188" s="1"/>
  <c r="H11" i="188"/>
  <c r="H8" i="188"/>
  <c r="H10" i="188" s="1"/>
  <c r="H9" i="188"/>
  <c r="H14" i="188"/>
  <c r="H13" i="188"/>
  <c r="H15" i="188"/>
  <c r="H12" i="188"/>
  <c r="H16" i="188"/>
  <c r="H17" i="188"/>
  <c r="H19" i="188"/>
  <c r="H18" i="188"/>
  <c r="H20" i="188"/>
  <c r="H21" i="188"/>
  <c r="H22" i="188"/>
  <c r="H24" i="188"/>
  <c r="H23" i="188"/>
  <c r="H25" i="188"/>
  <c r="H26" i="188"/>
  <c r="H28" i="188"/>
  <c r="H27" i="188"/>
  <c r="H29" i="188"/>
  <c r="H31" i="188"/>
  <c r="H30" i="188"/>
  <c r="H32" i="188"/>
  <c r="H33" i="188"/>
  <c r="G37" i="187"/>
  <c r="H37" i="187" s="1"/>
  <c r="G38" i="187"/>
  <c r="H38" i="187" s="1"/>
  <c r="H8" i="187"/>
  <c r="H12" i="187" s="1"/>
  <c r="H11" i="187"/>
  <c r="H9" i="187"/>
  <c r="H10" i="187"/>
  <c r="H16" i="187"/>
  <c r="H13" i="187"/>
  <c r="H14" i="187"/>
  <c r="H15" i="187"/>
  <c r="H17" i="187"/>
  <c r="H18" i="187"/>
  <c r="H19" i="187"/>
  <c r="H22" i="187"/>
  <c r="H21" i="187"/>
  <c r="H20" i="187"/>
  <c r="H23" i="187"/>
  <c r="H25" i="187"/>
  <c r="H24" i="187"/>
  <c r="H29" i="187"/>
  <c r="H26" i="187"/>
  <c r="H28" i="187"/>
  <c r="H27" i="187"/>
  <c r="H31" i="187"/>
  <c r="H30" i="187"/>
  <c r="H32" i="187"/>
  <c r="H33" i="187"/>
  <c r="H35" i="187"/>
  <c r="H36" i="187"/>
  <c r="G37" i="185"/>
  <c r="H37" i="185" s="1"/>
  <c r="G38" i="185"/>
  <c r="H38" i="185" s="1"/>
  <c r="H10" i="185"/>
  <c r="H9" i="185"/>
  <c r="H8" i="185"/>
  <c r="H13" i="185"/>
  <c r="H14" i="185"/>
  <c r="H15" i="185"/>
  <c r="H16" i="185"/>
  <c r="H17" i="185"/>
  <c r="H18" i="185"/>
  <c r="H19" i="185"/>
  <c r="H20" i="185"/>
  <c r="H21" i="185"/>
  <c r="H22" i="185"/>
  <c r="H23" i="185"/>
  <c r="H24" i="185"/>
  <c r="H25" i="185"/>
  <c r="H26" i="185"/>
  <c r="H29" i="185"/>
  <c r="H27" i="185"/>
  <c r="H28" i="185"/>
  <c r="H30" i="185"/>
  <c r="H31" i="185"/>
  <c r="H32" i="185"/>
  <c r="H33" i="185"/>
  <c r="H34" i="185"/>
  <c r="H35" i="185"/>
  <c r="H36" i="185"/>
  <c r="H33" i="184"/>
  <c r="H35" i="184"/>
  <c r="C37" i="184"/>
  <c r="G36" i="184"/>
  <c r="H34" i="184"/>
  <c r="C37" i="183"/>
  <c r="G36" i="183"/>
  <c r="H34" i="183"/>
  <c r="AC4" i="150"/>
  <c r="U4" i="150"/>
  <c r="X4" i="150"/>
  <c r="S4" i="150"/>
  <c r="AD4" i="150"/>
  <c r="T4" i="150"/>
  <c r="AE4" i="150"/>
  <c r="Z4" i="150"/>
  <c r="AG4" i="150"/>
  <c r="Y4" i="150"/>
  <c r="AA4" i="150"/>
  <c r="V4" i="150"/>
  <c r="AF4" i="150"/>
  <c r="W4" i="150"/>
  <c r="AB4" i="150"/>
  <c r="AH4" i="150"/>
  <c r="AW4" i="4"/>
  <c r="BA4" i="50"/>
  <c r="H12" i="185" l="1"/>
  <c r="G37" i="184"/>
  <c r="H37" i="184" s="1"/>
  <c r="G38" i="184"/>
  <c r="H38" i="184" s="1"/>
  <c r="H9" i="184"/>
  <c r="H12" i="184"/>
  <c r="H10" i="184"/>
  <c r="H8" i="184"/>
  <c r="H14" i="184" s="1"/>
  <c r="H11" i="184"/>
  <c r="H13" i="184"/>
  <c r="H15" i="184"/>
  <c r="H16" i="184"/>
  <c r="H17" i="184"/>
  <c r="H18" i="184"/>
  <c r="H19" i="184"/>
  <c r="H20" i="184"/>
  <c r="H21" i="184"/>
  <c r="H22" i="184"/>
  <c r="H23" i="184"/>
  <c r="H24" i="184"/>
  <c r="H25" i="184"/>
  <c r="H28" i="184"/>
  <c r="H27" i="184"/>
  <c r="H26" i="184"/>
  <c r="H29" i="184"/>
  <c r="H31" i="184"/>
  <c r="H32" i="184"/>
  <c r="H36" i="184"/>
  <c r="H30" i="184"/>
  <c r="G37" i="183"/>
  <c r="H37" i="183" s="1"/>
  <c r="G38" i="183"/>
  <c r="H38" i="183" s="1"/>
  <c r="H9" i="183"/>
  <c r="H8" i="183"/>
  <c r="H11" i="183"/>
  <c r="H10" i="183"/>
  <c r="H14" i="183"/>
  <c r="H12" i="183"/>
  <c r="H16" i="183"/>
  <c r="H13" i="183"/>
  <c r="H15" i="183"/>
  <c r="H17" i="183"/>
  <c r="H18" i="183"/>
  <c r="H19" i="183"/>
  <c r="H21" i="183"/>
  <c r="H20" i="183"/>
  <c r="H23" i="183"/>
  <c r="H22" i="183"/>
  <c r="H25" i="183"/>
  <c r="H28" i="183"/>
  <c r="H24" i="183"/>
  <c r="H26" i="183"/>
  <c r="H29" i="183"/>
  <c r="H27" i="183"/>
  <c r="H30" i="183"/>
  <c r="H31" i="183"/>
  <c r="H35" i="183"/>
  <c r="H32" i="183"/>
  <c r="H33" i="183"/>
  <c r="H36" i="183"/>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BB4" i="50"/>
  <c r="AX4" i="50"/>
  <c r="AS4" i="50"/>
  <c r="AR4" i="50"/>
  <c r="AU4"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AZ4" i="50"/>
  <c r="AW4" i="50"/>
  <c r="AP4" i="50"/>
  <c r="AQ4" i="50"/>
  <c r="AY4" i="50"/>
  <c r="AT4" i="50"/>
  <c r="AV4" i="50"/>
  <c r="H4" i="137" l="1"/>
  <c r="M4" i="137"/>
  <c r="AX4" i="137"/>
  <c r="I5" i="137" l="1"/>
  <c r="O4" i="95"/>
  <c r="O1" i="95"/>
  <c r="P3" i="95"/>
  <c r="P2" i="95"/>
  <c r="P1" i="95"/>
  <c r="P5" i="95" s="1"/>
  <c r="I6" i="137" l="1"/>
  <c r="J6" i="137" s="1"/>
  <c r="G6" i="50" s="1"/>
  <c r="I7" i="137"/>
  <c r="J7" i="137" s="1"/>
  <c r="G7" i="50" s="1"/>
  <c r="J5" i="137"/>
  <c r="G5" i="50" s="1"/>
  <c r="K7" i="137" l="1"/>
  <c r="K6" i="137"/>
  <c r="K5" i="137"/>
  <c r="K4" i="137" s="1"/>
  <c r="O2" i="95"/>
  <c r="O3" i="95"/>
  <c r="L2" i="137" l="1"/>
  <c r="M2" i="137"/>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H1" i="95" l="1"/>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30" i="9"/>
  <c r="H36" i="9" s="1"/>
  <c r="AD49" i="50"/>
  <c r="Y19" i="50"/>
  <c r="X6" i="50"/>
  <c r="L50" i="50"/>
  <c r="AA39" i="50"/>
  <c r="AL32" i="50"/>
  <c r="AO32" i="50"/>
  <c r="AJ39" i="50"/>
  <c r="AH50" i="50"/>
  <c r="Q26" i="50"/>
  <c r="O17" i="50"/>
  <c r="L36" i="50"/>
  <c r="AF44" i="50"/>
  <c r="L42" i="50"/>
  <c r="AL62" i="50"/>
  <c r="X39" i="50"/>
  <c r="R43" i="50"/>
  <c r="R39" i="50"/>
  <c r="Y57" i="50"/>
  <c r="P23" i="50"/>
  <c r="AB34" i="50"/>
  <c r="AI8" i="50"/>
  <c r="AL40" i="50"/>
  <c r="AI29" i="50"/>
  <c r="AE11" i="50"/>
  <c r="Q4" i="50"/>
  <c r="AN48" i="50"/>
  <c r="N48" i="50"/>
  <c r="AL16" i="50"/>
  <c r="AH14" i="50"/>
  <c r="AK50" i="50"/>
  <c r="Q17" i="50"/>
  <c r="AD21" i="50"/>
  <c r="O60" i="50"/>
  <c r="AK5" i="50"/>
  <c r="AO64" i="50"/>
  <c r="X60" i="50"/>
  <c r="AC57" i="50"/>
  <c r="AB45" i="50"/>
  <c r="P29" i="50"/>
  <c r="P28" i="50"/>
  <c r="W70" i="50"/>
  <c r="AL29" i="50"/>
  <c r="AG37" i="50"/>
  <c r="V28" i="50"/>
  <c r="N4" i="50"/>
  <c r="AF47" i="50"/>
  <c r="L64" i="50"/>
  <c r="AE71" i="50"/>
  <c r="O56" i="50"/>
  <c r="Q44" i="50"/>
  <c r="AB17" i="50"/>
  <c r="AI36" i="50"/>
  <c r="AL4" i="50"/>
  <c r="AH33" i="50"/>
  <c r="T16" i="50"/>
  <c r="AN16" i="50"/>
  <c r="AJ50" i="50"/>
  <c r="O27" i="50"/>
  <c r="S44" i="50"/>
  <c r="X19" i="50"/>
  <c r="AF58" i="50"/>
  <c r="AN14" i="50"/>
  <c r="P45" i="50"/>
  <c r="U48" i="50"/>
  <c r="O67" i="50"/>
  <c r="AC40" i="50"/>
  <c r="AI43" i="50"/>
  <c r="V30" i="50"/>
  <c r="U16" i="50"/>
  <c r="Y10" i="50"/>
  <c r="AB59" i="50"/>
  <c r="AN20" i="50"/>
  <c r="S33" i="50"/>
  <c r="L68" i="50"/>
  <c r="S23" i="50"/>
  <c r="AH10" i="50"/>
  <c r="AG9" i="50"/>
  <c r="AE5" i="50"/>
  <c r="W34" i="50"/>
  <c r="AG27" i="50"/>
  <c r="AB70" i="50"/>
  <c r="AK71" i="50"/>
  <c r="Z47" i="50"/>
  <c r="AH24" i="50"/>
  <c r="AM16" i="50"/>
  <c r="AI61" i="50"/>
  <c r="AJ12" i="50"/>
  <c r="AE34" i="50"/>
  <c r="U37" i="50"/>
  <c r="AB19" i="50"/>
  <c r="AE54" i="50"/>
  <c r="AJ41" i="50"/>
  <c r="AK4" i="50"/>
  <c r="O20" i="50"/>
  <c r="O45" i="50"/>
  <c r="AI11" i="50"/>
  <c r="X11" i="50"/>
  <c r="W65" i="50"/>
  <c r="M44" i="50"/>
  <c r="AO21" i="50"/>
  <c r="O4" i="50"/>
  <c r="AI31" i="50"/>
  <c r="AA6" i="50"/>
  <c r="R4" i="50"/>
  <c r="AH67" i="50"/>
  <c r="AD26" i="50"/>
  <c r="AC48" i="50"/>
  <c r="AK30" i="50"/>
  <c r="AJ27" i="50"/>
  <c r="AH12" i="50"/>
  <c r="AJ69" i="50"/>
  <c r="O61" i="50"/>
  <c r="Z66" i="50"/>
  <c r="AD59" i="50"/>
  <c r="R63" i="50"/>
  <c r="AK62" i="50"/>
  <c r="AL60" i="50"/>
  <c r="V39" i="50"/>
  <c r="AI37" i="50"/>
  <c r="W63" i="50"/>
  <c r="Q21" i="50"/>
  <c r="Q39" i="50"/>
  <c r="Q48" i="50"/>
  <c r="AD33" i="50"/>
  <c r="R14" i="50"/>
  <c r="L5" i="50"/>
  <c r="W5" i="50"/>
  <c r="V49" i="50"/>
  <c r="AK7" i="50"/>
  <c r="N42" i="50"/>
  <c r="N56" i="50"/>
  <c r="U24" i="50"/>
  <c r="AA20" i="50"/>
  <c r="P55" i="50"/>
  <c r="R19" i="50"/>
  <c r="AC58" i="50"/>
  <c r="N65" i="50"/>
  <c r="U15" i="50"/>
  <c r="AI57" i="50"/>
  <c r="R61" i="50"/>
  <c r="AC46" i="50"/>
  <c r="AE22" i="50"/>
  <c r="AO16" i="50"/>
  <c r="X62" i="50"/>
  <c r="O21" i="50"/>
  <c r="U6" i="50"/>
  <c r="AH35" i="50"/>
  <c r="AD28" i="50"/>
  <c r="AB21" i="50"/>
  <c r="AO37" i="50"/>
  <c r="N11" i="50"/>
  <c r="AO48" i="50"/>
  <c r="AI22" i="50"/>
  <c r="AN64" i="50"/>
  <c r="W38" i="50"/>
  <c r="AA9" i="50"/>
  <c r="AF53" i="50"/>
  <c r="AK70" i="50"/>
  <c r="AN50" i="50"/>
  <c r="AA49" i="50"/>
  <c r="V59" i="50"/>
  <c r="AB27" i="50"/>
  <c r="AL5" i="50"/>
  <c r="AL23" i="50"/>
  <c r="T41" i="50"/>
  <c r="AE31" i="50"/>
  <c r="AE55" i="50"/>
  <c r="AC52" i="50"/>
  <c r="Q53" i="50"/>
  <c r="L6" i="50"/>
  <c r="AE27" i="50"/>
  <c r="AD51" i="50"/>
  <c r="T9" i="50"/>
  <c r="AD12" i="50"/>
  <c r="AL14" i="50"/>
  <c r="V7" i="50"/>
  <c r="AM47" i="50"/>
  <c r="AC65" i="50"/>
  <c r="X32" i="50"/>
  <c r="P70" i="50"/>
  <c r="X70" i="50"/>
  <c r="L12" i="50"/>
  <c r="AA51" i="50"/>
  <c r="AI17" i="50"/>
  <c r="AK64" i="50"/>
  <c r="U20" i="50"/>
  <c r="AI38" i="50"/>
  <c r="AD62" i="50"/>
  <c r="S25" i="50"/>
  <c r="N10" i="50"/>
  <c r="AO14" i="50"/>
  <c r="X29" i="50"/>
  <c r="S49" i="50"/>
  <c r="W42" i="50"/>
  <c r="X10" i="50"/>
  <c r="W47" i="50"/>
  <c r="R47" i="50"/>
  <c r="AO57" i="50"/>
  <c r="AN34" i="50"/>
  <c r="Z16" i="50"/>
  <c r="N18" i="50"/>
  <c r="X52" i="50"/>
  <c r="P24" i="50"/>
  <c r="L58" i="50"/>
  <c r="AH6" i="50"/>
  <c r="AO53" i="50"/>
  <c r="AC35" i="50"/>
  <c r="R28" i="50"/>
  <c r="N52" i="50"/>
  <c r="AC28" i="50"/>
  <c r="AB7" i="50"/>
  <c r="X5" i="50"/>
  <c r="AC30" i="50"/>
  <c r="AE4" i="50"/>
  <c r="R49" i="50"/>
  <c r="O35" i="50"/>
  <c r="AC9" i="50"/>
  <c r="AC53" i="50"/>
  <c r="AF36" i="50"/>
  <c r="AH8" i="50"/>
  <c r="Q10" i="50"/>
  <c r="AE64" i="50"/>
  <c r="Y46" i="50"/>
  <c r="T20" i="50"/>
  <c r="Y61" i="50"/>
  <c r="S62" i="50"/>
  <c r="Y69" i="50"/>
  <c r="AA11" i="50"/>
  <c r="AO6" i="50"/>
  <c r="M59" i="50"/>
  <c r="AK63" i="50"/>
  <c r="AI40" i="50"/>
  <c r="P51" i="50"/>
  <c r="AA14" i="50"/>
  <c r="M32" i="50"/>
  <c r="T62" i="50"/>
  <c r="AK42" i="50"/>
  <c r="W33" i="50"/>
  <c r="L59" i="50"/>
  <c r="AH47" i="50"/>
  <c r="AB68" i="50"/>
  <c r="P15" i="50"/>
  <c r="O26" i="50"/>
  <c r="AA27" i="50"/>
  <c r="Z13" i="50"/>
  <c r="AC19" i="50"/>
  <c r="P38" i="50"/>
  <c r="AL64" i="50"/>
  <c r="AG41" i="50"/>
  <c r="T30" i="50"/>
  <c r="Q33" i="50"/>
  <c r="Q36" i="50"/>
  <c r="AF11" i="50"/>
  <c r="X46" i="50"/>
  <c r="L62" i="50"/>
  <c r="AO39" i="50"/>
  <c r="AB42" i="50"/>
  <c r="N5" i="50"/>
  <c r="AA45" i="50"/>
  <c r="AL47" i="50"/>
  <c r="AH61" i="50"/>
  <c r="U55" i="50"/>
  <c r="Q7" i="50"/>
  <c r="AA4" i="50"/>
  <c r="AM26" i="50"/>
  <c r="AA34" i="50"/>
  <c r="Q55" i="50"/>
  <c r="U21" i="50"/>
  <c r="T31" i="50"/>
  <c r="Z60" i="50"/>
  <c r="Z8" i="50"/>
  <c r="M69" i="50"/>
  <c r="V18" i="50"/>
  <c r="L25" i="50"/>
  <c r="Y4" i="50"/>
  <c r="AA29" i="50"/>
  <c r="AG57" i="50"/>
  <c r="R64" i="50"/>
  <c r="AN67" i="50"/>
  <c r="AE69" i="50"/>
  <c r="AE66" i="50"/>
  <c r="X50" i="50"/>
  <c r="W57" i="50"/>
  <c r="AG50" i="50"/>
  <c r="AD42" i="50"/>
  <c r="AK53" i="50"/>
  <c r="M71" i="50"/>
  <c r="N37" i="50"/>
  <c r="AD25" i="50"/>
  <c r="AE10" i="50"/>
  <c r="AB67" i="50"/>
  <c r="L14" i="50"/>
  <c r="O46" i="50"/>
  <c r="AM20" i="50"/>
  <c r="M66" i="50"/>
  <c r="V16" i="50"/>
  <c r="O48" i="50"/>
  <c r="AO28" i="50"/>
  <c r="T10" i="50"/>
  <c r="AE62" i="50"/>
  <c r="AA70" i="50"/>
  <c r="P25" i="50"/>
  <c r="AJ20" i="50"/>
  <c r="AI16" i="50"/>
  <c r="AN62" i="50"/>
  <c r="V27" i="50"/>
  <c r="AF51" i="50"/>
  <c r="S8" i="50"/>
  <c r="AO34" i="50"/>
  <c r="Z24" i="50"/>
  <c r="U14" i="50"/>
  <c r="AG61" i="50"/>
  <c r="W17" i="50"/>
  <c r="AK68" i="50"/>
  <c r="Z41" i="50"/>
  <c r="V12" i="50"/>
  <c r="AF41" i="50"/>
  <c r="AF24" i="50"/>
  <c r="R20" i="50"/>
  <c r="AD65" i="50"/>
  <c r="AK61" i="50"/>
  <c r="S52" i="50"/>
  <c r="Y51" i="50"/>
  <c r="U47" i="50"/>
  <c r="M16" i="50"/>
  <c r="R37" i="50"/>
  <c r="R10" i="50"/>
  <c r="P67" i="50"/>
  <c r="M49" i="50"/>
  <c r="W37" i="50"/>
  <c r="AD54" i="50"/>
  <c r="V14" i="50"/>
  <c r="AN25" i="50"/>
  <c r="X21" i="50"/>
  <c r="AB32" i="50"/>
  <c r="Z29" i="50"/>
  <c r="X53" i="50"/>
  <c r="AC21" i="50"/>
  <c r="AH42" i="50"/>
  <c r="X34" i="50"/>
  <c r="AB62" i="50"/>
  <c r="AE32" i="50"/>
  <c r="AG65" i="50"/>
  <c r="O51" i="50"/>
  <c r="O59" i="50"/>
  <c r="AL26" i="50"/>
  <c r="AB18" i="50"/>
  <c r="U38" i="50"/>
  <c r="O8" i="50"/>
  <c r="U18" i="50"/>
  <c r="S41" i="50"/>
  <c r="AN28" i="50"/>
  <c r="AG71" i="50"/>
  <c r="AB11" i="50"/>
  <c r="L7" i="50"/>
  <c r="U4" i="50"/>
  <c r="AB16" i="50"/>
  <c r="AG30" i="50"/>
  <c r="AD47" i="50"/>
  <c r="L37" i="50"/>
  <c r="AE19" i="50"/>
  <c r="AF38" i="50"/>
  <c r="Q18" i="50"/>
  <c r="AG14" i="50"/>
  <c r="P33" i="50"/>
  <c r="AO8" i="50"/>
  <c r="AH37" i="50"/>
  <c r="AA56" i="50"/>
  <c r="AL65" i="50"/>
  <c r="N22" i="50"/>
  <c r="AI15" i="50"/>
  <c r="X64" i="50"/>
  <c r="Z30" i="50"/>
  <c r="AI66" i="50"/>
  <c r="AO35" i="50"/>
  <c r="AC18" i="50"/>
  <c r="N30" i="50"/>
  <c r="O37" i="50"/>
  <c r="N59" i="50"/>
  <c r="AG34" i="50"/>
  <c r="AC62" i="50"/>
  <c r="V25" i="50"/>
  <c r="Q62" i="50"/>
  <c r="AG48" i="50"/>
  <c r="Y16" i="50"/>
  <c r="AG47" i="50"/>
  <c r="Q71" i="50"/>
  <c r="AC24" i="50"/>
  <c r="Y18" i="50"/>
  <c r="AL63" i="50"/>
  <c r="AE13" i="50"/>
  <c r="AC42" i="50"/>
  <c r="V26" i="50"/>
  <c r="Y9" i="50"/>
  <c r="U41" i="50"/>
  <c r="P57" i="50"/>
  <c r="Z64" i="50"/>
  <c r="O16" i="50"/>
  <c r="AO70" i="50"/>
  <c r="AB25" i="50"/>
  <c r="AJ36" i="50"/>
  <c r="AA43" i="50"/>
  <c r="AN12" i="50"/>
  <c r="AL39" i="50"/>
  <c r="X22" i="50"/>
  <c r="T27" i="50"/>
  <c r="AN40" i="50"/>
  <c r="S50" i="50"/>
  <c r="AB40" i="50"/>
  <c r="V20" i="50"/>
  <c r="R7" i="50"/>
  <c r="N51" i="50"/>
  <c r="AJ37" i="50"/>
  <c r="AB61" i="50"/>
  <c r="Z38" i="50"/>
  <c r="N8" i="50"/>
  <c r="X38" i="50"/>
  <c r="AL37" i="50"/>
  <c r="AE29" i="50"/>
  <c r="T22" i="50"/>
  <c r="AI33" i="50"/>
  <c r="U50" i="50"/>
  <c r="AM64" i="50"/>
  <c r="N58" i="50"/>
  <c r="AD27" i="50"/>
  <c r="W56" i="50"/>
  <c r="L60" i="50"/>
  <c r="S70" i="50"/>
  <c r="AJ42" i="50"/>
  <c r="W21" i="50"/>
  <c r="N61" i="50"/>
  <c r="S34" i="50"/>
  <c r="P9" i="50"/>
  <c r="Z31" i="50"/>
  <c r="AL42" i="50"/>
  <c r="T25" i="50"/>
  <c r="AG7" i="50"/>
  <c r="V11" i="50"/>
  <c r="AE67" i="50"/>
  <c r="AA41" i="50"/>
  <c r="AB55" i="50"/>
  <c r="AF21" i="50"/>
  <c r="Z48" i="50"/>
  <c r="AD43" i="50"/>
  <c r="L51" i="50"/>
  <c r="AD44" i="50"/>
  <c r="O33" i="50"/>
  <c r="AN56" i="50"/>
  <c r="R33" i="50"/>
  <c r="AN42" i="50"/>
  <c r="R70" i="50"/>
  <c r="AK54" i="50"/>
  <c r="AJ4" i="50"/>
  <c r="Z6" i="50"/>
  <c r="U65" i="50"/>
  <c r="O24" i="50"/>
  <c r="V24" i="50"/>
  <c r="N54" i="50"/>
  <c r="Z5" i="50"/>
  <c r="AI42" i="50"/>
  <c r="L69" i="50"/>
  <c r="U44" i="50"/>
  <c r="W26" i="50"/>
  <c r="AB23" i="50"/>
  <c r="O14" i="50"/>
  <c r="AG56" i="50"/>
  <c r="AA17" i="50"/>
  <c r="O31" i="50"/>
  <c r="N14" i="50"/>
  <c r="AG11" i="50"/>
  <c r="Q25" i="50"/>
  <c r="Z25" i="50"/>
  <c r="R38" i="50"/>
  <c r="AJ16" i="50"/>
  <c r="AG6" i="50"/>
  <c r="AN8" i="50"/>
  <c r="S14" i="50"/>
  <c r="AD69" i="50"/>
  <c r="AN36" i="50"/>
  <c r="AK41" i="50"/>
  <c r="AD71" i="50"/>
  <c r="Y31" i="50"/>
  <c r="Y40" i="50"/>
  <c r="AE18" i="50"/>
  <c r="AJ17" i="50"/>
  <c r="Q67" i="50"/>
  <c r="AE9" i="50"/>
  <c r="T24" i="50"/>
  <c r="AJ34" i="50"/>
  <c r="W32" i="50"/>
  <c r="V54" i="50"/>
  <c r="U12" i="50"/>
  <c r="S11" i="50"/>
  <c r="M24" i="50"/>
  <c r="V32" i="50"/>
  <c r="Y33" i="50"/>
  <c r="AF4" i="50"/>
  <c r="AD37" i="50"/>
  <c r="V68" i="50"/>
  <c r="V38" i="50"/>
  <c r="AE37" i="50"/>
  <c r="AD23" i="50"/>
  <c r="X28" i="50"/>
  <c r="AA22" i="50"/>
  <c r="U71" i="50"/>
  <c r="R8" i="50"/>
  <c r="Y54" i="50"/>
  <c r="Q69" i="50"/>
  <c r="AB37" i="50"/>
  <c r="L67" i="50"/>
  <c r="AM28" i="50"/>
  <c r="AN59" i="50"/>
  <c r="O11" i="50"/>
  <c r="L28" i="50"/>
  <c r="AA18" i="50"/>
  <c r="O23" i="50"/>
  <c r="O63" i="50"/>
  <c r="AI27" i="50"/>
  <c r="Y26" i="50"/>
  <c r="Z10" i="50"/>
  <c r="AI26" i="50"/>
  <c r="S45" i="50"/>
  <c r="T65" i="50"/>
  <c r="M37" i="50"/>
  <c r="Y6" i="50"/>
  <c r="R18" i="50"/>
  <c r="U30" i="50"/>
  <c r="Z56" i="50"/>
  <c r="AK6" i="50"/>
  <c r="AL6" i="50"/>
  <c r="X71" i="50"/>
  <c r="R48" i="50"/>
  <c r="O18" i="50"/>
  <c r="Q49" i="50"/>
  <c r="AN26" i="50"/>
  <c r="U39" i="50"/>
  <c r="AD53" i="50"/>
  <c r="Y42" i="50"/>
  <c r="AE57" i="50"/>
  <c r="AD35" i="50"/>
  <c r="AK22" i="50"/>
  <c r="O30" i="50"/>
  <c r="AE44" i="50"/>
  <c r="Y24" i="50"/>
  <c r="N40" i="50"/>
  <c r="T40" i="50"/>
  <c r="N68" i="50"/>
  <c r="M9" i="50"/>
  <c r="AG44" i="50"/>
  <c r="AJ65" i="50"/>
  <c r="AM41" i="50"/>
  <c r="N47" i="50"/>
  <c r="AE39" i="50"/>
  <c r="AK59" i="50"/>
  <c r="AO5" i="50"/>
  <c r="M14" i="50"/>
  <c r="AD56" i="50"/>
  <c r="AB9" i="50"/>
  <c r="AC8" i="50"/>
  <c r="N24" i="50"/>
  <c r="AE47" i="50"/>
  <c r="S6" i="50"/>
  <c r="Q20" i="50"/>
  <c r="Y12" i="50"/>
  <c r="AH16" i="50"/>
  <c r="AJ53" i="50"/>
  <c r="AM66" i="50"/>
  <c r="AJ59" i="50"/>
  <c r="AC61" i="50"/>
  <c r="AD63" i="50"/>
  <c r="R27" i="50"/>
  <c r="R32" i="50"/>
  <c r="AB14" i="50"/>
  <c r="AF46" i="50"/>
  <c r="AK18" i="50"/>
  <c r="AF43" i="50"/>
  <c r="AF33" i="50"/>
  <c r="AK28" i="50"/>
  <c r="Z55" i="50"/>
  <c r="AG15" i="50"/>
  <c r="Z17" i="50"/>
  <c r="AH43" i="50"/>
  <c r="L33" i="50"/>
  <c r="AA57" i="50"/>
  <c r="AG28" i="50"/>
  <c r="R24" i="50"/>
  <c r="AF5" i="50"/>
  <c r="AN57" i="50"/>
  <c r="R5" i="50"/>
  <c r="S17" i="50"/>
  <c r="R40" i="50"/>
  <c r="L46" i="50"/>
  <c r="AN47" i="50"/>
  <c r="O39" i="50"/>
  <c r="AC37" i="50"/>
  <c r="L70" i="50"/>
  <c r="AL38" i="50"/>
  <c r="Y63" i="50"/>
  <c r="AB56" i="50"/>
  <c r="N31" i="50"/>
  <c r="AI24" i="50"/>
  <c r="Z18" i="50"/>
  <c r="AL33" i="50"/>
  <c r="S39" i="50"/>
  <c r="AB29" i="50"/>
  <c r="T14" i="50"/>
  <c r="AD55" i="50"/>
  <c r="AN51" i="50"/>
  <c r="AN24" i="50"/>
  <c r="Z33" i="50"/>
  <c r="V31" i="50"/>
  <c r="Q19" i="50"/>
  <c r="R34" i="50"/>
  <c r="W39" i="50"/>
  <c r="AN9" i="50"/>
  <c r="Y39" i="50"/>
  <c r="AC59" i="50"/>
  <c r="L35" i="50"/>
  <c r="AM68" i="50"/>
  <c r="U33" i="50"/>
  <c r="O28" i="50"/>
  <c r="AG51" i="50"/>
  <c r="AI23" i="50"/>
  <c r="W62" i="50"/>
  <c r="AK38" i="50"/>
  <c r="AC10" i="50"/>
  <c r="Z63" i="50"/>
  <c r="AL7" i="50"/>
  <c r="AJ52" i="50"/>
  <c r="AE70" i="50"/>
  <c r="AA30" i="50"/>
  <c r="AN35" i="50"/>
  <c r="AC69" i="50"/>
  <c r="V56" i="50"/>
  <c r="T71" i="50"/>
  <c r="AF52" i="50"/>
  <c r="M41" i="50"/>
  <c r="Z34" i="50"/>
  <c r="AI18" i="50"/>
  <c r="AF65" i="50"/>
  <c r="AI5" i="50"/>
  <c r="AG20" i="50"/>
  <c r="AG26" i="50"/>
  <c r="AM69" i="50"/>
  <c r="Q70" i="50"/>
  <c r="Y41" i="50"/>
  <c r="AO22" i="50"/>
  <c r="T55" i="50"/>
  <c r="AD30" i="50"/>
  <c r="AB39" i="50"/>
  <c r="S15" i="50"/>
  <c r="N63" i="50"/>
  <c r="T54" i="50"/>
  <c r="P54" i="50"/>
  <c r="AK20" i="50"/>
  <c r="W27" i="50"/>
  <c r="AD10" i="50"/>
  <c r="W8" i="50"/>
  <c r="AA53" i="50"/>
  <c r="M19" i="50"/>
  <c r="AK47" i="50"/>
  <c r="T64" i="50"/>
  <c r="AH56" i="50"/>
  <c r="S4" i="50"/>
  <c r="U25" i="50"/>
  <c r="AL36" i="50"/>
  <c r="O41" i="50"/>
  <c r="V69" i="50"/>
  <c r="AJ68" i="50"/>
  <c r="AF66" i="50"/>
  <c r="V66" i="50"/>
  <c r="O47" i="50"/>
  <c r="AN41" i="50"/>
  <c r="AD20" i="50"/>
  <c r="T21" i="50"/>
  <c r="P19" i="50"/>
  <c r="AC49" i="50"/>
  <c r="X41" i="50"/>
  <c r="AK67" i="50"/>
  <c r="AH51" i="50"/>
  <c r="AO13" i="50"/>
  <c r="L10" i="50"/>
  <c r="AD9" i="50"/>
  <c r="L20" i="50"/>
  <c r="AL56" i="50"/>
  <c r="AG54" i="50"/>
  <c r="AE6" i="50"/>
  <c r="R66" i="50"/>
  <c r="X47" i="50"/>
  <c r="Q64" i="50"/>
  <c r="AG40" i="50"/>
  <c r="AM19" i="50"/>
  <c r="U45" i="50"/>
  <c r="AC23" i="50"/>
  <c r="AA15" i="50"/>
  <c r="V4" i="50"/>
  <c r="AL51" i="50"/>
  <c r="X20" i="50"/>
  <c r="AE65" i="50"/>
  <c r="T26" i="50"/>
  <c r="AH70" i="50"/>
  <c r="S57" i="50"/>
  <c r="AN70" i="50"/>
  <c r="AG19" i="50"/>
  <c r="X35" i="50"/>
  <c r="R17" i="50"/>
  <c r="AH18" i="50"/>
  <c r="AI30" i="50"/>
  <c r="U22" i="50"/>
  <c r="AO44" i="50"/>
  <c r="P7" i="50"/>
  <c r="AI4" i="50"/>
  <c r="AL57" i="50"/>
  <c r="AM61" i="50"/>
  <c r="AO29" i="50"/>
  <c r="AI39" i="50"/>
  <c r="AL18" i="50"/>
  <c r="AC55" i="50"/>
  <c r="AF49" i="50"/>
  <c r="AL53" i="50"/>
  <c r="AK31" i="50"/>
  <c r="AE51" i="50"/>
  <c r="AC68" i="50"/>
  <c r="AF59" i="50"/>
  <c r="V55" i="50"/>
  <c r="AI20" i="50"/>
  <c r="P66" i="50"/>
  <c r="T6" i="50"/>
  <c r="R50" i="50"/>
  <c r="W9" i="50"/>
  <c r="AL34" i="50"/>
  <c r="AG55" i="50"/>
  <c r="AD7" i="50"/>
  <c r="N6" i="50"/>
  <c r="AC64" i="50"/>
  <c r="AO49" i="50"/>
  <c r="AO56" i="50"/>
  <c r="AH9" i="50"/>
  <c r="O25" i="50"/>
  <c r="Z39" i="50"/>
  <c r="AA66" i="50"/>
  <c r="Q14" i="50"/>
  <c r="AL19" i="50"/>
  <c r="AG60" i="50"/>
  <c r="S40" i="50"/>
  <c r="W12" i="50"/>
  <c r="W60" i="50"/>
  <c r="R6" i="50"/>
  <c r="AF69" i="50"/>
  <c r="L23" i="50"/>
  <c r="N41" i="50"/>
  <c r="AN58" i="50"/>
  <c r="AH57" i="50"/>
  <c r="AJ26" i="50"/>
  <c r="AG18" i="50"/>
  <c r="AK69" i="50"/>
  <c r="AO50" i="50"/>
  <c r="AE38" i="50"/>
  <c r="AJ30" i="50"/>
  <c r="W11" i="50"/>
  <c r="AM71" i="50"/>
  <c r="AH64" i="50"/>
  <c r="T33" i="50"/>
  <c r="Z14" i="50"/>
  <c r="Y56" i="50"/>
  <c r="AJ35" i="50"/>
  <c r="Z49" i="50"/>
  <c r="Y34" i="50"/>
  <c r="AH36" i="50"/>
  <c r="AM7" i="50"/>
  <c r="S58" i="50"/>
  <c r="L8" i="50"/>
  <c r="AI10" i="50"/>
  <c r="AM56" i="50"/>
  <c r="AJ25" i="50"/>
  <c r="R21" i="50"/>
  <c r="V42" i="50"/>
  <c r="Y45" i="50"/>
  <c r="L40" i="50"/>
  <c r="Y27" i="50"/>
  <c r="Y36" i="50"/>
  <c r="Y62" i="50"/>
  <c r="AH7" i="50"/>
  <c r="Q13" i="50"/>
  <c r="Q32" i="50"/>
  <c r="AJ13" i="50"/>
  <c r="O70" i="50"/>
  <c r="AF10" i="50"/>
  <c r="Z42" i="50"/>
  <c r="AB44" i="50"/>
  <c r="P47" i="50"/>
  <c r="AJ32" i="50"/>
  <c r="AL21" i="50"/>
  <c r="AO9" i="50"/>
  <c r="AM37" i="50"/>
  <c r="S43" i="50"/>
  <c r="P18" i="50"/>
  <c r="N26" i="50"/>
  <c r="AH63" i="50"/>
  <c r="M36" i="50"/>
  <c r="AC17" i="50"/>
  <c r="V44" i="50"/>
  <c r="AN44" i="50"/>
  <c r="AN13" i="50"/>
  <c r="AN18" i="50"/>
  <c r="M26" i="50"/>
  <c r="Q37" i="50"/>
  <c r="M46" i="50"/>
  <c r="R68" i="50"/>
  <c r="P40" i="50"/>
  <c r="N32" i="50"/>
  <c r="M61" i="50"/>
  <c r="AN65" i="50"/>
  <c r="AE33" i="50"/>
  <c r="L31" i="50"/>
  <c r="Q29" i="50"/>
  <c r="O15" i="50"/>
  <c r="R53" i="50"/>
  <c r="U42" i="50"/>
  <c r="Y60" i="50"/>
  <c r="AA19" i="50"/>
  <c r="AI44" i="50"/>
  <c r="AI6" i="50"/>
  <c r="AJ47" i="50"/>
  <c r="W46" i="50"/>
  <c r="S47" i="50"/>
  <c r="AO18" i="50"/>
  <c r="AL43" i="50"/>
  <c r="N15" i="50"/>
  <c r="AC33" i="50"/>
  <c r="U51" i="50"/>
  <c r="M10" i="50"/>
  <c r="AB22" i="50"/>
  <c r="AA7" i="50"/>
  <c r="M70" i="50"/>
  <c r="O62" i="50"/>
  <c r="AC14" i="50"/>
  <c r="S26" i="50"/>
  <c r="AB38" i="50"/>
  <c r="AL13" i="50"/>
  <c r="R71" i="50"/>
  <c r="AF71" i="50"/>
  <c r="AA31" i="50"/>
  <c r="N12" i="50"/>
  <c r="AE43" i="50"/>
  <c r="AH34" i="50"/>
  <c r="X58" i="50"/>
  <c r="O55" i="50"/>
  <c r="AF70" i="50"/>
  <c r="S10" i="50"/>
  <c r="W55" i="50"/>
  <c r="M22" i="50"/>
  <c r="AO71" i="50"/>
  <c r="AL12" i="50"/>
  <c r="AH39" i="50"/>
  <c r="AM55" i="50"/>
  <c r="W61" i="50"/>
  <c r="V46" i="50"/>
  <c r="AO63" i="50"/>
  <c r="AO55" i="50"/>
  <c r="AF18" i="50"/>
  <c r="AF28" i="50"/>
  <c r="AG45" i="50"/>
  <c r="AA58" i="50"/>
  <c r="P8" i="50"/>
  <c r="N27" i="50"/>
  <c r="AF20" i="50"/>
  <c r="U13" i="50"/>
  <c r="X67" i="50"/>
  <c r="N70" i="50"/>
  <c r="AI53" i="50"/>
  <c r="Z51" i="50"/>
  <c r="AO45" i="50"/>
  <c r="W36" i="50"/>
  <c r="AA23" i="50"/>
  <c r="AC45" i="50"/>
  <c r="AC41" i="50"/>
  <c r="M20" i="50"/>
  <c r="O43" i="50"/>
  <c r="Y58" i="50"/>
  <c r="AA67" i="50"/>
  <c r="AH26" i="50"/>
  <c r="AG8" i="50"/>
  <c r="O34" i="50"/>
  <c r="AG70" i="50"/>
  <c r="V29" i="50"/>
  <c r="AA16" i="50"/>
  <c r="AJ10" i="50"/>
  <c r="AN63" i="50"/>
  <c r="W15" i="50"/>
  <c r="AJ22" i="50"/>
  <c r="M67" i="50"/>
  <c r="M34" i="50"/>
  <c r="R65" i="50"/>
  <c r="AB5" i="50"/>
  <c r="R62" i="50"/>
  <c r="AL17" i="50"/>
  <c r="W20" i="50"/>
  <c r="O36" i="50"/>
  <c r="V6" i="50"/>
  <c r="AD18" i="50"/>
  <c r="AM32" i="50"/>
  <c r="N57" i="50"/>
  <c r="Q60" i="50"/>
  <c r="AH28" i="50"/>
  <c r="T12" i="50"/>
  <c r="AM48" i="50"/>
  <c r="AE68" i="50"/>
  <c r="L17" i="50"/>
  <c r="AA24" i="50"/>
  <c r="Q47" i="50"/>
  <c r="S69" i="50"/>
  <c r="AB52" i="50"/>
  <c r="AO17" i="50"/>
  <c r="AJ19" i="50"/>
  <c r="AC6" i="50"/>
  <c r="U56" i="50"/>
  <c r="N67" i="50"/>
  <c r="W69" i="50"/>
  <c r="AN22" i="50"/>
  <c r="S18" i="50"/>
  <c r="AL54" i="50"/>
  <c r="AJ66" i="50"/>
  <c r="AI52" i="50"/>
  <c r="AI68" i="50"/>
  <c r="Q56" i="50"/>
  <c r="T32" i="50"/>
  <c r="V15" i="50"/>
  <c r="U69" i="50"/>
  <c r="AA33" i="50"/>
  <c r="AD68" i="50"/>
  <c r="AF54" i="50"/>
  <c r="AE24" i="50"/>
  <c r="W59" i="50"/>
  <c r="P68" i="50"/>
  <c r="AL25" i="50"/>
  <c r="N9" i="50"/>
  <c r="M5" i="50"/>
  <c r="M35" i="50"/>
  <c r="Z20" i="50"/>
  <c r="AB33" i="50"/>
  <c r="Q9" i="50"/>
  <c r="S56" i="50"/>
  <c r="AH58" i="50"/>
  <c r="S13" i="50"/>
  <c r="AI35" i="50"/>
  <c r="M56" i="50"/>
  <c r="T11" i="50"/>
  <c r="M45" i="50"/>
  <c r="Y21" i="50"/>
  <c r="X65" i="50"/>
  <c r="AB64" i="50"/>
  <c r="AG38" i="50"/>
  <c r="L54" i="50"/>
  <c r="P53" i="50"/>
  <c r="V35" i="50"/>
  <c r="AF61" i="50"/>
  <c r="AH13" i="50"/>
  <c r="S30" i="50"/>
  <c r="Z45" i="50"/>
  <c r="O53" i="50"/>
  <c r="AN55" i="50"/>
  <c r="AG59" i="50"/>
  <c r="AL10" i="50"/>
  <c r="AE60" i="50"/>
  <c r="L16" i="50"/>
  <c r="AD36" i="50"/>
  <c r="AI46" i="50"/>
  <c r="O69" i="50"/>
  <c r="AI63" i="50"/>
  <c r="T15" i="50"/>
  <c r="AF17" i="50"/>
  <c r="AG24" i="50"/>
  <c r="P14" i="50"/>
  <c r="AC7" i="50"/>
  <c r="O57" i="50"/>
  <c r="AB6" i="50"/>
  <c r="AI21" i="50"/>
  <c r="AE28" i="50"/>
  <c r="AC22" i="50"/>
  <c r="T17" i="50"/>
  <c r="AK10" i="50"/>
  <c r="Q46" i="50"/>
  <c r="AB36" i="50"/>
  <c r="AD48" i="50"/>
  <c r="AC32" i="50"/>
  <c r="AK48" i="50"/>
  <c r="R69" i="50"/>
  <c r="Z53" i="50"/>
  <c r="Q41" i="50"/>
  <c r="AB63" i="50"/>
  <c r="P20" i="50"/>
  <c r="AE20" i="50"/>
  <c r="L18" i="50"/>
  <c r="X61" i="50"/>
  <c r="AB41" i="50"/>
  <c r="S51" i="50"/>
  <c r="V50" i="50"/>
  <c r="AI25" i="50"/>
  <c r="AC67" i="50"/>
  <c r="AL48" i="50"/>
  <c r="AM11" i="50"/>
  <c r="S66" i="50"/>
  <c r="AM6" i="50"/>
  <c r="X37" i="50"/>
  <c r="L38" i="50"/>
  <c r="Q38" i="50"/>
  <c r="Q57" i="50"/>
  <c r="AI9" i="50"/>
  <c r="U63" i="50"/>
  <c r="L22" i="50"/>
  <c r="AC38" i="50"/>
  <c r="M13" i="50"/>
  <c r="V34" i="50"/>
  <c r="AG22" i="50"/>
  <c r="AD67" i="50"/>
  <c r="AE63" i="50"/>
  <c r="W18" i="50"/>
  <c r="Y43" i="50"/>
  <c r="AL59" i="50"/>
  <c r="V17" i="50"/>
  <c r="X15" i="50"/>
  <c r="Z7" i="50"/>
  <c r="AJ62" i="50"/>
  <c r="AB57" i="50"/>
  <c r="AH68" i="50"/>
  <c r="AA21" i="50"/>
  <c r="Y65" i="50"/>
  <c r="AJ71" i="50"/>
  <c r="R30" i="50"/>
  <c r="AI62" i="50"/>
  <c r="AF9" i="50"/>
  <c r="AM38" i="50"/>
  <c r="S32" i="50"/>
  <c r="L52" i="50"/>
  <c r="AN60" i="50"/>
  <c r="AB60" i="50"/>
  <c r="AH62" i="50"/>
  <c r="U49" i="50"/>
  <c r="AH54" i="50"/>
  <c r="Q65" i="50"/>
  <c r="O54" i="50"/>
  <c r="R13" i="50"/>
  <c r="AI13" i="50"/>
  <c r="AA13" i="50"/>
  <c r="AA25" i="50"/>
  <c r="L49" i="50"/>
  <c r="AF8" i="50"/>
  <c r="AH38" i="50"/>
  <c r="P37" i="50"/>
  <c r="AK32" i="50"/>
  <c r="X68" i="50"/>
  <c r="T8" i="50"/>
  <c r="AM5" i="50"/>
  <c r="AO20" i="50"/>
  <c r="AK17" i="50"/>
  <c r="N36" i="50"/>
  <c r="U7" i="50"/>
  <c r="AE52" i="50"/>
  <c r="X4" i="50"/>
  <c r="AI67" i="50"/>
  <c r="AK19" i="50"/>
  <c r="AL55" i="50"/>
  <c r="T37" i="50"/>
  <c r="P41" i="50"/>
  <c r="AE35" i="50"/>
  <c r="L44" i="50"/>
  <c r="V23" i="50"/>
  <c r="P12" i="50"/>
  <c r="V61" i="50"/>
  <c r="P58" i="50"/>
  <c r="AK21" i="50"/>
  <c r="Y71" i="50"/>
  <c r="X69" i="50"/>
  <c r="V57" i="50"/>
  <c r="AJ23" i="50"/>
  <c r="AG33" i="50"/>
  <c r="AJ24" i="50"/>
  <c r="AK43" i="50"/>
  <c r="AE50" i="50"/>
  <c r="AH25" i="50"/>
  <c r="AI14" i="50"/>
  <c r="O10" i="50"/>
  <c r="AG67" i="50"/>
  <c r="AA10" i="50"/>
  <c r="AM12" i="50"/>
  <c r="AB58" i="50"/>
  <c r="AN53" i="50"/>
  <c r="S29" i="50"/>
  <c r="V21" i="50"/>
  <c r="AF30" i="50"/>
  <c r="T60" i="50"/>
  <c r="Q52" i="50"/>
  <c r="AG35" i="50"/>
  <c r="Q43" i="50"/>
  <c r="AM53" i="50"/>
  <c r="W29" i="50"/>
  <c r="O6" i="50"/>
  <c r="X13" i="50"/>
  <c r="AH60" i="50"/>
  <c r="AN4" i="50"/>
  <c r="V71" i="50"/>
  <c r="W51" i="50"/>
  <c r="M48" i="50"/>
  <c r="M23" i="50"/>
  <c r="AC12" i="50"/>
  <c r="Q42" i="50"/>
  <c r="AG68" i="50"/>
  <c r="AL20" i="50"/>
  <c r="AF62" i="50"/>
  <c r="Q24" i="50"/>
  <c r="AH27" i="50"/>
  <c r="X66" i="50"/>
  <c r="L61" i="50"/>
  <c r="AF56" i="50"/>
  <c r="AJ6" i="50"/>
  <c r="Z68" i="50"/>
  <c r="AM10" i="50"/>
  <c r="AN38" i="50"/>
  <c r="AJ40" i="50"/>
  <c r="V51" i="50"/>
  <c r="AN33" i="50"/>
  <c r="Z50" i="50"/>
  <c r="Z27" i="50"/>
  <c r="P26" i="50"/>
  <c r="Q34" i="50"/>
  <c r="T70" i="50"/>
  <c r="AD15" i="50"/>
  <c r="R52" i="50"/>
  <c r="AL46" i="50"/>
  <c r="AF60" i="50"/>
  <c r="Z22" i="50"/>
  <c r="AH23" i="50"/>
  <c r="AO33" i="50"/>
  <c r="AB53" i="50"/>
  <c r="T46" i="50"/>
  <c r="AG5" i="50"/>
  <c r="AF15" i="50"/>
  <c r="U19" i="50"/>
  <c r="T19" i="50"/>
  <c r="M28" i="50"/>
  <c r="AO66" i="50"/>
  <c r="AO4" i="50"/>
  <c r="X25" i="50"/>
  <c r="P6" i="50"/>
  <c r="AF13" i="50"/>
  <c r="AH32" i="50"/>
  <c r="P63" i="50"/>
  <c r="AA8" i="50"/>
  <c r="AL28" i="50"/>
  <c r="P16" i="50"/>
  <c r="AM15" i="50"/>
  <c r="AI70" i="50"/>
  <c r="Q58" i="50"/>
  <c r="AC13" i="50"/>
  <c r="W7" i="50"/>
  <c r="T50" i="50"/>
  <c r="AA26" i="50"/>
  <c r="Q23" i="50"/>
  <c r="S22" i="50"/>
  <c r="AK25" i="50"/>
  <c r="X49" i="50"/>
  <c r="Z54" i="50"/>
  <c r="M4" i="50"/>
  <c r="AH55" i="50"/>
  <c r="AG64" i="50"/>
  <c r="AG62" i="50"/>
  <c r="X40" i="50"/>
  <c r="AF32" i="50"/>
  <c r="R54" i="50"/>
  <c r="AK15" i="50"/>
  <c r="AK45" i="50"/>
  <c r="AC20" i="50"/>
  <c r="AN23" i="50"/>
  <c r="O68" i="50"/>
  <c r="N46" i="50"/>
  <c r="AB20" i="50"/>
  <c r="AO24" i="50"/>
  <c r="Z46" i="50"/>
  <c r="AL67" i="50"/>
  <c r="L30" i="50"/>
  <c r="AO58" i="50"/>
  <c r="AK66" i="50"/>
  <c r="L11" i="50"/>
  <c r="AM30" i="50"/>
  <c r="M54" i="50"/>
  <c r="AG49" i="50"/>
  <c r="AB51" i="50"/>
  <c r="Y66" i="50"/>
  <c r="V8" i="50"/>
  <c r="AA42" i="50"/>
  <c r="AD39" i="50"/>
  <c r="M39" i="50"/>
  <c r="U61" i="50"/>
  <c r="P50" i="50"/>
  <c r="AB43" i="50"/>
  <c r="AH19" i="50"/>
  <c r="AE61" i="50"/>
  <c r="AN19" i="50"/>
  <c r="AB35" i="50"/>
  <c r="Q68" i="50"/>
  <c r="AA63" i="50"/>
  <c r="Y67" i="50"/>
  <c r="AO12" i="50"/>
  <c r="AL58" i="50"/>
  <c r="AC5" i="50"/>
  <c r="U60" i="50"/>
  <c r="O22" i="50"/>
  <c r="AH20" i="50"/>
  <c r="AJ29" i="50"/>
  <c r="P71" i="50"/>
  <c r="Q45" i="50"/>
  <c r="U36" i="50"/>
  <c r="Y44" i="50"/>
  <c r="U66" i="50"/>
  <c r="AB4" i="50"/>
  <c r="AH30" i="50"/>
  <c r="AN69" i="50"/>
  <c r="O38" i="50"/>
  <c r="AK36" i="50"/>
  <c r="AN45" i="50"/>
  <c r="Y17" i="50"/>
  <c r="AF68" i="50"/>
  <c r="AG25" i="50"/>
  <c r="AM27" i="50"/>
  <c r="AK33" i="50"/>
  <c r="AM42" i="50"/>
  <c r="AF19" i="50"/>
  <c r="AO31" i="50"/>
  <c r="Z35" i="50"/>
  <c r="AE14" i="50"/>
  <c r="W10" i="50"/>
  <c r="Q11" i="50"/>
  <c r="AI64" i="50"/>
  <c r="AL70" i="50"/>
  <c r="AN11" i="50"/>
  <c r="U43" i="50"/>
  <c r="AJ44" i="50"/>
  <c r="Y14" i="50"/>
  <c r="P4" i="50"/>
  <c r="U35" i="50"/>
  <c r="AC70" i="50"/>
  <c r="S38" i="50"/>
  <c r="AG69" i="50"/>
  <c r="AN61" i="50"/>
  <c r="P59" i="50"/>
  <c r="AN37" i="50"/>
  <c r="S59" i="50"/>
  <c r="AL22" i="50"/>
  <c r="R59" i="50"/>
  <c r="Y59" i="50"/>
  <c r="AD58" i="50"/>
  <c r="AM23" i="50"/>
  <c r="AK60" i="50"/>
  <c r="O52" i="50"/>
  <c r="T59" i="50"/>
  <c r="AK35" i="50"/>
  <c r="AG17" i="50"/>
  <c r="AM8" i="50"/>
  <c r="T29" i="50"/>
  <c r="AE41" i="50"/>
  <c r="AH46" i="50"/>
  <c r="AM25" i="50"/>
  <c r="U68" i="50"/>
  <c r="T68" i="50"/>
  <c r="M60" i="50"/>
  <c r="AO23" i="50"/>
  <c r="L47" i="50"/>
  <c r="AN30" i="50"/>
  <c r="Z23" i="50"/>
  <c r="Y13" i="50"/>
  <c r="AD13" i="50"/>
  <c r="V60" i="50"/>
  <c r="Q8" i="50"/>
  <c r="V45" i="50"/>
  <c r="AD64" i="50"/>
  <c r="Z37" i="50"/>
  <c r="AD19" i="50"/>
  <c r="Z12" i="50"/>
  <c r="AD46" i="50"/>
  <c r="AD52" i="50"/>
  <c r="AI60" i="50"/>
  <c r="N64" i="50"/>
  <c r="W53" i="50"/>
  <c r="X54" i="50"/>
  <c r="X16" i="50"/>
  <c r="AI45" i="50"/>
  <c r="O71" i="50"/>
  <c r="X45" i="50"/>
  <c r="Z52" i="50"/>
  <c r="AJ14" i="50"/>
  <c r="Z43" i="50"/>
  <c r="AL30" i="50"/>
  <c r="AA71" i="50"/>
  <c r="AF63" i="50"/>
  <c r="R36" i="50"/>
  <c r="P39" i="50"/>
  <c r="AK11" i="50"/>
  <c r="N28" i="50"/>
  <c r="Y30" i="50"/>
  <c r="R9" i="50"/>
  <c r="T47" i="50"/>
  <c r="AL68" i="50"/>
  <c r="V62" i="50"/>
  <c r="W31" i="50"/>
  <c r="V53" i="50"/>
  <c r="S28" i="50"/>
  <c r="N38" i="50"/>
  <c r="AI69" i="50"/>
  <c r="AE56" i="50"/>
  <c r="L56" i="50"/>
  <c r="AC71" i="50"/>
  <c r="R55" i="50"/>
  <c r="AL9" i="50"/>
  <c r="AJ45" i="50"/>
  <c r="N33" i="50"/>
  <c r="R56" i="50"/>
  <c r="AJ46" i="50"/>
  <c r="V48" i="50"/>
  <c r="M58" i="50"/>
  <c r="AF29" i="50"/>
  <c r="AC39" i="50"/>
  <c r="AO10" i="50"/>
  <c r="AC15" i="50"/>
  <c r="AF12" i="50"/>
  <c r="S12" i="50"/>
  <c r="V58" i="50"/>
  <c r="Y70" i="50"/>
  <c r="AG16" i="50"/>
  <c r="X57" i="50"/>
  <c r="U70" i="50"/>
  <c r="M53" i="50"/>
  <c r="X48" i="50"/>
  <c r="L29" i="50"/>
  <c r="AH4" i="50"/>
  <c r="Z15" i="50"/>
  <c r="Q35" i="50"/>
  <c r="Y15" i="50"/>
  <c r="AH69" i="50"/>
  <c r="AI19" i="50"/>
  <c r="T34" i="50"/>
  <c r="AN5" i="50"/>
  <c r="AG39" i="50"/>
  <c r="AK23" i="50"/>
  <c r="AI48" i="50"/>
  <c r="AB26" i="50"/>
  <c r="AL41" i="50"/>
  <c r="W28" i="50"/>
  <c r="AC34" i="50"/>
  <c r="AE23" i="50"/>
  <c r="AG12" i="50"/>
  <c r="AE46" i="50"/>
  <c r="R29" i="50"/>
  <c r="AI65" i="50"/>
  <c r="O42" i="50"/>
  <c r="N19" i="50"/>
  <c r="AF37" i="50"/>
  <c r="AO40" i="50"/>
  <c r="W71" i="50"/>
  <c r="AM33" i="50"/>
  <c r="L13" i="50"/>
  <c r="AB15" i="50"/>
  <c r="Z65" i="50"/>
  <c r="T56" i="50"/>
  <c r="AF26" i="50"/>
  <c r="AA28" i="50"/>
  <c r="AJ28" i="50"/>
  <c r="T61" i="50"/>
  <c r="V40" i="50"/>
  <c r="AN66" i="50"/>
  <c r="AF48" i="50"/>
  <c r="U53" i="50"/>
  <c r="AM51" i="50"/>
  <c r="R12" i="50"/>
  <c r="AJ55" i="50"/>
  <c r="AF50" i="50"/>
  <c r="N39" i="50"/>
  <c r="Z69" i="50"/>
  <c r="X18" i="50"/>
  <c r="O50" i="50"/>
  <c r="AI51" i="50"/>
  <c r="M6" i="50"/>
  <c r="Q22" i="50"/>
  <c r="AO51" i="50"/>
  <c r="S19" i="50"/>
  <c r="AK34" i="50"/>
  <c r="AF35" i="50"/>
  <c r="AA48" i="50"/>
  <c r="AN10" i="50"/>
  <c r="U40" i="50"/>
  <c r="P31" i="50"/>
  <c r="AI32" i="50"/>
  <c r="V9" i="50"/>
  <c r="AM62" i="50"/>
  <c r="O32" i="50"/>
  <c r="AA35" i="50"/>
  <c r="AA12" i="50"/>
  <c r="R67" i="50"/>
  <c r="X17" i="50"/>
  <c r="L34" i="50"/>
  <c r="AJ31" i="50"/>
  <c r="AM24" i="50"/>
  <c r="AO36" i="50"/>
  <c r="T53" i="50"/>
  <c r="AI28" i="50"/>
  <c r="AC60" i="50"/>
  <c r="Q30" i="50"/>
  <c r="AB49" i="50"/>
  <c r="AA55" i="50"/>
  <c r="AM67" i="50"/>
  <c r="AO46" i="50"/>
  <c r="AK8" i="50"/>
  <c r="AN6" i="50"/>
  <c r="AI34" i="50"/>
  <c r="L27" i="50"/>
  <c r="AE7" i="50"/>
  <c r="U26" i="50"/>
  <c r="O13" i="50"/>
  <c r="AC31" i="50"/>
  <c r="AA62" i="50"/>
  <c r="U54" i="50"/>
  <c r="AE45" i="50"/>
  <c r="AF22" i="50"/>
  <c r="X55" i="50"/>
  <c r="V65" i="50"/>
  <c r="AD34" i="50"/>
  <c r="U5" i="50"/>
  <c r="P36" i="50"/>
  <c r="P42" i="50"/>
  <c r="AM29" i="50"/>
  <c r="T66" i="50"/>
  <c r="Y35" i="50"/>
  <c r="S27" i="50"/>
  <c r="AD40" i="50"/>
  <c r="AC56" i="50"/>
  <c r="Y8" i="50"/>
  <c r="AA37" i="50"/>
  <c r="Q59" i="50"/>
  <c r="AB28" i="50"/>
  <c r="Y7" i="50"/>
  <c r="AF7" i="50"/>
  <c r="AJ8" i="50"/>
  <c r="AI50" i="50"/>
  <c r="AM34" i="50"/>
  <c r="AC47" i="50"/>
  <c r="AF55" i="50"/>
  <c r="AH71" i="50"/>
  <c r="V64" i="50"/>
  <c r="AC51" i="50"/>
  <c r="AG4" i="50"/>
  <c r="AF27" i="50"/>
  <c r="AN49" i="50"/>
  <c r="M64" i="50"/>
  <c r="X31" i="50"/>
  <c r="X63" i="50"/>
  <c r="AM14" i="50"/>
  <c r="AO60" i="50"/>
  <c r="AM43" i="50"/>
  <c r="Q27" i="50"/>
  <c r="O19" i="50"/>
  <c r="AD38" i="50"/>
  <c r="N43" i="50"/>
  <c r="Y48" i="50"/>
  <c r="M31" i="50"/>
  <c r="AJ49" i="50"/>
  <c r="S37" i="50"/>
  <c r="Y37" i="50"/>
  <c r="Y22" i="50"/>
  <c r="P13" i="50"/>
  <c r="R15" i="50"/>
  <c r="W23" i="50"/>
  <c r="S61" i="50"/>
  <c r="M7" i="50"/>
  <c r="AE17" i="50"/>
  <c r="AN68" i="50"/>
  <c r="AB54" i="50"/>
  <c r="R57" i="50"/>
  <c r="AO11" i="50"/>
  <c r="S55" i="50"/>
  <c r="Q40" i="50"/>
  <c r="AK51" i="50"/>
  <c r="AD17" i="50"/>
  <c r="W25" i="50"/>
  <c r="O9" i="50"/>
  <c r="AN27" i="50"/>
  <c r="P43" i="50"/>
  <c r="N25" i="50"/>
  <c r="L57" i="50"/>
  <c r="L53" i="50"/>
  <c r="P32" i="50"/>
  <c r="Z19" i="50"/>
  <c r="AF23" i="50"/>
  <c r="AK26" i="50"/>
  <c r="O49" i="50"/>
  <c r="AL69" i="50"/>
  <c r="L43" i="50"/>
  <c r="S71" i="50"/>
  <c r="Q51" i="50"/>
  <c r="AB71" i="50"/>
  <c r="AF39" i="50"/>
  <c r="AG32" i="50"/>
  <c r="V67" i="50"/>
  <c r="U62" i="50"/>
  <c r="AF67" i="50"/>
  <c r="U58" i="50"/>
  <c r="Z57" i="50"/>
  <c r="X33" i="50"/>
  <c r="P62" i="50"/>
  <c r="V36" i="50"/>
  <c r="AM65" i="50"/>
  <c r="S65" i="50"/>
  <c r="AK55" i="50"/>
  <c r="AF45" i="50"/>
  <c r="AI47" i="50"/>
  <c r="P30" i="50"/>
  <c r="W49" i="50"/>
  <c r="AL15" i="50"/>
  <c r="Q50" i="50"/>
  <c r="R16" i="50"/>
  <c r="AJ11" i="50"/>
  <c r="AB30" i="50"/>
  <c r="AF31" i="50"/>
  <c r="M57" i="50"/>
  <c r="AN54" i="50"/>
  <c r="Y55" i="50"/>
  <c r="Q63" i="50"/>
  <c r="T57" i="50"/>
  <c r="V43" i="50"/>
  <c r="U32" i="50"/>
  <c r="T36" i="50"/>
  <c r="P35" i="50"/>
  <c r="AF25" i="50"/>
  <c r="AB65" i="50"/>
  <c r="V10" i="50"/>
  <c r="Q66" i="50"/>
  <c r="N66" i="50"/>
  <c r="W24" i="50"/>
  <c r="X27" i="50"/>
  <c r="T44" i="50"/>
  <c r="AH5" i="50"/>
  <c r="AL31" i="50"/>
  <c r="T67" i="50"/>
  <c r="O40" i="50"/>
  <c r="AM40" i="50"/>
  <c r="Z67" i="50"/>
  <c r="V47" i="50"/>
  <c r="W13" i="50"/>
  <c r="N21" i="50"/>
  <c r="T52" i="50"/>
  <c r="Q16" i="50"/>
  <c r="AC4" i="50"/>
  <c r="Y28" i="50"/>
  <c r="AA44" i="50"/>
  <c r="U28" i="50"/>
  <c r="T45" i="50"/>
  <c r="S42" i="50"/>
  <c r="AH53" i="50"/>
  <c r="AL11" i="50"/>
  <c r="M40" i="50"/>
  <c r="X44" i="50"/>
  <c r="M12" i="50"/>
  <c r="Q15" i="50"/>
  <c r="S9" i="50"/>
  <c r="AO47" i="50"/>
  <c r="P11" i="50"/>
  <c r="W4" i="50"/>
  <c r="AI58" i="50"/>
  <c r="AI12" i="50"/>
  <c r="AE48" i="50"/>
  <c r="O65" i="50"/>
  <c r="AJ43" i="50"/>
  <c r="AB24" i="50"/>
  <c r="AM57" i="50"/>
  <c r="AM21" i="50"/>
  <c r="S5" i="50"/>
  <c r="AH29" i="50"/>
  <c r="W16" i="50"/>
  <c r="R45" i="50"/>
  <c r="O29" i="50"/>
  <c r="O58" i="50"/>
  <c r="T28" i="50"/>
  <c r="AA54" i="50"/>
  <c r="M30" i="50"/>
  <c r="N45" i="50"/>
  <c r="L41" i="50"/>
  <c r="AE8" i="50"/>
  <c r="AB8" i="50"/>
  <c r="X12" i="50"/>
  <c r="AD41" i="50"/>
  <c r="AK57" i="50"/>
  <c r="L24" i="50"/>
  <c r="Y52" i="50"/>
  <c r="AM46" i="50"/>
  <c r="T63" i="50"/>
  <c r="N60" i="50"/>
  <c r="AJ5" i="50"/>
  <c r="M55" i="50"/>
  <c r="L48" i="50"/>
  <c r="AG21" i="50"/>
  <c r="P60" i="50"/>
  <c r="M18" i="50"/>
  <c r="AK37" i="50"/>
  <c r="Y38" i="50"/>
  <c r="AC25" i="50"/>
  <c r="O64" i="50"/>
  <c r="Y29" i="50"/>
  <c r="AM54" i="50"/>
  <c r="AN17" i="50"/>
  <c r="T23" i="50"/>
  <c r="N69" i="50"/>
  <c r="L26" i="50"/>
  <c r="Y5" i="50"/>
  <c r="AF64" i="50"/>
  <c r="N16" i="50"/>
  <c r="AG42" i="50"/>
  <c r="AH66" i="50"/>
  <c r="AO25" i="50"/>
  <c r="AD22" i="50"/>
  <c r="U31" i="50"/>
  <c r="AK12" i="50"/>
  <c r="AO69" i="50"/>
  <c r="AB12" i="50"/>
  <c r="AO38" i="50"/>
  <c r="AJ48" i="50"/>
  <c r="AN46" i="50"/>
  <c r="X30" i="50"/>
  <c r="AH21" i="50"/>
  <c r="AD45" i="50"/>
  <c r="V19" i="50"/>
  <c r="AH52" i="50"/>
  <c r="R26" i="50"/>
  <c r="AD57" i="50"/>
  <c r="T69" i="50"/>
  <c r="W68" i="50"/>
  <c r="AL66" i="50"/>
  <c r="AK29" i="50"/>
  <c r="AL49" i="50"/>
  <c r="AA65" i="50"/>
  <c r="AC66" i="50"/>
  <c r="AJ70" i="50"/>
  <c r="AG29" i="50"/>
  <c r="AD70" i="50"/>
  <c r="AN21" i="50"/>
  <c r="W54" i="50"/>
  <c r="M21" i="50"/>
  <c r="AH45" i="50"/>
  <c r="AO41" i="50"/>
  <c r="AN43" i="50"/>
  <c r="M25" i="50"/>
  <c r="AG31" i="50"/>
  <c r="R58" i="50"/>
  <c r="AJ57" i="50"/>
  <c r="AH22" i="50"/>
  <c r="R46" i="50"/>
  <c r="S35" i="50"/>
  <c r="AK16" i="50"/>
  <c r="N34" i="50"/>
  <c r="AM44" i="50"/>
  <c r="AD50" i="50"/>
  <c r="Z44" i="50"/>
  <c r="V37" i="50"/>
  <c r="T38" i="50"/>
  <c r="AJ63" i="50"/>
  <c r="X36" i="50"/>
  <c r="AM52" i="50"/>
  <c r="AM70" i="50"/>
  <c r="AC27" i="50"/>
  <c r="AH41" i="50"/>
  <c r="AO27" i="50"/>
  <c r="AE59" i="50"/>
  <c r="AL24" i="50"/>
  <c r="AD5" i="50"/>
  <c r="AE36" i="50"/>
  <c r="AJ15" i="50"/>
  <c r="M38" i="50"/>
  <c r="AG46" i="50"/>
  <c r="AJ60" i="50"/>
  <c r="Z71" i="50"/>
  <c r="T4" i="50"/>
  <c r="P56" i="50"/>
  <c r="AE40" i="50"/>
  <c r="M17" i="50"/>
  <c r="V33" i="50"/>
  <c r="V41" i="50"/>
  <c r="AE58" i="50"/>
  <c r="AI71" i="50"/>
  <c r="AJ61" i="50"/>
  <c r="N29" i="50"/>
  <c r="M43" i="50"/>
  <c r="AI55" i="50"/>
  <c r="AL27" i="50"/>
  <c r="AI59" i="50"/>
  <c r="Y11" i="50"/>
  <c r="U9" i="50"/>
  <c r="T13" i="50"/>
  <c r="L63" i="50"/>
  <c r="T51" i="50"/>
  <c r="AJ38" i="50"/>
  <c r="M8" i="50"/>
  <c r="W35" i="50"/>
  <c r="AN39" i="50"/>
  <c r="L39" i="50"/>
  <c r="U27" i="50"/>
  <c r="X56" i="50"/>
  <c r="W19" i="50"/>
  <c r="S16" i="50"/>
  <c r="Y47" i="50"/>
  <c r="AM59" i="50"/>
  <c r="S68" i="50"/>
  <c r="Z26" i="50"/>
  <c r="AE30" i="50"/>
  <c r="AO7" i="50"/>
  <c r="AE53" i="50"/>
  <c r="S20" i="50"/>
  <c r="Y32" i="50"/>
  <c r="X59" i="50"/>
  <c r="L21" i="50"/>
  <c r="R42" i="50"/>
  <c r="AH11" i="50"/>
  <c r="AM58" i="50"/>
  <c r="T39" i="50"/>
  <c r="AA47" i="50"/>
  <c r="AD11" i="50"/>
  <c r="AN15" i="50"/>
  <c r="AC11" i="50"/>
  <c r="L9" i="50"/>
  <c r="L45" i="50"/>
  <c r="U52" i="50"/>
  <c r="T18" i="50"/>
  <c r="AJ18" i="50"/>
  <c r="P44" i="50"/>
  <c r="N7" i="50"/>
  <c r="W66" i="50"/>
  <c r="N71" i="50"/>
  <c r="AB46" i="50"/>
  <c r="AM13" i="50"/>
  <c r="W22" i="50"/>
  <c r="AH49" i="50"/>
  <c r="R31" i="50"/>
  <c r="AA32" i="50"/>
  <c r="Y49" i="50"/>
  <c r="U34" i="50"/>
  <c r="X24" i="50"/>
  <c r="S60" i="50"/>
  <c r="AD31" i="50"/>
  <c r="S53" i="50"/>
  <c r="AG52" i="50"/>
  <c r="Y20" i="50"/>
  <c r="AA59" i="50"/>
  <c r="AM60" i="50"/>
  <c r="AD16" i="50"/>
  <c r="M68" i="50"/>
  <c r="W52" i="50"/>
  <c r="AO43" i="50"/>
  <c r="P49" i="50"/>
  <c r="N44" i="50"/>
  <c r="AK13" i="50"/>
  <c r="W67" i="50"/>
  <c r="P46" i="50"/>
  <c r="Z21" i="50"/>
  <c r="Q54" i="50"/>
  <c r="AH31" i="50"/>
  <c r="AK39" i="50"/>
  <c r="T49" i="50"/>
  <c r="X23" i="50"/>
  <c r="AH59" i="50"/>
  <c r="T43" i="50"/>
  <c r="AH15" i="50"/>
  <c r="AJ33" i="50"/>
  <c r="AK46" i="50"/>
  <c r="W30" i="50"/>
  <c r="X9" i="50"/>
  <c r="AM45" i="50"/>
  <c r="AB10" i="50"/>
  <c r="S36" i="50"/>
  <c r="AC54" i="50"/>
  <c r="P69" i="50"/>
  <c r="AF40" i="50"/>
  <c r="M27" i="50"/>
  <c r="M33" i="50"/>
  <c r="M47" i="50"/>
  <c r="AB47" i="50"/>
  <c r="AG10" i="50"/>
  <c r="T42" i="50"/>
  <c r="AJ58" i="50"/>
  <c r="AL35" i="50"/>
  <c r="R35" i="50"/>
  <c r="AN29" i="50"/>
  <c r="AD8" i="50"/>
  <c r="AH48" i="50"/>
  <c r="AM49" i="50"/>
  <c r="AL52" i="50"/>
  <c r="L55" i="50"/>
  <c r="N20" i="50"/>
  <c r="AA69" i="50"/>
  <c r="AN71" i="50"/>
  <c r="Y50" i="50"/>
  <c r="U8" i="50"/>
  <c r="AL45" i="50"/>
  <c r="AK52" i="50"/>
  <c r="AA68" i="50"/>
  <c r="AC44" i="50"/>
  <c r="AO65" i="50"/>
  <c r="Q6" i="50"/>
  <c r="AG58" i="50"/>
  <c r="X26" i="50"/>
  <c r="U64" i="50"/>
  <c r="L32" i="50"/>
  <c r="P10" i="50"/>
  <c r="AA60" i="50"/>
  <c r="N17" i="50"/>
  <c r="T48" i="50"/>
  <c r="AA46" i="50"/>
  <c r="Q31" i="50"/>
  <c r="AC50" i="50"/>
  <c r="T58" i="50"/>
  <c r="AO26" i="50"/>
  <c r="AA52" i="50"/>
  <c r="U46" i="50"/>
  <c r="AJ54" i="50"/>
  <c r="O66" i="50"/>
  <c r="P22" i="50"/>
  <c r="AB13" i="50"/>
  <c r="S31" i="50"/>
  <c r="L4" i="50"/>
  <c r="M50" i="50"/>
  <c r="X8" i="50"/>
  <c r="AD32" i="50"/>
  <c r="AM50" i="50"/>
  <c r="AI56" i="50"/>
  <c r="Z9" i="50"/>
  <c r="Z40" i="50"/>
  <c r="AA40" i="50"/>
  <c r="P34" i="50"/>
  <c r="AO42" i="50"/>
  <c r="AO54" i="50"/>
  <c r="N23" i="50"/>
  <c r="AM17" i="50"/>
  <c r="AF6" i="50"/>
  <c r="AC29" i="50"/>
  <c r="S54" i="50"/>
  <c r="AM9" i="50"/>
  <c r="AM4" i="50"/>
  <c r="AL44" i="50"/>
  <c r="Z59" i="50"/>
  <c r="O7" i="50"/>
  <c r="X43" i="50"/>
  <c r="R11" i="50"/>
  <c r="W40" i="50"/>
  <c r="AA61" i="50"/>
  <c r="W58" i="50"/>
  <c r="AO15" i="50"/>
  <c r="Z28" i="50"/>
  <c r="AM18" i="50"/>
  <c r="AL61" i="50"/>
  <c r="AL50" i="50"/>
  <c r="M65" i="50"/>
  <c r="AG36" i="50"/>
  <c r="AK24" i="50"/>
  <c r="AK14" i="50"/>
  <c r="AJ21" i="50"/>
  <c r="AM35" i="50"/>
  <c r="Y25" i="50"/>
  <c r="R25" i="50"/>
  <c r="R51" i="50"/>
  <c r="AM39" i="50"/>
  <c r="AK56" i="50"/>
  <c r="Q12" i="50"/>
  <c r="AG63" i="50"/>
  <c r="Z32" i="50"/>
  <c r="W14" i="50"/>
  <c r="AD60" i="50"/>
  <c r="W64" i="50"/>
  <c r="AE49" i="50"/>
  <c r="X42" i="50"/>
  <c r="AL8" i="50"/>
  <c r="AN32" i="50"/>
  <c r="L66" i="50"/>
  <c r="AD14" i="50"/>
  <c r="V13" i="50"/>
  <c r="P27" i="50"/>
  <c r="Q5" i="50"/>
  <c r="AK40" i="50"/>
  <c r="AN7" i="50"/>
  <c r="AK27" i="50"/>
  <c r="AD61" i="50"/>
  <c r="AO61" i="50"/>
  <c r="AO68" i="50"/>
  <c r="Y64" i="50"/>
  <c r="AD24" i="50"/>
  <c r="AI49" i="50"/>
  <c r="M15" i="50"/>
  <c r="R44" i="50"/>
  <c r="R60" i="50"/>
  <c r="V70" i="50"/>
  <c r="X7" i="50"/>
  <c r="Q28" i="50"/>
  <c r="N62" i="50"/>
  <c r="W45" i="50"/>
  <c r="AD6" i="50"/>
  <c r="AO67" i="50"/>
  <c r="P52" i="50"/>
  <c r="M62" i="50"/>
  <c r="AI54" i="50"/>
  <c r="Z70" i="50"/>
  <c r="M29" i="50"/>
  <c r="AE16" i="50"/>
  <c r="AH44" i="50"/>
  <c r="AC36" i="50"/>
  <c r="AC43" i="50"/>
  <c r="U29" i="50"/>
  <c r="AB31" i="50"/>
  <c r="M42" i="50"/>
  <c r="P17" i="50"/>
  <c r="AJ67" i="50"/>
  <c r="S48" i="50"/>
  <c r="AK58" i="50"/>
  <c r="Y68" i="50"/>
  <c r="M51" i="50"/>
  <c r="AA36" i="50"/>
  <c r="AG53" i="50"/>
  <c r="AC63" i="50"/>
  <c r="AK65" i="50"/>
  <c r="V5" i="50"/>
  <c r="W41" i="50"/>
  <c r="M52" i="50"/>
  <c r="V52" i="50"/>
  <c r="R41" i="50"/>
  <c r="P65" i="50"/>
  <c r="AH17" i="50"/>
  <c r="M63" i="50"/>
  <c r="AM22" i="50"/>
  <c r="AA5" i="50"/>
  <c r="AH40" i="50"/>
  <c r="V63" i="50"/>
  <c r="AB48" i="50"/>
  <c r="P61" i="50"/>
  <c r="AL71" i="50"/>
  <c r="S46" i="50"/>
  <c r="X51" i="50"/>
  <c r="AC26" i="50"/>
  <c r="AE42" i="50"/>
  <c r="AK9" i="50"/>
  <c r="L15" i="50"/>
  <c r="AA38" i="50"/>
  <c r="AJ64" i="50"/>
  <c r="AG43" i="50"/>
  <c r="AG13" i="50"/>
  <c r="V22" i="50"/>
  <c r="AJ9" i="50"/>
  <c r="AI41" i="50"/>
  <c r="S21" i="50"/>
  <c r="Z36" i="50"/>
  <c r="AF16" i="50"/>
  <c r="W43" i="50"/>
  <c r="AD4" i="50"/>
  <c r="U59" i="50"/>
  <c r="Y53" i="50"/>
  <c r="Y23" i="50"/>
  <c r="AF57" i="50"/>
  <c r="N35" i="50"/>
  <c r="AK49" i="50"/>
  <c r="AJ51" i="50"/>
  <c r="AE25" i="50"/>
  <c r="N49" i="50"/>
  <c r="N55" i="50"/>
  <c r="X14" i="50"/>
  <c r="AE26" i="50"/>
  <c r="AJ56" i="50"/>
  <c r="R23" i="50"/>
  <c r="S64" i="50"/>
  <c r="O12" i="50"/>
  <c r="AM31" i="50"/>
  <c r="AO52" i="50"/>
  <c r="AG66" i="50"/>
  <c r="U23" i="50"/>
  <c r="O44" i="50"/>
  <c r="P48" i="50"/>
  <c r="AO19" i="50"/>
  <c r="Z62" i="50"/>
  <c r="P5" i="50"/>
  <c r="AF34" i="50"/>
  <c r="W50" i="50"/>
  <c r="W6" i="50"/>
  <c r="L19" i="50"/>
  <c r="AM63" i="50"/>
  <c r="AE15" i="50"/>
  <c r="T35" i="50"/>
  <c r="S63" i="50"/>
  <c r="AG23" i="50"/>
  <c r="U67" i="50"/>
  <c r="Z4" i="50"/>
  <c r="T5" i="50"/>
  <c r="N13" i="50"/>
  <c r="AB66" i="50"/>
  <c r="U10" i="50"/>
  <c r="AE21" i="50"/>
  <c r="O5" i="50"/>
  <c r="N53" i="50"/>
  <c r="AH65" i="50"/>
  <c r="AM36" i="50"/>
  <c r="L71" i="50"/>
  <c r="Z61" i="50"/>
  <c r="AI7" i="50"/>
  <c r="R22" i="50"/>
  <c r="AD29" i="50"/>
  <c r="U17" i="50"/>
  <c r="AD66" i="50"/>
  <c r="AF14" i="50"/>
  <c r="Q61" i="50"/>
  <c r="AB50" i="50"/>
  <c r="P21" i="50"/>
  <c r="M11" i="50"/>
  <c r="AA64" i="50"/>
  <c r="AB69" i="50"/>
  <c r="AK44" i="50"/>
  <c r="W48" i="50"/>
  <c r="T7" i="50"/>
  <c r="AF42" i="50"/>
  <c r="AJ7" i="50"/>
  <c r="AO30" i="50"/>
  <c r="AO59" i="50"/>
  <c r="Z58" i="50"/>
  <c r="Z11" i="50"/>
  <c r="W44" i="50"/>
  <c r="U57" i="50"/>
  <c r="AO62" i="50"/>
  <c r="P64" i="50"/>
  <c r="S24" i="50"/>
  <c r="S67" i="50"/>
  <c r="AN52" i="50"/>
  <c r="S7" i="50"/>
  <c r="N50" i="50"/>
  <c r="AA50" i="50"/>
  <c r="AE12" i="50"/>
  <c r="U11" i="50"/>
  <c r="AC16" i="50"/>
  <c r="AN31" i="50"/>
  <c r="L65" i="50"/>
  <c r="F65" i="50" l="1"/>
  <c r="J65" i="50" s="1"/>
  <c r="F71" i="50"/>
  <c r="F66" i="50"/>
  <c r="H66" i="50" s="1"/>
  <c r="K4" i="50"/>
  <c r="F63" i="50"/>
  <c r="F57" i="50"/>
  <c r="F61" i="50"/>
  <c r="H61" i="50" s="1"/>
  <c r="F70" i="50"/>
  <c r="F67" i="50"/>
  <c r="J67" i="50" s="1"/>
  <c r="F69" i="50"/>
  <c r="H69" i="50" s="1"/>
  <c r="F60" i="50"/>
  <c r="J60" i="50" s="1"/>
  <c r="F7" i="50"/>
  <c r="J7" i="50" s="1"/>
  <c r="F62" i="50"/>
  <c r="J62" i="50" s="1"/>
  <c r="F59" i="50"/>
  <c r="H59" i="50" s="1"/>
  <c r="F58" i="50"/>
  <c r="J58" i="50" s="1"/>
  <c r="F6" i="50"/>
  <c r="H6" i="50" s="1"/>
  <c r="F5" i="50"/>
  <c r="H5" i="50" s="1"/>
  <c r="F68" i="50"/>
  <c r="J68" i="50" s="1"/>
  <c r="F64" i="50"/>
  <c r="J64" i="50" s="1"/>
  <c r="J69" i="50"/>
  <c r="H67" i="50"/>
  <c r="J59" i="50"/>
  <c r="H58" i="50"/>
  <c r="J57" i="50"/>
  <c r="H57" i="50"/>
  <c r="H65" i="50"/>
  <c r="H10" i="9"/>
  <c r="H11" i="9" s="1"/>
  <c r="H60" i="50" l="1"/>
  <c r="H62" i="50"/>
  <c r="J66" i="50"/>
  <c r="J61" i="50"/>
  <c r="H7" i="50"/>
  <c r="J6" i="50"/>
  <c r="H64" i="50"/>
  <c r="J70" i="50"/>
  <c r="H70" i="50"/>
  <c r="H71" i="50"/>
  <c r="J71" i="50"/>
  <c r="H68" i="50"/>
  <c r="J63" i="50"/>
  <c r="H63" i="50"/>
  <c r="H12" i="9"/>
  <c r="H13" i="9" s="1"/>
  <c r="H32" i="9"/>
  <c r="H14" i="9" l="1"/>
  <c r="Q4" i="1"/>
  <c r="H15" i="9" l="1"/>
  <c r="H16" i="9" s="1"/>
  <c r="H17" i="9" s="1"/>
  <c r="H18" i="9" l="1"/>
  <c r="H19" i="9" l="1"/>
  <c r="H20" i="9" s="1"/>
  <c r="H22" i="9" s="1"/>
  <c r="H23" i="9"/>
  <c r="H24" i="9" l="1"/>
  <c r="H25" i="9" s="1"/>
  <c r="H26" i="9" s="1"/>
  <c r="H21" i="9"/>
  <c r="H38" i="9" s="1"/>
  <c r="O5" i="95" l="1"/>
  <c r="Q5" i="95" l="1"/>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Q4" i="1" l="1"/>
  <c r="J8" i="50"/>
  <c r="AQ4" i="5"/>
  <c r="T4" i="137"/>
  <c r="X4" i="137"/>
  <c r="AB4" i="137"/>
  <c r="AF4" i="137"/>
  <c r="W4" i="137"/>
  <c r="AI4" i="137"/>
  <c r="U4" i="137"/>
  <c r="Y4" i="137"/>
  <c r="AC4" i="137"/>
  <c r="AG4" i="137"/>
  <c r="S4" i="137"/>
  <c r="AE4" i="137"/>
  <c r="V4" i="137"/>
  <c r="Z4" i="137"/>
  <c r="AD4" i="137"/>
  <c r="AH4" i="137"/>
  <c r="AA4" i="137"/>
  <c r="AQ4" i="137"/>
  <c r="AQ4" i="4"/>
  <c r="F4" i="50"/>
  <c r="AI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H8" i="50"/>
  <c r="H51" i="50"/>
  <c r="J51" i="50"/>
  <c r="H30" i="50"/>
  <c r="J30" i="50"/>
  <c r="J14" i="50"/>
  <c r="H14" i="50"/>
  <c r="J48" i="50"/>
  <c r="H48" i="50"/>
  <c r="J21" i="50"/>
  <c r="H21" i="50"/>
  <c r="J20" i="50"/>
  <c r="H20" i="50"/>
  <c r="J56" i="50"/>
  <c r="H56" i="50"/>
  <c r="AG4" i="1" l="1"/>
  <c r="X4" i="1"/>
  <c r="W4" i="1"/>
  <c r="V4" i="1"/>
  <c r="Y4" i="1"/>
  <c r="T4" i="1"/>
  <c r="S4" i="1"/>
  <c r="AH4" i="1"/>
  <c r="AC4" i="1"/>
  <c r="U4" i="1"/>
  <c r="AF4" i="1"/>
  <c r="AE4" i="1"/>
  <c r="AD4" i="1"/>
  <c r="AB4" i="1"/>
  <c r="AA4" i="1"/>
  <c r="Z4" i="1"/>
  <c r="AF4" i="4"/>
  <c r="AC4" i="4"/>
  <c r="AB4" i="4"/>
  <c r="W4" i="4"/>
  <c r="V4" i="4"/>
  <c r="AG4" i="4"/>
  <c r="X4" i="4"/>
  <c r="U4" i="4"/>
  <c r="T4" i="4"/>
  <c r="S4" i="4"/>
  <c r="AH4" i="4"/>
  <c r="Y4" i="4"/>
  <c r="AE4" i="4"/>
  <c r="AD4" i="4"/>
  <c r="AA4" i="4"/>
  <c r="Z4" i="4"/>
  <c r="AG4" i="5"/>
  <c r="Y4" i="5"/>
  <c r="X4" i="5"/>
  <c r="W4" i="5"/>
  <c r="V4" i="5"/>
  <c r="T4" i="5"/>
  <c r="S4" i="5"/>
  <c r="AH4" i="5"/>
  <c r="AC4" i="5"/>
  <c r="U4" i="5"/>
  <c r="AF4" i="5"/>
  <c r="AE4" i="5"/>
  <c r="AD4" i="5"/>
  <c r="AB4" i="5"/>
  <c r="AA4" i="5"/>
  <c r="Z4" i="5"/>
  <c r="AI4" i="5"/>
  <c r="AI4" i="1"/>
  <c r="AI4" i="4"/>
  <c r="G5" i="150" l="1"/>
  <c r="AX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R31" i="1" l="1"/>
  <c r="O31" i="1" s="1"/>
  <c r="A31" i="1" s="1"/>
  <c r="R32" i="1"/>
  <c r="O32" i="1" s="1"/>
  <c r="A32" i="1" s="1"/>
  <c r="R20" i="1"/>
  <c r="R26" i="1"/>
  <c r="R27" i="1"/>
  <c r="R24" i="1"/>
  <c r="R25" i="1"/>
  <c r="R23" i="1"/>
  <c r="R28" i="1"/>
  <c r="R29" i="1"/>
  <c r="R30" i="1"/>
  <c r="R21" i="1"/>
  <c r="R18" i="1"/>
  <c r="R19" i="1"/>
  <c r="R13" i="1"/>
  <c r="R12" i="1"/>
  <c r="R10" i="1"/>
  <c r="R16" i="1"/>
  <c r="R11" i="1"/>
  <c r="R7" i="1"/>
  <c r="R9" i="1"/>
  <c r="R14" i="1"/>
  <c r="R15" i="1"/>
  <c r="R22" i="1"/>
  <c r="R6" i="1"/>
  <c r="R5" i="1"/>
  <c r="R17" i="1"/>
  <c r="R8" i="1"/>
  <c r="R9" i="150"/>
  <c r="R12" i="150"/>
  <c r="R11" i="150"/>
  <c r="R10" i="150"/>
  <c r="R5" i="150"/>
  <c r="R8" i="150"/>
  <c r="R7" i="150"/>
  <c r="R6" i="150"/>
  <c r="R23" i="4"/>
  <c r="R18" i="4"/>
  <c r="R21" i="4"/>
  <c r="R22" i="4"/>
  <c r="R19" i="4"/>
  <c r="R20" i="4"/>
  <c r="R10" i="4"/>
  <c r="R7" i="4"/>
  <c r="R17" i="4"/>
  <c r="R14" i="4"/>
  <c r="R13" i="4"/>
  <c r="R8" i="4"/>
  <c r="R16" i="4"/>
  <c r="R9" i="4"/>
  <c r="R15" i="4"/>
  <c r="R6" i="4"/>
  <c r="R5" i="4"/>
  <c r="R11" i="4"/>
  <c r="R12" i="4"/>
  <c r="R24" i="5"/>
  <c r="R23" i="5"/>
  <c r="R9" i="5"/>
  <c r="R22" i="5"/>
  <c r="R21" i="5"/>
  <c r="R16" i="5"/>
  <c r="R7" i="5"/>
  <c r="R12" i="5"/>
  <c r="R5" i="5"/>
  <c r="R17" i="5"/>
  <c r="R13" i="5"/>
  <c r="R8" i="5"/>
  <c r="R19" i="5"/>
  <c r="R10" i="5"/>
  <c r="R14" i="5"/>
  <c r="R15" i="5"/>
  <c r="R20" i="5"/>
  <c r="R11" i="5"/>
  <c r="R18" i="5"/>
  <c r="R6" i="5"/>
  <c r="R5" i="137"/>
  <c r="R7" i="137"/>
  <c r="R6" i="137"/>
  <c r="R8" i="137"/>
  <c r="AU4" i="137"/>
  <c r="M2" i="150"/>
  <c r="H3" i="95"/>
  <c r="L2" i="150"/>
  <c r="R4" i="1" l="1"/>
  <c r="O6" i="150"/>
  <c r="N6" i="150"/>
  <c r="O10" i="150"/>
  <c r="A10" i="150" s="1"/>
  <c r="N10" i="150"/>
  <c r="O7" i="150"/>
  <c r="N7" i="150"/>
  <c r="O11" i="150"/>
  <c r="A11" i="150" s="1"/>
  <c r="N11" i="150"/>
  <c r="O8" i="150"/>
  <c r="N8" i="150"/>
  <c r="O12" i="150"/>
  <c r="A12" i="150" s="1"/>
  <c r="N12" i="150"/>
  <c r="O9" i="150"/>
  <c r="N9" i="150"/>
  <c r="O5" i="150"/>
  <c r="A5" i="150" s="1"/>
  <c r="N5" i="150"/>
  <c r="O8" i="137"/>
  <c r="N8" i="137"/>
  <c r="O6" i="137"/>
  <c r="N6" i="137"/>
  <c r="O7" i="137"/>
  <c r="N7" i="137"/>
  <c r="O5" i="137"/>
  <c r="N5" i="137"/>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O18" i="4"/>
  <c r="A18" i="4" s="1"/>
  <c r="N18" i="4"/>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O23" i="1"/>
  <c r="A23" i="1" s="1"/>
  <c r="N23" i="1"/>
  <c r="AJ4" i="150"/>
  <c r="N24" i="5"/>
  <c r="A24" i="5" s="1"/>
  <c r="M24" i="5"/>
  <c r="A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A8" i="150"/>
  <c r="O27" i="1"/>
  <c r="A27" i="1" s="1"/>
  <c r="N27" i="1"/>
  <c r="A9" i="150"/>
  <c r="N26" i="1"/>
  <c r="O26" i="1"/>
  <c r="A26" i="1" s="1"/>
  <c r="A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H4" i="50"/>
  <c r="J5" i="50"/>
  <c r="A6" i="137" l="1"/>
  <c r="A8" i="137"/>
  <c r="A5" i="137"/>
  <c r="N4" i="137"/>
  <c r="J4" i="50"/>
  <c r="I4" i="50" s="1"/>
  <c r="M4" i="5"/>
  <c r="N4" i="150"/>
  <c r="O4" i="150"/>
  <c r="A4" i="150"/>
  <c r="A5" i="4"/>
  <c r="A4" i="4" s="1"/>
  <c r="O4" i="4"/>
  <c r="N4" i="1"/>
  <c r="N4" i="4"/>
  <c r="A5" i="1"/>
  <c r="A4" i="1" s="1"/>
  <c r="O4" i="1"/>
  <c r="N4" i="5"/>
  <c r="A5" i="5"/>
  <c r="A4" i="5" s="1"/>
  <c r="K11" i="50" l="1"/>
  <c r="E1" i="50"/>
  <c r="P4" i="137"/>
  <c r="A7" i="137" l="1"/>
  <c r="A4" i="137" s="1"/>
  <c r="O4" i="137"/>
  <c r="I4" i="95" l="1"/>
  <c r="I5" i="95" s="1"/>
  <c r="A1" i="50"/>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<sst xmlns="http://schemas.openxmlformats.org/spreadsheetml/2006/main" count="1657" uniqueCount="308">
  <si>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</si>
  <si>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</si>
  <si>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</si>
  <si>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</si>
  <si>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</si>
  <si>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</si>
  <si>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</si>
  <si>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</si>
  <si>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</si>
  <si>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</si>
  <si>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</si>
  <si>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</si>
  <si>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</si>
  <si>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</si>
  <si>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</si>
  <si>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</si>
  <si>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</si>
  <si>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</si>
  <si>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</si>
  <si>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</si>
  <si>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</si>
  <si>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</si>
  <si>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</si>
  <si>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</si>
  <si>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</si>
  <si>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</si>
  <si>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</si>
  <si>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</si>
  <si>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</si>
  <si>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</si>
  <si>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</si>
  <si>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</si>
  <si>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</si>
  <si>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</si>
  <si>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</si>
  <si>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</si>
  <si>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</si>
  <si>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</si>
  <si>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</si>
  <si>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</si>
  <si>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</si>
  <si>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</si>
  <si>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</si>
  <si>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</si>
  <si>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</si>
  <si>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</si>
  <si>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</si>
  <si>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</si>
  <si>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</si>
  <si>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</si>
  <si>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</si>
  <si>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</si>
  <si>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</si>
  <si>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</si>
  <si>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</si>
  <si>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</si>
  <si>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</si>
  <si>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</si>
  <si>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</si>
  <si>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</si>
  <si>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</si>
  <si>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</si>
  <si>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</si>
  <si>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</si>
  <si>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</si>
  <si>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</si>
  <si>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</si>
  <si>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</si>
  <si>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</si>
  <si>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</si>
  <si>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</si>
  <si>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</si>
  <si>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</si>
  <si>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</si>
  <si>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</si>
  <si>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</si>
  <si>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</si>
  <si>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</si>
  <si>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</si>
  <si>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</si>
  <si>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</si>
  <si>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</si>
  <si>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</si>
  <si>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</si>
  <si>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</si>
  <si>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</si>
  <si>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</si>
  <si>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</si>
  <si>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</si>
  <si>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</si>
  <si>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</si>
  <si>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</si>
  <si>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</si>
  <si>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</si>
  <si>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</si>
  <si>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</si>
  <si>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</si>
  <si>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</si>
  <si>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</si>
  <si>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</si>
  <si>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</si>
  <si>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</si>
  <si>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</si>
  <si>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</si>
  <si>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</si>
  <si>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</si>
  <si>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</si>
  <si>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</si>
  <si>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</si>
  <si>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</si>
  <si>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</si>
  <si>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</si>
  <si>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</si>
  <si>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</si>
  <si>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</si>
  <si>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</si>
  <si>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</si>
  <si>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</si>
  <si>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</si>
  <si>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</si>
  <si>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</si>
  <si>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</si>
  <si>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</si>
  <si>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</si>
  <si>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</si>
  <si>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</si>
  <si>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</si>
  <si>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</si>
  <si>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</si>
  <si>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</si>
  <si>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</si>
  <si>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</si>
  <si>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</si>
  <si>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</si>
  <si>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</si>
  <si>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</si>
  <si>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</si>
  <si>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</si>
  <si>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</si>
  <si>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</si>
  <si>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</si>
  <si>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</si>
  <si>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</si>
  <si>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</si>
  <si>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</si>
  <si>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</si>
  <si>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</si>
  <si>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</si>
  <si>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</si>
  <si>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</si>
  <si>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</si>
  <si>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</si>
  <si>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</si>
  <si>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</si>
  <si>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</si>
  <si>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</si>
  <si>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</si>
  <si>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</si>
  <si>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</si>
  <si>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</si>
  <si>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</si>
  <si>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</si>
  <si>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</si>
  <si>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</si>
  <si>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</si>
  <si>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</si>
  <si>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</si>
  <si>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</si>
  <si>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</si>
  <si>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</si>
  <si>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</si>
  <si>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</si>
  <si>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</si>
  <si>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</si>
  <si>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</si>
  <si>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</si>
  <si>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</si>
  <si>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</si>
  <si>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</si>
  <si>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</si>
  <si>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</si>
  <si>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</si>
  <si>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</si>
  <si>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</si>
  <si>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</si>
  <si>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</si>
  <si>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</si>
  <si>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</si>
  <si>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</si>
  <si>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</si>
  <si>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</si>
  <si>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</si>
  <si>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</si>
  <si>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</si>
  <si>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</si>
  <si>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</si>
  <si>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</si>
  <si>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</si>
  <si>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</si>
  <si>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</si>
  <si>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</si>
  <si>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</si>
  <si>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</si>
  <si>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</si>
  <si>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</si>
  <si>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</si>
  <si>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</si>
  <si>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</si>
  <si>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</si>
  <si>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</si>
  <si>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</si>
  <si>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</si>
  <si>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</si>
  <si>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</si>
  <si>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</si>
  <si>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</si>
  <si>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</si>
  <si>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</si>
  <si>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</si>
  <si>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</si>
  <si>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</si>
  <si>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</si>
  <si>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</si>
  <si>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</si>
  <si>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</si>
  <si>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</si>
  <si>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</si>
  <si>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</si>
  <si>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</si>
  <si>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</si>
  <si>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</si>
  <si>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</si>
  <si>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</si>
  <si>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</si>
  <si>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</si>
  <si>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</si>
  <si>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</si>
  <si>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</si>
  <si>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</si>
  <si>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</si>
  <si>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</si>
  <si>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</si>
  <si>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</si>
  <si>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</si>
  <si>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</si>
  <si>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</si>
  <si>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</si>
  <si>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</si>
  <si>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</si>
  <si>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</si>
  <si>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</si>
  <si>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</si>
  <si>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</si>
  <si>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</si>
  <si>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</si>
  <si>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</si>
  <si>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</si>
  <si>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</si>
  <si>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</si>
  <si>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</si>
  <si>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</si>
  <si>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</si>
  <si>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</si>
  <si>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</si>
  <si>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</si>
  <si>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</si>
  <si>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</si>
  <si>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</si>
  <si>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</si>
  <si>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</si>
  <si>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</si>
  <si>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</si>
  <si>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</si>
  <si>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</si>
  <si>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</si>
  <si>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</si>
  <si>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</si>
  <si>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</si>
  <si>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</si>
  <si>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</si>
  <si>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</si>
  <si>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</si>
  <si>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</si>
  <si>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Luận</t>
  </si>
  <si>
    <t>Dì Vọng</t>
  </si>
  <si>
    <t>TS 199X</t>
  </si>
  <si>
    <t>T12+T01</t>
  </si>
  <si>
    <t>T01
(19-31)</t>
  </si>
  <si>
    <t>T02</t>
  </si>
  <si>
    <t>T03</t>
  </si>
  <si>
    <t>T04</t>
  </si>
  <si>
    <t>T05</t>
  </si>
  <si>
    <t>T06</t>
  </si>
  <si>
    <t>T07</t>
  </si>
  <si>
    <t>T08</t>
  </si>
  <si>
    <t>T09</t>
  </si>
  <si>
    <t>T10</t>
  </si>
  <si>
    <t>T11</t>
  </si>
  <si>
    <t>T12</t>
  </si>
  <si>
    <t>bạn Thiện</t>
  </si>
  <si>
    <t>Để giá sỉ XX Đức KK</t>
  </si>
  <si>
    <t>-</t>
  </si>
  <si>
    <t>Cô Thảo</t>
  </si>
  <si>
    <t>Vani Trân</t>
  </si>
  <si>
    <t>Chủ</t>
  </si>
  <si>
    <t>TH Tịnh Lan</t>
  </si>
  <si>
    <t>Cô Tiền L2</t>
  </si>
  <si>
    <t>Thông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</si>
</sst>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6"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19" fillId="0" borderId="1" xfId="1" applyNumberFormat="1" applyFont="1" applyBorder="1" applyAlignment="1">
      <alignment horizontal="center" vertical="center"/>
    </xf>
    <xf numFmtId="0" fontId="21"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1" fillId="21" borderId="0" xfId="0" applyFont="1" applyFill="1" applyAlignment="1">
      <alignment horizontal="center" vertical="center"/>
    </xf>
    <xf numFmtId="41" fontId="4" fillId="21" borderId="0" xfId="0" quotePrefix="1" applyNumberFormat="1" applyFont="1" applyFill="1" applyAlignment="1">
      <alignment horizontal="center" vertical="center"/>
    </xf>
    <xf numFmtId="0" fontId="21"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32"/>
      <tableStyleElement type="headerRow" dxfId="5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01">
      <pivotArea field="3" type="button" dataOnly="0" labelOnly="1" outline="0" axis="axisRow" fieldPosition="3"/>
    </format>
    <format dxfId="50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9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9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9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9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9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9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9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9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8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8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8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8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8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8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8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8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8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8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7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7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7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7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7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7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7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7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7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6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6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6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6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6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6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6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5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5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5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5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5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5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5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5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5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5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4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4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4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4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4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4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4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4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4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4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3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3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3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3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3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3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3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3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2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2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2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2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2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2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2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2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2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2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1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1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1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1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1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1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1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1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1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1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0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0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0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0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0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0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0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0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9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9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9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9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9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9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9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9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9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9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8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8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8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8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8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8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8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8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8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80">
      <pivotArea field="1" type="button" dataOnly="0" labelOnly="1" outline="0" axis="axisRow" fieldPosition="2"/>
    </format>
    <format dxfId="379">
      <pivotArea dataOnly="0" labelOnly="1" outline="0" fieldPosition="0">
        <references count="1">
          <reference field="1" count="0"/>
        </references>
      </pivotArea>
    </format>
    <format dxfId="378">
      <pivotArea field="0" type="button" dataOnly="0" labelOnly="1" outline="0" axis="axisRow" fieldPosition="0"/>
    </format>
    <format dxfId="37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76">
      <pivotArea dataOnly="0" labelOnly="1" outline="0" fieldPosition="0">
        <references count="1">
          <reference field="0" count="10">
            <x v="50"/>
            <x v="51"/>
            <x v="52"/>
            <x v="53"/>
            <x v="54"/>
            <x v="55"/>
            <x v="56"/>
            <x v="57"/>
            <x v="58"/>
            <x v="59"/>
          </reference>
        </references>
      </pivotArea>
    </format>
    <format dxfId="375">
      <pivotArea dataOnly="0" labelOnly="1" grandRow="1" outline="0" fieldPosition="0"/>
    </format>
    <format dxfId="37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73">
      <pivotArea dataOnly="0" labelOnly="1" outline="0" fieldPosition="0">
        <references count="1">
          <reference field="0" count="10">
            <x v="50"/>
            <x v="51"/>
            <x v="52"/>
            <x v="53"/>
            <x v="54"/>
            <x v="55"/>
            <x v="56"/>
            <x v="57"/>
            <x v="58"/>
            <x v="59"/>
          </reference>
        </references>
      </pivotArea>
    </format>
    <format dxfId="372">
      <pivotArea dataOnly="0" labelOnly="1" grandRow="1" outline="0" fieldPosition="0"/>
    </format>
    <format dxfId="371">
      <pivotArea field="2" type="button" dataOnly="0" labelOnly="1" outline="0" axis="axisRow" fieldPosition="1"/>
    </format>
    <format dxfId="370">
      <pivotArea type="all" dataOnly="0" outline="0" fieldPosition="0"/>
    </format>
    <format dxfId="369">
      <pivotArea field="0" type="button" dataOnly="0" labelOnly="1" outline="0" axis="axisRow" fieldPosition="0"/>
    </format>
    <format dxfId="368">
      <pivotArea field="2" type="button" dataOnly="0" labelOnly="1" outline="0" axis="axisRow" fieldPosition="1"/>
    </format>
    <format dxfId="367">
      <pivotArea field="1" type="button" dataOnly="0" labelOnly="1" outline="0" axis="axisRow" fieldPosition="2"/>
    </format>
    <format dxfId="366">
      <pivotArea field="3" type="button" dataOnly="0" labelOnly="1" outline="0" axis="axisRow" fieldPosition="3"/>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dataOnly="0" labelOnly="1" outline="0" fieldPosition="0">
        <references count="3">
          <reference field="0" count="1" selected="0">
            <x v="0"/>
          </reference>
          <reference field="1" count="1">
            <x v="6"/>
          </reference>
          <reference field="2" count="1" selected="0">
            <x v="0"/>
          </reference>
        </references>
      </pivotArea>
    </format>
    <format dxfId="358">
      <pivotArea dataOnly="0" labelOnly="1" outline="0" fieldPosition="0">
        <references count="3">
          <reference field="0" count="1" selected="0">
            <x v="1"/>
          </reference>
          <reference field="1" count="1">
            <x v="5"/>
          </reference>
          <reference field="2" count="1" selected="0">
            <x v="1"/>
          </reference>
        </references>
      </pivotArea>
    </format>
    <format dxfId="357">
      <pivotArea dataOnly="0" labelOnly="1" outline="0" fieldPosition="0">
        <references count="3">
          <reference field="0" count="1" selected="0">
            <x v="2"/>
          </reference>
          <reference field="1" count="1">
            <x v="7"/>
          </reference>
          <reference field="2" count="1" selected="0">
            <x v="2"/>
          </reference>
        </references>
      </pivotArea>
    </format>
    <format dxfId="356">
      <pivotArea dataOnly="0" labelOnly="1" outline="0" fieldPosition="0">
        <references count="3">
          <reference field="0" count="1" selected="0">
            <x v="3"/>
          </reference>
          <reference field="1" count="1">
            <x v="40"/>
          </reference>
          <reference field="2" count="1" selected="0">
            <x v="3"/>
          </reference>
        </references>
      </pivotArea>
    </format>
    <format dxfId="355">
      <pivotArea dataOnly="0" labelOnly="1" outline="0" fieldPosition="0">
        <references count="3">
          <reference field="0" count="1" selected="0">
            <x v="4"/>
          </reference>
          <reference field="1" count="1">
            <x v="16"/>
          </reference>
          <reference field="2" count="1" selected="0">
            <x v="4"/>
          </reference>
        </references>
      </pivotArea>
    </format>
    <format dxfId="354">
      <pivotArea dataOnly="0" labelOnly="1" outline="0" fieldPosition="0">
        <references count="3">
          <reference field="0" count="1" selected="0">
            <x v="5"/>
          </reference>
          <reference field="1" count="1">
            <x v="33"/>
          </reference>
          <reference field="2" count="1" selected="0">
            <x v="5"/>
          </reference>
        </references>
      </pivotArea>
    </format>
    <format dxfId="353">
      <pivotArea dataOnly="0" labelOnly="1" outline="0" fieldPosition="0">
        <references count="3">
          <reference field="0" count="1" selected="0">
            <x v="6"/>
          </reference>
          <reference field="1" count="1">
            <x v="39"/>
          </reference>
          <reference field="2" count="1" selected="0">
            <x v="6"/>
          </reference>
        </references>
      </pivotArea>
    </format>
    <format dxfId="352">
      <pivotArea dataOnly="0" labelOnly="1" outline="0" fieldPosition="0">
        <references count="3">
          <reference field="0" count="1" selected="0">
            <x v="7"/>
          </reference>
          <reference field="1" count="1">
            <x v="28"/>
          </reference>
          <reference field="2" count="1" selected="0">
            <x v="7"/>
          </reference>
        </references>
      </pivotArea>
    </format>
    <format dxfId="351">
      <pivotArea dataOnly="0" labelOnly="1" outline="0" fieldPosition="0">
        <references count="3">
          <reference field="0" count="1" selected="0">
            <x v="8"/>
          </reference>
          <reference field="1" count="1">
            <x v="25"/>
          </reference>
          <reference field="2" count="1" selected="0">
            <x v="8"/>
          </reference>
        </references>
      </pivotArea>
    </format>
    <format dxfId="350">
      <pivotArea dataOnly="0" labelOnly="1" outline="0" fieldPosition="0">
        <references count="3">
          <reference field="0" count="1" selected="0">
            <x v="9"/>
          </reference>
          <reference field="1" count="1">
            <x v="43"/>
          </reference>
          <reference field="2" count="1" selected="0">
            <x v="9"/>
          </reference>
        </references>
      </pivotArea>
    </format>
    <format dxfId="349">
      <pivotArea dataOnly="0" labelOnly="1" outline="0" fieldPosition="0">
        <references count="3">
          <reference field="0" count="1" selected="0">
            <x v="10"/>
          </reference>
          <reference field="1" count="1">
            <x v="44"/>
          </reference>
          <reference field="2" count="1" selected="0">
            <x v="10"/>
          </reference>
        </references>
      </pivotArea>
    </format>
    <format dxfId="348">
      <pivotArea dataOnly="0" labelOnly="1" outline="0" fieldPosition="0">
        <references count="3">
          <reference field="0" count="1" selected="0">
            <x v="11"/>
          </reference>
          <reference field="1" count="1">
            <x v="45"/>
          </reference>
          <reference field="2" count="1" selected="0">
            <x v="11"/>
          </reference>
        </references>
      </pivotArea>
    </format>
    <format dxfId="347">
      <pivotArea dataOnly="0" labelOnly="1" outline="0" fieldPosition="0">
        <references count="3">
          <reference field="0" count="1" selected="0">
            <x v="12"/>
          </reference>
          <reference field="1" count="1">
            <x v="46"/>
          </reference>
          <reference field="2" count="1" selected="0">
            <x v="12"/>
          </reference>
        </references>
      </pivotArea>
    </format>
    <format dxfId="346">
      <pivotArea dataOnly="0" labelOnly="1" outline="0" fieldPosition="0">
        <references count="3">
          <reference field="0" count="1" selected="0">
            <x v="13"/>
          </reference>
          <reference field="1" count="1">
            <x v="47"/>
          </reference>
          <reference field="2" count="1" selected="0">
            <x v="13"/>
          </reference>
        </references>
      </pivotArea>
    </format>
    <format dxfId="345">
      <pivotArea dataOnly="0" labelOnly="1" outline="0" fieldPosition="0">
        <references count="3">
          <reference field="0" count="1" selected="0">
            <x v="14"/>
          </reference>
          <reference field="1" count="1">
            <x v="48"/>
          </reference>
          <reference field="2" count="1" selected="0">
            <x v="14"/>
          </reference>
        </references>
      </pivotArea>
    </format>
    <format dxfId="344">
      <pivotArea dataOnly="0" labelOnly="1" outline="0" fieldPosition="0">
        <references count="3">
          <reference field="0" count="1" selected="0">
            <x v="15"/>
          </reference>
          <reference field="1" count="1">
            <x v="36"/>
          </reference>
          <reference field="2" count="1" selected="0">
            <x v="15"/>
          </reference>
        </references>
      </pivotArea>
    </format>
    <format dxfId="343">
      <pivotArea dataOnly="0" labelOnly="1" outline="0" fieldPosition="0">
        <references count="3">
          <reference field="0" count="1" selected="0">
            <x v="16"/>
          </reference>
          <reference field="1" count="1">
            <x v="37"/>
          </reference>
          <reference field="2" count="1" selected="0">
            <x v="16"/>
          </reference>
        </references>
      </pivotArea>
    </format>
    <format dxfId="342">
      <pivotArea dataOnly="0" labelOnly="1" outline="0" fieldPosition="0">
        <references count="3">
          <reference field="0" count="1" selected="0">
            <x v="17"/>
          </reference>
          <reference field="1" count="1">
            <x v="18"/>
          </reference>
          <reference field="2" count="1" selected="0">
            <x v="17"/>
          </reference>
        </references>
      </pivotArea>
    </format>
    <format dxfId="341">
      <pivotArea dataOnly="0" labelOnly="1" outline="0" fieldPosition="0">
        <references count="3">
          <reference field="0" count="1" selected="0">
            <x v="18"/>
          </reference>
          <reference field="1" count="1">
            <x v="51"/>
          </reference>
          <reference field="2" count="1" selected="0">
            <x v="18"/>
          </reference>
        </references>
      </pivotArea>
    </format>
    <format dxfId="340">
      <pivotArea dataOnly="0" labelOnly="1" outline="0" fieldPosition="0">
        <references count="3">
          <reference field="0" count="1" selected="0">
            <x v="19"/>
          </reference>
          <reference field="1" count="1">
            <x v="52"/>
          </reference>
          <reference field="2" count="1" selected="0">
            <x v="19"/>
          </reference>
        </references>
      </pivotArea>
    </format>
    <format dxfId="339">
      <pivotArea dataOnly="0" labelOnly="1" outline="0" fieldPosition="0">
        <references count="3">
          <reference field="0" count="1" selected="0">
            <x v="20"/>
          </reference>
          <reference field="1" count="1">
            <x v="53"/>
          </reference>
          <reference field="2" count="1" selected="0">
            <x v="20"/>
          </reference>
        </references>
      </pivotArea>
    </format>
    <format dxfId="338">
      <pivotArea dataOnly="0" labelOnly="1" outline="0" fieldPosition="0">
        <references count="3">
          <reference field="0" count="1" selected="0">
            <x v="21"/>
          </reference>
          <reference field="1" count="1">
            <x v="55"/>
          </reference>
          <reference field="2" count="1" selected="0">
            <x v="21"/>
          </reference>
        </references>
      </pivotArea>
    </format>
    <format dxfId="337">
      <pivotArea dataOnly="0" labelOnly="1" outline="0" fieldPosition="0">
        <references count="3">
          <reference field="0" count="1" selected="0">
            <x v="22"/>
          </reference>
          <reference field="1" count="1">
            <x v="58"/>
          </reference>
          <reference field="2" count="1" selected="0">
            <x v="22"/>
          </reference>
        </references>
      </pivotArea>
    </format>
    <format dxfId="336">
      <pivotArea dataOnly="0" labelOnly="1" outline="0" fieldPosition="0">
        <references count="3">
          <reference field="0" count="1" selected="0">
            <x v="23"/>
          </reference>
          <reference field="1" count="1">
            <x v="59"/>
          </reference>
          <reference field="2" count="1" selected="0">
            <x v="23"/>
          </reference>
        </references>
      </pivotArea>
    </format>
    <format dxfId="335">
      <pivotArea dataOnly="0" labelOnly="1" outline="0" fieldPosition="0">
        <references count="3">
          <reference field="0" count="1" selected="0">
            <x v="24"/>
          </reference>
          <reference field="1" count="1">
            <x v="11"/>
          </reference>
          <reference field="2" count="1" selected="0">
            <x v="24"/>
          </reference>
        </references>
      </pivotArea>
    </format>
    <format dxfId="334">
      <pivotArea dataOnly="0" labelOnly="1" outline="0" fieldPosition="0">
        <references count="3">
          <reference field="0" count="1" selected="0">
            <x v="25"/>
          </reference>
          <reference field="1" count="1">
            <x v="12"/>
          </reference>
          <reference field="2" count="1" selected="0">
            <x v="25"/>
          </reference>
        </references>
      </pivotArea>
    </format>
    <format dxfId="333">
      <pivotArea dataOnly="0" labelOnly="1" outline="0" fieldPosition="0">
        <references count="3">
          <reference field="0" count="1" selected="0">
            <x v="26"/>
          </reference>
          <reference field="1" count="1">
            <x v="13"/>
          </reference>
          <reference field="2" count="1" selected="0">
            <x v="26"/>
          </reference>
        </references>
      </pivotArea>
    </format>
    <format dxfId="332">
      <pivotArea dataOnly="0" labelOnly="1" outline="0" fieldPosition="0">
        <references count="3">
          <reference field="0" count="1" selected="0">
            <x v="27"/>
          </reference>
          <reference field="1" count="1">
            <x v="14"/>
          </reference>
          <reference field="2" count="1" selected="0">
            <x v="27"/>
          </reference>
        </references>
      </pivotArea>
    </format>
    <format dxfId="331">
      <pivotArea dataOnly="0" labelOnly="1" outline="0" fieldPosition="0">
        <references count="3">
          <reference field="0" count="1" selected="0">
            <x v="28"/>
          </reference>
          <reference field="1" count="1">
            <x v="9"/>
          </reference>
          <reference field="2" count="1" selected="0">
            <x v="28"/>
          </reference>
        </references>
      </pivotArea>
    </format>
    <format dxfId="330">
      <pivotArea dataOnly="0" labelOnly="1" outline="0" fieldPosition="0">
        <references count="3">
          <reference field="0" count="1" selected="0">
            <x v="29"/>
          </reference>
          <reference field="1" count="1">
            <x v="10"/>
          </reference>
          <reference field="2" count="1" selected="0">
            <x v="29"/>
          </reference>
        </references>
      </pivotArea>
    </format>
    <format dxfId="329">
      <pivotArea dataOnly="0" labelOnly="1" outline="0" fieldPosition="0">
        <references count="3">
          <reference field="0" count="1" selected="0">
            <x v="30"/>
          </reference>
          <reference field="1" count="1">
            <x v="8"/>
          </reference>
          <reference field="2" count="1" selected="0">
            <x v="30"/>
          </reference>
        </references>
      </pivotArea>
    </format>
    <format dxfId="328">
      <pivotArea dataOnly="0" labelOnly="1" outline="0" fieldPosition="0">
        <references count="3">
          <reference field="0" count="1" selected="0">
            <x v="31"/>
          </reference>
          <reference field="1" count="1">
            <x v="41"/>
          </reference>
          <reference field="2" count="1" selected="0">
            <x v="31"/>
          </reference>
        </references>
      </pivotArea>
    </format>
    <format dxfId="327">
      <pivotArea dataOnly="0" labelOnly="1" outline="0" fieldPosition="0">
        <references count="3">
          <reference field="0" count="1" selected="0">
            <x v="32"/>
          </reference>
          <reference field="1" count="1">
            <x v="42"/>
          </reference>
          <reference field="2" count="1" selected="0">
            <x v="32"/>
          </reference>
        </references>
      </pivotArea>
    </format>
    <format dxfId="326">
      <pivotArea dataOnly="0" labelOnly="1" outline="0" fieldPosition="0">
        <references count="3">
          <reference field="0" count="1" selected="0">
            <x v="33"/>
          </reference>
          <reference field="1" count="1">
            <x v="3"/>
          </reference>
          <reference field="2" count="1" selected="0">
            <x v="33"/>
          </reference>
        </references>
      </pivotArea>
    </format>
    <format dxfId="325">
      <pivotArea dataOnly="0" labelOnly="1" outline="0" fieldPosition="0">
        <references count="3">
          <reference field="0" count="1" selected="0">
            <x v="34"/>
          </reference>
          <reference field="1" count="1">
            <x v="4"/>
          </reference>
          <reference field="2" count="1" selected="0">
            <x v="34"/>
          </reference>
        </references>
      </pivotArea>
    </format>
    <format dxfId="324">
      <pivotArea dataOnly="0" labelOnly="1" outline="0" fieldPosition="0">
        <references count="3">
          <reference field="0" count="1" selected="0">
            <x v="35"/>
          </reference>
          <reference field="1" count="1">
            <x v="49"/>
          </reference>
          <reference field="2" count="1" selected="0">
            <x v="35"/>
          </reference>
        </references>
      </pivotArea>
    </format>
    <format dxfId="323">
      <pivotArea dataOnly="0" labelOnly="1" outline="0" fieldPosition="0">
        <references count="3">
          <reference field="0" count="1" selected="0">
            <x v="36"/>
          </reference>
          <reference field="1" count="1">
            <x v="50"/>
          </reference>
          <reference field="2" count="1" selected="0">
            <x v="36"/>
          </reference>
        </references>
      </pivotArea>
    </format>
    <format dxfId="322">
      <pivotArea dataOnly="0" labelOnly="1" outline="0" fieldPosition="0">
        <references count="3">
          <reference field="0" count="1" selected="0">
            <x v="37"/>
          </reference>
          <reference field="1" count="1">
            <x v="54"/>
          </reference>
          <reference field="2" count="1" selected="0">
            <x v="37"/>
          </reference>
        </references>
      </pivotArea>
    </format>
    <format dxfId="321">
      <pivotArea dataOnly="0" labelOnly="1" outline="0" fieldPosition="0">
        <references count="3">
          <reference field="0" count="1" selected="0">
            <x v="38"/>
          </reference>
          <reference field="1" count="1">
            <x v="56"/>
          </reference>
          <reference field="2" count="1" selected="0">
            <x v="38"/>
          </reference>
        </references>
      </pivotArea>
    </format>
    <format dxfId="320">
      <pivotArea dataOnly="0" labelOnly="1" outline="0" fieldPosition="0">
        <references count="3">
          <reference field="0" count="1" selected="0">
            <x v="39"/>
          </reference>
          <reference field="1" count="1">
            <x v="34"/>
          </reference>
          <reference field="2" count="1" selected="0">
            <x v="39"/>
          </reference>
        </references>
      </pivotArea>
    </format>
    <format dxfId="319">
      <pivotArea dataOnly="0" labelOnly="1" outline="0" fieldPosition="0">
        <references count="3">
          <reference field="0" count="1" selected="0">
            <x v="40"/>
          </reference>
          <reference field="1" count="1">
            <x v="29"/>
          </reference>
          <reference field="2" count="1" selected="0">
            <x v="40"/>
          </reference>
        </references>
      </pivotArea>
    </format>
    <format dxfId="318">
      <pivotArea dataOnly="0" labelOnly="1" outline="0" fieldPosition="0">
        <references count="3">
          <reference field="0" count="1" selected="0">
            <x v="41"/>
          </reference>
          <reference field="1" count="1">
            <x v="30"/>
          </reference>
          <reference field="2" count="1" selected="0">
            <x v="41"/>
          </reference>
        </references>
      </pivotArea>
    </format>
    <format dxfId="317">
      <pivotArea dataOnly="0" labelOnly="1" outline="0" fieldPosition="0">
        <references count="3">
          <reference field="0" count="1" selected="0">
            <x v="42"/>
          </reference>
          <reference field="1" count="1">
            <x v="31"/>
          </reference>
          <reference field="2" count="1" selected="0">
            <x v="42"/>
          </reference>
        </references>
      </pivotArea>
    </format>
    <format dxfId="316">
      <pivotArea dataOnly="0" labelOnly="1" outline="0" fieldPosition="0">
        <references count="3">
          <reference field="0" count="1" selected="0">
            <x v="43"/>
          </reference>
          <reference field="1" count="1">
            <x v="20"/>
          </reference>
          <reference field="2" count="1" selected="0">
            <x v="43"/>
          </reference>
        </references>
      </pivotArea>
    </format>
    <format dxfId="315">
      <pivotArea dataOnly="0" labelOnly="1" outline="0" fieldPosition="0">
        <references count="3">
          <reference field="0" count="1" selected="0">
            <x v="44"/>
          </reference>
          <reference field="1" count="1">
            <x v="21"/>
          </reference>
          <reference field="2" count="1" selected="0">
            <x v="44"/>
          </reference>
        </references>
      </pivotArea>
    </format>
    <format dxfId="314">
      <pivotArea dataOnly="0" labelOnly="1" outline="0" fieldPosition="0">
        <references count="3">
          <reference field="0" count="1" selected="0">
            <x v="45"/>
          </reference>
          <reference field="1" count="1">
            <x v="22"/>
          </reference>
          <reference field="2" count="1" selected="0">
            <x v="45"/>
          </reference>
        </references>
      </pivotArea>
    </format>
    <format dxfId="313">
      <pivotArea dataOnly="0" labelOnly="1" outline="0" fieldPosition="0">
        <references count="3">
          <reference field="0" count="1" selected="0">
            <x v="46"/>
          </reference>
          <reference field="1" count="1">
            <x v="57"/>
          </reference>
          <reference field="2" count="1" selected="0">
            <x v="46"/>
          </reference>
        </references>
      </pivotArea>
    </format>
    <format dxfId="312">
      <pivotArea dataOnly="0" labelOnly="1" outline="0" fieldPosition="0">
        <references count="3">
          <reference field="0" count="1" selected="0">
            <x v="47"/>
          </reference>
          <reference field="1" count="1">
            <x v="17"/>
          </reference>
          <reference field="2" count="1" selected="0">
            <x v="47"/>
          </reference>
        </references>
      </pivotArea>
    </format>
    <format dxfId="311">
      <pivotArea dataOnly="0" labelOnly="1" outline="0" fieldPosition="0">
        <references count="3">
          <reference field="0" count="1" selected="0">
            <x v="48"/>
          </reference>
          <reference field="1" count="1">
            <x v="26"/>
          </reference>
          <reference field="2" count="1" selected="0">
            <x v="48"/>
          </reference>
        </references>
      </pivotArea>
    </format>
    <format dxfId="310">
      <pivotArea dataOnly="0" labelOnly="1" outline="0" fieldPosition="0">
        <references count="3">
          <reference field="0" count="1" selected="0">
            <x v="49"/>
          </reference>
          <reference field="1" count="1">
            <x v="0"/>
          </reference>
          <reference field="2" count="1" selected="0">
            <x v="49"/>
          </reference>
        </references>
      </pivotArea>
    </format>
    <format dxfId="309">
      <pivotArea dataOnly="0" labelOnly="1" outline="0" fieldPosition="0">
        <references count="3">
          <reference field="0" count="1" selected="0">
            <x v="50"/>
          </reference>
          <reference field="1" count="1">
            <x v="35"/>
          </reference>
          <reference field="2" count="1" selected="0">
            <x v="50"/>
          </reference>
        </references>
      </pivotArea>
    </format>
    <format dxfId="308">
      <pivotArea dataOnly="0" labelOnly="1" outline="0" fieldPosition="0">
        <references count="3">
          <reference field="0" count="1" selected="0">
            <x v="51"/>
          </reference>
          <reference field="1" count="1">
            <x v="15"/>
          </reference>
          <reference field="2" count="1" selected="0">
            <x v="51"/>
          </reference>
        </references>
      </pivotArea>
    </format>
    <format dxfId="307">
      <pivotArea dataOnly="0" labelOnly="1" outline="0" fieldPosition="0">
        <references count="3">
          <reference field="0" count="1" selected="0">
            <x v="52"/>
          </reference>
          <reference field="1" count="1">
            <x v="2"/>
          </reference>
          <reference field="2" count="1" selected="0">
            <x v="52"/>
          </reference>
        </references>
      </pivotArea>
    </format>
    <format dxfId="306">
      <pivotArea dataOnly="0" labelOnly="1" outline="0" fieldPosition="0">
        <references count="3">
          <reference field="0" count="1" selected="0">
            <x v="53"/>
          </reference>
          <reference field="1" count="1">
            <x v="1"/>
          </reference>
          <reference field="2" count="1" selected="0">
            <x v="53"/>
          </reference>
        </references>
      </pivotArea>
    </format>
    <format dxfId="305">
      <pivotArea dataOnly="0" labelOnly="1" outline="0" fieldPosition="0">
        <references count="3">
          <reference field="0" count="1" selected="0">
            <x v="54"/>
          </reference>
          <reference field="1" count="1">
            <x v="32"/>
          </reference>
          <reference field="2" count="1" selected="0">
            <x v="54"/>
          </reference>
        </references>
      </pivotArea>
    </format>
    <format dxfId="304">
      <pivotArea dataOnly="0" labelOnly="1" outline="0" fieldPosition="0">
        <references count="3">
          <reference field="0" count="1" selected="0">
            <x v="55"/>
          </reference>
          <reference field="1" count="1">
            <x v="19"/>
          </reference>
          <reference field="2" count="1" selected="0">
            <x v="55"/>
          </reference>
        </references>
      </pivotArea>
    </format>
    <format dxfId="303">
      <pivotArea dataOnly="0" labelOnly="1" outline="0" fieldPosition="0">
        <references count="3">
          <reference field="0" count="1" selected="0">
            <x v="56"/>
          </reference>
          <reference field="1" count="1">
            <x v="27"/>
          </reference>
          <reference field="2" count="1" selected="0">
            <x v="56"/>
          </reference>
        </references>
      </pivotArea>
    </format>
    <format dxfId="302">
      <pivotArea dataOnly="0" labelOnly="1" outline="0" fieldPosition="0">
        <references count="3">
          <reference field="0" count="1" selected="0">
            <x v="57"/>
          </reference>
          <reference field="1" count="1">
            <x v="23"/>
          </reference>
          <reference field="2" count="1" selected="0">
            <x v="57"/>
          </reference>
        </references>
      </pivotArea>
    </format>
    <format dxfId="301">
      <pivotArea dataOnly="0" labelOnly="1" outline="0" fieldPosition="0">
        <references count="3">
          <reference field="0" count="1" selected="0">
            <x v="58"/>
          </reference>
          <reference field="1" count="1">
            <x v="24"/>
          </reference>
          <reference field="2" count="1" selected="0">
            <x v="58"/>
          </reference>
        </references>
      </pivotArea>
    </format>
    <format dxfId="300">
      <pivotArea dataOnly="0" labelOnly="1" outline="0" fieldPosition="0">
        <references count="3">
          <reference field="0" count="1" selected="0">
            <x v="59"/>
          </reference>
          <reference field="1" count="1">
            <x v="38"/>
          </reference>
          <reference field="2" count="1" selected="0">
            <x v="59"/>
          </reference>
        </references>
      </pivotArea>
    </format>
    <format dxfId="29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9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9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9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9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9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9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9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8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8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8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8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8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8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8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8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8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8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7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7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7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7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7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7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7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7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7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7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6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6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6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6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6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6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6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6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6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5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5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5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5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5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5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5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5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5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5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4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4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4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4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4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4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4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4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4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4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3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38">
      <pivotArea dataOnly="0" labelOnly="1" outline="0" fieldPosition="0">
        <references count="1">
          <reference field="0" count="10">
            <x v="50"/>
            <x v="51"/>
            <x v="52"/>
            <x v="53"/>
            <x v="54"/>
            <x v="55"/>
            <x v="56"/>
            <x v="57"/>
            <x v="58"/>
            <x v="59"/>
          </reference>
        </references>
      </pivotArea>
    </format>
    <format dxfId="237">
      <pivotArea dataOnly="0" labelOnly="1" outline="0" fieldPosition="0">
        <references count="2">
          <reference field="0" count="1" selected="0">
            <x v="0"/>
          </reference>
          <reference field="2" count="1">
            <x v="0"/>
          </reference>
        </references>
      </pivotArea>
    </format>
    <format dxfId="236">
      <pivotArea dataOnly="0" labelOnly="1" outline="0" fieldPosition="0">
        <references count="2">
          <reference field="0" count="1" selected="0">
            <x v="1"/>
          </reference>
          <reference field="2" count="1">
            <x v="1"/>
          </reference>
        </references>
      </pivotArea>
    </format>
    <format dxfId="235">
      <pivotArea dataOnly="0" labelOnly="1" outline="0" fieldPosition="0">
        <references count="2">
          <reference field="0" count="1" selected="0">
            <x v="2"/>
          </reference>
          <reference field="2" count="1">
            <x v="2"/>
          </reference>
        </references>
      </pivotArea>
    </format>
    <format dxfId="234">
      <pivotArea dataOnly="0" labelOnly="1" outline="0" fieldPosition="0">
        <references count="2">
          <reference field="0" count="1" selected="0">
            <x v="3"/>
          </reference>
          <reference field="2" count="1">
            <x v="3"/>
          </reference>
        </references>
      </pivotArea>
    </format>
    <format dxfId="233">
      <pivotArea dataOnly="0" labelOnly="1" outline="0" fieldPosition="0">
        <references count="2">
          <reference field="0" count="1" selected="0">
            <x v="4"/>
          </reference>
          <reference field="2" count="1">
            <x v="4"/>
          </reference>
        </references>
      </pivotArea>
    </format>
    <format dxfId="232">
      <pivotArea dataOnly="0" labelOnly="1" outline="0" fieldPosition="0">
        <references count="2">
          <reference field="0" count="1" selected="0">
            <x v="5"/>
          </reference>
          <reference field="2" count="1">
            <x v="5"/>
          </reference>
        </references>
      </pivotArea>
    </format>
    <format dxfId="231">
      <pivotArea dataOnly="0" labelOnly="1" outline="0" fieldPosition="0">
        <references count="2">
          <reference field="0" count="1" selected="0">
            <x v="6"/>
          </reference>
          <reference field="2" count="1">
            <x v="6"/>
          </reference>
        </references>
      </pivotArea>
    </format>
    <format dxfId="230">
      <pivotArea dataOnly="0" labelOnly="1" outline="0" fieldPosition="0">
        <references count="2">
          <reference field="0" count="1" selected="0">
            <x v="7"/>
          </reference>
          <reference field="2" count="1">
            <x v="7"/>
          </reference>
        </references>
      </pivotArea>
    </format>
    <format dxfId="229">
      <pivotArea dataOnly="0" labelOnly="1" outline="0" fieldPosition="0">
        <references count="2">
          <reference field="0" count="1" selected="0">
            <x v="8"/>
          </reference>
          <reference field="2" count="1">
            <x v="8"/>
          </reference>
        </references>
      </pivotArea>
    </format>
    <format dxfId="228">
      <pivotArea dataOnly="0" labelOnly="1" outline="0" fieldPosition="0">
        <references count="2">
          <reference field="0" count="1" selected="0">
            <x v="9"/>
          </reference>
          <reference field="2" count="1">
            <x v="9"/>
          </reference>
        </references>
      </pivotArea>
    </format>
    <format dxfId="227">
      <pivotArea dataOnly="0" labelOnly="1" outline="0" fieldPosition="0">
        <references count="2">
          <reference field="0" count="1" selected="0">
            <x v="10"/>
          </reference>
          <reference field="2" count="1">
            <x v="10"/>
          </reference>
        </references>
      </pivotArea>
    </format>
    <format dxfId="226">
      <pivotArea dataOnly="0" labelOnly="1" outline="0" fieldPosition="0">
        <references count="2">
          <reference field="0" count="1" selected="0">
            <x v="11"/>
          </reference>
          <reference field="2" count="1">
            <x v="11"/>
          </reference>
        </references>
      </pivotArea>
    </format>
    <format dxfId="225">
      <pivotArea dataOnly="0" labelOnly="1" outline="0" fieldPosition="0">
        <references count="2">
          <reference field="0" count="1" selected="0">
            <x v="12"/>
          </reference>
          <reference field="2" count="1">
            <x v="12"/>
          </reference>
        </references>
      </pivotArea>
    </format>
    <format dxfId="224">
      <pivotArea dataOnly="0" labelOnly="1" outline="0" fieldPosition="0">
        <references count="2">
          <reference field="0" count="1" selected="0">
            <x v="13"/>
          </reference>
          <reference field="2" count="1">
            <x v="13"/>
          </reference>
        </references>
      </pivotArea>
    </format>
    <format dxfId="223">
      <pivotArea dataOnly="0" labelOnly="1" outline="0" fieldPosition="0">
        <references count="2">
          <reference field="0" count="1" selected="0">
            <x v="14"/>
          </reference>
          <reference field="2" count="1">
            <x v="14"/>
          </reference>
        </references>
      </pivotArea>
    </format>
    <format dxfId="222">
      <pivotArea dataOnly="0" labelOnly="1" outline="0" fieldPosition="0">
        <references count="2">
          <reference field="0" count="1" selected="0">
            <x v="15"/>
          </reference>
          <reference field="2" count="1">
            <x v="15"/>
          </reference>
        </references>
      </pivotArea>
    </format>
    <format dxfId="221">
      <pivotArea dataOnly="0" labelOnly="1" outline="0" fieldPosition="0">
        <references count="2">
          <reference field="0" count="1" selected="0">
            <x v="16"/>
          </reference>
          <reference field="2" count="1">
            <x v="16"/>
          </reference>
        </references>
      </pivotArea>
    </format>
    <format dxfId="220">
      <pivotArea dataOnly="0" labelOnly="1" outline="0" fieldPosition="0">
        <references count="2">
          <reference field="0" count="1" selected="0">
            <x v="17"/>
          </reference>
          <reference field="2" count="1">
            <x v="17"/>
          </reference>
        </references>
      </pivotArea>
    </format>
    <format dxfId="219">
      <pivotArea dataOnly="0" labelOnly="1" outline="0" fieldPosition="0">
        <references count="2">
          <reference field="0" count="1" selected="0">
            <x v="18"/>
          </reference>
          <reference field="2" count="1">
            <x v="18"/>
          </reference>
        </references>
      </pivotArea>
    </format>
    <format dxfId="218">
      <pivotArea dataOnly="0" labelOnly="1" outline="0" fieldPosition="0">
        <references count="2">
          <reference field="0" count="1" selected="0">
            <x v="19"/>
          </reference>
          <reference field="2" count="1">
            <x v="19"/>
          </reference>
        </references>
      </pivotArea>
    </format>
    <format dxfId="217">
      <pivotArea dataOnly="0" labelOnly="1" outline="0" fieldPosition="0">
        <references count="2">
          <reference field="0" count="1" selected="0">
            <x v="20"/>
          </reference>
          <reference field="2" count="1">
            <x v="20"/>
          </reference>
        </references>
      </pivotArea>
    </format>
    <format dxfId="216">
      <pivotArea dataOnly="0" labelOnly="1" outline="0" fieldPosition="0">
        <references count="2">
          <reference field="0" count="1" selected="0">
            <x v="21"/>
          </reference>
          <reference field="2" count="1">
            <x v="21"/>
          </reference>
        </references>
      </pivotArea>
    </format>
    <format dxfId="215">
      <pivotArea dataOnly="0" labelOnly="1" outline="0" fieldPosition="0">
        <references count="2">
          <reference field="0" count="1" selected="0">
            <x v="22"/>
          </reference>
          <reference field="2" count="1">
            <x v="22"/>
          </reference>
        </references>
      </pivotArea>
    </format>
    <format dxfId="214">
      <pivotArea dataOnly="0" labelOnly="1" outline="0" fieldPosition="0">
        <references count="2">
          <reference field="0" count="1" selected="0">
            <x v="23"/>
          </reference>
          <reference field="2" count="1">
            <x v="23"/>
          </reference>
        </references>
      </pivotArea>
    </format>
    <format dxfId="213">
      <pivotArea dataOnly="0" labelOnly="1" outline="0" fieldPosition="0">
        <references count="2">
          <reference field="0" count="1" selected="0">
            <x v="24"/>
          </reference>
          <reference field="2" count="1">
            <x v="24"/>
          </reference>
        </references>
      </pivotArea>
    </format>
    <format dxfId="212">
      <pivotArea dataOnly="0" labelOnly="1" outline="0" fieldPosition="0">
        <references count="2">
          <reference field="0" count="1" selected="0">
            <x v="25"/>
          </reference>
          <reference field="2" count="1">
            <x v="25"/>
          </reference>
        </references>
      </pivotArea>
    </format>
    <format dxfId="211">
      <pivotArea dataOnly="0" labelOnly="1" outline="0" fieldPosition="0">
        <references count="2">
          <reference field="0" count="1" selected="0">
            <x v="26"/>
          </reference>
          <reference field="2" count="1">
            <x v="26"/>
          </reference>
        </references>
      </pivotArea>
    </format>
    <format dxfId="210">
      <pivotArea dataOnly="0" labelOnly="1" outline="0" fieldPosition="0">
        <references count="2">
          <reference field="0" count="1" selected="0">
            <x v="27"/>
          </reference>
          <reference field="2" count="1">
            <x v="27"/>
          </reference>
        </references>
      </pivotArea>
    </format>
    <format dxfId="209">
      <pivotArea dataOnly="0" labelOnly="1" outline="0" fieldPosition="0">
        <references count="2">
          <reference field="0" count="1" selected="0">
            <x v="28"/>
          </reference>
          <reference field="2" count="1">
            <x v="28"/>
          </reference>
        </references>
      </pivotArea>
    </format>
    <format dxfId="208">
      <pivotArea dataOnly="0" labelOnly="1" outline="0" fieldPosition="0">
        <references count="2">
          <reference field="0" count="1" selected="0">
            <x v="29"/>
          </reference>
          <reference field="2" count="1">
            <x v="29"/>
          </reference>
        </references>
      </pivotArea>
    </format>
    <format dxfId="207">
      <pivotArea dataOnly="0" labelOnly="1" outline="0" fieldPosition="0">
        <references count="2">
          <reference field="0" count="1" selected="0">
            <x v="30"/>
          </reference>
          <reference field="2" count="1">
            <x v="30"/>
          </reference>
        </references>
      </pivotArea>
    </format>
    <format dxfId="206">
      <pivotArea dataOnly="0" labelOnly="1" outline="0" fieldPosition="0">
        <references count="2">
          <reference field="0" count="1" selected="0">
            <x v="31"/>
          </reference>
          <reference field="2" count="1">
            <x v="31"/>
          </reference>
        </references>
      </pivotArea>
    </format>
    <format dxfId="205">
      <pivotArea dataOnly="0" labelOnly="1" outline="0" fieldPosition="0">
        <references count="2">
          <reference field="0" count="1" selected="0">
            <x v="32"/>
          </reference>
          <reference field="2" count="1">
            <x v="32"/>
          </reference>
        </references>
      </pivotArea>
    </format>
    <format dxfId="204">
      <pivotArea dataOnly="0" labelOnly="1" outline="0" fieldPosition="0">
        <references count="2">
          <reference field="0" count="1" selected="0">
            <x v="33"/>
          </reference>
          <reference field="2" count="1">
            <x v="33"/>
          </reference>
        </references>
      </pivotArea>
    </format>
    <format dxfId="203">
      <pivotArea dataOnly="0" labelOnly="1" outline="0" fieldPosition="0">
        <references count="2">
          <reference field="0" count="1" selected="0">
            <x v="34"/>
          </reference>
          <reference field="2" count="1">
            <x v="34"/>
          </reference>
        </references>
      </pivotArea>
    </format>
    <format dxfId="202">
      <pivotArea dataOnly="0" labelOnly="1" outline="0" fieldPosition="0">
        <references count="2">
          <reference field="0" count="1" selected="0">
            <x v="35"/>
          </reference>
          <reference field="2" count="1">
            <x v="35"/>
          </reference>
        </references>
      </pivotArea>
    </format>
    <format dxfId="201">
      <pivotArea dataOnly="0" labelOnly="1" outline="0" fieldPosition="0">
        <references count="2">
          <reference field="0" count="1" selected="0">
            <x v="36"/>
          </reference>
          <reference field="2" count="1">
            <x v="36"/>
          </reference>
        </references>
      </pivotArea>
    </format>
    <format dxfId="200">
      <pivotArea dataOnly="0" labelOnly="1" outline="0" fieldPosition="0">
        <references count="2">
          <reference field="0" count="1" selected="0">
            <x v="37"/>
          </reference>
          <reference field="2" count="1">
            <x v="37"/>
          </reference>
        </references>
      </pivotArea>
    </format>
    <format dxfId="199">
      <pivotArea dataOnly="0" labelOnly="1" outline="0" fieldPosition="0">
        <references count="2">
          <reference field="0" count="1" selected="0">
            <x v="38"/>
          </reference>
          <reference field="2" count="1">
            <x v="38"/>
          </reference>
        </references>
      </pivotArea>
    </format>
    <format dxfId="198">
      <pivotArea dataOnly="0" labelOnly="1" outline="0" fieldPosition="0">
        <references count="2">
          <reference field="0" count="1" selected="0">
            <x v="39"/>
          </reference>
          <reference field="2" count="1">
            <x v="39"/>
          </reference>
        </references>
      </pivotArea>
    </format>
    <format dxfId="197">
      <pivotArea dataOnly="0" labelOnly="1" outline="0" fieldPosition="0">
        <references count="2">
          <reference field="0" count="1" selected="0">
            <x v="40"/>
          </reference>
          <reference field="2" count="1">
            <x v="40"/>
          </reference>
        </references>
      </pivotArea>
    </format>
    <format dxfId="196">
      <pivotArea dataOnly="0" labelOnly="1" outline="0" fieldPosition="0">
        <references count="2">
          <reference field="0" count="1" selected="0">
            <x v="41"/>
          </reference>
          <reference field="2" count="1">
            <x v="41"/>
          </reference>
        </references>
      </pivotArea>
    </format>
    <format dxfId="195">
      <pivotArea dataOnly="0" labelOnly="1" outline="0" fieldPosition="0">
        <references count="2">
          <reference field="0" count="1" selected="0">
            <x v="42"/>
          </reference>
          <reference field="2" count="1">
            <x v="42"/>
          </reference>
        </references>
      </pivotArea>
    </format>
    <format dxfId="194">
      <pivotArea dataOnly="0" labelOnly="1" outline="0" fieldPosition="0">
        <references count="2">
          <reference field="0" count="1" selected="0">
            <x v="43"/>
          </reference>
          <reference field="2" count="1">
            <x v="43"/>
          </reference>
        </references>
      </pivotArea>
    </format>
    <format dxfId="193">
      <pivotArea dataOnly="0" labelOnly="1" outline="0" fieldPosition="0">
        <references count="2">
          <reference field="0" count="1" selected="0">
            <x v="44"/>
          </reference>
          <reference field="2" count="1">
            <x v="44"/>
          </reference>
        </references>
      </pivotArea>
    </format>
    <format dxfId="192">
      <pivotArea dataOnly="0" labelOnly="1" outline="0" fieldPosition="0">
        <references count="2">
          <reference field="0" count="1" selected="0">
            <x v="45"/>
          </reference>
          <reference field="2" count="1">
            <x v="45"/>
          </reference>
        </references>
      </pivotArea>
    </format>
    <format dxfId="191">
      <pivotArea dataOnly="0" labelOnly="1" outline="0" fieldPosition="0">
        <references count="2">
          <reference field="0" count="1" selected="0">
            <x v="46"/>
          </reference>
          <reference field="2" count="1">
            <x v="46"/>
          </reference>
        </references>
      </pivotArea>
    </format>
    <format dxfId="190">
      <pivotArea dataOnly="0" labelOnly="1" outline="0" fieldPosition="0">
        <references count="2">
          <reference field="0" count="1" selected="0">
            <x v="47"/>
          </reference>
          <reference field="2" count="1">
            <x v="47"/>
          </reference>
        </references>
      </pivotArea>
    </format>
    <format dxfId="189">
      <pivotArea dataOnly="0" labelOnly="1" outline="0" fieldPosition="0">
        <references count="2">
          <reference field="0" count="1" selected="0">
            <x v="48"/>
          </reference>
          <reference field="2" count="1">
            <x v="48"/>
          </reference>
        </references>
      </pivotArea>
    </format>
    <format dxfId="188">
      <pivotArea dataOnly="0" labelOnly="1" outline="0" fieldPosition="0">
        <references count="2">
          <reference field="0" count="1" selected="0">
            <x v="49"/>
          </reference>
          <reference field="2" count="1">
            <x v="49"/>
          </reference>
        </references>
      </pivotArea>
    </format>
    <format dxfId="187">
      <pivotArea dataOnly="0" labelOnly="1" outline="0" fieldPosition="0">
        <references count="2">
          <reference field="0" count="1" selected="0">
            <x v="50"/>
          </reference>
          <reference field="2" count="1">
            <x v="50"/>
          </reference>
        </references>
      </pivotArea>
    </format>
    <format dxfId="186">
      <pivotArea dataOnly="0" labelOnly="1" outline="0" fieldPosition="0">
        <references count="2">
          <reference field="0" count="1" selected="0">
            <x v="51"/>
          </reference>
          <reference field="2" count="1">
            <x v="51"/>
          </reference>
        </references>
      </pivotArea>
    </format>
    <format dxfId="185">
      <pivotArea dataOnly="0" labelOnly="1" outline="0" fieldPosition="0">
        <references count="2">
          <reference field="0" count="1" selected="0">
            <x v="52"/>
          </reference>
          <reference field="2" count="1">
            <x v="52"/>
          </reference>
        </references>
      </pivotArea>
    </format>
    <format dxfId="184">
      <pivotArea dataOnly="0" labelOnly="1" outline="0" fieldPosition="0">
        <references count="2">
          <reference field="0" count="1" selected="0">
            <x v="53"/>
          </reference>
          <reference field="2" count="1">
            <x v="53"/>
          </reference>
        </references>
      </pivotArea>
    </format>
    <format dxfId="183">
      <pivotArea dataOnly="0" labelOnly="1" outline="0" fieldPosition="0">
        <references count="2">
          <reference field="0" count="1" selected="0">
            <x v="54"/>
          </reference>
          <reference field="2" count="1">
            <x v="54"/>
          </reference>
        </references>
      </pivotArea>
    </format>
    <format dxfId="182">
      <pivotArea dataOnly="0" labelOnly="1" outline="0" fieldPosition="0">
        <references count="2">
          <reference field="0" count="1" selected="0">
            <x v="55"/>
          </reference>
          <reference field="2" count="1">
            <x v="55"/>
          </reference>
        </references>
      </pivotArea>
    </format>
    <format dxfId="181">
      <pivotArea dataOnly="0" labelOnly="1" outline="0" fieldPosition="0">
        <references count="2">
          <reference field="0" count="1" selected="0">
            <x v="56"/>
          </reference>
          <reference field="2" count="1">
            <x v="56"/>
          </reference>
        </references>
      </pivotArea>
    </format>
    <format dxfId="180">
      <pivotArea dataOnly="0" labelOnly="1" outline="0" fieldPosition="0">
        <references count="2">
          <reference field="0" count="1" selected="0">
            <x v="57"/>
          </reference>
          <reference field="2" count="1">
            <x v="57"/>
          </reference>
        </references>
      </pivotArea>
    </format>
    <format dxfId="179">
      <pivotArea dataOnly="0" labelOnly="1" outline="0" fieldPosition="0">
        <references count="2">
          <reference field="0" count="1" selected="0">
            <x v="58"/>
          </reference>
          <reference field="2" count="1">
            <x v="58"/>
          </reference>
        </references>
      </pivotArea>
    </format>
    <format dxfId="178">
      <pivotArea dataOnly="0" labelOnly="1" outline="0" fieldPosition="0">
        <references count="2">
          <reference field="0" count="1" selected="0">
            <x v="59"/>
          </reference>
          <reference field="2" count="1">
            <x v="59"/>
          </reference>
        </references>
      </pivotArea>
    </format>
    <format dxfId="177">
      <pivotArea dataOnly="0" labelOnly="1" outline="0" fieldPosition="0">
        <references count="3">
          <reference field="0" count="1" selected="0">
            <x v="0"/>
          </reference>
          <reference field="1" count="1">
            <x v="6"/>
          </reference>
          <reference field="2" count="1" selected="0">
            <x v="0"/>
          </reference>
        </references>
      </pivotArea>
    </format>
    <format dxfId="176">
      <pivotArea dataOnly="0" labelOnly="1" outline="0" fieldPosition="0">
        <references count="3">
          <reference field="0" count="1" selected="0">
            <x v="1"/>
          </reference>
          <reference field="1" count="1">
            <x v="5"/>
          </reference>
          <reference field="2" count="1" selected="0">
            <x v="1"/>
          </reference>
        </references>
      </pivotArea>
    </format>
    <format dxfId="175">
      <pivotArea dataOnly="0" labelOnly="1" outline="0" fieldPosition="0">
        <references count="3">
          <reference field="0" count="1" selected="0">
            <x v="2"/>
          </reference>
          <reference field="1" count="1">
            <x v="7"/>
          </reference>
          <reference field="2" count="1" selected="0">
            <x v="2"/>
          </reference>
        </references>
      </pivotArea>
    </format>
    <format dxfId="174">
      <pivotArea dataOnly="0" labelOnly="1" outline="0" fieldPosition="0">
        <references count="3">
          <reference field="0" count="1" selected="0">
            <x v="3"/>
          </reference>
          <reference field="1" count="1">
            <x v="40"/>
          </reference>
          <reference field="2" count="1" selected="0">
            <x v="3"/>
          </reference>
        </references>
      </pivotArea>
    </format>
    <format dxfId="173">
      <pivotArea dataOnly="0" labelOnly="1" outline="0" fieldPosition="0">
        <references count="3">
          <reference field="0" count="1" selected="0">
            <x v="4"/>
          </reference>
          <reference field="1" count="1">
            <x v="16"/>
          </reference>
          <reference field="2" count="1" selected="0">
            <x v="4"/>
          </reference>
        </references>
      </pivotArea>
    </format>
    <format dxfId="172">
      <pivotArea dataOnly="0" labelOnly="1" outline="0" fieldPosition="0">
        <references count="3">
          <reference field="0" count="1" selected="0">
            <x v="5"/>
          </reference>
          <reference field="1" count="1">
            <x v="33"/>
          </reference>
          <reference field="2" count="1" selected="0">
            <x v="5"/>
          </reference>
        </references>
      </pivotArea>
    </format>
    <format dxfId="171">
      <pivotArea dataOnly="0" labelOnly="1" outline="0" fieldPosition="0">
        <references count="3">
          <reference field="0" count="1" selected="0">
            <x v="6"/>
          </reference>
          <reference field="1" count="1">
            <x v="39"/>
          </reference>
          <reference field="2" count="1" selected="0">
            <x v="6"/>
          </reference>
        </references>
      </pivotArea>
    </format>
    <format dxfId="170">
      <pivotArea dataOnly="0" labelOnly="1" outline="0" fieldPosition="0">
        <references count="3">
          <reference field="0" count="1" selected="0">
            <x v="7"/>
          </reference>
          <reference field="1" count="1">
            <x v="28"/>
          </reference>
          <reference field="2" count="1" selected="0">
            <x v="7"/>
          </reference>
        </references>
      </pivotArea>
    </format>
    <format dxfId="169">
      <pivotArea dataOnly="0" labelOnly="1" outline="0" fieldPosition="0">
        <references count="3">
          <reference field="0" count="1" selected="0">
            <x v="8"/>
          </reference>
          <reference field="1" count="1">
            <x v="25"/>
          </reference>
          <reference field="2" count="1" selected="0">
            <x v="8"/>
          </reference>
        </references>
      </pivotArea>
    </format>
    <format dxfId="168">
      <pivotArea dataOnly="0" labelOnly="1" outline="0" fieldPosition="0">
        <references count="3">
          <reference field="0" count="1" selected="0">
            <x v="9"/>
          </reference>
          <reference field="1" count="1">
            <x v="43"/>
          </reference>
          <reference field="2" count="1" selected="0">
            <x v="9"/>
          </reference>
        </references>
      </pivotArea>
    </format>
    <format dxfId="167">
      <pivotArea dataOnly="0" labelOnly="1" outline="0" fieldPosition="0">
        <references count="3">
          <reference field="0" count="1" selected="0">
            <x v="10"/>
          </reference>
          <reference field="1" count="1">
            <x v="44"/>
          </reference>
          <reference field="2" count="1" selected="0">
            <x v="10"/>
          </reference>
        </references>
      </pivotArea>
    </format>
    <format dxfId="166">
      <pivotArea dataOnly="0" labelOnly="1" outline="0" fieldPosition="0">
        <references count="3">
          <reference field="0" count="1" selected="0">
            <x v="11"/>
          </reference>
          <reference field="1" count="1">
            <x v="45"/>
          </reference>
          <reference field="2" count="1" selected="0">
            <x v="11"/>
          </reference>
        </references>
      </pivotArea>
    </format>
    <format dxfId="165">
      <pivotArea dataOnly="0" labelOnly="1" outline="0" fieldPosition="0">
        <references count="3">
          <reference field="0" count="1" selected="0">
            <x v="12"/>
          </reference>
          <reference field="1" count="1">
            <x v="46"/>
          </reference>
          <reference field="2" count="1" selected="0">
            <x v="12"/>
          </reference>
        </references>
      </pivotArea>
    </format>
    <format dxfId="164">
      <pivotArea dataOnly="0" labelOnly="1" outline="0" fieldPosition="0">
        <references count="3">
          <reference field="0" count="1" selected="0">
            <x v="13"/>
          </reference>
          <reference field="1" count="1">
            <x v="47"/>
          </reference>
          <reference field="2" count="1" selected="0">
            <x v="13"/>
          </reference>
        </references>
      </pivotArea>
    </format>
    <format dxfId="163">
      <pivotArea dataOnly="0" labelOnly="1" outline="0" fieldPosition="0">
        <references count="3">
          <reference field="0" count="1" selected="0">
            <x v="14"/>
          </reference>
          <reference field="1" count="1">
            <x v="48"/>
          </reference>
          <reference field="2" count="1" selected="0">
            <x v="14"/>
          </reference>
        </references>
      </pivotArea>
    </format>
    <format dxfId="162">
      <pivotArea dataOnly="0" labelOnly="1" outline="0" fieldPosition="0">
        <references count="3">
          <reference field="0" count="1" selected="0">
            <x v="15"/>
          </reference>
          <reference field="1" count="1">
            <x v="36"/>
          </reference>
          <reference field="2" count="1" selected="0">
            <x v="15"/>
          </reference>
        </references>
      </pivotArea>
    </format>
    <format dxfId="161">
      <pivotArea dataOnly="0" labelOnly="1" outline="0" fieldPosition="0">
        <references count="3">
          <reference field="0" count="1" selected="0">
            <x v="16"/>
          </reference>
          <reference field="1" count="1">
            <x v="37"/>
          </reference>
          <reference field="2" count="1" selected="0">
            <x v="16"/>
          </reference>
        </references>
      </pivotArea>
    </format>
    <format dxfId="160">
      <pivotArea dataOnly="0" labelOnly="1" outline="0" fieldPosition="0">
        <references count="3">
          <reference field="0" count="1" selected="0">
            <x v="17"/>
          </reference>
          <reference field="1" count="1">
            <x v="18"/>
          </reference>
          <reference field="2" count="1" selected="0">
            <x v="17"/>
          </reference>
        </references>
      </pivotArea>
    </format>
    <format dxfId="159">
      <pivotArea dataOnly="0" labelOnly="1" outline="0" fieldPosition="0">
        <references count="3">
          <reference field="0" count="1" selected="0">
            <x v="18"/>
          </reference>
          <reference field="1" count="1">
            <x v="51"/>
          </reference>
          <reference field="2" count="1" selected="0">
            <x v="18"/>
          </reference>
        </references>
      </pivotArea>
    </format>
    <format dxfId="158">
      <pivotArea dataOnly="0" labelOnly="1" outline="0" fieldPosition="0">
        <references count="3">
          <reference field="0" count="1" selected="0">
            <x v="19"/>
          </reference>
          <reference field="1" count="1">
            <x v="52"/>
          </reference>
          <reference field="2" count="1" selected="0">
            <x v="19"/>
          </reference>
        </references>
      </pivotArea>
    </format>
    <format dxfId="157">
      <pivotArea dataOnly="0" labelOnly="1" outline="0" fieldPosition="0">
        <references count="3">
          <reference field="0" count="1" selected="0">
            <x v="20"/>
          </reference>
          <reference field="1" count="1">
            <x v="53"/>
          </reference>
          <reference field="2" count="1" selected="0">
            <x v="20"/>
          </reference>
        </references>
      </pivotArea>
    </format>
    <format dxfId="156">
      <pivotArea dataOnly="0" labelOnly="1" outline="0" fieldPosition="0">
        <references count="3">
          <reference field="0" count="1" selected="0">
            <x v="21"/>
          </reference>
          <reference field="1" count="1">
            <x v="55"/>
          </reference>
          <reference field="2" count="1" selected="0">
            <x v="21"/>
          </reference>
        </references>
      </pivotArea>
    </format>
    <format dxfId="155">
      <pivotArea dataOnly="0" labelOnly="1" outline="0" fieldPosition="0">
        <references count="3">
          <reference field="0" count="1" selected="0">
            <x v="22"/>
          </reference>
          <reference field="1" count="1">
            <x v="58"/>
          </reference>
          <reference field="2" count="1" selected="0">
            <x v="22"/>
          </reference>
        </references>
      </pivotArea>
    </format>
    <format dxfId="154">
      <pivotArea dataOnly="0" labelOnly="1" outline="0" fieldPosition="0">
        <references count="3">
          <reference field="0" count="1" selected="0">
            <x v="23"/>
          </reference>
          <reference field="1" count="1">
            <x v="59"/>
          </reference>
          <reference field="2" count="1" selected="0">
            <x v="23"/>
          </reference>
        </references>
      </pivotArea>
    </format>
    <format dxfId="153">
      <pivotArea dataOnly="0" labelOnly="1" outline="0" fieldPosition="0">
        <references count="3">
          <reference field="0" count="1" selected="0">
            <x v="24"/>
          </reference>
          <reference field="1" count="1">
            <x v="11"/>
          </reference>
          <reference field="2" count="1" selected="0">
            <x v="24"/>
          </reference>
        </references>
      </pivotArea>
    </format>
    <format dxfId="152">
      <pivotArea dataOnly="0" labelOnly="1" outline="0" fieldPosition="0">
        <references count="3">
          <reference field="0" count="1" selected="0">
            <x v="25"/>
          </reference>
          <reference field="1" count="1">
            <x v="12"/>
          </reference>
          <reference field="2" count="1" selected="0">
            <x v="25"/>
          </reference>
        </references>
      </pivotArea>
    </format>
    <format dxfId="151">
      <pivotArea dataOnly="0" labelOnly="1" outline="0" fieldPosition="0">
        <references count="3">
          <reference field="0" count="1" selected="0">
            <x v="26"/>
          </reference>
          <reference field="1" count="1">
            <x v="13"/>
          </reference>
          <reference field="2" count="1" selected="0">
            <x v="26"/>
          </reference>
        </references>
      </pivotArea>
    </format>
    <format dxfId="150">
      <pivotArea dataOnly="0" labelOnly="1" outline="0" fieldPosition="0">
        <references count="3">
          <reference field="0" count="1" selected="0">
            <x v="27"/>
          </reference>
          <reference field="1" count="1">
            <x v="14"/>
          </reference>
          <reference field="2" count="1" selected="0">
            <x v="27"/>
          </reference>
        </references>
      </pivotArea>
    </format>
    <format dxfId="149">
      <pivotArea dataOnly="0" labelOnly="1" outline="0" fieldPosition="0">
        <references count="3">
          <reference field="0" count="1" selected="0">
            <x v="28"/>
          </reference>
          <reference field="1" count="1">
            <x v="9"/>
          </reference>
          <reference field="2" count="1" selected="0">
            <x v="28"/>
          </reference>
        </references>
      </pivotArea>
    </format>
    <format dxfId="148">
      <pivotArea dataOnly="0" labelOnly="1" outline="0" fieldPosition="0">
        <references count="3">
          <reference field="0" count="1" selected="0">
            <x v="29"/>
          </reference>
          <reference field="1" count="1">
            <x v="10"/>
          </reference>
          <reference field="2" count="1" selected="0">
            <x v="29"/>
          </reference>
        </references>
      </pivotArea>
    </format>
    <format dxfId="147">
      <pivotArea dataOnly="0" labelOnly="1" outline="0" fieldPosition="0">
        <references count="3">
          <reference field="0" count="1" selected="0">
            <x v="30"/>
          </reference>
          <reference field="1" count="1">
            <x v="8"/>
          </reference>
          <reference field="2" count="1" selected="0">
            <x v="30"/>
          </reference>
        </references>
      </pivotArea>
    </format>
    <format dxfId="146">
      <pivotArea dataOnly="0" labelOnly="1" outline="0" fieldPosition="0">
        <references count="3">
          <reference field="0" count="1" selected="0">
            <x v="31"/>
          </reference>
          <reference field="1" count="1">
            <x v="41"/>
          </reference>
          <reference field="2" count="1" selected="0">
            <x v="31"/>
          </reference>
        </references>
      </pivotArea>
    </format>
    <format dxfId="145">
      <pivotArea dataOnly="0" labelOnly="1" outline="0" fieldPosition="0">
        <references count="3">
          <reference field="0" count="1" selected="0">
            <x v="32"/>
          </reference>
          <reference field="1" count="1">
            <x v="42"/>
          </reference>
          <reference field="2" count="1" selected="0">
            <x v="32"/>
          </reference>
        </references>
      </pivotArea>
    </format>
    <format dxfId="144">
      <pivotArea dataOnly="0" labelOnly="1" outline="0" fieldPosition="0">
        <references count="3">
          <reference field="0" count="1" selected="0">
            <x v="33"/>
          </reference>
          <reference field="1" count="1">
            <x v="3"/>
          </reference>
          <reference field="2" count="1" selected="0">
            <x v="33"/>
          </reference>
        </references>
      </pivotArea>
    </format>
    <format dxfId="143">
      <pivotArea dataOnly="0" labelOnly="1" outline="0" fieldPosition="0">
        <references count="3">
          <reference field="0" count="1" selected="0">
            <x v="34"/>
          </reference>
          <reference field="1" count="1">
            <x v="4"/>
          </reference>
          <reference field="2" count="1" selected="0">
            <x v="34"/>
          </reference>
        </references>
      </pivotArea>
    </format>
    <format dxfId="142">
      <pivotArea dataOnly="0" labelOnly="1" outline="0" fieldPosition="0">
        <references count="3">
          <reference field="0" count="1" selected="0">
            <x v="35"/>
          </reference>
          <reference field="1" count="1">
            <x v="49"/>
          </reference>
          <reference field="2" count="1" selected="0">
            <x v="35"/>
          </reference>
        </references>
      </pivotArea>
    </format>
    <format dxfId="141">
      <pivotArea dataOnly="0" labelOnly="1" outline="0" fieldPosition="0">
        <references count="3">
          <reference field="0" count="1" selected="0">
            <x v="36"/>
          </reference>
          <reference field="1" count="1">
            <x v="50"/>
          </reference>
          <reference field="2" count="1" selected="0">
            <x v="36"/>
          </reference>
        </references>
      </pivotArea>
    </format>
    <format dxfId="140">
      <pivotArea dataOnly="0" labelOnly="1" outline="0" fieldPosition="0">
        <references count="3">
          <reference field="0" count="1" selected="0">
            <x v="37"/>
          </reference>
          <reference field="1" count="1">
            <x v="54"/>
          </reference>
          <reference field="2" count="1" selected="0">
            <x v="37"/>
          </reference>
        </references>
      </pivotArea>
    </format>
    <format dxfId="139">
      <pivotArea dataOnly="0" labelOnly="1" outline="0" fieldPosition="0">
        <references count="3">
          <reference field="0" count="1" selected="0">
            <x v="38"/>
          </reference>
          <reference field="1" count="1">
            <x v="56"/>
          </reference>
          <reference field="2" count="1" selected="0">
            <x v="38"/>
          </reference>
        </references>
      </pivotArea>
    </format>
    <format dxfId="138">
      <pivotArea dataOnly="0" labelOnly="1" outline="0" fieldPosition="0">
        <references count="3">
          <reference field="0" count="1" selected="0">
            <x v="39"/>
          </reference>
          <reference field="1" count="1">
            <x v="34"/>
          </reference>
          <reference field="2" count="1" selected="0">
            <x v="39"/>
          </reference>
        </references>
      </pivotArea>
    </format>
    <format dxfId="137">
      <pivotArea dataOnly="0" labelOnly="1" outline="0" fieldPosition="0">
        <references count="3">
          <reference field="0" count="1" selected="0">
            <x v="40"/>
          </reference>
          <reference field="1" count="1">
            <x v="29"/>
          </reference>
          <reference field="2" count="1" selected="0">
            <x v="40"/>
          </reference>
        </references>
      </pivotArea>
    </format>
    <format dxfId="136">
      <pivotArea dataOnly="0" labelOnly="1" outline="0" fieldPosition="0">
        <references count="3">
          <reference field="0" count="1" selected="0">
            <x v="41"/>
          </reference>
          <reference field="1" count="1">
            <x v="30"/>
          </reference>
          <reference field="2" count="1" selected="0">
            <x v="41"/>
          </reference>
        </references>
      </pivotArea>
    </format>
    <format dxfId="135">
      <pivotArea dataOnly="0" labelOnly="1" outline="0" fieldPosition="0">
        <references count="3">
          <reference field="0" count="1" selected="0">
            <x v="42"/>
          </reference>
          <reference field="1" count="1">
            <x v="31"/>
          </reference>
          <reference field="2" count="1" selected="0">
            <x v="42"/>
          </reference>
        </references>
      </pivotArea>
    </format>
    <format dxfId="134">
      <pivotArea dataOnly="0" labelOnly="1" outline="0" fieldPosition="0">
        <references count="3">
          <reference field="0" count="1" selected="0">
            <x v="43"/>
          </reference>
          <reference field="1" count="1">
            <x v="20"/>
          </reference>
          <reference field="2" count="1" selected="0">
            <x v="43"/>
          </reference>
        </references>
      </pivotArea>
    </format>
    <format dxfId="133">
      <pivotArea dataOnly="0" labelOnly="1" outline="0" fieldPosition="0">
        <references count="3">
          <reference field="0" count="1" selected="0">
            <x v="44"/>
          </reference>
          <reference field="1" count="1">
            <x v="21"/>
          </reference>
          <reference field="2" count="1" selected="0">
            <x v="44"/>
          </reference>
        </references>
      </pivotArea>
    </format>
    <format dxfId="132">
      <pivotArea dataOnly="0" labelOnly="1" outline="0" fieldPosition="0">
        <references count="3">
          <reference field="0" count="1" selected="0">
            <x v="45"/>
          </reference>
          <reference field="1" count="1">
            <x v="22"/>
          </reference>
          <reference field="2" count="1" selected="0">
            <x v="45"/>
          </reference>
        </references>
      </pivotArea>
    </format>
    <format dxfId="131">
      <pivotArea dataOnly="0" labelOnly="1" outline="0" fieldPosition="0">
        <references count="3">
          <reference field="0" count="1" selected="0">
            <x v="46"/>
          </reference>
          <reference field="1" count="1">
            <x v="57"/>
          </reference>
          <reference field="2" count="1" selected="0">
            <x v="46"/>
          </reference>
        </references>
      </pivotArea>
    </format>
    <format dxfId="130">
      <pivotArea dataOnly="0" labelOnly="1" outline="0" fieldPosition="0">
        <references count="3">
          <reference field="0" count="1" selected="0">
            <x v="47"/>
          </reference>
          <reference field="1" count="1">
            <x v="17"/>
          </reference>
          <reference field="2" count="1" selected="0">
            <x v="47"/>
          </reference>
        </references>
      </pivotArea>
    </format>
    <format dxfId="129">
      <pivotArea dataOnly="0" labelOnly="1" outline="0" fieldPosition="0">
        <references count="3">
          <reference field="0" count="1" selected="0">
            <x v="48"/>
          </reference>
          <reference field="1" count="1">
            <x v="26"/>
          </reference>
          <reference field="2" count="1" selected="0">
            <x v="48"/>
          </reference>
        </references>
      </pivotArea>
    </format>
    <format dxfId="128">
      <pivotArea dataOnly="0" labelOnly="1" outline="0" fieldPosition="0">
        <references count="3">
          <reference field="0" count="1" selected="0">
            <x v="49"/>
          </reference>
          <reference field="1" count="1">
            <x v="0"/>
          </reference>
          <reference field="2" count="1" selected="0">
            <x v="49"/>
          </reference>
        </references>
      </pivotArea>
    </format>
    <format dxfId="127">
      <pivotArea dataOnly="0" labelOnly="1" outline="0" fieldPosition="0">
        <references count="3">
          <reference field="0" count="1" selected="0">
            <x v="50"/>
          </reference>
          <reference field="1" count="1">
            <x v="35"/>
          </reference>
          <reference field="2" count="1" selected="0">
            <x v="50"/>
          </reference>
        </references>
      </pivotArea>
    </format>
    <format dxfId="126">
      <pivotArea dataOnly="0" labelOnly="1" outline="0" fieldPosition="0">
        <references count="3">
          <reference field="0" count="1" selected="0">
            <x v="51"/>
          </reference>
          <reference field="1" count="1">
            <x v="15"/>
          </reference>
          <reference field="2" count="1" selected="0">
            <x v="51"/>
          </reference>
        </references>
      </pivotArea>
    </format>
    <format dxfId="125">
      <pivotArea dataOnly="0" labelOnly="1" outline="0" fieldPosition="0">
        <references count="3">
          <reference field="0" count="1" selected="0">
            <x v="52"/>
          </reference>
          <reference field="1" count="1">
            <x v="2"/>
          </reference>
          <reference field="2" count="1" selected="0">
            <x v="52"/>
          </reference>
        </references>
      </pivotArea>
    </format>
    <format dxfId="124">
      <pivotArea dataOnly="0" labelOnly="1" outline="0" fieldPosition="0">
        <references count="3">
          <reference field="0" count="1" selected="0">
            <x v="53"/>
          </reference>
          <reference field="1" count="1">
            <x v="1"/>
          </reference>
          <reference field="2" count="1" selected="0">
            <x v="53"/>
          </reference>
        </references>
      </pivotArea>
    </format>
    <format dxfId="123">
      <pivotArea dataOnly="0" labelOnly="1" outline="0" fieldPosition="0">
        <references count="3">
          <reference field="0" count="1" selected="0">
            <x v="54"/>
          </reference>
          <reference field="1" count="1">
            <x v="32"/>
          </reference>
          <reference field="2" count="1" selected="0">
            <x v="54"/>
          </reference>
        </references>
      </pivotArea>
    </format>
    <format dxfId="122">
      <pivotArea dataOnly="0" labelOnly="1" outline="0" fieldPosition="0">
        <references count="3">
          <reference field="0" count="1" selected="0">
            <x v="55"/>
          </reference>
          <reference field="1" count="1">
            <x v="19"/>
          </reference>
          <reference field="2" count="1" selected="0">
            <x v="55"/>
          </reference>
        </references>
      </pivotArea>
    </format>
    <format dxfId="121">
      <pivotArea dataOnly="0" labelOnly="1" outline="0" fieldPosition="0">
        <references count="3">
          <reference field="0" count="1" selected="0">
            <x v="56"/>
          </reference>
          <reference field="1" count="1">
            <x v="27"/>
          </reference>
          <reference field="2" count="1" selected="0">
            <x v="56"/>
          </reference>
        </references>
      </pivotArea>
    </format>
    <format dxfId="120">
      <pivotArea dataOnly="0" labelOnly="1" outline="0" fieldPosition="0">
        <references count="3">
          <reference field="0" count="1" selected="0">
            <x v="57"/>
          </reference>
          <reference field="1" count="1">
            <x v="23"/>
          </reference>
          <reference field="2" count="1" selected="0">
            <x v="57"/>
          </reference>
        </references>
      </pivotArea>
    </format>
    <format dxfId="119">
      <pivotArea dataOnly="0" labelOnly="1" outline="0" fieldPosition="0">
        <references count="3">
          <reference field="0" count="1" selected="0">
            <x v="58"/>
          </reference>
          <reference field="1" count="1">
            <x v="24"/>
          </reference>
          <reference field="2" count="1" selected="0">
            <x v="58"/>
          </reference>
        </references>
      </pivotArea>
    </format>
    <format dxfId="118">
      <pivotArea dataOnly="0" labelOnly="1" outline="0" fieldPosition="0">
        <references count="3">
          <reference field="0" count="1" selected="0">
            <x v="59"/>
          </reference>
          <reference field="1" count="1">
            <x v="38"/>
          </reference>
          <reference field="2" count="1" selected="0">
            <x v="59"/>
          </reference>
        </references>
      </pivotArea>
    </format>
    <format dxfId="11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1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1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1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1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1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0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0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0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0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0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0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0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0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0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0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9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9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9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9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9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9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9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9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9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9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8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8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8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8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8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8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8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8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7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7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7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7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7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7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7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7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7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7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7">
      <pivotArea dataOnly="0" outline="0" fieldPosition="0">
        <references count="1">
          <reference field="0" count="1">
            <x v="60"/>
          </reference>
        </references>
      </pivotArea>
    </format>
    <format dxfId="56">
      <pivotArea dataOnly="0" outline="0" fieldPosition="0">
        <references count="1">
          <reference field="0" count="1">
            <x v="60"/>
          </reference>
        </references>
      </pivotArea>
    </format>
    <format dxfId="55">
      <pivotArea type="all" dataOnly="0" outline="0" fieldPosition="0"/>
    </format>
    <format dxfId="54">
      <pivotArea type="all" dataOnly="0" outline="0" fieldPosition="0"/>
    </format>
    <format dxfId="53">
      <pivotArea type="all" dataOnly="0" outline="0" fieldPosition="0"/>
    </format>
    <format dxfId="52">
      <pivotArea dataOnly="0" labelOnly="1" outline="0" fieldPosition="0">
        <references count="1">
          <reference field="0" count="3">
            <x v="61"/>
            <x v="62"/>
            <x v="63"/>
          </reference>
        </references>
      </pivotArea>
    </format>
    <format dxfId="51">
      <pivotArea dataOnly="0" labelOnly="1" outline="0" fieldPosition="0">
        <references count="1">
          <reference field="0" count="3">
            <x v="0"/>
            <x v="1"/>
            <x v="2"/>
          </reference>
        </references>
      </pivotArea>
    </format>
    <format dxfId="50">
      <pivotArea dataOnly="0" labelOnly="1" outline="0" fieldPosition="0">
        <references count="2">
          <reference field="0" count="1" selected="0">
            <x v="0"/>
          </reference>
          <reference field="2" count="1">
            <x v="0"/>
          </reference>
        </references>
      </pivotArea>
    </format>
    <format dxfId="49">
      <pivotArea dataOnly="0" labelOnly="1" outline="0" fieldPosition="0">
        <references count="2">
          <reference field="0" count="1" selected="0">
            <x v="1"/>
          </reference>
          <reference field="2" count="1">
            <x v="1"/>
          </reference>
        </references>
      </pivotArea>
    </format>
    <format dxfId="48">
      <pivotArea dataOnly="0" labelOnly="1" outline="0" fieldPosition="0">
        <references count="2">
          <reference field="0" count="1" selected="0">
            <x v="2"/>
          </reference>
          <reference field="2" count="1">
            <x v="2"/>
          </reference>
        </references>
      </pivotArea>
    </format>
    <format dxfId="47">
      <pivotArea dataOnly="0" labelOnly="1" outline="0" fieldPosition="0">
        <references count="3">
          <reference field="0" count="1" selected="0">
            <x v="0"/>
          </reference>
          <reference field="1" count="1">
            <x v="6"/>
          </reference>
          <reference field="2" count="1" selected="0">
            <x v="0"/>
          </reference>
        </references>
      </pivotArea>
    </format>
    <format dxfId="46">
      <pivotArea dataOnly="0" labelOnly="1" outline="0" fieldPosition="0">
        <references count="3">
          <reference field="0" count="1" selected="0">
            <x v="1"/>
          </reference>
          <reference field="1" count="1">
            <x v="5"/>
          </reference>
          <reference field="2" count="1" selected="0">
            <x v="1"/>
          </reference>
        </references>
      </pivotArea>
    </format>
    <format dxfId="45">
      <pivotArea dataOnly="0" labelOnly="1" outline="0" fieldPosition="0">
        <references count="3">
          <reference field="0" count="1" selected="0">
            <x v="2"/>
          </reference>
          <reference field="1" count="1">
            <x v="7"/>
          </reference>
          <reference field="2" count="1" selected="0">
            <x v="2"/>
          </reference>
        </references>
      </pivotArea>
    </format>
    <format dxfId="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1">
      <pivotArea dataOnly="0" labelOnly="1" outline="0" fieldPosition="0">
        <references count="1">
          <reference field="1" count="0"/>
        </references>
      </pivotArea>
    </format>
    <format dxfId="40">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6"/>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6"/>
    <col min="12" max="16384" width="9.140625" style="14"/>
  </cols>
  <sheetData>
    <row r="1" spans="1:13" s="52" customFormat="1" ht="30" customHeight="1" x14ac:dyDescent="0.25">
      <c r="A1" s="129" t="s">
        <v>0</v>
      </c>
      <c r="B1" s="129" t="s">
        <v>17</v>
      </c>
      <c r="C1" s="129" t="s">
        <v>167</v>
      </c>
      <c r="D1" s="129" t="s">
        <v>16</v>
      </c>
      <c r="E1" s="129" t="s">
        <v>18</v>
      </c>
      <c r="F1" s="129" t="s">
        <v>19</v>
      </c>
      <c r="G1" s="129" t="s">
        <v>168</v>
      </c>
      <c r="H1" s="139" t="s">
        <v>169</v>
      </c>
      <c r="J1" s="52" t="s">
        <v>286</v>
      </c>
      <c r="K1" s="59">
        <v>28374</v>
      </c>
    </row>
    <row r="2" spans="1:13" s="128" customFormat="1" ht="24" customHeight="1" x14ac:dyDescent="0.25">
      <c r="A2" s="134"/>
      <c r="B2" s="130"/>
      <c r="C2" s="137">
        <v>8.6000000000000014</v>
      </c>
      <c r="D2" s="137">
        <v>36</v>
      </c>
      <c r="E2" s="137"/>
      <c r="F2" s="131">
        <v>1509.4</v>
      </c>
      <c r="G2" s="131">
        <v>0</v>
      </c>
      <c r="H2" s="131">
        <v>1509.4</v>
      </c>
      <c r="J2" s="52" t="s">
        <v>288</v>
      </c>
      <c r="K2" s="136"/>
      <c r="L2" s="15"/>
      <c r="M2" s="52"/>
    </row>
    <row r="3" spans="1:13" x14ac:dyDescent="0.25">
      <c r="A3" s="135">
        <v>1</v>
      </c>
      <c r="B3" s="132" t="s">
        <v>52</v>
      </c>
      <c r="C3" s="133">
        <v>0.5</v>
      </c>
      <c r="D3" s="133">
        <v>2</v>
      </c>
      <c r="E3" s="133">
        <v>45</v>
      </c>
      <c r="F3" s="138">
        <v>90</v>
      </c>
      <c r="G3" s="41">
        <v>0</v>
      </c>
      <c r="H3" s="138">
        <v>90</v>
      </c>
      <c r="J3" s="52" t="s">
        <v>289</v>
      </c>
      <c r="L3" s="136"/>
      <c r="M3" s="52"/>
    </row>
    <row r="4" spans="1:13" x14ac:dyDescent="0.25">
      <c r="A4" s="135">
        <v>2</v>
      </c>
      <c r="B4" s="132" t="s">
        <v>51</v>
      </c>
      <c r="C4" s="133">
        <v>0.5</v>
      </c>
      <c r="D4" s="133">
        <v>2</v>
      </c>
      <c r="E4" s="133">
        <v>54</v>
      </c>
      <c r="F4" s="138">
        <v>108</v>
      </c>
      <c r="G4" s="41">
        <v>0</v>
      </c>
      <c r="H4" s="138">
        <v>108</v>
      </c>
      <c r="J4" s="52" t="s">
        <v>290</v>
      </c>
      <c r="L4" s="136"/>
      <c r="M4" s="52"/>
    </row>
    <row r="5" spans="1:13" x14ac:dyDescent="0.25">
      <c r="A5" s="135">
        <v>3</v>
      </c>
      <c r="B5" s="132" t="s">
        <v>36</v>
      </c>
      <c r="C5" s="133">
        <v>0.5</v>
      </c>
      <c r="D5" s="133">
        <v>2</v>
      </c>
      <c r="E5" s="133">
        <v>55.5</v>
      </c>
      <c r="F5" s="138">
        <v>111</v>
      </c>
      <c r="G5" s="41">
        <v>0</v>
      </c>
      <c r="H5" s="138">
        <v>111</v>
      </c>
      <c r="J5" s="52" t="s">
        <v>291</v>
      </c>
      <c r="L5" s="136"/>
      <c r="M5" s="52"/>
    </row>
    <row r="6" spans="1:13" x14ac:dyDescent="0.25">
      <c r="A6" s="135">
        <v>4</v>
      </c>
      <c r="B6" s="132" t="s">
        <v>37</v>
      </c>
      <c r="C6" s="133">
        <v>0.5</v>
      </c>
      <c r="D6" s="133">
        <v>2</v>
      </c>
      <c r="E6" s="133">
        <v>55.5</v>
      </c>
      <c r="F6" s="138">
        <v>111</v>
      </c>
      <c r="G6" s="41">
        <v>0</v>
      </c>
      <c r="H6" s="138">
        <v>111</v>
      </c>
      <c r="J6" s="52" t="s">
        <v>292</v>
      </c>
      <c r="L6" s="136"/>
      <c r="M6" s="52"/>
    </row>
    <row r="7" spans="1:13" x14ac:dyDescent="0.25">
      <c r="A7" s="135">
        <v>5</v>
      </c>
      <c r="B7" s="132" t="s">
        <v>50</v>
      </c>
      <c r="C7" s="133">
        <v>1</v>
      </c>
      <c r="D7" s="133">
        <v>2</v>
      </c>
      <c r="E7" s="133">
        <v>102</v>
      </c>
      <c r="F7" s="138">
        <v>204</v>
      </c>
      <c r="G7" s="41">
        <v>0</v>
      </c>
      <c r="H7" s="138">
        <v>204</v>
      </c>
      <c r="J7" s="52" t="s">
        <v>293</v>
      </c>
      <c r="L7" s="136"/>
      <c r="M7" s="52"/>
    </row>
    <row r="8" spans="1:13" x14ac:dyDescent="0.25">
      <c r="A8" s="135">
        <v>6</v>
      </c>
      <c r="B8" s="132" t="s">
        <v>38</v>
      </c>
      <c r="C8" s="133">
        <v>0.5</v>
      </c>
      <c r="D8" s="133">
        <v>2</v>
      </c>
      <c r="E8" s="133">
        <v>26.5</v>
      </c>
      <c r="F8" s="138">
        <v>53</v>
      </c>
      <c r="G8" s="41">
        <v>0</v>
      </c>
      <c r="H8" s="138">
        <v>53</v>
      </c>
      <c r="J8" s="52" t="s">
        <v>294</v>
      </c>
      <c r="L8" s="136"/>
      <c r="M8" s="52"/>
    </row>
    <row r="9" spans="1:13" x14ac:dyDescent="0.25">
      <c r="A9" s="135">
        <v>7</v>
      </c>
      <c r="B9" s="132" t="s">
        <v>39</v>
      </c>
      <c r="C9" s="133">
        <v>0.2</v>
      </c>
      <c r="D9" s="133">
        <v>2</v>
      </c>
      <c r="E9" s="133">
        <v>11.2</v>
      </c>
      <c r="F9" s="138">
        <v>22.4</v>
      </c>
      <c r="G9" s="41">
        <v>0</v>
      </c>
      <c r="H9" s="138">
        <v>22.4</v>
      </c>
      <c r="J9" s="52" t="s">
        <v>295</v>
      </c>
      <c r="L9" s="136"/>
      <c r="M9" s="52"/>
    </row>
    <row r="10" spans="1:13" x14ac:dyDescent="0.25">
      <c r="A10" s="135">
        <v>8</v>
      </c>
      <c r="B10" s="132" t="s">
        <v>40</v>
      </c>
      <c r="C10" s="133">
        <v>0.5</v>
      </c>
      <c r="D10" s="133">
        <v>2</v>
      </c>
      <c r="E10" s="133">
        <v>28.5</v>
      </c>
      <c r="F10" s="138">
        <v>57</v>
      </c>
      <c r="G10" s="41">
        <v>0</v>
      </c>
      <c r="H10" s="138">
        <v>57</v>
      </c>
      <c r="J10" s="52" t="s">
        <v>296</v>
      </c>
      <c r="L10" s="136"/>
      <c r="M10" s="52"/>
    </row>
    <row r="11" spans="1:13" x14ac:dyDescent="0.25">
      <c r="A11" s="135">
        <v>9</v>
      </c>
      <c r="B11" s="132" t="s">
        <v>41</v>
      </c>
      <c r="C11" s="133">
        <v>0.2</v>
      </c>
      <c r="D11" s="133">
        <v>2</v>
      </c>
      <c r="E11" s="133">
        <v>12</v>
      </c>
      <c r="F11" s="138">
        <v>24</v>
      </c>
      <c r="G11" s="41">
        <v>0</v>
      </c>
      <c r="H11" s="138">
        <v>24</v>
      </c>
      <c r="J11" s="52" t="s">
        <v>297</v>
      </c>
      <c r="L11" s="136"/>
      <c r="M11" s="52"/>
    </row>
    <row r="12" spans="1:13" x14ac:dyDescent="0.25">
      <c r="A12" s="135">
        <v>10</v>
      </c>
      <c r="B12" s="132" t="s">
        <v>42</v>
      </c>
      <c r="C12" s="133">
        <v>0.5</v>
      </c>
      <c r="D12" s="133">
        <v>2</v>
      </c>
      <c r="E12" s="133">
        <v>28.5</v>
      </c>
      <c r="F12" s="138">
        <v>57</v>
      </c>
      <c r="G12" s="41">
        <v>0</v>
      </c>
      <c r="H12" s="138">
        <v>57</v>
      </c>
      <c r="J12" s="52" t="s">
        <v>298</v>
      </c>
      <c r="L12" s="136"/>
      <c r="M12" s="52"/>
    </row>
    <row r="13" spans="1:13" x14ac:dyDescent="0.25">
      <c r="A13" s="135">
        <v>11</v>
      </c>
      <c r="B13" s="132" t="s">
        <v>43</v>
      </c>
      <c r="C13" s="133">
        <v>0.2</v>
      </c>
      <c r="D13" s="133">
        <v>2</v>
      </c>
      <c r="E13" s="133">
        <v>12</v>
      </c>
      <c r="F13" s="138">
        <v>24</v>
      </c>
      <c r="G13" s="41">
        <v>0</v>
      </c>
      <c r="H13" s="138">
        <v>24</v>
      </c>
      <c r="L13" s="136"/>
      <c r="M13" s="52"/>
    </row>
    <row r="14" spans="1:13" x14ac:dyDescent="0.25">
      <c r="A14" s="135">
        <v>12</v>
      </c>
      <c r="B14" s="132" t="s">
        <v>67</v>
      </c>
      <c r="C14" s="133">
        <v>0.5</v>
      </c>
      <c r="D14" s="133">
        <v>2</v>
      </c>
      <c r="E14" s="133">
        <v>26.5</v>
      </c>
      <c r="F14" s="138">
        <v>53</v>
      </c>
      <c r="G14" s="41">
        <v>0</v>
      </c>
      <c r="H14" s="138">
        <v>53</v>
      </c>
      <c r="L14" s="136"/>
      <c r="M14" s="52"/>
    </row>
    <row r="15" spans="1:13" x14ac:dyDescent="0.25">
      <c r="A15" s="135">
        <v>13</v>
      </c>
      <c r="B15" s="132" t="s">
        <v>44</v>
      </c>
      <c r="C15" s="133">
        <v>0.5</v>
      </c>
      <c r="D15" s="133">
        <v>2</v>
      </c>
      <c r="E15" s="133">
        <v>36.5</v>
      </c>
      <c r="F15" s="138">
        <v>73</v>
      </c>
      <c r="G15" s="41">
        <v>0</v>
      </c>
      <c r="H15" s="138">
        <v>73</v>
      </c>
      <c r="L15" s="136"/>
      <c r="M15" s="52"/>
    </row>
    <row r="16" spans="1:13" x14ac:dyDescent="0.25">
      <c r="A16" s="135">
        <v>14</v>
      </c>
      <c r="B16" s="132" t="s">
        <v>48</v>
      </c>
      <c r="C16" s="133">
        <v>0.5</v>
      </c>
      <c r="D16" s="133">
        <v>2</v>
      </c>
      <c r="E16" s="133">
        <v>49</v>
      </c>
      <c r="F16" s="138">
        <v>98</v>
      </c>
      <c r="G16" s="41">
        <v>0</v>
      </c>
      <c r="H16" s="138">
        <v>98</v>
      </c>
      <c r="L16" s="136"/>
      <c r="M16" s="52"/>
    </row>
    <row r="17" spans="1:13" x14ac:dyDescent="0.25">
      <c r="A17" s="135">
        <v>15</v>
      </c>
      <c r="B17" s="132" t="s">
        <v>49</v>
      </c>
      <c r="C17" s="133">
        <v>0.5</v>
      </c>
      <c r="D17" s="133">
        <v>2</v>
      </c>
      <c r="E17" s="133">
        <v>43</v>
      </c>
      <c r="F17" s="138">
        <v>86</v>
      </c>
      <c r="G17" s="41">
        <v>0</v>
      </c>
      <c r="H17" s="138">
        <v>86</v>
      </c>
      <c r="L17" s="136"/>
      <c r="M17" s="52"/>
    </row>
    <row r="18" spans="1:13" x14ac:dyDescent="0.25">
      <c r="A18" s="135">
        <v>16</v>
      </c>
      <c r="B18" s="132" t="s">
        <v>45</v>
      </c>
      <c r="C18" s="133">
        <v>0.5</v>
      </c>
      <c r="D18" s="133">
        <v>2</v>
      </c>
      <c r="E18" s="133">
        <v>54</v>
      </c>
      <c r="F18" s="138">
        <v>108</v>
      </c>
      <c r="G18" s="41">
        <v>0</v>
      </c>
      <c r="H18" s="138">
        <v>108</v>
      </c>
      <c r="L18" s="136"/>
      <c r="M18" s="52"/>
    </row>
    <row r="19" spans="1:13" x14ac:dyDescent="0.25">
      <c r="A19" s="135">
        <v>17</v>
      </c>
      <c r="B19" s="132" t="s">
        <v>46</v>
      </c>
      <c r="C19" s="133">
        <v>0.5</v>
      </c>
      <c r="D19" s="133">
        <v>2</v>
      </c>
      <c r="E19" s="133">
        <v>49</v>
      </c>
      <c r="F19" s="138">
        <v>98</v>
      </c>
      <c r="G19" s="41">
        <v>0</v>
      </c>
      <c r="H19" s="138">
        <v>98</v>
      </c>
      <c r="L19" s="136"/>
      <c r="M19" s="52"/>
    </row>
    <row r="20" spans="1:13" x14ac:dyDescent="0.25">
      <c r="A20" s="135">
        <v>18</v>
      </c>
      <c r="B20" s="132" t="s">
        <v>47</v>
      </c>
      <c r="C20" s="133">
        <v>0.5</v>
      </c>
      <c r="D20" s="133">
        <v>2</v>
      </c>
      <c r="E20" s="133">
        <v>66</v>
      </c>
      <c r="F20" s="138">
        <v>132</v>
      </c>
      <c r="G20" s="41">
        <v>0</v>
      </c>
      <c r="H20" s="138">
        <v>132</v>
      </c>
      <c r="L20" s="136"/>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9" sqref="A9:XFD1048576"/>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7" width="10.85546875" style="88" bestFit="1"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4.28515625" style="88" bestFit="1" customWidth="1"/>
    <col min="17" max="17" width="10.85546875" style="88" customWidth="1"/>
    <col min="18" max="48" width="5.28515625" style="88" customWidth="1"/>
    <col min="49" max="49" width="9.140625" style="88"/>
    <col min="50" max="50" width="12" style="88" bestFit="1" customWidth="1"/>
    <col min="51" max="16384" width="9.140625" style="88"/>
  </cols>
  <sheetData>
    <row r="1" spans="1:50" hidden="1" x14ac:dyDescent="0.25">
      <c r="B1" s="221" t="s">
        <v>59</v>
      </c>
      <c r="C1" s="221"/>
      <c r="D1" s="221"/>
      <c r="E1" s="221"/>
      <c r="F1" s="221"/>
      <c r="G1" s="221"/>
      <c r="H1" s="221"/>
      <c r="I1" s="221"/>
      <c r="J1" s="221"/>
      <c r="K1" s="221"/>
      <c r="L1" s="221"/>
      <c r="M1" s="221"/>
      <c r="N1" s="174"/>
    </row>
    <row r="2" spans="1:50" ht="34.5" customHeight="1" x14ac:dyDescent="0.25">
      <c r="A2" s="1">
        <f>221+120+60+130-(165+219)+60+110+80+130-140</f>
        <v>387</v>
      </c>
      <c r="B2" s="198">
        <v>60</v>
      </c>
      <c r="H2" s="201">
        <f>H8</f>
        <v>5850</v>
      </c>
      <c r="K2" s="13">
        <f>SUMPRODUCT((E5:E7)*(F5:F7))</f>
        <v>253.75</v>
      </c>
      <c r="L2" s="13">
        <f>M4-K4</f>
        <v>2458</v>
      </c>
      <c r="M2" s="8">
        <f>M4/K4-1</f>
        <v>0.13516077148316685</v>
      </c>
      <c r="N2" s="8"/>
      <c r="AP2" s="126"/>
      <c r="AX2" s="170"/>
    </row>
    <row r="3" spans="1:50" ht="31.5" customHeight="1" x14ac:dyDescent="0.25">
      <c r="A3" s="78" t="s">
        <v>127</v>
      </c>
      <c r="B3" s="3" t="s">
        <v>0</v>
      </c>
      <c r="C3" s="3" t="s">
        <v>17</v>
      </c>
      <c r="D3" s="20" t="s">
        <v>62</v>
      </c>
      <c r="E3" s="178" t="s">
        <v>157</v>
      </c>
      <c r="F3" s="145" t="s">
        <v>156</v>
      </c>
      <c r="G3" s="4" t="s">
        <v>18</v>
      </c>
      <c r="H3" s="4" t="s">
        <v>19</v>
      </c>
      <c r="I3" s="9" t="s">
        <v>20</v>
      </c>
      <c r="J3" s="9" t="s">
        <v>21</v>
      </c>
      <c r="K3" s="9" t="s">
        <v>24</v>
      </c>
      <c r="L3" s="10" t="s">
        <v>22</v>
      </c>
      <c r="M3" s="11" t="s">
        <v>23</v>
      </c>
      <c r="N3" s="11" t="s">
        <v>122</v>
      </c>
      <c r="O3" s="35" t="s">
        <v>60</v>
      </c>
      <c r="P3" s="86" t="s">
        <v>146</v>
      </c>
      <c r="Q3" s="86" t="s">
        <v>286</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6742.0438786668074</v>
      </c>
      <c r="B4" s="19"/>
      <c r="C4" s="19"/>
      <c r="D4" s="66"/>
      <c r="E4" s="19">
        <f>SUMPRODUCT((E5:E8)*(F5:F8))</f>
        <v>283.75</v>
      </c>
      <c r="F4" s="19">
        <f>SUBTOTAL(9,F5:F8)</f>
        <v>313.75</v>
      </c>
      <c r="G4" s="7"/>
      <c r="H4" s="7">
        <f>SUBTOTAL(9,H5:H7)</f>
        <v>11888.75</v>
      </c>
      <c r="I4" s="12"/>
      <c r="J4" s="12"/>
      <c r="K4" s="12">
        <f>SUBTOTAL(9,K5:K8)</f>
        <v>18185.75</v>
      </c>
      <c r="L4" s="67"/>
      <c r="M4" s="7">
        <f>SUBTOTAL(9,M5:M8)</f>
        <v>20643.75</v>
      </c>
      <c r="N4" s="7">
        <f ca="1">SUBTOTAL(9,N5:N8)</f>
        <v>12764.999999999998</v>
      </c>
      <c r="O4" s="68">
        <f ca="1">SUBTOTAL(9,O5:O8)</f>
        <v>88.250000000000014</v>
      </c>
      <c r="P4" s="105">
        <f>SUBTOTAL(9,P5:P8)</f>
        <v>9.75</v>
      </c>
      <c r="Q4" s="105"/>
      <c r="R4" s="40">
        <f t="shared" ref="R4:AV4" ca="1" si="0">SUBTOTAL(9,R5:R8)</f>
        <v>0.5</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5">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8">
        <f>SUBTOTAL(9,AX5:AX8)</f>
        <v>0</v>
      </c>
    </row>
    <row r="5" spans="1:50" ht="35.25" customHeight="1" x14ac:dyDescent="0.25">
      <c r="A5" s="88">
        <f ca="1">J5*O5</f>
        <v>332.48167385133002</v>
      </c>
      <c r="B5" s="6">
        <v>1</v>
      </c>
      <c r="C5" s="90" t="s">
        <v>225</v>
      </c>
      <c r="D5" s="98">
        <v>46</v>
      </c>
      <c r="E5" s="91">
        <v>1</v>
      </c>
      <c r="F5" s="91">
        <f>30+15</f>
        <v>45</v>
      </c>
      <c r="G5" s="179">
        <v>46</v>
      </c>
      <c r="H5" s="180">
        <f t="shared" ref="H5:H6" si="1">G5*F5</f>
        <v>2070</v>
      </c>
      <c r="I5" s="181">
        <f>((H5/$H$4)*$A$2)/F5</f>
        <v>1.4973819787614342</v>
      </c>
      <c r="J5" s="181">
        <f t="shared" ref="J5:J7" si="2">G5+I5</f>
        <v>47.497381978761432</v>
      </c>
      <c r="K5" s="95">
        <f>J5*F5</f>
        <v>2137.3821890442646</v>
      </c>
      <c r="L5" s="99">
        <v>60</v>
      </c>
      <c r="M5" s="93">
        <f t="shared" ref="M5:M7" si="3">L5*F5</f>
        <v>2700</v>
      </c>
      <c r="N5" s="93">
        <f ca="1">SUMPRODUCT(($Q5:$AV5)*$L5)</f>
        <v>2280</v>
      </c>
      <c r="O5" s="176">
        <f ca="1">F5-SUM(Q5:AV5)-P5</f>
        <v>7</v>
      </c>
      <c r="P5" s="206">
        <v>0</v>
      </c>
      <c r="Q5" s="213">
        <v>38</v>
      </c>
      <c r="R5" s="6">
        <f ca="1">SUMIFS('Tổng Đơn'!$F:$F,'Tổng Đơn'!$B:$B,$C5)</f>
        <v>0</v>
      </c>
      <c r="S5" s="6">
        <v>0</v>
      </c>
      <c r="T5" s="6">
        <v>0</v>
      </c>
      <c r="U5" s="6">
        <v>0</v>
      </c>
      <c r="V5" s="6">
        <v>0</v>
      </c>
      <c r="W5" s="6">
        <v>0</v>
      </c>
      <c r="X5" s="6">
        <v>0</v>
      </c>
      <c r="Y5" s="6">
        <v>0</v>
      </c>
      <c r="Z5" s="6">
        <v>0</v>
      </c>
      <c r="AA5" s="6">
        <v>0</v>
      </c>
      <c r="AB5" s="6">
        <v>0</v>
      </c>
      <c r="AC5" s="6">
        <v>0</v>
      </c>
      <c r="AD5" s="6">
        <v>0</v>
      </c>
      <c r="AE5" s="6">
        <v>0</v>
      </c>
      <c r="AF5" s="6">
        <v>0</v>
      </c>
      <c r="AG5" s="6">
        <v>0</v>
      </c>
      <c r="AH5" s="6">
        <v>0</v>
      </c>
      <c r="AI5" s="6">
        <v>0</v>
      </c>
      <c r="AJ5" s="6">
        <v>0</v>
      </c>
      <c r="AK5" s="6">
        <v>0</v>
      </c>
      <c r="AL5" s="6">
        <v>0</v>
      </c>
      <c r="AM5" s="6">
        <v>0</v>
      </c>
      <c r="AN5" s="6">
        <v>0</v>
      </c>
      <c r="AO5" s="6">
        <v>0</v>
      </c>
      <c r="AP5" s="6">
        <v>0</v>
      </c>
      <c r="AQ5" s="6">
        <v>0</v>
      </c>
      <c r="AR5" s="6">
        <v>0</v>
      </c>
      <c r="AS5" s="6">
        <v>0</v>
      </c>
      <c r="AT5" s="6">
        <v>0</v>
      </c>
      <c r="AU5" s="6">
        <v>0</v>
      </c>
      <c r="AV5" s="6">
        <v>0</v>
      </c>
      <c r="AX5" s="88">
        <f>AW5*G5</f>
        <v>0</v>
      </c>
    </row>
    <row r="6" spans="1:50" ht="35.25" customHeight="1" x14ac:dyDescent="0.25">
      <c r="A6" s="88">
        <f t="shared" ref="A6:A8" ca="1" si="4">J6*O6</f>
        <v>1076.1770949426993</v>
      </c>
      <c r="B6" s="6">
        <v>2</v>
      </c>
      <c r="C6" s="90" t="s">
        <v>226</v>
      </c>
      <c r="D6" s="98">
        <v>55</v>
      </c>
      <c r="E6" s="91">
        <v>1</v>
      </c>
      <c r="F6" s="91">
        <f>30+30+30</f>
        <v>90</v>
      </c>
      <c r="G6" s="179">
        <v>55</v>
      </c>
      <c r="H6" s="180">
        <f t="shared" si="1"/>
        <v>4950</v>
      </c>
      <c r="I6" s="181">
        <f t="shared" ref="I6:I7" si="5">((H6/$H$4)*$A$2)/F6</f>
        <v>1.7903480180843234</v>
      </c>
      <c r="J6" s="181">
        <f t="shared" si="2"/>
        <v>56.790348018084323</v>
      </c>
      <c r="K6" s="95">
        <f t="shared" ref="K6:K7" si="6">J6*F6</f>
        <v>5111.1313216275894</v>
      </c>
      <c r="L6" s="99">
        <v>70</v>
      </c>
      <c r="M6" s="93">
        <f t="shared" si="3"/>
        <v>6300</v>
      </c>
      <c r="N6" s="93">
        <f t="shared" ref="N6:N8" ca="1" si="7">SUMPRODUCT(($Q6:$AV6)*$L6)</f>
        <v>4945.4999999999982</v>
      </c>
      <c r="O6" s="176">
        <f t="shared" ref="O6:O8" ca="1" si="8">F6-SUM(Q6:AV6)-P6</f>
        <v>18.950000000000024</v>
      </c>
      <c r="P6" s="206">
        <v>0.4</v>
      </c>
      <c r="Q6" s="213">
        <v>70.649999999999977</v>
      </c>
      <c r="R6" s="6">
        <f ca="1">SUMIFS('Tổng Đơn'!$F:$F,'Tổng Đơn'!$B:$B,$C6)</f>
        <v>0</v>
      </c>
      <c r="S6" s="6">
        <v>0</v>
      </c>
      <c r="T6" s="6">
        <v>0</v>
      </c>
      <c r="U6" s="6">
        <v>0</v>
      </c>
      <c r="V6" s="6">
        <v>0</v>
      </c>
      <c r="W6" s="6">
        <v>0</v>
      </c>
      <c r="X6" s="6">
        <v>0</v>
      </c>
      <c r="Y6" s="6">
        <v>0</v>
      </c>
      <c r="Z6" s="6">
        <v>0</v>
      </c>
      <c r="AA6" s="6">
        <v>0</v>
      </c>
      <c r="AB6" s="6">
        <v>0</v>
      </c>
      <c r="AC6" s="6">
        <v>0</v>
      </c>
      <c r="AD6" s="6">
        <v>0</v>
      </c>
      <c r="AE6" s="6">
        <v>0</v>
      </c>
      <c r="AF6" s="6">
        <v>0</v>
      </c>
      <c r="AG6" s="6">
        <v>0</v>
      </c>
      <c r="AH6" s="6">
        <v>0</v>
      </c>
      <c r="AI6" s="6">
        <v>0</v>
      </c>
      <c r="AJ6" s="6">
        <v>0</v>
      </c>
      <c r="AK6" s="6">
        <v>0</v>
      </c>
      <c r="AL6" s="6">
        <v>0</v>
      </c>
      <c r="AM6" s="6">
        <v>0</v>
      </c>
      <c r="AN6" s="6">
        <v>0</v>
      </c>
      <c r="AO6" s="6">
        <v>0</v>
      </c>
      <c r="AP6" s="6">
        <v>0</v>
      </c>
      <c r="AQ6" s="6">
        <v>0</v>
      </c>
      <c r="AR6" s="6">
        <v>0</v>
      </c>
      <c r="AS6" s="6">
        <v>0</v>
      </c>
      <c r="AT6" s="6">
        <v>0</v>
      </c>
      <c r="AU6" s="6">
        <v>0</v>
      </c>
      <c r="AV6" s="6">
        <v>0</v>
      </c>
      <c r="AX6" s="88">
        <f>AW6*G6*0.95</f>
        <v>0</v>
      </c>
    </row>
    <row r="7" spans="1:50" ht="35.25" customHeight="1" x14ac:dyDescent="0.25">
      <c r="A7" s="88">
        <f t="shared" ca="1" si="4"/>
        <v>605.38510987277857</v>
      </c>
      <c r="B7" s="6">
        <v>3</v>
      </c>
      <c r="C7" s="90" t="s">
        <v>227</v>
      </c>
      <c r="D7" s="98">
        <v>41</v>
      </c>
      <c r="E7" s="91">
        <v>1</v>
      </c>
      <c r="F7" s="91">
        <f>28.75+30+30+30</f>
        <v>118.75</v>
      </c>
      <c r="G7" s="179">
        <v>41</v>
      </c>
      <c r="H7" s="180">
        <f>G7*F7</f>
        <v>4868.75</v>
      </c>
      <c r="I7" s="181">
        <f t="shared" si="5"/>
        <v>1.3346230680264957</v>
      </c>
      <c r="J7" s="181">
        <f t="shared" si="2"/>
        <v>42.334623068026495</v>
      </c>
      <c r="K7" s="95">
        <f t="shared" si="6"/>
        <v>5027.2364893281465</v>
      </c>
      <c r="L7" s="99">
        <v>45</v>
      </c>
      <c r="M7" s="93">
        <f t="shared" si="3"/>
        <v>5343.75</v>
      </c>
      <c r="N7" s="93">
        <f t="shared" ca="1" si="7"/>
        <v>4279.5</v>
      </c>
      <c r="O7" s="176">
        <f t="shared" ca="1" si="8"/>
        <v>14.299999999999992</v>
      </c>
      <c r="P7" s="206">
        <v>9.35</v>
      </c>
      <c r="Q7" s="213">
        <v>95.100000000000009</v>
      </c>
      <c r="R7" s="6">
        <f ca="1">SUMIFS('Tổng Đơn'!$F:$F,'Tổng Đơn'!$B:$B,$C7)</f>
        <v>0</v>
      </c>
      <c r="S7" s="6">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c r="AX7" s="88">
        <f>AW7*G7</f>
        <v>0</v>
      </c>
    </row>
    <row r="8" spans="1:50" ht="35.25" customHeight="1" x14ac:dyDescent="0.25">
      <c r="A8" s="88">
        <f t="shared" ca="1" si="4"/>
        <v>4728</v>
      </c>
      <c r="B8" s="6">
        <v>4</v>
      </c>
      <c r="C8" s="90" t="s">
        <v>265</v>
      </c>
      <c r="D8" s="98">
        <v>195</v>
      </c>
      <c r="E8" s="91">
        <v>0.5</v>
      </c>
      <c r="F8" s="91">
        <v>60</v>
      </c>
      <c r="G8" s="179">
        <f>D8/(1/E8)</f>
        <v>97.5</v>
      </c>
      <c r="H8" s="180">
        <f>G8*F8</f>
        <v>5850</v>
      </c>
      <c r="I8" s="181">
        <f>((H8/$H$2)*$B$2)/F8</f>
        <v>1</v>
      </c>
      <c r="J8" s="181">
        <f>G8+I8</f>
        <v>98.5</v>
      </c>
      <c r="K8" s="95">
        <f>J8*F8</f>
        <v>5910</v>
      </c>
      <c r="L8" s="99">
        <v>105</v>
      </c>
      <c r="M8" s="93">
        <f>L8*F8</f>
        <v>6300</v>
      </c>
      <c r="N8" s="93">
        <f t="shared" ca="1" si="7"/>
        <v>1260</v>
      </c>
      <c r="O8" s="176">
        <f t="shared" ca="1" si="8"/>
        <v>48</v>
      </c>
      <c r="P8" s="206">
        <v>0</v>
      </c>
      <c r="Q8" s="213">
        <v>11.5</v>
      </c>
      <c r="R8" s="6">
        <f ca="1">SUMIFS('Tổng Đơn'!$F:$F,'Tổng Đơn'!$B:$B,$C8)</f>
        <v>0.5</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30" priority="10">
      <formula>($O6/$O6)&lt;=1/4</formula>
    </cfRule>
  </conditionalFormatting>
  <conditionalFormatting sqref="C5:C7">
    <cfRule type="expression" dxfId="529" priority="11">
      <formula>($O5/$F5)&lt;=1/4</formula>
    </cfRule>
  </conditionalFormatting>
  <conditionalFormatting sqref="C8">
    <cfRule type="expression" dxfId="528" priority="1">
      <formula>($O8/$O8)&lt;=1/4</formula>
    </cfRule>
  </conditionalFormatting>
  <conditionalFormatting sqref="C8">
    <cfRule type="expression" dxfId="527"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25" sqref="A25:XFD1048576"/>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0.85546875" style="88" bestFit="1"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6" width="12.5703125" style="88" customWidth="1"/>
    <col min="17" max="17" width="11.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1" t="s">
        <v>59</v>
      </c>
      <c r="C1" s="221"/>
      <c r="D1" s="221"/>
      <c r="E1" s="221"/>
      <c r="F1" s="221"/>
      <c r="G1" s="221"/>
      <c r="H1" s="221"/>
      <c r="I1" s="221"/>
      <c r="J1" s="221"/>
      <c r="K1" s="221"/>
      <c r="L1" s="221"/>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0" t="s">
        <v>157</v>
      </c>
      <c r="E3" s="144" t="s">
        <v>156</v>
      </c>
      <c r="F3" s="4" t="s">
        <v>18</v>
      </c>
      <c r="G3" s="4" t="s">
        <v>19</v>
      </c>
      <c r="H3" s="9" t="s">
        <v>20</v>
      </c>
      <c r="I3" s="9" t="s">
        <v>21</v>
      </c>
      <c r="J3" s="9" t="s">
        <v>24</v>
      </c>
      <c r="K3" s="62" t="s">
        <v>22</v>
      </c>
      <c r="L3" s="11" t="s">
        <v>23</v>
      </c>
      <c r="M3" s="11" t="s">
        <v>122</v>
      </c>
      <c r="N3" s="35" t="s">
        <v>60</v>
      </c>
      <c r="O3" s="86" t="s">
        <v>185</v>
      </c>
      <c r="P3" s="86" t="s">
        <v>146</v>
      </c>
      <c r="Q3" s="86" t="s">
        <v>286</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7"/>
    </row>
    <row r="4" spans="1:50" s="65" customFormat="1" ht="27" customHeight="1" x14ac:dyDescent="0.25">
      <c r="A4" s="74">
        <f ca="1">SUBTOTAL(9,A5:A24)</f>
        <v>16523.701103122228</v>
      </c>
      <c r="B4" s="19"/>
      <c r="C4" s="19"/>
      <c r="D4" s="19">
        <f>SUMPRODUCT((D5:D24)*(E5:E24))</f>
        <v>506.5</v>
      </c>
      <c r="E4" s="19">
        <f>SUBTOTAL(9,E5:E24)</f>
        <v>1126</v>
      </c>
      <c r="F4" s="7"/>
      <c r="G4" s="7">
        <f>SUBTOTAL(9,G5:G24)</f>
        <v>45688.5</v>
      </c>
      <c r="H4" s="12"/>
      <c r="I4" s="12"/>
      <c r="J4" s="12">
        <f>SUBTOTAL(9,J5:J24)</f>
        <v>45898.5</v>
      </c>
      <c r="K4" s="106"/>
      <c r="L4" s="7">
        <f>SUBTOTAL(9,L5:L24)</f>
        <v>54870</v>
      </c>
      <c r="M4" s="7">
        <f ca="1">SUBTOTAL(9,M5:M24)</f>
        <v>35677</v>
      </c>
      <c r="N4" s="39">
        <f ca="1">SUBTOTAL(9,N5:N24)</f>
        <v>483</v>
      </c>
      <c r="O4" s="105"/>
      <c r="P4" s="105">
        <f t="shared" ref="P4:AV4" si="0">SUBTOTAL(9,P5:P24)</f>
        <v>7</v>
      </c>
      <c r="Q4" s="105">
        <f t="shared" si="0"/>
        <v>647</v>
      </c>
      <c r="R4" s="40">
        <f t="shared" ca="1" si="0"/>
        <v>4</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8">
        <f t="shared" ref="A5:A24" ca="1" si="1">I5*N5</f>
        <v>0</v>
      </c>
      <c r="B5" s="6">
        <v>1</v>
      </c>
      <c r="C5" s="90" t="s">
        <v>52</v>
      </c>
      <c r="D5" s="91">
        <v>0.5</v>
      </c>
      <c r="E5" s="24">
        <v>16</v>
      </c>
      <c r="F5" s="92">
        <v>45</v>
      </c>
      <c r="G5" s="93">
        <f t="shared" ref="G5:G19" si="2">F5*E5</f>
        <v>720</v>
      </c>
      <c r="H5" s="94">
        <f t="shared" ref="H5:H24" si="3">((G5/$G$4)*$A$2)/E5</f>
        <v>0.20683541810302375</v>
      </c>
      <c r="I5" s="177">
        <f t="shared" ref="I5:I19" si="4">F5+H5</f>
        <v>45.206835418103026</v>
      </c>
      <c r="J5" s="95">
        <f>I5*E5</f>
        <v>723.30936668964841</v>
      </c>
      <c r="K5" s="96">
        <v>54</v>
      </c>
      <c r="L5" s="93">
        <f t="shared" ref="L5" si="5">K5*E5</f>
        <v>864</v>
      </c>
      <c r="M5" s="93">
        <f t="shared" ref="M5:M24" ca="1" si="6">SUMPRODUCT($K5*($Q5:$AV5))</f>
        <v>972</v>
      </c>
      <c r="N5" s="97">
        <f t="shared" ref="N5:N24" ca="1" si="7">E5-SUM(Q5:AV5)-P5-O5</f>
        <v>0</v>
      </c>
      <c r="O5" s="87">
        <v>-2</v>
      </c>
      <c r="P5" s="87"/>
      <c r="Q5" s="214">
        <v>18</v>
      </c>
      <c r="R5" s="41">
        <f ca="1">SUMIFS('Tổng Đơn'!$F:$F,'Tổng Đơn'!$B:$B,$C5)</f>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8">
        <f t="shared" ref="AX5:AX24" si="8">AW5*F5</f>
        <v>0</v>
      </c>
    </row>
    <row r="6" spans="1:50" ht="18.75" x14ac:dyDescent="0.25">
      <c r="A6" s="88">
        <f t="shared" ca="1" si="1"/>
        <v>1247.7086575396434</v>
      </c>
      <c r="B6" s="6">
        <v>2</v>
      </c>
      <c r="C6" s="90" t="s">
        <v>51</v>
      </c>
      <c r="D6" s="91">
        <v>0.5</v>
      </c>
      <c r="E6" s="24">
        <v>76</v>
      </c>
      <c r="F6" s="92">
        <v>54</v>
      </c>
      <c r="G6" s="93">
        <f t="shared" si="2"/>
        <v>4104</v>
      </c>
      <c r="H6" s="94">
        <f t="shared" si="3"/>
        <v>0.24820250172362848</v>
      </c>
      <c r="I6" s="177">
        <f t="shared" si="4"/>
        <v>54.248202501723625</v>
      </c>
      <c r="J6" s="95">
        <f>I6*E6</f>
        <v>4122.8633901309959</v>
      </c>
      <c r="K6" s="96">
        <v>65</v>
      </c>
      <c r="L6" s="93">
        <f t="shared" ref="L6:L24" si="9">K6*E6</f>
        <v>4940</v>
      </c>
      <c r="M6" s="93">
        <f t="shared" ca="1" si="6"/>
        <v>3575</v>
      </c>
      <c r="N6" s="97">
        <f t="shared" ca="1" si="7"/>
        <v>23</v>
      </c>
      <c r="O6" s="87">
        <v>-2</v>
      </c>
      <c r="P6" s="87"/>
      <c r="Q6" s="214">
        <v>54</v>
      </c>
      <c r="R6" s="41">
        <f ca="1">SUMIFS('Tổng Đơn'!$F:$F,'Tổng Đơn'!$B:$B,$C6)</f>
        <v>1</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8">
        <f t="shared" si="8"/>
        <v>0</v>
      </c>
    </row>
    <row r="7" spans="1:50" ht="18.75" x14ac:dyDescent="0.25">
      <c r="A7" s="88">
        <f t="shared" ca="1" si="1"/>
        <v>0</v>
      </c>
      <c r="B7" s="6">
        <v>3</v>
      </c>
      <c r="C7" s="90" t="s">
        <v>36</v>
      </c>
      <c r="D7" s="91">
        <v>0.5</v>
      </c>
      <c r="E7" s="24">
        <v>6</v>
      </c>
      <c r="F7" s="92">
        <v>55.5</v>
      </c>
      <c r="G7" s="93">
        <f t="shared" si="2"/>
        <v>333</v>
      </c>
      <c r="H7" s="94">
        <f t="shared" si="3"/>
        <v>0.25509701566039594</v>
      </c>
      <c r="I7" s="177">
        <f t="shared" si="4"/>
        <v>55.755097015660397</v>
      </c>
      <c r="J7" s="95">
        <f t="shared" ref="J7:J19" si="10">I7*E7</f>
        <v>334.53058209396238</v>
      </c>
      <c r="K7" s="96">
        <v>66</v>
      </c>
      <c r="L7" s="93">
        <f t="shared" si="9"/>
        <v>396</v>
      </c>
      <c r="M7" s="93">
        <f t="shared" ca="1" si="6"/>
        <v>528</v>
      </c>
      <c r="N7" s="97">
        <f t="shared" ca="1" si="7"/>
        <v>0</v>
      </c>
      <c r="O7" s="87">
        <v>-2</v>
      </c>
      <c r="P7" s="87"/>
      <c r="Q7" s="214">
        <v>8</v>
      </c>
      <c r="R7" s="41">
        <f ca="1">SUMIFS('Tổng Đơn'!$F:$F,'Tổng Đơn'!$B:$B,$C7)</f>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8">
        <f t="shared" si="8"/>
        <v>0</v>
      </c>
    </row>
    <row r="8" spans="1:50" ht="18.75" x14ac:dyDescent="0.25">
      <c r="A8" s="88">
        <f t="shared" ca="1" si="1"/>
        <v>1170.8570373288683</v>
      </c>
      <c r="B8" s="6">
        <v>4</v>
      </c>
      <c r="C8" s="90" t="s">
        <v>37</v>
      </c>
      <c r="D8" s="91">
        <v>0.5</v>
      </c>
      <c r="E8" s="24">
        <v>80</v>
      </c>
      <c r="F8" s="92">
        <v>55.5</v>
      </c>
      <c r="G8" s="93">
        <f t="shared" si="2"/>
        <v>4440</v>
      </c>
      <c r="H8" s="94">
        <f t="shared" si="3"/>
        <v>0.25509701566039594</v>
      </c>
      <c r="I8" s="177">
        <f t="shared" si="4"/>
        <v>55.755097015660397</v>
      </c>
      <c r="J8" s="95">
        <f t="shared" si="10"/>
        <v>4460.4077612528317</v>
      </c>
      <c r="K8" s="96">
        <v>66</v>
      </c>
      <c r="L8" s="93">
        <f t="shared" si="9"/>
        <v>5280</v>
      </c>
      <c r="M8" s="93">
        <f t="shared" ca="1" si="6"/>
        <v>4026</v>
      </c>
      <c r="N8" s="97">
        <f t="shared" ca="1" si="7"/>
        <v>21</v>
      </c>
      <c r="O8" s="87">
        <v>-2</v>
      </c>
      <c r="P8" s="87"/>
      <c r="Q8" s="214">
        <v>60</v>
      </c>
      <c r="R8" s="41">
        <f ca="1">SUMIFS('Tổng Đơn'!$F:$F,'Tổng Đơn'!$B:$B,$C8)</f>
        <v>1</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8">
        <f t="shared" si="8"/>
        <v>0</v>
      </c>
    </row>
    <row r="9" spans="1:50" ht="18.75" x14ac:dyDescent="0.25">
      <c r="A9" s="88">
        <f t="shared" ca="1" si="1"/>
        <v>0</v>
      </c>
      <c r="B9" s="6">
        <v>5</v>
      </c>
      <c r="C9" s="90" t="s">
        <v>50</v>
      </c>
      <c r="D9" s="91">
        <v>1</v>
      </c>
      <c r="E9" s="24">
        <v>4</v>
      </c>
      <c r="F9" s="92">
        <v>102</v>
      </c>
      <c r="G9" s="93">
        <f t="shared" si="2"/>
        <v>408</v>
      </c>
      <c r="H9" s="94">
        <f t="shared" si="3"/>
        <v>0.46882694770018718</v>
      </c>
      <c r="I9" s="177">
        <f t="shared" si="4"/>
        <v>102.46882694770019</v>
      </c>
      <c r="J9" s="95">
        <f>I9*E9</f>
        <v>409.87530779080078</v>
      </c>
      <c r="K9" s="96">
        <v>122</v>
      </c>
      <c r="L9" s="93">
        <f t="shared" si="9"/>
        <v>488</v>
      </c>
      <c r="M9" s="93">
        <f t="shared" ca="1" si="6"/>
        <v>366</v>
      </c>
      <c r="N9" s="97">
        <f t="shared" ca="1" si="7"/>
        <v>0</v>
      </c>
      <c r="O9" s="87">
        <v>-2</v>
      </c>
      <c r="P9" s="87">
        <v>3</v>
      </c>
      <c r="Q9" s="214">
        <v>3</v>
      </c>
      <c r="R9" s="41">
        <f ca="1">SUMIFS('Tổng Đơn'!$F:$F,'Tổng Đơn'!$B:$B,$C9)</f>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8">
        <f t="shared" si="8"/>
        <v>0</v>
      </c>
    </row>
    <row r="10" spans="1:50" ht="18.75" x14ac:dyDescent="0.25">
      <c r="A10" s="88">
        <f t="shared" ca="1" si="1"/>
        <v>585.67966775009029</v>
      </c>
      <c r="B10" s="6">
        <v>6</v>
      </c>
      <c r="C10" s="90" t="s">
        <v>38</v>
      </c>
      <c r="D10" s="91">
        <v>0.5</v>
      </c>
      <c r="E10" s="24">
        <v>80</v>
      </c>
      <c r="F10" s="92">
        <v>26.5</v>
      </c>
      <c r="G10" s="93">
        <f t="shared" si="2"/>
        <v>2120</v>
      </c>
      <c r="H10" s="94">
        <f t="shared" si="3"/>
        <v>0.12180307954955842</v>
      </c>
      <c r="I10" s="177">
        <f t="shared" si="4"/>
        <v>26.621803079549558</v>
      </c>
      <c r="J10" s="95">
        <f t="shared" si="10"/>
        <v>2129.7442463639645</v>
      </c>
      <c r="K10" s="96">
        <v>32</v>
      </c>
      <c r="L10" s="93">
        <f t="shared" si="9"/>
        <v>2560</v>
      </c>
      <c r="M10" s="93">
        <f t="shared" ca="1" si="6"/>
        <v>1856</v>
      </c>
      <c r="N10" s="97">
        <f t="shared" ca="1" si="7"/>
        <v>22</v>
      </c>
      <c r="O10" s="87">
        <v>0</v>
      </c>
      <c r="P10" s="87"/>
      <c r="Q10" s="214">
        <v>58</v>
      </c>
      <c r="R10" s="41">
        <f ca="1">SUMIFS('Tổng Đơn'!$F:$F,'Tổng Đơn'!$B:$B,$C10)</f>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8">
        <f t="shared" si="8"/>
        <v>0</v>
      </c>
    </row>
    <row r="11" spans="1:50" ht="18.75" x14ac:dyDescent="0.25">
      <c r="A11" s="88">
        <f t="shared" ca="1" si="1"/>
        <v>652.5857841688827</v>
      </c>
      <c r="B11" s="6">
        <v>7</v>
      </c>
      <c r="C11" s="90" t="s">
        <v>39</v>
      </c>
      <c r="D11" s="91">
        <v>0.2</v>
      </c>
      <c r="E11" s="24">
        <v>90</v>
      </c>
      <c r="F11" s="92">
        <v>11.2</v>
      </c>
      <c r="G11" s="93">
        <f t="shared" si="2"/>
        <v>1007.9999999999999</v>
      </c>
      <c r="H11" s="94">
        <f t="shared" si="3"/>
        <v>5.1479037394530351E-2</v>
      </c>
      <c r="I11" s="177">
        <f t="shared" si="4"/>
        <v>11.25147903739453</v>
      </c>
      <c r="J11" s="95">
        <f t="shared" si="10"/>
        <v>1012.6331133655077</v>
      </c>
      <c r="K11" s="96">
        <v>14</v>
      </c>
      <c r="L11" s="93">
        <f t="shared" si="9"/>
        <v>1260</v>
      </c>
      <c r="M11" s="93">
        <f t="shared" ca="1" si="6"/>
        <v>420</v>
      </c>
      <c r="N11" s="97">
        <f t="shared" ca="1" si="7"/>
        <v>58</v>
      </c>
      <c r="O11" s="87">
        <v>0</v>
      </c>
      <c r="P11" s="87">
        <v>2</v>
      </c>
      <c r="Q11" s="214">
        <v>29</v>
      </c>
      <c r="R11" s="41">
        <f ca="1">SUMIFS('Tổng Đơn'!$F:$F,'Tổng Đơn'!$B:$B,$C11)</f>
        <v>1</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8">
        <f t="shared" si="8"/>
        <v>0</v>
      </c>
    </row>
    <row r="12" spans="1:50" ht="18.75" x14ac:dyDescent="0.25">
      <c r="A12" s="88">
        <f t="shared" ca="1" si="1"/>
        <v>1030.715847532749</v>
      </c>
      <c r="B12" s="6">
        <v>8</v>
      </c>
      <c r="C12" s="90" t="s">
        <v>40</v>
      </c>
      <c r="D12" s="91">
        <v>0.5</v>
      </c>
      <c r="E12" s="24">
        <v>56</v>
      </c>
      <c r="F12" s="92">
        <v>28.5</v>
      </c>
      <c r="G12" s="93">
        <f t="shared" si="2"/>
        <v>1596</v>
      </c>
      <c r="H12" s="94">
        <f t="shared" si="3"/>
        <v>0.13099576479858169</v>
      </c>
      <c r="I12" s="177">
        <f t="shared" si="4"/>
        <v>28.63099576479858</v>
      </c>
      <c r="J12" s="95">
        <f t="shared" si="10"/>
        <v>1603.3357628287206</v>
      </c>
      <c r="K12" s="96">
        <v>35</v>
      </c>
      <c r="L12" s="93">
        <f t="shared" si="9"/>
        <v>1960</v>
      </c>
      <c r="M12" s="93">
        <f t="shared" ca="1" si="6"/>
        <v>700</v>
      </c>
      <c r="N12" s="97">
        <f t="shared" ca="1" si="7"/>
        <v>36</v>
      </c>
      <c r="O12" s="87">
        <v>0</v>
      </c>
      <c r="P12" s="87"/>
      <c r="Q12" s="214">
        <v>20</v>
      </c>
      <c r="R12" s="41">
        <f ca="1">SUMIFS('Tổng Đơn'!$F:$F,'Tổng Đơn'!$B:$B,$C12)</f>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8">
        <f t="shared" si="8"/>
        <v>0</v>
      </c>
    </row>
    <row r="13" spans="1:50" ht="18.75" x14ac:dyDescent="0.25">
      <c r="A13" s="88">
        <f t="shared" ca="1" si="1"/>
        <v>940.30217669654292</v>
      </c>
      <c r="B13" s="6">
        <v>9</v>
      </c>
      <c r="C13" s="90" t="s">
        <v>41</v>
      </c>
      <c r="D13" s="91">
        <v>0.2</v>
      </c>
      <c r="E13" s="24">
        <v>90</v>
      </c>
      <c r="F13" s="92">
        <v>12</v>
      </c>
      <c r="G13" s="93">
        <f t="shared" si="2"/>
        <v>1080</v>
      </c>
      <c r="H13" s="94">
        <f t="shared" si="3"/>
        <v>5.5156111494139667E-2</v>
      </c>
      <c r="I13" s="177">
        <f t="shared" si="4"/>
        <v>12.05515611149414</v>
      </c>
      <c r="J13" s="95">
        <f t="shared" si="10"/>
        <v>1084.9640500344726</v>
      </c>
      <c r="K13" s="96">
        <v>14</v>
      </c>
      <c r="L13" s="93">
        <f t="shared" si="9"/>
        <v>1260</v>
      </c>
      <c r="M13" s="93">
        <f t="shared" ca="1" si="6"/>
        <v>168</v>
      </c>
      <c r="N13" s="97">
        <f t="shared" ca="1" si="7"/>
        <v>78</v>
      </c>
      <c r="O13" s="87">
        <v>0</v>
      </c>
      <c r="P13" s="87"/>
      <c r="Q13" s="214">
        <v>12</v>
      </c>
      <c r="R13" s="41">
        <f ca="1">SUMIFS('Tổng Đơn'!$F:$F,'Tổng Đơn'!$B:$B,$C13)</f>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8">
        <f t="shared" si="8"/>
        <v>0</v>
      </c>
    </row>
    <row r="14" spans="1:50" ht="18.75" x14ac:dyDescent="0.25">
      <c r="A14" s="88">
        <f t="shared" ca="1" si="1"/>
        <v>1202.5018221215403</v>
      </c>
      <c r="B14" s="6">
        <v>10</v>
      </c>
      <c r="C14" s="90" t="s">
        <v>42</v>
      </c>
      <c r="D14" s="91">
        <v>0.5</v>
      </c>
      <c r="E14" s="24">
        <v>66</v>
      </c>
      <c r="F14" s="92">
        <v>28.5</v>
      </c>
      <c r="G14" s="93">
        <f t="shared" si="2"/>
        <v>1881</v>
      </c>
      <c r="H14" s="94">
        <f t="shared" si="3"/>
        <v>0.13099576479858172</v>
      </c>
      <c r="I14" s="177">
        <f t="shared" si="4"/>
        <v>28.63099576479858</v>
      </c>
      <c r="J14" s="95">
        <f t="shared" si="10"/>
        <v>1889.6457204767064</v>
      </c>
      <c r="K14" s="96">
        <v>35</v>
      </c>
      <c r="L14" s="93">
        <f t="shared" si="9"/>
        <v>2310</v>
      </c>
      <c r="M14" s="93">
        <f t="shared" ca="1" si="6"/>
        <v>840</v>
      </c>
      <c r="N14" s="97">
        <f t="shared" ca="1" si="7"/>
        <v>42</v>
      </c>
      <c r="O14" s="87">
        <v>0</v>
      </c>
      <c r="P14" s="87"/>
      <c r="Q14" s="214">
        <v>24</v>
      </c>
      <c r="R14" s="41">
        <f ca="1">SUMIFS('Tổng Đơn'!$F:$F,'Tổng Đơn'!$B:$B,$C14)</f>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8">
        <f t="shared" si="8"/>
        <v>0</v>
      </c>
    </row>
    <row r="15" spans="1:50" ht="18.75" x14ac:dyDescent="0.25">
      <c r="A15" s="88">
        <f t="shared" ca="1" si="1"/>
        <v>48.220624445976561</v>
      </c>
      <c r="B15" s="6">
        <v>11</v>
      </c>
      <c r="C15" s="90" t="s">
        <v>43</v>
      </c>
      <c r="D15" s="91">
        <v>0.2</v>
      </c>
      <c r="E15" s="24">
        <v>15</v>
      </c>
      <c r="F15" s="92">
        <v>12</v>
      </c>
      <c r="G15" s="93">
        <f t="shared" si="2"/>
        <v>180</v>
      </c>
      <c r="H15" s="94">
        <f t="shared" si="3"/>
        <v>5.5156111494139667E-2</v>
      </c>
      <c r="I15" s="177">
        <f t="shared" si="4"/>
        <v>12.05515611149414</v>
      </c>
      <c r="J15" s="95">
        <f t="shared" si="10"/>
        <v>180.8273416724121</v>
      </c>
      <c r="K15" s="96">
        <v>14</v>
      </c>
      <c r="L15" s="93">
        <f t="shared" si="9"/>
        <v>210</v>
      </c>
      <c r="M15" s="93">
        <f t="shared" ca="1" si="6"/>
        <v>140</v>
      </c>
      <c r="N15" s="97">
        <f t="shared" ca="1" si="7"/>
        <v>4</v>
      </c>
      <c r="O15" s="87">
        <v>0</v>
      </c>
      <c r="P15" s="87">
        <v>1</v>
      </c>
      <c r="Q15" s="214">
        <v>10</v>
      </c>
      <c r="R15" s="41">
        <f ca="1">SUMIFS('Tổng Đơn'!$F:$F,'Tổng Đơn'!$B:$B,$C15)</f>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8">
        <f t="shared" si="8"/>
        <v>0</v>
      </c>
    </row>
    <row r="16" spans="1:50" ht="18.75" x14ac:dyDescent="0.25">
      <c r="A16" s="88">
        <f t="shared" ca="1" si="1"/>
        <v>532.43606159099113</v>
      </c>
      <c r="B16" s="6">
        <v>12</v>
      </c>
      <c r="C16" s="90" t="s">
        <v>67</v>
      </c>
      <c r="D16" s="91">
        <v>0.5</v>
      </c>
      <c r="E16" s="24">
        <v>40</v>
      </c>
      <c r="F16" s="92">
        <v>26.5</v>
      </c>
      <c r="G16" s="93">
        <f t="shared" si="2"/>
        <v>1060</v>
      </c>
      <c r="H16" s="94">
        <f t="shared" si="3"/>
        <v>0.12180307954955842</v>
      </c>
      <c r="I16" s="177">
        <f t="shared" si="4"/>
        <v>26.621803079549558</v>
      </c>
      <c r="J16" s="95">
        <f t="shared" si="10"/>
        <v>1064.8721231819823</v>
      </c>
      <c r="K16" s="96">
        <v>32</v>
      </c>
      <c r="L16" s="93">
        <f t="shared" si="9"/>
        <v>1280</v>
      </c>
      <c r="M16" s="93">
        <f t="shared" ca="1" si="6"/>
        <v>640</v>
      </c>
      <c r="N16" s="97">
        <f t="shared" ca="1" si="7"/>
        <v>20</v>
      </c>
      <c r="O16" s="87">
        <v>0</v>
      </c>
      <c r="P16" s="87"/>
      <c r="Q16" s="214">
        <v>20</v>
      </c>
      <c r="R16" s="41">
        <f ca="1">SUMIFS('Tổng Đơn'!$F:$F,'Tổng Đơn'!$B:$B,$C16)</f>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8">
        <f t="shared" si="8"/>
        <v>0</v>
      </c>
    </row>
    <row r="17" spans="1:50" ht="18.75" x14ac:dyDescent="0.25">
      <c r="A17" s="88">
        <f t="shared" ca="1" si="1"/>
        <v>1320.0395942086084</v>
      </c>
      <c r="B17" s="6">
        <v>13</v>
      </c>
      <c r="C17" s="90" t="s">
        <v>44</v>
      </c>
      <c r="D17" s="91">
        <v>0.5</v>
      </c>
      <c r="E17" s="24">
        <v>55</v>
      </c>
      <c r="F17" s="92">
        <v>36.5</v>
      </c>
      <c r="G17" s="93">
        <f t="shared" si="2"/>
        <v>2007.5</v>
      </c>
      <c r="H17" s="94">
        <f t="shared" si="3"/>
        <v>0.16776650579467481</v>
      </c>
      <c r="I17" s="177">
        <f t="shared" si="4"/>
        <v>36.667766505794674</v>
      </c>
      <c r="J17" s="95">
        <f t="shared" si="10"/>
        <v>2016.7271578187072</v>
      </c>
      <c r="K17" s="96">
        <v>44</v>
      </c>
      <c r="L17" s="93">
        <f t="shared" si="9"/>
        <v>2420</v>
      </c>
      <c r="M17" s="93">
        <f t="shared" ca="1" si="6"/>
        <v>836</v>
      </c>
      <c r="N17" s="97">
        <f t="shared" ca="1" si="7"/>
        <v>36</v>
      </c>
      <c r="O17" s="87">
        <v>0</v>
      </c>
      <c r="P17" s="87"/>
      <c r="Q17" s="214">
        <v>19</v>
      </c>
      <c r="R17" s="41">
        <f ca="1">SUMIFS('Tổng Đơn'!$F:$F,'Tổng Đơn'!$B:$B,$C17)</f>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8">
        <f t="shared" si="8"/>
        <v>0</v>
      </c>
    </row>
    <row r="18" spans="1:50" ht="18.75" x14ac:dyDescent="0.25">
      <c r="A18" s="88">
        <f t="shared" ca="1" si="1"/>
        <v>492.25220788601069</v>
      </c>
      <c r="B18" s="6">
        <v>14</v>
      </c>
      <c r="C18" s="90" t="s">
        <v>48</v>
      </c>
      <c r="D18" s="91">
        <v>0.5</v>
      </c>
      <c r="E18" s="24">
        <v>25</v>
      </c>
      <c r="F18" s="92">
        <v>49</v>
      </c>
      <c r="G18" s="93">
        <f t="shared" si="2"/>
        <v>1225</v>
      </c>
      <c r="H18" s="94">
        <f t="shared" si="3"/>
        <v>0.22522078860107031</v>
      </c>
      <c r="I18" s="177">
        <f t="shared" si="4"/>
        <v>49.225220788601071</v>
      </c>
      <c r="J18" s="95">
        <f t="shared" si="10"/>
        <v>1230.6305197150268</v>
      </c>
      <c r="K18" s="96">
        <v>59</v>
      </c>
      <c r="L18" s="93">
        <f t="shared" si="9"/>
        <v>1475</v>
      </c>
      <c r="M18" s="93">
        <f t="shared" ca="1" si="6"/>
        <v>885</v>
      </c>
      <c r="N18" s="97">
        <f t="shared" ca="1" si="7"/>
        <v>10</v>
      </c>
      <c r="O18" s="87">
        <v>0</v>
      </c>
      <c r="P18" s="87"/>
      <c r="Q18" s="214">
        <v>15</v>
      </c>
      <c r="R18" s="41">
        <f ca="1">SUMIFS('Tổng Đơn'!$F:$F,'Tổng Đơn'!$B:$B,$C18)</f>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8">
        <f t="shared" si="8"/>
        <v>0</v>
      </c>
    </row>
    <row r="19" spans="1:50" ht="18.75" x14ac:dyDescent="0.25">
      <c r="A19" s="88">
        <f t="shared" ca="1" si="1"/>
        <v>1166.336353787058</v>
      </c>
      <c r="B19" s="6">
        <v>15</v>
      </c>
      <c r="C19" s="90" t="s">
        <v>49</v>
      </c>
      <c r="D19" s="91">
        <v>0.5</v>
      </c>
      <c r="E19" s="24">
        <v>55</v>
      </c>
      <c r="F19" s="92">
        <v>43</v>
      </c>
      <c r="G19" s="93">
        <f t="shared" si="2"/>
        <v>2365</v>
      </c>
      <c r="H19" s="94">
        <f t="shared" si="3"/>
        <v>0.19764273285400044</v>
      </c>
      <c r="I19" s="177">
        <f t="shared" si="4"/>
        <v>43.197642732854</v>
      </c>
      <c r="J19" s="95">
        <f t="shared" si="10"/>
        <v>2375.8703503069701</v>
      </c>
      <c r="K19" s="96">
        <v>52</v>
      </c>
      <c r="L19" s="93">
        <f t="shared" si="9"/>
        <v>2860</v>
      </c>
      <c r="M19" s="93">
        <f t="shared" ca="1" si="6"/>
        <v>1456</v>
      </c>
      <c r="N19" s="97">
        <f t="shared" ca="1" si="7"/>
        <v>27</v>
      </c>
      <c r="O19" s="87">
        <v>0</v>
      </c>
      <c r="P19" s="87"/>
      <c r="Q19" s="214">
        <v>28</v>
      </c>
      <c r="R19" s="41">
        <f ca="1">SUMIFS('Tổng Đơn'!$F:$F,'Tổng Đơn'!$B:$B,$C19)</f>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8">
        <f t="shared" si="8"/>
        <v>0</v>
      </c>
    </row>
    <row r="20" spans="1:50" ht="18.75" x14ac:dyDescent="0.25">
      <c r="A20" s="88">
        <f t="shared" ca="1" si="1"/>
        <v>108.49640500344725</v>
      </c>
      <c r="B20" s="6">
        <v>16</v>
      </c>
      <c r="C20" s="90" t="s">
        <v>45</v>
      </c>
      <c r="D20" s="91">
        <v>0.5</v>
      </c>
      <c r="E20" s="24">
        <v>10</v>
      </c>
      <c r="F20" s="92">
        <v>54</v>
      </c>
      <c r="G20" s="93">
        <f>F20*E20</f>
        <v>540</v>
      </c>
      <c r="H20" s="94">
        <f t="shared" si="3"/>
        <v>0.24820250172362851</v>
      </c>
      <c r="I20" s="177">
        <f>F20+H20</f>
        <v>54.248202501723625</v>
      </c>
      <c r="J20" s="95">
        <f>I20*E20</f>
        <v>542.48202501723631</v>
      </c>
      <c r="K20" s="96">
        <v>65</v>
      </c>
      <c r="L20" s="93">
        <f t="shared" si="9"/>
        <v>650</v>
      </c>
      <c r="M20" s="93">
        <f t="shared" ca="1" si="6"/>
        <v>585</v>
      </c>
      <c r="N20" s="97">
        <f t="shared" ca="1" si="7"/>
        <v>2</v>
      </c>
      <c r="O20" s="160">
        <v>-1</v>
      </c>
      <c r="P20" s="87"/>
      <c r="Q20" s="214">
        <v>9</v>
      </c>
      <c r="R20" s="41">
        <f ca="1">SUMIFS('Tổng Đơn'!$F:$F,'Tổng Đơn'!$B:$B,$C20)</f>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8">
        <f t="shared" si="8"/>
        <v>0</v>
      </c>
    </row>
    <row r="21" spans="1:50" ht="18.75" x14ac:dyDescent="0.25">
      <c r="A21" s="88">
        <f t="shared" ca="1" si="1"/>
        <v>1181.4052989264258</v>
      </c>
      <c r="B21" s="6">
        <v>17</v>
      </c>
      <c r="C21" s="90" t="s">
        <v>46</v>
      </c>
      <c r="D21" s="91">
        <v>0.5</v>
      </c>
      <c r="E21" s="24">
        <v>90</v>
      </c>
      <c r="F21" s="92">
        <v>49</v>
      </c>
      <c r="G21" s="93">
        <f>F21*E21</f>
        <v>4410</v>
      </c>
      <c r="H21" s="94">
        <f t="shared" si="3"/>
        <v>0.22522078860107031</v>
      </c>
      <c r="I21" s="177">
        <f>F21+H21</f>
        <v>49.225220788601071</v>
      </c>
      <c r="J21" s="95">
        <f>I21*E21</f>
        <v>4430.2698709740962</v>
      </c>
      <c r="K21" s="96">
        <v>59</v>
      </c>
      <c r="L21" s="93">
        <f t="shared" si="9"/>
        <v>5310</v>
      </c>
      <c r="M21" s="93">
        <f t="shared" ca="1" si="6"/>
        <v>4012</v>
      </c>
      <c r="N21" s="97">
        <f t="shared" ca="1" si="7"/>
        <v>24</v>
      </c>
      <c r="O21" s="87">
        <v>-2</v>
      </c>
      <c r="P21" s="87"/>
      <c r="Q21" s="214">
        <v>68</v>
      </c>
      <c r="R21" s="41">
        <f ca="1">SUMIFS('Tổng Đơn'!$F:$F,'Tổng Đơn'!$B:$B,$C21)</f>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8">
        <f t="shared" si="8"/>
        <v>0</v>
      </c>
    </row>
    <row r="22" spans="1:50" ht="18.75" x14ac:dyDescent="0.25">
      <c r="A22" s="88">
        <f t="shared" ca="1" si="1"/>
        <v>596.73022751895996</v>
      </c>
      <c r="B22" s="6">
        <v>18</v>
      </c>
      <c r="C22" s="90" t="s">
        <v>47</v>
      </c>
      <c r="D22" s="91">
        <v>0.5</v>
      </c>
      <c r="E22" s="24">
        <v>25</v>
      </c>
      <c r="F22" s="92">
        <v>66</v>
      </c>
      <c r="G22" s="93">
        <f>F22*E22</f>
        <v>1650</v>
      </c>
      <c r="H22" s="94">
        <f t="shared" si="3"/>
        <v>0.30335861321776819</v>
      </c>
      <c r="I22" s="177">
        <f>F22+H22</f>
        <v>66.303358613217767</v>
      </c>
      <c r="J22" s="95">
        <f>I22*E22</f>
        <v>1657.5839653304442</v>
      </c>
      <c r="K22" s="96">
        <v>79</v>
      </c>
      <c r="L22" s="93">
        <f t="shared" si="9"/>
        <v>1975</v>
      </c>
      <c r="M22" s="93">
        <f t="shared" ca="1" si="6"/>
        <v>1422</v>
      </c>
      <c r="N22" s="97">
        <f t="shared" ca="1" si="7"/>
        <v>9</v>
      </c>
      <c r="O22" s="87">
        <v>-2</v>
      </c>
      <c r="P22" s="87"/>
      <c r="Q22" s="214">
        <v>18</v>
      </c>
      <c r="R22" s="41">
        <f ca="1">SUMIFS('Tổng Đơn'!$F:$F,'Tổng Đơn'!$B:$B,$C22)</f>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8">
        <f t="shared" si="8"/>
        <v>0</v>
      </c>
    </row>
    <row r="23" spans="1:50" ht="18.75" x14ac:dyDescent="0.25">
      <c r="A23" s="88">
        <f t="shared" ca="1" si="1"/>
        <v>2855.0628057388622</v>
      </c>
      <c r="B23" s="6">
        <v>19</v>
      </c>
      <c r="C23" s="90" t="s">
        <v>163</v>
      </c>
      <c r="D23" s="91">
        <v>0.5</v>
      </c>
      <c r="E23" s="24">
        <v>200</v>
      </c>
      <c r="F23" s="92">
        <v>58</v>
      </c>
      <c r="G23" s="93">
        <f>F23*E23</f>
        <v>11600</v>
      </c>
      <c r="H23" s="94">
        <f t="shared" si="3"/>
        <v>0.26658787222167502</v>
      </c>
      <c r="I23" s="177">
        <f>F23+H23</f>
        <v>58.266587872221677</v>
      </c>
      <c r="J23" s="95">
        <f>I23*E23</f>
        <v>11653.317574444336</v>
      </c>
      <c r="K23" s="96">
        <v>69</v>
      </c>
      <c r="L23" s="93">
        <f t="shared" si="9"/>
        <v>13800</v>
      </c>
      <c r="M23" s="93">
        <f t="shared" ca="1" si="6"/>
        <v>10350</v>
      </c>
      <c r="N23" s="97">
        <f t="shared" ca="1" si="7"/>
        <v>49</v>
      </c>
      <c r="O23" s="87">
        <v>0</v>
      </c>
      <c r="P23" s="87">
        <v>1</v>
      </c>
      <c r="Q23" s="214">
        <v>149</v>
      </c>
      <c r="R23" s="41">
        <f ca="1">SUMIFS('Tổng Đơn'!$F:$F,'Tổng Đơn'!$B:$B,$C23)</f>
        <v>1</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8">
        <f t="shared" si="8"/>
        <v>0</v>
      </c>
    </row>
    <row r="24" spans="1:50" ht="18.75" x14ac:dyDescent="0.25">
      <c r="A24" s="88">
        <f t="shared" ca="1" si="1"/>
        <v>1392.3705308775732</v>
      </c>
      <c r="B24" s="6">
        <v>20</v>
      </c>
      <c r="C24" s="90" t="s">
        <v>165</v>
      </c>
      <c r="D24" s="91">
        <v>0.5</v>
      </c>
      <c r="E24" s="24">
        <v>47</v>
      </c>
      <c r="F24" s="92">
        <v>63</v>
      </c>
      <c r="G24" s="93">
        <f>F24*E24</f>
        <v>2961</v>
      </c>
      <c r="H24" s="94">
        <f t="shared" si="3"/>
        <v>0.28956958534423322</v>
      </c>
      <c r="I24" s="177">
        <f>F24+H24</f>
        <v>63.289569585344232</v>
      </c>
      <c r="J24" s="95">
        <f>I24*E24</f>
        <v>2974.6097705111788</v>
      </c>
      <c r="K24" s="96">
        <v>76</v>
      </c>
      <c r="L24" s="93">
        <f t="shared" si="9"/>
        <v>3572</v>
      </c>
      <c r="M24" s="93">
        <f t="shared" ca="1" si="6"/>
        <v>1900</v>
      </c>
      <c r="N24" s="97">
        <f t="shared" ca="1" si="7"/>
        <v>22</v>
      </c>
      <c r="O24" s="87">
        <v>0</v>
      </c>
      <c r="P24" s="87"/>
      <c r="Q24" s="214">
        <v>25</v>
      </c>
      <c r="R24" s="41">
        <f ca="1">SUMIFS('Tổng Đơn'!$F:$F,'Tổng Đơn'!$B:$B,$C24)</f>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8">
        <f t="shared" si="8"/>
        <v>0</v>
      </c>
    </row>
  </sheetData>
  <autoFilter ref="B4:AW24"/>
  <mergeCells count="1">
    <mergeCell ref="B1:L1"/>
  </mergeCells>
  <conditionalFormatting sqref="C5:C24">
    <cfRule type="expression" dxfId="5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R11" activePane="bottomRight" state="frozen"/>
      <selection activeCell="A2" sqref="A2"/>
      <selection pane="topRight" activeCell="R2" sqref="R2"/>
      <selection pane="bottomLeft" activeCell="A5" sqref="A5"/>
      <selection pane="bottomRight" activeCell="O22" sqref="O22"/>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9.7109375" style="88" customWidth="1"/>
    <col min="8" max="8" width="12.85546875" style="88" hidden="1" customWidth="1"/>
    <col min="9" max="9" width="14.85546875" style="88" hidden="1" customWidth="1"/>
    <col min="10" max="10" width="11.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1" t="s">
        <v>59</v>
      </c>
      <c r="C1" s="221"/>
      <c r="D1" s="221"/>
      <c r="E1" s="221"/>
      <c r="F1" s="221"/>
      <c r="G1" s="221"/>
      <c r="H1" s="221"/>
      <c r="I1" s="221"/>
      <c r="J1" s="221"/>
      <c r="K1" s="221"/>
      <c r="L1" s="221"/>
      <c r="M1" s="221"/>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0">
        <f>AX4-275</f>
        <v>-275</v>
      </c>
    </row>
    <row r="3" spans="1:50"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38" t="s">
        <v>286</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20363.741568143167</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36581</v>
      </c>
      <c r="O4" s="68">
        <f ca="1">SUBTOTAL(9,O5:O168)</f>
        <v>589</v>
      </c>
      <c r="P4" s="105">
        <f>SUBTOTAL(9,P5:P218)</f>
        <v>4</v>
      </c>
      <c r="Q4" s="105">
        <f>SUBTOTAL(9,Q5:Q218)</f>
        <v>938</v>
      </c>
      <c r="R4" s="40">
        <f t="shared" ref="R4:AV4" ca="1" si="0">SUBTOTAL(9,R5:R168)</f>
        <v>20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0 Kg</v>
      </c>
      <c r="AX4" s="108">
        <f>SUBTOTAL(9,AX5:AX178)</f>
        <v>0</v>
      </c>
    </row>
    <row r="5" spans="1:50" ht="18.75" x14ac:dyDescent="0.25">
      <c r="A5" s="88">
        <f t="shared" ref="A5:A23" ca="1" si="1">J5*O5</f>
        <v>677.86148452172358</v>
      </c>
      <c r="B5" s="6">
        <v>1</v>
      </c>
      <c r="C5" s="90" t="s">
        <v>161</v>
      </c>
      <c r="D5" s="98">
        <f>G5*2</f>
        <v>63</v>
      </c>
      <c r="E5" s="91">
        <v>0.5</v>
      </c>
      <c r="F5" s="148">
        <v>160</v>
      </c>
      <c r="G5" s="92">
        <v>31.5</v>
      </c>
      <c r="H5" s="93">
        <f t="shared" ref="H5:H19" si="2">G5*F5</f>
        <v>5040</v>
      </c>
      <c r="I5" s="94">
        <f t="shared" ref="I5:I19" si="3">((H5/$H$4)*$A$2)/F5</f>
        <v>0.77911831055826997</v>
      </c>
      <c r="J5" s="177">
        <f t="shared" ref="J5:J17" si="4">G5+I5</f>
        <v>32.279118310558268</v>
      </c>
      <c r="K5" s="95">
        <f>J5*F5</f>
        <v>5164.6589296893226</v>
      </c>
      <c r="L5" s="99">
        <v>45</v>
      </c>
      <c r="M5" s="93">
        <f t="shared" ref="M5:M18" si="5">L5*F5</f>
        <v>7200</v>
      </c>
      <c r="N5" s="93">
        <f t="shared" ref="N5:N23" ca="1" si="6">SUMPRODUCT(($Q5:$AV5)*$L5)</f>
        <v>6210</v>
      </c>
      <c r="O5" s="100">
        <f t="shared" ref="O5:O23" ca="1" si="7">F5-SUM(Q5:AV5)-P5</f>
        <v>21</v>
      </c>
      <c r="P5" s="87">
        <v>1</v>
      </c>
      <c r="Q5" s="214">
        <v>134</v>
      </c>
      <c r="R5" s="37">
        <f ca="1">SUMIFS('Tổng Đơn'!$F:$F,'Tổng Đơn'!$B:$B,$C5)</f>
        <v>4</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X5" s="88">
        <f t="shared" ref="AX5:AX23" si="8">AW5*G5</f>
        <v>0</v>
      </c>
    </row>
    <row r="6" spans="1:50" ht="18.75" x14ac:dyDescent="0.25">
      <c r="A6" s="88">
        <f t="shared" ca="1" si="1"/>
        <v>0</v>
      </c>
      <c r="B6" s="6">
        <v>2</v>
      </c>
      <c r="C6" s="90" t="s">
        <v>25</v>
      </c>
      <c r="D6" s="98">
        <f t="shared" ref="D6:D17" si="9">G6*2</f>
        <v>44</v>
      </c>
      <c r="E6" s="91">
        <v>0.5</v>
      </c>
      <c r="F6" s="148">
        <v>40</v>
      </c>
      <c r="G6" s="92">
        <v>22</v>
      </c>
      <c r="H6" s="93">
        <f t="shared" si="2"/>
        <v>880</v>
      </c>
      <c r="I6" s="94">
        <f t="shared" si="3"/>
        <v>0.54414612165974408</v>
      </c>
      <c r="J6" s="177">
        <f t="shared" si="4"/>
        <v>22.544146121659743</v>
      </c>
      <c r="K6" s="95">
        <f t="shared" ref="K6:K17" si="10">J6*F6</f>
        <v>901.76584486638967</v>
      </c>
      <c r="L6" s="99">
        <v>27</v>
      </c>
      <c r="M6" s="93">
        <f t="shared" si="5"/>
        <v>1080</v>
      </c>
      <c r="N6" s="93">
        <f t="shared" ca="1" si="6"/>
        <v>1053</v>
      </c>
      <c r="O6" s="100">
        <f t="shared" ca="1" si="7"/>
        <v>0</v>
      </c>
      <c r="P6" s="87">
        <v>1</v>
      </c>
      <c r="Q6" s="214">
        <v>39</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si="8"/>
        <v>0</v>
      </c>
    </row>
    <row r="7" spans="1:50" ht="18.75" x14ac:dyDescent="0.25">
      <c r="A7" s="88">
        <f t="shared" ca="1" si="1"/>
        <v>1298.8502367819876</v>
      </c>
      <c r="B7" s="6">
        <v>3</v>
      </c>
      <c r="C7" s="90" t="s">
        <v>30</v>
      </c>
      <c r="D7" s="98">
        <f t="shared" si="9"/>
        <v>65</v>
      </c>
      <c r="E7" s="91">
        <v>0.5</v>
      </c>
      <c r="F7" s="148">
        <v>120</v>
      </c>
      <c r="G7" s="92">
        <v>32.5</v>
      </c>
      <c r="H7" s="93">
        <f t="shared" si="2"/>
        <v>3900</v>
      </c>
      <c r="I7" s="94">
        <f t="shared" si="3"/>
        <v>0.80385222517916743</v>
      </c>
      <c r="J7" s="177">
        <f t="shared" si="4"/>
        <v>33.30385222517917</v>
      </c>
      <c r="K7" s="95">
        <f t="shared" si="10"/>
        <v>3996.4622670215003</v>
      </c>
      <c r="L7" s="99">
        <v>38</v>
      </c>
      <c r="M7" s="93">
        <f t="shared" si="5"/>
        <v>4560</v>
      </c>
      <c r="N7" s="93">
        <f t="shared" ca="1" si="6"/>
        <v>3040</v>
      </c>
      <c r="O7" s="100">
        <f t="shared" ca="1" si="7"/>
        <v>39</v>
      </c>
      <c r="P7" s="87">
        <v>1</v>
      </c>
      <c r="Q7" s="214">
        <v>79</v>
      </c>
      <c r="R7" s="37">
        <f ca="1">SUMIFS('Tổng Đơn'!$F:$F,'Tổng Đơn'!$B:$B,$C7)</f>
        <v>1</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8">
        <f t="shared" si="8"/>
        <v>0</v>
      </c>
    </row>
    <row r="8" spans="1:50" ht="18.75" x14ac:dyDescent="0.25">
      <c r="A8" s="88">
        <f t="shared" ca="1" si="1"/>
        <v>163.95742633934358</v>
      </c>
      <c r="B8" s="6">
        <v>4</v>
      </c>
      <c r="C8" s="90" t="s">
        <v>29</v>
      </c>
      <c r="D8" s="98">
        <f t="shared" si="9"/>
        <v>80</v>
      </c>
      <c r="E8" s="91">
        <v>0.5</v>
      </c>
      <c r="F8" s="148">
        <v>70</v>
      </c>
      <c r="G8" s="92">
        <v>40</v>
      </c>
      <c r="H8" s="93">
        <f t="shared" si="2"/>
        <v>2800</v>
      </c>
      <c r="I8" s="94">
        <f t="shared" si="3"/>
        <v>0.98935658483589828</v>
      </c>
      <c r="J8" s="177">
        <f t="shared" si="4"/>
        <v>40.989356584835896</v>
      </c>
      <c r="K8" s="95">
        <f t="shared" si="10"/>
        <v>2869.2549609385128</v>
      </c>
      <c r="L8" s="99">
        <v>45</v>
      </c>
      <c r="M8" s="93">
        <f t="shared" si="5"/>
        <v>3150</v>
      </c>
      <c r="N8" s="93">
        <f t="shared" ca="1" si="6"/>
        <v>3015</v>
      </c>
      <c r="O8" s="100">
        <f t="shared" ca="1" si="7"/>
        <v>4</v>
      </c>
      <c r="P8" s="87">
        <v>-1</v>
      </c>
      <c r="Q8" s="214">
        <v>67</v>
      </c>
      <c r="R8" s="37">
        <f ca="1">SUMIFS('Tổng Đơn'!$F:$F,'Tổng Đơn'!$B:$B,$C8)</f>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8">
        <f t="shared" si="8"/>
        <v>0</v>
      </c>
    </row>
    <row r="9" spans="1:50" ht="18.75" x14ac:dyDescent="0.25">
      <c r="A9" s="88">
        <f t="shared" ca="1" si="1"/>
        <v>261.81951518563926</v>
      </c>
      <c r="B9" s="6">
        <v>5</v>
      </c>
      <c r="C9" s="90" t="s">
        <v>28</v>
      </c>
      <c r="D9" s="98">
        <f t="shared" si="9"/>
        <v>73</v>
      </c>
      <c r="E9" s="91">
        <v>0.5</v>
      </c>
      <c r="F9" s="148">
        <f>96+48</f>
        <v>144</v>
      </c>
      <c r="G9" s="92">
        <v>36.5</v>
      </c>
      <c r="H9" s="93">
        <f t="shared" si="2"/>
        <v>5256</v>
      </c>
      <c r="I9" s="94">
        <f t="shared" si="3"/>
        <v>0.9027878836627572</v>
      </c>
      <c r="J9" s="177">
        <f t="shared" si="4"/>
        <v>37.402787883662754</v>
      </c>
      <c r="K9" s="95">
        <f t="shared" si="10"/>
        <v>5386.0014552474368</v>
      </c>
      <c r="L9" s="99">
        <v>42</v>
      </c>
      <c r="M9" s="93">
        <f t="shared" si="5"/>
        <v>6048</v>
      </c>
      <c r="N9" s="93">
        <f t="shared" ca="1" si="6"/>
        <v>5712</v>
      </c>
      <c r="O9" s="100">
        <f t="shared" ca="1" si="7"/>
        <v>7</v>
      </c>
      <c r="P9" s="87">
        <v>1</v>
      </c>
      <c r="Q9" s="214">
        <v>126</v>
      </c>
      <c r="R9" s="37">
        <f ca="1">SUMIFS('Tổng Đơn'!$F:$F,'Tổng Đơn'!$B:$B,$C9)</f>
        <v>10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8">
        <f t="shared" si="8"/>
        <v>0</v>
      </c>
    </row>
    <row r="10" spans="1:50" ht="18.75" x14ac:dyDescent="0.25">
      <c r="A10" s="88">
        <f t="shared" ca="1" si="1"/>
        <v>392.98545625711421</v>
      </c>
      <c r="B10" s="6">
        <v>6</v>
      </c>
      <c r="C10" s="90" t="s">
        <v>61</v>
      </c>
      <c r="D10" s="98">
        <f t="shared" si="9"/>
        <v>59</v>
      </c>
      <c r="E10" s="91">
        <v>0.5</v>
      </c>
      <c r="F10" s="148">
        <v>60</v>
      </c>
      <c r="G10" s="92">
        <v>29.5</v>
      </c>
      <c r="H10" s="93">
        <f t="shared" si="2"/>
        <v>1770</v>
      </c>
      <c r="I10" s="94">
        <f t="shared" si="3"/>
        <v>0.72965048131647492</v>
      </c>
      <c r="J10" s="177">
        <f t="shared" si="4"/>
        <v>30.229650481316476</v>
      </c>
      <c r="K10" s="95">
        <f t="shared" si="10"/>
        <v>1813.7790288789886</v>
      </c>
      <c r="L10" s="99">
        <v>35</v>
      </c>
      <c r="M10" s="93">
        <f t="shared" si="5"/>
        <v>2100</v>
      </c>
      <c r="N10" s="93">
        <f t="shared" ca="1" si="6"/>
        <v>1645</v>
      </c>
      <c r="O10" s="100">
        <f t="shared" ca="1" si="7"/>
        <v>13</v>
      </c>
      <c r="P10" s="87"/>
      <c r="Q10" s="214">
        <v>46</v>
      </c>
      <c r="R10" s="37">
        <f ca="1">SUMIFS('Tổng Đơn'!$F:$F,'Tổng Đơn'!$B:$B,$C10)</f>
        <v>1</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X10" s="88">
        <f t="shared" si="8"/>
        <v>0</v>
      </c>
    </row>
    <row r="11" spans="1:50" ht="18.75" x14ac:dyDescent="0.25">
      <c r="A11" s="88">
        <f t="shared" ca="1" si="1"/>
        <v>0</v>
      </c>
      <c r="B11" s="6">
        <v>7</v>
      </c>
      <c r="C11" s="90" t="s">
        <v>27</v>
      </c>
      <c r="D11" s="98">
        <f t="shared" si="9"/>
        <v>65.55</v>
      </c>
      <c r="E11" s="91">
        <v>0.5</v>
      </c>
      <c r="F11" s="148">
        <v>40</v>
      </c>
      <c r="G11" s="92">
        <f>1311/40</f>
        <v>32.774999999999999</v>
      </c>
      <c r="H11" s="93">
        <f t="shared" si="2"/>
        <v>1311</v>
      </c>
      <c r="I11" s="94">
        <f t="shared" si="3"/>
        <v>0.81065405169991411</v>
      </c>
      <c r="J11" s="177">
        <f t="shared" si="4"/>
        <v>33.585654051699912</v>
      </c>
      <c r="K11" s="95">
        <f t="shared" si="10"/>
        <v>1343.4261620679965</v>
      </c>
      <c r="L11" s="99">
        <v>38</v>
      </c>
      <c r="M11" s="93">
        <f t="shared" si="5"/>
        <v>1520</v>
      </c>
      <c r="N11" s="93">
        <f t="shared" ca="1" si="6"/>
        <v>1520</v>
      </c>
      <c r="O11" s="100">
        <f t="shared" ca="1" si="7"/>
        <v>0</v>
      </c>
      <c r="P11" s="87"/>
      <c r="Q11" s="214">
        <v>40</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8"/>
        <v>0</v>
      </c>
    </row>
    <row r="12" spans="1:50" ht="18.75" x14ac:dyDescent="0.25">
      <c r="A12" s="88">
        <f t="shared" ca="1" si="1"/>
        <v>0</v>
      </c>
      <c r="B12" s="6">
        <v>8</v>
      </c>
      <c r="C12" s="90" t="s">
        <v>26</v>
      </c>
      <c r="D12" s="98">
        <f>G12*4</f>
        <v>113.33333333333333</v>
      </c>
      <c r="E12" s="91">
        <v>0.25</v>
      </c>
      <c r="F12" s="148">
        <v>36</v>
      </c>
      <c r="G12" s="92">
        <f>1020/36</f>
        <v>28.333333333333332</v>
      </c>
      <c r="H12" s="93">
        <f t="shared" si="2"/>
        <v>1020</v>
      </c>
      <c r="I12" s="94">
        <f t="shared" si="3"/>
        <v>0.70079424759209463</v>
      </c>
      <c r="J12" s="177">
        <f t="shared" si="4"/>
        <v>29.034127580925428</v>
      </c>
      <c r="K12" s="95">
        <f t="shared" si="10"/>
        <v>1045.2285929133154</v>
      </c>
      <c r="L12" s="99">
        <v>34</v>
      </c>
      <c r="M12" s="93">
        <f t="shared" si="5"/>
        <v>1224</v>
      </c>
      <c r="N12" s="93">
        <f t="shared" ca="1" si="6"/>
        <v>1190</v>
      </c>
      <c r="O12" s="100">
        <f t="shared" ca="1" si="7"/>
        <v>0</v>
      </c>
      <c r="P12" s="87">
        <v>1</v>
      </c>
      <c r="Q12" s="214">
        <v>35</v>
      </c>
      <c r="R12" s="37">
        <f ca="1">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8"/>
        <v>0</v>
      </c>
    </row>
    <row r="13" spans="1:50" ht="18.75" x14ac:dyDescent="0.25">
      <c r="A13" s="88">
        <f t="shared" ca="1" si="1"/>
        <v>1434.6274804692564</v>
      </c>
      <c r="B13" s="6">
        <v>9</v>
      </c>
      <c r="C13" s="90" t="s">
        <v>35</v>
      </c>
      <c r="D13" s="98">
        <f t="shared" si="9"/>
        <v>80</v>
      </c>
      <c r="E13" s="91">
        <v>0.5</v>
      </c>
      <c r="F13" s="148">
        <v>40</v>
      </c>
      <c r="G13" s="92">
        <v>40</v>
      </c>
      <c r="H13" s="93">
        <f t="shared" si="2"/>
        <v>1600</v>
      </c>
      <c r="I13" s="94">
        <f t="shared" si="3"/>
        <v>0.98935658483589817</v>
      </c>
      <c r="J13" s="177">
        <f t="shared" si="4"/>
        <v>40.989356584835896</v>
      </c>
      <c r="K13" s="95">
        <f t="shared" si="10"/>
        <v>1639.5742633934358</v>
      </c>
      <c r="L13" s="99">
        <v>45</v>
      </c>
      <c r="M13" s="93">
        <f t="shared" si="5"/>
        <v>1800</v>
      </c>
      <c r="N13" s="93">
        <f t="shared" ca="1" si="6"/>
        <v>225</v>
      </c>
      <c r="O13" s="100">
        <f t="shared" ca="1" si="7"/>
        <v>35</v>
      </c>
      <c r="P13" s="87"/>
      <c r="Q13" s="214">
        <v>5</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8">
        <f t="shared" si="8"/>
        <v>0</v>
      </c>
    </row>
    <row r="14" spans="1:50" ht="18.75" x14ac:dyDescent="0.25">
      <c r="A14" s="88">
        <f t="shared" ca="1" si="1"/>
        <v>1393.6381238844206</v>
      </c>
      <c r="B14" s="6">
        <v>10</v>
      </c>
      <c r="C14" s="90" t="s">
        <v>34</v>
      </c>
      <c r="D14" s="98">
        <f t="shared" si="9"/>
        <v>80</v>
      </c>
      <c r="E14" s="91">
        <v>0.5</v>
      </c>
      <c r="F14" s="148">
        <v>40</v>
      </c>
      <c r="G14" s="92">
        <v>40</v>
      </c>
      <c r="H14" s="93">
        <f t="shared" si="2"/>
        <v>1600</v>
      </c>
      <c r="I14" s="94">
        <f t="shared" si="3"/>
        <v>0.98935658483589817</v>
      </c>
      <c r="J14" s="177">
        <f t="shared" si="4"/>
        <v>40.989356584835896</v>
      </c>
      <c r="K14" s="95">
        <f t="shared" si="10"/>
        <v>1639.5742633934358</v>
      </c>
      <c r="L14" s="99">
        <v>45</v>
      </c>
      <c r="M14" s="93">
        <f t="shared" si="5"/>
        <v>1800</v>
      </c>
      <c r="N14" s="93">
        <f t="shared" ca="1" si="6"/>
        <v>270</v>
      </c>
      <c r="O14" s="100">
        <f t="shared" ca="1" si="7"/>
        <v>34</v>
      </c>
      <c r="P14" s="87"/>
      <c r="Q14" s="214">
        <v>5</v>
      </c>
      <c r="R14" s="37">
        <f ca="1">SUMIFS('Tổng Đơn'!$F:$F,'Tổng Đơn'!$B:$B,$C14)</f>
        <v>1</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8">
        <f t="shared" si="8"/>
        <v>0</v>
      </c>
    </row>
    <row r="15" spans="1:50" ht="18.75" x14ac:dyDescent="0.25">
      <c r="A15" s="88">
        <f t="shared" ca="1" si="1"/>
        <v>1352.6487672995845</v>
      </c>
      <c r="B15" s="6">
        <v>11</v>
      </c>
      <c r="C15" s="90" t="s">
        <v>33</v>
      </c>
      <c r="D15" s="98">
        <f t="shared" si="9"/>
        <v>80</v>
      </c>
      <c r="E15" s="91">
        <v>0.5</v>
      </c>
      <c r="F15" s="148">
        <v>40</v>
      </c>
      <c r="G15" s="92">
        <v>40</v>
      </c>
      <c r="H15" s="93">
        <f t="shared" si="2"/>
        <v>1600</v>
      </c>
      <c r="I15" s="94">
        <f t="shared" si="3"/>
        <v>0.98935658483589817</v>
      </c>
      <c r="J15" s="177">
        <f t="shared" si="4"/>
        <v>40.989356584835896</v>
      </c>
      <c r="K15" s="95">
        <f t="shared" si="10"/>
        <v>1639.5742633934358</v>
      </c>
      <c r="L15" s="99">
        <v>45</v>
      </c>
      <c r="M15" s="93">
        <f t="shared" si="5"/>
        <v>1800</v>
      </c>
      <c r="N15" s="93">
        <f t="shared" ca="1" si="6"/>
        <v>315</v>
      </c>
      <c r="O15" s="100">
        <f t="shared" ca="1" si="7"/>
        <v>33</v>
      </c>
      <c r="P15" s="87"/>
      <c r="Q15" s="214">
        <v>7</v>
      </c>
      <c r="R15" s="37">
        <f ca="1">SUMIFS('Tổng Đơn'!$F:$F,'Tổng Đơn'!$B:$B,$C15)</f>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8">
        <f t="shared" si="8"/>
        <v>0</v>
      </c>
    </row>
    <row r="16" spans="1:50" ht="18.75" x14ac:dyDescent="0.25">
      <c r="A16" s="88">
        <f t="shared" ca="1" si="1"/>
        <v>1352.6487672995845</v>
      </c>
      <c r="B16" s="6">
        <v>12</v>
      </c>
      <c r="C16" s="90" t="s">
        <v>32</v>
      </c>
      <c r="D16" s="98">
        <f t="shared" si="9"/>
        <v>80</v>
      </c>
      <c r="E16" s="91">
        <v>0.5</v>
      </c>
      <c r="F16" s="148">
        <v>40</v>
      </c>
      <c r="G16" s="92">
        <v>40</v>
      </c>
      <c r="H16" s="93">
        <f t="shared" si="2"/>
        <v>1600</v>
      </c>
      <c r="I16" s="94">
        <f t="shared" si="3"/>
        <v>0.98935658483589817</v>
      </c>
      <c r="J16" s="177">
        <f t="shared" si="4"/>
        <v>40.989356584835896</v>
      </c>
      <c r="K16" s="95">
        <f t="shared" si="10"/>
        <v>1639.5742633934358</v>
      </c>
      <c r="L16" s="99">
        <v>45</v>
      </c>
      <c r="M16" s="93">
        <f t="shared" si="5"/>
        <v>1800</v>
      </c>
      <c r="N16" s="93">
        <f t="shared" ca="1" si="6"/>
        <v>315</v>
      </c>
      <c r="O16" s="100">
        <f t="shared" ca="1" si="7"/>
        <v>33</v>
      </c>
      <c r="P16" s="87"/>
      <c r="Q16" s="214">
        <v>7</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8">
        <f t="shared" si="8"/>
        <v>0</v>
      </c>
    </row>
    <row r="17" spans="1:50" ht="18.75" x14ac:dyDescent="0.25">
      <c r="A17" s="88">
        <f t="shared" ca="1" si="1"/>
        <v>819.78713169671789</v>
      </c>
      <c r="B17" s="6">
        <v>13</v>
      </c>
      <c r="C17" s="90" t="s">
        <v>58</v>
      </c>
      <c r="D17" s="98">
        <f t="shared" si="9"/>
        <v>80</v>
      </c>
      <c r="E17" s="91">
        <v>0.5</v>
      </c>
      <c r="F17" s="148">
        <v>40</v>
      </c>
      <c r="G17" s="92">
        <v>40</v>
      </c>
      <c r="H17" s="93">
        <f t="shared" si="2"/>
        <v>1600</v>
      </c>
      <c r="I17" s="94">
        <f t="shared" si="3"/>
        <v>0.98935658483589817</v>
      </c>
      <c r="J17" s="177">
        <f t="shared" si="4"/>
        <v>40.989356584835896</v>
      </c>
      <c r="K17" s="95">
        <f t="shared" si="10"/>
        <v>1639.5742633934358</v>
      </c>
      <c r="L17" s="99">
        <v>45</v>
      </c>
      <c r="M17" s="93">
        <f t="shared" si="5"/>
        <v>1800</v>
      </c>
      <c r="N17" s="93">
        <f t="shared" ca="1" si="6"/>
        <v>900</v>
      </c>
      <c r="O17" s="100">
        <f t="shared" ca="1" si="7"/>
        <v>20</v>
      </c>
      <c r="P17" s="87"/>
      <c r="Q17" s="214">
        <v>20</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8">
        <f t="shared" si="8"/>
        <v>0</v>
      </c>
    </row>
    <row r="18" spans="1:50" ht="18.75" x14ac:dyDescent="0.25">
      <c r="A18" s="88">
        <f t="shared" ca="1" si="1"/>
        <v>808.23190847526917</v>
      </c>
      <c r="B18" s="6">
        <v>14</v>
      </c>
      <c r="C18" s="90" t="s">
        <v>147</v>
      </c>
      <c r="D18" s="98">
        <v>53</v>
      </c>
      <c r="E18" s="91">
        <v>0.5</v>
      </c>
      <c r="F18" s="148">
        <v>80</v>
      </c>
      <c r="G18" s="92">
        <f>1033.5/38</f>
        <v>27.19736842105263</v>
      </c>
      <c r="H18" s="93">
        <f t="shared" si="2"/>
        <v>2175.7894736842104</v>
      </c>
      <c r="I18" s="94">
        <f t="shared" si="3"/>
        <v>0.67269738843940841</v>
      </c>
      <c r="J18" s="177">
        <f t="shared" ref="J18" si="11">G18+I18</f>
        <v>27.87006580949204</v>
      </c>
      <c r="K18" s="95">
        <f t="shared" ref="K18" si="12">J18*F18</f>
        <v>2229.6052647593633</v>
      </c>
      <c r="L18" s="99">
        <v>35</v>
      </c>
      <c r="M18" s="93">
        <f t="shared" si="5"/>
        <v>2800</v>
      </c>
      <c r="N18" s="93">
        <f t="shared" ca="1" si="6"/>
        <v>1785</v>
      </c>
      <c r="O18" s="100">
        <f t="shared" ca="1" si="7"/>
        <v>29</v>
      </c>
      <c r="P18" s="87"/>
      <c r="Q18" s="214">
        <v>48</v>
      </c>
      <c r="R18" s="37">
        <f ca="1">SUMIFS('Tổng Đơn'!$F:$F,'Tổng Đơn'!$B:$B,$C18)</f>
        <v>3</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8">
        <f t="shared" si="8"/>
        <v>0</v>
      </c>
    </row>
    <row r="19" spans="1:50" ht="18.75" x14ac:dyDescent="0.25">
      <c r="A19" s="88">
        <f ca="1">J19*O19</f>
        <v>1967.4891160721231</v>
      </c>
      <c r="B19" s="6">
        <v>15</v>
      </c>
      <c r="C19" s="90" t="s">
        <v>186</v>
      </c>
      <c r="D19" s="98">
        <v>120</v>
      </c>
      <c r="E19" s="91">
        <v>0.5</v>
      </c>
      <c r="F19" s="148">
        <v>60</v>
      </c>
      <c r="G19" s="92">
        <v>60</v>
      </c>
      <c r="H19" s="93">
        <f t="shared" si="2"/>
        <v>3600</v>
      </c>
      <c r="I19" s="94">
        <f t="shared" si="3"/>
        <v>1.4840348772538476</v>
      </c>
      <c r="J19" s="177">
        <f t="shared" ref="J19" si="13">G19+I19</f>
        <v>61.484034877253848</v>
      </c>
      <c r="K19" s="95">
        <f t="shared" ref="K19" si="14">J19*F19</f>
        <v>3689.0420926352308</v>
      </c>
      <c r="L19" s="99">
        <v>70</v>
      </c>
      <c r="M19" s="93">
        <f t="shared" ref="M19" si="15">L19*F19</f>
        <v>4200</v>
      </c>
      <c r="N19" s="93">
        <f t="shared" ca="1" si="6"/>
        <v>1960</v>
      </c>
      <c r="O19" s="100">
        <f t="shared" ca="1" si="7"/>
        <v>32</v>
      </c>
      <c r="P19" s="87"/>
      <c r="Q19" s="214">
        <v>28</v>
      </c>
      <c r="R19" s="37">
        <f ca="1">SUMIFS('Tổng Đơn'!$F:$F,'Tổng Đơn'!$B:$B,$C19)</f>
        <v>0</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8">
        <f t="shared" si="8"/>
        <v>0</v>
      </c>
    </row>
    <row r="20" spans="1:50" ht="18.75" x14ac:dyDescent="0.25">
      <c r="A20" s="88">
        <f t="shared" ca="1" si="1"/>
        <v>3141.8341822276711</v>
      </c>
      <c r="B20" s="6">
        <v>16</v>
      </c>
      <c r="C20" s="90" t="s">
        <v>144</v>
      </c>
      <c r="D20" s="98">
        <v>73</v>
      </c>
      <c r="E20" s="91">
        <v>0.5</v>
      </c>
      <c r="F20" s="148">
        <v>161</v>
      </c>
      <c r="G20" s="92">
        <v>36.5</v>
      </c>
      <c r="H20" s="93">
        <f t="shared" ref="H20:H23" si="16">G20*F20</f>
        <v>5876.5</v>
      </c>
      <c r="I20" s="94">
        <f t="shared" ref="I20:I21" si="17">((H20/$H$4)*$A$2)/F20</f>
        <v>0.90278788366275708</v>
      </c>
      <c r="J20" s="177">
        <f t="shared" ref="J20:J21" si="18">G20+I20</f>
        <v>37.402787883662754</v>
      </c>
      <c r="K20" s="95">
        <f t="shared" ref="K20:K21" si="19">J20*F20</f>
        <v>6021.8488492697034</v>
      </c>
      <c r="L20" s="99">
        <v>44</v>
      </c>
      <c r="M20" s="93">
        <f t="shared" ref="M20:M21" si="20">L20*F20</f>
        <v>7084</v>
      </c>
      <c r="N20" s="93">
        <f t="shared" ca="1" si="6"/>
        <v>3388</v>
      </c>
      <c r="O20" s="100">
        <f t="shared" ca="1" si="7"/>
        <v>84</v>
      </c>
      <c r="P20" s="87"/>
      <c r="Q20" s="214">
        <v>77</v>
      </c>
      <c r="R20" s="37">
        <f ca="1">SUMIFS('Tổng Đơn'!$F:$F,'Tổng Đơn'!$B:$B,$C20)</f>
        <v>0</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X20" s="88">
        <f t="shared" si="8"/>
        <v>0</v>
      </c>
    </row>
    <row r="21" spans="1:50" ht="18.75" x14ac:dyDescent="0.25">
      <c r="A21" s="88">
        <f t="shared" ca="1" si="1"/>
        <v>2885.6507035724471</v>
      </c>
      <c r="B21" s="6">
        <v>17</v>
      </c>
      <c r="C21" s="90" t="s">
        <v>202</v>
      </c>
      <c r="D21" s="98">
        <v>88</v>
      </c>
      <c r="E21" s="91">
        <v>0.5</v>
      </c>
      <c r="F21" s="148">
        <v>80</v>
      </c>
      <c r="G21" s="92">
        <v>44</v>
      </c>
      <c r="H21" s="93">
        <f t="shared" si="16"/>
        <v>3520</v>
      </c>
      <c r="I21" s="94">
        <f t="shared" si="17"/>
        <v>1.0882922433194882</v>
      </c>
      <c r="J21" s="177">
        <f t="shared" si="18"/>
        <v>45.088292243319486</v>
      </c>
      <c r="K21" s="95">
        <f t="shared" si="19"/>
        <v>3607.0633794655587</v>
      </c>
      <c r="L21" s="99">
        <v>54</v>
      </c>
      <c r="M21" s="93">
        <f t="shared" si="20"/>
        <v>4320</v>
      </c>
      <c r="N21" s="93">
        <f t="shared" ca="1" si="6"/>
        <v>864</v>
      </c>
      <c r="O21" s="100">
        <f t="shared" ca="1" si="7"/>
        <v>64</v>
      </c>
      <c r="P21" s="87"/>
      <c r="Q21" s="214">
        <v>16</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8">
        <f t="shared" si="8"/>
        <v>0</v>
      </c>
    </row>
    <row r="22" spans="1:50" ht="18.75" x14ac:dyDescent="0.25">
      <c r="A22" s="88">
        <f t="shared" ca="1" si="1"/>
        <v>1009.8752728588944</v>
      </c>
      <c r="B22" s="6">
        <v>18</v>
      </c>
      <c r="C22" s="90" t="s">
        <v>207</v>
      </c>
      <c r="D22" s="98">
        <v>73</v>
      </c>
      <c r="E22" s="91">
        <v>0.5</v>
      </c>
      <c r="F22" s="148">
        <v>40</v>
      </c>
      <c r="G22" s="92">
        <f>D22/2</f>
        <v>36.5</v>
      </c>
      <c r="H22" s="93">
        <f t="shared" si="16"/>
        <v>1460</v>
      </c>
      <c r="I22" s="94">
        <f t="shared" ref="I22:I23" si="21">((H22/$H$4)*$A$2)/F22</f>
        <v>0.9027878836627572</v>
      </c>
      <c r="J22" s="177">
        <f t="shared" ref="J22:J23" si="22">G22+I22</f>
        <v>37.402787883662754</v>
      </c>
      <c r="K22" s="95">
        <f t="shared" ref="K22:K23" si="23">J22*F22</f>
        <v>1496.1115153465103</v>
      </c>
      <c r="L22" s="99">
        <v>42</v>
      </c>
      <c r="M22" s="93">
        <f t="shared" ref="M22:M23" si="24">L22*F22</f>
        <v>1680</v>
      </c>
      <c r="N22" s="93">
        <f t="shared" ca="1" si="6"/>
        <v>546</v>
      </c>
      <c r="O22" s="100">
        <f t="shared" ca="1" si="7"/>
        <v>27</v>
      </c>
      <c r="P22" s="87"/>
      <c r="Q22" s="214">
        <v>13</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8">
        <f t="shared" si="8"/>
        <v>0</v>
      </c>
    </row>
    <row r="23" spans="1:50" ht="18.75" x14ac:dyDescent="0.25">
      <c r="A23" s="88">
        <f t="shared" ca="1" si="1"/>
        <v>1401.8359952013877</v>
      </c>
      <c r="B23" s="6">
        <v>19</v>
      </c>
      <c r="C23" s="90" t="s">
        <v>247</v>
      </c>
      <c r="D23" s="98">
        <v>24</v>
      </c>
      <c r="E23" s="91">
        <v>0.3</v>
      </c>
      <c r="F23" s="148">
        <v>260</v>
      </c>
      <c r="G23" s="92">
        <f>D23/2</f>
        <v>12</v>
      </c>
      <c r="H23" s="93">
        <f t="shared" si="16"/>
        <v>3120</v>
      </c>
      <c r="I23" s="94">
        <f t="shared" si="21"/>
        <v>0.29680697545076951</v>
      </c>
      <c r="J23" s="177">
        <f t="shared" si="22"/>
        <v>12.296806975450769</v>
      </c>
      <c r="K23" s="95">
        <f t="shared" si="23"/>
        <v>3197.1698136171999</v>
      </c>
      <c r="L23" s="99">
        <v>18</v>
      </c>
      <c r="M23" s="93">
        <f t="shared" si="24"/>
        <v>4680</v>
      </c>
      <c r="N23" s="93">
        <f t="shared" ca="1" si="6"/>
        <v>2628</v>
      </c>
      <c r="O23" s="100">
        <f t="shared" ca="1" si="7"/>
        <v>114</v>
      </c>
      <c r="P23" s="87"/>
      <c r="Q23" s="214">
        <v>146</v>
      </c>
      <c r="R23" s="37">
        <f ca="1">SUMIFS('Tổng Đơn'!$F:$F,'Tổng Đơn'!$B:$B,$C23)</f>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8">
        <f t="shared" si="8"/>
        <v>0</v>
      </c>
    </row>
  </sheetData>
  <autoFilter ref="B4:M4"/>
  <mergeCells count="1">
    <mergeCell ref="B1:M1"/>
  </mergeCells>
  <conditionalFormatting sqref="C6:C17">
    <cfRule type="expression" dxfId="525" priority="17">
      <formula>($O6/$O6)&lt;=1/4</formula>
    </cfRule>
  </conditionalFormatting>
  <conditionalFormatting sqref="C18">
    <cfRule type="expression" dxfId="524" priority="14">
      <formula>($O18/$O18)&lt;=1/4</formula>
    </cfRule>
  </conditionalFormatting>
  <conditionalFormatting sqref="C5:C18">
    <cfRule type="expression" dxfId="523" priority="25">
      <formula>($O5/$F5)&lt;=1/4</formula>
    </cfRule>
  </conditionalFormatting>
  <conditionalFormatting sqref="C19">
    <cfRule type="expression" dxfId="522" priority="5">
      <formula>($O19/$O19)&lt;=1/4</formula>
    </cfRule>
  </conditionalFormatting>
  <conditionalFormatting sqref="C19">
    <cfRule type="expression" dxfId="521" priority="6">
      <formula>($O19/$F19)&lt;=1/4</formula>
    </cfRule>
  </conditionalFormatting>
  <conditionalFormatting sqref="C20:C21">
    <cfRule type="expression" dxfId="520" priority="3">
      <formula>($O20/$O20)&lt;=1/4</formula>
    </cfRule>
  </conditionalFormatting>
  <conditionalFormatting sqref="C20:C21">
    <cfRule type="expression" dxfId="519" priority="4">
      <formula>($O20/$F20)&lt;=1/4</formula>
    </cfRule>
  </conditionalFormatting>
  <conditionalFormatting sqref="C22:C23">
    <cfRule type="expression" dxfId="518" priority="1">
      <formula>($O22/$O22)&lt;=1/4</formula>
    </cfRule>
  </conditionalFormatting>
  <conditionalFormatting sqref="C22:C23">
    <cfRule type="expression" dxfId="517"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1" sqref="O11:O12"/>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9.570312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7109375" style="88" bestFit="1" customWidth="1"/>
    <col min="16" max="16" width="13.140625" style="88" customWidth="1"/>
    <col min="17" max="17" width="10.28515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1" hidden="1" x14ac:dyDescent="0.25">
      <c r="B1" s="221" t="s">
        <v>59</v>
      </c>
      <c r="C1" s="221"/>
      <c r="D1" s="221"/>
      <c r="E1" s="221"/>
      <c r="F1" s="221"/>
      <c r="G1" s="221"/>
      <c r="H1" s="221"/>
      <c r="I1" s="221"/>
      <c r="J1" s="221"/>
      <c r="K1" s="221"/>
      <c r="L1" s="221"/>
      <c r="M1" s="221"/>
      <c r="N1" s="197"/>
    </row>
    <row r="2" spans="1:51" ht="34.5" customHeight="1" x14ac:dyDescent="0.25">
      <c r="A2" s="1">
        <f>300+200+120</f>
        <v>620</v>
      </c>
      <c r="K2" s="13">
        <f>SUMPRODUCT((E5:E12)*(F5:F12))</f>
        <v>587</v>
      </c>
      <c r="L2" s="13">
        <f>M4-K4</f>
        <v>5463.636363636364</v>
      </c>
      <c r="M2" s="8">
        <f>M4/K4-1</f>
        <v>0.18885474210800868</v>
      </c>
      <c r="N2" s="8"/>
      <c r="O2" s="88">
        <f>46+59+69+65</f>
        <v>239</v>
      </c>
      <c r="P2" s="88">
        <f>45+40+40+33+42+23+15</f>
        <v>238</v>
      </c>
      <c r="AX2" s="170"/>
    </row>
    <row r="3" spans="1:51" ht="31.5" customHeight="1" x14ac:dyDescent="0.25">
      <c r="A3" s="78" t="s">
        <v>127</v>
      </c>
      <c r="B3" s="3" t="s">
        <v>0</v>
      </c>
      <c r="C3" s="3" t="s">
        <v>17</v>
      </c>
      <c r="D3" s="20" t="s">
        <v>62</v>
      </c>
      <c r="E3" s="5" t="s">
        <v>157</v>
      </c>
      <c r="F3" s="145" t="s">
        <v>156</v>
      </c>
      <c r="G3" s="4" t="s">
        <v>18</v>
      </c>
      <c r="H3" s="4" t="s">
        <v>19</v>
      </c>
      <c r="I3" s="9" t="s">
        <v>20</v>
      </c>
      <c r="J3" s="9" t="s">
        <v>21</v>
      </c>
      <c r="K3" s="9" t="s">
        <v>24</v>
      </c>
      <c r="L3" s="10" t="s">
        <v>22</v>
      </c>
      <c r="M3" s="11" t="s">
        <v>23</v>
      </c>
      <c r="N3" s="11" t="s">
        <v>122</v>
      </c>
      <c r="O3" s="35" t="s">
        <v>60</v>
      </c>
      <c r="P3" s="86" t="s">
        <v>146</v>
      </c>
      <c r="Q3" s="86" t="s">
        <v>287</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10918.72394596611</v>
      </c>
      <c r="B4" s="19"/>
      <c r="C4" s="19"/>
      <c r="D4" s="66"/>
      <c r="E4" s="19">
        <f>SUMPRODUCT((E5:E12)*(F5:F12))</f>
        <v>587</v>
      </c>
      <c r="F4" s="19">
        <f>SUBTOTAL(9,F5:F12)</f>
        <v>1174</v>
      </c>
      <c r="G4" s="7"/>
      <c r="H4" s="7">
        <f>SUBTOTAL(9,H5:H12)</f>
        <v>28310.363636363636</v>
      </c>
      <c r="I4" s="12"/>
      <c r="J4" s="12"/>
      <c r="K4" s="12">
        <f>SUBTOTAL(9,K5:K12)</f>
        <v>28930.363636363636</v>
      </c>
      <c r="L4" s="67"/>
      <c r="M4" s="7">
        <f>SUBTOTAL(9,M5:M12)</f>
        <v>34394</v>
      </c>
      <c r="N4" s="7">
        <f ca="1">SUBTOTAL(9,N5:N12)</f>
        <v>21482</v>
      </c>
      <c r="O4" s="68">
        <f ca="1">SUBTOTAL(9,O5:O12)</f>
        <v>408</v>
      </c>
      <c r="P4" s="105">
        <f>SUBTOTAL(9,P5:P12)</f>
        <v>1</v>
      </c>
      <c r="Q4" s="105"/>
      <c r="R4" s="40">
        <f t="shared" ref="R4:AV4" ca="1" si="0">SUBTOTAL(9,R5:R12)</f>
        <v>46</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0 Kg</v>
      </c>
      <c r="AX4" s="108">
        <f>SUBTOTAL(9,AX5:AX12)</f>
        <v>0</v>
      </c>
    </row>
    <row r="5" spans="1:51" ht="18.75" x14ac:dyDescent="0.25">
      <c r="A5" s="88">
        <f t="shared" ref="A5:A12" ca="1" si="1">J5*O5</f>
        <v>1514.455958948538</v>
      </c>
      <c r="B5" s="6">
        <v>1</v>
      </c>
      <c r="C5" s="90" t="s">
        <v>239</v>
      </c>
      <c r="D5" s="98">
        <v>38</v>
      </c>
      <c r="E5" s="6">
        <v>0.5</v>
      </c>
      <c r="F5" s="6">
        <f>240+126</f>
        <v>366</v>
      </c>
      <c r="G5" s="92">
        <f t="shared" ref="G5:G12" si="2">D5/(1/E5)</f>
        <v>19</v>
      </c>
      <c r="H5" s="93">
        <f t="shared" ref="H5:H12" si="3">G5*F5</f>
        <v>6954</v>
      </c>
      <c r="I5" s="94">
        <f t="shared" ref="I5:I12" si="4">((H5/$H$4)*$A$2)/F5</f>
        <v>0.41610203780176874</v>
      </c>
      <c r="J5" s="177">
        <f t="shared" ref="J5:J12" si="5">G5+I5</f>
        <v>19.416102037801767</v>
      </c>
      <c r="K5" s="95">
        <f>J5*F5</f>
        <v>7106.2933458354473</v>
      </c>
      <c r="L5" s="99">
        <v>23</v>
      </c>
      <c r="M5" s="93">
        <f t="shared" ref="M5:M12" si="6">L5*F5</f>
        <v>8418</v>
      </c>
      <c r="N5" s="93">
        <f ca="1">SUMPRODUCT(($Q5:$AV5)*$L5)</f>
        <v>6601</v>
      </c>
      <c r="O5" s="100">
        <f ca="1">F5-SUM(Q5:AV5)-P5</f>
        <v>78</v>
      </c>
      <c r="P5" s="87">
        <v>1</v>
      </c>
      <c r="Q5" s="87">
        <v>278</v>
      </c>
      <c r="R5" s="37">
        <f ca="1">SUMIFS('Tổng Đơn'!$F:$F,'Tổng Đơn'!$B:$B,$C5)</f>
        <v>9</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X5" s="88">
        <f>AW5*AY5/2</f>
        <v>0</v>
      </c>
      <c r="AY5" s="88">
        <v>38</v>
      </c>
    </row>
    <row r="6" spans="1:51" ht="18.75" x14ac:dyDescent="0.25">
      <c r="A6" s="88">
        <f t="shared" ca="1" si="1"/>
        <v>622.33716531690925</v>
      </c>
      <c r="B6" s="6">
        <v>2</v>
      </c>
      <c r="C6" s="90" t="s">
        <v>240</v>
      </c>
      <c r="D6" s="98">
        <v>42</v>
      </c>
      <c r="E6" s="6">
        <v>0.5</v>
      </c>
      <c r="F6" s="6">
        <v>40</v>
      </c>
      <c r="G6" s="92">
        <f t="shared" si="2"/>
        <v>21</v>
      </c>
      <c r="H6" s="93">
        <f t="shared" si="3"/>
        <v>840</v>
      </c>
      <c r="I6" s="94">
        <f t="shared" si="4"/>
        <v>0.4599022523072181</v>
      </c>
      <c r="J6" s="177">
        <f t="shared" si="5"/>
        <v>21.459902252307216</v>
      </c>
      <c r="K6" s="95">
        <f>J6*F6</f>
        <v>858.39609009228866</v>
      </c>
      <c r="L6" s="99">
        <v>26</v>
      </c>
      <c r="M6" s="93">
        <f t="shared" si="6"/>
        <v>1040</v>
      </c>
      <c r="N6" s="93">
        <f t="shared" ref="N6:N12" ca="1" si="7">SUMPRODUCT(($Q6:$AV6)*$L6)</f>
        <v>286</v>
      </c>
      <c r="O6" s="100">
        <f t="shared" ref="O6:O12" ca="1" si="8">F6-SUM(Q6:AV6)-P6</f>
        <v>29</v>
      </c>
      <c r="P6" s="87"/>
      <c r="Q6" s="87">
        <v>10</v>
      </c>
      <c r="R6" s="37">
        <f ca="1">SUMIFS('Tổng Đơn'!$F:$F,'Tổng Đơn'!$B:$B,$C6)</f>
        <v>1</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8">
        <f t="shared" ref="AX6:AX12" si="9">AW6*AY6/2</f>
        <v>0</v>
      </c>
      <c r="AY6" s="88">
        <v>42</v>
      </c>
    </row>
    <row r="7" spans="1:51" ht="18.75" x14ac:dyDescent="0.25">
      <c r="A7" s="88">
        <f t="shared" ca="1" si="1"/>
        <v>85.839609009228866</v>
      </c>
      <c r="B7" s="6">
        <v>3</v>
      </c>
      <c r="C7" s="90" t="s">
        <v>241</v>
      </c>
      <c r="D7" s="98">
        <v>42</v>
      </c>
      <c r="E7" s="6">
        <v>0.5</v>
      </c>
      <c r="F7" s="6">
        <v>40</v>
      </c>
      <c r="G7" s="92">
        <f t="shared" si="2"/>
        <v>21</v>
      </c>
      <c r="H7" s="93">
        <f t="shared" si="3"/>
        <v>840</v>
      </c>
      <c r="I7" s="94">
        <f t="shared" si="4"/>
        <v>0.4599022523072181</v>
      </c>
      <c r="J7" s="177">
        <f t="shared" si="5"/>
        <v>21.459902252307216</v>
      </c>
      <c r="K7" s="95">
        <f t="shared" ref="K7:K12" si="10">J7*F7</f>
        <v>858.39609009228866</v>
      </c>
      <c r="L7" s="99">
        <v>26</v>
      </c>
      <c r="M7" s="93">
        <f t="shared" si="6"/>
        <v>1040</v>
      </c>
      <c r="N7" s="93">
        <f t="shared" ca="1" si="7"/>
        <v>936</v>
      </c>
      <c r="O7" s="100">
        <f t="shared" ca="1" si="8"/>
        <v>4</v>
      </c>
      <c r="P7" s="87"/>
      <c r="Q7" s="87">
        <v>35</v>
      </c>
      <c r="R7" s="37">
        <f ca="1">SUMIFS('Tổng Đơn'!$F:$F,'Tổng Đơn'!$B:$B,$C7)</f>
        <v>1</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8">
        <f t="shared" si="9"/>
        <v>0</v>
      </c>
      <c r="AY7" s="88">
        <v>42</v>
      </c>
    </row>
    <row r="8" spans="1:51" ht="18.75" x14ac:dyDescent="0.25">
      <c r="A8" s="88">
        <f t="shared" ca="1" si="1"/>
        <v>102.19001072527247</v>
      </c>
      <c r="B8" s="6">
        <v>4</v>
      </c>
      <c r="C8" s="90" t="s">
        <v>242</v>
      </c>
      <c r="D8" s="98">
        <v>40</v>
      </c>
      <c r="E8" s="6">
        <v>0.5</v>
      </c>
      <c r="F8" s="6">
        <v>40</v>
      </c>
      <c r="G8" s="92">
        <f t="shared" si="2"/>
        <v>20</v>
      </c>
      <c r="H8" s="93">
        <f t="shared" si="3"/>
        <v>800</v>
      </c>
      <c r="I8" s="94">
        <f t="shared" si="4"/>
        <v>0.43800214505449342</v>
      </c>
      <c r="J8" s="177">
        <f t="shared" si="5"/>
        <v>20.438002145054494</v>
      </c>
      <c r="K8" s="95">
        <f t="shared" si="10"/>
        <v>817.52008580217978</v>
      </c>
      <c r="L8" s="99">
        <v>26</v>
      </c>
      <c r="M8" s="93">
        <f t="shared" si="6"/>
        <v>1040</v>
      </c>
      <c r="N8" s="93">
        <f t="shared" ca="1" si="7"/>
        <v>910</v>
      </c>
      <c r="O8" s="100">
        <f t="shared" ca="1" si="8"/>
        <v>5</v>
      </c>
      <c r="P8" s="87"/>
      <c r="Q8" s="87">
        <v>34</v>
      </c>
      <c r="R8" s="37">
        <f ca="1">SUMIFS('Tổng Đơn'!$F:$F,'Tổng Đơn'!$B:$B,$C8)</f>
        <v>1</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8">
        <f t="shared" si="9"/>
        <v>0</v>
      </c>
      <c r="AY8" s="88">
        <v>40</v>
      </c>
    </row>
    <row r="9" spans="1:51" ht="18.75" x14ac:dyDescent="0.25">
      <c r="A9" s="88">
        <f t="shared" ca="1" si="1"/>
        <v>1964.8352062177387</v>
      </c>
      <c r="B9" s="6">
        <v>5</v>
      </c>
      <c r="C9" s="90" t="s">
        <v>243</v>
      </c>
      <c r="D9" s="98">
        <f>(45*20)/22</f>
        <v>40.909090909090907</v>
      </c>
      <c r="E9" s="6">
        <v>0.5</v>
      </c>
      <c r="F9" s="6">
        <f>176+80</f>
        <v>256</v>
      </c>
      <c r="G9" s="92">
        <f t="shared" si="2"/>
        <v>20.454545454545453</v>
      </c>
      <c r="H9" s="93">
        <f t="shared" si="3"/>
        <v>5236.363636363636</v>
      </c>
      <c r="I9" s="94">
        <f t="shared" si="4"/>
        <v>0.44795673926027729</v>
      </c>
      <c r="J9" s="177">
        <f t="shared" si="5"/>
        <v>20.902502193805731</v>
      </c>
      <c r="K9" s="95">
        <f t="shared" si="10"/>
        <v>5351.0405616142671</v>
      </c>
      <c r="L9" s="99">
        <v>26</v>
      </c>
      <c r="M9" s="93">
        <f t="shared" si="6"/>
        <v>6656</v>
      </c>
      <c r="N9" s="93">
        <f t="shared" ca="1" si="7"/>
        <v>4212</v>
      </c>
      <c r="O9" s="100">
        <f t="shared" ca="1" si="8"/>
        <v>94</v>
      </c>
      <c r="P9" s="87"/>
      <c r="Q9" s="87">
        <v>152</v>
      </c>
      <c r="R9" s="37">
        <f ca="1">SUMIFS('Tổng Đơn'!$F:$F,'Tổng Đơn'!$B:$B,$C9)</f>
        <v>10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8">
        <f t="shared" si="9"/>
        <v>0</v>
      </c>
      <c r="AY9" s="88">
        <v>45</v>
      </c>
    </row>
    <row r="10" spans="1:51" ht="18.75" x14ac:dyDescent="0.25">
      <c r="A10" s="88">
        <f t="shared" ca="1" si="1"/>
        <v>2705.2482839272129</v>
      </c>
      <c r="B10" s="6">
        <v>6</v>
      </c>
      <c r="C10" s="90" t="s">
        <v>244</v>
      </c>
      <c r="D10" s="98">
        <f>(64*20)/22</f>
        <v>58.18181818181818</v>
      </c>
      <c r="E10" s="6">
        <v>0.5</v>
      </c>
      <c r="F10" s="6">
        <v>264</v>
      </c>
      <c r="G10" s="92">
        <f t="shared" si="2"/>
        <v>29.09090909090909</v>
      </c>
      <c r="H10" s="93">
        <f t="shared" si="3"/>
        <v>7680</v>
      </c>
      <c r="I10" s="94">
        <f t="shared" si="4"/>
        <v>0.6370940291701721</v>
      </c>
      <c r="J10" s="177">
        <f t="shared" si="5"/>
        <v>29.728003120079261</v>
      </c>
      <c r="K10" s="95">
        <f t="shared" si="10"/>
        <v>7848.1928237009251</v>
      </c>
      <c r="L10" s="99">
        <v>35</v>
      </c>
      <c r="M10" s="93">
        <f t="shared" si="6"/>
        <v>9240</v>
      </c>
      <c r="N10" s="93">
        <f t="shared" ca="1" si="7"/>
        <v>6055</v>
      </c>
      <c r="O10" s="100">
        <f t="shared" ca="1" si="8"/>
        <v>91</v>
      </c>
      <c r="P10" s="87"/>
      <c r="Q10" s="87">
        <v>152</v>
      </c>
      <c r="R10" s="37">
        <f ca="1">SUMIFS('Tổng Đơn'!$F:$F,'Tổng Đơn'!$B:$B,$C10)</f>
        <v>21</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X10" s="88">
        <f t="shared" si="9"/>
        <v>0</v>
      </c>
      <c r="AY10" s="88">
        <v>64</v>
      </c>
    </row>
    <row r="11" spans="1:51" ht="18.75" x14ac:dyDescent="0.25">
      <c r="A11" s="88">
        <f t="shared" ca="1" si="1"/>
        <v>1428.3376499100584</v>
      </c>
      <c r="B11" s="6">
        <v>7</v>
      </c>
      <c r="C11" s="90" t="s">
        <v>245</v>
      </c>
      <c r="D11" s="98">
        <f>(75*20)/22</f>
        <v>68.181818181818187</v>
      </c>
      <c r="E11" s="6">
        <v>0.5</v>
      </c>
      <c r="F11" s="6">
        <v>88</v>
      </c>
      <c r="G11" s="92">
        <f t="shared" si="2"/>
        <v>34.090909090909093</v>
      </c>
      <c r="H11" s="93">
        <f t="shared" si="3"/>
        <v>3000</v>
      </c>
      <c r="I11" s="94">
        <f t="shared" si="4"/>
        <v>0.74659456543379543</v>
      </c>
      <c r="J11" s="177">
        <f t="shared" si="5"/>
        <v>34.837503656342889</v>
      </c>
      <c r="K11" s="95">
        <f t="shared" si="10"/>
        <v>3065.7003217581741</v>
      </c>
      <c r="L11" s="99">
        <v>40</v>
      </c>
      <c r="M11" s="93">
        <f t="shared" si="6"/>
        <v>3520</v>
      </c>
      <c r="N11" s="93">
        <f t="shared" ca="1" si="7"/>
        <v>1880</v>
      </c>
      <c r="O11" s="100">
        <f t="shared" ca="1" si="8"/>
        <v>41</v>
      </c>
      <c r="P11" s="87"/>
      <c r="Q11" s="87">
        <v>45</v>
      </c>
      <c r="R11" s="37">
        <f ca="1">SUMIFS('Tổng Đơn'!$F:$F,'Tổng Đơn'!$B:$B,$C11)</f>
        <v>2</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8">
        <f t="shared" si="9"/>
        <v>0</v>
      </c>
      <c r="AY11" s="88">
        <v>75</v>
      </c>
    </row>
    <row r="12" spans="1:51" ht="18.75" x14ac:dyDescent="0.25">
      <c r="A12" s="88">
        <f t="shared" ca="1" si="1"/>
        <v>2495.4800619111538</v>
      </c>
      <c r="B12" s="6">
        <v>8</v>
      </c>
      <c r="C12" s="90" t="s">
        <v>246</v>
      </c>
      <c r="D12" s="98">
        <v>74</v>
      </c>
      <c r="E12" s="6">
        <v>0.5</v>
      </c>
      <c r="F12" s="6">
        <v>80</v>
      </c>
      <c r="G12" s="92">
        <f t="shared" si="2"/>
        <v>37</v>
      </c>
      <c r="H12" s="93">
        <f t="shared" si="3"/>
        <v>2960</v>
      </c>
      <c r="I12" s="94">
        <f t="shared" si="4"/>
        <v>0.81030396835081275</v>
      </c>
      <c r="J12" s="177">
        <f t="shared" si="5"/>
        <v>37.810303968350816</v>
      </c>
      <c r="K12" s="95">
        <f t="shared" si="10"/>
        <v>3024.8243174680651</v>
      </c>
      <c r="L12" s="99">
        <v>43</v>
      </c>
      <c r="M12" s="93">
        <f t="shared" si="6"/>
        <v>3440</v>
      </c>
      <c r="N12" s="93">
        <f t="shared" ca="1" si="7"/>
        <v>602</v>
      </c>
      <c r="O12" s="100">
        <f t="shared" ca="1" si="8"/>
        <v>66</v>
      </c>
      <c r="P12" s="87"/>
      <c r="Q12" s="87">
        <v>13</v>
      </c>
      <c r="R12" s="37">
        <f ca="1">SUMIFS('Tổng Đơn'!$F:$F,'Tổng Đơn'!$B:$B,$C12)</f>
        <v>1</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8">
        <f t="shared" si="9"/>
        <v>0</v>
      </c>
      <c r="AY12" s="88">
        <v>74</v>
      </c>
    </row>
  </sheetData>
  <autoFilter ref="B4:AW12"/>
  <mergeCells count="1">
    <mergeCell ref="B1:M1"/>
  </mergeCells>
  <conditionalFormatting sqref="C6:C12">
    <cfRule type="expression" dxfId="516" priority="8">
      <formula>($O6/$O6)&lt;=1/4</formula>
    </cfRule>
  </conditionalFormatting>
  <conditionalFormatting sqref="C5:C12">
    <cfRule type="expression" dxfId="51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C29" sqref="C29"/>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0.28515625" style="88" bestFit="1" customWidth="1"/>
    <col min="8" max="8" width="11.140625" style="88" hidden="1" customWidth="1"/>
    <col min="9" max="9" width="13.28515625" style="88" hidden="1" customWidth="1"/>
    <col min="10" max="10" width="10.85546875" style="88" customWidth="1"/>
    <col min="11" max="11" width="13.28515625" style="88" hidden="1" customWidth="1"/>
    <col min="12" max="12" width="12" style="88" bestFit="1"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1" t="s">
        <v>59</v>
      </c>
      <c r="C1" s="221"/>
      <c r="D1" s="221"/>
      <c r="E1" s="221"/>
      <c r="F1" s="221"/>
      <c r="G1" s="221"/>
      <c r="H1" s="221"/>
      <c r="I1" s="221"/>
      <c r="J1" s="221"/>
      <c r="K1" s="221"/>
      <c r="L1" s="221"/>
      <c r="M1" s="221"/>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c r="AX2" s="88">
        <v>60</v>
      </c>
    </row>
    <row r="3" spans="1:50" ht="55.5" customHeight="1" x14ac:dyDescent="0.25">
      <c r="A3" s="78" t="s">
        <v>127</v>
      </c>
      <c r="B3" s="3" t="s">
        <v>0</v>
      </c>
      <c r="C3" s="3" t="s">
        <v>17</v>
      </c>
      <c r="D3" s="20" t="s">
        <v>62</v>
      </c>
      <c r="E3" s="110" t="s">
        <v>157</v>
      </c>
      <c r="F3" s="144"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8">
        <v>730</v>
      </c>
    </row>
    <row r="4" spans="1:50" s="65" customFormat="1" ht="27" customHeight="1" x14ac:dyDescent="0.25">
      <c r="A4" s="74">
        <f ca="1">SUBTOTAL(9,A5:A32)</f>
        <v>17307.835727037182</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77341</v>
      </c>
      <c r="O4" s="39">
        <f t="shared" ca="1" si="0"/>
        <v>520</v>
      </c>
      <c r="P4" s="105">
        <f t="shared" si="0"/>
        <v>12</v>
      </c>
      <c r="Q4" s="105">
        <f t="shared" si="0"/>
        <v>2062</v>
      </c>
      <c r="R4" s="40">
        <f t="shared" ca="1" si="0"/>
        <v>26</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69" t="str">
        <f>SUMPRODUCT(($AW$5:$AW$28)*($E$5:$E$28))&amp;" Kg"</f>
        <v>0 Kg</v>
      </c>
      <c r="AX4" s="108">
        <f>SUBTOTAL(9,AX5:AX32)</f>
        <v>0</v>
      </c>
    </row>
    <row r="5" spans="1:50" ht="18.75" x14ac:dyDescent="0.25">
      <c r="A5" s="88">
        <f t="shared" ref="A5:A32" ca="1" si="1">IFERROR(J5*O5,"")</f>
        <v>1002.7061044097046</v>
      </c>
      <c r="B5" s="6">
        <v>1</v>
      </c>
      <c r="C5" s="90" t="s">
        <v>1</v>
      </c>
      <c r="D5" s="98">
        <v>42.5</v>
      </c>
      <c r="E5" s="6">
        <v>0.5</v>
      </c>
      <c r="F5" s="6">
        <v>430</v>
      </c>
      <c r="G5" s="101">
        <f t="shared" ref="G5:G29" si="2">D5/(1/E5)</f>
        <v>21.25</v>
      </c>
      <c r="H5" s="93">
        <f>G5*F5</f>
        <v>9137.5</v>
      </c>
      <c r="I5" s="94">
        <f t="shared" ref="I5:I28" si="3">((H5/$H$4)*$A$2)/F5</f>
        <v>0.5479587915153169</v>
      </c>
      <c r="J5" s="95">
        <f t="shared" ref="J5:J19" si="4">G5+I5</f>
        <v>21.797958791515317</v>
      </c>
      <c r="K5" s="95">
        <f>J5*F5</f>
        <v>9373.1222803515866</v>
      </c>
      <c r="L5" s="102">
        <v>25</v>
      </c>
      <c r="M5" s="93">
        <f>L5*F5</f>
        <v>10750</v>
      </c>
      <c r="N5" s="93">
        <f t="shared" ref="N5:N30" ca="1" si="5">SUMPRODUCT($L5*($Q5:$AV5))</f>
        <v>9550</v>
      </c>
      <c r="O5" s="97">
        <f t="shared" ref="O5:O32" ca="1" si="6">F5-SUM(Q5:AV5)-P5</f>
        <v>46</v>
      </c>
      <c r="P5" s="87">
        <v>2</v>
      </c>
      <c r="Q5" s="87">
        <v>382</v>
      </c>
      <c r="R5" s="90">
        <f ca="1">SUMIFS('Tổng Đơn'!$F:$F,'Tổng Đơn'!$B:$B,$C5)</f>
        <v>0</v>
      </c>
      <c r="S5" s="90">
        <v>0</v>
      </c>
      <c r="T5" s="90">
        <v>0</v>
      </c>
      <c r="U5" s="90">
        <v>0</v>
      </c>
      <c r="V5" s="90">
        <v>0</v>
      </c>
      <c r="W5" s="90">
        <v>0</v>
      </c>
      <c r="X5" s="90">
        <v>0</v>
      </c>
      <c r="Y5" s="90">
        <v>0</v>
      </c>
      <c r="Z5" s="90">
        <v>0</v>
      </c>
      <c r="AA5" s="90">
        <v>0</v>
      </c>
      <c r="AB5" s="90">
        <v>0</v>
      </c>
      <c r="AC5" s="90">
        <v>0</v>
      </c>
      <c r="AD5" s="90">
        <v>0</v>
      </c>
      <c r="AE5" s="90">
        <v>0</v>
      </c>
      <c r="AF5" s="90">
        <v>0</v>
      </c>
      <c r="AG5" s="90">
        <v>0</v>
      </c>
      <c r="AH5" s="90">
        <v>0</v>
      </c>
      <c r="AI5" s="90">
        <v>0</v>
      </c>
      <c r="AJ5" s="90">
        <v>0</v>
      </c>
      <c r="AK5" s="90">
        <v>0</v>
      </c>
      <c r="AL5" s="90">
        <v>0</v>
      </c>
      <c r="AM5" s="90">
        <v>0</v>
      </c>
      <c r="AN5" s="90">
        <v>0</v>
      </c>
      <c r="AO5" s="90">
        <v>0</v>
      </c>
      <c r="AP5" s="90">
        <v>0</v>
      </c>
      <c r="AQ5" s="90">
        <v>0</v>
      </c>
      <c r="AR5" s="90">
        <v>0</v>
      </c>
      <c r="AS5" s="90">
        <v>0</v>
      </c>
      <c r="AT5" s="90">
        <v>0</v>
      </c>
      <c r="AU5" s="90">
        <v>0</v>
      </c>
      <c r="AV5" s="90">
        <v>0</v>
      </c>
      <c r="AX5" s="88">
        <f t="shared" ref="AX5:AX32" si="7">AW5*G5</f>
        <v>0</v>
      </c>
    </row>
    <row r="6" spans="1:50" ht="18.75" x14ac:dyDescent="0.25">
      <c r="A6" s="88">
        <f t="shared" ca="1" si="1"/>
        <v>541.61516432565111</v>
      </c>
      <c r="B6" s="6">
        <v>2</v>
      </c>
      <c r="C6" s="90" t="s">
        <v>2</v>
      </c>
      <c r="D6" s="98">
        <v>44</v>
      </c>
      <c r="E6" s="6">
        <v>0.5</v>
      </c>
      <c r="F6" s="6">
        <v>80</v>
      </c>
      <c r="G6" s="101">
        <f t="shared" si="2"/>
        <v>22</v>
      </c>
      <c r="H6" s="93">
        <f t="shared" ref="H6:H19" si="8">G6*F6</f>
        <v>1760</v>
      </c>
      <c r="I6" s="94">
        <f t="shared" si="3"/>
        <v>0.56729851356879857</v>
      </c>
      <c r="J6" s="95">
        <f t="shared" si="4"/>
        <v>22.567298513568797</v>
      </c>
      <c r="K6" s="95">
        <f t="shared" ref="K6:K19" si="9">J6*F6</f>
        <v>1805.3838810855038</v>
      </c>
      <c r="L6" s="102">
        <v>28</v>
      </c>
      <c r="M6" s="93">
        <f t="shared" ref="M6:M19" si="10">L6*F6</f>
        <v>2240</v>
      </c>
      <c r="N6" s="93">
        <f t="shared" ca="1" si="5"/>
        <v>1568</v>
      </c>
      <c r="O6" s="97">
        <f t="shared" ca="1" si="6"/>
        <v>24</v>
      </c>
      <c r="P6" s="87"/>
      <c r="Q6" s="87">
        <v>56</v>
      </c>
      <c r="R6" s="90">
        <f ca="1">SUMIFS('Tổng Đơn'!$F:$F,'Tổng Đơn'!$B:$B,$C6)</f>
        <v>0</v>
      </c>
      <c r="S6" s="90">
        <v>0</v>
      </c>
      <c r="T6" s="90">
        <v>0</v>
      </c>
      <c r="U6" s="90">
        <v>0</v>
      </c>
      <c r="V6" s="90">
        <v>0</v>
      </c>
      <c r="W6" s="90">
        <v>0</v>
      </c>
      <c r="X6" s="90">
        <v>0</v>
      </c>
      <c r="Y6" s="90">
        <v>0</v>
      </c>
      <c r="Z6" s="90">
        <v>0</v>
      </c>
      <c r="AA6" s="90">
        <v>0</v>
      </c>
      <c r="AB6" s="90">
        <v>0</v>
      </c>
      <c r="AC6" s="90">
        <v>0</v>
      </c>
      <c r="AD6" s="90">
        <v>0</v>
      </c>
      <c r="AE6" s="90">
        <v>0</v>
      </c>
      <c r="AF6" s="90">
        <v>0</v>
      </c>
      <c r="AG6" s="90">
        <v>0</v>
      </c>
      <c r="AH6" s="90">
        <v>0</v>
      </c>
      <c r="AI6" s="90">
        <v>0</v>
      </c>
      <c r="AJ6" s="90">
        <v>0</v>
      </c>
      <c r="AK6" s="90">
        <v>0</v>
      </c>
      <c r="AL6" s="90">
        <v>0</v>
      </c>
      <c r="AM6" s="90">
        <v>0</v>
      </c>
      <c r="AN6" s="90">
        <v>0</v>
      </c>
      <c r="AO6" s="90">
        <v>0</v>
      </c>
      <c r="AP6" s="90">
        <v>0</v>
      </c>
      <c r="AQ6" s="90">
        <v>0</v>
      </c>
      <c r="AR6" s="90">
        <v>0</v>
      </c>
      <c r="AS6" s="90">
        <v>0</v>
      </c>
      <c r="AT6" s="90">
        <v>0</v>
      </c>
      <c r="AU6" s="90">
        <v>0</v>
      </c>
      <c r="AV6" s="90">
        <v>0</v>
      </c>
      <c r="AX6" s="88">
        <f t="shared" si="7"/>
        <v>0</v>
      </c>
    </row>
    <row r="7" spans="1:50" ht="18.75" x14ac:dyDescent="0.25">
      <c r="A7" s="88">
        <f t="shared" ca="1" si="1"/>
        <v>468.52789073057039</v>
      </c>
      <c r="B7" s="6">
        <v>3</v>
      </c>
      <c r="C7" s="90" t="s">
        <v>3</v>
      </c>
      <c r="D7" s="98">
        <v>43.5</v>
      </c>
      <c r="E7" s="6">
        <v>0.5</v>
      </c>
      <c r="F7" s="6">
        <v>70</v>
      </c>
      <c r="G7" s="101">
        <f t="shared" si="2"/>
        <v>21.75</v>
      </c>
      <c r="H7" s="93">
        <f t="shared" si="8"/>
        <v>1522.5</v>
      </c>
      <c r="I7" s="94">
        <f t="shared" si="3"/>
        <v>0.56085193955097135</v>
      </c>
      <c r="J7" s="95">
        <f t="shared" si="4"/>
        <v>22.310851939550972</v>
      </c>
      <c r="K7" s="95">
        <f t="shared" si="9"/>
        <v>1561.7596357685679</v>
      </c>
      <c r="L7" s="102">
        <v>30</v>
      </c>
      <c r="M7" s="93">
        <f t="shared" si="10"/>
        <v>2100</v>
      </c>
      <c r="N7" s="93">
        <f t="shared" ca="1" si="5"/>
        <v>1470</v>
      </c>
      <c r="O7" s="97">
        <f t="shared" ca="1" si="6"/>
        <v>21</v>
      </c>
      <c r="P7" s="87"/>
      <c r="Q7" s="87">
        <v>49</v>
      </c>
      <c r="R7" s="90">
        <f ca="1">SUMIFS('Tổng Đơn'!$F:$F,'Tổng Đơn'!$B:$B,$C7)</f>
        <v>0</v>
      </c>
      <c r="S7" s="90">
        <v>0</v>
      </c>
      <c r="T7" s="90">
        <v>0</v>
      </c>
      <c r="U7" s="90">
        <v>0</v>
      </c>
      <c r="V7" s="90">
        <v>0</v>
      </c>
      <c r="W7" s="90">
        <v>0</v>
      </c>
      <c r="X7" s="90">
        <v>0</v>
      </c>
      <c r="Y7" s="90">
        <v>0</v>
      </c>
      <c r="Z7" s="90">
        <v>0</v>
      </c>
      <c r="AA7" s="90">
        <v>0</v>
      </c>
      <c r="AB7" s="90">
        <v>0</v>
      </c>
      <c r="AC7" s="90">
        <v>0</v>
      </c>
      <c r="AD7" s="90">
        <v>0</v>
      </c>
      <c r="AE7" s="90">
        <v>0</v>
      </c>
      <c r="AF7" s="90">
        <v>0</v>
      </c>
      <c r="AG7" s="90">
        <v>0</v>
      </c>
      <c r="AH7" s="90">
        <v>0</v>
      </c>
      <c r="AI7" s="90">
        <v>0</v>
      </c>
      <c r="AJ7" s="90">
        <v>0</v>
      </c>
      <c r="AK7" s="90">
        <v>0</v>
      </c>
      <c r="AL7" s="90">
        <v>0</v>
      </c>
      <c r="AM7" s="90">
        <v>0</v>
      </c>
      <c r="AN7" s="90">
        <v>0</v>
      </c>
      <c r="AO7" s="90">
        <v>0</v>
      </c>
      <c r="AP7" s="90">
        <v>0</v>
      </c>
      <c r="AQ7" s="90">
        <v>0</v>
      </c>
      <c r="AR7" s="90">
        <v>0</v>
      </c>
      <c r="AS7" s="90">
        <v>0</v>
      </c>
      <c r="AT7" s="90">
        <v>0</v>
      </c>
      <c r="AU7" s="90">
        <v>0</v>
      </c>
      <c r="AV7" s="90">
        <v>0</v>
      </c>
      <c r="AX7" s="88">
        <f t="shared" si="7"/>
        <v>0</v>
      </c>
    </row>
    <row r="8" spans="1:50" ht="18.75" x14ac:dyDescent="0.25">
      <c r="A8" s="88">
        <f t="shared" ca="1" si="1"/>
        <v>923.20766646417815</v>
      </c>
      <c r="B8" s="6">
        <v>4</v>
      </c>
      <c r="C8" s="90" t="s">
        <v>4</v>
      </c>
      <c r="D8" s="98">
        <v>60</v>
      </c>
      <c r="E8" s="6">
        <v>0.5</v>
      </c>
      <c r="F8" s="6">
        <v>160</v>
      </c>
      <c r="G8" s="101">
        <f t="shared" si="2"/>
        <v>30</v>
      </c>
      <c r="H8" s="104">
        <f t="shared" si="8"/>
        <v>4800</v>
      </c>
      <c r="I8" s="94">
        <f t="shared" si="3"/>
        <v>0.77358888213927091</v>
      </c>
      <c r="J8" s="95">
        <f t="shared" si="4"/>
        <v>30.773588882139272</v>
      </c>
      <c r="K8" s="95">
        <f t="shared" si="9"/>
        <v>4923.7742211422837</v>
      </c>
      <c r="L8" s="102">
        <v>40</v>
      </c>
      <c r="M8" s="93">
        <f t="shared" si="10"/>
        <v>6400</v>
      </c>
      <c r="N8" s="93">
        <f t="shared" ca="1" si="5"/>
        <v>5160</v>
      </c>
      <c r="O8" s="97">
        <f t="shared" ca="1" si="6"/>
        <v>30</v>
      </c>
      <c r="P8" s="87">
        <v>1</v>
      </c>
      <c r="Q8" s="87">
        <v>129</v>
      </c>
      <c r="R8" s="90">
        <f ca="1">SUMIFS('Tổng Đơn'!$F:$F,'Tổng Đơn'!$B:$B,$C8)</f>
        <v>0</v>
      </c>
      <c r="S8" s="90">
        <v>0</v>
      </c>
      <c r="T8" s="90">
        <v>0</v>
      </c>
      <c r="U8" s="90">
        <v>0</v>
      </c>
      <c r="V8" s="90">
        <v>0</v>
      </c>
      <c r="W8" s="90">
        <v>0</v>
      </c>
      <c r="X8" s="90">
        <v>0</v>
      </c>
      <c r="Y8" s="90">
        <v>0</v>
      </c>
      <c r="Z8" s="90">
        <v>0</v>
      </c>
      <c r="AA8" s="90">
        <v>0</v>
      </c>
      <c r="AB8" s="90">
        <v>0</v>
      </c>
      <c r="AC8" s="90">
        <v>0</v>
      </c>
      <c r="AD8" s="90">
        <v>0</v>
      </c>
      <c r="AE8" s="90">
        <v>0</v>
      </c>
      <c r="AF8" s="90">
        <v>0</v>
      </c>
      <c r="AG8" s="90">
        <v>0</v>
      </c>
      <c r="AH8" s="90">
        <v>0</v>
      </c>
      <c r="AI8" s="90">
        <v>0</v>
      </c>
      <c r="AJ8" s="90">
        <v>0</v>
      </c>
      <c r="AK8" s="90">
        <v>0</v>
      </c>
      <c r="AL8" s="90">
        <v>0</v>
      </c>
      <c r="AM8" s="90">
        <v>0</v>
      </c>
      <c r="AN8" s="90">
        <v>0</v>
      </c>
      <c r="AO8" s="90">
        <v>0</v>
      </c>
      <c r="AP8" s="90">
        <v>0</v>
      </c>
      <c r="AQ8" s="90">
        <v>0</v>
      </c>
      <c r="AR8" s="90">
        <v>0</v>
      </c>
      <c r="AS8" s="90">
        <v>0</v>
      </c>
      <c r="AT8" s="90">
        <v>0</v>
      </c>
      <c r="AU8" s="90">
        <v>0</v>
      </c>
      <c r="AV8" s="90">
        <v>0</v>
      </c>
      <c r="AX8" s="88">
        <f t="shared" si="7"/>
        <v>0</v>
      </c>
    </row>
    <row r="9" spans="1:50" ht="18.75" x14ac:dyDescent="0.25">
      <c r="A9" s="88">
        <f t="shared" ca="1" si="1"/>
        <v>1848.4669055204988</v>
      </c>
      <c r="B9" s="6">
        <v>5</v>
      </c>
      <c r="C9" s="90" t="s">
        <v>5</v>
      </c>
      <c r="D9" s="98">
        <v>68</v>
      </c>
      <c r="E9" s="6">
        <v>0.5</v>
      </c>
      <c r="F9" s="6">
        <v>285</v>
      </c>
      <c r="G9" s="101">
        <f t="shared" si="2"/>
        <v>34</v>
      </c>
      <c r="H9" s="104">
        <f t="shared" si="8"/>
        <v>9690</v>
      </c>
      <c r="I9" s="94">
        <f t="shared" si="3"/>
        <v>0.87673406642450691</v>
      </c>
      <c r="J9" s="95">
        <f t="shared" si="4"/>
        <v>34.876734066424504</v>
      </c>
      <c r="K9" s="95">
        <f t="shared" si="9"/>
        <v>9939.8692089309843</v>
      </c>
      <c r="L9" s="102">
        <v>40</v>
      </c>
      <c r="M9" s="93">
        <f t="shared" si="10"/>
        <v>11400</v>
      </c>
      <c r="N9" s="93">
        <f t="shared" ca="1" si="5"/>
        <v>9320</v>
      </c>
      <c r="O9" s="97">
        <f t="shared" ca="1" si="6"/>
        <v>53</v>
      </c>
      <c r="P9" s="87">
        <v>-1</v>
      </c>
      <c r="Q9" s="87">
        <v>231</v>
      </c>
      <c r="R9" s="90">
        <f ca="1">SUMIFS('Tổng Đơn'!$F:$F,'Tổng Đơn'!$B:$B,$C9)</f>
        <v>2</v>
      </c>
      <c r="S9" s="90">
        <v>0</v>
      </c>
      <c r="T9" s="90">
        <v>0</v>
      </c>
      <c r="U9" s="90">
        <v>0</v>
      </c>
      <c r="V9" s="90">
        <v>0</v>
      </c>
      <c r="W9" s="90">
        <v>0</v>
      </c>
      <c r="X9" s="90">
        <v>0</v>
      </c>
      <c r="Y9" s="90">
        <v>0</v>
      </c>
      <c r="Z9" s="90">
        <v>0</v>
      </c>
      <c r="AA9" s="90">
        <v>0</v>
      </c>
      <c r="AB9" s="90">
        <v>0</v>
      </c>
      <c r="AC9" s="90">
        <v>0</v>
      </c>
      <c r="AD9" s="90">
        <v>0</v>
      </c>
      <c r="AE9" s="90">
        <v>0</v>
      </c>
      <c r="AF9" s="90">
        <v>0</v>
      </c>
      <c r="AG9" s="90">
        <v>0</v>
      </c>
      <c r="AH9" s="90">
        <v>0</v>
      </c>
      <c r="AI9" s="90">
        <v>0</v>
      </c>
      <c r="AJ9" s="90">
        <v>0</v>
      </c>
      <c r="AK9" s="90">
        <v>0</v>
      </c>
      <c r="AL9" s="90">
        <v>0</v>
      </c>
      <c r="AM9" s="90">
        <v>0</v>
      </c>
      <c r="AN9" s="90">
        <v>0</v>
      </c>
      <c r="AO9" s="90">
        <v>0</v>
      </c>
      <c r="AP9" s="90">
        <v>0</v>
      </c>
      <c r="AQ9" s="90">
        <v>0</v>
      </c>
      <c r="AR9" s="90">
        <v>0</v>
      </c>
      <c r="AS9" s="90">
        <v>0</v>
      </c>
      <c r="AT9" s="90">
        <v>0</v>
      </c>
      <c r="AU9" s="90">
        <v>0</v>
      </c>
      <c r="AV9" s="90">
        <v>0</v>
      </c>
      <c r="AX9" s="88">
        <f t="shared" si="7"/>
        <v>0</v>
      </c>
    </row>
    <row r="10" spans="1:50" ht="18.75" x14ac:dyDescent="0.25">
      <c r="A10" s="88">
        <f t="shared" ca="1" si="1"/>
        <v>264.65286438639771</v>
      </c>
      <c r="B10" s="6">
        <v>6</v>
      </c>
      <c r="C10" s="90" t="s">
        <v>6</v>
      </c>
      <c r="D10" s="98">
        <v>86</v>
      </c>
      <c r="E10" s="6">
        <v>0.5</v>
      </c>
      <c r="F10" s="6">
        <v>76</v>
      </c>
      <c r="G10" s="101">
        <f t="shared" si="2"/>
        <v>43</v>
      </c>
      <c r="H10" s="104">
        <f t="shared" si="8"/>
        <v>3268</v>
      </c>
      <c r="I10" s="94">
        <f t="shared" si="3"/>
        <v>1.108810731066288</v>
      </c>
      <c r="J10" s="95">
        <f t="shared" si="4"/>
        <v>44.108810731066285</v>
      </c>
      <c r="K10" s="95">
        <f t="shared" si="9"/>
        <v>3352.2696155610374</v>
      </c>
      <c r="L10" s="102">
        <v>50</v>
      </c>
      <c r="M10" s="93">
        <f t="shared" si="10"/>
        <v>3800</v>
      </c>
      <c r="N10" s="93">
        <f t="shared" ca="1" si="5"/>
        <v>3450</v>
      </c>
      <c r="O10" s="97">
        <f t="shared" ca="1" si="6"/>
        <v>6</v>
      </c>
      <c r="P10" s="87">
        <v>1</v>
      </c>
      <c r="Q10" s="87">
        <v>69</v>
      </c>
      <c r="R10" s="90">
        <f ca="1">SUMIFS('Tổng Đơn'!$F:$F,'Tổng Đơn'!$B:$B,$C10)</f>
        <v>0</v>
      </c>
      <c r="S10" s="90">
        <v>0</v>
      </c>
      <c r="T10" s="90">
        <v>0</v>
      </c>
      <c r="U10" s="90">
        <v>0</v>
      </c>
      <c r="V10" s="90">
        <v>0</v>
      </c>
      <c r="W10" s="90">
        <v>0</v>
      </c>
      <c r="X10" s="90">
        <v>0</v>
      </c>
      <c r="Y10" s="90">
        <v>0</v>
      </c>
      <c r="Z10" s="90">
        <v>0</v>
      </c>
      <c r="AA10" s="90">
        <v>0</v>
      </c>
      <c r="AB10" s="90">
        <v>0</v>
      </c>
      <c r="AC10" s="90">
        <v>0</v>
      </c>
      <c r="AD10" s="90">
        <v>0</v>
      </c>
      <c r="AE10" s="90">
        <v>0</v>
      </c>
      <c r="AF10" s="90">
        <v>0</v>
      </c>
      <c r="AG10" s="90">
        <v>0</v>
      </c>
      <c r="AH10" s="90">
        <v>0</v>
      </c>
      <c r="AI10" s="90">
        <v>0</v>
      </c>
      <c r="AJ10" s="90">
        <v>0</v>
      </c>
      <c r="AK10" s="90">
        <v>0</v>
      </c>
      <c r="AL10" s="90">
        <v>0</v>
      </c>
      <c r="AM10" s="90">
        <v>0</v>
      </c>
      <c r="AN10" s="90">
        <v>0</v>
      </c>
      <c r="AO10" s="90">
        <v>0</v>
      </c>
      <c r="AP10" s="90">
        <v>0</v>
      </c>
      <c r="AQ10" s="90">
        <v>0</v>
      </c>
      <c r="AR10" s="90">
        <v>0</v>
      </c>
      <c r="AS10" s="90">
        <v>0</v>
      </c>
      <c r="AT10" s="90">
        <v>0</v>
      </c>
      <c r="AU10" s="90">
        <v>0</v>
      </c>
      <c r="AV10" s="90">
        <v>0</v>
      </c>
      <c r="AX10" s="88">
        <f t="shared" si="7"/>
        <v>0</v>
      </c>
    </row>
    <row r="11" spans="1:50" ht="18.75" x14ac:dyDescent="0.25">
      <c r="A11" s="88">
        <f t="shared" ca="1" si="1"/>
        <v>0</v>
      </c>
      <c r="B11" s="6">
        <v>7</v>
      </c>
      <c r="C11" s="90" t="s">
        <v>7</v>
      </c>
      <c r="D11" s="98">
        <v>55</v>
      </c>
      <c r="E11" s="6">
        <v>0.5</v>
      </c>
      <c r="F11" s="6">
        <v>20</v>
      </c>
      <c r="G11" s="101">
        <f t="shared" si="2"/>
        <v>27.5</v>
      </c>
      <c r="H11" s="104">
        <f t="shared" si="8"/>
        <v>550</v>
      </c>
      <c r="I11" s="94">
        <f t="shared" si="3"/>
        <v>0.70912314196099824</v>
      </c>
      <c r="J11" s="95">
        <f t="shared" si="4"/>
        <v>28.209123141960998</v>
      </c>
      <c r="K11" s="95">
        <f t="shared" si="9"/>
        <v>564.18246283921997</v>
      </c>
      <c r="L11" s="102">
        <v>34</v>
      </c>
      <c r="M11" s="93">
        <f t="shared" si="10"/>
        <v>680</v>
      </c>
      <c r="N11" s="93">
        <f t="shared" ca="1" si="5"/>
        <v>680</v>
      </c>
      <c r="O11" s="97">
        <f t="shared" ca="1" si="6"/>
        <v>0</v>
      </c>
      <c r="P11" s="87"/>
      <c r="Q11" s="87">
        <v>20</v>
      </c>
      <c r="R11" s="90">
        <f ca="1">SUMIFS('Tổng Đơn'!$F:$F,'Tổng Đơn'!$B:$B,$C11)</f>
        <v>0</v>
      </c>
      <c r="S11" s="90">
        <v>0</v>
      </c>
      <c r="T11" s="90">
        <v>0</v>
      </c>
      <c r="U11" s="90">
        <v>0</v>
      </c>
      <c r="V11" s="90">
        <v>0</v>
      </c>
      <c r="W11" s="90">
        <v>0</v>
      </c>
      <c r="X11" s="90">
        <v>0</v>
      </c>
      <c r="Y11" s="90">
        <v>0</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v>0</v>
      </c>
      <c r="AV11" s="90">
        <v>0</v>
      </c>
      <c r="AX11" s="88">
        <f t="shared" si="7"/>
        <v>0</v>
      </c>
    </row>
    <row r="12" spans="1:50" ht="19.5" customHeight="1" x14ac:dyDescent="0.25">
      <c r="A12" s="88">
        <f t="shared" ca="1" si="1"/>
        <v>943.72339238560426</v>
      </c>
      <c r="B12" s="6">
        <v>8</v>
      </c>
      <c r="C12" s="90" t="s">
        <v>8</v>
      </c>
      <c r="D12" s="98">
        <v>115</v>
      </c>
      <c r="E12" s="6">
        <v>0.5</v>
      </c>
      <c r="F12" s="6">
        <v>38</v>
      </c>
      <c r="G12" s="101">
        <f t="shared" si="2"/>
        <v>57.5</v>
      </c>
      <c r="H12" s="104">
        <f t="shared" si="8"/>
        <v>2185</v>
      </c>
      <c r="I12" s="94">
        <f t="shared" si="3"/>
        <v>1.4827120241002689</v>
      </c>
      <c r="J12" s="95">
        <f t="shared" si="4"/>
        <v>58.982712024100266</v>
      </c>
      <c r="K12" s="95">
        <f t="shared" si="9"/>
        <v>2241.3430569158099</v>
      </c>
      <c r="L12" s="102">
        <v>69</v>
      </c>
      <c r="M12" s="93">
        <f t="shared" si="10"/>
        <v>2622</v>
      </c>
      <c r="N12" s="93">
        <f t="shared" ca="1" si="5"/>
        <v>1449</v>
      </c>
      <c r="O12" s="97">
        <f t="shared" ca="1" si="6"/>
        <v>16</v>
      </c>
      <c r="P12" s="87">
        <v>1</v>
      </c>
      <c r="Q12" s="87">
        <v>21</v>
      </c>
      <c r="R12" s="90">
        <f ca="1">SUMIFS('Tổng Đơn'!$F:$F,'Tổng Đơn'!$B:$B,$C12)</f>
        <v>0</v>
      </c>
      <c r="S12" s="90">
        <v>0</v>
      </c>
      <c r="T12" s="90">
        <v>0</v>
      </c>
      <c r="U12" s="90">
        <v>0</v>
      </c>
      <c r="V12" s="90">
        <v>0</v>
      </c>
      <c r="W12" s="90">
        <v>0</v>
      </c>
      <c r="X12" s="90">
        <v>0</v>
      </c>
      <c r="Y12" s="90">
        <v>0</v>
      </c>
      <c r="Z12" s="90">
        <v>0</v>
      </c>
      <c r="AA12" s="90">
        <v>0</v>
      </c>
      <c r="AB12" s="90">
        <v>0</v>
      </c>
      <c r="AC12" s="90">
        <v>0</v>
      </c>
      <c r="AD12" s="90">
        <v>0</v>
      </c>
      <c r="AE12" s="90">
        <v>0</v>
      </c>
      <c r="AF12" s="90">
        <v>0</v>
      </c>
      <c r="AG12" s="90">
        <v>0</v>
      </c>
      <c r="AH12" s="90">
        <v>0</v>
      </c>
      <c r="AI12" s="90">
        <v>0</v>
      </c>
      <c r="AJ12" s="90">
        <v>0</v>
      </c>
      <c r="AK12" s="90">
        <v>0</v>
      </c>
      <c r="AL12" s="90">
        <v>0</v>
      </c>
      <c r="AM12" s="90">
        <v>0</v>
      </c>
      <c r="AN12" s="90">
        <v>0</v>
      </c>
      <c r="AO12" s="90">
        <v>0</v>
      </c>
      <c r="AP12" s="90">
        <v>0</v>
      </c>
      <c r="AQ12" s="90">
        <v>0</v>
      </c>
      <c r="AR12" s="90">
        <v>0</v>
      </c>
      <c r="AS12" s="90">
        <v>0</v>
      </c>
      <c r="AT12" s="90">
        <v>0</v>
      </c>
      <c r="AU12" s="90">
        <v>0</v>
      </c>
      <c r="AV12" s="90">
        <v>0</v>
      </c>
      <c r="AX12" s="88">
        <f t="shared" si="7"/>
        <v>0</v>
      </c>
    </row>
    <row r="13" spans="1:50" ht="18.75" x14ac:dyDescent="0.25">
      <c r="A13" s="88">
        <f t="shared" ca="1" si="1"/>
        <v>2354.1795494836542</v>
      </c>
      <c r="B13" s="6">
        <v>9</v>
      </c>
      <c r="C13" s="90" t="s">
        <v>9</v>
      </c>
      <c r="D13" s="98">
        <v>85</v>
      </c>
      <c r="E13" s="6">
        <v>0.5</v>
      </c>
      <c r="F13" s="6">
        <v>190</v>
      </c>
      <c r="G13" s="101">
        <f t="shared" si="2"/>
        <v>42.5</v>
      </c>
      <c r="H13" s="104">
        <f t="shared" si="8"/>
        <v>8075</v>
      </c>
      <c r="I13" s="94">
        <f t="shared" si="3"/>
        <v>1.0959175830306336</v>
      </c>
      <c r="J13" s="95">
        <f t="shared" si="4"/>
        <v>43.595917583030634</v>
      </c>
      <c r="K13" s="95">
        <f t="shared" si="9"/>
        <v>8283.2243407758197</v>
      </c>
      <c r="L13" s="102">
        <v>55</v>
      </c>
      <c r="M13" s="93">
        <f t="shared" si="10"/>
        <v>10450</v>
      </c>
      <c r="N13" s="93">
        <f t="shared" ca="1" si="5"/>
        <v>7370</v>
      </c>
      <c r="O13" s="97">
        <f t="shared" ca="1" si="6"/>
        <v>54</v>
      </c>
      <c r="P13" s="87">
        <v>2</v>
      </c>
      <c r="Q13" s="87">
        <v>126</v>
      </c>
      <c r="R13" s="90">
        <f ca="1">SUMIFS('Tổng Đơn'!$F:$F,'Tổng Đơn'!$B:$B,$C13)</f>
        <v>8</v>
      </c>
      <c r="S13" s="90">
        <v>0</v>
      </c>
      <c r="T13" s="90">
        <v>0</v>
      </c>
      <c r="U13" s="90">
        <v>0</v>
      </c>
      <c r="V13" s="90">
        <v>0</v>
      </c>
      <c r="W13" s="90">
        <v>0</v>
      </c>
      <c r="X13" s="90">
        <v>0</v>
      </c>
      <c r="Y13" s="90">
        <v>0</v>
      </c>
      <c r="Z13" s="90">
        <v>0</v>
      </c>
      <c r="AA13" s="90">
        <v>0</v>
      </c>
      <c r="AB13" s="90">
        <v>0</v>
      </c>
      <c r="AC13" s="90">
        <v>0</v>
      </c>
      <c r="AD13" s="90">
        <v>0</v>
      </c>
      <c r="AE13" s="90">
        <v>0</v>
      </c>
      <c r="AF13" s="90">
        <v>0</v>
      </c>
      <c r="AG13" s="90">
        <v>0</v>
      </c>
      <c r="AH13" s="90">
        <v>0</v>
      </c>
      <c r="AI13" s="90">
        <v>0</v>
      </c>
      <c r="AJ13" s="90">
        <v>0</v>
      </c>
      <c r="AK13" s="90">
        <v>0</v>
      </c>
      <c r="AL13" s="90">
        <v>0</v>
      </c>
      <c r="AM13" s="90">
        <v>0</v>
      </c>
      <c r="AN13" s="90">
        <v>0</v>
      </c>
      <c r="AO13" s="90">
        <v>0</v>
      </c>
      <c r="AP13" s="90">
        <v>0</v>
      </c>
      <c r="AQ13" s="90">
        <v>0</v>
      </c>
      <c r="AR13" s="90">
        <v>0</v>
      </c>
      <c r="AS13" s="90">
        <v>0</v>
      </c>
      <c r="AT13" s="90">
        <v>0</v>
      </c>
      <c r="AU13" s="90">
        <v>0</v>
      </c>
      <c r="AV13" s="90">
        <v>0</v>
      </c>
      <c r="AX13" s="88">
        <f t="shared" si="7"/>
        <v>0</v>
      </c>
    </row>
    <row r="14" spans="1:50" ht="18.75" x14ac:dyDescent="0.25">
      <c r="A14" s="88">
        <f t="shared" ca="1" si="1"/>
        <v>443.13967990280548</v>
      </c>
      <c r="B14" s="6">
        <v>10</v>
      </c>
      <c r="C14" s="90" t="s">
        <v>10</v>
      </c>
      <c r="D14" s="98">
        <v>54</v>
      </c>
      <c r="E14" s="6">
        <v>0.5</v>
      </c>
      <c r="F14" s="6">
        <v>30</v>
      </c>
      <c r="G14" s="101">
        <f t="shared" si="2"/>
        <v>27</v>
      </c>
      <c r="H14" s="104">
        <f t="shared" si="8"/>
        <v>810</v>
      </c>
      <c r="I14" s="94">
        <f t="shared" si="3"/>
        <v>0.69622999392534379</v>
      </c>
      <c r="J14" s="95">
        <f t="shared" si="4"/>
        <v>27.696229993925343</v>
      </c>
      <c r="K14" s="95">
        <f t="shared" si="9"/>
        <v>830.88689981776031</v>
      </c>
      <c r="L14" s="102">
        <v>32</v>
      </c>
      <c r="M14" s="93">
        <f t="shared" si="10"/>
        <v>960</v>
      </c>
      <c r="N14" s="93">
        <f t="shared" ca="1" si="5"/>
        <v>448</v>
      </c>
      <c r="O14" s="97">
        <f t="shared" ca="1" si="6"/>
        <v>16</v>
      </c>
      <c r="P14" s="87"/>
      <c r="Q14" s="87">
        <v>14</v>
      </c>
      <c r="R14" s="90">
        <f ca="1">SUMIFS('Tổng Đơn'!$F:$F,'Tổng Đơn'!$B:$B,$C14)</f>
        <v>0</v>
      </c>
      <c r="S14" s="90">
        <v>0</v>
      </c>
      <c r="T14" s="90">
        <v>0</v>
      </c>
      <c r="U14" s="90">
        <v>0</v>
      </c>
      <c r="V14" s="90">
        <v>0</v>
      </c>
      <c r="W14" s="90">
        <v>0</v>
      </c>
      <c r="X14" s="90">
        <v>0</v>
      </c>
      <c r="Y14" s="90">
        <v>0</v>
      </c>
      <c r="Z14" s="90">
        <v>0</v>
      </c>
      <c r="AA14" s="90">
        <v>0</v>
      </c>
      <c r="AB14" s="90">
        <v>0</v>
      </c>
      <c r="AC14" s="90">
        <v>0</v>
      </c>
      <c r="AD14" s="90">
        <v>0</v>
      </c>
      <c r="AE14" s="90">
        <v>0</v>
      </c>
      <c r="AF14" s="90">
        <v>0</v>
      </c>
      <c r="AG14" s="90">
        <v>0</v>
      </c>
      <c r="AH14" s="90">
        <v>0</v>
      </c>
      <c r="AI14" s="90">
        <v>0</v>
      </c>
      <c r="AJ14" s="90">
        <v>0</v>
      </c>
      <c r="AK14" s="90">
        <v>0</v>
      </c>
      <c r="AL14" s="90">
        <v>0</v>
      </c>
      <c r="AM14" s="90">
        <v>0</v>
      </c>
      <c r="AN14" s="90">
        <v>0</v>
      </c>
      <c r="AO14" s="90">
        <v>0</v>
      </c>
      <c r="AP14" s="90">
        <v>0</v>
      </c>
      <c r="AQ14" s="90">
        <v>0</v>
      </c>
      <c r="AR14" s="90">
        <v>0</v>
      </c>
      <c r="AS14" s="90">
        <v>0</v>
      </c>
      <c r="AT14" s="90">
        <v>0</v>
      </c>
      <c r="AU14" s="90">
        <v>0</v>
      </c>
      <c r="AV14" s="90">
        <v>0</v>
      </c>
      <c r="AX14" s="88">
        <f t="shared" si="7"/>
        <v>0</v>
      </c>
    </row>
    <row r="15" spans="1:50" ht="18.75" x14ac:dyDescent="0.25">
      <c r="A15" s="88">
        <f t="shared" ca="1" si="1"/>
        <v>0</v>
      </c>
      <c r="B15" s="6">
        <v>11</v>
      </c>
      <c r="C15" s="90" t="s">
        <v>11</v>
      </c>
      <c r="D15" s="98">
        <v>54</v>
      </c>
      <c r="E15" s="6">
        <v>0.5</v>
      </c>
      <c r="F15" s="6">
        <v>10</v>
      </c>
      <c r="G15" s="101">
        <f t="shared" si="2"/>
        <v>27</v>
      </c>
      <c r="H15" s="104">
        <f t="shared" si="8"/>
        <v>270</v>
      </c>
      <c r="I15" s="94">
        <f t="shared" si="3"/>
        <v>0.69622999392534379</v>
      </c>
      <c r="J15" s="95">
        <f t="shared" si="4"/>
        <v>27.696229993925343</v>
      </c>
      <c r="K15" s="95">
        <f t="shared" si="9"/>
        <v>276.9622999392534</v>
      </c>
      <c r="L15" s="102">
        <v>35</v>
      </c>
      <c r="M15" s="93">
        <f t="shared" si="10"/>
        <v>350</v>
      </c>
      <c r="N15" s="93">
        <f t="shared" ca="1" si="5"/>
        <v>350</v>
      </c>
      <c r="O15" s="97">
        <f t="shared" ca="1" si="6"/>
        <v>0</v>
      </c>
      <c r="P15" s="87"/>
      <c r="Q15" s="87">
        <v>10</v>
      </c>
      <c r="R15" s="90">
        <f ca="1">SUMIFS('Tổng Đơn'!$F:$F,'Tổng Đơn'!$B:$B,$C15)</f>
        <v>0</v>
      </c>
      <c r="S15" s="90">
        <v>0</v>
      </c>
      <c r="T15" s="90">
        <v>0</v>
      </c>
      <c r="U15" s="90">
        <v>0</v>
      </c>
      <c r="V15" s="90">
        <v>0</v>
      </c>
      <c r="W15" s="90">
        <v>0</v>
      </c>
      <c r="X15" s="90">
        <v>0</v>
      </c>
      <c r="Y15" s="90">
        <v>0</v>
      </c>
      <c r="Z15" s="90">
        <v>0</v>
      </c>
      <c r="AA15" s="90">
        <v>0</v>
      </c>
      <c r="AB15" s="90">
        <v>0</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v>0</v>
      </c>
      <c r="AV15" s="90">
        <v>0</v>
      </c>
      <c r="AX15" s="88">
        <f t="shared" si="7"/>
        <v>0</v>
      </c>
    </row>
    <row r="16" spans="1:50" ht="18.75" x14ac:dyDescent="0.25">
      <c r="A16" s="88">
        <f t="shared" ca="1" si="1"/>
        <v>525.71547673654595</v>
      </c>
      <c r="B16" s="6">
        <v>12</v>
      </c>
      <c r="C16" s="90" t="s">
        <v>12</v>
      </c>
      <c r="D16" s="98">
        <v>41</v>
      </c>
      <c r="E16" s="6">
        <v>0.5</v>
      </c>
      <c r="F16" s="6">
        <v>160</v>
      </c>
      <c r="G16" s="101">
        <f t="shared" si="2"/>
        <v>20.5</v>
      </c>
      <c r="H16" s="104">
        <f t="shared" si="8"/>
        <v>3280</v>
      </c>
      <c r="I16" s="94">
        <f t="shared" si="3"/>
        <v>0.52861906946183512</v>
      </c>
      <c r="J16" s="95">
        <f t="shared" si="4"/>
        <v>21.028619069461836</v>
      </c>
      <c r="K16" s="95">
        <f t="shared" si="9"/>
        <v>3364.5790511138939</v>
      </c>
      <c r="L16" s="102">
        <v>26</v>
      </c>
      <c r="M16" s="93">
        <f t="shared" si="10"/>
        <v>4160</v>
      </c>
      <c r="N16" s="93">
        <f t="shared" ca="1" si="5"/>
        <v>3510</v>
      </c>
      <c r="O16" s="97">
        <f t="shared" ca="1" si="6"/>
        <v>25</v>
      </c>
      <c r="P16" s="87"/>
      <c r="Q16" s="87">
        <v>135</v>
      </c>
      <c r="R16" s="90">
        <f ca="1">SUMIFS('Tổng Đơn'!$F:$F,'Tổng Đơn'!$B:$B,$C16)</f>
        <v>0</v>
      </c>
      <c r="S16" s="90">
        <v>0</v>
      </c>
      <c r="T16" s="90">
        <v>0</v>
      </c>
      <c r="U16" s="90">
        <v>0</v>
      </c>
      <c r="V16" s="90">
        <v>0</v>
      </c>
      <c r="W16" s="90">
        <v>0</v>
      </c>
      <c r="X16" s="90">
        <v>0</v>
      </c>
      <c r="Y16" s="90">
        <v>0</v>
      </c>
      <c r="Z16" s="90">
        <v>0</v>
      </c>
      <c r="AA16" s="90">
        <v>0</v>
      </c>
      <c r="AB16" s="90">
        <v>0</v>
      </c>
      <c r="AC16" s="90">
        <v>0</v>
      </c>
      <c r="AD16" s="90">
        <v>0</v>
      </c>
      <c r="AE16" s="90">
        <v>0</v>
      </c>
      <c r="AF16" s="90">
        <v>0</v>
      </c>
      <c r="AG16" s="90">
        <v>0</v>
      </c>
      <c r="AH16" s="90">
        <v>0</v>
      </c>
      <c r="AI16" s="90">
        <v>0</v>
      </c>
      <c r="AJ16" s="90">
        <v>0</v>
      </c>
      <c r="AK16" s="90">
        <v>0</v>
      </c>
      <c r="AL16" s="90">
        <v>0</v>
      </c>
      <c r="AM16" s="90">
        <v>0</v>
      </c>
      <c r="AN16" s="90">
        <v>0</v>
      </c>
      <c r="AO16" s="90">
        <v>0</v>
      </c>
      <c r="AP16" s="90">
        <v>0</v>
      </c>
      <c r="AQ16" s="90">
        <v>0</v>
      </c>
      <c r="AR16" s="90">
        <v>0</v>
      </c>
      <c r="AS16" s="90">
        <v>0</v>
      </c>
      <c r="AT16" s="90">
        <v>0</v>
      </c>
      <c r="AU16" s="90">
        <v>0</v>
      </c>
      <c r="AV16" s="90">
        <v>0</v>
      </c>
      <c r="AX16" s="88">
        <f t="shared" si="7"/>
        <v>0</v>
      </c>
    </row>
    <row r="17" spans="1:50" ht="18.75" x14ac:dyDescent="0.25">
      <c r="A17" s="88">
        <f t="shared" ca="1" si="1"/>
        <v>799.08752463954977</v>
      </c>
      <c r="B17" s="6">
        <v>13</v>
      </c>
      <c r="C17" s="90" t="s">
        <v>13</v>
      </c>
      <c r="D17" s="98">
        <v>41</v>
      </c>
      <c r="E17" s="6">
        <v>0.5</v>
      </c>
      <c r="F17" s="6">
        <v>110</v>
      </c>
      <c r="G17" s="101">
        <f t="shared" si="2"/>
        <v>20.5</v>
      </c>
      <c r="H17" s="104">
        <f t="shared" si="8"/>
        <v>2255</v>
      </c>
      <c r="I17" s="94">
        <f t="shared" si="3"/>
        <v>0.52861906946183501</v>
      </c>
      <c r="J17" s="95">
        <f t="shared" si="4"/>
        <v>21.028619069461836</v>
      </c>
      <c r="K17" s="95">
        <f t="shared" si="9"/>
        <v>2313.148097640802</v>
      </c>
      <c r="L17" s="102">
        <v>28</v>
      </c>
      <c r="M17" s="93">
        <f t="shared" si="10"/>
        <v>3080</v>
      </c>
      <c r="N17" s="93">
        <f t="shared" ca="1" si="5"/>
        <v>2016</v>
      </c>
      <c r="O17" s="97">
        <f t="shared" ca="1" si="6"/>
        <v>38</v>
      </c>
      <c r="P17" s="87"/>
      <c r="Q17" s="87">
        <v>72</v>
      </c>
      <c r="R17" s="90">
        <f ca="1">SUMIFS('Tổng Đơn'!$F:$F,'Tổng Đơn'!$B:$B,$C17)</f>
        <v>0</v>
      </c>
      <c r="S17" s="90">
        <v>0</v>
      </c>
      <c r="T17" s="90">
        <v>0</v>
      </c>
      <c r="U17" s="90">
        <v>0</v>
      </c>
      <c r="V17" s="90">
        <v>0</v>
      </c>
      <c r="W17" s="90">
        <v>0</v>
      </c>
      <c r="X17" s="90">
        <v>0</v>
      </c>
      <c r="Y17" s="90">
        <v>0</v>
      </c>
      <c r="Z17" s="90">
        <v>0</v>
      </c>
      <c r="AA17" s="90">
        <v>0</v>
      </c>
      <c r="AB17" s="90">
        <v>0</v>
      </c>
      <c r="AC17" s="90">
        <v>0</v>
      </c>
      <c r="AD17" s="90">
        <v>0</v>
      </c>
      <c r="AE17" s="90">
        <v>0</v>
      </c>
      <c r="AF17" s="90">
        <v>0</v>
      </c>
      <c r="AG17" s="90">
        <v>0</v>
      </c>
      <c r="AH17" s="90">
        <v>0</v>
      </c>
      <c r="AI17" s="90">
        <v>0</v>
      </c>
      <c r="AJ17" s="90">
        <v>0</v>
      </c>
      <c r="AK17" s="90">
        <v>0</v>
      </c>
      <c r="AL17" s="90">
        <v>0</v>
      </c>
      <c r="AM17" s="90">
        <v>0</v>
      </c>
      <c r="AN17" s="90">
        <v>0</v>
      </c>
      <c r="AO17" s="90">
        <v>0</v>
      </c>
      <c r="AP17" s="90">
        <v>0</v>
      </c>
      <c r="AQ17" s="90">
        <v>0</v>
      </c>
      <c r="AR17" s="90">
        <v>0</v>
      </c>
      <c r="AS17" s="90">
        <v>0</v>
      </c>
      <c r="AT17" s="90">
        <v>0</v>
      </c>
      <c r="AU17" s="90">
        <v>0</v>
      </c>
      <c r="AV17" s="90">
        <v>0</v>
      </c>
      <c r="AX17" s="88">
        <f t="shared" si="7"/>
        <v>0</v>
      </c>
    </row>
    <row r="18" spans="1:50" ht="18.75" x14ac:dyDescent="0.25">
      <c r="A18" s="88">
        <f t="shared" ca="1" si="1"/>
        <v>733.43720169098594</v>
      </c>
      <c r="B18" s="6">
        <v>14</v>
      </c>
      <c r="C18" s="90" t="s">
        <v>14</v>
      </c>
      <c r="D18" s="98">
        <v>55</v>
      </c>
      <c r="E18" s="6">
        <v>0.5</v>
      </c>
      <c r="F18" s="6">
        <v>330</v>
      </c>
      <c r="G18" s="101">
        <f t="shared" si="2"/>
        <v>27.5</v>
      </c>
      <c r="H18" s="104">
        <f t="shared" si="8"/>
        <v>9075</v>
      </c>
      <c r="I18" s="94">
        <f t="shared" si="3"/>
        <v>0.70912314196099824</v>
      </c>
      <c r="J18" s="95">
        <f t="shared" si="4"/>
        <v>28.209123141960998</v>
      </c>
      <c r="K18" s="95">
        <f t="shared" si="9"/>
        <v>9309.0106368471297</v>
      </c>
      <c r="L18" s="102">
        <v>33</v>
      </c>
      <c r="M18" s="93">
        <f t="shared" si="10"/>
        <v>10890</v>
      </c>
      <c r="N18" s="93">
        <f t="shared" ca="1" si="5"/>
        <v>10032</v>
      </c>
      <c r="O18" s="97">
        <f t="shared" ca="1" si="6"/>
        <v>26</v>
      </c>
      <c r="P18" s="87"/>
      <c r="Q18" s="87">
        <v>304</v>
      </c>
      <c r="R18" s="90">
        <f ca="1">SUMIFS('Tổng Đơn'!$F:$F,'Tổng Đơn'!$B:$B,$C18)</f>
        <v>0</v>
      </c>
      <c r="S18" s="90">
        <v>0</v>
      </c>
      <c r="T18" s="90">
        <v>0</v>
      </c>
      <c r="U18" s="90">
        <v>0</v>
      </c>
      <c r="V18" s="90">
        <v>0</v>
      </c>
      <c r="W18" s="90">
        <v>0</v>
      </c>
      <c r="X18" s="90">
        <v>0</v>
      </c>
      <c r="Y18" s="90">
        <v>0</v>
      </c>
      <c r="Z18" s="90">
        <v>0</v>
      </c>
      <c r="AA18" s="90">
        <v>0</v>
      </c>
      <c r="AB18" s="90">
        <v>0</v>
      </c>
      <c r="AC18" s="90">
        <v>0</v>
      </c>
      <c r="AD18" s="90">
        <v>0</v>
      </c>
      <c r="AE18" s="90">
        <v>0</v>
      </c>
      <c r="AF18" s="90">
        <v>0</v>
      </c>
      <c r="AG18" s="90">
        <v>0</v>
      </c>
      <c r="AH18" s="90">
        <v>0</v>
      </c>
      <c r="AI18" s="90">
        <v>0</v>
      </c>
      <c r="AJ18" s="90">
        <v>0</v>
      </c>
      <c r="AK18" s="90">
        <v>0</v>
      </c>
      <c r="AL18" s="90">
        <v>0</v>
      </c>
      <c r="AM18" s="90">
        <v>0</v>
      </c>
      <c r="AN18" s="90">
        <v>0</v>
      </c>
      <c r="AO18" s="90">
        <v>0</v>
      </c>
      <c r="AP18" s="90">
        <v>0</v>
      </c>
      <c r="AQ18" s="90">
        <v>0</v>
      </c>
      <c r="AR18" s="90">
        <v>0</v>
      </c>
      <c r="AS18" s="90">
        <v>0</v>
      </c>
      <c r="AT18" s="90">
        <v>0</v>
      </c>
      <c r="AU18" s="90">
        <v>0</v>
      </c>
      <c r="AV18" s="90">
        <v>0</v>
      </c>
      <c r="AX18" s="88">
        <f t="shared" si="7"/>
        <v>0</v>
      </c>
    </row>
    <row r="19" spans="1:50" ht="18.75" x14ac:dyDescent="0.25">
      <c r="A19" s="88">
        <f t="shared" ca="1" si="1"/>
        <v>92.320766646417809</v>
      </c>
      <c r="B19" s="6">
        <v>15</v>
      </c>
      <c r="C19" s="90" t="s">
        <v>15</v>
      </c>
      <c r="D19" s="98">
        <v>60</v>
      </c>
      <c r="E19" s="6">
        <v>0.5</v>
      </c>
      <c r="F19" s="6">
        <v>10</v>
      </c>
      <c r="G19" s="101">
        <f t="shared" si="2"/>
        <v>30</v>
      </c>
      <c r="H19" s="104">
        <f t="shared" si="8"/>
        <v>300</v>
      </c>
      <c r="I19" s="94">
        <f t="shared" si="3"/>
        <v>0.77358888213927091</v>
      </c>
      <c r="J19" s="95">
        <f t="shared" si="4"/>
        <v>30.773588882139272</v>
      </c>
      <c r="K19" s="95">
        <f t="shared" si="9"/>
        <v>307.73588882139273</v>
      </c>
      <c r="L19" s="102">
        <v>35</v>
      </c>
      <c r="M19" s="93">
        <f t="shared" si="10"/>
        <v>350</v>
      </c>
      <c r="N19" s="93">
        <f t="shared" ca="1" si="5"/>
        <v>245</v>
      </c>
      <c r="O19" s="97">
        <f t="shared" ca="1" si="6"/>
        <v>3</v>
      </c>
      <c r="P19" s="87"/>
      <c r="Q19" s="87">
        <v>7</v>
      </c>
      <c r="R19" s="90">
        <f ca="1">SUMIFS('Tổng Đơn'!$F:$F,'Tổng Đơn'!$B:$B,$C19)</f>
        <v>0</v>
      </c>
      <c r="S19" s="90">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v>0</v>
      </c>
      <c r="AV19" s="90">
        <v>0</v>
      </c>
      <c r="AX19" s="88">
        <f t="shared" si="7"/>
        <v>0</v>
      </c>
    </row>
    <row r="20" spans="1:50" ht="18.75" x14ac:dyDescent="0.25">
      <c r="A20" s="88">
        <f t="shared" si="1"/>
        <v>55.392459987850685</v>
      </c>
      <c r="B20" s="6">
        <v>16</v>
      </c>
      <c r="C20" s="90" t="s">
        <v>162</v>
      </c>
      <c r="D20" s="98">
        <v>54</v>
      </c>
      <c r="E20" s="6">
        <v>0.5</v>
      </c>
      <c r="F20" s="6">
        <v>10</v>
      </c>
      <c r="G20" s="101">
        <f t="shared" si="2"/>
        <v>27</v>
      </c>
      <c r="H20" s="104">
        <f t="shared" ref="H20:H25" si="11">G20*F20</f>
        <v>270</v>
      </c>
      <c r="I20" s="94">
        <f t="shared" si="3"/>
        <v>0.69622999392534379</v>
      </c>
      <c r="J20" s="95">
        <f t="shared" ref="J20:J25" si="12">G20+I20</f>
        <v>27.696229993925343</v>
      </c>
      <c r="K20" s="95">
        <f t="shared" ref="K20:K25" si="13">J20*F20</f>
        <v>276.9622999392534</v>
      </c>
      <c r="L20" s="102">
        <v>45</v>
      </c>
      <c r="M20" s="93">
        <f t="shared" ref="M20:M25" si="14">L20*F20</f>
        <v>450</v>
      </c>
      <c r="N20" s="93">
        <f t="shared" si="5"/>
        <v>405</v>
      </c>
      <c r="O20" s="97">
        <f t="shared" si="6"/>
        <v>2</v>
      </c>
      <c r="P20" s="87">
        <v>-1</v>
      </c>
      <c r="Q20" s="87">
        <v>9</v>
      </c>
      <c r="R20" s="90">
        <f>SUMIFS('Tổng Đơn'!$F:$F,'Tổng Đơn'!$B:$B,$C20)</f>
        <v>0</v>
      </c>
      <c r="S20" s="90">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v>0</v>
      </c>
      <c r="AV20" s="90">
        <v>0</v>
      </c>
      <c r="AX20" s="88">
        <f t="shared" si="7"/>
        <v>0</v>
      </c>
    </row>
    <row r="21" spans="1:50" ht="18.75" x14ac:dyDescent="0.25">
      <c r="A21" s="88">
        <f t="shared" ca="1" si="1"/>
        <v>508.79000285136925</v>
      </c>
      <c r="B21" s="6">
        <v>17</v>
      </c>
      <c r="C21" s="90" t="s">
        <v>139</v>
      </c>
      <c r="D21" s="98">
        <v>62</v>
      </c>
      <c r="E21" s="6">
        <v>0.5</v>
      </c>
      <c r="F21" s="6">
        <v>135</v>
      </c>
      <c r="G21" s="101">
        <f t="shared" si="2"/>
        <v>31</v>
      </c>
      <c r="H21" s="104">
        <f t="shared" si="11"/>
        <v>4185</v>
      </c>
      <c r="I21" s="94">
        <f t="shared" si="3"/>
        <v>0.7993751782105798</v>
      </c>
      <c r="J21" s="95">
        <f t="shared" si="12"/>
        <v>31.799375178210578</v>
      </c>
      <c r="K21" s="95">
        <f t="shared" si="13"/>
        <v>4292.9156490584282</v>
      </c>
      <c r="L21" s="102">
        <v>40</v>
      </c>
      <c r="M21" s="93">
        <f t="shared" si="14"/>
        <v>5400</v>
      </c>
      <c r="N21" s="93">
        <f t="shared" ca="1" si="5"/>
        <v>4760</v>
      </c>
      <c r="O21" s="97">
        <f t="shared" ca="1" si="6"/>
        <v>16</v>
      </c>
      <c r="P21" s="87"/>
      <c r="Q21" s="87">
        <v>108</v>
      </c>
      <c r="R21" s="90">
        <f ca="1">SUMIFS('Tổng Đơn'!$F:$F,'Tổng Đơn'!$B:$B,$C21)</f>
        <v>11</v>
      </c>
      <c r="S21" s="90">
        <v>0</v>
      </c>
      <c r="T21" s="90">
        <v>0</v>
      </c>
      <c r="U21" s="90">
        <v>0</v>
      </c>
      <c r="V21" s="90">
        <v>0</v>
      </c>
      <c r="W21" s="90">
        <v>0</v>
      </c>
      <c r="X21" s="90">
        <v>0</v>
      </c>
      <c r="Y21" s="90">
        <v>0</v>
      </c>
      <c r="Z21" s="90">
        <v>0</v>
      </c>
      <c r="AA21" s="90">
        <v>0</v>
      </c>
      <c r="AB21" s="90">
        <v>0</v>
      </c>
      <c r="AC21" s="90">
        <v>0</v>
      </c>
      <c r="AD21" s="90">
        <v>0</v>
      </c>
      <c r="AE21" s="90">
        <v>0</v>
      </c>
      <c r="AF21" s="90">
        <v>0</v>
      </c>
      <c r="AG21" s="90">
        <v>0</v>
      </c>
      <c r="AH21" s="90">
        <v>0</v>
      </c>
      <c r="AI21" s="90">
        <v>0</v>
      </c>
      <c r="AJ21" s="90">
        <v>0</v>
      </c>
      <c r="AK21" s="90">
        <v>0</v>
      </c>
      <c r="AL21" s="90">
        <v>0</v>
      </c>
      <c r="AM21" s="90">
        <v>0</v>
      </c>
      <c r="AN21" s="90">
        <v>0</v>
      </c>
      <c r="AO21" s="90">
        <v>0</v>
      </c>
      <c r="AP21" s="90">
        <v>0</v>
      </c>
      <c r="AQ21" s="90">
        <v>0</v>
      </c>
      <c r="AR21" s="90">
        <v>0</v>
      </c>
      <c r="AS21" s="90">
        <v>0</v>
      </c>
      <c r="AT21" s="90">
        <v>0</v>
      </c>
      <c r="AU21" s="90">
        <v>0</v>
      </c>
      <c r="AV21" s="90">
        <v>0</v>
      </c>
      <c r="AX21" s="88">
        <f t="shared" si="7"/>
        <v>0</v>
      </c>
    </row>
    <row r="22" spans="1:50" ht="18.75" x14ac:dyDescent="0.25">
      <c r="A22" s="88">
        <f t="shared" ca="1" si="1"/>
        <v>154.380837558732</v>
      </c>
      <c r="B22" s="6">
        <v>18</v>
      </c>
      <c r="C22" s="90" t="s">
        <v>140</v>
      </c>
      <c r="D22" s="98">
        <v>43</v>
      </c>
      <c r="E22" s="6">
        <v>0.5</v>
      </c>
      <c r="F22" s="6">
        <v>25</v>
      </c>
      <c r="G22" s="101">
        <f t="shared" si="2"/>
        <v>21.5</v>
      </c>
      <c r="H22" s="104">
        <f t="shared" si="11"/>
        <v>537.5</v>
      </c>
      <c r="I22" s="94">
        <f t="shared" si="3"/>
        <v>0.55440536553314412</v>
      </c>
      <c r="J22" s="95">
        <f t="shared" si="12"/>
        <v>22.054405365533142</v>
      </c>
      <c r="K22" s="95">
        <f t="shared" si="13"/>
        <v>551.36013413832859</v>
      </c>
      <c r="L22" s="102">
        <v>35</v>
      </c>
      <c r="M22" s="93">
        <f t="shared" si="14"/>
        <v>875</v>
      </c>
      <c r="N22" s="93">
        <f t="shared" ca="1" si="5"/>
        <v>630</v>
      </c>
      <c r="O22" s="97">
        <f t="shared" ca="1" si="6"/>
        <v>7</v>
      </c>
      <c r="P22" s="87"/>
      <c r="Q22" s="87">
        <v>18</v>
      </c>
      <c r="R22" s="90">
        <f ca="1">SUMIFS('Tổng Đơn'!$F:$F,'Tổng Đơn'!$B:$B,$C22)</f>
        <v>0</v>
      </c>
      <c r="S22" s="90">
        <v>0</v>
      </c>
      <c r="T22" s="90">
        <v>0</v>
      </c>
      <c r="U22" s="90">
        <v>0</v>
      </c>
      <c r="V22" s="90">
        <v>0</v>
      </c>
      <c r="W22" s="90">
        <v>0</v>
      </c>
      <c r="X22" s="90">
        <v>0</v>
      </c>
      <c r="Y22" s="90">
        <v>0</v>
      </c>
      <c r="Z22" s="90">
        <v>0</v>
      </c>
      <c r="AA22" s="90">
        <v>0</v>
      </c>
      <c r="AB22" s="90">
        <v>0</v>
      </c>
      <c r="AC22" s="90">
        <v>0</v>
      </c>
      <c r="AD22" s="90">
        <v>0</v>
      </c>
      <c r="AE22" s="90">
        <v>0</v>
      </c>
      <c r="AF22" s="90">
        <v>0</v>
      </c>
      <c r="AG22" s="90">
        <v>0</v>
      </c>
      <c r="AH22" s="90">
        <v>0</v>
      </c>
      <c r="AI22" s="90">
        <v>0</v>
      </c>
      <c r="AJ22" s="90">
        <v>0</v>
      </c>
      <c r="AK22" s="90">
        <v>0</v>
      </c>
      <c r="AL22" s="90">
        <v>0</v>
      </c>
      <c r="AM22" s="90">
        <v>0</v>
      </c>
      <c r="AN22" s="90">
        <v>0</v>
      </c>
      <c r="AO22" s="90">
        <v>0</v>
      </c>
      <c r="AP22" s="90">
        <v>0</v>
      </c>
      <c r="AQ22" s="90">
        <v>0</v>
      </c>
      <c r="AR22" s="90">
        <v>0</v>
      </c>
      <c r="AS22" s="90">
        <v>0</v>
      </c>
      <c r="AT22" s="90">
        <v>0</v>
      </c>
      <c r="AU22" s="90">
        <v>0</v>
      </c>
      <c r="AV22" s="90">
        <v>0</v>
      </c>
      <c r="AX22" s="88">
        <f t="shared" si="7"/>
        <v>0</v>
      </c>
    </row>
    <row r="23" spans="1:50" ht="18.75" x14ac:dyDescent="0.25">
      <c r="A23" s="88">
        <f t="shared" ca="1" si="1"/>
        <v>535.46044654922332</v>
      </c>
      <c r="B23" s="6">
        <v>19</v>
      </c>
      <c r="C23" s="90" t="s">
        <v>175</v>
      </c>
      <c r="D23" s="98">
        <v>43.5</v>
      </c>
      <c r="E23" s="6">
        <v>0.5</v>
      </c>
      <c r="F23" s="6">
        <v>70</v>
      </c>
      <c r="G23" s="101">
        <f t="shared" si="2"/>
        <v>21.75</v>
      </c>
      <c r="H23" s="104">
        <f t="shared" si="11"/>
        <v>1522.5</v>
      </c>
      <c r="I23" s="94">
        <f t="shared" si="3"/>
        <v>0.56085193955097135</v>
      </c>
      <c r="J23" s="95">
        <f t="shared" si="12"/>
        <v>22.310851939550972</v>
      </c>
      <c r="K23" s="95">
        <f t="shared" si="13"/>
        <v>1561.7596357685679</v>
      </c>
      <c r="L23" s="102">
        <v>30</v>
      </c>
      <c r="M23" s="93">
        <f t="shared" si="14"/>
        <v>2100</v>
      </c>
      <c r="N23" s="93">
        <f t="shared" ca="1" si="5"/>
        <v>1380</v>
      </c>
      <c r="O23" s="97">
        <f t="shared" ca="1" si="6"/>
        <v>24</v>
      </c>
      <c r="P23" s="87"/>
      <c r="Q23" s="87">
        <v>46</v>
      </c>
      <c r="R23" s="90">
        <f ca="1">SUMIFS('Tổng Đơn'!$F:$F,'Tổng Đơn'!$B:$B,$C23)</f>
        <v>0</v>
      </c>
      <c r="S23" s="90">
        <v>0</v>
      </c>
      <c r="T23" s="90">
        <v>0</v>
      </c>
      <c r="U23" s="90">
        <v>0</v>
      </c>
      <c r="V23" s="90">
        <v>0</v>
      </c>
      <c r="W23" s="90">
        <v>0</v>
      </c>
      <c r="X23" s="90">
        <v>0</v>
      </c>
      <c r="Y23" s="90">
        <v>0</v>
      </c>
      <c r="Z23" s="90">
        <v>0</v>
      </c>
      <c r="AA23" s="90">
        <v>0</v>
      </c>
      <c r="AB23" s="90">
        <v>0</v>
      </c>
      <c r="AC23" s="90">
        <v>0</v>
      </c>
      <c r="AD23" s="90">
        <v>0</v>
      </c>
      <c r="AE23" s="90">
        <v>0</v>
      </c>
      <c r="AF23" s="90">
        <v>0</v>
      </c>
      <c r="AG23" s="90">
        <v>0</v>
      </c>
      <c r="AH23" s="90">
        <v>0</v>
      </c>
      <c r="AI23" s="90">
        <v>0</v>
      </c>
      <c r="AJ23" s="90">
        <v>0</v>
      </c>
      <c r="AK23" s="90">
        <v>0</v>
      </c>
      <c r="AL23" s="90">
        <v>0</v>
      </c>
      <c r="AM23" s="90">
        <v>0</v>
      </c>
      <c r="AN23" s="90">
        <v>0</v>
      </c>
      <c r="AO23" s="90">
        <v>0</v>
      </c>
      <c r="AP23" s="90">
        <v>0</v>
      </c>
      <c r="AQ23" s="90">
        <v>0</v>
      </c>
      <c r="AR23" s="90">
        <v>0</v>
      </c>
      <c r="AS23" s="90">
        <v>0</v>
      </c>
      <c r="AT23" s="90">
        <v>0</v>
      </c>
      <c r="AU23" s="90">
        <v>0</v>
      </c>
      <c r="AV23" s="90">
        <v>0</v>
      </c>
      <c r="AX23" s="88">
        <f t="shared" si="7"/>
        <v>0</v>
      </c>
    </row>
    <row r="24" spans="1:50" ht="18.75" x14ac:dyDescent="0.25">
      <c r="A24" s="88">
        <f t="shared" ca="1" si="1"/>
        <v>120.01699664034317</v>
      </c>
      <c r="B24" s="6">
        <v>20</v>
      </c>
      <c r="C24" s="90" t="s">
        <v>173</v>
      </c>
      <c r="D24" s="98">
        <v>39</v>
      </c>
      <c r="E24" s="6">
        <v>1</v>
      </c>
      <c r="F24" s="6">
        <v>105</v>
      </c>
      <c r="G24" s="101">
        <f t="shared" si="2"/>
        <v>39</v>
      </c>
      <c r="H24" s="104">
        <f t="shared" si="11"/>
        <v>4095</v>
      </c>
      <c r="I24" s="94">
        <f t="shared" si="3"/>
        <v>1.005665546781052</v>
      </c>
      <c r="J24" s="95">
        <f t="shared" si="12"/>
        <v>40.005665546781053</v>
      </c>
      <c r="K24" s="95">
        <f t="shared" si="13"/>
        <v>4200.5948824120105</v>
      </c>
      <c r="L24" s="102">
        <v>45</v>
      </c>
      <c r="M24" s="93">
        <f t="shared" si="14"/>
        <v>4725</v>
      </c>
      <c r="N24" s="93">
        <f t="shared" ca="1" si="5"/>
        <v>4590</v>
      </c>
      <c r="O24" s="97">
        <f t="shared" ca="1" si="6"/>
        <v>3</v>
      </c>
      <c r="P24" s="87"/>
      <c r="Q24" s="87">
        <v>100</v>
      </c>
      <c r="R24" s="90">
        <f ca="1">SUMIFS('Tổng Đơn'!$F:$F,'Tổng Đơn'!$B:$B,$C24)</f>
        <v>2</v>
      </c>
      <c r="S24" s="90">
        <v>0</v>
      </c>
      <c r="T24" s="90">
        <v>0</v>
      </c>
      <c r="U24" s="90">
        <v>0</v>
      </c>
      <c r="V24" s="90">
        <v>0</v>
      </c>
      <c r="W24" s="90">
        <v>0</v>
      </c>
      <c r="X24" s="90">
        <v>0</v>
      </c>
      <c r="Y24" s="90">
        <v>0</v>
      </c>
      <c r="Z24" s="90">
        <v>0</v>
      </c>
      <c r="AA24" s="90">
        <v>0</v>
      </c>
      <c r="AB24" s="90">
        <v>0</v>
      </c>
      <c r="AC24" s="90">
        <v>0</v>
      </c>
      <c r="AD24" s="90">
        <v>0</v>
      </c>
      <c r="AE24" s="90">
        <v>0</v>
      </c>
      <c r="AF24" s="90">
        <v>0</v>
      </c>
      <c r="AG24" s="90">
        <v>0</v>
      </c>
      <c r="AH24" s="90">
        <v>0</v>
      </c>
      <c r="AI24" s="90">
        <v>0</v>
      </c>
      <c r="AJ24" s="90">
        <v>0</v>
      </c>
      <c r="AK24" s="90">
        <v>0</v>
      </c>
      <c r="AL24" s="90">
        <v>0</v>
      </c>
      <c r="AM24" s="90">
        <v>0</v>
      </c>
      <c r="AN24" s="90">
        <v>0</v>
      </c>
      <c r="AO24" s="90">
        <v>0</v>
      </c>
      <c r="AP24" s="90">
        <v>0</v>
      </c>
      <c r="AQ24" s="90">
        <v>0</v>
      </c>
      <c r="AR24" s="90">
        <v>0</v>
      </c>
      <c r="AS24" s="90">
        <v>0</v>
      </c>
      <c r="AT24" s="90">
        <v>0</v>
      </c>
      <c r="AU24" s="90">
        <v>0</v>
      </c>
      <c r="AV24" s="90">
        <v>0</v>
      </c>
      <c r="AX24" s="88">
        <f t="shared" si="7"/>
        <v>0</v>
      </c>
    </row>
    <row r="25" spans="1:50" ht="18.75" x14ac:dyDescent="0.25">
      <c r="A25" s="88">
        <f t="shared" ca="1" si="1"/>
        <v>1338.6511163730584</v>
      </c>
      <c r="B25" s="6">
        <v>21</v>
      </c>
      <c r="C25" s="90" t="s">
        <v>171</v>
      </c>
      <c r="D25" s="98">
        <v>145</v>
      </c>
      <c r="E25" s="6">
        <v>0.5</v>
      </c>
      <c r="F25" s="6">
        <v>76</v>
      </c>
      <c r="G25" s="101">
        <f t="shared" si="2"/>
        <v>72.5</v>
      </c>
      <c r="H25" s="104">
        <f t="shared" si="11"/>
        <v>5510</v>
      </c>
      <c r="I25" s="94">
        <f t="shared" si="3"/>
        <v>1.869506465169904</v>
      </c>
      <c r="J25" s="95">
        <f t="shared" si="12"/>
        <v>74.369506465169906</v>
      </c>
      <c r="K25" s="95">
        <f t="shared" si="13"/>
        <v>5652.0824913529132</v>
      </c>
      <c r="L25" s="102">
        <v>80</v>
      </c>
      <c r="M25" s="93">
        <f t="shared" si="14"/>
        <v>6080</v>
      </c>
      <c r="N25" s="93">
        <f t="shared" ca="1" si="5"/>
        <v>4640</v>
      </c>
      <c r="O25" s="97">
        <f t="shared" ca="1" si="6"/>
        <v>18</v>
      </c>
      <c r="P25" s="87"/>
      <c r="Q25" s="87">
        <v>57</v>
      </c>
      <c r="R25" s="90">
        <f ca="1">SUMIFS('Tổng Đơn'!$F:$F,'Tổng Đơn'!$B:$B,$C25)</f>
        <v>1</v>
      </c>
      <c r="S25" s="90">
        <v>0</v>
      </c>
      <c r="T25" s="90">
        <v>0</v>
      </c>
      <c r="U25" s="90">
        <v>0</v>
      </c>
      <c r="V25" s="90">
        <v>0</v>
      </c>
      <c r="W25" s="90">
        <v>0</v>
      </c>
      <c r="X25" s="90">
        <v>0</v>
      </c>
      <c r="Y25" s="90">
        <v>0</v>
      </c>
      <c r="Z25" s="90">
        <v>0</v>
      </c>
      <c r="AA25" s="90">
        <v>0</v>
      </c>
      <c r="AB25" s="90">
        <v>0</v>
      </c>
      <c r="AC25" s="90">
        <v>0</v>
      </c>
      <c r="AD25" s="90">
        <v>0</v>
      </c>
      <c r="AE25" s="90">
        <v>0</v>
      </c>
      <c r="AF25" s="90">
        <v>0</v>
      </c>
      <c r="AG25" s="90">
        <v>0</v>
      </c>
      <c r="AH25" s="90">
        <v>0</v>
      </c>
      <c r="AI25" s="90">
        <v>0</v>
      </c>
      <c r="AJ25" s="90">
        <v>0</v>
      </c>
      <c r="AK25" s="90">
        <v>0</v>
      </c>
      <c r="AL25" s="90">
        <v>0</v>
      </c>
      <c r="AM25" s="90">
        <v>0</v>
      </c>
      <c r="AN25" s="90">
        <v>0</v>
      </c>
      <c r="AO25" s="90">
        <v>0</v>
      </c>
      <c r="AP25" s="90">
        <v>0</v>
      </c>
      <c r="AQ25" s="90">
        <v>0</v>
      </c>
      <c r="AR25" s="90">
        <v>0</v>
      </c>
      <c r="AS25" s="90">
        <v>0</v>
      </c>
      <c r="AT25" s="90">
        <v>0</v>
      </c>
      <c r="AU25" s="90">
        <v>0</v>
      </c>
      <c r="AV25" s="90">
        <v>0</v>
      </c>
      <c r="AX25" s="88">
        <f t="shared" si="7"/>
        <v>0</v>
      </c>
    </row>
    <row r="26" spans="1:50" ht="18.75" x14ac:dyDescent="0.25">
      <c r="A26" s="88">
        <f t="shared" ca="1" si="1"/>
        <v>1328.3932534123451</v>
      </c>
      <c r="B26" s="6">
        <v>22</v>
      </c>
      <c r="C26" s="90" t="s">
        <v>177</v>
      </c>
      <c r="D26" s="98">
        <v>74</v>
      </c>
      <c r="E26" s="6">
        <v>0.5</v>
      </c>
      <c r="F26" s="6">
        <v>90</v>
      </c>
      <c r="G26" s="101">
        <f t="shared" si="2"/>
        <v>37</v>
      </c>
      <c r="H26" s="104">
        <f t="shared" ref="H26" si="15">G26*F26</f>
        <v>3330</v>
      </c>
      <c r="I26" s="94">
        <f t="shared" si="3"/>
        <v>0.95409295463843402</v>
      </c>
      <c r="J26" s="95">
        <f t="shared" ref="J26" si="16">G26+I26</f>
        <v>37.954092954638433</v>
      </c>
      <c r="K26" s="95">
        <f t="shared" ref="K26" si="17">J26*F26</f>
        <v>3415.868365917459</v>
      </c>
      <c r="L26" s="102">
        <v>42</v>
      </c>
      <c r="M26" s="93">
        <f t="shared" ref="M26" si="18">L26*F26</f>
        <v>3780</v>
      </c>
      <c r="N26" s="93">
        <f t="shared" ca="1" si="5"/>
        <v>2268</v>
      </c>
      <c r="O26" s="97">
        <f t="shared" ca="1" si="6"/>
        <v>35</v>
      </c>
      <c r="P26" s="87">
        <v>1</v>
      </c>
      <c r="Q26" s="87">
        <v>54</v>
      </c>
      <c r="R26" s="90">
        <f ca="1">SUMIFS('Tổng Đơn'!$F:$F,'Tổng Đơn'!$B:$B,$C26)</f>
        <v>0</v>
      </c>
      <c r="S26" s="90">
        <v>0</v>
      </c>
      <c r="T26" s="90">
        <v>0</v>
      </c>
      <c r="U26" s="90">
        <v>0</v>
      </c>
      <c r="V26" s="90">
        <v>0</v>
      </c>
      <c r="W26" s="90">
        <v>0</v>
      </c>
      <c r="X26" s="90">
        <v>0</v>
      </c>
      <c r="Y26" s="90">
        <v>0</v>
      </c>
      <c r="Z26" s="90">
        <v>0</v>
      </c>
      <c r="AA26" s="90">
        <v>0</v>
      </c>
      <c r="AB26" s="90">
        <v>0</v>
      </c>
      <c r="AC26" s="90">
        <v>0</v>
      </c>
      <c r="AD26" s="90">
        <v>0</v>
      </c>
      <c r="AE26" s="90">
        <v>0</v>
      </c>
      <c r="AF26" s="90">
        <v>0</v>
      </c>
      <c r="AG26" s="90">
        <v>0</v>
      </c>
      <c r="AH26" s="90">
        <v>0</v>
      </c>
      <c r="AI26" s="90">
        <v>0</v>
      </c>
      <c r="AJ26" s="90">
        <v>0</v>
      </c>
      <c r="AK26" s="90">
        <v>0</v>
      </c>
      <c r="AL26" s="90">
        <v>0</v>
      </c>
      <c r="AM26" s="90">
        <v>0</v>
      </c>
      <c r="AN26" s="90">
        <v>0</v>
      </c>
      <c r="AO26" s="90">
        <v>0</v>
      </c>
      <c r="AP26" s="90">
        <v>0</v>
      </c>
      <c r="AQ26" s="90">
        <v>0</v>
      </c>
      <c r="AR26" s="90">
        <v>0</v>
      </c>
      <c r="AS26" s="90">
        <v>0</v>
      </c>
      <c r="AT26" s="90">
        <v>0</v>
      </c>
      <c r="AU26" s="90">
        <v>0</v>
      </c>
      <c r="AV26" s="90">
        <v>0</v>
      </c>
      <c r="AX26" s="88">
        <f t="shared" si="7"/>
        <v>0</v>
      </c>
    </row>
    <row r="27" spans="1:50" ht="18.75" x14ac:dyDescent="0.25">
      <c r="A27" s="88">
        <f t="shared" ca="1" si="1"/>
        <v>60.521391468207234</v>
      </c>
      <c r="B27" s="6">
        <v>23</v>
      </c>
      <c r="C27" s="90" t="s">
        <v>179</v>
      </c>
      <c r="D27" s="98">
        <v>59</v>
      </c>
      <c r="E27" s="6">
        <v>0.5</v>
      </c>
      <c r="F27" s="6">
        <v>10</v>
      </c>
      <c r="G27" s="101">
        <f t="shared" si="2"/>
        <v>29.5</v>
      </c>
      <c r="H27" s="104">
        <f t="shared" ref="H27:H30" si="19">G27*F27</f>
        <v>295</v>
      </c>
      <c r="I27" s="94">
        <f t="shared" si="3"/>
        <v>0.76069573410361624</v>
      </c>
      <c r="J27" s="95">
        <f t="shared" ref="J27:J28" si="20">G27+I27</f>
        <v>30.260695734103617</v>
      </c>
      <c r="K27" s="95">
        <f t="shared" ref="K27:K28" si="21">J27*F27</f>
        <v>302.60695734103615</v>
      </c>
      <c r="L27" s="102">
        <v>35</v>
      </c>
      <c r="M27" s="93">
        <f t="shared" ref="M27:M28" si="22">L27*F27</f>
        <v>350</v>
      </c>
      <c r="N27" s="93">
        <f t="shared" ca="1" si="5"/>
        <v>70</v>
      </c>
      <c r="O27" s="97">
        <f t="shared" ca="1" si="6"/>
        <v>2</v>
      </c>
      <c r="P27" s="87">
        <v>6</v>
      </c>
      <c r="Q27" s="87">
        <v>2</v>
      </c>
      <c r="R27" s="90">
        <f ca="1">SUMIFS('Tổng Đơn'!$F:$F,'Tổng Đơn'!$B:$B,$C27)</f>
        <v>0</v>
      </c>
      <c r="S27" s="90">
        <v>0</v>
      </c>
      <c r="T27" s="90">
        <v>0</v>
      </c>
      <c r="U27" s="90">
        <v>0</v>
      </c>
      <c r="V27" s="90">
        <v>0</v>
      </c>
      <c r="W27" s="90">
        <v>0</v>
      </c>
      <c r="X27" s="90">
        <v>0</v>
      </c>
      <c r="Y27" s="90">
        <v>0</v>
      </c>
      <c r="Z27" s="90">
        <v>0</v>
      </c>
      <c r="AA27" s="90">
        <v>0</v>
      </c>
      <c r="AB27" s="90">
        <v>0</v>
      </c>
      <c r="AC27" s="90">
        <v>0</v>
      </c>
      <c r="AD27" s="90">
        <v>0</v>
      </c>
      <c r="AE27" s="90">
        <v>0</v>
      </c>
      <c r="AF27" s="90">
        <v>0</v>
      </c>
      <c r="AG27" s="90">
        <v>0</v>
      </c>
      <c r="AH27" s="90">
        <v>0</v>
      </c>
      <c r="AI27" s="90">
        <v>0</v>
      </c>
      <c r="AJ27" s="90">
        <v>0</v>
      </c>
      <c r="AK27" s="90">
        <v>0</v>
      </c>
      <c r="AL27" s="90">
        <v>0</v>
      </c>
      <c r="AM27" s="90">
        <v>0</v>
      </c>
      <c r="AN27" s="90">
        <v>0</v>
      </c>
      <c r="AO27" s="90">
        <v>0</v>
      </c>
      <c r="AP27" s="90">
        <v>0</v>
      </c>
      <c r="AQ27" s="90">
        <v>0</v>
      </c>
      <c r="AR27" s="90">
        <v>0</v>
      </c>
      <c r="AS27" s="90">
        <v>0</v>
      </c>
      <c r="AT27" s="90">
        <v>0</v>
      </c>
      <c r="AU27" s="90">
        <v>0</v>
      </c>
      <c r="AV27" s="90">
        <v>0</v>
      </c>
      <c r="AX27" s="88">
        <f t="shared" si="7"/>
        <v>0</v>
      </c>
    </row>
    <row r="28" spans="1:50" ht="18.75" x14ac:dyDescent="0.25">
      <c r="A28" s="88">
        <f t="shared" ca="1" si="1"/>
        <v>420.05948824120105</v>
      </c>
      <c r="B28" s="6">
        <v>24</v>
      </c>
      <c r="C28" s="90" t="s">
        <v>180</v>
      </c>
      <c r="D28" s="98">
        <v>63</v>
      </c>
      <c r="E28" s="6">
        <v>0.5</v>
      </c>
      <c r="F28" s="6">
        <v>30</v>
      </c>
      <c r="G28" s="101">
        <f t="shared" si="2"/>
        <v>31.5</v>
      </c>
      <c r="H28" s="104">
        <f t="shared" si="19"/>
        <v>945</v>
      </c>
      <c r="I28" s="94">
        <f t="shared" si="3"/>
        <v>0.81226832624623435</v>
      </c>
      <c r="J28" s="95">
        <f t="shared" si="20"/>
        <v>32.312268326246233</v>
      </c>
      <c r="K28" s="95">
        <f t="shared" si="21"/>
        <v>969.36804978738701</v>
      </c>
      <c r="L28" s="102">
        <v>38</v>
      </c>
      <c r="M28" s="93">
        <f t="shared" si="22"/>
        <v>1140</v>
      </c>
      <c r="N28" s="93">
        <f t="shared" ca="1" si="5"/>
        <v>646</v>
      </c>
      <c r="O28" s="97">
        <f t="shared" ca="1" si="6"/>
        <v>13</v>
      </c>
      <c r="P28" s="87"/>
      <c r="Q28" s="87">
        <v>17</v>
      </c>
      <c r="R28" s="90">
        <f ca="1">SUMIFS('Tổng Đơn'!$F:$F,'Tổng Đơn'!$B:$B,$C28)</f>
        <v>0</v>
      </c>
      <c r="S28" s="90">
        <v>0</v>
      </c>
      <c r="T28" s="90">
        <v>0</v>
      </c>
      <c r="U28" s="90">
        <v>0</v>
      </c>
      <c r="V28" s="90">
        <v>0</v>
      </c>
      <c r="W28" s="90">
        <v>0</v>
      </c>
      <c r="X28" s="90">
        <v>0</v>
      </c>
      <c r="Y28" s="90">
        <v>0</v>
      </c>
      <c r="Z28" s="90">
        <v>0</v>
      </c>
      <c r="AA28" s="90">
        <v>0</v>
      </c>
      <c r="AB28" s="90">
        <v>0</v>
      </c>
      <c r="AC28" s="90">
        <v>0</v>
      </c>
      <c r="AD28" s="90">
        <v>0</v>
      </c>
      <c r="AE28" s="90">
        <v>0</v>
      </c>
      <c r="AF28" s="90">
        <v>0</v>
      </c>
      <c r="AG28" s="90">
        <v>0</v>
      </c>
      <c r="AH28" s="90">
        <v>0</v>
      </c>
      <c r="AI28" s="90">
        <v>0</v>
      </c>
      <c r="AJ28" s="90">
        <v>0</v>
      </c>
      <c r="AK28" s="90">
        <v>0</v>
      </c>
      <c r="AL28" s="90">
        <v>0</v>
      </c>
      <c r="AM28" s="90">
        <v>0</v>
      </c>
      <c r="AN28" s="90">
        <v>0</v>
      </c>
      <c r="AO28" s="90">
        <v>0</v>
      </c>
      <c r="AP28" s="90">
        <v>0</v>
      </c>
      <c r="AQ28" s="90">
        <v>0</v>
      </c>
      <c r="AR28" s="90">
        <v>0</v>
      </c>
      <c r="AS28" s="90">
        <v>0</v>
      </c>
      <c r="AT28" s="90">
        <v>0</v>
      </c>
      <c r="AU28" s="90">
        <v>0</v>
      </c>
      <c r="AV28" s="90">
        <v>0</v>
      </c>
      <c r="AX28" s="88">
        <f t="shared" si="7"/>
        <v>0</v>
      </c>
    </row>
    <row r="29" spans="1:50" ht="18.75" x14ac:dyDescent="0.25">
      <c r="A29" s="88">
        <f t="shared" ca="1" si="1"/>
        <v>1220.6856923248577</v>
      </c>
      <c r="B29" s="6">
        <v>25</v>
      </c>
      <c r="C29" s="90" t="s">
        <v>205</v>
      </c>
      <c r="D29" s="98">
        <v>85</v>
      </c>
      <c r="E29" s="6">
        <v>0.5</v>
      </c>
      <c r="F29" s="6">
        <v>50</v>
      </c>
      <c r="G29" s="101">
        <f t="shared" si="2"/>
        <v>42.5</v>
      </c>
      <c r="H29" s="104">
        <f t="shared" si="19"/>
        <v>2125</v>
      </c>
      <c r="I29" s="94">
        <f t="shared" ref="I29:I30" si="23">((H29/$H$4)*$A$2)/F29</f>
        <v>1.0959175830306338</v>
      </c>
      <c r="J29" s="95">
        <f t="shared" ref="J29:J30" si="24">G29+I29</f>
        <v>43.595917583030634</v>
      </c>
      <c r="K29" s="95">
        <f t="shared" ref="K29:K30" si="25">J29*F29</f>
        <v>2179.7958791515316</v>
      </c>
      <c r="L29" s="102">
        <v>47</v>
      </c>
      <c r="M29" s="93">
        <f t="shared" ref="M29:M30" si="26">L29*F29</f>
        <v>2350</v>
      </c>
      <c r="N29" s="93">
        <f t="shared" ca="1" si="5"/>
        <v>1034</v>
      </c>
      <c r="O29" s="97">
        <f t="shared" ca="1" si="6"/>
        <v>28</v>
      </c>
      <c r="P29" s="87"/>
      <c r="Q29" s="87">
        <v>22</v>
      </c>
      <c r="R29" s="90">
        <f ca="1">SUMIFS('Tổng Đơn'!$F:$F,'Tổng Đơn'!$B:$B,$C29)</f>
        <v>0</v>
      </c>
      <c r="S29" s="90">
        <v>0</v>
      </c>
      <c r="T29" s="90">
        <v>0</v>
      </c>
      <c r="U29" s="90">
        <v>0</v>
      </c>
      <c r="V29" s="90">
        <v>0</v>
      </c>
      <c r="W29" s="90">
        <v>0</v>
      </c>
      <c r="X29" s="90">
        <v>0</v>
      </c>
      <c r="Y29" s="90">
        <v>0</v>
      </c>
      <c r="Z29" s="90">
        <v>0</v>
      </c>
      <c r="AA29" s="90">
        <v>0</v>
      </c>
      <c r="AB29" s="90">
        <v>0</v>
      </c>
      <c r="AC29" s="90">
        <v>0</v>
      </c>
      <c r="AD29" s="90">
        <v>0</v>
      </c>
      <c r="AE29" s="90">
        <v>0</v>
      </c>
      <c r="AF29" s="90">
        <v>0</v>
      </c>
      <c r="AG29" s="90">
        <v>0</v>
      </c>
      <c r="AH29" s="90">
        <v>0</v>
      </c>
      <c r="AI29" s="90">
        <v>0</v>
      </c>
      <c r="AJ29" s="90">
        <v>0</v>
      </c>
      <c r="AK29" s="90">
        <v>0</v>
      </c>
      <c r="AL29" s="90">
        <v>0</v>
      </c>
      <c r="AM29" s="90">
        <v>0</v>
      </c>
      <c r="AN29" s="90">
        <v>0</v>
      </c>
      <c r="AO29" s="90">
        <v>0</v>
      </c>
      <c r="AP29" s="90">
        <v>0</v>
      </c>
      <c r="AQ29" s="90">
        <v>0</v>
      </c>
      <c r="AR29" s="90">
        <v>0</v>
      </c>
      <c r="AS29" s="90">
        <v>0</v>
      </c>
      <c r="AT29" s="90">
        <v>0</v>
      </c>
      <c r="AU29" s="90">
        <v>0</v>
      </c>
      <c r="AV29" s="90">
        <v>0</v>
      </c>
      <c r="AX29" s="88">
        <f t="shared" si="7"/>
        <v>0</v>
      </c>
    </row>
    <row r="30" spans="1:50" ht="18.75" x14ac:dyDescent="0.25">
      <c r="A30" s="88">
        <f t="shared" ca="1" si="1"/>
        <v>624.70385430742726</v>
      </c>
      <c r="B30" s="6">
        <v>26</v>
      </c>
      <c r="C30" s="90" t="s">
        <v>208</v>
      </c>
      <c r="D30" s="98">
        <v>87</v>
      </c>
      <c r="E30" s="6">
        <v>0.5</v>
      </c>
      <c r="F30" s="6">
        <v>20</v>
      </c>
      <c r="G30" s="101">
        <f>D30/2</f>
        <v>43.5</v>
      </c>
      <c r="H30" s="104">
        <f t="shared" si="19"/>
        <v>870</v>
      </c>
      <c r="I30" s="94">
        <f t="shared" si="23"/>
        <v>1.1217038791019427</v>
      </c>
      <c r="J30" s="95">
        <f t="shared" si="24"/>
        <v>44.621703879101943</v>
      </c>
      <c r="K30" s="95">
        <f t="shared" si="25"/>
        <v>892.43407758203887</v>
      </c>
      <c r="L30" s="102">
        <v>50</v>
      </c>
      <c r="M30" s="93">
        <f t="shared" si="26"/>
        <v>1000</v>
      </c>
      <c r="N30" s="93">
        <f t="shared" ca="1" si="5"/>
        <v>300</v>
      </c>
      <c r="O30" s="97">
        <f t="shared" ca="1" si="6"/>
        <v>14</v>
      </c>
      <c r="P30" s="87"/>
      <c r="Q30" s="87">
        <v>4</v>
      </c>
      <c r="R30" s="90">
        <f ca="1">SUMIFS('Tổng Đơn'!$F:$F,'Tổng Đơn'!$B:$B,$C30)</f>
        <v>2</v>
      </c>
      <c r="S30" s="90">
        <v>0</v>
      </c>
      <c r="T30" s="90">
        <v>0</v>
      </c>
      <c r="U30" s="90">
        <v>0</v>
      </c>
      <c r="V30" s="90">
        <v>0</v>
      </c>
      <c r="W30" s="90">
        <v>0</v>
      </c>
      <c r="X30" s="90">
        <v>0</v>
      </c>
      <c r="Y30" s="90">
        <v>0</v>
      </c>
      <c r="Z30" s="90">
        <v>0</v>
      </c>
      <c r="AA30" s="90">
        <v>0</v>
      </c>
      <c r="AB30" s="90">
        <v>0</v>
      </c>
      <c r="AC30" s="90">
        <v>0</v>
      </c>
      <c r="AD30" s="90">
        <v>0</v>
      </c>
      <c r="AE30" s="90">
        <v>0</v>
      </c>
      <c r="AF30" s="90">
        <v>0</v>
      </c>
      <c r="AG30" s="90">
        <v>0</v>
      </c>
      <c r="AH30" s="90">
        <v>0</v>
      </c>
      <c r="AI30" s="90">
        <v>0</v>
      </c>
      <c r="AJ30" s="90">
        <v>0</v>
      </c>
      <c r="AK30" s="90">
        <v>0</v>
      </c>
      <c r="AL30" s="90">
        <v>0</v>
      </c>
      <c r="AM30" s="90">
        <v>0</v>
      </c>
      <c r="AN30" s="90">
        <v>0</v>
      </c>
      <c r="AO30" s="90">
        <v>0</v>
      </c>
      <c r="AP30" s="90">
        <v>0</v>
      </c>
      <c r="AQ30" s="90">
        <v>0</v>
      </c>
      <c r="AR30" s="90">
        <v>0</v>
      </c>
      <c r="AS30" s="90">
        <v>0</v>
      </c>
      <c r="AT30" s="90">
        <v>0</v>
      </c>
      <c r="AU30" s="90">
        <v>0</v>
      </c>
      <c r="AV30" s="90">
        <v>0</v>
      </c>
      <c r="AX30" s="88">
        <f t="shared" si="7"/>
        <v>0</v>
      </c>
    </row>
    <row r="31" spans="1:50" ht="18.75" x14ac:dyDescent="0.25">
      <c r="A31" s="88">
        <f t="shared" si="1"/>
        <v>0</v>
      </c>
      <c r="B31" s="6">
        <v>27</v>
      </c>
      <c r="C31" s="90" t="s">
        <v>209</v>
      </c>
      <c r="D31" s="98">
        <v>143</v>
      </c>
      <c r="E31" s="6">
        <v>0.5</v>
      </c>
      <c r="F31" s="6"/>
      <c r="G31" s="101">
        <f t="shared" ref="G31:G32" si="27">D31/2</f>
        <v>71.5</v>
      </c>
      <c r="H31" s="104"/>
      <c r="I31" s="94"/>
      <c r="J31" s="95"/>
      <c r="K31" s="95"/>
      <c r="L31" s="102">
        <v>80</v>
      </c>
      <c r="M31" s="93"/>
      <c r="N31" s="93"/>
      <c r="O31" s="97">
        <f t="shared" si="6"/>
        <v>0</v>
      </c>
      <c r="P31" s="87"/>
      <c r="Q31" s="87">
        <v>0</v>
      </c>
      <c r="R31" s="90">
        <f>SUMIFS('Tổng Đơn'!$F:$F,'Tổng Đơn'!$B:$B,$C31)</f>
        <v>0</v>
      </c>
      <c r="S31" s="103">
        <v>0</v>
      </c>
      <c r="T31" s="103">
        <v>0</v>
      </c>
      <c r="U31" s="103">
        <v>0</v>
      </c>
      <c r="V31" s="103">
        <v>0</v>
      </c>
      <c r="W31" s="103">
        <v>0</v>
      </c>
      <c r="X31" s="103">
        <v>0</v>
      </c>
      <c r="Y31" s="103">
        <v>0</v>
      </c>
      <c r="Z31" s="103">
        <v>0</v>
      </c>
      <c r="AA31" s="103">
        <v>0</v>
      </c>
      <c r="AB31" s="103">
        <v>0</v>
      </c>
      <c r="AC31" s="103">
        <v>0</v>
      </c>
      <c r="AD31" s="103">
        <v>0</v>
      </c>
      <c r="AE31" s="103">
        <v>0</v>
      </c>
      <c r="AF31" s="103">
        <v>0</v>
      </c>
      <c r="AG31" s="103">
        <v>0</v>
      </c>
      <c r="AH31" s="103">
        <v>0</v>
      </c>
      <c r="AI31" s="103">
        <v>0</v>
      </c>
      <c r="AJ31" s="103">
        <v>0</v>
      </c>
      <c r="AK31" s="103">
        <v>0</v>
      </c>
      <c r="AL31" s="103">
        <v>0</v>
      </c>
      <c r="AM31" s="103">
        <v>0</v>
      </c>
      <c r="AN31" s="103">
        <v>0</v>
      </c>
      <c r="AO31" s="103">
        <v>0</v>
      </c>
      <c r="AP31" s="103">
        <v>0</v>
      </c>
      <c r="AQ31" s="103">
        <v>0</v>
      </c>
      <c r="AR31" s="103">
        <v>0</v>
      </c>
      <c r="AS31" s="103">
        <v>0</v>
      </c>
      <c r="AT31" s="103">
        <v>0</v>
      </c>
      <c r="AU31" s="103">
        <v>0</v>
      </c>
      <c r="AV31" s="103">
        <v>0</v>
      </c>
      <c r="AX31" s="88">
        <f t="shared" si="7"/>
        <v>0</v>
      </c>
    </row>
    <row r="32" spans="1:50" ht="18.75" x14ac:dyDescent="0.25">
      <c r="A32" s="88">
        <f t="shared" si="1"/>
        <v>0</v>
      </c>
      <c r="B32" s="6">
        <v>28</v>
      </c>
      <c r="C32" s="90" t="s">
        <v>210</v>
      </c>
      <c r="D32" s="98">
        <v>143</v>
      </c>
      <c r="E32" s="6">
        <v>0.5</v>
      </c>
      <c r="F32" s="6"/>
      <c r="G32" s="101">
        <f t="shared" si="27"/>
        <v>71.5</v>
      </c>
      <c r="H32" s="104"/>
      <c r="I32" s="94"/>
      <c r="J32" s="95"/>
      <c r="K32" s="95"/>
      <c r="L32" s="102">
        <v>80</v>
      </c>
      <c r="M32" s="93"/>
      <c r="N32" s="93"/>
      <c r="O32" s="97">
        <f t="shared" si="6"/>
        <v>0</v>
      </c>
      <c r="P32" s="87"/>
      <c r="Q32" s="87">
        <v>0</v>
      </c>
      <c r="R32" s="90">
        <f>SUMIFS('Tổng Đơn'!$F:$F,'Tổng Đơn'!$B:$B,$C32)</f>
        <v>0</v>
      </c>
      <c r="S32" s="103">
        <v>0</v>
      </c>
      <c r="T32" s="103">
        <v>0</v>
      </c>
      <c r="U32" s="103">
        <v>0</v>
      </c>
      <c r="V32" s="103">
        <v>0</v>
      </c>
      <c r="W32" s="103">
        <v>0</v>
      </c>
      <c r="X32" s="103">
        <v>0</v>
      </c>
      <c r="Y32" s="103">
        <v>0</v>
      </c>
      <c r="Z32" s="103">
        <v>0</v>
      </c>
      <c r="AA32" s="103">
        <v>0</v>
      </c>
      <c r="AB32" s="103">
        <v>0</v>
      </c>
      <c r="AC32" s="103">
        <v>0</v>
      </c>
      <c r="AD32" s="103">
        <v>0</v>
      </c>
      <c r="AE32" s="103">
        <v>0</v>
      </c>
      <c r="AF32" s="103">
        <v>0</v>
      </c>
      <c r="AG32" s="103">
        <v>0</v>
      </c>
      <c r="AH32" s="103">
        <v>0</v>
      </c>
      <c r="AI32" s="103">
        <v>0</v>
      </c>
      <c r="AJ32" s="103">
        <v>0</v>
      </c>
      <c r="AK32" s="103">
        <v>0</v>
      </c>
      <c r="AL32" s="103">
        <v>0</v>
      </c>
      <c r="AM32" s="103">
        <v>0</v>
      </c>
      <c r="AN32" s="103">
        <v>0</v>
      </c>
      <c r="AO32" s="103">
        <v>0</v>
      </c>
      <c r="AP32" s="103">
        <v>0</v>
      </c>
      <c r="AQ32" s="103">
        <v>0</v>
      </c>
      <c r="AR32" s="103">
        <v>0</v>
      </c>
      <c r="AS32" s="103">
        <v>0</v>
      </c>
      <c r="AT32" s="103">
        <v>0</v>
      </c>
      <c r="AU32" s="103">
        <v>0</v>
      </c>
      <c r="AV32" s="103">
        <v>0</v>
      </c>
      <c r="AX32" s="88">
        <f t="shared" si="7"/>
        <v>0</v>
      </c>
    </row>
  </sheetData>
  <autoFilter ref="B4:AW32"/>
  <mergeCells count="1">
    <mergeCell ref="B1:M1"/>
  </mergeCells>
  <conditionalFormatting sqref="C6:C19">
    <cfRule type="expression" dxfId="514" priority="19">
      <formula>($O6/$O6)&lt;=1/4</formula>
    </cfRule>
  </conditionalFormatting>
  <conditionalFormatting sqref="C20">
    <cfRule type="expression" dxfId="513" priority="18">
      <formula>($O20/$O20)&lt;=1/4</formula>
    </cfRule>
  </conditionalFormatting>
  <conditionalFormatting sqref="C21">
    <cfRule type="expression" dxfId="512" priority="16">
      <formula>($O21/$O21)&lt;=1/4</formula>
    </cfRule>
  </conditionalFormatting>
  <conditionalFormatting sqref="C22">
    <cfRule type="expression" dxfId="511" priority="14">
      <formula>($O22/$O22)&lt;=1/4</formula>
    </cfRule>
  </conditionalFormatting>
  <conditionalFormatting sqref="C23">
    <cfRule type="expression" dxfId="510" priority="12">
      <formula>($O23/$O23)&lt;=1/4</formula>
    </cfRule>
  </conditionalFormatting>
  <conditionalFormatting sqref="C24:C25">
    <cfRule type="expression" dxfId="509" priority="10">
      <formula>($O24/$O24)&lt;=1/4</formula>
    </cfRule>
  </conditionalFormatting>
  <conditionalFormatting sqref="C26">
    <cfRule type="expression" dxfId="508" priority="8">
      <formula>($O26/$O26)&lt;=1/4</formula>
    </cfRule>
  </conditionalFormatting>
  <conditionalFormatting sqref="C27:C28">
    <cfRule type="expression" dxfId="507" priority="6">
      <formula>($O27/$O27)&lt;=1/4</formula>
    </cfRule>
  </conditionalFormatting>
  <conditionalFormatting sqref="C5:C28">
    <cfRule type="expression" dxfId="506" priority="20">
      <formula>($O5/$F5)&lt;=1/4</formula>
    </cfRule>
  </conditionalFormatting>
  <conditionalFormatting sqref="C29">
    <cfRule type="expression" dxfId="505" priority="3">
      <formula>($O29/$O29)&lt;=1/4</formula>
    </cfRule>
  </conditionalFormatting>
  <conditionalFormatting sqref="C29">
    <cfRule type="expression" dxfId="504" priority="4">
      <formula>($O29/$F29)&lt;=1/4</formula>
    </cfRule>
  </conditionalFormatting>
  <conditionalFormatting sqref="C30:C32">
    <cfRule type="expression" dxfId="503" priority="1">
      <formula>($O30/$O30)&lt;=1/4</formula>
    </cfRule>
  </conditionalFormatting>
  <conditionalFormatting sqref="C30:C32">
    <cfRule type="expression" dxfId="502"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2" t="s">
        <v>66</v>
      </c>
      <c r="B1" s="222"/>
      <c r="C1" s="222"/>
      <c r="E1" s="222" t="s">
        <v>66</v>
      </c>
      <c r="F1" s="222"/>
      <c r="G1" s="22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J9" sqref="J9:J11"/>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8">
        <f>SUBTOTAL(9,D2:D182)</f>
        <v>43879</v>
      </c>
      <c r="G1" s="111" t="s">
        <v>153</v>
      </c>
      <c r="H1" s="165">
        <f>60000+6217+H4+H5</f>
        <v>146017</v>
      </c>
      <c r="I1" s="112">
        <f>H1-H2-H3</f>
        <v>-124578</v>
      </c>
      <c r="J1" s="119" t="s">
        <v>151</v>
      </c>
      <c r="L1" s="15" t="s">
        <v>214</v>
      </c>
      <c r="M1" s="15">
        <v>55</v>
      </c>
      <c r="N1" s="15">
        <v>30</v>
      </c>
      <c r="O1" s="15">
        <f>M1*N1*0.9</f>
        <v>1485</v>
      </c>
      <c r="P1" s="15">
        <f>N1*70</f>
        <v>2100</v>
      </c>
      <c r="Q1" s="14"/>
    </row>
    <row r="2" spans="1:17" ht="27.75" customHeight="1" x14ac:dyDescent="0.25">
      <c r="G2" s="122" t="s">
        <v>150</v>
      </c>
      <c r="H2" s="113">
        <f>D1</f>
        <v>43879</v>
      </c>
      <c r="I2" s="114">
        <f>-5066</f>
        <v>-5066</v>
      </c>
      <c r="J2" s="114" t="s">
        <v>154</v>
      </c>
      <c r="L2" s="15" t="s">
        <v>215</v>
      </c>
      <c r="M2" s="15">
        <v>41</v>
      </c>
      <c r="N2" s="15">
        <v>15</v>
      </c>
      <c r="O2" s="15">
        <f t="shared" ref="O2:O3" si="0">M2*N2</f>
        <v>615</v>
      </c>
      <c r="P2" s="15">
        <f>N2*45</f>
        <v>675</v>
      </c>
      <c r="Q2" s="14"/>
    </row>
    <row r="3" spans="1:17" ht="27.75" customHeight="1" x14ac:dyDescent="0.25">
      <c r="G3" s="115" t="s">
        <v>152</v>
      </c>
      <c r="H3" s="127">
        <f>INT('Quốc Nhân'!K4+'La Cusina'!K4+TVP!J4+Gà!K4+Kitkool!K4)</f>
        <v>226716</v>
      </c>
      <c r="I3" s="116">
        <f>I1+I2</f>
        <v>-129644</v>
      </c>
      <c r="J3" s="120" t="s">
        <v>149</v>
      </c>
      <c r="L3" s="15" t="s">
        <v>216</v>
      </c>
      <c r="M3" s="15">
        <v>46</v>
      </c>
      <c r="N3" s="15">
        <v>30</v>
      </c>
      <c r="O3" s="15">
        <f t="shared" si="0"/>
        <v>1380</v>
      </c>
      <c r="P3" s="15">
        <f>N3*60</f>
        <v>1800</v>
      </c>
      <c r="Q3" s="14"/>
    </row>
    <row r="4" spans="1:17" ht="27.75" customHeight="1" x14ac:dyDescent="0.25">
      <c r="A4" s="146" t="s">
        <v>260</v>
      </c>
      <c r="B4">
        <v>3500</v>
      </c>
      <c r="G4" s="117" t="s">
        <v>264</v>
      </c>
      <c r="H4" s="161">
        <f>35000+30000</f>
        <v>65000</v>
      </c>
      <c r="I4" s="118">
        <f ca="1">INT('Quốc Nhân'!K4+'La Cusina'!K4+TVP!J4+Gà!K4+Kitkool!K4-('Quốc Nhân'!A4+'La Cusina'!A4+TVP!A4+Gà!A4+Kitkool!A4))</f>
        <v>154860</v>
      </c>
      <c r="J4" s="121" t="s">
        <v>159</v>
      </c>
      <c r="L4" s="15" t="s">
        <v>217</v>
      </c>
      <c r="M4" s="15"/>
      <c r="N4" s="15"/>
      <c r="O4" s="15">
        <f>221+140</f>
        <v>361</v>
      </c>
      <c r="P4" s="15"/>
      <c r="Q4" s="14"/>
    </row>
    <row r="5" spans="1:17" ht="27.75" customHeight="1" x14ac:dyDescent="0.25">
      <c r="A5" s="146" t="s">
        <v>236</v>
      </c>
      <c r="B5">
        <v>200</v>
      </c>
      <c r="G5" s="117" t="s">
        <v>201</v>
      </c>
      <c r="H5" s="161">
        <f>7400+5000+2400</f>
        <v>14800</v>
      </c>
      <c r="I5" s="123">
        <f ca="1">I4+I3</f>
        <v>25216</v>
      </c>
      <c r="J5" s="124" t="s">
        <v>160</v>
      </c>
      <c r="L5" s="15"/>
      <c r="M5" s="15"/>
      <c r="N5" s="15"/>
      <c r="O5" s="15">
        <f>SUM(O1:O4)</f>
        <v>3841</v>
      </c>
      <c r="P5" s="15">
        <f>SUM(P1:P3)</f>
        <v>4575</v>
      </c>
      <c r="Q5" s="173">
        <f>P5-O5</f>
        <v>734</v>
      </c>
    </row>
    <row r="6" spans="1:17" x14ac:dyDescent="0.25">
      <c r="A6" s="146" t="s">
        <v>237</v>
      </c>
      <c r="B6">
        <v>1162</v>
      </c>
      <c r="C6" t="s">
        <v>128</v>
      </c>
      <c r="D6">
        <v>400</v>
      </c>
      <c r="E6" t="s">
        <v>129</v>
      </c>
      <c r="H6" s="164"/>
      <c r="J6" s="125"/>
      <c r="L6" s="14"/>
      <c r="M6" s="14"/>
      <c r="N6" s="14"/>
      <c r="O6" s="14"/>
      <c r="P6" s="14"/>
      <c r="Q6" s="14"/>
    </row>
    <row r="7" spans="1:17" x14ac:dyDescent="0.25">
      <c r="A7" s="146" t="s">
        <v>238</v>
      </c>
      <c r="B7">
        <v>1000</v>
      </c>
      <c r="C7" t="s">
        <v>130</v>
      </c>
      <c r="D7">
        <v>1000</v>
      </c>
      <c r="E7" t="s">
        <v>129</v>
      </c>
      <c r="I7" s="125"/>
      <c r="J7" s="125"/>
      <c r="L7" s="14"/>
      <c r="M7" s="14"/>
      <c r="N7" s="14"/>
      <c r="O7" s="14"/>
      <c r="P7" s="14"/>
      <c r="Q7" s="14"/>
    </row>
    <row r="8" spans="1:17" x14ac:dyDescent="0.25">
      <c r="A8" t="s">
        <v>263</v>
      </c>
      <c r="B8">
        <v>250</v>
      </c>
      <c r="C8" t="s">
        <v>131</v>
      </c>
      <c r="D8">
        <v>80</v>
      </c>
      <c r="E8" t="s">
        <v>129</v>
      </c>
      <c r="H8" s="125"/>
      <c r="I8" s="125"/>
      <c r="J8" s="125"/>
      <c r="L8" s="14"/>
      <c r="M8" s="14"/>
      <c r="N8" s="14"/>
      <c r="O8" s="14"/>
      <c r="P8" s="14"/>
      <c r="Q8" s="14"/>
    </row>
    <row r="9" spans="1:17" x14ac:dyDescent="0.25">
      <c r="A9" t="s">
        <v>266</v>
      </c>
      <c r="B9">
        <v>400</v>
      </c>
      <c r="C9" t="s">
        <v>132</v>
      </c>
      <c r="D9">
        <v>145</v>
      </c>
      <c r="E9" t="s">
        <v>133</v>
      </c>
      <c r="G9" s="125"/>
      <c r="H9" s="125"/>
      <c r="I9" s="125"/>
      <c r="J9" s="125"/>
    </row>
    <row r="10" spans="1:17" x14ac:dyDescent="0.25">
      <c r="A10" t="s">
        <v>257</v>
      </c>
      <c r="B10">
        <v>300</v>
      </c>
      <c r="C10" t="s">
        <v>134</v>
      </c>
      <c r="D10">
        <v>800</v>
      </c>
      <c r="E10" t="s">
        <v>133</v>
      </c>
      <c r="I10" s="125"/>
      <c r="J10" s="125"/>
    </row>
    <row r="11" spans="1:17" x14ac:dyDescent="0.25">
      <c r="A11" t="s">
        <v>258</v>
      </c>
      <c r="B11">
        <f>45+56</f>
        <v>101</v>
      </c>
      <c r="C11" t="s">
        <v>135</v>
      </c>
      <c r="D11">
        <v>1500</v>
      </c>
      <c r="E11" t="s">
        <v>133</v>
      </c>
      <c r="I11" s="125"/>
      <c r="J11" s="125"/>
    </row>
    <row r="12" spans="1:17" x14ac:dyDescent="0.25">
      <c r="A12" t="s">
        <v>259</v>
      </c>
      <c r="B12">
        <v>119</v>
      </c>
      <c r="C12" t="s">
        <v>155</v>
      </c>
      <c r="D12">
        <v>160</v>
      </c>
      <c r="E12" t="s">
        <v>133</v>
      </c>
      <c r="I12" s="125"/>
      <c r="J12" s="125"/>
    </row>
    <row r="13" spans="1:17" x14ac:dyDescent="0.25">
      <c r="A13" t="s">
        <v>261</v>
      </c>
      <c r="B13">
        <v>140</v>
      </c>
      <c r="C13" t="s">
        <v>170</v>
      </c>
      <c r="D13">
        <v>42</v>
      </c>
      <c r="E13" t="s">
        <v>133</v>
      </c>
      <c r="J13" s="125"/>
    </row>
    <row r="14" spans="1:17" x14ac:dyDescent="0.25">
      <c r="A14" t="s">
        <v>262</v>
      </c>
      <c r="B14">
        <v>40</v>
      </c>
      <c r="C14" s="146" t="s">
        <v>183</v>
      </c>
      <c r="D14" s="146">
        <v>7500</v>
      </c>
      <c r="E14" s="146" t="s">
        <v>133</v>
      </c>
      <c r="I14" s="125"/>
      <c r="J14" s="125"/>
    </row>
    <row r="15" spans="1:17" x14ac:dyDescent="0.25">
      <c r="A15" t="s">
        <v>267</v>
      </c>
      <c r="B15">
        <v>65</v>
      </c>
      <c r="C15" t="s">
        <v>184</v>
      </c>
      <c r="D15">
        <v>160</v>
      </c>
      <c r="E15" t="s">
        <v>133</v>
      </c>
      <c r="H15" s="125"/>
      <c r="I15" s="125"/>
      <c r="J15" s="125"/>
    </row>
    <row r="16" spans="1:17" x14ac:dyDescent="0.25">
      <c r="A16" s="202" t="s">
        <v>268</v>
      </c>
      <c r="B16">
        <v>70</v>
      </c>
      <c r="C16" t="s">
        <v>190</v>
      </c>
      <c r="D16">
        <v>50</v>
      </c>
      <c r="E16" t="s">
        <v>133</v>
      </c>
      <c r="I16" s="125"/>
      <c r="J16" s="125"/>
    </row>
    <row r="17" spans="1:10" x14ac:dyDescent="0.25">
      <c r="A17" t="s">
        <v>269</v>
      </c>
      <c r="B17">
        <v>59</v>
      </c>
      <c r="C17" t="s">
        <v>170</v>
      </c>
      <c r="D17">
        <f>45+65+130+25+60+25+78</f>
        <v>428</v>
      </c>
      <c r="E17" t="s">
        <v>133</v>
      </c>
      <c r="J17" s="125"/>
    </row>
    <row r="18" spans="1:10" x14ac:dyDescent="0.25">
      <c r="A18" t="s">
        <v>270</v>
      </c>
      <c r="B18">
        <v>920</v>
      </c>
      <c r="C18" s="146" t="s">
        <v>218</v>
      </c>
      <c r="D18" s="146">
        <v>15300</v>
      </c>
      <c r="E18" t="s">
        <v>204</v>
      </c>
      <c r="J18" s="125"/>
    </row>
    <row r="19" spans="1:10" x14ac:dyDescent="0.25">
      <c r="A19" t="s">
        <v>271</v>
      </c>
      <c r="B19">
        <v>120</v>
      </c>
      <c r="C19" t="s">
        <v>228</v>
      </c>
      <c r="D19">
        <v>50</v>
      </c>
      <c r="E19" t="s">
        <v>133</v>
      </c>
    </row>
    <row r="20" spans="1:10" x14ac:dyDescent="0.25">
      <c r="A20" t="s">
        <v>272</v>
      </c>
      <c r="B20">
        <v>69</v>
      </c>
      <c r="C20" t="s">
        <v>211</v>
      </c>
      <c r="D20">
        <f>774+503-13</f>
        <v>1264</v>
      </c>
    </row>
    <row r="21" spans="1:10" x14ac:dyDescent="0.25">
      <c r="A21" t="s">
        <v>273</v>
      </c>
      <c r="B21">
        <v>110</v>
      </c>
      <c r="C21" s="146" t="s">
        <v>218</v>
      </c>
      <c r="D21">
        <v>15000</v>
      </c>
    </row>
    <row r="22" spans="1:10" x14ac:dyDescent="0.25">
      <c r="A22" t="s">
        <v>274</v>
      </c>
      <c r="B22">
        <v>69</v>
      </c>
    </row>
    <row r="23" spans="1:10" x14ac:dyDescent="0.25">
      <c r="A23" t="s">
        <v>275</v>
      </c>
      <c r="B23">
        <v>54</v>
      </c>
    </row>
    <row r="24" spans="1:10" x14ac:dyDescent="0.25">
      <c r="A24" t="s">
        <v>276</v>
      </c>
      <c r="B24">
        <v>65</v>
      </c>
    </row>
    <row r="25" spans="1:10" x14ac:dyDescent="0.25">
      <c r="A25" t="s">
        <v>277</v>
      </c>
      <c r="B25">
        <f>54+66</f>
        <v>120</v>
      </c>
    </row>
    <row r="26" spans="1:10" x14ac:dyDescent="0.25">
      <c r="A26" t="s">
        <v>279</v>
      </c>
      <c r="B26">
        <v>65</v>
      </c>
    </row>
    <row r="27" spans="1:10" x14ac:dyDescent="0.25">
      <c r="A27" t="s">
        <v>280</v>
      </c>
      <c r="B27">
        <v>66</v>
      </c>
    </row>
    <row r="28" spans="1:10" x14ac:dyDescent="0.25">
      <c r="A28" t="s">
        <v>278</v>
      </c>
      <c r="B28">
        <v>66</v>
      </c>
    </row>
    <row r="29" spans="1:10" x14ac:dyDescent="0.25">
      <c r="A29" t="s">
        <v>281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0"/>
      <c r="F1" s="150"/>
      <c r="G1" s="150"/>
      <c r="H1" s="150"/>
      <c r="I1" s="150"/>
      <c r="J1" s="150"/>
      <c r="K1" s="150"/>
      <c r="L1" s="217" t="s">
        <v>106</v>
      </c>
      <c r="M1" s="217" t="s">
        <v>107</v>
      </c>
      <c r="N1" s="217" t="s">
        <v>17</v>
      </c>
      <c r="O1" s="217" t="s">
        <v>117</v>
      </c>
      <c r="P1" s="167" t="s">
        <v>107</v>
      </c>
      <c r="Q1" s="151" t="s">
        <v>188</v>
      </c>
      <c r="R1" s="152">
        <f>SUBTOTAL(9,R2:R31)</f>
        <v>0</v>
      </c>
    </row>
    <row r="2" spans="1:18" s="157" customFormat="1" ht="18.75" x14ac:dyDescent="0.3">
      <c r="A2" s="153" t="s">
        <v>219</v>
      </c>
      <c r="B2" s="154" t="s">
        <v>225</v>
      </c>
      <c r="C2" s="153" t="s">
        <v>222</v>
      </c>
      <c r="D2" s="155">
        <v>60000</v>
      </c>
      <c r="E2" s="156"/>
      <c r="F2" s="156"/>
      <c r="G2" s="156"/>
      <c r="H2" s="156"/>
      <c r="I2" s="156"/>
      <c r="J2" s="156"/>
      <c r="K2" s="156"/>
      <c r="L2" s="215">
        <v>1</v>
      </c>
      <c r="M2" s="215" t="s">
        <v>108</v>
      </c>
      <c r="N2" s="218" t="s">
        <v>25</v>
      </c>
      <c r="O2" s="220">
        <v>27000</v>
      </c>
      <c r="P2" s="168">
        <f>IF($N2="","",LOOKUP(2,1/($N2=$B$2:$B$100),$A$2:$A$100))</f>
        <v>1</v>
      </c>
      <c r="Q2" s="158"/>
      <c r="R2" s="159">
        <f>O2*Q2</f>
        <v>0</v>
      </c>
    </row>
    <row r="3" spans="1:18" s="157" customFormat="1" ht="18.75" x14ac:dyDescent="0.3">
      <c r="A3" s="153" t="s">
        <v>220</v>
      </c>
      <c r="B3" s="154" t="s">
        <v>226</v>
      </c>
      <c r="C3" s="153" t="s">
        <v>223</v>
      </c>
      <c r="D3" s="155">
        <v>70000</v>
      </c>
      <c r="E3" s="156"/>
      <c r="F3" s="156"/>
      <c r="G3" s="156"/>
      <c r="H3" s="156"/>
      <c r="I3" s="156"/>
      <c r="J3" s="156"/>
      <c r="K3" s="156"/>
      <c r="L3" s="215">
        <v>2</v>
      </c>
      <c r="M3" s="215" t="s">
        <v>109</v>
      </c>
      <c r="N3" s="218" t="s">
        <v>1</v>
      </c>
      <c r="O3" s="220">
        <v>25000</v>
      </c>
      <c r="P3" s="168">
        <f t="shared" ref="P3:P66" si="0">IF($N3="","",LOOKUP(2,1/($N3=$B$2:$B$100),$A$2:$A$100))</f>
        <v>2</v>
      </c>
      <c r="Q3" s="158"/>
      <c r="R3" s="159">
        <f t="shared" ref="R3:R31" si="1">O3*Q3</f>
        <v>0</v>
      </c>
    </row>
    <row r="4" spans="1:18" s="157" customFormat="1" ht="18.75" x14ac:dyDescent="0.3">
      <c r="A4" s="153" t="s">
        <v>221</v>
      </c>
      <c r="B4" s="154" t="s">
        <v>227</v>
      </c>
      <c r="C4" s="153" t="s">
        <v>224</v>
      </c>
      <c r="D4" s="155">
        <v>45000</v>
      </c>
      <c r="E4" s="156"/>
      <c r="F4" s="156"/>
      <c r="G4" s="156"/>
      <c r="H4" s="156"/>
      <c r="I4" s="156"/>
      <c r="J4" s="156"/>
      <c r="K4" s="156"/>
      <c r="L4" s="215">
        <v>3</v>
      </c>
      <c r="M4" s="215" t="s">
        <v>110</v>
      </c>
      <c r="N4" s="218" t="s">
        <v>2</v>
      </c>
      <c r="O4" s="220">
        <v>28000</v>
      </c>
      <c r="P4" s="168">
        <f t="shared" si="0"/>
        <v>3</v>
      </c>
      <c r="Q4" s="158"/>
      <c r="R4" s="159">
        <f t="shared" si="1"/>
        <v>0</v>
      </c>
    </row>
    <row r="5" spans="1:18" s="157" customFormat="1" ht="18.75" x14ac:dyDescent="0.3">
      <c r="A5" s="153">
        <v>1</v>
      </c>
      <c r="B5" s="154" t="s">
        <v>25</v>
      </c>
      <c r="C5" s="153" t="s">
        <v>108</v>
      </c>
      <c r="D5" s="155">
        <v>27000</v>
      </c>
      <c r="E5" s="156"/>
      <c r="F5" s="156"/>
      <c r="G5" s="156"/>
      <c r="H5" s="156"/>
      <c r="I5" s="156"/>
      <c r="J5" s="156"/>
      <c r="K5" s="156"/>
      <c r="L5" s="215">
        <v>4</v>
      </c>
      <c r="M5" s="216" t="s">
        <v>111</v>
      </c>
      <c r="N5" s="218" t="s">
        <v>3</v>
      </c>
      <c r="O5" s="220">
        <v>30000</v>
      </c>
      <c r="P5" s="168">
        <f t="shared" si="0"/>
        <v>4</v>
      </c>
      <c r="Q5" s="158"/>
      <c r="R5" s="159">
        <f t="shared" si="1"/>
        <v>0</v>
      </c>
    </row>
    <row r="6" spans="1:18" s="157" customFormat="1" ht="18.75" x14ac:dyDescent="0.3">
      <c r="A6" s="153">
        <v>2</v>
      </c>
      <c r="B6" s="154" t="s">
        <v>1</v>
      </c>
      <c r="C6" s="153" t="s">
        <v>109</v>
      </c>
      <c r="D6" s="155">
        <v>25000</v>
      </c>
      <c r="E6" s="156"/>
      <c r="F6" s="156"/>
      <c r="G6" s="156"/>
      <c r="H6" s="156"/>
      <c r="I6" s="156"/>
      <c r="J6" s="156"/>
      <c r="K6" s="156"/>
      <c r="L6" s="215">
        <v>5</v>
      </c>
      <c r="M6" s="216" t="s">
        <v>112</v>
      </c>
      <c r="N6" s="218" t="s">
        <v>30</v>
      </c>
      <c r="O6" s="220">
        <v>38000</v>
      </c>
      <c r="P6" s="168">
        <f t="shared" si="0"/>
        <v>5</v>
      </c>
      <c r="Q6" s="158"/>
      <c r="R6" s="159">
        <f t="shared" si="1"/>
        <v>0</v>
      </c>
    </row>
    <row r="7" spans="1:18" s="157" customFormat="1" ht="18.75" x14ac:dyDescent="0.3">
      <c r="A7" s="153">
        <v>3</v>
      </c>
      <c r="B7" s="154" t="s">
        <v>2</v>
      </c>
      <c r="C7" s="153" t="s">
        <v>110</v>
      </c>
      <c r="D7" s="155">
        <v>28000</v>
      </c>
      <c r="E7" s="156"/>
      <c r="F7" s="156"/>
      <c r="G7" s="156"/>
      <c r="H7" s="156"/>
      <c r="I7" s="156"/>
      <c r="J7" s="156"/>
      <c r="K7" s="156"/>
      <c r="L7" s="215">
        <v>6</v>
      </c>
      <c r="M7" s="216" t="s">
        <v>113</v>
      </c>
      <c r="N7" s="218" t="s">
        <v>28</v>
      </c>
      <c r="O7" s="220">
        <v>42000</v>
      </c>
      <c r="P7" s="168">
        <f t="shared" si="0"/>
        <v>6</v>
      </c>
      <c r="Q7" s="158"/>
      <c r="R7" s="159">
        <f t="shared" si="1"/>
        <v>0</v>
      </c>
    </row>
    <row r="8" spans="1:18" s="157" customFormat="1" ht="18.75" x14ac:dyDescent="0.3">
      <c r="A8" s="153">
        <v>4</v>
      </c>
      <c r="B8" s="154" t="s">
        <v>3</v>
      </c>
      <c r="C8" s="153" t="s">
        <v>111</v>
      </c>
      <c r="D8" s="155">
        <v>30000</v>
      </c>
      <c r="E8" s="156"/>
      <c r="F8" s="156"/>
      <c r="G8" s="156"/>
      <c r="H8" s="156"/>
      <c r="I8" s="156"/>
      <c r="J8" s="156"/>
      <c r="K8" s="156"/>
      <c r="L8" s="215">
        <v>7</v>
      </c>
      <c r="M8" s="216" t="s">
        <v>114</v>
      </c>
      <c r="N8" s="218" t="s">
        <v>26</v>
      </c>
      <c r="O8" s="220">
        <v>34000</v>
      </c>
      <c r="P8" s="168">
        <f t="shared" si="0"/>
        <v>7</v>
      </c>
      <c r="Q8" s="158"/>
      <c r="R8" s="159">
        <f t="shared" si="1"/>
        <v>0</v>
      </c>
    </row>
    <row r="9" spans="1:18" s="157" customFormat="1" ht="18.75" x14ac:dyDescent="0.3">
      <c r="A9" s="153">
        <v>5</v>
      </c>
      <c r="B9" s="154" t="s">
        <v>30</v>
      </c>
      <c r="C9" s="153" t="s">
        <v>112</v>
      </c>
      <c r="D9" s="155">
        <v>38000</v>
      </c>
      <c r="E9" s="156"/>
      <c r="F9" s="156"/>
      <c r="G9" s="156"/>
      <c r="H9" s="156"/>
      <c r="I9" s="156"/>
      <c r="J9" s="156"/>
      <c r="K9" s="156"/>
      <c r="L9" s="215">
        <v>8</v>
      </c>
      <c r="M9" s="216" t="s">
        <v>115</v>
      </c>
      <c r="N9" s="218" t="s">
        <v>61</v>
      </c>
      <c r="O9" s="220">
        <v>35000</v>
      </c>
      <c r="P9" s="168">
        <f t="shared" si="0"/>
        <v>8</v>
      </c>
      <c r="Q9" s="158"/>
      <c r="R9" s="159">
        <f t="shared" si="1"/>
        <v>0</v>
      </c>
    </row>
    <row r="10" spans="1:18" s="157" customFormat="1" ht="18.75" x14ac:dyDescent="0.3">
      <c r="A10" s="153">
        <v>6</v>
      </c>
      <c r="B10" s="154" t="s">
        <v>28</v>
      </c>
      <c r="C10" s="153" t="s">
        <v>113</v>
      </c>
      <c r="D10" s="155">
        <v>42000</v>
      </c>
      <c r="E10" s="156"/>
      <c r="F10" s="156"/>
      <c r="G10" s="156"/>
      <c r="H10" s="156"/>
      <c r="I10" s="156"/>
      <c r="J10" s="156"/>
      <c r="K10" s="156"/>
      <c r="L10" s="215">
        <v>9</v>
      </c>
      <c r="M10" s="216" t="s">
        <v>116</v>
      </c>
      <c r="N10" s="218" t="s">
        <v>161</v>
      </c>
      <c r="O10" s="220">
        <v>45000</v>
      </c>
      <c r="P10" s="168">
        <f t="shared" si="0"/>
        <v>9</v>
      </c>
      <c r="Q10" s="158"/>
      <c r="R10" s="159">
        <f t="shared" si="1"/>
        <v>0</v>
      </c>
    </row>
    <row r="11" spans="1:18" s="157" customFormat="1" ht="18.75" x14ac:dyDescent="0.3">
      <c r="A11" s="153">
        <v>7</v>
      </c>
      <c r="B11" s="154" t="s">
        <v>26</v>
      </c>
      <c r="C11" s="153" t="s">
        <v>114</v>
      </c>
      <c r="D11" s="155">
        <v>34000</v>
      </c>
      <c r="E11" s="156"/>
      <c r="F11" s="156"/>
      <c r="G11" s="156"/>
      <c r="H11" s="156"/>
      <c r="I11" s="156"/>
      <c r="J11" s="156"/>
      <c r="K11" s="156"/>
      <c r="L11" s="215">
        <v>10</v>
      </c>
      <c r="M11" s="216" t="s">
        <v>69</v>
      </c>
      <c r="N11" s="218" t="s">
        <v>6</v>
      </c>
      <c r="O11" s="220">
        <v>50000</v>
      </c>
      <c r="P11" s="168">
        <f t="shared" si="0"/>
        <v>10</v>
      </c>
      <c r="Q11" s="158"/>
      <c r="R11" s="159">
        <f t="shared" si="1"/>
        <v>0</v>
      </c>
    </row>
    <row r="12" spans="1:18" s="157" customFormat="1" ht="18.75" x14ac:dyDescent="0.3">
      <c r="A12" s="153">
        <v>8</v>
      </c>
      <c r="B12" s="154" t="s">
        <v>61</v>
      </c>
      <c r="C12" s="153" t="s">
        <v>115</v>
      </c>
      <c r="D12" s="155">
        <v>35000</v>
      </c>
      <c r="E12" s="156"/>
      <c r="F12" s="156"/>
      <c r="G12" s="156"/>
      <c r="H12" s="156"/>
      <c r="I12" s="156"/>
      <c r="J12" s="156"/>
      <c r="K12" s="156"/>
      <c r="L12" s="215">
        <v>11</v>
      </c>
      <c r="M12" s="216" t="s">
        <v>70</v>
      </c>
      <c r="N12" s="218" t="s">
        <v>58</v>
      </c>
      <c r="O12" s="220">
        <v>45000</v>
      </c>
      <c r="P12" s="168">
        <f t="shared" si="0"/>
        <v>11</v>
      </c>
      <c r="Q12" s="158"/>
      <c r="R12" s="159">
        <f t="shared" si="1"/>
        <v>0</v>
      </c>
    </row>
    <row r="13" spans="1:18" s="157" customFormat="1" ht="18.75" x14ac:dyDescent="0.3">
      <c r="A13" s="153">
        <v>9</v>
      </c>
      <c r="B13" s="154" t="s">
        <v>161</v>
      </c>
      <c r="C13" s="153" t="s">
        <v>116</v>
      </c>
      <c r="D13" s="155">
        <v>45000</v>
      </c>
      <c r="E13" s="156"/>
      <c r="F13" s="156"/>
      <c r="G13" s="156"/>
      <c r="H13" s="156"/>
      <c r="I13" s="156"/>
      <c r="J13" s="156"/>
      <c r="K13" s="156"/>
      <c r="L13" s="215">
        <v>12</v>
      </c>
      <c r="M13" s="216" t="s">
        <v>71</v>
      </c>
      <c r="N13" s="218" t="s">
        <v>35</v>
      </c>
      <c r="O13" s="220">
        <v>45000</v>
      </c>
      <c r="P13" s="168">
        <f t="shared" si="0"/>
        <v>12</v>
      </c>
      <c r="Q13" s="158"/>
      <c r="R13" s="159">
        <f t="shared" si="1"/>
        <v>0</v>
      </c>
    </row>
    <row r="14" spans="1:18" s="157" customFormat="1" ht="18.75" x14ac:dyDescent="0.3">
      <c r="A14" s="153">
        <v>10</v>
      </c>
      <c r="B14" s="154" t="s">
        <v>6</v>
      </c>
      <c r="C14" s="153" t="s">
        <v>69</v>
      </c>
      <c r="D14" s="155">
        <v>50000</v>
      </c>
      <c r="E14" s="156"/>
      <c r="F14" s="156"/>
      <c r="G14" s="156"/>
      <c r="H14" s="156"/>
      <c r="I14" s="156"/>
      <c r="J14" s="156"/>
      <c r="K14" s="156"/>
      <c r="L14" s="215">
        <v>13</v>
      </c>
      <c r="M14" s="216" t="s">
        <v>72</v>
      </c>
      <c r="N14" s="218" t="s">
        <v>32</v>
      </c>
      <c r="O14" s="220">
        <v>45000</v>
      </c>
      <c r="P14" s="168">
        <f t="shared" si="0"/>
        <v>13</v>
      </c>
      <c r="Q14" s="158"/>
      <c r="R14" s="159">
        <f t="shared" si="1"/>
        <v>0</v>
      </c>
    </row>
    <row r="15" spans="1:18" s="157" customFormat="1" ht="18.75" x14ac:dyDescent="0.3">
      <c r="A15" s="153">
        <v>11</v>
      </c>
      <c r="B15" s="154" t="s">
        <v>58</v>
      </c>
      <c r="C15" s="153" t="s">
        <v>70</v>
      </c>
      <c r="D15" s="155">
        <v>45000</v>
      </c>
      <c r="E15" s="156"/>
      <c r="F15" s="156"/>
      <c r="G15" s="156"/>
      <c r="H15" s="156"/>
      <c r="I15" s="156"/>
      <c r="J15" s="156"/>
      <c r="K15" s="156"/>
      <c r="L15" s="215">
        <v>14</v>
      </c>
      <c r="M15" s="216" t="s">
        <v>73</v>
      </c>
      <c r="N15" s="218" t="s">
        <v>34</v>
      </c>
      <c r="O15" s="220">
        <v>45000</v>
      </c>
      <c r="P15" s="168">
        <f t="shared" si="0"/>
        <v>14</v>
      </c>
      <c r="Q15" s="158"/>
      <c r="R15" s="159">
        <f t="shared" si="1"/>
        <v>0</v>
      </c>
    </row>
    <row r="16" spans="1:18" s="157" customFormat="1" ht="18.75" x14ac:dyDescent="0.3">
      <c r="A16" s="153">
        <v>12</v>
      </c>
      <c r="B16" s="154" t="s">
        <v>35</v>
      </c>
      <c r="C16" s="153" t="s">
        <v>71</v>
      </c>
      <c r="D16" s="155">
        <v>45000</v>
      </c>
      <c r="E16" s="156"/>
      <c r="F16" s="156"/>
      <c r="G16" s="156"/>
      <c r="H16" s="156"/>
      <c r="I16" s="156"/>
      <c r="J16" s="156"/>
      <c r="K16" s="156"/>
      <c r="L16" s="215">
        <v>15</v>
      </c>
      <c r="M16" s="216" t="s">
        <v>74</v>
      </c>
      <c r="N16" s="218" t="s">
        <v>33</v>
      </c>
      <c r="O16" s="220">
        <v>45000</v>
      </c>
      <c r="P16" s="168">
        <f t="shared" si="0"/>
        <v>15</v>
      </c>
      <c r="Q16" s="158"/>
      <c r="R16" s="159">
        <f t="shared" si="1"/>
        <v>0</v>
      </c>
    </row>
    <row r="17" spans="1:18" s="157" customFormat="1" ht="18.75" x14ac:dyDescent="0.3">
      <c r="A17" s="153">
        <v>13</v>
      </c>
      <c r="B17" s="154" t="s">
        <v>32</v>
      </c>
      <c r="C17" s="153" t="s">
        <v>72</v>
      </c>
      <c r="D17" s="155">
        <v>45000</v>
      </c>
      <c r="E17" s="156"/>
      <c r="F17" s="156"/>
      <c r="G17" s="156"/>
      <c r="H17" s="156"/>
      <c r="I17" s="156"/>
      <c r="J17" s="156"/>
      <c r="K17" s="156"/>
      <c r="L17" s="215">
        <v>16</v>
      </c>
      <c r="M17" s="216" t="s">
        <v>75</v>
      </c>
      <c r="N17" s="218" t="s">
        <v>5</v>
      </c>
      <c r="O17" s="220">
        <v>40000</v>
      </c>
      <c r="P17" s="168">
        <f t="shared" si="0"/>
        <v>16</v>
      </c>
      <c r="Q17" s="158"/>
      <c r="R17" s="159">
        <f t="shared" si="1"/>
        <v>0</v>
      </c>
    </row>
    <row r="18" spans="1:18" s="157" customFormat="1" ht="18.75" x14ac:dyDescent="0.3">
      <c r="A18" s="153">
        <v>14</v>
      </c>
      <c r="B18" s="154" t="s">
        <v>34</v>
      </c>
      <c r="C18" s="153" t="s">
        <v>73</v>
      </c>
      <c r="D18" s="155">
        <v>45000</v>
      </c>
      <c r="E18" s="156"/>
      <c r="F18" s="156"/>
      <c r="G18" s="156"/>
      <c r="H18" s="156"/>
      <c r="I18" s="156"/>
      <c r="J18" s="156"/>
      <c r="K18" s="156"/>
      <c r="L18" s="215">
        <v>17</v>
      </c>
      <c r="M18" s="216" t="s">
        <v>76</v>
      </c>
      <c r="N18" s="218" t="s">
        <v>4</v>
      </c>
      <c r="O18" s="220">
        <v>40000</v>
      </c>
      <c r="P18" s="168">
        <f t="shared" si="0"/>
        <v>17</v>
      </c>
      <c r="Q18" s="158"/>
      <c r="R18" s="159">
        <f t="shared" si="1"/>
        <v>0</v>
      </c>
    </row>
    <row r="19" spans="1:18" s="157" customFormat="1" ht="18.75" x14ac:dyDescent="0.3">
      <c r="A19" s="153">
        <v>15</v>
      </c>
      <c r="B19" s="154" t="s">
        <v>33</v>
      </c>
      <c r="C19" s="153" t="s">
        <v>74</v>
      </c>
      <c r="D19" s="155">
        <v>45000</v>
      </c>
      <c r="E19" s="156"/>
      <c r="F19" s="156"/>
      <c r="G19" s="156"/>
      <c r="H19" s="156"/>
      <c r="I19" s="156"/>
      <c r="J19" s="156"/>
      <c r="K19" s="156"/>
      <c r="L19" s="215">
        <v>18</v>
      </c>
      <c r="M19" s="216" t="s">
        <v>77</v>
      </c>
      <c r="N19" s="218" t="s">
        <v>9</v>
      </c>
      <c r="O19" s="220">
        <v>55000</v>
      </c>
      <c r="P19" s="168">
        <f t="shared" si="0"/>
        <v>18</v>
      </c>
      <c r="Q19" s="158"/>
      <c r="R19" s="159">
        <f t="shared" si="1"/>
        <v>0</v>
      </c>
    </row>
    <row r="20" spans="1:18" s="157" customFormat="1" ht="18.75" x14ac:dyDescent="0.3">
      <c r="A20" s="153">
        <v>16</v>
      </c>
      <c r="B20" s="154" t="s">
        <v>5</v>
      </c>
      <c r="C20" s="153" t="s">
        <v>75</v>
      </c>
      <c r="D20" s="155">
        <v>40000</v>
      </c>
      <c r="E20" s="156"/>
      <c r="F20" s="156"/>
      <c r="G20" s="156"/>
      <c r="H20" s="156"/>
      <c r="I20" s="156"/>
      <c r="J20" s="156"/>
      <c r="K20" s="156"/>
      <c r="L20" s="215">
        <v>19</v>
      </c>
      <c r="M20" s="216" t="s">
        <v>78</v>
      </c>
      <c r="N20" s="218" t="s">
        <v>13</v>
      </c>
      <c r="O20" s="220">
        <v>28000</v>
      </c>
      <c r="P20" s="168">
        <f t="shared" si="0"/>
        <v>19</v>
      </c>
      <c r="Q20" s="158"/>
      <c r="R20" s="159">
        <f t="shared" si="1"/>
        <v>0</v>
      </c>
    </row>
    <row r="21" spans="1:18" s="157" customFormat="1" ht="18.75" x14ac:dyDescent="0.3">
      <c r="A21" s="153">
        <v>17</v>
      </c>
      <c r="B21" s="154" t="s">
        <v>4</v>
      </c>
      <c r="C21" s="153" t="s">
        <v>76</v>
      </c>
      <c r="D21" s="155">
        <v>40000</v>
      </c>
      <c r="E21" s="156"/>
      <c r="F21" s="156"/>
      <c r="G21" s="156"/>
      <c r="H21" s="156"/>
      <c r="I21" s="156"/>
      <c r="J21" s="156"/>
      <c r="K21" s="156"/>
      <c r="L21" s="215">
        <v>20</v>
      </c>
      <c r="M21" s="216" t="s">
        <v>79</v>
      </c>
      <c r="N21" s="218" t="s">
        <v>12</v>
      </c>
      <c r="O21" s="220">
        <v>26000</v>
      </c>
      <c r="P21" s="168">
        <f t="shared" si="0"/>
        <v>20</v>
      </c>
      <c r="Q21" s="158"/>
      <c r="R21" s="159">
        <f t="shared" si="1"/>
        <v>0</v>
      </c>
    </row>
    <row r="22" spans="1:18" s="157" customFormat="1" ht="18.75" x14ac:dyDescent="0.3">
      <c r="A22" s="153">
        <v>18</v>
      </c>
      <c r="B22" s="154" t="s">
        <v>9</v>
      </c>
      <c r="C22" s="153" t="s">
        <v>77</v>
      </c>
      <c r="D22" s="155">
        <v>55000</v>
      </c>
      <c r="E22" s="156"/>
      <c r="F22" s="156"/>
      <c r="G22" s="156"/>
      <c r="H22" s="156"/>
      <c r="I22" s="156"/>
      <c r="J22" s="156"/>
      <c r="K22" s="156"/>
      <c r="L22" s="215">
        <v>21</v>
      </c>
      <c r="M22" s="216" t="s">
        <v>80</v>
      </c>
      <c r="N22" s="218" t="s">
        <v>14</v>
      </c>
      <c r="O22" s="220">
        <v>33000</v>
      </c>
      <c r="P22" s="168">
        <f t="shared" si="0"/>
        <v>21</v>
      </c>
      <c r="Q22" s="158"/>
      <c r="R22" s="159">
        <f t="shared" si="1"/>
        <v>0</v>
      </c>
    </row>
    <row r="23" spans="1:18" s="157" customFormat="1" ht="18.75" x14ac:dyDescent="0.3">
      <c r="A23" s="153">
        <v>19</v>
      </c>
      <c r="B23" s="154" t="s">
        <v>13</v>
      </c>
      <c r="C23" s="153" t="s">
        <v>78</v>
      </c>
      <c r="D23" s="155">
        <v>28000</v>
      </c>
      <c r="E23" s="156"/>
      <c r="F23" s="156"/>
      <c r="G23" s="156"/>
      <c r="H23" s="156"/>
      <c r="I23" s="156"/>
      <c r="J23" s="156"/>
      <c r="K23" s="156"/>
      <c r="L23" s="215">
        <v>22</v>
      </c>
      <c r="M23" s="216" t="s">
        <v>81</v>
      </c>
      <c r="N23" s="218" t="s">
        <v>7</v>
      </c>
      <c r="O23" s="220">
        <v>34000</v>
      </c>
      <c r="P23" s="168">
        <f t="shared" si="0"/>
        <v>22</v>
      </c>
      <c r="Q23" s="158"/>
      <c r="R23" s="159">
        <f t="shared" si="1"/>
        <v>0</v>
      </c>
    </row>
    <row r="24" spans="1:18" s="157" customFormat="1" ht="18.75" x14ac:dyDescent="0.3">
      <c r="A24" s="153">
        <v>20</v>
      </c>
      <c r="B24" s="154" t="s">
        <v>12</v>
      </c>
      <c r="C24" s="153" t="s">
        <v>79</v>
      </c>
      <c r="D24" s="155">
        <v>26000</v>
      </c>
      <c r="E24" s="156"/>
      <c r="F24" s="156"/>
      <c r="G24" s="156"/>
      <c r="H24" s="156"/>
      <c r="I24" s="156"/>
      <c r="J24" s="156"/>
      <c r="K24" s="156"/>
      <c r="L24" s="215">
        <v>23</v>
      </c>
      <c r="M24" s="216" t="s">
        <v>82</v>
      </c>
      <c r="N24" s="218" t="s">
        <v>8</v>
      </c>
      <c r="O24" s="220">
        <v>69000</v>
      </c>
      <c r="P24" s="168">
        <f t="shared" si="0"/>
        <v>23</v>
      </c>
      <c r="Q24" s="158"/>
      <c r="R24" s="159">
        <f t="shared" si="1"/>
        <v>0</v>
      </c>
    </row>
    <row r="25" spans="1:18" s="157" customFormat="1" ht="18.75" x14ac:dyDescent="0.3">
      <c r="A25" s="153">
        <v>21</v>
      </c>
      <c r="B25" s="154" t="s">
        <v>14</v>
      </c>
      <c r="C25" s="153" t="s">
        <v>80</v>
      </c>
      <c r="D25" s="155">
        <v>33000</v>
      </c>
      <c r="E25" s="156"/>
      <c r="F25" s="156"/>
      <c r="G25" s="156"/>
      <c r="H25" s="156"/>
      <c r="I25" s="156"/>
      <c r="J25" s="156"/>
      <c r="K25" s="156"/>
      <c r="L25" s="215">
        <v>24</v>
      </c>
      <c r="M25" s="216" t="s">
        <v>83</v>
      </c>
      <c r="N25" s="218" t="s">
        <v>27</v>
      </c>
      <c r="O25" s="220">
        <v>38000</v>
      </c>
      <c r="P25" s="168">
        <f t="shared" si="0"/>
        <v>24</v>
      </c>
      <c r="Q25" s="158"/>
      <c r="R25" s="159">
        <f t="shared" si="1"/>
        <v>0</v>
      </c>
    </row>
    <row r="26" spans="1:18" s="157" customFormat="1" ht="18.75" x14ac:dyDescent="0.3">
      <c r="A26" s="153">
        <v>22</v>
      </c>
      <c r="B26" s="154" t="s">
        <v>7</v>
      </c>
      <c r="C26" s="153" t="s">
        <v>81</v>
      </c>
      <c r="D26" s="155">
        <v>34000</v>
      </c>
      <c r="E26" s="156"/>
      <c r="F26" s="156"/>
      <c r="G26" s="156"/>
      <c r="H26" s="156"/>
      <c r="I26" s="156"/>
      <c r="J26" s="156"/>
      <c r="K26" s="156"/>
      <c r="L26" s="215">
        <v>25</v>
      </c>
      <c r="M26" s="216" t="s">
        <v>84</v>
      </c>
      <c r="N26" s="218" t="s">
        <v>68</v>
      </c>
      <c r="O26" s="220">
        <v>35000</v>
      </c>
      <c r="P26" s="168">
        <f t="shared" si="0"/>
        <v>25</v>
      </c>
      <c r="Q26" s="158"/>
      <c r="R26" s="159">
        <f t="shared" si="1"/>
        <v>0</v>
      </c>
    </row>
    <row r="27" spans="1:18" s="157" customFormat="1" ht="18.75" x14ac:dyDescent="0.3">
      <c r="A27" s="153">
        <v>23</v>
      </c>
      <c r="B27" s="154" t="s">
        <v>8</v>
      </c>
      <c r="C27" s="153" t="s">
        <v>82</v>
      </c>
      <c r="D27" s="155">
        <v>69000</v>
      </c>
      <c r="E27" s="156"/>
      <c r="F27" s="156"/>
      <c r="G27" s="156"/>
      <c r="H27" s="156"/>
      <c r="I27" s="156"/>
      <c r="J27" s="156"/>
      <c r="K27" s="156"/>
      <c r="L27" s="215">
        <v>26</v>
      </c>
      <c r="M27" s="216" t="s">
        <v>85</v>
      </c>
      <c r="N27" s="218" t="s">
        <v>29</v>
      </c>
      <c r="O27" s="220">
        <v>45000</v>
      </c>
      <c r="P27" s="168">
        <f t="shared" si="0"/>
        <v>26</v>
      </c>
      <c r="Q27" s="158"/>
      <c r="R27" s="159">
        <f t="shared" si="1"/>
        <v>0</v>
      </c>
    </row>
    <row r="28" spans="1:18" s="157" customFormat="1" ht="18.75" x14ac:dyDescent="0.3">
      <c r="A28" s="153">
        <v>24</v>
      </c>
      <c r="B28" s="154" t="s">
        <v>27</v>
      </c>
      <c r="C28" s="153" t="s">
        <v>83</v>
      </c>
      <c r="D28" s="155">
        <v>38000</v>
      </c>
      <c r="E28" s="156"/>
      <c r="F28" s="156"/>
      <c r="G28" s="156"/>
      <c r="H28" s="156"/>
      <c r="I28" s="156"/>
      <c r="J28" s="156"/>
      <c r="K28" s="156"/>
      <c r="L28" s="215">
        <v>27</v>
      </c>
      <c r="M28" s="216" t="s">
        <v>86</v>
      </c>
      <c r="N28" s="218" t="s">
        <v>15</v>
      </c>
      <c r="O28" s="220">
        <v>35000</v>
      </c>
      <c r="P28" s="168">
        <f t="shared" si="0"/>
        <v>27</v>
      </c>
      <c r="Q28" s="158"/>
      <c r="R28" s="159">
        <f t="shared" si="1"/>
        <v>0</v>
      </c>
    </row>
    <row r="29" spans="1:18" s="157" customFormat="1" ht="18.75" x14ac:dyDescent="0.3">
      <c r="A29" s="153">
        <v>25</v>
      </c>
      <c r="B29" s="154" t="s">
        <v>68</v>
      </c>
      <c r="C29" s="153" t="s">
        <v>84</v>
      </c>
      <c r="D29" s="155">
        <v>35000</v>
      </c>
      <c r="E29" s="156"/>
      <c r="F29" s="156"/>
      <c r="G29" s="156"/>
      <c r="H29" s="156"/>
      <c r="I29" s="156"/>
      <c r="J29" s="156"/>
      <c r="K29" s="156"/>
      <c r="L29" s="215">
        <v>28</v>
      </c>
      <c r="M29" s="216" t="s">
        <v>87</v>
      </c>
      <c r="N29" s="218" t="s">
        <v>10</v>
      </c>
      <c r="O29" s="220">
        <v>32000</v>
      </c>
      <c r="P29" s="168">
        <f t="shared" si="0"/>
        <v>28</v>
      </c>
      <c r="Q29" s="158"/>
      <c r="R29" s="159">
        <f t="shared" si="1"/>
        <v>0</v>
      </c>
    </row>
    <row r="30" spans="1:18" s="157" customFormat="1" ht="18.75" x14ac:dyDescent="0.3">
      <c r="A30" s="153">
        <v>26</v>
      </c>
      <c r="B30" s="154" t="s">
        <v>29</v>
      </c>
      <c r="C30" s="153" t="s">
        <v>85</v>
      </c>
      <c r="D30" s="155">
        <v>45000</v>
      </c>
      <c r="E30" s="156"/>
      <c r="F30" s="156"/>
      <c r="G30" s="156"/>
      <c r="H30" s="156"/>
      <c r="I30" s="156"/>
      <c r="J30" s="156"/>
      <c r="K30" s="156"/>
      <c r="L30" s="215">
        <v>29</v>
      </c>
      <c r="M30" s="216" t="s">
        <v>88</v>
      </c>
      <c r="N30" s="218" t="s">
        <v>38</v>
      </c>
      <c r="O30" s="220">
        <v>32000</v>
      </c>
      <c r="P30" s="168">
        <f t="shared" si="0"/>
        <v>29</v>
      </c>
      <c r="Q30" s="158"/>
      <c r="R30" s="159">
        <f t="shared" si="1"/>
        <v>0</v>
      </c>
    </row>
    <row r="31" spans="1:18" s="157" customFormat="1" ht="18.75" x14ac:dyDescent="0.3">
      <c r="A31" s="153">
        <v>27</v>
      </c>
      <c r="B31" s="154" t="s">
        <v>15</v>
      </c>
      <c r="C31" s="153" t="s">
        <v>86</v>
      </c>
      <c r="D31" s="155">
        <v>35000</v>
      </c>
      <c r="E31" s="156"/>
      <c r="F31" s="156"/>
      <c r="G31" s="156"/>
      <c r="H31" s="156"/>
      <c r="I31" s="156"/>
      <c r="J31" s="156"/>
      <c r="K31" s="156"/>
      <c r="L31" s="215">
        <v>30</v>
      </c>
      <c r="M31" s="216" t="s">
        <v>89</v>
      </c>
      <c r="N31" s="218" t="s">
        <v>39</v>
      </c>
      <c r="O31" s="220">
        <v>14000</v>
      </c>
      <c r="P31" s="168">
        <f t="shared" si="0"/>
        <v>30</v>
      </c>
      <c r="Q31" s="158"/>
      <c r="R31" s="159">
        <f t="shared" si="1"/>
        <v>0</v>
      </c>
    </row>
    <row r="32" spans="1:18" s="157" customFormat="1" ht="18.75" x14ac:dyDescent="0.3">
      <c r="A32" s="153">
        <v>28</v>
      </c>
      <c r="B32" s="154" t="s">
        <v>10</v>
      </c>
      <c r="C32" s="153" t="s">
        <v>87</v>
      </c>
      <c r="D32" s="155">
        <v>32000</v>
      </c>
      <c r="E32" s="156"/>
      <c r="F32" s="156"/>
      <c r="G32" s="156"/>
      <c r="H32" s="156"/>
      <c r="I32" s="156"/>
      <c r="J32" s="156"/>
      <c r="K32" s="156"/>
      <c r="L32" s="215">
        <v>31</v>
      </c>
      <c r="M32" s="216" t="s">
        <v>90</v>
      </c>
      <c r="N32" s="218" t="s">
        <v>67</v>
      </c>
      <c r="O32" s="220">
        <v>32000</v>
      </c>
      <c r="P32" s="168">
        <f t="shared" si="0"/>
        <v>31</v>
      </c>
      <c r="Q32" s="158"/>
      <c r="R32" s="158"/>
    </row>
    <row r="33" spans="1:18" s="157" customFormat="1" ht="18.75" x14ac:dyDescent="0.3">
      <c r="A33" s="153">
        <v>29</v>
      </c>
      <c r="B33" s="154" t="s">
        <v>38</v>
      </c>
      <c r="C33" s="153" t="s">
        <v>88</v>
      </c>
      <c r="D33" s="155">
        <v>32000</v>
      </c>
      <c r="E33" s="156"/>
      <c r="F33" s="156"/>
      <c r="G33" s="156"/>
      <c r="H33" s="156"/>
      <c r="I33" s="156"/>
      <c r="J33" s="156"/>
      <c r="K33" s="156"/>
      <c r="L33" s="215">
        <v>32</v>
      </c>
      <c r="M33" s="216" t="s">
        <v>91</v>
      </c>
      <c r="N33" s="218" t="s">
        <v>40</v>
      </c>
      <c r="O33" s="220">
        <v>35000</v>
      </c>
      <c r="P33" s="168">
        <f t="shared" si="0"/>
        <v>32</v>
      </c>
      <c r="Q33" s="158"/>
      <c r="R33" s="158"/>
    </row>
    <row r="34" spans="1:18" s="157" customFormat="1" ht="18.75" x14ac:dyDescent="0.3">
      <c r="A34" s="153">
        <v>30</v>
      </c>
      <c r="B34" s="154" t="s">
        <v>39</v>
      </c>
      <c r="C34" s="153" t="s">
        <v>89</v>
      </c>
      <c r="D34" s="155">
        <v>14000</v>
      </c>
      <c r="E34" s="156"/>
      <c r="F34" s="156"/>
      <c r="G34" s="156"/>
      <c r="H34" s="156"/>
      <c r="I34" s="156"/>
      <c r="J34" s="156"/>
      <c r="K34" s="156"/>
      <c r="L34" s="215">
        <v>33</v>
      </c>
      <c r="M34" s="216" t="s">
        <v>92</v>
      </c>
      <c r="N34" s="218" t="s">
        <v>41</v>
      </c>
      <c r="O34" s="220">
        <v>14000</v>
      </c>
      <c r="P34" s="168">
        <f t="shared" si="0"/>
        <v>33</v>
      </c>
      <c r="Q34" s="158"/>
      <c r="R34" s="158"/>
    </row>
    <row r="35" spans="1:18" s="157" customFormat="1" ht="18.75" x14ac:dyDescent="0.3">
      <c r="A35" s="153">
        <v>31</v>
      </c>
      <c r="B35" s="154" t="s">
        <v>67</v>
      </c>
      <c r="C35" s="153" t="s">
        <v>90</v>
      </c>
      <c r="D35" s="155">
        <v>32000</v>
      </c>
      <c r="E35" s="156"/>
      <c r="F35" s="156"/>
      <c r="G35" s="156"/>
      <c r="H35" s="156"/>
      <c r="I35" s="156"/>
      <c r="J35" s="156"/>
      <c r="K35" s="156"/>
      <c r="L35" s="215">
        <v>34</v>
      </c>
      <c r="M35" s="216" t="s">
        <v>93</v>
      </c>
      <c r="N35" s="218" t="s">
        <v>42</v>
      </c>
      <c r="O35" s="220">
        <v>35000</v>
      </c>
      <c r="P35" s="168">
        <f t="shared" si="0"/>
        <v>34</v>
      </c>
      <c r="Q35" s="158"/>
      <c r="R35" s="158"/>
    </row>
    <row r="36" spans="1:18" s="157" customFormat="1" ht="18.75" x14ac:dyDescent="0.3">
      <c r="A36" s="153">
        <v>32</v>
      </c>
      <c r="B36" s="154" t="s">
        <v>40</v>
      </c>
      <c r="C36" s="153" t="s">
        <v>91</v>
      </c>
      <c r="D36" s="155">
        <v>35000</v>
      </c>
      <c r="E36" s="156"/>
      <c r="F36" s="156"/>
      <c r="G36" s="156"/>
      <c r="H36" s="156"/>
      <c r="I36" s="156"/>
      <c r="J36" s="156"/>
      <c r="K36" s="156"/>
      <c r="L36" s="215">
        <v>35</v>
      </c>
      <c r="M36" s="216" t="s">
        <v>94</v>
      </c>
      <c r="N36" s="218" t="s">
        <v>43</v>
      </c>
      <c r="O36" s="220">
        <v>14000</v>
      </c>
      <c r="P36" s="168">
        <f t="shared" si="0"/>
        <v>35</v>
      </c>
      <c r="Q36" s="158"/>
      <c r="R36" s="158"/>
    </row>
    <row r="37" spans="1:18" s="157" customFormat="1" ht="18.75" x14ac:dyDescent="0.3">
      <c r="A37" s="153">
        <v>33</v>
      </c>
      <c r="B37" s="154" t="s">
        <v>41</v>
      </c>
      <c r="C37" s="153" t="s">
        <v>92</v>
      </c>
      <c r="D37" s="155">
        <v>14000</v>
      </c>
      <c r="E37" s="156"/>
      <c r="F37" s="156"/>
      <c r="G37" s="156"/>
      <c r="H37" s="156"/>
      <c r="I37" s="156"/>
      <c r="J37" s="156"/>
      <c r="K37" s="156"/>
      <c r="L37" s="215">
        <v>36</v>
      </c>
      <c r="M37" s="216" t="s">
        <v>95</v>
      </c>
      <c r="N37" s="218" t="s">
        <v>48</v>
      </c>
      <c r="O37" s="220">
        <v>59000</v>
      </c>
      <c r="P37" s="168">
        <f t="shared" si="0"/>
        <v>36</v>
      </c>
      <c r="Q37" s="158"/>
      <c r="R37" s="158"/>
    </row>
    <row r="38" spans="1:18" s="157" customFormat="1" ht="18.75" x14ac:dyDescent="0.3">
      <c r="A38" s="153">
        <v>34</v>
      </c>
      <c r="B38" s="154" t="s">
        <v>42</v>
      </c>
      <c r="C38" s="153" t="s">
        <v>93</v>
      </c>
      <c r="D38" s="155">
        <v>35000</v>
      </c>
      <c r="E38" s="156"/>
      <c r="F38" s="156"/>
      <c r="G38" s="156"/>
      <c r="H38" s="156"/>
      <c r="I38" s="156"/>
      <c r="J38" s="156"/>
      <c r="K38" s="156"/>
      <c r="L38" s="215">
        <v>37</v>
      </c>
      <c r="M38" s="216" t="s">
        <v>96</v>
      </c>
      <c r="N38" s="218" t="s">
        <v>49</v>
      </c>
      <c r="O38" s="220">
        <v>52000</v>
      </c>
      <c r="P38" s="168">
        <f t="shared" si="0"/>
        <v>37</v>
      </c>
      <c r="Q38" s="158"/>
      <c r="R38" s="158"/>
    </row>
    <row r="39" spans="1:18" s="157" customFormat="1" ht="18.75" x14ac:dyDescent="0.3">
      <c r="A39" s="153">
        <v>35</v>
      </c>
      <c r="B39" s="154" t="s">
        <v>43</v>
      </c>
      <c r="C39" s="153" t="s">
        <v>94</v>
      </c>
      <c r="D39" s="155">
        <v>14000</v>
      </c>
      <c r="E39" s="156"/>
      <c r="F39" s="156"/>
      <c r="G39" s="156"/>
      <c r="H39" s="156"/>
      <c r="I39" s="156"/>
      <c r="J39" s="156"/>
      <c r="K39" s="156"/>
      <c r="L39" s="215">
        <v>38</v>
      </c>
      <c r="M39" s="216" t="s">
        <v>97</v>
      </c>
      <c r="N39" s="218" t="s">
        <v>45</v>
      </c>
      <c r="O39" s="220">
        <v>65000</v>
      </c>
      <c r="P39" s="168">
        <f t="shared" si="0"/>
        <v>38</v>
      </c>
      <c r="Q39" s="158"/>
      <c r="R39" s="158"/>
    </row>
    <row r="40" spans="1:18" s="157" customFormat="1" ht="18.75" x14ac:dyDescent="0.3">
      <c r="A40" s="153">
        <v>36</v>
      </c>
      <c r="B40" s="154" t="s">
        <v>48</v>
      </c>
      <c r="C40" s="153" t="s">
        <v>95</v>
      </c>
      <c r="D40" s="155">
        <v>59000</v>
      </c>
      <c r="E40" s="156"/>
      <c r="F40" s="156"/>
      <c r="G40" s="156"/>
      <c r="H40" s="156"/>
      <c r="I40" s="156"/>
      <c r="J40" s="156"/>
      <c r="K40" s="156"/>
      <c r="L40" s="215">
        <v>39</v>
      </c>
      <c r="M40" s="216" t="s">
        <v>98</v>
      </c>
      <c r="N40" s="218" t="s">
        <v>44</v>
      </c>
      <c r="O40" s="220">
        <v>44000</v>
      </c>
      <c r="P40" s="168">
        <f t="shared" si="0"/>
        <v>39</v>
      </c>
      <c r="Q40" s="158"/>
      <c r="R40" s="158"/>
    </row>
    <row r="41" spans="1:18" s="157" customFormat="1" ht="18.75" x14ac:dyDescent="0.3">
      <c r="A41" s="153">
        <v>37</v>
      </c>
      <c r="B41" s="154" t="s">
        <v>49</v>
      </c>
      <c r="C41" s="153" t="s">
        <v>96</v>
      </c>
      <c r="D41" s="155">
        <v>52000</v>
      </c>
      <c r="E41" s="156"/>
      <c r="F41" s="156"/>
      <c r="G41" s="156"/>
      <c r="H41" s="156"/>
      <c r="I41" s="156"/>
      <c r="J41" s="156"/>
      <c r="K41" s="156"/>
      <c r="L41" s="215">
        <v>40</v>
      </c>
      <c r="M41" s="216" t="s">
        <v>99</v>
      </c>
      <c r="N41" s="218" t="s">
        <v>47</v>
      </c>
      <c r="O41" s="220">
        <v>79000</v>
      </c>
      <c r="P41" s="168">
        <f t="shared" si="0"/>
        <v>40</v>
      </c>
      <c r="Q41" s="158"/>
      <c r="R41" s="158"/>
    </row>
    <row r="42" spans="1:18" s="157" customFormat="1" ht="18.75" x14ac:dyDescent="0.3">
      <c r="A42" s="153">
        <v>38</v>
      </c>
      <c r="B42" s="154" t="s">
        <v>45</v>
      </c>
      <c r="C42" s="153" t="s">
        <v>97</v>
      </c>
      <c r="D42" s="155">
        <v>65000</v>
      </c>
      <c r="E42" s="156"/>
      <c r="F42" s="156"/>
      <c r="G42" s="156"/>
      <c r="H42" s="156"/>
      <c r="I42" s="156"/>
      <c r="J42" s="156"/>
      <c r="K42" s="156"/>
      <c r="L42" s="215">
        <v>41</v>
      </c>
      <c r="M42" s="216" t="s">
        <v>100</v>
      </c>
      <c r="N42" s="218" t="s">
        <v>37</v>
      </c>
      <c r="O42" s="220">
        <v>66000</v>
      </c>
      <c r="P42" s="168">
        <f t="shared" si="0"/>
        <v>41</v>
      </c>
      <c r="Q42" s="158"/>
      <c r="R42" s="158"/>
    </row>
    <row r="43" spans="1:18" s="157" customFormat="1" ht="18.75" x14ac:dyDescent="0.3">
      <c r="A43" s="153">
        <v>39</v>
      </c>
      <c r="B43" s="154" t="s">
        <v>44</v>
      </c>
      <c r="C43" s="153" t="s">
        <v>98</v>
      </c>
      <c r="D43" s="155">
        <v>44000</v>
      </c>
      <c r="E43" s="156"/>
      <c r="F43" s="156"/>
      <c r="G43" s="156"/>
      <c r="H43" s="156"/>
      <c r="I43" s="156"/>
      <c r="J43" s="156"/>
      <c r="K43" s="156"/>
      <c r="L43" s="215">
        <v>42</v>
      </c>
      <c r="M43" s="216" t="s">
        <v>101</v>
      </c>
      <c r="N43" s="218" t="s">
        <v>50</v>
      </c>
      <c r="O43" s="220">
        <v>122000</v>
      </c>
      <c r="P43" s="168">
        <f t="shared" si="0"/>
        <v>42</v>
      </c>
      <c r="Q43" s="158"/>
      <c r="R43" s="158"/>
    </row>
    <row r="44" spans="1:18" s="157" customFormat="1" ht="18.75" x14ac:dyDescent="0.3">
      <c r="A44" s="153">
        <v>40</v>
      </c>
      <c r="B44" s="154" t="s">
        <v>47</v>
      </c>
      <c r="C44" s="153" t="s">
        <v>99</v>
      </c>
      <c r="D44" s="155">
        <v>79000</v>
      </c>
      <c r="E44" s="156"/>
      <c r="F44" s="156"/>
      <c r="G44" s="156"/>
      <c r="H44" s="156"/>
      <c r="I44" s="156"/>
      <c r="J44" s="156"/>
      <c r="K44" s="156"/>
      <c r="L44" s="215">
        <v>43</v>
      </c>
      <c r="M44" s="216" t="s">
        <v>102</v>
      </c>
      <c r="N44" s="218" t="s">
        <v>36</v>
      </c>
      <c r="O44" s="220">
        <v>66000</v>
      </c>
      <c r="P44" s="168">
        <f t="shared" si="0"/>
        <v>43</v>
      </c>
      <c r="Q44" s="158"/>
      <c r="R44" s="158"/>
    </row>
    <row r="45" spans="1:18" s="157" customFormat="1" ht="18.75" x14ac:dyDescent="0.3">
      <c r="A45" s="153">
        <v>41</v>
      </c>
      <c r="B45" s="154" t="s">
        <v>37</v>
      </c>
      <c r="C45" s="153" t="s">
        <v>100</v>
      </c>
      <c r="D45" s="155">
        <v>66000</v>
      </c>
      <c r="E45" s="156"/>
      <c r="F45" s="156"/>
      <c r="G45" s="156"/>
      <c r="H45" s="156"/>
      <c r="I45" s="156"/>
      <c r="J45" s="156"/>
      <c r="K45" s="156"/>
      <c r="L45" s="215">
        <v>44</v>
      </c>
      <c r="M45" s="216" t="s">
        <v>103</v>
      </c>
      <c r="N45" s="218" t="s">
        <v>51</v>
      </c>
      <c r="O45" s="220">
        <v>65000</v>
      </c>
      <c r="P45" s="168">
        <f t="shared" si="0"/>
        <v>44</v>
      </c>
      <c r="Q45" s="158"/>
      <c r="R45" s="158"/>
    </row>
    <row r="46" spans="1:18" s="157" customFormat="1" ht="18.75" x14ac:dyDescent="0.3">
      <c r="A46" s="153">
        <v>42</v>
      </c>
      <c r="B46" s="154" t="s">
        <v>50</v>
      </c>
      <c r="C46" s="153" t="s">
        <v>101</v>
      </c>
      <c r="D46" s="155">
        <v>122000</v>
      </c>
      <c r="E46" s="156"/>
      <c r="F46" s="156"/>
      <c r="G46" s="156"/>
      <c r="H46" s="156"/>
      <c r="I46" s="156"/>
      <c r="J46" s="156"/>
      <c r="K46" s="156"/>
      <c r="L46" s="215">
        <v>45</v>
      </c>
      <c r="M46" s="216" t="s">
        <v>104</v>
      </c>
      <c r="N46" s="218" t="s">
        <v>52</v>
      </c>
      <c r="O46" s="220">
        <v>54000</v>
      </c>
      <c r="P46" s="168">
        <f t="shared" si="0"/>
        <v>45</v>
      </c>
      <c r="Q46" s="158"/>
      <c r="R46" s="158"/>
    </row>
    <row r="47" spans="1:18" s="157" customFormat="1" ht="18.75" x14ac:dyDescent="0.3">
      <c r="A47" s="153">
        <v>43</v>
      </c>
      <c r="B47" s="154" t="s">
        <v>36</v>
      </c>
      <c r="C47" s="153" t="s">
        <v>102</v>
      </c>
      <c r="D47" s="155">
        <v>66000</v>
      </c>
      <c r="E47" s="156"/>
      <c r="F47" s="156"/>
      <c r="G47" s="156"/>
      <c r="H47" s="156"/>
      <c r="I47" s="156"/>
      <c r="J47" s="156"/>
      <c r="K47" s="156"/>
      <c r="L47" s="215">
        <v>46</v>
      </c>
      <c r="M47" s="216" t="s">
        <v>105</v>
      </c>
      <c r="N47" s="218" t="s">
        <v>46</v>
      </c>
      <c r="O47" s="220">
        <v>59000</v>
      </c>
      <c r="P47" s="168">
        <f t="shared" si="0"/>
        <v>46</v>
      </c>
      <c r="Q47" s="158"/>
      <c r="R47" s="158"/>
    </row>
    <row r="48" spans="1:18" s="157" customFormat="1" ht="18.75" x14ac:dyDescent="0.3">
      <c r="A48" s="153">
        <v>44</v>
      </c>
      <c r="B48" s="154" t="s">
        <v>51</v>
      </c>
      <c r="C48" s="153" t="s">
        <v>103</v>
      </c>
      <c r="D48" s="155">
        <v>65000</v>
      </c>
      <c r="E48" s="156"/>
      <c r="F48" s="156"/>
      <c r="G48" s="156"/>
      <c r="H48" s="156"/>
      <c r="I48" s="156"/>
      <c r="J48" s="156"/>
      <c r="K48" s="156"/>
      <c r="L48" s="215">
        <v>47</v>
      </c>
      <c r="M48" s="216" t="s">
        <v>126</v>
      </c>
      <c r="N48" s="218" t="s">
        <v>139</v>
      </c>
      <c r="O48" s="220">
        <v>40000</v>
      </c>
      <c r="P48" s="168">
        <f t="shared" si="0"/>
        <v>47</v>
      </c>
      <c r="Q48" s="158"/>
      <c r="R48" s="158"/>
    </row>
    <row r="49" spans="1:18" s="157" customFormat="1" ht="18.75" x14ac:dyDescent="0.3">
      <c r="A49" s="153">
        <v>45</v>
      </c>
      <c r="B49" s="154" t="s">
        <v>52</v>
      </c>
      <c r="C49" s="153" t="s">
        <v>104</v>
      </c>
      <c r="D49" s="155">
        <v>54000</v>
      </c>
      <c r="E49" s="156"/>
      <c r="F49" s="156"/>
      <c r="G49" s="156"/>
      <c r="H49" s="156"/>
      <c r="I49" s="156"/>
      <c r="J49" s="156"/>
      <c r="K49" s="156"/>
      <c r="L49" s="215">
        <v>48</v>
      </c>
      <c r="M49" s="216" t="s">
        <v>141</v>
      </c>
      <c r="N49" s="218" t="s">
        <v>140</v>
      </c>
      <c r="O49" s="220">
        <v>35000</v>
      </c>
      <c r="P49" s="168">
        <f t="shared" si="0"/>
        <v>48</v>
      </c>
      <c r="Q49" s="158"/>
      <c r="R49" s="158"/>
    </row>
    <row r="50" spans="1:18" s="157" customFormat="1" ht="18.75" x14ac:dyDescent="0.3">
      <c r="A50" s="153">
        <v>46</v>
      </c>
      <c r="B50" s="154" t="s">
        <v>46</v>
      </c>
      <c r="C50" s="153" t="s">
        <v>105</v>
      </c>
      <c r="D50" s="155">
        <v>59000</v>
      </c>
      <c r="E50" s="156"/>
      <c r="F50" s="156"/>
      <c r="G50" s="156"/>
      <c r="H50" s="156"/>
      <c r="I50" s="156"/>
      <c r="J50" s="156"/>
      <c r="K50" s="156"/>
      <c r="L50" s="215">
        <v>49</v>
      </c>
      <c r="M50" s="216" t="s">
        <v>143</v>
      </c>
      <c r="N50" s="218" t="s">
        <v>265</v>
      </c>
      <c r="O50" s="219">
        <v>105000</v>
      </c>
      <c r="P50" s="168">
        <f t="shared" si="0"/>
        <v>49</v>
      </c>
      <c r="Q50" s="158"/>
      <c r="R50" s="158"/>
    </row>
    <row r="51" spans="1:18" s="157" customFormat="1" ht="18.75" x14ac:dyDescent="0.3">
      <c r="A51" s="153">
        <v>47</v>
      </c>
      <c r="B51" s="154" t="s">
        <v>139</v>
      </c>
      <c r="C51" s="153" t="s">
        <v>126</v>
      </c>
      <c r="D51" s="155">
        <v>40000</v>
      </c>
      <c r="E51" s="156"/>
      <c r="F51" s="156"/>
      <c r="G51" s="156"/>
      <c r="H51" s="156"/>
      <c r="I51" s="156"/>
      <c r="J51" s="156"/>
      <c r="K51" s="156"/>
      <c r="L51" s="215">
        <v>50</v>
      </c>
      <c r="M51" s="216" t="s">
        <v>145</v>
      </c>
      <c r="N51" s="218" t="s">
        <v>144</v>
      </c>
      <c r="O51" s="219">
        <v>42000</v>
      </c>
      <c r="P51" s="168">
        <f t="shared" si="0"/>
        <v>50</v>
      </c>
      <c r="Q51" s="158"/>
      <c r="R51" s="158"/>
    </row>
    <row r="52" spans="1:18" s="157" customFormat="1" ht="18.75" x14ac:dyDescent="0.3">
      <c r="A52" s="153">
        <v>48</v>
      </c>
      <c r="B52" s="154" t="s">
        <v>140</v>
      </c>
      <c r="C52" s="153" t="s">
        <v>141</v>
      </c>
      <c r="D52" s="155">
        <v>35000</v>
      </c>
      <c r="E52" s="156"/>
      <c r="F52" s="156"/>
      <c r="G52" s="156"/>
      <c r="H52" s="156"/>
      <c r="I52" s="156"/>
      <c r="J52" s="156"/>
      <c r="K52" s="156"/>
      <c r="L52" s="215">
        <v>51</v>
      </c>
      <c r="M52" s="216" t="s">
        <v>158</v>
      </c>
      <c r="N52" s="218" t="s">
        <v>147</v>
      </c>
      <c r="O52" s="220">
        <v>38000</v>
      </c>
      <c r="P52" s="168">
        <f t="shared" si="0"/>
        <v>51</v>
      </c>
      <c r="Q52" s="158"/>
      <c r="R52" s="158"/>
    </row>
    <row r="53" spans="1:18" s="157" customFormat="1" ht="18.75" x14ac:dyDescent="0.3">
      <c r="A53" s="153">
        <v>49</v>
      </c>
      <c r="B53" s="154" t="s">
        <v>265</v>
      </c>
      <c r="C53" s="153" t="s">
        <v>143</v>
      </c>
      <c r="D53" s="155">
        <v>105000</v>
      </c>
      <c r="E53" s="156"/>
      <c r="F53" s="156"/>
      <c r="G53" s="156"/>
      <c r="H53" s="156"/>
      <c r="I53" s="156"/>
      <c r="J53" s="156"/>
      <c r="K53" s="156"/>
      <c r="L53" s="215">
        <v>52</v>
      </c>
      <c r="M53" s="216" t="s">
        <v>164</v>
      </c>
      <c r="N53" s="218" t="s">
        <v>163</v>
      </c>
      <c r="O53" s="220">
        <v>69000</v>
      </c>
      <c r="P53" s="168">
        <f t="shared" si="0"/>
        <v>52</v>
      </c>
      <c r="Q53" s="158"/>
      <c r="R53" s="158"/>
    </row>
    <row r="54" spans="1:18" s="157" customFormat="1" ht="18.75" x14ac:dyDescent="0.3">
      <c r="A54" s="153">
        <v>50</v>
      </c>
      <c r="B54" s="154" t="s">
        <v>144</v>
      </c>
      <c r="C54" s="153" t="s">
        <v>145</v>
      </c>
      <c r="D54" s="155">
        <v>42000</v>
      </c>
      <c r="E54" s="156"/>
      <c r="F54" s="156"/>
      <c r="G54" s="156"/>
      <c r="H54" s="156"/>
      <c r="I54" s="156"/>
      <c r="J54" s="156"/>
      <c r="K54" s="156"/>
      <c r="L54" s="215">
        <v>53</v>
      </c>
      <c r="M54" s="216" t="s">
        <v>166</v>
      </c>
      <c r="N54" s="218" t="s">
        <v>165</v>
      </c>
      <c r="O54" s="220">
        <v>76000</v>
      </c>
      <c r="P54" s="168">
        <f t="shared" si="0"/>
        <v>53</v>
      </c>
      <c r="Q54" s="158"/>
      <c r="R54" s="158"/>
    </row>
    <row r="55" spans="1:18" s="157" customFormat="1" ht="18.75" x14ac:dyDescent="0.3">
      <c r="A55" s="153">
        <v>51</v>
      </c>
      <c r="B55" s="154" t="s">
        <v>147</v>
      </c>
      <c r="C55" s="153" t="s">
        <v>158</v>
      </c>
      <c r="D55" s="155">
        <v>38000</v>
      </c>
      <c r="E55" s="156"/>
      <c r="F55" s="156"/>
      <c r="G55" s="156"/>
      <c r="H55" s="156"/>
      <c r="I55" s="156"/>
      <c r="J55" s="156"/>
      <c r="K55" s="156"/>
      <c r="L55" s="215">
        <v>54</v>
      </c>
      <c r="M55" s="216" t="s">
        <v>172</v>
      </c>
      <c r="N55" s="218" t="s">
        <v>175</v>
      </c>
      <c r="O55" s="220">
        <v>30000</v>
      </c>
      <c r="P55" s="168">
        <f t="shared" si="0"/>
        <v>54</v>
      </c>
      <c r="Q55" s="158"/>
      <c r="R55" s="158"/>
    </row>
    <row r="56" spans="1:18" s="157" customFormat="1" ht="18.75" x14ac:dyDescent="0.3">
      <c r="A56" s="153">
        <v>52</v>
      </c>
      <c r="B56" s="154" t="s">
        <v>163</v>
      </c>
      <c r="C56" s="153" t="s">
        <v>164</v>
      </c>
      <c r="D56" s="155">
        <v>69000</v>
      </c>
      <c r="E56" s="156"/>
      <c r="F56" s="156"/>
      <c r="G56" s="156"/>
      <c r="H56" s="156"/>
      <c r="I56" s="156"/>
      <c r="J56" s="156"/>
      <c r="K56" s="156"/>
      <c r="L56" s="215">
        <v>55</v>
      </c>
      <c r="M56" s="216" t="s">
        <v>174</v>
      </c>
      <c r="N56" s="218" t="s">
        <v>173</v>
      </c>
      <c r="O56" s="219">
        <v>45000</v>
      </c>
      <c r="P56" s="168">
        <f t="shared" si="0"/>
        <v>55</v>
      </c>
      <c r="Q56" s="158"/>
      <c r="R56" s="158"/>
    </row>
    <row r="57" spans="1:18" s="157" customFormat="1" ht="18.75" x14ac:dyDescent="0.3">
      <c r="A57" s="153">
        <v>53</v>
      </c>
      <c r="B57" s="154" t="s">
        <v>165</v>
      </c>
      <c r="C57" s="153" t="s">
        <v>166</v>
      </c>
      <c r="D57" s="155">
        <v>76000</v>
      </c>
      <c r="E57" s="156"/>
      <c r="F57" s="156"/>
      <c r="G57" s="156"/>
      <c r="H57" s="156"/>
      <c r="I57" s="156"/>
      <c r="J57" s="156"/>
      <c r="K57" s="156"/>
      <c r="L57" s="215">
        <v>56</v>
      </c>
      <c r="M57" s="216" t="s">
        <v>176</v>
      </c>
      <c r="N57" s="218" t="s">
        <v>171</v>
      </c>
      <c r="O57" s="220">
        <v>80000</v>
      </c>
      <c r="P57" s="168">
        <f t="shared" si="0"/>
        <v>56</v>
      </c>
      <c r="Q57" s="158"/>
      <c r="R57" s="158"/>
    </row>
    <row r="58" spans="1:18" s="157" customFormat="1" ht="18.75" x14ac:dyDescent="0.3">
      <c r="A58" s="153">
        <v>54</v>
      </c>
      <c r="B58" s="154" t="s">
        <v>175</v>
      </c>
      <c r="C58" s="153" t="s">
        <v>172</v>
      </c>
      <c r="D58" s="155">
        <v>30000</v>
      </c>
      <c r="E58" s="156"/>
      <c r="F58" s="156"/>
      <c r="G58" s="156"/>
      <c r="H58" s="156"/>
      <c r="I58" s="156"/>
      <c r="J58" s="156"/>
      <c r="K58" s="156"/>
      <c r="L58" s="215">
        <v>57</v>
      </c>
      <c r="M58" s="216" t="s">
        <v>178</v>
      </c>
      <c r="N58" s="218" t="s">
        <v>177</v>
      </c>
      <c r="O58" s="220">
        <v>42000</v>
      </c>
      <c r="P58" s="168">
        <f t="shared" si="0"/>
        <v>57</v>
      </c>
      <c r="Q58" s="158"/>
      <c r="R58" s="158"/>
    </row>
    <row r="59" spans="1:18" s="157" customFormat="1" ht="18.75" x14ac:dyDescent="0.3">
      <c r="A59" s="153">
        <v>55</v>
      </c>
      <c r="B59" s="154" t="s">
        <v>173</v>
      </c>
      <c r="C59" s="153" t="s">
        <v>174</v>
      </c>
      <c r="D59" s="155">
        <v>45000</v>
      </c>
      <c r="E59" s="156"/>
      <c r="F59" s="156"/>
      <c r="G59" s="156"/>
      <c r="H59" s="156"/>
      <c r="I59" s="156"/>
      <c r="J59" s="156"/>
      <c r="K59" s="156"/>
      <c r="L59" s="215">
        <v>58</v>
      </c>
      <c r="M59" s="216" t="s">
        <v>181</v>
      </c>
      <c r="N59" s="218" t="s">
        <v>179</v>
      </c>
      <c r="O59" s="220">
        <v>35000</v>
      </c>
      <c r="P59" s="168">
        <f t="shared" si="0"/>
        <v>58</v>
      </c>
      <c r="Q59" s="158"/>
      <c r="R59" s="158"/>
    </row>
    <row r="60" spans="1:18" s="157" customFormat="1" ht="18.75" x14ac:dyDescent="0.3">
      <c r="A60" s="153">
        <v>56</v>
      </c>
      <c r="B60" s="154" t="s">
        <v>171</v>
      </c>
      <c r="C60" s="153" t="s">
        <v>176</v>
      </c>
      <c r="D60" s="155">
        <v>80000</v>
      </c>
      <c r="E60" s="156"/>
      <c r="F60" s="156"/>
      <c r="G60" s="156"/>
      <c r="H60" s="156"/>
      <c r="I60" s="156"/>
      <c r="J60" s="156"/>
      <c r="K60" s="156"/>
      <c r="L60" s="215">
        <v>59</v>
      </c>
      <c r="M60" s="216" t="s">
        <v>182</v>
      </c>
      <c r="N60" s="218" t="s">
        <v>180</v>
      </c>
      <c r="O60" s="220">
        <v>38000</v>
      </c>
      <c r="P60" s="168">
        <f t="shared" si="0"/>
        <v>59</v>
      </c>
      <c r="Q60" s="158"/>
      <c r="R60" s="158"/>
    </row>
    <row r="61" spans="1:18" s="157" customFormat="1" ht="18.75" x14ac:dyDescent="0.3">
      <c r="A61" s="153">
        <v>57</v>
      </c>
      <c r="B61" s="154" t="s">
        <v>177</v>
      </c>
      <c r="C61" s="153" t="s">
        <v>178</v>
      </c>
      <c r="D61" s="155">
        <v>42000</v>
      </c>
      <c r="E61" s="156"/>
      <c r="F61" s="156"/>
      <c r="G61" s="156"/>
      <c r="H61" s="156"/>
      <c r="I61" s="156"/>
      <c r="J61" s="156"/>
      <c r="K61" s="156"/>
      <c r="L61" s="215">
        <v>60</v>
      </c>
      <c r="M61" s="216" t="s">
        <v>187</v>
      </c>
      <c r="N61" s="218" t="s">
        <v>186</v>
      </c>
      <c r="O61" s="220">
        <v>70000</v>
      </c>
      <c r="P61" s="168">
        <f t="shared" si="0"/>
        <v>60</v>
      </c>
      <c r="Q61" s="158"/>
      <c r="R61" s="158"/>
    </row>
    <row r="62" spans="1:18" s="157" customFormat="1" ht="18.75" x14ac:dyDescent="0.3">
      <c r="A62" s="153">
        <v>58</v>
      </c>
      <c r="B62" s="154" t="s">
        <v>179</v>
      </c>
      <c r="C62" s="153" t="s">
        <v>181</v>
      </c>
      <c r="D62" s="155">
        <v>35000</v>
      </c>
      <c r="E62" s="156"/>
      <c r="F62" s="156"/>
      <c r="G62" s="156"/>
      <c r="H62" s="156"/>
      <c r="I62" s="156"/>
      <c r="J62" s="156"/>
      <c r="K62" s="156"/>
      <c r="L62" s="215">
        <v>61</v>
      </c>
      <c r="M62" s="216" t="s">
        <v>203</v>
      </c>
      <c r="N62" s="218" t="s">
        <v>202</v>
      </c>
      <c r="O62" s="219">
        <v>54000</v>
      </c>
      <c r="P62" s="168">
        <f t="shared" si="0"/>
        <v>61</v>
      </c>
      <c r="Q62" s="158"/>
      <c r="R62" s="158"/>
    </row>
    <row r="63" spans="1:18" s="157" customFormat="1" ht="18.75" x14ac:dyDescent="0.3">
      <c r="A63" s="153">
        <v>59</v>
      </c>
      <c r="B63" s="154" t="s">
        <v>180</v>
      </c>
      <c r="C63" s="153" t="s">
        <v>182</v>
      </c>
      <c r="D63" s="155">
        <v>38000</v>
      </c>
      <c r="E63" s="156"/>
      <c r="F63" s="156"/>
      <c r="G63" s="156"/>
      <c r="H63" s="156"/>
      <c r="I63" s="156"/>
      <c r="J63" s="156"/>
      <c r="K63" s="156"/>
      <c r="L63" s="215">
        <v>62</v>
      </c>
      <c r="M63" s="216" t="s">
        <v>206</v>
      </c>
      <c r="N63" s="218" t="s">
        <v>205</v>
      </c>
      <c r="O63" s="219">
        <v>47000</v>
      </c>
      <c r="P63" s="168">
        <f t="shared" si="0"/>
        <v>62</v>
      </c>
      <c r="Q63" s="158"/>
      <c r="R63" s="158"/>
    </row>
    <row r="64" spans="1:18" s="157" customFormat="1" ht="18.75" x14ac:dyDescent="0.3">
      <c r="A64" s="153">
        <v>60</v>
      </c>
      <c r="B64" s="154" t="s">
        <v>186</v>
      </c>
      <c r="C64" s="153" t="s">
        <v>187</v>
      </c>
      <c r="D64" s="155">
        <v>70000</v>
      </c>
      <c r="E64" s="156"/>
      <c r="F64" s="156"/>
      <c r="G64" s="156"/>
      <c r="H64" s="156"/>
      <c r="I64" s="156"/>
      <c r="J64" s="156"/>
      <c r="K64" s="156"/>
      <c r="L64" s="215">
        <v>63</v>
      </c>
      <c r="M64" s="216" t="s">
        <v>212</v>
      </c>
      <c r="N64" s="218" t="s">
        <v>208</v>
      </c>
      <c r="O64" s="219">
        <v>50000</v>
      </c>
      <c r="P64" s="168">
        <f t="shared" si="0"/>
        <v>63</v>
      </c>
      <c r="Q64" s="158"/>
      <c r="R64" s="158"/>
    </row>
    <row r="65" spans="1:18" s="157" customFormat="1" ht="18.75" x14ac:dyDescent="0.3">
      <c r="A65" s="153">
        <v>61</v>
      </c>
      <c r="B65" s="154" t="s">
        <v>202</v>
      </c>
      <c r="C65" s="153" t="s">
        <v>203</v>
      </c>
      <c r="D65" s="155">
        <v>54000</v>
      </c>
      <c r="E65" s="156"/>
      <c r="F65" s="156"/>
      <c r="G65" s="156"/>
      <c r="H65" s="156"/>
      <c r="I65" s="156"/>
      <c r="J65" s="156"/>
      <c r="K65" s="156"/>
      <c r="L65" s="215">
        <v>64</v>
      </c>
      <c r="M65" s="216" t="s">
        <v>213</v>
      </c>
      <c r="N65" s="218" t="s">
        <v>207</v>
      </c>
      <c r="O65" s="219">
        <v>42000</v>
      </c>
      <c r="P65" s="168">
        <f t="shared" si="0"/>
        <v>64</v>
      </c>
      <c r="Q65" s="158"/>
      <c r="R65" s="158"/>
    </row>
    <row r="66" spans="1:18" ht="18.75" x14ac:dyDescent="0.3">
      <c r="A66" s="153">
        <v>62</v>
      </c>
      <c r="B66" s="154" t="s">
        <v>205</v>
      </c>
      <c r="C66" s="153" t="s">
        <v>206</v>
      </c>
      <c r="D66" s="155">
        <v>47000</v>
      </c>
      <c r="L66" s="215" t="s">
        <v>219</v>
      </c>
      <c r="M66" s="216" t="s">
        <v>222</v>
      </c>
      <c r="N66" s="218" t="s">
        <v>225</v>
      </c>
      <c r="O66" s="219">
        <v>60000</v>
      </c>
      <c r="P66" s="168" t="str">
        <f t="shared" si="0"/>
        <v>G1</v>
      </c>
      <c r="Q66" s="158"/>
    </row>
    <row r="67" spans="1:18" ht="18.75" x14ac:dyDescent="0.3">
      <c r="A67" s="153">
        <v>63</v>
      </c>
      <c r="B67" s="154" t="s">
        <v>208</v>
      </c>
      <c r="C67" s="153" t="s">
        <v>212</v>
      </c>
      <c r="D67" s="155">
        <v>50000</v>
      </c>
      <c r="L67" s="215" t="s">
        <v>220</v>
      </c>
      <c r="M67" s="216" t="s">
        <v>223</v>
      </c>
      <c r="N67" s="218" t="s">
        <v>226</v>
      </c>
      <c r="O67" s="219">
        <v>70000</v>
      </c>
      <c r="P67" s="168" t="str">
        <f t="shared" ref="P67:P77" si="2">IF($N67="","",LOOKUP(2,1/($N67=$B$2:$B$100),$A$2:$A$100))</f>
        <v>G2</v>
      </c>
      <c r="Q67" s="158"/>
    </row>
    <row r="68" spans="1:18" ht="18.75" x14ac:dyDescent="0.3">
      <c r="A68" s="153">
        <v>64</v>
      </c>
      <c r="B68" s="154" t="s">
        <v>207</v>
      </c>
      <c r="C68" s="153" t="s">
        <v>213</v>
      </c>
      <c r="D68" s="155">
        <v>42000</v>
      </c>
      <c r="L68" s="215" t="s">
        <v>221</v>
      </c>
      <c r="M68" s="216" t="s">
        <v>224</v>
      </c>
      <c r="N68" s="218" t="s">
        <v>227</v>
      </c>
      <c r="O68" s="219">
        <v>45000</v>
      </c>
      <c r="P68" s="168" t="str">
        <f t="shared" si="2"/>
        <v>G3</v>
      </c>
      <c r="Q68" s="158"/>
    </row>
    <row r="69" spans="1:18" ht="18.75" x14ac:dyDescent="0.3">
      <c r="A69" s="153">
        <v>65</v>
      </c>
      <c r="B69" s="154" t="s">
        <v>247</v>
      </c>
      <c r="C69" s="153" t="s">
        <v>248</v>
      </c>
      <c r="D69" s="155">
        <v>18000</v>
      </c>
      <c r="L69" s="216">
        <v>65</v>
      </c>
      <c r="M69" s="216" t="s">
        <v>248</v>
      </c>
      <c r="N69" s="218" t="s">
        <v>247</v>
      </c>
      <c r="O69" s="219">
        <v>18000</v>
      </c>
      <c r="P69" s="168">
        <f t="shared" si="2"/>
        <v>65</v>
      </c>
      <c r="Q69" s="158"/>
    </row>
    <row r="70" spans="1:18" ht="18.75" x14ac:dyDescent="0.3">
      <c r="A70" s="153">
        <v>66</v>
      </c>
      <c r="B70" s="154" t="s">
        <v>239</v>
      </c>
      <c r="C70" s="153" t="s">
        <v>249</v>
      </c>
      <c r="D70" s="155">
        <v>23000</v>
      </c>
      <c r="L70" s="216">
        <v>66</v>
      </c>
      <c r="M70" s="216" t="s">
        <v>249</v>
      </c>
      <c r="N70" s="218" t="s">
        <v>239</v>
      </c>
      <c r="O70" s="219">
        <v>23000</v>
      </c>
      <c r="P70" s="168">
        <f t="shared" si="2"/>
        <v>66</v>
      </c>
      <c r="Q70" s="158"/>
    </row>
    <row r="71" spans="1:18" ht="18.75" x14ac:dyDescent="0.3">
      <c r="A71" s="153">
        <v>67</v>
      </c>
      <c r="B71" s="154" t="s">
        <v>240</v>
      </c>
      <c r="C71" s="153" t="s">
        <v>250</v>
      </c>
      <c r="D71" s="155">
        <v>26000</v>
      </c>
      <c r="L71" s="216">
        <v>67</v>
      </c>
      <c r="M71" s="216" t="s">
        <v>250</v>
      </c>
      <c r="N71" s="218" t="s">
        <v>240</v>
      </c>
      <c r="O71" s="219">
        <v>26000</v>
      </c>
      <c r="P71" s="168">
        <f t="shared" si="2"/>
        <v>67</v>
      </c>
      <c r="Q71" s="158"/>
    </row>
    <row r="72" spans="1:18" ht="18.75" x14ac:dyDescent="0.3">
      <c r="A72" s="153">
        <v>68</v>
      </c>
      <c r="B72" s="154" t="s">
        <v>241</v>
      </c>
      <c r="C72" s="153" t="s">
        <v>251</v>
      </c>
      <c r="D72" s="155">
        <v>26000</v>
      </c>
      <c r="L72" s="216">
        <v>68</v>
      </c>
      <c r="M72" s="216" t="s">
        <v>251</v>
      </c>
      <c r="N72" s="218" t="s">
        <v>241</v>
      </c>
      <c r="O72" s="219">
        <v>26000</v>
      </c>
      <c r="P72" s="168">
        <f t="shared" si="2"/>
        <v>68</v>
      </c>
      <c r="Q72" s="158"/>
    </row>
    <row r="73" spans="1:18" ht="18.75" x14ac:dyDescent="0.3">
      <c r="A73" s="153">
        <v>69</v>
      </c>
      <c r="B73" s="154" t="s">
        <v>242</v>
      </c>
      <c r="C73" s="153" t="s">
        <v>252</v>
      </c>
      <c r="D73" s="155">
        <v>26000</v>
      </c>
      <c r="L73" s="216">
        <v>69</v>
      </c>
      <c r="M73" s="216" t="s">
        <v>252</v>
      </c>
      <c r="N73" s="218" t="s">
        <v>242</v>
      </c>
      <c r="O73" s="219">
        <v>26000</v>
      </c>
      <c r="P73" s="168">
        <f t="shared" si="2"/>
        <v>69</v>
      </c>
      <c r="Q73" s="158"/>
    </row>
    <row r="74" spans="1:18" ht="18.75" x14ac:dyDescent="0.3">
      <c r="A74" s="153">
        <v>70</v>
      </c>
      <c r="B74" s="154" t="s">
        <v>243</v>
      </c>
      <c r="C74" s="153" t="s">
        <v>253</v>
      </c>
      <c r="D74" s="155">
        <v>26000</v>
      </c>
      <c r="L74" s="216">
        <v>70</v>
      </c>
      <c r="M74" s="216" t="s">
        <v>253</v>
      </c>
      <c r="N74" s="218" t="s">
        <v>243</v>
      </c>
      <c r="O74" s="219">
        <v>26000</v>
      </c>
      <c r="P74" s="168">
        <f t="shared" si="2"/>
        <v>70</v>
      </c>
      <c r="Q74" s="158"/>
    </row>
    <row r="75" spans="1:18" ht="18.75" x14ac:dyDescent="0.3">
      <c r="A75" s="153">
        <v>71</v>
      </c>
      <c r="B75" s="154" t="s">
        <v>244</v>
      </c>
      <c r="C75" s="153" t="s">
        <v>254</v>
      </c>
      <c r="D75" s="155">
        <v>35000</v>
      </c>
      <c r="L75" s="216">
        <v>71</v>
      </c>
      <c r="M75" s="216" t="s">
        <v>254</v>
      </c>
      <c r="N75" s="218" t="s">
        <v>244</v>
      </c>
      <c r="O75" s="219">
        <v>35000</v>
      </c>
      <c r="P75" s="168">
        <f t="shared" si="2"/>
        <v>71</v>
      </c>
      <c r="Q75" s="158"/>
    </row>
    <row r="76" spans="1:18" ht="18.75" x14ac:dyDescent="0.3">
      <c r="A76" s="153">
        <v>72</v>
      </c>
      <c r="B76" s="154" t="s">
        <v>245</v>
      </c>
      <c r="C76" s="153" t="s">
        <v>255</v>
      </c>
      <c r="D76" s="155">
        <v>40000</v>
      </c>
      <c r="L76" s="216">
        <v>72</v>
      </c>
      <c r="M76" s="216" t="s">
        <v>255</v>
      </c>
      <c r="N76" s="218" t="s">
        <v>245</v>
      </c>
      <c r="O76" s="219">
        <v>40000</v>
      </c>
      <c r="P76" s="168">
        <f t="shared" si="2"/>
        <v>72</v>
      </c>
      <c r="Q76" s="158"/>
    </row>
    <row r="77" spans="1:18" ht="18.75" x14ac:dyDescent="0.3">
      <c r="A77" s="153">
        <v>73</v>
      </c>
      <c r="B77" s="154" t="s">
        <v>246</v>
      </c>
      <c r="C77" s="153" t="s">
        <v>256</v>
      </c>
      <c r="D77" s="155">
        <v>43000</v>
      </c>
      <c r="L77" s="216">
        <v>73</v>
      </c>
      <c r="M77" s="216" t="s">
        <v>256</v>
      </c>
      <c r="N77" s="218" t="s">
        <v>246</v>
      </c>
      <c r="O77" s="219">
        <v>43000</v>
      </c>
      <c r="P77" s="168">
        <f t="shared" si="2"/>
        <v>73</v>
      </c>
      <c r="Q77" s="158"/>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5" activePane="bottomLeft" state="frozen"/>
      <selection activeCell="L29" sqref="L2:L29"/>
      <selection pane="bottomLeft" activeCell="K1" sqref="K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3">
        <f ca="1">'Quốc Nhân'!N4+'La Cusina'!N4+TVP!M4+Gà!N4+Kitkool!N4-('Quốc Nhân'!K4+'La Cusina'!K4+TVP!J4+Gà!K4+Kitkool!K4-('Quốc Nhân'!A4+'La Cusina'!A4+TVP!A4+Gà!A4+Kitkool!A4))</f>
        <v>28985.143112887687</v>
      </c>
      <c r="B1" s="229" t="str">
        <f>"Tiền Hàng: "&amp;INT('Quốc Nhân'!K4+'La Cusina'!K4+TVP!J4+Gà!K4+Kitkool!K4)</f>
        <v>Tiền Hàng: 226716</v>
      </c>
      <c r="C1" s="228" t="str">
        <f ca="1">"Giá trị hàng Tồn: "&amp;INT('Quốc Nhân'!A4+'La Cusina'!A4+TVP!A4+Gà!A4+Kitkool!A4)</f>
        <v>Giá trị hàng Tồn: 71856</v>
      </c>
      <c r="D1" s="227" t="str">
        <f ca="1">"Giá trị Hàng xuất: "&amp;CHAR(10)&amp;INT('Quốc Nhân'!K4+'La Cusina'!K4+TVP!J4+Gà!K4+Kitkool!K4-('Quốc Nhân'!A4+'La Cusina'!A4+TVP!A4+Gà!A4+Kitkool!A4))</f>
        <v>Giá trị Hàng xuất: 
154860</v>
      </c>
      <c r="E1" s="227" t="str">
        <f ca="1">"Doanh Thu Tích Lũy: "&amp;INT('Quốc Nhân'!N4+'La Cusina'!N4+TVP!M4+Gà!N4+Kitkool!N4)</f>
        <v>Doanh Thu Tích Lũy: 183846</v>
      </c>
      <c r="F1" s="225">
        <v>2105</v>
      </c>
      <c r="G1" s="207">
        <f>-774-503+13</f>
        <v>-1264</v>
      </c>
      <c r="H1" s="208" t="s">
        <v>282</v>
      </c>
      <c r="I1" s="211">
        <v>-176</v>
      </c>
      <c r="J1" s="212" t="s">
        <v>284</v>
      </c>
      <c r="K1" s="166"/>
      <c r="L1" s="109"/>
      <c r="N1" s="109"/>
    </row>
    <row r="2" spans="1:55" ht="28.5" customHeight="1" x14ac:dyDescent="0.25">
      <c r="A2" s="224"/>
      <c r="B2" s="229"/>
      <c r="C2" s="228"/>
      <c r="D2" s="227"/>
      <c r="E2" s="227"/>
      <c r="F2" s="226"/>
      <c r="G2" s="209">
        <v>-800</v>
      </c>
      <c r="H2" s="210" t="s">
        <v>283</v>
      </c>
      <c r="I2" s="79"/>
      <c r="J2" s="109"/>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SUBTOTAL(3,B8:B102)</f>
        <v>73</v>
      </c>
      <c r="C4" s="57"/>
      <c r="D4" s="57"/>
      <c r="E4" s="57"/>
      <c r="F4" s="57">
        <f ca="1">SUMPRODUCT(($E$5:$E$80)*($F$5:$F$80))</f>
        <v>48.95</v>
      </c>
      <c r="G4" s="57"/>
      <c r="H4" s="80">
        <f ca="1">SUBTOTAL(9,H5:H502)</f>
        <v>620611.91996934172</v>
      </c>
      <c r="I4" s="80">
        <f ca="1">K4-J4</f>
        <v>600611.91996934265</v>
      </c>
      <c r="J4" s="40">
        <f ca="1">SUBTOTAL(9,J5:J502)</f>
        <v>3110888.0800306574</v>
      </c>
      <c r="K4" s="63">
        <f ca="1">SUM(L4:BC4)</f>
        <v>3711500</v>
      </c>
      <c r="L4" s="85">
        <f t="shared" ref="L4:AN4" ca="1" si="0">IFERROR(INDIRECT("'Thanh Toán ("&amp;L$3&amp;")'!$H"&amp;SUBTOTAL(3,INDIRECT("'Thanh Toán ("&amp;L$3&amp;")'!$H$8:$H$50"))+7-COUNTIF(INDIRECT("'Thanh Toán ("&amp;L$3&amp;")'!$H$8:$H$50"),""&amp;"*")),"")</f>
        <v>336000</v>
      </c>
      <c r="M4" s="85">
        <f t="shared" ca="1" si="0"/>
        <v>350000</v>
      </c>
      <c r="N4" s="85">
        <f t="shared" ca="1" si="0"/>
        <v>550000</v>
      </c>
      <c r="O4" s="85">
        <f t="shared" ca="1" si="0"/>
        <v>705000</v>
      </c>
      <c r="P4" s="85">
        <f t="shared" ca="1" si="0"/>
        <v>302000</v>
      </c>
      <c r="Q4" s="85">
        <f t="shared" ca="1" si="0"/>
        <v>66500</v>
      </c>
      <c r="R4" s="85">
        <f t="shared" ca="1" si="0"/>
        <v>820000</v>
      </c>
      <c r="S4" s="85">
        <f t="shared" ca="1" si="0"/>
        <v>423000</v>
      </c>
      <c r="T4" s="85">
        <f t="shared" ca="1" si="0"/>
        <v>159000</v>
      </c>
      <c r="U4" s="85" t="str">
        <f t="shared" ca="1" si="0"/>
        <v/>
      </c>
      <c r="V4" s="85" t="str">
        <f t="shared" ca="1" si="0"/>
        <v/>
      </c>
      <c r="W4" s="85" t="str">
        <f t="shared" ca="1" si="0"/>
        <v/>
      </c>
      <c r="X4" s="85" t="str">
        <f t="shared" ca="1" si="0"/>
        <v/>
      </c>
      <c r="Y4" s="85" t="str">
        <f t="shared" ca="1" si="0"/>
        <v/>
      </c>
      <c r="Z4" s="85" t="str">
        <f t="shared" ca="1" si="0"/>
        <v/>
      </c>
      <c r="AA4" s="85" t="str">
        <f t="shared" ca="1" si="0"/>
        <v/>
      </c>
      <c r="AB4" s="85" t="str">
        <f t="shared" ca="1" si="0"/>
        <v/>
      </c>
      <c r="AC4" s="85" t="str">
        <f t="shared" ca="1" si="0"/>
        <v/>
      </c>
      <c r="AD4" s="85" t="str">
        <f t="shared" ca="1" si="0"/>
        <v/>
      </c>
      <c r="AE4" s="85" t="str">
        <f t="shared" ca="1" si="0"/>
        <v/>
      </c>
      <c r="AF4" s="85" t="str">
        <f t="shared" ca="1" si="0"/>
        <v/>
      </c>
      <c r="AG4" s="85" t="str">
        <f t="shared" ca="1" si="0"/>
        <v/>
      </c>
      <c r="AH4" s="85" t="str">
        <f t="shared" ca="1" si="0"/>
        <v/>
      </c>
      <c r="AI4" s="85" t="str">
        <f t="shared" ca="1" si="0"/>
        <v/>
      </c>
      <c r="AJ4" s="85" t="str">
        <f t="shared" ca="1" si="0"/>
        <v/>
      </c>
      <c r="AK4" s="85" t="str">
        <f t="shared" ca="1" si="0"/>
        <v/>
      </c>
      <c r="AL4" s="85" t="str">
        <f t="shared" ca="1" si="0"/>
        <v/>
      </c>
      <c r="AM4" s="85" t="str">
        <f t="shared" ca="1" si="0"/>
        <v/>
      </c>
      <c r="AN4" s="85" t="str">
        <f t="shared" ca="1" si="0"/>
        <v/>
      </c>
      <c r="AO4" s="85" t="str">
        <f t="shared" ref="AO4:BC4" ca="1" si="1">IFERROR(INDIRECT("'Thanh Toán ("&amp;AO$3&amp;")'!$H"&amp;SUBTOTAL(3,INDIRECT("'Thanh Toán ("&amp;AO$3&amp;")'!$H$8:$H$50"))+7-COUNTIF(INDIRECT("'Thanh Toán ("&amp;AO$3&amp;")'!$H$8:$H$50"),""&amp;"*")),"")</f>
        <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1" t="s">
        <v>225</v>
      </c>
      <c r="C5" s="23" t="s">
        <v>222</v>
      </c>
      <c r="D5" s="44">
        <v>60000</v>
      </c>
      <c r="E5" s="56">
        <v>1</v>
      </c>
      <c r="F5" s="56">
        <f t="shared" ref="F5:F36" ca="1" si="2">SUM(L5:BR5)</f>
        <v>0</v>
      </c>
      <c r="G5" s="199">
        <f>IFERROR(VLOOKUP($B5,Gà!C:J,8,0),IFERROR(VLOOKUP($B5,TVP!C:J,7,0),IFERROR(VLOOKUP($B5,Kitkool!C:J,8,0),IFERROR(VLOOKUP($B5,'La Cusina'!C:J,8,0),VLOOKUP($B5,'Quốc Nhân'!C:J,8,0)))))</f>
        <v>47.497381978761432</v>
      </c>
      <c r="H5" s="54">
        <f ca="1">(D5-G5*1000)*$F5</f>
        <v>0</v>
      </c>
      <c r="I5" s="54"/>
      <c r="J5" s="54">
        <f ca="1">F5*G5*1000</f>
        <v>0</v>
      </c>
      <c r="K5" s="54"/>
      <c r="L5" s="196">
        <f ca="1">IFERROR(SUMIFS(INDIRECT("'Thanh Toán ("&amp;L$3&amp;")'!$F:$F"),INDIRECT("'Thanh Toán ("&amp;L$3&amp;")'!$D:$D"),'Tổng Đơn'!$B5),0)</f>
        <v>0</v>
      </c>
      <c r="M5" s="196">
        <f ca="1">IFERROR(SUMIFS(INDIRECT("'Thanh Toán ("&amp;M$3&amp;")'!$F:$F"),INDIRECT("'Thanh Toán ("&amp;M$3&amp;")'!$D:$D"),'Tổng Đơn'!$B5),0)</f>
        <v>0</v>
      </c>
      <c r="N5" s="196">
        <f ca="1">IFERROR(SUMIFS(INDIRECT("'Thanh Toán ("&amp;N$3&amp;")'!$F:$F"),INDIRECT("'Thanh Toán ("&amp;N$3&amp;")'!$D:$D"),'Tổng Đơn'!$B5),0)</f>
        <v>0</v>
      </c>
      <c r="O5" s="196">
        <f ca="1">IFERROR(SUMIFS(INDIRECT("'Thanh Toán ("&amp;O$3&amp;")'!$F:$F"),INDIRECT("'Thanh Toán ("&amp;O$3&amp;")'!$D:$D"),'Tổng Đơn'!$B5),0)</f>
        <v>0</v>
      </c>
      <c r="P5" s="196">
        <f ca="1">IFERROR(SUMIFS(INDIRECT("'Thanh Toán ("&amp;P$3&amp;")'!$F:$F"),INDIRECT("'Thanh Toán ("&amp;P$3&amp;")'!$D:$D"),'Tổng Đơn'!$B5),0)</f>
        <v>0</v>
      </c>
      <c r="Q5" s="196">
        <f ca="1">IFERROR(SUMIFS(INDIRECT("'Thanh Toán ("&amp;Q$3&amp;")'!$F:$F"),INDIRECT("'Thanh Toán ("&amp;Q$3&amp;")'!$D:$D"),'Tổng Đơn'!$B5),0)</f>
        <v>0</v>
      </c>
      <c r="R5" s="196">
        <f ca="1">IFERROR(SUMIFS(INDIRECT("'Thanh Toán ("&amp;R$3&amp;")'!$F:$F"),INDIRECT("'Thanh Toán ("&amp;R$3&amp;")'!$D:$D"),'Tổng Đơn'!$B5),0)</f>
        <v>0</v>
      </c>
      <c r="S5" s="196">
        <f ca="1">IFERROR(SUMIFS(INDIRECT("'Thanh Toán ("&amp;S$3&amp;")'!$F:$F"),INDIRECT("'Thanh Toán ("&amp;S$3&amp;")'!$D:$D"),'Tổng Đơn'!$B5),0)</f>
        <v>0</v>
      </c>
      <c r="T5" s="196">
        <f ca="1">IFERROR(SUMIFS(INDIRECT("'Thanh Toán ("&amp;T$3&amp;")'!$F:$F"),INDIRECT("'Thanh Toán ("&amp;T$3&amp;")'!$D:$D"),'Tổng Đơn'!$B5),0)</f>
        <v>0</v>
      </c>
      <c r="U5" s="196">
        <f ca="1">IFERROR(SUMIFS(INDIRECT("'Thanh Toán ("&amp;U$3&amp;")'!$F:$F"),INDIRECT("'Thanh Toán ("&amp;U$3&amp;")'!$D:$D"),'Tổng Đơn'!$B5),0)</f>
        <v>0</v>
      </c>
      <c r="V5" s="196">
        <f ca="1">IFERROR(SUMIFS(INDIRECT("'Thanh Toán ("&amp;V$3&amp;")'!$F:$F"),INDIRECT("'Thanh Toán ("&amp;V$3&amp;")'!$D:$D"),'Tổng Đơn'!$B5),0)</f>
        <v>0</v>
      </c>
      <c r="W5" s="196">
        <f ca="1">IFERROR(SUMIFS(INDIRECT("'Thanh Toán ("&amp;W$3&amp;")'!$F:$F"),INDIRECT("'Thanh Toán ("&amp;W$3&amp;")'!$D:$D"),'Tổng Đơn'!$B5),0)</f>
        <v>0</v>
      </c>
      <c r="X5" s="196">
        <f ca="1">IFERROR(SUMIFS(INDIRECT("'Thanh Toán ("&amp;X$3&amp;")'!$F:$F"),INDIRECT("'Thanh Toán ("&amp;X$3&amp;")'!$D:$D"),'Tổng Đơn'!$B5),0)</f>
        <v>0</v>
      </c>
      <c r="Y5" s="196">
        <f ca="1">IFERROR(SUMIFS(INDIRECT("'Thanh Toán ("&amp;Y$3&amp;")'!$F:$F"),INDIRECT("'Thanh Toán ("&amp;Y$3&amp;")'!$D:$D"),'Tổng Đơn'!$B5),0)</f>
        <v>0</v>
      </c>
      <c r="Z5" s="196">
        <f ca="1">IFERROR(SUMIFS(INDIRECT("'Thanh Toán ("&amp;Z$3&amp;")'!$F:$F"),INDIRECT("'Thanh Toán ("&amp;Z$3&amp;")'!$D:$D"),'Tổng Đơn'!$B5),0)</f>
        <v>0</v>
      </c>
      <c r="AA5" s="196">
        <f ca="1">IFERROR(SUMIFS(INDIRECT("'Thanh Toán ("&amp;AA$3&amp;")'!$F:$F"),INDIRECT("'Thanh Toán ("&amp;AA$3&amp;")'!$D:$D"),'Tổng Đơn'!$B5),0)</f>
        <v>0</v>
      </c>
      <c r="AB5" s="196">
        <f ca="1">IFERROR(SUMIFS(INDIRECT("'Thanh Toán ("&amp;AB$3&amp;")'!$F:$F"),INDIRECT("'Thanh Toán ("&amp;AB$3&amp;")'!$D:$D"),'Tổng Đơn'!$B5),0)</f>
        <v>0</v>
      </c>
      <c r="AC5" s="196">
        <f ca="1">IFERROR(SUMIFS(INDIRECT("'Thanh Toán ("&amp;AC$3&amp;")'!$F:$F"),INDIRECT("'Thanh Toán ("&amp;AC$3&amp;")'!$D:$D"),'Tổng Đơn'!$B5),0)</f>
        <v>0</v>
      </c>
      <c r="AD5" s="196">
        <f ca="1">IFERROR(SUMIFS(INDIRECT("'Thanh Toán ("&amp;AD$3&amp;")'!$F:$F"),INDIRECT("'Thanh Toán ("&amp;AD$3&amp;")'!$D:$D"),'Tổng Đơn'!$B5),0)</f>
        <v>0</v>
      </c>
      <c r="AE5" s="196">
        <f ca="1">IFERROR(SUMIFS(INDIRECT("'Thanh Toán ("&amp;AE$3&amp;")'!$F:$F"),INDIRECT("'Thanh Toán ("&amp;AE$3&amp;")'!$D:$D"),'Tổng Đơn'!$B5),0)</f>
        <v>0</v>
      </c>
      <c r="AF5" s="196">
        <f ca="1">IFERROR(SUMIFS(INDIRECT("'Thanh Toán ("&amp;AF$3&amp;")'!$F:$F"),INDIRECT("'Thanh Toán ("&amp;AF$3&amp;")'!$D:$D"),'Tổng Đơn'!$B5),0)</f>
        <v>0</v>
      </c>
      <c r="AG5" s="196">
        <f ca="1">IFERROR(SUMIFS(INDIRECT("'Thanh Toán ("&amp;AG$3&amp;")'!$F:$F"),INDIRECT("'Thanh Toán ("&amp;AG$3&amp;")'!$D:$D"),'Tổng Đơn'!$B5),0)</f>
        <v>0</v>
      </c>
      <c r="AH5" s="196">
        <f ca="1">IFERROR(SUMIFS(INDIRECT("'Thanh Toán ("&amp;AH$3&amp;")'!$F:$F"),INDIRECT("'Thanh Toán ("&amp;AH$3&amp;")'!$D:$D"),'Tổng Đơn'!$B5),0)</f>
        <v>0</v>
      </c>
      <c r="AI5" s="196">
        <f ca="1">IFERROR(SUMIFS(INDIRECT("'Thanh Toán ("&amp;AI$3&amp;")'!$F:$F"),INDIRECT("'Thanh Toán ("&amp;AI$3&amp;")'!$D:$D"),'Tổng Đơn'!$B5),0)</f>
        <v>0</v>
      </c>
      <c r="AJ5" s="196">
        <f ca="1">IFERROR(SUMIFS(INDIRECT("'Thanh Toán ("&amp;AJ$3&amp;")'!$F:$F"),INDIRECT("'Thanh Toán ("&amp;AJ$3&amp;")'!$D:$D"),'Tổng Đơn'!$B5),0)</f>
        <v>0</v>
      </c>
      <c r="AK5" s="196">
        <f ca="1">IFERROR(SUMIFS(INDIRECT("'Thanh Toán ("&amp;AK$3&amp;")'!$F:$F"),INDIRECT("'Thanh Toán ("&amp;AK$3&amp;")'!$D:$D"),'Tổng Đơn'!$B5),0)</f>
        <v>0</v>
      </c>
      <c r="AL5" s="196">
        <f ca="1">IFERROR(SUMIFS(INDIRECT("'Thanh Toán ("&amp;AL$3&amp;")'!$F:$F"),INDIRECT("'Thanh Toán ("&amp;AL$3&amp;")'!$D:$D"),'Tổng Đơn'!$B5),0)</f>
        <v>0</v>
      </c>
      <c r="AM5" s="196">
        <f ca="1">IFERROR(SUMIFS(INDIRECT("'Thanh Toán ("&amp;AM$3&amp;")'!$F:$F"),INDIRECT("'Thanh Toán ("&amp;AM$3&amp;")'!$D:$D"),'Tổng Đơn'!$B5),0)</f>
        <v>0</v>
      </c>
      <c r="AN5" s="196">
        <f ca="1">IFERROR(SUMIFS(INDIRECT("'Thanh Toán ("&amp;AN$3&amp;")'!$F:$F"),INDIRECT("'Thanh Toán ("&amp;AN$3&amp;")'!$D:$D"),'Tổng Đơn'!$B5),0)</f>
        <v>0</v>
      </c>
      <c r="AO5" s="196">
        <f ca="1">IFERROR(SUMIFS(INDIRECT("'Thanh Toán ("&amp;AO$3&amp;")'!$F:$F"),INDIRECT("'Thanh Toán ("&amp;AO$3&amp;")'!$D:$D"),'Tổng Đơn'!$B5),0)</f>
        <v>0</v>
      </c>
      <c r="AP5" s="196">
        <f ca="1">IFERROR(SUMIFS(INDIRECT("'Thanh Toán ("&amp;AP$3&amp;")'!$F:$F"),INDIRECT("'Thanh Toán ("&amp;AP$3&amp;")'!$D:$D"),'Tổng Đơn'!$B5),0)</f>
        <v>0</v>
      </c>
      <c r="AQ5" s="196">
        <f ca="1">IFERROR(SUMIFS(INDIRECT("'Thanh Toán ("&amp;AQ$3&amp;")'!$F:$F"),INDIRECT("'Thanh Toán ("&amp;AQ$3&amp;")'!$D:$D"),'Tổng Đơn'!$B5),0)</f>
        <v>0</v>
      </c>
      <c r="AR5" s="196">
        <f ca="1">IFERROR(SUMIFS(INDIRECT("'Thanh Toán ("&amp;AR$3&amp;")'!$F:$F"),INDIRECT("'Thanh Toán ("&amp;AR$3&amp;")'!$D:$D"),'Tổng Đơn'!$B5),0)</f>
        <v>0</v>
      </c>
      <c r="AS5" s="196">
        <f ca="1">IFERROR(SUMIFS(INDIRECT("'Thanh Toán ("&amp;AS$3&amp;")'!$F:$F"),INDIRECT("'Thanh Toán ("&amp;AS$3&amp;")'!$D:$D"),'Tổng Đơn'!$B5),0)</f>
        <v>0</v>
      </c>
      <c r="AT5" s="196">
        <f ca="1">IFERROR(SUMIFS(INDIRECT("'Thanh Toán ("&amp;AT$3&amp;")'!$F:$F"),INDIRECT("'Thanh Toán ("&amp;AT$3&amp;")'!$D:$D"),'Tổng Đơn'!$B5),0)</f>
        <v>0</v>
      </c>
      <c r="AU5" s="196">
        <f ca="1">IFERROR(SUMIFS(INDIRECT("'Thanh Toán ("&amp;AU$3&amp;")'!$F:$F"),INDIRECT("'Thanh Toán ("&amp;AU$3&amp;")'!$D:$D"),'Tổng Đơn'!$B5),0)</f>
        <v>0</v>
      </c>
      <c r="AV5" s="196">
        <f ca="1">IFERROR(SUMIFS(INDIRECT("'Thanh Toán ("&amp;AV$3&amp;")'!$F:$F"),INDIRECT("'Thanh Toán ("&amp;AV$3&amp;")'!$D:$D"),'Tổng Đơn'!$B5),0)</f>
        <v>0</v>
      </c>
      <c r="AW5" s="196">
        <f ca="1">IFERROR(SUMIFS(INDIRECT("'Thanh Toán ("&amp;AW$3&amp;")'!$F:$F"),INDIRECT("'Thanh Toán ("&amp;AW$3&amp;")'!$D:$D"),'Tổng Đơn'!$B5),0)</f>
        <v>0</v>
      </c>
      <c r="AX5" s="196">
        <f ca="1">IFERROR(SUMIFS(INDIRECT("'Thanh Toán ("&amp;AX$3&amp;")'!$F:$F"),INDIRECT("'Thanh Toán ("&amp;AX$3&amp;")'!$D:$D"),'Tổng Đơn'!$B5),0)</f>
        <v>0</v>
      </c>
      <c r="AY5" s="196">
        <f ca="1">IFERROR(SUMIFS(INDIRECT("'Thanh Toán ("&amp;AY$3&amp;")'!$F:$F"),INDIRECT("'Thanh Toán ("&amp;AY$3&amp;")'!$D:$D"),'Tổng Đơn'!$B5),0)</f>
        <v>0</v>
      </c>
      <c r="AZ5" s="196">
        <f ca="1">IFERROR(SUMIFS(INDIRECT("'Thanh Toán ("&amp;AZ$3&amp;")'!$F:$F"),INDIRECT("'Thanh Toán ("&amp;AZ$3&amp;")'!$D:$D"),'Tổng Đơn'!$B5),0)</f>
        <v>0</v>
      </c>
      <c r="BA5" s="196">
        <f ca="1">IFERROR(SUMIFS(INDIRECT("'Thanh Toán ("&amp;BA$3&amp;")'!$F:$F"),INDIRECT("'Thanh Toán ("&amp;BA$3&amp;")'!$D:$D"),'Tổng Đơn'!$B5),0)</f>
        <v>0</v>
      </c>
      <c r="BB5" s="196">
        <f ca="1">IFERROR(SUMIFS(INDIRECT("'Thanh Toán ("&amp;BB$3&amp;")'!$F:$F"),INDIRECT("'Thanh Toán ("&amp;BB$3&amp;")'!$D:$D"),'Tổng Đơn'!$B5),0)</f>
        <v>0</v>
      </c>
      <c r="BC5" s="196">
        <f ca="1">IFERROR(SUMIFS(INDIRECT("'Thanh Toán ("&amp;BC$3&amp;")'!$F:$F"),INDIRECT("'Thanh Toán ("&amp;BC$3&amp;")'!$D:$D"),'Tổng Đơn'!$B5),0)</f>
        <v>0</v>
      </c>
    </row>
    <row r="6" spans="1:55" x14ac:dyDescent="0.25">
      <c r="A6" s="23" t="s">
        <v>220</v>
      </c>
      <c r="B6" s="141" t="s">
        <v>226</v>
      </c>
      <c r="C6" s="23" t="s">
        <v>223</v>
      </c>
      <c r="D6" s="44">
        <v>70000</v>
      </c>
      <c r="E6" s="56">
        <v>1</v>
      </c>
      <c r="F6" s="56">
        <f t="shared" ca="1" si="2"/>
        <v>0</v>
      </c>
      <c r="G6" s="199">
        <f>IFERROR(VLOOKUP($B6,Gà!C:J,8,0),IFERROR(VLOOKUP($B6,TVP!C:J,7,0),IFERROR(VLOOKUP($B6,Kitkool!C:J,8,0),IFERROR(VLOOKUP($B6,'La Cusina'!C:J,8,0),VLOOKUP($B6,'Quốc Nhân'!C:J,8,0)))))</f>
        <v>56.790348018084323</v>
      </c>
      <c r="H6" s="54">
        <f t="shared" ref="H6:H7" ca="1" si="3">(D6-G6*1000)*$F6</f>
        <v>0</v>
      </c>
      <c r="I6" s="54"/>
      <c r="J6" s="54">
        <f t="shared" ref="J6:J7" ca="1" si="4">F6*G6*1000</f>
        <v>0</v>
      </c>
      <c r="K6" s="54"/>
      <c r="L6" s="196">
        <f ca="1">IFERROR(SUMIFS(INDIRECT("'Thanh Toán ("&amp;L$3&amp;")'!$F:$F"),INDIRECT("'Thanh Toán ("&amp;L$3&amp;")'!$D:$D"),'Tổng Đơn'!$B6),0)</f>
        <v>0</v>
      </c>
      <c r="M6" s="196">
        <f ca="1">IFERROR(SUMIFS(INDIRECT("'Thanh Toán ("&amp;M$3&amp;")'!$F:$F"),INDIRECT("'Thanh Toán ("&amp;M$3&amp;")'!$D:$D"),'Tổng Đơn'!$B6),0)</f>
        <v>0</v>
      </c>
      <c r="N6" s="196">
        <f ca="1">IFERROR(SUMIFS(INDIRECT("'Thanh Toán ("&amp;N$3&amp;")'!$F:$F"),INDIRECT("'Thanh Toán ("&amp;N$3&amp;")'!$D:$D"),'Tổng Đơn'!$B6),0)</f>
        <v>0</v>
      </c>
      <c r="O6" s="196">
        <f ca="1">IFERROR(SUMIFS(INDIRECT("'Thanh Toán ("&amp;O$3&amp;")'!$F:$F"),INDIRECT("'Thanh Toán ("&amp;O$3&amp;")'!$D:$D"),'Tổng Đơn'!$B6),0)</f>
        <v>0</v>
      </c>
      <c r="P6" s="196">
        <f ca="1">IFERROR(SUMIFS(INDIRECT("'Thanh Toán ("&amp;P$3&amp;")'!$F:$F"),INDIRECT("'Thanh Toán ("&amp;P$3&amp;")'!$D:$D"),'Tổng Đơn'!$B6),0)</f>
        <v>0</v>
      </c>
      <c r="Q6" s="196">
        <f ca="1">IFERROR(SUMIFS(INDIRECT("'Thanh Toán ("&amp;Q$3&amp;")'!$F:$F"),INDIRECT("'Thanh Toán ("&amp;Q$3&amp;")'!$D:$D"),'Tổng Đơn'!$B6),0)</f>
        <v>0</v>
      </c>
      <c r="R6" s="196">
        <f ca="1">IFERROR(SUMIFS(INDIRECT("'Thanh Toán ("&amp;R$3&amp;")'!$F:$F"),INDIRECT("'Thanh Toán ("&amp;R$3&amp;")'!$D:$D"),'Tổng Đơn'!$B6),0)</f>
        <v>0</v>
      </c>
      <c r="S6" s="196">
        <f ca="1">IFERROR(SUMIFS(INDIRECT("'Thanh Toán ("&amp;S$3&amp;")'!$F:$F"),INDIRECT("'Thanh Toán ("&amp;S$3&amp;")'!$D:$D"),'Tổng Đơn'!$B6),0)</f>
        <v>0</v>
      </c>
      <c r="T6" s="196">
        <f ca="1">IFERROR(SUMIFS(INDIRECT("'Thanh Toán ("&amp;T$3&amp;")'!$F:$F"),INDIRECT("'Thanh Toán ("&amp;T$3&amp;")'!$D:$D"),'Tổng Đơn'!$B6),0)</f>
        <v>0</v>
      </c>
      <c r="U6" s="196">
        <f ca="1">IFERROR(SUMIFS(INDIRECT("'Thanh Toán ("&amp;U$3&amp;")'!$F:$F"),INDIRECT("'Thanh Toán ("&amp;U$3&amp;")'!$D:$D"),'Tổng Đơn'!$B6),0)</f>
        <v>0</v>
      </c>
      <c r="V6" s="196">
        <f ca="1">IFERROR(SUMIFS(INDIRECT("'Thanh Toán ("&amp;V$3&amp;")'!$F:$F"),INDIRECT("'Thanh Toán ("&amp;V$3&amp;")'!$D:$D"),'Tổng Đơn'!$B6),0)</f>
        <v>0</v>
      </c>
      <c r="W6" s="196">
        <f ca="1">IFERROR(SUMIFS(INDIRECT("'Thanh Toán ("&amp;W$3&amp;")'!$F:$F"),INDIRECT("'Thanh Toán ("&amp;W$3&amp;")'!$D:$D"),'Tổng Đơn'!$B6),0)</f>
        <v>0</v>
      </c>
      <c r="X6" s="196">
        <f ca="1">IFERROR(SUMIFS(INDIRECT("'Thanh Toán ("&amp;X$3&amp;")'!$F:$F"),INDIRECT("'Thanh Toán ("&amp;X$3&amp;")'!$D:$D"),'Tổng Đơn'!$B6),0)</f>
        <v>0</v>
      </c>
      <c r="Y6" s="196">
        <f ca="1">IFERROR(SUMIFS(INDIRECT("'Thanh Toán ("&amp;Y$3&amp;")'!$F:$F"),INDIRECT("'Thanh Toán ("&amp;Y$3&amp;")'!$D:$D"),'Tổng Đơn'!$B6),0)</f>
        <v>0</v>
      </c>
      <c r="Z6" s="196">
        <f ca="1">IFERROR(SUMIFS(INDIRECT("'Thanh Toán ("&amp;Z$3&amp;")'!$F:$F"),INDIRECT("'Thanh Toán ("&amp;Z$3&amp;")'!$D:$D"),'Tổng Đơn'!$B6),0)</f>
        <v>0</v>
      </c>
      <c r="AA6" s="196">
        <f ca="1">IFERROR(SUMIFS(INDIRECT("'Thanh Toán ("&amp;AA$3&amp;")'!$F:$F"),INDIRECT("'Thanh Toán ("&amp;AA$3&amp;")'!$D:$D"),'Tổng Đơn'!$B6),0)</f>
        <v>0</v>
      </c>
      <c r="AB6" s="196">
        <f ca="1">IFERROR(SUMIFS(INDIRECT("'Thanh Toán ("&amp;AB$3&amp;")'!$F:$F"),INDIRECT("'Thanh Toán ("&amp;AB$3&amp;")'!$D:$D"),'Tổng Đơn'!$B6),0)</f>
        <v>0</v>
      </c>
      <c r="AC6" s="196">
        <f ca="1">IFERROR(SUMIFS(INDIRECT("'Thanh Toán ("&amp;AC$3&amp;")'!$F:$F"),INDIRECT("'Thanh Toán ("&amp;AC$3&amp;")'!$D:$D"),'Tổng Đơn'!$B6),0)</f>
        <v>0</v>
      </c>
      <c r="AD6" s="196">
        <f ca="1">IFERROR(SUMIFS(INDIRECT("'Thanh Toán ("&amp;AD$3&amp;")'!$F:$F"),INDIRECT("'Thanh Toán ("&amp;AD$3&amp;")'!$D:$D"),'Tổng Đơn'!$B6),0)</f>
        <v>0</v>
      </c>
      <c r="AE6" s="196">
        <f ca="1">IFERROR(SUMIFS(INDIRECT("'Thanh Toán ("&amp;AE$3&amp;")'!$F:$F"),INDIRECT("'Thanh Toán ("&amp;AE$3&amp;")'!$D:$D"),'Tổng Đơn'!$B6),0)</f>
        <v>0</v>
      </c>
      <c r="AF6" s="196">
        <f ca="1">IFERROR(SUMIFS(INDIRECT("'Thanh Toán ("&amp;AF$3&amp;")'!$F:$F"),INDIRECT("'Thanh Toán ("&amp;AF$3&amp;")'!$D:$D"),'Tổng Đơn'!$B6),0)</f>
        <v>0</v>
      </c>
      <c r="AG6" s="196">
        <f ca="1">IFERROR(SUMIFS(INDIRECT("'Thanh Toán ("&amp;AG$3&amp;")'!$F:$F"),INDIRECT("'Thanh Toán ("&amp;AG$3&amp;")'!$D:$D"),'Tổng Đơn'!$B6),0)</f>
        <v>0</v>
      </c>
      <c r="AH6" s="196">
        <f ca="1">IFERROR(SUMIFS(INDIRECT("'Thanh Toán ("&amp;AH$3&amp;")'!$F:$F"),INDIRECT("'Thanh Toán ("&amp;AH$3&amp;")'!$D:$D"),'Tổng Đơn'!$B6),0)</f>
        <v>0</v>
      </c>
      <c r="AI6" s="196">
        <f ca="1">IFERROR(SUMIFS(INDIRECT("'Thanh Toán ("&amp;AI$3&amp;")'!$F:$F"),INDIRECT("'Thanh Toán ("&amp;AI$3&amp;")'!$D:$D"),'Tổng Đơn'!$B6),0)</f>
        <v>0</v>
      </c>
      <c r="AJ6" s="196">
        <f ca="1">IFERROR(SUMIFS(INDIRECT("'Thanh Toán ("&amp;AJ$3&amp;")'!$F:$F"),INDIRECT("'Thanh Toán ("&amp;AJ$3&amp;")'!$D:$D"),'Tổng Đơn'!$B6),0)</f>
        <v>0</v>
      </c>
      <c r="AK6" s="196">
        <f ca="1">IFERROR(SUMIFS(INDIRECT("'Thanh Toán ("&amp;AK$3&amp;")'!$F:$F"),INDIRECT("'Thanh Toán ("&amp;AK$3&amp;")'!$D:$D"),'Tổng Đơn'!$B6),0)</f>
        <v>0</v>
      </c>
      <c r="AL6" s="196">
        <f ca="1">IFERROR(SUMIFS(INDIRECT("'Thanh Toán ("&amp;AL$3&amp;")'!$F:$F"),INDIRECT("'Thanh Toán ("&amp;AL$3&amp;")'!$D:$D"),'Tổng Đơn'!$B6),0)</f>
        <v>0</v>
      </c>
      <c r="AM6" s="196">
        <f ca="1">IFERROR(SUMIFS(INDIRECT("'Thanh Toán ("&amp;AM$3&amp;")'!$F:$F"),INDIRECT("'Thanh Toán ("&amp;AM$3&amp;")'!$D:$D"),'Tổng Đơn'!$B6),0)</f>
        <v>0</v>
      </c>
      <c r="AN6" s="196">
        <f ca="1">IFERROR(SUMIFS(INDIRECT("'Thanh Toán ("&amp;AN$3&amp;")'!$F:$F"),INDIRECT("'Thanh Toán ("&amp;AN$3&amp;")'!$D:$D"),'Tổng Đơn'!$B6),0)</f>
        <v>0</v>
      </c>
      <c r="AO6" s="196">
        <f ca="1">IFERROR(SUMIFS(INDIRECT("'Thanh Toán ("&amp;AO$3&amp;")'!$F:$F"),INDIRECT("'Thanh Toán ("&amp;AO$3&amp;")'!$D:$D"),'Tổng Đơn'!$B6),0)</f>
        <v>0</v>
      </c>
      <c r="AP6" s="196">
        <f ca="1">IFERROR(SUMIFS(INDIRECT("'Thanh Toán ("&amp;AP$3&amp;")'!$F:$F"),INDIRECT("'Thanh Toán ("&amp;AP$3&amp;")'!$D:$D"),'Tổng Đơn'!$B6),0)</f>
        <v>0</v>
      </c>
      <c r="AQ6" s="196">
        <f ca="1">IFERROR(SUMIFS(INDIRECT("'Thanh Toán ("&amp;AQ$3&amp;")'!$F:$F"),INDIRECT("'Thanh Toán ("&amp;AQ$3&amp;")'!$D:$D"),'Tổng Đơn'!$B6),0)</f>
        <v>0</v>
      </c>
      <c r="AR6" s="196">
        <f ca="1">IFERROR(SUMIFS(INDIRECT("'Thanh Toán ("&amp;AR$3&amp;")'!$F:$F"),INDIRECT("'Thanh Toán ("&amp;AR$3&amp;")'!$D:$D"),'Tổng Đơn'!$B6),0)</f>
        <v>0</v>
      </c>
      <c r="AS6" s="196">
        <f ca="1">IFERROR(SUMIFS(INDIRECT("'Thanh Toán ("&amp;AS$3&amp;")'!$F:$F"),INDIRECT("'Thanh Toán ("&amp;AS$3&amp;")'!$D:$D"),'Tổng Đơn'!$B6),0)</f>
        <v>0</v>
      </c>
      <c r="AT6" s="196">
        <f ca="1">IFERROR(SUMIFS(INDIRECT("'Thanh Toán ("&amp;AT$3&amp;")'!$F:$F"),INDIRECT("'Thanh Toán ("&amp;AT$3&amp;")'!$D:$D"),'Tổng Đơn'!$B6),0)</f>
        <v>0</v>
      </c>
      <c r="AU6" s="196">
        <f ca="1">IFERROR(SUMIFS(INDIRECT("'Thanh Toán ("&amp;AU$3&amp;")'!$F:$F"),INDIRECT("'Thanh Toán ("&amp;AU$3&amp;")'!$D:$D"),'Tổng Đơn'!$B6),0)</f>
        <v>0</v>
      </c>
      <c r="AV6" s="196">
        <f ca="1">IFERROR(SUMIFS(INDIRECT("'Thanh Toán ("&amp;AV$3&amp;")'!$F:$F"),INDIRECT("'Thanh Toán ("&amp;AV$3&amp;")'!$D:$D"),'Tổng Đơn'!$B6),0)</f>
        <v>0</v>
      </c>
      <c r="AW6" s="196">
        <f ca="1">IFERROR(SUMIFS(INDIRECT("'Thanh Toán ("&amp;AW$3&amp;")'!$F:$F"),INDIRECT("'Thanh Toán ("&amp;AW$3&amp;")'!$D:$D"),'Tổng Đơn'!$B6),0)</f>
        <v>0</v>
      </c>
      <c r="AX6" s="196">
        <f ca="1">IFERROR(SUMIFS(INDIRECT("'Thanh Toán ("&amp;AX$3&amp;")'!$F:$F"),INDIRECT("'Thanh Toán ("&amp;AX$3&amp;")'!$D:$D"),'Tổng Đơn'!$B6),0)</f>
        <v>0</v>
      </c>
      <c r="AY6" s="196">
        <f ca="1">IFERROR(SUMIFS(INDIRECT("'Thanh Toán ("&amp;AY$3&amp;")'!$F:$F"),INDIRECT("'Thanh Toán ("&amp;AY$3&amp;")'!$D:$D"),'Tổng Đơn'!$B6),0)</f>
        <v>0</v>
      </c>
      <c r="AZ6" s="196">
        <f ca="1">IFERROR(SUMIFS(INDIRECT("'Thanh Toán ("&amp;AZ$3&amp;")'!$F:$F"),INDIRECT("'Thanh Toán ("&amp;AZ$3&amp;")'!$D:$D"),'Tổng Đơn'!$B6),0)</f>
        <v>0</v>
      </c>
      <c r="BA6" s="196">
        <f ca="1">IFERROR(SUMIFS(INDIRECT("'Thanh Toán ("&amp;BA$3&amp;")'!$F:$F"),INDIRECT("'Thanh Toán ("&amp;BA$3&amp;")'!$D:$D"),'Tổng Đơn'!$B6),0)</f>
        <v>0</v>
      </c>
      <c r="BB6" s="196">
        <f ca="1">IFERROR(SUMIFS(INDIRECT("'Thanh Toán ("&amp;BB$3&amp;")'!$F:$F"),INDIRECT("'Thanh Toán ("&amp;BB$3&amp;")'!$D:$D"),'Tổng Đơn'!$B6),0)</f>
        <v>0</v>
      </c>
      <c r="BC6" s="196">
        <f ca="1">IFERROR(SUMIFS(INDIRECT("'Thanh Toán ("&amp;BC$3&amp;")'!$F:$F"),INDIRECT("'Thanh Toán ("&amp;BC$3&amp;")'!$D:$D"),'Tổng Đơn'!$B6),0)</f>
        <v>0</v>
      </c>
    </row>
    <row r="7" spans="1:55" x14ac:dyDescent="0.25">
      <c r="A7" s="23" t="s">
        <v>221</v>
      </c>
      <c r="B7" s="141" t="s">
        <v>227</v>
      </c>
      <c r="C7" s="23" t="s">
        <v>224</v>
      </c>
      <c r="D7" s="44">
        <v>45000</v>
      </c>
      <c r="E7" s="56">
        <v>1</v>
      </c>
      <c r="F7" s="56">
        <f t="shared" ca="1" si="2"/>
        <v>0</v>
      </c>
      <c r="G7" s="199">
        <f>IFERROR(VLOOKUP($B7,Gà!C:J,8,0),IFERROR(VLOOKUP($B7,TVP!C:J,7,0),IFERROR(VLOOKUP($B7,Kitkool!C:J,8,0),IFERROR(VLOOKUP($B7,'La Cusina'!C:J,8,0),VLOOKUP($B7,'Quốc Nhân'!C:J,8,0)))))</f>
        <v>42.334623068026495</v>
      </c>
      <c r="H7" s="54">
        <f t="shared" ca="1" si="3"/>
        <v>0</v>
      </c>
      <c r="I7" s="54"/>
      <c r="J7" s="54">
        <f t="shared" ca="1" si="4"/>
        <v>0</v>
      </c>
      <c r="K7" s="54"/>
      <c r="L7" s="196">
        <f ca="1">IFERROR(SUMIFS(INDIRECT("'Thanh Toán ("&amp;L$3&amp;")'!$F:$F"),INDIRECT("'Thanh Toán ("&amp;L$3&amp;")'!$D:$D"),'Tổng Đơn'!$B7),0)</f>
        <v>0</v>
      </c>
      <c r="M7" s="196">
        <f ca="1">IFERROR(SUMIFS(INDIRECT("'Thanh Toán ("&amp;M$3&amp;")'!$F:$F"),INDIRECT("'Thanh Toán ("&amp;M$3&amp;")'!$D:$D"),'Tổng Đơn'!$B7),0)</f>
        <v>0</v>
      </c>
      <c r="N7" s="196">
        <f ca="1">IFERROR(SUMIFS(INDIRECT("'Thanh Toán ("&amp;N$3&amp;")'!$F:$F"),INDIRECT("'Thanh Toán ("&amp;N$3&amp;")'!$D:$D"),'Tổng Đơn'!$B7),0)</f>
        <v>0</v>
      </c>
      <c r="O7" s="196">
        <f ca="1">IFERROR(SUMIFS(INDIRECT("'Thanh Toán ("&amp;O$3&amp;")'!$F:$F"),INDIRECT("'Thanh Toán ("&amp;O$3&amp;")'!$D:$D"),'Tổng Đơn'!$B7),0)</f>
        <v>0</v>
      </c>
      <c r="P7" s="196">
        <f ca="1">IFERROR(SUMIFS(INDIRECT("'Thanh Toán ("&amp;P$3&amp;")'!$F:$F"),INDIRECT("'Thanh Toán ("&amp;P$3&amp;")'!$D:$D"),'Tổng Đơn'!$B7),0)</f>
        <v>0</v>
      </c>
      <c r="Q7" s="196">
        <f ca="1">IFERROR(SUMIFS(INDIRECT("'Thanh Toán ("&amp;Q$3&amp;")'!$F:$F"),INDIRECT("'Thanh Toán ("&amp;Q$3&amp;")'!$D:$D"),'Tổng Đơn'!$B7),0)</f>
        <v>0</v>
      </c>
      <c r="R7" s="196">
        <f ca="1">IFERROR(SUMIFS(INDIRECT("'Thanh Toán ("&amp;R$3&amp;")'!$F:$F"),INDIRECT("'Thanh Toán ("&amp;R$3&amp;")'!$D:$D"),'Tổng Đơn'!$B7),0)</f>
        <v>0</v>
      </c>
      <c r="S7" s="196">
        <f ca="1">IFERROR(SUMIFS(INDIRECT("'Thanh Toán ("&amp;S$3&amp;")'!$F:$F"),INDIRECT("'Thanh Toán ("&amp;S$3&amp;")'!$D:$D"),'Tổng Đơn'!$B7),0)</f>
        <v>0</v>
      </c>
      <c r="T7" s="196">
        <f ca="1">IFERROR(SUMIFS(INDIRECT("'Thanh Toán ("&amp;T$3&amp;")'!$F:$F"),INDIRECT("'Thanh Toán ("&amp;T$3&amp;")'!$D:$D"),'Tổng Đơn'!$B7),0)</f>
        <v>0</v>
      </c>
      <c r="U7" s="196">
        <f ca="1">IFERROR(SUMIFS(INDIRECT("'Thanh Toán ("&amp;U$3&amp;")'!$F:$F"),INDIRECT("'Thanh Toán ("&amp;U$3&amp;")'!$D:$D"),'Tổng Đơn'!$B7),0)</f>
        <v>0</v>
      </c>
      <c r="V7" s="196">
        <f ca="1">IFERROR(SUMIFS(INDIRECT("'Thanh Toán ("&amp;V$3&amp;")'!$F:$F"),INDIRECT("'Thanh Toán ("&amp;V$3&amp;")'!$D:$D"),'Tổng Đơn'!$B7),0)</f>
        <v>0</v>
      </c>
      <c r="W7" s="196">
        <f ca="1">IFERROR(SUMIFS(INDIRECT("'Thanh Toán ("&amp;W$3&amp;")'!$F:$F"),INDIRECT("'Thanh Toán ("&amp;W$3&amp;")'!$D:$D"),'Tổng Đơn'!$B7),0)</f>
        <v>0</v>
      </c>
      <c r="X7" s="196">
        <f ca="1">IFERROR(SUMIFS(INDIRECT("'Thanh Toán ("&amp;X$3&amp;")'!$F:$F"),INDIRECT("'Thanh Toán ("&amp;X$3&amp;")'!$D:$D"),'Tổng Đơn'!$B7),0)</f>
        <v>0</v>
      </c>
      <c r="Y7" s="196">
        <f ca="1">IFERROR(SUMIFS(INDIRECT("'Thanh Toán ("&amp;Y$3&amp;")'!$F:$F"),INDIRECT("'Thanh Toán ("&amp;Y$3&amp;")'!$D:$D"),'Tổng Đơn'!$B7),0)</f>
        <v>0</v>
      </c>
      <c r="Z7" s="196">
        <f ca="1">IFERROR(SUMIFS(INDIRECT("'Thanh Toán ("&amp;Z$3&amp;")'!$F:$F"),INDIRECT("'Thanh Toán ("&amp;Z$3&amp;")'!$D:$D"),'Tổng Đơn'!$B7),0)</f>
        <v>0</v>
      </c>
      <c r="AA7" s="196">
        <f ca="1">IFERROR(SUMIFS(INDIRECT("'Thanh Toán ("&amp;AA$3&amp;")'!$F:$F"),INDIRECT("'Thanh Toán ("&amp;AA$3&amp;")'!$D:$D"),'Tổng Đơn'!$B7),0)</f>
        <v>0</v>
      </c>
      <c r="AB7" s="196">
        <f ca="1">IFERROR(SUMIFS(INDIRECT("'Thanh Toán ("&amp;AB$3&amp;")'!$F:$F"),INDIRECT("'Thanh Toán ("&amp;AB$3&amp;")'!$D:$D"),'Tổng Đơn'!$B7),0)</f>
        <v>0</v>
      </c>
      <c r="AC7" s="196">
        <f ca="1">IFERROR(SUMIFS(INDIRECT("'Thanh Toán ("&amp;AC$3&amp;")'!$F:$F"),INDIRECT("'Thanh Toán ("&amp;AC$3&amp;")'!$D:$D"),'Tổng Đơn'!$B7),0)</f>
        <v>0</v>
      </c>
      <c r="AD7" s="196">
        <f ca="1">IFERROR(SUMIFS(INDIRECT("'Thanh Toán ("&amp;AD$3&amp;")'!$F:$F"),INDIRECT("'Thanh Toán ("&amp;AD$3&amp;")'!$D:$D"),'Tổng Đơn'!$B7),0)</f>
        <v>0</v>
      </c>
      <c r="AE7" s="196">
        <f ca="1">IFERROR(SUMIFS(INDIRECT("'Thanh Toán ("&amp;AE$3&amp;")'!$F:$F"),INDIRECT("'Thanh Toán ("&amp;AE$3&amp;")'!$D:$D"),'Tổng Đơn'!$B7),0)</f>
        <v>0</v>
      </c>
      <c r="AF7" s="196">
        <f ca="1">IFERROR(SUMIFS(INDIRECT("'Thanh Toán ("&amp;AF$3&amp;")'!$F:$F"),INDIRECT("'Thanh Toán ("&amp;AF$3&amp;")'!$D:$D"),'Tổng Đơn'!$B7),0)</f>
        <v>0</v>
      </c>
      <c r="AG7" s="196">
        <f ca="1">IFERROR(SUMIFS(INDIRECT("'Thanh Toán ("&amp;AG$3&amp;")'!$F:$F"),INDIRECT("'Thanh Toán ("&amp;AG$3&amp;")'!$D:$D"),'Tổng Đơn'!$B7),0)</f>
        <v>0</v>
      </c>
      <c r="AH7" s="196">
        <f ca="1">IFERROR(SUMIFS(INDIRECT("'Thanh Toán ("&amp;AH$3&amp;")'!$F:$F"),INDIRECT("'Thanh Toán ("&amp;AH$3&amp;")'!$D:$D"),'Tổng Đơn'!$B7),0)</f>
        <v>0</v>
      </c>
      <c r="AI7" s="196">
        <f ca="1">IFERROR(SUMIFS(INDIRECT("'Thanh Toán ("&amp;AI$3&amp;")'!$F:$F"),INDIRECT("'Thanh Toán ("&amp;AI$3&amp;")'!$D:$D"),'Tổng Đơn'!$B7),0)</f>
        <v>0</v>
      </c>
      <c r="AJ7" s="196">
        <f ca="1">IFERROR(SUMIFS(INDIRECT("'Thanh Toán ("&amp;AJ$3&amp;")'!$F:$F"),INDIRECT("'Thanh Toán ("&amp;AJ$3&amp;")'!$D:$D"),'Tổng Đơn'!$B7),0)</f>
        <v>0</v>
      </c>
      <c r="AK7" s="196">
        <f ca="1">IFERROR(SUMIFS(INDIRECT("'Thanh Toán ("&amp;AK$3&amp;")'!$F:$F"),INDIRECT("'Thanh Toán ("&amp;AK$3&amp;")'!$D:$D"),'Tổng Đơn'!$B7),0)</f>
        <v>0</v>
      </c>
      <c r="AL7" s="196">
        <f ca="1">IFERROR(SUMIFS(INDIRECT("'Thanh Toán ("&amp;AL$3&amp;")'!$F:$F"),INDIRECT("'Thanh Toán ("&amp;AL$3&amp;")'!$D:$D"),'Tổng Đơn'!$B7),0)</f>
        <v>0</v>
      </c>
      <c r="AM7" s="196">
        <f ca="1">IFERROR(SUMIFS(INDIRECT("'Thanh Toán ("&amp;AM$3&amp;")'!$F:$F"),INDIRECT("'Thanh Toán ("&amp;AM$3&amp;")'!$D:$D"),'Tổng Đơn'!$B7),0)</f>
        <v>0</v>
      </c>
      <c r="AN7" s="196">
        <f ca="1">IFERROR(SUMIFS(INDIRECT("'Thanh Toán ("&amp;AN$3&amp;")'!$F:$F"),INDIRECT("'Thanh Toán ("&amp;AN$3&amp;")'!$D:$D"),'Tổng Đơn'!$B7),0)</f>
        <v>0</v>
      </c>
      <c r="AO7" s="196">
        <f ca="1">IFERROR(SUMIFS(INDIRECT("'Thanh Toán ("&amp;AO$3&amp;")'!$F:$F"),INDIRECT("'Thanh Toán ("&amp;AO$3&amp;")'!$D:$D"),'Tổng Đơn'!$B7),0)</f>
        <v>0</v>
      </c>
      <c r="AP7" s="196">
        <f ca="1">IFERROR(SUMIFS(INDIRECT("'Thanh Toán ("&amp;AP$3&amp;")'!$F:$F"),INDIRECT("'Thanh Toán ("&amp;AP$3&amp;")'!$D:$D"),'Tổng Đơn'!$B7),0)</f>
        <v>0</v>
      </c>
      <c r="AQ7" s="196">
        <f ca="1">IFERROR(SUMIFS(INDIRECT("'Thanh Toán ("&amp;AQ$3&amp;")'!$F:$F"),INDIRECT("'Thanh Toán ("&amp;AQ$3&amp;")'!$D:$D"),'Tổng Đơn'!$B7),0)</f>
        <v>0</v>
      </c>
      <c r="AR7" s="196">
        <f ca="1">IFERROR(SUMIFS(INDIRECT("'Thanh Toán ("&amp;AR$3&amp;")'!$F:$F"),INDIRECT("'Thanh Toán ("&amp;AR$3&amp;")'!$D:$D"),'Tổng Đơn'!$B7),0)</f>
        <v>0</v>
      </c>
      <c r="AS7" s="196">
        <f ca="1">IFERROR(SUMIFS(INDIRECT("'Thanh Toán ("&amp;AS$3&amp;")'!$F:$F"),INDIRECT("'Thanh Toán ("&amp;AS$3&amp;")'!$D:$D"),'Tổng Đơn'!$B7),0)</f>
        <v>0</v>
      </c>
      <c r="AT7" s="196">
        <f ca="1">IFERROR(SUMIFS(INDIRECT("'Thanh Toán ("&amp;AT$3&amp;")'!$F:$F"),INDIRECT("'Thanh Toán ("&amp;AT$3&amp;")'!$D:$D"),'Tổng Đơn'!$B7),0)</f>
        <v>0</v>
      </c>
      <c r="AU7" s="196">
        <f ca="1">IFERROR(SUMIFS(INDIRECT("'Thanh Toán ("&amp;AU$3&amp;")'!$F:$F"),INDIRECT("'Thanh Toán ("&amp;AU$3&amp;")'!$D:$D"),'Tổng Đơn'!$B7),0)</f>
        <v>0</v>
      </c>
      <c r="AV7" s="196">
        <f ca="1">IFERROR(SUMIFS(INDIRECT("'Thanh Toán ("&amp;AV$3&amp;")'!$F:$F"),INDIRECT("'Thanh Toán ("&amp;AV$3&amp;")'!$D:$D"),'Tổng Đơn'!$B7),0)</f>
        <v>0</v>
      </c>
      <c r="AW7" s="196">
        <f ca="1">IFERROR(SUMIFS(INDIRECT("'Thanh Toán ("&amp;AW$3&amp;")'!$F:$F"),INDIRECT("'Thanh Toán ("&amp;AW$3&amp;")'!$D:$D"),'Tổng Đơn'!$B7),0)</f>
        <v>0</v>
      </c>
      <c r="AX7" s="196">
        <f ca="1">IFERROR(SUMIFS(INDIRECT("'Thanh Toán ("&amp;AX$3&amp;")'!$F:$F"),INDIRECT("'Thanh Toán ("&amp;AX$3&amp;")'!$D:$D"),'Tổng Đơn'!$B7),0)</f>
        <v>0</v>
      </c>
      <c r="AY7" s="196">
        <f ca="1">IFERROR(SUMIFS(INDIRECT("'Thanh Toán ("&amp;AY$3&amp;")'!$F:$F"),INDIRECT("'Thanh Toán ("&amp;AY$3&amp;")'!$D:$D"),'Tổng Đơn'!$B7),0)</f>
        <v>0</v>
      </c>
      <c r="AZ7" s="196">
        <f ca="1">IFERROR(SUMIFS(INDIRECT("'Thanh Toán ("&amp;AZ$3&amp;")'!$F:$F"),INDIRECT("'Thanh Toán ("&amp;AZ$3&amp;")'!$D:$D"),'Tổng Đơn'!$B7),0)</f>
        <v>0</v>
      </c>
      <c r="BA7" s="196">
        <f ca="1">IFERROR(SUMIFS(INDIRECT("'Thanh Toán ("&amp;BA$3&amp;")'!$F:$F"),INDIRECT("'Thanh Toán ("&amp;BA$3&amp;")'!$D:$D"),'Tổng Đơn'!$B7),0)</f>
        <v>0</v>
      </c>
      <c r="BB7" s="196">
        <f ca="1">IFERROR(SUMIFS(INDIRECT("'Thanh Toán ("&amp;BB$3&amp;")'!$F:$F"),INDIRECT("'Thanh Toán ("&amp;BB$3&amp;")'!$D:$D"),'Tổng Đơn'!$B7),0)</f>
        <v>0</v>
      </c>
      <c r="BC7" s="196">
        <f ca="1">IFERROR(SUMIFS(INDIRECT("'Thanh Toán ("&amp;BC$3&amp;")'!$F:$F"),INDIRECT("'Thanh Toán ("&amp;BC$3&amp;")'!$D:$D"),'Tổng Đơn'!$B7),0)</f>
        <v>0</v>
      </c>
    </row>
    <row r="8" spans="1:55" x14ac:dyDescent="0.25">
      <c r="A8" s="23">
        <v>1</v>
      </c>
      <c r="B8" s="141" t="s">
        <v>25</v>
      </c>
      <c r="C8" s="23" t="s">
        <v>108</v>
      </c>
      <c r="D8" s="44">
        <f>VLOOKUP($C8,Sheet1!$C$5:$D$98,2,0)</f>
        <v>27000</v>
      </c>
      <c r="E8" s="56">
        <v>0.5</v>
      </c>
      <c r="F8" s="56">
        <f t="shared" ca="1" si="2"/>
        <v>0</v>
      </c>
      <c r="G8" s="199">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2" t="s">
        <v>1</v>
      </c>
      <c r="C9" s="27" t="s">
        <v>109</v>
      </c>
      <c r="D9" s="44">
        <f>VLOOKUP($C9,Sheet1!$C$5:$D$98,2,0)</f>
        <v>25000</v>
      </c>
      <c r="E9" s="56">
        <v>0.5</v>
      </c>
      <c r="F9" s="56">
        <f t="shared" ca="1" si="2"/>
        <v>0</v>
      </c>
      <c r="G9" s="199">
        <f>IFERROR(VLOOKUP($B9,Gà!C:J,8,0),IFERROR(VLOOKUP($B9,TVP!C:J,7,0),IFERROR(VLOOKUP($B9,Kitkool!C:J,8,0),IFERROR(VLOOKUP($B9,'La Cusina'!C:J,8,0),VLOOKUP($B9,'Quốc Nhân'!C:J,8,0)))))</f>
        <v>21.797958791515317</v>
      </c>
      <c r="H9" s="54">
        <f t="shared" ca="1" si="5"/>
        <v>0</v>
      </c>
      <c r="I9" s="54"/>
      <c r="J9" s="54">
        <f t="shared" ref="J9:J66" ca="1" si="6">F9*G9*1000</f>
        <v>0</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1" t="s">
        <v>2</v>
      </c>
      <c r="C10" s="23" t="s">
        <v>110</v>
      </c>
      <c r="D10" s="44">
        <f>VLOOKUP($C10,Sheet1!$C$5:$D$98,2,0)</f>
        <v>28000</v>
      </c>
      <c r="E10" s="56">
        <v>0.5</v>
      </c>
      <c r="F10" s="56">
        <f t="shared" ca="1" si="2"/>
        <v>0</v>
      </c>
      <c r="G10" s="199">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1" t="s">
        <v>3</v>
      </c>
      <c r="C11" s="23" t="s">
        <v>111</v>
      </c>
      <c r="D11" s="44">
        <f>VLOOKUP($C11,Sheet1!$C$5:$D$98,2,0)</f>
        <v>30000</v>
      </c>
      <c r="E11" s="56">
        <v>0.5</v>
      </c>
      <c r="F11" s="56">
        <f t="shared" ca="1" si="2"/>
        <v>0</v>
      </c>
      <c r="G11" s="199">
        <f>IFERROR(VLOOKUP($B11,Gà!C:J,8,0),IFERROR(VLOOKUP($B11,TVP!C:J,7,0),IFERROR(VLOOKUP($B11,Kitkool!C:J,8,0),IFERROR(VLOOKUP($B11,'La Cusina'!C:J,8,0),VLOOKUP($B11,'Quốc Nhân'!C:J,8,0)))))</f>
        <v>22.310851939550972</v>
      </c>
      <c r="H11" s="54">
        <f t="shared" ca="1" si="5"/>
        <v>0</v>
      </c>
      <c r="I11" s="54"/>
      <c r="J11" s="54">
        <f t="shared" ca="1" si="6"/>
        <v>0</v>
      </c>
      <c r="K11" s="149">
        <f ca="1">H4/J4</f>
        <v>0.19949670447907136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1" t="s">
        <v>30</v>
      </c>
      <c r="C12" s="23" t="s">
        <v>112</v>
      </c>
      <c r="D12" s="44">
        <f>VLOOKUP($C12,Sheet1!$C$5:$D$98,2,0)</f>
        <v>38000</v>
      </c>
      <c r="E12" s="56">
        <v>0.5</v>
      </c>
      <c r="F12" s="56">
        <f t="shared" ca="1" si="2"/>
        <v>1</v>
      </c>
      <c r="G12" s="199">
        <f>IFERROR(VLOOKUP($B12,Gà!C:J,8,0),IFERROR(VLOOKUP($B12,TVP!C:J,7,0),IFERROR(VLOOKUP($B12,Kitkool!C:J,8,0),IFERROR(VLOOKUP($B12,'La Cusina'!C:J,8,0),VLOOKUP($B12,'Quốc Nhân'!C:J,8,0)))))</f>
        <v>33.30385222517917</v>
      </c>
      <c r="H12" s="54">
        <f t="shared" ca="1" si="5"/>
        <v>4696.1477748208272</v>
      </c>
      <c r="I12" s="54"/>
      <c r="J12" s="54">
        <f t="shared" ca="1" si="6"/>
        <v>33303.852225179173</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1</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1" t="s">
        <v>28</v>
      </c>
      <c r="C13" s="23" t="s">
        <v>113</v>
      </c>
      <c r="D13" s="44">
        <f>VLOOKUP($C13,Sheet1!$C$5:$D$98,2,0)</f>
        <v>42000</v>
      </c>
      <c r="E13" s="56">
        <v>0.5</v>
      </c>
      <c r="F13" s="56">
        <f t="shared" ca="1" si="2"/>
        <v>10</v>
      </c>
      <c r="G13" s="199">
        <f>IFERROR(VLOOKUP($B13,Gà!C:J,8,0),IFERROR(VLOOKUP($B13,TVP!C:J,7,0),IFERROR(VLOOKUP($B13,Kitkool!C:J,8,0),IFERROR(VLOOKUP($B13,'La Cusina'!C:J,8,0),VLOOKUP($B13,'Quốc Nhân'!C:J,8,0)))))</f>
        <v>37.402787883662754</v>
      </c>
      <c r="H13" s="54">
        <f t="shared" ca="1" si="5"/>
        <v>45972.121163372431</v>
      </c>
      <c r="I13" s="54"/>
      <c r="J13" s="54">
        <f t="shared" ca="1" si="6"/>
        <v>374027.87883662758</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1" t="s">
        <v>26</v>
      </c>
      <c r="C14" s="23" t="s">
        <v>114</v>
      </c>
      <c r="D14" s="44">
        <f>VLOOKUP($C14,Sheet1!$C$5:$D$98,2,0)</f>
        <v>34000</v>
      </c>
      <c r="E14" s="56">
        <v>0.25</v>
      </c>
      <c r="F14" s="56">
        <f t="shared" ca="1" si="2"/>
        <v>0</v>
      </c>
      <c r="G14" s="199">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1" t="s">
        <v>61</v>
      </c>
      <c r="C15" s="23" t="s">
        <v>115</v>
      </c>
      <c r="D15" s="44">
        <f>VLOOKUP($C15,Sheet1!$C$5:$D$98,2,0)</f>
        <v>35000</v>
      </c>
      <c r="E15" s="56">
        <v>0.5</v>
      </c>
      <c r="F15" s="56">
        <f t="shared" ca="1" si="2"/>
        <v>1</v>
      </c>
      <c r="G15" s="199">
        <f>IFERROR(VLOOKUP($B15,Gà!C:J,8,0),IFERROR(VLOOKUP($B15,TVP!C:J,7,0),IFERROR(VLOOKUP($B15,Kitkool!C:J,8,0),IFERROR(VLOOKUP($B15,'La Cusina'!C:J,8,0),VLOOKUP($B15,'Quốc Nhân'!C:J,8,0)))))</f>
        <v>30.229650481316476</v>
      </c>
      <c r="H15" s="54">
        <f t="shared" ca="1" si="5"/>
        <v>4770.3495186835244</v>
      </c>
      <c r="I15" s="54"/>
      <c r="J15" s="54">
        <f t="shared" ca="1" si="6"/>
        <v>30229.650481316476</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1" t="s">
        <v>161</v>
      </c>
      <c r="C16" s="23" t="s">
        <v>116</v>
      </c>
      <c r="D16" s="44">
        <f>VLOOKUP($C16,Sheet1!$C$5:$D$98,2,0)</f>
        <v>45000</v>
      </c>
      <c r="E16" s="56">
        <v>0.5</v>
      </c>
      <c r="F16" s="56">
        <f t="shared" ca="1" si="2"/>
        <v>4</v>
      </c>
      <c r="G16" s="199">
        <f>IFERROR(VLOOKUP($B16,Gà!C:J,8,0),IFERROR(VLOOKUP($B16,TVP!C:J,7,0),IFERROR(VLOOKUP($B16,Kitkool!C:J,8,0),IFERROR(VLOOKUP($B16,'La Cusina'!C:J,8,0),VLOOKUP($B16,'Quốc Nhân'!C:J,8,0)))))</f>
        <v>32.279118310558268</v>
      </c>
      <c r="H16" s="54">
        <f t="shared" ca="1" si="5"/>
        <v>50883.526757766929</v>
      </c>
      <c r="I16" s="54"/>
      <c r="J16" s="54">
        <f t="shared" ca="1" si="6"/>
        <v>129116.47324223307</v>
      </c>
      <c r="K16" s="54"/>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3</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1" t="s">
        <v>6</v>
      </c>
      <c r="C17" s="23" t="s">
        <v>69</v>
      </c>
      <c r="D17" s="44">
        <f>VLOOKUP($C17,Sheet1!$C$5:$D$98,2,0)</f>
        <v>50000</v>
      </c>
      <c r="E17" s="56">
        <v>0.5</v>
      </c>
      <c r="F17" s="56">
        <f t="shared" ca="1" si="2"/>
        <v>0</v>
      </c>
      <c r="G17" s="199">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1" t="s">
        <v>58</v>
      </c>
      <c r="C18" s="23" t="s">
        <v>70</v>
      </c>
      <c r="D18" s="44">
        <f>VLOOKUP($C18,Sheet1!$C$5:$D$98,2,0)</f>
        <v>45000</v>
      </c>
      <c r="E18" s="56">
        <v>0.5</v>
      </c>
      <c r="F18" s="56">
        <f t="shared" ca="1" si="2"/>
        <v>0</v>
      </c>
      <c r="G18" s="199">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1" t="s">
        <v>35</v>
      </c>
      <c r="C19" s="23" t="s">
        <v>71</v>
      </c>
      <c r="D19" s="44">
        <f>VLOOKUP($C19,Sheet1!$C$5:$D$98,2,0)</f>
        <v>45000</v>
      </c>
      <c r="E19" s="56">
        <v>0.5</v>
      </c>
      <c r="F19" s="56">
        <f t="shared" ca="1" si="2"/>
        <v>0</v>
      </c>
      <c r="G19" s="199">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1" t="s">
        <v>32</v>
      </c>
      <c r="C20" s="23" t="s">
        <v>72</v>
      </c>
      <c r="D20" s="44">
        <f>VLOOKUP($C20,Sheet1!$C$5:$D$98,2,0)</f>
        <v>45000</v>
      </c>
      <c r="E20" s="56">
        <v>0.5</v>
      </c>
      <c r="F20" s="56">
        <f t="shared" ca="1" si="2"/>
        <v>0</v>
      </c>
      <c r="G20" s="199">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1" t="s">
        <v>34</v>
      </c>
      <c r="C21" s="23" t="s">
        <v>73</v>
      </c>
      <c r="D21" s="44">
        <f>VLOOKUP($C21,Sheet1!$C$5:$D$98,2,0)</f>
        <v>45000</v>
      </c>
      <c r="E21" s="56">
        <v>0.5</v>
      </c>
      <c r="F21" s="56">
        <f t="shared" ca="1" si="2"/>
        <v>1</v>
      </c>
      <c r="G21" s="199">
        <f>IFERROR(VLOOKUP($B21,Gà!C:J,8,0),IFERROR(VLOOKUP($B21,TVP!C:J,7,0),IFERROR(VLOOKUP($B21,Kitkool!C:J,8,0),IFERROR(VLOOKUP($B21,'La Cusina'!C:J,8,0),VLOOKUP($B21,'Quốc Nhân'!C:J,8,0)))))</f>
        <v>40.989356584835896</v>
      </c>
      <c r="H21" s="54">
        <f t="shared" ca="1" si="5"/>
        <v>4010.6434151641006</v>
      </c>
      <c r="I21" s="54"/>
      <c r="J21" s="54">
        <f t="shared" ca="1" si="6"/>
        <v>40989.356584835899</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1</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1" t="s">
        <v>33</v>
      </c>
      <c r="C22" s="23" t="s">
        <v>74</v>
      </c>
      <c r="D22" s="44">
        <f>VLOOKUP($C22,Sheet1!$C$5:$D$98,2,0)</f>
        <v>45000</v>
      </c>
      <c r="E22" s="56">
        <v>0.5</v>
      </c>
      <c r="F22" s="56">
        <f t="shared" ca="1" si="2"/>
        <v>0</v>
      </c>
      <c r="G22" s="199">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1" t="s">
        <v>5</v>
      </c>
      <c r="C23" s="23" t="s">
        <v>75</v>
      </c>
      <c r="D23" s="44">
        <f>VLOOKUP($C23,Sheet1!$C$5:$D$98,2,0)</f>
        <v>40000</v>
      </c>
      <c r="E23" s="56">
        <v>0.5</v>
      </c>
      <c r="F23" s="56">
        <f t="shared" ca="1" si="2"/>
        <v>2</v>
      </c>
      <c r="G23" s="199">
        <f>IFERROR(VLOOKUP($B23,Gà!C:J,8,0),IFERROR(VLOOKUP($B23,TVP!C:J,7,0),IFERROR(VLOOKUP($B23,Kitkool!C:J,8,0),IFERROR(VLOOKUP($B23,'La Cusina'!C:J,8,0),VLOOKUP($B23,'Quốc Nhân'!C:J,8,0)))))</f>
        <v>34.876734066424504</v>
      </c>
      <c r="H23" s="54">
        <f t="shared" ca="1" si="5"/>
        <v>10246.531867150989</v>
      </c>
      <c r="I23" s="54"/>
      <c r="J23" s="54">
        <f t="shared" ca="1" si="6"/>
        <v>69753.468132849011</v>
      </c>
      <c r="K23" s="54"/>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1" t="s">
        <v>4</v>
      </c>
      <c r="C24" s="23" t="s">
        <v>76</v>
      </c>
      <c r="D24" s="44">
        <f>VLOOKUP($C24,Sheet1!$C$5:$D$98,2,0)</f>
        <v>40000</v>
      </c>
      <c r="E24" s="56">
        <v>0.5</v>
      </c>
      <c r="F24" s="56">
        <f t="shared" ca="1" si="2"/>
        <v>0</v>
      </c>
      <c r="G24" s="199">
        <f>IFERROR(VLOOKUP($B24,Gà!C:J,8,0),IFERROR(VLOOKUP($B24,TVP!C:J,7,0),IFERROR(VLOOKUP($B24,Kitkool!C:J,8,0),IFERROR(VLOOKUP($B24,'La Cusina'!C:J,8,0),VLOOKUP($B24,'Quốc Nhân'!C:J,8,0)))))</f>
        <v>30.773588882139272</v>
      </c>
      <c r="H24" s="54">
        <f t="shared" ca="1" si="5"/>
        <v>0</v>
      </c>
      <c r="I24" s="54"/>
      <c r="J24" s="54">
        <f t="shared" ca="1" si="6"/>
        <v>0</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1" t="s">
        <v>9</v>
      </c>
      <c r="C25" s="23" t="s">
        <v>77</v>
      </c>
      <c r="D25" s="44">
        <f>VLOOKUP($C25,Sheet1!$C$5:$D$98,2,0)</f>
        <v>55000</v>
      </c>
      <c r="E25" s="56">
        <v>0.5</v>
      </c>
      <c r="F25" s="56">
        <f t="shared" ca="1" si="2"/>
        <v>8</v>
      </c>
      <c r="G25" s="199">
        <f>IFERROR(VLOOKUP($B25,Gà!C:J,8,0),IFERROR(VLOOKUP($B25,TVP!C:J,7,0),IFERROR(VLOOKUP($B25,Kitkool!C:J,8,0),IFERROR(VLOOKUP($B25,'La Cusina'!C:J,8,0),VLOOKUP($B25,'Quốc Nhân'!C:J,8,0)))))</f>
        <v>43.595917583030634</v>
      </c>
      <c r="H25" s="54">
        <f t="shared" ca="1" si="5"/>
        <v>91232.659335754928</v>
      </c>
      <c r="I25" s="54"/>
      <c r="J25" s="54">
        <f t="shared" ca="1" si="6"/>
        <v>348767.34066424507</v>
      </c>
      <c r="K25" s="54"/>
      <c r="L25" s="2">
        <f ca="1">IFERROR(SUMIFS(INDIRECT("'Thanh Toán ("&amp;L$3&amp;")'!$F:$F"),INDIRECT("'Thanh Toán ("&amp;L$3&amp;")'!$D:$D"),'Tổng Đơn'!$B25),0)</f>
        <v>0</v>
      </c>
      <c r="M25" s="2">
        <f ca="1">IFERROR(SUMIFS(INDIRECT("'Thanh Toán ("&amp;M$3&amp;")'!$F:$F"),INDIRECT("'Thanh Toán ("&amp;M$3&amp;")'!$D:$D"),'Tổng Đơn'!$B25),0)</f>
        <v>1</v>
      </c>
      <c r="N25" s="2">
        <f ca="1">IFERROR(SUMIFS(INDIRECT("'Thanh Toán ("&amp;N$3&amp;")'!$F:$F"),INDIRECT("'Thanh Toán ("&amp;N$3&amp;")'!$D:$D"),'Tổng Đơn'!$B25),0)</f>
        <v>0</v>
      </c>
      <c r="O25" s="2">
        <f ca="1">IFERROR(SUMIFS(INDIRECT("'Thanh Toán ("&amp;O$3&amp;")'!$F:$F"),INDIRECT("'Thanh Toán ("&amp;O$3&amp;")'!$D:$D"),'Tổng Đơn'!$B25),0)</f>
        <v>5</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1" t="s">
        <v>13</v>
      </c>
      <c r="C26" s="23" t="s">
        <v>78</v>
      </c>
      <c r="D26" s="44">
        <f>VLOOKUP($C26,Sheet1!$C$5:$D$98,2,0)</f>
        <v>28000</v>
      </c>
      <c r="E26" s="56">
        <v>0.5</v>
      </c>
      <c r="F26" s="56">
        <f t="shared" ca="1" si="2"/>
        <v>0</v>
      </c>
      <c r="G26" s="199">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1" t="s">
        <v>12</v>
      </c>
      <c r="C27" s="23" t="s">
        <v>79</v>
      </c>
      <c r="D27" s="44">
        <f>VLOOKUP($C27,Sheet1!$C$5:$D$98,2,0)</f>
        <v>26000</v>
      </c>
      <c r="E27" s="56">
        <v>0.5</v>
      </c>
      <c r="F27" s="56">
        <f t="shared" ca="1" si="2"/>
        <v>0</v>
      </c>
      <c r="G27" s="199">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1" t="s">
        <v>14</v>
      </c>
      <c r="C28" s="23" t="s">
        <v>80</v>
      </c>
      <c r="D28" s="44">
        <f>VLOOKUP($C28,Sheet1!$C$5:$D$98,2,0)</f>
        <v>33000</v>
      </c>
      <c r="E28" s="56">
        <v>0.5</v>
      </c>
      <c r="F28" s="56">
        <f t="shared" ca="1" si="2"/>
        <v>0</v>
      </c>
      <c r="G28" s="199">
        <f>IFERROR(VLOOKUP($B28,Gà!C:J,8,0),IFERROR(VLOOKUP($B28,TVP!C:J,7,0),IFERROR(VLOOKUP($B28,Kitkool!C:J,8,0),IFERROR(VLOOKUP($B28,'La Cusina'!C:J,8,0),VLOOKUP($B28,'Quốc Nhân'!C:J,8,0)))))</f>
        <v>28.209123141960998</v>
      </c>
      <c r="H28" s="54">
        <f t="shared" ca="1" si="5"/>
        <v>0</v>
      </c>
      <c r="I28" s="54"/>
      <c r="J28" s="54">
        <f t="shared" ca="1" si="6"/>
        <v>0</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1" t="s">
        <v>7</v>
      </c>
      <c r="C29" s="23" t="s">
        <v>81</v>
      </c>
      <c r="D29" s="44">
        <f>VLOOKUP($C29,Sheet1!$C$5:$D$98,2,0)</f>
        <v>34000</v>
      </c>
      <c r="E29" s="56">
        <v>0.5</v>
      </c>
      <c r="F29" s="56">
        <f t="shared" ca="1" si="2"/>
        <v>0</v>
      </c>
      <c r="G29" s="199">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1" t="s">
        <v>8</v>
      </c>
      <c r="C30" s="23" t="s">
        <v>82</v>
      </c>
      <c r="D30" s="44">
        <f>VLOOKUP($C30,Sheet1!$C$5:$D$98,2,0)</f>
        <v>69000</v>
      </c>
      <c r="E30" s="56">
        <v>0.5</v>
      </c>
      <c r="F30" s="56">
        <f t="shared" ca="1" si="2"/>
        <v>0</v>
      </c>
      <c r="G30" s="199">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1" t="s">
        <v>27</v>
      </c>
      <c r="C31" s="23" t="s">
        <v>83</v>
      </c>
      <c r="D31" s="44">
        <f>VLOOKUP($C31,Sheet1!$C$5:$D$98,2,0)</f>
        <v>38000</v>
      </c>
      <c r="E31" s="56">
        <v>0.5</v>
      </c>
      <c r="F31" s="56">
        <f t="shared" ca="1" si="2"/>
        <v>0</v>
      </c>
      <c r="G31" s="199">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1" t="s">
        <v>68</v>
      </c>
      <c r="C32" s="23" t="s">
        <v>84</v>
      </c>
      <c r="D32" s="44">
        <f>VLOOKUP($C32,Sheet1!$C$5:$D$98,2,0)</f>
        <v>35000</v>
      </c>
      <c r="E32" s="56">
        <v>0.5</v>
      </c>
      <c r="F32" s="56">
        <f t="shared" ca="1" si="2"/>
        <v>0</v>
      </c>
      <c r="G32" s="199">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1" t="s">
        <v>29</v>
      </c>
      <c r="C33" s="23" t="s">
        <v>85</v>
      </c>
      <c r="D33" s="44">
        <f>VLOOKUP($C33,Sheet1!$C$5:$D$98,2,0)</f>
        <v>45000</v>
      </c>
      <c r="E33" s="56">
        <v>0.5</v>
      </c>
      <c r="F33" s="56">
        <f t="shared" ca="1" si="2"/>
        <v>0</v>
      </c>
      <c r="G33" s="199">
        <f>IFERROR(VLOOKUP($B33,Gà!C:J,8,0),IFERROR(VLOOKUP($B33,TVP!C:J,7,0),IFERROR(VLOOKUP($B33,Kitkool!C:J,8,0),IFERROR(VLOOKUP($B33,'La Cusina'!C:J,8,0),VLOOKUP($B33,'Quốc Nhân'!C:J,8,0)))))</f>
        <v>40.989356584835896</v>
      </c>
      <c r="H33" s="54">
        <f t="shared" ca="1" si="5"/>
        <v>0</v>
      </c>
      <c r="I33" s="54"/>
      <c r="J33" s="54">
        <f t="shared" ca="1" si="6"/>
        <v>0</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1" t="s">
        <v>15</v>
      </c>
      <c r="C34" s="23" t="s">
        <v>86</v>
      </c>
      <c r="D34" s="44">
        <f>VLOOKUP($C34,Sheet1!$C$5:$D$98,2,0)</f>
        <v>35000</v>
      </c>
      <c r="E34" s="56">
        <v>0.5</v>
      </c>
      <c r="F34" s="56">
        <f t="shared" ca="1" si="2"/>
        <v>0</v>
      </c>
      <c r="G34" s="199">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1" t="s">
        <v>10</v>
      </c>
      <c r="C35" s="23" t="s">
        <v>87</v>
      </c>
      <c r="D35" s="44">
        <f>VLOOKUP($C35,Sheet1!$C$5:$D$98,2,0)</f>
        <v>32000</v>
      </c>
      <c r="E35" s="56">
        <v>0.5</v>
      </c>
      <c r="F35" s="56">
        <f t="shared" ca="1" si="2"/>
        <v>0</v>
      </c>
      <c r="G35" s="199">
        <f>IFERROR(VLOOKUP($B35,Gà!C:J,8,0),IFERROR(VLOOKUP($B35,TVP!C:J,7,0),IFERROR(VLOOKUP($B35,Kitkool!C:J,8,0),IFERROR(VLOOKUP($B35,'La Cusina'!C:J,8,0),VLOOKUP($B35,'Quốc Nhân'!C:J,8,0)))))</f>
        <v>27.696229993925343</v>
      </c>
      <c r="H35" s="54">
        <f t="shared" ca="1" si="5"/>
        <v>0</v>
      </c>
      <c r="I35" s="54"/>
      <c r="J35" s="54">
        <f t="shared" ca="1" si="6"/>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1" t="s">
        <v>38</v>
      </c>
      <c r="C36" s="23" t="s">
        <v>88</v>
      </c>
      <c r="D36" s="44">
        <f>VLOOKUP($C36,Sheet1!$C$5:$D$98,2,0)</f>
        <v>32000</v>
      </c>
      <c r="E36" s="56">
        <v>0.5</v>
      </c>
      <c r="F36" s="56">
        <f t="shared" ca="1" si="2"/>
        <v>0</v>
      </c>
      <c r="G36" s="199">
        <f>IFERROR(VLOOKUP($B36,Gà!C:J,8,0),IFERROR(VLOOKUP($B36,TVP!C:J,7,0),IFERROR(VLOOKUP($B36,Kitkool!C:J,8,0),IFERROR(VLOOKUP($B36,'La Cusina'!C:J,8,0),VLOOKUP($B36,'Quốc Nhân'!C:J,8,0)))))</f>
        <v>26.621803079549558</v>
      </c>
      <c r="H36" s="54">
        <f t="shared" ca="1" si="5"/>
        <v>0</v>
      </c>
      <c r="I36" s="54"/>
      <c r="J36" s="54">
        <f t="shared" ca="1" si="6"/>
        <v>0</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1" t="s">
        <v>39</v>
      </c>
      <c r="C37" s="23" t="s">
        <v>89</v>
      </c>
      <c r="D37" s="44">
        <f>VLOOKUP($C37,Sheet1!$C$5:$D$98,2,0)</f>
        <v>14000</v>
      </c>
      <c r="E37" s="56">
        <v>0.2</v>
      </c>
      <c r="F37" s="56">
        <f t="shared" ref="F37:F68" ca="1" si="7">SUM(L37:BR37)</f>
        <v>1</v>
      </c>
      <c r="G37" s="199">
        <f>IFERROR(VLOOKUP($B37,Gà!C:J,8,0),IFERROR(VLOOKUP($B37,TVP!C:J,7,0),IFERROR(VLOOKUP($B37,Kitkool!C:J,8,0),IFERROR(VLOOKUP($B37,'La Cusina'!C:J,8,0),VLOOKUP($B37,'Quốc Nhân'!C:J,8,0)))))</f>
        <v>11.25147903739453</v>
      </c>
      <c r="H37" s="54">
        <f t="shared" ca="1" si="5"/>
        <v>2748.5209626054693</v>
      </c>
      <c r="I37" s="54"/>
      <c r="J37" s="54">
        <f t="shared" ca="1" si="6"/>
        <v>11251.479037394531</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1</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1" t="s">
        <v>67</v>
      </c>
      <c r="C38" s="23" t="s">
        <v>90</v>
      </c>
      <c r="D38" s="44">
        <f>VLOOKUP($C38,Sheet1!$C$5:$D$98,2,0)</f>
        <v>32000</v>
      </c>
      <c r="E38" s="56">
        <v>0.5</v>
      </c>
      <c r="F38" s="56">
        <f t="shared" ca="1" si="7"/>
        <v>0</v>
      </c>
      <c r="G38" s="199">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1" t="s">
        <v>40</v>
      </c>
      <c r="C39" s="23" t="s">
        <v>91</v>
      </c>
      <c r="D39" s="44">
        <f>VLOOKUP($C39,Sheet1!$C$5:$D$98,2,0)</f>
        <v>35000</v>
      </c>
      <c r="E39" s="56">
        <v>0.5</v>
      </c>
      <c r="F39" s="56">
        <f t="shared" ca="1" si="7"/>
        <v>0</v>
      </c>
      <c r="G39" s="199">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1" t="s">
        <v>41</v>
      </c>
      <c r="C40" s="23" t="s">
        <v>92</v>
      </c>
      <c r="D40" s="44">
        <f>VLOOKUP($C40,Sheet1!$C$5:$D$98,2,0)</f>
        <v>14000</v>
      </c>
      <c r="E40" s="56">
        <v>0.2</v>
      </c>
      <c r="F40" s="56">
        <f t="shared" ca="1" si="7"/>
        <v>0</v>
      </c>
      <c r="G40" s="199">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1" t="s">
        <v>42</v>
      </c>
      <c r="C41" s="23" t="s">
        <v>93</v>
      </c>
      <c r="D41" s="44">
        <f>VLOOKUP($C41,Sheet1!$C$5:$D$98,2,0)</f>
        <v>35000</v>
      </c>
      <c r="E41" s="56">
        <v>0.5</v>
      </c>
      <c r="F41" s="56">
        <f t="shared" ca="1" si="7"/>
        <v>0</v>
      </c>
      <c r="G41" s="199">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1" t="s">
        <v>43</v>
      </c>
      <c r="C42" s="23" t="s">
        <v>94</v>
      </c>
      <c r="D42" s="44">
        <f>VLOOKUP($C42,Sheet1!$C$5:$D$98,2,0)</f>
        <v>14000</v>
      </c>
      <c r="E42" s="56">
        <v>0.2</v>
      </c>
      <c r="F42" s="56">
        <f t="shared" ca="1" si="7"/>
        <v>0</v>
      </c>
      <c r="G42" s="199">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1" t="s">
        <v>48</v>
      </c>
      <c r="C43" s="23" t="s">
        <v>95</v>
      </c>
      <c r="D43" s="44">
        <f>VLOOKUP($C43,Sheet1!$C$5:$D$98,2,0)</f>
        <v>59000</v>
      </c>
      <c r="E43" s="56">
        <v>0.5</v>
      </c>
      <c r="F43" s="56">
        <f t="shared" ca="1" si="7"/>
        <v>0</v>
      </c>
      <c r="G43" s="199">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1" t="s">
        <v>49</v>
      </c>
      <c r="C44" s="23" t="s">
        <v>96</v>
      </c>
      <c r="D44" s="44">
        <f>VLOOKUP($C44,Sheet1!$C$5:$D$98,2,0)</f>
        <v>52000</v>
      </c>
      <c r="E44" s="56">
        <v>0.5</v>
      </c>
      <c r="F44" s="56">
        <f t="shared" ca="1" si="7"/>
        <v>0</v>
      </c>
      <c r="G44" s="199">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1" t="s">
        <v>45</v>
      </c>
      <c r="C45" s="23" t="s">
        <v>97</v>
      </c>
      <c r="D45" s="44">
        <f>VLOOKUP($C45,Sheet1!$C$5:$D$98,2,0)</f>
        <v>65000</v>
      </c>
      <c r="E45" s="56">
        <v>0.5</v>
      </c>
      <c r="F45" s="56">
        <f t="shared" ca="1" si="7"/>
        <v>0</v>
      </c>
      <c r="G45" s="199">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1" t="s">
        <v>44</v>
      </c>
      <c r="C46" s="23" t="s">
        <v>98</v>
      </c>
      <c r="D46" s="44">
        <f>VLOOKUP($C46,Sheet1!$C$5:$D$98,2,0)</f>
        <v>44000</v>
      </c>
      <c r="E46" s="56">
        <v>0.5</v>
      </c>
      <c r="F46" s="56">
        <f t="shared" ca="1" si="7"/>
        <v>0</v>
      </c>
      <c r="G46" s="199">
        <f>IFERROR(VLOOKUP($B46,Gà!C:J,8,0),IFERROR(VLOOKUP($B46,TVP!C:J,7,0),IFERROR(VLOOKUP($B46,Kitkool!C:J,8,0),IFERROR(VLOOKUP($B46,'La Cusina'!C:J,8,0),VLOOKUP($B46,'Quốc Nhân'!C:J,8,0)))))</f>
        <v>36.667766505794674</v>
      </c>
      <c r="H46" s="54">
        <f t="shared" ca="1" si="8"/>
        <v>0</v>
      </c>
      <c r="I46" s="54"/>
      <c r="J46" s="54">
        <f t="shared" ca="1" si="6"/>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1" t="s">
        <v>47</v>
      </c>
      <c r="C47" s="23" t="s">
        <v>99</v>
      </c>
      <c r="D47" s="44">
        <f>VLOOKUP($C47,Sheet1!$C$5:$D$98,2,0)</f>
        <v>79000</v>
      </c>
      <c r="E47" s="56">
        <v>0.5</v>
      </c>
      <c r="F47" s="56">
        <f t="shared" ca="1" si="7"/>
        <v>0</v>
      </c>
      <c r="G47" s="199">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1" t="s">
        <v>37</v>
      </c>
      <c r="C48" s="23" t="s">
        <v>100</v>
      </c>
      <c r="D48" s="44">
        <f>VLOOKUP($C48,Sheet1!$C$5:$D$98,2,0)</f>
        <v>66000</v>
      </c>
      <c r="E48" s="56">
        <v>0.5</v>
      </c>
      <c r="F48" s="56">
        <f t="shared" ca="1" si="7"/>
        <v>1</v>
      </c>
      <c r="G48" s="199">
        <f>IFERROR(VLOOKUP($B48,Gà!C:J,8,0),IFERROR(VLOOKUP($B48,TVP!C:J,7,0),IFERROR(VLOOKUP($B48,Kitkool!C:J,8,0),IFERROR(VLOOKUP($B48,'La Cusina'!C:J,8,0),VLOOKUP($B48,'Quốc Nhân'!C:J,8,0)))))</f>
        <v>55.755097015660397</v>
      </c>
      <c r="H48" s="54">
        <f t="shared" ca="1" si="8"/>
        <v>10244.902984339606</v>
      </c>
      <c r="I48" s="54"/>
      <c r="J48" s="54">
        <f t="shared" ca="1" si="6"/>
        <v>55755.097015660394</v>
      </c>
      <c r="K48" s="54"/>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1" t="s">
        <v>50</v>
      </c>
      <c r="C49" s="23" t="s">
        <v>101</v>
      </c>
      <c r="D49" s="44">
        <f>VLOOKUP($C49,Sheet1!$C$5:$D$98,2,0)</f>
        <v>122000</v>
      </c>
      <c r="E49" s="56">
        <v>1</v>
      </c>
      <c r="F49" s="56">
        <f t="shared" ca="1" si="7"/>
        <v>0</v>
      </c>
      <c r="G49" s="199">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1" t="s">
        <v>36</v>
      </c>
      <c r="C50" s="23" t="s">
        <v>102</v>
      </c>
      <c r="D50" s="44">
        <f>VLOOKUP($C50,Sheet1!$C$5:$D$98,2,0)</f>
        <v>66000</v>
      </c>
      <c r="E50" s="56">
        <v>0.5</v>
      </c>
      <c r="F50" s="56">
        <f t="shared" ca="1" si="7"/>
        <v>0</v>
      </c>
      <c r="G50" s="199">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1" t="s">
        <v>51</v>
      </c>
      <c r="C51" s="23" t="s">
        <v>103</v>
      </c>
      <c r="D51" s="44">
        <f>VLOOKUP($C51,Sheet1!$C$5:$D$98,2,0)</f>
        <v>65000</v>
      </c>
      <c r="E51" s="56">
        <v>0.5</v>
      </c>
      <c r="F51" s="56">
        <f t="shared" ca="1" si="7"/>
        <v>1</v>
      </c>
      <c r="G51" s="199">
        <f>IFERROR(VLOOKUP($B51,Gà!C:J,8,0),IFERROR(VLOOKUP($B51,TVP!C:J,7,0),IFERROR(VLOOKUP($B51,Kitkool!C:J,8,0),IFERROR(VLOOKUP($B51,'La Cusina'!C:J,8,0),VLOOKUP($B51,'Quốc Nhân'!C:J,8,0)))))</f>
        <v>54.248202501723625</v>
      </c>
      <c r="H51" s="54">
        <f t="shared" ca="1" si="8"/>
        <v>10751.797498276377</v>
      </c>
      <c r="I51" s="54"/>
      <c r="J51" s="54">
        <f t="shared" ca="1" si="6"/>
        <v>54248.202501723623</v>
      </c>
      <c r="K51" s="54"/>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1" t="s">
        <v>52</v>
      </c>
      <c r="C52" s="23" t="s">
        <v>104</v>
      </c>
      <c r="D52" s="44">
        <f>VLOOKUP($C52,Sheet1!$C$5:$D$98,2,0)</f>
        <v>54000</v>
      </c>
      <c r="E52" s="56">
        <v>0.5</v>
      </c>
      <c r="F52" s="56">
        <f t="shared" ca="1" si="7"/>
        <v>0</v>
      </c>
      <c r="G52" s="199">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1" t="s">
        <v>46</v>
      </c>
      <c r="C53" s="23" t="s">
        <v>105</v>
      </c>
      <c r="D53" s="44">
        <f>VLOOKUP($C53,Sheet1!$C$5:$D$98,2,0)</f>
        <v>59000</v>
      </c>
      <c r="E53" s="56">
        <v>0.5</v>
      </c>
      <c r="F53" s="56">
        <f t="shared" ca="1" si="7"/>
        <v>0</v>
      </c>
      <c r="G53" s="199">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0">
        <v>47</v>
      </c>
      <c r="B54" s="143" t="s">
        <v>139</v>
      </c>
      <c r="C54" s="23" t="s">
        <v>126</v>
      </c>
      <c r="D54" s="44">
        <f>VLOOKUP($C54,Sheet1!$C$5:$D$98,2,0)</f>
        <v>40000</v>
      </c>
      <c r="E54" s="56">
        <v>0.5</v>
      </c>
      <c r="F54" s="56">
        <f t="shared" ca="1" si="7"/>
        <v>11</v>
      </c>
      <c r="G54" s="199">
        <f>IFERROR(VLOOKUP($B54,Gà!C:J,8,0),IFERROR(VLOOKUP($B54,TVP!C:J,7,0),IFERROR(VLOOKUP($B54,Kitkool!C:J,8,0),IFERROR(VLOOKUP($B54,'La Cusina'!C:J,8,0),VLOOKUP($B54,'Quốc Nhân'!C:J,8,0)))))</f>
        <v>31.799375178210578</v>
      </c>
      <c r="H54" s="54">
        <f t="shared" ca="1" si="8"/>
        <v>90206.873039683633</v>
      </c>
      <c r="I54" s="54"/>
      <c r="J54" s="54">
        <f t="shared" ca="1" si="6"/>
        <v>349793.12696031638</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10</v>
      </c>
      <c r="S54" s="2">
        <f ca="1">IFERROR(SUMIFS(INDIRECT("'Thanh Toán ("&amp;S$3&amp;")'!$F:$F"),INDIRECT("'Thanh Toán ("&amp;S$3&amp;")'!$D:$D"),'Tổng Đơn'!$B54),0)</f>
        <v>1</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0">
        <v>48</v>
      </c>
      <c r="B55" s="143" t="s">
        <v>140</v>
      </c>
      <c r="C55" s="23" t="s">
        <v>141</v>
      </c>
      <c r="D55" s="44">
        <f>VLOOKUP($C55,Sheet1!$C$5:$D$98,2,0)</f>
        <v>35000</v>
      </c>
      <c r="E55" s="56">
        <v>0.5</v>
      </c>
      <c r="F55" s="56">
        <f t="shared" ca="1" si="7"/>
        <v>0</v>
      </c>
      <c r="G55" s="199">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0">
        <v>49</v>
      </c>
      <c r="B56" s="143" t="s">
        <v>265</v>
      </c>
      <c r="C56" s="23" t="s">
        <v>143</v>
      </c>
      <c r="D56" s="44">
        <f>VLOOKUP($C56,Sheet1!$C$5:$D$98,2,0)</f>
        <v>105000</v>
      </c>
      <c r="E56" s="56">
        <v>0.5</v>
      </c>
      <c r="F56" s="56">
        <f t="shared" ca="1" si="7"/>
        <v>0.5</v>
      </c>
      <c r="G56" s="199">
        <f>IFERROR(VLOOKUP($B56,Gà!C:J,8,0),IFERROR(VLOOKUP($B56,TVP!C:J,7,0),IFERROR(VLOOKUP($B56,Kitkool!C:J,8,0),IFERROR(VLOOKUP($B56,'La Cusina'!C:J,8,0),VLOOKUP($B56,'Quốc Nhân'!C:J,8,0)))))</f>
        <v>98.5</v>
      </c>
      <c r="H56" s="54">
        <f t="shared" ca="1" si="8"/>
        <v>3250</v>
      </c>
      <c r="I56" s="54"/>
      <c r="J56" s="54">
        <f t="shared" ca="1" si="6"/>
        <v>49250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0.5</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0">
        <v>50</v>
      </c>
      <c r="B57" s="143" t="s">
        <v>144</v>
      </c>
      <c r="C57" s="23" t="s">
        <v>145</v>
      </c>
      <c r="D57" s="44">
        <f>VLOOKUP($C57,Sheet1!$C$5:$D$98,2,0)</f>
        <v>42000</v>
      </c>
      <c r="E57" s="56">
        <v>0.5</v>
      </c>
      <c r="F57" s="56">
        <f t="shared" ca="1" si="7"/>
        <v>0</v>
      </c>
      <c r="G57" s="199">
        <f>IFERROR(VLOOKUP($B57,Gà!C:J,8,0),IFERROR(VLOOKUP($B57,TVP!C:J,7,0),IFERROR(VLOOKUP($B57,Kitkool!C:J,8,0),IFERROR(VLOOKUP($B57,'La Cusina'!C:J,8,0),VLOOKUP($B57,'Quốc Nhân'!C:J,8,0)))))</f>
        <v>37.402787883662754</v>
      </c>
      <c r="H57" s="54">
        <f t="shared" ca="1" si="8"/>
        <v>0</v>
      </c>
      <c r="I57" s="54"/>
      <c r="J57" s="54">
        <f t="shared" ca="1" si="6"/>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0">
        <v>51</v>
      </c>
      <c r="B58" s="143" t="s">
        <v>147</v>
      </c>
      <c r="C58" s="23" t="s">
        <v>158</v>
      </c>
      <c r="D58" s="44">
        <f>VLOOKUP($C58,Sheet1!$C$5:$D$98,2,0)</f>
        <v>38000</v>
      </c>
      <c r="E58" s="56">
        <v>0.5</v>
      </c>
      <c r="F58" s="56">
        <f t="shared" ca="1" si="7"/>
        <v>3</v>
      </c>
      <c r="G58" s="199">
        <f>IFERROR(VLOOKUP($B58,Gà!C:J,8,0),IFERROR(VLOOKUP($B58,TVP!C:J,7,0),IFERROR(VLOOKUP($B58,Kitkool!C:J,8,0),IFERROR(VLOOKUP($B58,'La Cusina'!C:J,8,0),VLOOKUP($B58,'Quốc Nhân'!C:J,8,0)))))</f>
        <v>27.87006580949204</v>
      </c>
      <c r="H58" s="54">
        <f t="shared" ca="1" si="8"/>
        <v>30389.80257152388</v>
      </c>
      <c r="I58" s="54"/>
      <c r="J58" s="54">
        <f t="shared" ca="1" si="6"/>
        <v>83610.197428476109</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2</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1</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0">
        <v>52</v>
      </c>
      <c r="B59" s="143" t="s">
        <v>163</v>
      </c>
      <c r="C59" s="23" t="s">
        <v>164</v>
      </c>
      <c r="D59" s="44">
        <f>VLOOKUP($C59,Sheet1!$C$5:$D$98,2,0)</f>
        <v>69000</v>
      </c>
      <c r="E59" s="56">
        <v>0.5</v>
      </c>
      <c r="F59" s="56">
        <f t="shared" ca="1" si="7"/>
        <v>1</v>
      </c>
      <c r="G59" s="199">
        <f>IFERROR(VLOOKUP($B59,Gà!C:J,8,0),IFERROR(VLOOKUP($B59,TVP!C:J,7,0),IFERROR(VLOOKUP($B59,Kitkool!C:J,8,0),IFERROR(VLOOKUP($B59,'La Cusina'!C:J,8,0),VLOOKUP($B59,'Quốc Nhân'!C:J,8,0)))))</f>
        <v>58.266587872221677</v>
      </c>
      <c r="H59" s="54">
        <f ca="1">(D59-G59*1000)*$F59</f>
        <v>10733.41212777832</v>
      </c>
      <c r="I59" s="54"/>
      <c r="J59" s="54">
        <f t="shared" ca="1" si="6"/>
        <v>58266.58787222168</v>
      </c>
      <c r="K59" s="54"/>
      <c r="L59" s="2">
        <f ca="1">IFERROR(SUMIFS(INDIRECT("'Thanh Toán ("&amp;L$3&amp;")'!$F:$F"),INDIRECT("'Thanh Toán ("&amp;L$3&amp;")'!$D:$D"),'Tổng Đơn'!$B59),0)</f>
        <v>0</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0">
        <v>53</v>
      </c>
      <c r="B60" s="143" t="s">
        <v>165</v>
      </c>
      <c r="C60" s="23" t="s">
        <v>166</v>
      </c>
      <c r="D60" s="44">
        <f>VLOOKUP($C60,Sheet1!$C$5:$D$98,2,0)</f>
        <v>76000</v>
      </c>
      <c r="E60" s="56">
        <v>0.5</v>
      </c>
      <c r="F60" s="56">
        <f t="shared" ca="1" si="7"/>
        <v>0</v>
      </c>
      <c r="G60" s="199">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0">
        <v>54</v>
      </c>
      <c r="B61" s="143" t="s">
        <v>175</v>
      </c>
      <c r="C61" s="23" t="s">
        <v>172</v>
      </c>
      <c r="D61" s="44">
        <f>VLOOKUP($C61,Sheet1!$C$5:$D$98,2,0)</f>
        <v>30000</v>
      </c>
      <c r="E61" s="56">
        <v>0.5</v>
      </c>
      <c r="F61" s="56">
        <f t="shared" ca="1" si="7"/>
        <v>0</v>
      </c>
      <c r="G61" s="199">
        <f>IFERROR(VLOOKUP($B61,Gà!C:J,8,0),IFERROR(VLOOKUP($B61,TVP!C:J,7,0),IFERROR(VLOOKUP($B61,Kitkool!C:J,8,0),IFERROR(VLOOKUP($B61,'La Cusina'!C:J,8,0),VLOOKUP($B61,'Quốc Nhân'!C:J,8,0)))))</f>
        <v>22.310851939550972</v>
      </c>
      <c r="H61" s="54">
        <f t="shared" ca="1" si="8"/>
        <v>0</v>
      </c>
      <c r="I61" s="54"/>
      <c r="J61" s="54">
        <f t="shared" ca="1" si="6"/>
        <v>0</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0">
        <v>55</v>
      </c>
      <c r="B62" s="143" t="s">
        <v>173</v>
      </c>
      <c r="C62" s="23" t="s">
        <v>174</v>
      </c>
      <c r="D62" s="44">
        <f>VLOOKUP($C62,Sheet1!$C$5:$D$98,2,0)</f>
        <v>45000</v>
      </c>
      <c r="E62" s="56">
        <v>1</v>
      </c>
      <c r="F62" s="56">
        <f t="shared" ca="1" si="7"/>
        <v>2</v>
      </c>
      <c r="G62" s="199">
        <f>IFERROR(VLOOKUP($B62,Gà!C:J,8,0),IFERROR(VLOOKUP($B62,TVP!C:J,7,0),IFERROR(VLOOKUP($B62,Kitkool!C:J,8,0),IFERROR(VLOOKUP($B62,'La Cusina'!C:J,8,0),VLOOKUP($B62,'Quốc Nhân'!C:J,8,0)))))</f>
        <v>40.005665546781053</v>
      </c>
      <c r="H62" s="54">
        <f t="shared" ca="1" si="8"/>
        <v>9988.6689064378879</v>
      </c>
      <c r="I62" s="54"/>
      <c r="J62" s="54">
        <f t="shared" ca="1" si="6"/>
        <v>80011.331093562112</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2</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0">
        <v>56</v>
      </c>
      <c r="B63" s="143" t="s">
        <v>171</v>
      </c>
      <c r="C63" s="23" t="s">
        <v>176</v>
      </c>
      <c r="D63" s="44">
        <f>VLOOKUP($C63,Sheet1!$C$5:$D$98,2,0)</f>
        <v>80000</v>
      </c>
      <c r="E63" s="56">
        <v>0.5</v>
      </c>
      <c r="F63" s="56">
        <f t="shared" ca="1" si="7"/>
        <v>1</v>
      </c>
      <c r="G63" s="199">
        <f>IFERROR(VLOOKUP($B63,Gà!C:J,8,0),IFERROR(VLOOKUP($B63,TVP!C:J,7,0),IFERROR(VLOOKUP($B63,Kitkool!C:J,8,0),IFERROR(VLOOKUP($B63,'La Cusina'!C:J,8,0),VLOOKUP($B63,'Quốc Nhân'!C:J,8,0)))))</f>
        <v>74.369506465169906</v>
      </c>
      <c r="H63" s="54">
        <f t="shared" ca="1" si="8"/>
        <v>5630.4935348300933</v>
      </c>
      <c r="I63" s="54"/>
      <c r="J63" s="54">
        <f t="shared" ca="1" si="6"/>
        <v>74369.506465169907</v>
      </c>
      <c r="K63" s="54"/>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0">
        <v>57</v>
      </c>
      <c r="B64" s="143" t="s">
        <v>177</v>
      </c>
      <c r="C64" s="23" t="s">
        <v>178</v>
      </c>
      <c r="D64" s="44">
        <f>VLOOKUP($C64,Sheet1!$C$5:$D$98,2,0)</f>
        <v>42000</v>
      </c>
      <c r="E64" s="56">
        <v>0.5</v>
      </c>
      <c r="F64" s="56">
        <f t="shared" ca="1" si="7"/>
        <v>0</v>
      </c>
      <c r="G64" s="199">
        <f>IFERROR(VLOOKUP($B64,Gà!C:J,8,0),IFERROR(VLOOKUP($B64,TVP!C:J,7,0),IFERROR(VLOOKUP($B64,Kitkool!C:J,8,0),IFERROR(VLOOKUP($B64,'La Cusina'!C:J,8,0),VLOOKUP($B64,'Quốc Nhân'!C:J,8,0)))))</f>
        <v>37.954092954638433</v>
      </c>
      <c r="H64" s="54">
        <f t="shared" ca="1" si="8"/>
        <v>0</v>
      </c>
      <c r="I64" s="54"/>
      <c r="J64" s="54">
        <f t="shared" ca="1" si="6"/>
        <v>0</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0">
        <v>58</v>
      </c>
      <c r="B65" s="143" t="s">
        <v>179</v>
      </c>
      <c r="C65" s="23" t="s">
        <v>181</v>
      </c>
      <c r="D65" s="44">
        <f>VLOOKUP($C65,Sheet1!$C$5:$D$98,2,0)</f>
        <v>35000</v>
      </c>
      <c r="E65" s="56">
        <v>0.5</v>
      </c>
      <c r="F65" s="56">
        <f t="shared" ca="1" si="7"/>
        <v>0</v>
      </c>
      <c r="G65" s="199">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0">
        <v>59</v>
      </c>
      <c r="B66" s="143" t="s">
        <v>180</v>
      </c>
      <c r="C66" s="23" t="s">
        <v>182</v>
      </c>
      <c r="D66" s="44">
        <f>VLOOKUP($C66,Sheet1!$C$5:$D$98,2,0)</f>
        <v>38000</v>
      </c>
      <c r="E66" s="56">
        <v>0.5</v>
      </c>
      <c r="F66" s="56">
        <f t="shared" ca="1" si="7"/>
        <v>0</v>
      </c>
      <c r="G66" s="199">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0">
        <v>60</v>
      </c>
      <c r="B67" s="143" t="s">
        <v>186</v>
      </c>
      <c r="C67" s="23" t="s">
        <v>187</v>
      </c>
      <c r="D67" s="44">
        <f>VLOOKUP($C67,Sheet1!$C$5:$D$98,2,0)</f>
        <v>70000</v>
      </c>
      <c r="E67" s="56">
        <v>0.5</v>
      </c>
      <c r="F67" s="56">
        <f t="shared" ca="1" si="7"/>
        <v>0</v>
      </c>
      <c r="G67" s="199">
        <f>IFERROR(VLOOKUP($B67,Gà!C:J,8,0),IFERROR(VLOOKUP($B67,TVP!C:J,7,0),IFERROR(VLOOKUP($B67,Kitkool!C:J,8,0),IFERROR(VLOOKUP($B67,'La Cusina'!C:J,8,0),VLOOKUP($B67,'Quốc Nhân'!C:J,8,0)))))</f>
        <v>61.484034877253848</v>
      </c>
      <c r="H67" s="54">
        <f t="shared" ref="H67" ca="1" si="9">(D67-G67*1000)*$F67</f>
        <v>0</v>
      </c>
      <c r="I67" s="54"/>
      <c r="J67" s="54">
        <f t="shared" ref="J67" ca="1" si="10">F67*G67*1000</f>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0">
        <v>61</v>
      </c>
      <c r="B68" s="143" t="s">
        <v>202</v>
      </c>
      <c r="C68" s="23" t="s">
        <v>203</v>
      </c>
      <c r="D68" s="44">
        <f>VLOOKUP($C68,Sheet1!$C$5:$D$98,2,0)</f>
        <v>54000</v>
      </c>
      <c r="E68" s="56">
        <v>0.5</v>
      </c>
      <c r="F68" s="56">
        <f t="shared" ca="1" si="7"/>
        <v>0</v>
      </c>
      <c r="G68" s="199">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0">
        <v>62</v>
      </c>
      <c r="B69" s="143" t="s">
        <v>205</v>
      </c>
      <c r="C69" s="23" t="s">
        <v>206</v>
      </c>
      <c r="D69" s="44">
        <f>VLOOKUP($C69,Sheet1!$C$5:$D$98,2,0)</f>
        <v>47000</v>
      </c>
      <c r="E69" s="56">
        <v>0.5</v>
      </c>
      <c r="F69" s="56">
        <f t="shared" ref="F69:F80" ca="1" si="13">SUM(L69:BR69)</f>
        <v>0</v>
      </c>
      <c r="G69" s="199">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0">
        <v>63</v>
      </c>
      <c r="B70" s="143" t="s">
        <v>208</v>
      </c>
      <c r="C70" s="23" t="s">
        <v>212</v>
      </c>
      <c r="D70" s="44">
        <f>VLOOKUP($C70,Sheet1!$C$5:$D$98,2,0)</f>
        <v>50000</v>
      </c>
      <c r="E70" s="56">
        <v>0.5</v>
      </c>
      <c r="F70" s="56">
        <f t="shared" ca="1" si="13"/>
        <v>2</v>
      </c>
      <c r="G70" s="199">
        <f>IFERROR(VLOOKUP($B70,Gà!C:J,8,0),IFERROR(VLOOKUP($B70,TVP!C:J,7,0),IFERROR(VLOOKUP($B70,Kitkool!C:J,8,0),IFERROR(VLOOKUP($B70,'La Cusina'!C:J,8,0),VLOOKUP($B70,'Quốc Nhân'!C:J,8,0)))))</f>
        <v>44.621703879101943</v>
      </c>
      <c r="H70" s="54">
        <f t="shared" ref="H70:H71" ca="1" si="14">(D70-G70*1000)*$F70</f>
        <v>10756.592241796112</v>
      </c>
      <c r="I70" s="54"/>
      <c r="J70" s="54">
        <f t="shared" ref="J70:J71" ca="1" si="15">F70*G70*1000</f>
        <v>89243.407758203888</v>
      </c>
      <c r="K70" s="54"/>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0">
        <v>64</v>
      </c>
      <c r="B71" s="143" t="s">
        <v>207</v>
      </c>
      <c r="C71" s="23" t="s">
        <v>213</v>
      </c>
      <c r="D71" s="44">
        <f>VLOOKUP($C71,Sheet1!$C$5:$D$98,2,0)</f>
        <v>42000</v>
      </c>
      <c r="E71" s="56">
        <v>0.5</v>
      </c>
      <c r="F71" s="56">
        <f t="shared" ca="1" si="13"/>
        <v>0</v>
      </c>
      <c r="G71" s="199">
        <f>IFERROR(VLOOKUP($B71,Gà!C:J,8,0),IFERROR(VLOOKUP($B71,TVP!C:J,7,0),IFERROR(VLOOKUP($B71,Kitkool!C:J,8,0),IFERROR(VLOOKUP($B71,'La Cusina'!C:J,8,0),VLOOKUP($B71,'Quốc Nhân'!C:J,8,0)))))</f>
        <v>37.402787883662754</v>
      </c>
      <c r="H71" s="54">
        <f t="shared" ca="1" si="14"/>
        <v>0</v>
      </c>
      <c r="I71" s="54"/>
      <c r="J71" s="54">
        <f t="shared" ca="1" si="15"/>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0">
        <v>65</v>
      </c>
      <c r="B72" s="143" t="s">
        <v>247</v>
      </c>
      <c r="C72" s="23" t="s">
        <v>248</v>
      </c>
      <c r="D72" s="44">
        <f>VLOOKUP($C72,Sheet1!$C$5:$D$98,2,0)</f>
        <v>18000</v>
      </c>
      <c r="E72" s="56">
        <v>0.3</v>
      </c>
      <c r="F72" s="56">
        <f t="shared" ca="1" si="13"/>
        <v>0</v>
      </c>
      <c r="G72" s="199">
        <f>IFERROR(VLOOKUP($B72,Gà!C:J,8,0),IFERROR(VLOOKUP($B72,TVP!C:J,7,0),IFERROR(VLOOKUP($B72,Kitkool!C:J,8,0),IFERROR(VLOOKUP($B72,'La Cusina'!C:J,8,0),VLOOKUP($B72,'Quốc Nhân'!C:J,8,0)))))</f>
        <v>12.296806975450769</v>
      </c>
      <c r="H72" s="54">
        <f t="shared" ref="H72" ca="1" si="16">(D72-G72*1000)*$F72</f>
        <v>0</v>
      </c>
      <c r="I72" s="54"/>
      <c r="J72" s="54">
        <f t="shared" ref="J72" ca="1" si="17">F72*G72*1000</f>
        <v>0</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0">
        <v>66</v>
      </c>
      <c r="B73" s="143" t="s">
        <v>239</v>
      </c>
      <c r="C73" s="23" t="s">
        <v>249</v>
      </c>
      <c r="D73" s="44">
        <f>VLOOKUP($C73,Sheet1!$C$5:$D$98,2,0)</f>
        <v>23000</v>
      </c>
      <c r="E73" s="56">
        <v>0.5</v>
      </c>
      <c r="F73" s="56">
        <f t="shared" ca="1" si="13"/>
        <v>9</v>
      </c>
      <c r="G73" s="199">
        <f>IFERROR(VLOOKUP($B73,Gà!C:J,8,0),IFERROR(VLOOKUP($B73,TVP!C:J,7,0),IFERROR(VLOOKUP($B73,Kitkool!C:J,8,0),IFERROR(VLOOKUP($B73,'La Cusina'!C:J,8,0),VLOOKUP($B73,'Quốc Nhân'!C:J,8,0)))))</f>
        <v>19.416102037801767</v>
      </c>
      <c r="H73" s="54">
        <f t="shared" ref="H73:H80" ca="1" si="18">(D73-G73*1000)*$F73</f>
        <v>32255.081659784093</v>
      </c>
      <c r="I73" s="54"/>
      <c r="J73" s="54">
        <f t="shared" ref="J73:J80" ca="1" si="19">F73*G73*1000</f>
        <v>174744.91834021593</v>
      </c>
      <c r="K73" s="54"/>
      <c r="L73" s="2">
        <f ca="1">IFERROR(SUMIFS(INDIRECT("'Thanh Toán ("&amp;L$3&amp;")'!$F:$F"),INDIRECT("'Thanh Toán ("&amp;L$3&amp;")'!$D:$D"),'Tổng Đơn'!$B73),0)</f>
        <v>2</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5</v>
      </c>
      <c r="P73" s="2">
        <f ca="1">IFERROR(SUMIFS(INDIRECT("'Thanh Toán ("&amp;P$3&amp;")'!$F:$F"),INDIRECT("'Thanh Toán ("&amp;P$3&amp;")'!$D:$D"),'Tổng Đơn'!$B73),0)</f>
        <v>2</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0">
        <v>67</v>
      </c>
      <c r="B74" s="143" t="s">
        <v>240</v>
      </c>
      <c r="C74" s="23" t="s">
        <v>250</v>
      </c>
      <c r="D74" s="44">
        <f>VLOOKUP($C74,Sheet1!$C$5:$D$98,2,0)</f>
        <v>26000</v>
      </c>
      <c r="E74" s="56">
        <v>0.5</v>
      </c>
      <c r="F74" s="56">
        <f t="shared" ca="1" si="13"/>
        <v>1</v>
      </c>
      <c r="G74" s="199">
        <f>IFERROR(VLOOKUP($B74,Gà!C:J,8,0),IFERROR(VLOOKUP($B74,TVP!C:J,7,0),IFERROR(VLOOKUP($B74,Kitkool!C:J,8,0),IFERROR(VLOOKUP($B74,'La Cusina'!C:J,8,0),VLOOKUP($B74,'Quốc Nhân'!C:J,8,0)))))</f>
        <v>21.459902252307216</v>
      </c>
      <c r="H74" s="54">
        <f t="shared" ca="1" si="18"/>
        <v>4540.0977476927837</v>
      </c>
      <c r="I74" s="54"/>
      <c r="J74" s="54">
        <f t="shared" ca="1" si="19"/>
        <v>21459.902252307216</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0">
        <v>68</v>
      </c>
      <c r="B75" s="143" t="s">
        <v>241</v>
      </c>
      <c r="C75" s="23" t="s">
        <v>251</v>
      </c>
      <c r="D75" s="44">
        <f>VLOOKUP($C75,Sheet1!$C$5:$D$98,2,0)</f>
        <v>26000</v>
      </c>
      <c r="E75" s="56">
        <v>0.5</v>
      </c>
      <c r="F75" s="56">
        <f t="shared" ca="1" si="13"/>
        <v>1</v>
      </c>
      <c r="G75" s="199">
        <f>IFERROR(VLOOKUP($B75,Gà!C:J,8,0),IFERROR(VLOOKUP($B75,TVP!C:J,7,0),IFERROR(VLOOKUP($B75,Kitkool!C:J,8,0),IFERROR(VLOOKUP($B75,'La Cusina'!C:J,8,0),VLOOKUP($B75,'Quốc Nhân'!C:J,8,0)))))</f>
        <v>21.459902252307216</v>
      </c>
      <c r="H75" s="54">
        <f t="shared" ca="1" si="18"/>
        <v>4540.0977476927837</v>
      </c>
      <c r="I75" s="54"/>
      <c r="J75" s="54">
        <f t="shared" ca="1" si="19"/>
        <v>21459.902252307216</v>
      </c>
      <c r="K75" s="54"/>
      <c r="L75" s="2">
        <f ca="1">IFERROR(SUMIFS(INDIRECT("'Thanh Toán ("&amp;L$3&amp;")'!$F:$F"),INDIRECT("'Thanh Toán ("&amp;L$3&amp;")'!$D:$D"),'Tổng Đơn'!$B75),0)</f>
        <v>1</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0">
        <v>69</v>
      </c>
      <c r="B76" s="143" t="s">
        <v>242</v>
      </c>
      <c r="C76" s="23" t="s">
        <v>252</v>
      </c>
      <c r="D76" s="44">
        <f>VLOOKUP($C76,Sheet1!$C$5:$D$98,2,0)</f>
        <v>26000</v>
      </c>
      <c r="E76" s="56">
        <v>0.5</v>
      </c>
      <c r="F76" s="56">
        <f t="shared" ca="1" si="13"/>
        <v>1</v>
      </c>
      <c r="G76" s="199">
        <f>IFERROR(VLOOKUP($B76,Gà!C:J,8,0),IFERROR(VLOOKUP($B76,TVP!C:J,7,0),IFERROR(VLOOKUP($B76,Kitkool!C:J,8,0),IFERROR(VLOOKUP($B76,'La Cusina'!C:J,8,0),VLOOKUP($B76,'Quốc Nhân'!C:J,8,0)))))</f>
        <v>20.438002145054494</v>
      </c>
      <c r="H76" s="54">
        <f t="shared" ca="1" si="18"/>
        <v>5561.9978549455045</v>
      </c>
      <c r="I76" s="54"/>
      <c r="J76" s="54">
        <f t="shared" ca="1" si="19"/>
        <v>20438.002145054495</v>
      </c>
      <c r="K76" s="54"/>
      <c r="L76" s="2">
        <f ca="1">IFERROR(SUMIFS(INDIRECT("'Thanh Toán ("&amp;L$3&amp;")'!$F:$F"),INDIRECT("'Thanh Toán ("&amp;L$3&amp;")'!$D:$D"),'Tổng Đơn'!$B76),0)</f>
        <v>1</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0">
        <v>70</v>
      </c>
      <c r="B77" s="143" t="s">
        <v>243</v>
      </c>
      <c r="C77" s="23" t="s">
        <v>253</v>
      </c>
      <c r="D77" s="44">
        <f>VLOOKUP($C77,Sheet1!$C$5:$D$98,2,0)</f>
        <v>26000</v>
      </c>
      <c r="E77" s="56">
        <v>0.5</v>
      </c>
      <c r="F77" s="56">
        <f t="shared" ca="1" si="13"/>
        <v>10</v>
      </c>
      <c r="G77" s="199">
        <f>IFERROR(VLOOKUP($B77,Gà!C:J,8,0),IFERROR(VLOOKUP($B77,TVP!C:J,7,0),IFERROR(VLOOKUP($B77,Kitkool!C:J,8,0),IFERROR(VLOOKUP($B77,'La Cusina'!C:J,8,0),VLOOKUP($B77,'Quốc Nhân'!C:J,8,0)))))</f>
        <v>20.902502193805731</v>
      </c>
      <c r="H77" s="54">
        <f t="shared" ca="1" si="18"/>
        <v>50974.978061942675</v>
      </c>
      <c r="I77" s="54"/>
      <c r="J77" s="54">
        <f t="shared" ca="1" si="19"/>
        <v>209025.0219380573</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5</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5</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0">
        <v>71</v>
      </c>
      <c r="B78" s="143" t="s">
        <v>244</v>
      </c>
      <c r="C78" s="23" t="s">
        <v>254</v>
      </c>
      <c r="D78" s="44">
        <f>VLOOKUP($C78,Sheet1!$C$5:$D$98,2,0)</f>
        <v>35000</v>
      </c>
      <c r="E78" s="56">
        <v>0.5</v>
      </c>
      <c r="F78" s="56">
        <f t="shared" ca="1" si="13"/>
        <v>21</v>
      </c>
      <c r="G78" s="199">
        <f>IFERROR(VLOOKUP($B78,Gà!C:J,8,0),IFERROR(VLOOKUP($B78,TVP!C:J,7,0),IFERROR(VLOOKUP($B78,Kitkool!C:J,8,0),IFERROR(VLOOKUP($B78,'La Cusina'!C:J,8,0),VLOOKUP($B78,'Quốc Nhân'!C:J,8,0)))))</f>
        <v>29.728003120079261</v>
      </c>
      <c r="H78" s="54">
        <f t="shared" ca="1" si="18"/>
        <v>110711.9344783355</v>
      </c>
      <c r="I78" s="54"/>
      <c r="J78" s="54">
        <f t="shared" ca="1" si="19"/>
        <v>624288.06552166457</v>
      </c>
      <c r="K78" s="54"/>
      <c r="L78" s="2">
        <f ca="1">IFERROR(SUMIFS(INDIRECT("'Thanh Toán ("&amp;L$3&amp;")'!$F:$F"),INDIRECT("'Thanh Toán ("&amp;L$3&amp;")'!$D:$D"),'Tổng Đơn'!$B78),0)</f>
        <v>1</v>
      </c>
      <c r="M78" s="2">
        <f ca="1">IFERROR(SUMIFS(INDIRECT("'Thanh Toán ("&amp;M$3&amp;")'!$F:$F"),INDIRECT("'Thanh Toán ("&amp;M$3&amp;")'!$D:$D"),'Tổng Đơn'!$B78),0)</f>
        <v>0</v>
      </c>
      <c r="N78" s="2">
        <f ca="1">IFERROR(SUMIFS(INDIRECT("'Thanh Toán ("&amp;N$3&amp;")'!$F:$F"),INDIRECT("'Thanh Toán ("&amp;N$3&amp;")'!$D:$D"),'Tổng Đơn'!$B78),0)</f>
        <v>10</v>
      </c>
      <c r="O78" s="2">
        <f ca="1">IFERROR(SUMIFS(INDIRECT("'Thanh Toán ("&amp;O$3&amp;")'!$F:$F"),INDIRECT("'Thanh Toán ("&amp;O$3&amp;")'!$D:$D"),'Tổng Đơn'!$B78),0)</f>
        <v>3</v>
      </c>
      <c r="P78" s="2">
        <f ca="1">IFERROR(SUMIFS(INDIRECT("'Thanh Toán ("&amp;P$3&amp;")'!$F:$F"),INDIRECT("'Thanh Toán ("&amp;P$3&amp;")'!$D:$D"),'Tổng Đơn'!$B78),0)</f>
        <v>2</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5</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0">
        <v>72</v>
      </c>
      <c r="B79" s="143" t="s">
        <v>245</v>
      </c>
      <c r="C79" s="23" t="s">
        <v>255</v>
      </c>
      <c r="D79" s="44">
        <f>VLOOKUP($C79,Sheet1!$C$5:$D$98,2,0)</f>
        <v>40000</v>
      </c>
      <c r="E79" s="56">
        <v>0.5</v>
      </c>
      <c r="F79" s="56">
        <f t="shared" ca="1" si="13"/>
        <v>2</v>
      </c>
      <c r="G79" s="199">
        <f>IFERROR(VLOOKUP($B79,Gà!C:J,8,0),IFERROR(VLOOKUP($B79,TVP!C:J,7,0),IFERROR(VLOOKUP($B79,Kitkool!C:J,8,0),IFERROR(VLOOKUP($B79,'La Cusina'!C:J,8,0),VLOOKUP($B79,'Quốc Nhân'!C:J,8,0)))))</f>
        <v>34.837503656342889</v>
      </c>
      <c r="H79" s="54">
        <f t="shared" ca="1" si="18"/>
        <v>10324.992687314225</v>
      </c>
      <c r="I79" s="54"/>
      <c r="J79" s="54">
        <f t="shared" ca="1" si="19"/>
        <v>69675.007312685775</v>
      </c>
      <c r="K79" s="54"/>
      <c r="L79" s="2">
        <f ca="1">IFERROR(SUMIFS(INDIRECT("'Thanh Toán ("&amp;L$3&amp;")'!$F:$F"),INDIRECT("'Thanh Toán ("&amp;L$3&amp;")'!$D:$D"),'Tổng Đơn'!$B79),0)</f>
        <v>1</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1</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0">
        <v>73</v>
      </c>
      <c r="B80" s="143" t="s">
        <v>246</v>
      </c>
      <c r="C80" s="23" t="s">
        <v>256</v>
      </c>
      <c r="D80" s="44">
        <f>VLOOKUP($C80,Sheet1!$C$5:$D$98,2,0)</f>
        <v>43000</v>
      </c>
      <c r="E80" s="56">
        <v>0.5</v>
      </c>
      <c r="F80" s="56">
        <f t="shared" ca="1" si="13"/>
        <v>1</v>
      </c>
      <c r="G80" s="199">
        <f>IFERROR(VLOOKUP($B80,Gà!C:J,8,0),IFERROR(VLOOKUP($B80,TVP!C:J,7,0),IFERROR(VLOOKUP($B80,Kitkool!C:J,8,0),IFERROR(VLOOKUP($B80,'La Cusina'!C:J,8,0),VLOOKUP($B80,'Quốc Nhân'!C:J,8,0)))))</f>
        <v>37.810303968350816</v>
      </c>
      <c r="H80" s="54">
        <f t="shared" ca="1" si="18"/>
        <v>5189.6960316491823</v>
      </c>
      <c r="I80" s="54"/>
      <c r="J80" s="54">
        <f t="shared" ca="1" si="19"/>
        <v>37810.303968350818</v>
      </c>
      <c r="K80" s="54"/>
      <c r="L80" s="2">
        <f ca="1">IFERROR(SUMIFS(INDIRECT("'Thanh Toán ("&amp;L$3&amp;")'!$F:$F"),INDIRECT("'Thanh Toán ("&amp;L$3&amp;")'!$D:$D"),'Tổng Đơn'!$B80),0)</f>
        <v>1</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v>
      </c>
      <c r="L7" s="188" t="s">
        <v>18</v>
      </c>
    </row>
    <row r="8" spans="1:14" s="45" customFormat="1" ht="14.25" customHeight="1" x14ac:dyDescent="0.25">
      <c r="A8" s="195"/>
      <c r="B8" s="195"/>
      <c r="C8" s="46" t="str">
        <f t="shared" ref="C8:C37" si="0">IF(OR(SUM($C7,$A8&lt;&gt;"")=0,$A8=""),"",SUM($C7,$A8&lt;&gt;""))</f>
        <v/>
      </c>
      <c r="D8" s="191" t="str">
        <f>IFERROR(VLOOKUP($A8,Sheet1!$A$1:$B$98,2,0),"")</f>
        <v/>
      </c>
      <c r="E8" s="192" t="str">
        <f>IFERROR(VLOOKUP($A8,'Tổng Đơn'!$A$5:$E$103,5,0),"")</f>
        <v/>
      </c>
      <c r="F8" s="46" t="str">
        <f>IF($B8="","",B8)</f>
        <v/>
      </c>
      <c r="G8" s="204" t="str">
        <f>IFERROR(VLOOKUP($A8,Sheet1!$A1:$D$98,4,0),"")</f>
        <v/>
      </c>
      <c r="H8" s="193" t="str">
        <f>IF($C7=MAX($C$8:$C$56),SUM($H7:$H$8),IFERROR($G8*$F8,""))</f>
        <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5"/>
      <c r="B9" s="195"/>
      <c r="C9" s="46" t="str">
        <f t="shared" si="0"/>
        <v/>
      </c>
      <c r="D9" s="191" t="str">
        <f>IFERROR(VLOOKUP($A9,Sheet1!$A$1:$B$98,2,0),"")</f>
        <v/>
      </c>
      <c r="E9" s="46" t="str">
        <f>IFERROR(VLOOKUP($A9,'Tổng Đơn'!$A$5:$E$103,5,0),"")</f>
        <v/>
      </c>
      <c r="F9" s="46" t="str">
        <f>IF($B9="","",B9)</f>
        <v/>
      </c>
      <c r="G9" s="204" t="str">
        <f>IF(AND($C9="",$C8&lt;&gt;""),"Tổng Cộng",IFERROR(VLOOKUP($A9,Sheet1!$A$1:$D$98,4,0),""))</f>
        <v/>
      </c>
      <c r="H9" s="193" t="str">
        <f>IF($C8=MAX($C$8:$C$56),SUM($H$8:$H8),IFERROR($G9*$F9,""))</f>
        <v/>
      </c>
      <c r="I9" s="84" t="str">
        <f t="shared" si="1"/>
        <v/>
      </c>
      <c r="L9" s="47" t="str">
        <f>IFERROR(VLOOKUP($A9,Sheet1!$A$5:$D$98,4,0),"")</f>
        <v/>
      </c>
    </row>
    <row r="10" spans="1:14" s="45" customFormat="1" ht="14.25" customHeight="1" x14ac:dyDescent="0.25">
      <c r="A10" s="195"/>
      <c r="B10" s="195"/>
      <c r="C10" s="46" t="str">
        <f t="shared" si="0"/>
        <v/>
      </c>
      <c r="D10" s="191" t="str">
        <f>IFERROR(VLOOKUP($A10,Sheet1!$A$1:$B$98,2,0),"")</f>
        <v/>
      </c>
      <c r="E10" s="46" t="str">
        <f>IFERROR(VLOOKUP($A10,'Tổng Đơn'!$A$5:$E$103,5,0),"")</f>
        <v/>
      </c>
      <c r="F10" s="46" t="str">
        <f t="shared" ref="F10:F37" si="2">IF($B10="","",B10)</f>
        <v/>
      </c>
      <c r="G10" s="204" t="str">
        <f>IF(AND($C10="",$C9&lt;&gt;""),"Tổng Cộng",IFERROR(VLOOKUP($A10,Sheet1!$A$1:$D$98,4,0),""))</f>
        <v/>
      </c>
      <c r="H10" s="193" t="str">
        <f>IF($C9=MAX($C$8:$C$56),SUM($H$8:$H9),IFERROR($G10*$F10,""))</f>
        <v/>
      </c>
      <c r="I10" s="84" t="str">
        <f t="shared" si="1"/>
        <v/>
      </c>
      <c r="L10" s="47" t="str">
        <f>IFERROR(VLOOKUP($A10,Sheet1!$A$5:$D$98,4,0),"")</f>
        <v/>
      </c>
    </row>
    <row r="11" spans="1:14" s="45" customFormat="1" ht="14.25" customHeight="1" x14ac:dyDescent="0.25">
      <c r="A11" s="195"/>
      <c r="B11" s="195"/>
      <c r="C11" s="46" t="str">
        <f t="shared" si="0"/>
        <v/>
      </c>
      <c r="D11" s="191" t="str">
        <f>IFERROR(VLOOKUP($A11,Sheet1!$A$1:$B$98,2,0),"")</f>
        <v/>
      </c>
      <c r="E11" s="46" t="str">
        <f>IFERROR(VLOOKUP($A11,'Tổng Đơn'!$A$5:$E$103,5,0),"")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c r="B12" s="195"/>
      <c r="C12" s="46" t="str">
        <f t="shared" si="0"/>
        <v/>
      </c>
      <c r="D12" s="191" t="str">
        <f>IFERROR(VLOOKUP($A12,Sheet1!$A$1:$B$98,2,0),"")</f>
        <v/>
      </c>
      <c r="E12" s="46" t="str">
        <f>IFERROR(VLOOKUP($A12,'Tổng Đơn'!$A$5:$E$103,5,0),"")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39" priority="29">
      <formula>$C7=MAX($C$8:$C$37)</formula>
    </cfRule>
  </conditionalFormatting>
  <conditionalFormatting sqref="C10:C37">
    <cfRule type="expression" dxfId="38" priority="16">
      <formula>$C9=MAX($C$8:$C$37)</formula>
    </cfRule>
  </conditionalFormatting>
  <conditionalFormatting sqref="E8:E38">
    <cfRule type="expression" dxfId="37" priority="36">
      <formula>AND($A8="",$F8&lt;&gt;"")</formula>
    </cfRule>
  </conditionalFormatting>
  <conditionalFormatting sqref="F8:F38">
    <cfRule type="expression" dxfId="3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307</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2</v>
      </c>
      <c r="L7" s="188" t="s">
        <v>18</v>
      </c>
    </row>
    <row r="8" spans="1:14" s="45" customFormat="1" ht="14.25" customHeight="1" x14ac:dyDescent="0.25">
      <c r="A8" s="195">
        <v>14</v>
      </c>
      <c r="B8" s="195">
        <v>1</v>
      </c>
      <c r="C8" s="46">
        <f t="shared" ref="C8:C37" si="0">IF(OR(SUM($C7,$A8&lt;&gt;"")=0,$A8=""),"",SUM($C7,$A8&lt;&gt;""))</f>
        <v>1</v>
      </c>
      <c r="D8" s="191" t="str">
        <f>IFERROR(VLOOKUP($A8,Sheet1!$A$1:$B$98,2,0),"")</f>
        <v>Viên thả lẩu TOMYUM (Tím)</v>
      </c>
      <c r="E8" s="192">
        <f>IFERROR(VLOOKUP($A8,'Tổng Đơn'!$A$5:$E$103,5,0),"")</f>
        <v>0.5</v>
      </c>
      <c r="F8" s="46">
        <f>IF($B8="","",B8)</f>
        <v>1</v>
      </c>
      <c r="G8" s="204">
        <f>IFERROR(VLOOKUP($A8,Sheet1!$A1:$D$98,4,0),"")</f>
        <v>45000</v>
      </c>
      <c r="H8" s="193">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5">
        <v>51</v>
      </c>
      <c r="B9" s="195">
        <v>1</v>
      </c>
      <c r="C9" s="46">
        <f t="shared" si="0"/>
        <v>2</v>
      </c>
      <c r="D9" s="191" t="str">
        <f>IFERROR(VLOOKUP($A9,Sheet1!$A$1:$B$98,2,0),"")</f>
        <v>Ốc nhồi Hải sản</v>
      </c>
      <c r="E9" s="46">
        <f>IFERROR(VLOOKUP($A9,'Tổng Đơn'!$A$5:$E$103,5,0),"")</f>
        <v>0.5</v>
      </c>
      <c r="F9" s="46">
        <f>IF($B9="","",B9)</f>
        <v>1</v>
      </c>
      <c r="G9" s="204">
        <f>IF(AND($C9="",$C8&lt;&gt;""),"Tổng Cộng",IFERROR(VLOOKUP($A9,Sheet1!$A$1:$D$98,4,0),""))</f>
        <v>38000</v>
      </c>
      <c r="H9" s="193">
        <f>IF($C8=MAX($C$8:$C$56),SUM($H$8:$H8),IFERROR($G9*$F9,""))</f>
        <v>38000</v>
      </c>
      <c r="I9" s="84">
        <f t="shared" si="1"/>
        <v>0.5</v>
      </c>
      <c r="L9" s="47">
        <f>IFERROR(VLOOKUP($A9,Sheet1!$A$5:$D$98,4,0),"")</f>
        <v>38000</v>
      </c>
    </row>
    <row r="10" spans="1:14" s="45" customFormat="1" ht="14.25" customHeight="1" x14ac:dyDescent="0.25">
      <c r="A10" s="195">
        <v>63</v>
      </c>
      <c r="B10" s="195">
        <v>1</v>
      </c>
      <c r="C10" s="46">
        <f t="shared" si="0"/>
        <v>3</v>
      </c>
      <c r="D10" s="191" t="str">
        <f>IFERROR(VLOOKUP($A10,Sheet1!$A$1:$B$98,2,0),"")</f>
        <v>Tôm hùm viên PM</v>
      </c>
      <c r="E10" s="46">
        <f>IFERROR(VLOOKUP($A10,'Tổng Đơn'!$A$5:$E$103,5,0),"")</f>
        <v>0.5</v>
      </c>
      <c r="F10" s="46">
        <f t="shared" ref="F10:F37" si="2">IF($B10="","",B10)</f>
        <v>1</v>
      </c>
      <c r="G10" s="204">
        <f>IF(AND($C10="",$C9&lt;&gt;""),"Tổng Cộng",IFERROR(VLOOKUP($A10,Sheet1!$A$1:$D$98,4,0),""))</f>
        <v>50000</v>
      </c>
      <c r="H10" s="193">
        <f>IF($C9=MAX($C$8:$C$56),SUM($H$8:$H9),IFERROR($G10*$F10,""))</f>
        <v>50000</v>
      </c>
      <c r="I10" s="84">
        <f t="shared" si="1"/>
        <v>0.5</v>
      </c>
      <c r="L10" s="47">
        <f>IFERROR(VLOOKUP($A10,Sheet1!$A$5:$D$98,4,0),"")</f>
        <v>50000</v>
      </c>
    </row>
    <row r="11" spans="1:14" s="45" customFormat="1" ht="14.25" customHeight="1" x14ac:dyDescent="0.25">
      <c r="A11" s="195">
        <v>67</v>
      </c>
      <c r="B11" s="195">
        <v>1</v>
      </c>
      <c r="C11" s="46">
        <f t="shared" si="0"/>
        <v>4</v>
      </c>
      <c r="D11" s="191" t="str">
        <f>IFERROR(VLOOKUP($A11,Sheet1!$A$1:$B$98,2,0),"")</f>
        <v>Cá viên rau củ KK</v>
      </c>
      <c r="E11" s="46">
        <f>IFERROR(VLOOKUP($A11,'Tổng Đơn'!$A$5:$E$103,5,0),"")</f>
        <v>0.5</v>
      </c>
      <c r="F11" s="46">
        <f t="shared" si="2"/>
        <v>1</v>
      </c>
      <c r="G11" s="204">
        <f>IF(AND($C11="",$C10&lt;&gt;""),"Tổng Cộng",IFERROR(VLOOKUP($A11,Sheet1!$A$1:$D$98,4,0),""))</f>
        <v>26000</v>
      </c>
      <c r="H11" s="193">
        <f>IF($C10=MAX($C$8:$C$56),SUM($H$8:$H10),IFERROR($G11*$F11,""))</f>
        <v>26000</v>
      </c>
      <c r="I11" s="84">
        <f t="shared" si="1"/>
        <v>0.5</v>
      </c>
      <c r="L11" s="47">
        <f>IFERROR(VLOOKUP($A11,Sheet1!$A$5:$D$98,4,0),"")</f>
        <v>26000</v>
      </c>
    </row>
    <row r="12" spans="1:14" s="45" customFormat="1" ht="14.25" customHeight="1" x14ac:dyDescent="0.25">
      <c r="A12" s="195" t="s">
        <v>189</v>
      </c>
      <c r="B12" s="195"/>
      <c r="C12" s="46" t="str">
        <f t="shared" si="0"/>
        <v/>
      </c>
      <c r="D12" s="191" t="str">
        <f>IFERROR(VLOOKUP($A12,Sheet1!$A$1:$B$98,2,0),"")</f>
        <v/>
      </c>
      <c r="E12" s="46" t="str">
        <f>IFERROR(VLOOKUP($A12,'Tổng Đơn'!$A$5:$E$103,5,0),"")</f>
        <v/>
      </c>
      <c r="F12" s="46" t="str">
        <f t="shared" si="2"/>
        <v/>
      </c>
      <c r="G12" s="204" t="str">
        <f>IF(AND($C12="",$C11&lt;&gt;""),"Tổng Cộng",IFERROR(VLOOKUP($A12,Sheet1!$A$1:$D$98,4,0),""))</f>
        <v>Tổng Cộng</v>
      </c>
      <c r="H12" s="193">
        <f>IF($C11=MAX($C$8:$C$56),SUM($H$8:$H11),IFERROR($G12*$F12,""))</f>
        <v>159000</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306</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6.5</v>
      </c>
      <c r="L7" s="188" t="s">
        <v>18</v>
      </c>
    </row>
    <row r="8" spans="1:14" s="45" customFormat="1" ht="14.25" customHeight="1" x14ac:dyDescent="0.25">
      <c r="A8" s="195">
        <v>5</v>
      </c>
      <c r="B8" s="195">
        <v>1</v>
      </c>
      <c r="C8" s="46">
        <f t="shared" ref="C8:C37" si="0">IF(OR(SUM($C7,$A8&lt;&gt;"")=0,$A8=""),"",SUM($C7,$A8&lt;&gt;""))</f>
        <v>1</v>
      </c>
      <c r="D8" s="191" t="str">
        <f>IFERROR(VLOOKUP($A8,Sheet1!$A$1:$B$98,2,0),"")</f>
        <v>Chả tôm hình Surimi LC</v>
      </c>
      <c r="E8" s="192">
        <f>IFERROR(VLOOKUP($A8,'Tổng Đơn'!$A$5:$E$103,5,0),"")</f>
        <v>0.5</v>
      </c>
      <c r="F8" s="46">
        <f>IF($B8="","",B8)</f>
        <v>1</v>
      </c>
      <c r="G8" s="204">
        <f>IFERROR(VLOOKUP($A8,Sheet1!$A1:$D$98,4,0),"")</f>
        <v>38000</v>
      </c>
      <c r="H8" s="193">
        <f>IF($C7=MAX($C$8:$C$56),SUM($H7:$H$8),IFERROR($G8*$F8,""))</f>
        <v>38000</v>
      </c>
      <c r="I8" s="84">
        <f t="shared" ref="I8:I37" si="1">IF(TYPE($A8)&lt;&gt;1,"",IFERROR(F8*E8,""))</f>
        <v>0.5</v>
      </c>
      <c r="J8" s="45" t="str">
        <f>IF(SUMPRODUCT(($F$8:$F$18),($L$8:$L$18))&gt;=200000,"KM 15%",IF(SUMPRODUCT(($F$8:$F$18),($L$8:$L$18))&gt;=100000,"KM 10%",""))</f>
        <v>KM 15%</v>
      </c>
      <c r="L8" s="48">
        <f>IFERROR(VLOOKUP($A8,Sheet1!$A$5:$D$98,4,0),"")</f>
        <v>38000</v>
      </c>
    </row>
    <row r="9" spans="1:14" s="45" customFormat="1" ht="14.25" customHeight="1" x14ac:dyDescent="0.25">
      <c r="A9" s="195">
        <v>16</v>
      </c>
      <c r="B9" s="195">
        <v>1</v>
      </c>
      <c r="C9" s="46">
        <f t="shared" si="0"/>
        <v>2</v>
      </c>
      <c r="D9" s="191" t="str">
        <f>IFERROR(VLOOKUP($A9,Sheet1!$A$1:$B$98,2,0),"")</f>
        <v>Phô mai que (13 que)</v>
      </c>
      <c r="E9" s="46">
        <f>IFERROR(VLOOKUP($A9,'Tổng Đơn'!$A$5:$E$103,5,0),"")</f>
        <v>0.5</v>
      </c>
      <c r="F9" s="46">
        <f>IF($B9="","",B9)</f>
        <v>1</v>
      </c>
      <c r="G9" s="204">
        <f>IF(AND($C9="",$C8&lt;&gt;""),"Tổng Cộng",IFERROR(VLOOKUP($A9,Sheet1!$A$1:$D$98,4,0),""))</f>
        <v>40000</v>
      </c>
      <c r="H9" s="193">
        <f>IF($C8=MAX($C$8:$C$56),SUM($H$8:$H8),IFERROR($G9*$F9,""))</f>
        <v>40000</v>
      </c>
      <c r="I9" s="84">
        <f t="shared" si="1"/>
        <v>0.5</v>
      </c>
      <c r="L9" s="47">
        <f>IFERROR(VLOOKUP($A9,Sheet1!$A$5:$D$98,4,0),"")</f>
        <v>40000</v>
      </c>
    </row>
    <row r="10" spans="1:14" s="45" customFormat="1" ht="14.25" customHeight="1" x14ac:dyDescent="0.25">
      <c r="A10" s="195">
        <v>47</v>
      </c>
      <c r="B10" s="195">
        <v>1</v>
      </c>
      <c r="C10" s="46">
        <f t="shared" si="0"/>
        <v>3</v>
      </c>
      <c r="D10" s="191" t="str">
        <f>IFERROR(VLOOKUP($A10,Sheet1!$A$1:$B$98,2,0),"")</f>
        <v>XX nhân Phô Mai</v>
      </c>
      <c r="E10" s="46">
        <f>IFERROR(VLOOKUP($A10,'Tổng Đơn'!$A$5:$E$103,5,0),"")</f>
        <v>0.5</v>
      </c>
      <c r="F10" s="46">
        <f t="shared" ref="F10:F37" si="2">IF($B10="","",B10)</f>
        <v>1</v>
      </c>
      <c r="G10" s="204">
        <f>IF(AND($C10="",$C9&lt;&gt;""),"Tổng Cộng",IFERROR(VLOOKUP($A10,Sheet1!$A$1:$D$98,4,0),""))</f>
        <v>40000</v>
      </c>
      <c r="H10" s="193">
        <f>IF($C9=MAX($C$8:$C$56),SUM($H$8:$H9),IFERROR($G10*$F10,""))</f>
        <v>40000</v>
      </c>
      <c r="I10" s="84">
        <f t="shared" si="1"/>
        <v>0.5</v>
      </c>
      <c r="L10" s="47">
        <f>IFERROR(VLOOKUP($A10,Sheet1!$A$5:$D$98,4,0),"")</f>
        <v>40000</v>
      </c>
    </row>
    <row r="11" spans="1:14" s="45" customFormat="1" ht="14.25" customHeight="1" x14ac:dyDescent="0.25">
      <c r="A11" s="195">
        <v>70</v>
      </c>
      <c r="B11" s="195">
        <v>5</v>
      </c>
      <c r="C11" s="46">
        <f t="shared" si="0"/>
        <v>4</v>
      </c>
      <c r="D11" s="191" t="str">
        <f>IFERROR(VLOOKUP($A11,Sheet1!$A$1:$B$98,2,0),"")</f>
        <v>XX Đỏ KK</v>
      </c>
      <c r="E11" s="46">
        <f>IFERROR(VLOOKUP($A11,'Tổng Đơn'!$A$5:$E$103,5,0),"")</f>
        <v>0.5</v>
      </c>
      <c r="F11" s="46">
        <f t="shared" si="2"/>
        <v>5</v>
      </c>
      <c r="G11" s="204">
        <f>IF(AND($C11="",$C10&lt;&gt;""),"Tổng Cộng",IFERROR(VLOOKUP($A11,Sheet1!$A$1:$D$98,4,0),""))</f>
        <v>26000</v>
      </c>
      <c r="H11" s="193">
        <f>IF($C10=MAX($C$8:$C$56),SUM($H$8:$H10),IFERROR($G11*$F11,""))</f>
        <v>130000</v>
      </c>
      <c r="I11" s="84">
        <f t="shared" si="1"/>
        <v>2.5</v>
      </c>
      <c r="L11" s="47">
        <f>IFERROR(VLOOKUP($A11,Sheet1!$A$5:$D$98,4,0),"")</f>
        <v>26000</v>
      </c>
    </row>
    <row r="12" spans="1:14" s="45" customFormat="1" ht="14.25" customHeight="1" x14ac:dyDescent="0.25">
      <c r="A12" s="195">
        <v>71</v>
      </c>
      <c r="B12" s="195">
        <v>5</v>
      </c>
      <c r="C12" s="46">
        <f t="shared" si="0"/>
        <v>5</v>
      </c>
      <c r="D12" s="191" t="str">
        <f>IFERROR(VLOOKUP($A12,Sheet1!$A$1:$B$98,2,0),"")</f>
        <v>XX Đức KK</v>
      </c>
      <c r="E12" s="46">
        <f>IFERROR(VLOOKUP($A12,'Tổng Đơn'!$A$5:$E$103,5,0),"")</f>
        <v>0.5</v>
      </c>
      <c r="F12" s="46">
        <f t="shared" si="2"/>
        <v>5</v>
      </c>
      <c r="G12" s="204">
        <f>IF(AND($C12="",$C11&lt;&gt;""),"Tổng Cộng",IFERROR(VLOOKUP($A12,Sheet1!$A$1:$D$98,4,0),""))</f>
        <v>35000</v>
      </c>
      <c r="H12" s="193">
        <f>IF($C11=MAX($C$8:$C$56),SUM($H$8:$H11),IFERROR($G12*$F12,""))</f>
        <v>175000</v>
      </c>
      <c r="I12" s="84">
        <f t="shared" si="1"/>
        <v>2.5</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Tổng Cộng</v>
      </c>
      <c r="H13" s="193">
        <f>IF($C12=MAX($C$8:$C$56),SUM($H$8:$H12),IFERROR($G13*$F13,""))</f>
        <v>423000</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305</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10</v>
      </c>
      <c r="L7" s="188" t="s">
        <v>18</v>
      </c>
    </row>
    <row r="8" spans="1:14" s="45" customFormat="1" ht="14.25" customHeight="1" x14ac:dyDescent="0.25">
      <c r="A8" s="195">
        <v>6</v>
      </c>
      <c r="B8" s="195">
        <v>10</v>
      </c>
      <c r="C8" s="46">
        <f t="shared" ref="C8:C37" si="0">IF(OR(SUM($C7,$A8&lt;&gt;"")=0,$A8=""),"",SUM($C7,$A8&lt;&gt;""))</f>
        <v>1</v>
      </c>
      <c r="D8" s="191" t="str">
        <f>IFERROR(VLOOKUP($A8,Sheet1!$A$1:$B$98,2,0),"")</f>
        <v>Mực tẩm bột LC</v>
      </c>
      <c r="E8" s="192">
        <f>IFERROR(VLOOKUP($A8,'Tổng Đơn'!$A$5:$E$103,5,0),"")</f>
        <v>0.5</v>
      </c>
      <c r="F8" s="46">
        <f>IF($B8="","",B8)</f>
        <v>10</v>
      </c>
      <c r="G8" s="204">
        <f>IFERROR(VLOOKUP($A8,Sheet1!$A1:$D$98,4,0),"")</f>
        <v>42000</v>
      </c>
      <c r="H8" s="193">
        <f>IF($C7=MAX($C$8:$C$56),SUM($H7:$H$8),IFERROR($G8*$F8,""))</f>
        <v>420000</v>
      </c>
      <c r="I8" s="84">
        <f t="shared" ref="I8:I37" si="1">IF(TYPE($A8)&lt;&gt;1,"",IFERROR(F8*E8,""))</f>
        <v>5</v>
      </c>
      <c r="J8" s="45" t="str">
        <f>IF(SUMPRODUCT(($F$8:$F$18),($L$8:$L$18))&gt;=200000,"KM 15%",IF(SUMPRODUCT(($F$8:$F$18),($L$8:$L$18))&gt;=100000,"KM 10%",""))</f>
        <v>KM 15%</v>
      </c>
      <c r="L8" s="48">
        <f>IFERROR(VLOOKUP($A8,Sheet1!$A$5:$D$98,4,0),"")</f>
        <v>42000</v>
      </c>
    </row>
    <row r="9" spans="1:14" s="45" customFormat="1" ht="14.25" customHeight="1" x14ac:dyDescent="0.25">
      <c r="A9" s="195">
        <v>47</v>
      </c>
      <c r="B9" s="195">
        <v>10</v>
      </c>
      <c r="C9" s="46">
        <f t="shared" si="0"/>
        <v>2</v>
      </c>
      <c r="D9" s="191" t="str">
        <f>IFERROR(VLOOKUP($A9,Sheet1!$A$1:$B$98,2,0),"")</f>
        <v>XX nhân Phô Mai</v>
      </c>
      <c r="E9" s="46">
        <f>IFERROR(VLOOKUP($A9,'Tổng Đơn'!$A$5:$E$103,5,0),"")</f>
        <v>0.5</v>
      </c>
      <c r="F9" s="46">
        <f>IF($B9="","",B9)</f>
        <v>10</v>
      </c>
      <c r="G9" s="204">
        <f>IF(AND($C9="",$C8&lt;&gt;""),"Tổng Cộng",IFERROR(VLOOKUP($A9,Sheet1!$A$1:$D$98,4,0),""))</f>
        <v>40000</v>
      </c>
      <c r="H9" s="193">
        <f>IF($C8=MAX($C$8:$C$56),SUM($H$8:$H8),IFERROR($G9*$F9,""))</f>
        <v>400000</v>
      </c>
      <c r="I9" s="84">
        <f t="shared" si="1"/>
        <v>5</v>
      </c>
      <c r="L9" s="47">
        <f>IFERROR(VLOOKUP($A9,Sheet1!$A$5:$D$98,4,0),"")</f>
        <v>40000</v>
      </c>
    </row>
    <row r="10" spans="1:14" s="45" customFormat="1" ht="14.25" customHeight="1" x14ac:dyDescent="0.25">
      <c r="A10" s="195" t="s">
        <v>189</v>
      </c>
      <c r="B10" s="195"/>
      <c r="C10" s="46" t="str">
        <f t="shared" si="0"/>
        <v/>
      </c>
      <c r="D10" s="191" t="str">
        <f>IFERROR(VLOOKUP($A10,Sheet1!$A$1:$B$98,2,0),"")</f>
        <v/>
      </c>
      <c r="E10" s="46" t="str">
        <f>IFERROR(VLOOKUP($A10,'Tổng Đơn'!$A$5:$E$103,5,0),"")</f>
        <v/>
      </c>
      <c r="F10" s="46" t="str">
        <f t="shared" ref="F10:F37" si="2">IF($B10="","",B10)</f>
        <v/>
      </c>
      <c r="G10" s="204" t="str">
        <f>IF(AND($C10="",$C9&lt;&gt;""),"Tổng Cộng",IFERROR(VLOOKUP($A10,Sheet1!$A$1:$D$98,4,0),""))</f>
        <v>Tổng Cộng</v>
      </c>
      <c r="H10" s="193">
        <f>IF($C9=MAX($C$8:$C$56),SUM($H$8:$H9),IFERROR($G10*$F10,""))</f>
        <v>820000</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Đơn'!$A$5:$E$103,5,0),"")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Đơn'!$A$5:$E$103,5,0),"")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304</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0.45</v>
      </c>
      <c r="L7" s="188" t="s">
        <v>18</v>
      </c>
    </row>
    <row r="8" spans="1:14" s="45" customFormat="1" ht="14.25" customHeight="1" x14ac:dyDescent="0.25">
      <c r="A8" s="195">
        <v>30</v>
      </c>
      <c r="B8" s="195">
        <v>1</v>
      </c>
      <c r="C8" s="46">
        <f t="shared" ref="C8:C37" si="0">IF(OR(SUM($C7,$A8&lt;&gt;"")=0,$A8=""),"",SUM($C7,$A8&lt;&gt;""))</f>
        <v>1</v>
      </c>
      <c r="D8" s="191" t="str">
        <f>IFERROR(VLOOKUP($A8,Sheet1!$A$1:$B$98,2,0),"")</f>
        <v>Cá Viên TVP nhỏ</v>
      </c>
      <c r="E8" s="192">
        <f>IFERROR(VLOOKUP($A8,'Tổng Đơn'!$A$5:$E$103,5,0),"")</f>
        <v>0.2</v>
      </c>
      <c r="F8" s="46">
        <f>IF($B8="","",B8)</f>
        <v>1</v>
      </c>
      <c r="G8" s="204">
        <f>IFERROR(VLOOKUP($A8,Sheet1!$A1:$D$98,4,0),"")</f>
        <v>14000</v>
      </c>
      <c r="H8" s="193">
        <f>IF($C7=MAX($C$8:$C$56),SUM($H7:$H$8),IFERROR($G8*$F8,""))</f>
        <v>14000</v>
      </c>
      <c r="I8" s="84">
        <f t="shared" ref="I8:I37" si="1">IF(TYPE($A8)&lt;&gt;1,"",IFERROR(F8*E8,""))</f>
        <v>0.2</v>
      </c>
      <c r="J8" s="45" t="str">
        <f>IF(SUMPRODUCT(($F$8:$F$18),($L$8:$L$18))&gt;=200000,"KM 15%",IF(SUMPRODUCT(($F$8:$F$18),($L$8:$L$18))&gt;=100000,"KM 10%",""))</f>
        <v/>
      </c>
      <c r="L8" s="48">
        <f>IFERROR(VLOOKUP($A8,Sheet1!$A$5:$D$98,4,0),"")</f>
        <v>14000</v>
      </c>
    </row>
    <row r="9" spans="1:14" s="45" customFormat="1" ht="14.25" customHeight="1" x14ac:dyDescent="0.25">
      <c r="A9" s="195">
        <v>49</v>
      </c>
      <c r="B9" s="195">
        <v>0.5</v>
      </c>
      <c r="C9" s="46">
        <f t="shared" si="0"/>
        <v>2</v>
      </c>
      <c r="D9" s="191" t="str">
        <f>IFERROR(VLOOKUP($A9,Sheet1!$A$1:$B$98,2,0),"")</f>
        <v>0-Bò cuộn Excel Canada</v>
      </c>
      <c r="E9" s="46">
        <f>IFERROR(VLOOKUP($A9,'Tổng Đơn'!$A$5:$E$103,5,0),"")</f>
        <v>0.5</v>
      </c>
      <c r="F9" s="46">
        <f>IF($B9="","",B9)</f>
        <v>0.5</v>
      </c>
      <c r="G9" s="204">
        <f>IF(AND($C9="",$C8&lt;&gt;""),"Tổng Cộng",IFERROR(VLOOKUP($A9,Sheet1!$A$1:$D$98,4,0),""))</f>
        <v>105000</v>
      </c>
      <c r="H9" s="193">
        <f>IF($C8=MAX($C$8:$C$56),SUM($H$8:$H8),IFERROR($G9*$F9,""))</f>
        <v>52500</v>
      </c>
      <c r="I9" s="84">
        <f t="shared" si="1"/>
        <v>0.25</v>
      </c>
      <c r="L9" s="47">
        <f>IFERROR(VLOOKUP($A9,Sheet1!$A$5:$D$98,4,0),"")</f>
        <v>105000</v>
      </c>
    </row>
    <row r="10" spans="1:14" s="45" customFormat="1" ht="14.25" customHeight="1" x14ac:dyDescent="0.25">
      <c r="A10" s="195" t="s">
        <v>189</v>
      </c>
      <c r="B10" s="195"/>
      <c r="C10" s="46" t="str">
        <f t="shared" si="0"/>
        <v/>
      </c>
      <c r="D10" s="191" t="str">
        <f>IFERROR(VLOOKUP($A10,Sheet1!$A$1:$B$98,2,0),"")</f>
        <v/>
      </c>
      <c r="E10" s="46" t="str">
        <f>IFERROR(VLOOKUP($A10,'Tổng Đơn'!$A$5:$E$103,5,0),"")</f>
        <v/>
      </c>
      <c r="F10" s="46" t="str">
        <f t="shared" ref="F10:F37" si="2">IF($B10="","",B10)</f>
        <v/>
      </c>
      <c r="G10" s="204" t="str">
        <f>IF(AND($C10="",$C9&lt;&gt;""),"Tổng Cộng",IFERROR(VLOOKUP($A10,Sheet1!$A$1:$D$98,4,0),""))</f>
        <v>Tổng Cộng</v>
      </c>
      <c r="H10" s="193">
        <f>IF($C9=MAX($C$8:$C$56),SUM($H$8:$H9),IFERROR($G10*$F10,""))</f>
        <v>66500</v>
      </c>
      <c r="I10" s="84" t="str">
        <f t="shared" si="1"/>
        <v/>
      </c>
      <c r="L10" s="47" t="str">
        <f>IFERROR(VLOOKUP($A10,Sheet1!$A$5:$D$98,4,0),"")</f>
        <v/>
      </c>
    </row>
    <row r="11" spans="1:14" s="45" customFormat="1" ht="14.25" customHeight="1" x14ac:dyDescent="0.25">
      <c r="A11" s="195" t="s">
        <v>189</v>
      </c>
      <c r="B11" s="195"/>
      <c r="C11" s="46" t="str">
        <f t="shared" si="0"/>
        <v/>
      </c>
      <c r="D11" s="191" t="str">
        <f>IFERROR(VLOOKUP($A11,Sheet1!$A$1:$B$98,2,0),"")</f>
        <v/>
      </c>
      <c r="E11" s="46" t="str">
        <f>IFERROR(VLOOKUP($A11,'Tổng Đơn'!$A$5:$E$103,5,0),"")</f>
        <v/>
      </c>
      <c r="F11" s="46" t="str">
        <f t="shared" si="2"/>
        <v/>
      </c>
      <c r="G11" s="204" t="str">
        <f>IF(AND($C11="",$C10&lt;&gt;""),"Tổng Cộng",IFERROR(VLOOKUP($A11,Sheet1!$A$1:$D$98,4,0),""))</f>
        <v/>
      </c>
      <c r="H11" s="193" t="str">
        <f>IF($C10=MAX($C$8:$C$56),SUM($H$8:$H10),IFERROR($G11*$F11,""))</f>
        <v/>
      </c>
      <c r="I11" s="84" t="str">
        <f t="shared" si="1"/>
        <v/>
      </c>
      <c r="L11" s="47" t="str">
        <f>IFERROR(VLOOKUP($A11,Sheet1!$A$5:$D$98,4,0),"")</f>
        <v/>
      </c>
    </row>
    <row r="12" spans="1:14" s="45" customFormat="1" ht="14.25" customHeight="1" x14ac:dyDescent="0.25">
      <c r="A12" s="195" t="s">
        <v>189</v>
      </c>
      <c r="B12" s="195"/>
      <c r="C12" s="46" t="str">
        <f t="shared" si="0"/>
        <v/>
      </c>
      <c r="D12" s="191" t="str">
        <f>IFERROR(VLOOKUP($A12,Sheet1!$A$1:$B$98,2,0),"")</f>
        <v/>
      </c>
      <c r="E12" s="46" t="str">
        <f>IFERROR(VLOOKUP($A12,'Tổng Đơn'!$A$5:$E$103,5,0),"")</f>
        <v/>
      </c>
      <c r="F12" s="46" t="str">
        <f t="shared" si="2"/>
        <v/>
      </c>
      <c r="G12" s="204" t="str">
        <f>IF(AND($C12="",$C11&lt;&gt;""),"Tổng Cộng",IFERROR(VLOOKUP($A12,Sheet1!$A$1:$D$98,4,0),""))</f>
        <v/>
      </c>
      <c r="H12" s="193" t="str">
        <f>IF($C11=MAX($C$8:$C$56),SUM($H$8:$H11),IFERROR($G12*$F12,""))</f>
        <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303</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4</v>
      </c>
      <c r="L7" s="188" t="s">
        <v>18</v>
      </c>
    </row>
    <row r="8" spans="1:14" s="45" customFormat="1" ht="14.25" customHeight="1" x14ac:dyDescent="0.25">
      <c r="A8" s="195">
        <v>18</v>
      </c>
      <c r="B8" s="195">
        <v>2</v>
      </c>
      <c r="C8" s="46">
        <f t="shared" ref="C8:C37" si="0">IF(OR(SUM($C7,$A8&lt;&gt;"")=0,$A8=""),"",SUM($C7,$A8&lt;&gt;""))</f>
        <v>1</v>
      </c>
      <c r="D8" s="191" t="str">
        <f>IFERROR(VLOOKUP($A8,Sheet1!$A$1:$B$98,2,0),"")</f>
        <v>Đậu hủ phô mai</v>
      </c>
      <c r="E8" s="192">
        <f>IFERROR(VLOOKUP($A8,'Tổng Đơn'!$A$5:$E$103,5,0),"")</f>
        <v>0.5</v>
      </c>
      <c r="F8" s="46">
        <f>IF($B8="","",B8)</f>
        <v>2</v>
      </c>
      <c r="G8" s="204">
        <f>IFERROR(VLOOKUP($A8,Sheet1!$A1:$D$98,4,0),"")</f>
        <v>55000</v>
      </c>
      <c r="H8" s="193">
        <f>IF($C7=MAX($C$8:$C$56),SUM($H7:$H$8),IFERROR($G8*$F8,""))</f>
        <v>110000</v>
      </c>
      <c r="I8" s="84">
        <f t="shared" ref="I8:I37" si="1">IF(TYPE($A8)&lt;&gt;1,"",IFERROR(F8*E8,""))</f>
        <v>1</v>
      </c>
      <c r="J8" s="45" t="str">
        <f>IF(SUMPRODUCT(($F$8:$F$18),($L$8:$L$18))&gt;=200000,"KM 15%",IF(SUMPRODUCT(($F$8:$F$18),($L$8:$L$18))&gt;=100000,"KM 10%",""))</f>
        <v>KM 15%</v>
      </c>
      <c r="L8" s="48">
        <f>IFERROR(VLOOKUP($A8,Sheet1!$A$5:$D$98,4,0),"")</f>
        <v>55000</v>
      </c>
    </row>
    <row r="9" spans="1:14" s="45" customFormat="1" ht="14.25" customHeight="1" x14ac:dyDescent="0.25">
      <c r="A9" s="195">
        <v>51</v>
      </c>
      <c r="B9" s="195">
        <v>2</v>
      </c>
      <c r="C9" s="46">
        <f t="shared" si="0"/>
        <v>2</v>
      </c>
      <c r="D9" s="191" t="str">
        <f>IFERROR(VLOOKUP($A9,Sheet1!$A$1:$B$98,2,0),"")</f>
        <v>Ốc nhồi Hải sản</v>
      </c>
      <c r="E9" s="46">
        <f>IFERROR(VLOOKUP($A9,'Tổng Đơn'!$A$5:$E$103,5,0),"")</f>
        <v>0.5</v>
      </c>
      <c r="F9" s="46">
        <f>IF($B9="","",B9)</f>
        <v>2</v>
      </c>
      <c r="G9" s="204">
        <f>IF(AND($C9="",$C8&lt;&gt;""),"Tổng Cộng",IFERROR(VLOOKUP($A9,Sheet1!$A$1:$D$98,4,0),""))</f>
        <v>38000</v>
      </c>
      <c r="H9" s="193">
        <f>IF($C8=MAX($C$8:$C$56),SUM($H$8:$H8),IFERROR($G9*$F9,""))</f>
        <v>76000</v>
      </c>
      <c r="I9" s="84">
        <f t="shared" si="1"/>
        <v>1</v>
      </c>
      <c r="L9" s="47">
        <f>IFERROR(VLOOKUP($A9,Sheet1!$A$5:$D$98,4,0),"")</f>
        <v>38000</v>
      </c>
    </row>
    <row r="10" spans="1:14" s="45" customFormat="1" ht="14.25" customHeight="1" x14ac:dyDescent="0.25">
      <c r="A10" s="195">
        <v>66</v>
      </c>
      <c r="B10" s="195">
        <v>2</v>
      </c>
      <c r="C10" s="46">
        <f t="shared" si="0"/>
        <v>3</v>
      </c>
      <c r="D10" s="191" t="str">
        <f>IFERROR(VLOOKUP($A10,Sheet1!$A$1:$B$98,2,0),"")</f>
        <v>Cá viên KK</v>
      </c>
      <c r="E10" s="46">
        <f>IFERROR(VLOOKUP($A10,'Tổng Đơn'!$A$5:$E$103,5,0),"")</f>
        <v>0.5</v>
      </c>
      <c r="F10" s="46">
        <f t="shared" ref="F10:F37" si="2">IF($B10="","",B10)</f>
        <v>2</v>
      </c>
      <c r="G10" s="204">
        <f>IF(AND($C10="",$C9&lt;&gt;""),"Tổng Cộng",IFERROR(VLOOKUP($A10,Sheet1!$A$1:$D$98,4,0),""))</f>
        <v>23000</v>
      </c>
      <c r="H10" s="193">
        <f>IF($C9=MAX($C$8:$C$56),SUM($H$8:$H9),IFERROR($G10*$F10,""))</f>
        <v>46000</v>
      </c>
      <c r="I10" s="84">
        <f t="shared" si="1"/>
        <v>1</v>
      </c>
      <c r="L10" s="47">
        <f>IFERROR(VLOOKUP($A10,Sheet1!$A$5:$D$98,4,0),"")</f>
        <v>23000</v>
      </c>
    </row>
    <row r="11" spans="1:14" s="45" customFormat="1" ht="14.25" customHeight="1" x14ac:dyDescent="0.25">
      <c r="A11" s="195">
        <v>71</v>
      </c>
      <c r="B11" s="195">
        <v>2</v>
      </c>
      <c r="C11" s="46">
        <f t="shared" si="0"/>
        <v>4</v>
      </c>
      <c r="D11" s="191" t="str">
        <f>IFERROR(VLOOKUP($A11,Sheet1!$A$1:$B$98,2,0),"")</f>
        <v>XX Đức KK</v>
      </c>
      <c r="E11" s="46">
        <f>IFERROR(VLOOKUP($A11,'Tổng Đơn'!$A$5:$E$103,5,0),"")</f>
        <v>0.5</v>
      </c>
      <c r="F11" s="46">
        <f t="shared" si="2"/>
        <v>2</v>
      </c>
      <c r="G11" s="204">
        <f>IF(AND($C11="",$C10&lt;&gt;""),"Tổng Cộng",IFERROR(VLOOKUP($A11,Sheet1!$A$1:$D$98,4,0),""))</f>
        <v>35000</v>
      </c>
      <c r="H11" s="193">
        <f>IF($C10=MAX($C$8:$C$56),SUM($H$8:$H10),IFERROR($G11*$F11,""))</f>
        <v>70000</v>
      </c>
      <c r="I11" s="84">
        <f t="shared" si="1"/>
        <v>1</v>
      </c>
      <c r="L11" s="47">
        <f>IFERROR(VLOOKUP($A11,Sheet1!$A$5:$D$98,4,0),"")</f>
        <v>35000</v>
      </c>
    </row>
    <row r="12" spans="1:14" s="45" customFormat="1" ht="14.25" customHeight="1" x14ac:dyDescent="0.25">
      <c r="A12" s="195" t="s">
        <v>189</v>
      </c>
      <c r="B12" s="195"/>
      <c r="C12" s="46" t="str">
        <f t="shared" si="0"/>
        <v/>
      </c>
      <c r="D12" s="191" t="str">
        <f>IFERROR(VLOOKUP($A12,Sheet1!$A$1:$B$98,2,0),"")</f>
        <v/>
      </c>
      <c r="E12" s="46" t="str">
        <f>IFERROR(VLOOKUP($A12,'Tổng Đơn'!$A$5:$E$103,5,0),"")</f>
        <v/>
      </c>
      <c r="F12" s="46" t="str">
        <f t="shared" si="2"/>
        <v/>
      </c>
      <c r="G12" s="204" t="str">
        <f>IF(AND($C12="",$C11&lt;&gt;""),"Tổng Cộng",IFERROR(VLOOKUP($A12,Sheet1!$A$1:$D$98,4,0),""))</f>
        <v>Tổng Cộng</v>
      </c>
      <c r="H12" s="193">
        <f>IF($C11=MAX($C$8:$C$56),SUM($H$8:$H11),IFERROR($G12*$F12,""))</f>
        <v>302000</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302</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9</v>
      </c>
      <c r="L7" s="188" t="s">
        <v>18</v>
      </c>
    </row>
    <row r="8" spans="1:14" s="45" customFormat="1" ht="14.25" customHeight="1" x14ac:dyDescent="0.25">
      <c r="A8" s="195">
        <v>8</v>
      </c>
      <c r="B8" s="195">
        <v>1</v>
      </c>
      <c r="C8" s="46">
        <f t="shared" ref="C8:C37" si="0">IF(OR(SUM($C7,$A8&lt;&gt;"")=0,$A8=""),"",SUM($C7,$A8&lt;&gt;""))</f>
        <v>1</v>
      </c>
      <c r="D8" s="191" t="str">
        <f>IFERROR(VLOOKUP($A8,Sheet1!$A$1:$B$98,2,0),"")</f>
        <v>Hoành thánh chiên 500gr (60 viên)</v>
      </c>
      <c r="E8" s="192">
        <f>IFERROR(VLOOKUP($A8,'Tổng Đơn'!$A$5:$E$103,5,0),"")</f>
        <v>0.5</v>
      </c>
      <c r="F8" s="46">
        <f>IF($B8="","",B8)</f>
        <v>1</v>
      </c>
      <c r="G8" s="204">
        <f>IFERROR(VLOOKUP($A8,Sheet1!$A1:$D$98,4,0),"")</f>
        <v>35000</v>
      </c>
      <c r="H8" s="193">
        <f>IF($C7=MAX($C$8:$C$56),SUM($H7:$H$8),IFERROR($G8*$F8,""))</f>
        <v>35000</v>
      </c>
      <c r="I8" s="84">
        <f t="shared" ref="I8:I37" si="1">IF(TYPE($A8)&lt;&gt;1,"",IFERROR(F8*E8,""))</f>
        <v>0.5</v>
      </c>
      <c r="J8" s="45" t="str">
        <f>IF(SUMPRODUCT(($F$8:$F$18),($L$8:$L$18))&gt;=200000,"KM 15%",IF(SUMPRODUCT(($F$8:$F$18),($L$8:$L$18))&gt;=100000,"KM 10%",""))</f>
        <v>KM 15%</v>
      </c>
      <c r="L8" s="48">
        <f>IFERROR(VLOOKUP($A8,Sheet1!$A$5:$D$98,4,0),"")</f>
        <v>35000</v>
      </c>
    </row>
    <row r="9" spans="1:14" s="45" customFormat="1" ht="14.25" customHeight="1" x14ac:dyDescent="0.25">
      <c r="A9" s="195">
        <v>9</v>
      </c>
      <c r="B9" s="195">
        <v>3</v>
      </c>
      <c r="C9" s="46">
        <f t="shared" si="0"/>
        <v>2</v>
      </c>
      <c r="D9" s="191" t="str">
        <f>IFERROR(VLOOKUP($A9,Sheet1!$A$1:$B$98,2,0),"")</f>
        <v>Hải sản sốt cam LC</v>
      </c>
      <c r="E9" s="46">
        <f>IFERROR(VLOOKUP($A9,'Tổng Đơn'!$A$5:$E$103,5,0),"")</f>
        <v>0.5</v>
      </c>
      <c r="F9" s="46">
        <f>IF($B9="","",B9)</f>
        <v>3</v>
      </c>
      <c r="G9" s="204">
        <f>IF(AND($C9="",$C8&lt;&gt;""),"Tổng Cộng",IFERROR(VLOOKUP($A9,Sheet1!$A$1:$D$98,4,0),""))</f>
        <v>45000</v>
      </c>
      <c r="H9" s="193">
        <f>IF($C8=MAX($C$8:$C$56),SUM($H$8:$H8),IFERROR($G9*$F9,""))</f>
        <v>135000</v>
      </c>
      <c r="I9" s="84">
        <f t="shared" si="1"/>
        <v>1.5</v>
      </c>
      <c r="L9" s="47">
        <f>IFERROR(VLOOKUP($A9,Sheet1!$A$5:$D$98,4,0),"")</f>
        <v>45000</v>
      </c>
    </row>
    <row r="10" spans="1:14" s="45" customFormat="1" ht="14.25" customHeight="1" x14ac:dyDescent="0.25">
      <c r="A10" s="195">
        <v>18</v>
      </c>
      <c r="B10" s="195">
        <v>5</v>
      </c>
      <c r="C10" s="46">
        <f t="shared" si="0"/>
        <v>3</v>
      </c>
      <c r="D10" s="191" t="str">
        <f>IFERROR(VLOOKUP($A10,Sheet1!$A$1:$B$98,2,0),"")</f>
        <v>Đậu hủ phô mai</v>
      </c>
      <c r="E10" s="46">
        <f>IFERROR(VLOOKUP($A10,'Tổng Đơn'!$A$5:$E$103,5,0),"")</f>
        <v>0.5</v>
      </c>
      <c r="F10" s="46">
        <f t="shared" ref="F10:F37" si="2">IF($B10="","",B10)</f>
        <v>5</v>
      </c>
      <c r="G10" s="204">
        <f>IF(AND($C10="",$C9&lt;&gt;""),"Tổng Cộng",IFERROR(VLOOKUP($A10,Sheet1!$A$1:$D$98,4,0),""))</f>
        <v>55000</v>
      </c>
      <c r="H10" s="193">
        <f>IF($C9=MAX($C$8:$C$56),SUM($H$8:$H9),IFERROR($G10*$F10,""))</f>
        <v>275000</v>
      </c>
      <c r="I10" s="84">
        <f t="shared" si="1"/>
        <v>2.5</v>
      </c>
      <c r="L10" s="47">
        <f>IFERROR(VLOOKUP($A10,Sheet1!$A$5:$D$98,4,0),"")</f>
        <v>55000</v>
      </c>
    </row>
    <row r="11" spans="1:14" s="45" customFormat="1" ht="14.25" customHeight="1" x14ac:dyDescent="0.25">
      <c r="A11" s="195">
        <v>66</v>
      </c>
      <c r="B11" s="195">
        <v>5</v>
      </c>
      <c r="C11" s="46">
        <f t="shared" si="0"/>
        <v>4</v>
      </c>
      <c r="D11" s="191" t="str">
        <f>IFERROR(VLOOKUP($A11,Sheet1!$A$1:$B$98,2,0),"")</f>
        <v>Cá viên KK</v>
      </c>
      <c r="E11" s="46">
        <f>IFERROR(VLOOKUP($A11,'Tổng Đơn'!$A$5:$E$103,5,0),"")</f>
        <v>0.5</v>
      </c>
      <c r="F11" s="46">
        <f t="shared" si="2"/>
        <v>5</v>
      </c>
      <c r="G11" s="204">
        <f>IF(AND($C11="",$C10&lt;&gt;""),"Tổng Cộng",IFERROR(VLOOKUP($A11,Sheet1!$A$1:$D$98,4,0),""))</f>
        <v>23000</v>
      </c>
      <c r="H11" s="193">
        <f>IF($C10=MAX($C$8:$C$56),SUM($H$8:$H10),IFERROR($G11*$F11,""))</f>
        <v>115000</v>
      </c>
      <c r="I11" s="84">
        <f t="shared" si="1"/>
        <v>2.5</v>
      </c>
      <c r="L11" s="47">
        <f>IFERROR(VLOOKUP($A11,Sheet1!$A$5:$D$98,4,0),"")</f>
        <v>23000</v>
      </c>
    </row>
    <row r="12" spans="1:14" s="45" customFormat="1" ht="14.25" customHeight="1" x14ac:dyDescent="0.25">
      <c r="A12" s="195">
        <v>71</v>
      </c>
      <c r="B12" s="195">
        <v>3</v>
      </c>
      <c r="C12" s="46">
        <f t="shared" si="0"/>
        <v>5</v>
      </c>
      <c r="D12" s="191" t="str">
        <f>IFERROR(VLOOKUP($A12,Sheet1!$A$1:$B$98,2,0),"")</f>
        <v>XX Đức KK</v>
      </c>
      <c r="E12" s="46">
        <f>IFERROR(VLOOKUP($A12,'Tổng Đơn'!$A$5:$E$103,5,0),"")</f>
        <v>0.5</v>
      </c>
      <c r="F12" s="46">
        <f t="shared" si="2"/>
        <v>3</v>
      </c>
      <c r="G12" s="204">
        <f>IF(AND($C12="",$C11&lt;&gt;""),"Tổng Cộng",IFERROR(VLOOKUP($A12,Sheet1!$A$1:$D$98,4,0),""))</f>
        <v>35000</v>
      </c>
      <c r="H12" s="193">
        <f>IF($C11=MAX($C$8:$C$56),SUM($H$8:$H11),IFERROR($G12*$F12,""))</f>
        <v>105000</v>
      </c>
      <c r="I12" s="84">
        <f t="shared" si="1"/>
        <v>1.5</v>
      </c>
      <c r="J12" s="162"/>
      <c r="L12" s="47"/>
      <c r="M12" s="171"/>
      <c r="N12" s="163"/>
    </row>
    <row r="13" spans="1:14" s="45" customFormat="1" ht="14.25" customHeight="1" x14ac:dyDescent="0.25">
      <c r="A13" s="195">
        <v>72</v>
      </c>
      <c r="B13" s="195">
        <v>1</v>
      </c>
      <c r="C13" s="46">
        <f t="shared" si="0"/>
        <v>6</v>
      </c>
      <c r="D13" s="191" t="str">
        <f>IFERROR(VLOOKUP($A13,Sheet1!$A$1:$B$98,2,0),"")</f>
        <v>Hồ lô KK</v>
      </c>
      <c r="E13" s="46">
        <f>IFERROR(VLOOKUP($A13,'Tổng Đơn'!$A$5:$E$103,5,0),"")</f>
        <v>0.5</v>
      </c>
      <c r="F13" s="46">
        <f t="shared" si="2"/>
        <v>1</v>
      </c>
      <c r="G13" s="204">
        <f>IF(AND($C13="",$C12&lt;&gt;""),"Tổng Cộng",IFERROR(VLOOKUP($A13,Sheet1!$A$1:$D$98,4,0),""))</f>
        <v>40000</v>
      </c>
      <c r="H13" s="193">
        <f>IF($C12=MAX($C$8:$C$56),SUM($H$8:$H12),IFERROR($G13*$F13,""))</f>
        <v>40000</v>
      </c>
      <c r="I13" s="84">
        <f t="shared" si="1"/>
        <v>0.5</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Tổng Cộng</v>
      </c>
      <c r="H14" s="193">
        <f>IF($C13=MAX($C$8:$C$56),SUM($H$8:$H13),IFERROR($G14*$F14,""))</f>
        <v>705000</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H12" sqref="H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282</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9.5</v>
      </c>
      <c r="L7" s="188" t="s">
        <v>18</v>
      </c>
    </row>
    <row r="8" spans="1:14" s="45" customFormat="1" ht="14.25" customHeight="1" x14ac:dyDescent="0.25">
      <c r="A8" s="195">
        <v>55</v>
      </c>
      <c r="B8" s="195">
        <v>2</v>
      </c>
      <c r="C8" s="46">
        <f t="shared" ref="C8:C37" si="0">IF(OR(SUM($C7,$A8&lt;&gt;"")=0,$A8=""),"",SUM($C7,$A8&lt;&gt;""))</f>
        <v>1</v>
      </c>
      <c r="D8" s="191" t="str">
        <f>IFERROR(VLOOKUP($A8,Sheet1!$A$1:$B$98,2,0),"")</f>
        <v>Khoai tây Simplot</v>
      </c>
      <c r="E8" s="192">
        <f>IFERROR(VLOOKUP($A8,'Tổng Đơn'!$A$5:$E$103,5,0),"")</f>
        <v>1</v>
      </c>
      <c r="F8" s="46">
        <f>IF($B8="","",B8)</f>
        <v>2</v>
      </c>
      <c r="G8" s="204">
        <f>IFERROR(VLOOKUP($A8,Sheet1!$A1:$D$98,4,0),"")</f>
        <v>45000</v>
      </c>
      <c r="H8" s="193">
        <f>IF($C7=MAX($C$8:$C$56),SUM($H7:$H$8),IFERROR($G8*$F8,""))</f>
        <v>90000</v>
      </c>
      <c r="I8" s="84">
        <f t="shared" ref="I8:I37" si="1">IF(TYPE($A8)&lt;&gt;1,"",IFERROR(F8*E8,""))</f>
        <v>2</v>
      </c>
      <c r="J8" s="45" t="str">
        <f>IF(SUMPRODUCT(($F$8:$F$18),($L$8:$L$18))&gt;=200000,"KM 15%",IF(SUMPRODUCT(($F$8:$F$18),($L$8:$L$18))&gt;=100000,"KM 10%",""))</f>
        <v>KM 15%</v>
      </c>
      <c r="L8" s="48">
        <f>IFERROR(VLOOKUP($A8,Sheet1!$A$5:$D$98,4,0),"")</f>
        <v>45000</v>
      </c>
    </row>
    <row r="9" spans="1:14" s="45" customFormat="1" ht="14.25" customHeight="1" x14ac:dyDescent="0.25">
      <c r="A9" s="195">
        <v>70</v>
      </c>
      <c r="B9" s="195">
        <v>5</v>
      </c>
      <c r="C9" s="46">
        <f t="shared" si="0"/>
        <v>2</v>
      </c>
      <c r="D9" s="191" t="str">
        <f>IFERROR(VLOOKUP($A9,Sheet1!$A$1:$B$98,2,0),"")</f>
        <v>XX Đỏ KK</v>
      </c>
      <c r="E9" s="46">
        <f>IFERROR(VLOOKUP($A9,'Tổng Đơn'!$A$5:$E$103,5,0),"")</f>
        <v>0.5</v>
      </c>
      <c r="F9" s="46">
        <f>IF($B9="","",B9)</f>
        <v>5</v>
      </c>
      <c r="G9" s="204">
        <f>IF(AND($C9="",$C8&lt;&gt;""),"Tổng Cộng",IFERROR(VLOOKUP($A9,Sheet1!$A$1:$D$98,4,0),""))</f>
        <v>26000</v>
      </c>
      <c r="H9" s="193">
        <f>IF($C8=MAX($C$8:$C$56),SUM($H$8:$H8),IFERROR($G9*$F9,""))</f>
        <v>130000</v>
      </c>
      <c r="I9" s="84">
        <f t="shared" si="1"/>
        <v>2.5</v>
      </c>
      <c r="L9" s="47">
        <f>IFERROR(VLOOKUP($A9,Sheet1!$A$5:$D$98,4,0),"")</f>
        <v>26000</v>
      </c>
    </row>
    <row r="10" spans="1:14" s="45" customFormat="1" ht="14.25" customHeight="1" x14ac:dyDescent="0.25">
      <c r="A10" s="195">
        <v>71</v>
      </c>
      <c r="B10" s="195">
        <v>10</v>
      </c>
      <c r="C10" s="46">
        <f t="shared" si="0"/>
        <v>3</v>
      </c>
      <c r="D10" s="191" t="str">
        <f>IFERROR(VLOOKUP($A10,Sheet1!$A$1:$B$98,2,0),"")</f>
        <v>XX Đức KK</v>
      </c>
      <c r="E10" s="46">
        <f>IFERROR(VLOOKUP($A10,'Tổng Đơn'!$A$5:$E$103,5,0),"")</f>
        <v>0.5</v>
      </c>
      <c r="F10" s="46">
        <f t="shared" ref="F10:F37" si="2">IF($B10="","",B10)</f>
        <v>10</v>
      </c>
      <c r="G10" s="204">
        <f>IF(AND($C10="",$C9&lt;&gt;""),"Tổng Cộng",IFERROR(VLOOKUP($A10,Sheet1!$A$1:$D$98,4,0),""))</f>
        <v>35000</v>
      </c>
      <c r="H10" s="193">
        <f>IF($C9=MAX($C$8:$C$56),SUM($H$8:$H9),IFERROR($G10*$F10,""))</f>
        <v>350000</v>
      </c>
      <c r="I10" s="84">
        <f t="shared" si="1"/>
        <v>5</v>
      </c>
      <c r="L10" s="47">
        <f>IFERROR(VLOOKUP($A10,Sheet1!$A$5:$D$98,4,0),"")</f>
        <v>35000</v>
      </c>
    </row>
    <row r="11" spans="1:14" s="45" customFormat="1" ht="14.25" customHeight="1" x14ac:dyDescent="0.25">
      <c r="A11" s="195">
        <v>71</v>
      </c>
      <c r="B11" s="195">
        <v>1</v>
      </c>
      <c r="C11" s="46">
        <f t="shared" si="0"/>
        <v>4</v>
      </c>
      <c r="D11" s="191" t="s">
        <v>300</v>
      </c>
      <c r="E11" s="46" t="s">
        <v>301</v>
      </c>
      <c r="F11" s="46" t="s">
        <v>301</v>
      </c>
      <c r="G11" s="204" t="s">
        <v>301</v>
      </c>
      <c r="H11" s="193">
        <v>-20000</v>
      </c>
      <c r="I11" s="84" t="str">
        <f t="shared" si="1"/>
        <v/>
      </c>
      <c r="L11" s="47">
        <f>IFERROR(VLOOKUP($A11,Sheet1!$A$5:$D$98,4,0),"")</f>
        <v>35000</v>
      </c>
    </row>
    <row r="12" spans="1:14" s="45" customFormat="1" ht="14.25" customHeight="1" x14ac:dyDescent="0.25">
      <c r="A12" s="195" t="s">
        <v>189</v>
      </c>
      <c r="B12" s="195"/>
      <c r="C12" s="46" t="str">
        <f t="shared" si="0"/>
        <v/>
      </c>
      <c r="D12" s="191" t="str">
        <f>IFERROR(VLOOKUP($A12,Sheet1!$A$1:$B$98,2,0),"")</f>
        <v/>
      </c>
      <c r="E12" s="46" t="str">
        <f>IFERROR(VLOOKUP($A12,'Tổng Đơn'!$A$5:$E$103,5,0),"")</f>
        <v/>
      </c>
      <c r="F12" s="46" t="str">
        <f t="shared" si="2"/>
        <v/>
      </c>
      <c r="G12" s="204" t="str">
        <f>IF(AND($C12="",$C11&lt;&gt;""),"Tổng Cộng",IFERROR(VLOOKUP($A12,Sheet1!$A$1:$D$98,4,0),""))</f>
        <v>Tổng Cộng</v>
      </c>
      <c r="H12" s="193">
        <f>IF($C11=MAX($C$8:$C$56),SUM($H$8:$H11),IFERROR($G12*$F12,""))</f>
        <v>550000</v>
      </c>
      <c r="I12" s="84" t="str">
        <f t="shared" si="1"/>
        <v/>
      </c>
      <c r="J12" s="162"/>
      <c r="L12" s="47"/>
      <c r="M12" s="171"/>
      <c r="N12" s="163"/>
    </row>
    <row r="13" spans="1:14" s="45" customFormat="1" ht="14.25" customHeight="1" x14ac:dyDescent="0.25">
      <c r="A13" s="195" t="s">
        <v>189</v>
      </c>
      <c r="B13" s="195"/>
      <c r="C13" s="46" t="str">
        <f t="shared" si="0"/>
        <v/>
      </c>
      <c r="D13" s="191" t="str">
        <f>IFERROR(VLOOKUP($A13,Sheet1!$A$1:$B$98,2,0),"")</f>
        <v/>
      </c>
      <c r="E13" s="46" t="str">
        <f>IFERROR(VLOOKUP($A13,'Tổng Đơn'!$A$5:$E$103,5,0),"")</f>
        <v/>
      </c>
      <c r="F13" s="46" t="str">
        <f t="shared" si="2"/>
        <v/>
      </c>
      <c r="G13" s="204" t="str">
        <f>IF(AND($C13="",$C12&lt;&gt;""),"Tổng Cộng",IFERROR(VLOOKUP($A13,Sheet1!$A$1:$D$98,4,0),""))</f>
        <v/>
      </c>
      <c r="H13" s="193" t="str">
        <f>IF($C12=MAX($C$8:$C$56),SUM($H$8:$H12),IFERROR($G13*$F13,""))</f>
        <v/>
      </c>
      <c r="I13" s="84" t="str">
        <f t="shared" si="1"/>
        <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
      </c>
      <c r="H14" s="193" t="str">
        <f>IF($C13=MAX($C$8:$C$56),SUM($H$8:$H13),IFERROR($G14*$F14,""))</f>
        <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C23" sqref="C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299</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3</v>
      </c>
      <c r="L7" s="188" t="s">
        <v>18</v>
      </c>
    </row>
    <row r="8" spans="1:14" s="45" customFormat="1" ht="14.25" customHeight="1" x14ac:dyDescent="0.25">
      <c r="A8" s="195">
        <v>9</v>
      </c>
      <c r="B8" s="195">
        <v>1</v>
      </c>
      <c r="C8" s="46">
        <f t="shared" ref="C8:C37" si="0">IF(OR(SUM($C7,$A8&lt;&gt;"")=0,$A8=""),"",SUM($C7,$A8&lt;&gt;""))</f>
        <v>1</v>
      </c>
      <c r="D8" s="191" t="str">
        <f>IFERROR(VLOOKUP($A8,Sheet1!$A$1:$B$98,2,0),"")</f>
        <v>Hải sản sốt cam LC</v>
      </c>
      <c r="E8" s="192">
        <f>IFERROR(VLOOKUP($A8,'Tổng Đơn'!$A$5:$E$103,5,0),"")</f>
        <v>0.5</v>
      </c>
      <c r="F8" s="46">
        <f>IF($B8="","",B8)</f>
        <v>1</v>
      </c>
      <c r="G8" s="204">
        <f>IFERROR(VLOOKUP($A8,Sheet1!$A1:$D$98,4,0),"")</f>
        <v>45000</v>
      </c>
      <c r="H8" s="193">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5">
        <v>18</v>
      </c>
      <c r="B9" s="195">
        <v>1</v>
      </c>
      <c r="C9" s="46">
        <f t="shared" si="0"/>
        <v>2</v>
      </c>
      <c r="D9" s="191" t="str">
        <f>IFERROR(VLOOKUP($A9,Sheet1!$A$1:$B$98,2,0),"")</f>
        <v>Đậu hủ phô mai</v>
      </c>
      <c r="E9" s="46">
        <f>IFERROR(VLOOKUP($A9,'Tổng Đơn'!$A$5:$E$103,5,0),"")</f>
        <v>0.5</v>
      </c>
      <c r="F9" s="46">
        <f>IF($B9="","",B9)</f>
        <v>1</v>
      </c>
      <c r="G9" s="204">
        <f>IF(AND($C9="",$C8&lt;&gt;""),"Tổng Cộng",IFERROR(VLOOKUP($A9,Sheet1!$A$1:$D$98,4,0),""))</f>
        <v>55000</v>
      </c>
      <c r="H9" s="193">
        <f>IF($C8=MAX($C$8:$C$56),SUM($H$8:$H8),IFERROR($G9*$F9,""))</f>
        <v>55000</v>
      </c>
      <c r="I9" s="84">
        <f t="shared" si="1"/>
        <v>0.5</v>
      </c>
      <c r="L9" s="47">
        <f>IFERROR(VLOOKUP($A9,Sheet1!$A$5:$D$98,4,0),"")</f>
        <v>55000</v>
      </c>
    </row>
    <row r="10" spans="1:14" s="45" customFormat="1" ht="14.25" customHeight="1" x14ac:dyDescent="0.25">
      <c r="A10" s="195">
        <v>41</v>
      </c>
      <c r="B10" s="195">
        <v>1</v>
      </c>
      <c r="C10" s="46">
        <f t="shared" si="0"/>
        <v>3</v>
      </c>
      <c r="D10" s="191" t="str">
        <f>IFERROR(VLOOKUP($A10,Sheet1!$A$1:$B$98,2,0),"")</f>
        <v>Jambon Đỏ</v>
      </c>
      <c r="E10" s="46">
        <f>IFERROR(VLOOKUP($A10,'Tổng Đơn'!$A$5:$E$103,5,0),"")</f>
        <v>0.5</v>
      </c>
      <c r="F10" s="46">
        <f t="shared" ref="F10:F37" si="2">IF($B10="","",B10)</f>
        <v>1</v>
      </c>
      <c r="G10" s="204">
        <f>IF(AND($C10="",$C9&lt;&gt;""),"Tổng Cộng",IFERROR(VLOOKUP($A10,Sheet1!$A$1:$D$98,4,0),""))</f>
        <v>66000</v>
      </c>
      <c r="H10" s="193">
        <f>IF($C9=MAX($C$8:$C$56),SUM($H$8:$H9),IFERROR($G10*$F10,""))</f>
        <v>66000</v>
      </c>
      <c r="I10" s="84">
        <f t="shared" si="1"/>
        <v>0.5</v>
      </c>
      <c r="L10" s="47">
        <f>IFERROR(VLOOKUP($A10,Sheet1!$A$5:$D$98,4,0),"")</f>
        <v>66000</v>
      </c>
    </row>
    <row r="11" spans="1:14" s="45" customFormat="1" ht="14.25" customHeight="1" x14ac:dyDescent="0.25">
      <c r="A11" s="195">
        <v>44</v>
      </c>
      <c r="B11" s="195">
        <v>1</v>
      </c>
      <c r="C11" s="46">
        <f t="shared" si="0"/>
        <v>4</v>
      </c>
      <c r="D11" s="191" t="str">
        <f>IFERROR(VLOOKUP($A11,Sheet1!$A$1:$B$98,2,0),"")</f>
        <v>Giò lụa Bò</v>
      </c>
      <c r="E11" s="46">
        <f>IFERROR(VLOOKUP($A11,'Tổng Đơn'!$A$5:$E$103,5,0),"")</f>
        <v>0.5</v>
      </c>
      <c r="F11" s="46">
        <f t="shared" si="2"/>
        <v>1</v>
      </c>
      <c r="G11" s="204">
        <f>IF(AND($C11="",$C10&lt;&gt;""),"Tổng Cộng",IFERROR(VLOOKUP($A11,Sheet1!$A$1:$D$98,4,0),""))</f>
        <v>65000</v>
      </c>
      <c r="H11" s="193">
        <f>IF($C10=MAX($C$8:$C$56),SUM($H$8:$H10),IFERROR($G11*$F11,""))</f>
        <v>65000</v>
      </c>
      <c r="I11" s="84">
        <f t="shared" si="1"/>
        <v>0.5</v>
      </c>
      <c r="L11" s="47">
        <f>IFERROR(VLOOKUP($A11,Sheet1!$A$5:$D$98,4,0),"")</f>
        <v>65000</v>
      </c>
    </row>
    <row r="12" spans="1:14" s="45" customFormat="1" ht="14.25" customHeight="1" x14ac:dyDescent="0.25">
      <c r="A12" s="195">
        <v>52</v>
      </c>
      <c r="B12" s="195">
        <v>1</v>
      </c>
      <c r="C12" s="46">
        <f t="shared" si="0"/>
        <v>5</v>
      </c>
      <c r="D12" s="191" t="str">
        <f>IFERROR(VLOOKUP($A12,Sheet1!$A$1:$B$98,2,0),"")</f>
        <v>Chả lụa bì Ớt xiêm xanh</v>
      </c>
      <c r="E12" s="46">
        <f>IFERROR(VLOOKUP($A12,'Tổng Đơn'!$A$5:$E$103,5,0),"")</f>
        <v>0.5</v>
      </c>
      <c r="F12" s="46">
        <f t="shared" si="2"/>
        <v>1</v>
      </c>
      <c r="G12" s="204">
        <f>IF(AND($C12="",$C11&lt;&gt;""),"Tổng Cộng",IFERROR(VLOOKUP($A12,Sheet1!$A$1:$D$98,4,0),""))</f>
        <v>69000</v>
      </c>
      <c r="H12" s="193">
        <f>IF($C11=MAX($C$8:$C$56),SUM($H$8:$H11),IFERROR($G12*$F12,""))</f>
        <v>69000</v>
      </c>
      <c r="I12" s="84">
        <f t="shared" si="1"/>
        <v>0.5</v>
      </c>
      <c r="J12" s="162"/>
      <c r="L12" s="47"/>
      <c r="M12" s="171"/>
      <c r="N12" s="163"/>
    </row>
    <row r="13" spans="1:14" s="45" customFormat="1" ht="14.25" customHeight="1" x14ac:dyDescent="0.25">
      <c r="A13" s="195">
        <v>63</v>
      </c>
      <c r="B13" s="195">
        <v>1</v>
      </c>
      <c r="C13" s="46">
        <f t="shared" si="0"/>
        <v>6</v>
      </c>
      <c r="D13" s="191" t="str">
        <f>IFERROR(VLOOKUP($A13,Sheet1!$A$1:$B$98,2,0),"")</f>
        <v>Tôm hùm viên PM</v>
      </c>
      <c r="E13" s="46">
        <f>IFERROR(VLOOKUP($A13,'Tổng Đơn'!$A$5:$E$103,5,0),"")</f>
        <v>0.5</v>
      </c>
      <c r="F13" s="46">
        <f t="shared" si="2"/>
        <v>1</v>
      </c>
      <c r="G13" s="204">
        <f>IF(AND($C13="",$C12&lt;&gt;""),"Tổng Cộng",IFERROR(VLOOKUP($A13,Sheet1!$A$1:$D$98,4,0),""))</f>
        <v>50000</v>
      </c>
      <c r="H13" s="193">
        <f>IF($C12=MAX($C$8:$C$56),SUM($H$8:$H12),IFERROR($G13*$F13,""))</f>
        <v>50000</v>
      </c>
      <c r="I13" s="84">
        <f t="shared" si="1"/>
        <v>0.5</v>
      </c>
      <c r="L13" s="47"/>
    </row>
    <row r="14" spans="1:14" s="45" customFormat="1" ht="14.25" customHeight="1" x14ac:dyDescent="0.25">
      <c r="A14" s="195" t="s">
        <v>189</v>
      </c>
      <c r="B14" s="195"/>
      <c r="C14" s="46" t="str">
        <f t="shared" si="0"/>
        <v/>
      </c>
      <c r="D14" s="191" t="str">
        <f>IFERROR(VLOOKUP($A14,Sheet1!$A$1:$B$98,2,0),"")</f>
        <v/>
      </c>
      <c r="E14" s="46" t="str">
        <f>IFERROR(VLOOKUP($A14,'Tổng Đơn'!$A$5:$E$103,5,0),"")</f>
        <v/>
      </c>
      <c r="F14" s="46" t="str">
        <f t="shared" si="2"/>
        <v/>
      </c>
      <c r="G14" s="204" t="str">
        <f>IF(AND($C14="",$C13&lt;&gt;""),"Tổng Cộng",IFERROR(VLOOKUP($A14,Sheet1!$A$1:$D$98,4,0),""))</f>
        <v>Tổng Cộng</v>
      </c>
      <c r="H14" s="193">
        <f>IF($C13=MAX($C$8:$C$56),SUM($H$8:$H13),IFERROR($G14*$F14,""))</f>
        <v>350000</v>
      </c>
      <c r="I14" s="84" t="str">
        <f t="shared" si="1"/>
        <v/>
      </c>
      <c r="L14" s="47" t="str">
        <f>IFERROR(VLOOKUP($A14,Sheet1!$A$5:$D$98,4,0),"")</f>
        <v/>
      </c>
      <c r="M14" s="172"/>
    </row>
    <row r="15" spans="1:14" s="45" customFormat="1" ht="14.25" customHeight="1" x14ac:dyDescent="0.25">
      <c r="A15" s="195" t="s">
        <v>189</v>
      </c>
      <c r="B15" s="195"/>
      <c r="C15" s="46" t="str">
        <f t="shared" si="0"/>
        <v/>
      </c>
      <c r="D15" s="191" t="str">
        <f>IFERROR(VLOOKUP($A15,Sheet1!$A$1:$B$98,2,0),"")</f>
        <v/>
      </c>
      <c r="E15" s="46" t="str">
        <f>IFERROR(VLOOKUP($A15,'Tổng Đơn'!$A$5:$E$103,5,0),"")</f>
        <v/>
      </c>
      <c r="F15" s="46" t="str">
        <f t="shared" si="2"/>
        <v/>
      </c>
      <c r="G15" s="204" t="str">
        <f>IF(AND($C15="",$C14&lt;&gt;""),"Tổng Cộng",IFERROR(VLOOKUP($A15,Sheet1!$A$1:$D$98,4,0),""))</f>
        <v/>
      </c>
      <c r="H15" s="193" t="str">
        <f>IF($C14=MAX($C$8:$C$56),SUM($H$8:$H14),IFERROR($G15*$F15,""))</f>
        <v/>
      </c>
      <c r="I15" s="84" t="str">
        <f t="shared" si="1"/>
        <v/>
      </c>
      <c r="L15" s="47" t="str">
        <f>IFERROR(VLOOKUP($A15,Sheet1!$A$5:$D$98,4,0),"")</f>
        <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
      </c>
      <c r="H16" s="193" t="str">
        <f>IF($C15=MAX($C$8:$C$56),SUM($H$8:$H15),IFERROR($G16*$F16,""))</f>
        <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0" t="s">
        <v>229</v>
      </c>
      <c r="D1" s="230"/>
      <c r="E1" s="230"/>
      <c r="F1" s="230"/>
      <c r="G1" s="230"/>
      <c r="H1" s="230"/>
    </row>
    <row r="2" spans="1:14" ht="15.75" customHeight="1" x14ac:dyDescent="0.25">
      <c r="C2" s="230"/>
      <c r="D2" s="230"/>
      <c r="E2" s="230"/>
      <c r="F2" s="230"/>
      <c r="G2" s="230"/>
      <c r="H2" s="230"/>
    </row>
    <row r="3" spans="1:14" ht="15" customHeight="1" x14ac:dyDescent="0.25">
      <c r="C3" s="232" t="s">
        <v>231</v>
      </c>
      <c r="D3" s="232"/>
      <c r="E3" s="232"/>
      <c r="F3" s="235" t="s">
        <v>233</v>
      </c>
      <c r="G3" s="235"/>
      <c r="H3" s="235"/>
    </row>
    <row r="4" spans="1:14" x14ac:dyDescent="0.25">
      <c r="C4" s="233" t="s">
        <v>232</v>
      </c>
      <c r="D4" s="233"/>
      <c r="E4" s="233"/>
      <c r="F4" s="236" t="s">
        <v>234</v>
      </c>
      <c r="G4" s="236"/>
      <c r="H4" s="236"/>
    </row>
    <row r="5" spans="1:14" s="183" customFormat="1" ht="21" customHeight="1" x14ac:dyDescent="0.25">
      <c r="C5" s="234" t="s">
        <v>230</v>
      </c>
      <c r="D5" s="234"/>
      <c r="E5" s="234"/>
      <c r="F5" s="234"/>
      <c r="G5" s="234"/>
      <c r="H5" s="234"/>
    </row>
    <row r="6" spans="1:14" s="183" customFormat="1" ht="17.25" customHeight="1" x14ac:dyDescent="0.25">
      <c r="C6" s="194" t="s">
        <v>235</v>
      </c>
      <c r="D6" s="200" t="s">
        <v>285</v>
      </c>
      <c r="E6" s="189"/>
      <c r="F6" s="189"/>
      <c r="G6" s="231" t="str">
        <f ca="1">"Ngày "&amp;DAY(TODAY())&amp;" Tháng "&amp;MONTH(TODAY())&amp;" Năm "&amp;YEAR(TODAY())</f>
        <v>Ngày 1 Tháng 2 Năm 2022</v>
      </c>
      <c r="H6" s="231"/>
    </row>
    <row r="7" spans="1:14" s="187" customFormat="1" ht="24" customHeight="1" x14ac:dyDescent="0.25">
      <c r="A7" s="184" t="s">
        <v>118</v>
      </c>
      <c r="B7" s="184" t="s">
        <v>16</v>
      </c>
      <c r="C7" s="185" t="s">
        <v>0</v>
      </c>
      <c r="D7" s="185"/>
      <c r="E7" s="190" t="str">
        <f>"Quy cách"&amp;CHAR(10)&amp;"(Kg)"</f>
        <v>Quy cách
(Kg)</v>
      </c>
      <c r="F7" s="185" t="s">
        <v>16</v>
      </c>
      <c r="G7" s="185" t="s">
        <v>18</v>
      </c>
      <c r="H7" s="185" t="s">
        <v>19</v>
      </c>
      <c r="I7" s="186">
        <f>SUBTOTAL(9,I8:I37)</f>
        <v>4.5</v>
      </c>
      <c r="L7" s="188" t="s">
        <v>18</v>
      </c>
    </row>
    <row r="8" spans="1:14" s="45" customFormat="1" ht="14.25" customHeight="1" x14ac:dyDescent="0.25">
      <c r="A8" s="195">
        <v>16</v>
      </c>
      <c r="B8" s="195">
        <v>1</v>
      </c>
      <c r="C8" s="46">
        <f t="shared" ref="C8:C37" si="0">IF(OR(SUM($C7,$A8&lt;&gt;"")=0,$A8=""),"",SUM($C7,$A8&lt;&gt;""))</f>
        <v>1</v>
      </c>
      <c r="D8" s="191" t="str">
        <f>IFERROR(VLOOKUP($A8,Sheet1!$A$1:$B$98,2,0),"")</f>
        <v>Phô mai que (13 que)</v>
      </c>
      <c r="E8" s="192">
        <f>IFERROR(VLOOKUP($A8,'Tổng Đơn'!$A$5:$E$103,5,0),"")</f>
        <v>0.5</v>
      </c>
      <c r="F8" s="46">
        <f>IF($B8="","",B8)</f>
        <v>1</v>
      </c>
      <c r="G8" s="204">
        <f>IFERROR(VLOOKUP($A8,Sheet1!$A1:$D$98,4,0),"")</f>
        <v>40000</v>
      </c>
      <c r="H8" s="193">
        <f>IF($C7=MAX($C$8:$C$56),SUM($H7:$H$8),IFERROR($G8*$F8,""))</f>
        <v>40000</v>
      </c>
      <c r="I8" s="84">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195">
        <v>56</v>
      </c>
      <c r="B9" s="195">
        <v>1</v>
      </c>
      <c r="C9" s="46">
        <f t="shared" si="0"/>
        <v>2</v>
      </c>
      <c r="D9" s="191" t="str">
        <f>IFERROR(VLOOKUP($A9,Sheet1!$A$1:$B$98,2,0),"")</f>
        <v>Đậu hủ phô mai EB</v>
      </c>
      <c r="E9" s="46">
        <f>IFERROR(VLOOKUP($A9,'Tổng Đơn'!$A$5:$E$103,5,0),"")</f>
        <v>0.5</v>
      </c>
      <c r="F9" s="46">
        <f>IF($B9="","",B9)</f>
        <v>1</v>
      </c>
      <c r="G9" s="204">
        <f>IF(AND($C9="",$C8&lt;&gt;""),"Tổng Cộng",IFERROR(VLOOKUP($A9,Sheet1!$A$1:$D$98,4,0),""))</f>
        <v>80000</v>
      </c>
      <c r="H9" s="193">
        <f>IF($C8=MAX($C$8:$C$56),SUM($H$8:$H8),IFERROR($G9*$F9,""))</f>
        <v>80000</v>
      </c>
      <c r="I9" s="84">
        <f t="shared" si="1"/>
        <v>0.5</v>
      </c>
      <c r="L9" s="47">
        <f>IFERROR(VLOOKUP($A9,Sheet1!$A$5:$D$98,4,0),"")</f>
        <v>80000</v>
      </c>
    </row>
    <row r="10" spans="1:14" s="45" customFormat="1" ht="14.25" customHeight="1" x14ac:dyDescent="0.25">
      <c r="A10" s="195">
        <v>66</v>
      </c>
      <c r="B10" s="195">
        <v>2</v>
      </c>
      <c r="C10" s="46">
        <f t="shared" si="0"/>
        <v>3</v>
      </c>
      <c r="D10" s="191" t="str">
        <f>IFERROR(VLOOKUP($A10,Sheet1!$A$1:$B$98,2,0),"")</f>
        <v>Cá viên KK</v>
      </c>
      <c r="E10" s="46">
        <f>IFERROR(VLOOKUP($A10,'Tổng Đơn'!$A$5:$E$103,5,0),"")</f>
        <v>0.5</v>
      </c>
      <c r="F10" s="46">
        <f t="shared" ref="F10:F37" si="2">IF($B10="","",B10)</f>
        <v>2</v>
      </c>
      <c r="G10" s="204">
        <f>IF(AND($C10="",$C9&lt;&gt;""),"Tổng Cộng",IFERROR(VLOOKUP($A10,Sheet1!$A$1:$D$98,4,0),""))</f>
        <v>23000</v>
      </c>
      <c r="H10" s="193">
        <f>IF($C9=MAX($C$8:$C$56),SUM($H$8:$H9),IFERROR($G10*$F10,""))</f>
        <v>46000</v>
      </c>
      <c r="I10" s="84">
        <f t="shared" si="1"/>
        <v>1</v>
      </c>
      <c r="L10" s="47">
        <f>IFERROR(VLOOKUP($A10,Sheet1!$A$5:$D$98,4,0),"")</f>
        <v>23000</v>
      </c>
    </row>
    <row r="11" spans="1:14" s="45" customFormat="1" ht="14.25" customHeight="1" x14ac:dyDescent="0.25">
      <c r="A11" s="195">
        <v>68</v>
      </c>
      <c r="B11" s="195">
        <v>1</v>
      </c>
      <c r="C11" s="46">
        <f t="shared" si="0"/>
        <v>4</v>
      </c>
      <c r="D11" s="191" t="str">
        <f>IFERROR(VLOOKUP($A11,Sheet1!$A$1:$B$98,2,0),"")</f>
        <v>Bò viên KK</v>
      </c>
      <c r="E11" s="46">
        <f>IFERROR(VLOOKUP($A11,'Tổng Đơn'!$A$5:$E$103,5,0),"")</f>
        <v>0.5</v>
      </c>
      <c r="F11" s="46">
        <f t="shared" si="2"/>
        <v>1</v>
      </c>
      <c r="G11" s="204">
        <f>IF(AND($C11="",$C10&lt;&gt;""),"Tổng Cộng",IFERROR(VLOOKUP($A11,Sheet1!$A$1:$D$98,4,0),""))</f>
        <v>26000</v>
      </c>
      <c r="H11" s="193">
        <f>IF($C10=MAX($C$8:$C$56),SUM($H$8:$H10),IFERROR($G11*$F11,""))</f>
        <v>26000</v>
      </c>
      <c r="I11" s="84">
        <f t="shared" si="1"/>
        <v>0.5</v>
      </c>
      <c r="L11" s="47">
        <f>IFERROR(VLOOKUP($A11,Sheet1!$A$5:$D$98,4,0),"")</f>
        <v>26000</v>
      </c>
    </row>
    <row r="12" spans="1:14" s="45" customFormat="1" ht="14.25" customHeight="1" x14ac:dyDescent="0.25">
      <c r="A12" s="195">
        <v>69</v>
      </c>
      <c r="B12" s="195">
        <v>1</v>
      </c>
      <c r="C12" s="46">
        <f t="shared" si="0"/>
        <v>5</v>
      </c>
      <c r="D12" s="191" t="str">
        <f>IFERROR(VLOOKUP($A12,Sheet1!$A$1:$B$98,2,0),"")</f>
        <v>Tôm viên KK</v>
      </c>
      <c r="E12" s="46">
        <f>IFERROR(VLOOKUP($A12,'Tổng Đơn'!$A$5:$E$103,5,0),"")</f>
        <v>0.5</v>
      </c>
      <c r="F12" s="46">
        <f t="shared" si="2"/>
        <v>1</v>
      </c>
      <c r="G12" s="204">
        <f>IF(AND($C12="",$C11&lt;&gt;""),"Tổng Cộng",IFERROR(VLOOKUP($A12,Sheet1!$A$1:$D$98,4,0),""))</f>
        <v>26000</v>
      </c>
      <c r="H12" s="193">
        <f>IF($C11=MAX($C$8:$C$56),SUM($H$8:$H11),IFERROR($G12*$F12,""))</f>
        <v>26000</v>
      </c>
      <c r="I12" s="84">
        <f t="shared" si="1"/>
        <v>0.5</v>
      </c>
      <c r="J12" s="162"/>
      <c r="L12" s="47"/>
      <c r="M12" s="171"/>
      <c r="N12" s="163"/>
    </row>
    <row r="13" spans="1:14" s="45" customFormat="1" ht="14.25" customHeight="1" x14ac:dyDescent="0.25">
      <c r="A13" s="195">
        <v>71</v>
      </c>
      <c r="B13" s="195">
        <v>1</v>
      </c>
      <c r="C13" s="46">
        <f t="shared" si="0"/>
        <v>6</v>
      </c>
      <c r="D13" s="191" t="str">
        <f>IFERROR(VLOOKUP($A13,Sheet1!$A$1:$B$98,2,0),"")</f>
        <v>XX Đức KK</v>
      </c>
      <c r="E13" s="46">
        <f>IFERROR(VLOOKUP($A13,'Tổng Đơn'!$A$5:$E$103,5,0),"")</f>
        <v>0.5</v>
      </c>
      <c r="F13" s="46">
        <f t="shared" si="2"/>
        <v>1</v>
      </c>
      <c r="G13" s="204">
        <f>IF(AND($C13="",$C12&lt;&gt;""),"Tổng Cộng",IFERROR(VLOOKUP($A13,Sheet1!$A$1:$D$98,4,0),""))</f>
        <v>35000</v>
      </c>
      <c r="H13" s="193">
        <f>IF($C12=MAX($C$8:$C$56),SUM($H$8:$H12),IFERROR($G13*$F13,""))</f>
        <v>35000</v>
      </c>
      <c r="I13" s="84">
        <f t="shared" si="1"/>
        <v>0.5</v>
      </c>
      <c r="L13" s="47"/>
    </row>
    <row r="14" spans="1:14" s="45" customFormat="1" ht="14.25" customHeight="1" x14ac:dyDescent="0.25">
      <c r="A14" s="195">
        <v>72</v>
      </c>
      <c r="B14" s="195">
        <v>1</v>
      </c>
      <c r="C14" s="46">
        <f t="shared" si="0"/>
        <v>7</v>
      </c>
      <c r="D14" s="191" t="str">
        <f>IFERROR(VLOOKUP($A14,Sheet1!$A$1:$B$98,2,0),"")</f>
        <v>Hồ lô KK</v>
      </c>
      <c r="E14" s="46">
        <f>IFERROR(VLOOKUP($A14,'Tổng Đơn'!$A$5:$E$103,5,0),"")</f>
        <v>0.5</v>
      </c>
      <c r="F14" s="46">
        <f t="shared" si="2"/>
        <v>1</v>
      </c>
      <c r="G14" s="204">
        <f>IF(AND($C14="",$C13&lt;&gt;""),"Tổng Cộng",IFERROR(VLOOKUP($A14,Sheet1!$A$1:$D$98,4,0),""))</f>
        <v>40000</v>
      </c>
      <c r="H14" s="193">
        <f>IF($C13=MAX($C$8:$C$56),SUM($H$8:$H13),IFERROR($G14*$F14,""))</f>
        <v>40000</v>
      </c>
      <c r="I14" s="84">
        <f t="shared" si="1"/>
        <v>0.5</v>
      </c>
      <c r="L14" s="47">
        <f>IFERROR(VLOOKUP($A14,Sheet1!$A$5:$D$98,4,0),"")</f>
        <v>40000</v>
      </c>
      <c r="M14" s="172"/>
    </row>
    <row r="15" spans="1:14" s="45" customFormat="1" ht="14.25" customHeight="1" x14ac:dyDescent="0.25">
      <c r="A15" s="195">
        <v>73</v>
      </c>
      <c r="B15" s="195">
        <v>1</v>
      </c>
      <c r="C15" s="46">
        <f t="shared" si="0"/>
        <v>8</v>
      </c>
      <c r="D15" s="191" t="str">
        <f>IFERROR(VLOOKUP($A15,Sheet1!$A$1:$B$98,2,0),"")</f>
        <v>Bánh bao thả lẩu Trứng cá KK</v>
      </c>
      <c r="E15" s="46">
        <f>IFERROR(VLOOKUP($A15,'Tổng Đơn'!$A$5:$E$103,5,0),"")</f>
        <v>0.5</v>
      </c>
      <c r="F15" s="46">
        <f t="shared" si="2"/>
        <v>1</v>
      </c>
      <c r="G15" s="204">
        <f>IF(AND($C15="",$C14&lt;&gt;""),"Tổng Cộng",IFERROR(VLOOKUP($A15,Sheet1!$A$1:$D$98,4,0),""))</f>
        <v>43000</v>
      </c>
      <c r="H15" s="193">
        <f>IF($C14=MAX($C$8:$C$56),SUM($H$8:$H14),IFERROR($G15*$F15,""))</f>
        <v>43000</v>
      </c>
      <c r="I15" s="84">
        <f t="shared" si="1"/>
        <v>0.5</v>
      </c>
      <c r="L15" s="47">
        <f>IFERROR(VLOOKUP($A15,Sheet1!$A$5:$D$98,4,0),"")</f>
        <v>43000</v>
      </c>
    </row>
    <row r="16" spans="1:14" s="45" customFormat="1" ht="14.25" customHeight="1" x14ac:dyDescent="0.25">
      <c r="A16" s="195" t="s">
        <v>189</v>
      </c>
      <c r="B16" s="195"/>
      <c r="C16" s="46" t="str">
        <f t="shared" si="0"/>
        <v/>
      </c>
      <c r="D16" s="191" t="str">
        <f>IFERROR(VLOOKUP($A16,Sheet1!$A$1:$B$98,2,0),"")</f>
        <v/>
      </c>
      <c r="E16" s="46" t="str">
        <f>IFERROR(VLOOKUP($A16,'Tổng Đơn'!$A$5:$E$103,5,0),"")</f>
        <v/>
      </c>
      <c r="F16" s="46" t="str">
        <f t="shared" si="2"/>
        <v/>
      </c>
      <c r="G16" s="204" t="str">
        <f>IF(AND($C16="",$C15&lt;&gt;""),"Tổng Cộng",IFERROR(VLOOKUP($A16,Sheet1!$A$1:$D$98,4,0),""))</f>
        <v>Tổng Cộng</v>
      </c>
      <c r="H16" s="193">
        <f>IF($C15=MAX($C$8:$C$56),SUM($H$8:$H15),IFERROR($G16*$F16,""))</f>
        <v>336000</v>
      </c>
      <c r="I16" s="84" t="str">
        <f t="shared" si="1"/>
        <v/>
      </c>
      <c r="L16" s="47" t="str">
        <f>IFERROR(VLOOKUP($A16,Sheet1!$A$5:$D$98,4,0),"")</f>
        <v/>
      </c>
    </row>
    <row r="17" spans="1:12" s="45" customFormat="1" ht="14.25" customHeight="1" x14ac:dyDescent="0.25">
      <c r="A17" s="195" t="s">
        <v>189</v>
      </c>
      <c r="B17" s="195"/>
      <c r="C17" s="46" t="str">
        <f t="shared" si="0"/>
        <v/>
      </c>
      <c r="D17" s="203" t="str">
        <f>IFERROR(VLOOKUP($A17,Sheet1!$A$1:$B$98,2,0),"")</f>
        <v/>
      </c>
      <c r="E17" s="46" t="str">
        <f>IFERROR(VLOOKUP($A17,'Tổng Đơn'!$A$5:$E$103,5,0),"")</f>
        <v/>
      </c>
      <c r="F17" s="46" t="str">
        <f t="shared" si="2"/>
        <v/>
      </c>
      <c r="G17" s="204" t="str">
        <f>IF(AND($C17="",$C16&lt;&gt;""),"Tổng Cộng",IFERROR(VLOOKUP($A17,Sheet1!$A$1:$D$98,4,0),""))</f>
        <v/>
      </c>
      <c r="H17" s="193" t="str">
        <f>IF($C16=MAX($C$8:$C$56),SUM($H$8:$H16),IFERROR($G17*$F17,""))</f>
        <v/>
      </c>
      <c r="I17" s="84" t="str">
        <f t="shared" si="1"/>
        <v/>
      </c>
      <c r="L17" s="47" t="str">
        <f>IFERROR(VLOOKUP($A17,Sheet1!$A$5:$D$98,4,0),"")</f>
        <v/>
      </c>
    </row>
    <row r="18" spans="1:12" s="45" customFormat="1" ht="14.25" customHeight="1" x14ac:dyDescent="0.25">
      <c r="A18" s="195" t="s">
        <v>189</v>
      </c>
      <c r="B18" s="195"/>
      <c r="C18" s="46" t="str">
        <f t="shared" si="0"/>
        <v/>
      </c>
      <c r="D18" s="203" t="str">
        <f>IFERROR(VLOOKUP($A18,Sheet1!$A$1:$B$98,2,0),"")</f>
        <v/>
      </c>
      <c r="E18" s="46" t="str">
        <f>IFERROR(VLOOKUP($A18,'Tổng Đơn'!$A$5:$E$103,5,0),"")</f>
        <v/>
      </c>
      <c r="F18" s="46" t="str">
        <f t="shared" si="2"/>
        <v/>
      </c>
      <c r="G18" s="204" t="str">
        <f>IF(AND($C18="",$C17&lt;&gt;""),"Tổng Cộng",IFERROR(VLOOKUP($A18,Sheet1!$A$1:$D$98,4,0),""))</f>
        <v/>
      </c>
      <c r="H18" s="193" t="str">
        <f>IF($C17=MAX($C$8:$C$56),SUM($H$8:$H17),IFERROR($G18*$F18,""))</f>
        <v/>
      </c>
      <c r="I18" s="84" t="str">
        <f t="shared" si="1"/>
        <v/>
      </c>
      <c r="L18" s="47" t="str">
        <f>IFERROR(VLOOKUP($A18,Sheet1!$A$5:$D$98,4,0),"")</f>
        <v/>
      </c>
    </row>
    <row r="19" spans="1:12" s="45" customFormat="1" ht="14.25" customHeight="1" x14ac:dyDescent="0.25">
      <c r="A19" s="195" t="s">
        <v>189</v>
      </c>
      <c r="B19" s="195"/>
      <c r="C19" s="46" t="str">
        <f t="shared" si="0"/>
        <v/>
      </c>
      <c r="D19" s="203" t="str">
        <f>IFERROR(VLOOKUP($A19,Sheet1!$A$1:$B$98,2,0),"")</f>
        <v/>
      </c>
      <c r="E19" s="46" t="str">
        <f>IFERROR(VLOOKUP($A19,'Tổng Đơn'!$A$5:$E$103,5,0),"")</f>
        <v/>
      </c>
      <c r="F19" s="46" t="str">
        <f t="shared" si="2"/>
        <v/>
      </c>
      <c r="G19" s="204" t="str">
        <f>IF(AND($C19="",$C18&lt;&gt;""),"Tổng Cộng",IFERROR(VLOOKUP($A19,Sheet1!$A$1:$D$98,4,0),""))</f>
        <v/>
      </c>
      <c r="H19" s="193" t="str">
        <f>IF($C18=MAX($C$8:$C$56),SUM($H$8:$H18),IFERROR($G19*$F19,""))</f>
        <v/>
      </c>
      <c r="I19" s="84" t="str">
        <f t="shared" si="1"/>
        <v/>
      </c>
      <c r="L19" s="47" t="str">
        <f>IFERROR(VLOOKUP($A19,Sheet1!$A$5:$D$98,4,0),"")</f>
        <v/>
      </c>
    </row>
    <row r="20" spans="1:12" s="45" customFormat="1" ht="14.25" customHeight="1" x14ac:dyDescent="0.25">
      <c r="A20" s="195" t="s">
        <v>189</v>
      </c>
      <c r="B20" s="195"/>
      <c r="C20" s="46" t="str">
        <f t="shared" si="0"/>
        <v/>
      </c>
      <c r="D20" s="203" t="str">
        <f>IFERROR(VLOOKUP($A20,Sheet1!$A$1:$B$98,2,0),"")</f>
        <v/>
      </c>
      <c r="E20" s="46" t="str">
        <f>IFERROR(VLOOKUP($A20,'Tổng Đơn'!$A$5:$E$103,5,0),"")</f>
        <v/>
      </c>
      <c r="F20" s="46" t="str">
        <f t="shared" si="2"/>
        <v/>
      </c>
      <c r="G20" s="204" t="str">
        <f>IF(AND($C20="",$C19&lt;&gt;""),"Tổng Cộng",IFERROR(VLOOKUP($A20,Sheet1!$A$1:$D$98,4,0),""))</f>
        <v/>
      </c>
      <c r="H20" s="193" t="str">
        <f>IF($C19=MAX($C$8:$C$56),SUM($H$8:$H19),IFERROR($G20*$F20,""))</f>
        <v/>
      </c>
      <c r="I20" s="84" t="str">
        <f t="shared" si="1"/>
        <v/>
      </c>
      <c r="L20" s="47" t="str">
        <f>IFERROR(VLOOKUP($A20,Sheet1!$A$5:$D$98,4,0),"")</f>
        <v/>
      </c>
    </row>
    <row r="21" spans="1:12" s="45" customFormat="1" ht="14.25" customHeight="1" x14ac:dyDescent="0.25">
      <c r="A21" s="195" t="s">
        <v>189</v>
      </c>
      <c r="B21" s="195"/>
      <c r="C21" s="46" t="str">
        <f t="shared" si="0"/>
        <v/>
      </c>
      <c r="D21" s="203" t="str">
        <f>IFERROR(VLOOKUP($A21,Sheet1!$A$1:$B$98,2,0),"")</f>
        <v/>
      </c>
      <c r="E21" s="46" t="str">
        <f>IFERROR(VLOOKUP($A21,'Tổng Đơn'!$A$5:$E$103,5,0),"")</f>
        <v/>
      </c>
      <c r="F21" s="46" t="str">
        <f t="shared" si="2"/>
        <v/>
      </c>
      <c r="G21" s="204" t="str">
        <f>IF(AND($C21="",$C20&lt;&gt;""),"Tổng Cộng",IFERROR(VLOOKUP($A21,Sheet1!$A$1:$D$98,4,0),""))</f>
        <v/>
      </c>
      <c r="H21" s="193" t="str">
        <f>IF($C20=MAX($C$8:$C$56),SUM($H$8:$H20),IFERROR($G21*$F21,""))</f>
        <v/>
      </c>
      <c r="I21" s="84" t="str">
        <f t="shared" si="1"/>
        <v/>
      </c>
      <c r="L21" s="47" t="str">
        <f>IFERROR(VLOOKUP($A21,Sheet1!$A$5:$D$98,4,0),"")</f>
        <v/>
      </c>
    </row>
    <row r="22" spans="1:12" s="45" customFormat="1" ht="14.25" customHeight="1" x14ac:dyDescent="0.25">
      <c r="A22" s="195" t="s">
        <v>189</v>
      </c>
      <c r="B22" s="195"/>
      <c r="C22" s="46" t="str">
        <f t="shared" si="0"/>
        <v/>
      </c>
      <c r="D22" s="191" t="str">
        <f>IFERROR(VLOOKUP($A22,Sheet1!$A$1:$B$98,2,0),"")</f>
        <v/>
      </c>
      <c r="E22" s="46" t="str">
        <f>IFERROR(VLOOKUP($A22,'Tổng Đơn'!$A$5:$E$103,5,0),"")</f>
        <v/>
      </c>
      <c r="F22" s="46" t="str">
        <f t="shared" si="2"/>
        <v/>
      </c>
      <c r="G22" s="204" t="str">
        <f>IF(AND($C22="",$C21&lt;&gt;""),"Tổng Cộng",IFERROR(VLOOKUP($A22,Sheet1!$A$1:$D$98,4,0),""))</f>
        <v/>
      </c>
      <c r="H22" s="193" t="str">
        <f>IF($C21=MAX($C$8:$C$56),SUM($H$8:$H21),IFERROR($G22*$F22,""))</f>
        <v/>
      </c>
      <c r="I22" s="84" t="str">
        <f t="shared" si="1"/>
        <v/>
      </c>
      <c r="L22" s="47" t="str">
        <f>IFERROR(VLOOKUP($A22,Sheet1!$A$5:$D$98,4,0),"")</f>
        <v/>
      </c>
    </row>
    <row r="23" spans="1:12" s="45" customFormat="1" ht="14.25" customHeight="1" x14ac:dyDescent="0.25">
      <c r="A23" s="195" t="s">
        <v>189</v>
      </c>
      <c r="B23" s="195"/>
      <c r="C23" s="46" t="str">
        <f t="shared" si="0"/>
        <v/>
      </c>
      <c r="D23" s="191" t="str">
        <f>IFERROR(VLOOKUP($A23,Sheet1!$A$1:$B$98,2,0),"")</f>
        <v/>
      </c>
      <c r="E23" s="46" t="str">
        <f>IFERROR(VLOOKUP($A23,'Tổng Đơn'!$A$5:$E$103,5,0),"")</f>
        <v/>
      </c>
      <c r="F23" s="46" t="str">
        <f t="shared" si="2"/>
        <v/>
      </c>
      <c r="G23" s="204" t="str">
        <f>IF(AND($C23="",$C22&lt;&gt;""),"Tổng Cộng",IFERROR(VLOOKUP($A23,Sheet1!$A$1:$D$98,4,0),""))</f>
        <v/>
      </c>
      <c r="H23" s="193" t="str">
        <f>IF($C22=MAX($C$8:$C$56),SUM($H$8:$H22),IFERROR($G23*$F23,""))</f>
        <v/>
      </c>
      <c r="I23" s="84" t="str">
        <f t="shared" si="1"/>
        <v/>
      </c>
      <c r="L23" s="47" t="str">
        <f>IFERROR(VLOOKUP($A23,Sheet1!$A$5:$D$98,4,0),"")</f>
        <v/>
      </c>
    </row>
    <row r="24" spans="1:12" s="45" customFormat="1" ht="14.25" customHeight="1" x14ac:dyDescent="0.25">
      <c r="A24" s="195" t="s">
        <v>189</v>
      </c>
      <c r="B24" s="195"/>
      <c r="C24" s="46" t="str">
        <f t="shared" si="0"/>
        <v/>
      </c>
      <c r="D24" s="191" t="str">
        <f>IFERROR(VLOOKUP($A24,Sheet1!$A$1:$B$98,2,0),"")</f>
        <v/>
      </c>
      <c r="E24" s="46" t="str">
        <f>IFERROR(VLOOKUP($A24,'Tổng Đơn'!$A$5:$E$103,5,0),"")</f>
        <v/>
      </c>
      <c r="F24" s="46" t="str">
        <f t="shared" si="2"/>
        <v/>
      </c>
      <c r="G24" s="204" t="str">
        <f>IF(AND($C24="",$C23&lt;&gt;""),"Tổng Cộng",IFERROR(VLOOKUP($A24,Sheet1!$A$1:$D$98,4,0),""))</f>
        <v/>
      </c>
      <c r="H24" s="193" t="str">
        <f>IF($C23=MAX($C$8:$C$56),SUM($H$8:$H23),IFERROR($G24*$F24,""))</f>
        <v/>
      </c>
      <c r="I24" s="84" t="str">
        <f t="shared" si="1"/>
        <v/>
      </c>
      <c r="L24" s="47" t="str">
        <f>IFERROR(VLOOKUP($A24,Sheet1!$A$5:$D$98,4,0),"")</f>
        <v/>
      </c>
    </row>
    <row r="25" spans="1:12" s="45" customFormat="1" ht="14.25" customHeight="1" x14ac:dyDescent="0.25">
      <c r="A25" s="195" t="s">
        <v>189</v>
      </c>
      <c r="B25" s="195"/>
      <c r="C25" s="46" t="str">
        <f t="shared" si="0"/>
        <v/>
      </c>
      <c r="D25" s="191" t="str">
        <f>IFERROR(VLOOKUP($A25,Sheet1!$A$1:$B$98,2,0),"")</f>
        <v/>
      </c>
      <c r="E25" s="46" t="str">
        <f>IFERROR(VLOOKUP($A25,'Tổng Đơn'!$A$5:$E$103,5,0),"")</f>
        <v/>
      </c>
      <c r="F25" s="46" t="str">
        <f t="shared" si="2"/>
        <v/>
      </c>
      <c r="G25" s="204" t="str">
        <f>IF(AND($C25="",$C24&lt;&gt;""),"Tổng Cộng",IFERROR(VLOOKUP($A25,Sheet1!$A$1:$D$98,4,0),""))</f>
        <v/>
      </c>
      <c r="H25" s="193" t="str">
        <f>IF($C24=MAX($C$8:$C$56),SUM($H$8:$H24),IFERROR($G25*$F25,""))</f>
        <v/>
      </c>
      <c r="I25" s="84" t="str">
        <f t="shared" si="1"/>
        <v/>
      </c>
      <c r="L25" s="47" t="str">
        <f>IFERROR(VLOOKUP($A25,Sheet1!$A$5:$D$98,4,0),"")</f>
        <v/>
      </c>
    </row>
    <row r="26" spans="1:12" s="45" customFormat="1" ht="14.25" customHeight="1" x14ac:dyDescent="0.25">
      <c r="A26" s="195" t="s">
        <v>189</v>
      </c>
      <c r="B26" s="195"/>
      <c r="C26" s="46" t="str">
        <f t="shared" si="0"/>
        <v/>
      </c>
      <c r="D26" s="191" t="str">
        <f>IFERROR(VLOOKUP($A26,Sheet1!$A$1:$B$98,2,0),"")</f>
        <v/>
      </c>
      <c r="E26" s="46" t="str">
        <f>IFERROR(VLOOKUP($A26,'Tổng Đơn'!$A$5:$E$103,5,0),"")</f>
        <v/>
      </c>
      <c r="F26" s="46" t="str">
        <f t="shared" si="2"/>
        <v/>
      </c>
      <c r="G26" s="204" t="str">
        <f>IF(AND($C26="",$C25&lt;&gt;""),"Tổng Cộng",IFERROR(VLOOKUP($A26,Sheet1!$A$1:$D$98,4,0),""))</f>
        <v/>
      </c>
      <c r="H26" s="193" t="str">
        <f>IF($C25=MAX($C$8:$C$56),SUM($H$8:$H25),IFERROR($G26*$F26,""))</f>
        <v/>
      </c>
      <c r="I26" s="84" t="str">
        <f t="shared" si="1"/>
        <v/>
      </c>
      <c r="L26" s="47" t="str">
        <f>IFERROR(VLOOKUP($A26,Sheet1!$A$5:$D$98,4,0),"")</f>
        <v/>
      </c>
    </row>
    <row r="27" spans="1:12" s="45" customFormat="1" ht="14.25" customHeight="1" x14ac:dyDescent="0.25">
      <c r="A27" s="195" t="s">
        <v>189</v>
      </c>
      <c r="B27" s="195"/>
      <c r="C27" s="46" t="str">
        <f t="shared" si="0"/>
        <v/>
      </c>
      <c r="D27" s="191" t="str">
        <f>IFERROR(VLOOKUP($A27,Sheet1!$A$1:$B$98,2,0),"")</f>
        <v/>
      </c>
      <c r="E27" s="46" t="str">
        <f>IFERROR(VLOOKUP($A27,'Tổng Đơn'!$A$5:$E$103,5,0),"")</f>
        <v/>
      </c>
      <c r="F27" s="46" t="str">
        <f t="shared" si="2"/>
        <v/>
      </c>
      <c r="G27" s="204" t="str">
        <f>IF(AND($C27="",$C26&lt;&gt;""),"Tổng Cộng",IFERROR(VLOOKUP($A27,Sheet1!$A$1:$D$98,4,0),""))</f>
        <v/>
      </c>
      <c r="H27" s="193" t="str">
        <f>IF($C26=MAX($C$8:$C$56),SUM($H$8:$H26),IFERROR($G27*$F27,""))</f>
        <v/>
      </c>
      <c r="I27" s="84" t="str">
        <f t="shared" si="1"/>
        <v/>
      </c>
      <c r="L27" s="47"/>
    </row>
    <row r="28" spans="1:12" s="45" customFormat="1" ht="14.25" customHeight="1" x14ac:dyDescent="0.25">
      <c r="A28" s="195" t="s">
        <v>189</v>
      </c>
      <c r="B28" s="195"/>
      <c r="C28" s="46" t="str">
        <f t="shared" si="0"/>
        <v/>
      </c>
      <c r="D28" s="191" t="str">
        <f>IFERROR(VLOOKUP($A28,Sheet1!$A$1:$B$98,2,0),"")</f>
        <v/>
      </c>
      <c r="E28" s="46" t="str">
        <f>IFERROR(VLOOKUP($A28,'Tổng Đơn'!$A$5:$E$103,5,0),"")</f>
        <v/>
      </c>
      <c r="F28" s="46" t="str">
        <f t="shared" si="2"/>
        <v/>
      </c>
      <c r="G28" s="204" t="str">
        <f>IF(AND($C28="",$C27&lt;&gt;""),"Tổng Cộng",IFERROR(VLOOKUP($A28,Sheet1!$A$1:$D$98,4,0),""))</f>
        <v/>
      </c>
      <c r="H28" s="193" t="str">
        <f>IF($C27=MAX($C$8:$C$56),SUM($H$8:$H27),IFERROR($G28*$F28,""))</f>
        <v/>
      </c>
      <c r="I28" s="84" t="str">
        <f t="shared" si="1"/>
        <v/>
      </c>
      <c r="L28" s="47"/>
    </row>
    <row r="29" spans="1:12" s="45" customFormat="1" ht="14.25" customHeight="1" x14ac:dyDescent="0.25">
      <c r="A29" s="195" t="s">
        <v>189</v>
      </c>
      <c r="B29" s="195"/>
      <c r="C29" s="46" t="str">
        <f t="shared" si="0"/>
        <v/>
      </c>
      <c r="D29" s="191" t="str">
        <f>IFERROR(VLOOKUP($A29,Sheet1!$A$1:$B$98,2,0),"")</f>
        <v/>
      </c>
      <c r="E29" s="46" t="str">
        <f>IFERROR(VLOOKUP($A29,'Tổng Đơn'!$A$5:$E$103,5,0),"")</f>
        <v/>
      </c>
      <c r="F29" s="46" t="str">
        <f t="shared" si="2"/>
        <v/>
      </c>
      <c r="G29" s="204" t="str">
        <f>IF(AND($C29="",$C28&lt;&gt;""),"Tổng Cộng",IFERROR(VLOOKUP($A29,Sheet1!$A$1:$D$98,4,0),""))</f>
        <v/>
      </c>
      <c r="H29" s="193" t="str">
        <f>IF($C28=MAX($C$8:$C$56),SUM($H$8:$H28),IFERROR($G29*$F29,""))</f>
        <v/>
      </c>
      <c r="I29" s="84" t="str">
        <f t="shared" si="1"/>
        <v/>
      </c>
      <c r="L29" s="47">
        <v>1</v>
      </c>
    </row>
    <row r="30" spans="1:12" s="45" customFormat="1" ht="14.25" customHeight="1" x14ac:dyDescent="0.25">
      <c r="A30" s="195" t="s">
        <v>189</v>
      </c>
      <c r="B30" s="195"/>
      <c r="C30" s="46" t="str">
        <f t="shared" si="0"/>
        <v/>
      </c>
      <c r="D30" s="191" t="str">
        <f>IFERROR(VLOOKUP($A30,Sheet1!$A$1:$B$98,2,0),"")</f>
        <v/>
      </c>
      <c r="E30" s="46" t="str">
        <f>IFERROR(VLOOKUP($A30,'Tổng Đơn'!$A$5:$E$103,5,0),"")</f>
        <v/>
      </c>
      <c r="F30" s="46" t="str">
        <f t="shared" si="2"/>
        <v/>
      </c>
      <c r="G30" s="204" t="str">
        <f>IF(AND($C30="",$C29&lt;&gt;""),"Tổng Cộng",IFERROR(VLOOKUP($A30,Sheet1!$A$1:$D$98,4,0),""))</f>
        <v/>
      </c>
      <c r="H30" s="193" t="str">
        <f>IF($C29=MAX($C$8:$C$56),SUM($H$8:$H29),IFERROR($G30*$F30,""))</f>
        <v/>
      </c>
      <c r="I30" s="84" t="str">
        <f t="shared" si="1"/>
        <v/>
      </c>
      <c r="L30" s="47">
        <v>1</v>
      </c>
    </row>
    <row r="31" spans="1:12" s="45" customFormat="1" ht="14.25" customHeight="1" x14ac:dyDescent="0.25">
      <c r="A31" s="195" t="s">
        <v>189</v>
      </c>
      <c r="B31" s="195"/>
      <c r="C31" s="46" t="str">
        <f t="shared" si="0"/>
        <v/>
      </c>
      <c r="D31" s="191" t="str">
        <f>IFERROR(VLOOKUP($A31,Sheet1!$A$1:$B$98,2,0),"")</f>
        <v/>
      </c>
      <c r="E31" s="46" t="str">
        <f>IFERROR(VLOOKUP($A31,'Tổng Đơn'!$A$5:$E$103,5,0),"")</f>
        <v/>
      </c>
      <c r="F31" s="46" t="str">
        <f t="shared" si="2"/>
        <v/>
      </c>
      <c r="G31" s="204" t="str">
        <f>IF(AND($C31="",$C30&lt;&gt;""),"Tổng Cộng",IFERROR(VLOOKUP($A31,Sheet1!$A$1:$D$98,4,0),""))</f>
        <v/>
      </c>
      <c r="H31" s="193" t="str">
        <f>IF($C30=MAX($C$8:$C$56),SUM($H$8:$H30),IFERROR($G31*$F31,""))</f>
        <v/>
      </c>
      <c r="I31" s="84" t="str">
        <f t="shared" si="1"/>
        <v/>
      </c>
      <c r="L31" s="47">
        <v>1</v>
      </c>
    </row>
    <row r="32" spans="1:12" s="45" customFormat="1" ht="14.25" customHeight="1" x14ac:dyDescent="0.25">
      <c r="A32" s="195" t="s">
        <v>189</v>
      </c>
      <c r="B32" s="195"/>
      <c r="C32" s="46" t="str">
        <f t="shared" si="0"/>
        <v/>
      </c>
      <c r="D32" s="191" t="str">
        <f>IFERROR(VLOOKUP($A32,Sheet1!$A$1:$B$98,2,0),"")</f>
        <v/>
      </c>
      <c r="E32" s="46" t="str">
        <f>IFERROR(VLOOKUP($A32,'Tổng Đơn'!$A$5:$E$103,5,0),"")</f>
        <v/>
      </c>
      <c r="F32" s="46" t="str">
        <f t="shared" si="2"/>
        <v/>
      </c>
      <c r="G32" s="204" t="str">
        <f>IF(AND($C32="",$C31&lt;&gt;""),"Tổng Cộng",IFERROR(VLOOKUP($A32,Sheet1!$A$1:$D$98,4,0),""))</f>
        <v/>
      </c>
      <c r="H32" s="193" t="str">
        <f>IF($C31=MAX($C$8:$C$56),SUM($H$8:$H31),IFERROR($G32*$F32,""))</f>
        <v/>
      </c>
      <c r="I32" s="84" t="str">
        <f t="shared" si="1"/>
        <v/>
      </c>
      <c r="K32" s="45" t="s">
        <v>189</v>
      </c>
      <c r="L32" s="47"/>
    </row>
    <row r="33" spans="1:12" s="45" customFormat="1" ht="14.25" customHeight="1" x14ac:dyDescent="0.25">
      <c r="A33" s="195" t="s">
        <v>189</v>
      </c>
      <c r="B33" s="195"/>
      <c r="C33" s="46" t="str">
        <f t="shared" si="0"/>
        <v/>
      </c>
      <c r="D33" s="191" t="str">
        <f>IFERROR(VLOOKUP($A33,Sheet1!$A$1:$B$98,2,0),"")</f>
        <v/>
      </c>
      <c r="E33" s="46" t="str">
        <f>IFERROR(VLOOKUP($A33,'Tổng Đơn'!$A$5:$E$103,5,0),"")</f>
        <v/>
      </c>
      <c r="F33" s="46" t="str">
        <f t="shared" si="2"/>
        <v/>
      </c>
      <c r="G33" s="204" t="str">
        <f>IF(AND($C33="",$C32&lt;&gt;""),"Tổng Cộng",IFERROR(VLOOKUP($A33,Sheet1!$A$1:$D$98,4,0),""))</f>
        <v/>
      </c>
      <c r="H33" s="193" t="str">
        <f>IF($C32=MAX($C$8:$C$56),SUM($H$8:$H32),IFERROR($G33*$F33,""))</f>
        <v/>
      </c>
      <c r="I33" s="84" t="str">
        <f t="shared" si="1"/>
        <v/>
      </c>
      <c r="K33" s="45" t="s">
        <v>189</v>
      </c>
      <c r="L33" s="47"/>
    </row>
    <row r="34" spans="1:12" s="45" customFormat="1" ht="14.25" customHeight="1" x14ac:dyDescent="0.25">
      <c r="A34" s="195" t="s">
        <v>189</v>
      </c>
      <c r="B34" s="195"/>
      <c r="C34" s="46" t="str">
        <f t="shared" si="0"/>
        <v/>
      </c>
      <c r="D34" s="191" t="str">
        <f>IFERROR(VLOOKUP($A34,Sheet1!$A$1:$B$98,2,0),"")</f>
        <v/>
      </c>
      <c r="E34" s="46" t="str">
        <f>IFERROR(VLOOKUP($A34,'Tổng Đơn'!$A$5:$E$103,5,0),"")</f>
        <v/>
      </c>
      <c r="F34" s="46" t="str">
        <f t="shared" si="2"/>
        <v/>
      </c>
      <c r="G34" s="204" t="str">
        <f>IF(AND($C34="",$C33&lt;&gt;""),"Tổng Cộng",IFERROR(VLOOKUP($A34,Sheet1!$A$1:$D$98,4,0),""))</f>
        <v/>
      </c>
      <c r="H34" s="193" t="str">
        <f>IF($C33=MAX($C$8:$C$56),SUM($H$8:$H33),IFERROR($G34*$F34,""))</f>
        <v/>
      </c>
      <c r="I34" s="84" t="str">
        <f t="shared" si="1"/>
        <v/>
      </c>
      <c r="K34" s="45" t="s">
        <v>189</v>
      </c>
      <c r="L34" s="47"/>
    </row>
    <row r="35" spans="1:12" s="45" customFormat="1" ht="14.25" customHeight="1" x14ac:dyDescent="0.25">
      <c r="A35" s="195" t="s">
        <v>189</v>
      </c>
      <c r="B35" s="195"/>
      <c r="C35" s="46" t="str">
        <f t="shared" si="0"/>
        <v/>
      </c>
      <c r="D35" s="191" t="str">
        <f>IFERROR(VLOOKUP($A35,Sheet1!$A$1:$B$98,2,0),"")</f>
        <v/>
      </c>
      <c r="E35" s="46" t="str">
        <f>IFERROR(VLOOKUP($A35,'Tổng Đơn'!$A$5:$E$103,5,0),"")</f>
        <v/>
      </c>
      <c r="F35" s="46" t="str">
        <f t="shared" si="2"/>
        <v/>
      </c>
      <c r="G35" s="204" t="str">
        <f>IF(AND($C35="",$C34&lt;&gt;""),"Tổng Cộng",IFERROR(VLOOKUP($A35,Sheet1!$A$1:$D$98,4,0),""))</f>
        <v/>
      </c>
      <c r="H35" s="193" t="str">
        <f>IF($C34=MAX($C$8:$C$56),SUM($H$8:$H34),IFERROR($G35*$F35,""))</f>
        <v/>
      </c>
      <c r="I35" s="84" t="str">
        <f t="shared" si="1"/>
        <v/>
      </c>
      <c r="K35" s="45" t="s">
        <v>189</v>
      </c>
      <c r="L35" s="47"/>
    </row>
    <row r="36" spans="1:12" s="45" customFormat="1" ht="14.25" customHeight="1" x14ac:dyDescent="0.25">
      <c r="A36" s="195" t="s">
        <v>189</v>
      </c>
      <c r="B36" s="195"/>
      <c r="C36" s="46" t="str">
        <f t="shared" si="0"/>
        <v/>
      </c>
      <c r="D36" s="191" t="str">
        <f>IFERROR(VLOOKUP($A36,Sheet1!$A$1:$B$98,2,0),"")</f>
        <v/>
      </c>
      <c r="E36" s="46" t="str">
        <f>IFERROR(VLOOKUP($A36,'Tổng Đơn'!$A$5:$E$103,5,0),"")</f>
        <v/>
      </c>
      <c r="F36" s="46" t="str">
        <f t="shared" si="2"/>
        <v/>
      </c>
      <c r="G36" s="204" t="str">
        <f>IF(AND($C36="",$C35&lt;&gt;""),"Tổng Cộng",IFERROR(VLOOKUP($A36,Sheet1!$A$1:$D$98,4,0),""))</f>
        <v/>
      </c>
      <c r="H36" s="193" t="str">
        <f>IF($C35=MAX($C$8:$C$56),SUM($H$8:$H35),IFERROR($G36*$F36,""))</f>
        <v/>
      </c>
      <c r="I36" s="84" t="str">
        <f t="shared" si="1"/>
        <v/>
      </c>
      <c r="K36" s="45" t="s">
        <v>189</v>
      </c>
      <c r="L36" s="47"/>
    </row>
    <row r="37" spans="1:12" s="45" customFormat="1" ht="14.25" customHeight="1" x14ac:dyDescent="0.25">
      <c r="A37" s="195" t="s">
        <v>189</v>
      </c>
      <c r="B37" s="195"/>
      <c r="C37" s="46" t="str">
        <f t="shared" si="0"/>
        <v/>
      </c>
      <c r="D37" s="191" t="str">
        <f>IFERROR(VLOOKUP($A37,Sheet1!$A$1:$B$98,2,0),"")</f>
        <v/>
      </c>
      <c r="E37" s="46" t="str">
        <f>IFERROR(VLOOKUP($A37,'Tổng Đơn'!$A$5:$E$103,5,0),"")</f>
        <v/>
      </c>
      <c r="F37" s="46" t="str">
        <f t="shared" si="2"/>
        <v/>
      </c>
      <c r="G37" s="204" t="str">
        <f>IF(AND($C37="",$C36&lt;&gt;""),"Tổng Cộng",IFERROR(VLOOKUP($A37,Sheet1!$A$1:$D$98,4,0),""))</f>
        <v/>
      </c>
      <c r="H37" s="193" t="str">
        <f>IF($C36=MAX($C$8:$C$56),SUM($H$8:$H36),IFERROR($G37*$F37,""))</f>
        <v/>
      </c>
      <c r="I37" s="84" t="str">
        <f t="shared" si="1"/>
        <v/>
      </c>
      <c r="K37" s="45" t="s">
        <v>189</v>
      </c>
      <c r="L37" s="47"/>
    </row>
    <row r="38" spans="1:12" s="45" customFormat="1" ht="14.25" customHeight="1" x14ac:dyDescent="0.25">
      <c r="A38" s="195"/>
      <c r="B38" s="195"/>
      <c r="C38" s="49"/>
      <c r="D38" s="50"/>
      <c r="E38" s="82"/>
      <c r="F38" s="46"/>
      <c r="G38" s="205" t="str">
        <f>IF(AND($C38="",$C37&lt;&gt;""),"Tổng Cộng",IFERROR(VLOOKUP($A38,Sheet1!$A$1:$D$98,4,0),""))</f>
        <v/>
      </c>
      <c r="H38" s="51" t="str">
        <f>IF($C37=MAX($C$8:$C$56),SUM($H$8:$H37),IFERROR($G38*$F38,""))</f>
        <v/>
      </c>
      <c r="I38" s="84"/>
      <c r="K38" s="45" t="s">
        <v>189</v>
      </c>
      <c r="L38" s="47"/>
    </row>
    <row r="39" spans="1:12" ht="15" customHeight="1" x14ac:dyDescent="0.25">
      <c r="F39" s="52"/>
      <c r="G39" s="182"/>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2022-02-01T16:27:19Z</dcterms:modified>
</cp:coreProperties>
</file>