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MINH THƯ\MINH THƯ\HÀNG HÓA\2022\T02\"/>
    </mc:Choice>
  </mc:AlternateContent>
  <bookViews>
    <workbookView xWindow="240" yWindow="60" windowWidth="20112" windowHeight="8016" tabRatio="925"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65" r:id="rId13"/>
    <sheet name="Thanh Toán (14)" sheetId="164" r:id="rId14"/>
    <sheet name="Thanh Toán (13)" sheetId="163" r:id="rId15"/>
    <sheet name="Thanh Toán (12)" sheetId="162" r:id="rId16"/>
    <sheet name="Thanh Toán (11)" sheetId="160" r:id="rId17"/>
    <sheet name="Thanh Toán (10)" sheetId="159" r:id="rId18"/>
    <sheet name="Thanh Toán (9)" sheetId="158" r:id="rId19"/>
    <sheet name="Thanh Toán (8)" sheetId="157" r:id="rId20"/>
    <sheet name="Thanh Toán (7)" sheetId="156" r:id="rId21"/>
    <sheet name="Thanh Toán (6)" sheetId="155" r:id="rId22"/>
    <sheet name="Thanh Toán (5)" sheetId="154" r:id="rId23"/>
    <sheet name="Thanh Toán (4)" sheetId="153" r:id="rId24"/>
    <sheet name="Thanh Toán (3)" sheetId="152" r:id="rId25"/>
    <sheet name="Thanh Toán (2)" sheetId="151"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Nhân'!$B$4:$AW$32</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52511"/>
  <pivotCaches>
    <pivotCache cacheId="1"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5" l="1"/>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I9" i="165"/>
  <c r="F9" i="165"/>
  <c r="E9" i="165"/>
  <c r="D9" i="165"/>
  <c r="I8" i="165"/>
  <c r="I7" i="165" s="1"/>
  <c r="G8" i="165"/>
  <c r="F8" i="165"/>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I7" i="164" s="1"/>
  <c r="F9" i="164"/>
  <c r="E9" i="164"/>
  <c r="D9" i="164"/>
  <c r="I8" i="164"/>
  <c r="G8" i="164"/>
  <c r="F8" i="164"/>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F14" i="163"/>
  <c r="E14" i="163"/>
  <c r="I14" i="163" s="1"/>
  <c r="D14" i="163"/>
  <c r="F13" i="163"/>
  <c r="I13" i="163" s="1"/>
  <c r="E13" i="163"/>
  <c r="D13" i="163"/>
  <c r="F12" i="163"/>
  <c r="I12" i="163" s="1"/>
  <c r="E12" i="163"/>
  <c r="D12" i="163"/>
  <c r="F11" i="163"/>
  <c r="I11" i="163" s="1"/>
  <c r="E11" i="163"/>
  <c r="D11" i="163"/>
  <c r="I10" i="163"/>
  <c r="F10" i="163"/>
  <c r="E10" i="163"/>
  <c r="D10" i="163"/>
  <c r="I9" i="163"/>
  <c r="F9" i="163"/>
  <c r="E9" i="163"/>
  <c r="D9" i="163"/>
  <c r="I8" i="163"/>
  <c r="G8" i="163"/>
  <c r="F8" i="163"/>
  <c r="E8" i="163"/>
  <c r="D8" i="163"/>
  <c r="C8" i="163"/>
  <c r="C9" i="163" s="1"/>
  <c r="E7" i="163"/>
  <c r="G6" i="163"/>
  <c r="F37" i="162"/>
  <c r="I37" i="162" s="1"/>
  <c r="E37" i="162"/>
  <c r="D37" i="162"/>
  <c r="F36" i="162"/>
  <c r="I36" i="162" s="1"/>
  <c r="E36" i="162"/>
  <c r="D36" i="162"/>
  <c r="F35" i="162"/>
  <c r="I35" i="162" s="1"/>
  <c r="E35" i="162"/>
  <c r="D35" i="162"/>
  <c r="I34" i="162"/>
  <c r="F34" i="162"/>
  <c r="E34" i="162"/>
  <c r="D34" i="162"/>
  <c r="I33" i="162"/>
  <c r="F33" i="162"/>
  <c r="E33" i="162"/>
  <c r="D33" i="162"/>
  <c r="I32" i="162"/>
  <c r="F32" i="162"/>
  <c r="E32" i="162"/>
  <c r="D32" i="162"/>
  <c r="F31" i="162"/>
  <c r="I31" i="162" s="1"/>
  <c r="E31" i="162"/>
  <c r="D31" i="162"/>
  <c r="F30" i="162"/>
  <c r="I30" i="162" s="1"/>
  <c r="E30" i="162"/>
  <c r="D30" i="162"/>
  <c r="F29" i="162"/>
  <c r="I29" i="162" s="1"/>
  <c r="E29" i="162"/>
  <c r="D29" i="162"/>
  <c r="F28" i="162"/>
  <c r="I28" i="162" s="1"/>
  <c r="E28" i="162"/>
  <c r="D28" i="162"/>
  <c r="F27" i="162"/>
  <c r="I27" i="162" s="1"/>
  <c r="E27" i="162"/>
  <c r="D27" i="162"/>
  <c r="I26" i="162"/>
  <c r="F26" i="162"/>
  <c r="E26" i="162"/>
  <c r="D26" i="162"/>
  <c r="I25" i="162"/>
  <c r="F25" i="162"/>
  <c r="E25" i="162"/>
  <c r="D25" i="162"/>
  <c r="I24" i="162"/>
  <c r="F24" i="162"/>
  <c r="E24" i="162"/>
  <c r="D24" i="162"/>
  <c r="F23" i="162"/>
  <c r="I23" i="162" s="1"/>
  <c r="E23" i="162"/>
  <c r="D23" i="162"/>
  <c r="F22" i="162"/>
  <c r="I22" i="162" s="1"/>
  <c r="E22" i="162"/>
  <c r="D22" i="162"/>
  <c r="F21" i="162"/>
  <c r="I21" i="162" s="1"/>
  <c r="E21" i="162"/>
  <c r="D21" i="162"/>
  <c r="F20" i="162"/>
  <c r="I20" i="162" s="1"/>
  <c r="E20" i="162"/>
  <c r="D20" i="162"/>
  <c r="I19" i="162"/>
  <c r="F19" i="162"/>
  <c r="E19" i="162"/>
  <c r="D19" i="162"/>
  <c r="I18" i="162"/>
  <c r="F18" i="162"/>
  <c r="E18" i="162"/>
  <c r="D18" i="162"/>
  <c r="I17" i="162"/>
  <c r="F17" i="162"/>
  <c r="E17" i="162"/>
  <c r="D17" i="162"/>
  <c r="I16" i="162"/>
  <c r="F16" i="162"/>
  <c r="E16" i="162"/>
  <c r="D16" i="162"/>
  <c r="F15" i="162"/>
  <c r="I15" i="162" s="1"/>
  <c r="E15" i="162"/>
  <c r="D15" i="162"/>
  <c r="F14" i="162"/>
  <c r="I14" i="162" s="1"/>
  <c r="E14" i="162"/>
  <c r="D14" i="162"/>
  <c r="F13" i="162"/>
  <c r="I13" i="162" s="1"/>
  <c r="E13" i="162"/>
  <c r="D13" i="162"/>
  <c r="F12" i="162"/>
  <c r="I12" i="162" s="1"/>
  <c r="E12" i="162"/>
  <c r="D12" i="162"/>
  <c r="I11" i="162"/>
  <c r="F11" i="162"/>
  <c r="E11" i="162"/>
  <c r="D11" i="162"/>
  <c r="I10" i="162"/>
  <c r="F10" i="162"/>
  <c r="E10" i="162"/>
  <c r="D10" i="162"/>
  <c r="C10" i="162"/>
  <c r="I9" i="162"/>
  <c r="G9" i="162"/>
  <c r="F9" i="162"/>
  <c r="E9" i="162"/>
  <c r="D9" i="162"/>
  <c r="C9" i="162"/>
  <c r="I8" i="162"/>
  <c r="I7" i="162" s="1"/>
  <c r="G8" i="162"/>
  <c r="F8" i="162"/>
  <c r="E8" i="162"/>
  <c r="D8" i="162"/>
  <c r="C8" i="162"/>
  <c r="E7" i="162"/>
  <c r="G6" i="162"/>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F12" i="160"/>
  <c r="I12" i="160" s="1"/>
  <c r="E12" i="160"/>
  <c r="D12" i="160"/>
  <c r="F11" i="160"/>
  <c r="I11" i="160" s="1"/>
  <c r="E11" i="160"/>
  <c r="D11" i="160"/>
  <c r="I10" i="160"/>
  <c r="F10" i="160"/>
  <c r="E10" i="160"/>
  <c r="D10" i="160"/>
  <c r="I9" i="160"/>
  <c r="F9" i="160"/>
  <c r="E9" i="160"/>
  <c r="D9" i="160"/>
  <c r="I8" i="160"/>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I8" i="159"/>
  <c r="I7" i="159" s="1"/>
  <c r="G8" i="159"/>
  <c r="F8" i="159"/>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I9" i="158"/>
  <c r="F9" i="158"/>
  <c r="E9" i="158"/>
  <c r="D9" i="158"/>
  <c r="I8" i="158"/>
  <c r="I7" i="158" s="1"/>
  <c r="G8" i="158"/>
  <c r="F8" i="158"/>
  <c r="E8" i="158"/>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I9" i="157"/>
  <c r="I7" i="157" s="1"/>
  <c r="F9" i="157"/>
  <c r="E9" i="157"/>
  <c r="D9" i="157"/>
  <c r="I8" i="157"/>
  <c r="G8" i="157"/>
  <c r="F8" i="157"/>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9" i="156"/>
  <c r="F9" i="156"/>
  <c r="E9" i="156"/>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C10" i="155"/>
  <c r="I9" i="155"/>
  <c r="F9" i="155"/>
  <c r="E9" i="155"/>
  <c r="D9" i="155"/>
  <c r="C9" i="155"/>
  <c r="I8" i="155"/>
  <c r="I7" i="155" s="1"/>
  <c r="G8" i="155"/>
  <c r="F8" i="155"/>
  <c r="E8" i="155"/>
  <c r="D8" i="155"/>
  <c r="C8" i="155"/>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1" i="154"/>
  <c r="F11" i="154"/>
  <c r="E11" i="154"/>
  <c r="D11" i="154"/>
  <c r="I10" i="154"/>
  <c r="F10" i="154"/>
  <c r="E10" i="154"/>
  <c r="D10" i="154"/>
  <c r="C10" i="154"/>
  <c r="F9" i="154"/>
  <c r="E9" i="154"/>
  <c r="I9" i="154" s="1"/>
  <c r="D9" i="154"/>
  <c r="C9" i="154"/>
  <c r="I8"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I9" i="153" s="1"/>
  <c r="I7" i="153" s="1"/>
  <c r="E9" i="153"/>
  <c r="D9" i="153"/>
  <c r="C9" i="153"/>
  <c r="I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I7" i="152" s="1"/>
  <c r="F10" i="152"/>
  <c r="E10" i="152"/>
  <c r="D10" i="152"/>
  <c r="I9" i="152"/>
  <c r="F9" i="152"/>
  <c r="E9" i="152"/>
  <c r="D9" i="152"/>
  <c r="I8" i="152"/>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7" i="151"/>
  <c r="F17" i="151"/>
  <c r="E17" i="151"/>
  <c r="D17" i="151"/>
  <c r="I16" i="151"/>
  <c r="F16" i="151"/>
  <c r="E16" i="151"/>
  <c r="D16" i="151"/>
  <c r="F15" i="151"/>
  <c r="I15" i="151" s="1"/>
  <c r="E15" i="151"/>
  <c r="D15" i="151"/>
  <c r="F14" i="151"/>
  <c r="I14" i="151" s="1"/>
  <c r="E14" i="151"/>
  <c r="D14" i="151"/>
  <c r="F13" i="151"/>
  <c r="I13" i="151" s="1"/>
  <c r="E13" i="151"/>
  <c r="D13" i="151"/>
  <c r="F12" i="151"/>
  <c r="I12" i="151" s="1"/>
  <c r="E12" i="151"/>
  <c r="D12" i="151"/>
  <c r="F11" i="151"/>
  <c r="E11" i="151"/>
  <c r="I11" i="151" s="1"/>
  <c r="D11" i="151"/>
  <c r="I10" i="151"/>
  <c r="F10" i="151"/>
  <c r="E10" i="151"/>
  <c r="D10" i="151"/>
  <c r="I9" i="151"/>
  <c r="F9" i="151"/>
  <c r="E9" i="151"/>
  <c r="D9" i="151"/>
  <c r="C9" i="151"/>
  <c r="I8" i="151"/>
  <c r="G8" i="151"/>
  <c r="F8" i="151"/>
  <c r="E8" i="151"/>
  <c r="D8" i="151"/>
  <c r="C8" i="151"/>
  <c r="E7" i="151"/>
  <c r="G6" i="151"/>
  <c r="G9" i="165" l="1"/>
  <c r="C10" i="165"/>
  <c r="G9" i="164"/>
  <c r="C10" i="164"/>
  <c r="G9" i="163"/>
  <c r="C10" i="163"/>
  <c r="I7" i="163"/>
  <c r="C11" i="162"/>
  <c r="G10" i="162"/>
  <c r="I7" i="160"/>
  <c r="G9" i="160"/>
  <c r="C10" i="160"/>
  <c r="G9" i="159"/>
  <c r="C10" i="159"/>
  <c r="G9" i="158"/>
  <c r="C10" i="158"/>
  <c r="G9" i="157"/>
  <c r="C10" i="157"/>
  <c r="G9" i="156"/>
  <c r="C10" i="156"/>
  <c r="C11" i="155"/>
  <c r="G10" i="155"/>
  <c r="G9" i="155"/>
  <c r="I12" i="154"/>
  <c r="I7" i="154" s="1"/>
  <c r="C11" i="154"/>
  <c r="G10" i="154"/>
  <c r="G9" i="154"/>
  <c r="C10" i="153"/>
  <c r="G9" i="153"/>
  <c r="G9" i="152"/>
  <c r="C10" i="152"/>
  <c r="I18" i="151"/>
  <c r="I7" i="151" s="1"/>
  <c r="C10" i="151"/>
  <c r="G9" i="151"/>
  <c r="A32" i="1"/>
  <c r="J25" i="1"/>
  <c r="A2" i="1"/>
  <c r="F24" i="1"/>
  <c r="F9" i="1"/>
  <c r="AX31" i="1"/>
  <c r="AX32" i="1"/>
  <c r="AW4" i="1"/>
  <c r="S4" i="1"/>
  <c r="T4" i="1"/>
  <c r="U4" i="1"/>
  <c r="V4" i="1"/>
  <c r="W4" i="1"/>
  <c r="X4" i="1"/>
  <c r="Y4" i="1"/>
  <c r="Z4" i="1"/>
  <c r="AA4" i="1"/>
  <c r="AB4" i="1"/>
  <c r="AC4" i="1"/>
  <c r="AD4" i="1"/>
  <c r="AE4" i="1"/>
  <c r="AF4" i="1"/>
  <c r="AG4" i="1"/>
  <c r="AH4" i="1"/>
  <c r="AI4" i="1"/>
  <c r="AJ4" i="1"/>
  <c r="AK4" i="1"/>
  <c r="AL4" i="1"/>
  <c r="AN4" i="1"/>
  <c r="AO4" i="1"/>
  <c r="AP4" i="1"/>
  <c r="AQ4" i="1"/>
  <c r="AR4" i="1"/>
  <c r="AS4" i="1"/>
  <c r="AT4" i="1"/>
  <c r="AU4" i="1"/>
  <c r="AV4" i="1"/>
  <c r="R4" i="1"/>
  <c r="Q4" i="1"/>
  <c r="P4" i="1"/>
  <c r="F4" i="1"/>
  <c r="E4" i="1"/>
  <c r="G10" i="165" l="1"/>
  <c r="C11" i="165"/>
  <c r="G10" i="164"/>
  <c r="C11" i="164"/>
  <c r="G10" i="163"/>
  <c r="C11" i="163"/>
  <c r="G11" i="162"/>
  <c r="C12" i="162"/>
  <c r="G10" i="160"/>
  <c r="C11" i="160"/>
  <c r="G10" i="159"/>
  <c r="C11" i="159"/>
  <c r="G10" i="158"/>
  <c r="C11" i="158"/>
  <c r="G10" i="157"/>
  <c r="C11" i="157"/>
  <c r="G10" i="156"/>
  <c r="C11" i="156"/>
  <c r="G11" i="155"/>
  <c r="C12" i="155"/>
  <c r="G11" i="154"/>
  <c r="C12" i="154"/>
  <c r="G10" i="153"/>
  <c r="C11" i="153"/>
  <c r="G10" i="152"/>
  <c r="C11" i="152"/>
  <c r="G10" i="151"/>
  <c r="C11" i="151"/>
  <c r="A2" i="137"/>
  <c r="G11" i="165" l="1"/>
  <c r="C12" i="165"/>
  <c r="C12" i="164"/>
  <c r="G11" i="164"/>
  <c r="C12" i="163"/>
  <c r="G11" i="163"/>
  <c r="C13" i="162"/>
  <c r="G12" i="162"/>
  <c r="G11" i="160"/>
  <c r="C12" i="160"/>
  <c r="G11" i="159"/>
  <c r="C12" i="159"/>
  <c r="G11" i="158"/>
  <c r="C12" i="158"/>
  <c r="G11" i="157"/>
  <c r="C12" i="157"/>
  <c r="G11" i="156"/>
  <c r="C12" i="156"/>
  <c r="C13" i="155"/>
  <c r="G12" i="155"/>
  <c r="C13" i="154"/>
  <c r="G11" i="153"/>
  <c r="C12" i="153"/>
  <c r="C12" i="152"/>
  <c r="G11" i="152"/>
  <c r="G11" i="151"/>
  <c r="C12" i="151"/>
  <c r="F7" i="137"/>
  <c r="F6" i="137"/>
  <c r="C13" i="165" l="1"/>
  <c r="G12" i="165"/>
  <c r="C13" i="164"/>
  <c r="G12" i="164"/>
  <c r="C13" i="163"/>
  <c r="G12" i="163"/>
  <c r="C14" i="162"/>
  <c r="G13" i="162"/>
  <c r="C13" i="160"/>
  <c r="G12" i="160"/>
  <c r="C13" i="159"/>
  <c r="G12" i="159"/>
  <c r="C13" i="158"/>
  <c r="G12" i="158"/>
  <c r="C13" i="157"/>
  <c r="G12" i="157"/>
  <c r="C13" i="156"/>
  <c r="G12" i="156"/>
  <c r="C14" i="155"/>
  <c r="G13" i="155"/>
  <c r="C14" i="154"/>
  <c r="G13" i="154"/>
  <c r="C13" i="153"/>
  <c r="G12" i="153"/>
  <c r="C13" i="152"/>
  <c r="G12" i="152"/>
  <c r="C13" i="151"/>
  <c r="G12" i="151"/>
  <c r="Q2" i="1"/>
  <c r="C14" i="165" l="1"/>
  <c r="G13" i="165"/>
  <c r="C14" i="164"/>
  <c r="G13" i="164"/>
  <c r="C14" i="163"/>
  <c r="G13" i="163"/>
  <c r="C15" i="162"/>
  <c r="G14" i="162"/>
  <c r="C14" i="160"/>
  <c r="G13" i="160"/>
  <c r="C14" i="159"/>
  <c r="G13" i="159"/>
  <c r="C14" i="158"/>
  <c r="G13" i="158"/>
  <c r="C14" i="157"/>
  <c r="G13" i="157"/>
  <c r="C14" i="156"/>
  <c r="G13" i="156"/>
  <c r="C15" i="155"/>
  <c r="G14" i="155"/>
  <c r="C15" i="154"/>
  <c r="G14" i="154"/>
  <c r="C14" i="153"/>
  <c r="G13" i="153"/>
  <c r="C14" i="152"/>
  <c r="G13" i="152"/>
  <c r="C14" i="151"/>
  <c r="G13" i="151"/>
  <c r="A2" i="150"/>
  <c r="F5" i="150"/>
  <c r="F7" i="150"/>
  <c r="F9" i="150"/>
  <c r="F10" i="150"/>
  <c r="F12" i="150"/>
  <c r="F8" i="4"/>
  <c r="D17" i="95"/>
  <c r="G14" i="165" l="1"/>
  <c r="C15" i="165"/>
  <c r="C15" i="164"/>
  <c r="G14" i="164"/>
  <c r="C15" i="163"/>
  <c r="G14" i="163"/>
  <c r="C16" i="162"/>
  <c r="G15" i="162"/>
  <c r="C15" i="160"/>
  <c r="G14" i="160"/>
  <c r="C15" i="159"/>
  <c r="G14" i="159"/>
  <c r="C15" i="158"/>
  <c r="G14" i="158"/>
  <c r="C15" i="157"/>
  <c r="G14" i="157"/>
  <c r="C15" i="156"/>
  <c r="G14" i="156"/>
  <c r="C16" i="155"/>
  <c r="G15" i="155"/>
  <c r="C16" i="154"/>
  <c r="G15" i="154"/>
  <c r="C15" i="153"/>
  <c r="G14" i="153"/>
  <c r="C15" i="152"/>
  <c r="G14" i="152"/>
  <c r="C15" i="151"/>
  <c r="G14" i="151"/>
  <c r="D9" i="9"/>
  <c r="E9" i="9"/>
  <c r="F9" i="9"/>
  <c r="C16" i="165" l="1"/>
  <c r="G15" i="165"/>
  <c r="C16" i="164"/>
  <c r="G15" i="164"/>
  <c r="C16" i="163"/>
  <c r="G15" i="163"/>
  <c r="G16" i="162"/>
  <c r="C17" i="162"/>
  <c r="C16" i="160"/>
  <c r="G15" i="160"/>
  <c r="C16" i="159"/>
  <c r="G15" i="159"/>
  <c r="C16" i="158"/>
  <c r="G15" i="158"/>
  <c r="C16" i="157"/>
  <c r="G15" i="157"/>
  <c r="C16" i="156"/>
  <c r="G15" i="156"/>
  <c r="G16" i="155"/>
  <c r="C17" i="155"/>
  <c r="G16" i="154"/>
  <c r="C17" i="154"/>
  <c r="C16" i="153"/>
  <c r="G15" i="153"/>
  <c r="C16" i="152"/>
  <c r="G15" i="152"/>
  <c r="C16" i="151"/>
  <c r="G15" i="151"/>
  <c r="I1" i="50"/>
  <c r="C17" i="165" l="1"/>
  <c r="G16" i="165"/>
  <c r="C17" i="164"/>
  <c r="G16" i="164"/>
  <c r="G16" i="163"/>
  <c r="C17" i="163"/>
  <c r="G17" i="162"/>
  <c r="C18" i="162"/>
  <c r="G16" i="160"/>
  <c r="C17" i="160"/>
  <c r="G16" i="159"/>
  <c r="C17" i="159"/>
  <c r="G16" i="158"/>
  <c r="C17" i="158"/>
  <c r="C17" i="157"/>
  <c r="G16" i="157"/>
  <c r="G16" i="156"/>
  <c r="C17" i="156"/>
  <c r="G17" i="155"/>
  <c r="C18" i="155"/>
  <c r="G17" i="154"/>
  <c r="C18" i="154"/>
  <c r="C17" i="153"/>
  <c r="G16" i="153"/>
  <c r="C17" i="152"/>
  <c r="G16" i="152"/>
  <c r="C17" i="151"/>
  <c r="G16" i="151"/>
  <c r="H5" i="95"/>
  <c r="G17" i="165" l="1"/>
  <c r="C18" i="165"/>
  <c r="G17" i="164"/>
  <c r="C18" i="164"/>
  <c r="G17" i="163"/>
  <c r="C18" i="163"/>
  <c r="G18" i="162"/>
  <c r="C19" i="162"/>
  <c r="G17" i="160"/>
  <c r="C18" i="160"/>
  <c r="G17" i="159"/>
  <c r="C18" i="159"/>
  <c r="G17" i="158"/>
  <c r="C18" i="158"/>
  <c r="G17" i="157"/>
  <c r="C18" i="157"/>
  <c r="G17" i="156"/>
  <c r="C18" i="156"/>
  <c r="G18" i="155"/>
  <c r="C19" i="155"/>
  <c r="G18" i="154"/>
  <c r="C19" i="154"/>
  <c r="G17" i="153"/>
  <c r="C18" i="153"/>
  <c r="G17" i="152"/>
  <c r="C18" i="152"/>
  <c r="G17" i="151"/>
  <c r="C18" i="151"/>
  <c r="H4" i="95"/>
  <c r="H1" i="95" s="1"/>
  <c r="G18" i="165" l="1"/>
  <c r="C19" i="165"/>
  <c r="G18" i="164"/>
  <c r="C19" i="164"/>
  <c r="G18" i="163"/>
  <c r="C19" i="163"/>
  <c r="G19" i="162"/>
  <c r="C20" i="162"/>
  <c r="G18" i="160"/>
  <c r="C19" i="160"/>
  <c r="G18" i="159"/>
  <c r="C19" i="159"/>
  <c r="G18" i="158"/>
  <c r="C19" i="158"/>
  <c r="G18" i="157"/>
  <c r="C19" i="157"/>
  <c r="G18" i="156"/>
  <c r="C19" i="156"/>
  <c r="C20" i="155"/>
  <c r="G19" i="155"/>
  <c r="G19" i="154"/>
  <c r="C20" i="154"/>
  <c r="G18" i="153"/>
  <c r="C19" i="153"/>
  <c r="G18" i="152"/>
  <c r="C19" i="152"/>
  <c r="C19" i="151"/>
  <c r="F18" i="1"/>
  <c r="F5" i="1"/>
  <c r="G19" i="165" l="1"/>
  <c r="C20" i="165"/>
  <c r="G19" i="164"/>
  <c r="C20" i="164"/>
  <c r="G19" i="163"/>
  <c r="C20" i="163"/>
  <c r="C21" i="162"/>
  <c r="G20" i="162"/>
  <c r="G19" i="160"/>
  <c r="C20" i="160"/>
  <c r="C20" i="159"/>
  <c r="G19" i="159"/>
  <c r="C20" i="158"/>
  <c r="G19" i="158"/>
  <c r="G19" i="157"/>
  <c r="C20" i="157"/>
  <c r="G19" i="156"/>
  <c r="C20" i="156"/>
  <c r="C21" i="155"/>
  <c r="G20" i="155"/>
  <c r="C21" i="154"/>
  <c r="G20" i="154"/>
  <c r="C20" i="153"/>
  <c r="G19" i="153"/>
  <c r="G19" i="152"/>
  <c r="C20" i="152"/>
  <c r="G19" i="151"/>
  <c r="C20" i="151"/>
  <c r="AW2" i="4"/>
  <c r="C21" i="165" l="1"/>
  <c r="G20" i="165"/>
  <c r="C21" i="164"/>
  <c r="G20" i="164"/>
  <c r="C21" i="163"/>
  <c r="G20" i="163"/>
  <c r="C22" i="162"/>
  <c r="G21" i="162"/>
  <c r="C21" i="160"/>
  <c r="G20" i="160"/>
  <c r="C21" i="159"/>
  <c r="G20" i="159"/>
  <c r="C21" i="158"/>
  <c r="G20" i="158"/>
  <c r="C21" i="157"/>
  <c r="G20" i="157"/>
  <c r="C21" i="156"/>
  <c r="G20" i="156"/>
  <c r="C22" i="155"/>
  <c r="G21" i="155"/>
  <c r="C22" i="154"/>
  <c r="G21" i="154"/>
  <c r="C21" i="153"/>
  <c r="G20" i="153"/>
  <c r="C21" i="152"/>
  <c r="G20" i="152"/>
  <c r="C21" i="151"/>
  <c r="G20" i="151"/>
  <c r="F6" i="4"/>
  <c r="F20" i="4"/>
  <c r="F25" i="1"/>
  <c r="F13" i="1"/>
  <c r="F8" i="1"/>
  <c r="C22" i="165" l="1"/>
  <c r="G21" i="165"/>
  <c r="C22" i="164"/>
  <c r="G21" i="164"/>
  <c r="C22" i="163"/>
  <c r="G21" i="163"/>
  <c r="C23" i="162"/>
  <c r="G22" i="162"/>
  <c r="C22" i="160"/>
  <c r="G21" i="160"/>
  <c r="C22" i="159"/>
  <c r="G21" i="159"/>
  <c r="C22" i="158"/>
  <c r="G21" i="158"/>
  <c r="C22" i="157"/>
  <c r="G21" i="157"/>
  <c r="C22" i="156"/>
  <c r="G21" i="156"/>
  <c r="C23" i="155"/>
  <c r="G22" i="155"/>
  <c r="C23" i="154"/>
  <c r="G22" i="154"/>
  <c r="C22" i="153"/>
  <c r="G21" i="153"/>
  <c r="C22" i="152"/>
  <c r="G21" i="152"/>
  <c r="C22" i="151"/>
  <c r="G21" i="151"/>
  <c r="F5" i="4"/>
  <c r="C23" i="165" l="1"/>
  <c r="G22" i="165"/>
  <c r="C23" i="164"/>
  <c r="G22" i="164"/>
  <c r="C23" i="163"/>
  <c r="G22" i="163"/>
  <c r="C24" i="162"/>
  <c r="G23" i="162"/>
  <c r="C23" i="160"/>
  <c r="G22" i="160"/>
  <c r="C23" i="159"/>
  <c r="G22" i="159"/>
  <c r="C23" i="158"/>
  <c r="G22" i="158"/>
  <c r="C23" i="157"/>
  <c r="G22" i="157"/>
  <c r="C23" i="156"/>
  <c r="G22" i="156"/>
  <c r="C24" i="155"/>
  <c r="G23" i="155"/>
  <c r="C24" i="154"/>
  <c r="G23" i="154"/>
  <c r="C23" i="153"/>
  <c r="G22" i="153"/>
  <c r="C23" i="152"/>
  <c r="G22" i="152"/>
  <c r="C23" i="151"/>
  <c r="G22" i="151"/>
  <c r="D14" i="9"/>
  <c r="E14" i="9"/>
  <c r="F14" i="9"/>
  <c r="G36" i="50"/>
  <c r="G37" i="50"/>
  <c r="G38" i="50"/>
  <c r="G39" i="50"/>
  <c r="G40" i="50"/>
  <c r="G41" i="50"/>
  <c r="G42" i="50"/>
  <c r="G43" i="50"/>
  <c r="G44" i="50"/>
  <c r="G45" i="50"/>
  <c r="G46" i="50"/>
  <c r="G47" i="50"/>
  <c r="G48" i="50"/>
  <c r="G49" i="50"/>
  <c r="G50" i="50"/>
  <c r="G51" i="50"/>
  <c r="G52" i="50"/>
  <c r="G55" i="50"/>
  <c r="G58" i="50"/>
  <c r="G59" i="50"/>
  <c r="C24" i="165" l="1"/>
  <c r="G23" i="165"/>
  <c r="C24" i="164"/>
  <c r="G23" i="164"/>
  <c r="C24" i="163"/>
  <c r="G23" i="163"/>
  <c r="C25" i="162"/>
  <c r="G24" i="162"/>
  <c r="C24" i="160"/>
  <c r="G23" i="160"/>
  <c r="C24" i="159"/>
  <c r="G23" i="159"/>
  <c r="C24" i="158"/>
  <c r="G23" i="158"/>
  <c r="C24" i="157"/>
  <c r="G23" i="157"/>
  <c r="G23" i="156"/>
  <c r="C24" i="156"/>
  <c r="G24" i="155"/>
  <c r="C25" i="155"/>
  <c r="G24" i="154"/>
  <c r="C25" i="154"/>
  <c r="C24" i="153"/>
  <c r="G23" i="153"/>
  <c r="C24" i="152"/>
  <c r="G23" i="152"/>
  <c r="C24" i="151"/>
  <c r="G23" i="151"/>
  <c r="P2" i="8"/>
  <c r="C25" i="165" l="1"/>
  <c r="G24" i="165"/>
  <c r="C25" i="164"/>
  <c r="G24" i="164"/>
  <c r="G24" i="163"/>
  <c r="C25" i="163"/>
  <c r="G25" i="162"/>
  <c r="C26" i="162"/>
  <c r="G24" i="160"/>
  <c r="C25" i="160"/>
  <c r="G24" i="159"/>
  <c r="C25" i="159"/>
  <c r="G24" i="158"/>
  <c r="C25" i="158"/>
  <c r="G24" i="157"/>
  <c r="C25" i="157"/>
  <c r="G24" i="156"/>
  <c r="C25" i="156"/>
  <c r="G25" i="155"/>
  <c r="C26" i="155"/>
  <c r="G25" i="154"/>
  <c r="C26" i="154"/>
  <c r="C25" i="153"/>
  <c r="G24" i="153"/>
  <c r="G24" i="152"/>
  <c r="C25" i="152"/>
  <c r="G24" i="151"/>
  <c r="C25" i="151"/>
  <c r="F29" i="1"/>
  <c r="G25" i="165" l="1"/>
  <c r="C26" i="165"/>
  <c r="G25" i="164"/>
  <c r="C26" i="164"/>
  <c r="G25" i="163"/>
  <c r="C26" i="163"/>
  <c r="G26" i="162"/>
  <c r="C27" i="162"/>
  <c r="G25" i="160"/>
  <c r="C26" i="160"/>
  <c r="G25" i="159"/>
  <c r="C26" i="159"/>
  <c r="G25" i="158"/>
  <c r="C26" i="158"/>
  <c r="G25" i="157"/>
  <c r="C26" i="157"/>
  <c r="G25" i="156"/>
  <c r="C26" i="156"/>
  <c r="G26" i="155"/>
  <c r="C27" i="155"/>
  <c r="G26" i="154"/>
  <c r="C27" i="154"/>
  <c r="G25" i="153"/>
  <c r="C26" i="153"/>
  <c r="G25" i="152"/>
  <c r="C26" i="152"/>
  <c r="G25" i="151"/>
  <c r="C26" i="151"/>
  <c r="M24" i="1"/>
  <c r="R5" i="8"/>
  <c r="R6" i="8"/>
  <c r="G26" i="165" l="1"/>
  <c r="C27" i="165"/>
  <c r="G26" i="164"/>
  <c r="C27" i="164"/>
  <c r="G26" i="163"/>
  <c r="C27" i="163"/>
  <c r="C28" i="162"/>
  <c r="G27" i="162"/>
  <c r="G26" i="160"/>
  <c r="C27" i="160"/>
  <c r="G26" i="159"/>
  <c r="C27" i="159"/>
  <c r="C27" i="158"/>
  <c r="G26" i="158"/>
  <c r="G26" i="157"/>
  <c r="C27" i="157"/>
  <c r="C27" i="156"/>
  <c r="G26" i="156"/>
  <c r="G27" i="155"/>
  <c r="C28" i="155"/>
  <c r="G27" i="154"/>
  <c r="C28" i="154"/>
  <c r="G26" i="153"/>
  <c r="C27" i="153"/>
  <c r="G26" i="152"/>
  <c r="C27" i="152"/>
  <c r="G26" i="151"/>
  <c r="C27" i="151"/>
  <c r="A2" i="4"/>
  <c r="G27" i="165" l="1"/>
  <c r="C28" i="165"/>
  <c r="G27" i="164"/>
  <c r="C28" i="164"/>
  <c r="G27" i="163"/>
  <c r="C28" i="163"/>
  <c r="C29" i="162"/>
  <c r="G28" i="162"/>
  <c r="G27" i="160"/>
  <c r="C28" i="160"/>
  <c r="G27" i="159"/>
  <c r="C28" i="159"/>
  <c r="C28" i="158"/>
  <c r="G27" i="158"/>
  <c r="C28" i="157"/>
  <c r="G27" i="157"/>
  <c r="G27" i="156"/>
  <c r="C28" i="156"/>
  <c r="C29" i="155"/>
  <c r="G28" i="155"/>
  <c r="C29" i="154"/>
  <c r="G28" i="154"/>
  <c r="G27" i="153"/>
  <c r="C28" i="153"/>
  <c r="G27" i="152"/>
  <c r="C28" i="152"/>
  <c r="C28" i="151"/>
  <c r="G27" i="151"/>
  <c r="F8" i="150"/>
  <c r="F19" i="4"/>
  <c r="F10" i="4"/>
  <c r="F9" i="4"/>
  <c r="C29" i="165" l="1"/>
  <c r="G28" i="165"/>
  <c r="C29" i="164"/>
  <c r="G28" i="164"/>
  <c r="C29" i="163"/>
  <c r="G28" i="163"/>
  <c r="C30" i="162"/>
  <c r="G29" i="162"/>
  <c r="C29" i="160"/>
  <c r="G28" i="160"/>
  <c r="C29" i="159"/>
  <c r="G28" i="159"/>
  <c r="C29" i="158"/>
  <c r="G28" i="158"/>
  <c r="C29" i="157"/>
  <c r="G28" i="157"/>
  <c r="C29" i="156"/>
  <c r="G28" i="156"/>
  <c r="C30" i="155"/>
  <c r="G29" i="155"/>
  <c r="C30" i="154"/>
  <c r="G29" i="154"/>
  <c r="C29" i="153"/>
  <c r="G28" i="153"/>
  <c r="C29" i="152"/>
  <c r="G28" i="152"/>
  <c r="C29" i="151"/>
  <c r="G28" i="151"/>
  <c r="P2" i="4"/>
  <c r="F23" i="4"/>
  <c r="F22" i="4"/>
  <c r="F21" i="4"/>
  <c r="F18" i="4"/>
  <c r="F12" i="4"/>
  <c r="F7" i="4"/>
  <c r="C30" i="165" l="1"/>
  <c r="G29" i="165"/>
  <c r="C30" i="164"/>
  <c r="G29" i="164"/>
  <c r="C30" i="163"/>
  <c r="G29" i="163"/>
  <c r="C31" i="162"/>
  <c r="G30" i="162"/>
  <c r="C30" i="160"/>
  <c r="G29" i="160"/>
  <c r="C30" i="159"/>
  <c r="G29" i="159"/>
  <c r="C30" i="158"/>
  <c r="G29" i="158"/>
  <c r="C30" i="157"/>
  <c r="G29" i="157"/>
  <c r="C30" i="156"/>
  <c r="G29" i="156"/>
  <c r="C31" i="155"/>
  <c r="G30" i="155"/>
  <c r="C31" i="154"/>
  <c r="G30" i="154"/>
  <c r="C30" i="153"/>
  <c r="G29" i="153"/>
  <c r="C30" i="152"/>
  <c r="G29" i="152"/>
  <c r="C30" i="151"/>
  <c r="G29" i="151"/>
  <c r="B4" i="50"/>
  <c r="D80" i="50"/>
  <c r="P78" i="8"/>
  <c r="M24" i="4"/>
  <c r="AX24" i="4"/>
  <c r="H24" i="4"/>
  <c r="N2" i="4"/>
  <c r="M2" i="4"/>
  <c r="K2" i="4"/>
  <c r="H2" i="4"/>
  <c r="C31" i="165" l="1"/>
  <c r="G30" i="165"/>
  <c r="C31" i="164"/>
  <c r="G30" i="164"/>
  <c r="C31" i="163"/>
  <c r="G30" i="163"/>
  <c r="C32" i="162"/>
  <c r="G31" i="162"/>
  <c r="C31" i="160"/>
  <c r="G30" i="160"/>
  <c r="C31" i="159"/>
  <c r="G30" i="159"/>
  <c r="C31" i="158"/>
  <c r="G30" i="158"/>
  <c r="C31" i="157"/>
  <c r="G30" i="157"/>
  <c r="C31" i="156"/>
  <c r="G30" i="156"/>
  <c r="C32" i="155"/>
  <c r="G31" i="155"/>
  <c r="C32" i="154"/>
  <c r="G31" i="154"/>
  <c r="C31" i="153"/>
  <c r="G30" i="153"/>
  <c r="C31" i="152"/>
  <c r="G30" i="152"/>
  <c r="C31" i="151"/>
  <c r="G30" i="151"/>
  <c r="F5" i="137"/>
  <c r="C32" i="165" l="1"/>
  <c r="G31" i="165"/>
  <c r="C32" i="164"/>
  <c r="G31" i="164"/>
  <c r="C32" i="163"/>
  <c r="G31" i="163"/>
  <c r="G32" i="162"/>
  <c r="C33" i="162"/>
  <c r="C32" i="160"/>
  <c r="G31" i="160"/>
  <c r="C32" i="159"/>
  <c r="G31" i="159"/>
  <c r="C32" i="158"/>
  <c r="G31" i="158"/>
  <c r="C32" i="157"/>
  <c r="G31" i="157"/>
  <c r="G31" i="156"/>
  <c r="C32" i="156"/>
  <c r="C33" i="155"/>
  <c r="G32" i="155"/>
  <c r="G32" i="154"/>
  <c r="C33" i="154"/>
  <c r="C32" i="153"/>
  <c r="G31" i="153"/>
  <c r="C32" i="152"/>
  <c r="G31" i="152"/>
  <c r="C32" i="151"/>
  <c r="G31" i="151"/>
  <c r="P7" i="137"/>
  <c r="C33" i="165" l="1"/>
  <c r="G32" i="165"/>
  <c r="C33" i="164"/>
  <c r="G32" i="164"/>
  <c r="C33" i="163"/>
  <c r="G32" i="163"/>
  <c r="G33" i="162"/>
  <c r="C34" i="162"/>
  <c r="G32" i="160"/>
  <c r="C33" i="160"/>
  <c r="C33" i="159"/>
  <c r="G32" i="159"/>
  <c r="G32" i="158"/>
  <c r="C33" i="158"/>
  <c r="C33" i="157"/>
  <c r="G32" i="157"/>
  <c r="G32" i="156"/>
  <c r="C33" i="156"/>
  <c r="G33" i="155"/>
  <c r="C34" i="155"/>
  <c r="G33" i="154"/>
  <c r="C34" i="154"/>
  <c r="C33" i="153"/>
  <c r="G32" i="153"/>
  <c r="C33" i="152"/>
  <c r="G32" i="152"/>
  <c r="C33" i="151"/>
  <c r="G32" i="151"/>
  <c r="AX5" i="150"/>
  <c r="F11" i="150"/>
  <c r="G33" i="165" l="1"/>
  <c r="C34" i="165"/>
  <c r="G33" i="164"/>
  <c r="C34" i="164"/>
  <c r="G33" i="163"/>
  <c r="C34" i="163"/>
  <c r="G34" i="162"/>
  <c r="C35" i="162"/>
  <c r="G33" i="160"/>
  <c r="C34" i="160"/>
  <c r="G33" i="159"/>
  <c r="C34" i="159"/>
  <c r="G33" i="158"/>
  <c r="C34" i="158"/>
  <c r="G33" i="157"/>
  <c r="C34" i="157"/>
  <c r="G33" i="156"/>
  <c r="C34" i="156"/>
  <c r="G34" i="155"/>
  <c r="C35" i="155"/>
  <c r="G34" i="154"/>
  <c r="C35" i="154"/>
  <c r="G33" i="153"/>
  <c r="C34" i="153"/>
  <c r="G33" i="152"/>
  <c r="C34" i="152"/>
  <c r="G33" i="151"/>
  <c r="C34" i="151"/>
  <c r="D10" i="9"/>
  <c r="E10" i="9"/>
  <c r="F10" i="9"/>
  <c r="G34" i="165" l="1"/>
  <c r="C35" i="165"/>
  <c r="G34" i="164"/>
  <c r="C35" i="164"/>
  <c r="G34" i="163"/>
  <c r="C35" i="163"/>
  <c r="G35" i="162"/>
  <c r="C36" i="162"/>
  <c r="G34" i="160"/>
  <c r="C35" i="160"/>
  <c r="G34" i="159"/>
  <c r="C35" i="159"/>
  <c r="G34" i="158"/>
  <c r="C35" i="158"/>
  <c r="G34" i="157"/>
  <c r="C35" i="157"/>
  <c r="G34" i="156"/>
  <c r="C35" i="156"/>
  <c r="G35" i="155"/>
  <c r="C36" i="155"/>
  <c r="G35" i="154"/>
  <c r="C36" i="154"/>
  <c r="G34" i="153"/>
  <c r="C35" i="153"/>
  <c r="G34" i="152"/>
  <c r="C35" i="152"/>
  <c r="G34" i="151"/>
  <c r="C35" i="151"/>
  <c r="F11" i="9"/>
  <c r="F8" i="9"/>
  <c r="G35" i="165" l="1"/>
  <c r="C36" i="165"/>
  <c r="G35" i="164"/>
  <c r="C36" i="164"/>
  <c r="G35" i="163"/>
  <c r="C36" i="163"/>
  <c r="C37" i="162"/>
  <c r="G36" i="162"/>
  <c r="H32" i="162"/>
  <c r="H34" i="162"/>
  <c r="H36" i="162"/>
  <c r="G35" i="160"/>
  <c r="C36" i="160"/>
  <c r="G35" i="159"/>
  <c r="C36" i="159"/>
  <c r="G35" i="158"/>
  <c r="C36" i="158"/>
  <c r="G35" i="157"/>
  <c r="C36" i="157"/>
  <c r="G35" i="156"/>
  <c r="C36" i="156"/>
  <c r="C37" i="155"/>
  <c r="G36" i="155"/>
  <c r="H29" i="155"/>
  <c r="H33" i="155"/>
  <c r="H34" i="155"/>
  <c r="H36" i="155"/>
  <c r="C37" i="154"/>
  <c r="G36" i="154"/>
  <c r="H34" i="154"/>
  <c r="C36" i="153"/>
  <c r="G35" i="153"/>
  <c r="G35" i="152"/>
  <c r="C36" i="152"/>
  <c r="G35" i="151"/>
  <c r="C36" i="151"/>
  <c r="AX6" i="137"/>
  <c r="O2" i="150"/>
  <c r="C37" i="165" l="1"/>
  <c r="G36" i="165"/>
  <c r="H30" i="165"/>
  <c r="H32" i="165"/>
  <c r="H36" i="165"/>
  <c r="C37" i="164"/>
  <c r="G36" i="164"/>
  <c r="H34" i="164"/>
  <c r="H36" i="164"/>
  <c r="C37" i="163"/>
  <c r="G36" i="163"/>
  <c r="H33" i="163"/>
  <c r="H36" i="163"/>
  <c r="H34" i="163"/>
  <c r="G38" i="162"/>
  <c r="H38" i="162" s="1"/>
  <c r="G37" i="162"/>
  <c r="H37" i="162" s="1"/>
  <c r="H11" i="162"/>
  <c r="H10" i="162"/>
  <c r="H9" i="162"/>
  <c r="H13" i="162"/>
  <c r="H8" i="162"/>
  <c r="H15" i="162"/>
  <c r="H12" i="162"/>
  <c r="H14" i="162"/>
  <c r="H16" i="162"/>
  <c r="H18" i="162"/>
  <c r="H17" i="162"/>
  <c r="H22" i="162"/>
  <c r="H19" i="162"/>
  <c r="H20" i="162"/>
  <c r="H23" i="162"/>
  <c r="H24" i="162"/>
  <c r="H21" i="162"/>
  <c r="H26" i="162"/>
  <c r="H25" i="162"/>
  <c r="H29" i="162"/>
  <c r="H27" i="162"/>
  <c r="H31" i="162"/>
  <c r="H28" i="162"/>
  <c r="H30" i="162"/>
  <c r="H33" i="162"/>
  <c r="H35" i="162"/>
  <c r="C37" i="160"/>
  <c r="G36" i="160"/>
  <c r="H35" i="160"/>
  <c r="H34" i="160"/>
  <c r="H36" i="160"/>
  <c r="C37" i="159"/>
  <c r="G36" i="159"/>
  <c r="H36" i="159"/>
  <c r="H33" i="159"/>
  <c r="C37" i="158"/>
  <c r="G36" i="158"/>
  <c r="H36" i="158" s="1"/>
  <c r="H31" i="158"/>
  <c r="H34" i="158"/>
  <c r="C37" i="157"/>
  <c r="G36" i="157"/>
  <c r="H32" i="157"/>
  <c r="H31" i="157"/>
  <c r="H34" i="157"/>
  <c r="C37" i="156"/>
  <c r="G36" i="156"/>
  <c r="H34" i="156"/>
  <c r="G38" i="155"/>
  <c r="H38" i="155" s="1"/>
  <c r="G37" i="155"/>
  <c r="H37" i="155" s="1"/>
  <c r="H10" i="155"/>
  <c r="H11" i="155"/>
  <c r="H8" i="155"/>
  <c r="H9" i="155" s="1"/>
  <c r="H13" i="155"/>
  <c r="H14" i="155"/>
  <c r="H15" i="155"/>
  <c r="H12" i="155"/>
  <c r="H18" i="155"/>
  <c r="H17" i="155"/>
  <c r="H16" i="155"/>
  <c r="H19" i="155"/>
  <c r="H20" i="155"/>
  <c r="H21" i="155"/>
  <c r="H22" i="155"/>
  <c r="H25" i="155"/>
  <c r="H26" i="155"/>
  <c r="H23" i="155"/>
  <c r="H24" i="155"/>
  <c r="H27" i="155"/>
  <c r="H30" i="155"/>
  <c r="H28" i="155"/>
  <c r="H31" i="155"/>
  <c r="H35" i="155"/>
  <c r="H32" i="155"/>
  <c r="G38" i="154"/>
  <c r="H38" i="154" s="1"/>
  <c r="G37" i="154"/>
  <c r="H37" i="154" s="1"/>
  <c r="H8" i="154"/>
  <c r="H11" i="154"/>
  <c r="H10" i="154"/>
  <c r="H9" i="154"/>
  <c r="H13" i="154" s="1"/>
  <c r="H14" i="154"/>
  <c r="H16" i="154"/>
  <c r="H15" i="154"/>
  <c r="H17" i="154"/>
  <c r="H18" i="154"/>
  <c r="H20" i="154"/>
  <c r="H19" i="154"/>
  <c r="H21" i="154"/>
  <c r="H23" i="154"/>
  <c r="H24" i="154"/>
  <c r="H22" i="154"/>
  <c r="H25" i="154"/>
  <c r="H27" i="154"/>
  <c r="H26" i="154"/>
  <c r="H28" i="154"/>
  <c r="H31" i="154"/>
  <c r="H30" i="154"/>
  <c r="H32" i="154"/>
  <c r="H33" i="154"/>
  <c r="H29" i="154"/>
  <c r="H35" i="154"/>
  <c r="H36" i="154"/>
  <c r="C37" i="153"/>
  <c r="G36" i="153"/>
  <c r="H32" i="153"/>
  <c r="H35" i="153"/>
  <c r="H33" i="153"/>
  <c r="C37" i="152"/>
  <c r="G36" i="152"/>
  <c r="H34" i="152"/>
  <c r="H33" i="152"/>
  <c r="H31" i="152"/>
  <c r="H36" i="152"/>
  <c r="C37" i="151"/>
  <c r="H34" i="151" s="1"/>
  <c r="G36" i="151"/>
  <c r="H33" i="151"/>
  <c r="B25" i="95"/>
  <c r="G38" i="165" l="1"/>
  <c r="H38" i="165" s="1"/>
  <c r="G37" i="165"/>
  <c r="H37" i="165" s="1"/>
  <c r="H8" i="165"/>
  <c r="H9" i="165" s="1"/>
  <c r="H12" i="165"/>
  <c r="H13" i="165"/>
  <c r="H10" i="165"/>
  <c r="H11" i="165"/>
  <c r="H16" i="165"/>
  <c r="H18" i="165"/>
  <c r="H15" i="165"/>
  <c r="H14" i="165"/>
  <c r="H17" i="165"/>
  <c r="H20" i="165"/>
  <c r="H19" i="165"/>
  <c r="H22" i="165"/>
  <c r="H21" i="165"/>
  <c r="H23" i="165"/>
  <c r="H25" i="165"/>
  <c r="H24" i="165"/>
  <c r="H27" i="165"/>
  <c r="H26" i="165"/>
  <c r="H29" i="165"/>
  <c r="H28" i="165"/>
  <c r="H31" i="165"/>
  <c r="H33" i="165"/>
  <c r="H35" i="165"/>
  <c r="H34" i="165"/>
  <c r="G38" i="164"/>
  <c r="H38" i="164" s="1"/>
  <c r="G37" i="164"/>
  <c r="H37" i="164" s="1"/>
  <c r="H9" i="164"/>
  <c r="H10" i="164"/>
  <c r="H8" i="164"/>
  <c r="H11" i="164" s="1"/>
  <c r="H12" i="164"/>
  <c r="H13" i="164"/>
  <c r="H16" i="164"/>
  <c r="H17" i="164"/>
  <c r="H14" i="164"/>
  <c r="H19" i="164"/>
  <c r="H15" i="164"/>
  <c r="H18" i="164"/>
  <c r="H21" i="164"/>
  <c r="H23" i="164"/>
  <c r="H20" i="164"/>
  <c r="H22" i="164"/>
  <c r="H24" i="164"/>
  <c r="H26" i="164"/>
  <c r="H25" i="164"/>
  <c r="H27" i="164"/>
  <c r="H30" i="164"/>
  <c r="H31" i="164"/>
  <c r="H28" i="164"/>
  <c r="H32" i="164"/>
  <c r="H29" i="164"/>
  <c r="H33" i="164"/>
  <c r="H35" i="164"/>
  <c r="G38" i="163"/>
  <c r="H38" i="163" s="1"/>
  <c r="G37" i="163"/>
  <c r="H37" i="163" s="1"/>
  <c r="H9" i="163"/>
  <c r="H11" i="163"/>
  <c r="H10" i="163"/>
  <c r="H8" i="163"/>
  <c r="H15" i="163" s="1"/>
  <c r="H13" i="163"/>
  <c r="H12" i="163"/>
  <c r="H16" i="163"/>
  <c r="H14" i="163"/>
  <c r="H18" i="163"/>
  <c r="H17" i="163"/>
  <c r="H21" i="163"/>
  <c r="H19" i="163"/>
  <c r="H23" i="163"/>
  <c r="H20" i="163"/>
  <c r="H22" i="163"/>
  <c r="H24" i="163"/>
  <c r="H29" i="163"/>
  <c r="H25" i="163"/>
  <c r="H27" i="163"/>
  <c r="H26" i="163"/>
  <c r="H30" i="163"/>
  <c r="H31" i="163"/>
  <c r="H28" i="163"/>
  <c r="H32" i="163"/>
  <c r="H35" i="163"/>
  <c r="G38" i="160"/>
  <c r="H38" i="160" s="1"/>
  <c r="G37" i="160"/>
  <c r="H37" i="160" s="1"/>
  <c r="H9" i="160"/>
  <c r="H8" i="160"/>
  <c r="H10" i="160"/>
  <c r="H12" i="160"/>
  <c r="H13" i="160"/>
  <c r="H11" i="160"/>
  <c r="H15" i="160"/>
  <c r="H14" i="160"/>
  <c r="H17" i="160"/>
  <c r="H16" i="160"/>
  <c r="H18" i="160"/>
  <c r="H19" i="160"/>
  <c r="H20" i="160"/>
  <c r="H23" i="160"/>
  <c r="H24" i="160"/>
  <c r="H22" i="160"/>
  <c r="H21" i="160"/>
  <c r="H25" i="160"/>
  <c r="H26" i="160"/>
  <c r="H27" i="160"/>
  <c r="H29" i="160"/>
  <c r="H28" i="160"/>
  <c r="H31" i="160"/>
  <c r="H33" i="160"/>
  <c r="H30" i="160"/>
  <c r="H32" i="160"/>
  <c r="G38" i="159"/>
  <c r="H38" i="159" s="1"/>
  <c r="G37" i="159"/>
  <c r="H37" i="159" s="1"/>
  <c r="H9" i="159"/>
  <c r="H8" i="159"/>
  <c r="H10" i="159" s="1"/>
  <c r="H11" i="159"/>
  <c r="H13" i="159"/>
  <c r="H12" i="159"/>
  <c r="H15" i="159"/>
  <c r="H14" i="159"/>
  <c r="H16" i="159"/>
  <c r="H17" i="159"/>
  <c r="H20" i="159"/>
  <c r="H18" i="159"/>
  <c r="H19" i="159"/>
  <c r="H22" i="159"/>
  <c r="H23" i="159"/>
  <c r="H21" i="159"/>
  <c r="H26" i="159"/>
  <c r="H25" i="159"/>
  <c r="H24" i="159"/>
  <c r="H30" i="159"/>
  <c r="H27" i="159"/>
  <c r="H28" i="159"/>
  <c r="H29" i="159"/>
  <c r="H31" i="159"/>
  <c r="H32" i="159"/>
  <c r="H35" i="159"/>
  <c r="H34" i="159"/>
  <c r="G38" i="158"/>
  <c r="H38" i="158" s="1"/>
  <c r="G37" i="158"/>
  <c r="H37" i="158" s="1"/>
  <c r="H9" i="158"/>
  <c r="H8" i="158"/>
  <c r="H10" i="158" s="1"/>
  <c r="H11" i="158"/>
  <c r="H14" i="158"/>
  <c r="H12" i="158"/>
  <c r="H13" i="158"/>
  <c r="H15" i="158"/>
  <c r="H17" i="158"/>
  <c r="H16" i="158"/>
  <c r="H20" i="158"/>
  <c r="H18" i="158"/>
  <c r="H19" i="158"/>
  <c r="H22" i="158"/>
  <c r="H24" i="158"/>
  <c r="H21" i="158"/>
  <c r="H23" i="158"/>
  <c r="H25" i="158"/>
  <c r="H26" i="158"/>
  <c r="H27" i="158"/>
  <c r="H32" i="158"/>
  <c r="H30" i="158"/>
  <c r="H35" i="158"/>
  <c r="H33" i="158"/>
  <c r="H29" i="158"/>
  <c r="H28" i="158"/>
  <c r="G38" i="157"/>
  <c r="H38" i="157" s="1"/>
  <c r="G37" i="157"/>
  <c r="H37" i="157" s="1"/>
  <c r="H10" i="157"/>
  <c r="H8" i="157"/>
  <c r="H9" i="157" s="1"/>
  <c r="H13" i="157"/>
  <c r="H11" i="157"/>
  <c r="H12" i="157"/>
  <c r="H15" i="157"/>
  <c r="H14" i="157"/>
  <c r="H16" i="157"/>
  <c r="H17" i="157"/>
  <c r="H18" i="157"/>
  <c r="H19" i="157"/>
  <c r="H21" i="157"/>
  <c r="H22" i="157"/>
  <c r="H20" i="157"/>
  <c r="H24" i="157"/>
  <c r="H25" i="157"/>
  <c r="H23" i="157"/>
  <c r="H27" i="157"/>
  <c r="H28" i="157"/>
  <c r="H26" i="157"/>
  <c r="H30" i="157"/>
  <c r="H29" i="157"/>
  <c r="H33" i="157"/>
  <c r="H36" i="157"/>
  <c r="H35" i="157"/>
  <c r="G38" i="156"/>
  <c r="H38" i="156" s="1"/>
  <c r="G37" i="156"/>
  <c r="H8" i="156"/>
  <c r="H9" i="156" s="1"/>
  <c r="H10" i="156"/>
  <c r="H11" i="156"/>
  <c r="H13" i="156"/>
  <c r="H14" i="156"/>
  <c r="H12" i="156"/>
  <c r="H16" i="156"/>
  <c r="H18" i="156"/>
  <c r="H15" i="156"/>
  <c r="H17" i="156"/>
  <c r="H19" i="156"/>
  <c r="H22" i="156"/>
  <c r="H20" i="156"/>
  <c r="H25" i="156"/>
  <c r="H21" i="156"/>
  <c r="H24" i="156"/>
  <c r="H27" i="156"/>
  <c r="H23" i="156"/>
  <c r="H26" i="156"/>
  <c r="H28" i="156"/>
  <c r="H30" i="156"/>
  <c r="H31" i="156"/>
  <c r="H32" i="156"/>
  <c r="H29" i="156"/>
  <c r="H35" i="156"/>
  <c r="H37" i="156"/>
  <c r="H33" i="156"/>
  <c r="H36" i="156"/>
  <c r="G38" i="153"/>
  <c r="H38" i="153" s="1"/>
  <c r="G37" i="153"/>
  <c r="H37" i="153" s="1"/>
  <c r="H8" i="153"/>
  <c r="H10" i="153" s="1"/>
  <c r="H9" i="153"/>
  <c r="H11" i="153"/>
  <c r="H13" i="153"/>
  <c r="H14" i="153"/>
  <c r="H12" i="153"/>
  <c r="H15" i="153"/>
  <c r="H16" i="153"/>
  <c r="H18" i="153"/>
  <c r="H20" i="153"/>
  <c r="H17" i="153"/>
  <c r="H22" i="153"/>
  <c r="H21" i="153"/>
  <c r="H19" i="153"/>
  <c r="H23" i="153"/>
  <c r="H25" i="153"/>
  <c r="H24" i="153"/>
  <c r="H27" i="153"/>
  <c r="H26" i="153"/>
  <c r="H28" i="153"/>
  <c r="H36" i="153"/>
  <c r="H34" i="153"/>
  <c r="H31" i="153"/>
  <c r="H29" i="153"/>
  <c r="H30" i="153"/>
  <c r="G38" i="152"/>
  <c r="H38" i="152" s="1"/>
  <c r="G37" i="152"/>
  <c r="H37" i="152" s="1"/>
  <c r="H8" i="152"/>
  <c r="H10" i="152"/>
  <c r="H12" i="152"/>
  <c r="H9" i="152"/>
  <c r="H13" i="152"/>
  <c r="H14" i="152"/>
  <c r="H11" i="152"/>
  <c r="H15" i="152"/>
  <c r="H16" i="152"/>
  <c r="H17" i="152"/>
  <c r="H18" i="152"/>
  <c r="H20" i="152"/>
  <c r="H19" i="152"/>
  <c r="H21" i="152"/>
  <c r="H22" i="152"/>
  <c r="H23" i="152"/>
  <c r="H24" i="152"/>
  <c r="H25" i="152"/>
  <c r="H26" i="152"/>
  <c r="H28" i="152"/>
  <c r="H27" i="152"/>
  <c r="H30" i="152"/>
  <c r="H29" i="152"/>
  <c r="H32" i="152"/>
  <c r="H35" i="152"/>
  <c r="H36" i="151"/>
  <c r="G38" i="151"/>
  <c r="H38" i="151" s="1"/>
  <c r="G37" i="151"/>
  <c r="H37" i="151" s="1"/>
  <c r="H8" i="151"/>
  <c r="H10" i="151"/>
  <c r="H11" i="151"/>
  <c r="H14" i="151"/>
  <c r="H9" i="151"/>
  <c r="H13" i="151"/>
  <c r="H12" i="151"/>
  <c r="H16" i="151"/>
  <c r="H17" i="151"/>
  <c r="H15" i="151"/>
  <c r="H22" i="151"/>
  <c r="H21" i="151"/>
  <c r="H20" i="151"/>
  <c r="H23" i="151"/>
  <c r="H24" i="151"/>
  <c r="H25" i="151"/>
  <c r="H27" i="151"/>
  <c r="H26" i="151"/>
  <c r="H28" i="151"/>
  <c r="H30" i="151"/>
  <c r="H29" i="151"/>
  <c r="H31" i="151"/>
  <c r="H32" i="151"/>
  <c r="H35" i="151"/>
  <c r="G1" i="50"/>
  <c r="H19" i="151" l="1"/>
  <c r="AX6" i="150"/>
  <c r="AX7" i="150"/>
  <c r="AX8" i="150"/>
  <c r="AX9" i="150"/>
  <c r="AX10" i="150"/>
  <c r="AX11" i="150"/>
  <c r="AX12" i="150"/>
  <c r="D9" i="150"/>
  <c r="D10" i="150"/>
  <c r="D11" i="150"/>
  <c r="P2" i="150" l="1"/>
  <c r="D20" i="95" l="1"/>
  <c r="M8" i="137"/>
  <c r="G8" i="137"/>
  <c r="H8" i="137" l="1"/>
  <c r="H2" i="137" s="1"/>
  <c r="I8" i="137" l="1"/>
  <c r="J8" i="137"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AQ4" i="150" l="1"/>
  <c r="G6" i="9"/>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I58" i="50" s="1"/>
  <c r="D59" i="50"/>
  <c r="I59" i="50" s="1"/>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I43" i="50" s="1"/>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I36" i="50" s="1"/>
  <c r="D37" i="50"/>
  <c r="I37" i="50" s="1"/>
  <c r="D38" i="50"/>
  <c r="I38" i="50" s="1"/>
  <c r="D39" i="50"/>
  <c r="I39" i="50" s="1"/>
  <c r="D40" i="50"/>
  <c r="I40" i="50" s="1"/>
  <c r="D41" i="50"/>
  <c r="I41" i="50" s="1"/>
  <c r="D42" i="50"/>
  <c r="I42" i="50" s="1"/>
  <c r="D44" i="50"/>
  <c r="I44" i="50" s="1"/>
  <c r="D45" i="50"/>
  <c r="I45" i="50" s="1"/>
  <c r="D46" i="50"/>
  <c r="I46" i="50" s="1"/>
  <c r="D47" i="50"/>
  <c r="I47" i="50" s="1"/>
  <c r="D48" i="50"/>
  <c r="I48" i="50" s="1"/>
  <c r="D49" i="50"/>
  <c r="I49" i="50" s="1"/>
  <c r="D50" i="50"/>
  <c r="I50" i="50" s="1"/>
  <c r="D51" i="50"/>
  <c r="I51" i="50" s="1"/>
  <c r="D52" i="50"/>
  <c r="I52" i="50" s="1"/>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4" i="1" s="1"/>
  <c r="M10" i="1"/>
  <c r="M11" i="1"/>
  <c r="M12" i="1"/>
  <c r="M13" i="1"/>
  <c r="M14" i="1"/>
  <c r="M15" i="1"/>
  <c r="M16" i="1"/>
  <c r="M17" i="1"/>
  <c r="M18" i="1"/>
  <c r="M19" i="1"/>
  <c r="M5" i="1"/>
  <c r="H6" i="1"/>
  <c r="H7" i="1"/>
  <c r="H8" i="1"/>
  <c r="H9" i="1"/>
  <c r="H4" i="1" s="1"/>
  <c r="H10" i="1"/>
  <c r="H11" i="1"/>
  <c r="H12" i="1"/>
  <c r="H13" i="1"/>
  <c r="H14" i="1"/>
  <c r="H15" i="1"/>
  <c r="H16" i="1"/>
  <c r="H17" i="1"/>
  <c r="H18" i="1"/>
  <c r="H19" i="1"/>
  <c r="C12" i="9" l="1"/>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G68" i="50"/>
  <c r="I68" i="50" s="1"/>
  <c r="G69" i="50"/>
  <c r="I69" i="50" s="1"/>
  <c r="I25" i="1"/>
  <c r="G62" i="50" s="1"/>
  <c r="I62" i="50" s="1"/>
  <c r="I24" i="1"/>
  <c r="J24" i="1" s="1"/>
  <c r="G61" i="50" s="1"/>
  <c r="I61" i="50" s="1"/>
  <c r="G64" i="50"/>
  <c r="I64" i="50" s="1"/>
  <c r="I23" i="1"/>
  <c r="J23" i="1" s="1"/>
  <c r="G60" i="50" s="1"/>
  <c r="I60" i="50" s="1"/>
  <c r="G65" i="50"/>
  <c r="I65" i="50" s="1"/>
  <c r="C13" i="9"/>
  <c r="L4" i="5"/>
  <c r="G4" i="5"/>
  <c r="H24" i="5" s="1"/>
  <c r="I5" i="1"/>
  <c r="G63" i="50" l="1"/>
  <c r="I63" i="50" s="1"/>
  <c r="G13" i="9"/>
  <c r="C14" i="9"/>
  <c r="I24" i="5"/>
  <c r="K24" i="1"/>
  <c r="K25"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14" i="9" l="1"/>
  <c r="J24" i="5"/>
  <c r="I12" i="5"/>
  <c r="I11" i="5"/>
  <c r="I15" i="5"/>
  <c r="I19" i="5"/>
  <c r="I5" i="5"/>
  <c r="I7" i="5"/>
  <c r="I18" i="5"/>
  <c r="I10" i="5"/>
  <c r="I14" i="5"/>
  <c r="I8" i="5"/>
  <c r="I13" i="5"/>
  <c r="I17" i="5"/>
  <c r="I21" i="5"/>
  <c r="I22" i="5"/>
  <c r="I20" i="5"/>
  <c r="I6" i="5"/>
  <c r="I9" i="5"/>
  <c r="J9" i="5" s="1"/>
  <c r="I23" i="5"/>
  <c r="I16" i="5"/>
  <c r="K15" i="1"/>
  <c r="K22" i="1"/>
  <c r="K7" i="1"/>
  <c r="K17" i="1"/>
  <c r="K16" i="1"/>
  <c r="K6" i="1"/>
  <c r="K18" i="1"/>
  <c r="K14" i="1"/>
  <c r="K19" i="1"/>
  <c r="K11" i="1"/>
  <c r="K10" i="1"/>
  <c r="K8" i="1"/>
  <c r="K21" i="1"/>
  <c r="K9" i="1"/>
  <c r="K12" i="1"/>
  <c r="K13" i="1"/>
  <c r="K5" i="1"/>
  <c r="K4" i="1" s="1"/>
  <c r="C15" i="9"/>
  <c r="AT48" i="50"/>
  <c r="O39" i="50"/>
  <c r="AV37" i="50"/>
  <c r="AM24" i="50"/>
  <c r="AR6" i="50"/>
  <c r="AH11" i="50"/>
  <c r="X51" i="50"/>
  <c r="AS31" i="50"/>
  <c r="Z14" i="50"/>
  <c r="N54" i="50"/>
  <c r="AX30" i="50"/>
  <c r="AR20" i="50"/>
  <c r="BC56" i="50"/>
  <c r="AW32" i="50"/>
  <c r="U78" i="50"/>
  <c r="AI7" i="50"/>
  <c r="AK74" i="50"/>
  <c r="AU73" i="50"/>
  <c r="AT39" i="50"/>
  <c r="M30" i="50"/>
  <c r="BC54" i="50"/>
  <c r="AJ71" i="50"/>
  <c r="AL57" i="50"/>
  <c r="AG38" i="50"/>
  <c r="V71" i="50"/>
  <c r="N48" i="50"/>
  <c r="X65" i="50"/>
  <c r="AI46" i="50"/>
  <c r="AH58" i="50"/>
  <c r="V63" i="50"/>
  <c r="R65" i="50"/>
  <c r="L38" i="50"/>
  <c r="AU62" i="50"/>
  <c r="AV41" i="50"/>
  <c r="AF38" i="50"/>
  <c r="AU44" i="50"/>
  <c r="AR43" i="50"/>
  <c r="N19" i="50"/>
  <c r="T10" i="50"/>
  <c r="X16" i="50"/>
  <c r="BA56" i="50"/>
  <c r="Y16" i="50"/>
  <c r="Q10" i="50"/>
  <c r="AH6" i="50"/>
  <c r="AN42" i="50"/>
  <c r="BC63" i="50"/>
  <c r="Y49" i="50"/>
  <c r="AK10" i="50"/>
  <c r="AI41" i="50"/>
  <c r="AK18" i="50"/>
  <c r="AJ32" i="50"/>
  <c r="V59" i="50"/>
  <c r="AF51" i="50"/>
  <c r="AR67" i="50"/>
  <c r="AI75" i="50"/>
  <c r="V18" i="50"/>
  <c r="AB18" i="50"/>
  <c r="S44" i="50"/>
  <c r="AM73" i="50"/>
  <c r="AG13" i="50"/>
  <c r="Z66" i="50"/>
  <c r="AE34" i="50"/>
  <c r="T33" i="50"/>
  <c r="Y54" i="50"/>
  <c r="AG67" i="50"/>
  <c r="AV23" i="50"/>
  <c r="AZ18" i="50"/>
  <c r="AY24" i="50"/>
  <c r="AE80" i="50"/>
  <c r="BB16" i="50"/>
  <c r="BA4" i="50"/>
  <c r="AU71" i="50"/>
  <c r="N49" i="50"/>
  <c r="Z15" i="50"/>
  <c r="X71" i="50"/>
  <c r="W37" i="50"/>
  <c r="L22" i="50"/>
  <c r="S20" i="50"/>
  <c r="P69" i="50"/>
  <c r="AS47" i="50"/>
  <c r="BA75" i="50"/>
  <c r="R37" i="50"/>
  <c r="AX32" i="50"/>
  <c r="AS7" i="50"/>
  <c r="AO80" i="50"/>
  <c r="AX50" i="50"/>
  <c r="R10" i="50"/>
  <c r="AB12" i="50"/>
  <c r="U35" i="50"/>
  <c r="Q70" i="50"/>
  <c r="N34" i="50"/>
  <c r="L18" i="50"/>
  <c r="AM34" i="50"/>
  <c r="AY38" i="50"/>
  <c r="AM69" i="50"/>
  <c r="U52" i="50"/>
  <c r="AV13" i="50"/>
  <c r="AK76" i="50"/>
  <c r="BA64" i="50"/>
  <c r="Q63" i="50"/>
  <c r="AM72" i="50"/>
  <c r="AY49" i="50"/>
  <c r="AV29" i="50"/>
  <c r="AI80" i="50"/>
  <c r="AV9" i="50"/>
  <c r="R36" i="50"/>
  <c r="L52" i="50"/>
  <c r="N64" i="50"/>
  <c r="AH12" i="50"/>
  <c r="AW29" i="50"/>
  <c r="AA73" i="50"/>
  <c r="L66" i="50"/>
  <c r="S56" i="50"/>
  <c r="AI47" i="50"/>
  <c r="P73" i="50"/>
  <c r="AY35" i="50"/>
  <c r="BC36" i="50"/>
  <c r="AP80" i="50"/>
  <c r="AC36" i="50"/>
  <c r="AT65" i="50"/>
  <c r="AP50" i="50"/>
  <c r="U28" i="50"/>
  <c r="AH34" i="50"/>
  <c r="N39" i="50"/>
  <c r="AK77" i="50"/>
  <c r="AB73" i="50"/>
  <c r="AP79" i="50"/>
  <c r="AC62" i="50"/>
  <c r="P65" i="50"/>
  <c r="X60" i="50"/>
  <c r="T8" i="50"/>
  <c r="AO52" i="50"/>
  <c r="Y59" i="50"/>
  <c r="AE41" i="50"/>
  <c r="Z30" i="50"/>
  <c r="P44" i="50"/>
  <c r="AB16" i="50"/>
  <c r="AR73" i="50"/>
  <c r="AM63" i="50"/>
  <c r="AY13" i="50"/>
  <c r="AN7" i="50"/>
  <c r="T32" i="50"/>
  <c r="AW56" i="50"/>
  <c r="AY19" i="50"/>
  <c r="P49" i="50"/>
  <c r="BB53" i="50"/>
  <c r="AY77" i="50"/>
  <c r="AV68" i="50"/>
  <c r="Q14" i="50"/>
  <c r="P41" i="50"/>
  <c r="N72" i="50"/>
  <c r="L60" i="50"/>
  <c r="BC13" i="50"/>
  <c r="V5" i="50"/>
  <c r="Q54" i="50"/>
  <c r="AW60" i="50"/>
  <c r="AD24" i="50"/>
  <c r="AU42" i="50"/>
  <c r="AC6" i="50"/>
  <c r="AI13" i="50"/>
  <c r="AA28" i="50"/>
  <c r="AD54" i="50"/>
  <c r="AK60" i="50"/>
  <c r="N60" i="50"/>
  <c r="M32" i="50"/>
  <c r="AL44" i="50"/>
  <c r="AB13" i="50"/>
  <c r="AG44" i="50"/>
  <c r="N26" i="50"/>
  <c r="O11" i="50"/>
  <c r="V61" i="50"/>
  <c r="AW39" i="50"/>
  <c r="X80" i="50"/>
  <c r="O67" i="50"/>
  <c r="AN46" i="50"/>
  <c r="AT17" i="50"/>
  <c r="O6" i="50"/>
  <c r="AN33" i="50"/>
  <c r="V66" i="50"/>
  <c r="V57" i="50"/>
  <c r="AA71" i="50"/>
  <c r="AT44" i="50"/>
  <c r="AM49" i="50"/>
  <c r="AV79" i="50"/>
  <c r="AX7" i="50"/>
  <c r="AC63" i="50"/>
  <c r="AZ38" i="50"/>
  <c r="AS73" i="50"/>
  <c r="N14" i="50"/>
  <c r="AB74" i="50"/>
  <c r="AK7" i="50"/>
  <c r="AX43" i="50"/>
  <c r="AU26" i="50"/>
  <c r="AO8" i="50"/>
  <c r="AX44" i="50"/>
  <c r="AQ78" i="50"/>
  <c r="BA9" i="50"/>
  <c r="AJ80" i="50"/>
  <c r="AB28" i="50"/>
  <c r="O60" i="50"/>
  <c r="AC45" i="50"/>
  <c r="V79" i="50"/>
  <c r="L29" i="50"/>
  <c r="AI44" i="50"/>
  <c r="AU23" i="50"/>
  <c r="AZ5" i="50"/>
  <c r="L49" i="50"/>
  <c r="AA8" i="50"/>
  <c r="AZ10" i="50"/>
  <c r="AA15" i="50"/>
  <c r="AR75" i="50"/>
  <c r="AW43" i="50"/>
  <c r="AJ14" i="50"/>
  <c r="P77" i="50"/>
  <c r="Y29" i="50"/>
  <c r="AU7" i="50"/>
  <c r="AR22" i="50"/>
  <c r="BB48" i="50"/>
  <c r="T62" i="50"/>
  <c r="AJ24" i="50"/>
  <c r="AQ27" i="50"/>
  <c r="AY57" i="50"/>
  <c r="L80" i="50"/>
  <c r="AZ39" i="50"/>
  <c r="V36" i="50"/>
  <c r="W13" i="50"/>
  <c r="N25" i="50"/>
  <c r="AY16" i="50"/>
  <c r="S53" i="50"/>
  <c r="BB66" i="50"/>
  <c r="BC10" i="50"/>
  <c r="V22" i="50"/>
  <c r="AU57" i="50"/>
  <c r="N24" i="50"/>
  <c r="X45" i="50"/>
  <c r="AS20" i="50"/>
  <c r="M75" i="50"/>
  <c r="N15" i="50"/>
  <c r="R8" i="50"/>
  <c r="AI14" i="50"/>
  <c r="AD65" i="50"/>
  <c r="AT4" i="50"/>
  <c r="Y48" i="50"/>
  <c r="AT18" i="50"/>
  <c r="AD10" i="50"/>
  <c r="AP6" i="50"/>
  <c r="AH47" i="50"/>
  <c r="AL8" i="50"/>
  <c r="AK52" i="50"/>
  <c r="AA6" i="50"/>
  <c r="AM47" i="50"/>
  <c r="AK69" i="50"/>
  <c r="T40" i="50"/>
  <c r="L41" i="50"/>
  <c r="AC67" i="50"/>
  <c r="T25" i="50"/>
  <c r="AQ44" i="50"/>
  <c r="AT31" i="50"/>
  <c r="O22" i="50"/>
  <c r="AJ56" i="50"/>
  <c r="W73" i="50"/>
  <c r="AW76" i="50"/>
  <c r="AA54" i="50"/>
  <c r="AM46" i="50"/>
  <c r="N51" i="50"/>
  <c r="AE33" i="50"/>
  <c r="AF61" i="50"/>
  <c r="M63" i="50"/>
  <c r="Z11" i="50"/>
  <c r="AD69" i="50"/>
  <c r="AZ72" i="50"/>
  <c r="AF24" i="50"/>
  <c r="AP26" i="50"/>
  <c r="AY58" i="50"/>
  <c r="AA74" i="50"/>
  <c r="AQ60" i="50"/>
  <c r="S58" i="50"/>
  <c r="AT30" i="50"/>
  <c r="AJ40" i="50"/>
  <c r="AT29" i="50"/>
  <c r="BB64" i="50"/>
  <c r="AU41" i="50"/>
  <c r="BC37" i="50"/>
  <c r="AZ6" i="50"/>
  <c r="AB47" i="50"/>
  <c r="S55" i="50"/>
  <c r="AL43" i="50"/>
  <c r="Z52" i="50"/>
  <c r="Y20" i="50"/>
  <c r="O44" i="50"/>
  <c r="AZ35" i="50"/>
  <c r="Z75" i="50"/>
  <c r="AB50" i="50"/>
  <c r="AP11" i="50"/>
  <c r="Z27" i="50"/>
  <c r="AU65" i="50"/>
  <c r="R34" i="50"/>
  <c r="AF63" i="50"/>
  <c r="AS6" i="50"/>
  <c r="R21" i="50"/>
  <c r="AW73" i="50"/>
  <c r="N20" i="50"/>
  <c r="AE15" i="50"/>
  <c r="AS53" i="50"/>
  <c r="V78" i="50"/>
  <c r="Q67" i="50"/>
  <c r="AU67" i="50"/>
  <c r="S45" i="50"/>
  <c r="L19" i="50"/>
  <c r="BC44" i="50"/>
  <c r="AR13" i="50"/>
  <c r="AJ65" i="50"/>
  <c r="BB59" i="50"/>
  <c r="AU31" i="50"/>
  <c r="Y78" i="50"/>
  <c r="V33" i="50"/>
  <c r="AO12" i="50"/>
  <c r="P25" i="50"/>
  <c r="AR65" i="50"/>
  <c r="AK27" i="50"/>
  <c r="AG19" i="50"/>
  <c r="AP71" i="50"/>
  <c r="AP40" i="50"/>
  <c r="AC78" i="50"/>
  <c r="N29" i="50"/>
  <c r="AY56" i="50"/>
  <c r="AC32" i="50"/>
  <c r="AL5" i="50"/>
  <c r="X50" i="50"/>
  <c r="Z71" i="50"/>
  <c r="U70" i="50"/>
  <c r="AC76" i="50"/>
  <c r="AW30" i="50"/>
  <c r="M65" i="50"/>
  <c r="BB26" i="50"/>
  <c r="AS41" i="50"/>
  <c r="AM11" i="50"/>
  <c r="Q40" i="50"/>
  <c r="AY75" i="50"/>
  <c r="W69" i="50"/>
  <c r="AW70" i="50"/>
  <c r="AG48" i="50"/>
  <c r="AP9" i="50"/>
  <c r="AO28" i="50"/>
  <c r="AZ26" i="50"/>
  <c r="AC80" i="50"/>
  <c r="AH63" i="50"/>
  <c r="O59" i="50"/>
  <c r="X22" i="50"/>
  <c r="P14" i="50"/>
  <c r="AS60" i="50"/>
  <c r="AP61" i="50"/>
  <c r="AP74" i="50"/>
  <c r="BB5" i="50"/>
  <c r="V56" i="50"/>
  <c r="T64" i="50"/>
  <c r="AM28" i="50"/>
  <c r="AS49" i="50"/>
  <c r="AR51" i="50"/>
  <c r="T29" i="50"/>
  <c r="L16" i="50"/>
  <c r="AP64" i="50"/>
  <c r="AP10" i="50"/>
  <c r="AP76" i="50"/>
  <c r="AB32" i="50"/>
  <c r="AW37" i="50"/>
  <c r="Z73" i="50"/>
  <c r="Q55" i="50"/>
  <c r="L50" i="50"/>
  <c r="BC57" i="50"/>
  <c r="AQ56" i="50"/>
  <c r="V43" i="50"/>
  <c r="AR30" i="50"/>
  <c r="P7" i="50"/>
  <c r="S35" i="50"/>
  <c r="AP37" i="50"/>
  <c r="AG63" i="50"/>
  <c r="AR70" i="50"/>
  <c r="AQ19" i="50"/>
  <c r="AQ80" i="50"/>
  <c r="AP77" i="50"/>
  <c r="M73" i="50"/>
  <c r="V74" i="50"/>
  <c r="AP48" i="50"/>
  <c r="Q37" i="50"/>
  <c r="AE37" i="50"/>
  <c r="W50" i="50"/>
  <c r="AH46" i="50"/>
  <c r="AX31" i="50"/>
  <c r="R72" i="50"/>
  <c r="AC12" i="50"/>
  <c r="R80" i="50"/>
  <c r="AR10" i="50"/>
  <c r="AX38" i="50"/>
  <c r="AJ64" i="50"/>
  <c r="T70" i="50"/>
  <c r="V46" i="50"/>
  <c r="AR27" i="50"/>
  <c r="W38" i="50"/>
  <c r="N38" i="50"/>
  <c r="BC16" i="50"/>
  <c r="AZ42" i="50"/>
  <c r="AE71" i="50"/>
  <c r="N70" i="50"/>
  <c r="S48" i="50"/>
  <c r="AI74" i="50"/>
  <c r="Z40" i="50"/>
  <c r="AT69" i="50"/>
  <c r="AT74" i="50"/>
  <c r="AC70" i="50"/>
  <c r="AU32" i="50"/>
  <c r="BC71" i="50"/>
  <c r="AS15" i="50"/>
  <c r="AF20" i="50"/>
  <c r="AZ51" i="50"/>
  <c r="AF40" i="50"/>
  <c r="AY67" i="50"/>
  <c r="M49" i="50"/>
  <c r="AH54" i="50"/>
  <c r="M56" i="50"/>
  <c r="BC45" i="50"/>
  <c r="AZ19" i="50"/>
  <c r="AB27" i="50"/>
  <c r="AG18" i="50"/>
  <c r="AO32" i="50"/>
  <c r="S39" i="50"/>
  <c r="BA70" i="50"/>
  <c r="AN68" i="50"/>
  <c r="L63" i="50"/>
  <c r="O19" i="50"/>
  <c r="AQ70" i="50"/>
  <c r="Y64" i="50"/>
  <c r="AY80" i="50"/>
  <c r="AT58" i="50"/>
  <c r="V32" i="50"/>
  <c r="AF30" i="50"/>
  <c r="U69" i="50"/>
  <c r="AI59" i="50"/>
  <c r="AQ31" i="50"/>
  <c r="AU6" i="50"/>
  <c r="BC23" i="50"/>
  <c r="AN5" i="50"/>
  <c r="BB7" i="50"/>
  <c r="Z67" i="50"/>
  <c r="BB22" i="50"/>
  <c r="AO54" i="50"/>
  <c r="AQ51" i="50"/>
  <c r="AO31" i="50"/>
  <c r="AX23" i="50"/>
  <c r="AR33" i="50"/>
  <c r="Z51" i="50"/>
  <c r="AG72" i="50"/>
  <c r="AQ30" i="50"/>
  <c r="AB64" i="50"/>
  <c r="AK21" i="50"/>
  <c r="AA66" i="50"/>
  <c r="AO39" i="50"/>
  <c r="U26" i="50"/>
  <c r="AD58" i="50"/>
  <c r="AS50" i="50"/>
  <c r="BC18" i="50"/>
  <c r="P48" i="50"/>
  <c r="AS70" i="50"/>
  <c r="AL60" i="50"/>
  <c r="AA23" i="50"/>
  <c r="AD72" i="50"/>
  <c r="AH10" i="50"/>
  <c r="AG31" i="50"/>
  <c r="L56" i="50"/>
  <c r="AJ60" i="50"/>
  <c r="M13" i="50"/>
  <c r="AG73" i="50"/>
  <c r="W55" i="50"/>
  <c r="M11" i="50"/>
  <c r="U54" i="50"/>
  <c r="AU48" i="50"/>
  <c r="AP59" i="50"/>
  <c r="Z12" i="50"/>
  <c r="X62" i="50"/>
  <c r="AM50" i="50"/>
  <c r="AB19" i="50"/>
  <c r="AA52" i="50"/>
  <c r="X70" i="50"/>
  <c r="AM80" i="50"/>
  <c r="AI60" i="50"/>
  <c r="S40" i="50"/>
  <c r="AS44" i="50"/>
  <c r="S18" i="50"/>
  <c r="AF54" i="50"/>
  <c r="AH51" i="50"/>
  <c r="AF55" i="50"/>
  <c r="AP16" i="50"/>
  <c r="AZ61" i="50"/>
  <c r="W25" i="50"/>
  <c r="AS33" i="50"/>
  <c r="N63" i="50"/>
  <c r="AH31" i="50"/>
  <c r="BB4" i="50"/>
  <c r="AX19" i="50"/>
  <c r="U36" i="50"/>
  <c r="AX59" i="50"/>
  <c r="AC52" i="50"/>
  <c r="W41" i="50"/>
  <c r="AW67" i="50"/>
  <c r="BB63" i="50"/>
  <c r="O43" i="50"/>
  <c r="BA59" i="50"/>
  <c r="AC72" i="50"/>
  <c r="AN30" i="50"/>
  <c r="M16" i="50"/>
  <c r="P27" i="50"/>
  <c r="Y60" i="50"/>
  <c r="Y53" i="50"/>
  <c r="AD23" i="50"/>
  <c r="AR60" i="50"/>
  <c r="AO72" i="50"/>
  <c r="V40" i="50"/>
  <c r="M46" i="50"/>
  <c r="AQ73" i="50"/>
  <c r="M79" i="50"/>
  <c r="R53" i="50"/>
  <c r="V25" i="50"/>
  <c r="AA10" i="50"/>
  <c r="Q38" i="50"/>
  <c r="BA46" i="50"/>
  <c r="AB56" i="50"/>
  <c r="AM12" i="50"/>
  <c r="BC79" i="50"/>
  <c r="AA24" i="50"/>
  <c r="BA71" i="50"/>
  <c r="AG12" i="50"/>
  <c r="AV44" i="50"/>
  <c r="X68" i="50"/>
  <c r="AW72" i="50"/>
  <c r="V45" i="50"/>
  <c r="AQ43" i="50"/>
  <c r="O63" i="50"/>
  <c r="Q59" i="50"/>
  <c r="AL10" i="50"/>
  <c r="AX48" i="50"/>
  <c r="Y65" i="50"/>
  <c r="AK43" i="50"/>
  <c r="BB23" i="50"/>
  <c r="AD26" i="50"/>
  <c r="AQ15" i="50"/>
  <c r="AS69" i="50"/>
  <c r="AC11" i="50"/>
  <c r="AG33" i="50"/>
  <c r="AI58" i="50"/>
  <c r="Z10" i="50"/>
  <c r="L10" i="50"/>
  <c r="Q78" i="50"/>
  <c r="AQ11" i="50"/>
  <c r="AA80" i="50"/>
  <c r="S7" i="50"/>
  <c r="S67" i="50"/>
  <c r="R47" i="50"/>
  <c r="AI43" i="50"/>
  <c r="AL69" i="50"/>
  <c r="AO53" i="50"/>
  <c r="AK68" i="50"/>
  <c r="AN27" i="50"/>
  <c r="AM44" i="50"/>
  <c r="AZ7" i="50"/>
  <c r="AR55" i="50"/>
  <c r="AE78" i="50"/>
  <c r="AH79" i="50"/>
  <c r="AR21" i="50"/>
  <c r="AP5" i="50"/>
  <c r="U39" i="50"/>
  <c r="BA11" i="50"/>
  <c r="T52" i="50"/>
  <c r="BA21" i="50"/>
  <c r="AD12" i="50"/>
  <c r="O5" i="50"/>
  <c r="Q28" i="50"/>
  <c r="AM68" i="50"/>
  <c r="AD56" i="50"/>
  <c r="AW69" i="50"/>
  <c r="O38" i="50"/>
  <c r="AD73" i="50"/>
  <c r="AA69" i="50"/>
  <c r="AJ47" i="50"/>
  <c r="AM70" i="50"/>
  <c r="AC50" i="50"/>
  <c r="S23" i="50"/>
  <c r="AE68" i="50"/>
  <c r="X40" i="50"/>
  <c r="BC62" i="50"/>
  <c r="AE6" i="50"/>
  <c r="W53" i="50"/>
  <c r="BC73" i="50"/>
  <c r="AF29" i="50"/>
  <c r="M44" i="50"/>
  <c r="AS79" i="50"/>
  <c r="L30" i="50"/>
  <c r="AF41" i="50"/>
  <c r="AO44" i="50"/>
  <c r="BC7" i="50"/>
  <c r="AX73" i="50"/>
  <c r="BA18" i="50"/>
  <c r="M41" i="50"/>
  <c r="Z34" i="50"/>
  <c r="AN18" i="50"/>
  <c r="R26" i="50"/>
  <c r="Y57" i="50"/>
  <c r="AJ66" i="50"/>
  <c r="BC19" i="50"/>
  <c r="L24" i="50"/>
  <c r="AH19" i="50"/>
  <c r="AL37" i="50"/>
  <c r="BA23" i="50"/>
  <c r="AC71" i="50"/>
  <c r="Z9" i="50"/>
  <c r="AL24" i="50"/>
  <c r="AL46" i="50"/>
  <c r="W72" i="50"/>
  <c r="AZ75" i="50"/>
  <c r="O71" i="50"/>
  <c r="AX56" i="50"/>
  <c r="L20" i="50"/>
  <c r="W27" i="50"/>
  <c r="AH17" i="50"/>
  <c r="P21" i="50"/>
  <c r="T66" i="50"/>
  <c r="N11" i="50"/>
  <c r="AP7" i="50"/>
  <c r="AP17" i="50"/>
  <c r="AI66" i="50"/>
  <c r="AT41" i="50"/>
  <c r="O56" i="50"/>
  <c r="BB28" i="50"/>
  <c r="AL55" i="50"/>
  <c r="P34" i="50"/>
  <c r="P60" i="50"/>
  <c r="AF21" i="50"/>
  <c r="AE79" i="50"/>
  <c r="AV63" i="50"/>
  <c r="AF80" i="50"/>
  <c r="AQ47" i="50"/>
  <c r="AY22" i="50"/>
  <c r="W14" i="50"/>
  <c r="Y24" i="50"/>
  <c r="AJ12" i="50"/>
  <c r="AD6" i="50"/>
  <c r="AQ24" i="50"/>
  <c r="Q71" i="50"/>
  <c r="BA20" i="50"/>
  <c r="T48" i="50"/>
  <c r="S30" i="50"/>
  <c r="U49" i="50"/>
  <c r="AH48" i="50"/>
  <c r="BA63" i="50"/>
  <c r="Z38" i="50"/>
  <c r="W18" i="50"/>
  <c r="AM30" i="50"/>
  <c r="Y35" i="50"/>
  <c r="AA43" i="50"/>
  <c r="AD16" i="50"/>
  <c r="AS30" i="50"/>
  <c r="AN21" i="50"/>
  <c r="AX68" i="50"/>
  <c r="V42" i="50"/>
  <c r="O68" i="50"/>
  <c r="AF28" i="50"/>
  <c r="AU16" i="50"/>
  <c r="X36" i="50"/>
  <c r="X5" i="50"/>
  <c r="AX78" i="50"/>
  <c r="V30" i="50"/>
  <c r="AQ26" i="50"/>
  <c r="X53" i="50"/>
  <c r="AM40" i="50"/>
  <c r="X27" i="50"/>
  <c r="AX17" i="50"/>
  <c r="AW48" i="50"/>
  <c r="AE60" i="50"/>
  <c r="AM13" i="50"/>
  <c r="AR78" i="50"/>
  <c r="U40" i="50"/>
  <c r="AH30" i="50"/>
  <c r="AS77" i="50"/>
  <c r="Y69" i="50"/>
  <c r="P23" i="50"/>
  <c r="AT50" i="50"/>
  <c r="AD71" i="50"/>
  <c r="AF79" i="50"/>
  <c r="O70" i="50"/>
  <c r="BA17" i="50"/>
  <c r="O34" i="50"/>
  <c r="T37" i="50"/>
  <c r="AU56" i="50"/>
  <c r="AO34" i="50"/>
  <c r="AD59" i="50"/>
  <c r="AZ20" i="50"/>
  <c r="BA12" i="50"/>
  <c r="AQ33" i="50"/>
  <c r="N23" i="50"/>
  <c r="AM9" i="50"/>
  <c r="AU11" i="50"/>
  <c r="AZ41" i="50"/>
  <c r="R33" i="50"/>
  <c r="AP70" i="50"/>
  <c r="Z46" i="50"/>
  <c r="AU51" i="50"/>
  <c r="Y67" i="50"/>
  <c r="P26" i="50"/>
  <c r="O50" i="50"/>
  <c r="AD28" i="50"/>
  <c r="AR62" i="50"/>
  <c r="R14" i="50"/>
  <c r="AP73" i="50"/>
  <c r="U37" i="50"/>
  <c r="V21" i="50"/>
  <c r="V54" i="50"/>
  <c r="AP68" i="50"/>
  <c r="P35" i="50"/>
  <c r="BC47" i="50"/>
  <c r="Y80" i="50"/>
  <c r="M15" i="50"/>
  <c r="AV4" i="50"/>
  <c r="BC40" i="50"/>
  <c r="Q75" i="50"/>
  <c r="R52" i="50"/>
  <c r="AY18" i="50"/>
  <c r="AA64" i="50"/>
  <c r="U12" i="50"/>
  <c r="R51" i="50"/>
  <c r="U23" i="50"/>
  <c r="AJ28" i="50"/>
  <c r="AO9" i="50"/>
  <c r="N75" i="50"/>
  <c r="AA19" i="50"/>
  <c r="S78" i="50"/>
  <c r="S32" i="50"/>
  <c r="AJ26" i="50"/>
  <c r="Y26" i="50"/>
  <c r="AH29" i="50"/>
  <c r="AV47" i="50"/>
  <c r="AW15" i="50"/>
  <c r="S31" i="50"/>
  <c r="V29" i="50"/>
  <c r="AU72" i="50"/>
  <c r="AB6" i="50"/>
  <c r="S19" i="50"/>
  <c r="AN65" i="50"/>
  <c r="AN55" i="50"/>
  <c r="M14" i="50"/>
  <c r="Q52" i="50"/>
  <c r="N59" i="50"/>
  <c r="AG37" i="50"/>
  <c r="Q41" i="50"/>
  <c r="R56" i="50"/>
  <c r="AZ21" i="50"/>
  <c r="AX14" i="50"/>
  <c r="AN44" i="50"/>
  <c r="AO11" i="50"/>
  <c r="AS75" i="50"/>
  <c r="AO17" i="50"/>
  <c r="L59" i="50"/>
  <c r="Y58" i="50"/>
  <c r="O52" i="50"/>
  <c r="T67" i="50"/>
  <c r="W11" i="50"/>
  <c r="AB39" i="50"/>
  <c r="U58" i="50"/>
  <c r="W68" i="50"/>
  <c r="AT54" i="50"/>
  <c r="AX15" i="50"/>
  <c r="P58" i="50"/>
  <c r="AJ11" i="50"/>
  <c r="AG74" i="50"/>
  <c r="AH41" i="50"/>
  <c r="AZ67" i="50"/>
  <c r="BC49" i="50"/>
  <c r="AR16" i="50"/>
  <c r="AR45" i="50"/>
  <c r="AM58" i="50"/>
  <c r="AO42" i="50"/>
  <c r="AZ57" i="50"/>
  <c r="AI11" i="50"/>
  <c r="AN69" i="50"/>
  <c r="AP36" i="50"/>
  <c r="AP55" i="50"/>
  <c r="AW28" i="50"/>
  <c r="S10" i="50"/>
  <c r="AU46" i="50"/>
  <c r="AX16" i="50"/>
  <c r="AQ34" i="50"/>
  <c r="AT72" i="50"/>
  <c r="AA72" i="50"/>
  <c r="AI8" i="50"/>
  <c r="AL77" i="50"/>
  <c r="AM29" i="50"/>
  <c r="U9" i="50"/>
  <c r="AB34" i="50"/>
  <c r="AY50" i="50"/>
  <c r="Z16" i="50"/>
  <c r="L11" i="50"/>
  <c r="AB22" i="50"/>
  <c r="AH77" i="50"/>
  <c r="AI62" i="50"/>
  <c r="U13" i="50"/>
  <c r="AV33" i="50"/>
  <c r="AY59" i="50"/>
  <c r="AF53" i="50"/>
  <c r="AA11" i="50"/>
  <c r="AU5" i="50"/>
  <c r="R50" i="50"/>
  <c r="P56" i="50"/>
  <c r="BC20" i="50"/>
  <c r="AY25" i="50"/>
  <c r="AB15" i="50"/>
  <c r="AL56" i="50"/>
  <c r="AI12" i="50"/>
  <c r="O23" i="50"/>
  <c r="M20" i="50"/>
  <c r="AX74" i="50"/>
  <c r="AJ49" i="50"/>
  <c r="O79" i="50"/>
  <c r="P55" i="50"/>
  <c r="AX40" i="50"/>
  <c r="AT25" i="50"/>
  <c r="N77" i="50"/>
  <c r="AS57" i="50"/>
  <c r="AE7" i="50"/>
  <c r="AW68" i="50"/>
  <c r="AD14" i="50"/>
  <c r="W79" i="50"/>
  <c r="P20" i="50"/>
  <c r="AO25" i="50"/>
  <c r="W10" i="50"/>
  <c r="S50" i="50"/>
  <c r="AC66" i="50"/>
  <c r="S36" i="50"/>
  <c r="AQ50" i="50"/>
  <c r="AY21" i="50"/>
  <c r="AM17" i="50"/>
  <c r="U80" i="50"/>
  <c r="AD37" i="50"/>
  <c r="AJ13" i="50"/>
  <c r="X35" i="50"/>
  <c r="P46" i="50"/>
  <c r="Y63" i="50"/>
  <c r="BC80" i="50"/>
  <c r="AB43" i="50"/>
  <c r="R40" i="50"/>
  <c r="AM74" i="50"/>
  <c r="BB58" i="50"/>
  <c r="AE25" i="50"/>
  <c r="AE75" i="50"/>
  <c r="AX37" i="50"/>
  <c r="AL33" i="50"/>
  <c r="AB61" i="50"/>
  <c r="O75" i="50"/>
  <c r="R74" i="50"/>
  <c r="AX28" i="50"/>
  <c r="N58" i="50"/>
  <c r="AX35" i="50"/>
  <c r="AU80" i="50"/>
  <c r="AY78" i="50"/>
  <c r="Z44" i="50"/>
  <c r="U11" i="50"/>
  <c r="P39" i="50"/>
  <c r="AE51" i="50"/>
  <c r="AS27" i="50"/>
  <c r="P68" i="50"/>
  <c r="P22" i="50"/>
  <c r="AW26" i="50"/>
  <c r="AZ23" i="50"/>
  <c r="AC48" i="50"/>
  <c r="AB71" i="50"/>
  <c r="AG69" i="50"/>
  <c r="AP56" i="50"/>
  <c r="Q16" i="50"/>
  <c r="AA46" i="50"/>
  <c r="AC31" i="50"/>
  <c r="AQ52" i="50"/>
  <c r="AY40" i="50"/>
  <c r="AK30" i="50"/>
  <c r="AF34" i="50"/>
  <c r="AM14" i="50"/>
  <c r="AQ54" i="50"/>
  <c r="AX61" i="50"/>
  <c r="Q12" i="50"/>
  <c r="T61" i="50"/>
  <c r="BB50" i="50"/>
  <c r="AG78" i="50"/>
  <c r="W19" i="50"/>
  <c r="AU55" i="50"/>
  <c r="AV36" i="50"/>
  <c r="AA38" i="50"/>
  <c r="AW25" i="50"/>
  <c r="AK59" i="50"/>
  <c r="AL32" i="50"/>
  <c r="Q36" i="50"/>
  <c r="AJ41" i="50"/>
  <c r="V27" i="50"/>
  <c r="AL67" i="50"/>
  <c r="AQ76" i="50"/>
  <c r="BA74" i="50"/>
  <c r="U74" i="50"/>
  <c r="AY64" i="50"/>
  <c r="AI19" i="50"/>
  <c r="M33" i="50"/>
  <c r="U76" i="50"/>
  <c r="AC10" i="50"/>
  <c r="AO45" i="50"/>
  <c r="AM79" i="50"/>
  <c r="AE53" i="50"/>
  <c r="W77" i="50"/>
  <c r="AS37" i="50"/>
  <c r="M50" i="50"/>
  <c r="O48" i="50"/>
  <c r="BC69" i="50"/>
  <c r="AH59" i="50"/>
  <c r="AM15" i="50"/>
  <c r="Z74" i="50"/>
  <c r="W62" i="50"/>
  <c r="S11" i="50"/>
  <c r="P6" i="50"/>
  <c r="AW22" i="50"/>
  <c r="AJ39" i="50"/>
  <c r="BB27" i="50"/>
  <c r="W35" i="50"/>
  <c r="Z26" i="50"/>
  <c r="AW40" i="50"/>
  <c r="S47" i="50"/>
  <c r="AP22" i="50"/>
  <c r="AX77" i="50"/>
  <c r="M67" i="50"/>
  <c r="AS72" i="50"/>
  <c r="AM16" i="50"/>
  <c r="M27" i="50"/>
  <c r="AQ35" i="50"/>
  <c r="AK31" i="50"/>
  <c r="AP45" i="50"/>
  <c r="V12" i="50"/>
  <c r="L33" i="50"/>
  <c r="Q77" i="50"/>
  <c r="AG21" i="50"/>
  <c r="AF66" i="50"/>
  <c r="R70" i="50"/>
  <c r="AL73" i="50"/>
  <c r="BB56" i="50"/>
  <c r="Q80" i="50"/>
  <c r="AZ34" i="50"/>
  <c r="U72" i="50"/>
  <c r="AY23" i="50"/>
  <c r="Y11" i="50"/>
  <c r="P59" i="50"/>
  <c r="T16" i="50"/>
  <c r="BA36" i="50"/>
  <c r="AQ62" i="50"/>
  <c r="V16" i="50"/>
  <c r="AY11" i="50"/>
  <c r="P18" i="50"/>
  <c r="AW44" i="50"/>
  <c r="AK25" i="50"/>
  <c r="AQ53" i="50"/>
  <c r="BC33" i="50"/>
  <c r="AB51" i="50"/>
  <c r="Q23" i="50"/>
  <c r="AP72" i="50"/>
  <c r="AD57" i="50"/>
  <c r="AG53" i="50"/>
  <c r="P57" i="50"/>
  <c r="Y5" i="50"/>
  <c r="AJ70" i="50"/>
  <c r="AB46" i="50"/>
  <c r="AG40" i="50"/>
  <c r="AE26" i="50"/>
  <c r="R64" i="50"/>
  <c r="AC33" i="50"/>
  <c r="AW20" i="50"/>
  <c r="AT51" i="50"/>
  <c r="AY61" i="50"/>
  <c r="AK6" i="50"/>
  <c r="AO78" i="50"/>
  <c r="AG9" i="50"/>
  <c r="AX71" i="50"/>
  <c r="AI61" i="50"/>
  <c r="AD11" i="50"/>
  <c r="S51" i="50"/>
  <c r="AN54" i="50"/>
  <c r="AC64" i="50"/>
  <c r="AZ68" i="50"/>
  <c r="Y13" i="50"/>
  <c r="AK75" i="50"/>
  <c r="AJ61" i="50"/>
  <c r="V48" i="50"/>
  <c r="AL61" i="50"/>
  <c r="R67" i="50"/>
  <c r="Z37" i="50"/>
  <c r="AR64" i="50"/>
  <c r="AY37" i="50"/>
  <c r="AQ65" i="50"/>
  <c r="AB20" i="50"/>
  <c r="AY26" i="50"/>
  <c r="BC24" i="50"/>
  <c r="W21" i="50"/>
  <c r="Y36" i="50"/>
  <c r="AD68" i="50"/>
  <c r="AH75" i="50"/>
  <c r="BB60" i="50"/>
  <c r="AH62" i="50"/>
  <c r="AI77" i="50"/>
  <c r="AE23" i="50"/>
  <c r="AQ67" i="50"/>
  <c r="O24" i="50"/>
  <c r="R46" i="50"/>
  <c r="AW75" i="50"/>
  <c r="AT7" i="50"/>
  <c r="AG10" i="50"/>
  <c r="T75" i="50"/>
  <c r="AP49" i="50"/>
  <c r="AA41" i="50"/>
  <c r="BA34" i="50"/>
  <c r="AQ42" i="50"/>
  <c r="AR68" i="50"/>
  <c r="AY17" i="50"/>
  <c r="AT45" i="50"/>
  <c r="BB78" i="50"/>
  <c r="P66" i="50"/>
  <c r="AV66" i="50"/>
  <c r="Y8" i="50"/>
  <c r="O33" i="50"/>
  <c r="M80" i="50"/>
  <c r="AP30" i="50"/>
  <c r="O32" i="50"/>
  <c r="AV52" i="50"/>
  <c r="BB46" i="50"/>
  <c r="AE28" i="50"/>
  <c r="AD43" i="50"/>
  <c r="AR39" i="50"/>
  <c r="AR58" i="50"/>
  <c r="AQ29" i="50"/>
  <c r="T68" i="50"/>
  <c r="AP4" i="50"/>
  <c r="Y40" i="50"/>
  <c r="BA14" i="50"/>
  <c r="BB62" i="50"/>
  <c r="O42" i="50"/>
  <c r="AH42" i="50"/>
  <c r="AJ30" i="50"/>
  <c r="N69" i="50"/>
  <c r="U25" i="50"/>
  <c r="X55" i="50"/>
  <c r="AJ33" i="50"/>
  <c r="AX34" i="50"/>
  <c r="AP14" i="50"/>
  <c r="AV53" i="50"/>
  <c r="AL54" i="50"/>
  <c r="AX24" i="50"/>
  <c r="AP21" i="50"/>
  <c r="AY32" i="50"/>
  <c r="AM62" i="50"/>
  <c r="AO22" i="50"/>
  <c r="AV73" i="50"/>
  <c r="AR66" i="50"/>
  <c r="AL53" i="50"/>
  <c r="AY63" i="50"/>
  <c r="AG59" i="50"/>
  <c r="AL23" i="50"/>
  <c r="AG29" i="50"/>
  <c r="R63" i="50"/>
  <c r="AP8" i="50"/>
  <c r="Y9" i="50"/>
  <c r="L70" i="50"/>
  <c r="AL15" i="50"/>
  <c r="AB63" i="50"/>
  <c r="AW27" i="50"/>
  <c r="AL51" i="50"/>
  <c r="AL9" i="50"/>
  <c r="U57" i="50"/>
  <c r="AD13" i="50"/>
  <c r="BB21" i="50"/>
  <c r="AI22" i="50"/>
  <c r="AM19" i="50"/>
  <c r="BA41" i="50"/>
  <c r="AP29" i="50"/>
  <c r="Y42" i="50"/>
  <c r="AF8" i="50"/>
  <c r="V64" i="50"/>
  <c r="N71" i="50"/>
  <c r="L48" i="50"/>
  <c r="AG61" i="50"/>
  <c r="BA40" i="50"/>
  <c r="Q74" i="50"/>
  <c r="AW12" i="50"/>
  <c r="S49" i="50"/>
  <c r="AR44" i="50"/>
  <c r="AV64" i="50"/>
  <c r="Z8" i="50"/>
  <c r="T43" i="50"/>
  <c r="U60" i="50"/>
  <c r="Q57" i="50"/>
  <c r="AE40" i="50"/>
  <c r="AZ4" i="50"/>
  <c r="W64" i="50"/>
  <c r="R75" i="50"/>
  <c r="AO36" i="50"/>
  <c r="S66" i="50"/>
  <c r="AB25" i="50"/>
  <c r="O21" i="50"/>
  <c r="AE65" i="50"/>
  <c r="AK45" i="50"/>
  <c r="AT49" i="50"/>
  <c r="O55" i="50"/>
  <c r="AK79" i="50"/>
  <c r="BB61" i="50"/>
  <c r="Y6" i="50"/>
  <c r="Z60" i="50"/>
  <c r="AD55" i="50"/>
  <c r="AV46" i="50"/>
  <c r="AQ7" i="50"/>
  <c r="N32" i="50"/>
  <c r="N43" i="50"/>
  <c r="AF9" i="50"/>
  <c r="AM39" i="50"/>
  <c r="AV51" i="50"/>
  <c r="W9" i="50"/>
  <c r="Z13" i="50"/>
  <c r="AI48" i="50"/>
  <c r="AM55" i="50"/>
  <c r="AE59" i="50"/>
  <c r="R6" i="50"/>
  <c r="AH44" i="50"/>
  <c r="L26" i="50"/>
  <c r="S15" i="50"/>
  <c r="S21" i="50"/>
  <c r="AK67" i="50"/>
  <c r="AD38" i="50"/>
  <c r="BA57" i="50"/>
  <c r="AN43" i="50"/>
  <c r="V67" i="50"/>
  <c r="AT20" i="50"/>
  <c r="AS67" i="50"/>
  <c r="AW52" i="50"/>
  <c r="AS38" i="50"/>
  <c r="BA65" i="50"/>
  <c r="AD19" i="50"/>
  <c r="AI15" i="50"/>
  <c r="AX42" i="50"/>
  <c r="AV57" i="50"/>
  <c r="AQ77" i="50"/>
  <c r="AU70" i="50"/>
  <c r="AG68" i="50"/>
  <c r="AN56" i="50"/>
  <c r="R45" i="50"/>
  <c r="AD60" i="50"/>
  <c r="S61" i="50"/>
  <c r="AL78" i="50"/>
  <c r="AX70" i="50"/>
  <c r="AP75" i="50"/>
  <c r="AX72" i="50"/>
  <c r="P37" i="50"/>
  <c r="S8" i="50"/>
  <c r="AU30" i="50"/>
  <c r="AI67" i="50"/>
  <c r="AI70" i="50"/>
  <c r="N61" i="50"/>
  <c r="AW21" i="50"/>
  <c r="Z20" i="50"/>
  <c r="AH65" i="50"/>
  <c r="AR74" i="50"/>
  <c r="AA75" i="50"/>
  <c r="AA50" i="50"/>
  <c r="L37" i="50"/>
  <c r="AN20" i="50"/>
  <c r="AY54" i="50"/>
  <c r="O77" i="50"/>
  <c r="P43" i="50"/>
  <c r="AJ51" i="50"/>
  <c r="AM32" i="50"/>
  <c r="T6" i="50"/>
  <c r="N50" i="50"/>
  <c r="AM23" i="50"/>
  <c r="W20" i="50"/>
  <c r="U21" i="50"/>
  <c r="AK50" i="50"/>
  <c r="AC54" i="50"/>
  <c r="S80" i="50"/>
  <c r="AR24" i="50"/>
  <c r="AW47" i="50"/>
  <c r="AA61" i="50"/>
  <c r="BA62" i="50"/>
  <c r="AL30" i="50"/>
  <c r="AN17" i="50"/>
  <c r="AK23" i="50"/>
  <c r="AL36" i="50"/>
  <c r="AQ71" i="50"/>
  <c r="T23" i="50"/>
  <c r="AF77" i="50"/>
  <c r="AR5" i="50"/>
  <c r="S68" i="50"/>
  <c r="AV65" i="50"/>
  <c r="AU37" i="50"/>
  <c r="AI40" i="50"/>
  <c r="AV70" i="50"/>
  <c r="AT5" i="50"/>
  <c r="T39" i="50"/>
  <c r="N55" i="50"/>
  <c r="Y76" i="50"/>
  <c r="O41" i="50"/>
  <c r="T11" i="50"/>
  <c r="AE56" i="50"/>
  <c r="T72" i="50"/>
  <c r="AK44" i="50"/>
  <c r="AW59" i="50"/>
  <c r="AY52" i="50"/>
  <c r="AA58" i="50"/>
  <c r="BA7" i="50"/>
  <c r="T46" i="50"/>
  <c r="AN79" i="50"/>
  <c r="AN66" i="50"/>
  <c r="AN77" i="50"/>
  <c r="Q45" i="50"/>
  <c r="AI25" i="50"/>
  <c r="V62" i="50"/>
  <c r="W56" i="50"/>
  <c r="T26" i="50"/>
  <c r="AT73" i="50"/>
  <c r="AR23" i="50"/>
  <c r="R39" i="50"/>
  <c r="AM37" i="50"/>
  <c r="AN50" i="50"/>
  <c r="AM22" i="50"/>
  <c r="Y62" i="50"/>
  <c r="Z21" i="50"/>
  <c r="AR61" i="50"/>
  <c r="O54" i="50"/>
  <c r="AR53" i="50"/>
  <c r="S34" i="50"/>
  <c r="AR40" i="50"/>
  <c r="AI37" i="50"/>
  <c r="AJ8" i="50"/>
  <c r="AQ9" i="50"/>
  <c r="BB35" i="50"/>
  <c r="R5" i="50"/>
  <c r="AC22" i="50"/>
  <c r="AZ64" i="50"/>
  <c r="AY27" i="50"/>
  <c r="AW5" i="50"/>
  <c r="AU8" i="50"/>
  <c r="AU45" i="50"/>
  <c r="AX58" i="50"/>
  <c r="AK80" i="50"/>
  <c r="AD61" i="50"/>
  <c r="AK19" i="50"/>
  <c r="AX80" i="50"/>
  <c r="BB19" i="50"/>
  <c r="X76" i="50"/>
  <c r="AX13" i="50"/>
  <c r="V14" i="50"/>
  <c r="AA62" i="50"/>
  <c r="AB57" i="50"/>
  <c r="BB43" i="50"/>
  <c r="AH18" i="50"/>
  <c r="AB58" i="50"/>
  <c r="AM75" i="50"/>
  <c r="O36" i="50"/>
  <c r="AB59" i="50"/>
  <c r="AY34" i="50"/>
  <c r="BC55" i="50"/>
  <c r="L25" i="50"/>
  <c r="P16" i="50"/>
  <c r="AK37" i="50"/>
  <c r="AM7" i="50"/>
  <c r="AT11" i="50"/>
  <c r="AJ72" i="50"/>
  <c r="O35" i="50"/>
  <c r="AH24" i="50"/>
  <c r="L75" i="50"/>
  <c r="AP39" i="50"/>
  <c r="AF14" i="50"/>
  <c r="N40" i="50"/>
  <c r="AJ57" i="50"/>
  <c r="AV76" i="50"/>
  <c r="AN28" i="50"/>
  <c r="S28" i="50"/>
  <c r="AY48" i="50"/>
  <c r="AV60" i="50"/>
  <c r="AC23" i="50"/>
  <c r="M5" i="50"/>
  <c r="P72" i="50"/>
  <c r="X11" i="50"/>
  <c r="M37" i="50"/>
  <c r="M29" i="50"/>
  <c r="AZ48" i="50"/>
  <c r="AJ20" i="50"/>
  <c r="AU34" i="50"/>
  <c r="L35" i="50"/>
  <c r="AN75" i="50"/>
  <c r="AN39" i="50"/>
  <c r="L64" i="50"/>
  <c r="BA66" i="50"/>
  <c r="AO23" i="50"/>
  <c r="S46" i="50"/>
  <c r="AY74" i="50"/>
  <c r="AW11" i="50"/>
  <c r="AR17" i="50"/>
  <c r="AI5" i="50"/>
  <c r="AZ9" i="50"/>
  <c r="AZ65" i="50"/>
  <c r="W65" i="50"/>
  <c r="AP44" i="50"/>
  <c r="AH60" i="50"/>
  <c r="P67" i="50"/>
  <c r="AR69" i="50"/>
  <c r="Q13" i="50"/>
  <c r="AG7" i="50"/>
  <c r="U45" i="50"/>
  <c r="U68" i="50"/>
  <c r="P61" i="50"/>
  <c r="S63" i="50"/>
  <c r="AW46" i="50"/>
  <c r="T18" i="50"/>
  <c r="S22" i="50"/>
  <c r="V17" i="50"/>
  <c r="AR7" i="50"/>
  <c r="AX67" i="50"/>
  <c r="AI38" i="50"/>
  <c r="Q56" i="50"/>
  <c r="BB74" i="50"/>
  <c r="Y28" i="50"/>
  <c r="AX33" i="50"/>
  <c r="BC52" i="50"/>
  <c r="AC42" i="50"/>
  <c r="AE11" i="50"/>
  <c r="AQ10" i="50"/>
  <c r="AD45" i="50"/>
  <c r="AZ36" i="50"/>
  <c r="N30" i="50"/>
  <c r="AD80" i="50"/>
  <c r="AA45" i="50"/>
  <c r="AD62" i="50"/>
  <c r="O12" i="50"/>
  <c r="Z55" i="50"/>
  <c r="AE22" i="50"/>
  <c r="AG46" i="50"/>
  <c r="W63" i="50"/>
  <c r="BC22" i="50"/>
  <c r="AG15" i="50"/>
  <c r="AQ17" i="50"/>
  <c r="V47" i="50"/>
  <c r="AE47" i="50"/>
  <c r="AB45" i="50"/>
  <c r="AU10" i="50"/>
  <c r="P80" i="50"/>
  <c r="AY6" i="50"/>
  <c r="N80" i="50"/>
  <c r="BB45" i="50"/>
  <c r="R68" i="50"/>
  <c r="AZ12" i="50"/>
  <c r="AO79" i="50"/>
  <c r="AJ76" i="50"/>
  <c r="AN23" i="50"/>
  <c r="AL20" i="50"/>
  <c r="AQ69" i="50"/>
  <c r="AF25" i="50"/>
  <c r="AL27" i="50"/>
  <c r="AF16" i="50"/>
  <c r="O29" i="50"/>
  <c r="AU12" i="50"/>
  <c r="BC67" i="50"/>
  <c r="Q68" i="50"/>
  <c r="AS39" i="50"/>
  <c r="BC72" i="50"/>
  <c r="AE67" i="50"/>
  <c r="AP67" i="50"/>
  <c r="AS40" i="50"/>
  <c r="AH52" i="50"/>
  <c r="M72" i="50"/>
  <c r="AV56" i="50"/>
  <c r="M10" i="50"/>
  <c r="AF36" i="50"/>
  <c r="AD15" i="50"/>
  <c r="U75" i="50"/>
  <c r="AH27" i="50"/>
  <c r="BC14" i="50"/>
  <c r="AZ79" i="50"/>
  <c r="R25" i="50"/>
  <c r="AU76" i="50"/>
  <c r="U30" i="50"/>
  <c r="AV7" i="50"/>
  <c r="L39" i="50"/>
  <c r="AH33" i="50"/>
  <c r="AI36" i="50"/>
  <c r="L78" i="50"/>
  <c r="AU53" i="50"/>
  <c r="AE48" i="50"/>
  <c r="AS55" i="50"/>
  <c r="AG43" i="50"/>
  <c r="Q11" i="50"/>
  <c r="AG71" i="50"/>
  <c r="AP42" i="50"/>
  <c r="AU9" i="50"/>
  <c r="AN74" i="50"/>
  <c r="AI31" i="50"/>
  <c r="AZ32" i="50"/>
  <c r="AL49" i="50"/>
  <c r="AI18" i="50"/>
  <c r="T42" i="50"/>
  <c r="AC25" i="50"/>
  <c r="AV49" i="50"/>
  <c r="AA12" i="50"/>
  <c r="AE35" i="50"/>
  <c r="BA61" i="50"/>
  <c r="AW71" i="50"/>
  <c r="AR26" i="50"/>
  <c r="AE31" i="50"/>
  <c r="R17" i="50"/>
  <c r="AN63" i="50"/>
  <c r="AU40" i="50"/>
  <c r="U73" i="50"/>
  <c r="AH50" i="50"/>
  <c r="AZ74" i="50"/>
  <c r="AM60" i="50"/>
  <c r="V52" i="50"/>
  <c r="AF69" i="50"/>
  <c r="Z18" i="50"/>
  <c r="U43" i="50"/>
  <c r="O27" i="50"/>
  <c r="W22" i="50"/>
  <c r="AS76" i="50"/>
  <c r="AW13" i="50"/>
  <c r="T49" i="50"/>
  <c r="AH74" i="50"/>
  <c r="AY72" i="50"/>
  <c r="O62" i="50"/>
  <c r="AR72" i="50"/>
  <c r="BB79" i="50"/>
  <c r="Z63" i="50"/>
  <c r="AC17" i="50"/>
  <c r="AA32" i="50"/>
  <c r="AJ58" i="50"/>
  <c r="AT53" i="50"/>
  <c r="AJ22" i="50"/>
  <c r="AX65" i="50"/>
  <c r="T34" i="50"/>
  <c r="BC41" i="50"/>
  <c r="R41" i="50"/>
  <c r="U65" i="50"/>
  <c r="AA79" i="50"/>
  <c r="T21" i="50"/>
  <c r="AK51" i="50"/>
  <c r="W51" i="50"/>
  <c r="AS62" i="50"/>
  <c r="O40" i="50"/>
  <c r="AD42" i="50"/>
  <c r="AH45" i="50"/>
  <c r="AL74" i="50"/>
  <c r="L7" i="50"/>
  <c r="AU21" i="50"/>
  <c r="AY28" i="50"/>
  <c r="AF13" i="50"/>
  <c r="AX45" i="50"/>
  <c r="AO19" i="50"/>
  <c r="Y17" i="50"/>
  <c r="BB80" i="50"/>
  <c r="U6" i="50"/>
  <c r="S37" i="50"/>
  <c r="AS68" i="50"/>
  <c r="W26" i="50"/>
  <c r="V23" i="50"/>
  <c r="AK66" i="50"/>
  <c r="AJ34" i="50"/>
  <c r="AV17" i="50"/>
  <c r="BB49" i="50"/>
  <c r="X37" i="50"/>
  <c r="AS22" i="50"/>
  <c r="X33" i="50"/>
  <c r="X18" i="50"/>
  <c r="AL26" i="50"/>
  <c r="Q8" i="50"/>
  <c r="U18" i="50"/>
  <c r="AR37" i="50"/>
  <c r="AT38" i="50"/>
  <c r="N37" i="50"/>
  <c r="M34" i="50"/>
  <c r="AF48" i="50"/>
  <c r="O13" i="50"/>
  <c r="AO67" i="50"/>
  <c r="AA7" i="50"/>
  <c r="L45" i="50"/>
  <c r="BB9" i="50"/>
  <c r="AN22" i="50"/>
  <c r="AT63" i="50"/>
  <c r="T80" i="50"/>
  <c r="X43" i="50"/>
  <c r="AF39" i="50"/>
  <c r="W39" i="50"/>
  <c r="Z25" i="50"/>
  <c r="AG50" i="50"/>
  <c r="AK20" i="50"/>
  <c r="Y15" i="50"/>
  <c r="V76" i="50"/>
  <c r="V11" i="50"/>
  <c r="Y74" i="50"/>
  <c r="AV59" i="50"/>
  <c r="AQ75" i="50"/>
  <c r="BC50" i="50"/>
  <c r="P70" i="50"/>
  <c r="L31" i="50"/>
  <c r="M25" i="50"/>
  <c r="AL18" i="50"/>
  <c r="AI34" i="50"/>
  <c r="BC74" i="50"/>
  <c r="AX60" i="50"/>
  <c r="X30" i="50"/>
  <c r="AZ15" i="50"/>
  <c r="O80" i="50"/>
  <c r="AN45" i="50"/>
  <c r="AF47" i="50"/>
  <c r="S79" i="50"/>
  <c r="R44" i="50"/>
  <c r="AR12" i="50"/>
  <c r="X10" i="50"/>
  <c r="AY41" i="50"/>
  <c r="AB35" i="50"/>
  <c r="AV27" i="50"/>
  <c r="AM33" i="50"/>
  <c r="AN78" i="50"/>
  <c r="AD63" i="50"/>
  <c r="T78" i="50"/>
  <c r="O9" i="50"/>
  <c r="U16" i="50"/>
  <c r="AF76" i="50"/>
  <c r="N68" i="50"/>
  <c r="W66" i="50"/>
  <c r="AP20" i="50"/>
  <c r="AT47" i="50"/>
  <c r="U56" i="50"/>
  <c r="AJ17" i="50"/>
  <c r="O47" i="50"/>
  <c r="AQ66" i="50"/>
  <c r="W29" i="50"/>
  <c r="AB60" i="50"/>
  <c r="V41" i="50"/>
  <c r="AW33" i="50"/>
  <c r="AT60" i="50"/>
  <c r="S75" i="50"/>
  <c r="Z5" i="50"/>
  <c r="AC51" i="50"/>
  <c r="AG24" i="50"/>
  <c r="Z19" i="50"/>
  <c r="AR41" i="50"/>
  <c r="R73" i="50"/>
  <c r="AM64" i="50"/>
  <c r="N28" i="50"/>
  <c r="AR52" i="50"/>
  <c r="AJ69" i="50"/>
  <c r="AW66" i="50"/>
  <c r="AL48" i="50"/>
  <c r="AC39" i="50"/>
  <c r="R28" i="50"/>
  <c r="AQ12" i="50"/>
  <c r="S38" i="50"/>
  <c r="AL68" i="50"/>
  <c r="O49" i="50"/>
  <c r="Z22" i="50"/>
  <c r="S24" i="50"/>
  <c r="BC29" i="50"/>
  <c r="AQ38" i="50"/>
  <c r="AS8" i="50"/>
  <c r="AS78" i="50"/>
  <c r="AE10" i="50"/>
  <c r="AK48" i="50"/>
  <c r="AT57" i="50"/>
  <c r="N10" i="50"/>
  <c r="AP47" i="50"/>
  <c r="AD51" i="50"/>
  <c r="AJ63" i="50"/>
  <c r="BB39" i="50"/>
  <c r="AB52" i="50"/>
  <c r="AG22" i="50"/>
  <c r="X25" i="50"/>
  <c r="AY15" i="50"/>
  <c r="AN64" i="50"/>
  <c r="AO66" i="50"/>
  <c r="AA9" i="50"/>
  <c r="AG41" i="50"/>
  <c r="AM10" i="50"/>
  <c r="AT61" i="50"/>
  <c r="AH80" i="50"/>
  <c r="AN6" i="50"/>
  <c r="AK64" i="50"/>
  <c r="BA47" i="50"/>
  <c r="AQ49" i="50"/>
  <c r="S13" i="50"/>
  <c r="N8" i="50"/>
  <c r="BA73" i="50"/>
  <c r="L65" i="50"/>
  <c r="AO47" i="50"/>
  <c r="BA27" i="50"/>
  <c r="AX76" i="50"/>
  <c r="T76" i="50"/>
  <c r="AS29" i="50"/>
  <c r="AK49" i="50"/>
  <c r="V58" i="50"/>
  <c r="AS42" i="50"/>
  <c r="BB10" i="50"/>
  <c r="BC78" i="50"/>
  <c r="AP27" i="50"/>
  <c r="AO10" i="50"/>
  <c r="AP34" i="50"/>
  <c r="AW57" i="50"/>
  <c r="M21" i="50"/>
  <c r="R60" i="50"/>
  <c r="AR28" i="50"/>
  <c r="BA33" i="50"/>
  <c r="AG65" i="50"/>
  <c r="AX64" i="50"/>
  <c r="AN53" i="50"/>
  <c r="BB70" i="50"/>
  <c r="S16" i="50"/>
  <c r="P42" i="50"/>
  <c r="BB68" i="50"/>
  <c r="AI69" i="50"/>
  <c r="AR76" i="50"/>
  <c r="T14" i="50"/>
  <c r="AL21" i="50"/>
  <c r="AL64" i="50"/>
  <c r="AT52" i="50"/>
  <c r="AE42" i="50"/>
  <c r="AU60" i="50"/>
  <c r="AV18" i="50"/>
  <c r="AL72" i="50"/>
  <c r="R38" i="50"/>
  <c r="W7" i="50"/>
  <c r="AC30" i="50"/>
  <c r="AR54" i="50"/>
  <c r="AZ45" i="50"/>
  <c r="BA76" i="50"/>
  <c r="AF71" i="50"/>
  <c r="AX22" i="50"/>
  <c r="Y52" i="50"/>
  <c r="AV14" i="50"/>
  <c r="AR14" i="50"/>
  <c r="AH76" i="50"/>
  <c r="AV72" i="50"/>
  <c r="AU29" i="50"/>
  <c r="Z42" i="50"/>
  <c r="AD70" i="50"/>
  <c r="R79" i="50"/>
  <c r="AE73" i="50"/>
  <c r="Q58" i="50"/>
  <c r="T71" i="50"/>
  <c r="BA58" i="50"/>
  <c r="T24" i="50"/>
  <c r="AG62" i="50"/>
  <c r="AB79" i="50"/>
  <c r="Y73" i="50"/>
  <c r="AT35" i="50"/>
  <c r="V80" i="50"/>
  <c r="AB68" i="50"/>
  <c r="Q42" i="50"/>
  <c r="AT56" i="50"/>
  <c r="AY69" i="50"/>
  <c r="AP43" i="50"/>
  <c r="BB44" i="50"/>
  <c r="AR25" i="50"/>
  <c r="AN40" i="50"/>
  <c r="BC35" i="50"/>
  <c r="AW24" i="50"/>
  <c r="BC46" i="50"/>
  <c r="T56" i="50"/>
  <c r="M51" i="50"/>
  <c r="Q79" i="50"/>
  <c r="AA22" i="50"/>
  <c r="AQ16" i="50"/>
  <c r="AN29" i="50"/>
  <c r="AD66" i="50"/>
  <c r="W76" i="50"/>
  <c r="AR63" i="50"/>
  <c r="Q66" i="50"/>
  <c r="AF74" i="50"/>
  <c r="AC7" i="50"/>
  <c r="AR47" i="50"/>
  <c r="M55" i="50"/>
  <c r="AK9" i="50"/>
  <c r="V20" i="50"/>
  <c r="O15" i="50"/>
  <c r="T77" i="50"/>
  <c r="AZ70" i="50"/>
  <c r="N21" i="50"/>
  <c r="BA5" i="50"/>
  <c r="BC75" i="50"/>
  <c r="M61" i="50"/>
  <c r="X67" i="50"/>
  <c r="AG64" i="50"/>
  <c r="AM42" i="50"/>
  <c r="M59" i="50"/>
  <c r="T53" i="50"/>
  <c r="AL40" i="50"/>
  <c r="AP35" i="50"/>
  <c r="AO64" i="50"/>
  <c r="O57" i="50"/>
  <c r="V73" i="50"/>
  <c r="BB57" i="50"/>
  <c r="O8" i="50"/>
  <c r="W60" i="50"/>
  <c r="AL25" i="50"/>
  <c r="AW74" i="50"/>
  <c r="AU47" i="50"/>
  <c r="AM6" i="50"/>
  <c r="AI35" i="50"/>
  <c r="AW4" i="50"/>
  <c r="R22" i="50"/>
  <c r="AS4" i="50"/>
  <c r="AL31" i="50"/>
  <c r="AC38" i="50"/>
  <c r="AH28" i="50"/>
  <c r="AD35" i="50"/>
  <c r="BA35" i="50"/>
  <c r="Z31" i="50"/>
  <c r="AG79" i="50"/>
  <c r="AO62" i="50"/>
  <c r="AX10" i="50"/>
  <c r="AC15" i="50"/>
  <c r="AY62" i="50"/>
  <c r="S52" i="50"/>
  <c r="AU35" i="50"/>
  <c r="AW50" i="50"/>
  <c r="AA49" i="50"/>
  <c r="Y55" i="50"/>
  <c r="M7" i="50"/>
  <c r="N79" i="50"/>
  <c r="AO48" i="50"/>
  <c r="T79" i="50"/>
  <c r="AC46" i="50"/>
  <c r="BC34" i="50"/>
  <c r="AF59" i="50"/>
  <c r="AC61" i="50"/>
  <c r="BA53" i="50"/>
  <c r="AW35" i="50"/>
  <c r="L32" i="50"/>
  <c r="T9" i="50"/>
  <c r="S12" i="50"/>
  <c r="Z72" i="50"/>
  <c r="AC37" i="50"/>
  <c r="BC21" i="50"/>
  <c r="AT27" i="50"/>
  <c r="AG32" i="50"/>
  <c r="AC24" i="50"/>
  <c r="AO70" i="50"/>
  <c r="V7" i="50"/>
  <c r="W54" i="50"/>
  <c r="AI32" i="50"/>
  <c r="R23" i="50"/>
  <c r="U79" i="50"/>
  <c r="AA78" i="50"/>
  <c r="AO63" i="50"/>
  <c r="W67" i="50"/>
  <c r="AC41" i="50"/>
  <c r="AQ23" i="50"/>
  <c r="V68" i="50"/>
  <c r="O72" i="50"/>
  <c r="R24" i="50"/>
  <c r="L28" i="50"/>
  <c r="AN76" i="50"/>
  <c r="Z64" i="50"/>
  <c r="BA26" i="50"/>
  <c r="AN80" i="50"/>
  <c r="AB42" i="50"/>
  <c r="AR11" i="50"/>
  <c r="AS64" i="50"/>
  <c r="AA48" i="50"/>
  <c r="R78" i="50"/>
  <c r="N35" i="50"/>
  <c r="AM20" i="50"/>
  <c r="AT67" i="50"/>
  <c r="AO18" i="50"/>
  <c r="AJ68" i="50"/>
  <c r="M17" i="50"/>
  <c r="AF33" i="50"/>
  <c r="AN72" i="50"/>
  <c r="R43" i="50"/>
  <c r="AH56" i="50"/>
  <c r="N53" i="50"/>
  <c r="U51" i="50"/>
  <c r="AF7" i="50"/>
  <c r="AH38" i="50"/>
  <c r="AZ66" i="50"/>
  <c r="R71" i="50"/>
  <c r="AP63" i="50"/>
  <c r="AC28" i="50"/>
  <c r="Q49" i="50"/>
  <c r="T7" i="50"/>
  <c r="AL76" i="50"/>
  <c r="AF15" i="50"/>
  <c r="AG30" i="50"/>
  <c r="BB41" i="50"/>
  <c r="AJ18" i="50"/>
  <c r="AV50" i="50"/>
  <c r="AZ37" i="50"/>
  <c r="L61" i="50"/>
  <c r="AT14" i="50"/>
  <c r="AT24" i="50"/>
  <c r="AN32" i="50"/>
  <c r="AG57" i="50"/>
  <c r="V51" i="50"/>
  <c r="AZ58" i="50"/>
  <c r="AE5" i="50"/>
  <c r="P30" i="50"/>
  <c r="T47" i="50"/>
  <c r="N65" i="50"/>
  <c r="AX26" i="50"/>
  <c r="AK42" i="50"/>
  <c r="AC16" i="50"/>
  <c r="AP18" i="50"/>
  <c r="AK17" i="50"/>
  <c r="P17" i="50"/>
  <c r="AE64" i="50"/>
  <c r="AZ76" i="50"/>
  <c r="AP31" i="50"/>
  <c r="S64" i="50"/>
  <c r="AM67" i="50"/>
  <c r="AG77" i="50"/>
  <c r="V6" i="50"/>
  <c r="AD36" i="50"/>
  <c r="AY33" i="50"/>
  <c r="BC5" i="50"/>
  <c r="AL70" i="50"/>
  <c r="AQ18" i="50"/>
  <c r="AN51" i="50"/>
  <c r="AT75" i="50"/>
  <c r="T69" i="50"/>
  <c r="AX53" i="50"/>
  <c r="X8" i="50"/>
  <c r="AB41" i="50"/>
  <c r="AE9" i="50"/>
  <c r="AH26" i="50"/>
  <c r="V55" i="50"/>
  <c r="AG66" i="50"/>
  <c r="AT78" i="50"/>
  <c r="R15" i="50"/>
  <c r="AR50" i="50"/>
  <c r="AZ33" i="50"/>
  <c r="AL16" i="50"/>
  <c r="BA8" i="50"/>
  <c r="R55" i="50"/>
  <c r="AI51" i="50"/>
  <c r="BC25" i="50"/>
  <c r="AJ9" i="50"/>
  <c r="AF50" i="50"/>
  <c r="L51" i="50"/>
  <c r="AG54" i="50"/>
  <c r="AP33" i="50"/>
  <c r="M66" i="50"/>
  <c r="AI27" i="50"/>
  <c r="M9" i="50"/>
  <c r="AP51" i="50"/>
  <c r="N13" i="50"/>
  <c r="AS5" i="50"/>
  <c r="L14" i="50"/>
  <c r="O76" i="50"/>
  <c r="AL14" i="50"/>
  <c r="L53" i="50"/>
  <c r="AD25" i="50"/>
  <c r="AA57" i="50"/>
  <c r="X17" i="50"/>
  <c r="AK53" i="50"/>
  <c r="AF31" i="50"/>
  <c r="AX66" i="50"/>
  <c r="AY12" i="50"/>
  <c r="AA56" i="50"/>
  <c r="AV42" i="50"/>
  <c r="AS61" i="50"/>
  <c r="AV43" i="50"/>
  <c r="AK46" i="50"/>
  <c r="AW34" i="50"/>
  <c r="X12" i="50"/>
  <c r="AV6" i="50"/>
  <c r="U71" i="50"/>
  <c r="AQ5" i="50"/>
  <c r="AL11" i="50"/>
  <c r="AS35" i="50"/>
  <c r="AY20" i="50"/>
  <c r="AT32" i="50"/>
  <c r="M36" i="50"/>
  <c r="AT42" i="50"/>
  <c r="S41" i="50"/>
  <c r="AS19" i="50"/>
  <c r="AC27" i="50"/>
  <c r="AE70" i="50"/>
  <c r="AN15" i="50"/>
  <c r="X38" i="50"/>
  <c r="N7" i="50"/>
  <c r="AZ52" i="50"/>
  <c r="AH64" i="50"/>
  <c r="AV67" i="50"/>
  <c r="AM65" i="50"/>
  <c r="AH25" i="50"/>
  <c r="AG27" i="50"/>
  <c r="Q44" i="50"/>
  <c r="T74" i="50"/>
  <c r="AG28" i="50"/>
  <c r="V72" i="50"/>
  <c r="AX20" i="50"/>
  <c r="P19" i="50"/>
  <c r="AU28" i="50"/>
  <c r="V38" i="50"/>
  <c r="AP60" i="50"/>
  <c r="AA20" i="50"/>
  <c r="X47" i="50"/>
  <c r="AF45" i="50"/>
  <c r="BC64" i="50"/>
  <c r="AO38" i="50"/>
  <c r="M12" i="50"/>
  <c r="AU4" i="50"/>
  <c r="U41" i="50"/>
  <c r="AU18" i="50"/>
  <c r="AA70" i="50"/>
  <c r="AN19" i="50"/>
  <c r="O18" i="50"/>
  <c r="AW41" i="50"/>
  <c r="AL28" i="50"/>
  <c r="Z53" i="50"/>
  <c r="T31" i="50"/>
  <c r="AI30" i="50"/>
  <c r="P29" i="50"/>
  <c r="AB77" i="50"/>
  <c r="W28" i="50"/>
  <c r="AJ45" i="50"/>
  <c r="U64" i="50"/>
  <c r="BC4" i="50"/>
  <c r="AK28" i="50"/>
  <c r="R57" i="50"/>
  <c r="AO24" i="50"/>
  <c r="AD46" i="50"/>
  <c r="X24" i="50"/>
  <c r="AV40" i="50"/>
  <c r="Z47" i="50"/>
  <c r="O53" i="50"/>
  <c r="AX62" i="50"/>
  <c r="V37" i="50"/>
  <c r="P53" i="50"/>
  <c r="AJ62" i="50"/>
  <c r="AR42" i="50"/>
  <c r="N12" i="50"/>
  <c r="X54" i="50"/>
  <c r="AA67" i="50"/>
  <c r="M47" i="50"/>
  <c r="AO6" i="50"/>
  <c r="AN62" i="50"/>
  <c r="AA34" i="50"/>
  <c r="AF32" i="50"/>
  <c r="AA37" i="50"/>
  <c r="L74" i="50"/>
  <c r="U15" i="50"/>
  <c r="AU54" i="50"/>
  <c r="AF23" i="50"/>
  <c r="W34" i="50"/>
  <c r="AC20" i="50"/>
  <c r="BC66" i="50"/>
  <c r="AN48" i="50"/>
  <c r="L55" i="50"/>
  <c r="AT37" i="50"/>
  <c r="AX75" i="50"/>
  <c r="AV78" i="50"/>
  <c r="AZ73" i="50"/>
  <c r="Y37" i="50"/>
  <c r="AU13" i="50"/>
  <c r="T12" i="50"/>
  <c r="AI63" i="50"/>
  <c r="AM21" i="50"/>
  <c r="AH8" i="50"/>
  <c r="AI56" i="50"/>
  <c r="AN8" i="50"/>
  <c r="AW6" i="50"/>
  <c r="AP28" i="50"/>
  <c r="R48" i="50"/>
  <c r="AR19" i="50"/>
  <c r="N9" i="50"/>
  <c r="AK47" i="50"/>
  <c r="W49" i="50"/>
  <c r="AT15" i="50"/>
  <c r="AC57" i="50"/>
  <c r="AO35" i="50"/>
  <c r="AN52" i="50"/>
  <c r="AW36" i="50"/>
  <c r="N45" i="50"/>
  <c r="AK34" i="50"/>
  <c r="BA79" i="50"/>
  <c r="AQ36" i="50"/>
  <c r="Y32" i="50"/>
  <c r="AT23" i="50"/>
  <c r="L36" i="50"/>
  <c r="T41" i="50"/>
  <c r="AX41" i="50"/>
  <c r="Y61" i="50"/>
  <c r="AK62" i="50"/>
  <c r="AL71" i="50"/>
  <c r="AZ53" i="50"/>
  <c r="AR77" i="50"/>
  <c r="AA51" i="50"/>
  <c r="AX25" i="50"/>
  <c r="AF56" i="50"/>
  <c r="AI78" i="50"/>
  <c r="AY71" i="50"/>
  <c r="AV77" i="50"/>
  <c r="Z29" i="50"/>
  <c r="AN38" i="50"/>
  <c r="AA16" i="50"/>
  <c r="BC28" i="50"/>
  <c r="W61" i="50"/>
  <c r="AJ21" i="50"/>
  <c r="AP69" i="50"/>
  <c r="U14" i="50"/>
  <c r="AG6" i="50"/>
  <c r="AX4" i="50"/>
  <c r="W75" i="50"/>
  <c r="BC6" i="50"/>
  <c r="L43" i="50"/>
  <c r="AV21" i="50"/>
  <c r="BC12" i="50"/>
  <c r="AU63" i="50"/>
  <c r="AB67" i="50"/>
  <c r="BC27" i="50"/>
  <c r="X6" i="50"/>
  <c r="N73" i="50"/>
  <c r="AY51" i="50"/>
  <c r="AZ63" i="50"/>
  <c r="AS45" i="50"/>
  <c r="O45" i="50"/>
  <c r="N16" i="50"/>
  <c r="V13" i="50"/>
  <c r="P76" i="50"/>
  <c r="AL45" i="50"/>
  <c r="AH15" i="50"/>
  <c r="AS13" i="50"/>
  <c r="N41" i="50"/>
  <c r="AJ75" i="50"/>
  <c r="AT66" i="50"/>
  <c r="Q34" i="50"/>
  <c r="P38" i="50"/>
  <c r="X69" i="50"/>
  <c r="AO74" i="50"/>
  <c r="AP25" i="50"/>
  <c r="AJ25" i="50"/>
  <c r="AF70" i="50"/>
  <c r="X28" i="50"/>
  <c r="AW63" i="50"/>
  <c r="AM5" i="50"/>
  <c r="AO57" i="50"/>
  <c r="L12" i="50"/>
  <c r="L17" i="50"/>
  <c r="AX5" i="50"/>
  <c r="Y10" i="50"/>
  <c r="R42" i="50"/>
  <c r="AU59" i="50"/>
  <c r="P9" i="50"/>
  <c r="S77" i="50"/>
  <c r="AZ55" i="50"/>
  <c r="AB53" i="50"/>
  <c r="AA31" i="50"/>
  <c r="Q64" i="50"/>
  <c r="U34" i="50"/>
  <c r="T73" i="50"/>
  <c r="T45" i="50"/>
  <c r="AO73" i="50"/>
  <c r="Q20" i="50"/>
  <c r="AQ21" i="50"/>
  <c r="AF73" i="50"/>
  <c r="AD17" i="50"/>
  <c r="AD74" i="50"/>
  <c r="AZ80" i="50"/>
  <c r="BB13" i="50"/>
  <c r="S54" i="50"/>
  <c r="AM53" i="50"/>
  <c r="M28" i="50"/>
  <c r="BA32" i="50"/>
  <c r="BB29" i="50"/>
  <c r="BB32" i="50"/>
  <c r="AD41" i="50"/>
  <c r="U5" i="50"/>
  <c r="AY9" i="50"/>
  <c r="AV54" i="50"/>
  <c r="BB20" i="50"/>
  <c r="U62" i="50"/>
  <c r="W44" i="50"/>
  <c r="AL58" i="50"/>
  <c r="O31" i="50"/>
  <c r="AN71" i="50"/>
  <c r="T15" i="50"/>
  <c r="AW49" i="50"/>
  <c r="AP52" i="50"/>
  <c r="AY10" i="50"/>
  <c r="AK63" i="50"/>
  <c r="AY46" i="50"/>
  <c r="AL79" i="50"/>
  <c r="AB31" i="50"/>
  <c r="AS34" i="50"/>
  <c r="AS18" i="50"/>
  <c r="AI50" i="50"/>
  <c r="Z33" i="50"/>
  <c r="N74" i="50"/>
  <c r="AT64" i="50"/>
  <c r="AJ35" i="50"/>
  <c r="AA40" i="50"/>
  <c r="AS74" i="50"/>
  <c r="AO33" i="50"/>
  <c r="AE39" i="50"/>
  <c r="AO26" i="50"/>
  <c r="U63" i="50"/>
  <c r="AG20" i="50"/>
  <c r="BA55" i="50"/>
  <c r="AY31" i="50"/>
  <c r="M8" i="50"/>
  <c r="AA44" i="50"/>
  <c r="AM36" i="50"/>
  <c r="Z79" i="50"/>
  <c r="M68" i="50"/>
  <c r="BC77" i="50"/>
  <c r="Z62" i="50"/>
  <c r="AJ31" i="50"/>
  <c r="BB71" i="50"/>
  <c r="Q73" i="50"/>
  <c r="AX57" i="50"/>
  <c r="Y27" i="50"/>
  <c r="BC48" i="50"/>
  <c r="AS32" i="50"/>
  <c r="AL22" i="50"/>
  <c r="BA19" i="50"/>
  <c r="X20" i="50"/>
  <c r="AW62" i="50"/>
  <c r="AT34" i="50"/>
  <c r="AO68" i="50"/>
  <c r="AO55" i="50"/>
  <c r="AN35" i="50"/>
  <c r="AM59" i="50"/>
  <c r="AG51" i="50"/>
  <c r="AH21" i="50"/>
  <c r="AA5" i="50"/>
  <c r="Z58" i="50"/>
  <c r="S76" i="50"/>
  <c r="AL12" i="50"/>
  <c r="N56" i="50"/>
  <c r="AF17" i="50"/>
  <c r="T13" i="50"/>
  <c r="AW17" i="50"/>
  <c r="AO71" i="50"/>
  <c r="AQ40" i="50"/>
  <c r="W17" i="50"/>
  <c r="R30" i="50"/>
  <c r="AM66" i="50"/>
  <c r="AZ77" i="50"/>
  <c r="Z50" i="50"/>
  <c r="AY70" i="50"/>
  <c r="BC32" i="50"/>
  <c r="AB9" i="50"/>
  <c r="AF19" i="50"/>
  <c r="L15" i="50"/>
  <c r="BB72" i="50"/>
  <c r="R11" i="50"/>
  <c r="AX12" i="50"/>
  <c r="AT77" i="50"/>
  <c r="AO60" i="50"/>
  <c r="L6" i="50"/>
  <c r="AY7" i="50"/>
  <c r="AC21" i="50"/>
  <c r="R31" i="50"/>
  <c r="O7" i="50"/>
  <c r="AF44" i="50"/>
  <c r="AE77" i="50"/>
  <c r="BC58" i="50"/>
  <c r="AN11" i="50"/>
  <c r="T38" i="50"/>
  <c r="AU66" i="50"/>
  <c r="AA42" i="50"/>
  <c r="AD49" i="50"/>
  <c r="AN61" i="50"/>
  <c r="AE63" i="50"/>
  <c r="AK12" i="50"/>
  <c r="AS24" i="50"/>
  <c r="AW10" i="50"/>
  <c r="AX27" i="50"/>
  <c r="Y22" i="50"/>
  <c r="AI9" i="50"/>
  <c r="AD47" i="50"/>
  <c r="AF37" i="50"/>
  <c r="Y23" i="50"/>
  <c r="Y45" i="50"/>
  <c r="X26" i="50"/>
  <c r="M69" i="50"/>
  <c r="AN49" i="50"/>
  <c r="AN10" i="50"/>
  <c r="U61" i="50"/>
  <c r="R54" i="50"/>
  <c r="AB17" i="50"/>
  <c r="AR49" i="50"/>
  <c r="AB29" i="50"/>
  <c r="T27" i="50"/>
  <c r="AT55" i="50"/>
  <c r="Z24" i="50"/>
  <c r="L46" i="50"/>
  <c r="AI16" i="50"/>
  <c r="AQ57" i="50"/>
  <c r="AX6" i="50"/>
  <c r="AS54" i="50"/>
  <c r="AT21" i="50"/>
  <c r="R27" i="50"/>
  <c r="AY4" i="50"/>
  <c r="AR59" i="50"/>
  <c r="X29" i="50"/>
  <c r="O28" i="50"/>
  <c r="AI39" i="50"/>
  <c r="AH66" i="50"/>
  <c r="BC70" i="50"/>
  <c r="T65" i="50"/>
  <c r="AE8" i="50"/>
  <c r="BC53" i="50"/>
  <c r="BC38" i="50"/>
  <c r="Y77" i="50"/>
  <c r="AS46" i="50"/>
  <c r="AG80" i="50"/>
  <c r="U19" i="50"/>
  <c r="W5" i="50"/>
  <c r="AD79" i="50"/>
  <c r="O26" i="50"/>
  <c r="AG56" i="50"/>
  <c r="AE18" i="50"/>
  <c r="AA35" i="50"/>
  <c r="AO56" i="50"/>
  <c r="Z76" i="50"/>
  <c r="R76" i="50"/>
  <c r="AJ73" i="50"/>
  <c r="AH61" i="50"/>
  <c r="AM48" i="50"/>
  <c r="AD67" i="50"/>
  <c r="BC30" i="50"/>
  <c r="AK57" i="50"/>
  <c r="AO37" i="50"/>
  <c r="X79" i="50"/>
  <c r="AG23" i="50"/>
  <c r="AP13" i="50"/>
  <c r="BB25" i="50"/>
  <c r="AX36" i="50"/>
  <c r="AF11" i="50"/>
  <c r="M76" i="50"/>
  <c r="AV45" i="50"/>
  <c r="AI55" i="50"/>
  <c r="N18" i="50"/>
  <c r="AO16" i="50"/>
  <c r="AY43" i="50"/>
  <c r="AP58" i="50"/>
  <c r="AN12" i="50"/>
  <c r="AM78" i="50"/>
  <c r="R19" i="50"/>
  <c r="AZ11" i="50"/>
  <c r="AO27" i="50"/>
  <c r="AS59" i="50"/>
  <c r="AG52" i="50"/>
  <c r="X56" i="50"/>
  <c r="AI57" i="50"/>
  <c r="N46" i="50"/>
  <c r="AY47" i="50"/>
  <c r="N17" i="50"/>
  <c r="AV38" i="50"/>
  <c r="O30" i="50"/>
  <c r="AX18" i="50"/>
  <c r="R20" i="50"/>
  <c r="BC60" i="50"/>
  <c r="BA22" i="50"/>
  <c r="AD53" i="50"/>
  <c r="V10" i="50"/>
  <c r="P12" i="50"/>
  <c r="AY39" i="50"/>
  <c r="AV24" i="50"/>
  <c r="AQ41" i="50"/>
  <c r="R61" i="50"/>
  <c r="AO29" i="50"/>
  <c r="AW53" i="50"/>
  <c r="M19" i="50"/>
  <c r="BA67" i="50"/>
  <c r="V44" i="50"/>
  <c r="BA80" i="50"/>
  <c r="AH39" i="50"/>
  <c r="AZ44" i="50"/>
  <c r="AX21" i="50"/>
  <c r="AR56" i="50"/>
  <c r="L23" i="50"/>
  <c r="AG58" i="50"/>
  <c r="AY53" i="50"/>
  <c r="AO30" i="50"/>
  <c r="Q29" i="50"/>
  <c r="AK38" i="50"/>
  <c r="AU36" i="50"/>
  <c r="Q5" i="50"/>
  <c r="AA33" i="50"/>
  <c r="W71" i="50"/>
  <c r="L21" i="50"/>
  <c r="BB55" i="50"/>
  <c r="L67" i="50"/>
  <c r="AI76" i="50"/>
  <c r="AZ56" i="50"/>
  <c r="AB40" i="50"/>
  <c r="M57" i="50"/>
  <c r="BB11" i="50"/>
  <c r="AY14" i="50"/>
  <c r="BB18" i="50"/>
  <c r="V9" i="50"/>
  <c r="BB15" i="50"/>
  <c r="AC65" i="50"/>
  <c r="AN58" i="50"/>
  <c r="AE17" i="50"/>
  <c r="AE46" i="50"/>
  <c r="O73" i="50"/>
  <c r="AM8" i="50"/>
  <c r="AZ62" i="50"/>
  <c r="AO61" i="50"/>
  <c r="T5" i="50"/>
  <c r="M6" i="50"/>
  <c r="AO13" i="50"/>
  <c r="AC44" i="50"/>
  <c r="AG42" i="50"/>
  <c r="BA69" i="50"/>
  <c r="AT10" i="50"/>
  <c r="AO59" i="50"/>
  <c r="AX55" i="50"/>
  <c r="L76" i="50"/>
  <c r="Z32" i="50"/>
  <c r="AD44" i="50"/>
  <c r="AJ10" i="50"/>
  <c r="AN70" i="50"/>
  <c r="AL75" i="50"/>
  <c r="Q76" i="50"/>
  <c r="BA24" i="50"/>
  <c r="Y71" i="50"/>
  <c r="AP32" i="50"/>
  <c r="AA65" i="50"/>
  <c r="AI73" i="50"/>
  <c r="Q15" i="50"/>
  <c r="AE29" i="50"/>
  <c r="AB11" i="50"/>
  <c r="U38" i="50"/>
  <c r="AB75" i="50"/>
  <c r="Y47" i="50"/>
  <c r="AQ59" i="50"/>
  <c r="AH72" i="50"/>
  <c r="T51" i="50"/>
  <c r="AJ23" i="50"/>
  <c r="BC76" i="50"/>
  <c r="O20" i="50"/>
  <c r="AF42" i="50"/>
  <c r="AC40" i="50"/>
  <c r="AJ19" i="50"/>
  <c r="N33" i="50"/>
  <c r="Q65" i="50"/>
  <c r="AU27" i="50"/>
  <c r="Y12" i="50"/>
  <c r="AA53" i="50"/>
  <c r="AB49" i="50"/>
  <c r="AW19" i="50"/>
  <c r="AF18" i="50"/>
  <c r="AO50" i="50"/>
  <c r="AK56" i="50"/>
  <c r="AQ28" i="50"/>
  <c r="P28" i="50"/>
  <c r="Q48" i="50"/>
  <c r="AL65" i="50"/>
  <c r="AB72" i="50"/>
  <c r="R12" i="50"/>
  <c r="BB67" i="50"/>
  <c r="AA55" i="50"/>
  <c r="AM76" i="50"/>
  <c r="V50" i="50"/>
  <c r="Y19" i="50"/>
  <c r="AI23" i="50"/>
  <c r="AN34" i="50"/>
  <c r="Y68" i="50"/>
  <c r="Q53" i="50"/>
  <c r="AI72" i="50"/>
  <c r="AJ79" i="50"/>
  <c r="L73" i="50"/>
  <c r="AQ64" i="50"/>
  <c r="AZ14" i="50"/>
  <c r="P79" i="50"/>
  <c r="AQ25" i="50"/>
  <c r="AB23" i="50"/>
  <c r="Y30" i="50"/>
  <c r="AA36" i="50"/>
  <c r="AV61" i="50"/>
  <c r="AV69" i="50"/>
  <c r="AL59" i="50"/>
  <c r="AD9" i="50"/>
  <c r="O16" i="50"/>
  <c r="U27" i="50"/>
  <c r="AY29" i="50"/>
  <c r="AE66" i="50"/>
  <c r="AV25" i="50"/>
  <c r="S14" i="50"/>
  <c r="AW7" i="50"/>
  <c r="AM45" i="50"/>
  <c r="AJ67" i="50"/>
  <c r="AV16" i="50"/>
  <c r="AW42" i="50"/>
  <c r="L79" i="50"/>
  <c r="AI29" i="50"/>
  <c r="AV62" i="50"/>
  <c r="Z45" i="50"/>
  <c r="AL13" i="50"/>
  <c r="BA39" i="50"/>
  <c r="O61" i="50"/>
  <c r="P8" i="50"/>
  <c r="AT16" i="50"/>
  <c r="AK15" i="50"/>
  <c r="W52" i="50"/>
  <c r="AF75" i="50"/>
  <c r="O78" i="50"/>
  <c r="L34" i="50"/>
  <c r="AG75" i="50"/>
  <c r="L27" i="50"/>
  <c r="AW38" i="50"/>
  <c r="P71" i="50"/>
  <c r="AA26" i="50"/>
  <c r="W33" i="50"/>
  <c r="AI54" i="50"/>
  <c r="AU15" i="50"/>
  <c r="AC56" i="50"/>
  <c r="BB34" i="50"/>
  <c r="BB76" i="50"/>
  <c r="AC73" i="50"/>
  <c r="Z17" i="50"/>
  <c r="AP62" i="50"/>
  <c r="P64" i="50"/>
  <c r="AD20" i="50"/>
  <c r="AB70" i="50"/>
  <c r="V35" i="50"/>
  <c r="AM31" i="50"/>
  <c r="X7" i="50"/>
  <c r="Z49" i="50"/>
  <c r="AN9" i="50"/>
  <c r="X66" i="50"/>
  <c r="AZ40" i="50"/>
  <c r="AH23" i="50"/>
  <c r="AD7" i="50"/>
  <c r="Q33" i="50"/>
  <c r="AL38" i="50"/>
  <c r="AX79" i="50"/>
  <c r="AC19" i="50"/>
  <c r="AA21" i="50"/>
  <c r="Q30" i="50"/>
  <c r="AE32" i="50"/>
  <c r="R18" i="50"/>
  <c r="Z61" i="50"/>
  <c r="AH20" i="50"/>
  <c r="X58" i="50"/>
  <c r="AD22" i="50"/>
  <c r="BC51" i="50"/>
  <c r="AO43" i="50"/>
  <c r="AB24" i="50"/>
  <c r="AX54" i="50"/>
  <c r="AT79" i="50"/>
  <c r="T22" i="50"/>
  <c r="AB48" i="50"/>
  <c r="AZ47" i="50"/>
  <c r="W24" i="50"/>
  <c r="AS66" i="50"/>
  <c r="AA30" i="50"/>
  <c r="AY36" i="50"/>
  <c r="P33" i="50"/>
  <c r="AZ17" i="50"/>
  <c r="Q32" i="50"/>
  <c r="AI28" i="50"/>
  <c r="AV31" i="50"/>
  <c r="S69" i="50"/>
  <c r="AE61" i="50"/>
  <c r="S62" i="50"/>
  <c r="Q69" i="50"/>
  <c r="R35" i="50"/>
  <c r="AE62" i="50"/>
  <c r="N31" i="50"/>
  <c r="Y51" i="50"/>
  <c r="AV55" i="50"/>
  <c r="AW78" i="50"/>
  <c r="AS58" i="50"/>
  <c r="AC58" i="50"/>
  <c r="AK70" i="50"/>
  <c r="W30" i="50"/>
  <c r="M31" i="50"/>
  <c r="AE58" i="50"/>
  <c r="BB40" i="50"/>
  <c r="AA77" i="50"/>
  <c r="AG11" i="50"/>
  <c r="U31" i="50"/>
  <c r="AG34" i="50"/>
  <c r="AO46" i="50"/>
  <c r="P10" i="50"/>
  <c r="M52" i="50"/>
  <c r="AV26" i="50"/>
  <c r="AK35" i="50"/>
  <c r="AJ43" i="50"/>
  <c r="U17" i="50"/>
  <c r="AZ24" i="50"/>
  <c r="W40" i="50"/>
  <c r="V77" i="50"/>
  <c r="W43" i="50"/>
  <c r="AK39" i="50"/>
  <c r="P31" i="50"/>
  <c r="AF60" i="50"/>
  <c r="S33" i="50"/>
  <c r="BA30" i="50"/>
  <c r="AV48" i="50"/>
  <c r="AT62" i="50"/>
  <c r="W46" i="50"/>
  <c r="Y44" i="50"/>
  <c r="AS43" i="50"/>
  <c r="AL29" i="50"/>
  <c r="P62" i="50"/>
  <c r="AZ28" i="50"/>
  <c r="AJ59" i="50"/>
  <c r="AU74" i="50"/>
  <c r="AT76" i="50"/>
  <c r="AA76" i="50"/>
  <c r="AL19" i="50"/>
  <c r="AO40" i="50"/>
  <c r="AZ60" i="50"/>
  <c r="AZ59" i="50"/>
  <c r="P32" i="50"/>
  <c r="AB54" i="50"/>
  <c r="AF26" i="50"/>
  <c r="V49" i="50"/>
  <c r="BA60" i="50"/>
  <c r="O65" i="50"/>
  <c r="AY76" i="50"/>
  <c r="V15" i="50"/>
  <c r="AV74" i="50"/>
  <c r="AJ15" i="50"/>
  <c r="U50" i="50"/>
  <c r="X74" i="50"/>
  <c r="AF27" i="50"/>
  <c r="X31" i="50"/>
  <c r="AE74" i="50"/>
  <c r="AH53" i="50"/>
  <c r="N67" i="50"/>
  <c r="Z54" i="50"/>
  <c r="Z68" i="50"/>
  <c r="AA13" i="50"/>
  <c r="P13" i="50"/>
  <c r="AX29" i="50"/>
  <c r="AP15" i="50"/>
  <c r="AN41" i="50"/>
  <c r="S57" i="50"/>
  <c r="AG36" i="50"/>
  <c r="AR4" i="50"/>
  <c r="AE52" i="50"/>
  <c r="AN73" i="50"/>
  <c r="AC59" i="50"/>
  <c r="AF64" i="50"/>
  <c r="AK29" i="50"/>
  <c r="BB51" i="50"/>
  <c r="L13" i="50"/>
  <c r="AF35" i="50"/>
  <c r="R32" i="50"/>
  <c r="AY5" i="50"/>
  <c r="AH7" i="50"/>
  <c r="AK14" i="50"/>
  <c r="AT8" i="50"/>
  <c r="AT59" i="50"/>
  <c r="W12" i="50"/>
  <c r="AA63" i="50"/>
  <c r="AZ69" i="50"/>
  <c r="AE72" i="50"/>
  <c r="S73" i="50"/>
  <c r="X23" i="50"/>
  <c r="AO15" i="50"/>
  <c r="W47" i="50"/>
  <c r="Q35" i="50"/>
  <c r="M39" i="50"/>
  <c r="AI21" i="50"/>
  <c r="AY60" i="50"/>
  <c r="AU19" i="50"/>
  <c r="AR57" i="50"/>
  <c r="AV32" i="50"/>
  <c r="AL80" i="50"/>
  <c r="R9" i="50"/>
  <c r="Q17" i="50"/>
  <c r="AB26" i="50"/>
  <c r="O74" i="50"/>
  <c r="AU14" i="50"/>
  <c r="T54" i="50"/>
  <c r="N36" i="50"/>
  <c r="AH16" i="50"/>
  <c r="AB36" i="50"/>
  <c r="AB62" i="50"/>
  <c r="AC79" i="50"/>
  <c r="T30" i="50"/>
  <c r="AU43" i="50"/>
  <c r="AM56" i="50"/>
  <c r="Y56" i="50"/>
  <c r="L42" i="50"/>
  <c r="AG16" i="50"/>
  <c r="Z78" i="50"/>
  <c r="R69" i="50"/>
  <c r="AR46" i="50"/>
  <c r="AD29" i="50"/>
  <c r="P5" i="50"/>
  <c r="Y18" i="50"/>
  <c r="AH57" i="50"/>
  <c r="BC11" i="50"/>
  <c r="AV8" i="50"/>
  <c r="BB77" i="50"/>
  <c r="AY44" i="50"/>
  <c r="AW45" i="50"/>
  <c r="V53" i="50"/>
  <c r="AA47" i="50"/>
  <c r="BA45" i="50"/>
  <c r="M43" i="50"/>
  <c r="AV75" i="50"/>
  <c r="O46" i="50"/>
  <c r="P40" i="50"/>
  <c r="Y75" i="50"/>
  <c r="S71" i="50"/>
  <c r="BA31" i="50"/>
  <c r="AL6" i="50"/>
  <c r="AV19" i="50"/>
  <c r="U33" i="50"/>
  <c r="AJ46" i="50"/>
  <c r="T50" i="50"/>
  <c r="AI64" i="50"/>
  <c r="AP65" i="50"/>
  <c r="P47" i="50"/>
  <c r="AG60" i="50"/>
  <c r="O69" i="50"/>
  <c r="AY42" i="50"/>
  <c r="Y46" i="50"/>
  <c r="AW31" i="50"/>
  <c r="AK8" i="50"/>
  <c r="AK41" i="50"/>
  <c r="X9" i="50"/>
  <c r="AR32" i="50"/>
  <c r="AE38" i="50"/>
  <c r="Q46" i="50"/>
  <c r="X46" i="50"/>
  <c r="AZ49" i="50"/>
  <c r="AM41" i="50"/>
  <c r="Y43" i="50"/>
  <c r="AK54" i="50"/>
  <c r="AH55" i="50"/>
  <c r="AH32" i="50"/>
  <c r="AJ77" i="50"/>
  <c r="X75" i="50"/>
  <c r="Y21" i="50"/>
  <c r="AE20" i="50"/>
  <c r="P74" i="50"/>
  <c r="AD75" i="50"/>
  <c r="Q22" i="50"/>
  <c r="AO49" i="50"/>
  <c r="Z43" i="50"/>
  <c r="AA25" i="50"/>
  <c r="U20" i="50"/>
  <c r="BC59" i="50"/>
  <c r="AN47" i="50"/>
  <c r="AP66" i="50"/>
  <c r="AH14" i="50"/>
  <c r="N6" i="50"/>
  <c r="BA37" i="50"/>
  <c r="Q9" i="50"/>
  <c r="BC8" i="50"/>
  <c r="AH69" i="50"/>
  <c r="L9" i="50"/>
  <c r="AR8" i="50"/>
  <c r="BA77" i="50"/>
  <c r="BA54" i="50"/>
  <c r="V60" i="50"/>
  <c r="T59" i="50"/>
  <c r="R58" i="50"/>
  <c r="AK16" i="50"/>
  <c r="AD21" i="50"/>
  <c r="AA39" i="50"/>
  <c r="L44" i="50"/>
  <c r="P24" i="50"/>
  <c r="P50" i="50"/>
  <c r="AQ46" i="50"/>
  <c r="M26" i="50"/>
  <c r="V65" i="50"/>
  <c r="AE54" i="50"/>
  <c r="Z23" i="50"/>
  <c r="AE16" i="50"/>
  <c r="BC42" i="50"/>
  <c r="AN16" i="50"/>
  <c r="X15" i="50"/>
  <c r="AJ53" i="50"/>
  <c r="AM54" i="50"/>
  <c r="Z6" i="50"/>
  <c r="BA16" i="50"/>
  <c r="AH71" i="50"/>
  <c r="AL66" i="50"/>
  <c r="AV39" i="50"/>
  <c r="AL41" i="50"/>
  <c r="AS21" i="50"/>
  <c r="AD33" i="50"/>
  <c r="AT22" i="50"/>
  <c r="AG35" i="50"/>
  <c r="AN60" i="50"/>
  <c r="AF78" i="50"/>
  <c r="AA60" i="50"/>
  <c r="AN24" i="50"/>
  <c r="Q62" i="50"/>
  <c r="AV71" i="50"/>
  <c r="AB65" i="50"/>
  <c r="AY66" i="50"/>
  <c r="AQ4" i="50"/>
  <c r="V24" i="50"/>
  <c r="P15" i="50"/>
  <c r="AV28" i="50"/>
  <c r="AJ50" i="50"/>
  <c r="U55" i="50"/>
  <c r="AS10" i="50"/>
  <c r="S42" i="50"/>
  <c r="AQ63" i="50"/>
  <c r="AK32" i="50"/>
  <c r="T57" i="50"/>
  <c r="AZ50" i="50"/>
  <c r="AL62" i="50"/>
  <c r="AI79" i="50"/>
  <c r="AS14" i="50"/>
  <c r="S9" i="50"/>
  <c r="AN67" i="50"/>
  <c r="AQ37" i="50"/>
  <c r="AQ14" i="50"/>
  <c r="AR29" i="50"/>
  <c r="AU50" i="50"/>
  <c r="AE76" i="50"/>
  <c r="W8" i="50"/>
  <c r="AV15" i="50"/>
  <c r="AI52" i="50"/>
  <c r="AE21" i="50"/>
  <c r="AF58" i="50"/>
  <c r="X42" i="50"/>
  <c r="AT28" i="50"/>
  <c r="W42" i="50"/>
  <c r="AJ42" i="50"/>
  <c r="AK65" i="50"/>
  <c r="AL39" i="50"/>
  <c r="O25" i="50"/>
  <c r="W15" i="50"/>
  <c r="AB55" i="50"/>
  <c r="AL35" i="50"/>
  <c r="AA14" i="50"/>
  <c r="AC47" i="50"/>
  <c r="AZ43" i="50"/>
  <c r="T55" i="50"/>
  <c r="Z59" i="50"/>
  <c r="Y34" i="50"/>
  <c r="N42" i="50"/>
  <c r="AT70" i="50"/>
  <c r="AH68" i="50"/>
  <c r="AI10" i="50"/>
  <c r="AE27" i="50"/>
  <c r="AH78" i="50"/>
  <c r="X57" i="50"/>
  <c r="AB10" i="50"/>
  <c r="AR35" i="50"/>
  <c r="BB65" i="50"/>
  <c r="AF52" i="50"/>
  <c r="N27" i="50"/>
  <c r="AG5" i="50"/>
  <c r="AE49" i="50"/>
  <c r="AH35" i="50"/>
  <c r="BC17" i="50"/>
  <c r="AI42" i="50"/>
  <c r="W16" i="50"/>
  <c r="AW23" i="50"/>
  <c r="AU79" i="50"/>
  <c r="BB17" i="50"/>
  <c r="AD39" i="50"/>
  <c r="AM25" i="50"/>
  <c r="AC77" i="50"/>
  <c r="AC9" i="50"/>
  <c r="T60" i="50"/>
  <c r="AF57" i="50"/>
  <c r="AN25" i="50"/>
  <c r="BB73" i="50"/>
  <c r="AV10" i="50"/>
  <c r="AR15" i="50"/>
  <c r="AO20" i="50"/>
  <c r="AC49" i="50"/>
  <c r="AG17" i="50"/>
  <c r="AX52" i="50"/>
  <c r="AK24" i="50"/>
  <c r="AG8" i="50"/>
  <c r="AR48" i="50"/>
  <c r="Q47" i="50"/>
  <c r="Y31" i="50"/>
  <c r="X64" i="50"/>
  <c r="Q24" i="50"/>
  <c r="AF68" i="50"/>
  <c r="AT43" i="50"/>
  <c r="R29" i="50"/>
  <c r="AY73" i="50"/>
  <c r="AF10" i="50"/>
  <c r="AW18" i="50"/>
  <c r="AB78" i="50"/>
  <c r="AW80" i="50"/>
  <c r="V26" i="50"/>
  <c r="M71" i="50"/>
  <c r="U46" i="50"/>
  <c r="AP54" i="50"/>
  <c r="AY30" i="50"/>
  <c r="AE36" i="50"/>
  <c r="BB37" i="50"/>
  <c r="AJ54" i="50"/>
  <c r="BA50" i="50"/>
  <c r="M45" i="50"/>
  <c r="AJ48" i="50"/>
  <c r="Z7" i="50"/>
  <c r="X73" i="50"/>
  <c r="R66" i="50"/>
  <c r="M42" i="50"/>
  <c r="Q26" i="50"/>
  <c r="AS63" i="50"/>
  <c r="AZ30" i="50"/>
  <c r="U47" i="50"/>
  <c r="AR36" i="50"/>
  <c r="AK36" i="50"/>
  <c r="Z36" i="50"/>
  <c r="AE44" i="50"/>
  <c r="Y72" i="50"/>
  <c r="R13" i="50"/>
  <c r="AJ37" i="50"/>
  <c r="AT40" i="50"/>
  <c r="Y66" i="50"/>
  <c r="AU22" i="50"/>
  <c r="AE30" i="50"/>
  <c r="S26" i="50"/>
  <c r="AC29" i="50"/>
  <c r="AH73" i="50"/>
  <c r="X14" i="50"/>
  <c r="BA15" i="50"/>
  <c r="V39" i="50"/>
  <c r="AL52" i="50"/>
  <c r="AE50" i="50"/>
  <c r="V19" i="50"/>
  <c r="AF43" i="50"/>
  <c r="W58" i="50"/>
  <c r="N22" i="50"/>
  <c r="AA68" i="50"/>
  <c r="Z57" i="50"/>
  <c r="Y14" i="50"/>
  <c r="N78" i="50"/>
  <c r="AB80" i="50"/>
  <c r="AB33" i="50"/>
  <c r="M74" i="50"/>
  <c r="AC34" i="50"/>
  <c r="AC60" i="50"/>
  <c r="AB21" i="50"/>
  <c r="O10" i="50"/>
  <c r="S59" i="50"/>
  <c r="AB76" i="50"/>
  <c r="Z56" i="50"/>
  <c r="Q7" i="50"/>
  <c r="AD78" i="50"/>
  <c r="AH67" i="50"/>
  <c r="Y33" i="50"/>
  <c r="L58" i="50"/>
  <c r="M70" i="50"/>
  <c r="BA49" i="50"/>
  <c r="T20" i="50"/>
  <c r="BB38" i="50"/>
  <c r="Y39" i="50"/>
  <c r="AJ7" i="50"/>
  <c r="O37" i="50"/>
  <c r="AI26" i="50"/>
  <c r="U29" i="50"/>
  <c r="AH36" i="50"/>
  <c r="M38" i="50"/>
  <c r="AO76" i="50"/>
  <c r="S70" i="50"/>
  <c r="AT12" i="50"/>
  <c r="AJ38" i="50"/>
  <c r="AS51" i="50"/>
  <c r="AZ16" i="50"/>
  <c r="O58" i="50"/>
  <c r="AY55" i="50"/>
  <c r="AX39" i="50"/>
  <c r="AQ8" i="50"/>
  <c r="AP53" i="50"/>
  <c r="BC31" i="50"/>
  <c r="AV30" i="50"/>
  <c r="M48" i="50"/>
  <c r="Z39" i="50"/>
  <c r="R16" i="50"/>
  <c r="AC26" i="50"/>
  <c r="R49" i="50"/>
  <c r="AK26" i="50"/>
  <c r="AX47" i="50"/>
  <c r="W45" i="50"/>
  <c r="AF46" i="50"/>
  <c r="AC68" i="50"/>
  <c r="AV34" i="50"/>
  <c r="AW54" i="50"/>
  <c r="AK5" i="50"/>
  <c r="AI68" i="50"/>
  <c r="U10" i="50"/>
  <c r="Q43" i="50"/>
  <c r="AQ55" i="50"/>
  <c r="P11" i="50"/>
  <c r="M18" i="50"/>
  <c r="AQ58" i="50"/>
  <c r="X77" i="50"/>
  <c r="AC5" i="50"/>
  <c r="U32" i="50"/>
  <c r="AJ29" i="50"/>
  <c r="AJ5" i="50"/>
  <c r="W78" i="50"/>
  <c r="AD27" i="50"/>
  <c r="AI71" i="50"/>
  <c r="AJ74" i="50"/>
  <c r="Q39" i="50"/>
  <c r="Y70" i="50"/>
  <c r="AE12" i="50"/>
  <c r="BB69" i="50"/>
  <c r="X48" i="50"/>
  <c r="AF12" i="50"/>
  <c r="AB37" i="50"/>
  <c r="AF65" i="50"/>
  <c r="Z28" i="50"/>
  <c r="AQ39" i="50"/>
  <c r="AE43" i="50"/>
  <c r="V70" i="50"/>
  <c r="AB5" i="50"/>
  <c r="AR31" i="50"/>
  <c r="AP19" i="50"/>
  <c r="AP23" i="50"/>
  <c r="Z48" i="50"/>
  <c r="AI20" i="50"/>
  <c r="AX63" i="50"/>
  <c r="T35" i="50"/>
  <c r="AJ16" i="50"/>
  <c r="AE13" i="50"/>
  <c r="AT71" i="50"/>
  <c r="AG14" i="50"/>
  <c r="BC9" i="50"/>
  <c r="AU69" i="50"/>
  <c r="AE24" i="50"/>
  <c r="AH13" i="50"/>
  <c r="X52" i="50"/>
  <c r="BB54" i="50"/>
  <c r="AF22" i="50"/>
  <c r="AL34" i="50"/>
  <c r="AS17" i="50"/>
  <c r="Q60" i="50"/>
  <c r="AR71" i="50"/>
  <c r="BB12" i="50"/>
  <c r="AT19" i="50"/>
  <c r="L47" i="50"/>
  <c r="U59" i="50"/>
  <c r="U42" i="50"/>
  <c r="AZ71" i="50"/>
  <c r="AN31" i="50"/>
  <c r="AS25" i="50"/>
  <c r="AW16" i="50"/>
  <c r="AX51" i="50"/>
  <c r="AW65" i="50"/>
  <c r="W59" i="50"/>
  <c r="AT36" i="50"/>
  <c r="W57" i="50"/>
  <c r="AH5" i="50"/>
  <c r="Q51" i="50"/>
  <c r="AM57" i="50"/>
  <c r="AO7" i="50"/>
  <c r="AM51" i="50"/>
  <c r="AU64" i="50"/>
  <c r="BA48" i="50"/>
  <c r="AS9" i="50"/>
  <c r="T17" i="50"/>
  <c r="N76" i="50"/>
  <c r="AQ72" i="50"/>
  <c r="Z35" i="50"/>
  <c r="AH9" i="50"/>
  <c r="AD30" i="50"/>
  <c r="AM71" i="50"/>
  <c r="AK22" i="50"/>
  <c r="Q72" i="50"/>
  <c r="AD5" i="50"/>
  <c r="AG39" i="50"/>
  <c r="AU39" i="50"/>
  <c r="AV35" i="50"/>
  <c r="BA78" i="50"/>
  <c r="AY45" i="50"/>
  <c r="AU25" i="50"/>
  <c r="S60" i="50"/>
  <c r="W70" i="50"/>
  <c r="AL63" i="50"/>
  <c r="U53" i="50"/>
  <c r="BA10" i="50"/>
  <c r="BB75" i="50"/>
  <c r="AB7" i="50"/>
  <c r="X32" i="50"/>
  <c r="AR80" i="50"/>
  <c r="AF49" i="50"/>
  <c r="M24" i="50"/>
  <c r="W6" i="50"/>
  <c r="BB52" i="50"/>
  <c r="S43" i="50"/>
  <c r="L40" i="50"/>
  <c r="AS23" i="50"/>
  <c r="AQ79" i="50"/>
  <c r="AR34" i="50"/>
  <c r="BA52" i="50"/>
  <c r="R62" i="50"/>
  <c r="AZ22" i="50"/>
  <c r="AK11" i="50"/>
  <c r="BC65" i="50"/>
  <c r="X13" i="50"/>
  <c r="AW51" i="50"/>
  <c r="Y7" i="50"/>
  <c r="AY79" i="50"/>
  <c r="L72" i="50"/>
  <c r="V75" i="50"/>
  <c r="AL50" i="50"/>
  <c r="AH49" i="50"/>
  <c r="S5" i="50"/>
  <c r="N5" i="50"/>
  <c r="U22" i="50"/>
  <c r="AZ29" i="50"/>
  <c r="AW9" i="50"/>
  <c r="AR79" i="50"/>
  <c r="BC43" i="50"/>
  <c r="AN37" i="50"/>
  <c r="AL7" i="50"/>
  <c r="AG47" i="50"/>
  <c r="AA59" i="50"/>
  <c r="AJ44" i="50"/>
  <c r="P75" i="50"/>
  <c r="AO5" i="50"/>
  <c r="S29" i="50"/>
  <c r="L68" i="50"/>
  <c r="L71" i="50"/>
  <c r="T19" i="50"/>
  <c r="AK61" i="50"/>
  <c r="Z69" i="50"/>
  <c r="AZ31" i="50"/>
  <c r="AT26" i="50"/>
  <c r="AQ20" i="50"/>
  <c r="AS52" i="50"/>
  <c r="M22" i="50"/>
  <c r="AS12" i="50"/>
  <c r="N62" i="50"/>
  <c r="P63" i="50"/>
  <c r="L54" i="50"/>
  <c r="AN57" i="50"/>
  <c r="S17" i="50"/>
  <c r="AD76" i="50"/>
  <c r="AR18" i="50"/>
  <c r="BA28" i="50"/>
  <c r="U77" i="50"/>
  <c r="AN59" i="50"/>
  <c r="AX11" i="50"/>
  <c r="AO69" i="50"/>
  <c r="AP78" i="50"/>
  <c r="AU20" i="50"/>
  <c r="V31" i="50"/>
  <c r="Q6" i="50"/>
  <c r="AH22" i="50"/>
  <c r="T58" i="50"/>
  <c r="AR38" i="50"/>
  <c r="AS56" i="50"/>
  <c r="AX49" i="50"/>
  <c r="AJ27" i="50"/>
  <c r="AK73" i="50"/>
  <c r="AG45" i="50"/>
  <c r="AS28" i="50"/>
  <c r="BB31" i="50"/>
  <c r="U7" i="50"/>
  <c r="AS48" i="50"/>
  <c r="O14" i="50"/>
  <c r="BC15" i="50"/>
  <c r="AC43" i="50"/>
  <c r="AT13" i="50"/>
  <c r="V28" i="50"/>
  <c r="R7" i="50"/>
  <c r="AE19" i="50"/>
  <c r="AV58" i="50"/>
  <c r="AL42" i="50"/>
  <c r="AQ13" i="50"/>
  <c r="AX9" i="50"/>
  <c r="AZ8" i="50"/>
  <c r="AG76" i="50"/>
  <c r="AW14" i="50"/>
  <c r="AT80" i="50"/>
  <c r="W80" i="50"/>
  <c r="U67" i="50"/>
  <c r="P36" i="50"/>
  <c r="AC55" i="50"/>
  <c r="AI53" i="50"/>
  <c r="AC75" i="50"/>
  <c r="AY65" i="50"/>
  <c r="S27" i="50"/>
  <c r="L62" i="50"/>
  <c r="P51" i="50"/>
  <c r="AJ36" i="50"/>
  <c r="AS71" i="50"/>
  <c r="BA72" i="50"/>
  <c r="L77" i="50"/>
  <c r="AO14" i="50"/>
  <c r="X63" i="50"/>
  <c r="AQ68" i="50"/>
  <c r="M35" i="50"/>
  <c r="M40" i="50"/>
  <c r="AQ74" i="50"/>
  <c r="AL17" i="50"/>
  <c r="R77" i="50"/>
  <c r="AI33" i="50"/>
  <c r="AZ25" i="50"/>
  <c r="AM35" i="50"/>
  <c r="W31" i="50"/>
  <c r="Q61" i="50"/>
  <c r="M60" i="50"/>
  <c r="AP41" i="50"/>
  <c r="AB44" i="50"/>
  <c r="AQ61" i="50"/>
  <c r="AU68" i="50"/>
  <c r="Z77" i="50"/>
  <c r="Z65" i="50"/>
  <c r="AG26" i="50"/>
  <c r="Y50" i="50"/>
  <c r="AI45" i="50"/>
  <c r="AU52" i="50"/>
  <c r="AU77" i="50"/>
  <c r="N52" i="50"/>
  <c r="AW55" i="50"/>
  <c r="M54" i="50"/>
  <c r="AC53" i="50"/>
  <c r="U44" i="50"/>
  <c r="AD31" i="50"/>
  <c r="AV22" i="50"/>
  <c r="BA68" i="50"/>
  <c r="Q19" i="50"/>
  <c r="T63" i="50"/>
  <c r="AD77" i="50"/>
  <c r="BC39" i="50"/>
  <c r="BB36" i="50"/>
  <c r="AX69" i="50"/>
  <c r="W32" i="50"/>
  <c r="AO41" i="50"/>
  <c r="AA18" i="50"/>
  <c r="X44" i="50"/>
  <c r="AK13" i="50"/>
  <c r="BA43" i="50"/>
  <c r="BA44" i="50"/>
  <c r="O64" i="50"/>
  <c r="AV11" i="50"/>
  <c r="AL47" i="50"/>
  <c r="AT6" i="50"/>
  <c r="AZ78" i="50"/>
  <c r="AZ13" i="50"/>
  <c r="AW58" i="50"/>
  <c r="AE57" i="50"/>
  <c r="U66" i="50"/>
  <c r="Q50" i="50"/>
  <c r="AM77" i="50"/>
  <c r="Y38" i="50"/>
  <c r="AU24" i="50"/>
  <c r="AW64" i="50"/>
  <c r="AD8" i="50"/>
  <c r="U24" i="50"/>
  <c r="AU75" i="50"/>
  <c r="AH70" i="50"/>
  <c r="N57" i="50"/>
  <c r="AQ32" i="50"/>
  <c r="AI49" i="50"/>
  <c r="AK71" i="50"/>
  <c r="AJ6" i="50"/>
  <c r="BA13" i="50"/>
  <c r="O66" i="50"/>
  <c r="AY68" i="50"/>
  <c r="M23" i="50"/>
  <c r="AV80" i="50"/>
  <c r="O51" i="50"/>
  <c r="AW77" i="50"/>
  <c r="AB30" i="50"/>
  <c r="BB6" i="50"/>
  <c r="X21" i="50"/>
  <c r="AQ48" i="50"/>
  <c r="X41" i="50"/>
  <c r="Q31" i="50"/>
  <c r="AH43" i="50"/>
  <c r="X72" i="50"/>
  <c r="S74" i="50"/>
  <c r="AF72" i="50"/>
  <c r="AC35" i="50"/>
  <c r="AZ46" i="50"/>
  <c r="AO21" i="50"/>
  <c r="BA51" i="50"/>
  <c r="T36" i="50"/>
  <c r="AG49" i="50"/>
  <c r="X59" i="50"/>
  <c r="AT68" i="50"/>
  <c r="U8" i="50"/>
  <c r="AO58" i="50"/>
  <c r="AW61" i="50"/>
  <c r="AA27" i="50"/>
  <c r="W23" i="50"/>
  <c r="AB69" i="50"/>
  <c r="P52" i="50"/>
  <c r="AP38" i="50"/>
  <c r="S72" i="50"/>
  <c r="AK78" i="50"/>
  <c r="AC13" i="50"/>
  <c r="BB33" i="50"/>
  <c r="AF5" i="50"/>
  <c r="X49" i="50"/>
  <c r="AK33" i="50"/>
  <c r="AM52" i="50"/>
  <c r="M78" i="50"/>
  <c r="W74" i="50"/>
  <c r="T28" i="50"/>
  <c r="AN13" i="50"/>
  <c r="AT46" i="50"/>
  <c r="AM26" i="50"/>
  <c r="Q18" i="50"/>
  <c r="AE69" i="50"/>
  <c r="AX8" i="50"/>
  <c r="AW8" i="50"/>
  <c r="AN26" i="50"/>
  <c r="AF62" i="50"/>
  <c r="AU78" i="50"/>
  <c r="AN14" i="50"/>
  <c r="W36" i="50"/>
  <c r="AA17" i="50"/>
  <c r="AT9" i="50"/>
  <c r="L69" i="50"/>
  <c r="AO51" i="50"/>
  <c r="AD64" i="50"/>
  <c r="BB47" i="50"/>
  <c r="AV20" i="50"/>
  <c r="M58" i="50"/>
  <c r="AC74" i="50"/>
  <c r="AS36" i="50"/>
  <c r="Y41" i="50"/>
  <c r="AW79" i="50"/>
  <c r="Z80" i="50"/>
  <c r="M64" i="50"/>
  <c r="Q21" i="50"/>
  <c r="AS16" i="50"/>
  <c r="AU33" i="50"/>
  <c r="BC68" i="50"/>
  <c r="AD50" i="50"/>
  <c r="AM43" i="50"/>
  <c r="AS11" i="50"/>
  <c r="P78" i="50"/>
  <c r="AM61" i="50"/>
  <c r="AN36" i="50"/>
  <c r="AZ27" i="50"/>
  <c r="AI24" i="50"/>
  <c r="AV12" i="50"/>
  <c r="AC18" i="50"/>
  <c r="BB30" i="50"/>
  <c r="AC14" i="50"/>
  <c r="AS65" i="50"/>
  <c r="AG70" i="50"/>
  <c r="AZ54" i="50"/>
  <c r="AQ6" i="50"/>
  <c r="AB38" i="50"/>
  <c r="X78" i="50"/>
  <c r="AB8" i="50"/>
  <c r="Y25" i="50"/>
  <c r="R59" i="50"/>
  <c r="AB14" i="50"/>
  <c r="AK58" i="50"/>
  <c r="AG25" i="50"/>
  <c r="AP12" i="50"/>
  <c r="AJ55" i="50"/>
  <c r="BA25" i="50"/>
  <c r="AD18" i="50"/>
  <c r="N66" i="50"/>
  <c r="AV5" i="50"/>
  <c r="BB24" i="50"/>
  <c r="AP24" i="50"/>
  <c r="BA6" i="50"/>
  <c r="W48" i="50"/>
  <c r="AK40" i="50"/>
  <c r="BB14" i="50"/>
  <c r="AU61" i="50"/>
  <c r="Q27" i="50"/>
  <c r="BA29" i="50"/>
  <c r="AI17" i="50"/>
  <c r="AE14" i="50"/>
  <c r="S65" i="50"/>
  <c r="AR9" i="50"/>
  <c r="P45" i="50"/>
  <c r="AM18" i="50"/>
  <c r="AJ52" i="50"/>
  <c r="BC26" i="50"/>
  <c r="AH37" i="50"/>
  <c r="AQ22" i="50"/>
  <c r="AK72" i="50"/>
  <c r="M53" i="50"/>
  <c r="M62" i="50"/>
  <c r="BB8" i="50"/>
  <c r="AE45" i="50"/>
  <c r="AD52" i="50"/>
  <c r="AJ78" i="50"/>
  <c r="Y79" i="50"/>
  <c r="AD48" i="50"/>
  <c r="AH40" i="50"/>
  <c r="AM38" i="50"/>
  <c r="AD32" i="50"/>
  <c r="BA38" i="50"/>
  <c r="AB66" i="50"/>
  <c r="Q25" i="50"/>
  <c r="AU49" i="50"/>
  <c r="T44" i="50"/>
  <c r="AF67" i="50"/>
  <c r="X19" i="50"/>
  <c r="AO77" i="50"/>
  <c r="AD34" i="50"/>
  <c r="AS80" i="50"/>
  <c r="AE55" i="50"/>
  <c r="N47" i="50"/>
  <c r="AC8" i="50"/>
  <c r="AK55" i="50"/>
  <c r="BA42" i="50"/>
  <c r="AO65" i="50"/>
  <c r="AC69" i="50"/>
  <c r="AP46" i="50"/>
  <c r="S25" i="50"/>
  <c r="X34" i="50"/>
  <c r="AI6" i="50"/>
  <c r="V8" i="50"/>
  <c r="M77" i="50"/>
  <c r="AT33" i="50"/>
  <c r="AX46" i="50"/>
  <c r="S6" i="50"/>
  <c r="O17" i="50"/>
  <c r="L57" i="50"/>
  <c r="AG55" i="50"/>
  <c r="U48" i="50"/>
  <c r="Z41" i="50"/>
  <c r="AD40" i="50"/>
  <c r="AF6" i="50"/>
  <c r="AO75" i="50"/>
  <c r="BC61" i="50"/>
  <c r="X61" i="50"/>
  <c r="AU58" i="50"/>
  <c r="X39" i="50"/>
  <c r="AS26" i="50"/>
  <c r="P54" i="50"/>
  <c r="AU17" i="50"/>
  <c r="BB42" i="50"/>
  <c r="AY8" i="50"/>
  <c r="AI65" i="50"/>
  <c r="AM27" i="50"/>
  <c r="V34" i="50"/>
  <c r="AQ45" i="50"/>
  <c r="V69" i="50"/>
  <c r="AU38" i="50"/>
  <c r="AA29" i="50"/>
  <c r="AP57" i="50"/>
  <c r="Z70" i="50"/>
  <c r="N44" i="50"/>
  <c r="F79" i="50" l="1"/>
  <c r="F73" i="50"/>
  <c r="F74" i="50"/>
  <c r="F77" i="50"/>
  <c r="F71" i="50"/>
  <c r="F76" i="50"/>
  <c r="F72" i="50"/>
  <c r="F75" i="50"/>
  <c r="F78" i="50"/>
  <c r="F80" i="50"/>
  <c r="G15" i="9"/>
  <c r="J17" i="5"/>
  <c r="J20" i="5"/>
  <c r="J13" i="5"/>
  <c r="J18" i="5"/>
  <c r="J23" i="5"/>
  <c r="J22" i="5"/>
  <c r="J8" i="5"/>
  <c r="J7" i="5"/>
  <c r="J11" i="5"/>
  <c r="J21" i="5"/>
  <c r="J14" i="5"/>
  <c r="J5" i="5"/>
  <c r="J12" i="5"/>
  <c r="J6" i="5"/>
  <c r="J10" i="5"/>
  <c r="J19" i="5"/>
  <c r="J16" i="5"/>
  <c r="J15" i="5"/>
  <c r="J4" i="5"/>
  <c r="K2" i="5" s="1"/>
  <c r="M2" i="1"/>
  <c r="C16" i="9"/>
  <c r="G16" i="9" s="1"/>
  <c r="L2" i="5" l="1"/>
  <c r="L2" i="1"/>
  <c r="C17" i="9"/>
  <c r="G17" i="9" s="1"/>
  <c r="H12" i="4"/>
  <c r="H4" i="4" s="1"/>
  <c r="I24" i="4" s="1"/>
  <c r="J24" i="4" s="1"/>
  <c r="G80" i="50" s="1"/>
  <c r="I80" i="50" s="1"/>
  <c r="K24" i="4" l="1"/>
  <c r="C18" i="9"/>
  <c r="G18" i="9" s="1"/>
  <c r="H80" i="50" l="1"/>
  <c r="J80" i="50"/>
  <c r="I23" i="4"/>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J71" i="50" l="1"/>
  <c r="H71" i="50"/>
  <c r="K8" i="4"/>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Q4" i="5" l="1"/>
  <c r="AQ4" i="137"/>
  <c r="AQ4" i="4"/>
  <c r="AI4" i="150"/>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37"/>
  <c r="AR4" i="150"/>
  <c r="AR4" i="5"/>
  <c r="AR4" i="4"/>
  <c r="AP4" i="137"/>
  <c r="AP4" i="4"/>
  <c r="AP4" i="150"/>
  <c r="AP4" i="5"/>
  <c r="AO4" i="137"/>
  <c r="AO4" i="5"/>
  <c r="AO4" i="4"/>
  <c r="AO4" i="150"/>
  <c r="AN4" i="5"/>
  <c r="AN4" i="4"/>
  <c r="AN4" i="137"/>
  <c r="AN4" i="150"/>
  <c r="AJ4" i="150"/>
  <c r="AF4" i="50"/>
  <c r="Y4" i="50"/>
  <c r="S4" i="50"/>
  <c r="L8" i="50"/>
  <c r="W4" i="50"/>
  <c r="V4" i="50"/>
  <c r="T4" i="50"/>
  <c r="R4" i="50"/>
  <c r="Q4" i="50"/>
  <c r="M4" i="50"/>
  <c r="AN4" i="50"/>
  <c r="AL4" i="50"/>
  <c r="N4" i="50"/>
  <c r="AB4" i="50"/>
  <c r="AA4" i="50"/>
  <c r="AG4" i="50"/>
  <c r="O4" i="50"/>
  <c r="AD4" i="50"/>
  <c r="U4" i="50"/>
  <c r="AK4" i="50"/>
  <c r="L4" i="50"/>
  <c r="AO4" i="50"/>
  <c r="P4" i="50"/>
  <c r="X4" i="50"/>
  <c r="AH4" i="50"/>
  <c r="AJ4" i="50"/>
  <c r="AE4" i="50"/>
  <c r="Z4" i="50"/>
  <c r="AC4" i="50"/>
  <c r="AI4" i="50"/>
  <c r="L5" i="50"/>
  <c r="AM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37"/>
  <c r="V4" i="137"/>
  <c r="V4" i="150"/>
  <c r="V4" i="4"/>
  <c r="V4" i="5"/>
  <c r="AI4" i="5" l="1"/>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G72" i="50" s="1"/>
  <c r="I72" i="50" s="1"/>
  <c r="K5" i="150" l="1"/>
  <c r="K4" i="150" s="1"/>
  <c r="L2" i="150" s="1"/>
  <c r="B1" i="50" l="1"/>
  <c r="H3" i="95"/>
  <c r="I1" i="95" s="1"/>
  <c r="I3" i="95" s="1"/>
  <c r="M2" i="150"/>
  <c r="H72" i="50"/>
  <c r="H4" i="50" s="1"/>
  <c r="J72" i="50"/>
  <c r="J4" i="50" s="1"/>
  <c r="AM9" i="5" l="1"/>
  <c r="AM20" i="1"/>
  <c r="AM5" i="150"/>
  <c r="N5" i="150" s="1"/>
  <c r="AM24" i="4"/>
  <c r="N24" i="4" s="1"/>
  <c r="AM23" i="4"/>
  <c r="O23" i="4" s="1"/>
  <c r="A23" i="4" s="1"/>
  <c r="AM9" i="150"/>
  <c r="N9" i="150" s="1"/>
  <c r="AM8" i="150"/>
  <c r="N8" i="150" s="1"/>
  <c r="AM7" i="150"/>
  <c r="N7" i="150" s="1"/>
  <c r="AM6" i="150"/>
  <c r="O6" i="150" s="1"/>
  <c r="A6" i="150" s="1"/>
  <c r="AM11" i="150"/>
  <c r="O11" i="150" s="1"/>
  <c r="A11" i="150" s="1"/>
  <c r="AM12" i="150"/>
  <c r="O12" i="150" s="1"/>
  <c r="A12" i="150" s="1"/>
  <c r="AM10" i="150"/>
  <c r="O10" i="150" s="1"/>
  <c r="A10" i="150" s="1"/>
  <c r="AM22" i="4"/>
  <c r="N22" i="4" s="1"/>
  <c r="AM14" i="5"/>
  <c r="M14" i="5" s="1"/>
  <c r="AM20" i="5"/>
  <c r="M20" i="5" s="1"/>
  <c r="AM8" i="1"/>
  <c r="O8" i="1" s="1"/>
  <c r="A8" i="1" s="1"/>
  <c r="AM10" i="5"/>
  <c r="M10" i="5" s="1"/>
  <c r="AM30" i="1"/>
  <c r="AM8" i="5"/>
  <c r="N8" i="5" s="1"/>
  <c r="A8" i="5" s="1"/>
  <c r="AM13" i="1"/>
  <c r="O13" i="1" s="1"/>
  <c r="A13" i="1" s="1"/>
  <c r="AM15" i="5"/>
  <c r="N15" i="5" s="1"/>
  <c r="A15" i="5" s="1"/>
  <c r="AM17" i="4"/>
  <c r="N17" i="4" s="1"/>
  <c r="AM21" i="4"/>
  <c r="N21" i="4" s="1"/>
  <c r="AM6" i="1"/>
  <c r="O6" i="1" s="1"/>
  <c r="A6" i="1" s="1"/>
  <c r="AM12" i="5"/>
  <c r="M12" i="5" s="1"/>
  <c r="AM6" i="4"/>
  <c r="O6" i="4" s="1"/>
  <c r="A6" i="4" s="1"/>
  <c r="AM18" i="4"/>
  <c r="O18" i="4" s="1"/>
  <c r="A18" i="4" s="1"/>
  <c r="AM18" i="5"/>
  <c r="N18" i="5" s="1"/>
  <c r="A18" i="5" s="1"/>
  <c r="AM8" i="4"/>
  <c r="N8" i="4" s="1"/>
  <c r="AM23" i="1"/>
  <c r="N23" i="1" s="1"/>
  <c r="AM5" i="4"/>
  <c r="N5" i="4" s="1"/>
  <c r="AM13" i="4"/>
  <c r="N13" i="4" s="1"/>
  <c r="AM20" i="4"/>
  <c r="N20" i="4" s="1"/>
  <c r="AM7" i="5"/>
  <c r="M7" i="5" s="1"/>
  <c r="AM7" i="137"/>
  <c r="O7" i="137" s="1"/>
  <c r="A7" i="137" s="1"/>
  <c r="AM21" i="5"/>
  <c r="M21" i="5" s="1"/>
  <c r="AM7" i="4"/>
  <c r="O7" i="4" s="1"/>
  <c r="A7" i="4" s="1"/>
  <c r="AM5" i="5"/>
  <c r="AM10" i="1"/>
  <c r="N10" i="1" s="1"/>
  <c r="AM18" i="1"/>
  <c r="N18" i="1" s="1"/>
  <c r="AM29" i="1"/>
  <c r="N29" i="1" s="1"/>
  <c r="AM24" i="5"/>
  <c r="N24" i="5" s="1"/>
  <c r="A24" i="5" s="1"/>
  <c r="AM5" i="137"/>
  <c r="AM9" i="4"/>
  <c r="N9" i="4" s="1"/>
  <c r="AM26" i="1"/>
  <c r="O26" i="1" s="1"/>
  <c r="A26" i="1" s="1"/>
  <c r="AM16" i="4"/>
  <c r="N16" i="4" s="1"/>
  <c r="AM16" i="1"/>
  <c r="O16" i="1" s="1"/>
  <c r="A16" i="1" s="1"/>
  <c r="AM11" i="4"/>
  <c r="N11" i="4" s="1"/>
  <c r="AM15" i="4"/>
  <c r="O15" i="4" s="1"/>
  <c r="A15" i="4" s="1"/>
  <c r="AM6" i="5"/>
  <c r="M6" i="5" s="1"/>
  <c r="AM19" i="5"/>
  <c r="N19" i="5" s="1"/>
  <c r="A19" i="5" s="1"/>
  <c r="AM10" i="4"/>
  <c r="O10" i="4" s="1"/>
  <c r="A10" i="4" s="1"/>
  <c r="AM12" i="1"/>
  <c r="O12" i="1" s="1"/>
  <c r="A12" i="1" s="1"/>
  <c r="AM11" i="5"/>
  <c r="M11" i="5" s="1"/>
  <c r="AM7" i="1"/>
  <c r="O7" i="1" s="1"/>
  <c r="A7" i="1" s="1"/>
  <c r="AM25" i="1"/>
  <c r="N25" i="1" s="1"/>
  <c r="AM12" i="4"/>
  <c r="N12" i="4" s="1"/>
  <c r="AM24" i="1"/>
  <c r="AM17" i="1"/>
  <c r="O17" i="1" s="1"/>
  <c r="A17" i="1" s="1"/>
  <c r="AM14" i="1"/>
  <c r="N14" i="1" s="1"/>
  <c r="AM22" i="1"/>
  <c r="O22" i="1" s="1"/>
  <c r="A22" i="1" s="1"/>
  <c r="AM5" i="1"/>
  <c r="AM13" i="5"/>
  <c r="M13" i="5" s="1"/>
  <c r="AM6" i="137"/>
  <c r="O6" i="137" s="1"/>
  <c r="A6" i="137" s="1"/>
  <c r="AM15" i="1"/>
  <c r="O15" i="1" s="1"/>
  <c r="A15" i="1" s="1"/>
  <c r="AM11" i="1"/>
  <c r="N11" i="1" s="1"/>
  <c r="AM9" i="1"/>
  <c r="N9" i="1" s="1"/>
  <c r="AM14" i="4"/>
  <c r="O14" i="4" s="1"/>
  <c r="A14" i="4" s="1"/>
  <c r="AM21" i="1"/>
  <c r="O21" i="1" s="1"/>
  <c r="A21" i="1" s="1"/>
  <c r="AM17" i="5"/>
  <c r="M17" i="5" s="1"/>
  <c r="AM19" i="1"/>
  <c r="O19" i="1" s="1"/>
  <c r="A19" i="1" s="1"/>
  <c r="AM22" i="5"/>
  <c r="M22" i="5" s="1"/>
  <c r="AM16" i="5"/>
  <c r="M16" i="5" s="1"/>
  <c r="AM23" i="5"/>
  <c r="M23" i="5" s="1"/>
  <c r="AM19" i="4"/>
  <c r="O19" i="4" s="1"/>
  <c r="A19" i="4" s="1"/>
  <c r="AM27" i="1"/>
  <c r="N27" i="1" s="1"/>
  <c r="AM28" i="1"/>
  <c r="N28" i="1" s="1"/>
  <c r="AM8" i="137"/>
  <c r="N8" i="137" s="1"/>
  <c r="N30" i="1"/>
  <c r="K11" i="50"/>
  <c r="N20" i="1"/>
  <c r="M9" i="5"/>
  <c r="AC4" i="5"/>
  <c r="AC4" i="150"/>
  <c r="AC4" i="4"/>
  <c r="AC4" i="137"/>
  <c r="AB4" i="137"/>
  <c r="AB4" i="4"/>
  <c r="AB4" i="5"/>
  <c r="AB4" i="150"/>
  <c r="I4" i="50"/>
  <c r="AA4" i="150"/>
  <c r="AA4" i="137"/>
  <c r="AA4" i="5"/>
  <c r="AA4" i="4"/>
  <c r="N9" i="5"/>
  <c r="A9" i="5" s="1"/>
  <c r="Y4" i="5"/>
  <c r="Y4" i="150"/>
  <c r="Y4" i="137"/>
  <c r="Y4" i="4"/>
  <c r="N5" i="1" l="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2"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<sst xmlns="http://schemas.openxmlformats.org/spreadsheetml/2006/main" count="1588" uniqueCount="315">
  <si>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</si>
  <si>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</si>
  <si>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</si>
  <si>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</si>
  <si>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</si>
  <si>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</si>
  <si>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</si>
  <si>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</si>
  <si>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</si>
  <si>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</si>
  <si>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</si>
  <si>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</si>
  <si>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</si>
  <si>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</si>
  <si>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</si>
  <si>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</si>
  <si>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</si>
  <si>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</si>
  <si>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</si>
  <si>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</si>
  <si>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</si>
  <si>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</si>
  <si>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</si>
  <si>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</si>
  <si>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</si>
  <si>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</si>
  <si>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</si>
  <si>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</si>
  <si>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</si>
  <si>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</si>
  <si>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</si>
  <si>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</si>
  <si>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</si>
  <si>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</si>
  <si>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</si>
  <si>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</si>
  <si>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</si>
  <si>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</si>
  <si>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</si>
  <si>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</si>
  <si>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</si>
  <si>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</si>
  <si>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</si>
  <si>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</si>
  <si>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</si>
  <si>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</si>
  <si>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</si>
  <si>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</si>
  <si>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</si>
  <si>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</si>
  <si>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</si>
  <si>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</si>
  <si>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</si>
  <si>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</si>
  <si>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</si>
  <si>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</si>
  <si>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</si>
  <si>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</si>
  <si>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</si>
  <si>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</si>
  <si>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</si>
  <si>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</si>
  <si>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</si>
  <si>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</si>
  <si>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</si>
  <si>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</si>
  <si>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</si>
  <si>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</si>
  <si>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</si>
  <si>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</si>
  <si>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</si>
  <si>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</si>
  <si>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</si>
  <si>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</si>
  <si>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</si>
  <si>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</si>
  <si>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</si>
  <si>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</si>
  <si>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</si>
  <si>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</si>
  <si>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</si>
  <si>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</si>
  <si>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</si>
  <si>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</si>
  <si>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</si>
  <si>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</si>
  <si>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</si>
  <si>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</si>
  <si>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</si>
  <si>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</si>
  <si>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</si>
  <si>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</si>
  <si>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</si>
  <si>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</si>
  <si>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</si>
  <si>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</si>
  <si>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</si>
  <si>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</si>
  <si>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</si>
  <si>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</si>
  <si>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</si>
  <si>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</si>
  <si>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</si>
  <si>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</si>
  <si>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</si>
  <si>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</si>
  <si>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</si>
  <si>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</si>
  <si>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</si>
  <si>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</si>
  <si>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</si>
  <si>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</si>
  <si>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</si>
  <si>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</si>
  <si>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</si>
  <si>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</si>
  <si>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</si>
  <si>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</si>
  <si>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</si>
  <si>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</si>
  <si>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</si>
  <si>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</si>
  <si>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</si>
  <si>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</si>
  <si>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</si>
  <si>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</si>
  <si>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</si>
  <si>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</si>
  <si>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</si>
  <si>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</si>
  <si>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</si>
  <si>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</si>
  <si>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</si>
  <si>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</si>
  <si>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</si>
  <si>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</si>
  <si>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</si>
  <si>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</si>
  <si>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</si>
  <si>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</si>
  <si>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</si>
  <si>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</si>
  <si>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</si>
  <si>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</si>
  <si>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</si>
  <si>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</si>
  <si>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</si>
  <si>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</si>
  <si>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</si>
  <si>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</si>
  <si>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</si>
  <si>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</si>
  <si>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</si>
  <si>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</si>
  <si>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</si>
  <si>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</si>
  <si>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</si>
  <si>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</si>
  <si>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</si>
  <si>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</si>
  <si>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</si>
  <si>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</si>
  <si>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</si>
  <si>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</si>
  <si>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</si>
  <si>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</si>
  <si>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</si>
  <si>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</si>
  <si>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</si>
  <si>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</si>
  <si>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</si>
  <si>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</si>
  <si>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</si>
  <si>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</si>
  <si>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</si>
  <si>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</si>
  <si>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</si>
  <si>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</si>
  <si>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</si>
  <si>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</si>
  <si>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</si>
  <si>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</si>
  <si>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</si>
  <si>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</si>
  <si>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</si>
  <si>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</si>
  <si>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</si>
  <si>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</si>
  <si>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</si>
  <si>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</si>
  <si>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</si>
  <si>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</si>
  <si>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</si>
  <si>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</si>
  <si>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</si>
  <si>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</si>
  <si>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</si>
  <si>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</si>
  <si>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</si>
  <si>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</si>
  <si>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</si>
  <si>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</si>
  <si>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</si>
  <si>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</si>
  <si>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</si>
  <si>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</si>
  <si>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</si>
  <si>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</si>
  <si>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</si>
  <si>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</si>
  <si>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</si>
  <si>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</si>
  <si>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</si>
  <si>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</si>
  <si>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</si>
  <si>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</si>
  <si>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</si>
  <si>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</si>
  <si>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</si>
  <si>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</si>
  <si>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</si>
  <si>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</si>
  <si>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</si>
  <si>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</si>
  <si>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</si>
  <si>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</si>
  <si>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</si>
  <si>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</si>
  <si>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</si>
  <si>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</si>
  <si>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</si>
  <si>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</si>
  <si>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</si>
  <si>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</si>
  <si>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</si>
  <si>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</si>
  <si>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</si>
  <si>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</si>
  <si>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</si>
  <si>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</si>
  <si>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</si>
  <si>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</si>
  <si>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</si>
  <si>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</si>
  <si>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</si>
  <si>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</si>
  <si>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</si>
  <si>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</si>
  <si>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</si>
  <si>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</si>
  <si>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</si>
  <si>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</si>
  <si>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</si>
  <si>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</si>
  <si>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</si>
  <si>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</si>
  <si>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</si>
  <si>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</si>
  <si>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</si>
  <si>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</si>
  <si>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</si>
  <si>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</si>
  <si>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</si>
  <si>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</si>
  <si>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</si>
  <si>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</si>
  <si>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</si>
  <si>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</si>
  <si>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</si>
  <si>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</si>
  <si>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</si>
  <si>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</si>
  <si>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</si>
  <si>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</si>
  <si>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</si>
  <si>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</si>
  <si>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</si>
  <si>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</si>
  <si>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</si>
  <si>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</si>
  <si>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</si>
  <si>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</si>
  <si>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</si>
  <si>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</si>
  <si>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</si>
  <si>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</si>
  <si>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</si>
  <si>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</si>
  <si>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</si>
  <si>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</si>
  <si>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</si>
  <si>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</si>
  <si>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</si>
  <si>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</si>
  <si>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</si>
  <si>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</si>
  <si>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Hồ lô ĐNA giá cũ</t>
  </si>
  <si>
    <t>XX</t>
  </si>
  <si>
    <t/>
  </si>
  <si>
    <t>Cô Bé Ken</t>
  </si>
  <si>
    <t>Chênh lệch giá</t>
  </si>
  <si>
    <t>-</t>
  </si>
  <si>
    <t>Ti Coffee</t>
  </si>
  <si>
    <t>Sinh Thẻ</t>
  </si>
  <si>
    <t>Dì Tâm - Luận</t>
  </si>
  <si>
    <t>Chị Tuyền</t>
  </si>
  <si>
    <t>Cô Út</t>
  </si>
  <si>
    <t>Dì Tư</t>
  </si>
  <si>
    <t>Cô Nhung</t>
  </si>
  <si>
    <t>KH lẻ</t>
  </si>
  <si>
    <t>Chị Hạnh</t>
  </si>
  <si>
    <t>Thím Gái</t>
  </si>
  <si>
    <t>Thúy Bình</t>
  </si>
  <si>
    <t>C. Lào</t>
  </si>
  <si>
    <t>Chị Thơm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</si>
</sst>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1" formatCode="_(* #,##0_);_(* \(#,##0\);_(* &quot;-&quot;_);_(@_)"/>
    <numFmt numFmtId="43" formatCode="_(* #,##0.00_);_(* \(#,##0.00\);_(* &quot;-&quot;??_);_(@_)"/>
    <numFmt numFmtId="164" formatCode="_(* #,##0.0_);_(* \(#,##0.0\);_(* &quot;-&quot;_);_(@_)"/>
    <numFmt numFmtId="165" formatCode="0.0%"/>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u/>
      <sz val="20"/>
      <color rgb="FFFF0000"/>
      <name val="Arial"/>
      <family val="2"/>
    </font>
    <font>
      <b/>
      <sz val="20"/>
      <color rgb="FFFF0000"/>
      <name val="Calibri"/>
      <family val="2"/>
    </font>
    <font>
      <b/>
      <sz val="12"/>
      <color rgb="FF00B050"/>
      <name val="Times New Roman"/>
      <family val="1"/>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55">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0" fontId="29" fillId="0" borderId="2" xfId="0" applyFont="1" applyFill="1" applyBorder="1" applyAlignment="1" applyProtection="1">
      <alignment vertical="center"/>
      <protection locked="0"/>
    </xf>
    <xf numFmtId="41"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41"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41"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5" fillId="0" borderId="0" xfId="0" applyNumberFormat="1" applyFont="1" applyAlignment="1" applyProtection="1">
      <alignment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41"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9" fontId="4" fillId="0" borderId="0" xfId="2" applyFont="1" applyProtection="1">
      <protection locked="0"/>
    </xf>
    <xf numFmtId="41" fontId="25" fillId="0" borderId="0" xfId="1" applyNumberFormat="1" applyFont="1" applyAlignment="1">
      <alignment vertical="center"/>
    </xf>
    <xf numFmtId="0" fontId="9" fillId="0" borderId="0" xfId="0" applyFont="1" applyAlignment="1">
      <alignment horizontal="center" vertical="center"/>
    </xf>
    <xf numFmtId="0" fontId="9" fillId="0" borderId="0" xfId="0" applyFont="1" applyAlignment="1">
      <alignment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165" fontId="33" fillId="0" borderId="1" xfId="2" applyNumberFormat="1" applyFont="1" applyBorder="1" applyAlignment="1" applyProtection="1">
      <alignment horizontal="center" vertical="center"/>
      <protection hidden="1"/>
    </xf>
    <xf numFmtId="165" fontId="33" fillId="21" borderId="1" xfId="2" applyNumberFormat="1" applyFont="1" applyFill="1" applyBorder="1" applyAlignment="1" applyProtection="1">
      <alignment horizontal="center" vertical="center"/>
      <protection hidden="1"/>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08">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7"/>
      <tableStyleElement type="headerRow" dxfId="50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498883" cy="5653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45720</xdr:colOff>
          <xdr:row>0</xdr:row>
          <xdr:rowOff>45720</xdr:rowOff>
        </xdr:from>
        <xdr:to>
          <xdr:col>1</xdr:col>
          <xdr:colOff>716280</xdr:colOff>
          <xdr:row>1</xdr:row>
          <xdr:rowOff>22860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4.615336921299"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41">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u="1"/>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8"/>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2"/>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41"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m="1"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2"/>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14"/>
    </i>
    <i>
      <x v="72"/>
      <x v="74"/>
      <x v="75"/>
      <x v="11"/>
    </i>
    <i>
      <x v="74"/>
      <x v="63"/>
      <x v="57"/>
      <x v="27"/>
    </i>
    <i>
      <x v="75"/>
      <x v="64"/>
      <x v="58"/>
      <x v="23"/>
    </i>
    <i>
      <x v="76"/>
      <x v="65"/>
      <x v="59"/>
      <x v="14"/>
    </i>
  </rowItems>
  <colItems count="1">
    <i/>
  </colItems>
  <formats count="417">
    <format dxfId="476">
      <pivotArea field="3" type="button" dataOnly="0" labelOnly="1" outline="0" axis="axisRow" fieldPosition="3"/>
    </format>
    <format dxfId="4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7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7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7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7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6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6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6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6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6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6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6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6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5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5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5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5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5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5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5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5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4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4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4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4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4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4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4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3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3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3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3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3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3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3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3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2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2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2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2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71">
      <pivotArea field="1" type="button" dataOnly="0" labelOnly="1" outline="0" axis="axisRow" fieldPosition="2"/>
    </format>
    <format dxfId="370">
      <pivotArea dataOnly="0" labelOnly="1" outline="0" fieldPosition="0">
        <references count="1">
          <reference field="1" count="0"/>
        </references>
      </pivotArea>
    </format>
    <format dxfId="369">
      <pivotArea field="0" type="button" dataOnly="0" labelOnly="1" outline="0" axis="axisRow" fieldPosition="0"/>
    </format>
    <format dxfId="3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7">
      <pivotArea dataOnly="0" labelOnly="1" outline="0" fieldPosition="0">
        <references count="1">
          <reference field="0" count="10">
            <x v="50"/>
            <x v="51"/>
            <x v="52"/>
            <x v="53"/>
            <x v="54"/>
            <x v="55"/>
            <x v="56"/>
            <x v="57"/>
            <x v="58"/>
            <x v="59"/>
          </reference>
        </references>
      </pivotArea>
    </format>
    <format dxfId="366">
      <pivotArea dataOnly="0" labelOnly="1" grandRow="1" outline="0" fieldPosition="0"/>
    </format>
    <format dxfId="3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64">
      <pivotArea dataOnly="0" labelOnly="1" outline="0" fieldPosition="0">
        <references count="1">
          <reference field="0" count="10">
            <x v="50"/>
            <x v="51"/>
            <x v="52"/>
            <x v="53"/>
            <x v="54"/>
            <x v="55"/>
            <x v="56"/>
            <x v="57"/>
            <x v="58"/>
            <x v="59"/>
          </reference>
        </references>
      </pivotArea>
    </format>
    <format dxfId="363">
      <pivotArea dataOnly="0" labelOnly="1" grandRow="1" outline="0" fieldPosition="0"/>
    </format>
    <format dxfId="362">
      <pivotArea field="2" type="button" dataOnly="0" labelOnly="1" outline="0" axis="axisRow" fieldPosition="1"/>
    </format>
    <format dxfId="361">
      <pivotArea type="all" dataOnly="0" outline="0" fieldPosition="0"/>
    </format>
    <format dxfId="360">
      <pivotArea field="0" type="button" dataOnly="0" labelOnly="1" outline="0" axis="axisRow" fieldPosition="0"/>
    </format>
    <format dxfId="359">
      <pivotArea field="2" type="button" dataOnly="0" labelOnly="1" outline="0" axis="axisRow" fieldPosition="1"/>
    </format>
    <format dxfId="358">
      <pivotArea field="1" type="button" dataOnly="0" labelOnly="1" outline="0" axis="axisRow" fieldPosition="2"/>
    </format>
    <format dxfId="357">
      <pivotArea field="3" type="button" dataOnly="0" labelOnly="1" outline="0" axis="axisRow" fieldPosition="3"/>
    </format>
    <format dxfId="356">
      <pivotArea field="0" type="button" dataOnly="0" labelOnly="1" outline="0" axis="axisRow" fieldPosition="0"/>
    </format>
    <format dxfId="355">
      <pivotArea field="2" type="button" dataOnly="0" labelOnly="1" outline="0" axis="axisRow" fieldPosition="1"/>
    </format>
    <format dxfId="354">
      <pivotArea field="1" type="button" dataOnly="0" labelOnly="1" outline="0" axis="axisRow" fieldPosition="2"/>
    </format>
    <format dxfId="353">
      <pivotArea field="3" type="button" dataOnly="0" labelOnly="1" outline="0" axis="axisRow" fieldPosition="3"/>
    </format>
    <format dxfId="352">
      <pivotArea field="0" type="button" dataOnly="0" labelOnly="1" outline="0" axis="axisRow" fieldPosition="0"/>
    </format>
    <format dxfId="351">
      <pivotArea field="2" type="button" dataOnly="0" labelOnly="1" outline="0" axis="axisRow" fieldPosition="1"/>
    </format>
    <format dxfId="350">
      <pivotArea dataOnly="0" labelOnly="1" outline="0" fieldPosition="0">
        <references count="3">
          <reference field="0" count="1" selected="0">
            <x v="1"/>
          </reference>
          <reference field="1" count="1">
            <x v="5"/>
          </reference>
          <reference field="2" count="1" selected="0">
            <x v="1"/>
          </reference>
        </references>
      </pivotArea>
    </format>
    <format dxfId="349">
      <pivotArea dataOnly="0" labelOnly="1" outline="0" fieldPosition="0">
        <references count="3">
          <reference field="0" count="1" selected="0">
            <x v="2"/>
          </reference>
          <reference field="1" count="1">
            <x v="6"/>
          </reference>
          <reference field="2" count="1" selected="0">
            <x v="2"/>
          </reference>
        </references>
      </pivotArea>
    </format>
    <format dxfId="348">
      <pivotArea dataOnly="0" labelOnly="1" outline="0" fieldPosition="0">
        <references count="3">
          <reference field="0" count="1" selected="0">
            <x v="3"/>
          </reference>
          <reference field="1" count="1">
            <x v="36"/>
          </reference>
          <reference field="2" count="1" selected="0">
            <x v="3"/>
          </reference>
        </references>
      </pivotArea>
    </format>
    <format dxfId="347">
      <pivotArea dataOnly="0" labelOnly="1" outline="0" fieldPosition="0">
        <references count="3">
          <reference field="0" count="1" selected="0">
            <x v="4"/>
          </reference>
          <reference field="1" count="1">
            <x v="15"/>
          </reference>
          <reference field="2" count="1" selected="0">
            <x v="4"/>
          </reference>
        </references>
      </pivotArea>
    </format>
    <format dxfId="346">
      <pivotArea dataOnly="0" labelOnly="1" outline="0" fieldPosition="0">
        <references count="3">
          <reference field="0" count="1" selected="0">
            <x v="5"/>
          </reference>
          <reference field="1" count="1">
            <x v="29"/>
          </reference>
          <reference field="2" count="1" selected="0">
            <x v="5"/>
          </reference>
        </references>
      </pivotArea>
    </format>
    <format dxfId="345">
      <pivotArea dataOnly="0" labelOnly="1" outline="0" fieldPosition="0">
        <references count="3">
          <reference field="0" count="1" selected="0">
            <x v="6"/>
          </reference>
          <reference field="1" count="1">
            <x v="35"/>
          </reference>
          <reference field="2" count="1" selected="0">
            <x v="6"/>
          </reference>
        </references>
      </pivotArea>
    </format>
    <format dxfId="344">
      <pivotArea dataOnly="0" labelOnly="1" outline="0" fieldPosition="0">
        <references count="3">
          <reference field="0" count="1" selected="0">
            <x v="7"/>
          </reference>
          <reference field="1" count="1">
            <x v="25"/>
          </reference>
          <reference field="2" count="1" selected="0">
            <x v="7"/>
          </reference>
        </references>
      </pivotArea>
    </format>
    <format dxfId="343">
      <pivotArea dataOnly="0" labelOnly="1" outline="0" fieldPosition="0">
        <references count="3">
          <reference field="0" count="1" selected="0">
            <x v="8"/>
          </reference>
          <reference field="1" count="1">
            <x v="24"/>
          </reference>
          <reference field="2" count="1" selected="0">
            <x v="8"/>
          </reference>
        </references>
      </pivotArea>
    </format>
    <format dxfId="342">
      <pivotArea dataOnly="0" labelOnly="1" outline="0" fieldPosition="0">
        <references count="3">
          <reference field="0" count="1" selected="0">
            <x v="9"/>
          </reference>
          <reference field="1" count="1">
            <x v="39"/>
          </reference>
          <reference field="2" count="1" selected="0">
            <x v="9"/>
          </reference>
        </references>
      </pivotArea>
    </format>
    <format dxfId="341">
      <pivotArea dataOnly="0" labelOnly="1" outline="0" fieldPosition="0">
        <references count="3">
          <reference field="0" count="1" selected="0">
            <x v="10"/>
          </reference>
          <reference field="1" count="1">
            <x v="40"/>
          </reference>
          <reference field="2" count="1" selected="0">
            <x v="10"/>
          </reference>
        </references>
      </pivotArea>
    </format>
    <format dxfId="340">
      <pivotArea dataOnly="0" labelOnly="1" outline="0" fieldPosition="0">
        <references count="3">
          <reference field="0" count="1" selected="0">
            <x v="11"/>
          </reference>
          <reference field="1" count="1">
            <x v="41"/>
          </reference>
          <reference field="2" count="1" selected="0">
            <x v="11"/>
          </reference>
        </references>
      </pivotArea>
    </format>
    <format dxfId="339">
      <pivotArea dataOnly="0" labelOnly="1" outline="0" fieldPosition="0">
        <references count="3">
          <reference field="0" count="1" selected="0">
            <x v="12"/>
          </reference>
          <reference field="1" count="1">
            <x v="42"/>
          </reference>
          <reference field="2" count="1" selected="0">
            <x v="12"/>
          </reference>
        </references>
      </pivotArea>
    </format>
    <format dxfId="338">
      <pivotArea dataOnly="0" labelOnly="1" outline="0" fieldPosition="0">
        <references count="3">
          <reference field="0" count="1" selected="0">
            <x v="13"/>
          </reference>
          <reference field="1" count="1">
            <x v="43"/>
          </reference>
          <reference field="2" count="1" selected="0">
            <x v="13"/>
          </reference>
        </references>
      </pivotArea>
    </format>
    <format dxfId="337">
      <pivotArea dataOnly="0" labelOnly="1" outline="0" fieldPosition="0">
        <references count="3">
          <reference field="0" count="1" selected="0">
            <x v="14"/>
          </reference>
          <reference field="1" count="1">
            <x v="44"/>
          </reference>
          <reference field="2" count="1" selected="0">
            <x v="14"/>
          </reference>
        </references>
      </pivotArea>
    </format>
    <format dxfId="336">
      <pivotArea dataOnly="0" labelOnly="1" outline="0" fieldPosition="0">
        <references count="3">
          <reference field="0" count="1" selected="0">
            <x v="15"/>
          </reference>
          <reference field="1" count="1">
            <x v="32"/>
          </reference>
          <reference field="2" count="1" selected="0">
            <x v="15"/>
          </reference>
        </references>
      </pivotArea>
    </format>
    <format dxfId="335">
      <pivotArea dataOnly="0" labelOnly="1" outline="0" fieldPosition="0">
        <references count="3">
          <reference field="0" count="1" selected="0">
            <x v="16"/>
          </reference>
          <reference field="1" count="1">
            <x v="33"/>
          </reference>
          <reference field="2" count="1" selected="0">
            <x v="16"/>
          </reference>
        </references>
      </pivotArea>
    </format>
    <format dxfId="334">
      <pivotArea dataOnly="0" labelOnly="1" outline="0" fieldPosition="0">
        <references count="3">
          <reference field="0" count="1" selected="0">
            <x v="17"/>
          </reference>
          <reference field="1" count="1">
            <x v="17"/>
          </reference>
          <reference field="2" count="1" selected="0">
            <x v="17"/>
          </reference>
        </references>
      </pivotArea>
    </format>
    <format dxfId="333">
      <pivotArea dataOnly="0" labelOnly="1" outline="0" fieldPosition="0">
        <references count="3">
          <reference field="0" count="1" selected="0">
            <x v="18"/>
          </reference>
          <reference field="1" count="1">
            <x v="47"/>
          </reference>
          <reference field="2" count="1" selected="0">
            <x v="18"/>
          </reference>
        </references>
      </pivotArea>
    </format>
    <format dxfId="332">
      <pivotArea dataOnly="0" labelOnly="1" outline="0" fieldPosition="0">
        <references count="3">
          <reference field="0" count="1" selected="0">
            <x v="19"/>
          </reference>
          <reference field="1" count="1">
            <x v="48"/>
          </reference>
          <reference field="2" count="1" selected="0">
            <x v="19"/>
          </reference>
        </references>
      </pivotArea>
    </format>
    <format dxfId="331">
      <pivotArea dataOnly="0" labelOnly="1" outline="0" fieldPosition="0">
        <references count="3">
          <reference field="0" count="1" selected="0">
            <x v="20"/>
          </reference>
          <reference field="1" count="1">
            <x v="49"/>
          </reference>
          <reference field="2" count="1" selected="0">
            <x v="20"/>
          </reference>
        </references>
      </pivotArea>
    </format>
    <format dxfId="330">
      <pivotArea dataOnly="0" labelOnly="1" outline="0" fieldPosition="0">
        <references count="3">
          <reference field="0" count="1" selected="0">
            <x v="22"/>
          </reference>
          <reference field="1" count="1">
            <x v="52"/>
          </reference>
          <reference field="2" count="1" selected="0">
            <x v="22"/>
          </reference>
        </references>
      </pivotArea>
    </format>
    <format dxfId="329">
      <pivotArea dataOnly="0" labelOnly="1" outline="0" fieldPosition="0">
        <references count="3">
          <reference field="0" count="1" selected="0">
            <x v="24"/>
          </reference>
          <reference field="1" count="1">
            <x v="10"/>
          </reference>
          <reference field="2" count="1" selected="0">
            <x v="24"/>
          </reference>
        </references>
      </pivotArea>
    </format>
    <format dxfId="328">
      <pivotArea dataOnly="0" labelOnly="1" outline="0" fieldPosition="0">
        <references count="3">
          <reference field="0" count="1" selected="0">
            <x v="25"/>
          </reference>
          <reference field="1" count="1">
            <x v="11"/>
          </reference>
          <reference field="2" count="1" selected="0">
            <x v="25"/>
          </reference>
        </references>
      </pivotArea>
    </format>
    <format dxfId="327">
      <pivotArea dataOnly="0" labelOnly="1" outline="0" fieldPosition="0">
        <references count="3">
          <reference field="0" count="1" selected="0">
            <x v="26"/>
          </reference>
          <reference field="1" count="1">
            <x v="12"/>
          </reference>
          <reference field="2" count="1" selected="0">
            <x v="26"/>
          </reference>
        </references>
      </pivotArea>
    </format>
    <format dxfId="326">
      <pivotArea dataOnly="0" labelOnly="1" outline="0" fieldPosition="0">
        <references count="3">
          <reference field="0" count="1" selected="0">
            <x v="27"/>
          </reference>
          <reference field="1" count="1">
            <x v="13"/>
          </reference>
          <reference field="2" count="1" selected="0">
            <x v="27"/>
          </reference>
        </references>
      </pivotArea>
    </format>
    <format dxfId="325">
      <pivotArea dataOnly="0" labelOnly="1" outline="0" fieldPosition="0">
        <references count="3">
          <reference field="0" count="1" selected="0">
            <x v="28"/>
          </reference>
          <reference field="1" count="1">
            <x v="8"/>
          </reference>
          <reference field="2" count="1" selected="0">
            <x v="28"/>
          </reference>
        </references>
      </pivotArea>
    </format>
    <format dxfId="324">
      <pivotArea dataOnly="0" labelOnly="1" outline="0" fieldPosition="0">
        <references count="3">
          <reference field="0" count="1" selected="0">
            <x v="29"/>
          </reference>
          <reference field="1" count="1">
            <x v="9"/>
          </reference>
          <reference field="2" count="1" selected="0">
            <x v="29"/>
          </reference>
        </references>
      </pivotArea>
    </format>
    <format dxfId="323">
      <pivotArea dataOnly="0" labelOnly="1" outline="0" fieldPosition="0">
        <references count="3">
          <reference field="0" count="1" selected="0">
            <x v="30"/>
          </reference>
          <reference field="1" count="1">
            <x v="7"/>
          </reference>
          <reference field="2" count="1" selected="0">
            <x v="30"/>
          </reference>
        </references>
      </pivotArea>
    </format>
    <format dxfId="322">
      <pivotArea dataOnly="0" labelOnly="1" outline="0" fieldPosition="0">
        <references count="3">
          <reference field="0" count="1" selected="0">
            <x v="31"/>
          </reference>
          <reference field="1" count="1">
            <x v="37"/>
          </reference>
          <reference field="2" count="1" selected="0">
            <x v="31"/>
          </reference>
        </references>
      </pivotArea>
    </format>
    <format dxfId="321">
      <pivotArea dataOnly="0" labelOnly="1" outline="0" fieldPosition="0">
        <references count="3">
          <reference field="0" count="1" selected="0">
            <x v="32"/>
          </reference>
          <reference field="1" count="1">
            <x v="38"/>
          </reference>
          <reference field="2" count="1" selected="0">
            <x v="32"/>
          </reference>
        </references>
      </pivotArea>
    </format>
    <format dxfId="320">
      <pivotArea dataOnly="0" labelOnly="1" outline="0" fieldPosition="0">
        <references count="3">
          <reference field="0" count="1" selected="0">
            <x v="33"/>
          </reference>
          <reference field="1" count="1">
            <x v="3"/>
          </reference>
          <reference field="2" count="1" selected="0">
            <x v="33"/>
          </reference>
        </references>
      </pivotArea>
    </format>
    <format dxfId="319">
      <pivotArea dataOnly="0" labelOnly="1" outline="0" fieldPosition="0">
        <references count="3">
          <reference field="0" count="1" selected="0">
            <x v="34"/>
          </reference>
          <reference field="1" count="1">
            <x v="4"/>
          </reference>
          <reference field="2" count="1" selected="0">
            <x v="34"/>
          </reference>
        </references>
      </pivotArea>
    </format>
    <format dxfId="318">
      <pivotArea dataOnly="0" labelOnly="1" outline="0" fieldPosition="0">
        <references count="3">
          <reference field="0" count="1" selected="0">
            <x v="35"/>
          </reference>
          <reference field="1" count="1">
            <x v="45"/>
          </reference>
          <reference field="2" count="1" selected="0">
            <x v="35"/>
          </reference>
        </references>
      </pivotArea>
    </format>
    <format dxfId="317">
      <pivotArea dataOnly="0" labelOnly="1" outline="0" fieldPosition="0">
        <references count="3">
          <reference field="0" count="1" selected="0">
            <x v="36"/>
          </reference>
          <reference field="1" count="1">
            <x v="46"/>
          </reference>
          <reference field="2" count="1" selected="0">
            <x v="36"/>
          </reference>
        </references>
      </pivotArea>
    </format>
    <format dxfId="316">
      <pivotArea dataOnly="0" labelOnly="1" outline="0" fieldPosition="0">
        <references count="3">
          <reference field="0" count="1" selected="0">
            <x v="37"/>
          </reference>
          <reference field="1" count="1">
            <x v="50"/>
          </reference>
          <reference field="2" count="1" selected="0">
            <x v="37"/>
          </reference>
        </references>
      </pivotArea>
    </format>
    <format dxfId="315">
      <pivotArea dataOnly="0" labelOnly="1" outline="0" fieldPosition="0">
        <references count="3">
          <reference field="0" count="1" selected="0">
            <x v="38"/>
          </reference>
          <reference field="1" count="1">
            <x v="51"/>
          </reference>
          <reference field="2" count="1" selected="0">
            <x v="38"/>
          </reference>
        </references>
      </pivotArea>
    </format>
    <format dxfId="314">
      <pivotArea dataOnly="0" labelOnly="1" outline="0" fieldPosition="0">
        <references count="3">
          <reference field="0" count="1" selected="0">
            <x v="39"/>
          </reference>
          <reference field="1" count="1">
            <x v="30"/>
          </reference>
          <reference field="2" count="1" selected="0">
            <x v="39"/>
          </reference>
        </references>
      </pivotArea>
    </format>
    <format dxfId="313">
      <pivotArea dataOnly="0" labelOnly="1" outline="0" fieldPosition="0">
        <references count="3">
          <reference field="0" count="1" selected="0">
            <x v="40"/>
          </reference>
          <reference field="1" count="1">
            <x v="26"/>
          </reference>
          <reference field="2" count="1" selected="0">
            <x v="40"/>
          </reference>
        </references>
      </pivotArea>
    </format>
    <format dxfId="312">
      <pivotArea dataOnly="0" labelOnly="1" outline="0" fieldPosition="0">
        <references count="3">
          <reference field="0" count="1" selected="0">
            <x v="42"/>
          </reference>
          <reference field="1" count="1">
            <x v="27"/>
          </reference>
          <reference field="2" count="1" selected="0">
            <x v="41"/>
          </reference>
        </references>
      </pivotArea>
    </format>
    <format dxfId="311">
      <pivotArea dataOnly="0" labelOnly="1" outline="0" fieldPosition="0">
        <references count="3">
          <reference field="0" count="1" selected="0">
            <x v="43"/>
          </reference>
          <reference field="1" count="1">
            <x v="19"/>
          </reference>
          <reference field="2" count="1" selected="0">
            <x v="42"/>
          </reference>
        </references>
      </pivotArea>
    </format>
    <format dxfId="310">
      <pivotArea dataOnly="0" labelOnly="1" outline="0" fieldPosition="0">
        <references count="3">
          <reference field="0" count="1" selected="0">
            <x v="44"/>
          </reference>
          <reference field="1" count="1">
            <x v="20"/>
          </reference>
          <reference field="2" count="1" selected="0">
            <x v="43"/>
          </reference>
        </references>
      </pivotArea>
    </format>
    <format dxfId="309">
      <pivotArea dataOnly="0" labelOnly="1" outline="0" fieldPosition="0">
        <references count="3">
          <reference field="0" count="1" selected="0">
            <x v="45"/>
          </reference>
          <reference field="1" count="1">
            <x v="21"/>
          </reference>
          <reference field="2" count="1" selected="0">
            <x v="44"/>
          </reference>
        </references>
      </pivotArea>
    </format>
    <format dxfId="308">
      <pivotArea dataOnly="0" labelOnly="1" outline="0" fieldPosition="0">
        <references count="3">
          <reference field="0" count="1" selected="0">
            <x v="47"/>
          </reference>
          <reference field="1" count="1">
            <x v="16"/>
          </reference>
          <reference field="2" count="1" selected="0">
            <x v="46"/>
          </reference>
        </references>
      </pivotArea>
    </format>
    <format dxfId="307">
      <pivotArea dataOnly="0" labelOnly="1" outline="0" fieldPosition="0">
        <references count="3">
          <reference field="0" count="1" selected="0">
            <x v="49"/>
          </reference>
          <reference field="1" count="1">
            <x v="0"/>
          </reference>
          <reference field="2" count="1" selected="0">
            <x v="48"/>
          </reference>
        </references>
      </pivotArea>
    </format>
    <format dxfId="306">
      <pivotArea dataOnly="0" labelOnly="1" outline="0" fieldPosition="0">
        <references count="3">
          <reference field="0" count="1" selected="0">
            <x v="50"/>
          </reference>
          <reference field="1" count="1">
            <x v="31"/>
          </reference>
          <reference field="2" count="1" selected="0">
            <x v="49"/>
          </reference>
        </references>
      </pivotArea>
    </format>
    <format dxfId="305">
      <pivotArea dataOnly="0" labelOnly="1" outline="0" fieldPosition="0">
        <references count="3">
          <reference field="0" count="1" selected="0">
            <x v="51"/>
          </reference>
          <reference field="1" count="1">
            <x v="14"/>
          </reference>
          <reference field="2" count="1" selected="0">
            <x v="50"/>
          </reference>
        </references>
      </pivotArea>
    </format>
    <format dxfId="304">
      <pivotArea dataOnly="0" labelOnly="1" outline="0" fieldPosition="0">
        <references count="3">
          <reference field="0" count="1" selected="0">
            <x v="52"/>
          </reference>
          <reference field="1" count="1">
            <x v="2"/>
          </reference>
          <reference field="2" count="1" selected="0">
            <x v="51"/>
          </reference>
        </references>
      </pivotArea>
    </format>
    <format dxfId="303">
      <pivotArea dataOnly="0" labelOnly="1" outline="0" fieldPosition="0">
        <references count="3">
          <reference field="0" count="1" selected="0">
            <x v="53"/>
          </reference>
          <reference field="1" count="1">
            <x v="1"/>
          </reference>
          <reference field="2" count="1" selected="0">
            <x v="52"/>
          </reference>
        </references>
      </pivotArea>
    </format>
    <format dxfId="302">
      <pivotArea dataOnly="0" labelOnly="1" outline="0" fieldPosition="0">
        <references count="3">
          <reference field="0" count="1" selected="0">
            <x v="54"/>
          </reference>
          <reference field="1" count="1">
            <x v="28"/>
          </reference>
          <reference field="2" count="1" selected="0">
            <x v="53"/>
          </reference>
        </references>
      </pivotArea>
    </format>
    <format dxfId="301">
      <pivotArea dataOnly="0" labelOnly="1" outline="0" fieldPosition="0">
        <references count="3">
          <reference field="0" count="1" selected="0">
            <x v="55"/>
          </reference>
          <reference field="1" count="1">
            <x v="18"/>
          </reference>
          <reference field="2" count="1" selected="0">
            <x v="54"/>
          </reference>
        </references>
      </pivotArea>
    </format>
    <format dxfId="300">
      <pivotArea dataOnly="0" labelOnly="1" outline="0" fieldPosition="0">
        <references count="3">
          <reference field="0" count="1" selected="0">
            <x v="57"/>
          </reference>
          <reference field="1" count="1">
            <x v="22"/>
          </reference>
          <reference field="2" count="1" selected="0">
            <x v="56"/>
          </reference>
        </references>
      </pivotArea>
    </format>
    <format dxfId="299">
      <pivotArea dataOnly="0" labelOnly="1" outline="0" fieldPosition="0">
        <references count="3">
          <reference field="0" count="1" selected="0">
            <x v="58"/>
          </reference>
          <reference field="1" count="1">
            <x v="23"/>
          </reference>
          <reference field="2" count="1" selected="0">
            <x v="57"/>
          </reference>
        </references>
      </pivotArea>
    </format>
    <format dxfId="298">
      <pivotArea dataOnly="0" labelOnly="1" outline="0" fieldPosition="0">
        <references count="3">
          <reference field="0" count="1" selected="0">
            <x v="59"/>
          </reference>
          <reference field="1" count="1">
            <x v="34"/>
          </reference>
          <reference field="2" count="1" selected="0">
            <x v="58"/>
          </reference>
        </references>
      </pivotArea>
    </format>
    <format dxfId="29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9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9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9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9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9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9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9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8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8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8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8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8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8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8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8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7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7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7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7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7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7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7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6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6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6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6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6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6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6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5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5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5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5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5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5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5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5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4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4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4">
      <pivotArea dataOnly="0" labelOnly="1" outline="0" fieldPosition="0">
        <references count="1">
          <reference field="0" count="10">
            <x v="50"/>
            <x v="51"/>
            <x v="52"/>
            <x v="53"/>
            <x v="54"/>
            <x v="55"/>
            <x v="56"/>
            <x v="57"/>
            <x v="58"/>
            <x v="59"/>
          </reference>
        </references>
      </pivotArea>
    </format>
    <format dxfId="243">
      <pivotArea dataOnly="0" labelOnly="1" outline="0" fieldPosition="0">
        <references count="2">
          <reference field="0" count="1" selected="0">
            <x v="0"/>
          </reference>
          <reference field="2" count="1">
            <x v="0"/>
          </reference>
        </references>
      </pivotArea>
    </format>
    <format dxfId="242">
      <pivotArea dataOnly="0" labelOnly="1" outline="0" fieldPosition="0">
        <references count="2">
          <reference field="0" count="1" selected="0">
            <x v="1"/>
          </reference>
          <reference field="2" count="1">
            <x v="1"/>
          </reference>
        </references>
      </pivotArea>
    </format>
    <format dxfId="241">
      <pivotArea dataOnly="0" labelOnly="1" outline="0" fieldPosition="0">
        <references count="2">
          <reference field="0" count="1" selected="0">
            <x v="2"/>
          </reference>
          <reference field="2" count="1">
            <x v="2"/>
          </reference>
        </references>
      </pivotArea>
    </format>
    <format dxfId="240">
      <pivotArea dataOnly="0" labelOnly="1" outline="0" fieldPosition="0">
        <references count="2">
          <reference field="0" count="1" selected="0">
            <x v="3"/>
          </reference>
          <reference field="2" count="1">
            <x v="3"/>
          </reference>
        </references>
      </pivotArea>
    </format>
    <format dxfId="239">
      <pivotArea dataOnly="0" labelOnly="1" outline="0" fieldPosition="0">
        <references count="2">
          <reference field="0" count="1" selected="0">
            <x v="4"/>
          </reference>
          <reference field="2" count="1">
            <x v="4"/>
          </reference>
        </references>
      </pivotArea>
    </format>
    <format dxfId="238">
      <pivotArea dataOnly="0" labelOnly="1" outline="0" fieldPosition="0">
        <references count="2">
          <reference field="0" count="1" selected="0">
            <x v="5"/>
          </reference>
          <reference field="2" count="1">
            <x v="5"/>
          </reference>
        </references>
      </pivotArea>
    </format>
    <format dxfId="237">
      <pivotArea dataOnly="0" labelOnly="1" outline="0" fieldPosition="0">
        <references count="2">
          <reference field="0" count="1" selected="0">
            <x v="6"/>
          </reference>
          <reference field="2" count="1">
            <x v="6"/>
          </reference>
        </references>
      </pivotArea>
    </format>
    <format dxfId="236">
      <pivotArea dataOnly="0" labelOnly="1" outline="0" fieldPosition="0">
        <references count="2">
          <reference field="0" count="1" selected="0">
            <x v="7"/>
          </reference>
          <reference field="2" count="1">
            <x v="7"/>
          </reference>
        </references>
      </pivotArea>
    </format>
    <format dxfId="235">
      <pivotArea dataOnly="0" labelOnly="1" outline="0" fieldPosition="0">
        <references count="2">
          <reference field="0" count="1" selected="0">
            <x v="8"/>
          </reference>
          <reference field="2" count="1">
            <x v="8"/>
          </reference>
        </references>
      </pivotArea>
    </format>
    <format dxfId="234">
      <pivotArea dataOnly="0" labelOnly="1" outline="0" fieldPosition="0">
        <references count="2">
          <reference field="0" count="1" selected="0">
            <x v="9"/>
          </reference>
          <reference field="2" count="1">
            <x v="9"/>
          </reference>
        </references>
      </pivotArea>
    </format>
    <format dxfId="233">
      <pivotArea dataOnly="0" labelOnly="1" outline="0" fieldPosition="0">
        <references count="2">
          <reference field="0" count="1" selected="0">
            <x v="10"/>
          </reference>
          <reference field="2" count="1">
            <x v="10"/>
          </reference>
        </references>
      </pivotArea>
    </format>
    <format dxfId="232">
      <pivotArea dataOnly="0" labelOnly="1" outline="0" fieldPosition="0">
        <references count="2">
          <reference field="0" count="1" selected="0">
            <x v="11"/>
          </reference>
          <reference field="2" count="1">
            <x v="11"/>
          </reference>
        </references>
      </pivotArea>
    </format>
    <format dxfId="231">
      <pivotArea dataOnly="0" labelOnly="1" outline="0" fieldPosition="0">
        <references count="2">
          <reference field="0" count="1" selected="0">
            <x v="12"/>
          </reference>
          <reference field="2" count="1">
            <x v="12"/>
          </reference>
        </references>
      </pivotArea>
    </format>
    <format dxfId="230">
      <pivotArea dataOnly="0" labelOnly="1" outline="0" fieldPosition="0">
        <references count="2">
          <reference field="0" count="1" selected="0">
            <x v="13"/>
          </reference>
          <reference field="2" count="1">
            <x v="13"/>
          </reference>
        </references>
      </pivotArea>
    </format>
    <format dxfId="229">
      <pivotArea dataOnly="0" labelOnly="1" outline="0" fieldPosition="0">
        <references count="2">
          <reference field="0" count="1" selected="0">
            <x v="14"/>
          </reference>
          <reference field="2" count="1">
            <x v="14"/>
          </reference>
        </references>
      </pivotArea>
    </format>
    <format dxfId="228">
      <pivotArea dataOnly="0" labelOnly="1" outline="0" fieldPosition="0">
        <references count="2">
          <reference field="0" count="1" selected="0">
            <x v="15"/>
          </reference>
          <reference field="2" count="1">
            <x v="15"/>
          </reference>
        </references>
      </pivotArea>
    </format>
    <format dxfId="227">
      <pivotArea dataOnly="0" labelOnly="1" outline="0" fieldPosition="0">
        <references count="2">
          <reference field="0" count="1" selected="0">
            <x v="16"/>
          </reference>
          <reference field="2" count="1">
            <x v="16"/>
          </reference>
        </references>
      </pivotArea>
    </format>
    <format dxfId="226">
      <pivotArea dataOnly="0" labelOnly="1" outline="0" fieldPosition="0">
        <references count="2">
          <reference field="0" count="1" selected="0">
            <x v="17"/>
          </reference>
          <reference field="2" count="1">
            <x v="17"/>
          </reference>
        </references>
      </pivotArea>
    </format>
    <format dxfId="225">
      <pivotArea dataOnly="0" labelOnly="1" outline="0" fieldPosition="0">
        <references count="2">
          <reference field="0" count="1" selected="0">
            <x v="18"/>
          </reference>
          <reference field="2" count="1">
            <x v="18"/>
          </reference>
        </references>
      </pivotArea>
    </format>
    <format dxfId="224">
      <pivotArea dataOnly="0" labelOnly="1" outline="0" fieldPosition="0">
        <references count="2">
          <reference field="0" count="1" selected="0">
            <x v="19"/>
          </reference>
          <reference field="2" count="1">
            <x v="19"/>
          </reference>
        </references>
      </pivotArea>
    </format>
    <format dxfId="223">
      <pivotArea dataOnly="0" labelOnly="1" outline="0" fieldPosition="0">
        <references count="2">
          <reference field="0" count="1" selected="0">
            <x v="20"/>
          </reference>
          <reference field="2" count="1">
            <x v="20"/>
          </reference>
        </references>
      </pivotArea>
    </format>
    <format dxfId="222">
      <pivotArea dataOnly="0" labelOnly="1" outline="0" fieldPosition="0">
        <references count="2">
          <reference field="0" count="1" selected="0">
            <x v="21"/>
          </reference>
          <reference field="2" count="1">
            <x v="21"/>
          </reference>
        </references>
      </pivotArea>
    </format>
    <format dxfId="221">
      <pivotArea dataOnly="0" labelOnly="1" outline="0" fieldPosition="0">
        <references count="2">
          <reference field="0" count="1" selected="0">
            <x v="22"/>
          </reference>
          <reference field="2" count="1">
            <x v="22"/>
          </reference>
        </references>
      </pivotArea>
    </format>
    <format dxfId="220">
      <pivotArea dataOnly="0" labelOnly="1" outline="0" fieldPosition="0">
        <references count="2">
          <reference field="0" count="1" selected="0">
            <x v="23"/>
          </reference>
          <reference field="2" count="1">
            <x v="23"/>
          </reference>
        </references>
      </pivotArea>
    </format>
    <format dxfId="219">
      <pivotArea dataOnly="0" labelOnly="1" outline="0" fieldPosition="0">
        <references count="2">
          <reference field="0" count="1" selected="0">
            <x v="24"/>
          </reference>
          <reference field="2" count="1">
            <x v="24"/>
          </reference>
        </references>
      </pivotArea>
    </format>
    <format dxfId="218">
      <pivotArea dataOnly="0" labelOnly="1" outline="0" fieldPosition="0">
        <references count="2">
          <reference field="0" count="1" selected="0">
            <x v="25"/>
          </reference>
          <reference field="2" count="1">
            <x v="25"/>
          </reference>
        </references>
      </pivotArea>
    </format>
    <format dxfId="217">
      <pivotArea dataOnly="0" labelOnly="1" outline="0" fieldPosition="0">
        <references count="2">
          <reference field="0" count="1" selected="0">
            <x v="26"/>
          </reference>
          <reference field="2" count="1">
            <x v="26"/>
          </reference>
        </references>
      </pivotArea>
    </format>
    <format dxfId="216">
      <pivotArea dataOnly="0" labelOnly="1" outline="0" fieldPosition="0">
        <references count="2">
          <reference field="0" count="1" selected="0">
            <x v="27"/>
          </reference>
          <reference field="2" count="1">
            <x v="27"/>
          </reference>
        </references>
      </pivotArea>
    </format>
    <format dxfId="215">
      <pivotArea dataOnly="0" labelOnly="1" outline="0" fieldPosition="0">
        <references count="2">
          <reference field="0" count="1" selected="0">
            <x v="28"/>
          </reference>
          <reference field="2" count="1">
            <x v="28"/>
          </reference>
        </references>
      </pivotArea>
    </format>
    <format dxfId="214">
      <pivotArea dataOnly="0" labelOnly="1" outline="0" fieldPosition="0">
        <references count="2">
          <reference field="0" count="1" selected="0">
            <x v="29"/>
          </reference>
          <reference field="2" count="1">
            <x v="29"/>
          </reference>
        </references>
      </pivotArea>
    </format>
    <format dxfId="213">
      <pivotArea dataOnly="0" labelOnly="1" outline="0" fieldPosition="0">
        <references count="2">
          <reference field="0" count="1" selected="0">
            <x v="30"/>
          </reference>
          <reference field="2" count="1">
            <x v="30"/>
          </reference>
        </references>
      </pivotArea>
    </format>
    <format dxfId="212">
      <pivotArea dataOnly="0" labelOnly="1" outline="0" fieldPosition="0">
        <references count="2">
          <reference field="0" count="1" selected="0">
            <x v="31"/>
          </reference>
          <reference field="2" count="1">
            <x v="31"/>
          </reference>
        </references>
      </pivotArea>
    </format>
    <format dxfId="211">
      <pivotArea dataOnly="0" labelOnly="1" outline="0" fieldPosition="0">
        <references count="2">
          <reference field="0" count="1" selected="0">
            <x v="32"/>
          </reference>
          <reference field="2" count="1">
            <x v="32"/>
          </reference>
        </references>
      </pivotArea>
    </format>
    <format dxfId="210">
      <pivotArea dataOnly="0" labelOnly="1" outline="0" fieldPosition="0">
        <references count="2">
          <reference field="0" count="1" selected="0">
            <x v="33"/>
          </reference>
          <reference field="2" count="1">
            <x v="33"/>
          </reference>
        </references>
      </pivotArea>
    </format>
    <format dxfId="209">
      <pivotArea dataOnly="0" labelOnly="1" outline="0" fieldPosition="0">
        <references count="2">
          <reference field="0" count="1" selected="0">
            <x v="34"/>
          </reference>
          <reference field="2" count="1">
            <x v="34"/>
          </reference>
        </references>
      </pivotArea>
    </format>
    <format dxfId="208">
      <pivotArea dataOnly="0" labelOnly="1" outline="0" fieldPosition="0">
        <references count="2">
          <reference field="0" count="1" selected="0">
            <x v="35"/>
          </reference>
          <reference field="2" count="1">
            <x v="35"/>
          </reference>
        </references>
      </pivotArea>
    </format>
    <format dxfId="207">
      <pivotArea dataOnly="0" labelOnly="1" outline="0" fieldPosition="0">
        <references count="2">
          <reference field="0" count="1" selected="0">
            <x v="36"/>
          </reference>
          <reference field="2" count="1">
            <x v="36"/>
          </reference>
        </references>
      </pivotArea>
    </format>
    <format dxfId="206">
      <pivotArea dataOnly="0" labelOnly="1" outline="0" fieldPosition="0">
        <references count="2">
          <reference field="0" count="1" selected="0">
            <x v="37"/>
          </reference>
          <reference field="2" count="1">
            <x v="37"/>
          </reference>
        </references>
      </pivotArea>
    </format>
    <format dxfId="205">
      <pivotArea dataOnly="0" labelOnly="1" outline="0" fieldPosition="0">
        <references count="2">
          <reference field="0" count="1" selected="0">
            <x v="38"/>
          </reference>
          <reference field="2" count="1">
            <x v="38"/>
          </reference>
        </references>
      </pivotArea>
    </format>
    <format dxfId="204">
      <pivotArea dataOnly="0" labelOnly="1" outline="0" fieldPosition="0">
        <references count="2">
          <reference field="0" count="1" selected="0">
            <x v="39"/>
          </reference>
          <reference field="2" count="1">
            <x v="39"/>
          </reference>
        </references>
      </pivotArea>
    </format>
    <format dxfId="203">
      <pivotArea dataOnly="0" labelOnly="1" outline="0" fieldPosition="0">
        <references count="2">
          <reference field="0" count="1" selected="0">
            <x v="40"/>
          </reference>
          <reference field="2" count="1">
            <x v="40"/>
          </reference>
        </references>
      </pivotArea>
    </format>
    <format dxfId="202">
      <pivotArea dataOnly="0" labelOnly="1" outline="0" fieldPosition="0">
        <references count="2">
          <reference field="0" count="1" selected="0">
            <x v="42"/>
          </reference>
          <reference field="2" count="1">
            <x v="41"/>
          </reference>
        </references>
      </pivotArea>
    </format>
    <format dxfId="201">
      <pivotArea dataOnly="0" labelOnly="1" outline="0" fieldPosition="0">
        <references count="2">
          <reference field="0" count="1" selected="0">
            <x v="43"/>
          </reference>
          <reference field="2" count="1">
            <x v="42"/>
          </reference>
        </references>
      </pivotArea>
    </format>
    <format dxfId="200">
      <pivotArea dataOnly="0" labelOnly="1" outline="0" fieldPosition="0">
        <references count="2">
          <reference field="0" count="1" selected="0">
            <x v="44"/>
          </reference>
          <reference field="2" count="1">
            <x v="43"/>
          </reference>
        </references>
      </pivotArea>
    </format>
    <format dxfId="199">
      <pivotArea dataOnly="0" labelOnly="1" outline="0" fieldPosition="0">
        <references count="2">
          <reference field="0" count="1" selected="0">
            <x v="45"/>
          </reference>
          <reference field="2" count="1">
            <x v="44"/>
          </reference>
        </references>
      </pivotArea>
    </format>
    <format dxfId="198">
      <pivotArea dataOnly="0" labelOnly="1" outline="0" fieldPosition="0">
        <references count="2">
          <reference field="0" count="1" selected="0">
            <x v="46"/>
          </reference>
          <reference field="2" count="1">
            <x v="45"/>
          </reference>
        </references>
      </pivotArea>
    </format>
    <format dxfId="197">
      <pivotArea dataOnly="0" labelOnly="1" outline="0" fieldPosition="0">
        <references count="2">
          <reference field="0" count="1" selected="0">
            <x v="47"/>
          </reference>
          <reference field="2" count="1">
            <x v="46"/>
          </reference>
        </references>
      </pivotArea>
    </format>
    <format dxfId="196">
      <pivotArea dataOnly="0" labelOnly="1" outline="0" fieldPosition="0">
        <references count="2">
          <reference field="0" count="1" selected="0">
            <x v="48"/>
          </reference>
          <reference field="2" count="1">
            <x v="47"/>
          </reference>
        </references>
      </pivotArea>
    </format>
    <format dxfId="195">
      <pivotArea dataOnly="0" labelOnly="1" outline="0" fieldPosition="0">
        <references count="2">
          <reference field="0" count="1" selected="0">
            <x v="49"/>
          </reference>
          <reference field="2" count="1">
            <x v="48"/>
          </reference>
        </references>
      </pivotArea>
    </format>
    <format dxfId="194">
      <pivotArea dataOnly="0" labelOnly="1" outline="0" fieldPosition="0">
        <references count="2">
          <reference field="0" count="1" selected="0">
            <x v="50"/>
          </reference>
          <reference field="2" count="1">
            <x v="49"/>
          </reference>
        </references>
      </pivotArea>
    </format>
    <format dxfId="193">
      <pivotArea dataOnly="0" labelOnly="1" outline="0" fieldPosition="0">
        <references count="2">
          <reference field="0" count="1" selected="0">
            <x v="51"/>
          </reference>
          <reference field="2" count="1">
            <x v="50"/>
          </reference>
        </references>
      </pivotArea>
    </format>
    <format dxfId="192">
      <pivotArea dataOnly="0" labelOnly="1" outline="0" fieldPosition="0">
        <references count="2">
          <reference field="0" count="1" selected="0">
            <x v="52"/>
          </reference>
          <reference field="2" count="1">
            <x v="51"/>
          </reference>
        </references>
      </pivotArea>
    </format>
    <format dxfId="191">
      <pivotArea dataOnly="0" labelOnly="1" outline="0" fieldPosition="0">
        <references count="2">
          <reference field="0" count="1" selected="0">
            <x v="53"/>
          </reference>
          <reference field="2" count="1">
            <x v="52"/>
          </reference>
        </references>
      </pivotArea>
    </format>
    <format dxfId="190">
      <pivotArea dataOnly="0" labelOnly="1" outline="0" fieldPosition="0">
        <references count="2">
          <reference field="0" count="1" selected="0">
            <x v="54"/>
          </reference>
          <reference field="2" count="1">
            <x v="53"/>
          </reference>
        </references>
      </pivotArea>
    </format>
    <format dxfId="189">
      <pivotArea dataOnly="0" labelOnly="1" outline="0" fieldPosition="0">
        <references count="2">
          <reference field="0" count="1" selected="0">
            <x v="55"/>
          </reference>
          <reference field="2" count="1">
            <x v="54"/>
          </reference>
        </references>
      </pivotArea>
    </format>
    <format dxfId="188">
      <pivotArea dataOnly="0" labelOnly="1" outline="0" fieldPosition="0">
        <references count="2">
          <reference field="0" count="1" selected="0">
            <x v="56"/>
          </reference>
          <reference field="2" count="1">
            <x v="55"/>
          </reference>
        </references>
      </pivotArea>
    </format>
    <format dxfId="187">
      <pivotArea dataOnly="0" labelOnly="1" outline="0" fieldPosition="0">
        <references count="2">
          <reference field="0" count="1" selected="0">
            <x v="57"/>
          </reference>
          <reference field="2" count="1">
            <x v="56"/>
          </reference>
        </references>
      </pivotArea>
    </format>
    <format dxfId="186">
      <pivotArea dataOnly="0" labelOnly="1" outline="0" fieldPosition="0">
        <references count="2">
          <reference field="0" count="1" selected="0">
            <x v="58"/>
          </reference>
          <reference field="2" count="1">
            <x v="57"/>
          </reference>
        </references>
      </pivotArea>
    </format>
    <format dxfId="185">
      <pivotArea dataOnly="0" labelOnly="1" outline="0" fieldPosition="0">
        <references count="2">
          <reference field="0" count="1" selected="0">
            <x v="59"/>
          </reference>
          <reference field="2" count="1">
            <x v="58"/>
          </reference>
        </references>
      </pivotArea>
    </format>
    <format dxfId="184">
      <pivotArea dataOnly="0" labelOnly="1" outline="0" fieldPosition="0">
        <references count="3">
          <reference field="0" count="1" selected="0">
            <x v="1"/>
          </reference>
          <reference field="1" count="1">
            <x v="5"/>
          </reference>
          <reference field="2" count="1" selected="0">
            <x v="1"/>
          </reference>
        </references>
      </pivotArea>
    </format>
    <format dxfId="183">
      <pivotArea dataOnly="0" labelOnly="1" outline="0" fieldPosition="0">
        <references count="3">
          <reference field="0" count="1" selected="0">
            <x v="2"/>
          </reference>
          <reference field="1" count="1">
            <x v="6"/>
          </reference>
          <reference field="2" count="1" selected="0">
            <x v="2"/>
          </reference>
        </references>
      </pivotArea>
    </format>
    <format dxfId="182">
      <pivotArea dataOnly="0" labelOnly="1" outline="0" fieldPosition="0">
        <references count="3">
          <reference field="0" count="1" selected="0">
            <x v="3"/>
          </reference>
          <reference field="1" count="1">
            <x v="36"/>
          </reference>
          <reference field="2" count="1" selected="0">
            <x v="3"/>
          </reference>
        </references>
      </pivotArea>
    </format>
    <format dxfId="181">
      <pivotArea dataOnly="0" labelOnly="1" outline="0" fieldPosition="0">
        <references count="3">
          <reference field="0" count="1" selected="0">
            <x v="4"/>
          </reference>
          <reference field="1" count="1">
            <x v="15"/>
          </reference>
          <reference field="2" count="1" selected="0">
            <x v="4"/>
          </reference>
        </references>
      </pivotArea>
    </format>
    <format dxfId="180">
      <pivotArea dataOnly="0" labelOnly="1" outline="0" fieldPosition="0">
        <references count="3">
          <reference field="0" count="1" selected="0">
            <x v="5"/>
          </reference>
          <reference field="1" count="1">
            <x v="29"/>
          </reference>
          <reference field="2" count="1" selected="0">
            <x v="5"/>
          </reference>
        </references>
      </pivotArea>
    </format>
    <format dxfId="179">
      <pivotArea dataOnly="0" labelOnly="1" outline="0" fieldPosition="0">
        <references count="3">
          <reference field="0" count="1" selected="0">
            <x v="6"/>
          </reference>
          <reference field="1" count="1">
            <x v="35"/>
          </reference>
          <reference field="2" count="1" selected="0">
            <x v="6"/>
          </reference>
        </references>
      </pivotArea>
    </format>
    <format dxfId="178">
      <pivotArea dataOnly="0" labelOnly="1" outline="0" fieldPosition="0">
        <references count="3">
          <reference field="0" count="1" selected="0">
            <x v="7"/>
          </reference>
          <reference field="1" count="1">
            <x v="25"/>
          </reference>
          <reference field="2" count="1" selected="0">
            <x v="7"/>
          </reference>
        </references>
      </pivotArea>
    </format>
    <format dxfId="177">
      <pivotArea dataOnly="0" labelOnly="1" outline="0" fieldPosition="0">
        <references count="3">
          <reference field="0" count="1" selected="0">
            <x v="8"/>
          </reference>
          <reference field="1" count="1">
            <x v="24"/>
          </reference>
          <reference field="2" count="1" selected="0">
            <x v="8"/>
          </reference>
        </references>
      </pivotArea>
    </format>
    <format dxfId="176">
      <pivotArea dataOnly="0" labelOnly="1" outline="0" fieldPosition="0">
        <references count="3">
          <reference field="0" count="1" selected="0">
            <x v="9"/>
          </reference>
          <reference field="1" count="1">
            <x v="39"/>
          </reference>
          <reference field="2" count="1" selected="0">
            <x v="9"/>
          </reference>
        </references>
      </pivotArea>
    </format>
    <format dxfId="175">
      <pivotArea dataOnly="0" labelOnly="1" outline="0" fieldPosition="0">
        <references count="3">
          <reference field="0" count="1" selected="0">
            <x v="10"/>
          </reference>
          <reference field="1" count="1">
            <x v="40"/>
          </reference>
          <reference field="2" count="1" selected="0">
            <x v="10"/>
          </reference>
        </references>
      </pivotArea>
    </format>
    <format dxfId="174">
      <pivotArea dataOnly="0" labelOnly="1" outline="0" fieldPosition="0">
        <references count="3">
          <reference field="0" count="1" selected="0">
            <x v="11"/>
          </reference>
          <reference field="1" count="1">
            <x v="41"/>
          </reference>
          <reference field="2" count="1" selected="0">
            <x v="11"/>
          </reference>
        </references>
      </pivotArea>
    </format>
    <format dxfId="173">
      <pivotArea dataOnly="0" labelOnly="1" outline="0" fieldPosition="0">
        <references count="3">
          <reference field="0" count="1" selected="0">
            <x v="12"/>
          </reference>
          <reference field="1" count="1">
            <x v="42"/>
          </reference>
          <reference field="2" count="1" selected="0">
            <x v="12"/>
          </reference>
        </references>
      </pivotArea>
    </format>
    <format dxfId="172">
      <pivotArea dataOnly="0" labelOnly="1" outline="0" fieldPosition="0">
        <references count="3">
          <reference field="0" count="1" selected="0">
            <x v="13"/>
          </reference>
          <reference field="1" count="1">
            <x v="43"/>
          </reference>
          <reference field="2" count="1" selected="0">
            <x v="13"/>
          </reference>
        </references>
      </pivotArea>
    </format>
    <format dxfId="171">
      <pivotArea dataOnly="0" labelOnly="1" outline="0" fieldPosition="0">
        <references count="3">
          <reference field="0" count="1" selected="0">
            <x v="14"/>
          </reference>
          <reference field="1" count="1">
            <x v="44"/>
          </reference>
          <reference field="2" count="1" selected="0">
            <x v="14"/>
          </reference>
        </references>
      </pivotArea>
    </format>
    <format dxfId="170">
      <pivotArea dataOnly="0" labelOnly="1" outline="0" fieldPosition="0">
        <references count="3">
          <reference field="0" count="1" selected="0">
            <x v="15"/>
          </reference>
          <reference field="1" count="1">
            <x v="32"/>
          </reference>
          <reference field="2" count="1" selected="0">
            <x v="15"/>
          </reference>
        </references>
      </pivotArea>
    </format>
    <format dxfId="169">
      <pivotArea dataOnly="0" labelOnly="1" outline="0" fieldPosition="0">
        <references count="3">
          <reference field="0" count="1" selected="0">
            <x v="16"/>
          </reference>
          <reference field="1" count="1">
            <x v="33"/>
          </reference>
          <reference field="2" count="1" selected="0">
            <x v="16"/>
          </reference>
        </references>
      </pivotArea>
    </format>
    <format dxfId="168">
      <pivotArea dataOnly="0" labelOnly="1" outline="0" fieldPosition="0">
        <references count="3">
          <reference field="0" count="1" selected="0">
            <x v="17"/>
          </reference>
          <reference field="1" count="1">
            <x v="17"/>
          </reference>
          <reference field="2" count="1" selected="0">
            <x v="17"/>
          </reference>
        </references>
      </pivotArea>
    </format>
    <format dxfId="167">
      <pivotArea dataOnly="0" labelOnly="1" outline="0" fieldPosition="0">
        <references count="3">
          <reference field="0" count="1" selected="0">
            <x v="18"/>
          </reference>
          <reference field="1" count="1">
            <x v="47"/>
          </reference>
          <reference field="2" count="1" selected="0">
            <x v="18"/>
          </reference>
        </references>
      </pivotArea>
    </format>
    <format dxfId="166">
      <pivotArea dataOnly="0" labelOnly="1" outline="0" fieldPosition="0">
        <references count="3">
          <reference field="0" count="1" selected="0">
            <x v="19"/>
          </reference>
          <reference field="1" count="1">
            <x v="48"/>
          </reference>
          <reference field="2" count="1" selected="0">
            <x v="19"/>
          </reference>
        </references>
      </pivotArea>
    </format>
    <format dxfId="165">
      <pivotArea dataOnly="0" labelOnly="1" outline="0" fieldPosition="0">
        <references count="3">
          <reference field="0" count="1" selected="0">
            <x v="20"/>
          </reference>
          <reference field="1" count="1">
            <x v="49"/>
          </reference>
          <reference field="2" count="1" selected="0">
            <x v="20"/>
          </reference>
        </references>
      </pivotArea>
    </format>
    <format dxfId="164">
      <pivotArea dataOnly="0" labelOnly="1" outline="0" fieldPosition="0">
        <references count="3">
          <reference field="0" count="1" selected="0">
            <x v="22"/>
          </reference>
          <reference field="1" count="1">
            <x v="52"/>
          </reference>
          <reference field="2" count="1" selected="0">
            <x v="22"/>
          </reference>
        </references>
      </pivotArea>
    </format>
    <format dxfId="163">
      <pivotArea dataOnly="0" labelOnly="1" outline="0" fieldPosition="0">
        <references count="3">
          <reference field="0" count="1" selected="0">
            <x v="24"/>
          </reference>
          <reference field="1" count="1">
            <x v="10"/>
          </reference>
          <reference field="2" count="1" selected="0">
            <x v="24"/>
          </reference>
        </references>
      </pivotArea>
    </format>
    <format dxfId="162">
      <pivotArea dataOnly="0" labelOnly="1" outline="0" fieldPosition="0">
        <references count="3">
          <reference field="0" count="1" selected="0">
            <x v="25"/>
          </reference>
          <reference field="1" count="1">
            <x v="11"/>
          </reference>
          <reference field="2" count="1" selected="0">
            <x v="25"/>
          </reference>
        </references>
      </pivotArea>
    </format>
    <format dxfId="161">
      <pivotArea dataOnly="0" labelOnly="1" outline="0" fieldPosition="0">
        <references count="3">
          <reference field="0" count="1" selected="0">
            <x v="26"/>
          </reference>
          <reference field="1" count="1">
            <x v="12"/>
          </reference>
          <reference field="2" count="1" selected="0">
            <x v="26"/>
          </reference>
        </references>
      </pivotArea>
    </format>
    <format dxfId="160">
      <pivotArea dataOnly="0" labelOnly="1" outline="0" fieldPosition="0">
        <references count="3">
          <reference field="0" count="1" selected="0">
            <x v="27"/>
          </reference>
          <reference field="1" count="1">
            <x v="13"/>
          </reference>
          <reference field="2" count="1" selected="0">
            <x v="27"/>
          </reference>
        </references>
      </pivotArea>
    </format>
    <format dxfId="159">
      <pivotArea dataOnly="0" labelOnly="1" outline="0" fieldPosition="0">
        <references count="3">
          <reference field="0" count="1" selected="0">
            <x v="28"/>
          </reference>
          <reference field="1" count="1">
            <x v="8"/>
          </reference>
          <reference field="2" count="1" selected="0">
            <x v="28"/>
          </reference>
        </references>
      </pivotArea>
    </format>
    <format dxfId="158">
      <pivotArea dataOnly="0" labelOnly="1" outline="0" fieldPosition="0">
        <references count="3">
          <reference field="0" count="1" selected="0">
            <x v="29"/>
          </reference>
          <reference field="1" count="1">
            <x v="9"/>
          </reference>
          <reference field="2" count="1" selected="0">
            <x v="29"/>
          </reference>
        </references>
      </pivotArea>
    </format>
    <format dxfId="157">
      <pivotArea dataOnly="0" labelOnly="1" outline="0" fieldPosition="0">
        <references count="3">
          <reference field="0" count="1" selected="0">
            <x v="30"/>
          </reference>
          <reference field="1" count="1">
            <x v="7"/>
          </reference>
          <reference field="2" count="1" selected="0">
            <x v="30"/>
          </reference>
        </references>
      </pivotArea>
    </format>
    <format dxfId="156">
      <pivotArea dataOnly="0" labelOnly="1" outline="0" fieldPosition="0">
        <references count="3">
          <reference field="0" count="1" selected="0">
            <x v="31"/>
          </reference>
          <reference field="1" count="1">
            <x v="37"/>
          </reference>
          <reference field="2" count="1" selected="0">
            <x v="31"/>
          </reference>
        </references>
      </pivotArea>
    </format>
    <format dxfId="155">
      <pivotArea dataOnly="0" labelOnly="1" outline="0" fieldPosition="0">
        <references count="3">
          <reference field="0" count="1" selected="0">
            <x v="32"/>
          </reference>
          <reference field="1" count="1">
            <x v="38"/>
          </reference>
          <reference field="2" count="1" selected="0">
            <x v="32"/>
          </reference>
        </references>
      </pivotArea>
    </format>
    <format dxfId="154">
      <pivotArea dataOnly="0" labelOnly="1" outline="0" fieldPosition="0">
        <references count="3">
          <reference field="0" count="1" selected="0">
            <x v="33"/>
          </reference>
          <reference field="1" count="1">
            <x v="3"/>
          </reference>
          <reference field="2" count="1" selected="0">
            <x v="33"/>
          </reference>
        </references>
      </pivotArea>
    </format>
    <format dxfId="153">
      <pivotArea dataOnly="0" labelOnly="1" outline="0" fieldPosition="0">
        <references count="3">
          <reference field="0" count="1" selected="0">
            <x v="34"/>
          </reference>
          <reference field="1" count="1">
            <x v="4"/>
          </reference>
          <reference field="2" count="1" selected="0">
            <x v="34"/>
          </reference>
        </references>
      </pivotArea>
    </format>
    <format dxfId="152">
      <pivotArea dataOnly="0" labelOnly="1" outline="0" fieldPosition="0">
        <references count="3">
          <reference field="0" count="1" selected="0">
            <x v="35"/>
          </reference>
          <reference field="1" count="1">
            <x v="45"/>
          </reference>
          <reference field="2" count="1" selected="0">
            <x v="35"/>
          </reference>
        </references>
      </pivotArea>
    </format>
    <format dxfId="151">
      <pivotArea dataOnly="0" labelOnly="1" outline="0" fieldPosition="0">
        <references count="3">
          <reference field="0" count="1" selected="0">
            <x v="36"/>
          </reference>
          <reference field="1" count="1">
            <x v="46"/>
          </reference>
          <reference field="2" count="1" selected="0">
            <x v="36"/>
          </reference>
        </references>
      </pivotArea>
    </format>
    <format dxfId="150">
      <pivotArea dataOnly="0" labelOnly="1" outline="0" fieldPosition="0">
        <references count="3">
          <reference field="0" count="1" selected="0">
            <x v="37"/>
          </reference>
          <reference field="1" count="1">
            <x v="50"/>
          </reference>
          <reference field="2" count="1" selected="0">
            <x v="37"/>
          </reference>
        </references>
      </pivotArea>
    </format>
    <format dxfId="149">
      <pivotArea dataOnly="0" labelOnly="1" outline="0" fieldPosition="0">
        <references count="3">
          <reference field="0" count="1" selected="0">
            <x v="38"/>
          </reference>
          <reference field="1" count="1">
            <x v="51"/>
          </reference>
          <reference field="2" count="1" selected="0">
            <x v="38"/>
          </reference>
        </references>
      </pivotArea>
    </format>
    <format dxfId="148">
      <pivotArea dataOnly="0" labelOnly="1" outline="0" fieldPosition="0">
        <references count="3">
          <reference field="0" count="1" selected="0">
            <x v="39"/>
          </reference>
          <reference field="1" count="1">
            <x v="30"/>
          </reference>
          <reference field="2" count="1" selected="0">
            <x v="39"/>
          </reference>
        </references>
      </pivotArea>
    </format>
    <format dxfId="147">
      <pivotArea dataOnly="0" labelOnly="1" outline="0" fieldPosition="0">
        <references count="3">
          <reference field="0" count="1" selected="0">
            <x v="40"/>
          </reference>
          <reference field="1" count="1">
            <x v="26"/>
          </reference>
          <reference field="2" count="1" selected="0">
            <x v="40"/>
          </reference>
        </references>
      </pivotArea>
    </format>
    <format dxfId="146">
      <pivotArea dataOnly="0" labelOnly="1" outline="0" fieldPosition="0">
        <references count="3">
          <reference field="0" count="1" selected="0">
            <x v="42"/>
          </reference>
          <reference field="1" count="1">
            <x v="27"/>
          </reference>
          <reference field="2" count="1" selected="0">
            <x v="41"/>
          </reference>
        </references>
      </pivotArea>
    </format>
    <format dxfId="145">
      <pivotArea dataOnly="0" labelOnly="1" outline="0" fieldPosition="0">
        <references count="3">
          <reference field="0" count="1" selected="0">
            <x v="43"/>
          </reference>
          <reference field="1" count="1">
            <x v="19"/>
          </reference>
          <reference field="2" count="1" selected="0">
            <x v="42"/>
          </reference>
        </references>
      </pivotArea>
    </format>
    <format dxfId="144">
      <pivotArea dataOnly="0" labelOnly="1" outline="0" fieldPosition="0">
        <references count="3">
          <reference field="0" count="1" selected="0">
            <x v="44"/>
          </reference>
          <reference field="1" count="1">
            <x v="20"/>
          </reference>
          <reference field="2" count="1" selected="0">
            <x v="43"/>
          </reference>
        </references>
      </pivotArea>
    </format>
    <format dxfId="143">
      <pivotArea dataOnly="0" labelOnly="1" outline="0" fieldPosition="0">
        <references count="3">
          <reference field="0" count="1" selected="0">
            <x v="45"/>
          </reference>
          <reference field="1" count="1">
            <x v="21"/>
          </reference>
          <reference field="2" count="1" selected="0">
            <x v="44"/>
          </reference>
        </references>
      </pivotArea>
    </format>
    <format dxfId="142">
      <pivotArea dataOnly="0" labelOnly="1" outline="0" fieldPosition="0">
        <references count="3">
          <reference field="0" count="1" selected="0">
            <x v="47"/>
          </reference>
          <reference field="1" count="1">
            <x v="16"/>
          </reference>
          <reference field="2" count="1" selected="0">
            <x v="46"/>
          </reference>
        </references>
      </pivotArea>
    </format>
    <format dxfId="141">
      <pivotArea dataOnly="0" labelOnly="1" outline="0" fieldPosition="0">
        <references count="3">
          <reference field="0" count="1" selected="0">
            <x v="49"/>
          </reference>
          <reference field="1" count="1">
            <x v="0"/>
          </reference>
          <reference field="2" count="1" selected="0">
            <x v="48"/>
          </reference>
        </references>
      </pivotArea>
    </format>
    <format dxfId="140">
      <pivotArea dataOnly="0" labelOnly="1" outline="0" fieldPosition="0">
        <references count="3">
          <reference field="0" count="1" selected="0">
            <x v="50"/>
          </reference>
          <reference field="1" count="1">
            <x v="31"/>
          </reference>
          <reference field="2" count="1" selected="0">
            <x v="49"/>
          </reference>
        </references>
      </pivotArea>
    </format>
    <format dxfId="139">
      <pivotArea dataOnly="0" labelOnly="1" outline="0" fieldPosition="0">
        <references count="3">
          <reference field="0" count="1" selected="0">
            <x v="51"/>
          </reference>
          <reference field="1" count="1">
            <x v="14"/>
          </reference>
          <reference field="2" count="1" selected="0">
            <x v="50"/>
          </reference>
        </references>
      </pivotArea>
    </format>
    <format dxfId="138">
      <pivotArea dataOnly="0" labelOnly="1" outline="0" fieldPosition="0">
        <references count="3">
          <reference field="0" count="1" selected="0">
            <x v="52"/>
          </reference>
          <reference field="1" count="1">
            <x v="2"/>
          </reference>
          <reference field="2" count="1" selected="0">
            <x v="51"/>
          </reference>
        </references>
      </pivotArea>
    </format>
    <format dxfId="137">
      <pivotArea dataOnly="0" labelOnly="1" outline="0" fieldPosition="0">
        <references count="3">
          <reference field="0" count="1" selected="0">
            <x v="53"/>
          </reference>
          <reference field="1" count="1">
            <x v="1"/>
          </reference>
          <reference field="2" count="1" selected="0">
            <x v="52"/>
          </reference>
        </references>
      </pivotArea>
    </format>
    <format dxfId="136">
      <pivotArea dataOnly="0" labelOnly="1" outline="0" fieldPosition="0">
        <references count="3">
          <reference field="0" count="1" selected="0">
            <x v="54"/>
          </reference>
          <reference field="1" count="1">
            <x v="28"/>
          </reference>
          <reference field="2" count="1" selected="0">
            <x v="53"/>
          </reference>
        </references>
      </pivotArea>
    </format>
    <format dxfId="135">
      <pivotArea dataOnly="0" labelOnly="1" outline="0" fieldPosition="0">
        <references count="3">
          <reference field="0" count="1" selected="0">
            <x v="55"/>
          </reference>
          <reference field="1" count="1">
            <x v="18"/>
          </reference>
          <reference field="2" count="1" selected="0">
            <x v="54"/>
          </reference>
        </references>
      </pivotArea>
    </format>
    <format dxfId="134">
      <pivotArea dataOnly="0" labelOnly="1" outline="0" fieldPosition="0">
        <references count="3">
          <reference field="0" count="1" selected="0">
            <x v="57"/>
          </reference>
          <reference field="1" count="1">
            <x v="22"/>
          </reference>
          <reference field="2" count="1" selected="0">
            <x v="56"/>
          </reference>
        </references>
      </pivotArea>
    </format>
    <format dxfId="133">
      <pivotArea dataOnly="0" labelOnly="1" outline="0" fieldPosition="0">
        <references count="3">
          <reference field="0" count="1" selected="0">
            <x v="58"/>
          </reference>
          <reference field="1" count="1">
            <x v="23"/>
          </reference>
          <reference field="2" count="1" selected="0">
            <x v="57"/>
          </reference>
        </references>
      </pivotArea>
    </format>
    <format dxfId="132">
      <pivotArea dataOnly="0" labelOnly="1" outline="0" fieldPosition="0">
        <references count="3">
          <reference field="0" count="1" selected="0">
            <x v="59"/>
          </reference>
          <reference field="1" count="1">
            <x v="34"/>
          </reference>
          <reference field="2" count="1" selected="0">
            <x v="58"/>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9">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8">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27">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26">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25">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24">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23">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22">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21">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20">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9">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8">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17">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16">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15">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14">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13">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12">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11">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10">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9">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8">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107">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106">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1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4">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103">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102">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10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9">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8">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97">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96">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95">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94">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93">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92">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91">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90">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9">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8">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87">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86">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85">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84">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83">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82">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81">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80">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9">
      <pivotArea dataOnly="0" outline="0" fieldPosition="0">
        <references count="1">
          <reference field="0" count="1">
            <x v="60"/>
          </reference>
        </references>
      </pivotArea>
    </format>
    <format dxfId="78">
      <pivotArea dataOnly="0" outline="0" fieldPosition="0">
        <references count="1">
          <reference field="0" count="1">
            <x v="60"/>
          </reference>
        </references>
      </pivotArea>
    </format>
    <format dxfId="77">
      <pivotArea type="all" dataOnly="0" outline="0" fieldPosition="0"/>
    </format>
    <format dxfId="76">
      <pivotArea type="all" dataOnly="0" outline="0" fieldPosition="0"/>
    </format>
    <format dxfId="75">
      <pivotArea type="all" dataOnly="0" outline="0" fieldPosition="0"/>
    </format>
    <format dxfId="74">
      <pivotArea dataOnly="0" labelOnly="1" outline="0" fieldPosition="0">
        <references count="1">
          <reference field="0" count="3">
            <x v="61"/>
            <x v="62"/>
            <x v="63"/>
          </reference>
        </references>
      </pivotArea>
    </format>
    <format dxfId="73">
      <pivotArea dataOnly="0" labelOnly="1" outline="0" fieldPosition="0">
        <references count="1">
          <reference field="0" count="3">
            <x v="0"/>
            <x v="1"/>
            <x v="2"/>
          </reference>
        </references>
      </pivotArea>
    </format>
    <format dxfId="72">
      <pivotArea dataOnly="0" labelOnly="1" outline="0" fieldPosition="0">
        <references count="2">
          <reference field="0" count="1" selected="0">
            <x v="0"/>
          </reference>
          <reference field="2" count="1">
            <x v="0"/>
          </reference>
        </references>
      </pivotArea>
    </format>
    <format dxfId="71">
      <pivotArea dataOnly="0" labelOnly="1" outline="0" fieldPosition="0">
        <references count="2">
          <reference field="0" count="1" selected="0">
            <x v="1"/>
          </reference>
          <reference field="2" count="1">
            <x v="1"/>
          </reference>
        </references>
      </pivotArea>
    </format>
    <format dxfId="70">
      <pivotArea dataOnly="0" labelOnly="1" outline="0" fieldPosition="0">
        <references count="2">
          <reference field="0" count="1" selected="0">
            <x v="2"/>
          </reference>
          <reference field="2" count="1">
            <x v="2"/>
          </reference>
        </references>
      </pivotArea>
    </format>
    <format dxfId="69">
      <pivotArea dataOnly="0" labelOnly="1" outline="0" fieldPosition="0">
        <references count="3">
          <reference field="0" count="1" selected="0">
            <x v="1"/>
          </reference>
          <reference field="1" count="1">
            <x v="5"/>
          </reference>
          <reference field="2" count="1" selected="0">
            <x v="1"/>
          </reference>
        </references>
      </pivotArea>
    </format>
    <format dxfId="68">
      <pivotArea dataOnly="0" labelOnly="1" outline="0" fieldPosition="0">
        <references count="3">
          <reference field="0" count="1" selected="0">
            <x v="2"/>
          </reference>
          <reference field="1" count="1">
            <x v="6"/>
          </reference>
          <reference field="2" count="1" selected="0">
            <x v="2"/>
          </reference>
        </references>
      </pivotArea>
    </format>
    <format dxfId="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65">
      <pivotArea dataOnly="0" labelOnly="1" outline="0" fieldPosition="0">
        <references count="1">
          <reference field="1" count="0"/>
        </references>
      </pivotArea>
    </format>
    <format dxfId="64">
      <pivotArea dataOnly="0" labelOnly="1" outline="0" fieldPosition="0">
        <references count="1">
          <reference field="0" count="3">
            <x v="74"/>
            <x v="75"/>
            <x v="76"/>
          </reference>
        </references>
      </pivotArea>
    </format>
    <format dxfId="63">
      <pivotArea dataOnly="0" labelOnly="1" outline="0" fieldPosition="0">
        <references count="1">
          <reference field="0" count="10">
            <x v="64"/>
            <x v="65"/>
            <x v="66"/>
            <x v="67"/>
            <x v="68"/>
            <x v="69"/>
            <x v="70"/>
            <x v="71"/>
            <x v="72"/>
            <x v="76"/>
          </reference>
        </references>
      </pivotArea>
    </format>
    <format dxfId="62">
      <pivotArea dataOnly="0" labelOnly="1" outline="0" fieldPosition="0">
        <references count="1">
          <reference field="0" count="10">
            <x v="64"/>
            <x v="65"/>
            <x v="66"/>
            <x v="67"/>
            <x v="68"/>
            <x v="69"/>
            <x v="70"/>
            <x v="71"/>
            <x v="72"/>
            <x v="76"/>
          </reference>
        </references>
      </pivotArea>
    </format>
    <format dxfId="61">
      <pivotArea dataOnly="0" labelOnly="1" outline="0" fieldPosition="0">
        <references count="1">
          <reference field="0" count="1">
            <x v="73"/>
          </reference>
        </references>
      </pivotArea>
    </format>
    <format dxfId="60">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09375" defaultRowHeight="13.8" x14ac:dyDescent="0.25"/>
  <cols>
    <col min="1" max="1" width="9.109375" style="128"/>
    <col min="2" max="2" width="25.44140625" style="14" customWidth="1"/>
    <col min="3" max="4" width="12.5546875" style="14" customWidth="1"/>
    <col min="5" max="6" width="11.6640625" style="14" customWidth="1"/>
    <col min="7" max="7" width="10.6640625" style="14" customWidth="1"/>
    <col min="8" max="8" width="16.5546875" style="14" customWidth="1"/>
    <col min="9" max="9" width="9.109375" style="14"/>
    <col min="10" max="10" width="9.6640625" style="14" bestFit="1" customWidth="1"/>
    <col min="11" max="11" width="9.109375" style="128"/>
    <col min="12" max="13" width="9.109375" style="14"/>
    <col min="14" max="14" width="19.77734375" style="14" bestFit="1" customWidth="1"/>
    <col min="15" max="15" width="27.44140625" style="14" customWidth="1"/>
    <col min="16" max="16384" width="9.109375" style="14"/>
  </cols>
  <sheetData>
    <row r="1" spans="1:15" s="51" customFormat="1" ht="30" customHeight="1" x14ac:dyDescent="0.3">
      <c r="A1" s="121" t="s">
        <v>0</v>
      </c>
      <c r="B1" s="121" t="s">
        <v>17</v>
      </c>
      <c r="C1" s="121" t="s">
        <v>165</v>
      </c>
      <c r="D1" s="121" t="s">
        <v>16</v>
      </c>
      <c r="E1" s="121" t="s">
        <v>18</v>
      </c>
      <c r="F1" s="121" t="s">
        <v>19</v>
      </c>
      <c r="G1" s="121" t="s">
        <v>166</v>
      </c>
      <c r="H1" s="131" t="s">
        <v>167</v>
      </c>
      <c r="J1" s="51" t="s">
        <v>273</v>
      </c>
      <c r="K1" s="56">
        <v>28374</v>
      </c>
      <c r="N1" s="218"/>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8"/>
      <c r="O2" s="51"/>
    </row>
    <row r="3" spans="1:15" x14ac:dyDescent="0.25">
      <c r="A3" s="127">
        <v>1</v>
      </c>
      <c r="B3" s="124" t="s">
        <v>52</v>
      </c>
      <c r="C3" s="125">
        <v>0.5</v>
      </c>
      <c r="D3" s="125">
        <v>2</v>
      </c>
      <c r="E3" s="125">
        <v>45</v>
      </c>
      <c r="F3" s="130">
        <v>90</v>
      </c>
      <c r="G3" s="41">
        <v>0</v>
      </c>
      <c r="H3" s="130">
        <v>90</v>
      </c>
      <c r="J3" s="51" t="s">
        <v>276</v>
      </c>
      <c r="L3" s="128"/>
      <c r="M3" s="51"/>
      <c r="N3" s="218"/>
      <c r="O3" s="51"/>
    </row>
    <row r="4" spans="1:15" x14ac:dyDescent="0.25">
      <c r="A4" s="127">
        <v>2</v>
      </c>
      <c r="B4" s="124" t="s">
        <v>51</v>
      </c>
      <c r="C4" s="125">
        <v>0.5</v>
      </c>
      <c r="D4" s="125">
        <v>2</v>
      </c>
      <c r="E4" s="125">
        <v>54</v>
      </c>
      <c r="F4" s="130">
        <v>108</v>
      </c>
      <c r="G4" s="41">
        <v>0</v>
      </c>
      <c r="H4" s="130">
        <v>108</v>
      </c>
      <c r="J4" s="51" t="s">
        <v>277</v>
      </c>
      <c r="L4" s="128"/>
      <c r="M4" s="51"/>
      <c r="N4" s="218"/>
      <c r="O4" s="51"/>
    </row>
    <row r="5" spans="1:15" x14ac:dyDescent="0.25">
      <c r="A5" s="127">
        <v>3</v>
      </c>
      <c r="B5" s="124" t="s">
        <v>36</v>
      </c>
      <c r="C5" s="125">
        <v>0.5</v>
      </c>
      <c r="D5" s="125">
        <v>2</v>
      </c>
      <c r="E5" s="125">
        <v>55.5</v>
      </c>
      <c r="F5" s="130">
        <v>111</v>
      </c>
      <c r="G5" s="41">
        <v>0</v>
      </c>
      <c r="H5" s="130">
        <v>111</v>
      </c>
      <c r="J5" s="51" t="s">
        <v>278</v>
      </c>
      <c r="L5" s="128"/>
      <c r="M5" s="51"/>
      <c r="N5" s="218"/>
      <c r="O5" s="51"/>
    </row>
    <row r="6" spans="1:15" x14ac:dyDescent="0.25">
      <c r="A6" s="127">
        <v>4</v>
      </c>
      <c r="B6" s="124" t="s">
        <v>37</v>
      </c>
      <c r="C6" s="125">
        <v>0.5</v>
      </c>
      <c r="D6" s="125">
        <v>2</v>
      </c>
      <c r="E6" s="125">
        <v>55.5</v>
      </c>
      <c r="F6" s="130">
        <v>111</v>
      </c>
      <c r="G6" s="41">
        <v>0</v>
      </c>
      <c r="H6" s="130">
        <v>111</v>
      </c>
      <c r="J6" s="51" t="s">
        <v>279</v>
      </c>
      <c r="L6" s="128"/>
      <c r="M6" s="51"/>
      <c r="N6" s="218"/>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L5" activePane="bottomRight" state="frozen"/>
      <selection activeCell="A2" sqref="A2"/>
      <selection pane="topRight" activeCell="R2" sqref="R2"/>
      <selection pane="bottomLeft" activeCell="A5" sqref="A5"/>
      <selection pane="bottomRight" activeCell="P18" sqref="P18"/>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12.109375" style="82" bestFit="1" customWidth="1"/>
    <col min="6" max="7" width="10.88671875" style="82" bestFit="1"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12.6640625" style="82" customWidth="1"/>
    <col min="16" max="16" width="13.33203125" style="82" customWidth="1"/>
    <col min="17" max="17" width="10.88671875" style="82" customWidth="1"/>
    <col min="18" max="48" width="5.33203125" style="82" customWidth="1"/>
    <col min="49" max="49" width="9.109375" style="82"/>
    <col min="50" max="50" width="12" style="82" bestFit="1" customWidth="1"/>
    <col min="51" max="16384" width="9.109375" style="82"/>
  </cols>
  <sheetData>
    <row r="1" spans="1:50" hidden="1" x14ac:dyDescent="0.3">
      <c r="B1" s="238" t="s">
        <v>59</v>
      </c>
      <c r="C1" s="238"/>
      <c r="D1" s="238"/>
      <c r="E1" s="238"/>
      <c r="F1" s="238"/>
      <c r="G1" s="238"/>
      <c r="H1" s="238"/>
      <c r="I1" s="238"/>
      <c r="J1" s="238"/>
      <c r="K1" s="238"/>
      <c r="L1" s="238"/>
      <c r="M1" s="238"/>
      <c r="N1" s="160"/>
    </row>
    <row r="2" spans="1:50" ht="34.5" customHeight="1" x14ac:dyDescent="0.3">
      <c r="A2" s="1">
        <f>221+120+60+130-(165+219)+60+110+80+130-140+120+150+130+60+130+70+60+130</f>
        <v>1237</v>
      </c>
      <c r="B2" s="183">
        <v>60</v>
      </c>
      <c r="H2" s="185">
        <f>H8</f>
        <v>5850</v>
      </c>
      <c r="K2" s="13">
        <f>SUMPRODUCT((E5:E7)*(F5:F7))</f>
        <v>493.75</v>
      </c>
      <c r="L2" s="13">
        <f>M4-K4</f>
        <v>3483</v>
      </c>
      <c r="M2" s="8">
        <f>M4/K4-1</f>
        <v>0.11304495995715791</v>
      </c>
      <c r="N2" s="8"/>
      <c r="P2" s="118"/>
      <c r="Q2" s="192"/>
      <c r="AP2" s="118"/>
      <c r="AX2" s="222"/>
    </row>
    <row r="3" spans="1:50" ht="31.5" customHeight="1" x14ac:dyDescent="0.3">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130</v>
      </c>
    </row>
    <row r="4" spans="1:50" s="62" customFormat="1" ht="27" customHeight="1" x14ac:dyDescent="0.3">
      <c r="A4" s="71">
        <f ca="1">SUBTOTAL(9,A5:A8)</f>
        <v>6614.6574417621905</v>
      </c>
      <c r="B4" s="19"/>
      <c r="C4" s="19"/>
      <c r="D4" s="63"/>
      <c r="E4" s="19">
        <f>SUMPRODUCT((E5:E8)*(F5:F8))</f>
        <v>523.75</v>
      </c>
      <c r="F4" s="19">
        <f>SUBTOTAL(9,F5:F8)</f>
        <v>553.75</v>
      </c>
      <c r="G4" s="7"/>
      <c r="H4" s="7">
        <f>SUBTOTAL(9,H5:H7)</f>
        <v>23663.75</v>
      </c>
      <c r="I4" s="12"/>
      <c r="J4" s="12"/>
      <c r="K4" s="12">
        <f>SUBTOTAL(9,K5:K8)</f>
        <v>30810.75</v>
      </c>
      <c r="L4" s="64"/>
      <c r="M4" s="7">
        <f>SUBTOTAL(9,M5:M8)</f>
        <v>34293.75</v>
      </c>
      <c r="N4" s="7">
        <f ca="1">SUBTOTAL(9,N5:N8)</f>
        <v>26380.75</v>
      </c>
      <c r="O4" s="65">
        <f ca="1">SUBTOTAL(9,O5:O8)</f>
        <v>104.60000000000002</v>
      </c>
      <c r="P4" s="98">
        <f>SUBTOTAL(9,P5:P8)</f>
        <v>11.55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ca="1" si="0"/>
        <v>16</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2854.5</v>
      </c>
    </row>
    <row r="5" spans="1:50" ht="35.25" customHeight="1" x14ac:dyDescent="0.3">
      <c r="A5" s="82">
        <f ca="1">J5*O5</f>
        <v>484.04606201468488</v>
      </c>
      <c r="B5" s="6">
        <v>1</v>
      </c>
      <c r="C5" s="84" t="s">
        <v>215</v>
      </c>
      <c r="D5" s="92">
        <v>46</v>
      </c>
      <c r="E5" s="85">
        <v>1</v>
      </c>
      <c r="F5" s="85">
        <f>30+15+15</f>
        <v>60</v>
      </c>
      <c r="G5" s="165">
        <v>46</v>
      </c>
      <c r="H5" s="166">
        <f t="shared" ref="H5:H6" si="1">G5*F5</f>
        <v>2760</v>
      </c>
      <c r="I5" s="167">
        <f>((H5/$H$4)*$A$2)/F5</f>
        <v>2.4046062014684906</v>
      </c>
      <c r="J5" s="167">
        <f t="shared" ref="J5:J7" si="2">G5+I5</f>
        <v>48.404606201468489</v>
      </c>
      <c r="K5" s="89">
        <f>J5*F5</f>
        <v>2904.2763720881094</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f ca="1">SUMIFS('Tổng Đơn'!$F:$F,'Tổng Đơn'!$B:$B,$C5)</f>
        <v>0</v>
      </c>
      <c r="AN5" s="194">
        <v>0</v>
      </c>
      <c r="AO5" s="194">
        <v>0</v>
      </c>
      <c r="AP5" s="194">
        <v>0</v>
      </c>
      <c r="AQ5" s="194">
        <v>0</v>
      </c>
      <c r="AR5" s="194">
        <v>0</v>
      </c>
      <c r="AS5" s="194">
        <v>0</v>
      </c>
      <c r="AT5" s="194">
        <v>0</v>
      </c>
      <c r="AU5" s="194">
        <v>0</v>
      </c>
      <c r="AV5" s="194">
        <v>0</v>
      </c>
      <c r="AX5" s="82">
        <f>AW5*G5</f>
        <v>0</v>
      </c>
    </row>
    <row r="6" spans="1:50" ht="35.25" customHeight="1" x14ac:dyDescent="0.3">
      <c r="A6" s="82">
        <f t="shared" ref="A6:A8" ca="1" si="4">J6*O6</f>
        <v>2666.094141355451</v>
      </c>
      <c r="B6" s="6">
        <v>2</v>
      </c>
      <c r="C6" s="84" t="s">
        <v>216</v>
      </c>
      <c r="D6" s="92">
        <v>57</v>
      </c>
      <c r="E6" s="85">
        <v>1</v>
      </c>
      <c r="F6" s="85">
        <f>30+30+30+30+15+30+30</f>
        <v>195</v>
      </c>
      <c r="G6" s="165">
        <v>57</v>
      </c>
      <c r="H6" s="166">
        <f t="shared" si="1"/>
        <v>11115</v>
      </c>
      <c r="I6" s="167">
        <f t="shared" ref="I6:I7" si="5">((H6/$H$4)*$A$2)/F6</f>
        <v>2.979620727906608</v>
      </c>
      <c r="J6" s="167">
        <f t="shared" si="2"/>
        <v>59.979620727906607</v>
      </c>
      <c r="K6" s="89">
        <f t="shared" ref="K6:K7" si="6">J6*F6</f>
        <v>11696.026041941788</v>
      </c>
      <c r="L6" s="93">
        <v>70</v>
      </c>
      <c r="M6" s="87">
        <f t="shared" si="3"/>
        <v>13650</v>
      </c>
      <c r="N6" s="87">
        <f t="shared" ref="N6:N8" ca="1" si="7">SUMPRODUCT(($Q6:$AV6)*$L6)</f>
        <v>10496.499999999998</v>
      </c>
      <c r="O6" s="193">
        <f ca="1">F6-SUM(Q6:AV6)-P6</f>
        <v>44.450000000000038</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f ca="1">SUMIFS('Tổng Đơn'!$F:$F,'Tổng Đơn'!$B:$B,$C6)</f>
        <v>3.5</v>
      </c>
      <c r="AN6" s="194">
        <v>0</v>
      </c>
      <c r="AO6" s="194">
        <v>0</v>
      </c>
      <c r="AP6" s="194">
        <v>0</v>
      </c>
      <c r="AQ6" s="194">
        <v>0</v>
      </c>
      <c r="AR6" s="194">
        <v>0</v>
      </c>
      <c r="AS6" s="194">
        <v>0</v>
      </c>
      <c r="AT6" s="194">
        <v>0</v>
      </c>
      <c r="AU6" s="194">
        <v>0</v>
      </c>
      <c r="AV6" s="194">
        <v>0</v>
      </c>
      <c r="AW6" s="82">
        <v>30</v>
      </c>
      <c r="AX6" s="82">
        <f>AW6*G6*0.95</f>
        <v>1624.5</v>
      </c>
    </row>
    <row r="7" spans="1:50" ht="35.25" customHeight="1" x14ac:dyDescent="0.3">
      <c r="A7" s="82">
        <f t="shared" ca="1" si="4"/>
        <v>1149.7672383920549</v>
      </c>
      <c r="B7" s="6">
        <v>3</v>
      </c>
      <c r="C7" s="84" t="s">
        <v>217</v>
      </c>
      <c r="D7" s="92">
        <v>41</v>
      </c>
      <c r="E7" s="85">
        <v>1</v>
      </c>
      <c r="F7" s="85">
        <f>28.75+30+30+30+30+30+30+30</f>
        <v>238.75</v>
      </c>
      <c r="G7" s="165">
        <v>41</v>
      </c>
      <c r="H7" s="166">
        <f>G7*F7</f>
        <v>9788.75</v>
      </c>
      <c r="I7" s="167">
        <f t="shared" si="5"/>
        <v>2.1432359621784376</v>
      </c>
      <c r="J7" s="167">
        <f t="shared" si="2"/>
        <v>43.143235962178437</v>
      </c>
      <c r="K7" s="89">
        <f t="shared" si="6"/>
        <v>10300.447585970101</v>
      </c>
      <c r="L7" s="93">
        <v>45</v>
      </c>
      <c r="M7" s="87">
        <f t="shared" si="3"/>
        <v>10743.75</v>
      </c>
      <c r="N7" s="87">
        <f t="shared" ca="1" si="7"/>
        <v>9051.75</v>
      </c>
      <c r="O7" s="193">
        <f t="shared" ref="O7:O8" ca="1" si="8">F7-SUM(Q7:AV7)-P7</f>
        <v>26.649999999999991</v>
      </c>
      <c r="P7" s="195">
        <f>9.35+1.55+0.05</f>
        <v>10.950000000000001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f ca="1">SUMIFS('Tổng Đơn'!$F:$F,'Tổng Đơn'!$B:$B,$C7)</f>
        <v>12.5</v>
      </c>
      <c r="AN7" s="194">
        <v>0</v>
      </c>
      <c r="AO7" s="194">
        <v>0</v>
      </c>
      <c r="AP7" s="194">
        <v>0</v>
      </c>
      <c r="AQ7" s="194">
        <v>0</v>
      </c>
      <c r="AR7" s="194">
        <v>0</v>
      </c>
      <c r="AS7" s="194">
        <v>0</v>
      </c>
      <c r="AT7" s="194">
        <v>0</v>
      </c>
      <c r="AU7" s="194">
        <v>0</v>
      </c>
      <c r="AV7" s="194">
        <v>0</v>
      </c>
      <c r="AW7" s="82">
        <v>30</v>
      </c>
      <c r="AX7" s="82">
        <f>AW7*G7</f>
        <v>1230</v>
      </c>
    </row>
    <row r="8" spans="1:50" ht="35.25" customHeight="1" x14ac:dyDescent="0.3">
      <c r="A8" s="82">
        <f t="shared" ca="1" si="4"/>
        <v>2314.75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3832.5</v>
      </c>
      <c r="O8" s="162">
        <f t="shared" ca="1" si="8"/>
        <v>23.5</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f ca="1">SUMIFS('Tổng Đơn'!$F:$F,'Tổng Đơn'!$B:$B,$C8)</f>
        <v>0</v>
      </c>
      <c r="AN8" s="6">
        <v>0</v>
      </c>
      <c r="AO8" s="6">
        <v>0</v>
      </c>
      <c r="AP8" s="6">
        <v>0</v>
      </c>
      <c r="AQ8" s="6">
        <v>0</v>
      </c>
      <c r="AR8" s="6">
        <v>0</v>
      </c>
      <c r="AS8" s="6">
        <v>0</v>
      </c>
      <c r="AT8" s="6">
        <v>0</v>
      </c>
      <c r="AU8" s="6">
        <v>0</v>
      </c>
      <c r="AV8" s="6">
        <v>0</v>
      </c>
    </row>
  </sheetData>
  <autoFilter ref="B4:M4"/>
  <mergeCells count="1">
    <mergeCell ref="B1:M1"/>
  </mergeCells>
  <conditionalFormatting sqref="C6:C7">
    <cfRule type="expression" dxfId="505" priority="10">
      <formula>($O6/$O6)&lt;=1/4</formula>
    </cfRule>
  </conditionalFormatting>
  <conditionalFormatting sqref="C5:C7">
    <cfRule type="expression" dxfId="504" priority="11">
      <formula>($O5/$F5)&lt;=1/4</formula>
    </cfRule>
  </conditionalFormatting>
  <conditionalFormatting sqref="C8">
    <cfRule type="expression" dxfId="503" priority="1">
      <formula>($O8/$O8)&lt;=1/4</formula>
    </cfRule>
  </conditionalFormatting>
  <conditionalFormatting sqref="C8">
    <cfRule type="expression" dxfId="502"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N14" sqref="N14"/>
    </sheetView>
  </sheetViews>
  <sheetFormatPr defaultColWidth="9.109375" defaultRowHeight="13.8" x14ac:dyDescent="0.3"/>
  <cols>
    <col min="1" max="1" width="16.33203125" style="82" customWidth="1"/>
    <col min="2" max="2" width="7" style="82" customWidth="1"/>
    <col min="3" max="3" width="26.5546875" style="82" bestFit="1" customWidth="1"/>
    <col min="4" max="5" width="10" style="82" customWidth="1"/>
    <col min="6" max="6" width="10.88671875" style="82" bestFit="1" customWidth="1"/>
    <col min="7" max="7" width="16.33203125" style="82" hidden="1" customWidth="1"/>
    <col min="8" max="8" width="14.88671875" style="82" hidden="1" customWidth="1"/>
    <col min="9" max="9" width="13.44140625" style="82" customWidth="1"/>
    <col min="10" max="10" width="16.88671875" style="82" hidden="1" customWidth="1"/>
    <col min="11" max="11" width="11.44140625" style="82" customWidth="1"/>
    <col min="12" max="13" width="16.33203125" style="82" hidden="1" customWidth="1"/>
    <col min="14" max="14" width="10.109375" style="82" bestFit="1" customWidth="1"/>
    <col min="15" max="15" width="10.88671875" style="82" customWidth="1"/>
    <col min="16" max="16" width="12.5546875" style="82" customWidth="1"/>
    <col min="17" max="17" width="11.5546875" style="82" customWidth="1"/>
    <col min="18" max="19" width="5.109375" style="82" customWidth="1"/>
    <col min="20" max="20" width="4.6640625" style="82" bestFit="1" customWidth="1"/>
    <col min="21" max="48" width="5.109375" style="82" customWidth="1"/>
    <col min="49" max="16384" width="9.109375" style="82"/>
  </cols>
  <sheetData>
    <row r="1" spans="1:50" hidden="1" x14ac:dyDescent="0.3">
      <c r="B1" s="238" t="s">
        <v>59</v>
      </c>
      <c r="C1" s="238"/>
      <c r="D1" s="238"/>
      <c r="E1" s="238"/>
      <c r="F1" s="238"/>
      <c r="G1" s="238"/>
      <c r="H1" s="238"/>
      <c r="I1" s="238"/>
      <c r="J1" s="238"/>
      <c r="K1" s="238"/>
      <c r="L1" s="238"/>
      <c r="M1" s="83"/>
    </row>
    <row r="2" spans="1:50" ht="18.75" customHeight="1" x14ac:dyDescent="0.3">
      <c r="A2" s="1">
        <v>210</v>
      </c>
      <c r="J2" s="13">
        <f>SUMPRODUCT((D5:D19)*(E5:E19))</f>
        <v>320.5</v>
      </c>
      <c r="K2" s="13">
        <f>L4-J4</f>
        <v>8971.5</v>
      </c>
      <c r="L2" s="8">
        <f>L4/J4-1</f>
        <v>0.19546390404915193</v>
      </c>
      <c r="M2" s="8"/>
      <c r="R2" s="58"/>
    </row>
    <row r="3" spans="1:50" ht="31.5" customHeight="1" x14ac:dyDescent="0.3">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3">
      <c r="A4" s="71">
        <f ca="1">SUBTOTAL(9,A5:A24)</f>
        <v>12949.950073869793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39943</v>
      </c>
      <c r="N4" s="39">
        <f ca="1">SUBTOTAL(9,N5:N24)</f>
        <v>398</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ca="1"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 x14ac:dyDescent="0.3">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f ca="1">SUMIFS('Tổng Đơn'!$F:$F,'Tổng Đơn'!$B:$B,$C5)</f>
        <v>0</v>
      </c>
      <c r="AN5" s="41">
        <v>0</v>
      </c>
      <c r="AO5" s="41">
        <v>0</v>
      </c>
      <c r="AP5" s="41">
        <v>0</v>
      </c>
      <c r="AQ5" s="41">
        <v>0</v>
      </c>
      <c r="AR5" s="41">
        <v>0</v>
      </c>
      <c r="AS5" s="41">
        <v>0</v>
      </c>
      <c r="AT5" s="41">
        <v>0</v>
      </c>
      <c r="AU5" s="41">
        <v>0</v>
      </c>
      <c r="AV5" s="41">
        <v>0</v>
      </c>
      <c r="AX5" s="82">
        <f t="shared" ref="AX5:AX24" si="8">AW5*F5</f>
        <v>0</v>
      </c>
    </row>
    <row r="6" spans="1:50" ht="18" x14ac:dyDescent="0.3">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f ca="1">SUMIFS('Tổng Đơn'!$F:$F,'Tổng Đơn'!$B:$B,$C6)</f>
        <v>0</v>
      </c>
      <c r="AN6" s="41">
        <v>0</v>
      </c>
      <c r="AO6" s="41">
        <v>0</v>
      </c>
      <c r="AP6" s="41">
        <v>0</v>
      </c>
      <c r="AQ6" s="41">
        <v>0</v>
      </c>
      <c r="AR6" s="41">
        <v>0</v>
      </c>
      <c r="AS6" s="41">
        <v>0</v>
      </c>
      <c r="AT6" s="41">
        <v>0</v>
      </c>
      <c r="AU6" s="41">
        <v>0</v>
      </c>
      <c r="AV6" s="41">
        <v>0</v>
      </c>
      <c r="AX6" s="82">
        <f t="shared" si="8"/>
        <v>0</v>
      </c>
    </row>
    <row r="7" spans="1:50" ht="18" x14ac:dyDescent="0.3">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f ca="1">SUMIFS('Tổng Đơn'!$F:$F,'Tổng Đơn'!$B:$B,$C7)</f>
        <v>0</v>
      </c>
      <c r="AN7" s="41">
        <v>0</v>
      </c>
      <c r="AO7" s="41">
        <v>0</v>
      </c>
      <c r="AP7" s="41">
        <v>0</v>
      </c>
      <c r="AQ7" s="41">
        <v>0</v>
      </c>
      <c r="AR7" s="41">
        <v>0</v>
      </c>
      <c r="AS7" s="41">
        <v>0</v>
      </c>
      <c r="AT7" s="41">
        <v>0</v>
      </c>
      <c r="AU7" s="41">
        <v>0</v>
      </c>
      <c r="AV7" s="41">
        <v>0</v>
      </c>
      <c r="AX7" s="82">
        <f t="shared" si="8"/>
        <v>0</v>
      </c>
    </row>
    <row r="8" spans="1:50" ht="18" x14ac:dyDescent="0.3">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f ca="1">SUMIFS('Tổng Đơn'!$F:$F,'Tổng Đơn'!$B:$B,$C8)</f>
        <v>0</v>
      </c>
      <c r="AN8" s="41">
        <v>0</v>
      </c>
      <c r="AO8" s="41">
        <v>0</v>
      </c>
      <c r="AP8" s="41">
        <v>0</v>
      </c>
      <c r="AQ8" s="41">
        <v>0</v>
      </c>
      <c r="AR8" s="41">
        <v>0</v>
      </c>
      <c r="AS8" s="41">
        <v>0</v>
      </c>
      <c r="AT8" s="41">
        <v>0</v>
      </c>
      <c r="AU8" s="41">
        <v>0</v>
      </c>
      <c r="AV8" s="41">
        <v>0</v>
      </c>
      <c r="AX8" s="82">
        <f t="shared" si="8"/>
        <v>0</v>
      </c>
    </row>
    <row r="9" spans="1:50" ht="18" x14ac:dyDescent="0.3">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f>SUMIFS('Tổng Đơn'!$F:$F,'Tổng Đơn'!$B:$B,$C9)</f>
        <v>0</v>
      </c>
      <c r="AN9" s="41">
        <v>0</v>
      </c>
      <c r="AO9" s="41">
        <v>0</v>
      </c>
      <c r="AP9" s="41">
        <v>0</v>
      </c>
      <c r="AQ9" s="41">
        <v>0</v>
      </c>
      <c r="AR9" s="41">
        <v>0</v>
      </c>
      <c r="AS9" s="41">
        <v>0</v>
      </c>
      <c r="AT9" s="41">
        <v>0</v>
      </c>
      <c r="AU9" s="41">
        <v>0</v>
      </c>
      <c r="AV9" s="41">
        <v>0</v>
      </c>
      <c r="AX9" s="82">
        <f t="shared" si="8"/>
        <v>0</v>
      </c>
    </row>
    <row r="10" spans="1:50" ht="18" x14ac:dyDescent="0.3">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f ca="1">SUMIFS('Tổng Đơn'!$F:$F,'Tổng Đơn'!$B:$B,$C10)</f>
        <v>0</v>
      </c>
      <c r="AN10" s="41">
        <v>0</v>
      </c>
      <c r="AO10" s="41">
        <v>0</v>
      </c>
      <c r="AP10" s="41">
        <v>0</v>
      </c>
      <c r="AQ10" s="41">
        <v>0</v>
      </c>
      <c r="AR10" s="41">
        <v>0</v>
      </c>
      <c r="AS10" s="41">
        <v>0</v>
      </c>
      <c r="AT10" s="41">
        <v>0</v>
      </c>
      <c r="AU10" s="41">
        <v>0</v>
      </c>
      <c r="AV10" s="41">
        <v>0</v>
      </c>
      <c r="AX10" s="82">
        <f t="shared" si="8"/>
        <v>0</v>
      </c>
    </row>
    <row r="11" spans="1:50" ht="18" x14ac:dyDescent="0.3">
      <c r="A11" s="82">
        <f t="shared" ca="1" si="1"/>
        <v>573.82543090712102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518</v>
      </c>
      <c r="N11" s="91">
        <f t="shared" ca="1" si="7"/>
        <v>51</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f ca="1">SUMIFS('Tổng Đơn'!$F:$F,'Tổng Đơn'!$B:$B,$C11)</f>
        <v>0</v>
      </c>
      <c r="AN11" s="41">
        <v>0</v>
      </c>
      <c r="AO11" s="41">
        <v>0</v>
      </c>
      <c r="AP11" s="41">
        <v>0</v>
      </c>
      <c r="AQ11" s="41">
        <v>0</v>
      </c>
      <c r="AR11" s="41">
        <v>0</v>
      </c>
      <c r="AS11" s="41">
        <v>0</v>
      </c>
      <c r="AT11" s="41">
        <v>0</v>
      </c>
      <c r="AU11" s="41">
        <v>0</v>
      </c>
      <c r="AV11" s="41">
        <v>0</v>
      </c>
      <c r="AX11" s="82">
        <f t="shared" si="8"/>
        <v>0</v>
      </c>
    </row>
    <row r="12" spans="1:50" ht="18" x14ac:dyDescent="0.3">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f ca="1">SUMIFS('Tổng Đơn'!$F:$F,'Tổng Đơn'!$B:$B,$C12)</f>
        <v>0</v>
      </c>
      <c r="AN12" s="41">
        <v>0</v>
      </c>
      <c r="AO12" s="41">
        <v>0</v>
      </c>
      <c r="AP12" s="41">
        <v>0</v>
      </c>
      <c r="AQ12" s="41">
        <v>0</v>
      </c>
      <c r="AR12" s="41">
        <v>0</v>
      </c>
      <c r="AS12" s="41">
        <v>0</v>
      </c>
      <c r="AT12" s="41">
        <v>0</v>
      </c>
      <c r="AU12" s="41">
        <v>0</v>
      </c>
      <c r="AV12" s="41">
        <v>0</v>
      </c>
      <c r="AX12" s="82">
        <f t="shared" si="8"/>
        <v>0</v>
      </c>
    </row>
    <row r="13" spans="1:50" ht="18" x14ac:dyDescent="0.3">
      <c r="A13" s="82">
        <f t="shared" ca="1" si="1"/>
        <v>940.30217669654292</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168</v>
      </c>
      <c r="N13" s="91">
        <f t="shared" ca="1" si="7"/>
        <v>78</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f ca="1">SUMIFS('Tổng Đơn'!$F:$F,'Tổng Đơn'!$B:$B,$C13)</f>
        <v>0</v>
      </c>
      <c r="AN13" s="41">
        <v>0</v>
      </c>
      <c r="AO13" s="41">
        <v>0</v>
      </c>
      <c r="AP13" s="41">
        <v>0</v>
      </c>
      <c r="AQ13" s="41">
        <v>0</v>
      </c>
      <c r="AR13" s="41">
        <v>0</v>
      </c>
      <c r="AS13" s="41">
        <v>0</v>
      </c>
      <c r="AT13" s="41">
        <v>0</v>
      </c>
      <c r="AU13" s="41">
        <v>0</v>
      </c>
      <c r="AV13" s="41">
        <v>0</v>
      </c>
      <c r="AX13" s="82">
        <f t="shared" si="8"/>
        <v>0</v>
      </c>
    </row>
    <row r="14" spans="1:50" ht="18" x14ac:dyDescent="0.3">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f ca="1">SUMIFS('Tổng Đơn'!$F:$F,'Tổng Đơn'!$B:$B,$C14)</f>
        <v>0</v>
      </c>
      <c r="AN14" s="41">
        <v>0</v>
      </c>
      <c r="AO14" s="41">
        <v>0</v>
      </c>
      <c r="AP14" s="41">
        <v>0</v>
      </c>
      <c r="AQ14" s="41">
        <v>0</v>
      </c>
      <c r="AR14" s="41">
        <v>0</v>
      </c>
      <c r="AS14" s="41">
        <v>0</v>
      </c>
      <c r="AT14" s="41">
        <v>0</v>
      </c>
      <c r="AU14" s="41">
        <v>0</v>
      </c>
      <c r="AV14" s="41">
        <v>0</v>
      </c>
      <c r="AX14" s="82">
        <f t="shared" si="8"/>
        <v>0</v>
      </c>
    </row>
    <row r="15" spans="1:50" ht="18" x14ac:dyDescent="0.3">
      <c r="A15" s="82">
        <f t="shared" ca="1" si="1"/>
        <v>48.220624445976561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140</v>
      </c>
      <c r="N15" s="91">
        <f t="shared" ca="1" si="7"/>
        <v>4</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f ca="1">SUMIFS('Tổng Đơn'!$F:$F,'Tổng Đơn'!$B:$B,$C15)</f>
        <v>0</v>
      </c>
      <c r="AN15" s="41">
        <v>0</v>
      </c>
      <c r="AO15" s="41">
        <v>0</v>
      </c>
      <c r="AP15" s="41">
        <v>0</v>
      </c>
      <c r="AQ15" s="41">
        <v>0</v>
      </c>
      <c r="AR15" s="41">
        <v>0</v>
      </c>
      <c r="AS15" s="41">
        <v>0</v>
      </c>
      <c r="AT15" s="41">
        <v>0</v>
      </c>
      <c r="AU15" s="41">
        <v>0</v>
      </c>
      <c r="AV15" s="41">
        <v>0</v>
      </c>
      <c r="AX15" s="82">
        <f t="shared" si="8"/>
        <v>0</v>
      </c>
    </row>
    <row r="16" spans="1:50" ht="18" x14ac:dyDescent="0.3">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f ca="1">SUMIFS('Tổng Đơn'!$F:$F,'Tổng Đơn'!$B:$B,$C16)</f>
        <v>0</v>
      </c>
      <c r="AN16" s="41">
        <v>0</v>
      </c>
      <c r="AO16" s="41">
        <v>0</v>
      </c>
      <c r="AP16" s="41">
        <v>0</v>
      </c>
      <c r="AQ16" s="41">
        <v>0</v>
      </c>
      <c r="AR16" s="41">
        <v>0</v>
      </c>
      <c r="AS16" s="41">
        <v>0</v>
      </c>
      <c r="AT16" s="41">
        <v>0</v>
      </c>
      <c r="AU16" s="41">
        <v>0</v>
      </c>
      <c r="AV16" s="41">
        <v>0</v>
      </c>
      <c r="AX16" s="82">
        <f t="shared" si="8"/>
        <v>0</v>
      </c>
    </row>
    <row r="17" spans="1:50" ht="18" x14ac:dyDescent="0.3">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f ca="1">SUMIFS('Tổng Đơn'!$F:$F,'Tổng Đơn'!$B:$B,$C17)</f>
        <v>0</v>
      </c>
      <c r="AN17" s="41">
        <v>0</v>
      </c>
      <c r="AO17" s="41">
        <v>0</v>
      </c>
      <c r="AP17" s="41">
        <v>0</v>
      </c>
      <c r="AQ17" s="41">
        <v>0</v>
      </c>
      <c r="AR17" s="41">
        <v>0</v>
      </c>
      <c r="AS17" s="41">
        <v>0</v>
      </c>
      <c r="AT17" s="41">
        <v>0</v>
      </c>
      <c r="AU17" s="41">
        <v>0</v>
      </c>
      <c r="AV17" s="41">
        <v>0</v>
      </c>
      <c r="AX17" s="82">
        <f t="shared" si="8"/>
        <v>0</v>
      </c>
    </row>
    <row r="18" spans="1:50" ht="18" x14ac:dyDescent="0.3">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f ca="1">SUMIFS('Tổng Đơn'!$F:$F,'Tổng Đơn'!$B:$B,$C18)</f>
        <v>0</v>
      </c>
      <c r="AN18" s="41">
        <v>0</v>
      </c>
      <c r="AO18" s="41">
        <v>0</v>
      </c>
      <c r="AP18" s="41">
        <v>0</v>
      </c>
      <c r="AQ18" s="41">
        <v>0</v>
      </c>
      <c r="AR18" s="41">
        <v>0</v>
      </c>
      <c r="AS18" s="41">
        <v>0</v>
      </c>
      <c r="AT18" s="41">
        <v>0</v>
      </c>
      <c r="AU18" s="41">
        <v>0</v>
      </c>
      <c r="AV18" s="41">
        <v>0</v>
      </c>
      <c r="AX18" s="82">
        <f t="shared" si="8"/>
        <v>0</v>
      </c>
    </row>
    <row r="19" spans="1:50" ht="18" x14ac:dyDescent="0.3">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f ca="1">SUMIFS('Tổng Đơn'!$F:$F,'Tổng Đơn'!$B:$B,$C19)</f>
        <v>0</v>
      </c>
      <c r="AN19" s="41">
        <v>0</v>
      </c>
      <c r="AO19" s="41">
        <v>0</v>
      </c>
      <c r="AP19" s="41">
        <v>0</v>
      </c>
      <c r="AQ19" s="41">
        <v>0</v>
      </c>
      <c r="AR19" s="41">
        <v>0</v>
      </c>
      <c r="AS19" s="41">
        <v>0</v>
      </c>
      <c r="AT19" s="41">
        <v>0</v>
      </c>
      <c r="AU19" s="41">
        <v>0</v>
      </c>
      <c r="AV19" s="41">
        <v>0</v>
      </c>
      <c r="AX19" s="82">
        <f t="shared" si="8"/>
        <v>0</v>
      </c>
    </row>
    <row r="20" spans="1:50" ht="18" x14ac:dyDescent="0.3">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f ca="1">SUMIFS('Tổng Đơn'!$F:$F,'Tổng Đơn'!$B:$B,$C20)</f>
        <v>0</v>
      </c>
      <c r="AN20" s="41">
        <v>0</v>
      </c>
      <c r="AO20" s="41">
        <v>0</v>
      </c>
      <c r="AP20" s="41">
        <v>0</v>
      </c>
      <c r="AQ20" s="41">
        <v>0</v>
      </c>
      <c r="AR20" s="41">
        <v>0</v>
      </c>
      <c r="AS20" s="41">
        <v>0</v>
      </c>
      <c r="AT20" s="41">
        <v>0</v>
      </c>
      <c r="AU20" s="41">
        <v>0</v>
      </c>
      <c r="AV20" s="41">
        <v>0</v>
      </c>
      <c r="AX20" s="82">
        <f t="shared" si="8"/>
        <v>0</v>
      </c>
    </row>
    <row r="21" spans="1:50" ht="18" x14ac:dyDescent="0.3">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f ca="1">SUMIFS('Tổng Đơn'!$F:$F,'Tổng Đơn'!$B:$B,$C21)</f>
        <v>0</v>
      </c>
      <c r="AN21" s="41">
        <v>0</v>
      </c>
      <c r="AO21" s="41">
        <v>0</v>
      </c>
      <c r="AP21" s="41">
        <v>0</v>
      </c>
      <c r="AQ21" s="41">
        <v>0</v>
      </c>
      <c r="AR21" s="41">
        <v>0</v>
      </c>
      <c r="AS21" s="41">
        <v>0</v>
      </c>
      <c r="AT21" s="41">
        <v>0</v>
      </c>
      <c r="AU21" s="41">
        <v>0</v>
      </c>
      <c r="AV21" s="41">
        <v>0</v>
      </c>
      <c r="AX21" s="82">
        <f t="shared" si="8"/>
        <v>0</v>
      </c>
    </row>
    <row r="22" spans="1:50" ht="18" x14ac:dyDescent="0.3">
      <c r="A22" s="82">
        <f t="shared" ca="1" si="1"/>
        <v>397.8201516793066</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1659</v>
      </c>
      <c r="N22" s="91">
        <f t="shared" ca="1" si="7"/>
        <v>6</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f ca="1">SUMIFS('Tổng Đơn'!$F:$F,'Tổng Đơn'!$B:$B,$C22)</f>
        <v>0</v>
      </c>
      <c r="AN22" s="41">
        <v>0</v>
      </c>
      <c r="AO22" s="41">
        <v>0</v>
      </c>
      <c r="AP22" s="41">
        <v>0</v>
      </c>
      <c r="AQ22" s="41">
        <v>0</v>
      </c>
      <c r="AR22" s="41">
        <v>0</v>
      </c>
      <c r="AS22" s="41">
        <v>0</v>
      </c>
      <c r="AT22" s="41">
        <v>0</v>
      </c>
      <c r="AU22" s="41">
        <v>0</v>
      </c>
      <c r="AV22" s="41">
        <v>0</v>
      </c>
      <c r="AX22" s="82">
        <f t="shared" si="8"/>
        <v>0</v>
      </c>
    </row>
    <row r="23" spans="1:50" ht="18" x14ac:dyDescent="0.3">
      <c r="A23" s="82">
        <f t="shared" ca="1" si="1"/>
        <v>1456.664696805542</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12006</v>
      </c>
      <c r="N23" s="91">
        <f t="shared" ca="1" si="7"/>
        <v>25</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f ca="1">SUMIFS('Tổng Đơn'!$F:$F,'Tổng Đơn'!$B:$B,$C23)</f>
        <v>0</v>
      </c>
      <c r="AN23" s="41">
        <v>0</v>
      </c>
      <c r="AO23" s="41">
        <v>0</v>
      </c>
      <c r="AP23" s="41">
        <v>0</v>
      </c>
      <c r="AQ23" s="41">
        <v>0</v>
      </c>
      <c r="AR23" s="41">
        <v>0</v>
      </c>
      <c r="AS23" s="41">
        <v>0</v>
      </c>
      <c r="AT23" s="41">
        <v>0</v>
      </c>
      <c r="AU23" s="41">
        <v>0</v>
      </c>
      <c r="AV23" s="41">
        <v>0</v>
      </c>
      <c r="AX23" s="82">
        <f t="shared" si="8"/>
        <v>0</v>
      </c>
    </row>
    <row r="24" spans="1:50" ht="18" x14ac:dyDescent="0.3">
      <c r="A24" s="82">
        <f t="shared" ca="1" si="1"/>
        <v>1075.922682950852</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2280</v>
      </c>
      <c r="N24" s="91">
        <f t="shared" ca="1" si="7"/>
        <v>17</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f ca="1">SUMIFS('Tổng Đơn'!$F:$F,'Tổng Đơn'!$B:$B,$C24)</f>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0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AL5" sqref="AL5:AL24"/>
    </sheetView>
  </sheetViews>
  <sheetFormatPr defaultColWidth="9.109375" defaultRowHeight="13.8" x14ac:dyDescent="0.3"/>
  <cols>
    <col min="1" max="1" width="16.33203125" style="82" customWidth="1"/>
    <col min="2" max="2" width="9.109375" style="82"/>
    <col min="3" max="3" width="38.6640625" style="82" customWidth="1"/>
    <col min="4" max="4" width="9" style="82" customWidth="1"/>
    <col min="5" max="5" width="7.109375" style="82" customWidth="1"/>
    <col min="6" max="6" width="10.33203125" style="82" bestFit="1" customWidth="1"/>
    <col min="7" max="7" width="9.6640625" style="82" customWidth="1"/>
    <col min="8" max="8" width="12.88671875" style="82" hidden="1" customWidth="1"/>
    <col min="9" max="9" width="14.88671875" style="82" hidden="1" customWidth="1"/>
    <col min="10" max="10" width="11.6640625" style="82" customWidth="1"/>
    <col min="11" max="11" width="14.88671875" style="82" hidden="1" customWidth="1"/>
    <col min="12" max="12" width="12" style="82" customWidth="1"/>
    <col min="13" max="14" width="16.33203125" style="82" hidden="1" customWidth="1"/>
    <col min="15" max="15" width="9.109375" style="82"/>
    <col min="16" max="16" width="13.109375" style="82" customWidth="1"/>
    <col min="17" max="17" width="9.10937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0" hidden="1" x14ac:dyDescent="0.3">
      <c r="B1" s="238" t="s">
        <v>59</v>
      </c>
      <c r="C1" s="238"/>
      <c r="D1" s="238"/>
      <c r="E1" s="238"/>
      <c r="F1" s="238"/>
      <c r="G1" s="238"/>
      <c r="H1" s="238"/>
      <c r="I1" s="238"/>
      <c r="J1" s="238"/>
      <c r="K1" s="238"/>
      <c r="L1" s="238"/>
      <c r="M1" s="238"/>
      <c r="N1" s="83"/>
    </row>
    <row r="2" spans="1:50" ht="34.5" customHeight="1" x14ac:dyDescent="0.3">
      <c r="A2" s="1">
        <f>370+100+80+150+170+60+300+200</f>
        <v>1430</v>
      </c>
      <c r="F2" s="13">
        <f>SUMPRODUCT((E5:E18)*(F5:F18))</f>
        <v>546</v>
      </c>
      <c r="H2" s="183">
        <f>880+1311</f>
        <v>2191</v>
      </c>
      <c r="K2" s="183">
        <f>902+1343</f>
        <v>2245</v>
      </c>
      <c r="L2" s="13"/>
      <c r="M2" s="183">
        <f>1080+1520</f>
        <v>2600</v>
      </c>
      <c r="N2" s="183">
        <f>1053+1520</f>
        <v>2573</v>
      </c>
      <c r="P2" s="82">
        <f>26+25+30+35+43</f>
        <v>159</v>
      </c>
      <c r="AW2" s="82">
        <f>120+46+84+70+26+42+38+42</f>
        <v>468</v>
      </c>
      <c r="AX2" s="157"/>
    </row>
    <row r="3" spans="1:50" ht="45.6"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SUBTOTAL(9,A5:A24)</f>
        <v>18824.547912734284</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56196</v>
      </c>
      <c r="O4" s="65">
        <f t="shared" ref="O4:AV4" ca="1" si="0">SUBTOTAL(9,O5:O24)</f>
        <v>480</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ca="1" si="0"/>
        <v>4</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SUMPRODUCT(($AW$5:$AW$23)*($E$5:$E$23))&amp;" Kg"</f>
        <v>10 Kg</v>
      </c>
      <c r="AX4" s="101">
        <f>SUBTOTAL(9,AX5:AX24)</f>
        <v>800</v>
      </c>
    </row>
    <row r="5" spans="1:50" ht="18" x14ac:dyDescent="0.3">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f ca="1">SUMIFS('Tổng Đơn'!$F:$F,'Tổng Đơn'!$B:$B,$C5)</f>
        <v>0</v>
      </c>
      <c r="AN5" s="37">
        <v>0</v>
      </c>
      <c r="AO5" s="37">
        <v>0</v>
      </c>
      <c r="AP5" s="37">
        <v>0</v>
      </c>
      <c r="AQ5" s="37">
        <v>0</v>
      </c>
      <c r="AR5" s="37">
        <v>0</v>
      </c>
      <c r="AS5" s="37">
        <v>0</v>
      </c>
      <c r="AT5" s="37">
        <v>0</v>
      </c>
      <c r="AU5" s="37">
        <v>0</v>
      </c>
      <c r="AV5" s="37">
        <v>0</v>
      </c>
      <c r="AW5" s="82">
        <v>0</v>
      </c>
      <c r="AX5" s="82">
        <f t="shared" ref="AX5:AX23" si="8">AW5*G5</f>
        <v>0</v>
      </c>
    </row>
    <row r="6" spans="1:50" ht="18" x14ac:dyDescent="0.3">
      <c r="A6" s="82">
        <f t="shared" ca="1" si="1"/>
        <v>1283.2039885876763</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2254</v>
      </c>
      <c r="O6" s="94">
        <f t="shared" ca="1" si="7"/>
        <v>31</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f ca="1">SUMIFS('Tổng Đơn'!$F:$F,'Tổng Đơn'!$B:$B,$C6)</f>
        <v>0</v>
      </c>
      <c r="AN6" s="37">
        <v>0</v>
      </c>
      <c r="AO6" s="37">
        <v>0</v>
      </c>
      <c r="AP6" s="37">
        <v>0</v>
      </c>
      <c r="AQ6" s="37">
        <v>0</v>
      </c>
      <c r="AR6" s="37">
        <v>0</v>
      </c>
      <c r="AS6" s="37">
        <v>0</v>
      </c>
      <c r="AT6" s="37">
        <v>0</v>
      </c>
      <c r="AU6" s="37">
        <v>0</v>
      </c>
      <c r="AV6" s="37">
        <v>0</v>
      </c>
      <c r="AW6" s="82">
        <v>0</v>
      </c>
      <c r="AX6" s="82">
        <f t="shared" si="8"/>
        <v>0</v>
      </c>
    </row>
    <row r="7" spans="1:50" ht="18" x14ac:dyDescent="0.3">
      <c r="A7" s="82">
        <f t="shared" ca="1" si="1"/>
        <v>265.73718600780234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4218</v>
      </c>
      <c r="O7" s="94">
        <f t="shared" ca="1" si="7"/>
        <v>8</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f ca="1">SUMIFS('Tổng Đơn'!$F:$F,'Tổng Đơn'!$B:$B,$C7)</f>
        <v>0</v>
      </c>
      <c r="AN7" s="37">
        <v>0</v>
      </c>
      <c r="AO7" s="37">
        <v>0</v>
      </c>
      <c r="AP7" s="37">
        <v>0</v>
      </c>
      <c r="AQ7" s="37">
        <v>0</v>
      </c>
      <c r="AR7" s="37">
        <v>0</v>
      </c>
      <c r="AS7" s="37">
        <v>0</v>
      </c>
      <c r="AT7" s="37">
        <v>0</v>
      </c>
      <c r="AU7" s="37">
        <v>0</v>
      </c>
      <c r="AV7" s="37">
        <v>0</v>
      </c>
      <c r="AW7" s="82">
        <v>0</v>
      </c>
      <c r="AX7" s="82">
        <f t="shared" si="8"/>
        <v>0</v>
      </c>
    </row>
    <row r="8" spans="1:50" ht="18" x14ac:dyDescent="0.3">
      <c r="A8" s="82">
        <f t="shared" ca="1" si="1"/>
        <v>899.41816802640778</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4455</v>
      </c>
      <c r="O8" s="94">
        <f t="shared" ca="1" si="7"/>
        <v>22</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f ca="1">SUMIFS('Tổng Đơn'!$F:$F,'Tổng Đơn'!$B:$B,$C8)</f>
        <v>1</v>
      </c>
      <c r="AN8" s="37">
        <v>0</v>
      </c>
      <c r="AO8" s="37">
        <v>0</v>
      </c>
      <c r="AP8" s="37">
        <v>0</v>
      </c>
      <c r="AQ8" s="37">
        <v>0</v>
      </c>
      <c r="AR8" s="37">
        <v>0</v>
      </c>
      <c r="AS8" s="37">
        <v>0</v>
      </c>
      <c r="AT8" s="37">
        <v>0</v>
      </c>
      <c r="AU8" s="37">
        <v>0</v>
      </c>
      <c r="AV8" s="37">
        <v>0</v>
      </c>
      <c r="AW8" s="82">
        <v>20</v>
      </c>
      <c r="AX8" s="82">
        <f t="shared" si="8"/>
        <v>800</v>
      </c>
    </row>
    <row r="9" spans="1:50" ht="18" x14ac:dyDescent="0.3">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f ca="1">SUMIFS('Tổng Đơn'!$F:$F,'Tổng Đơn'!$B:$B,$C9)</f>
        <v>0</v>
      </c>
      <c r="AN9" s="37">
        <v>0</v>
      </c>
      <c r="AO9" s="37">
        <v>0</v>
      </c>
      <c r="AP9" s="37">
        <v>0</v>
      </c>
      <c r="AQ9" s="37">
        <v>0</v>
      </c>
      <c r="AR9" s="37">
        <v>0</v>
      </c>
      <c r="AS9" s="37">
        <v>0</v>
      </c>
      <c r="AT9" s="37">
        <v>0</v>
      </c>
      <c r="AU9" s="37">
        <v>0</v>
      </c>
      <c r="AV9" s="37">
        <v>0</v>
      </c>
      <c r="AW9" s="82">
        <v>0</v>
      </c>
      <c r="AX9" s="82">
        <f t="shared" si="8"/>
        <v>0</v>
      </c>
    </row>
    <row r="10" spans="1:50" ht="18" x14ac:dyDescent="0.3">
      <c r="A10" s="82">
        <f t="shared" ca="1" si="1"/>
        <v>180.90569970531158</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2590</v>
      </c>
      <c r="O10" s="94">
        <f t="shared" ca="1" si="7"/>
        <v>6</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f ca="1">SUMIFS('Tổng Đơn'!$F:$F,'Tổng Đơn'!$B:$B,$C10)</f>
        <v>0</v>
      </c>
      <c r="AN10" s="37">
        <v>0</v>
      </c>
      <c r="AO10" s="37">
        <v>0</v>
      </c>
      <c r="AP10" s="37">
        <v>0</v>
      </c>
      <c r="AQ10" s="37">
        <v>0</v>
      </c>
      <c r="AR10" s="37">
        <v>0</v>
      </c>
      <c r="AS10" s="37">
        <v>0</v>
      </c>
      <c r="AT10" s="37">
        <v>0</v>
      </c>
      <c r="AU10" s="37">
        <v>0</v>
      </c>
      <c r="AV10" s="37">
        <v>0</v>
      </c>
      <c r="AW10" s="82">
        <v>0</v>
      </c>
      <c r="AX10" s="82">
        <f t="shared" si="8"/>
        <v>0</v>
      </c>
    </row>
    <row r="11" spans="1:50" ht="18" x14ac:dyDescent="0.3">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f ca="1">SUMIFS('Tổng Đơn'!$F:$F,'Tổng Đơn'!$B:$B,$C11)</f>
        <v>0</v>
      </c>
      <c r="AN11" s="37">
        <v>0</v>
      </c>
      <c r="AO11" s="37">
        <v>0</v>
      </c>
      <c r="AP11" s="37">
        <v>0</v>
      </c>
      <c r="AQ11" s="37">
        <v>0</v>
      </c>
      <c r="AR11" s="37">
        <v>0</v>
      </c>
      <c r="AS11" s="37">
        <v>0</v>
      </c>
      <c r="AT11" s="37">
        <v>0</v>
      </c>
      <c r="AU11" s="37">
        <v>0</v>
      </c>
      <c r="AV11" s="37">
        <v>0</v>
      </c>
      <c r="AW11" s="82">
        <v>0</v>
      </c>
      <c r="AX11" s="82">
        <f t="shared" si="8"/>
        <v>0</v>
      </c>
    </row>
    <row r="12" spans="1:50" ht="18" x14ac:dyDescent="0.3">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f ca="1">SUMIFS('Tổng Đơn'!$F:$F,'Tổng Đơn'!$B:$B,$C12)</f>
        <v>0</v>
      </c>
      <c r="AN12" s="37">
        <v>0</v>
      </c>
      <c r="AO12" s="37">
        <v>0</v>
      </c>
      <c r="AP12" s="37">
        <v>0</v>
      </c>
      <c r="AQ12" s="37">
        <v>0</v>
      </c>
      <c r="AR12" s="37">
        <v>0</v>
      </c>
      <c r="AS12" s="37">
        <v>0</v>
      </c>
      <c r="AT12" s="37">
        <v>0</v>
      </c>
      <c r="AU12" s="37">
        <v>0</v>
      </c>
      <c r="AV12" s="37">
        <v>0</v>
      </c>
      <c r="AW12" s="82">
        <v>0</v>
      </c>
      <c r="AX12" s="82">
        <f t="shared" si="8"/>
        <v>0</v>
      </c>
    </row>
    <row r="13" spans="1:50" ht="18" x14ac:dyDescent="0.3">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f ca="1">SUMIFS('Tổng Đơn'!$F:$F,'Tổng Đơn'!$B:$B,$C13)</f>
        <v>0</v>
      </c>
      <c r="AN13" s="37">
        <v>0</v>
      </c>
      <c r="AO13" s="37">
        <v>0</v>
      </c>
      <c r="AP13" s="37">
        <v>0</v>
      </c>
      <c r="AQ13" s="37">
        <v>0</v>
      </c>
      <c r="AR13" s="37">
        <v>0</v>
      </c>
      <c r="AS13" s="37">
        <v>0</v>
      </c>
      <c r="AT13" s="37">
        <v>0</v>
      </c>
      <c r="AU13" s="37">
        <v>0</v>
      </c>
      <c r="AV13" s="37">
        <v>0</v>
      </c>
      <c r="AW13" s="82">
        <v>0</v>
      </c>
      <c r="AX13" s="82">
        <f t="shared" si="8"/>
        <v>0</v>
      </c>
    </row>
    <row r="14" spans="1:50" ht="18" x14ac:dyDescent="0.3">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f ca="1">SUMIFS('Tổng Đơn'!$F:$F,'Tổng Đơn'!$B:$B,$C14)</f>
        <v>0</v>
      </c>
      <c r="AN14" s="37">
        <v>0</v>
      </c>
      <c r="AO14" s="37">
        <v>0</v>
      </c>
      <c r="AP14" s="37">
        <v>0</v>
      </c>
      <c r="AQ14" s="37">
        <v>0</v>
      </c>
      <c r="AR14" s="37">
        <v>0</v>
      </c>
      <c r="AS14" s="37">
        <v>0</v>
      </c>
      <c r="AT14" s="37">
        <v>0</v>
      </c>
      <c r="AU14" s="37">
        <v>0</v>
      </c>
      <c r="AV14" s="37">
        <v>0</v>
      </c>
      <c r="AW14" s="82">
        <v>0</v>
      </c>
      <c r="AX14" s="82">
        <f t="shared" si="8"/>
        <v>0</v>
      </c>
    </row>
    <row r="15" spans="1:50" ht="18" x14ac:dyDescent="0.3">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f ca="1">SUMIFS('Tổng Đơn'!$F:$F,'Tổng Đơn'!$B:$B,$C15)</f>
        <v>0</v>
      </c>
      <c r="AN15" s="37">
        <v>0</v>
      </c>
      <c r="AO15" s="37">
        <v>0</v>
      </c>
      <c r="AP15" s="37">
        <v>0</v>
      </c>
      <c r="AQ15" s="37">
        <v>0</v>
      </c>
      <c r="AR15" s="37">
        <v>0</v>
      </c>
      <c r="AS15" s="37">
        <v>0</v>
      </c>
      <c r="AT15" s="37">
        <v>0</v>
      </c>
      <c r="AU15" s="37">
        <v>0</v>
      </c>
      <c r="AV15" s="37">
        <v>0</v>
      </c>
      <c r="AW15" s="82">
        <v>0</v>
      </c>
      <c r="AX15" s="82">
        <f t="shared" si="8"/>
        <v>0</v>
      </c>
    </row>
    <row r="16" spans="1:50" ht="18" x14ac:dyDescent="0.3">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f ca="1">SUMIFS('Tổng Đơn'!$F:$F,'Tổng Đơn'!$B:$B,$C16)</f>
        <v>0</v>
      </c>
      <c r="AN16" s="37">
        <v>0</v>
      </c>
      <c r="AO16" s="37">
        <v>0</v>
      </c>
      <c r="AP16" s="37">
        <v>0</v>
      </c>
      <c r="AQ16" s="37">
        <v>0</v>
      </c>
      <c r="AR16" s="37">
        <v>0</v>
      </c>
      <c r="AS16" s="37">
        <v>0</v>
      </c>
      <c r="AT16" s="37">
        <v>0</v>
      </c>
      <c r="AU16" s="37">
        <v>0</v>
      </c>
      <c r="AV16" s="37">
        <v>0</v>
      </c>
      <c r="AW16" s="82">
        <v>0</v>
      </c>
      <c r="AX16" s="82">
        <f t="shared" si="8"/>
        <v>0</v>
      </c>
    </row>
    <row r="17" spans="1:50" ht="18" x14ac:dyDescent="0.3">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f ca="1">SUMIFS('Tổng Đơn'!$F:$F,'Tổng Đơn'!$B:$B,$C17)</f>
        <v>0</v>
      </c>
      <c r="AN17" s="37">
        <v>0</v>
      </c>
      <c r="AO17" s="37">
        <v>0</v>
      </c>
      <c r="AP17" s="37">
        <v>0</v>
      </c>
      <c r="AQ17" s="37">
        <v>0</v>
      </c>
      <c r="AR17" s="37">
        <v>0</v>
      </c>
      <c r="AS17" s="37">
        <v>0</v>
      </c>
      <c r="AT17" s="37">
        <v>0</v>
      </c>
      <c r="AU17" s="37">
        <v>0</v>
      </c>
      <c r="AV17" s="37">
        <v>0</v>
      </c>
      <c r="AW17" s="82">
        <v>0</v>
      </c>
      <c r="AX17" s="82">
        <f t="shared" si="8"/>
        <v>0</v>
      </c>
    </row>
    <row r="18" spans="1:50" ht="18" x14ac:dyDescent="0.3">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f ca="1">SUMIFS('Tổng Đơn'!$F:$F,'Tổng Đơn'!$B:$B,$C18)</f>
        <v>0</v>
      </c>
      <c r="AN18" s="37">
        <v>0</v>
      </c>
      <c r="AO18" s="37">
        <v>0</v>
      </c>
      <c r="AP18" s="37">
        <v>0</v>
      </c>
      <c r="AQ18" s="37">
        <v>0</v>
      </c>
      <c r="AR18" s="37">
        <v>0</v>
      </c>
      <c r="AS18" s="37">
        <v>0</v>
      </c>
      <c r="AT18" s="37">
        <v>0</v>
      </c>
      <c r="AU18" s="37">
        <v>0</v>
      </c>
      <c r="AV18" s="37">
        <v>0</v>
      </c>
      <c r="AW18" s="82">
        <v>0</v>
      </c>
      <c r="AX18" s="82">
        <f t="shared" si="8"/>
        <v>0</v>
      </c>
    </row>
    <row r="19" spans="1:50" ht="18" x14ac:dyDescent="0.3">
      <c r="A19" s="82">
        <f ca="1">J19*O19</f>
        <v>1471.7751840432129</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3920</v>
      </c>
      <c r="O19" s="94">
        <f t="shared" ca="1" si="7"/>
        <v>24</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f ca="1">SUMIFS('Tổng Đơn'!$F:$F,'Tổng Đơn'!$B:$B,$C19)</f>
        <v>0</v>
      </c>
      <c r="AN19" s="37">
        <v>0</v>
      </c>
      <c r="AO19" s="37">
        <v>0</v>
      </c>
      <c r="AP19" s="37">
        <v>0</v>
      </c>
      <c r="AQ19" s="37">
        <v>0</v>
      </c>
      <c r="AR19" s="37">
        <v>0</v>
      </c>
      <c r="AS19" s="37">
        <v>0</v>
      </c>
      <c r="AT19" s="37">
        <v>0</v>
      </c>
      <c r="AU19" s="37">
        <v>0</v>
      </c>
      <c r="AV19" s="37">
        <v>0</v>
      </c>
      <c r="AW19" s="82">
        <v>0</v>
      </c>
      <c r="AX19" s="82">
        <f t="shared" si="8"/>
        <v>0</v>
      </c>
    </row>
    <row r="20" spans="1:50" ht="18" x14ac:dyDescent="0.3">
      <c r="A20" s="82">
        <f t="shared" ca="1" si="1"/>
        <v>4254.3501413749118</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7140</v>
      </c>
      <c r="O20" s="94">
        <f t="shared" ca="1" si="7"/>
        <v>111</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f ca="1">SUMIFS('Tổng Đơn'!$F:$F,'Tổng Đơn'!$B:$B,$C20)</f>
        <v>1</v>
      </c>
      <c r="AN20" s="37">
        <v>0</v>
      </c>
      <c r="AO20" s="37">
        <v>0</v>
      </c>
      <c r="AP20" s="37">
        <v>0</v>
      </c>
      <c r="AQ20" s="37">
        <v>0</v>
      </c>
      <c r="AR20" s="37">
        <v>0</v>
      </c>
      <c r="AS20" s="37">
        <v>0</v>
      </c>
      <c r="AT20" s="37">
        <v>0</v>
      </c>
      <c r="AU20" s="37">
        <v>0</v>
      </c>
      <c r="AV20" s="37">
        <v>0</v>
      </c>
      <c r="AW20" s="82">
        <v>0</v>
      </c>
      <c r="AX20" s="82">
        <f t="shared" si="8"/>
        <v>0</v>
      </c>
    </row>
    <row r="21" spans="1:50" ht="18" x14ac:dyDescent="0.3">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f ca="1">SUMIFS('Tổng Đơn'!$F:$F,'Tổng Đơn'!$B:$B,$C21)</f>
        <v>0</v>
      </c>
      <c r="AN21" s="37">
        <v>0</v>
      </c>
      <c r="AO21" s="37">
        <v>0</v>
      </c>
      <c r="AP21" s="37">
        <v>0</v>
      </c>
      <c r="AQ21" s="37">
        <v>0</v>
      </c>
      <c r="AR21" s="37">
        <v>0</v>
      </c>
      <c r="AS21" s="37">
        <v>0</v>
      </c>
      <c r="AT21" s="37">
        <v>0</v>
      </c>
      <c r="AU21" s="37">
        <v>0</v>
      </c>
      <c r="AV21" s="37">
        <v>0</v>
      </c>
      <c r="AW21" s="82">
        <v>0</v>
      </c>
      <c r="AX21" s="82">
        <f t="shared" si="8"/>
        <v>0</v>
      </c>
    </row>
    <row r="22" spans="1:50" ht="18" x14ac:dyDescent="0.3">
      <c r="A22" s="82">
        <f t="shared" ca="1" si="1"/>
        <v>671.4974277197158</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924</v>
      </c>
      <c r="O22" s="94">
        <f t="shared" ca="1" si="7"/>
        <v>18</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f ca="1">SUMIFS('Tổng Đơn'!$F:$F,'Tổng Đơn'!$B:$B,$C22)</f>
        <v>0</v>
      </c>
      <c r="AN22" s="37">
        <v>0</v>
      </c>
      <c r="AO22" s="37">
        <v>0</v>
      </c>
      <c r="AP22" s="37">
        <v>0</v>
      </c>
      <c r="AQ22" s="37">
        <v>0</v>
      </c>
      <c r="AR22" s="37">
        <v>0</v>
      </c>
      <c r="AS22" s="37">
        <v>0</v>
      </c>
      <c r="AT22" s="37">
        <v>0</v>
      </c>
      <c r="AU22" s="37">
        <v>0</v>
      </c>
      <c r="AV22" s="37">
        <v>0</v>
      </c>
      <c r="AW22" s="82">
        <v>0</v>
      </c>
      <c r="AX22" s="82">
        <f t="shared" si="8"/>
        <v>0</v>
      </c>
    </row>
    <row r="23" spans="1:50" ht="18" x14ac:dyDescent="0.3">
      <c r="A23" s="82">
        <f t="shared" ca="1" si="1"/>
        <v>282.09024360828244</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4266</v>
      </c>
      <c r="O23" s="94">
        <f t="shared" ca="1" si="7"/>
        <v>23</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f ca="1">SUMIFS('Tổng Đơn'!$F:$F,'Tổng Đơn'!$B:$B,$C23)</f>
        <v>2</v>
      </c>
      <c r="AN23" s="37">
        <v>0</v>
      </c>
      <c r="AO23" s="37">
        <v>0</v>
      </c>
      <c r="AP23" s="37">
        <v>0</v>
      </c>
      <c r="AQ23" s="37">
        <v>0</v>
      </c>
      <c r="AR23" s="37">
        <v>0</v>
      </c>
      <c r="AS23" s="37">
        <v>0</v>
      </c>
      <c r="AT23" s="37">
        <v>0</v>
      </c>
      <c r="AU23" s="37">
        <v>0</v>
      </c>
      <c r="AV23" s="37">
        <v>0</v>
      </c>
      <c r="AW23" s="82">
        <v>0</v>
      </c>
      <c r="AX23" s="82">
        <f t="shared" si="8"/>
        <v>0</v>
      </c>
    </row>
    <row r="24" spans="1:50" ht="18" x14ac:dyDescent="0.3">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f ca="1">SUMIFS('Tổng Đơn'!$F:$F,'Tổng Đơn'!$B:$B,$C24)</f>
        <v>0</v>
      </c>
      <c r="AN24" s="37">
        <v>0</v>
      </c>
      <c r="AO24" s="37">
        <v>0</v>
      </c>
      <c r="AP24" s="37">
        <v>0</v>
      </c>
      <c r="AQ24" s="37">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500" priority="19">
      <formula>($O6/$O6)&lt;=1/4</formula>
    </cfRule>
  </conditionalFormatting>
  <conditionalFormatting sqref="C18">
    <cfRule type="expression" dxfId="499" priority="16">
      <formula>($O18/$O18)&lt;=1/4</formula>
    </cfRule>
  </conditionalFormatting>
  <conditionalFormatting sqref="C5:C18">
    <cfRule type="expression" dxfId="498" priority="27">
      <formula>($O5/$F5)&lt;=1/4</formula>
    </cfRule>
  </conditionalFormatting>
  <conditionalFormatting sqref="C19">
    <cfRule type="expression" dxfId="497" priority="7">
      <formula>($O19/$O19)&lt;=1/4</formula>
    </cfRule>
  </conditionalFormatting>
  <conditionalFormatting sqref="C19">
    <cfRule type="expression" dxfId="496" priority="8">
      <formula>($O19/$F19)&lt;=1/4</formula>
    </cfRule>
  </conditionalFormatting>
  <conditionalFormatting sqref="C20:C21">
    <cfRule type="expression" dxfId="495" priority="5">
      <formula>($O20/$O20)&lt;=1/4</formula>
    </cfRule>
  </conditionalFormatting>
  <conditionalFormatting sqref="C20:C21">
    <cfRule type="expression" dxfId="494" priority="6">
      <formula>($O20/$F20)&lt;=1/4</formula>
    </cfRule>
  </conditionalFormatting>
  <conditionalFormatting sqref="C22:C23">
    <cfRule type="expression" dxfId="493" priority="3">
      <formula>($O22/$O22)&lt;=1/4</formula>
    </cfRule>
  </conditionalFormatting>
  <conditionalFormatting sqref="C22:C23">
    <cfRule type="expression" dxfId="492" priority="4">
      <formula>($O22/$F22)&lt;=1/4</formula>
    </cfRule>
  </conditionalFormatting>
  <conditionalFormatting sqref="C24">
    <cfRule type="expression" dxfId="491" priority="1">
      <formula>($O24/$O24)&lt;=1/4</formula>
    </cfRule>
  </conditionalFormatting>
  <conditionalFormatting sqref="C24">
    <cfRule type="expression" dxfId="490"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K18" sqref="AK18"/>
    </sheetView>
  </sheetViews>
  <sheetFormatPr defaultColWidth="9.109375" defaultRowHeight="13.8" x14ac:dyDescent="0.3"/>
  <cols>
    <col min="1" max="1" width="16.33203125" style="82" customWidth="1"/>
    <col min="2" max="2" width="9.109375" style="82"/>
    <col min="3" max="3" width="30.5546875" style="82" bestFit="1" customWidth="1"/>
    <col min="4" max="4" width="9" style="82" customWidth="1"/>
    <col min="5" max="5" width="11.109375" style="82" bestFit="1" customWidth="1"/>
    <col min="6" max="6" width="10.33203125" style="82" bestFit="1" customWidth="1"/>
    <col min="7" max="7" width="9.5546875" style="82" customWidth="1"/>
    <col min="8" max="8" width="12.88671875" style="82" hidden="1" customWidth="1"/>
    <col min="9" max="9" width="14.88671875" style="82" hidden="1" customWidth="1"/>
    <col min="10" max="10" width="12.6640625" style="82" customWidth="1"/>
    <col min="11" max="11" width="14.88671875" style="82" hidden="1" customWidth="1"/>
    <col min="12" max="12" width="12" style="82" customWidth="1"/>
    <col min="13" max="14" width="16.33203125" style="82" hidden="1" customWidth="1"/>
    <col min="15" max="15" width="9.6640625" style="82" bestFit="1" customWidth="1"/>
    <col min="16" max="16" width="13.109375" style="82" customWidth="1"/>
    <col min="17" max="17" width="10.33203125" style="82" customWidth="1"/>
    <col min="18" max="35" width="4.5546875" style="82" customWidth="1"/>
    <col min="36" max="36" width="4.6640625" style="82" bestFit="1" customWidth="1"/>
    <col min="37" max="48" width="4.5546875" style="82" customWidth="1"/>
    <col min="49" max="49" width="9.109375" style="82"/>
    <col min="50" max="50" width="12" style="82" bestFit="1" customWidth="1"/>
    <col min="51" max="16384" width="9.109375" style="82"/>
  </cols>
  <sheetData>
    <row r="1" spans="1:51" hidden="1" x14ac:dyDescent="0.3">
      <c r="B1" s="238" t="s">
        <v>59</v>
      </c>
      <c r="C1" s="238"/>
      <c r="D1" s="238"/>
      <c r="E1" s="238"/>
      <c r="F1" s="238"/>
      <c r="G1" s="238"/>
      <c r="H1" s="238"/>
      <c r="I1" s="238"/>
      <c r="J1" s="238"/>
      <c r="K1" s="238"/>
      <c r="L1" s="238"/>
      <c r="M1" s="238"/>
      <c r="N1" s="182"/>
    </row>
    <row r="2" spans="1:51" ht="34.5" customHeight="1" x14ac:dyDescent="0.3">
      <c r="A2" s="1">
        <f>300+200+120+200+200+200</f>
        <v>1220</v>
      </c>
      <c r="K2" s="13">
        <f>SUMPRODUCT((E5:E12)*(F5:F12))</f>
        <v>1068</v>
      </c>
      <c r="L2" s="13">
        <f>M4-K4</f>
        <v>9776</v>
      </c>
      <c r="M2" s="8">
        <f>M4/K4-1</f>
        <v>0.18548172883542668</v>
      </c>
      <c r="N2" s="8"/>
      <c r="O2" s="82">
        <f>46+59+69+65</f>
        <v>239</v>
      </c>
      <c r="P2" s="82">
        <f>45+40+40+33+42+23+15</f>
        <v>238</v>
      </c>
      <c r="AX2" s="157"/>
    </row>
    <row r="3" spans="1:51" ht="43.8" customHeight="1" x14ac:dyDescent="0.3">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2">
        <v>800</v>
      </c>
    </row>
    <row r="4" spans="1:51" s="62" customFormat="1" ht="27" customHeight="1" x14ac:dyDescent="0.3">
      <c r="A4" s="71">
        <f ca="1">SUBTOTAL(9,A5:A12)</f>
        <v>12099.153273793758</v>
      </c>
      <c r="B4" s="19"/>
      <c r="C4" s="19"/>
      <c r="D4" s="63"/>
      <c r="E4" s="19">
        <f>SUMPRODUCT((E5:E12)*(F5:F12))</f>
        <v>1068</v>
      </c>
      <c r="F4" s="19">
        <f>SUBTOTAL(9,F5:F12)</f>
        <v>2136</v>
      </c>
      <c r="G4" s="7"/>
      <c r="H4" s="7">
        <f>SUBTOTAL(9,H5:H12)</f>
        <v>51486</v>
      </c>
      <c r="I4" s="12"/>
      <c r="J4" s="12"/>
      <c r="K4" s="12">
        <f>SUBTOTAL(9,K5:K12)</f>
        <v>52706</v>
      </c>
      <c r="L4" s="64"/>
      <c r="M4" s="7">
        <f>SUBTOTAL(9,M5:M12)</f>
        <v>62482</v>
      </c>
      <c r="N4" s="7">
        <f ca="1">SUBTOTAL(9,N5:N12)</f>
        <v>48047</v>
      </c>
      <c r="O4" s="65">
        <f ca="1">SUBTOTAL(9,O5:O12)</f>
        <v>462</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ca="1" si="0"/>
        <v>56</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149 Kg</v>
      </c>
      <c r="AX4" s="101">
        <f>SUBTOTAL(9,AX5:AX12)</f>
        <v>7290</v>
      </c>
    </row>
    <row r="5" spans="1:51" ht="18" x14ac:dyDescent="0.3">
      <c r="A5" s="82">
        <f t="shared" ref="A5:A12" ca="1" si="1">J5*O5</f>
        <v>1205.9136075826439</v>
      </c>
      <c r="B5" s="6">
        <v>1</v>
      </c>
      <c r="C5" s="84" t="s">
        <v>229</v>
      </c>
      <c r="D5" s="92">
        <v>38</v>
      </c>
      <c r="E5" s="6">
        <v>0.5</v>
      </c>
      <c r="F5" s="6">
        <f>240+126+126+100+126</f>
        <v>718</v>
      </c>
      <c r="G5" s="86">
        <f t="shared" ref="G5:G12" si="2">D5/(1/E5)</f>
        <v>19</v>
      </c>
      <c r="H5" s="87">
        <f t="shared" ref="H5:H12" si="3">G5*F5</f>
        <v>13642</v>
      </c>
      <c r="I5" s="88">
        <f t="shared" ref="I5:I12" si="4">((H5/$H$4)*$A$2)/F5</f>
        <v>0.45021947713941651</v>
      </c>
      <c r="J5" s="163">
        <f t="shared" ref="J5:J12" si="5">G5+I5</f>
        <v>19.450219477139417</v>
      </c>
      <c r="K5" s="89">
        <f>J5*F5</f>
        <v>13965.257584586101</v>
      </c>
      <c r="L5" s="93">
        <v>23</v>
      </c>
      <c r="M5" s="87">
        <f t="shared" ref="M5:M12" si="6">L5*F5</f>
        <v>16514</v>
      </c>
      <c r="N5" s="87">
        <f ca="1">SUMPRODUCT(($Q5:$AV5)*$L5)</f>
        <v>15042</v>
      </c>
      <c r="O5" s="94">
        <f ca="1">F5-SUM(Q5:AV5)-P5</f>
        <v>62</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f ca="1">SUMIFS('Tổng Đơn'!$F:$F,'Tổng Đơn'!$B:$B,$C5)</f>
        <v>30</v>
      </c>
      <c r="AN5" s="37">
        <v>0</v>
      </c>
      <c r="AO5" s="37">
        <v>0</v>
      </c>
      <c r="AP5" s="37">
        <v>0</v>
      </c>
      <c r="AQ5" s="37">
        <v>0</v>
      </c>
      <c r="AR5" s="37">
        <v>0</v>
      </c>
      <c r="AS5" s="37">
        <v>0</v>
      </c>
      <c r="AT5" s="37">
        <v>0</v>
      </c>
      <c r="AU5" s="37">
        <v>0</v>
      </c>
      <c r="AV5" s="37">
        <v>0</v>
      </c>
      <c r="AW5" s="82">
        <v>210</v>
      </c>
      <c r="AX5" s="82">
        <f>AW5*AY5/2</f>
        <v>3990</v>
      </c>
      <c r="AY5" s="82">
        <v>38</v>
      </c>
    </row>
    <row r="6" spans="1:51" ht="18" x14ac:dyDescent="0.3">
      <c r="A6" s="82">
        <f t="shared" ca="1" si="1"/>
        <v>343.96177601678124</v>
      </c>
      <c r="B6" s="6">
        <v>2</v>
      </c>
      <c r="C6" s="84" t="s">
        <v>230</v>
      </c>
      <c r="D6" s="92">
        <v>42</v>
      </c>
      <c r="E6" s="6">
        <v>0.5</v>
      </c>
      <c r="F6" s="6">
        <v>40</v>
      </c>
      <c r="G6" s="86">
        <f t="shared" si="2"/>
        <v>21</v>
      </c>
      <c r="H6" s="87">
        <f t="shared" si="3"/>
        <v>840</v>
      </c>
      <c r="I6" s="88">
        <f t="shared" si="4"/>
        <v>0.49761100104882888</v>
      </c>
      <c r="J6" s="163">
        <f t="shared" si="5"/>
        <v>21.497611001048828</v>
      </c>
      <c r="K6" s="89">
        <f>J6*F6</f>
        <v>859.90444004195308</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f ca="1">SUMIFS('Tổng Đơn'!$F:$F,'Tổng Đơn'!$B:$B,$C6)</f>
        <v>0</v>
      </c>
      <c r="AN6" s="37">
        <v>0</v>
      </c>
      <c r="AO6" s="37">
        <v>0</v>
      </c>
      <c r="AP6" s="37">
        <v>0</v>
      </c>
      <c r="AQ6" s="37">
        <v>0</v>
      </c>
      <c r="AR6" s="37">
        <v>0</v>
      </c>
      <c r="AS6" s="37">
        <v>0</v>
      </c>
      <c r="AT6" s="37">
        <v>0</v>
      </c>
      <c r="AU6" s="37">
        <v>0</v>
      </c>
      <c r="AV6" s="37">
        <v>0</v>
      </c>
      <c r="AW6" s="82">
        <v>0</v>
      </c>
      <c r="AX6" s="82">
        <f t="shared" ref="AX6:AX12" si="9">AW6*AY6/2</f>
        <v>0</v>
      </c>
      <c r="AY6" s="82">
        <v>42</v>
      </c>
    </row>
    <row r="7" spans="1:51" ht="18" x14ac:dyDescent="0.3">
      <c r="A7" s="82">
        <f t="shared" ca="1" si="1"/>
        <v>967.39249504719726</v>
      </c>
      <c r="B7" s="6">
        <v>3</v>
      </c>
      <c r="C7" s="84" t="s">
        <v>231</v>
      </c>
      <c r="D7" s="92">
        <v>42</v>
      </c>
      <c r="E7" s="6">
        <v>0.5</v>
      </c>
      <c r="F7" s="6">
        <f>40+42+42</f>
        <v>124</v>
      </c>
      <c r="G7" s="86">
        <f t="shared" si="2"/>
        <v>21</v>
      </c>
      <c r="H7" s="87">
        <f t="shared" si="3"/>
        <v>2604</v>
      </c>
      <c r="I7" s="88">
        <f t="shared" si="4"/>
        <v>0.49761100104882883</v>
      </c>
      <c r="J7" s="163">
        <f t="shared" si="5"/>
        <v>21.497611001048828</v>
      </c>
      <c r="K7" s="89">
        <f t="shared" ref="K7:K12" si="10">J7*F7</f>
        <v>2665.7037641300544</v>
      </c>
      <c r="L7" s="93">
        <v>26</v>
      </c>
      <c r="M7" s="87">
        <f t="shared" si="6"/>
        <v>3224</v>
      </c>
      <c r="N7" s="87">
        <f t="shared" ca="1" si="7"/>
        <v>2054</v>
      </c>
      <c r="O7" s="94">
        <f t="shared" ca="1" si="8"/>
        <v>45</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f ca="1">SUMIFS('Tổng Đơn'!$F:$F,'Tổng Đơn'!$B:$B,$C7)</f>
        <v>6</v>
      </c>
      <c r="AN7" s="37">
        <v>0</v>
      </c>
      <c r="AO7" s="37">
        <v>0</v>
      </c>
      <c r="AP7" s="37">
        <v>0</v>
      </c>
      <c r="AQ7" s="37">
        <v>0</v>
      </c>
      <c r="AR7" s="37">
        <v>0</v>
      </c>
      <c r="AS7" s="37">
        <v>0</v>
      </c>
      <c r="AT7" s="37">
        <v>0</v>
      </c>
      <c r="AU7" s="37">
        <v>0</v>
      </c>
      <c r="AV7" s="37">
        <v>0</v>
      </c>
      <c r="AW7" s="82">
        <v>0</v>
      </c>
      <c r="AX7" s="82">
        <f t="shared" si="9"/>
        <v>0</v>
      </c>
      <c r="AY7" s="82">
        <v>42</v>
      </c>
    </row>
    <row r="8" spans="1:51" ht="18" x14ac:dyDescent="0.3">
      <c r="A8" s="82">
        <f t="shared" ca="1" si="1"/>
        <v>593.74354193372949</v>
      </c>
      <c r="B8" s="6">
        <v>4</v>
      </c>
      <c r="C8" s="84" t="s">
        <v>232</v>
      </c>
      <c r="D8" s="92">
        <v>40</v>
      </c>
      <c r="E8" s="6">
        <v>0.5</v>
      </c>
      <c r="F8" s="6">
        <f>40+42</f>
        <v>82</v>
      </c>
      <c r="G8" s="86">
        <f t="shared" si="2"/>
        <v>20</v>
      </c>
      <c r="H8" s="87">
        <f t="shared" si="3"/>
        <v>1640</v>
      </c>
      <c r="I8" s="88">
        <f t="shared" si="4"/>
        <v>0.47391523909412264</v>
      </c>
      <c r="J8" s="163">
        <f t="shared" si="5"/>
        <v>20.473915239094122</v>
      </c>
      <c r="K8" s="89">
        <f t="shared" si="10"/>
        <v>1678.8610496057181</v>
      </c>
      <c r="L8" s="93">
        <v>26</v>
      </c>
      <c r="M8" s="87">
        <f t="shared" si="6"/>
        <v>2132</v>
      </c>
      <c r="N8" s="87">
        <f t="shared" ca="1" si="7"/>
        <v>1378</v>
      </c>
      <c r="O8" s="94">
        <f t="shared" ca="1" si="8"/>
        <v>29</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f ca="1">SUMIFS('Tổng Đơn'!$F:$F,'Tổng Đơn'!$B:$B,$C8)</f>
        <v>0</v>
      </c>
      <c r="AN8" s="37">
        <v>0</v>
      </c>
      <c r="AO8" s="37">
        <v>0</v>
      </c>
      <c r="AP8" s="37">
        <v>0</v>
      </c>
      <c r="AQ8" s="37">
        <v>0</v>
      </c>
      <c r="AR8" s="37">
        <v>0</v>
      </c>
      <c r="AS8" s="37">
        <v>0</v>
      </c>
      <c r="AT8" s="37">
        <v>0</v>
      </c>
      <c r="AU8" s="37">
        <v>0</v>
      </c>
      <c r="AV8" s="37">
        <v>0</v>
      </c>
      <c r="AW8" s="82">
        <v>0</v>
      </c>
      <c r="AX8" s="82">
        <f t="shared" si="9"/>
        <v>0</v>
      </c>
      <c r="AY8" s="82">
        <v>40</v>
      </c>
    </row>
    <row r="9" spans="1:51" ht="18" x14ac:dyDescent="0.3">
      <c r="A9" s="82">
        <f t="shared" ca="1" si="1"/>
        <v>2072.98391795828</v>
      </c>
      <c r="B9" s="6">
        <v>5</v>
      </c>
      <c r="C9" s="84" t="s">
        <v>233</v>
      </c>
      <c r="D9" s="92">
        <f>(45*20)/22</f>
        <v>40.909090909090907</v>
      </c>
      <c r="E9" s="6">
        <v>0.5</v>
      </c>
      <c r="F9" s="6">
        <f>176+88+44+44</f>
        <v>352</v>
      </c>
      <c r="G9" s="86">
        <f t="shared" si="2"/>
        <v>20.454545454545453</v>
      </c>
      <c r="H9" s="87">
        <f t="shared" si="3"/>
        <v>7200</v>
      </c>
      <c r="I9" s="88">
        <f t="shared" si="4"/>
        <v>0.48468603998262538</v>
      </c>
      <c r="J9" s="163">
        <f t="shared" si="5"/>
        <v>20.93923149452808</v>
      </c>
      <c r="K9" s="89">
        <f t="shared" si="10"/>
        <v>7370.609486073884</v>
      </c>
      <c r="L9" s="93">
        <v>26</v>
      </c>
      <c r="M9" s="87">
        <f t="shared" si="6"/>
        <v>9152</v>
      </c>
      <c r="N9" s="87">
        <f t="shared" ca="1" si="7"/>
        <v>6578</v>
      </c>
      <c r="O9" s="94">
        <f t="shared" ca="1" si="8"/>
        <v>99</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f ca="1">SUMIFS('Tổng Đơn'!$F:$F,'Tổng Đơn'!$B:$B,$C9)</f>
        <v>10</v>
      </c>
      <c r="AN9" s="37">
        <v>0</v>
      </c>
      <c r="AO9" s="37">
        <v>0</v>
      </c>
      <c r="AP9" s="37">
        <v>0</v>
      </c>
      <c r="AQ9" s="37">
        <v>0</v>
      </c>
      <c r="AR9" s="37">
        <v>0</v>
      </c>
      <c r="AS9" s="37">
        <v>0</v>
      </c>
      <c r="AT9" s="37">
        <v>0</v>
      </c>
      <c r="AU9" s="37">
        <v>0</v>
      </c>
      <c r="AV9" s="37">
        <v>0</v>
      </c>
      <c r="AW9" s="82">
        <v>0</v>
      </c>
      <c r="AX9" s="82">
        <f t="shared" si="9"/>
        <v>0</v>
      </c>
      <c r="AY9" s="82">
        <v>45</v>
      </c>
    </row>
    <row r="10" spans="1:51" ht="18" x14ac:dyDescent="0.3">
      <c r="A10" s="82">
        <f t="shared" ca="1" si="1"/>
        <v>3960.7719662538448</v>
      </c>
      <c r="B10" s="6">
        <v>6</v>
      </c>
      <c r="C10" s="84" t="s">
        <v>234</v>
      </c>
      <c r="D10" s="92">
        <f>(64*20)/22</f>
        <v>58.18181818181818</v>
      </c>
      <c r="E10" s="6">
        <v>0.5</v>
      </c>
      <c r="F10" s="6">
        <f>176+88+88+132+88</f>
        <v>572</v>
      </c>
      <c r="G10" s="86">
        <f t="shared" si="2"/>
        <v>29.09090909090909</v>
      </c>
      <c r="H10" s="87">
        <f t="shared" si="3"/>
        <v>16640</v>
      </c>
      <c r="I10" s="88">
        <f t="shared" si="4"/>
        <v>0.68933125686417851</v>
      </c>
      <c r="J10" s="163">
        <f t="shared" si="5"/>
        <v>29.780240347773269</v>
      </c>
      <c r="K10" s="89">
        <f t="shared" si="10"/>
        <v>17034.29747892631</v>
      </c>
      <c r="L10" s="93">
        <v>35</v>
      </c>
      <c r="M10" s="87">
        <f t="shared" si="6"/>
        <v>20020</v>
      </c>
      <c r="N10" s="87">
        <f t="shared" ca="1" si="7"/>
        <v>15365</v>
      </c>
      <c r="O10" s="94">
        <f t="shared" ca="1" si="8"/>
        <v>133</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f ca="1">SUMIFS('Tổng Đơn'!$F:$F,'Tổng Đơn'!$B:$B,$C10)</f>
        <v>10</v>
      </c>
      <c r="AN10" s="37">
        <v>0</v>
      </c>
      <c r="AO10" s="37">
        <v>0</v>
      </c>
      <c r="AP10" s="37">
        <v>0</v>
      </c>
      <c r="AQ10" s="37">
        <v>0</v>
      </c>
      <c r="AR10" s="37">
        <v>0</v>
      </c>
      <c r="AS10" s="37">
        <v>0</v>
      </c>
      <c r="AT10" s="37">
        <v>0</v>
      </c>
      <c r="AU10" s="37">
        <v>0</v>
      </c>
      <c r="AV10" s="37">
        <v>0</v>
      </c>
      <c r="AW10" s="82">
        <v>0</v>
      </c>
      <c r="AX10" s="82">
        <f t="shared" si="9"/>
        <v>0</v>
      </c>
      <c r="AY10" s="82">
        <v>64</v>
      </c>
    </row>
    <row r="11" spans="1:51" ht="18" x14ac:dyDescent="0.3">
      <c r="A11" s="82">
        <f t="shared" ca="1" si="1"/>
        <v>0</v>
      </c>
      <c r="B11" s="6">
        <v>7</v>
      </c>
      <c r="C11" s="84" t="s">
        <v>235</v>
      </c>
      <c r="D11" s="92">
        <f>(75*20)/22</f>
        <v>68.181818181818187</v>
      </c>
      <c r="E11" s="6">
        <v>0.5</v>
      </c>
      <c r="F11" s="6">
        <f>44+44</f>
        <v>88</v>
      </c>
      <c r="G11" s="86">
        <f t="shared" si="2"/>
        <v>34.090909090909093</v>
      </c>
      <c r="H11" s="87">
        <f t="shared" si="3"/>
        <v>3000</v>
      </c>
      <c r="I11" s="88">
        <f t="shared" si="4"/>
        <v>0.80781006663770905</v>
      </c>
      <c r="J11" s="163">
        <f t="shared" si="5"/>
        <v>34.8987191575468</v>
      </c>
      <c r="K11" s="89">
        <f t="shared" si="10"/>
        <v>3071.0872858641183</v>
      </c>
      <c r="L11" s="93">
        <v>40</v>
      </c>
      <c r="M11" s="87">
        <f t="shared" si="6"/>
        <v>3520</v>
      </c>
      <c r="N11" s="87">
        <f t="shared" ca="1" si="7"/>
        <v>3480</v>
      </c>
      <c r="O11" s="94">
        <f t="shared" ca="1" si="8"/>
        <v>0</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f ca="1">SUMIFS('Tổng Đơn'!$F:$F,'Tổng Đơn'!$B:$B,$C11)</f>
        <v>0</v>
      </c>
      <c r="AN11" s="37">
        <v>0</v>
      </c>
      <c r="AO11" s="37">
        <v>0</v>
      </c>
      <c r="AP11" s="37">
        <v>0</v>
      </c>
      <c r="AQ11" s="37">
        <v>0</v>
      </c>
      <c r="AR11" s="37">
        <v>0</v>
      </c>
      <c r="AS11" s="37">
        <v>0</v>
      </c>
      <c r="AT11" s="37">
        <v>0</v>
      </c>
      <c r="AU11" s="37">
        <v>0</v>
      </c>
      <c r="AV11" s="37">
        <v>0</v>
      </c>
      <c r="AW11" s="82">
        <v>88</v>
      </c>
      <c r="AX11" s="82">
        <f t="shared" si="9"/>
        <v>3300</v>
      </c>
      <c r="AY11" s="82">
        <v>75</v>
      </c>
    </row>
    <row r="12" spans="1:51" ht="18" x14ac:dyDescent="0.3">
      <c r="A12" s="82">
        <f t="shared" ca="1" si="1"/>
        <v>2954.3859690012819</v>
      </c>
      <c r="B12" s="6">
        <v>8</v>
      </c>
      <c r="C12" s="84" t="s">
        <v>236</v>
      </c>
      <c r="D12" s="92">
        <v>74</v>
      </c>
      <c r="E12" s="6">
        <v>0.5</v>
      </c>
      <c r="F12" s="6">
        <f>80+80</f>
        <v>160</v>
      </c>
      <c r="G12" s="86">
        <f t="shared" si="2"/>
        <v>37</v>
      </c>
      <c r="H12" s="87">
        <f t="shared" si="3"/>
        <v>5920</v>
      </c>
      <c r="I12" s="88">
        <f t="shared" si="4"/>
        <v>0.8767431923241269</v>
      </c>
      <c r="J12" s="163">
        <f t="shared" si="5"/>
        <v>37.876743192324128</v>
      </c>
      <c r="K12" s="89">
        <f t="shared" si="10"/>
        <v>6060.27891077186</v>
      </c>
      <c r="L12" s="93">
        <v>43</v>
      </c>
      <c r="M12" s="87">
        <f t="shared" si="6"/>
        <v>6880</v>
      </c>
      <c r="N12" s="87">
        <f t="shared" ca="1" si="7"/>
        <v>3526</v>
      </c>
      <c r="O12" s="94">
        <f t="shared" ca="1" si="8"/>
        <v>78</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f ca="1">SUMIFS('Tổng Đơn'!$F:$F,'Tổng Đơn'!$B:$B,$C12)</f>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9" priority="8">
      <formula>($O6/$O6)&lt;=1/4</formula>
    </cfRule>
  </conditionalFormatting>
  <conditionalFormatting sqref="C5:C12">
    <cfRule type="expression" dxfId="48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09375" defaultRowHeight="13.8" x14ac:dyDescent="0.25"/>
  <cols>
    <col min="1" max="1" width="40.5546875" style="14" customWidth="1"/>
    <col min="2" max="2" width="13" style="15" customWidth="1"/>
    <col min="3" max="3" width="12.5546875" style="14" customWidth="1"/>
    <col min="4" max="4" width="6.109375" style="14" customWidth="1"/>
    <col min="5" max="5" width="40.5546875" style="14" customWidth="1"/>
    <col min="6" max="6" width="13" style="15" customWidth="1"/>
    <col min="7" max="7" width="12.5546875" style="14" customWidth="1"/>
    <col min="8" max="8" width="9.109375" style="14"/>
    <col min="9" max="9" width="40.5546875" style="14" customWidth="1"/>
    <col min="10" max="10" width="11.88671875" style="14" customWidth="1"/>
    <col min="11" max="11" width="12.88671875" style="14" customWidth="1"/>
    <col min="12" max="16384" width="9.10937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 customHeight="1" x14ac:dyDescent="0.25">
      <c r="A22" s="26" t="s">
        <v>9</v>
      </c>
      <c r="B22" s="27" t="s">
        <v>56</v>
      </c>
      <c r="C22" s="28">
        <v>55000</v>
      </c>
      <c r="E22" s="26" t="s">
        <v>15</v>
      </c>
      <c r="F22" s="27" t="s">
        <v>53</v>
      </c>
      <c r="G22" s="28">
        <v>35000</v>
      </c>
    </row>
    <row r="23" spans="1:7" ht="24.9"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09375" defaultRowHeight="13.8" x14ac:dyDescent="0.25"/>
  <cols>
    <col min="1" max="1" width="40.5546875" style="14" customWidth="1"/>
    <col min="2" max="2" width="13" style="15" customWidth="1"/>
    <col min="3" max="3" width="11.33203125" style="14" customWidth="1"/>
    <col min="4" max="4" width="6.6640625" style="14" customWidth="1"/>
    <col min="5" max="5" width="40.5546875" style="14" customWidth="1"/>
    <col min="6" max="6" width="13" style="15" customWidth="1"/>
    <col min="7" max="7" width="11.33203125" style="14" customWidth="1"/>
    <col min="8" max="16384" width="9.109375" style="14"/>
  </cols>
  <sheetData>
    <row r="1" spans="1:7" ht="39.75" customHeight="1" x14ac:dyDescent="0.25">
      <c r="A1" s="239" t="s">
        <v>66</v>
      </c>
      <c r="B1" s="239"/>
      <c r="C1" s="239"/>
      <c r="E1" s="239" t="s">
        <v>66</v>
      </c>
      <c r="F1" s="239"/>
      <c r="G1" s="23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G14" activePane="bottomRight" state="frozen"/>
      <selection activeCell="A2" sqref="A2"/>
      <selection pane="topRight" activeCell="R2" sqref="R2"/>
      <selection pane="bottomLeft" activeCell="A5" sqref="A5"/>
      <selection pane="bottomRight" activeCell="O18" sqref="O18"/>
    </sheetView>
  </sheetViews>
  <sheetFormatPr defaultColWidth="9.109375" defaultRowHeight="13.8" x14ac:dyDescent="0.3"/>
  <cols>
    <col min="1" max="1" width="16.33203125" style="82" customWidth="1"/>
    <col min="2" max="2" width="6.88671875" style="82" customWidth="1"/>
    <col min="3" max="3" width="35.88671875" style="82" customWidth="1"/>
    <col min="4" max="4" width="9.6640625" style="82" customWidth="1"/>
    <col min="5" max="6" width="8.6640625" style="82" customWidth="1"/>
    <col min="7" max="7" width="10.33203125" style="82" bestFit="1" customWidth="1"/>
    <col min="8" max="8" width="11.109375" style="82" hidden="1" customWidth="1"/>
    <col min="9" max="9" width="13.33203125" style="82" hidden="1" customWidth="1"/>
    <col min="10" max="10" width="10.88671875" style="82" customWidth="1"/>
    <col min="11" max="11" width="13.33203125" style="82" hidden="1" customWidth="1"/>
    <col min="12" max="12" width="12" style="82" bestFit="1" customWidth="1"/>
    <col min="13" max="14" width="11.44140625" style="82" hidden="1" customWidth="1"/>
    <col min="15" max="15" width="9.109375" style="82" customWidth="1"/>
    <col min="16" max="17" width="12.44140625" style="82" customWidth="1"/>
    <col min="18" max="18" width="4.88671875" style="82" customWidth="1"/>
    <col min="19" max="48" width="5.33203125" style="82" customWidth="1"/>
    <col min="49" max="49" width="9.109375" style="82"/>
    <col min="50" max="50" width="12" style="82" bestFit="1" customWidth="1"/>
    <col min="51" max="16384" width="9.109375" style="82"/>
  </cols>
  <sheetData>
    <row r="1" spans="1:50" hidden="1" x14ac:dyDescent="0.3">
      <c r="B1" s="238" t="s">
        <v>59</v>
      </c>
      <c r="C1" s="238"/>
      <c r="D1" s="238"/>
      <c r="E1" s="238"/>
      <c r="F1" s="238"/>
      <c r="G1" s="238"/>
      <c r="H1" s="238"/>
      <c r="I1" s="238"/>
      <c r="J1" s="238"/>
      <c r="K1" s="238"/>
      <c r="L1" s="238"/>
      <c r="M1" s="238"/>
      <c r="N1" s="83"/>
    </row>
    <row r="2" spans="1:50" ht="24" customHeight="1" x14ac:dyDescent="0.3">
      <c r="A2" s="1">
        <f>150+160+120+70+30+100+30+150+120+30+140+30+70+120+30+30+120+60+120+190+60+30+120+100+60+140+60+40+60+50+120+60</f>
        <v>2770</v>
      </c>
      <c r="K2" s="13"/>
      <c r="L2" s="13">
        <f>M4-K4</f>
        <v>18825.023444383231</v>
      </c>
      <c r="M2" s="8">
        <f>M4/K4-1</f>
        <v>0.17628741199532594</v>
      </c>
      <c r="N2" s="8"/>
      <c r="Q2" s="82">
        <f>105+26+115+42+80+70</f>
        <v>438</v>
      </c>
      <c r="AI2" s="57"/>
    </row>
    <row r="3" spans="1:50" ht="55.5" customHeight="1" x14ac:dyDescent="0.3">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3">
      <c r="A4" s="71">
        <f ca="1">SUBTOTAL(9,A5:A100)</f>
        <v>13855.650040377046</v>
      </c>
      <c r="B4" s="19"/>
      <c r="C4" s="19"/>
      <c r="D4" s="63"/>
      <c r="E4" s="19">
        <f>SUMPRODUCT((E5:E32)*(F5:F32))</f>
        <v>1714.5</v>
      </c>
      <c r="F4" s="19">
        <f>SUBTOTAL(9,F5:F100)</f>
        <v>3219</v>
      </c>
      <c r="G4" s="7"/>
      <c r="H4" s="7">
        <f>SUBTOTAL(9,H5:H100)</f>
        <v>104019.5</v>
      </c>
      <c r="I4" s="12"/>
      <c r="J4" s="12"/>
      <c r="K4" s="12">
        <f>SUBTOTAL(9,K5:K100)</f>
        <v>106785.97655561677</v>
      </c>
      <c r="L4" s="64"/>
      <c r="M4" s="7">
        <f t="shared" ref="M4:R4" si="0">SUBTOTAL(9,M5:M100)</f>
        <v>125611</v>
      </c>
      <c r="N4" s="7">
        <f t="shared" ca="1" si="0"/>
        <v>109240</v>
      </c>
      <c r="O4" s="39">
        <f t="shared" ca="1" si="0"/>
        <v>341</v>
      </c>
      <c r="P4" s="98">
        <f t="shared" si="0"/>
        <v>12</v>
      </c>
      <c r="Q4" s="98">
        <f t="shared" si="0"/>
        <v>2062</v>
      </c>
      <c r="R4" s="40">
        <f t="shared" si="0"/>
        <v>26</v>
      </c>
      <c r="S4" s="40">
        <f t="shared" ref="S4:AV4" si="1">SUBTOTAL(9,S5:S100)</f>
        <v>15</v>
      </c>
      <c r="T4" s="40">
        <f t="shared" si="1"/>
        <v>39</v>
      </c>
      <c r="U4" s="40">
        <f t="shared" si="1"/>
        <v>88</v>
      </c>
      <c r="V4" s="40">
        <f t="shared" si="1"/>
        <v>75</v>
      </c>
      <c r="W4" s="40">
        <f t="shared" si="1"/>
        <v>40</v>
      </c>
      <c r="X4" s="40">
        <f t="shared" si="1"/>
        <v>19</v>
      </c>
      <c r="Y4" s="40">
        <f t="shared" si="1"/>
        <v>95</v>
      </c>
      <c r="Z4" s="40">
        <f t="shared" si="1"/>
        <v>27</v>
      </c>
      <c r="AA4" s="40">
        <f t="shared" si="1"/>
        <v>43</v>
      </c>
      <c r="AB4" s="40">
        <f t="shared" si="1"/>
        <v>55</v>
      </c>
      <c r="AC4" s="40">
        <f t="shared" si="1"/>
        <v>36</v>
      </c>
      <c r="AD4" s="40">
        <f t="shared" si="1"/>
        <v>31</v>
      </c>
      <c r="AE4" s="40">
        <f t="shared" si="1"/>
        <v>30</v>
      </c>
      <c r="AF4" s="40">
        <f t="shared" si="1"/>
        <v>41</v>
      </c>
      <c r="AG4" s="40">
        <f t="shared" si="1"/>
        <v>31</v>
      </c>
      <c r="AH4" s="40">
        <f t="shared" si="1"/>
        <v>14</v>
      </c>
      <c r="AI4" s="40">
        <f t="shared" si="1"/>
        <v>12</v>
      </c>
      <c r="AJ4" s="40">
        <f t="shared" si="1"/>
        <v>18</v>
      </c>
      <c r="AK4" s="40">
        <f t="shared" si="1"/>
        <v>19</v>
      </c>
      <c r="AL4" s="40">
        <f t="shared" si="1"/>
        <v>25</v>
      </c>
      <c r="AM4" s="40">
        <f t="shared" ca="1" si="1"/>
        <v>25</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SUMPRODUCT(($AW$5:$AW$50)*($E$5:$E$50))&amp;" Kg"</f>
        <v>65 Kg</v>
      </c>
      <c r="AX4" s="101"/>
    </row>
    <row r="5" spans="1:50" ht="18" x14ac:dyDescent="0.3">
      <c r="A5" s="82">
        <f t="shared" ref="A5:A30" ca="1" si="2">IFERROR(J5*O5,"")</f>
        <v>741.73990213373452</v>
      </c>
      <c r="B5" s="6">
        <v>1</v>
      </c>
      <c r="C5" s="84" t="s">
        <v>1</v>
      </c>
      <c r="D5" s="92">
        <v>42.5</v>
      </c>
      <c r="E5" s="6">
        <v>0.5</v>
      </c>
      <c r="F5" s="6">
        <f>430+30+40</f>
        <v>500</v>
      </c>
      <c r="G5" s="95">
        <f t="shared" ref="G5:G29" si="3">D5/(1/E5)</f>
        <v>21.25</v>
      </c>
      <c r="H5" s="87">
        <f t="shared" ref="H5:H30" si="4">G5*F5</f>
        <v>10625</v>
      </c>
      <c r="I5" s="88">
        <f t="shared" ref="I5:I25" si="5">((H5/$H$4)*$A$2)/F5</f>
        <v>0.56587947452160414</v>
      </c>
      <c r="J5" s="89">
        <f t="shared" ref="J5:J19" si="6">G5+I5</f>
        <v>21.815879474521605</v>
      </c>
      <c r="K5" s="89">
        <f t="shared" ref="K5:K25" si="7">J5*F5</f>
        <v>10907.939737260802</v>
      </c>
      <c r="L5" s="96">
        <v>25</v>
      </c>
      <c r="M5" s="87">
        <f t="shared" ref="M5:M30" si="8">L5*F5</f>
        <v>12500</v>
      </c>
      <c r="N5" s="87">
        <f t="shared" ref="N5:N30" ca="1" si="9">SUMPRODUCT($L5*($Q5:$AV5))</f>
        <v>11600</v>
      </c>
      <c r="O5" s="91">
        <f t="shared" ref="O5:O30" ca="1" si="10">F5-SUM(Q5:AV5)-P5</f>
        <v>34</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f ca="1">SUMIFS('Tổng Đơn'!$F:$F,'Tổng Đơn'!$B:$B,$C5)</f>
        <v>0</v>
      </c>
      <c r="AN5" s="84">
        <v>0</v>
      </c>
      <c r="AO5" s="84">
        <v>0</v>
      </c>
      <c r="AP5" s="84">
        <v>0</v>
      </c>
      <c r="AQ5" s="84">
        <v>0</v>
      </c>
      <c r="AR5" s="84">
        <v>0</v>
      </c>
      <c r="AS5" s="84">
        <v>0</v>
      </c>
      <c r="AT5" s="84">
        <v>0</v>
      </c>
      <c r="AU5" s="84">
        <v>0</v>
      </c>
      <c r="AV5" s="84">
        <v>0</v>
      </c>
      <c r="AX5" s="82">
        <f t="shared" ref="AX5:AX32" si="11">AW5*G5</f>
        <v>0</v>
      </c>
    </row>
    <row r="6" spans="1:50" ht="18" x14ac:dyDescent="0.3">
      <c r="A6" s="82">
        <f t="shared" ca="1" si="2"/>
        <v>203.27266522142483</v>
      </c>
      <c r="B6" s="6">
        <v>2</v>
      </c>
      <c r="C6" s="84" t="s">
        <v>2</v>
      </c>
      <c r="D6" s="92">
        <v>44</v>
      </c>
      <c r="E6" s="6">
        <v>0.5</v>
      </c>
      <c r="F6" s="6">
        <v>80</v>
      </c>
      <c r="G6" s="95">
        <f t="shared" si="3"/>
        <v>22</v>
      </c>
      <c r="H6" s="87">
        <f t="shared" si="4"/>
        <v>1760</v>
      </c>
      <c r="I6" s="88">
        <f t="shared" si="5"/>
        <v>0.58585169126942538</v>
      </c>
      <c r="J6" s="89">
        <f t="shared" si="6"/>
        <v>22.585851691269426</v>
      </c>
      <c r="K6" s="89">
        <f t="shared" si="7"/>
        <v>1806.868135301554</v>
      </c>
      <c r="L6" s="96">
        <v>28</v>
      </c>
      <c r="M6" s="87">
        <f t="shared" si="8"/>
        <v>2240</v>
      </c>
      <c r="N6" s="87">
        <f t="shared" ca="1" si="9"/>
        <v>1988</v>
      </c>
      <c r="O6" s="91">
        <f t="shared" ca="1" si="10"/>
        <v>9</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f ca="1">SUMIFS('Tổng Đơn'!$F:$F,'Tổng Đơn'!$B:$B,$C6)</f>
        <v>1</v>
      </c>
      <c r="AN6" s="84">
        <v>0</v>
      </c>
      <c r="AO6" s="84">
        <v>0</v>
      </c>
      <c r="AP6" s="84">
        <v>0</v>
      </c>
      <c r="AQ6" s="84">
        <v>0</v>
      </c>
      <c r="AR6" s="84">
        <v>0</v>
      </c>
      <c r="AS6" s="84">
        <v>0</v>
      </c>
      <c r="AT6" s="84">
        <v>0</v>
      </c>
      <c r="AU6" s="84">
        <v>0</v>
      </c>
      <c r="AV6" s="84">
        <v>0</v>
      </c>
      <c r="AX6" s="82">
        <f t="shared" si="11"/>
        <v>0</v>
      </c>
    </row>
    <row r="7" spans="1:50" ht="18" x14ac:dyDescent="0.3">
      <c r="A7" s="82">
        <f t="shared" ca="1" si="2"/>
        <v>245.621137142555</v>
      </c>
      <c r="B7" s="6">
        <v>3</v>
      </c>
      <c r="C7" s="84" t="s">
        <v>3</v>
      </c>
      <c r="D7" s="92">
        <v>43.5</v>
      </c>
      <c r="E7" s="6">
        <v>0.5</v>
      </c>
      <c r="F7" s="6">
        <v>70</v>
      </c>
      <c r="G7" s="95">
        <f t="shared" si="3"/>
        <v>21.75</v>
      </c>
      <c r="H7" s="87">
        <f t="shared" si="4"/>
        <v>1522.5</v>
      </c>
      <c r="I7" s="88">
        <f t="shared" si="5"/>
        <v>0.5791942856868183</v>
      </c>
      <c r="J7" s="89">
        <f t="shared" si="6"/>
        <v>22.329194285686818</v>
      </c>
      <c r="K7" s="89">
        <f t="shared" si="7"/>
        <v>1563.0435999980773</v>
      </c>
      <c r="L7" s="96">
        <v>30</v>
      </c>
      <c r="M7" s="87">
        <f t="shared" si="8"/>
        <v>2100</v>
      </c>
      <c r="N7" s="87">
        <f t="shared" ca="1" si="9"/>
        <v>1770</v>
      </c>
      <c r="O7" s="91">
        <f t="shared" ca="1" si="10"/>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f ca="1">SUMIFS('Tổng Đơn'!$F:$F,'Tổng Đơn'!$B:$B,$C7)</f>
        <v>0</v>
      </c>
      <c r="AN7" s="84">
        <v>0</v>
      </c>
      <c r="AO7" s="84">
        <v>0</v>
      </c>
      <c r="AP7" s="84">
        <v>0</v>
      </c>
      <c r="AQ7" s="84">
        <v>0</v>
      </c>
      <c r="AR7" s="84">
        <v>0</v>
      </c>
      <c r="AS7" s="84">
        <v>0</v>
      </c>
      <c r="AT7" s="84">
        <v>0</v>
      </c>
      <c r="AU7" s="84">
        <v>0</v>
      </c>
      <c r="AV7" s="84">
        <v>0</v>
      </c>
      <c r="AX7" s="82">
        <f t="shared" si="11"/>
        <v>0</v>
      </c>
    </row>
    <row r="8" spans="1:50" ht="18" x14ac:dyDescent="0.3">
      <c r="A8" s="82">
        <f t="shared" ca="1" si="2"/>
        <v>246.39110935930282</v>
      </c>
      <c r="B8" s="6">
        <v>4</v>
      </c>
      <c r="C8" s="84" t="s">
        <v>4</v>
      </c>
      <c r="D8" s="92">
        <v>60</v>
      </c>
      <c r="E8" s="6">
        <v>0.5</v>
      </c>
      <c r="F8" s="6">
        <f>160+22+12</f>
        <v>194</v>
      </c>
      <c r="G8" s="95">
        <f t="shared" si="3"/>
        <v>30</v>
      </c>
      <c r="H8" s="97">
        <f t="shared" si="4"/>
        <v>5820</v>
      </c>
      <c r="I8" s="88">
        <f t="shared" si="5"/>
        <v>0.7988886699128529</v>
      </c>
      <c r="J8" s="89">
        <f t="shared" si="6"/>
        <v>30.798888669912852</v>
      </c>
      <c r="K8" s="89">
        <f t="shared" si="7"/>
        <v>5974.9844019630937</v>
      </c>
      <c r="L8" s="96">
        <v>40</v>
      </c>
      <c r="M8" s="87">
        <f t="shared" si="8"/>
        <v>7760</v>
      </c>
      <c r="N8" s="87">
        <f t="shared" ca="1" si="9"/>
        <v>7440</v>
      </c>
      <c r="O8" s="91">
        <f t="shared" ca="1" si="10"/>
        <v>8</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f ca="1">SUMIFS('Tổng Đơn'!$F:$F,'Tổng Đơn'!$B:$B,$C8)</f>
        <v>1</v>
      </c>
      <c r="AN8" s="84">
        <v>0</v>
      </c>
      <c r="AO8" s="84">
        <v>0</v>
      </c>
      <c r="AP8" s="84">
        <v>0</v>
      </c>
      <c r="AQ8" s="84">
        <v>0</v>
      </c>
      <c r="AR8" s="84">
        <v>0</v>
      </c>
      <c r="AS8" s="84">
        <v>0</v>
      </c>
      <c r="AT8" s="84">
        <v>0</v>
      </c>
      <c r="AU8" s="84">
        <v>0</v>
      </c>
      <c r="AV8" s="84">
        <v>0</v>
      </c>
      <c r="AX8" s="82">
        <f t="shared" si="11"/>
        <v>0</v>
      </c>
    </row>
    <row r="9" spans="1:50" ht="18" x14ac:dyDescent="0.3">
      <c r="A9" s="82">
        <f t="shared" ca="1" si="2"/>
        <v>1535.8379150063208</v>
      </c>
      <c r="B9" s="6">
        <v>5</v>
      </c>
      <c r="C9" s="84" t="s">
        <v>5</v>
      </c>
      <c r="D9" s="92">
        <v>68</v>
      </c>
      <c r="E9" s="6">
        <v>0.5</v>
      </c>
      <c r="F9" s="6">
        <f>285+40+50+20+50</f>
        <v>445</v>
      </c>
      <c r="G9" s="95">
        <f t="shared" si="3"/>
        <v>34</v>
      </c>
      <c r="H9" s="97">
        <f t="shared" si="4"/>
        <v>15130</v>
      </c>
      <c r="I9" s="88">
        <f t="shared" si="5"/>
        <v>0.90540715923456661</v>
      </c>
      <c r="J9" s="89">
        <f t="shared" si="6"/>
        <v>34.905407159234564</v>
      </c>
      <c r="K9" s="89">
        <f t="shared" si="7"/>
        <v>15532.906185859381</v>
      </c>
      <c r="L9" s="96">
        <v>40</v>
      </c>
      <c r="M9" s="87">
        <f t="shared" si="8"/>
        <v>17800</v>
      </c>
      <c r="N9" s="87">
        <f t="shared" ca="1" si="9"/>
        <v>16040</v>
      </c>
      <c r="O9" s="91">
        <f t="shared" ca="1" si="10"/>
        <v>44</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f ca="1">SUMIFS('Tổng Đơn'!$F:$F,'Tổng Đơn'!$B:$B,$C9)</f>
        <v>6</v>
      </c>
      <c r="AN9" s="84">
        <v>0</v>
      </c>
      <c r="AO9" s="84">
        <v>0</v>
      </c>
      <c r="AP9" s="84">
        <v>0</v>
      </c>
      <c r="AQ9" s="84">
        <v>0</v>
      </c>
      <c r="AR9" s="84">
        <v>0</v>
      </c>
      <c r="AS9" s="84">
        <v>0</v>
      </c>
      <c r="AT9" s="84">
        <v>0</v>
      </c>
      <c r="AU9" s="84">
        <v>0</v>
      </c>
      <c r="AV9" s="84">
        <v>0</v>
      </c>
      <c r="AW9" s="82">
        <v>50</v>
      </c>
      <c r="AX9" s="82">
        <f t="shared" si="11"/>
        <v>1700</v>
      </c>
    </row>
    <row r="10" spans="1:50" ht="18" x14ac:dyDescent="0.3">
      <c r="A10" s="82">
        <f t="shared" ca="1" si="2"/>
        <v>132.43522128062526</v>
      </c>
      <c r="B10" s="6">
        <v>6</v>
      </c>
      <c r="C10" s="84" t="s">
        <v>6</v>
      </c>
      <c r="D10" s="92">
        <v>86</v>
      </c>
      <c r="E10" s="6">
        <v>0.5</v>
      </c>
      <c r="F10" s="6">
        <v>76</v>
      </c>
      <c r="G10" s="95">
        <f t="shared" si="3"/>
        <v>43</v>
      </c>
      <c r="H10" s="97">
        <f t="shared" si="4"/>
        <v>3268</v>
      </c>
      <c r="I10" s="88">
        <f t="shared" si="5"/>
        <v>1.1450737602084224</v>
      </c>
      <c r="J10" s="89">
        <f t="shared" si="6"/>
        <v>44.145073760208419</v>
      </c>
      <c r="K10" s="89">
        <f t="shared" si="7"/>
        <v>3355.0256057758397</v>
      </c>
      <c r="L10" s="96">
        <v>50</v>
      </c>
      <c r="M10" s="87">
        <f t="shared" si="8"/>
        <v>3800</v>
      </c>
      <c r="N10" s="87">
        <f t="shared" ca="1" si="9"/>
        <v>3550</v>
      </c>
      <c r="O10" s="91">
        <f t="shared" ca="1" si="10"/>
        <v>3</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f ca="1">SUMIFS('Tổng Đơn'!$F:$F,'Tổng Đơn'!$B:$B,$C10)</f>
        <v>2</v>
      </c>
      <c r="AN10" s="84">
        <v>0</v>
      </c>
      <c r="AO10" s="84">
        <v>0</v>
      </c>
      <c r="AP10" s="84">
        <v>0</v>
      </c>
      <c r="AQ10" s="84">
        <v>0</v>
      </c>
      <c r="AR10" s="84">
        <v>0</v>
      </c>
      <c r="AS10" s="84">
        <v>0</v>
      </c>
      <c r="AT10" s="84">
        <v>0</v>
      </c>
      <c r="AU10" s="84">
        <v>0</v>
      </c>
      <c r="AV10" s="84">
        <v>0</v>
      </c>
      <c r="AX10" s="82">
        <f t="shared" si="11"/>
        <v>0</v>
      </c>
    </row>
    <row r="11" spans="1:50" ht="18" x14ac:dyDescent="0.3">
      <c r="A11" s="82">
        <f t="shared" ca="1" si="2"/>
        <v>0</v>
      </c>
      <c r="B11" s="6">
        <v>7</v>
      </c>
      <c r="C11" s="84" t="s">
        <v>288</v>
      </c>
      <c r="D11" s="92">
        <v>55</v>
      </c>
      <c r="E11" s="6">
        <v>0.5</v>
      </c>
      <c r="F11" s="6">
        <v>20</v>
      </c>
      <c r="G11" s="95">
        <f t="shared" si="3"/>
        <v>27.5</v>
      </c>
      <c r="H11" s="97">
        <f t="shared" si="4"/>
        <v>550</v>
      </c>
      <c r="I11" s="88">
        <f t="shared" si="5"/>
        <v>0.73231461408678178</v>
      </c>
      <c r="J11" s="89">
        <f t="shared" si="6"/>
        <v>28.232314614086782</v>
      </c>
      <c r="K11" s="89">
        <f t="shared" si="7"/>
        <v>564.64629228173567</v>
      </c>
      <c r="L11" s="96">
        <v>34</v>
      </c>
      <c r="M11" s="87">
        <f t="shared" si="8"/>
        <v>680</v>
      </c>
      <c r="N11" s="87">
        <f t="shared" ca="1" si="9"/>
        <v>680</v>
      </c>
      <c r="O11" s="91">
        <f t="shared" ca="1"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f ca="1">SUMIFS('Tổng Đơn'!$F:$F,'Tổng Đơn'!$B:$B,$C11)</f>
        <v>0</v>
      </c>
      <c r="AN11" s="84">
        <v>0</v>
      </c>
      <c r="AO11" s="84">
        <v>0</v>
      </c>
      <c r="AP11" s="84">
        <v>0</v>
      </c>
      <c r="AQ11" s="84">
        <v>0</v>
      </c>
      <c r="AR11" s="84">
        <v>0</v>
      </c>
      <c r="AS11" s="84">
        <v>0</v>
      </c>
      <c r="AT11" s="84">
        <v>0</v>
      </c>
      <c r="AU11" s="84">
        <v>0</v>
      </c>
      <c r="AV11" s="84">
        <v>0</v>
      </c>
      <c r="AX11" s="82">
        <f t="shared" si="11"/>
        <v>0</v>
      </c>
    </row>
    <row r="12" spans="1:50" ht="19.5" customHeight="1" x14ac:dyDescent="0.3">
      <c r="A12" s="82">
        <f t="shared" ca="1" si="2"/>
        <v>885.46804925999459</v>
      </c>
      <c r="B12" s="6">
        <v>8</v>
      </c>
      <c r="C12" s="84" t="s">
        <v>8</v>
      </c>
      <c r="D12" s="92">
        <v>115</v>
      </c>
      <c r="E12" s="6">
        <v>0.5</v>
      </c>
      <c r="F12" s="6">
        <v>38</v>
      </c>
      <c r="G12" s="95">
        <f t="shared" si="3"/>
        <v>57.5</v>
      </c>
      <c r="H12" s="97">
        <f t="shared" si="4"/>
        <v>2185</v>
      </c>
      <c r="I12" s="88">
        <f t="shared" si="5"/>
        <v>1.5312032839996348</v>
      </c>
      <c r="J12" s="89">
        <f t="shared" si="6"/>
        <v>59.031203283999638</v>
      </c>
      <c r="K12" s="89">
        <f t="shared" si="7"/>
        <v>2243.1857247919861</v>
      </c>
      <c r="L12" s="96">
        <v>69</v>
      </c>
      <c r="M12" s="87">
        <f t="shared" si="8"/>
        <v>2622</v>
      </c>
      <c r="N12" s="87">
        <f t="shared" ca="1" si="9"/>
        <v>1518</v>
      </c>
      <c r="O12" s="91">
        <f t="shared" ca="1" si="10"/>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f ca="1">SUMIFS('Tổng Đơn'!$F:$F,'Tổng Đơn'!$B:$B,$C12)</f>
        <v>0</v>
      </c>
      <c r="AN12" s="84">
        <v>0</v>
      </c>
      <c r="AO12" s="84">
        <v>0</v>
      </c>
      <c r="AP12" s="84">
        <v>0</v>
      </c>
      <c r="AQ12" s="84">
        <v>0</v>
      </c>
      <c r="AR12" s="84">
        <v>0</v>
      </c>
      <c r="AS12" s="84">
        <v>0</v>
      </c>
      <c r="AT12" s="84">
        <v>0</v>
      </c>
      <c r="AU12" s="84">
        <v>0</v>
      </c>
      <c r="AV12" s="84">
        <v>0</v>
      </c>
      <c r="AX12" s="82">
        <f t="shared" si="11"/>
        <v>0</v>
      </c>
    </row>
    <row r="13" spans="1:50" ht="18" x14ac:dyDescent="0.3">
      <c r="A13" s="82">
        <f t="shared" ca="1" si="2"/>
        <v>1919.7973937579013</v>
      </c>
      <c r="B13" s="6">
        <v>9</v>
      </c>
      <c r="C13" s="84" t="s">
        <v>9</v>
      </c>
      <c r="D13" s="92">
        <v>85</v>
      </c>
      <c r="E13" s="6">
        <v>0.5</v>
      </c>
      <c r="F13" s="6">
        <f>190+30</f>
        <v>220</v>
      </c>
      <c r="G13" s="95">
        <f t="shared" si="3"/>
        <v>42.5</v>
      </c>
      <c r="H13" s="97">
        <f t="shared" si="4"/>
        <v>9350</v>
      </c>
      <c r="I13" s="88">
        <f t="shared" si="5"/>
        <v>1.1317589490432083</v>
      </c>
      <c r="J13" s="89">
        <f t="shared" si="6"/>
        <v>43.63175894904321</v>
      </c>
      <c r="K13" s="89">
        <f t="shared" si="7"/>
        <v>9598.9869687895061</v>
      </c>
      <c r="L13" s="96">
        <v>55</v>
      </c>
      <c r="M13" s="87">
        <f t="shared" si="8"/>
        <v>12100</v>
      </c>
      <c r="N13" s="87">
        <f t="shared" ca="1" si="9"/>
        <v>9570</v>
      </c>
      <c r="O13" s="91">
        <f t="shared" ca="1" si="10"/>
        <v>44</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f ca="1">SUMIFS('Tổng Đơn'!$F:$F,'Tổng Đơn'!$B:$B,$C13)</f>
        <v>0</v>
      </c>
      <c r="AN13" s="84">
        <v>0</v>
      </c>
      <c r="AO13" s="84">
        <v>0</v>
      </c>
      <c r="AP13" s="84">
        <v>0</v>
      </c>
      <c r="AQ13" s="84">
        <v>0</v>
      </c>
      <c r="AR13" s="84">
        <v>0</v>
      </c>
      <c r="AS13" s="84">
        <v>0</v>
      </c>
      <c r="AT13" s="84">
        <v>0</v>
      </c>
      <c r="AU13" s="84">
        <v>0</v>
      </c>
      <c r="AV13" s="84">
        <v>0</v>
      </c>
      <c r="AX13" s="82">
        <f t="shared" si="11"/>
        <v>0</v>
      </c>
    </row>
    <row r="14" spans="1:50" ht="18" x14ac:dyDescent="0.3">
      <c r="A14" s="82">
        <f t="shared" ca="1" si="2"/>
        <v>83.156999408764705</v>
      </c>
      <c r="B14" s="6">
        <v>10</v>
      </c>
      <c r="C14" s="84" t="s">
        <v>10</v>
      </c>
      <c r="D14" s="92">
        <v>54</v>
      </c>
      <c r="E14" s="6">
        <v>0.5</v>
      </c>
      <c r="F14" s="6">
        <v>30</v>
      </c>
      <c r="G14" s="95">
        <f t="shared" si="3"/>
        <v>27</v>
      </c>
      <c r="H14" s="97">
        <f t="shared" si="4"/>
        <v>810</v>
      </c>
      <c r="I14" s="88">
        <f t="shared" si="5"/>
        <v>0.71899980292156762</v>
      </c>
      <c r="J14" s="89">
        <f t="shared" si="6"/>
        <v>27.718999802921566</v>
      </c>
      <c r="K14" s="89">
        <f t="shared" si="7"/>
        <v>831.56999408764693</v>
      </c>
      <c r="L14" s="96">
        <v>32</v>
      </c>
      <c r="M14" s="87">
        <f t="shared" si="8"/>
        <v>960</v>
      </c>
      <c r="N14" s="87">
        <f t="shared" ca="1" si="9"/>
        <v>864</v>
      </c>
      <c r="O14" s="91">
        <f t="shared" ca="1" si="10"/>
        <v>3</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f ca="1">SUMIFS('Tổng Đơn'!$F:$F,'Tổng Đơn'!$B:$B,$C14)</f>
        <v>0</v>
      </c>
      <c r="AN14" s="84">
        <v>0</v>
      </c>
      <c r="AO14" s="84">
        <v>0</v>
      </c>
      <c r="AP14" s="84">
        <v>0</v>
      </c>
      <c r="AQ14" s="84">
        <v>0</v>
      </c>
      <c r="AR14" s="84">
        <v>0</v>
      </c>
      <c r="AS14" s="84">
        <v>0</v>
      </c>
      <c r="AT14" s="84">
        <v>0</v>
      </c>
      <c r="AU14" s="84">
        <v>0</v>
      </c>
      <c r="AV14" s="84">
        <v>0</v>
      </c>
      <c r="AX14" s="82">
        <f t="shared" si="11"/>
        <v>0</v>
      </c>
    </row>
    <row r="15" spans="1:50" ht="18" x14ac:dyDescent="0.3">
      <c r="A15" s="82">
        <f t="shared" ca="1" si="2"/>
        <v>0</v>
      </c>
      <c r="B15" s="6">
        <v>11</v>
      </c>
      <c r="C15" s="84" t="s">
        <v>11</v>
      </c>
      <c r="D15" s="92">
        <v>54</v>
      </c>
      <c r="E15" s="6">
        <v>0.5</v>
      </c>
      <c r="F15" s="6">
        <v>10</v>
      </c>
      <c r="G15" s="95">
        <f t="shared" si="3"/>
        <v>27</v>
      </c>
      <c r="H15" s="97">
        <f t="shared" si="4"/>
        <v>270</v>
      </c>
      <c r="I15" s="88">
        <f t="shared" si="5"/>
        <v>0.71899980292156762</v>
      </c>
      <c r="J15" s="89">
        <f t="shared" si="6"/>
        <v>27.718999802921566</v>
      </c>
      <c r="K15" s="89">
        <f t="shared" si="7"/>
        <v>277.18999802921564</v>
      </c>
      <c r="L15" s="96">
        <v>35</v>
      </c>
      <c r="M15" s="87">
        <f t="shared" si="8"/>
        <v>350</v>
      </c>
      <c r="N15" s="87">
        <f t="shared" ca="1" si="9"/>
        <v>350</v>
      </c>
      <c r="O15" s="91">
        <f t="shared" ca="1"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f ca="1">SUMIFS('Tổng Đơn'!$F:$F,'Tổng Đơn'!$B:$B,$C15)</f>
        <v>0</v>
      </c>
      <c r="AN15" s="84">
        <v>0</v>
      </c>
      <c r="AO15" s="84">
        <v>0</v>
      </c>
      <c r="AP15" s="84">
        <v>0</v>
      </c>
      <c r="AQ15" s="84">
        <v>0</v>
      </c>
      <c r="AR15" s="84">
        <v>0</v>
      </c>
      <c r="AS15" s="84">
        <v>0</v>
      </c>
      <c r="AT15" s="84">
        <v>0</v>
      </c>
      <c r="AU15" s="84">
        <v>0</v>
      </c>
      <c r="AV15" s="84">
        <v>0</v>
      </c>
      <c r="AX15" s="82">
        <f t="shared" si="11"/>
        <v>0</v>
      </c>
    </row>
    <row r="16" spans="1:50" ht="18" x14ac:dyDescent="0.3">
      <c r="A16" s="82">
        <f t="shared" ca="1" si="2"/>
        <v>0</v>
      </c>
      <c r="B16" s="6">
        <v>12</v>
      </c>
      <c r="C16" s="84" t="s">
        <v>12</v>
      </c>
      <c r="D16" s="92">
        <v>41</v>
      </c>
      <c r="E16" s="6">
        <v>0.5</v>
      </c>
      <c r="F16" s="6">
        <v>160</v>
      </c>
      <c r="G16" s="95">
        <f t="shared" si="3"/>
        <v>20.5</v>
      </c>
      <c r="H16" s="97">
        <f t="shared" si="4"/>
        <v>3280</v>
      </c>
      <c r="I16" s="88">
        <f t="shared" si="5"/>
        <v>0.54590725777378268</v>
      </c>
      <c r="J16" s="89">
        <f t="shared" si="6"/>
        <v>21.045907257773784</v>
      </c>
      <c r="K16" s="89">
        <f t="shared" si="7"/>
        <v>3367.3451612438057</v>
      </c>
      <c r="L16" s="96">
        <v>26</v>
      </c>
      <c r="M16" s="87">
        <f t="shared" si="8"/>
        <v>4160</v>
      </c>
      <c r="N16" s="87">
        <f t="shared" ca="1" si="9"/>
        <v>4160</v>
      </c>
      <c r="O16" s="91">
        <f t="shared" ca="1" si="10"/>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f ca="1">SUMIFS('Tổng Đơn'!$F:$F,'Tổng Đơn'!$B:$B,$C16)</f>
        <v>0</v>
      </c>
      <c r="AN16" s="84">
        <v>0</v>
      </c>
      <c r="AO16" s="84">
        <v>0</v>
      </c>
      <c r="AP16" s="84">
        <v>0</v>
      </c>
      <c r="AQ16" s="84">
        <v>0</v>
      </c>
      <c r="AR16" s="84">
        <v>0</v>
      </c>
      <c r="AS16" s="84">
        <v>0</v>
      </c>
      <c r="AT16" s="84">
        <v>0</v>
      </c>
      <c r="AU16" s="84">
        <v>0</v>
      </c>
      <c r="AV16" s="84">
        <v>0</v>
      </c>
      <c r="AX16" s="82">
        <f t="shared" si="11"/>
        <v>0</v>
      </c>
    </row>
    <row r="17" spans="1:50" ht="18" x14ac:dyDescent="0.3">
      <c r="A17" s="82">
        <f t="shared" ca="1" si="2"/>
        <v>0</v>
      </c>
      <c r="B17" s="6">
        <v>13</v>
      </c>
      <c r="C17" s="84" t="s">
        <v>13</v>
      </c>
      <c r="D17" s="92">
        <v>41</v>
      </c>
      <c r="E17" s="6">
        <v>0.5</v>
      </c>
      <c r="F17" s="6">
        <v>110</v>
      </c>
      <c r="G17" s="95">
        <f t="shared" si="3"/>
        <v>20.5</v>
      </c>
      <c r="H17" s="97">
        <f t="shared" si="4"/>
        <v>2255</v>
      </c>
      <c r="I17" s="88">
        <f t="shared" si="5"/>
        <v>0.54590725777378279</v>
      </c>
      <c r="J17" s="89">
        <f t="shared" si="6"/>
        <v>21.045907257773784</v>
      </c>
      <c r="K17" s="89">
        <f t="shared" si="7"/>
        <v>2315.0497983551163</v>
      </c>
      <c r="L17" s="96">
        <v>28</v>
      </c>
      <c r="M17" s="87">
        <f t="shared" si="8"/>
        <v>3080</v>
      </c>
      <c r="N17" s="87">
        <f t="shared" ca="1" si="9"/>
        <v>3080</v>
      </c>
      <c r="O17" s="91">
        <f t="shared" ca="1" si="10"/>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f ca="1">SUMIFS('Tổng Đơn'!$F:$F,'Tổng Đơn'!$B:$B,$C17)</f>
        <v>0</v>
      </c>
      <c r="AN17" s="84">
        <v>0</v>
      </c>
      <c r="AO17" s="84">
        <v>0</v>
      </c>
      <c r="AP17" s="84">
        <v>0</v>
      </c>
      <c r="AQ17" s="84">
        <v>0</v>
      </c>
      <c r="AR17" s="84">
        <v>0</v>
      </c>
      <c r="AS17" s="84">
        <v>0</v>
      </c>
      <c r="AT17" s="84">
        <v>0</v>
      </c>
      <c r="AU17" s="84">
        <v>0</v>
      </c>
      <c r="AV17" s="84">
        <v>0</v>
      </c>
      <c r="AX17" s="82">
        <f t="shared" si="11"/>
        <v>0</v>
      </c>
    </row>
    <row r="18" spans="1:50" ht="18" x14ac:dyDescent="0.3">
      <c r="A18" s="82">
        <f t="shared" ca="1" si="2"/>
        <v>677.57555073808271</v>
      </c>
      <c r="B18" s="6">
        <v>14</v>
      </c>
      <c r="C18" s="84" t="s">
        <v>14</v>
      </c>
      <c r="D18" s="92">
        <v>55</v>
      </c>
      <c r="E18" s="6">
        <v>0.5</v>
      </c>
      <c r="F18" s="6">
        <f>330+50</f>
        <v>380</v>
      </c>
      <c r="G18" s="95">
        <f t="shared" si="3"/>
        <v>27.5</v>
      </c>
      <c r="H18" s="97">
        <f t="shared" si="4"/>
        <v>10450</v>
      </c>
      <c r="I18" s="88">
        <f t="shared" si="5"/>
        <v>0.73231461408678178</v>
      </c>
      <c r="J18" s="89">
        <f t="shared" si="6"/>
        <v>28.232314614086782</v>
      </c>
      <c r="K18" s="89">
        <f t="shared" si="7"/>
        <v>10728.279553352977</v>
      </c>
      <c r="L18" s="96">
        <v>33</v>
      </c>
      <c r="M18" s="87">
        <f t="shared" si="8"/>
        <v>12540</v>
      </c>
      <c r="N18" s="87">
        <f t="shared" ca="1" si="9"/>
        <v>11814</v>
      </c>
      <c r="O18" s="91">
        <f t="shared" ca="1" si="10"/>
        <v>24</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f ca="1">SUMIFS('Tổng Đơn'!$F:$F,'Tổng Đơn'!$B:$B,$C18)</f>
        <v>1</v>
      </c>
      <c r="AN18" s="84">
        <v>0</v>
      </c>
      <c r="AO18" s="84">
        <v>0</v>
      </c>
      <c r="AP18" s="84">
        <v>0</v>
      </c>
      <c r="AQ18" s="84">
        <v>0</v>
      </c>
      <c r="AR18" s="84">
        <v>0</v>
      </c>
      <c r="AS18" s="84">
        <v>0</v>
      </c>
      <c r="AT18" s="84">
        <v>0</v>
      </c>
      <c r="AU18" s="84">
        <v>0</v>
      </c>
      <c r="AV18" s="84">
        <v>0</v>
      </c>
      <c r="AX18" s="82">
        <f t="shared" si="11"/>
        <v>0</v>
      </c>
    </row>
    <row r="19" spans="1:50" ht="18" x14ac:dyDescent="0.3">
      <c r="A19" s="82">
        <f t="shared" ca="1" si="2"/>
        <v>0</v>
      </c>
      <c r="B19" s="6">
        <v>15</v>
      </c>
      <c r="C19" s="84" t="s">
        <v>15</v>
      </c>
      <c r="D19" s="92">
        <v>60</v>
      </c>
      <c r="E19" s="6">
        <v>0.5</v>
      </c>
      <c r="F19" s="6">
        <v>10</v>
      </c>
      <c r="G19" s="95">
        <f t="shared" si="3"/>
        <v>30</v>
      </c>
      <c r="H19" s="97">
        <f t="shared" si="4"/>
        <v>300</v>
      </c>
      <c r="I19" s="88">
        <f t="shared" si="5"/>
        <v>0.7988886699128529</v>
      </c>
      <c r="J19" s="89">
        <f t="shared" si="6"/>
        <v>30.798888669912852</v>
      </c>
      <c r="K19" s="89">
        <f t="shared" si="7"/>
        <v>307.9888866991285</v>
      </c>
      <c r="L19" s="96">
        <v>35</v>
      </c>
      <c r="M19" s="87">
        <f t="shared" si="8"/>
        <v>350</v>
      </c>
      <c r="N19" s="87">
        <f t="shared" ca="1" si="9"/>
        <v>350</v>
      </c>
      <c r="O19" s="91">
        <f t="shared" ca="1" si="10"/>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f ca="1">SUMIFS('Tổng Đơn'!$F:$F,'Tổng Đơn'!$B:$B,$C19)</f>
        <v>0</v>
      </c>
      <c r="AN19" s="84">
        <v>0</v>
      </c>
      <c r="AO19" s="84">
        <v>0</v>
      </c>
      <c r="AP19" s="84">
        <v>0</v>
      </c>
      <c r="AQ19" s="84">
        <v>0</v>
      </c>
      <c r="AR19" s="84">
        <v>0</v>
      </c>
      <c r="AS19" s="84">
        <v>0</v>
      </c>
      <c r="AT19" s="84">
        <v>0</v>
      </c>
      <c r="AU19" s="84">
        <v>0</v>
      </c>
      <c r="AV19" s="84">
        <v>0</v>
      </c>
      <c r="AX19" s="82">
        <f t="shared" si="11"/>
        <v>0</v>
      </c>
    </row>
    <row r="20" spans="1:50" ht="18" x14ac:dyDescent="0.3">
      <c r="A20" s="82">
        <f t="shared" si="2"/>
        <v>0</v>
      </c>
      <c r="B20" s="6">
        <v>16</v>
      </c>
      <c r="C20" s="84" t="s">
        <v>160</v>
      </c>
      <c r="D20" s="92">
        <v>54</v>
      </c>
      <c r="E20" s="6">
        <v>0.5</v>
      </c>
      <c r="F20" s="6">
        <v>10</v>
      </c>
      <c r="G20" s="95">
        <f t="shared" si="3"/>
        <v>27</v>
      </c>
      <c r="H20" s="97">
        <f t="shared" si="4"/>
        <v>270</v>
      </c>
      <c r="I20" s="88">
        <f t="shared" si="5"/>
        <v>0.71899980292156762</v>
      </c>
      <c r="J20" s="89">
        <f t="shared" ref="J20:J24" si="12">G20+I20</f>
        <v>27.718999802921566</v>
      </c>
      <c r="K20" s="89">
        <f t="shared" si="7"/>
        <v>277.18999802921564</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f>SUMIFS('Tổng Đơn'!$F:$F,'Tổng Đơn'!$B:$B,$C20)</f>
        <v>0</v>
      </c>
      <c r="AN20" s="84">
        <v>0</v>
      </c>
      <c r="AO20" s="84">
        <v>0</v>
      </c>
      <c r="AP20" s="84">
        <v>0</v>
      </c>
      <c r="AQ20" s="84">
        <v>0</v>
      </c>
      <c r="AR20" s="84">
        <v>0</v>
      </c>
      <c r="AS20" s="84">
        <v>0</v>
      </c>
      <c r="AT20" s="84">
        <v>0</v>
      </c>
      <c r="AU20" s="84">
        <v>0</v>
      </c>
      <c r="AV20" s="84">
        <v>0</v>
      </c>
      <c r="AX20" s="82">
        <f t="shared" si="11"/>
        <v>0</v>
      </c>
    </row>
    <row r="21" spans="1:50" ht="18" x14ac:dyDescent="0.3">
      <c r="A21" s="82">
        <f t="shared" ca="1" si="2"/>
        <v>0</v>
      </c>
      <c r="B21" s="6">
        <v>17</v>
      </c>
      <c r="C21" s="84" t="s">
        <v>289</v>
      </c>
      <c r="D21" s="92">
        <v>62</v>
      </c>
      <c r="E21" s="6">
        <v>0.5</v>
      </c>
      <c r="F21" s="6">
        <v>135</v>
      </c>
      <c r="G21" s="95">
        <f t="shared" si="3"/>
        <v>31</v>
      </c>
      <c r="H21" s="97">
        <f t="shared" si="4"/>
        <v>4185</v>
      </c>
      <c r="I21" s="88">
        <f t="shared" si="5"/>
        <v>0.82551829224328133</v>
      </c>
      <c r="J21" s="89">
        <f t="shared" si="12"/>
        <v>31.825518292243281</v>
      </c>
      <c r="K21" s="89">
        <f t="shared" si="7"/>
        <v>4296.444969452843</v>
      </c>
      <c r="L21" s="96">
        <v>40</v>
      </c>
      <c r="M21" s="87">
        <f t="shared" si="8"/>
        <v>5400</v>
      </c>
      <c r="N21" s="87">
        <f t="shared" ca="1" si="9"/>
        <v>5400</v>
      </c>
      <c r="O21" s="91">
        <f t="shared" ca="1" si="10"/>
        <v>0</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f ca="1">SUMIFS('Tổng Đơn'!$F:$F,'Tổng Đơn'!$B:$B,$C21)</f>
        <v>0</v>
      </c>
      <c r="AN21" s="84">
        <v>0</v>
      </c>
      <c r="AO21" s="84">
        <v>0</v>
      </c>
      <c r="AP21" s="84">
        <v>0</v>
      </c>
      <c r="AQ21" s="84">
        <v>0</v>
      </c>
      <c r="AR21" s="84">
        <v>0</v>
      </c>
      <c r="AS21" s="84">
        <v>0</v>
      </c>
      <c r="AT21" s="84">
        <v>0</v>
      </c>
      <c r="AU21" s="84">
        <v>0</v>
      </c>
      <c r="AV21" s="84">
        <v>0</v>
      </c>
      <c r="AX21" s="82">
        <f t="shared" si="11"/>
        <v>0</v>
      </c>
    </row>
    <row r="22" spans="1:50" ht="18" x14ac:dyDescent="0.3">
      <c r="A22" s="82">
        <f t="shared" ca="1" si="2"/>
        <v>0</v>
      </c>
      <c r="B22" s="6">
        <v>18</v>
      </c>
      <c r="C22" s="84" t="s">
        <v>138</v>
      </c>
      <c r="D22" s="92">
        <v>43</v>
      </c>
      <c r="E22" s="6">
        <v>0.5</v>
      </c>
      <c r="F22" s="6">
        <v>25</v>
      </c>
      <c r="G22" s="95">
        <f t="shared" si="3"/>
        <v>21.5</v>
      </c>
      <c r="H22" s="97">
        <f t="shared" si="4"/>
        <v>537.5</v>
      </c>
      <c r="I22" s="88">
        <f t="shared" si="5"/>
        <v>0.57253688010421133</v>
      </c>
      <c r="J22" s="89">
        <f t="shared" si="12"/>
        <v>22.072536880104213</v>
      </c>
      <c r="K22" s="89">
        <f t="shared" si="7"/>
        <v>551.81342200260531</v>
      </c>
      <c r="L22" s="96">
        <v>35</v>
      </c>
      <c r="M22" s="87">
        <f t="shared" si="8"/>
        <v>875</v>
      </c>
      <c r="N22" s="87">
        <f t="shared" ca="1" si="9"/>
        <v>875</v>
      </c>
      <c r="O22" s="91">
        <f t="shared" ca="1" si="10"/>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f ca="1">SUMIFS('Tổng Đơn'!$F:$F,'Tổng Đơn'!$B:$B,$C22)</f>
        <v>0</v>
      </c>
      <c r="AN22" s="84">
        <v>0</v>
      </c>
      <c r="AO22" s="84">
        <v>0</v>
      </c>
      <c r="AP22" s="84">
        <v>0</v>
      </c>
      <c r="AQ22" s="84">
        <v>0</v>
      </c>
      <c r="AR22" s="84">
        <v>0</v>
      </c>
      <c r="AS22" s="84">
        <v>0</v>
      </c>
      <c r="AT22" s="84">
        <v>0</v>
      </c>
      <c r="AU22" s="84">
        <v>0</v>
      </c>
      <c r="AV22" s="84">
        <v>0</v>
      </c>
      <c r="AX22" s="82">
        <f t="shared" si="11"/>
        <v>0</v>
      </c>
    </row>
    <row r="23" spans="1:50" ht="18" x14ac:dyDescent="0.3">
      <c r="A23" s="82">
        <f t="shared" ca="1" si="2"/>
        <v>89.31677714274727</v>
      </c>
      <c r="B23" s="6">
        <v>19</v>
      </c>
      <c r="C23" s="84" t="s">
        <v>173</v>
      </c>
      <c r="D23" s="92">
        <v>43.5</v>
      </c>
      <c r="E23" s="6">
        <v>0.5</v>
      </c>
      <c r="F23" s="6">
        <v>70</v>
      </c>
      <c r="G23" s="95">
        <f t="shared" si="3"/>
        <v>21.75</v>
      </c>
      <c r="H23" s="97">
        <f t="shared" si="4"/>
        <v>1522.5</v>
      </c>
      <c r="I23" s="88">
        <f t="shared" si="5"/>
        <v>0.5791942856868183</v>
      </c>
      <c r="J23" s="89">
        <f t="shared" si="12"/>
        <v>22.329194285686818</v>
      </c>
      <c r="K23" s="89">
        <f t="shared" si="7"/>
        <v>1563.0435999980773</v>
      </c>
      <c r="L23" s="96">
        <v>30</v>
      </c>
      <c r="M23" s="87">
        <f t="shared" si="8"/>
        <v>2100</v>
      </c>
      <c r="N23" s="87">
        <f t="shared" ca="1" si="9"/>
        <v>1980</v>
      </c>
      <c r="O23" s="91">
        <f t="shared" ca="1" si="10"/>
        <v>4</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f ca="1">SUMIFS('Tổng Đơn'!$F:$F,'Tổng Đơn'!$B:$B,$C23)</f>
        <v>0</v>
      </c>
      <c r="AN23" s="84">
        <v>0</v>
      </c>
      <c r="AO23" s="84">
        <v>0</v>
      </c>
      <c r="AP23" s="84">
        <v>0</v>
      </c>
      <c r="AQ23" s="84">
        <v>0</v>
      </c>
      <c r="AR23" s="84">
        <v>0</v>
      </c>
      <c r="AS23" s="84">
        <v>0</v>
      </c>
      <c r="AT23" s="84">
        <v>0</v>
      </c>
      <c r="AU23" s="84">
        <v>0</v>
      </c>
      <c r="AV23" s="84">
        <v>0</v>
      </c>
      <c r="AX23" s="82">
        <f t="shared" si="11"/>
        <v>0</v>
      </c>
    </row>
    <row r="24" spans="1:50" ht="18" x14ac:dyDescent="0.3">
      <c r="A24" s="82">
        <f t="shared" ca="1" si="2"/>
        <v>1000.9638817721677</v>
      </c>
      <c r="B24" s="6">
        <v>20</v>
      </c>
      <c r="C24" s="84" t="s">
        <v>171</v>
      </c>
      <c r="D24" s="92">
        <v>39</v>
      </c>
      <c r="E24" s="6">
        <v>1</v>
      </c>
      <c r="F24" s="6">
        <f>105+35+40+30</f>
        <v>210</v>
      </c>
      <c r="G24" s="95">
        <f t="shared" si="3"/>
        <v>39</v>
      </c>
      <c r="H24" s="97">
        <f t="shared" si="4"/>
        <v>8190</v>
      </c>
      <c r="I24" s="88">
        <f t="shared" si="5"/>
        <v>1.0385552708867087</v>
      </c>
      <c r="J24" s="89">
        <f t="shared" si="12"/>
        <v>40.038555270886711</v>
      </c>
      <c r="K24" s="89">
        <f t="shared" si="7"/>
        <v>8408.096606886209</v>
      </c>
      <c r="L24" s="96">
        <v>45</v>
      </c>
      <c r="M24" s="87">
        <f t="shared" si="8"/>
        <v>9450</v>
      </c>
      <c r="N24" s="87">
        <f ca="1">SUMPRODUCT($L24*($Q24:$AV24))</f>
        <v>8370</v>
      </c>
      <c r="O24" s="91">
        <f t="shared" ca="1" si="10"/>
        <v>25</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f ca="1">SUMIFS('Tổng Đơn'!$F:$F,'Tổng Đơn'!$B:$B,$C24)</f>
        <v>6</v>
      </c>
      <c r="AN24" s="84">
        <v>0</v>
      </c>
      <c r="AO24" s="84">
        <v>0</v>
      </c>
      <c r="AP24" s="84">
        <v>0</v>
      </c>
      <c r="AQ24" s="84">
        <v>0</v>
      </c>
      <c r="AR24" s="84">
        <v>0</v>
      </c>
      <c r="AS24" s="84">
        <v>0</v>
      </c>
      <c r="AT24" s="84">
        <v>0</v>
      </c>
      <c r="AU24" s="84">
        <v>0</v>
      </c>
      <c r="AV24" s="84">
        <v>0</v>
      </c>
      <c r="AW24" s="82">
        <v>30</v>
      </c>
      <c r="AX24" s="82">
        <f t="shared" si="11"/>
        <v>1170</v>
      </c>
    </row>
    <row r="25" spans="1:50" ht="18" x14ac:dyDescent="0.3">
      <c r="A25" s="82">
        <f t="shared" ca="1" si="2"/>
        <v>2605.0726666634619</v>
      </c>
      <c r="B25" s="6">
        <v>21</v>
      </c>
      <c r="C25" s="84" t="s">
        <v>169</v>
      </c>
      <c r="D25" s="92">
        <v>145</v>
      </c>
      <c r="E25" s="6">
        <v>0.5</v>
      </c>
      <c r="F25" s="6">
        <f>76+40+40</f>
        <v>156</v>
      </c>
      <c r="G25" s="95">
        <f t="shared" si="3"/>
        <v>72.5</v>
      </c>
      <c r="H25" s="97">
        <f t="shared" si="4"/>
        <v>11310</v>
      </c>
      <c r="I25" s="88">
        <f t="shared" si="5"/>
        <v>1.9306476189560609</v>
      </c>
      <c r="J25" s="89">
        <f>G25+I25</f>
        <v>74.430647618956058</v>
      </c>
      <c r="K25" s="89">
        <f t="shared" si="7"/>
        <v>11611.181028557145</v>
      </c>
      <c r="L25" s="96">
        <v>80</v>
      </c>
      <c r="M25" s="87">
        <f t="shared" si="8"/>
        <v>12480</v>
      </c>
      <c r="N25" s="87">
        <f t="shared" ca="1" si="9"/>
        <v>9680</v>
      </c>
      <c r="O25" s="91">
        <f t="shared" ca="1" si="10"/>
        <v>35</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f ca="1">SUMIFS('Tổng Đơn'!$F:$F,'Tổng Đơn'!$B:$B,$C25)</f>
        <v>1</v>
      </c>
      <c r="AN25" s="84">
        <v>0</v>
      </c>
      <c r="AO25" s="84">
        <v>0</v>
      </c>
      <c r="AP25" s="84">
        <v>0</v>
      </c>
      <c r="AQ25" s="84">
        <v>0</v>
      </c>
      <c r="AR25" s="84">
        <v>0</v>
      </c>
      <c r="AS25" s="84">
        <v>0</v>
      </c>
      <c r="AT25" s="84">
        <v>0</v>
      </c>
      <c r="AU25" s="84">
        <v>0</v>
      </c>
      <c r="AV25" s="84">
        <v>0</v>
      </c>
      <c r="AX25" s="82">
        <f t="shared" si="11"/>
        <v>0</v>
      </c>
    </row>
    <row r="26" spans="1:50" ht="18" x14ac:dyDescent="0.3">
      <c r="A26" s="82">
        <f t="shared" ca="1" si="2"/>
        <v>1000.9638817721677</v>
      </c>
      <c r="B26" s="6">
        <v>22</v>
      </c>
      <c r="C26" s="84" t="s">
        <v>286</v>
      </c>
      <c r="D26" s="92">
        <v>78</v>
      </c>
      <c r="E26" s="6">
        <v>0.5</v>
      </c>
      <c r="F26" s="6">
        <v>27</v>
      </c>
      <c r="G26" s="95">
        <f t="shared" si="3"/>
        <v>39</v>
      </c>
      <c r="H26" s="97">
        <f t="shared" si="4"/>
        <v>1053</v>
      </c>
      <c r="I26" s="88">
        <f t="shared" ref="I26:I30" si="13">((H26/$H$4)*$A$2)/F26</f>
        <v>1.0385552708867087</v>
      </c>
      <c r="J26" s="89">
        <f t="shared" ref="J26:J30" si="14">G26+I26</f>
        <v>40.038555270886711</v>
      </c>
      <c r="K26" s="89">
        <f t="shared" ref="K26:K30" si="15">J26*F26</f>
        <v>1081.0409923139412</v>
      </c>
      <c r="L26" s="96">
        <v>44</v>
      </c>
      <c r="M26" s="87">
        <f t="shared" si="8"/>
        <v>1188</v>
      </c>
      <c r="N26" s="87">
        <f t="shared" ca="1" si="9"/>
        <v>88</v>
      </c>
      <c r="O26" s="91">
        <f t="shared" ca="1" si="10"/>
        <v>25</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f ca="1">SUMIFS('Tổng Đơn'!$F:$F,'Tổng Đơn'!$B:$B,$C26)</f>
        <v>2</v>
      </c>
      <c r="AN26" s="84">
        <v>0</v>
      </c>
      <c r="AO26" s="84">
        <v>0</v>
      </c>
      <c r="AP26" s="84">
        <v>0</v>
      </c>
      <c r="AQ26" s="84">
        <v>0</v>
      </c>
      <c r="AR26" s="84">
        <v>0</v>
      </c>
      <c r="AS26" s="84">
        <v>0</v>
      </c>
      <c r="AT26" s="84">
        <v>0</v>
      </c>
      <c r="AU26" s="84">
        <v>0</v>
      </c>
      <c r="AV26" s="84">
        <v>0</v>
      </c>
      <c r="AW26" s="82">
        <v>20</v>
      </c>
      <c r="AX26" s="82">
        <f t="shared" si="11"/>
        <v>780</v>
      </c>
    </row>
    <row r="27" spans="1:50" ht="18" x14ac:dyDescent="0.3">
      <c r="A27" s="82">
        <f t="shared" ca="1" si="2"/>
        <v>0</v>
      </c>
      <c r="B27" s="6">
        <v>23</v>
      </c>
      <c r="C27" s="84" t="s">
        <v>176</v>
      </c>
      <c r="D27" s="92">
        <v>59</v>
      </c>
      <c r="E27" s="6">
        <v>0.5</v>
      </c>
      <c r="F27" s="6">
        <v>10</v>
      </c>
      <c r="G27" s="95">
        <f t="shared" si="3"/>
        <v>29.5</v>
      </c>
      <c r="H27" s="97">
        <f t="shared" si="4"/>
        <v>295</v>
      </c>
      <c r="I27" s="88">
        <f t="shared" si="13"/>
        <v>0.78557385874763874</v>
      </c>
      <c r="J27" s="89">
        <f t="shared" si="14"/>
        <v>30.28557385874764</v>
      </c>
      <c r="K27" s="89">
        <f t="shared" si="15"/>
        <v>302.85573858747637</v>
      </c>
      <c r="L27" s="96">
        <v>35</v>
      </c>
      <c r="M27" s="87">
        <f t="shared" si="8"/>
        <v>350</v>
      </c>
      <c r="N27" s="87">
        <f t="shared" ca="1" si="9"/>
        <v>140</v>
      </c>
      <c r="O27" s="91">
        <f t="shared" ca="1" si="10"/>
        <v>0</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f ca="1">SUMIFS('Tổng Đơn'!$F:$F,'Tổng Đơn'!$B:$B,$C27)</f>
        <v>0</v>
      </c>
      <c r="AN27" s="84">
        <v>0</v>
      </c>
      <c r="AO27" s="84">
        <v>0</v>
      </c>
      <c r="AP27" s="84">
        <v>0</v>
      </c>
      <c r="AQ27" s="84">
        <v>0</v>
      </c>
      <c r="AR27" s="84">
        <v>0</v>
      </c>
      <c r="AS27" s="84">
        <v>0</v>
      </c>
      <c r="AT27" s="84">
        <v>0</v>
      </c>
      <c r="AU27" s="84">
        <v>0</v>
      </c>
      <c r="AV27" s="84">
        <v>0</v>
      </c>
      <c r="AX27" s="82">
        <f t="shared" si="11"/>
        <v>0</v>
      </c>
    </row>
    <row r="28" spans="1:50" ht="18" x14ac:dyDescent="0.3">
      <c r="A28" s="82">
        <f t="shared" ca="1" si="2"/>
        <v>32.338833103408497</v>
      </c>
      <c r="B28" s="6">
        <v>24</v>
      </c>
      <c r="C28" s="84" t="s">
        <v>177</v>
      </c>
      <c r="D28" s="92">
        <v>63</v>
      </c>
      <c r="E28" s="6">
        <v>0.5</v>
      </c>
      <c r="F28" s="6">
        <v>30</v>
      </c>
      <c r="G28" s="95">
        <f t="shared" si="3"/>
        <v>31.5</v>
      </c>
      <c r="H28" s="97">
        <f t="shared" si="4"/>
        <v>945</v>
      </c>
      <c r="I28" s="88">
        <f t="shared" si="13"/>
        <v>0.83883310340849548</v>
      </c>
      <c r="J28" s="89">
        <f t="shared" si="14"/>
        <v>32.338833103408497</v>
      </c>
      <c r="K28" s="89">
        <f t="shared" si="15"/>
        <v>970.16499310225493</v>
      </c>
      <c r="L28" s="96">
        <v>38</v>
      </c>
      <c r="M28" s="87">
        <f t="shared" si="8"/>
        <v>1140</v>
      </c>
      <c r="N28" s="87">
        <f t="shared" ca="1" si="9"/>
        <v>1102</v>
      </c>
      <c r="O28" s="91">
        <f t="shared" ca="1" si="10"/>
        <v>1</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f ca="1">SUMIFS('Tổng Đơn'!$F:$F,'Tổng Đơn'!$B:$B,$C28)</f>
        <v>3</v>
      </c>
      <c r="AN28" s="84">
        <v>0</v>
      </c>
      <c r="AO28" s="84">
        <v>0</v>
      </c>
      <c r="AP28" s="84">
        <v>0</v>
      </c>
      <c r="AQ28" s="84">
        <v>0</v>
      </c>
      <c r="AR28" s="84">
        <v>0</v>
      </c>
      <c r="AS28" s="84">
        <v>0</v>
      </c>
      <c r="AT28" s="84">
        <v>0</v>
      </c>
      <c r="AU28" s="84">
        <v>0</v>
      </c>
      <c r="AV28" s="84">
        <v>0</v>
      </c>
      <c r="AX28" s="82">
        <f t="shared" si="11"/>
        <v>0</v>
      </c>
    </row>
    <row r="29" spans="1:50" ht="18" x14ac:dyDescent="0.3">
      <c r="A29" s="82">
        <f t="shared" ca="1" si="2"/>
        <v>1919.7973937579013</v>
      </c>
      <c r="B29" s="6">
        <v>25</v>
      </c>
      <c r="C29" s="84" t="s">
        <v>201</v>
      </c>
      <c r="D29" s="92">
        <v>85</v>
      </c>
      <c r="E29" s="6">
        <v>0.5</v>
      </c>
      <c r="F29" s="6">
        <f>50+40</f>
        <v>90</v>
      </c>
      <c r="G29" s="95">
        <f t="shared" si="3"/>
        <v>42.5</v>
      </c>
      <c r="H29" s="97">
        <f t="shared" si="4"/>
        <v>3825</v>
      </c>
      <c r="I29" s="88">
        <f t="shared" si="13"/>
        <v>1.1317589490432081</v>
      </c>
      <c r="J29" s="89">
        <f t="shared" si="14"/>
        <v>43.63175894904321</v>
      </c>
      <c r="K29" s="89">
        <f t="shared" si="15"/>
        <v>3926.858305413889</v>
      </c>
      <c r="L29" s="96">
        <v>47</v>
      </c>
      <c r="M29" s="87">
        <f t="shared" si="8"/>
        <v>4230</v>
      </c>
      <c r="N29" s="87">
        <f t="shared" ca="1" si="9"/>
        <v>2162</v>
      </c>
      <c r="O29" s="91">
        <f t="shared" ca="1" si="10"/>
        <v>44</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f ca="1">SUMIFS('Tổng Đơn'!$F:$F,'Tổng Đơn'!$B:$B,$C29)</f>
        <v>2</v>
      </c>
      <c r="AN29" s="84">
        <v>0</v>
      </c>
      <c r="AO29" s="84">
        <v>0</v>
      </c>
      <c r="AP29" s="84">
        <v>0</v>
      </c>
      <c r="AQ29" s="84">
        <v>0</v>
      </c>
      <c r="AR29" s="84">
        <v>0</v>
      </c>
      <c r="AS29" s="84">
        <v>0</v>
      </c>
      <c r="AT29" s="84">
        <v>0</v>
      </c>
      <c r="AU29" s="84">
        <v>0</v>
      </c>
      <c r="AV29" s="84">
        <v>0</v>
      </c>
      <c r="AX29" s="82">
        <f t="shared" si="11"/>
        <v>0</v>
      </c>
    </row>
    <row r="30" spans="1:50" ht="18" x14ac:dyDescent="0.3">
      <c r="A30" s="82">
        <f t="shared" ca="1" si="2"/>
        <v>535.90066285648368</v>
      </c>
      <c r="B30" s="6">
        <v>26</v>
      </c>
      <c r="C30" s="84" t="s">
        <v>204</v>
      </c>
      <c r="D30" s="92">
        <v>87</v>
      </c>
      <c r="E30" s="6">
        <v>0.5</v>
      </c>
      <c r="F30" s="6">
        <v>20</v>
      </c>
      <c r="G30" s="95">
        <f>D30/2</f>
        <v>43.5</v>
      </c>
      <c r="H30" s="97">
        <f t="shared" si="4"/>
        <v>870</v>
      </c>
      <c r="I30" s="88">
        <f t="shared" si="13"/>
        <v>1.1583885713736366</v>
      </c>
      <c r="J30" s="89">
        <f t="shared" si="14"/>
        <v>44.658388571373635</v>
      </c>
      <c r="K30" s="89">
        <f t="shared" si="15"/>
        <v>893.16777142747264</v>
      </c>
      <c r="L30" s="96">
        <v>50</v>
      </c>
      <c r="M30" s="87">
        <f t="shared" si="8"/>
        <v>1000</v>
      </c>
      <c r="N30" s="87">
        <f t="shared" ca="1" si="9"/>
        <v>400</v>
      </c>
      <c r="O30" s="91">
        <f t="shared" ca="1" si="10"/>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f ca="1">SUMIFS('Tổng Đơn'!$F:$F,'Tổng Đơn'!$B:$B,$C30)</f>
        <v>0</v>
      </c>
      <c r="AN30" s="84">
        <v>0</v>
      </c>
      <c r="AO30" s="84">
        <v>0</v>
      </c>
      <c r="AP30" s="84">
        <v>0</v>
      </c>
      <c r="AQ30" s="84">
        <v>0</v>
      </c>
      <c r="AR30" s="84">
        <v>0</v>
      </c>
      <c r="AS30" s="84">
        <v>0</v>
      </c>
      <c r="AT30" s="84">
        <v>0</v>
      </c>
      <c r="AU30" s="84">
        <v>0</v>
      </c>
      <c r="AV30" s="84">
        <v>0</v>
      </c>
      <c r="AX30" s="82">
        <f t="shared" si="11"/>
        <v>0</v>
      </c>
    </row>
    <row r="31" spans="1:50" ht="18" x14ac:dyDescent="0.3">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X31" s="82">
        <f t="shared" si="11"/>
        <v>0</v>
      </c>
    </row>
    <row r="32" spans="1:50" ht="18" x14ac:dyDescent="0.3">
      <c r="A32" s="82">
        <f>IFERROR(J32*O32,"")</f>
        <v>0</v>
      </c>
      <c r="B32" s="232" t="s">
        <v>297</v>
      </c>
      <c r="C32" s="231" t="s">
        <v>296</v>
      </c>
      <c r="D32" s="233">
        <v>74</v>
      </c>
      <c r="E32" s="232">
        <v>0.5</v>
      </c>
      <c r="F32" s="232">
        <v>93</v>
      </c>
      <c r="G32" s="231">
        <v>37</v>
      </c>
      <c r="H32" s="234">
        <v>3441</v>
      </c>
      <c r="I32" s="235">
        <v>0.94740952748159901</v>
      </c>
      <c r="J32" s="231">
        <v>37.947409527481597</v>
      </c>
      <c r="K32" s="231">
        <v>3529.1090860557883</v>
      </c>
      <c r="L32" s="236">
        <v>42</v>
      </c>
      <c r="M32" s="237">
        <v>3906</v>
      </c>
      <c r="N32" s="237">
        <v>3864</v>
      </c>
      <c r="O32" s="237">
        <v>0</v>
      </c>
      <c r="P32" s="148">
        <v>1</v>
      </c>
      <c r="Q32" s="148">
        <v>54</v>
      </c>
      <c r="R32" s="231">
        <v>0</v>
      </c>
      <c r="S32" s="231">
        <v>2</v>
      </c>
      <c r="T32" s="231">
        <v>2</v>
      </c>
      <c r="U32" s="231">
        <v>9</v>
      </c>
      <c r="V32" s="231">
        <v>1</v>
      </c>
      <c r="W32" s="231">
        <v>1</v>
      </c>
      <c r="X32" s="231">
        <v>0</v>
      </c>
      <c r="Y32" s="231">
        <v>2</v>
      </c>
      <c r="Z32" s="231">
        <v>1</v>
      </c>
      <c r="AA32" s="231">
        <v>4</v>
      </c>
      <c r="AB32" s="231">
        <v>0</v>
      </c>
      <c r="AC32" s="231">
        <v>1</v>
      </c>
      <c r="AD32" s="231">
        <v>1</v>
      </c>
      <c r="AE32" s="231">
        <v>2</v>
      </c>
      <c r="AF32" s="231">
        <v>4</v>
      </c>
      <c r="AG32" s="231">
        <v>1</v>
      </c>
      <c r="AH32" s="231">
        <v>2</v>
      </c>
      <c r="AI32" s="231">
        <v>0</v>
      </c>
      <c r="AJ32" s="231">
        <v>1</v>
      </c>
      <c r="AK32" s="231">
        <v>1</v>
      </c>
      <c r="AL32" s="231">
        <v>3</v>
      </c>
      <c r="AM32" s="231">
        <v>0</v>
      </c>
      <c r="AN32" s="231">
        <v>0</v>
      </c>
      <c r="AO32" s="231">
        <v>0</v>
      </c>
      <c r="AP32" s="231">
        <v>0</v>
      </c>
      <c r="AQ32" s="231">
        <v>0</v>
      </c>
      <c r="AR32" s="231">
        <v>0</v>
      </c>
      <c r="AS32" s="231">
        <v>0</v>
      </c>
      <c r="AT32" s="231">
        <v>0</v>
      </c>
      <c r="AU32" s="231">
        <v>0</v>
      </c>
      <c r="AV32" s="231">
        <v>0</v>
      </c>
      <c r="AX32" s="82">
        <f t="shared" si="11"/>
        <v>0</v>
      </c>
    </row>
  </sheetData>
  <autoFilter ref="B4:AW32"/>
  <mergeCells count="1">
    <mergeCell ref="B1:M1"/>
  </mergeCells>
  <conditionalFormatting sqref="C6:C19">
    <cfRule type="expression" dxfId="487" priority="21">
      <formula>($O6/$O6)&lt;=1/4</formula>
    </cfRule>
  </conditionalFormatting>
  <conditionalFormatting sqref="C20">
    <cfRule type="expression" dxfId="486" priority="20">
      <formula>($O20/$O20)&lt;=1/4</formula>
    </cfRule>
  </conditionalFormatting>
  <conditionalFormatting sqref="C21">
    <cfRule type="expression" dxfId="485" priority="18">
      <formula>($O21/$O21)&lt;=1/4</formula>
    </cfRule>
  </conditionalFormatting>
  <conditionalFormatting sqref="C22">
    <cfRule type="expression" dxfId="484" priority="16">
      <formula>($O22/$O22)&lt;=1/4</formula>
    </cfRule>
  </conditionalFormatting>
  <conditionalFormatting sqref="C23">
    <cfRule type="expression" dxfId="483" priority="14">
      <formula>($O23/$O23)&lt;=1/4</formula>
    </cfRule>
  </conditionalFormatting>
  <conditionalFormatting sqref="C24:C25">
    <cfRule type="expression" dxfId="482" priority="12">
      <formula>($O24/$O24)&lt;=1/4</formula>
    </cfRule>
  </conditionalFormatting>
  <conditionalFormatting sqref="C26">
    <cfRule type="expression" dxfId="481" priority="10">
      <formula>($O26/$O26)&lt;=1/4</formula>
    </cfRule>
  </conditionalFormatting>
  <conditionalFormatting sqref="C27:C28">
    <cfRule type="expression" dxfId="480" priority="8">
      <formula>($O27/$O27)&lt;=1/4</formula>
    </cfRule>
  </conditionalFormatting>
  <conditionalFormatting sqref="C29">
    <cfRule type="expression" dxfId="479" priority="5">
      <formula>($O29/$O29)&lt;=1/4</formula>
    </cfRule>
  </conditionalFormatting>
  <conditionalFormatting sqref="C30:C31">
    <cfRule type="expression" dxfId="478" priority="3">
      <formula>($O30/$O30)&lt;=1/4</formula>
    </cfRule>
  </conditionalFormatting>
  <conditionalFormatting sqref="C5:C31">
    <cfRule type="expression" dxfId="477" priority="39">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3" sqref="I3"/>
    </sheetView>
  </sheetViews>
  <sheetFormatPr defaultRowHeight="14.4" x14ac:dyDescent="0.3"/>
  <cols>
    <col min="1" max="1" width="19" customWidth="1"/>
    <col min="3" max="3" width="21.109375" bestFit="1" customWidth="1"/>
    <col min="4" max="4" width="8.6640625" bestFit="1" customWidth="1"/>
    <col min="7" max="7" width="25.88671875" customWidth="1"/>
    <col min="8" max="8" width="18.33203125" customWidth="1"/>
    <col min="9" max="9" width="18.6640625" bestFit="1" customWidth="1"/>
    <col min="10" max="10" width="48.44140625" bestFit="1" customWidth="1"/>
    <col min="12" max="12" width="14.88671875" bestFit="1" customWidth="1"/>
  </cols>
  <sheetData>
    <row r="1" spans="1:17" ht="27.75" customHeight="1" x14ac:dyDescent="0.3">
      <c r="B1" s="51">
        <f>SUBTOTAL(9,B5:B182)</f>
        <v>5696</v>
      </c>
      <c r="C1" s="51"/>
      <c r="D1" s="183">
        <f>SUBTOTAL(9,D2:D182)</f>
        <v>44053</v>
      </c>
      <c r="G1" s="103" t="s">
        <v>151</v>
      </c>
      <c r="H1" s="153">
        <f>60000+6217+H4+H5</f>
        <v>126017</v>
      </c>
      <c r="I1" s="104">
        <f>H1-H2-H3</f>
        <v>-220478</v>
      </c>
      <c r="J1" s="111" t="s">
        <v>149</v>
      </c>
    </row>
    <row r="2" spans="1:17" ht="27.75" customHeight="1" x14ac:dyDescent="0.3">
      <c r="G2" s="114" t="s">
        <v>148</v>
      </c>
      <c r="H2" s="105">
        <f>D1</f>
        <v>44053</v>
      </c>
      <c r="I2" s="106">
        <v>-10971</v>
      </c>
      <c r="J2" s="106" t="s">
        <v>152</v>
      </c>
    </row>
    <row r="3" spans="1:17" ht="27.75" customHeight="1" x14ac:dyDescent="0.3">
      <c r="G3" s="107" t="s">
        <v>150</v>
      </c>
      <c r="H3" s="119">
        <f>INT('Quốc Nhân'!K4+'La Cusina'!K4+TVP!J4+Gà!K4+Kitkool!K4)</f>
        <v>302442</v>
      </c>
      <c r="I3" s="108">
        <f>I1+I2</f>
        <v>-231449</v>
      </c>
      <c r="J3" s="112" t="s">
        <v>147</v>
      </c>
    </row>
    <row r="4" spans="1:17" ht="27.75" customHeight="1" x14ac:dyDescent="0.3">
      <c r="A4" s="134" t="s">
        <v>250</v>
      </c>
      <c r="B4">
        <v>3500</v>
      </c>
      <c r="G4" s="109" t="s">
        <v>200</v>
      </c>
      <c r="H4" s="149">
        <f>35000</f>
        <v>35000</v>
      </c>
      <c r="I4" s="110">
        <f ca="1">INT('Quốc Nhân'!K4+'La Cusina'!K4+TVP!J4+Gà!K4+Kitkool!K4-('Quốc Nhân'!A4+'La Cusina'!A4+TVP!A4+Gà!A4+Kitkool!A4))</f>
        <v>238098</v>
      </c>
      <c r="J4" s="113" t="s">
        <v>157</v>
      </c>
    </row>
    <row r="5" spans="1:17" ht="27.75" customHeight="1" x14ac:dyDescent="0.3">
      <c r="A5" s="134" t="s">
        <v>226</v>
      </c>
      <c r="B5">
        <v>200</v>
      </c>
      <c r="G5" s="109" t="s">
        <v>197</v>
      </c>
      <c r="H5" s="149">
        <f>7400+5000+2400+10000</f>
        <v>24800</v>
      </c>
      <c r="I5" s="115">
        <f ca="1">I4+I3</f>
        <v>6649</v>
      </c>
      <c r="J5" s="116" t="s">
        <v>158</v>
      </c>
      <c r="L5" s="117"/>
    </row>
    <row r="6" spans="1:17" x14ac:dyDescent="0.3">
      <c r="A6" s="134" t="s">
        <v>227</v>
      </c>
      <c r="B6">
        <v>1162</v>
      </c>
      <c r="C6" t="s">
        <v>128</v>
      </c>
      <c r="D6">
        <v>400</v>
      </c>
      <c r="E6" t="s">
        <v>129</v>
      </c>
      <c r="H6" s="152"/>
      <c r="I6" s="117"/>
      <c r="J6" s="117"/>
      <c r="K6" s="117"/>
      <c r="L6" s="196"/>
      <c r="M6" s="14"/>
      <c r="N6" s="14"/>
      <c r="O6" s="14"/>
      <c r="P6" s="14"/>
      <c r="Q6" s="14"/>
    </row>
    <row r="7" spans="1:17" x14ac:dyDescent="0.3">
      <c r="A7" s="134" t="s">
        <v>228</v>
      </c>
      <c r="B7">
        <v>1000</v>
      </c>
      <c r="C7" t="s">
        <v>130</v>
      </c>
      <c r="D7">
        <v>1000</v>
      </c>
      <c r="E7" t="s">
        <v>129</v>
      </c>
      <c r="H7" s="117"/>
      <c r="I7" s="117"/>
      <c r="J7" s="117"/>
      <c r="K7" s="117"/>
      <c r="L7" s="14"/>
      <c r="M7" s="14"/>
      <c r="N7" s="14"/>
      <c r="O7" s="14"/>
      <c r="P7" s="14"/>
      <c r="Q7" s="14"/>
    </row>
    <row r="8" spans="1:17" x14ac:dyDescent="0.3">
      <c r="A8" t="s">
        <v>253</v>
      </c>
      <c r="B8">
        <v>250</v>
      </c>
      <c r="C8" t="s">
        <v>131</v>
      </c>
      <c r="D8">
        <v>80</v>
      </c>
      <c r="E8" t="s">
        <v>129</v>
      </c>
      <c r="H8" s="117"/>
      <c r="I8" s="117"/>
      <c r="J8" s="117"/>
      <c r="L8" s="14"/>
      <c r="M8" s="14"/>
      <c r="N8" s="14"/>
      <c r="O8" s="14"/>
      <c r="P8" s="14"/>
      <c r="Q8" s="14"/>
    </row>
    <row r="9" spans="1:17" x14ac:dyDescent="0.3">
      <c r="A9" t="s">
        <v>255</v>
      </c>
      <c r="B9">
        <v>400</v>
      </c>
      <c r="C9" t="s">
        <v>132</v>
      </c>
      <c r="D9">
        <v>145</v>
      </c>
      <c r="E9" t="s">
        <v>133</v>
      </c>
      <c r="G9" s="117"/>
      <c r="H9" s="117"/>
      <c r="I9" s="117"/>
      <c r="J9" s="117"/>
      <c r="M9" s="14"/>
    </row>
    <row r="10" spans="1:17" x14ac:dyDescent="0.3">
      <c r="A10" t="s">
        <v>247</v>
      </c>
      <c r="B10">
        <v>300</v>
      </c>
      <c r="C10" t="s">
        <v>134</v>
      </c>
      <c r="D10">
        <v>800</v>
      </c>
      <c r="E10" t="s">
        <v>133</v>
      </c>
      <c r="I10" s="117"/>
      <c r="J10" s="117"/>
      <c r="M10" s="14"/>
    </row>
    <row r="11" spans="1:17" x14ac:dyDescent="0.3">
      <c r="A11" t="s">
        <v>248</v>
      </c>
      <c r="B11">
        <f>45+56</f>
        <v>101</v>
      </c>
      <c r="C11" t="s">
        <v>135</v>
      </c>
      <c r="D11">
        <v>1500</v>
      </c>
      <c r="E11" t="s">
        <v>133</v>
      </c>
      <c r="I11" s="117"/>
      <c r="J11" s="117"/>
      <c r="M11" s="14"/>
    </row>
    <row r="12" spans="1:17" x14ac:dyDescent="0.3">
      <c r="A12" t="s">
        <v>249</v>
      </c>
      <c r="B12">
        <v>119</v>
      </c>
      <c r="C12" t="s">
        <v>153</v>
      </c>
      <c r="D12">
        <v>160</v>
      </c>
      <c r="E12" t="s">
        <v>133</v>
      </c>
      <c r="I12" s="117"/>
      <c r="J12" s="117"/>
    </row>
    <row r="13" spans="1:17" x14ac:dyDescent="0.3">
      <c r="A13" t="s">
        <v>251</v>
      </c>
      <c r="B13">
        <v>140</v>
      </c>
      <c r="C13" t="s">
        <v>168</v>
      </c>
      <c r="D13">
        <v>42</v>
      </c>
      <c r="E13" t="s">
        <v>133</v>
      </c>
      <c r="J13" s="117"/>
      <c r="K13" s="117"/>
    </row>
    <row r="14" spans="1:17" x14ac:dyDescent="0.3">
      <c r="A14" t="s">
        <v>252</v>
      </c>
      <c r="B14">
        <v>40</v>
      </c>
      <c r="C14" s="134" t="s">
        <v>180</v>
      </c>
      <c r="D14" s="134">
        <v>7500</v>
      </c>
      <c r="E14" s="134" t="s">
        <v>133</v>
      </c>
      <c r="I14" s="117"/>
      <c r="J14" s="117"/>
    </row>
    <row r="15" spans="1:17" x14ac:dyDescent="0.3">
      <c r="A15" t="s">
        <v>256</v>
      </c>
      <c r="B15">
        <v>65</v>
      </c>
      <c r="C15" t="s">
        <v>181</v>
      </c>
      <c r="D15">
        <v>160</v>
      </c>
      <c r="E15" t="s">
        <v>133</v>
      </c>
      <c r="H15" s="117"/>
      <c r="I15" s="117"/>
      <c r="J15" s="117"/>
    </row>
    <row r="16" spans="1:17" x14ac:dyDescent="0.3">
      <c r="A16" s="186" t="s">
        <v>257</v>
      </c>
      <c r="B16">
        <v>70</v>
      </c>
      <c r="C16" t="s">
        <v>186</v>
      </c>
      <c r="D16">
        <v>50</v>
      </c>
      <c r="E16" t="s">
        <v>133</v>
      </c>
      <c r="I16" s="117"/>
      <c r="J16" s="117"/>
    </row>
    <row r="17" spans="1:10" x14ac:dyDescent="0.3">
      <c r="A17" t="s">
        <v>258</v>
      </c>
      <c r="B17">
        <v>59</v>
      </c>
      <c r="C17" t="s">
        <v>168</v>
      </c>
      <c r="D17">
        <f>45+65+130+25+60+25+78+84+65+25</f>
        <v>602</v>
      </c>
      <c r="E17" t="s">
        <v>133</v>
      </c>
      <c r="J17" s="117"/>
    </row>
    <row r="18" spans="1:10" x14ac:dyDescent="0.3">
      <c r="A18" t="s">
        <v>259</v>
      </c>
      <c r="B18">
        <v>920</v>
      </c>
      <c r="C18" s="134" t="s">
        <v>208</v>
      </c>
      <c r="D18" s="134">
        <v>15300</v>
      </c>
      <c r="E18" t="s">
        <v>200</v>
      </c>
      <c r="J18" s="117"/>
    </row>
    <row r="19" spans="1:10" x14ac:dyDescent="0.3">
      <c r="A19" t="s">
        <v>260</v>
      </c>
      <c r="B19">
        <v>120</v>
      </c>
      <c r="C19" t="s">
        <v>218</v>
      </c>
      <c r="D19">
        <v>50</v>
      </c>
      <c r="E19" t="s">
        <v>133</v>
      </c>
    </row>
    <row r="20" spans="1:10" x14ac:dyDescent="0.3">
      <c r="A20" t="s">
        <v>261</v>
      </c>
      <c r="B20">
        <v>69</v>
      </c>
      <c r="C20" t="s">
        <v>205</v>
      </c>
      <c r="D20">
        <f>774+503-13</f>
        <v>1264</v>
      </c>
    </row>
    <row r="21" spans="1:10" x14ac:dyDescent="0.3">
      <c r="A21" t="s">
        <v>262</v>
      </c>
      <c r="B21">
        <v>110</v>
      </c>
      <c r="C21" s="134" t="s">
        <v>208</v>
      </c>
      <c r="D21">
        <v>15000</v>
      </c>
    </row>
    <row r="22" spans="1:10" x14ac:dyDescent="0.3">
      <c r="A22" t="s">
        <v>263</v>
      </c>
      <c r="B22">
        <v>69</v>
      </c>
    </row>
    <row r="23" spans="1:10" x14ac:dyDescent="0.3">
      <c r="A23" t="s">
        <v>264</v>
      </c>
      <c r="B23">
        <v>54</v>
      </c>
    </row>
    <row r="24" spans="1:10" x14ac:dyDescent="0.3">
      <c r="A24" t="s">
        <v>265</v>
      </c>
      <c r="B24">
        <v>65</v>
      </c>
    </row>
    <row r="25" spans="1:10" x14ac:dyDescent="0.3">
      <c r="A25" t="s">
        <v>266</v>
      </c>
      <c r="B25">
        <f>54+66</f>
        <v>120</v>
      </c>
    </row>
    <row r="26" spans="1:10" x14ac:dyDescent="0.3">
      <c r="A26" t="s">
        <v>268</v>
      </c>
      <c r="B26">
        <v>65</v>
      </c>
    </row>
    <row r="27" spans="1:10" x14ac:dyDescent="0.3">
      <c r="A27" t="s">
        <v>269</v>
      </c>
      <c r="B27">
        <v>66</v>
      </c>
    </row>
    <row r="28" spans="1:10" x14ac:dyDescent="0.3">
      <c r="A28" t="s">
        <v>267</v>
      </c>
      <c r="B28">
        <v>66</v>
      </c>
    </row>
    <row r="29" spans="1:10" x14ac:dyDescent="0.3">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09375" defaultRowHeight="15.6" x14ac:dyDescent="0.3"/>
  <cols>
    <col min="1" max="1" width="9.109375" style="43"/>
    <col min="2" max="2" width="41.88671875" style="42" customWidth="1"/>
    <col min="3" max="3" width="10.109375" style="42" bestFit="1" customWidth="1"/>
    <col min="4" max="4" width="11.5546875" style="42" customWidth="1"/>
    <col min="5" max="6" width="10" style="42" customWidth="1"/>
    <col min="7" max="7" width="6" style="42" customWidth="1"/>
    <col min="8" max="10" width="6.88671875" style="42" customWidth="1"/>
    <col min="11" max="11" width="7.6640625" style="42" customWidth="1"/>
    <col min="12" max="12" width="9.88671875" style="43" customWidth="1"/>
    <col min="13" max="13" width="10.44140625" style="43" hidden="1" customWidth="1"/>
    <col min="14" max="14" width="41.33203125" style="43" customWidth="1"/>
    <col min="15" max="15" width="15.33203125" style="43" customWidth="1"/>
    <col min="16" max="16" width="11.6640625" style="43" customWidth="1"/>
    <col min="17" max="17" width="11.88671875" style="42" customWidth="1"/>
    <col min="18" max="18" width="18.6640625" style="42" customWidth="1"/>
    <col min="19" max="16384" width="9.109375" style="42"/>
  </cols>
  <sheetData>
    <row r="1" spans="1:18" s="61" customFormat="1" ht="22.8" x14ac:dyDescent="0.3">
      <c r="A1" s="55" t="s">
        <v>106</v>
      </c>
      <c r="B1" s="55" t="s">
        <v>17</v>
      </c>
      <c r="C1" s="55" t="s">
        <v>107</v>
      </c>
      <c r="D1" s="55" t="s">
        <v>117</v>
      </c>
      <c r="E1" s="138"/>
      <c r="F1" s="138"/>
      <c r="G1" s="138"/>
      <c r="H1" s="138"/>
      <c r="I1" s="138"/>
      <c r="J1" s="138"/>
      <c r="K1" s="138"/>
      <c r="L1" s="225" t="s">
        <v>106</v>
      </c>
      <c r="M1" s="225" t="s">
        <v>107</v>
      </c>
      <c r="N1" s="225" t="s">
        <v>17</v>
      </c>
      <c r="O1" s="225" t="s">
        <v>117</v>
      </c>
      <c r="P1" s="154" t="s">
        <v>107</v>
      </c>
      <c r="Q1" s="139" t="s">
        <v>185</v>
      </c>
      <c r="R1" s="140">
        <f>SUBTOTAL(9,R2:R31)</f>
        <v>0</v>
      </c>
    </row>
    <row r="2" spans="1:18" s="145" customFormat="1" ht="18" x14ac:dyDescent="0.35">
      <c r="A2" s="141" t="s">
        <v>209</v>
      </c>
      <c r="B2" s="142" t="s">
        <v>215</v>
      </c>
      <c r="C2" s="141" t="s">
        <v>212</v>
      </c>
      <c r="D2" s="143">
        <v>60000</v>
      </c>
      <c r="E2" s="144"/>
      <c r="F2" s="144"/>
      <c r="G2" s="144"/>
      <c r="H2" s="144"/>
      <c r="I2" s="144"/>
      <c r="J2" s="144"/>
      <c r="K2" s="144"/>
      <c r="L2" s="223">
        <v>1</v>
      </c>
      <c r="M2" s="223" t="s">
        <v>108</v>
      </c>
      <c r="N2" s="226" t="s">
        <v>290</v>
      </c>
      <c r="O2" s="227">
        <v>48000</v>
      </c>
      <c r="P2" s="155">
        <f>IF($N2="","",LOOKUP(2,1/($N2=$B$2:$B$100),$A$2:$A$100))</f>
        <v>1</v>
      </c>
      <c r="Q2" s="146"/>
      <c r="R2" s="147">
        <f>O2*Q2</f>
        <v>0</v>
      </c>
    </row>
    <row r="3" spans="1:18" s="145" customFormat="1" ht="18" x14ac:dyDescent="0.35">
      <c r="A3" s="141" t="s">
        <v>210</v>
      </c>
      <c r="B3" s="142" t="s">
        <v>216</v>
      </c>
      <c r="C3" s="141" t="s">
        <v>213</v>
      </c>
      <c r="D3" s="143">
        <v>70000</v>
      </c>
      <c r="E3" s="144"/>
      <c r="F3" s="144"/>
      <c r="G3" s="144"/>
      <c r="H3" s="144"/>
      <c r="I3" s="144"/>
      <c r="J3" s="144"/>
      <c r="K3" s="144"/>
      <c r="L3" s="223">
        <v>2</v>
      </c>
      <c r="M3" s="223" t="s">
        <v>109</v>
      </c>
      <c r="N3" s="226" t="s">
        <v>1</v>
      </c>
      <c r="O3" s="228">
        <v>25000</v>
      </c>
      <c r="P3" s="155">
        <f t="shared" ref="P3:P33" si="0">IF($N3="","",LOOKUP(2,1/($N3=$B$2:$B$100),$A$2:$A$100))</f>
        <v>2</v>
      </c>
      <c r="Q3" s="146"/>
      <c r="R3" s="147">
        <f t="shared" ref="R3:R31" si="1">O3*Q3</f>
        <v>0</v>
      </c>
    </row>
    <row r="4" spans="1:18" s="145" customFormat="1" ht="18" x14ac:dyDescent="0.35">
      <c r="A4" s="141" t="s">
        <v>211</v>
      </c>
      <c r="B4" s="142" t="s">
        <v>217</v>
      </c>
      <c r="C4" s="141" t="s">
        <v>214</v>
      </c>
      <c r="D4" s="143">
        <v>45000</v>
      </c>
      <c r="E4" s="144"/>
      <c r="F4" s="144"/>
      <c r="G4" s="144"/>
      <c r="H4" s="144"/>
      <c r="I4" s="144"/>
      <c r="J4" s="144"/>
      <c r="K4" s="144"/>
      <c r="L4" s="223">
        <v>3</v>
      </c>
      <c r="M4" s="223" t="s">
        <v>110</v>
      </c>
      <c r="N4" s="226" t="s">
        <v>2</v>
      </c>
      <c r="O4" s="228">
        <v>28000</v>
      </c>
      <c r="P4" s="155">
        <f t="shared" si="0"/>
        <v>3</v>
      </c>
      <c r="Q4" s="146"/>
      <c r="R4" s="147">
        <f>O4*Q4</f>
        <v>0</v>
      </c>
    </row>
    <row r="5" spans="1:18" s="145" customFormat="1" ht="18" x14ac:dyDescent="0.35">
      <c r="A5" s="141">
        <v>1</v>
      </c>
      <c r="B5" s="142" t="s">
        <v>290</v>
      </c>
      <c r="C5" s="141" t="s">
        <v>108</v>
      </c>
      <c r="D5" s="143">
        <v>48000</v>
      </c>
      <c r="E5" s="144"/>
      <c r="F5" s="144"/>
      <c r="G5" s="144"/>
      <c r="H5" s="144"/>
      <c r="I5" s="144"/>
      <c r="J5" s="144"/>
      <c r="K5" s="144"/>
      <c r="L5" s="223">
        <v>4</v>
      </c>
      <c r="M5" s="224" t="s">
        <v>111</v>
      </c>
      <c r="N5" s="226" t="s">
        <v>3</v>
      </c>
      <c r="O5" s="228">
        <v>30000</v>
      </c>
      <c r="P5" s="155">
        <f t="shared" si="0"/>
        <v>4</v>
      </c>
      <c r="Q5" s="146"/>
      <c r="R5" s="147">
        <f>O5*Q5</f>
        <v>0</v>
      </c>
    </row>
    <row r="6" spans="1:18" s="145" customFormat="1" ht="18" x14ac:dyDescent="0.35">
      <c r="A6" s="141">
        <v>2</v>
      </c>
      <c r="B6" s="142" t="s">
        <v>1</v>
      </c>
      <c r="C6" s="141" t="s">
        <v>109</v>
      </c>
      <c r="D6" s="143">
        <v>25000</v>
      </c>
      <c r="E6" s="144"/>
      <c r="F6" s="144"/>
      <c r="G6" s="144"/>
      <c r="H6" s="144"/>
      <c r="I6" s="144"/>
      <c r="J6" s="144"/>
      <c r="K6" s="144"/>
      <c r="L6" s="223">
        <v>5</v>
      </c>
      <c r="M6" s="224" t="s">
        <v>112</v>
      </c>
      <c r="N6" s="226" t="s">
        <v>30</v>
      </c>
      <c r="O6" s="228">
        <v>38000</v>
      </c>
      <c r="P6" s="155">
        <f t="shared" si="0"/>
        <v>5</v>
      </c>
      <c r="Q6" s="146"/>
      <c r="R6" s="147">
        <f t="shared" si="1"/>
        <v>0</v>
      </c>
    </row>
    <row r="7" spans="1:18" s="145" customFormat="1" ht="18" x14ac:dyDescent="0.35">
      <c r="A7" s="141">
        <v>3</v>
      </c>
      <c r="B7" s="142" t="s">
        <v>2</v>
      </c>
      <c r="C7" s="141" t="s">
        <v>110</v>
      </c>
      <c r="D7" s="143">
        <v>28000</v>
      </c>
      <c r="E7" s="144"/>
      <c r="F7" s="144"/>
      <c r="G7" s="144"/>
      <c r="H7" s="144"/>
      <c r="I7" s="144"/>
      <c r="J7" s="144"/>
      <c r="K7" s="144"/>
      <c r="L7" s="223">
        <v>6</v>
      </c>
      <c r="M7" s="224" t="s">
        <v>113</v>
      </c>
      <c r="N7" s="226" t="s">
        <v>28</v>
      </c>
      <c r="O7" s="228">
        <v>42000</v>
      </c>
      <c r="P7" s="155">
        <f t="shared" si="0"/>
        <v>6</v>
      </c>
      <c r="Q7" s="146"/>
      <c r="R7" s="147">
        <f t="shared" si="1"/>
        <v>0</v>
      </c>
    </row>
    <row r="8" spans="1:18" s="145" customFormat="1" ht="18" x14ac:dyDescent="0.35">
      <c r="A8" s="141">
        <v>4</v>
      </c>
      <c r="B8" s="142" t="s">
        <v>3</v>
      </c>
      <c r="C8" s="141" t="s">
        <v>111</v>
      </c>
      <c r="D8" s="143">
        <v>30000</v>
      </c>
      <c r="E8" s="144"/>
      <c r="F8" s="144"/>
      <c r="G8" s="144"/>
      <c r="H8" s="144"/>
      <c r="I8" s="144"/>
      <c r="J8" s="144"/>
      <c r="K8" s="144"/>
      <c r="L8" s="223">
        <v>7</v>
      </c>
      <c r="M8" s="224" t="s">
        <v>114</v>
      </c>
      <c r="N8" s="226" t="s">
        <v>26</v>
      </c>
      <c r="O8" s="228">
        <v>34000</v>
      </c>
      <c r="P8" s="155">
        <f t="shared" si="0"/>
        <v>7</v>
      </c>
      <c r="Q8" s="146"/>
      <c r="R8" s="147">
        <f t="shared" si="1"/>
        <v>0</v>
      </c>
    </row>
    <row r="9" spans="1:18" s="145" customFormat="1" ht="18" x14ac:dyDescent="0.35">
      <c r="A9" s="141">
        <v>5</v>
      </c>
      <c r="B9" s="142" t="s">
        <v>30</v>
      </c>
      <c r="C9" s="141" t="s">
        <v>112</v>
      </c>
      <c r="D9" s="143">
        <v>38000</v>
      </c>
      <c r="E9" s="144"/>
      <c r="F9" s="144"/>
      <c r="G9" s="144"/>
      <c r="H9" s="144"/>
      <c r="I9" s="144"/>
      <c r="J9" s="144"/>
      <c r="K9" s="144"/>
      <c r="L9" s="223">
        <v>8</v>
      </c>
      <c r="M9" s="224" t="s">
        <v>115</v>
      </c>
      <c r="N9" s="226" t="s">
        <v>61</v>
      </c>
      <c r="O9" s="228">
        <v>35000</v>
      </c>
      <c r="P9" s="155">
        <f t="shared" si="0"/>
        <v>8</v>
      </c>
      <c r="Q9" s="146"/>
      <c r="R9" s="147">
        <f t="shared" si="1"/>
        <v>0</v>
      </c>
    </row>
    <row r="10" spans="1:18" s="145" customFormat="1" ht="18" x14ac:dyDescent="0.35">
      <c r="A10" s="141">
        <v>6</v>
      </c>
      <c r="B10" s="142" t="s">
        <v>28</v>
      </c>
      <c r="C10" s="141" t="s">
        <v>113</v>
      </c>
      <c r="D10" s="143">
        <v>42000</v>
      </c>
      <c r="E10" s="144"/>
      <c r="F10" s="144"/>
      <c r="G10" s="144"/>
      <c r="H10" s="144"/>
      <c r="I10" s="144"/>
      <c r="J10" s="144"/>
      <c r="K10" s="144"/>
      <c r="L10" s="223">
        <v>9</v>
      </c>
      <c r="M10" s="224" t="s">
        <v>116</v>
      </c>
      <c r="N10" s="226" t="s">
        <v>159</v>
      </c>
      <c r="O10" s="228">
        <v>45000</v>
      </c>
      <c r="P10" s="155">
        <f t="shared" si="0"/>
        <v>9</v>
      </c>
      <c r="Q10" s="146"/>
      <c r="R10" s="147">
        <f t="shared" si="1"/>
        <v>0</v>
      </c>
    </row>
    <row r="11" spans="1:18" s="145" customFormat="1" ht="18" x14ac:dyDescent="0.35">
      <c r="A11" s="141">
        <v>7</v>
      </c>
      <c r="B11" s="142" t="s">
        <v>26</v>
      </c>
      <c r="C11" s="141" t="s">
        <v>114</v>
      </c>
      <c r="D11" s="143">
        <v>34000</v>
      </c>
      <c r="E11" s="144"/>
      <c r="F11" s="144"/>
      <c r="G11" s="144"/>
      <c r="H11" s="144"/>
      <c r="I11" s="144"/>
      <c r="J11" s="144"/>
      <c r="K11" s="144"/>
      <c r="L11" s="223">
        <v>10</v>
      </c>
      <c r="M11" s="224" t="s">
        <v>69</v>
      </c>
      <c r="N11" s="226" t="s">
        <v>6</v>
      </c>
      <c r="O11" s="228">
        <v>50000</v>
      </c>
      <c r="P11" s="155">
        <f t="shared" si="0"/>
        <v>10</v>
      </c>
      <c r="Q11" s="146"/>
      <c r="R11" s="147">
        <f t="shared" si="1"/>
        <v>0</v>
      </c>
    </row>
    <row r="12" spans="1:18" s="145" customFormat="1" ht="18" x14ac:dyDescent="0.35">
      <c r="A12" s="141">
        <v>8</v>
      </c>
      <c r="B12" s="142" t="s">
        <v>61</v>
      </c>
      <c r="C12" s="141" t="s">
        <v>115</v>
      </c>
      <c r="D12" s="143">
        <v>35000</v>
      </c>
      <c r="E12" s="144"/>
      <c r="F12" s="144"/>
      <c r="G12" s="144"/>
      <c r="H12" s="144"/>
      <c r="I12" s="144"/>
      <c r="J12" s="144"/>
      <c r="K12" s="144"/>
      <c r="L12" s="223">
        <v>11</v>
      </c>
      <c r="M12" s="224" t="s">
        <v>70</v>
      </c>
      <c r="N12" s="226" t="s">
        <v>58</v>
      </c>
      <c r="O12" s="228">
        <v>45000</v>
      </c>
      <c r="P12" s="155">
        <f t="shared" si="0"/>
        <v>11</v>
      </c>
      <c r="Q12" s="146"/>
      <c r="R12" s="147">
        <f t="shared" si="1"/>
        <v>0</v>
      </c>
    </row>
    <row r="13" spans="1:18" s="145" customFormat="1" ht="18" x14ac:dyDescent="0.35">
      <c r="A13" s="141">
        <v>9</v>
      </c>
      <c r="B13" s="142" t="s">
        <v>159</v>
      </c>
      <c r="C13" s="141" t="s">
        <v>116</v>
      </c>
      <c r="D13" s="143">
        <v>45000</v>
      </c>
      <c r="E13" s="144"/>
      <c r="F13" s="144"/>
      <c r="G13" s="144"/>
      <c r="H13" s="144"/>
      <c r="I13" s="144"/>
      <c r="J13" s="144"/>
      <c r="K13" s="144"/>
      <c r="L13" s="223">
        <v>12</v>
      </c>
      <c r="M13" s="224" t="s">
        <v>71</v>
      </c>
      <c r="N13" s="226" t="s">
        <v>35</v>
      </c>
      <c r="O13" s="228">
        <v>45000</v>
      </c>
      <c r="P13" s="155">
        <f t="shared" si="0"/>
        <v>12</v>
      </c>
      <c r="Q13" s="146"/>
      <c r="R13" s="147">
        <f t="shared" si="1"/>
        <v>0</v>
      </c>
    </row>
    <row r="14" spans="1:18" s="145" customFormat="1" ht="18" x14ac:dyDescent="0.35">
      <c r="A14" s="141">
        <v>10</v>
      </c>
      <c r="B14" s="142" t="s">
        <v>6</v>
      </c>
      <c r="C14" s="141" t="s">
        <v>69</v>
      </c>
      <c r="D14" s="143">
        <v>50000</v>
      </c>
      <c r="E14" s="144"/>
      <c r="F14" s="144"/>
      <c r="G14" s="144"/>
      <c r="H14" s="144"/>
      <c r="I14" s="144"/>
      <c r="J14" s="144"/>
      <c r="K14" s="144"/>
      <c r="L14" s="223">
        <v>13</v>
      </c>
      <c r="M14" s="224" t="s">
        <v>72</v>
      </c>
      <c r="N14" s="226" t="s">
        <v>32</v>
      </c>
      <c r="O14" s="228">
        <v>45000</v>
      </c>
      <c r="P14" s="155">
        <f t="shared" si="0"/>
        <v>13</v>
      </c>
      <c r="Q14" s="146"/>
      <c r="R14" s="147">
        <f t="shared" si="1"/>
        <v>0</v>
      </c>
    </row>
    <row r="15" spans="1:18" s="145" customFormat="1" ht="18" x14ac:dyDescent="0.35">
      <c r="A15" s="141">
        <v>11</v>
      </c>
      <c r="B15" s="142" t="s">
        <v>58</v>
      </c>
      <c r="C15" s="141" t="s">
        <v>70</v>
      </c>
      <c r="D15" s="143">
        <v>45000</v>
      </c>
      <c r="E15" s="144"/>
      <c r="F15" s="144"/>
      <c r="G15" s="144"/>
      <c r="H15" s="144"/>
      <c r="I15" s="144"/>
      <c r="J15" s="144"/>
      <c r="K15" s="144"/>
      <c r="L15" s="223">
        <v>14</v>
      </c>
      <c r="M15" s="224" t="s">
        <v>73</v>
      </c>
      <c r="N15" s="226" t="s">
        <v>34</v>
      </c>
      <c r="O15" s="228">
        <v>45000</v>
      </c>
      <c r="P15" s="155">
        <f t="shared" si="0"/>
        <v>14</v>
      </c>
      <c r="Q15" s="146"/>
      <c r="R15" s="147">
        <f t="shared" si="1"/>
        <v>0</v>
      </c>
    </row>
    <row r="16" spans="1:18" s="145" customFormat="1" ht="18" x14ac:dyDescent="0.35">
      <c r="A16" s="141">
        <v>12</v>
      </c>
      <c r="B16" s="142" t="s">
        <v>35</v>
      </c>
      <c r="C16" s="141" t="s">
        <v>71</v>
      </c>
      <c r="D16" s="143">
        <v>45000</v>
      </c>
      <c r="E16" s="144"/>
      <c r="F16" s="144"/>
      <c r="G16" s="144"/>
      <c r="H16" s="144"/>
      <c r="I16" s="144"/>
      <c r="J16" s="144"/>
      <c r="K16" s="144"/>
      <c r="L16" s="223">
        <v>15</v>
      </c>
      <c r="M16" s="224" t="s">
        <v>74</v>
      </c>
      <c r="N16" s="226" t="s">
        <v>33</v>
      </c>
      <c r="O16" s="228">
        <v>45000</v>
      </c>
      <c r="P16" s="155">
        <f t="shared" si="0"/>
        <v>15</v>
      </c>
      <c r="Q16" s="146"/>
      <c r="R16" s="147">
        <f t="shared" si="1"/>
        <v>0</v>
      </c>
    </row>
    <row r="17" spans="1:18" s="145" customFormat="1" ht="18" x14ac:dyDescent="0.35">
      <c r="A17" s="141">
        <v>13</v>
      </c>
      <c r="B17" s="142" t="s">
        <v>32</v>
      </c>
      <c r="C17" s="141" t="s">
        <v>72</v>
      </c>
      <c r="D17" s="143">
        <v>45000</v>
      </c>
      <c r="E17" s="144"/>
      <c r="F17" s="144"/>
      <c r="G17" s="144"/>
      <c r="H17" s="144"/>
      <c r="I17" s="144"/>
      <c r="J17" s="144"/>
      <c r="K17" s="144"/>
      <c r="L17" s="223">
        <v>16</v>
      </c>
      <c r="M17" s="224" t="s">
        <v>75</v>
      </c>
      <c r="N17" s="226" t="s">
        <v>5</v>
      </c>
      <c r="O17" s="228">
        <v>40000</v>
      </c>
      <c r="P17" s="155">
        <f t="shared" si="0"/>
        <v>16</v>
      </c>
      <c r="Q17" s="146"/>
      <c r="R17" s="147">
        <f t="shared" si="1"/>
        <v>0</v>
      </c>
    </row>
    <row r="18" spans="1:18" s="145" customFormat="1" ht="18" x14ac:dyDescent="0.35">
      <c r="A18" s="141">
        <v>14</v>
      </c>
      <c r="B18" s="142" t="s">
        <v>34</v>
      </c>
      <c r="C18" s="141" t="s">
        <v>73</v>
      </c>
      <c r="D18" s="143">
        <v>45000</v>
      </c>
      <c r="E18" s="144"/>
      <c r="F18" s="144"/>
      <c r="G18" s="144"/>
      <c r="H18" s="144"/>
      <c r="I18" s="144"/>
      <c r="J18" s="144"/>
      <c r="K18" s="144"/>
      <c r="L18" s="223">
        <v>17</v>
      </c>
      <c r="M18" s="224" t="s">
        <v>76</v>
      </c>
      <c r="N18" s="226" t="s">
        <v>4</v>
      </c>
      <c r="O18" s="228">
        <v>40000</v>
      </c>
      <c r="P18" s="155">
        <f t="shared" si="0"/>
        <v>17</v>
      </c>
      <c r="Q18" s="146"/>
      <c r="R18" s="147">
        <f t="shared" si="1"/>
        <v>0</v>
      </c>
    </row>
    <row r="19" spans="1:18" s="145" customFormat="1" ht="18" x14ac:dyDescent="0.35">
      <c r="A19" s="141">
        <v>15</v>
      </c>
      <c r="B19" s="142" t="s">
        <v>33</v>
      </c>
      <c r="C19" s="141" t="s">
        <v>74</v>
      </c>
      <c r="D19" s="143">
        <v>45000</v>
      </c>
      <c r="E19" s="144"/>
      <c r="F19" s="144"/>
      <c r="G19" s="144"/>
      <c r="H19" s="144"/>
      <c r="I19" s="144"/>
      <c r="J19" s="144"/>
      <c r="K19" s="144"/>
      <c r="L19" s="223">
        <v>18</v>
      </c>
      <c r="M19" s="224" t="s">
        <v>77</v>
      </c>
      <c r="N19" s="226" t="s">
        <v>9</v>
      </c>
      <c r="O19" s="228">
        <v>55000</v>
      </c>
      <c r="P19" s="155">
        <f t="shared" si="0"/>
        <v>18</v>
      </c>
      <c r="Q19" s="146"/>
      <c r="R19" s="147">
        <f t="shared" si="1"/>
        <v>0</v>
      </c>
    </row>
    <row r="20" spans="1:18" s="145" customFormat="1" ht="18" x14ac:dyDescent="0.35">
      <c r="A20" s="141">
        <v>16</v>
      </c>
      <c r="B20" s="142" t="s">
        <v>5</v>
      </c>
      <c r="C20" s="141" t="s">
        <v>75</v>
      </c>
      <c r="D20" s="143">
        <v>40000</v>
      </c>
      <c r="E20" s="144"/>
      <c r="F20" s="144"/>
      <c r="G20" s="144"/>
      <c r="H20" s="144"/>
      <c r="I20" s="144"/>
      <c r="J20" s="144"/>
      <c r="K20" s="144"/>
      <c r="L20" s="223">
        <v>19</v>
      </c>
      <c r="M20" s="224" t="s">
        <v>78</v>
      </c>
      <c r="N20" s="226" t="s">
        <v>13</v>
      </c>
      <c r="O20" s="228">
        <v>28000</v>
      </c>
      <c r="P20" s="155">
        <f t="shared" si="0"/>
        <v>19</v>
      </c>
      <c r="Q20" s="146"/>
      <c r="R20" s="147">
        <f t="shared" si="1"/>
        <v>0</v>
      </c>
    </row>
    <row r="21" spans="1:18" s="145" customFormat="1" ht="18" x14ac:dyDescent="0.35">
      <c r="A21" s="141">
        <v>17</v>
      </c>
      <c r="B21" s="142" t="s">
        <v>4</v>
      </c>
      <c r="C21" s="141" t="s">
        <v>76</v>
      </c>
      <c r="D21" s="143">
        <v>40000</v>
      </c>
      <c r="E21" s="144"/>
      <c r="F21" s="144"/>
      <c r="G21" s="144"/>
      <c r="H21" s="144"/>
      <c r="I21" s="144"/>
      <c r="J21" s="144"/>
      <c r="K21" s="144"/>
      <c r="L21" s="223">
        <v>20</v>
      </c>
      <c r="M21" s="224" t="s">
        <v>79</v>
      </c>
      <c r="N21" s="226" t="s">
        <v>12</v>
      </c>
      <c r="O21" s="228">
        <v>26000</v>
      </c>
      <c r="P21" s="155">
        <f t="shared" si="0"/>
        <v>20</v>
      </c>
      <c r="Q21" s="146"/>
      <c r="R21" s="147">
        <f t="shared" si="1"/>
        <v>0</v>
      </c>
    </row>
    <row r="22" spans="1:18" s="145" customFormat="1" ht="18" x14ac:dyDescent="0.35">
      <c r="A22" s="141">
        <v>18</v>
      </c>
      <c r="B22" s="142" t="s">
        <v>9</v>
      </c>
      <c r="C22" s="141" t="s">
        <v>77</v>
      </c>
      <c r="D22" s="143">
        <v>55000</v>
      </c>
      <c r="E22" s="144"/>
      <c r="F22" s="144"/>
      <c r="G22" s="144"/>
      <c r="H22" s="144"/>
      <c r="I22" s="144"/>
      <c r="J22" s="144"/>
      <c r="K22" s="144"/>
      <c r="L22" s="223">
        <v>21</v>
      </c>
      <c r="M22" s="224" t="s">
        <v>80</v>
      </c>
      <c r="N22" s="226" t="s">
        <v>14</v>
      </c>
      <c r="O22" s="228">
        <v>33000</v>
      </c>
      <c r="P22" s="155">
        <f t="shared" si="0"/>
        <v>21</v>
      </c>
      <c r="Q22" s="146"/>
      <c r="R22" s="147">
        <f t="shared" si="1"/>
        <v>0</v>
      </c>
    </row>
    <row r="23" spans="1:18" s="145" customFormat="1" ht="18" x14ac:dyDescent="0.35">
      <c r="A23" s="141">
        <v>19</v>
      </c>
      <c r="B23" s="142" t="s">
        <v>13</v>
      </c>
      <c r="C23" s="141" t="s">
        <v>78</v>
      </c>
      <c r="D23" s="143">
        <v>28000</v>
      </c>
      <c r="E23" s="144"/>
      <c r="F23" s="144"/>
      <c r="G23" s="144"/>
      <c r="H23" s="144"/>
      <c r="I23" s="144"/>
      <c r="J23" s="144"/>
      <c r="K23" s="144"/>
      <c r="L23" s="223">
        <v>22</v>
      </c>
      <c r="M23" s="224" t="s">
        <v>81</v>
      </c>
      <c r="N23" s="226" t="s">
        <v>288</v>
      </c>
      <c r="O23" s="227">
        <v>34000</v>
      </c>
      <c r="P23" s="155">
        <f t="shared" si="0"/>
        <v>22</v>
      </c>
      <c r="Q23" s="146"/>
      <c r="R23" s="147">
        <f t="shared" si="1"/>
        <v>0</v>
      </c>
    </row>
    <row r="24" spans="1:18" s="145" customFormat="1" ht="18" x14ac:dyDescent="0.35">
      <c r="A24" s="141">
        <v>20</v>
      </c>
      <c r="B24" s="142" t="s">
        <v>12</v>
      </c>
      <c r="C24" s="141" t="s">
        <v>79</v>
      </c>
      <c r="D24" s="143">
        <v>26000</v>
      </c>
      <c r="E24" s="144"/>
      <c r="F24" s="144"/>
      <c r="G24" s="144"/>
      <c r="H24" s="144"/>
      <c r="I24" s="144"/>
      <c r="J24" s="144"/>
      <c r="K24" s="144"/>
      <c r="L24" s="223">
        <v>23</v>
      </c>
      <c r="M24" s="224" t="s">
        <v>82</v>
      </c>
      <c r="N24" s="226" t="s">
        <v>8</v>
      </c>
      <c r="O24" s="228">
        <v>69000</v>
      </c>
      <c r="P24" s="155">
        <f t="shared" si="0"/>
        <v>23</v>
      </c>
      <c r="Q24" s="146"/>
      <c r="R24" s="147">
        <f t="shared" si="1"/>
        <v>0</v>
      </c>
    </row>
    <row r="25" spans="1:18" s="145" customFormat="1" ht="18" x14ac:dyDescent="0.35">
      <c r="A25" s="141">
        <v>21</v>
      </c>
      <c r="B25" s="142" t="s">
        <v>14</v>
      </c>
      <c r="C25" s="141" t="s">
        <v>80</v>
      </c>
      <c r="D25" s="143">
        <v>33000</v>
      </c>
      <c r="E25" s="144"/>
      <c r="F25" s="144"/>
      <c r="G25" s="144"/>
      <c r="H25" s="144"/>
      <c r="I25" s="144"/>
      <c r="J25" s="144"/>
      <c r="K25" s="144"/>
      <c r="L25" s="223">
        <v>24</v>
      </c>
      <c r="M25" s="224" t="s">
        <v>83</v>
      </c>
      <c r="N25" s="226" t="s">
        <v>291</v>
      </c>
      <c r="O25" s="227">
        <v>40000</v>
      </c>
      <c r="P25" s="155">
        <f t="shared" si="0"/>
        <v>24</v>
      </c>
      <c r="Q25" s="146"/>
      <c r="R25" s="147">
        <f t="shared" si="1"/>
        <v>0</v>
      </c>
    </row>
    <row r="26" spans="1:18" s="145" customFormat="1" ht="18" x14ac:dyDescent="0.35">
      <c r="A26" s="141">
        <v>22</v>
      </c>
      <c r="B26" s="142" t="s">
        <v>288</v>
      </c>
      <c r="C26" s="141" t="s">
        <v>81</v>
      </c>
      <c r="D26" s="143">
        <v>34000</v>
      </c>
      <c r="E26" s="144"/>
      <c r="F26" s="144"/>
      <c r="G26" s="144"/>
      <c r="H26" s="144"/>
      <c r="I26" s="144"/>
      <c r="J26" s="144"/>
      <c r="K26" s="144"/>
      <c r="L26" s="223">
        <v>25</v>
      </c>
      <c r="M26" s="224" t="s">
        <v>84</v>
      </c>
      <c r="N26" s="226" t="s">
        <v>68</v>
      </c>
      <c r="O26" s="228">
        <v>35000</v>
      </c>
      <c r="P26" s="155">
        <f t="shared" si="0"/>
        <v>25</v>
      </c>
      <c r="Q26" s="146"/>
      <c r="R26" s="147">
        <f t="shared" si="1"/>
        <v>0</v>
      </c>
    </row>
    <row r="27" spans="1:18" s="145" customFormat="1" ht="18" x14ac:dyDescent="0.35">
      <c r="A27" s="141">
        <v>23</v>
      </c>
      <c r="B27" s="142" t="s">
        <v>8</v>
      </c>
      <c r="C27" s="141" t="s">
        <v>82</v>
      </c>
      <c r="D27" s="143">
        <v>69000</v>
      </c>
      <c r="E27" s="144"/>
      <c r="F27" s="144"/>
      <c r="G27" s="144"/>
      <c r="H27" s="144"/>
      <c r="I27" s="144"/>
      <c r="J27" s="144"/>
      <c r="K27" s="144"/>
      <c r="L27" s="223">
        <v>26</v>
      </c>
      <c r="M27" s="224" t="s">
        <v>85</v>
      </c>
      <c r="N27" s="226" t="s">
        <v>29</v>
      </c>
      <c r="O27" s="227">
        <v>50000</v>
      </c>
      <c r="P27" s="155">
        <f t="shared" si="0"/>
        <v>26</v>
      </c>
      <c r="Q27" s="146"/>
      <c r="R27" s="147">
        <f t="shared" si="1"/>
        <v>0</v>
      </c>
    </row>
    <row r="28" spans="1:18" s="145" customFormat="1" ht="18" x14ac:dyDescent="0.35">
      <c r="A28" s="141">
        <v>24</v>
      </c>
      <c r="B28" s="142" t="s">
        <v>291</v>
      </c>
      <c r="C28" s="141" t="s">
        <v>83</v>
      </c>
      <c r="D28" s="143">
        <v>40000</v>
      </c>
      <c r="E28" s="144"/>
      <c r="F28" s="144"/>
      <c r="G28" s="144"/>
      <c r="H28" s="144"/>
      <c r="I28" s="144"/>
      <c r="J28" s="144"/>
      <c r="K28" s="144"/>
      <c r="L28" s="223">
        <v>27</v>
      </c>
      <c r="M28" s="224" t="s">
        <v>86</v>
      </c>
      <c r="N28" s="226" t="s">
        <v>15</v>
      </c>
      <c r="O28" s="228">
        <v>35000</v>
      </c>
      <c r="P28" s="155">
        <f t="shared" si="0"/>
        <v>27</v>
      </c>
      <c r="Q28" s="146"/>
      <c r="R28" s="147">
        <f t="shared" si="1"/>
        <v>0</v>
      </c>
    </row>
    <row r="29" spans="1:18" s="145" customFormat="1" ht="18" x14ac:dyDescent="0.35">
      <c r="A29" s="141">
        <v>25</v>
      </c>
      <c r="B29" s="142" t="s">
        <v>68</v>
      </c>
      <c r="C29" s="141" t="s">
        <v>84</v>
      </c>
      <c r="D29" s="143">
        <v>35000</v>
      </c>
      <c r="E29" s="144"/>
      <c r="F29" s="144"/>
      <c r="G29" s="144"/>
      <c r="H29" s="144"/>
      <c r="I29" s="144"/>
      <c r="J29" s="144"/>
      <c r="K29" s="144"/>
      <c r="L29" s="223">
        <v>28</v>
      </c>
      <c r="M29" s="224" t="s">
        <v>87</v>
      </c>
      <c r="N29" s="226" t="s">
        <v>10</v>
      </c>
      <c r="O29" s="228">
        <v>32000</v>
      </c>
      <c r="P29" s="155">
        <f t="shared" si="0"/>
        <v>28</v>
      </c>
      <c r="Q29" s="146"/>
      <c r="R29" s="147">
        <f t="shared" si="1"/>
        <v>0</v>
      </c>
    </row>
    <row r="30" spans="1:18" s="145" customFormat="1" ht="18" x14ac:dyDescent="0.35">
      <c r="A30" s="141">
        <v>26</v>
      </c>
      <c r="B30" s="142" t="s">
        <v>29</v>
      </c>
      <c r="C30" s="141" t="s">
        <v>85</v>
      </c>
      <c r="D30" s="143">
        <v>50000</v>
      </c>
      <c r="E30" s="144"/>
      <c r="F30" s="144"/>
      <c r="G30" s="144"/>
      <c r="H30" s="144"/>
      <c r="I30" s="144"/>
      <c r="J30" s="144"/>
      <c r="K30" s="144"/>
      <c r="L30" s="223">
        <v>29</v>
      </c>
      <c r="M30" s="224" t="s">
        <v>88</v>
      </c>
      <c r="N30" s="226" t="s">
        <v>38</v>
      </c>
      <c r="O30" s="228">
        <v>32000</v>
      </c>
      <c r="P30" s="155">
        <f t="shared" si="0"/>
        <v>29</v>
      </c>
      <c r="Q30" s="146"/>
      <c r="R30" s="147">
        <f t="shared" si="1"/>
        <v>0</v>
      </c>
    </row>
    <row r="31" spans="1:18" s="145" customFormat="1" ht="18" x14ac:dyDescent="0.35">
      <c r="A31" s="141">
        <v>27</v>
      </c>
      <c r="B31" s="142" t="s">
        <v>15</v>
      </c>
      <c r="C31" s="141" t="s">
        <v>86</v>
      </c>
      <c r="D31" s="143">
        <v>35000</v>
      </c>
      <c r="E31" s="144"/>
      <c r="F31" s="144"/>
      <c r="G31" s="144"/>
      <c r="H31" s="144"/>
      <c r="I31" s="144"/>
      <c r="J31" s="144"/>
      <c r="K31" s="144"/>
      <c r="L31" s="223">
        <v>30</v>
      </c>
      <c r="M31" s="224" t="s">
        <v>89</v>
      </c>
      <c r="N31" s="226" t="s">
        <v>39</v>
      </c>
      <c r="O31" s="228">
        <v>14000</v>
      </c>
      <c r="P31" s="155">
        <f t="shared" si="0"/>
        <v>30</v>
      </c>
      <c r="Q31" s="146"/>
      <c r="R31" s="147">
        <f t="shared" si="1"/>
        <v>0</v>
      </c>
    </row>
    <row r="32" spans="1:18" s="145" customFormat="1" ht="18" x14ac:dyDescent="0.35">
      <c r="A32" s="141">
        <v>28</v>
      </c>
      <c r="B32" s="142" t="s">
        <v>10</v>
      </c>
      <c r="C32" s="141" t="s">
        <v>87</v>
      </c>
      <c r="D32" s="143">
        <v>32000</v>
      </c>
      <c r="E32" s="144"/>
      <c r="F32" s="144"/>
      <c r="G32" s="144"/>
      <c r="H32" s="144"/>
      <c r="I32" s="144"/>
      <c r="J32" s="144"/>
      <c r="K32" s="144"/>
      <c r="L32" s="223">
        <v>31</v>
      </c>
      <c r="M32" s="224" t="s">
        <v>90</v>
      </c>
      <c r="N32" s="226" t="s">
        <v>67</v>
      </c>
      <c r="O32" s="228">
        <v>32000</v>
      </c>
      <c r="P32" s="155">
        <f t="shared" si="0"/>
        <v>31</v>
      </c>
      <c r="Q32" s="146"/>
      <c r="R32" s="146"/>
    </row>
    <row r="33" spans="1:18" s="145" customFormat="1" ht="18" x14ac:dyDescent="0.35">
      <c r="A33" s="141">
        <v>29</v>
      </c>
      <c r="B33" s="142" t="s">
        <v>38</v>
      </c>
      <c r="C33" s="141" t="s">
        <v>88</v>
      </c>
      <c r="D33" s="143">
        <v>32000</v>
      </c>
      <c r="E33" s="144"/>
      <c r="F33" s="144"/>
      <c r="G33" s="144"/>
      <c r="H33" s="144"/>
      <c r="I33" s="144"/>
      <c r="J33" s="144"/>
      <c r="K33" s="144"/>
      <c r="L33" s="223">
        <v>32</v>
      </c>
      <c r="M33" s="224" t="s">
        <v>91</v>
      </c>
      <c r="N33" s="226" t="s">
        <v>40</v>
      </c>
      <c r="O33" s="228">
        <v>35000</v>
      </c>
      <c r="P33" s="155">
        <f t="shared" si="0"/>
        <v>32</v>
      </c>
      <c r="Q33" s="146"/>
      <c r="R33" s="146"/>
    </row>
    <row r="34" spans="1:18" s="145" customFormat="1" ht="18" x14ac:dyDescent="0.35">
      <c r="A34" s="141">
        <v>30</v>
      </c>
      <c r="B34" s="142" t="s">
        <v>39</v>
      </c>
      <c r="C34" s="141" t="s">
        <v>89</v>
      </c>
      <c r="D34" s="143">
        <v>14000</v>
      </c>
      <c r="E34" s="144"/>
      <c r="F34" s="144"/>
      <c r="G34" s="144"/>
      <c r="H34" s="144"/>
      <c r="I34" s="144"/>
      <c r="J34" s="144"/>
      <c r="K34" s="144"/>
      <c r="L34" s="223">
        <v>33</v>
      </c>
      <c r="M34" s="224" t="s">
        <v>92</v>
      </c>
      <c r="N34" s="226" t="s">
        <v>41</v>
      </c>
      <c r="O34" s="228">
        <v>14000</v>
      </c>
      <c r="P34" s="155">
        <f t="shared" ref="P34:P65" si="2">IF($N34="","",LOOKUP(2,1/($N34=$B$2:$B$100),$A$2:$A$100))</f>
        <v>33</v>
      </c>
      <c r="Q34" s="146"/>
      <c r="R34" s="146"/>
    </row>
    <row r="35" spans="1:18" s="145" customFormat="1" ht="18" x14ac:dyDescent="0.35">
      <c r="A35" s="141">
        <v>31</v>
      </c>
      <c r="B35" s="142" t="s">
        <v>67</v>
      </c>
      <c r="C35" s="141" t="s">
        <v>90</v>
      </c>
      <c r="D35" s="143">
        <v>32000</v>
      </c>
      <c r="E35" s="144"/>
      <c r="F35" s="144"/>
      <c r="G35" s="144"/>
      <c r="H35" s="144"/>
      <c r="I35" s="144"/>
      <c r="J35" s="144"/>
      <c r="K35" s="144"/>
      <c r="L35" s="223">
        <v>34</v>
      </c>
      <c r="M35" s="224" t="s">
        <v>93</v>
      </c>
      <c r="N35" s="226" t="s">
        <v>42</v>
      </c>
      <c r="O35" s="228">
        <v>35000</v>
      </c>
      <c r="P35" s="155">
        <f t="shared" si="2"/>
        <v>34</v>
      </c>
      <c r="Q35" s="146"/>
      <c r="R35" s="146"/>
    </row>
    <row r="36" spans="1:18" s="145" customFormat="1" ht="18" x14ac:dyDescent="0.35">
      <c r="A36" s="141">
        <v>32</v>
      </c>
      <c r="B36" s="142" t="s">
        <v>40</v>
      </c>
      <c r="C36" s="141" t="s">
        <v>91</v>
      </c>
      <c r="D36" s="143">
        <v>35000</v>
      </c>
      <c r="E36" s="144"/>
      <c r="F36" s="144"/>
      <c r="G36" s="144"/>
      <c r="H36" s="144"/>
      <c r="I36" s="144"/>
      <c r="J36" s="144"/>
      <c r="K36" s="144"/>
      <c r="L36" s="223">
        <v>35</v>
      </c>
      <c r="M36" s="224" t="s">
        <v>94</v>
      </c>
      <c r="N36" s="226" t="s">
        <v>43</v>
      </c>
      <c r="O36" s="228">
        <v>14000</v>
      </c>
      <c r="P36" s="155">
        <f t="shared" si="2"/>
        <v>35</v>
      </c>
      <c r="Q36" s="146"/>
      <c r="R36" s="146"/>
    </row>
    <row r="37" spans="1:18" s="145" customFormat="1" ht="18" x14ac:dyDescent="0.35">
      <c r="A37" s="141">
        <v>33</v>
      </c>
      <c r="B37" s="142" t="s">
        <v>41</v>
      </c>
      <c r="C37" s="141" t="s">
        <v>92</v>
      </c>
      <c r="D37" s="143">
        <v>14000</v>
      </c>
      <c r="E37" s="144"/>
      <c r="F37" s="144"/>
      <c r="G37" s="144"/>
      <c r="H37" s="144"/>
      <c r="I37" s="144"/>
      <c r="J37" s="144"/>
      <c r="K37" s="144"/>
      <c r="L37" s="223">
        <v>36</v>
      </c>
      <c r="M37" s="224" t="s">
        <v>95</v>
      </c>
      <c r="N37" s="226" t="s">
        <v>48</v>
      </c>
      <c r="O37" s="228">
        <v>59000</v>
      </c>
      <c r="P37" s="155">
        <f t="shared" si="2"/>
        <v>36</v>
      </c>
      <c r="Q37" s="146"/>
      <c r="R37" s="146"/>
    </row>
    <row r="38" spans="1:18" s="145" customFormat="1" ht="18" x14ac:dyDescent="0.35">
      <c r="A38" s="141">
        <v>34</v>
      </c>
      <c r="B38" s="142" t="s">
        <v>42</v>
      </c>
      <c r="C38" s="141" t="s">
        <v>93</v>
      </c>
      <c r="D38" s="143">
        <v>35000</v>
      </c>
      <c r="E38" s="144"/>
      <c r="F38" s="144"/>
      <c r="G38" s="144"/>
      <c r="H38" s="144"/>
      <c r="I38" s="144"/>
      <c r="J38" s="144"/>
      <c r="K38" s="144"/>
      <c r="L38" s="223">
        <v>37</v>
      </c>
      <c r="M38" s="224" t="s">
        <v>96</v>
      </c>
      <c r="N38" s="226" t="s">
        <v>49</v>
      </c>
      <c r="O38" s="228">
        <v>52000</v>
      </c>
      <c r="P38" s="155">
        <f t="shared" si="2"/>
        <v>37</v>
      </c>
      <c r="Q38" s="146"/>
      <c r="R38" s="146"/>
    </row>
    <row r="39" spans="1:18" s="145" customFormat="1" ht="18" x14ac:dyDescent="0.35">
      <c r="A39" s="141">
        <v>35</v>
      </c>
      <c r="B39" s="142" t="s">
        <v>43</v>
      </c>
      <c r="C39" s="141" t="s">
        <v>94</v>
      </c>
      <c r="D39" s="143">
        <v>14000</v>
      </c>
      <c r="E39" s="144"/>
      <c r="F39" s="144"/>
      <c r="G39" s="144"/>
      <c r="H39" s="144"/>
      <c r="I39" s="144"/>
      <c r="J39" s="144"/>
      <c r="K39" s="144"/>
      <c r="L39" s="223">
        <v>38</v>
      </c>
      <c r="M39" s="224" t="s">
        <v>97</v>
      </c>
      <c r="N39" s="226" t="s">
        <v>45</v>
      </c>
      <c r="O39" s="228">
        <v>65000</v>
      </c>
      <c r="P39" s="155">
        <f t="shared" si="2"/>
        <v>38</v>
      </c>
      <c r="Q39" s="146"/>
      <c r="R39" s="146"/>
    </row>
    <row r="40" spans="1:18" s="145" customFormat="1" ht="18" x14ac:dyDescent="0.35">
      <c r="A40" s="141">
        <v>36</v>
      </c>
      <c r="B40" s="142" t="s">
        <v>48</v>
      </c>
      <c r="C40" s="141" t="s">
        <v>95</v>
      </c>
      <c r="D40" s="143">
        <v>59000</v>
      </c>
      <c r="E40" s="144"/>
      <c r="F40" s="144"/>
      <c r="G40" s="144"/>
      <c r="H40" s="144"/>
      <c r="I40" s="144"/>
      <c r="J40" s="144"/>
      <c r="K40" s="144"/>
      <c r="L40" s="223">
        <v>39</v>
      </c>
      <c r="M40" s="224" t="s">
        <v>98</v>
      </c>
      <c r="N40" s="226" t="s">
        <v>44</v>
      </c>
      <c r="O40" s="228">
        <v>44000</v>
      </c>
      <c r="P40" s="155">
        <f t="shared" si="2"/>
        <v>39</v>
      </c>
      <c r="Q40" s="146"/>
      <c r="R40" s="146"/>
    </row>
    <row r="41" spans="1:18" s="145" customFormat="1" ht="18" x14ac:dyDescent="0.35">
      <c r="A41" s="141">
        <v>37</v>
      </c>
      <c r="B41" s="142" t="s">
        <v>49</v>
      </c>
      <c r="C41" s="141" t="s">
        <v>96</v>
      </c>
      <c r="D41" s="143">
        <v>52000</v>
      </c>
      <c r="E41" s="144"/>
      <c r="F41" s="144"/>
      <c r="G41" s="144"/>
      <c r="H41" s="144"/>
      <c r="I41" s="144"/>
      <c r="J41" s="144"/>
      <c r="K41" s="144"/>
      <c r="L41" s="223">
        <v>40</v>
      </c>
      <c r="M41" s="224" t="s">
        <v>99</v>
      </c>
      <c r="N41" s="226" t="s">
        <v>47</v>
      </c>
      <c r="O41" s="228">
        <v>79000</v>
      </c>
      <c r="P41" s="155">
        <f t="shared" si="2"/>
        <v>40</v>
      </c>
      <c r="Q41" s="146"/>
      <c r="R41" s="146"/>
    </row>
    <row r="42" spans="1:18" s="145" customFormat="1" ht="18" x14ac:dyDescent="0.35">
      <c r="A42" s="141">
        <v>38</v>
      </c>
      <c r="B42" s="142" t="s">
        <v>45</v>
      </c>
      <c r="C42" s="141" t="s">
        <v>97</v>
      </c>
      <c r="D42" s="143">
        <v>65000</v>
      </c>
      <c r="E42" s="144"/>
      <c r="F42" s="144"/>
      <c r="G42" s="144"/>
      <c r="H42" s="144"/>
      <c r="I42" s="144"/>
      <c r="J42" s="144"/>
      <c r="K42" s="144"/>
      <c r="L42" s="223">
        <v>41</v>
      </c>
      <c r="M42" s="224" t="s">
        <v>100</v>
      </c>
      <c r="N42" s="226" t="s">
        <v>37</v>
      </c>
      <c r="O42" s="228">
        <v>66000</v>
      </c>
      <c r="P42" s="155">
        <f t="shared" si="2"/>
        <v>41</v>
      </c>
      <c r="Q42" s="146"/>
      <c r="R42" s="146"/>
    </row>
    <row r="43" spans="1:18" s="145" customFormat="1" ht="18" x14ac:dyDescent="0.35">
      <c r="A43" s="141">
        <v>39</v>
      </c>
      <c r="B43" s="142" t="s">
        <v>44</v>
      </c>
      <c r="C43" s="141" t="s">
        <v>98</v>
      </c>
      <c r="D43" s="143">
        <v>44000</v>
      </c>
      <c r="E43" s="144"/>
      <c r="F43" s="144"/>
      <c r="G43" s="144"/>
      <c r="H43" s="144"/>
      <c r="I43" s="144"/>
      <c r="J43" s="144"/>
      <c r="K43" s="144"/>
      <c r="L43" s="223">
        <v>42</v>
      </c>
      <c r="M43" s="224" t="s">
        <v>101</v>
      </c>
      <c r="N43" s="226" t="s">
        <v>36</v>
      </c>
      <c r="O43" s="227">
        <v>66000</v>
      </c>
      <c r="P43" s="155">
        <f t="shared" si="2"/>
        <v>42</v>
      </c>
      <c r="Q43" s="146"/>
      <c r="R43" s="146"/>
    </row>
    <row r="44" spans="1:18" s="145" customFormat="1" ht="18" x14ac:dyDescent="0.35">
      <c r="A44" s="141">
        <v>40</v>
      </c>
      <c r="B44" s="142" t="s">
        <v>47</v>
      </c>
      <c r="C44" s="141" t="s">
        <v>99</v>
      </c>
      <c r="D44" s="143">
        <v>79000</v>
      </c>
      <c r="E44" s="144"/>
      <c r="F44" s="144"/>
      <c r="G44" s="144"/>
      <c r="H44" s="144"/>
      <c r="I44" s="144"/>
      <c r="J44" s="144"/>
      <c r="K44" s="144"/>
      <c r="L44" s="223">
        <v>43</v>
      </c>
      <c r="M44" s="224" t="s">
        <v>102</v>
      </c>
      <c r="N44" s="226" t="s">
        <v>51</v>
      </c>
      <c r="O44" s="227">
        <v>65000</v>
      </c>
      <c r="P44" s="155">
        <f t="shared" si="2"/>
        <v>43</v>
      </c>
      <c r="Q44" s="146"/>
      <c r="R44" s="146"/>
    </row>
    <row r="45" spans="1:18" s="145" customFormat="1" ht="18" x14ac:dyDescent="0.35">
      <c r="A45" s="141">
        <v>41</v>
      </c>
      <c r="B45" s="142" t="s">
        <v>37</v>
      </c>
      <c r="C45" s="141" t="s">
        <v>100</v>
      </c>
      <c r="D45" s="143">
        <v>66000</v>
      </c>
      <c r="E45" s="144"/>
      <c r="F45" s="144"/>
      <c r="G45" s="144"/>
      <c r="H45" s="144"/>
      <c r="I45" s="144"/>
      <c r="J45" s="144"/>
      <c r="K45" s="144"/>
      <c r="L45" s="223">
        <v>44</v>
      </c>
      <c r="M45" s="224" t="s">
        <v>103</v>
      </c>
      <c r="N45" s="226" t="s">
        <v>52</v>
      </c>
      <c r="O45" s="227">
        <v>54000</v>
      </c>
      <c r="P45" s="155">
        <f t="shared" si="2"/>
        <v>44</v>
      </c>
      <c r="Q45" s="146"/>
      <c r="R45" s="146"/>
    </row>
    <row r="46" spans="1:18" s="145" customFormat="1" ht="18" x14ac:dyDescent="0.35">
      <c r="A46" s="141">
        <v>42</v>
      </c>
      <c r="B46" s="142" t="s">
        <v>36</v>
      </c>
      <c r="C46" s="141" t="s">
        <v>101</v>
      </c>
      <c r="D46" s="143">
        <v>66000</v>
      </c>
      <c r="E46" s="144"/>
      <c r="F46" s="144"/>
      <c r="G46" s="144"/>
      <c r="H46" s="144"/>
      <c r="I46" s="144"/>
      <c r="J46" s="144"/>
      <c r="K46" s="144"/>
      <c r="L46" s="223">
        <v>45</v>
      </c>
      <c r="M46" s="224" t="s">
        <v>104</v>
      </c>
      <c r="N46" s="226" t="s">
        <v>46</v>
      </c>
      <c r="O46" s="227">
        <v>59000</v>
      </c>
      <c r="P46" s="155">
        <f t="shared" si="2"/>
        <v>45</v>
      </c>
      <c r="Q46" s="146"/>
      <c r="R46" s="146"/>
    </row>
    <row r="47" spans="1:18" s="145" customFormat="1" ht="18" x14ac:dyDescent="0.35">
      <c r="A47" s="141">
        <v>43</v>
      </c>
      <c r="B47" s="142" t="s">
        <v>51</v>
      </c>
      <c r="C47" s="141" t="s">
        <v>102</v>
      </c>
      <c r="D47" s="143">
        <v>65000</v>
      </c>
      <c r="E47" s="144"/>
      <c r="F47" s="144"/>
      <c r="G47" s="144"/>
      <c r="H47" s="144"/>
      <c r="I47" s="144"/>
      <c r="J47" s="144"/>
      <c r="K47" s="144"/>
      <c r="L47" s="223">
        <v>46</v>
      </c>
      <c r="M47" s="224" t="s">
        <v>105</v>
      </c>
      <c r="N47" s="226" t="s">
        <v>289</v>
      </c>
      <c r="O47" s="227">
        <v>42000</v>
      </c>
      <c r="P47" s="155">
        <f t="shared" si="2"/>
        <v>46</v>
      </c>
      <c r="Q47" s="146"/>
      <c r="R47" s="146"/>
    </row>
    <row r="48" spans="1:18" s="145" customFormat="1" ht="18" x14ac:dyDescent="0.35">
      <c r="A48" s="141">
        <v>44</v>
      </c>
      <c r="B48" s="142" t="s">
        <v>52</v>
      </c>
      <c r="C48" s="141" t="s">
        <v>103</v>
      </c>
      <c r="D48" s="143">
        <v>54000</v>
      </c>
      <c r="E48" s="144"/>
      <c r="F48" s="144"/>
      <c r="G48" s="144"/>
      <c r="H48" s="144"/>
      <c r="I48" s="144"/>
      <c r="J48" s="144"/>
      <c r="K48" s="144"/>
      <c r="L48" s="223">
        <v>47</v>
      </c>
      <c r="M48" s="224" t="s">
        <v>126</v>
      </c>
      <c r="N48" s="226" t="s">
        <v>138</v>
      </c>
      <c r="O48" s="227">
        <v>35000</v>
      </c>
      <c r="P48" s="155">
        <f t="shared" si="2"/>
        <v>47</v>
      </c>
      <c r="Q48" s="146"/>
      <c r="R48" s="146"/>
    </row>
    <row r="49" spans="1:18" s="145" customFormat="1" ht="18" x14ac:dyDescent="0.35">
      <c r="A49" s="141">
        <v>45</v>
      </c>
      <c r="B49" s="142" t="s">
        <v>46</v>
      </c>
      <c r="C49" s="141" t="s">
        <v>104</v>
      </c>
      <c r="D49" s="143">
        <v>59000</v>
      </c>
      <c r="E49" s="144"/>
      <c r="F49" s="144"/>
      <c r="G49" s="144"/>
      <c r="H49" s="144"/>
      <c r="I49" s="144"/>
      <c r="J49" s="144"/>
      <c r="K49" s="144"/>
      <c r="L49" s="223">
        <v>48</v>
      </c>
      <c r="M49" s="224" t="s">
        <v>139</v>
      </c>
      <c r="N49" s="226" t="s">
        <v>254</v>
      </c>
      <c r="O49" s="227">
        <v>105000</v>
      </c>
      <c r="P49" s="155">
        <f t="shared" si="2"/>
        <v>48</v>
      </c>
      <c r="Q49" s="146"/>
      <c r="R49" s="146"/>
    </row>
    <row r="50" spans="1:18" s="145" customFormat="1" ht="18" x14ac:dyDescent="0.35">
      <c r="A50" s="141">
        <v>46</v>
      </c>
      <c r="B50" s="142" t="s">
        <v>289</v>
      </c>
      <c r="C50" s="141" t="s">
        <v>105</v>
      </c>
      <c r="D50" s="143">
        <v>42000</v>
      </c>
      <c r="E50" s="144"/>
      <c r="F50" s="144"/>
      <c r="G50" s="144"/>
      <c r="H50" s="144"/>
      <c r="I50" s="144"/>
      <c r="J50" s="144"/>
      <c r="K50" s="144"/>
      <c r="L50" s="223">
        <v>49</v>
      </c>
      <c r="M50" s="224" t="s">
        <v>141</v>
      </c>
      <c r="N50" s="226" t="s">
        <v>142</v>
      </c>
      <c r="O50" s="227">
        <v>42000</v>
      </c>
      <c r="P50" s="155">
        <f t="shared" si="2"/>
        <v>49</v>
      </c>
      <c r="Q50" s="146"/>
      <c r="R50" s="146"/>
    </row>
    <row r="51" spans="1:18" s="145" customFormat="1" ht="18" x14ac:dyDescent="0.35">
      <c r="A51" s="141">
        <v>47</v>
      </c>
      <c r="B51" s="142" t="s">
        <v>138</v>
      </c>
      <c r="C51" s="141" t="s">
        <v>126</v>
      </c>
      <c r="D51" s="143">
        <v>35000</v>
      </c>
      <c r="E51" s="144"/>
      <c r="F51" s="144"/>
      <c r="G51" s="144"/>
      <c r="H51" s="144"/>
      <c r="I51" s="144"/>
      <c r="J51" s="144"/>
      <c r="K51" s="144"/>
      <c r="L51" s="223">
        <v>50</v>
      </c>
      <c r="M51" s="224" t="s">
        <v>143</v>
      </c>
      <c r="N51" s="226" t="s">
        <v>145</v>
      </c>
      <c r="O51" s="227">
        <v>35000</v>
      </c>
      <c r="P51" s="155">
        <f t="shared" si="2"/>
        <v>50</v>
      </c>
      <c r="Q51" s="146"/>
      <c r="R51" s="146"/>
    </row>
    <row r="52" spans="1:18" s="145" customFormat="1" ht="18" x14ac:dyDescent="0.35">
      <c r="A52" s="141">
        <v>48</v>
      </c>
      <c r="B52" s="142" t="s">
        <v>254</v>
      </c>
      <c r="C52" s="141" t="s">
        <v>139</v>
      </c>
      <c r="D52" s="143">
        <v>105000</v>
      </c>
      <c r="E52" s="144"/>
      <c r="F52" s="144"/>
      <c r="G52" s="144"/>
      <c r="H52" s="144"/>
      <c r="I52" s="144"/>
      <c r="J52" s="144"/>
      <c r="K52" s="144"/>
      <c r="L52" s="223">
        <v>51</v>
      </c>
      <c r="M52" s="224" t="s">
        <v>156</v>
      </c>
      <c r="N52" s="226" t="s">
        <v>161</v>
      </c>
      <c r="O52" s="227">
        <v>69000</v>
      </c>
      <c r="P52" s="155">
        <f t="shared" si="2"/>
        <v>51</v>
      </c>
      <c r="Q52" s="146"/>
      <c r="R52" s="146"/>
    </row>
    <row r="53" spans="1:18" s="145" customFormat="1" ht="18" x14ac:dyDescent="0.35">
      <c r="A53" s="141">
        <v>49</v>
      </c>
      <c r="B53" s="142" t="s">
        <v>142</v>
      </c>
      <c r="C53" s="141" t="s">
        <v>141</v>
      </c>
      <c r="D53" s="143">
        <v>42000</v>
      </c>
      <c r="E53" s="144"/>
      <c r="F53" s="144"/>
      <c r="G53" s="144"/>
      <c r="H53" s="144"/>
      <c r="I53" s="144"/>
      <c r="J53" s="144"/>
      <c r="K53" s="144"/>
      <c r="L53" s="223">
        <v>52</v>
      </c>
      <c r="M53" s="224" t="s">
        <v>162</v>
      </c>
      <c r="N53" s="226" t="s">
        <v>163</v>
      </c>
      <c r="O53" s="227">
        <v>76000</v>
      </c>
      <c r="P53" s="155">
        <f t="shared" si="2"/>
        <v>52</v>
      </c>
      <c r="Q53" s="146"/>
      <c r="R53" s="146"/>
    </row>
    <row r="54" spans="1:18" s="145" customFormat="1" ht="18" x14ac:dyDescent="0.35">
      <c r="A54" s="141">
        <v>50</v>
      </c>
      <c r="B54" s="142" t="s">
        <v>145</v>
      </c>
      <c r="C54" s="141" t="s">
        <v>143</v>
      </c>
      <c r="D54" s="143">
        <v>35000</v>
      </c>
      <c r="E54" s="144"/>
      <c r="F54" s="144"/>
      <c r="G54" s="144"/>
      <c r="H54" s="144"/>
      <c r="I54" s="144"/>
      <c r="J54" s="144"/>
      <c r="K54" s="144"/>
      <c r="L54" s="223">
        <v>53</v>
      </c>
      <c r="M54" s="224" t="s">
        <v>164</v>
      </c>
      <c r="N54" s="226" t="s">
        <v>173</v>
      </c>
      <c r="O54" s="227">
        <v>30000</v>
      </c>
      <c r="P54" s="155">
        <f t="shared" si="2"/>
        <v>53</v>
      </c>
      <c r="Q54" s="146"/>
      <c r="R54" s="146"/>
    </row>
    <row r="55" spans="1:18" s="145" customFormat="1" ht="18" x14ac:dyDescent="0.35">
      <c r="A55" s="141">
        <v>51</v>
      </c>
      <c r="B55" s="142" t="s">
        <v>161</v>
      </c>
      <c r="C55" s="141" t="s">
        <v>156</v>
      </c>
      <c r="D55" s="143">
        <v>69000</v>
      </c>
      <c r="E55" s="144"/>
      <c r="F55" s="144"/>
      <c r="G55" s="144"/>
      <c r="H55" s="144"/>
      <c r="I55" s="144"/>
      <c r="J55" s="144"/>
      <c r="K55" s="144"/>
      <c r="L55" s="223">
        <v>54</v>
      </c>
      <c r="M55" s="224" t="s">
        <v>170</v>
      </c>
      <c r="N55" s="226" t="s">
        <v>171</v>
      </c>
      <c r="O55" s="227">
        <v>49000</v>
      </c>
      <c r="P55" s="155">
        <f t="shared" si="2"/>
        <v>54</v>
      </c>
      <c r="Q55" s="146"/>
      <c r="R55" s="146"/>
    </row>
    <row r="56" spans="1:18" s="145" customFormat="1" ht="18" x14ac:dyDescent="0.35">
      <c r="A56" s="141">
        <v>52</v>
      </c>
      <c r="B56" s="142" t="s">
        <v>163</v>
      </c>
      <c r="C56" s="141" t="s">
        <v>162</v>
      </c>
      <c r="D56" s="143">
        <v>76000</v>
      </c>
      <c r="E56" s="144"/>
      <c r="F56" s="144"/>
      <c r="G56" s="144"/>
      <c r="H56" s="144"/>
      <c r="I56" s="144"/>
      <c r="J56" s="144"/>
      <c r="K56" s="144"/>
      <c r="L56" s="223">
        <v>55</v>
      </c>
      <c r="M56" s="224" t="s">
        <v>172</v>
      </c>
      <c r="N56" s="226" t="s">
        <v>169</v>
      </c>
      <c r="O56" s="227">
        <v>80000</v>
      </c>
      <c r="P56" s="155">
        <f t="shared" si="2"/>
        <v>55</v>
      </c>
      <c r="Q56" s="146"/>
      <c r="R56" s="146"/>
    </row>
    <row r="57" spans="1:18" s="145" customFormat="1" ht="18" x14ac:dyDescent="0.35">
      <c r="A57" s="141">
        <v>53</v>
      </c>
      <c r="B57" s="142" t="s">
        <v>173</v>
      </c>
      <c r="C57" s="141" t="s">
        <v>164</v>
      </c>
      <c r="D57" s="143">
        <v>30000</v>
      </c>
      <c r="E57" s="144"/>
      <c r="F57" s="144"/>
      <c r="G57" s="144"/>
      <c r="H57" s="144"/>
      <c r="I57" s="144"/>
      <c r="J57" s="144"/>
      <c r="K57" s="144"/>
      <c r="L57" s="223">
        <v>56</v>
      </c>
      <c r="M57" s="224" t="s">
        <v>174</v>
      </c>
      <c r="N57" s="226" t="s">
        <v>286</v>
      </c>
      <c r="O57" s="227">
        <v>44000</v>
      </c>
      <c r="P57" s="155">
        <f t="shared" si="2"/>
        <v>56</v>
      </c>
      <c r="Q57" s="146"/>
      <c r="R57" s="146"/>
    </row>
    <row r="58" spans="1:18" s="145" customFormat="1" ht="18" x14ac:dyDescent="0.35">
      <c r="A58" s="141">
        <v>54</v>
      </c>
      <c r="B58" s="142" t="s">
        <v>171</v>
      </c>
      <c r="C58" s="141" t="s">
        <v>170</v>
      </c>
      <c r="D58" s="143">
        <v>49000</v>
      </c>
      <c r="E58" s="144"/>
      <c r="F58" s="144"/>
      <c r="G58" s="144"/>
      <c r="H58" s="144"/>
      <c r="I58" s="144"/>
      <c r="J58" s="144"/>
      <c r="K58" s="144"/>
      <c r="L58" s="223">
        <v>57</v>
      </c>
      <c r="M58" s="224" t="s">
        <v>175</v>
      </c>
      <c r="N58" s="226" t="s">
        <v>176</v>
      </c>
      <c r="O58" s="227">
        <v>35000</v>
      </c>
      <c r="P58" s="155">
        <f t="shared" si="2"/>
        <v>57</v>
      </c>
      <c r="Q58" s="146"/>
      <c r="R58" s="146"/>
    </row>
    <row r="59" spans="1:18" s="145" customFormat="1" ht="18" x14ac:dyDescent="0.35">
      <c r="A59" s="141">
        <v>55</v>
      </c>
      <c r="B59" s="142" t="s">
        <v>169</v>
      </c>
      <c r="C59" s="141" t="s">
        <v>172</v>
      </c>
      <c r="D59" s="143">
        <v>80000</v>
      </c>
      <c r="E59" s="144"/>
      <c r="F59" s="144"/>
      <c r="G59" s="144"/>
      <c r="H59" s="144"/>
      <c r="I59" s="144"/>
      <c r="J59" s="144"/>
      <c r="K59" s="144"/>
      <c r="L59" s="223">
        <v>58</v>
      </c>
      <c r="M59" s="224" t="s">
        <v>178</v>
      </c>
      <c r="N59" s="226" t="s">
        <v>177</v>
      </c>
      <c r="O59" s="227">
        <v>38000</v>
      </c>
      <c r="P59" s="155">
        <f t="shared" si="2"/>
        <v>58</v>
      </c>
      <c r="Q59" s="146"/>
      <c r="R59" s="146"/>
    </row>
    <row r="60" spans="1:18" s="145" customFormat="1" ht="18" x14ac:dyDescent="0.35">
      <c r="A60" s="141">
        <v>56</v>
      </c>
      <c r="B60" s="142" t="s">
        <v>286</v>
      </c>
      <c r="C60" s="141" t="s">
        <v>174</v>
      </c>
      <c r="D60" s="143">
        <v>44000</v>
      </c>
      <c r="E60" s="144"/>
      <c r="F60" s="144"/>
      <c r="G60" s="144"/>
      <c r="H60" s="144"/>
      <c r="I60" s="144"/>
      <c r="J60" s="144"/>
      <c r="K60" s="144"/>
      <c r="L60" s="223">
        <v>59</v>
      </c>
      <c r="M60" s="224" t="s">
        <v>179</v>
      </c>
      <c r="N60" s="226" t="s">
        <v>183</v>
      </c>
      <c r="O60" s="227">
        <v>70000</v>
      </c>
      <c r="P60" s="155">
        <f t="shared" si="2"/>
        <v>59</v>
      </c>
      <c r="Q60" s="146"/>
      <c r="R60" s="146"/>
    </row>
    <row r="61" spans="1:18" s="145" customFormat="1" ht="18" x14ac:dyDescent="0.35">
      <c r="A61" s="141">
        <v>57</v>
      </c>
      <c r="B61" s="142" t="s">
        <v>176</v>
      </c>
      <c r="C61" s="141" t="s">
        <v>175</v>
      </c>
      <c r="D61" s="143">
        <v>35000</v>
      </c>
      <c r="E61" s="144"/>
      <c r="F61" s="144"/>
      <c r="G61" s="144"/>
      <c r="H61" s="144"/>
      <c r="I61" s="144"/>
      <c r="J61" s="144"/>
      <c r="K61" s="144"/>
      <c r="L61" s="223">
        <v>60</v>
      </c>
      <c r="M61" s="224" t="s">
        <v>184</v>
      </c>
      <c r="N61" s="226" t="s">
        <v>198</v>
      </c>
      <c r="O61" s="227">
        <v>54000</v>
      </c>
      <c r="P61" s="155">
        <f t="shared" si="2"/>
        <v>60</v>
      </c>
      <c r="Q61" s="146"/>
      <c r="R61" s="146"/>
    </row>
    <row r="62" spans="1:18" s="145" customFormat="1" ht="18" x14ac:dyDescent="0.35">
      <c r="A62" s="141">
        <v>58</v>
      </c>
      <c r="B62" s="142" t="s">
        <v>177</v>
      </c>
      <c r="C62" s="141" t="s">
        <v>178</v>
      </c>
      <c r="D62" s="143">
        <v>38000</v>
      </c>
      <c r="E62" s="144"/>
      <c r="F62" s="144"/>
      <c r="G62" s="144"/>
      <c r="H62" s="144"/>
      <c r="I62" s="144"/>
      <c r="J62" s="144"/>
      <c r="K62" s="144"/>
      <c r="L62" s="223">
        <v>61</v>
      </c>
      <c r="M62" s="224" t="s">
        <v>199</v>
      </c>
      <c r="N62" s="226" t="s">
        <v>201</v>
      </c>
      <c r="O62" s="227">
        <v>47000</v>
      </c>
      <c r="P62" s="155">
        <f t="shared" si="2"/>
        <v>61</v>
      </c>
      <c r="Q62" s="146"/>
      <c r="R62" s="146"/>
    </row>
    <row r="63" spans="1:18" s="145" customFormat="1" ht="18" x14ac:dyDescent="0.35">
      <c r="A63" s="141">
        <v>59</v>
      </c>
      <c r="B63" s="142" t="s">
        <v>183</v>
      </c>
      <c r="C63" s="141" t="s">
        <v>179</v>
      </c>
      <c r="D63" s="143">
        <v>70000</v>
      </c>
      <c r="E63" s="144"/>
      <c r="F63" s="144"/>
      <c r="G63" s="144"/>
      <c r="H63" s="144"/>
      <c r="I63" s="144"/>
      <c r="J63" s="144"/>
      <c r="K63" s="144"/>
      <c r="L63" s="223">
        <v>62</v>
      </c>
      <c r="M63" s="224" t="s">
        <v>202</v>
      </c>
      <c r="N63" s="226" t="s">
        <v>204</v>
      </c>
      <c r="O63" s="227">
        <v>50000</v>
      </c>
      <c r="P63" s="155">
        <f t="shared" si="2"/>
        <v>62</v>
      </c>
      <c r="Q63" s="146"/>
      <c r="R63" s="146"/>
    </row>
    <row r="64" spans="1:18" s="145" customFormat="1" ht="18" x14ac:dyDescent="0.35">
      <c r="A64" s="141">
        <v>60</v>
      </c>
      <c r="B64" s="142" t="s">
        <v>198</v>
      </c>
      <c r="C64" s="141" t="s">
        <v>184</v>
      </c>
      <c r="D64" s="143">
        <v>54000</v>
      </c>
      <c r="E64" s="144"/>
      <c r="F64" s="144"/>
      <c r="G64" s="144"/>
      <c r="H64" s="144"/>
      <c r="I64" s="144"/>
      <c r="J64" s="144"/>
      <c r="K64" s="144"/>
      <c r="L64" s="223">
        <v>63</v>
      </c>
      <c r="M64" s="224" t="s">
        <v>206</v>
      </c>
      <c r="N64" s="226" t="s">
        <v>203</v>
      </c>
      <c r="O64" s="227">
        <v>42000</v>
      </c>
      <c r="P64" s="155">
        <f t="shared" si="2"/>
        <v>63</v>
      </c>
      <c r="Q64" s="146"/>
      <c r="R64" s="146"/>
    </row>
    <row r="65" spans="1:18" s="145" customFormat="1" ht="18" x14ac:dyDescent="0.35">
      <c r="A65" s="141">
        <v>61</v>
      </c>
      <c r="B65" s="142" t="s">
        <v>201</v>
      </c>
      <c r="C65" s="141" t="s">
        <v>199</v>
      </c>
      <c r="D65" s="143">
        <v>47000</v>
      </c>
      <c r="E65" s="144"/>
      <c r="F65" s="144"/>
      <c r="G65" s="144"/>
      <c r="H65" s="144"/>
      <c r="I65" s="144"/>
      <c r="J65" s="144"/>
      <c r="K65" s="144"/>
      <c r="L65" s="223">
        <v>64</v>
      </c>
      <c r="M65" s="224" t="s">
        <v>207</v>
      </c>
      <c r="N65" s="226" t="s">
        <v>237</v>
      </c>
      <c r="O65" s="227">
        <v>18000</v>
      </c>
      <c r="P65" s="155">
        <f t="shared" si="2"/>
        <v>64</v>
      </c>
      <c r="Q65" s="146"/>
      <c r="R65" s="146"/>
    </row>
    <row r="66" spans="1:18" ht="18" x14ac:dyDescent="0.35">
      <c r="A66" s="141">
        <v>62</v>
      </c>
      <c r="B66" s="142" t="s">
        <v>204</v>
      </c>
      <c r="C66" s="141" t="s">
        <v>202</v>
      </c>
      <c r="D66" s="143">
        <v>50000</v>
      </c>
      <c r="L66" s="223">
        <v>65</v>
      </c>
      <c r="M66" s="224" t="s">
        <v>238</v>
      </c>
      <c r="N66" s="226" t="s">
        <v>229</v>
      </c>
      <c r="O66" s="227">
        <v>23000</v>
      </c>
      <c r="P66" s="155">
        <f t="shared" ref="P66:P78" si="3">IF($N66="","",LOOKUP(2,1/($N66=$B$2:$B$100),$A$2:$A$100))</f>
        <v>65</v>
      </c>
      <c r="Q66" s="146"/>
    </row>
    <row r="67" spans="1:18" ht="18" x14ac:dyDescent="0.35">
      <c r="A67" s="141">
        <v>63</v>
      </c>
      <c r="B67" s="142" t="s">
        <v>203</v>
      </c>
      <c r="C67" s="141" t="s">
        <v>206</v>
      </c>
      <c r="D67" s="143">
        <v>42000</v>
      </c>
      <c r="L67" s="223">
        <v>66</v>
      </c>
      <c r="M67" s="224" t="s">
        <v>239</v>
      </c>
      <c r="N67" s="226" t="s">
        <v>230</v>
      </c>
      <c r="O67" s="227">
        <v>26000</v>
      </c>
      <c r="P67" s="155">
        <f t="shared" si="3"/>
        <v>66</v>
      </c>
      <c r="Q67" s="146"/>
    </row>
    <row r="68" spans="1:18" ht="18" x14ac:dyDescent="0.35">
      <c r="A68" s="141">
        <v>64</v>
      </c>
      <c r="B68" s="142" t="s">
        <v>237</v>
      </c>
      <c r="C68" s="141" t="s">
        <v>207</v>
      </c>
      <c r="D68" s="143">
        <v>18000</v>
      </c>
      <c r="L68" s="223">
        <v>67</v>
      </c>
      <c r="M68" s="224" t="s">
        <v>240</v>
      </c>
      <c r="N68" s="226" t="s">
        <v>231</v>
      </c>
      <c r="O68" s="227">
        <v>26000</v>
      </c>
      <c r="P68" s="155">
        <f t="shared" si="3"/>
        <v>67</v>
      </c>
      <c r="Q68" s="146"/>
    </row>
    <row r="69" spans="1:18" ht="18" x14ac:dyDescent="0.35">
      <c r="A69" s="141">
        <v>65</v>
      </c>
      <c r="B69" s="142" t="s">
        <v>229</v>
      </c>
      <c r="C69" s="141" t="s">
        <v>238</v>
      </c>
      <c r="D69" s="143">
        <v>23000</v>
      </c>
      <c r="L69" s="223">
        <v>68</v>
      </c>
      <c r="M69" s="224" t="s">
        <v>241</v>
      </c>
      <c r="N69" s="226" t="s">
        <v>232</v>
      </c>
      <c r="O69" s="227">
        <v>26000</v>
      </c>
      <c r="P69" s="155">
        <f t="shared" si="3"/>
        <v>68</v>
      </c>
      <c r="Q69" s="146"/>
    </row>
    <row r="70" spans="1:18" ht="18" x14ac:dyDescent="0.35">
      <c r="A70" s="141">
        <v>66</v>
      </c>
      <c r="B70" s="142" t="s">
        <v>230</v>
      </c>
      <c r="C70" s="141" t="s">
        <v>239</v>
      </c>
      <c r="D70" s="143">
        <v>26000</v>
      </c>
      <c r="L70" s="223">
        <v>69</v>
      </c>
      <c r="M70" s="224" t="s">
        <v>242</v>
      </c>
      <c r="N70" s="226" t="s">
        <v>233</v>
      </c>
      <c r="O70" s="227">
        <v>26000</v>
      </c>
      <c r="P70" s="155">
        <f t="shared" si="3"/>
        <v>69</v>
      </c>
      <c r="Q70" s="146"/>
    </row>
    <row r="71" spans="1:18" ht="18" x14ac:dyDescent="0.35">
      <c r="A71" s="141">
        <v>67</v>
      </c>
      <c r="B71" s="142" t="s">
        <v>231</v>
      </c>
      <c r="C71" s="141" t="s">
        <v>240</v>
      </c>
      <c r="D71" s="143">
        <v>26000</v>
      </c>
      <c r="L71" s="223">
        <v>70</v>
      </c>
      <c r="M71" s="224" t="s">
        <v>243</v>
      </c>
      <c r="N71" s="226" t="s">
        <v>234</v>
      </c>
      <c r="O71" s="227">
        <v>35000</v>
      </c>
      <c r="P71" s="155">
        <f t="shared" si="3"/>
        <v>70</v>
      </c>
      <c r="Q71" s="146"/>
    </row>
    <row r="72" spans="1:18" ht="18" x14ac:dyDescent="0.35">
      <c r="A72" s="141">
        <v>68</v>
      </c>
      <c r="B72" s="142" t="s">
        <v>232</v>
      </c>
      <c r="C72" s="141" t="s">
        <v>241</v>
      </c>
      <c r="D72" s="143">
        <v>26000</v>
      </c>
      <c r="L72" s="223">
        <v>71</v>
      </c>
      <c r="M72" s="224" t="s">
        <v>244</v>
      </c>
      <c r="N72" s="226" t="s">
        <v>235</v>
      </c>
      <c r="O72" s="227">
        <v>40000</v>
      </c>
      <c r="P72" s="155">
        <f t="shared" si="3"/>
        <v>71</v>
      </c>
      <c r="Q72" s="146"/>
    </row>
    <row r="73" spans="1:18" ht="18" x14ac:dyDescent="0.35">
      <c r="A73" s="141">
        <v>69</v>
      </c>
      <c r="B73" s="142" t="s">
        <v>233</v>
      </c>
      <c r="C73" s="141" t="s">
        <v>242</v>
      </c>
      <c r="D73" s="143">
        <v>26000</v>
      </c>
      <c r="L73" s="223">
        <v>72</v>
      </c>
      <c r="M73" s="224" t="s">
        <v>245</v>
      </c>
      <c r="N73" s="226" t="s">
        <v>236</v>
      </c>
      <c r="O73" s="227">
        <v>45000</v>
      </c>
      <c r="P73" s="155">
        <f t="shared" si="3"/>
        <v>72</v>
      </c>
      <c r="Q73" s="146"/>
    </row>
    <row r="74" spans="1:18" ht="18" x14ac:dyDescent="0.35">
      <c r="A74" s="141">
        <v>70</v>
      </c>
      <c r="B74" s="142" t="s">
        <v>234</v>
      </c>
      <c r="C74" s="141" t="s">
        <v>243</v>
      </c>
      <c r="D74" s="143">
        <v>35000</v>
      </c>
      <c r="L74" s="223">
        <v>73</v>
      </c>
      <c r="M74" s="224" t="s">
        <v>246</v>
      </c>
      <c r="N74" s="226" t="s">
        <v>292</v>
      </c>
      <c r="O74" s="227">
        <v>40000</v>
      </c>
      <c r="P74" s="155">
        <f t="shared" si="3"/>
        <v>73</v>
      </c>
      <c r="Q74" s="146"/>
    </row>
    <row r="75" spans="1:18" ht="18" x14ac:dyDescent="0.35">
      <c r="A75" s="141">
        <v>71</v>
      </c>
      <c r="B75" s="142" t="s">
        <v>235</v>
      </c>
      <c r="C75" s="141" t="s">
        <v>244</v>
      </c>
      <c r="D75" s="143">
        <v>40000</v>
      </c>
      <c r="L75" s="223" t="s">
        <v>209</v>
      </c>
      <c r="M75" s="224" t="s">
        <v>212</v>
      </c>
      <c r="N75" s="226" t="s">
        <v>215</v>
      </c>
      <c r="O75" s="227">
        <v>60000</v>
      </c>
      <c r="P75" s="155" t="str">
        <f t="shared" si="3"/>
        <v>G1</v>
      </c>
      <c r="Q75" s="146"/>
    </row>
    <row r="76" spans="1:18" ht="18" x14ac:dyDescent="0.35">
      <c r="A76" s="141">
        <v>72</v>
      </c>
      <c r="B76" s="142" t="s">
        <v>236</v>
      </c>
      <c r="C76" s="141" t="s">
        <v>245</v>
      </c>
      <c r="D76" s="143">
        <v>45000</v>
      </c>
      <c r="L76" s="223" t="s">
        <v>210</v>
      </c>
      <c r="M76" s="224" t="s">
        <v>213</v>
      </c>
      <c r="N76" s="226" t="s">
        <v>216</v>
      </c>
      <c r="O76" s="227">
        <v>70000</v>
      </c>
      <c r="P76" s="155" t="str">
        <f t="shared" si="3"/>
        <v>G2</v>
      </c>
      <c r="Q76" s="146"/>
    </row>
    <row r="77" spans="1:18" ht="18" x14ac:dyDescent="0.35">
      <c r="A77" s="141">
        <v>73</v>
      </c>
      <c r="B77" s="142" t="s">
        <v>292</v>
      </c>
      <c r="C77" s="141" t="s">
        <v>246</v>
      </c>
      <c r="D77" s="143">
        <v>40000</v>
      </c>
      <c r="L77" s="223" t="s">
        <v>211</v>
      </c>
      <c r="M77" s="224" t="s">
        <v>214</v>
      </c>
      <c r="N77" s="226" t="s">
        <v>217</v>
      </c>
      <c r="O77" s="227">
        <v>45000</v>
      </c>
      <c r="P77" s="155" t="str">
        <f t="shared" si="3"/>
        <v>G3</v>
      </c>
      <c r="Q77" s="146"/>
    </row>
    <row r="78" spans="1:18" ht="17.399999999999999" x14ac:dyDescent="0.3">
      <c r="B78" s="43"/>
      <c r="C78" s="43"/>
      <c r="D78" s="43"/>
      <c r="L78"/>
      <c r="M78"/>
      <c r="N78"/>
      <c r="O78"/>
      <c r="P78" s="155" t="str">
        <f t="shared" si="3"/>
        <v/>
      </c>
      <c r="Q78" s="146"/>
    </row>
    <row r="79" spans="1:18" x14ac:dyDescent="0.3">
      <c r="L79" s="15"/>
      <c r="M79" s="15"/>
      <c r="N79" s="15"/>
      <c r="O79" s="15"/>
      <c r="P79" s="15"/>
    </row>
    <row r="80" spans="1:18"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row r="224" spans="12:16" x14ac:dyDescent="0.3">
      <c r="L224" s="15"/>
      <c r="M224" s="15"/>
      <c r="N224" s="15"/>
      <c r="O224" s="15"/>
      <c r="P224" s="15"/>
    </row>
    <row r="225" spans="12:16" x14ac:dyDescent="0.3">
      <c r="L225" s="15"/>
      <c r="M225" s="15"/>
      <c r="N225" s="15"/>
      <c r="O225" s="15"/>
      <c r="P225" s="15"/>
    </row>
    <row r="226" spans="12:16" x14ac:dyDescent="0.3">
      <c r="L226" s="15"/>
      <c r="M226" s="15"/>
      <c r="N226" s="15"/>
      <c r="O226" s="15"/>
      <c r="P226" s="15"/>
    </row>
    <row r="227" spans="12:16" x14ac:dyDescent="0.3">
      <c r="L227" s="15"/>
      <c r="M227" s="15"/>
      <c r="N227" s="15"/>
      <c r="O227" s="15"/>
      <c r="P227" s="15"/>
    </row>
    <row r="228" spans="12:16" x14ac:dyDescent="0.3">
      <c r="L228" s="15"/>
      <c r="M228" s="15"/>
      <c r="N228" s="15"/>
      <c r="O228" s="15"/>
      <c r="P228" s="15"/>
    </row>
    <row r="229" spans="12:16" x14ac:dyDescent="0.3">
      <c r="L229" s="15"/>
      <c r="M229" s="15"/>
      <c r="N229" s="15"/>
      <c r="O229" s="15"/>
      <c r="P229" s="15"/>
    </row>
    <row r="230" spans="12:16" x14ac:dyDescent="0.3">
      <c r="L230" s="15"/>
      <c r="M230" s="15"/>
      <c r="N230" s="15"/>
      <c r="O230" s="15"/>
      <c r="P230" s="15"/>
    </row>
    <row r="231" spans="12:16" x14ac:dyDescent="0.3">
      <c r="L231" s="15"/>
      <c r="M231" s="15"/>
      <c r="N231" s="15"/>
      <c r="O231" s="15"/>
      <c r="P231" s="15"/>
    </row>
    <row r="232" spans="12:16" x14ac:dyDescent="0.3">
      <c r="L232" s="15"/>
      <c r="M232" s="15"/>
      <c r="N232" s="15"/>
      <c r="O232" s="15"/>
      <c r="P232" s="15"/>
    </row>
    <row r="233" spans="12:16" x14ac:dyDescent="0.3">
      <c r="L233" s="15"/>
      <c r="M233" s="15"/>
      <c r="N233" s="15"/>
      <c r="O233" s="15"/>
      <c r="P233" s="15"/>
    </row>
    <row r="234" spans="12:16" x14ac:dyDescent="0.3">
      <c r="L234" s="15"/>
      <c r="M234" s="15"/>
      <c r="N234" s="15"/>
      <c r="O234" s="15"/>
      <c r="P234" s="15"/>
    </row>
    <row r="235" spans="12:16" x14ac:dyDescent="0.3">
      <c r="L235" s="15"/>
      <c r="M235" s="15"/>
      <c r="N235" s="15"/>
      <c r="O235" s="15"/>
      <c r="P235" s="15"/>
    </row>
    <row r="236" spans="12:16" x14ac:dyDescent="0.3">
      <c r="L236" s="15"/>
      <c r="M236" s="15"/>
      <c r="N236" s="15"/>
      <c r="O236" s="15"/>
      <c r="P236" s="15"/>
    </row>
    <row r="237" spans="12:16" x14ac:dyDescent="0.3">
      <c r="L237" s="15"/>
      <c r="M237" s="15"/>
      <c r="N237" s="15"/>
      <c r="O237" s="15"/>
      <c r="P237" s="15"/>
    </row>
    <row r="238" spans="12:16" x14ac:dyDescent="0.3">
      <c r="L238" s="15"/>
      <c r="M238" s="15"/>
      <c r="N238" s="15"/>
      <c r="O238" s="15"/>
      <c r="P238" s="15"/>
    </row>
    <row r="239" spans="12:16" x14ac:dyDescent="0.3">
      <c r="L239" s="15"/>
      <c r="M239" s="15"/>
      <c r="N239" s="15"/>
      <c r="O239" s="15"/>
      <c r="P239" s="15"/>
    </row>
    <row r="240" spans="12:16" x14ac:dyDescent="0.3">
      <c r="L240" s="15"/>
      <c r="M240" s="15"/>
      <c r="N240" s="15"/>
      <c r="O240" s="15"/>
      <c r="P240" s="15"/>
    </row>
    <row r="241" spans="12:16" x14ac:dyDescent="0.3">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45720</xdr:colOff>
                    <xdr:row>0</xdr:row>
                    <xdr:rowOff>45720</xdr:rowOff>
                  </from>
                  <to>
                    <xdr:col>1</xdr:col>
                    <xdr:colOff>716280</xdr:colOff>
                    <xdr:row>1</xdr:row>
                    <xdr:rowOff>22860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zoomScale="90" zoomScaleNormal="90" workbookViewId="0">
      <pane ySplit="4" topLeftCell="A5" activePane="bottomLeft" state="frozen"/>
      <selection activeCell="L29" sqref="L2:L29"/>
      <selection pane="bottomLeft" activeCell="K1" sqref="K1"/>
    </sheetView>
  </sheetViews>
  <sheetFormatPr defaultColWidth="9.109375" defaultRowHeight="15.6" x14ac:dyDescent="0.3"/>
  <cols>
    <col min="1" max="1" width="16.33203125" style="43" customWidth="1"/>
    <col min="2" max="2" width="49.109375" style="42" customWidth="1"/>
    <col min="3" max="3" width="19.5546875" style="42" customWidth="1"/>
    <col min="4" max="4" width="15.6640625" style="42" customWidth="1"/>
    <col min="5" max="5" width="19.33203125" style="42" customWidth="1"/>
    <col min="6" max="6" width="12.5546875" style="42" customWidth="1"/>
    <col min="7" max="7" width="11.44140625" style="42" customWidth="1"/>
    <col min="8" max="11" width="12.33203125" style="42" customWidth="1"/>
    <col min="12" max="28" width="10.88671875" style="42" customWidth="1"/>
    <col min="29" max="36" width="9.109375" style="42"/>
    <col min="37" max="37" width="11.44140625" style="42" customWidth="1"/>
    <col min="38" max="16384" width="9.109375" style="42"/>
  </cols>
  <sheetData>
    <row r="1" spans="1:55" s="214" customFormat="1" ht="20.25" customHeight="1" x14ac:dyDescent="0.3">
      <c r="A1" s="240">
        <f ca="1">'Quốc Nhân'!N4+'La Cusina'!N4+TVP!M4+Gà!N4+Kitkool!N4-('Quốc Nhân'!K4+'La Cusina'!K4+TVP!J4+Gà!K4+Kitkool!K4-('Quốc Nhân'!A4+'La Cusina'!A4+TVP!A4+Gà!A4+Kitkool!A4))</f>
        <v>41708.539538401819</v>
      </c>
      <c r="B1" s="246" t="str">
        <f>"Tiền Hàng: "&amp;INT('Quốc Nhân'!K4+'La Cusina'!K4+TVP!J4+Gà!K4+Kitkool!K4)</f>
        <v>Tiền Hàng: 302442</v>
      </c>
      <c r="C1" s="245" t="str">
        <f ca="1">"Giá trị hàng Tồn: "&amp;INT('Quốc Nhân'!A4+'La Cusina'!A4+TVP!A4+Gà!A4+Kitkool!A4)</f>
        <v>Giá trị hàng Tồn: 64343</v>
      </c>
      <c r="D1" s="244" t="str">
        <f ca="1">"Giá trị Hàng xuất: "&amp;CHAR(10)&amp;INT('Quốc Nhân'!K4+'La Cusina'!K4+TVP!J4+Gà!K4+Kitkool!K4-('Quốc Nhân'!A4+'La Cusina'!A4+TVP!A4+Gà!A4+Kitkool!A4))</f>
        <v>Giá trị Hàng xuất: 
238098</v>
      </c>
      <c r="E1" s="247" t="str">
        <f ca="1">"Doanh Thu Tích Lũy: "&amp;INT('Quốc Nhân'!N4+'La Cusina'!N4+TVP!M4+Gà!N4+Kitkool!N4)</f>
        <v>Doanh Thu Tích Lũy: 279806</v>
      </c>
      <c r="F1" s="242">
        <v>3699</v>
      </c>
      <c r="G1" s="208">
        <f>-774-503+13</f>
        <v>-1264</v>
      </c>
      <c r="H1" s="209" t="s">
        <v>271</v>
      </c>
      <c r="I1" s="210">
        <f>-176</f>
        <v>-176</v>
      </c>
      <c r="J1" s="211" t="s">
        <v>272</v>
      </c>
      <c r="K1" s="212"/>
      <c r="L1" s="221"/>
      <c r="M1" s="213"/>
      <c r="N1" s="213"/>
    </row>
    <row r="2" spans="1:55" s="214" customFormat="1" ht="20.25" customHeight="1" x14ac:dyDescent="0.3">
      <c r="A2" s="241"/>
      <c r="B2" s="246"/>
      <c r="C2" s="245"/>
      <c r="D2" s="244"/>
      <c r="E2" s="247"/>
      <c r="F2" s="243"/>
      <c r="G2" s="215">
        <v>-675</v>
      </c>
      <c r="H2" s="216" t="s">
        <v>287</v>
      </c>
      <c r="I2" s="208">
        <v>-374</v>
      </c>
      <c r="J2" s="209" t="s">
        <v>293</v>
      </c>
      <c r="K2" s="217"/>
    </row>
    <row r="3" spans="1:55" s="43" customFormat="1" ht="30" customHeight="1" x14ac:dyDescent="0.3">
      <c r="A3" s="32" t="s">
        <v>106</v>
      </c>
      <c r="B3" s="32" t="s">
        <v>17</v>
      </c>
      <c r="C3" s="32" t="s">
        <v>107</v>
      </c>
      <c r="D3" s="32" t="s">
        <v>117</v>
      </c>
      <c r="E3" s="54" t="s">
        <v>55</v>
      </c>
      <c r="F3" s="54" t="s">
        <v>119</v>
      </c>
      <c r="G3" s="32" t="s">
        <v>136</v>
      </c>
      <c r="H3" s="219" t="s">
        <v>294</v>
      </c>
      <c r="I3" s="220"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3">
      <c r="A4" s="55"/>
      <c r="B4" s="55">
        <f>SUBTOTAL(3,B5:B790)</f>
        <v>76</v>
      </c>
      <c r="C4" s="55"/>
      <c r="D4" s="55"/>
      <c r="E4" s="55"/>
      <c r="F4" s="55">
        <f ca="1">SUMPRODUCT(($E$5:$E$80)*($F$5:$F$80))</f>
        <v>61.1</v>
      </c>
      <c r="G4" s="55"/>
      <c r="H4" s="75">
        <f ca="1">SUBTOTAL(9,H5:H100)</f>
        <v>471495.44758310658</v>
      </c>
      <c r="I4" s="75">
        <f ca="1">K4-J4</f>
        <v>465995.44758310588</v>
      </c>
      <c r="J4" s="40">
        <f ca="1">SUBTOTAL(9,J5:J100)</f>
        <v>3031004.5524168941</v>
      </c>
      <c r="K4" s="60">
        <f ca="1">SUM(L4:BC4)</f>
        <v>3497000</v>
      </c>
      <c r="L4" s="79">
        <f t="shared" ref="L4:AN4" ca="1" si="0">IFERROR(INDIRECT("'Thanh Toán ("&amp;L$3&amp;")'!$H"&amp;SUBTOTAL(3,INDIRECT("'Thanh Toán ("&amp;L$3&amp;")'!$H$8:$H$50"))+7-COUNTIF(INDIRECT("'Thanh Toán ("&amp;L$3&amp;")'!$H$8:$H$50"),""&amp;"*")),"")</f>
        <v>684000</v>
      </c>
      <c r="M4" s="79">
        <f t="shared" ca="1" si="0"/>
        <v>225000</v>
      </c>
      <c r="N4" s="79">
        <f t="shared" ca="1" si="0"/>
        <v>265000</v>
      </c>
      <c r="O4" s="79">
        <f t="shared" ca="1" si="0"/>
        <v>289000</v>
      </c>
      <c r="P4" s="79">
        <f t="shared" ca="1" si="0"/>
        <v>46000</v>
      </c>
      <c r="Q4" s="79">
        <f t="shared" ca="1" si="0"/>
        <v>35000</v>
      </c>
      <c r="R4" s="79">
        <f t="shared" ca="1" si="0"/>
        <v>160000</v>
      </c>
      <c r="S4" s="79">
        <f t="shared" ca="1" si="0"/>
        <v>72000</v>
      </c>
      <c r="T4" s="79">
        <f t="shared" ca="1" si="0"/>
        <v>72000</v>
      </c>
      <c r="U4" s="79">
        <f t="shared" ca="1" si="0"/>
        <v>462000</v>
      </c>
      <c r="V4" s="79">
        <f t="shared" ca="1" si="0"/>
        <v>159000</v>
      </c>
      <c r="W4" s="79">
        <f t="shared" ca="1" si="0"/>
        <v>650000</v>
      </c>
      <c r="X4" s="79">
        <f t="shared" ca="1" si="0"/>
        <v>280000</v>
      </c>
      <c r="Y4" s="79">
        <f t="shared" ca="1" si="0"/>
        <v>98000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3">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48.404606201468489</v>
      </c>
      <c r="H5" s="203">
        <f ca="1">(D5-G5*1000)*$F5</f>
        <v>0</v>
      </c>
      <c r="I5" s="229">
        <f>D5/(G5*1000)-1</f>
        <v>0.23955145405520795</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3">
      <c r="A6" s="197" t="s">
        <v>210</v>
      </c>
      <c r="B6" s="198" t="s">
        <v>216</v>
      </c>
      <c r="C6" s="197" t="s">
        <v>213</v>
      </c>
      <c r="D6" s="199">
        <v>70000</v>
      </c>
      <c r="E6" s="200">
        <v>1</v>
      </c>
      <c r="F6" s="201">
        <f t="shared" ca="1" si="2"/>
        <v>3.5</v>
      </c>
      <c r="G6" s="202">
        <f>IFERROR(VLOOKUP($B6,Gà!C:J,8,0),IFERROR(VLOOKUP($B6,TVP!C:J,7,0),IFERROR(VLOOKUP($B6,Kitkool!C:J,8,0),IFERROR(VLOOKUP($B6,'La Cusina'!C:J,8,0),VLOOKUP($B6,'Quốc Nhân'!C:J,8,0)))))</f>
        <v>59.979620727906607</v>
      </c>
      <c r="H6" s="203">
        <f ca="1">(D6-G6*1000)*$F6</f>
        <v>35071.327452326877</v>
      </c>
      <c r="I6" s="229">
        <f t="shared" ref="I6:I69" si="3">D6/(G6*1000)-1</f>
        <v>0.16706306492917244</v>
      </c>
      <c r="J6" s="203">
        <f t="shared" ref="J6:J69" ca="1" si="4">F6*G6*1000</f>
        <v>209928.67254767314</v>
      </c>
      <c r="K6" s="53"/>
      <c r="L6" s="181">
        <f ca="1">IFERROR(SUMIFS(INDIRECT("'Thanh Toán ("&amp;L$3&amp;")'!$F:$F"),INDIRECT("'Thanh Toán ("&amp;L$3&amp;")'!$D:$D"),'Tổng Đơn'!$B6),0)</f>
        <v>2.5</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1</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3">
      <c r="A7" s="197" t="s">
        <v>211</v>
      </c>
      <c r="B7" s="198" t="s">
        <v>217</v>
      </c>
      <c r="C7" s="197" t="s">
        <v>214</v>
      </c>
      <c r="D7" s="199">
        <v>45000</v>
      </c>
      <c r="E7" s="200">
        <v>1</v>
      </c>
      <c r="F7" s="201">
        <f t="shared" ca="1" si="2"/>
        <v>12.5</v>
      </c>
      <c r="G7" s="202">
        <f>IFERROR(VLOOKUP($B7,Gà!C:J,8,0),IFERROR(VLOOKUP($B7,TVP!C:J,7,0),IFERROR(VLOOKUP($B7,Kitkool!C:J,8,0),IFERROR(VLOOKUP($B7,'La Cusina'!C:J,8,0),VLOOKUP($B7,'Quốc Nhân'!C:J,8,0)))))</f>
        <v>43.143235962178437</v>
      </c>
      <c r="H7" s="203">
        <f t="shared" ref="H7:H69" ca="1" si="5">(D7-G7*1000)*$F7</f>
        <v>23209.55047276957</v>
      </c>
      <c r="I7" s="230">
        <f t="shared" si="3"/>
        <v>4.303719914401638E-2</v>
      </c>
      <c r="J7" s="203">
        <f t="shared" ca="1" si="4"/>
        <v>539290.44952723058</v>
      </c>
      <c r="K7" s="53"/>
      <c r="L7" s="181">
        <f ca="1">IFERROR(SUMIFS(INDIRECT("'Thanh Toán ("&amp;L$3&amp;")'!$F:$F"),INDIRECT("'Thanh Toán ("&amp;L$3&amp;")'!$D:$D"),'Tổng Đơn'!$B7),0)</f>
        <v>3.5</v>
      </c>
      <c r="M7" s="181">
        <f ca="1">IFERROR(SUMIFS(INDIRECT("'Thanh Toán ("&amp;M$3&amp;")'!$F:$F"),INDIRECT("'Thanh Toán ("&amp;M$3&amp;")'!$D:$D"),'Tổng Đơn'!$B7),0)</f>
        <v>5</v>
      </c>
      <c r="N7" s="181">
        <f ca="1">IFERROR(SUMIFS(INDIRECT("'Thanh Toán ("&amp;N$3&amp;")'!$F:$F"),INDIRECT("'Thanh Toán ("&amp;N$3&amp;")'!$D:$D"),'Tổng Đơn'!$B7),0)</f>
        <v>0</v>
      </c>
      <c r="O7" s="181">
        <f ca="1">IFERROR(SUMIFS(INDIRECT("'Thanh Toán ("&amp;O$3&amp;")'!$F:$F"),INDIRECT("'Thanh Toán ("&amp;O$3&amp;")'!$D:$D"),'Tổng Đơn'!$B7),0)</f>
        <v>4</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3">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9">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3">
      <c r="A9" s="204">
        <v>2</v>
      </c>
      <c r="B9" s="205" t="s">
        <v>1</v>
      </c>
      <c r="C9" s="204" t="s">
        <v>109</v>
      </c>
      <c r="D9" s="199">
        <f>VLOOKUP($C9,Sheet1!$C$5:$D$98,2,0)</f>
        <v>25000</v>
      </c>
      <c r="E9" s="200">
        <v>0.5</v>
      </c>
      <c r="F9" s="201">
        <f t="shared" ca="1" si="2"/>
        <v>0</v>
      </c>
      <c r="G9" s="202">
        <f>IFERROR(VLOOKUP($B9,Gà!C:J,8,0),IFERROR(VLOOKUP($B9,TVP!C:J,7,0),IFERROR(VLOOKUP($B9,Kitkool!C:J,8,0),IFERROR(VLOOKUP($B9,'La Cusina'!C:J,8,0),VLOOKUP($B9,'Quốc Nhân'!C:J,8,0)))))</f>
        <v>21.815879474521605</v>
      </c>
      <c r="H9" s="203">
        <f t="shared" ca="1" si="5"/>
        <v>0</v>
      </c>
      <c r="I9" s="230">
        <f t="shared" si="3"/>
        <v>0.14595425910732018</v>
      </c>
      <c r="J9" s="203">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97">
        <v>3</v>
      </c>
      <c r="B10" s="198" t="s">
        <v>2</v>
      </c>
      <c r="C10" s="197" t="s">
        <v>110</v>
      </c>
      <c r="D10" s="199">
        <f>VLOOKUP($C10,Sheet1!$C$5:$D$98,2,0)</f>
        <v>28000</v>
      </c>
      <c r="E10" s="200">
        <v>0.5</v>
      </c>
      <c r="F10" s="201">
        <f t="shared" ca="1" si="2"/>
        <v>1</v>
      </c>
      <c r="G10" s="202">
        <f>IFERROR(VLOOKUP($B10,Gà!C:J,8,0),IFERROR(VLOOKUP($B10,TVP!C:J,7,0),IFERROR(VLOOKUP($B10,Kitkool!C:J,8,0),IFERROR(VLOOKUP($B10,'La Cusina'!C:J,8,0),VLOOKUP($B10,'Quốc Nhân'!C:J,8,0)))))</f>
        <v>22.585851691269426</v>
      </c>
      <c r="H10" s="203">
        <f t="shared" ca="1" si="5"/>
        <v>5414.1483087305751</v>
      </c>
      <c r="I10" s="229">
        <f t="shared" si="3"/>
        <v>0.23971415303428278</v>
      </c>
      <c r="J10" s="203">
        <f t="shared" ca="1" si="4"/>
        <v>22585.851691269425</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1</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22.329194285686818</v>
      </c>
      <c r="H11" s="203">
        <f t="shared" ca="1" si="5"/>
        <v>0</v>
      </c>
      <c r="I11" s="229">
        <f t="shared" si="3"/>
        <v>0.34353257964306505</v>
      </c>
      <c r="J11" s="203">
        <f t="shared" ca="1" si="4"/>
        <v>0</v>
      </c>
      <c r="K11" s="137">
        <f ca="1">H4/J4</f>
        <v>0.15555748578706047</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3">
      <c r="A12" s="197">
        <v>5</v>
      </c>
      <c r="B12" s="198" t="s">
        <v>30</v>
      </c>
      <c r="C12" s="197" t="s">
        <v>112</v>
      </c>
      <c r="D12" s="199">
        <f>VLOOKUP($C12,Sheet1!$C$5:$D$98,2,0)</f>
        <v>38000</v>
      </c>
      <c r="E12" s="200">
        <v>0.5</v>
      </c>
      <c r="F12" s="201">
        <f t="shared" ca="1" si="2"/>
        <v>0</v>
      </c>
      <c r="G12" s="202">
        <f>IFERROR(VLOOKUP($B12,Gà!C:J,8,0),IFERROR(VLOOKUP($B12,TVP!C:J,7,0),IFERROR(VLOOKUP($B12,Kitkool!C:J,8,0),IFERROR(VLOOKUP($B12,'La Cusina'!C:J,8,0),VLOOKUP($B12,'Quốc Nhân'!C:J,8,0)))))</f>
        <v>33.217148250975292</v>
      </c>
      <c r="H12" s="203">
        <f t="shared" ca="1" si="5"/>
        <v>0</v>
      </c>
      <c r="I12" s="230">
        <f t="shared" si="3"/>
        <v>0.14398742820688359</v>
      </c>
      <c r="J12" s="203">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30">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9">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97">
        <v>8</v>
      </c>
      <c r="B15" s="198" t="s">
        <v>61</v>
      </c>
      <c r="C15" s="204" t="s">
        <v>115</v>
      </c>
      <c r="D15" s="199">
        <f>VLOOKUP($C15,Sheet1!$C$5:$D$98,2,0)</f>
        <v>35000</v>
      </c>
      <c r="E15" s="200">
        <v>0.5</v>
      </c>
      <c r="F15" s="201">
        <f t="shared" ca="1" si="2"/>
        <v>0</v>
      </c>
      <c r="G15" s="202">
        <f>IFERROR(VLOOKUP($B15,Gà!C:J,8,0),IFERROR(VLOOKUP($B15,TVP!C:J,7,0),IFERROR(VLOOKUP($B15,Kitkool!C:J,8,0),IFERROR(VLOOKUP($B15,'La Cusina'!C:J,8,0),VLOOKUP($B15,'Quốc Nhân'!C:J,8,0)))))</f>
        <v>30.150949950885263</v>
      </c>
      <c r="H15" s="203">
        <f t="shared" ca="1" si="5"/>
        <v>0</v>
      </c>
      <c r="I15" s="229">
        <f t="shared" si="3"/>
        <v>0.16082578018316673</v>
      </c>
      <c r="J15" s="203">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9">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97">
        <v>10</v>
      </c>
      <c r="B17" s="198" t="s">
        <v>6</v>
      </c>
      <c r="C17" s="204" t="s">
        <v>69</v>
      </c>
      <c r="D17" s="199">
        <f>VLOOKUP($C17,Sheet1!$C$5:$D$98,2,0)</f>
        <v>50000</v>
      </c>
      <c r="E17" s="200">
        <v>0.5</v>
      </c>
      <c r="F17" s="201">
        <f t="shared" ca="1" si="2"/>
        <v>2</v>
      </c>
      <c r="G17" s="202">
        <f>IFERROR(VLOOKUP($B17,Gà!C:J,8,0),IFERROR(VLOOKUP($B17,TVP!C:J,7,0),IFERROR(VLOOKUP($B17,Kitkool!C:J,8,0),IFERROR(VLOOKUP($B17,'La Cusina'!C:J,8,0),VLOOKUP($B17,'Quốc Nhân'!C:J,8,0)))))</f>
        <v>44.145073760208419</v>
      </c>
      <c r="H17" s="203">
        <f t="shared" ca="1" si="5"/>
        <v>11709.852479583162</v>
      </c>
      <c r="I17" s="230">
        <f t="shared" si="3"/>
        <v>0.13262920958281654</v>
      </c>
      <c r="J17" s="203">
        <f t="shared" ca="1" si="4"/>
        <v>88290.147520416838</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2</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30">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30">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30">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30">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30">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97">
        <v>16</v>
      </c>
      <c r="B23" s="198" t="s">
        <v>5</v>
      </c>
      <c r="C23" s="204" t="s">
        <v>75</v>
      </c>
      <c r="D23" s="199">
        <f>VLOOKUP($C23,Sheet1!$C$5:$D$98,2,0)</f>
        <v>40000</v>
      </c>
      <c r="E23" s="200">
        <v>0.5</v>
      </c>
      <c r="F23" s="201">
        <f t="shared" ca="1" si="2"/>
        <v>6</v>
      </c>
      <c r="G23" s="202">
        <f>IFERROR(VLOOKUP($B23,Gà!C:J,8,0),IFERROR(VLOOKUP($B23,TVP!C:J,7,0),IFERROR(VLOOKUP($B23,Kitkool!C:J,8,0),IFERROR(VLOOKUP($B23,'La Cusina'!C:J,8,0),VLOOKUP($B23,'Quốc Nhân'!C:J,8,0)))))</f>
        <v>34.905407159234564</v>
      </c>
      <c r="H23" s="203">
        <f t="shared" ca="1" si="5"/>
        <v>30567.557044592613</v>
      </c>
      <c r="I23" s="230">
        <f t="shared" si="3"/>
        <v>0.14595425910732041</v>
      </c>
      <c r="J23" s="203">
        <f t="shared" ca="1" si="4"/>
        <v>209432.4429554074</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4</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2</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97">
        <v>17</v>
      </c>
      <c r="B24" s="198" t="s">
        <v>4</v>
      </c>
      <c r="C24" s="197" t="s">
        <v>76</v>
      </c>
      <c r="D24" s="199">
        <f>VLOOKUP($C24,Sheet1!$C$5:$D$98,2,0)</f>
        <v>40000</v>
      </c>
      <c r="E24" s="200">
        <v>0.5</v>
      </c>
      <c r="F24" s="201">
        <f t="shared" ca="1" si="2"/>
        <v>1</v>
      </c>
      <c r="G24" s="202">
        <f>IFERROR(VLOOKUP($B24,Gà!C:J,8,0),IFERROR(VLOOKUP($B24,TVP!C:J,7,0),IFERROR(VLOOKUP($B24,Kitkool!C:J,8,0),IFERROR(VLOOKUP($B24,'La Cusina'!C:J,8,0),VLOOKUP($B24,'Quốc Nhân'!C:J,8,0)))))</f>
        <v>30.798888669912852</v>
      </c>
      <c r="H24" s="203">
        <f t="shared" ca="1" si="5"/>
        <v>9201.1113300871475</v>
      </c>
      <c r="I24" s="229">
        <f t="shared" si="3"/>
        <v>0.29874816032162954</v>
      </c>
      <c r="J24" s="203">
        <f t="shared" ca="1" si="4"/>
        <v>30798.888669912852</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1</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97">
        <v>18</v>
      </c>
      <c r="B25" s="198" t="s">
        <v>9</v>
      </c>
      <c r="C25" s="204" t="s">
        <v>77</v>
      </c>
      <c r="D25" s="199">
        <f>VLOOKUP($C25,Sheet1!$C$5:$D$98,2,0)</f>
        <v>55000</v>
      </c>
      <c r="E25" s="200">
        <v>0.5</v>
      </c>
      <c r="F25" s="201">
        <f t="shared" ca="1" si="2"/>
        <v>0</v>
      </c>
      <c r="G25" s="202">
        <f>IFERROR(VLOOKUP($B25,Gà!C:J,8,0),IFERROR(VLOOKUP($B25,TVP!C:J,7,0),IFERROR(VLOOKUP($B25,Kitkool!C:J,8,0),IFERROR(VLOOKUP($B25,'La Cusina'!C:J,8,0),VLOOKUP($B25,'Quốc Nhân'!C:J,8,0)))))</f>
        <v>43.63175894904321</v>
      </c>
      <c r="H25" s="203">
        <f t="shared" ca="1" si="5"/>
        <v>0</v>
      </c>
      <c r="I25" s="229">
        <f t="shared" si="3"/>
        <v>0.2605496850180522</v>
      </c>
      <c r="J25" s="203">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21.045907257773784</v>
      </c>
      <c r="H26" s="203">
        <f t="shared" ca="1" si="5"/>
        <v>0</v>
      </c>
      <c r="I26" s="229">
        <f t="shared" si="3"/>
        <v>0.33042494471971806</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21.045907257773784</v>
      </c>
      <c r="H27" s="203">
        <f t="shared" ca="1" si="5"/>
        <v>0</v>
      </c>
      <c r="I27" s="229">
        <f t="shared" si="3"/>
        <v>0.2353945915254525</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97">
        <v>21</v>
      </c>
      <c r="B28" s="198" t="s">
        <v>14</v>
      </c>
      <c r="C28" s="197" t="s">
        <v>80</v>
      </c>
      <c r="D28" s="199">
        <f>VLOOKUP($C28,Sheet1!$C$5:$D$98,2,0)</f>
        <v>33000</v>
      </c>
      <c r="E28" s="200">
        <v>0.5</v>
      </c>
      <c r="F28" s="201">
        <f t="shared" ca="1" si="2"/>
        <v>1</v>
      </c>
      <c r="G28" s="202">
        <f>IFERROR(VLOOKUP($B28,Gà!C:J,8,0),IFERROR(VLOOKUP($B28,TVP!C:J,7,0),IFERROR(VLOOKUP($B28,Kitkool!C:J,8,0),IFERROR(VLOOKUP($B28,'La Cusina'!C:J,8,0),VLOOKUP($B28,'Quốc Nhân'!C:J,8,0)))))</f>
        <v>28.232314614086782</v>
      </c>
      <c r="H28" s="203">
        <f t="shared" ca="1" si="5"/>
        <v>4767.685385913217</v>
      </c>
      <c r="I28" s="229">
        <f t="shared" si="3"/>
        <v>0.16887334428946654</v>
      </c>
      <c r="J28" s="203">
        <f t="shared" ca="1" si="4"/>
        <v>28232.314614086783</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1</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28.232314614086782</v>
      </c>
      <c r="H29" s="203">
        <f t="shared" ca="1" si="5"/>
        <v>0</v>
      </c>
      <c r="I29" s="229">
        <f t="shared" si="3"/>
        <v>0.20429374866187477</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59.031203283999638</v>
      </c>
      <c r="H30" s="203">
        <f t="shared" ca="1" si="5"/>
        <v>0</v>
      </c>
      <c r="I30" s="229">
        <f t="shared" si="3"/>
        <v>0.16887334428946654</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9">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27.718999802921566</v>
      </c>
      <c r="H32" s="203">
        <f t="shared" ca="1" si="5"/>
        <v>0</v>
      </c>
      <c r="I32" s="229">
        <f t="shared" si="3"/>
        <v>0.26267182253491761</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97">
        <v>26</v>
      </c>
      <c r="B33" s="198" t="s">
        <v>29</v>
      </c>
      <c r="C33" s="204" t="s">
        <v>85</v>
      </c>
      <c r="D33" s="199">
        <f>VLOOKUP($C33,Sheet1!$C$5:$D$98,2,0)</f>
        <v>50000</v>
      </c>
      <c r="E33" s="200">
        <v>0.5</v>
      </c>
      <c r="F33" s="201">
        <f t="shared" ca="1" si="2"/>
        <v>1</v>
      </c>
      <c r="G33" s="202">
        <f>IFERROR(VLOOKUP($B33,Gà!C:J,8,0),IFERROR(VLOOKUP($B33,TVP!C:J,7,0),IFERROR(VLOOKUP($B33,Kitkool!C:J,8,0),IFERROR(VLOOKUP($B33,'La Cusina'!C:J,8,0),VLOOKUP($B33,'Quốc Nhân'!C:J,8,0)))))</f>
        <v>40.882644001200354</v>
      </c>
      <c r="H33" s="203">
        <f t="shared" ca="1" si="5"/>
        <v>9117.3559987996487</v>
      </c>
      <c r="I33" s="229">
        <f t="shared" si="3"/>
        <v>0.22301287555012239</v>
      </c>
      <c r="J33" s="203">
        <f t="shared" ca="1" si="4"/>
        <v>40882.644001200351</v>
      </c>
      <c r="K33" s="53"/>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30.798888669912852</v>
      </c>
      <c r="H34" s="203">
        <f t="shared" ca="1" si="5"/>
        <v>0</v>
      </c>
      <c r="I34" s="230">
        <f t="shared" si="3"/>
        <v>0.13640464028142585</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27.718999802921566</v>
      </c>
      <c r="H35" s="203">
        <f t="shared" ca="1" si="5"/>
        <v>0</v>
      </c>
      <c r="I35" s="229">
        <f t="shared" si="3"/>
        <v>0.15444280917478181</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9">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9">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9">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9">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9">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9">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9">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9">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9">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9">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9">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97">
        <v>40</v>
      </c>
      <c r="B47" s="198" t="s">
        <v>47</v>
      </c>
      <c r="C47" s="204" t="s">
        <v>99</v>
      </c>
      <c r="D47" s="199">
        <f>VLOOKUP($C47,Sheet1!$C$5:$D$98,2,0)</f>
        <v>79000</v>
      </c>
      <c r="E47" s="200">
        <v>0.5</v>
      </c>
      <c r="F47" s="201">
        <f t="shared" ca="1" si="6"/>
        <v>0</v>
      </c>
      <c r="G47" s="202">
        <f>IFERROR(VLOOKUP($B47,Gà!C:J,8,0),IFERROR(VLOOKUP($B47,TVP!C:J,7,0),IFERROR(VLOOKUP($B47,Kitkool!C:J,8,0),IFERROR(VLOOKUP($B47,'La Cusina'!C:J,8,0),VLOOKUP($B47,'Quốc Nhân'!C:J,8,0)))))</f>
        <v>66.303358613217767</v>
      </c>
      <c r="H47" s="203">
        <f t="shared" ca="1" si="5"/>
        <v>0</v>
      </c>
      <c r="I47" s="229">
        <f t="shared" si="3"/>
        <v>0.19149318605183163</v>
      </c>
      <c r="J47" s="203">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9">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9">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9">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9">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9">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3">
      <c r="A53" s="206">
        <v>46</v>
      </c>
      <c r="B53" s="207" t="s">
        <v>289</v>
      </c>
      <c r="C53" s="197" t="s">
        <v>105</v>
      </c>
      <c r="D53" s="199">
        <f>VLOOKUP($C53,Sheet1!$C$5:$D$98,2,0)</f>
        <v>42000</v>
      </c>
      <c r="E53" s="200">
        <v>0.5</v>
      </c>
      <c r="F53" s="201">
        <f t="shared" ca="1" si="6"/>
        <v>0</v>
      </c>
      <c r="G53" s="202">
        <f>IFERROR(VLOOKUP($B53,Gà!C:J,8,0),IFERROR(VLOOKUP($B53,TVP!C:J,7,0),IFERROR(VLOOKUP($B53,Kitkool!C:J,8,0),IFERROR(VLOOKUP($B53,'La Cusina'!C:J,8,0),VLOOKUP($B53,'Quốc Nhân'!C:J,8,0)))))</f>
        <v>31.825518292243281</v>
      </c>
      <c r="H53" s="203">
        <f t="shared" ca="1" si="5"/>
        <v>0</v>
      </c>
      <c r="I53" s="229">
        <f t="shared" si="3"/>
        <v>0.31969571129455931</v>
      </c>
      <c r="J53" s="203">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3">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22.072536880104213</v>
      </c>
      <c r="H54" s="203">
        <f t="shared" ca="1" si="5"/>
        <v>0</v>
      </c>
      <c r="I54" s="229">
        <f t="shared" si="3"/>
        <v>0.58568089341594298</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3">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30">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3">
      <c r="A56" s="206">
        <v>49</v>
      </c>
      <c r="B56" s="207" t="s">
        <v>142</v>
      </c>
      <c r="C56" s="197" t="s">
        <v>141</v>
      </c>
      <c r="D56" s="199">
        <f>VLOOKUP($C56,Sheet1!$C$5:$D$98,2,0)</f>
        <v>42000</v>
      </c>
      <c r="E56" s="200">
        <v>0.5</v>
      </c>
      <c r="F56" s="201">
        <f t="shared" ca="1" si="6"/>
        <v>1</v>
      </c>
      <c r="G56" s="202">
        <f>IFERROR(VLOOKUP($B56,Gà!C:J,8,0),IFERROR(VLOOKUP($B56,TVP!C:J,7,0),IFERROR(VLOOKUP($B56,Kitkool!C:J,8,0),IFERROR(VLOOKUP($B56,'La Cusina'!C:J,8,0),VLOOKUP($B56,'Quốc Nhân'!C:J,8,0)))))</f>
        <v>38.327478751125334</v>
      </c>
      <c r="H56" s="203">
        <f t="shared" ca="1" si="5"/>
        <v>3672.5212488746693</v>
      </c>
      <c r="I56" s="230">
        <f t="shared" si="3"/>
        <v>9.5819536492909529E-2</v>
      </c>
      <c r="J56" s="203">
        <f t="shared" ca="1" si="4"/>
        <v>38327.478751125331</v>
      </c>
      <c r="K56" s="53"/>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3">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9">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3">
      <c r="A58" s="206">
        <v>51</v>
      </c>
      <c r="B58" s="207" t="s">
        <v>161</v>
      </c>
      <c r="C58" s="197" t="s">
        <v>156</v>
      </c>
      <c r="D58" s="199">
        <f>VLOOKUP($C58,Sheet1!$C$5:$D$98,2,0)</f>
        <v>69000</v>
      </c>
      <c r="E58" s="200">
        <v>0.5</v>
      </c>
      <c r="F58" s="201">
        <f t="shared" ca="1" si="6"/>
        <v>0</v>
      </c>
      <c r="G58" s="202">
        <f>IFERROR(VLOOKUP($B58,Gà!C:J,8,0),IFERROR(VLOOKUP($B58,TVP!C:J,7,0),IFERROR(VLOOKUP($B58,Kitkool!C:J,8,0),IFERROR(VLOOKUP($B58,'La Cusina'!C:J,8,0),VLOOKUP($B58,'Quốc Nhân'!C:J,8,0)))))</f>
        <v>58.266587872221677</v>
      </c>
      <c r="H58" s="203">
        <f t="shared" ca="1" si="5"/>
        <v>0</v>
      </c>
      <c r="I58" s="229">
        <f t="shared" si="3"/>
        <v>0.1842121277346227</v>
      </c>
      <c r="J58" s="203">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3">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9">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3">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22.329194285686818</v>
      </c>
      <c r="H60" s="203">
        <f t="shared" ca="1" si="5"/>
        <v>0</v>
      </c>
      <c r="I60" s="229">
        <f t="shared" si="3"/>
        <v>0.34353257964306505</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3">
      <c r="A61" s="206">
        <v>54</v>
      </c>
      <c r="B61" s="207" t="s">
        <v>171</v>
      </c>
      <c r="C61" s="197" t="s">
        <v>170</v>
      </c>
      <c r="D61" s="199">
        <f>VLOOKUP($C61,Sheet1!$C$5:$D$98,2,0)</f>
        <v>49000</v>
      </c>
      <c r="E61" s="200">
        <v>1</v>
      </c>
      <c r="F61" s="201">
        <f t="shared" ca="1" si="6"/>
        <v>6</v>
      </c>
      <c r="G61" s="202">
        <f>IFERROR(VLOOKUP($B61,Gà!C:J,8,0),IFERROR(VLOOKUP($B61,TVP!C:J,7,0),IFERROR(VLOOKUP($B61,Kitkool!C:J,8,0),IFERROR(VLOOKUP($B61,'La Cusina'!C:J,8,0),VLOOKUP($B61,'Quốc Nhân'!C:J,8,0)))))</f>
        <v>40.038555270886711</v>
      </c>
      <c r="H61" s="203">
        <f t="shared" ca="1" si="5"/>
        <v>53768.668374679735</v>
      </c>
      <c r="I61" s="229">
        <f t="shared" si="3"/>
        <v>0.22382038184153563</v>
      </c>
      <c r="J61" s="203">
        <f t="shared" ca="1" si="4"/>
        <v>240231.33162532025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3</v>
      </c>
      <c r="V61" s="2">
        <f ca="1">IFERROR(SUMIFS(INDIRECT("'Thanh Toán ("&amp;V$3&amp;")'!$F:$F"),INDIRECT("'Thanh Toán ("&amp;V$3&amp;")'!$D:$D"),'Tổng Đơn'!$B61),0)</f>
        <v>1</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2</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3">
      <c r="A62" s="206">
        <v>55</v>
      </c>
      <c r="B62" s="207" t="s">
        <v>169</v>
      </c>
      <c r="C62" s="197" t="s">
        <v>172</v>
      </c>
      <c r="D62" s="199">
        <f>VLOOKUP($C62,Sheet1!$C$5:$D$98,2,0)</f>
        <v>80000</v>
      </c>
      <c r="E62" s="200">
        <v>0.5</v>
      </c>
      <c r="F62" s="201">
        <f t="shared" ca="1" si="6"/>
        <v>1</v>
      </c>
      <c r="G62" s="202">
        <f>IFERROR(VLOOKUP($B62,Gà!C:J,8,0),IFERROR(VLOOKUP($B62,TVP!C:J,7,0),IFERROR(VLOOKUP($B62,Kitkool!C:J,8,0),IFERROR(VLOOKUP($B62,'La Cusina'!C:J,8,0),VLOOKUP($B62,'Quốc Nhân'!C:J,8,0)))))</f>
        <v>74.430647618956058</v>
      </c>
      <c r="H62" s="203">
        <f t="shared" ca="1" si="5"/>
        <v>5569.3523810439365</v>
      </c>
      <c r="I62" s="230">
        <f t="shared" si="3"/>
        <v>7.4826063714451996E-2</v>
      </c>
      <c r="J62" s="203">
        <f t="shared" ca="1" si="4"/>
        <v>74430.647618956064</v>
      </c>
      <c r="K62" s="53"/>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3">
      <c r="A63" s="206">
        <v>56</v>
      </c>
      <c r="B63" s="207" t="s">
        <v>286</v>
      </c>
      <c r="C63" s="197" t="s">
        <v>174</v>
      </c>
      <c r="D63" s="199">
        <f>VLOOKUP($C63,Sheet1!$C$5:$D$98,2,0)</f>
        <v>44000</v>
      </c>
      <c r="E63" s="200">
        <v>0.5</v>
      </c>
      <c r="F63" s="201">
        <f t="shared" ca="1" si="6"/>
        <v>2</v>
      </c>
      <c r="G63" s="202">
        <f>IFERROR(VLOOKUP($B63,Gà!C:J,8,0),IFERROR(VLOOKUP($B63,TVP!C:J,7,0),IFERROR(VLOOKUP($B63,Kitkool!C:J,8,0),IFERROR(VLOOKUP($B63,'La Cusina'!C:J,8,0),VLOOKUP($B63,'Quốc Nhân'!C:J,8,0)))))</f>
        <v>40.038555270886711</v>
      </c>
      <c r="H63" s="203">
        <f t="shared" ca="1" si="5"/>
        <v>7922.8894582265784</v>
      </c>
      <c r="I63" s="230">
        <f t="shared" si="3"/>
        <v>9.8940751041378894E-2</v>
      </c>
      <c r="J63" s="203">
        <f t="shared" ca="1" si="4"/>
        <v>80077.110541773422</v>
      </c>
      <c r="K63" s="53"/>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1</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3">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30.28557385874764</v>
      </c>
      <c r="H64" s="203">
        <f t="shared" ca="1" si="5"/>
        <v>0</v>
      </c>
      <c r="I64" s="229">
        <f t="shared" si="3"/>
        <v>0.15566573587941601</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3">
      <c r="A65" s="206">
        <v>58</v>
      </c>
      <c r="B65" s="207" t="s">
        <v>177</v>
      </c>
      <c r="C65" s="197" t="s">
        <v>178</v>
      </c>
      <c r="D65" s="199">
        <f>VLOOKUP($C65,Sheet1!$C$5:$D$98,2,0)</f>
        <v>38000</v>
      </c>
      <c r="E65" s="200">
        <v>0.5</v>
      </c>
      <c r="F65" s="201">
        <f t="shared" ca="1" si="6"/>
        <v>3</v>
      </c>
      <c r="G65" s="202">
        <f>IFERROR(VLOOKUP($B65,Gà!C:J,8,0),IFERROR(VLOOKUP($B65,TVP!C:J,7,0),IFERROR(VLOOKUP($B65,Kitkool!C:J,8,0),IFERROR(VLOOKUP($B65,'La Cusina'!C:J,8,0),VLOOKUP($B65,'Quốc Nhân'!C:J,8,0)))))</f>
        <v>32.338833103408497</v>
      </c>
      <c r="H65" s="203">
        <f t="shared" ca="1" si="5"/>
        <v>16983.500689774504</v>
      </c>
      <c r="I65" s="229">
        <f t="shared" si="3"/>
        <v>0.17505785933861717</v>
      </c>
      <c r="J65" s="203">
        <f t="shared" ca="1" si="4"/>
        <v>97016.499310225496</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3</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3">
      <c r="A66" s="206">
        <v>59</v>
      </c>
      <c r="B66" s="207" t="s">
        <v>183</v>
      </c>
      <c r="C66" s="197" t="s">
        <v>179</v>
      </c>
      <c r="D66" s="199">
        <f>VLOOKUP($C66,Sheet1!$C$5:$D$98,2,0)</f>
        <v>70000</v>
      </c>
      <c r="E66" s="200">
        <v>0.5</v>
      </c>
      <c r="F66" s="201">
        <f t="shared" ca="1" si="6"/>
        <v>0</v>
      </c>
      <c r="G66" s="202">
        <f>IFERROR(VLOOKUP($B66,Gà!C:J,8,0),IFERROR(VLOOKUP($B66,TVP!C:J,7,0),IFERROR(VLOOKUP($B66,Kitkool!C:J,8,0),IFERROR(VLOOKUP($B66,'La Cusina'!C:J,8,0),VLOOKUP($B66,'Quốc Nhân'!C:J,8,0)))))</f>
        <v>61.323966001800535</v>
      </c>
      <c r="H66" s="203">
        <f t="shared" ca="1" si="5"/>
        <v>0</v>
      </c>
      <c r="I66" s="230">
        <f t="shared" si="3"/>
        <v>0.14147868384678053</v>
      </c>
      <c r="J66" s="203">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3">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9">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3">
      <c r="A68" s="206">
        <v>61</v>
      </c>
      <c r="B68" s="207" t="s">
        <v>201</v>
      </c>
      <c r="C68" s="197" t="s">
        <v>199</v>
      </c>
      <c r="D68" s="199">
        <f>VLOOKUP($C68,Sheet1!$C$5:$D$98,2,0)</f>
        <v>47000</v>
      </c>
      <c r="E68" s="200">
        <v>0.5</v>
      </c>
      <c r="F68" s="201">
        <f t="shared" ref="F68:F80" ca="1" si="7">SUM(L68:BR68)</f>
        <v>2</v>
      </c>
      <c r="G68" s="202">
        <f>IFERROR(VLOOKUP($B68,Gà!C:J,8,0),IFERROR(VLOOKUP($B68,TVP!C:J,7,0),IFERROR(VLOOKUP($B68,Kitkool!C:J,8,0),IFERROR(VLOOKUP($B68,'La Cusina'!C:J,8,0),VLOOKUP($B68,'Quốc Nhân'!C:J,8,0)))))</f>
        <v>43.63175894904321</v>
      </c>
      <c r="H68" s="203">
        <f t="shared" ca="1" si="5"/>
        <v>6736.4821019135852</v>
      </c>
      <c r="I68" s="230">
        <f t="shared" si="3"/>
        <v>7.7197003560881106E-2</v>
      </c>
      <c r="J68" s="203">
        <f t="shared" ca="1" si="4"/>
        <v>87263.517898086415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2</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3">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44.658388571373635</v>
      </c>
      <c r="H69" s="203">
        <f t="shared" ca="1" si="5"/>
        <v>0</v>
      </c>
      <c r="I69" s="230">
        <f t="shared" si="3"/>
        <v>0.1196104830358875</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3">
      <c r="A70" s="206">
        <v>63</v>
      </c>
      <c r="B70" s="207" t="s">
        <v>203</v>
      </c>
      <c r="C70" s="197" t="s">
        <v>206</v>
      </c>
      <c r="D70" s="199">
        <f>VLOOKUP($C70,Sheet1!$C$5:$D$98,2,0)</f>
        <v>42000</v>
      </c>
      <c r="E70" s="200">
        <v>0.5</v>
      </c>
      <c r="F70" s="201">
        <f t="shared" ca="1" si="7"/>
        <v>0</v>
      </c>
      <c r="G70" s="202">
        <f>IFERROR(VLOOKUP($B70,Gà!C:J,8,0),IFERROR(VLOOKUP($B70,TVP!C:J,7,0),IFERROR(VLOOKUP($B70,Kitkool!C:J,8,0),IFERROR(VLOOKUP($B70,'La Cusina'!C:J,8,0),VLOOKUP($B70,'Quốc Nhân'!C:J,8,0)))))</f>
        <v>37.305412651095324</v>
      </c>
      <c r="H70" s="203">
        <f t="shared" ref="H70:H79" ca="1" si="8">(D70-G70*1000)*$F70</f>
        <v>0</v>
      </c>
      <c r="I70" s="230">
        <f t="shared" ref="I70:I80" si="9">D70/(G70*1000)-1</f>
        <v>0.1258419895475098</v>
      </c>
      <c r="J70" s="203">
        <f t="shared" ref="J70:J79"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3">
      <c r="A71" s="206">
        <v>64</v>
      </c>
      <c r="B71" s="207" t="s">
        <v>237</v>
      </c>
      <c r="C71" s="197" t="s">
        <v>207</v>
      </c>
      <c r="D71" s="199">
        <f>VLOOKUP($C71,Sheet1!$C$5:$D$98,2,0)</f>
        <v>18000</v>
      </c>
      <c r="E71" s="200">
        <v>0.3</v>
      </c>
      <c r="F71" s="201">
        <f t="shared" ca="1" si="7"/>
        <v>2</v>
      </c>
      <c r="G71" s="202">
        <f>IFERROR(VLOOKUP($B71,Gà!C:J,8,0),IFERROR(VLOOKUP($B71,TVP!C:J,7,0),IFERROR(VLOOKUP($B71,Kitkool!C:J,8,0),IFERROR(VLOOKUP($B71,'La Cusina'!C:J,8,0),VLOOKUP($B71,'Quốc Nhân'!C:J,8,0)))))</f>
        <v>12.264793200360106</v>
      </c>
      <c r="H71" s="203">
        <f t="shared" ca="1" si="8"/>
        <v>11470.413599279786</v>
      </c>
      <c r="I71" s="229">
        <f t="shared" si="9"/>
        <v>0.46761545066014665</v>
      </c>
      <c r="J71" s="203">
        <f t="shared" ca="1" si="10"/>
        <v>24529.586400720214</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3">
      <c r="A72" s="206">
        <v>65</v>
      </c>
      <c r="B72" s="207" t="s">
        <v>229</v>
      </c>
      <c r="C72" s="197" t="s">
        <v>238</v>
      </c>
      <c r="D72" s="199">
        <f>VLOOKUP($C72,Sheet1!$C$5:$D$98,2,0)</f>
        <v>23000</v>
      </c>
      <c r="E72" s="200">
        <v>0.5</v>
      </c>
      <c r="F72" s="201">
        <f t="shared" ca="1" si="7"/>
        <v>30</v>
      </c>
      <c r="G72" s="202">
        <f>IFERROR(VLOOKUP($B72,Gà!C:J,8,0),IFERROR(VLOOKUP($B72,TVP!C:J,7,0),IFERROR(VLOOKUP($B72,Kitkool!C:J,8,0),IFERROR(VLOOKUP($B72,'La Cusina'!C:J,8,0),VLOOKUP($B72,'Quốc Nhân'!C:J,8,0)))))</f>
        <v>19.450219477139417</v>
      </c>
      <c r="H72" s="203">
        <f t="shared" ca="1" si="8"/>
        <v>106493.41568581748</v>
      </c>
      <c r="I72" s="229">
        <f t="shared" si="9"/>
        <v>0.18250593660563963</v>
      </c>
      <c r="J72" s="203">
        <f t="shared" ca="1" si="10"/>
        <v>583506.58431418252</v>
      </c>
      <c r="K72" s="53"/>
      <c r="L72" s="2">
        <f ca="1">IFERROR(SUMIFS(INDIRECT("'Thanh Toán ("&amp;L$3&amp;")'!$F:$F"),INDIRECT("'Thanh Toán ("&amp;L$3&amp;")'!$D:$D"),'Tổng Đơn'!$B72),0)</f>
        <v>3</v>
      </c>
      <c r="M72" s="2">
        <f ca="1">IFERROR(SUMIFS(INDIRECT("'Thanh Toán ("&amp;M$3&amp;")'!$F:$F"),INDIRECT("'Thanh Toán ("&amp;M$3&amp;")'!$D:$D"),'Tổng Đơn'!$B72),0)</f>
        <v>0</v>
      </c>
      <c r="N72" s="2">
        <f ca="1">IFERROR(SUMIFS(INDIRECT("'Thanh Toán ("&amp;N$3&amp;")'!$F:$F"),INDIRECT("'Thanh Toán ("&amp;N$3&amp;")'!$D:$D"),'Tổng Đơn'!$B72),0)</f>
        <v>7</v>
      </c>
      <c r="O72" s="2">
        <f ca="1">IFERROR(SUMIFS(INDIRECT("'Thanh Toán ("&amp;O$3&amp;")'!$F:$F"),INDIRECT("'Thanh Toán ("&amp;O$3&amp;")'!$D:$D"),'Tổng Đơn'!$B72),0)</f>
        <v>1</v>
      </c>
      <c r="P72" s="2">
        <f ca="1">IFERROR(SUMIFS(INDIRECT("'Thanh Toán ("&amp;P$3&amp;")'!$F:$F"),INDIRECT("'Thanh Toán ("&amp;P$3&amp;")'!$D:$D"),'Tổng Đơn'!$B72),0)</f>
        <v>2</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2</v>
      </c>
      <c r="T72" s="2">
        <f ca="1">IFERROR(SUMIFS(INDIRECT("'Thanh Toán ("&amp;T$3&amp;")'!$F:$F"),INDIRECT("'Thanh Toán ("&amp;T$3&amp;")'!$D:$D"),'Tổng Đơn'!$B72),0)</f>
        <v>2</v>
      </c>
      <c r="U72" s="2">
        <f ca="1">IFERROR(SUMIFS(INDIRECT("'Thanh Toán ("&amp;U$3&amp;")'!$F:$F"),INDIRECT("'Thanh Toán ("&amp;U$3&amp;")'!$D:$D"),'Tổng Đơn'!$B72),0)</f>
        <v>4</v>
      </c>
      <c r="V72" s="2">
        <f ca="1">IFERROR(SUMIFS(INDIRECT("'Thanh Toán ("&amp;V$3&amp;")'!$F:$F"),INDIRECT("'Thanh Toán ("&amp;V$3&amp;")'!$D:$D"),'Tổng Đơn'!$B72),0)</f>
        <v>1</v>
      </c>
      <c r="W72" s="2">
        <f ca="1">IFERROR(SUMIFS(INDIRECT("'Thanh Toán ("&amp;W$3&amp;")'!$F:$F"),INDIRECT("'Thanh Toán ("&amp;W$3&amp;")'!$D:$D"),'Tổng Đơn'!$B72),0)</f>
        <v>6</v>
      </c>
      <c r="X72" s="2">
        <f ca="1">IFERROR(SUMIFS(INDIRECT("'Thanh Toán ("&amp;X$3&amp;")'!$F:$F"),INDIRECT("'Thanh Toán ("&amp;X$3&amp;")'!$D:$D"),'Tổng Đơn'!$B72),0)</f>
        <v>2</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3">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21.497611001048828</v>
      </c>
      <c r="H73" s="203">
        <f t="shared" ca="1" si="8"/>
        <v>0</v>
      </c>
      <c r="I73" s="229">
        <f t="shared" si="9"/>
        <v>0.20943671362978478</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3">
      <c r="A74" s="206">
        <v>67</v>
      </c>
      <c r="B74" s="207" t="s">
        <v>231</v>
      </c>
      <c r="C74" s="197" t="s">
        <v>240</v>
      </c>
      <c r="D74" s="199">
        <f>VLOOKUP($C74,Sheet1!$C$5:$D$98,2,0)</f>
        <v>26000</v>
      </c>
      <c r="E74" s="200">
        <v>0.5</v>
      </c>
      <c r="F74" s="201">
        <f t="shared" ca="1" si="7"/>
        <v>6</v>
      </c>
      <c r="G74" s="202">
        <f>IFERROR(VLOOKUP($B74,Gà!C:J,8,0),IFERROR(VLOOKUP($B74,TVP!C:J,7,0),IFERROR(VLOOKUP($B74,Kitkool!C:J,8,0),IFERROR(VLOOKUP($B74,'La Cusina'!C:J,8,0),VLOOKUP($B74,'Quốc Nhân'!C:J,8,0)))))</f>
        <v>21.497611001048828</v>
      </c>
      <c r="H74" s="203">
        <f t="shared" ca="1" si="8"/>
        <v>27014.333993707041</v>
      </c>
      <c r="I74" s="229">
        <f t="shared" si="9"/>
        <v>0.20943671362978478</v>
      </c>
      <c r="J74" s="203">
        <f t="shared" ca="1" si="10"/>
        <v>128985.66600629297</v>
      </c>
      <c r="K74" s="53"/>
      <c r="L74" s="2">
        <f ca="1">IFERROR(SUMIFS(INDIRECT("'Thanh Toán ("&amp;L$3&amp;")'!$F:$F"),INDIRECT("'Thanh Toán ("&amp;L$3&amp;")'!$D:$D"),'Tổng Đơn'!$B74),0)</f>
        <v>1</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1</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4</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3">
      <c r="A75" s="206">
        <v>68</v>
      </c>
      <c r="B75" s="207" t="s">
        <v>232</v>
      </c>
      <c r="C75" s="197" t="s">
        <v>241</v>
      </c>
      <c r="D75" s="199">
        <f>VLOOKUP($C75,Sheet1!$C$5:$D$98,2,0)</f>
        <v>26000</v>
      </c>
      <c r="E75" s="200">
        <v>0.5</v>
      </c>
      <c r="F75" s="201">
        <f t="shared" ca="1" si="7"/>
        <v>0</v>
      </c>
      <c r="G75" s="202">
        <f>IFERROR(VLOOKUP($B75,Gà!C:J,8,0),IFERROR(VLOOKUP($B75,TVP!C:J,7,0),IFERROR(VLOOKUP($B75,Kitkool!C:J,8,0),IFERROR(VLOOKUP($B75,'La Cusina'!C:J,8,0),VLOOKUP($B75,'Quốc Nhân'!C:J,8,0)))))</f>
        <v>20.473915239094122</v>
      </c>
      <c r="H75" s="203">
        <f t="shared" ca="1" si="8"/>
        <v>0</v>
      </c>
      <c r="I75" s="229">
        <f t="shared" si="9"/>
        <v>0.26990854931127384</v>
      </c>
      <c r="J75" s="203">
        <f t="shared" ca="1" si="10"/>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3">
      <c r="A76" s="206">
        <v>69</v>
      </c>
      <c r="B76" s="207" t="s">
        <v>233</v>
      </c>
      <c r="C76" s="197" t="s">
        <v>242</v>
      </c>
      <c r="D76" s="199">
        <f>VLOOKUP($C76,Sheet1!$C$5:$D$98,2,0)</f>
        <v>26000</v>
      </c>
      <c r="E76" s="200">
        <v>0.5</v>
      </c>
      <c r="F76" s="201">
        <f t="shared" ca="1" si="7"/>
        <v>10</v>
      </c>
      <c r="G76" s="202">
        <f>IFERROR(VLOOKUP($B76,Gà!C:J,8,0),IFERROR(VLOOKUP($B76,TVP!C:J,7,0),IFERROR(VLOOKUP($B76,Kitkool!C:J,8,0),IFERROR(VLOOKUP($B76,'La Cusina'!C:J,8,0),VLOOKUP($B76,'Quốc Nhân'!C:J,8,0)))))</f>
        <v>20.93923149452808</v>
      </c>
      <c r="H76" s="203">
        <f t="shared" ca="1" si="8"/>
        <v>50607.685054719186</v>
      </c>
      <c r="I76" s="229">
        <f t="shared" si="9"/>
        <v>0.24168835932657884</v>
      </c>
      <c r="J76" s="203">
        <f t="shared" ca="1" si="10"/>
        <v>209392.31494528081</v>
      </c>
      <c r="K76" s="53"/>
      <c r="L76" s="2">
        <f ca="1">IFERROR(SUMIFS(INDIRECT("'Thanh Toán ("&amp;L$3&amp;")'!$F:$F"),INDIRECT("'Thanh Toán ("&amp;L$3&amp;")'!$D:$D"),'Tổng Đơn'!$B76),0)</f>
        <v>1</v>
      </c>
      <c r="M76" s="2">
        <f ca="1">IFERROR(SUMIFS(INDIRECT("'Thanh Toán ("&amp;M$3&amp;")'!$F:$F"),INDIRECT("'Thanh Toán ("&amp;M$3&amp;")'!$D:$D"),'Tổng Đơn'!$B76),0)</f>
        <v>0</v>
      </c>
      <c r="N76" s="2">
        <f ca="1">IFERROR(SUMIFS(INDIRECT("'Thanh Toán ("&amp;N$3&amp;")'!$F:$F"),INDIRECT("'Thanh Toán ("&amp;N$3&amp;")'!$D:$D"),'Tổng Đơn'!$B76),0)</f>
        <v>4</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1</v>
      </c>
      <c r="U76" s="2">
        <f ca="1">IFERROR(SUMIFS(INDIRECT("'Thanh Toán ("&amp;U$3&amp;")'!$F:$F"),INDIRECT("'Thanh Toán ("&amp;U$3&amp;")'!$D:$D"),'Tổng Đơn'!$B76),0)</f>
        <v>3</v>
      </c>
      <c r="V76" s="2">
        <f ca="1">IFERROR(SUMIFS(INDIRECT("'Thanh Toán ("&amp;V$3&amp;")'!$F:$F"),INDIRECT("'Thanh Toán ("&amp;V$3&amp;")'!$D:$D"),'Tổng Đơn'!$B76),0)</f>
        <v>1</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3">
      <c r="A77" s="206">
        <v>70</v>
      </c>
      <c r="B77" s="207" t="s">
        <v>234</v>
      </c>
      <c r="C77" s="197" t="s">
        <v>243</v>
      </c>
      <c r="D77" s="199">
        <f>VLOOKUP($C77,Sheet1!$C$5:$D$98,2,0)</f>
        <v>35000</v>
      </c>
      <c r="E77" s="200">
        <v>0.5</v>
      </c>
      <c r="F77" s="201">
        <f t="shared" ca="1" si="7"/>
        <v>10</v>
      </c>
      <c r="G77" s="202">
        <f>IFERROR(VLOOKUP($B77,Gà!C:J,8,0),IFERROR(VLOOKUP($B77,TVP!C:J,7,0),IFERROR(VLOOKUP($B77,Kitkool!C:J,8,0),IFERROR(VLOOKUP($B77,'La Cusina'!C:J,8,0),VLOOKUP($B77,'Quốc Nhân'!C:J,8,0)))))</f>
        <v>29.780240347773269</v>
      </c>
      <c r="H77" s="203">
        <f t="shared" ca="1" si="8"/>
        <v>52197.596522267304</v>
      </c>
      <c r="I77" s="229">
        <f t="shared" si="9"/>
        <v>0.17527594106932787</v>
      </c>
      <c r="J77" s="203">
        <f t="shared" ca="1" si="10"/>
        <v>297802.40347773267</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3</v>
      </c>
      <c r="V77" s="2">
        <f ca="1">IFERROR(SUMIFS(INDIRECT("'Thanh Toán ("&amp;V$3&amp;")'!$F:$F"),INDIRECT("'Thanh Toán ("&amp;V$3&amp;")'!$D:$D"),'Tổng Đơn'!$B77),0)</f>
        <v>0</v>
      </c>
      <c r="W77" s="2">
        <f ca="1">IFERROR(SUMIFS(INDIRECT("'Thanh Toán ("&amp;W$3&amp;")'!$F:$F"),INDIRECT("'Thanh Toán ("&amp;W$3&amp;")'!$D:$D"),'Tổng Đơn'!$B77),0)</f>
        <v>2</v>
      </c>
      <c r="X77" s="2">
        <f ca="1">IFERROR(SUMIFS(INDIRECT("'Thanh Toán ("&amp;X$3&amp;")'!$F:$F"),INDIRECT("'Thanh Toán ("&amp;X$3&amp;")'!$D:$D"),'Tổng Đơn'!$B77),0)</f>
        <v>4</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3">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34.8987191575468</v>
      </c>
      <c r="H78" s="203">
        <f t="shared" ca="1" si="8"/>
        <v>0</v>
      </c>
      <c r="I78" s="230">
        <f t="shared" si="9"/>
        <v>0.14617387014761118</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3">
      <c r="A79" s="206">
        <v>72</v>
      </c>
      <c r="B79" s="207" t="s">
        <v>236</v>
      </c>
      <c r="C79" s="197" t="s">
        <v>245</v>
      </c>
      <c r="D79" s="199">
        <f>VLOOKUP($C79,Sheet1!$C$5:$D$98,2,0)</f>
        <v>45000</v>
      </c>
      <c r="E79" s="200">
        <v>0.5</v>
      </c>
      <c r="F79" s="201">
        <f t="shared" ca="1" si="7"/>
        <v>0</v>
      </c>
      <c r="G79" s="202">
        <f>IFERROR(VLOOKUP($B79,Gà!C:J,8,0),IFERROR(VLOOKUP($B79,TVP!C:J,7,0),IFERROR(VLOOKUP($B79,Kitkool!C:J,8,0),IFERROR(VLOOKUP($B79,'La Cusina'!C:J,8,0),VLOOKUP($B79,'Quốc Nhân'!C:J,8,0)))))</f>
        <v>37.876743192324128</v>
      </c>
      <c r="H79" s="203">
        <f t="shared" ca="1" si="8"/>
        <v>0</v>
      </c>
      <c r="I79" s="229">
        <f t="shared" si="9"/>
        <v>0.1880641313722935</v>
      </c>
      <c r="J79" s="203">
        <f t="shared" ca="1" si="10"/>
        <v>0</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3">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9">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3">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3">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3">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314</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54</v>
      </c>
      <c r="B8" s="180">
        <v>2</v>
      </c>
      <c r="C8" s="45">
        <f t="shared" ref="C8:C37" si="0">IF(OR(SUM($C7,$A8&lt;&gt;"")=0,$A8=""),"",SUM($C7,$A8&lt;&gt;""))</f>
        <v>1</v>
      </c>
      <c r="D8" s="176" t="str">
        <f>IFERROR(VLOOKUP($A8,Sheet1!$A$1:$B$98,2,0),"")</f>
        <v>Khoai tây Simplot</v>
      </c>
      <c r="E8" s="177">
        <f>IFERROR(VLOOKUP($A8,'Tổng Đơn'!$A$5:$E$79,5,0),"")</f>
        <v>1</v>
      </c>
      <c r="F8" s="45">
        <f t="shared" ref="F8:F37" si="1">IF($B8="","",B8)</f>
        <v>2</v>
      </c>
      <c r="G8" s="188">
        <f>IFERROR(VLOOKUP($A8,Sheet1!$A1:$D$98,4,0),"")</f>
        <v>49000</v>
      </c>
      <c r="H8" s="178">
        <f>IF($C7=MAX($C$8:$C$56),SUM($H7:$H$8),IFERROR($G8*$F8,""))</f>
        <v>98000</v>
      </c>
      <c r="I8" s="78">
        <f t="shared" ref="I8:I37" si="2">IF(TYPE($A8)&lt;&gt;1,"",IFERROR(F8*E8,""))</f>
        <v>2</v>
      </c>
      <c r="L8" s="47"/>
    </row>
    <row r="9" spans="1:14" s="44" customFormat="1" ht="14.25" customHeight="1" x14ac:dyDescent="0.3">
      <c r="A9" s="180" t="s">
        <v>298</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98000</v>
      </c>
      <c r="I9" s="78" t="str">
        <f t="shared" si="2"/>
        <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313</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3">
      <c r="A8" s="180">
        <v>61</v>
      </c>
      <c r="B8" s="180">
        <v>2</v>
      </c>
      <c r="C8" s="45">
        <f t="shared" ref="C8:C37" si="0">IF(OR(SUM($C7,$A8&lt;&gt;"")=0,$A8=""),"",SUM($C7,$A8&lt;&gt;""))</f>
        <v>1</v>
      </c>
      <c r="D8" s="176" t="str">
        <f>IFERROR(VLOOKUP($A8,Sheet1!$A$1:$B$98,2,0),"")</f>
        <v xml:space="preserve">Viên thả lẩu Cam-Trứng cá </v>
      </c>
      <c r="E8" s="177">
        <f>IFERROR(VLOOKUP($A8,'Tổng Đơn'!$A$5:$E$79,5,0),"")</f>
        <v>0.5</v>
      </c>
      <c r="F8" s="45">
        <f t="shared" ref="F8:F37" si="1">IF($B8="","",B8)</f>
        <v>2</v>
      </c>
      <c r="G8" s="188">
        <f>IFERROR(VLOOKUP($A8,Sheet1!$A1:$D$98,4,0),"")</f>
        <v>47000</v>
      </c>
      <c r="H8" s="178">
        <f>IF($C7=MAX($C$8:$C$56),SUM($H7:$H$8),IFERROR($G8*$F8,""))</f>
        <v>94000</v>
      </c>
      <c r="I8" s="78">
        <f t="shared" ref="I8:I37" si="2">IF(TYPE($A8)&lt;&gt;1,"",IFERROR(F8*E8,""))</f>
        <v>1</v>
      </c>
      <c r="L8" s="47"/>
    </row>
    <row r="9" spans="1:14" s="44" customFormat="1" ht="14.25" customHeight="1" x14ac:dyDescent="0.3">
      <c r="A9" s="180">
        <v>65</v>
      </c>
      <c r="B9" s="180">
        <v>2</v>
      </c>
      <c r="C9" s="45">
        <f t="shared" si="0"/>
        <v>2</v>
      </c>
      <c r="D9" s="176" t="str">
        <f>IFERROR(VLOOKUP($A9,Sheet1!$A$1:$B$98,2,0),"")</f>
        <v>Cá viên KK</v>
      </c>
      <c r="E9" s="45">
        <f>IFERROR(VLOOKUP($A9,'Tổng Đơn'!$A$5:$E$79,5,0),"")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3">
      <c r="A10" s="180">
        <v>70</v>
      </c>
      <c r="B10" s="180">
        <v>4</v>
      </c>
      <c r="C10" s="45">
        <f t="shared" si="0"/>
        <v>3</v>
      </c>
      <c r="D10" s="176" t="str">
        <f>IFERROR(VLOOKUP($A10,Sheet1!$A$1:$B$98,2,0),"")</f>
        <v>XX Đức KK</v>
      </c>
      <c r="E10" s="45">
        <f>IFERROR(VLOOKUP($A10,'Tổng Đơn'!$A$5:$E$79,5,0),"")</f>
        <v>0.5</v>
      </c>
      <c r="F10" s="45">
        <f t="shared" si="1"/>
        <v>4</v>
      </c>
      <c r="G10" s="188">
        <f>IF(AND($C10="",$C9&lt;&gt;""),"Tổng Cộng",IFERROR(VLOOKUP($A10,Sheet1!$A$1:$D$98,4,0),""))</f>
        <v>35000</v>
      </c>
      <c r="H10" s="178">
        <f>IF($C9=MAX($C$8:$C$56),SUM($H$8:$H9),IFERROR($G10*$F10,""))</f>
        <v>140000</v>
      </c>
      <c r="I10" s="78">
        <f t="shared" si="2"/>
        <v>2</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280000</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312</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3">
      <c r="A8" s="180">
        <v>10</v>
      </c>
      <c r="B8" s="180">
        <v>2</v>
      </c>
      <c r="C8" s="45">
        <f t="shared" ref="C8:C37" si="0">IF(OR(SUM($C7,$A8&lt;&gt;"")=0,$A8=""),"",SUM($C7,$A8&lt;&gt;""))</f>
        <v>1</v>
      </c>
      <c r="D8" s="176" t="str">
        <f>IFERROR(VLOOKUP($A8,Sheet1!$A$1:$B$98,2,0),"")</f>
        <v>Viên thả lẩu 3 màu</v>
      </c>
      <c r="E8" s="177">
        <f>IFERROR(VLOOKUP($A8,'Tổng Đơn'!$A$5:$E$79,5,0),"")</f>
        <v>0.5</v>
      </c>
      <c r="F8" s="45">
        <f t="shared" ref="F8:F37" si="1">IF($B8="","",B8)</f>
        <v>2</v>
      </c>
      <c r="G8" s="188">
        <f>IFERROR(VLOOKUP($A8,Sheet1!$A1:$D$98,4,0),"")</f>
        <v>50000</v>
      </c>
      <c r="H8" s="178">
        <f>IF($C7=MAX($C$8:$C$56),SUM($H7:$H$8),IFERROR($G8*$F8,""))</f>
        <v>100000</v>
      </c>
      <c r="I8" s="78">
        <f t="shared" ref="I8:I37" si="2">IF(TYPE($A8)&lt;&gt;1,"",IFERROR(F8*E8,""))</f>
        <v>1</v>
      </c>
      <c r="L8" s="47"/>
    </row>
    <row r="9" spans="1:14" s="44" customFormat="1" ht="14.25" customHeight="1" x14ac:dyDescent="0.3">
      <c r="A9" s="180">
        <v>16</v>
      </c>
      <c r="B9" s="180">
        <v>2</v>
      </c>
      <c r="C9" s="45">
        <f t="shared" si="0"/>
        <v>2</v>
      </c>
      <c r="D9" s="176" t="str">
        <f>IFERROR(VLOOKUP($A9,Sheet1!$A$1:$B$98,2,0),"")</f>
        <v>Phô mai que (13 que)</v>
      </c>
      <c r="E9" s="45">
        <f>IFERROR(VLOOKUP($A9,'Tổng Đơn'!$A$5:$E$79,5,0),"")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3">
      <c r="A10" s="180">
        <v>56</v>
      </c>
      <c r="B10" s="180">
        <v>1</v>
      </c>
      <c r="C10" s="45">
        <f t="shared" si="0"/>
        <v>3</v>
      </c>
      <c r="D10" s="176" t="str">
        <f>IFERROR(VLOOKUP($A10,Sheet1!$A$1:$B$98,2,0),"")</f>
        <v>Hồ lô ĐNA</v>
      </c>
      <c r="E10" s="45">
        <f>IFERROR(VLOOKUP($A10,'Tổng Đơn'!$A$5:$E$79,5,0),"")</f>
        <v>0.5</v>
      </c>
      <c r="F10" s="45">
        <f t="shared" si="1"/>
        <v>1</v>
      </c>
      <c r="G10" s="188">
        <f>IF(AND($C10="",$C9&lt;&gt;""),"Tổng Cộng",IFERROR(VLOOKUP($A10,Sheet1!$A$1:$D$98,4,0),""))</f>
        <v>44000</v>
      </c>
      <c r="H10" s="178">
        <f>IF($C9=MAX($C$8:$C$56),SUM($H$8:$H9),IFERROR($G10*$F10,""))</f>
        <v>44000</v>
      </c>
      <c r="I10" s="78">
        <f t="shared" si="2"/>
        <v>0.5</v>
      </c>
      <c r="L10" s="46"/>
    </row>
    <row r="11" spans="1:14" s="44" customFormat="1" ht="14.25" customHeight="1" x14ac:dyDescent="0.3">
      <c r="A11" s="180">
        <v>58</v>
      </c>
      <c r="B11" s="180">
        <v>3</v>
      </c>
      <c r="C11" s="45">
        <f t="shared" si="0"/>
        <v>4</v>
      </c>
      <c r="D11" s="176" t="str">
        <f>IFERROR(VLOOKUP($A11,Sheet1!$A$1:$B$98,2,0),"")</f>
        <v>Há cảo Mini</v>
      </c>
      <c r="E11" s="45">
        <f>IFERROR(VLOOKUP($A11,'Tổng Đơn'!$A$5:$E$79,5,0),"")</f>
        <v>0.5</v>
      </c>
      <c r="F11" s="45">
        <f t="shared" si="1"/>
        <v>3</v>
      </c>
      <c r="G11" s="188">
        <f>IF(AND($C11="",$C10&lt;&gt;""),"Tổng Cộng",IFERROR(VLOOKUP($A11,Sheet1!$A$1:$D$98,4,0),""))</f>
        <v>38000</v>
      </c>
      <c r="H11" s="178">
        <f>IF($C10=MAX($C$8:$C$56),SUM($H$8:$H10),IFERROR($G11*$F11,""))</f>
        <v>114000</v>
      </c>
      <c r="I11" s="78">
        <f t="shared" si="2"/>
        <v>1.5</v>
      </c>
      <c r="L11" s="46"/>
    </row>
    <row r="12" spans="1:14" s="44" customFormat="1" ht="14.25" customHeight="1" x14ac:dyDescent="0.3">
      <c r="A12" s="180">
        <v>65</v>
      </c>
      <c r="B12" s="180">
        <v>6</v>
      </c>
      <c r="C12" s="45">
        <f t="shared" si="0"/>
        <v>5</v>
      </c>
      <c r="D12" s="176" t="str">
        <f>IFERROR(VLOOKUP($A12,Sheet1!$A$1:$B$98,2,0),"")</f>
        <v>Cá viên KK</v>
      </c>
      <c r="E12" s="45">
        <f>IFERROR(VLOOKUP($A12,'Tổng Đơn'!$A$5:$E$79,5,0),"")</f>
        <v>0.5</v>
      </c>
      <c r="F12" s="45">
        <f t="shared" si="1"/>
        <v>6</v>
      </c>
      <c r="G12" s="188">
        <f>IF(AND($C12="",$C11&lt;&gt;""),"Tổng Cộng",IFERROR(VLOOKUP($A12,Sheet1!$A$1:$D$98,4,0),""))</f>
        <v>23000</v>
      </c>
      <c r="H12" s="178">
        <f>IF($C11=MAX($C$8:$C$56),SUM($H$8:$H11),IFERROR($G12*$F12,""))</f>
        <v>138000</v>
      </c>
      <c r="I12" s="78">
        <f t="shared" si="2"/>
        <v>3</v>
      </c>
      <c r="J12" s="150"/>
      <c r="L12" s="46"/>
      <c r="M12" s="158"/>
      <c r="N12" s="151"/>
    </row>
    <row r="13" spans="1:14" s="44" customFormat="1" ht="14.25" customHeight="1" x14ac:dyDescent="0.3">
      <c r="A13" s="180">
        <v>67</v>
      </c>
      <c r="B13" s="180">
        <v>4</v>
      </c>
      <c r="C13" s="45">
        <f t="shared" si="0"/>
        <v>6</v>
      </c>
      <c r="D13" s="176" t="str">
        <f>IFERROR(VLOOKUP($A13,Sheet1!$A$1:$B$98,2,0),"")</f>
        <v>Bò viên KK</v>
      </c>
      <c r="E13" s="45">
        <f>IFERROR(VLOOKUP($A13,'Tổng Đơn'!$A$5:$E$79,5,0),"")</f>
        <v>0.5</v>
      </c>
      <c r="F13" s="45">
        <f t="shared" si="1"/>
        <v>4</v>
      </c>
      <c r="G13" s="188">
        <f>IF(AND($C13="",$C12&lt;&gt;""),"Tổng Cộng",IFERROR(VLOOKUP($A13,Sheet1!$A$1:$D$98,4,0),""))</f>
        <v>26000</v>
      </c>
      <c r="H13" s="178">
        <f>IF($C12=MAX($C$8:$C$56),SUM($H$8:$H12),IFERROR($G13*$F13,""))</f>
        <v>104000</v>
      </c>
      <c r="I13" s="78">
        <f t="shared" si="2"/>
        <v>2</v>
      </c>
      <c r="L13" s="46"/>
    </row>
    <row r="14" spans="1:14" s="44" customFormat="1" ht="14.25" customHeight="1" x14ac:dyDescent="0.3">
      <c r="A14" s="180">
        <v>70</v>
      </c>
      <c r="B14" s="180">
        <v>2</v>
      </c>
      <c r="C14" s="45">
        <f t="shared" si="0"/>
        <v>7</v>
      </c>
      <c r="D14" s="176" t="str">
        <f>IFERROR(VLOOKUP($A14,Sheet1!$A$1:$B$98,2,0),"")</f>
        <v>XX Đức KK</v>
      </c>
      <c r="E14" s="45">
        <f>IFERROR(VLOOKUP($A14,'Tổng Đơn'!$A$5:$E$79,5,0),"")</f>
        <v>0.5</v>
      </c>
      <c r="F14" s="45">
        <f t="shared" si="1"/>
        <v>2</v>
      </c>
      <c r="G14" s="188">
        <f>IF(AND($C14="",$C13&lt;&gt;""),"Tổng Cộng",IFERROR(VLOOKUP($A14,Sheet1!$A$1:$D$98,4,0),""))</f>
        <v>35000</v>
      </c>
      <c r="H14" s="178">
        <f>IF($C13=MAX($C$8:$C$56),SUM($H$8:$H13),IFERROR($G14*$F14,""))</f>
        <v>70000</v>
      </c>
      <c r="I14" s="78">
        <f t="shared" si="2"/>
        <v>1</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Tổng Cộng</v>
      </c>
      <c r="H15" s="178">
        <f>IF($C14=MAX($C$8:$C$56),SUM($H$8:$H14),IFERROR($G15*$F15,""))</f>
        <v>650000</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311</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3">
      <c r="A8" s="180">
        <v>3</v>
      </c>
      <c r="B8" s="180">
        <v>1</v>
      </c>
      <c r="C8" s="45">
        <f t="shared" ref="C8:C37" si="0">IF(OR(SUM($C7,$A8&lt;&gt;"")=0,$A8=""),"",SUM($C7,$A8&lt;&gt;""))</f>
        <v>1</v>
      </c>
      <c r="D8" s="176" t="str">
        <f>IFERROR(VLOOKUP($A8,Sheet1!$A$1:$B$98,2,0),"")</f>
        <v>Cá viên rau củ HM</v>
      </c>
      <c r="E8" s="177">
        <f>IFERROR(VLOOKUP($A8,'Tổng Đơn'!$A$5:$E$79,5,0),"")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3">
      <c r="A9" s="180">
        <v>21</v>
      </c>
      <c r="B9" s="180">
        <v>1</v>
      </c>
      <c r="C9" s="45">
        <f t="shared" si="0"/>
        <v>2</v>
      </c>
      <c r="D9" s="176" t="str">
        <f>IFERROR(VLOOKUP($A9,Sheet1!$A$1:$B$98,2,0),"")</f>
        <v>XX Đức HS ĐNA</v>
      </c>
      <c r="E9" s="45">
        <f>IFERROR(VLOOKUP($A9,'Tổng Đơn'!$A$5:$E$79,5,0),"")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3">
      <c r="A10" s="180">
        <v>54</v>
      </c>
      <c r="B10" s="180">
        <v>1</v>
      </c>
      <c r="C10" s="45">
        <f t="shared" si="0"/>
        <v>3</v>
      </c>
      <c r="D10" s="176" t="str">
        <f>IFERROR(VLOOKUP($A10,Sheet1!$A$1:$B$98,2,0),"")</f>
        <v>Khoai tây Simplot</v>
      </c>
      <c r="E10" s="45">
        <f>IFERROR(VLOOKUP($A10,'Tổng Đơn'!$A$5:$E$79,5,0),"")</f>
        <v>1</v>
      </c>
      <c r="F10" s="45">
        <f t="shared" si="1"/>
        <v>1</v>
      </c>
      <c r="G10" s="188">
        <f>IF(AND($C10="",$C9&lt;&gt;""),"Tổng Cộng",IFERROR(VLOOKUP($A10,Sheet1!$A$1:$D$98,4,0),""))</f>
        <v>49000</v>
      </c>
      <c r="H10" s="178">
        <f>IF($C9=MAX($C$8:$C$56),SUM($H$8:$H9),IFERROR($G10*$F10,""))</f>
        <v>49000</v>
      </c>
      <c r="I10" s="78">
        <f t="shared" si="2"/>
        <v>1</v>
      </c>
      <c r="L10" s="46"/>
    </row>
    <row r="11" spans="1:14" s="44" customFormat="1" ht="14.25" customHeight="1" x14ac:dyDescent="0.3">
      <c r="A11" s="180">
        <v>65</v>
      </c>
      <c r="B11" s="180">
        <v>1</v>
      </c>
      <c r="C11" s="45">
        <f t="shared" si="0"/>
        <v>4</v>
      </c>
      <c r="D11" s="176" t="str">
        <f>IFERROR(VLOOKUP($A11,Sheet1!$A$1:$B$98,2,0),"")</f>
        <v>Cá viên KK</v>
      </c>
      <c r="E11" s="45">
        <f>IFERROR(VLOOKUP($A11,'Tổng Đơn'!$A$5:$E$79,5,0),"")</f>
        <v>0.5</v>
      </c>
      <c r="F11" s="45">
        <f t="shared" si="1"/>
        <v>1</v>
      </c>
      <c r="G11" s="188">
        <f>IF(AND($C11="",$C10&lt;&gt;""),"Tổng Cộng",IFERROR(VLOOKUP($A11,Sheet1!$A$1:$D$98,4,0),""))</f>
        <v>23000</v>
      </c>
      <c r="H11" s="178">
        <f>IF($C10=MAX($C$8:$C$56),SUM($H$8:$H10),IFERROR($G11*$F11,""))</f>
        <v>23000</v>
      </c>
      <c r="I11" s="78">
        <f t="shared" si="2"/>
        <v>0.5</v>
      </c>
      <c r="L11" s="46"/>
    </row>
    <row r="12" spans="1:14" s="44" customFormat="1" ht="14.25" customHeight="1" x14ac:dyDescent="0.3">
      <c r="A12" s="180">
        <v>69</v>
      </c>
      <c r="B12" s="180">
        <v>1</v>
      </c>
      <c r="C12" s="45">
        <f t="shared" si="0"/>
        <v>5</v>
      </c>
      <c r="D12" s="176" t="str">
        <f>IFERROR(VLOOKUP($A12,Sheet1!$A$1:$B$98,2,0),"")</f>
        <v>XX Đỏ KK</v>
      </c>
      <c r="E12" s="45">
        <f>IFERROR(VLOOKUP($A12,'Tổng Đơn'!$A$5:$E$79,5,0),"")</f>
        <v>0.5</v>
      </c>
      <c r="F12" s="45">
        <f t="shared" si="1"/>
        <v>1</v>
      </c>
      <c r="G12" s="188">
        <f>IF(AND($C12="",$C11&lt;&gt;""),"Tổng Cộng",IFERROR(VLOOKUP($A12,Sheet1!$A$1:$D$98,4,0),""))</f>
        <v>26000</v>
      </c>
      <c r="H12" s="178">
        <f>IF($C11=MAX($C$8:$C$56),SUM($H$8:$H11),IFERROR($G12*$F12,""))</f>
        <v>26000</v>
      </c>
      <c r="I12" s="78">
        <f t="shared" si="2"/>
        <v>0.5</v>
      </c>
      <c r="J12" s="150"/>
      <c r="L12" s="46"/>
      <c r="M12" s="158"/>
      <c r="N12" s="151"/>
    </row>
    <row r="13" spans="1:14" s="44" customFormat="1" ht="14.25" customHeight="1" x14ac:dyDescent="0.3">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159000</v>
      </c>
      <c r="I13" s="78" t="str">
        <f t="shared" si="2"/>
        <v/>
      </c>
      <c r="L13" s="46"/>
    </row>
    <row r="14" spans="1:14" s="44" customFormat="1" ht="14.25" customHeight="1" x14ac:dyDescent="0.3">
      <c r="A14" s="180"/>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310</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8.5</v>
      </c>
      <c r="L7" s="169"/>
    </row>
    <row r="8" spans="1:14" s="44" customFormat="1" ht="14.25" customHeight="1" x14ac:dyDescent="0.3">
      <c r="A8" s="180">
        <v>17</v>
      </c>
      <c r="B8" s="180">
        <v>1</v>
      </c>
      <c r="C8" s="45">
        <f t="shared" ref="C8:C37" si="0">IF(OR(SUM($C7,$A8&lt;&gt;"")=0,$A8=""),"",SUM($C7,$A8&lt;&gt;""))</f>
        <v>1</v>
      </c>
      <c r="D8" s="176" t="str">
        <f>IFERROR(VLOOKUP($A8,Sheet1!$A$1:$B$98,2,0),"")</f>
        <v>Phô mai viên (35v)</v>
      </c>
      <c r="E8" s="177">
        <f>IFERROR(VLOOKUP($A8,'Tổng Đơn'!$A$5:$E$79,5,0),"")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3">
      <c r="A9" s="180">
        <v>54</v>
      </c>
      <c r="B9" s="180">
        <v>3</v>
      </c>
      <c r="C9" s="45">
        <f t="shared" si="0"/>
        <v>2</v>
      </c>
      <c r="D9" s="176" t="str">
        <f>IFERROR(VLOOKUP($A9,Sheet1!$A$1:$B$98,2,0),"")</f>
        <v>Khoai tây Simplot</v>
      </c>
      <c r="E9" s="45">
        <f>IFERROR(VLOOKUP($A9,'Tổng Đơn'!$A$5:$E$79,5,0),"")</f>
        <v>1</v>
      </c>
      <c r="F9" s="45">
        <f t="shared" si="1"/>
        <v>3</v>
      </c>
      <c r="G9" s="188">
        <f>IF(AND($C9="",$C8&lt;&gt;""),"Tổng Cộng",IFERROR(VLOOKUP($A9,Sheet1!$A$1:$D$98,4,0),""))</f>
        <v>49000</v>
      </c>
      <c r="H9" s="178">
        <f>IF($C8=MAX($C$8:$C$56),SUM($H$8:$H8),IFERROR($G9*$F9,""))</f>
        <v>147000</v>
      </c>
      <c r="I9" s="78">
        <f t="shared" si="2"/>
        <v>3</v>
      </c>
      <c r="L9" s="46"/>
    </row>
    <row r="10" spans="1:14" s="44" customFormat="1" ht="14.25" customHeight="1" x14ac:dyDescent="0.3">
      <c r="A10" s="180">
        <v>65</v>
      </c>
      <c r="B10" s="180">
        <v>4</v>
      </c>
      <c r="C10" s="45">
        <f t="shared" si="0"/>
        <v>3</v>
      </c>
      <c r="D10" s="176" t="str">
        <f>IFERROR(VLOOKUP($A10,Sheet1!$A$1:$B$98,2,0),"")</f>
        <v>Cá viên KK</v>
      </c>
      <c r="E10" s="45">
        <f>IFERROR(VLOOKUP($A10,'Tổng Đơn'!$A$5:$E$79,5,0),"")</f>
        <v>0.5</v>
      </c>
      <c r="F10" s="45">
        <f t="shared" si="1"/>
        <v>4</v>
      </c>
      <c r="G10" s="188">
        <f>IF(AND($C10="",$C9&lt;&gt;""),"Tổng Cộng",IFERROR(VLOOKUP($A10,Sheet1!$A$1:$D$98,4,0),""))</f>
        <v>23000</v>
      </c>
      <c r="H10" s="178">
        <f>IF($C9=MAX($C$8:$C$56),SUM($H$8:$H9),IFERROR($G10*$F10,""))</f>
        <v>92000</v>
      </c>
      <c r="I10" s="78">
        <f t="shared" si="2"/>
        <v>2</v>
      </c>
      <c r="L10" s="46"/>
    </row>
    <row r="11" spans="1:14" s="44" customFormat="1" ht="14.25" customHeight="1" x14ac:dyDescent="0.3">
      <c r="A11" s="180">
        <v>69</v>
      </c>
      <c r="B11" s="180">
        <v>3</v>
      </c>
      <c r="C11" s="45">
        <f t="shared" si="0"/>
        <v>4</v>
      </c>
      <c r="D11" s="176" t="str">
        <f>IFERROR(VLOOKUP($A11,Sheet1!$A$1:$B$98,2,0),"")</f>
        <v>XX Đỏ KK</v>
      </c>
      <c r="E11" s="45">
        <f>IFERROR(VLOOKUP($A11,'Tổng Đơn'!$A$5:$E$79,5,0),"")</f>
        <v>0.5</v>
      </c>
      <c r="F11" s="45">
        <f t="shared" si="1"/>
        <v>3</v>
      </c>
      <c r="G11" s="188">
        <f>IF(AND($C11="",$C10&lt;&gt;""),"Tổng Cộng",IFERROR(VLOOKUP($A11,Sheet1!$A$1:$D$98,4,0),""))</f>
        <v>26000</v>
      </c>
      <c r="H11" s="178">
        <f>IF($C10=MAX($C$8:$C$56),SUM($H$8:$H10),IFERROR($G11*$F11,""))</f>
        <v>78000</v>
      </c>
      <c r="I11" s="78">
        <f t="shared" si="2"/>
        <v>1.5</v>
      </c>
      <c r="L11" s="46"/>
    </row>
    <row r="12" spans="1:14" s="44" customFormat="1" ht="14.25" customHeight="1" x14ac:dyDescent="0.3">
      <c r="A12" s="180">
        <v>70</v>
      </c>
      <c r="B12" s="180">
        <v>3</v>
      </c>
      <c r="C12" s="45">
        <f t="shared" si="0"/>
        <v>5</v>
      </c>
      <c r="D12" s="176" t="str">
        <f>IFERROR(VLOOKUP($A12,Sheet1!$A$1:$B$98,2,0),"")</f>
        <v>XX Đức KK</v>
      </c>
      <c r="E12" s="45">
        <f>IFERROR(VLOOKUP($A12,'Tổng Đơn'!$A$5:$E$79,5,0),"")</f>
        <v>0.5</v>
      </c>
      <c r="F12" s="45">
        <f t="shared" si="1"/>
        <v>3</v>
      </c>
      <c r="G12" s="188">
        <f>IF(AND($C12="",$C11&lt;&gt;""),"Tổng Cộng",IFERROR(VLOOKUP($A12,Sheet1!$A$1:$D$98,4,0),""))</f>
        <v>35000</v>
      </c>
      <c r="H12" s="178">
        <f>IF($C11=MAX($C$8:$C$56),SUM($H$8:$H11),IFERROR($G12*$F12,""))</f>
        <v>105000</v>
      </c>
      <c r="I12" s="78">
        <f t="shared" si="2"/>
        <v>1.5</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462000</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309</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72000</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308</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v>67</v>
      </c>
      <c r="B9" s="180">
        <v>1</v>
      </c>
      <c r="C9" s="45">
        <f t="shared" si="0"/>
        <v>2</v>
      </c>
      <c r="D9" s="176" t="str">
        <f>IFERROR(VLOOKUP($A9,Sheet1!$A$1:$B$98,2,0),"")</f>
        <v>Bò viên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72000</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307</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3">
      <c r="A8" s="180">
        <v>16</v>
      </c>
      <c r="B8" s="180">
        <v>4</v>
      </c>
      <c r="C8" s="45">
        <f t="shared" ref="C8:C37" si="0">IF(OR(SUM($C7,$A8&lt;&gt;"")=0,$A8=""),"",SUM($C7,$A8&lt;&gt;""))</f>
        <v>1</v>
      </c>
      <c r="D8" s="176" t="str">
        <f>IFERROR(VLOOKUP($A8,Sheet1!$A$1:$B$98,2,0),"")</f>
        <v>Phô mai que (13 que)</v>
      </c>
      <c r="E8" s="177">
        <f>IFERROR(VLOOKUP($A8,'Tổng Đơn'!$A$5:$E$79,5,0),"")</f>
        <v>0.5</v>
      </c>
      <c r="F8" s="45">
        <f t="shared" ref="F8:F37" si="1">IF($B8="","",B8)</f>
        <v>4</v>
      </c>
      <c r="G8" s="188">
        <f>IFERROR(VLOOKUP($A8,Sheet1!$A1:$D$98,4,0),"")</f>
        <v>40000</v>
      </c>
      <c r="H8" s="178">
        <f>IF($C7=MAX($C$8:$C$56),SUM($H7:$H$8),IFERROR($G8*$F8,""))</f>
        <v>160000</v>
      </c>
      <c r="I8" s="78">
        <f t="shared" ref="I8:I37" si="2">IF(TYPE($A8)&lt;&gt;1,"",IFERROR(F8*E8,""))</f>
        <v>2</v>
      </c>
      <c r="L8" s="47"/>
    </row>
    <row r="9" spans="1:14" s="44" customFormat="1" ht="14.25" customHeight="1" x14ac:dyDescent="0.3">
      <c r="A9" s="180" t="s">
        <v>298</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160000</v>
      </c>
      <c r="I9" s="78" t="str">
        <f t="shared" si="2"/>
        <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306</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3">
      <c r="A8" s="180">
        <v>70</v>
      </c>
      <c r="B8" s="180">
        <v>1</v>
      </c>
      <c r="C8" s="45">
        <f t="shared" ref="C8:C37" si="0">IF(OR(SUM($C7,$A8&lt;&gt;"")=0,$A8=""),"",SUM($C7,$A8&lt;&gt;""))</f>
        <v>1</v>
      </c>
      <c r="D8" s="176" t="str">
        <f>IFERROR(VLOOKUP($A8,Sheet1!$A$1:$B$98,2,0),"")</f>
        <v>XX Đức KK</v>
      </c>
      <c r="E8" s="177">
        <f>IFERROR(VLOOKUP($A8,'Tổng Đơn'!$A$5:$E$79,5,0),"")</f>
        <v>0.5</v>
      </c>
      <c r="F8" s="45">
        <f t="shared" ref="F8:F37" si="1">IF($B8="","",B8)</f>
        <v>1</v>
      </c>
      <c r="G8" s="188">
        <f>IFERROR(VLOOKUP($A8,Sheet1!$A1:$D$98,4,0),"")</f>
        <v>35000</v>
      </c>
      <c r="H8" s="178">
        <f>IF($C7=MAX($C$8:$C$56),SUM($H7:$H$8),IFERROR($G8*$F8,""))</f>
        <v>35000</v>
      </c>
      <c r="I8" s="78">
        <f t="shared" ref="I8:I37" si="2">IF(TYPE($A8)&lt;&gt;1,"",IFERROR(F8*E8,""))</f>
        <v>0.5</v>
      </c>
      <c r="L8" s="47"/>
    </row>
    <row r="9" spans="1:14" s="44" customFormat="1" ht="14.25" customHeight="1" x14ac:dyDescent="0.3">
      <c r="A9" s="180" t="s">
        <v>298</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35000</v>
      </c>
      <c r="I9" s="78" t="str">
        <f t="shared" si="2"/>
        <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305</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3">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3">
      <c r="A9" s="180" t="s">
        <v>298</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46000</v>
      </c>
      <c r="I9" s="78" t="str">
        <f t="shared" si="2"/>
        <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304</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3">
      <c r="A8" s="180">
        <v>64</v>
      </c>
      <c r="B8" s="180">
        <v>1</v>
      </c>
      <c r="C8" s="45">
        <f t="shared" ref="C8:C37" si="0">IF(OR(SUM($C7,$A8&lt;&gt;"")=0,$A8=""),"",SUM($C7,$A8&lt;&gt;""))</f>
        <v>1</v>
      </c>
      <c r="D8" s="176" t="str">
        <f>IFERROR(VLOOKUP($A8,Sheet1!$A$1:$B$98,2,0),"")</f>
        <v>Bánh bao ngọt không nhân</v>
      </c>
      <c r="E8" s="177">
        <f>IFERROR(VLOOKUP($A8,'Tổng Đơn'!$A$5:$E$79,5,0),"")</f>
        <v>0.3</v>
      </c>
      <c r="F8" s="45">
        <f t="shared" ref="F8:F37" si="1">IF($B8="","",B8)</f>
        <v>1</v>
      </c>
      <c r="G8" s="188">
        <f>IFERROR(VLOOKUP($A8,Sheet1!$A1:$D$98,4,0),"")</f>
        <v>18000</v>
      </c>
      <c r="H8" s="178">
        <f>IF($C7=MAX($C$8:$C$56),SUM($H7:$H$8),IFERROR($G8*$F8,""))</f>
        <v>18000</v>
      </c>
      <c r="I8" s="78">
        <f t="shared" ref="I8:I37" si="2">IF(TYPE($A8)&lt;&gt;1,"",IFERROR(F8*E8,""))</f>
        <v>0.3</v>
      </c>
      <c r="L8" s="47"/>
    </row>
    <row r="9" spans="1:14" s="44" customFormat="1" ht="14.25" customHeight="1" x14ac:dyDescent="0.3">
      <c r="A9" s="180">
        <v>65</v>
      </c>
      <c r="B9" s="180">
        <v>1</v>
      </c>
      <c r="C9" s="45">
        <f t="shared" si="0"/>
        <v>2</v>
      </c>
      <c r="D9" s="176" t="str">
        <f>IFERROR(VLOOKUP($A9,Sheet1!$A$1:$B$98,2,0),"")</f>
        <v>Cá viên KK</v>
      </c>
      <c r="E9" s="45">
        <f>IFERROR(VLOOKUP($A9,'Tổng Đơn'!$A$5:$E$79,5,0),"")</f>
        <v>0.5</v>
      </c>
      <c r="F9" s="45">
        <f t="shared" si="1"/>
        <v>1</v>
      </c>
      <c r="G9" s="188">
        <f>IF(AND($C9="",$C8&lt;&gt;""),"Tổng Cộng",IFERROR(VLOOKUP($A9,Sheet1!$A$1:$D$98,4,0),""))</f>
        <v>23000</v>
      </c>
      <c r="H9" s="178">
        <f>IF($C8=MAX($C$8:$C$56),SUM($H$8:$H8),IFERROR($G9*$F9,""))</f>
        <v>23000</v>
      </c>
      <c r="I9" s="78">
        <f t="shared" si="2"/>
        <v>0.5</v>
      </c>
      <c r="L9" s="46"/>
    </row>
    <row r="10" spans="1:14" s="44" customFormat="1" ht="14.25" customHeight="1" x14ac:dyDescent="0.3">
      <c r="A10" s="180" t="s">
        <v>210</v>
      </c>
      <c r="B10" s="180">
        <v>1</v>
      </c>
      <c r="C10" s="45">
        <f t="shared" si="0"/>
        <v>3</v>
      </c>
      <c r="D10" s="176" t="str">
        <f>IFERROR(VLOOKUP($A10,Sheet1!$A$1:$B$98,2,0),"")</f>
        <v>0-Cánh Gà</v>
      </c>
      <c r="E10" s="45">
        <f>IFERROR(VLOOKUP($A10,'Tổng Đơn'!$A$5:$E$79,5,0),"")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3">
      <c r="A11" s="180" t="s">
        <v>211</v>
      </c>
      <c r="B11" s="180">
        <v>4</v>
      </c>
      <c r="C11" s="45">
        <f t="shared" si="0"/>
        <v>4</v>
      </c>
      <c r="D11" s="176" t="str">
        <f>IFERROR(VLOOKUP($A11,Sheet1!$A$1:$B$98,2,0),"")</f>
        <v>0-Đùi tỏi Gà</v>
      </c>
      <c r="E11" s="45">
        <f>IFERROR(VLOOKUP($A11,'Tổng Đơn'!$A$5:$E$79,5,0),"")</f>
        <v>1</v>
      </c>
      <c r="F11" s="45">
        <f t="shared" si="1"/>
        <v>4</v>
      </c>
      <c r="G11" s="188">
        <f>IF(AND($C11="",$C10&lt;&gt;""),"Tổng Cộng",IFERROR(VLOOKUP($A11,Sheet1!$A$1:$D$98,4,0),""))</f>
        <v>45000</v>
      </c>
      <c r="H11" s="178">
        <f>IF($C10=MAX($C$8:$C$56),SUM($H$8:$H10),IFERROR($G11*$F11,""))</f>
        <v>180000</v>
      </c>
      <c r="I11" s="78" t="str">
        <f t="shared" si="2"/>
        <v/>
      </c>
      <c r="L11" s="46"/>
    </row>
    <row r="12" spans="1:14" s="44" customFormat="1" ht="14.25" customHeight="1" x14ac:dyDescent="0.3">
      <c r="A12" s="180">
        <v>1</v>
      </c>
      <c r="B12" s="180">
        <v>1</v>
      </c>
      <c r="C12" s="45">
        <f t="shared" si="0"/>
        <v>5</v>
      </c>
      <c r="D12" s="176" t="s">
        <v>300</v>
      </c>
      <c r="E12" s="45" t="s">
        <v>301</v>
      </c>
      <c r="F12" s="45" t="s">
        <v>301</v>
      </c>
      <c r="G12" s="188" t="s">
        <v>301</v>
      </c>
      <c r="H12" s="178">
        <v>-2000</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Tổng Cộng</v>
      </c>
      <c r="H13" s="178">
        <f>IF($C12=MAX($C$8:$C$56),SUM($H$8:$H12),IFERROR($G13*$F13,""))</f>
        <v>289000</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303</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5.5</v>
      </c>
      <c r="L7" s="169"/>
    </row>
    <row r="8" spans="1:14" s="44" customFormat="1" ht="14.25" customHeight="1" x14ac:dyDescent="0.3">
      <c r="A8" s="180">
        <v>65</v>
      </c>
      <c r="B8" s="180">
        <v>7</v>
      </c>
      <c r="C8" s="45">
        <f t="shared" ref="C8:C37" si="0">IF(OR(SUM($C7,$A8&lt;&gt;"")=0,$A8=""),"",SUM($C7,$A8&lt;&gt;""))</f>
        <v>1</v>
      </c>
      <c r="D8" s="176" t="str">
        <f>IFERROR(VLOOKUP($A8,Sheet1!$A$1:$B$98,2,0),"")</f>
        <v>Cá viên KK</v>
      </c>
      <c r="E8" s="177">
        <f>IFERROR(VLOOKUP($A8,'Tổng Đơn'!$A$5:$E$79,5,0),"")</f>
        <v>0.5</v>
      </c>
      <c r="F8" s="45">
        <f t="shared" ref="F8:F37" si="1">IF($B8="","",B8)</f>
        <v>7</v>
      </c>
      <c r="G8" s="188">
        <f>IFERROR(VLOOKUP($A8,Sheet1!$A1:$D$98,4,0),"")</f>
        <v>23000</v>
      </c>
      <c r="H8" s="178">
        <f>IF($C7=MAX($C$8:$C$56),SUM($H7:$H$8),IFERROR($G8*$F8,""))</f>
        <v>161000</v>
      </c>
      <c r="I8" s="78">
        <f t="shared" ref="I8:I37" si="2">IF(TYPE($A8)&lt;&gt;1,"",IFERROR(F8*E8,""))</f>
        <v>3.5</v>
      </c>
      <c r="L8" s="47"/>
    </row>
    <row r="9" spans="1:14" s="44" customFormat="1" ht="14.25" customHeight="1" x14ac:dyDescent="0.3">
      <c r="A9" s="180">
        <v>69</v>
      </c>
      <c r="B9" s="180">
        <v>4</v>
      </c>
      <c r="C9" s="45">
        <f t="shared" si="0"/>
        <v>2</v>
      </c>
      <c r="D9" s="176" t="str">
        <f>IFERROR(VLOOKUP($A9,Sheet1!$A$1:$B$98,2,0),"")</f>
        <v>XX Đỏ KK</v>
      </c>
      <c r="E9" s="45">
        <f>IFERROR(VLOOKUP($A9,'Tổng Đơn'!$A$5:$E$79,5,0),"")</f>
        <v>0.5</v>
      </c>
      <c r="F9" s="45">
        <f t="shared" si="1"/>
        <v>4</v>
      </c>
      <c r="G9" s="188">
        <f>IF(AND($C9="",$C8&lt;&gt;""),"Tổng Cộng",IFERROR(VLOOKUP($A9,Sheet1!$A$1:$D$98,4,0),""))</f>
        <v>26000</v>
      </c>
      <c r="H9" s="178">
        <f>IF($C8=MAX($C$8:$C$56),SUM($H$8:$H8),IFERROR($G9*$F9,""))</f>
        <v>104000</v>
      </c>
      <c r="I9" s="78">
        <f t="shared" si="2"/>
        <v>2</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265000</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302</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3">
      <c r="A8" s="180" t="s">
        <v>211</v>
      </c>
      <c r="B8" s="180">
        <v>5</v>
      </c>
      <c r="C8" s="45">
        <f t="shared" ref="C8:C37" si="0">IF(OR(SUM($C7,$A8&lt;&gt;"")=0,$A8=""),"",SUM($C7,$A8&lt;&gt;""))</f>
        <v>1</v>
      </c>
      <c r="D8" s="176" t="str">
        <f>IFERROR(VLOOKUP($A8,Sheet1!$A$1:$B$98,2,0),"")</f>
        <v>0-Đùi tỏi Gà</v>
      </c>
      <c r="E8" s="177">
        <f>IFERROR(VLOOKUP($A8,'Tổng Đơn'!$A$5:$E$79,5,0),"")</f>
        <v>1</v>
      </c>
      <c r="F8" s="45">
        <f t="shared" ref="F8:F37" si="1">IF($B8="","",B8)</f>
        <v>5</v>
      </c>
      <c r="G8" s="188">
        <f>IFERROR(VLOOKUP($A8,Sheet1!$A1:$D$98,4,0),"")</f>
        <v>45000</v>
      </c>
      <c r="H8" s="178">
        <f>IF($C7=MAX($C$8:$C$56),SUM($H7:$H$8),IFERROR($G8*$F8,""))</f>
        <v>225000</v>
      </c>
      <c r="I8" s="78" t="str">
        <f t="shared" ref="I8:I37" si="2">IF(TYPE($A8)&lt;&gt;1,"",IFERROR(F8*E8,""))</f>
        <v/>
      </c>
      <c r="L8" s="47"/>
    </row>
    <row r="9" spans="1:14" s="44" customFormat="1" ht="14.25" customHeight="1" x14ac:dyDescent="0.3">
      <c r="A9" s="180" t="s">
        <v>298</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225000</v>
      </c>
      <c r="I9" s="78" t="str">
        <f t="shared" si="2"/>
        <v/>
      </c>
      <c r="L9" s="46"/>
    </row>
    <row r="10" spans="1:14" s="44" customFormat="1" ht="14.25" customHeight="1" x14ac:dyDescent="0.3">
      <c r="A10" s="180" t="s">
        <v>298</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3">
      <c r="A11" s="180" t="s">
        <v>298</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3">
      <c r="A12" s="180" t="s">
        <v>298</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3">
      <c r="A13" s="180" t="s">
        <v>298</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3">
      <c r="A14" s="180" t="s">
        <v>298</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3">
      <c r="A15" s="180" t="s">
        <v>298</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3">
      <c r="A16" s="180" t="s">
        <v>298</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3">
      <c r="A17" s="180" t="s">
        <v>298</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3">
      <c r="A18" s="180" t="s">
        <v>298</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09375" defaultRowHeight="13.8" x14ac:dyDescent="0.25"/>
  <cols>
    <col min="1" max="1" width="11.6640625" style="14" customWidth="1"/>
    <col min="2" max="2" width="11.33203125" style="14" customWidth="1"/>
    <col min="3" max="3" width="9.109375" style="14"/>
    <col min="4" max="4" width="38.44140625" style="14" bestFit="1" customWidth="1"/>
    <col min="5" max="5" width="12.33203125" style="77" bestFit="1" customWidth="1"/>
    <col min="6" max="6" width="11" style="14" customWidth="1"/>
    <col min="7" max="7" width="15.88671875" style="14" customWidth="1"/>
    <col min="8" max="8" width="18.109375" style="15" customWidth="1"/>
    <col min="9" max="9" width="21.88671875" style="14" customWidth="1"/>
    <col min="10" max="10" width="10.109375" style="14" customWidth="1"/>
    <col min="11" max="11" width="9.109375" style="14"/>
    <col min="12" max="12" width="11.6640625" style="14" customWidth="1"/>
    <col min="13" max="14" width="10.109375" style="14" bestFit="1" customWidth="1"/>
    <col min="15" max="16384" width="9.109375" style="14"/>
  </cols>
  <sheetData>
    <row r="1" spans="1:14" ht="15.75" customHeight="1" x14ac:dyDescent="0.25">
      <c r="C1" s="248" t="s">
        <v>219</v>
      </c>
      <c r="D1" s="248"/>
      <c r="E1" s="248"/>
      <c r="F1" s="248"/>
      <c r="G1" s="248"/>
      <c r="H1" s="248"/>
    </row>
    <row r="2" spans="1:14" ht="15.75" customHeight="1" x14ac:dyDescent="0.25">
      <c r="C2" s="248"/>
      <c r="D2" s="248"/>
      <c r="E2" s="248"/>
      <c r="F2" s="248"/>
      <c r="G2" s="248"/>
      <c r="H2" s="248"/>
    </row>
    <row r="3" spans="1:14" ht="15" customHeight="1" x14ac:dyDescent="0.25">
      <c r="C3" s="250" t="s">
        <v>221</v>
      </c>
      <c r="D3" s="250"/>
      <c r="E3" s="250"/>
      <c r="F3" s="253" t="s">
        <v>223</v>
      </c>
      <c r="G3" s="253"/>
      <c r="H3" s="253"/>
    </row>
    <row r="4" spans="1:14" x14ac:dyDescent="0.25">
      <c r="C4" s="251" t="s">
        <v>222</v>
      </c>
      <c r="D4" s="251"/>
      <c r="E4" s="251"/>
      <c r="F4" s="254" t="s">
        <v>224</v>
      </c>
      <c r="G4" s="254"/>
      <c r="H4" s="254"/>
    </row>
    <row r="5" spans="1:14" s="169" customFormat="1" ht="21" customHeight="1" x14ac:dyDescent="0.3">
      <c r="C5" s="252" t="s">
        <v>220</v>
      </c>
      <c r="D5" s="252"/>
      <c r="E5" s="252"/>
      <c r="F5" s="252"/>
      <c r="G5" s="252"/>
      <c r="H5" s="252"/>
    </row>
    <row r="6" spans="1:14" s="169" customFormat="1" ht="17.25" customHeight="1" x14ac:dyDescent="0.3">
      <c r="C6" s="179" t="s">
        <v>225</v>
      </c>
      <c r="D6" s="184" t="s">
        <v>299</v>
      </c>
      <c r="E6" s="174"/>
      <c r="F6" s="174"/>
      <c r="G6" s="249" t="str">
        <f ca="1">"Ngày "&amp;DAY(TODAY())&amp;" Tháng "&amp;MONTH(TODAY())&amp;" Năm "&amp;YEAR(TODAY())</f>
        <v>Ngày 23 Tháng 2 Năm 2022</v>
      </c>
      <c r="H6" s="249"/>
    </row>
    <row r="7" spans="1:14" s="173" customFormat="1" ht="24" customHeight="1" x14ac:dyDescent="0.3">
      <c r="A7" s="170" t="s">
        <v>118</v>
      </c>
      <c r="B7" s="170" t="s">
        <v>16</v>
      </c>
      <c r="C7" s="171" t="s">
        <v>0</v>
      </c>
      <c r="D7" s="171" t="s">
        <v>17</v>
      </c>
      <c r="E7" s="175" t="str">
        <f>"Quy cách"&amp;CHAR(10)&amp;"(Kg)"</f>
        <v>Quy cách
(Kg)</v>
      </c>
      <c r="F7" s="171" t="s">
        <v>16</v>
      </c>
      <c r="G7" s="171" t="s">
        <v>18</v>
      </c>
      <c r="H7" s="171" t="s">
        <v>19</v>
      </c>
      <c r="I7" s="172">
        <f>SUBTOTAL(9,I8:I37)</f>
        <v>4.8</v>
      </c>
      <c r="L7" s="169"/>
    </row>
    <row r="8" spans="1:14" s="44" customFormat="1" ht="14.25" customHeight="1" x14ac:dyDescent="0.3">
      <c r="A8" s="180">
        <v>26</v>
      </c>
      <c r="B8" s="180">
        <v>1</v>
      </c>
      <c r="C8" s="45">
        <f t="shared" ref="C8:C37" si="0">IF(OR(SUM($C7,$A8&lt;&gt;"")=0,$A8=""),"",SUM($C7,$A8&lt;&gt;""))</f>
        <v>1</v>
      </c>
      <c r="D8" s="176" t="str">
        <f>IFERROR(VLOOKUP($A8,Sheet1!$A$1:$B$98,2,0),"")</f>
        <v>Chả giò Rế tôm mực LC</v>
      </c>
      <c r="E8" s="177">
        <f>IFERROR(VLOOKUP($A8,'Tổng Đơn'!$A$5:$E$79,5,0),"")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3">
      <c r="A9" s="180">
        <v>49</v>
      </c>
      <c r="B9" s="180">
        <v>1</v>
      </c>
      <c r="C9" s="45">
        <f t="shared" si="0"/>
        <v>2</v>
      </c>
      <c r="D9" s="176" t="str">
        <f>IFERROR(VLOOKUP($A9,Sheet1!$A$1:$B$98,2,0),"")</f>
        <v>Bò lá lốt</v>
      </c>
      <c r="E9" s="45">
        <f>IFERROR(VLOOKUP($A9,'Tổng Đơn'!$A$5:$E$79,5,0),"")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3">
      <c r="A10" s="180">
        <v>55</v>
      </c>
      <c r="B10" s="180">
        <v>1</v>
      </c>
      <c r="C10" s="45">
        <f t="shared" si="0"/>
        <v>3</v>
      </c>
      <c r="D10" s="176" t="str">
        <f>IFERROR(VLOOKUP($A10,Sheet1!$A$1:$B$98,2,0),"")</f>
        <v>Đậu hủ phô mai EB</v>
      </c>
      <c r="E10" s="45">
        <f>IFERROR(VLOOKUP($A10,'Tổng Đơn'!$A$5:$E$79,5,0),"")</f>
        <v>0.5</v>
      </c>
      <c r="F10" s="45">
        <f t="shared" si="1"/>
        <v>1</v>
      </c>
      <c r="G10" s="188">
        <f>IF(AND($C10="",$C9&lt;&gt;""),"Tổng Cộng",IFERROR(VLOOKUP($A10,Sheet1!$A$1:$D$98,4,0),""))</f>
        <v>80000</v>
      </c>
      <c r="H10" s="178">
        <f>IF($C9=MAX($C$8:$C$56),SUM($H$8:$H9),IFERROR($G10*$F10,""))</f>
        <v>80000</v>
      </c>
      <c r="I10" s="78">
        <f t="shared" si="2"/>
        <v>0.5</v>
      </c>
      <c r="L10" s="46"/>
    </row>
    <row r="11" spans="1:14" s="44" customFormat="1" ht="14.25" customHeight="1" x14ac:dyDescent="0.3">
      <c r="A11" s="180">
        <v>56</v>
      </c>
      <c r="B11" s="180">
        <v>1</v>
      </c>
      <c r="C11" s="45">
        <f t="shared" si="0"/>
        <v>4</v>
      </c>
      <c r="D11" s="176" t="str">
        <f>IFERROR(VLOOKUP($A11,Sheet1!$A$1:$B$98,2,0),"")</f>
        <v>Hồ lô ĐNA</v>
      </c>
      <c r="E11" s="45">
        <f>IFERROR(VLOOKUP($A11,'Tổng Đơn'!$A$5:$E$79,5,0),"")</f>
        <v>0.5</v>
      </c>
      <c r="F11" s="45">
        <f t="shared" si="1"/>
        <v>1</v>
      </c>
      <c r="G11" s="188">
        <f>IF(AND($C11="",$C10&lt;&gt;""),"Tổng Cộng",IFERROR(VLOOKUP($A11,Sheet1!$A$1:$D$98,4,0),""))</f>
        <v>44000</v>
      </c>
      <c r="H11" s="178">
        <f>IF($C10=MAX($C$8:$C$56),SUM($H$8:$H10),IFERROR($G11*$F11,""))</f>
        <v>44000</v>
      </c>
      <c r="I11" s="78">
        <f t="shared" si="2"/>
        <v>0.5</v>
      </c>
      <c r="L11" s="46"/>
    </row>
    <row r="12" spans="1:14" s="44" customFormat="1" ht="14.25" customHeight="1" x14ac:dyDescent="0.3">
      <c r="A12" s="180">
        <v>64</v>
      </c>
      <c r="B12" s="180">
        <v>1</v>
      </c>
      <c r="C12" s="45">
        <f t="shared" si="0"/>
        <v>5</v>
      </c>
      <c r="D12" s="176" t="str">
        <f>IFERROR(VLOOKUP($A12,Sheet1!$A$1:$B$98,2,0),"")</f>
        <v>Bánh bao ngọt không nhân</v>
      </c>
      <c r="E12" s="45">
        <f>IFERROR(VLOOKUP($A12,'Tổng Đơn'!$A$5:$E$79,5,0),"")</f>
        <v>0.3</v>
      </c>
      <c r="F12" s="45">
        <f t="shared" si="1"/>
        <v>1</v>
      </c>
      <c r="G12" s="188">
        <f>IF(AND($C12="",$C11&lt;&gt;""),"Tổng Cộng",IFERROR(VLOOKUP($A12,Sheet1!$A$1:$D$98,4,0),""))</f>
        <v>18000</v>
      </c>
      <c r="H12" s="178">
        <f>IF($C11=MAX($C$8:$C$56),SUM($H$8:$H11),IFERROR($G12*$F12,""))</f>
        <v>18000</v>
      </c>
      <c r="I12" s="78">
        <f t="shared" si="2"/>
        <v>0.3</v>
      </c>
      <c r="J12" s="150"/>
      <c r="L12" s="46"/>
      <c r="M12" s="158"/>
      <c r="N12" s="151"/>
    </row>
    <row r="13" spans="1:14" s="44" customFormat="1" ht="14.25" customHeight="1" x14ac:dyDescent="0.3">
      <c r="A13" s="180">
        <v>65</v>
      </c>
      <c r="B13" s="180">
        <v>3</v>
      </c>
      <c r="C13" s="45">
        <f t="shared" si="0"/>
        <v>6</v>
      </c>
      <c r="D13" s="176" t="str">
        <f>IFERROR(VLOOKUP($A13,Sheet1!$A$1:$B$98,2,0),"")</f>
        <v>Cá viên KK</v>
      </c>
      <c r="E13" s="45">
        <f>IFERROR(VLOOKUP($A13,'Tổng Đơn'!$A$5:$E$79,5,0),"")</f>
        <v>0.5</v>
      </c>
      <c r="F13" s="45">
        <f t="shared" si="1"/>
        <v>3</v>
      </c>
      <c r="G13" s="188">
        <f>IF(AND($C13="",$C12&lt;&gt;""),"Tổng Cộng",IFERROR(VLOOKUP($A13,Sheet1!$A$1:$D$98,4,0),""))</f>
        <v>23000</v>
      </c>
      <c r="H13" s="178">
        <f>IF($C12=MAX($C$8:$C$56),SUM($H$8:$H12),IFERROR($G13*$F13,""))</f>
        <v>69000</v>
      </c>
      <c r="I13" s="78">
        <f t="shared" si="2"/>
        <v>1.5</v>
      </c>
      <c r="L13" s="46"/>
    </row>
    <row r="14" spans="1:14" s="44" customFormat="1" ht="14.25" customHeight="1" x14ac:dyDescent="0.3">
      <c r="A14" s="180">
        <v>67</v>
      </c>
      <c r="B14" s="180">
        <v>1</v>
      </c>
      <c r="C14" s="45">
        <f t="shared" si="0"/>
        <v>7</v>
      </c>
      <c r="D14" s="176" t="str">
        <f>IFERROR(VLOOKUP($A14,Sheet1!$A$1:$B$98,2,0),"")</f>
        <v>Bò viên KK</v>
      </c>
      <c r="E14" s="45">
        <f>IFERROR(VLOOKUP($A14,'Tổng Đơn'!$A$5:$E$79,5,0),"")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3">
      <c r="A15" s="180">
        <v>69</v>
      </c>
      <c r="B15" s="180">
        <v>1</v>
      </c>
      <c r="C15" s="45">
        <f t="shared" si="0"/>
        <v>8</v>
      </c>
      <c r="D15" s="176" t="str">
        <f>IFERROR(VLOOKUP($A15,Sheet1!$A$1:$B$98,2,0),"")</f>
        <v>XX Đỏ KK</v>
      </c>
      <c r="E15" s="45">
        <f>IFERROR(VLOOKUP($A15,'Tổng Đơn'!$A$5:$E$79,5,0),"")</f>
        <v>0.5</v>
      </c>
      <c r="F15" s="45">
        <f t="shared" si="1"/>
        <v>1</v>
      </c>
      <c r="G15" s="188">
        <f>IF(AND($C15="",$C14&lt;&gt;""),"Tổng Cộng",IFERROR(VLOOKUP($A15,Sheet1!$A$1:$D$98,4,0),""))</f>
        <v>26000</v>
      </c>
      <c r="H15" s="178">
        <f>IF($C14=MAX($C$8:$C$56),SUM($H$8:$H14),IFERROR($G15*$F15,""))</f>
        <v>26000</v>
      </c>
      <c r="I15" s="78">
        <f t="shared" si="2"/>
        <v>0.5</v>
      </c>
      <c r="L15" s="46"/>
    </row>
    <row r="16" spans="1:14" s="44" customFormat="1" ht="14.25" customHeight="1" x14ac:dyDescent="0.3">
      <c r="A16" s="180" t="s">
        <v>210</v>
      </c>
      <c r="B16" s="180">
        <v>2.5</v>
      </c>
      <c r="C16" s="45">
        <f t="shared" si="0"/>
        <v>9</v>
      </c>
      <c r="D16" s="176" t="str">
        <f>IFERROR(VLOOKUP($A16,Sheet1!$A$1:$B$98,2,0),"")</f>
        <v>0-Cánh Gà</v>
      </c>
      <c r="E16" s="45">
        <f>IFERROR(VLOOKUP($A16,'Tổng Đơn'!$A$5:$E$79,5,0),"")</f>
        <v>1</v>
      </c>
      <c r="F16" s="45">
        <f t="shared" si="1"/>
        <v>2.5</v>
      </c>
      <c r="G16" s="188">
        <f>IF(AND($C16="",$C15&lt;&gt;""),"Tổng Cộng",IFERROR(VLOOKUP($A16,Sheet1!$A$1:$D$98,4,0),""))</f>
        <v>70000</v>
      </c>
      <c r="H16" s="178">
        <f>IF($C15=MAX($C$8:$C$56),SUM($H$8:$H15),IFERROR($G16*$F16,""))</f>
        <v>175000</v>
      </c>
      <c r="I16" s="78" t="str">
        <f t="shared" si="2"/>
        <v/>
      </c>
      <c r="L16" s="46"/>
    </row>
    <row r="17" spans="1:12" s="44" customFormat="1" ht="14.25" customHeight="1" x14ac:dyDescent="0.3">
      <c r="A17" s="180" t="s">
        <v>211</v>
      </c>
      <c r="B17" s="180">
        <v>3.5</v>
      </c>
      <c r="C17" s="45">
        <f t="shared" si="0"/>
        <v>10</v>
      </c>
      <c r="D17" s="187" t="str">
        <f>IFERROR(VLOOKUP($A17,Sheet1!$A$1:$B$98,2,0),"")</f>
        <v>0-Đùi tỏi Gà</v>
      </c>
      <c r="E17" s="45">
        <f>IFERROR(VLOOKUP($A17,'Tổng Đơn'!$A$5:$E$79,5,0),"")</f>
        <v>1</v>
      </c>
      <c r="F17" s="45">
        <f t="shared" si="1"/>
        <v>3.5</v>
      </c>
      <c r="G17" s="188">
        <f>IF(AND($C17="",$C16&lt;&gt;""),"Tổng Cộng",IFERROR(VLOOKUP($A17,Sheet1!$A$1:$D$98,4,0),""))</f>
        <v>45000</v>
      </c>
      <c r="H17" s="178">
        <f>IF($C16=MAX($C$8:$C$56),SUM($H$8:$H16),IFERROR($G17*$F17,""))</f>
        <v>157500</v>
      </c>
      <c r="I17" s="78" t="str">
        <f t="shared" si="2"/>
        <v/>
      </c>
      <c r="L17" s="46"/>
    </row>
    <row r="18" spans="1:12" s="44" customFormat="1" ht="14.25" customHeight="1" x14ac:dyDescent="0.3">
      <c r="A18" s="180">
        <v>1</v>
      </c>
      <c r="B18" s="180">
        <v>1</v>
      </c>
      <c r="C18" s="45">
        <f t="shared" si="0"/>
        <v>11</v>
      </c>
      <c r="D18" s="187" t="s">
        <v>300</v>
      </c>
      <c r="E18" s="45" t="s">
        <v>301</v>
      </c>
      <c r="F18" s="45" t="s">
        <v>301</v>
      </c>
      <c r="G18" s="188" t="s">
        <v>301</v>
      </c>
      <c r="H18" s="178">
        <v>-3500</v>
      </c>
      <c r="I18" s="78" t="str">
        <f t="shared" si="2"/>
        <v/>
      </c>
      <c r="L18" s="46"/>
    </row>
    <row r="19" spans="1:12" s="44" customFormat="1" ht="14.25" customHeight="1" x14ac:dyDescent="0.3">
      <c r="A19" s="180" t="s">
        <v>298</v>
      </c>
      <c r="B19" s="180"/>
      <c r="C19" s="45" t="str">
        <f t="shared" si="0"/>
        <v/>
      </c>
      <c r="D19" s="187" t="str">
        <f>IFERROR(VLOOKUP($A19,Sheet1!$A$1:$B$98,2,0),"")</f>
        <v/>
      </c>
      <c r="E19" s="45" t="str">
        <f>IFERROR(VLOOKUP($A19,'Tổng Đơn'!$A$5:$E$79,5,0),"")</f>
        <v/>
      </c>
      <c r="F19" s="45" t="str">
        <f t="shared" si="1"/>
        <v/>
      </c>
      <c r="G19" s="188" t="str">
        <f>IF(AND($C19="",$C18&lt;&gt;""),"Tổng Cộng",IFERROR(VLOOKUP($A19,Sheet1!$A$1:$D$98,4,0),""))</f>
        <v>Tổng Cộng</v>
      </c>
      <c r="H19" s="178">
        <f>IF($C18=MAX($C$8:$C$56),SUM($H$8:$H18),IFERROR($G19*$F19,""))</f>
        <v>684000</v>
      </c>
      <c r="I19" s="78" t="str">
        <f t="shared" si="2"/>
        <v/>
      </c>
      <c r="L19" s="46"/>
    </row>
    <row r="20" spans="1:12" s="44" customFormat="1" ht="14.25" customHeight="1" x14ac:dyDescent="0.3">
      <c r="A20" s="180" t="s">
        <v>298</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3">
      <c r="A21" s="180" t="s">
        <v>298</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3">
      <c r="A22" s="180" t="s">
        <v>298</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3">
      <c r="A23" s="180" t="s">
        <v>298</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3">
      <c r="A24" s="180" t="s">
        <v>298</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3">
      <c r="A25" s="180" t="s">
        <v>298</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3">
      <c r="A26" s="180" t="s">
        <v>298</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3">
      <c r="A27" s="180" t="s">
        <v>298</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3">
      <c r="A28" s="180" t="s">
        <v>298</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3">
      <c r="A29" s="180" t="s">
        <v>298</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3">
      <c r="A30" s="180" t="s">
        <v>298</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3">
      <c r="A31" s="180" t="s">
        <v>298</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3">
      <c r="A32" s="180" t="s">
        <v>298</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3">
      <c r="A33" s="180" t="s">
        <v>298</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3">
      <c r="A34" s="180" t="s">
        <v>298</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3">
      <c r="A35" s="180" t="s">
        <v>298</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3">
      <c r="A36" s="180" t="s">
        <v>298</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3">
      <c r="A37" s="180" t="s">
        <v>298</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3">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09375" defaultRowHeight="13.8" x14ac:dyDescent="0.3"/>
  <cols>
    <col min="1" max="1" width="7.109375" style="52" customWidth="1"/>
    <col min="2" max="2" width="37" style="52" customWidth="1"/>
    <col min="3" max="3" width="10.5546875" style="15" customWidth="1"/>
    <col min="4" max="4" width="13.109375" style="15" bestFit="1" customWidth="1"/>
    <col min="5" max="5" width="17.6640625" style="15" bestFit="1" customWidth="1"/>
    <col min="6" max="6" width="19.109375" style="52" bestFit="1" customWidth="1"/>
    <col min="7" max="7" width="14.6640625" style="52" customWidth="1"/>
    <col min="8" max="10" width="9.109375" style="52"/>
    <col min="11" max="11" width="10.5546875" style="52" bestFit="1" customWidth="1"/>
    <col min="12" max="16384" width="9.109375" style="52"/>
  </cols>
  <sheetData>
    <row r="1" spans="1:11" ht="18" customHeight="1" x14ac:dyDescent="0.3">
      <c r="D1" s="51" t="s">
        <v>119</v>
      </c>
      <c r="E1" s="51" t="s">
        <v>123</v>
      </c>
      <c r="F1" s="67" t="s">
        <v>120</v>
      </c>
      <c r="G1" s="67" t="s">
        <v>124</v>
      </c>
    </row>
    <row r="2" spans="1:11" s="69" customFormat="1" ht="26.25" customHeight="1" x14ac:dyDescent="0.3">
      <c r="C2" s="70"/>
      <c r="D2" s="71">
        <f>SUBTOTAL(9,D3:D35)</f>
        <v>0</v>
      </c>
      <c r="E2" s="71">
        <f t="shared" ref="E2:G2" si="0">SUBTOTAL(9,E3:E35)</f>
        <v>0</v>
      </c>
      <c r="F2" s="71">
        <f t="shared" si="0"/>
        <v>0</v>
      </c>
      <c r="G2" s="71">
        <f t="shared" si="0"/>
        <v>0</v>
      </c>
      <c r="I2" s="72" t="e">
        <f>G2/F2*100</f>
        <v>#DIV/0!</v>
      </c>
      <c r="K2" s="73">
        <f>F2-450000</f>
        <v>-450000</v>
      </c>
    </row>
    <row r="3" spans="1:11" s="15" customFormat="1" x14ac:dyDescent="0.3">
      <c r="A3" s="52">
        <v>1</v>
      </c>
      <c r="B3" s="52" t="s">
        <v>25</v>
      </c>
      <c r="C3" s="15" t="s">
        <v>108</v>
      </c>
      <c r="E3" s="56"/>
      <c r="F3" s="66"/>
      <c r="G3" s="68"/>
    </row>
    <row r="4" spans="1:11" x14ac:dyDescent="0.3">
      <c r="A4" s="52">
        <v>2</v>
      </c>
      <c r="B4" s="52" t="s">
        <v>1</v>
      </c>
      <c r="C4" s="15" t="s">
        <v>109</v>
      </c>
      <c r="E4" s="56"/>
      <c r="F4" s="66"/>
      <c r="G4" s="68"/>
    </row>
    <row r="5" spans="1:11" x14ac:dyDescent="0.3">
      <c r="A5" s="52">
        <v>3</v>
      </c>
      <c r="B5" s="52" t="s">
        <v>2</v>
      </c>
      <c r="C5" s="15" t="s">
        <v>110</v>
      </c>
      <c r="E5" s="56"/>
      <c r="F5" s="66"/>
      <c r="G5" s="68"/>
    </row>
    <row r="6" spans="1:11" x14ac:dyDescent="0.3">
      <c r="A6" s="52">
        <v>5</v>
      </c>
      <c r="B6" s="52" t="s">
        <v>30</v>
      </c>
      <c r="C6" s="15" t="s">
        <v>112</v>
      </c>
      <c r="E6" s="56"/>
      <c r="F6" s="66"/>
      <c r="G6" s="68"/>
    </row>
    <row r="7" spans="1:11" x14ac:dyDescent="0.3">
      <c r="A7" s="52">
        <v>7</v>
      </c>
      <c r="B7" s="52" t="s">
        <v>26</v>
      </c>
      <c r="C7" s="15" t="s">
        <v>114</v>
      </c>
      <c r="E7" s="56"/>
      <c r="F7" s="66"/>
      <c r="G7" s="68"/>
    </row>
    <row r="8" spans="1:11" x14ac:dyDescent="0.3">
      <c r="A8" s="52">
        <v>8</v>
      </c>
      <c r="B8" s="52" t="s">
        <v>61</v>
      </c>
      <c r="C8" s="15" t="s">
        <v>115</v>
      </c>
      <c r="E8" s="56"/>
      <c r="F8" s="66"/>
      <c r="G8" s="68"/>
    </row>
    <row r="9" spans="1:11" x14ac:dyDescent="0.3">
      <c r="A9" s="52">
        <v>9</v>
      </c>
      <c r="B9" s="52" t="s">
        <v>31</v>
      </c>
      <c r="C9" s="15" t="s">
        <v>116</v>
      </c>
      <c r="E9" s="56"/>
      <c r="F9" s="66"/>
      <c r="G9" s="68"/>
    </row>
    <row r="10" spans="1:11" x14ac:dyDescent="0.3">
      <c r="A10" s="52">
        <v>10</v>
      </c>
      <c r="B10" s="52" t="s">
        <v>6</v>
      </c>
      <c r="C10" s="15" t="s">
        <v>69</v>
      </c>
      <c r="E10" s="56"/>
      <c r="F10" s="66"/>
      <c r="G10" s="68"/>
    </row>
    <row r="11" spans="1:11" x14ac:dyDescent="0.3">
      <c r="A11" s="52">
        <v>11</v>
      </c>
      <c r="B11" s="52" t="s">
        <v>58</v>
      </c>
      <c r="C11" s="15" t="s">
        <v>70</v>
      </c>
      <c r="E11" s="56"/>
      <c r="F11" s="66"/>
      <c r="G11" s="68"/>
    </row>
    <row r="12" spans="1:11" x14ac:dyDescent="0.3">
      <c r="A12" s="52">
        <v>16</v>
      </c>
      <c r="B12" s="52" t="s">
        <v>5</v>
      </c>
      <c r="C12" s="15" t="s">
        <v>75</v>
      </c>
      <c r="E12" s="56"/>
      <c r="F12" s="66"/>
      <c r="G12" s="68"/>
    </row>
    <row r="13" spans="1:11" x14ac:dyDescent="0.3">
      <c r="A13" s="52">
        <v>17</v>
      </c>
      <c r="B13" s="52" t="s">
        <v>4</v>
      </c>
      <c r="C13" s="15" t="s">
        <v>76</v>
      </c>
      <c r="E13" s="56"/>
      <c r="F13" s="66"/>
      <c r="G13" s="68"/>
    </row>
    <row r="14" spans="1:11" x14ac:dyDescent="0.3">
      <c r="A14" s="52">
        <v>18</v>
      </c>
      <c r="B14" s="52" t="s">
        <v>9</v>
      </c>
      <c r="C14" s="15" t="s">
        <v>77</v>
      </c>
      <c r="E14" s="56"/>
      <c r="F14" s="66"/>
      <c r="G14" s="68"/>
    </row>
    <row r="15" spans="1:11" x14ac:dyDescent="0.3">
      <c r="A15" s="52">
        <v>19</v>
      </c>
      <c r="B15" s="52" t="s">
        <v>13</v>
      </c>
      <c r="C15" s="15" t="s">
        <v>78</v>
      </c>
      <c r="E15" s="56"/>
      <c r="F15" s="66"/>
      <c r="G15" s="68"/>
    </row>
    <row r="16" spans="1:11" x14ac:dyDescent="0.3">
      <c r="A16" s="52">
        <v>20</v>
      </c>
      <c r="B16" s="52" t="s">
        <v>12</v>
      </c>
      <c r="C16" s="15" t="s">
        <v>79</v>
      </c>
      <c r="E16" s="56"/>
      <c r="F16" s="66"/>
      <c r="G16" s="68"/>
    </row>
    <row r="17" spans="1:7" x14ac:dyDescent="0.3">
      <c r="A17" s="52">
        <v>21</v>
      </c>
      <c r="B17" s="52" t="s">
        <v>14</v>
      </c>
      <c r="C17" s="15" t="s">
        <v>80</v>
      </c>
      <c r="E17" s="56"/>
      <c r="F17" s="66"/>
      <c r="G17" s="68"/>
    </row>
    <row r="18" spans="1:7" x14ac:dyDescent="0.3">
      <c r="A18" s="52">
        <v>22</v>
      </c>
      <c r="B18" s="52" t="s">
        <v>7</v>
      </c>
      <c r="C18" s="15" t="s">
        <v>81</v>
      </c>
      <c r="E18" s="56"/>
      <c r="F18" s="66"/>
      <c r="G18" s="68"/>
    </row>
    <row r="19" spans="1:7" x14ac:dyDescent="0.3">
      <c r="A19" s="52">
        <v>23</v>
      </c>
      <c r="B19" s="52" t="s">
        <v>8</v>
      </c>
      <c r="C19" s="15" t="s">
        <v>82</v>
      </c>
      <c r="E19" s="56"/>
      <c r="F19" s="66"/>
      <c r="G19" s="68"/>
    </row>
    <row r="20" spans="1:7" x14ac:dyDescent="0.3">
      <c r="A20" s="52">
        <v>24</v>
      </c>
      <c r="B20" s="52" t="s">
        <v>27</v>
      </c>
      <c r="C20" s="15" t="s">
        <v>83</v>
      </c>
      <c r="E20" s="56"/>
      <c r="F20" s="66"/>
      <c r="G20" s="68"/>
    </row>
    <row r="21" spans="1:7" x14ac:dyDescent="0.3">
      <c r="A21" s="52">
        <v>26</v>
      </c>
      <c r="B21" s="52" t="s">
        <v>29</v>
      </c>
      <c r="C21" s="15" t="s">
        <v>85</v>
      </c>
      <c r="E21" s="56"/>
      <c r="F21" s="66"/>
      <c r="G21" s="68"/>
    </row>
    <row r="22" spans="1:7" x14ac:dyDescent="0.3">
      <c r="A22" s="52">
        <v>29</v>
      </c>
      <c r="B22" s="52" t="s">
        <v>38</v>
      </c>
      <c r="C22" s="15" t="s">
        <v>88</v>
      </c>
      <c r="E22" s="56"/>
      <c r="F22" s="66"/>
      <c r="G22" s="68"/>
    </row>
    <row r="23" spans="1:7" x14ac:dyDescent="0.3">
      <c r="A23" s="52">
        <v>30</v>
      </c>
      <c r="B23" s="52" t="s">
        <v>39</v>
      </c>
      <c r="C23" s="15" t="s">
        <v>89</v>
      </c>
      <c r="E23" s="56"/>
      <c r="F23" s="66"/>
      <c r="G23" s="68"/>
    </row>
    <row r="24" spans="1:7" x14ac:dyDescent="0.3">
      <c r="A24" s="52">
        <v>31</v>
      </c>
      <c r="B24" s="52" t="s">
        <v>67</v>
      </c>
      <c r="C24" s="15" t="s">
        <v>90</v>
      </c>
      <c r="E24" s="56"/>
      <c r="F24" s="66"/>
      <c r="G24" s="68"/>
    </row>
    <row r="25" spans="1:7" x14ac:dyDescent="0.3">
      <c r="A25" s="52">
        <v>32</v>
      </c>
      <c r="B25" s="52" t="s">
        <v>40</v>
      </c>
      <c r="C25" s="15" t="s">
        <v>91</v>
      </c>
      <c r="E25" s="56"/>
      <c r="F25" s="66"/>
      <c r="G25" s="68"/>
    </row>
    <row r="26" spans="1:7" x14ac:dyDescent="0.3">
      <c r="A26" s="52">
        <v>33</v>
      </c>
      <c r="B26" s="52" t="s">
        <v>41</v>
      </c>
      <c r="C26" s="15" t="s">
        <v>92</v>
      </c>
      <c r="E26" s="56"/>
      <c r="F26" s="66"/>
      <c r="G26" s="68"/>
    </row>
    <row r="27" spans="1:7" x14ac:dyDescent="0.3">
      <c r="A27" s="52">
        <v>34</v>
      </c>
      <c r="B27" s="52" t="s">
        <v>42</v>
      </c>
      <c r="C27" s="15" t="s">
        <v>93</v>
      </c>
      <c r="E27" s="56"/>
      <c r="F27" s="66"/>
      <c r="G27" s="68"/>
    </row>
    <row r="28" spans="1:7" x14ac:dyDescent="0.3">
      <c r="A28" s="52">
        <v>35</v>
      </c>
      <c r="B28" s="52" t="s">
        <v>43</v>
      </c>
      <c r="C28" s="15" t="s">
        <v>94</v>
      </c>
      <c r="E28" s="56"/>
      <c r="F28" s="66"/>
      <c r="G28" s="68"/>
    </row>
    <row r="29" spans="1:7" x14ac:dyDescent="0.3">
      <c r="A29" s="52">
        <v>37</v>
      </c>
      <c r="B29" s="52" t="s">
        <v>49</v>
      </c>
      <c r="C29" s="15" t="s">
        <v>96</v>
      </c>
      <c r="E29" s="56"/>
      <c r="F29" s="66"/>
      <c r="G29" s="68"/>
    </row>
    <row r="30" spans="1:7" x14ac:dyDescent="0.3">
      <c r="A30" s="52">
        <v>38</v>
      </c>
      <c r="B30" s="52" t="s">
        <v>45</v>
      </c>
      <c r="C30" s="15" t="s">
        <v>97</v>
      </c>
      <c r="E30" s="56"/>
      <c r="F30" s="66"/>
      <c r="G30" s="68"/>
    </row>
    <row r="31" spans="1:7" x14ac:dyDescent="0.3">
      <c r="A31" s="52">
        <v>40</v>
      </c>
      <c r="B31" s="52" t="s">
        <v>47</v>
      </c>
      <c r="C31" s="15" t="s">
        <v>99</v>
      </c>
      <c r="E31" s="56"/>
      <c r="F31" s="66"/>
      <c r="G31" s="68"/>
    </row>
    <row r="32" spans="1:7" x14ac:dyDescent="0.3">
      <c r="A32" s="52">
        <v>41</v>
      </c>
      <c r="B32" s="52" t="s">
        <v>37</v>
      </c>
      <c r="C32" s="15" t="s">
        <v>100</v>
      </c>
      <c r="E32" s="56"/>
      <c r="F32" s="66"/>
      <c r="G32" s="68"/>
    </row>
    <row r="33" spans="1:7" x14ac:dyDescent="0.3">
      <c r="A33" s="52">
        <v>42</v>
      </c>
      <c r="B33" s="52" t="s">
        <v>50</v>
      </c>
      <c r="C33" s="15" t="s">
        <v>101</v>
      </c>
      <c r="E33" s="56"/>
      <c r="F33" s="66"/>
      <c r="G33" s="68"/>
    </row>
    <row r="34" spans="1:7" x14ac:dyDescent="0.3">
      <c r="A34" s="52">
        <v>43</v>
      </c>
      <c r="B34" s="52" t="s">
        <v>36</v>
      </c>
      <c r="C34" s="15" t="s">
        <v>102</v>
      </c>
      <c r="E34" s="56"/>
      <c r="F34" s="66"/>
      <c r="G34" s="68"/>
    </row>
    <row r="35" spans="1:7" x14ac:dyDescent="0.3">
      <c r="A35" s="52">
        <v>46</v>
      </c>
      <c r="B35" s="52" t="s">
        <v>46</v>
      </c>
      <c r="C35" s="15" t="s">
        <v>105</v>
      </c>
      <c r="E35" s="56"/>
      <c r="F35" s="66"/>
      <c r="G35" s="68"/>
    </row>
    <row r="36" spans="1:7" x14ac:dyDescent="0.3">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Admin</cp:lastModifiedBy>
  <cp:lastPrinted>2022-01-17T14:30:59Z</cp:lastPrinted>
  <dcterms:created xsi:type="dcterms:W3CDTF">2021-12-17T01:18:08Z</dcterms:created>
  <dcterms:modified xsi:type="dcterms:W3CDTF">2022-02-23T05:02:35Z</dcterms:modified>
</cp:coreProperties>
</file>