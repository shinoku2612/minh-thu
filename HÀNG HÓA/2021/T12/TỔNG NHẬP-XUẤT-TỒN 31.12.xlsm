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21)" sheetId="141" r:id="rId11"/>
    <sheet name="Thanh Toán (20)" sheetId="140" r:id="rId12"/>
    <sheet name="Thanh Toán (19)" sheetId="139" r:id="rId13"/>
    <sheet name="Thanh Toán (18)" sheetId="138" r:id="rId14"/>
    <sheet name="Thanh Toán (17)" sheetId="137" r:id="rId15"/>
    <sheet name="Thanh Toán (16)" sheetId="136" r:id="rId16"/>
    <sheet name="Thanh Toán (15)" sheetId="135" r:id="rId17"/>
    <sheet name="Thanh Toán (14)" sheetId="134" r:id="rId18"/>
    <sheet name="Thanh Toán (13)" sheetId="133" r:id="rId19"/>
    <sheet name="Thanh Toán (12)" sheetId="132" r:id="rId20"/>
    <sheet name="Thanh Toán (11)" sheetId="131" r:id="rId21"/>
    <sheet name="Thanh Toán (10)" sheetId="130" r:id="rId22"/>
    <sheet name="Thanh Toán (9)" sheetId="129" r:id="rId23"/>
    <sheet name="Thanh Toán (8)" sheetId="128" r:id="rId24"/>
    <sheet name="Thanh Toán (7)" sheetId="127" r:id="rId25"/>
    <sheet name="Thanh Toán (6)" sheetId="126" r:id="rId26"/>
    <sheet name="Thanh Toán (5)" sheetId="125" r:id="rId27"/>
    <sheet name="Thanh Toán (4)" sheetId="123" r:id="rId28"/>
    <sheet name="Thanh Toán (3)" sheetId="122" r:id="rId29"/>
    <sheet name="Thanh Toán (2)" sheetId="121" r:id="rId30"/>
    <sheet name="DS KHÁCH HÀNG KM (2)" sheetId="76" state="hidden" r:id="rId31"/>
  </sheets>
  <definedNames>
    <definedName name="_xlnm._FilterDatabase" localSheetId="30"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32"/>
  </pivotCaches>
  <extLst>
    <ext xmlns:x14="http://schemas.microsoft.com/office/spreadsheetml/2009/9/main" uri="{BBE1A952-AA13-448e-AADC-164F8A28A991}">
      <x14:slicerCaches>
        <x14:slicerCache r:id="rId33"/>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41" l="1"/>
  <c r="C31" i="141"/>
  <c r="B31" i="141"/>
  <c r="H30" i="141"/>
  <c r="C30" i="141"/>
  <c r="B30" i="141"/>
  <c r="H29" i="141"/>
  <c r="C29" i="141"/>
  <c r="B29" i="141"/>
  <c r="H28" i="141"/>
  <c r="C28" i="141"/>
  <c r="B28" i="141"/>
  <c r="H27" i="141"/>
  <c r="C27" i="141"/>
  <c r="B27" i="141"/>
  <c r="H26" i="141"/>
  <c r="C26" i="141"/>
  <c r="B26" i="141"/>
  <c r="H25" i="141"/>
  <c r="C25" i="141"/>
  <c r="B25" i="141"/>
  <c r="H24" i="141"/>
  <c r="C24" i="141"/>
  <c r="B24" i="141"/>
  <c r="H23" i="141"/>
  <c r="C23" i="141"/>
  <c r="B23" i="141"/>
  <c r="H22" i="141"/>
  <c r="C22" i="141"/>
  <c r="B22" i="141"/>
  <c r="H21" i="141"/>
  <c r="C21" i="141"/>
  <c r="B21" i="141"/>
  <c r="K20" i="141"/>
  <c r="C20" i="141"/>
  <c r="H20" i="141" s="1"/>
  <c r="B20" i="141"/>
  <c r="K19" i="141"/>
  <c r="H19" i="141"/>
  <c r="C19" i="141"/>
  <c r="B19" i="141"/>
  <c r="K18" i="141"/>
  <c r="C18" i="141"/>
  <c r="H18" i="141" s="1"/>
  <c r="B18" i="141"/>
  <c r="K17" i="141"/>
  <c r="H17" i="141"/>
  <c r="C17" i="141"/>
  <c r="B17" i="141"/>
  <c r="K16" i="141"/>
  <c r="C16" i="141"/>
  <c r="H16" i="141" s="1"/>
  <c r="B16" i="141"/>
  <c r="K15" i="141"/>
  <c r="H15" i="141"/>
  <c r="C15" i="141"/>
  <c r="B15" i="141"/>
  <c r="K14" i="141"/>
  <c r="C14" i="141"/>
  <c r="H14" i="141" s="1"/>
  <c r="B14" i="141"/>
  <c r="K13" i="141"/>
  <c r="H13" i="141"/>
  <c r="C13" i="141"/>
  <c r="B13" i="141"/>
  <c r="K12" i="141"/>
  <c r="C12" i="141"/>
  <c r="H12" i="141" s="1"/>
  <c r="B12" i="141"/>
  <c r="K11" i="141"/>
  <c r="H11" i="141"/>
  <c r="C11" i="141"/>
  <c r="B11" i="141"/>
  <c r="K10" i="141"/>
  <c r="C10" i="141"/>
  <c r="H10" i="141" s="1"/>
  <c r="B10" i="141"/>
  <c r="K9" i="141"/>
  <c r="H9" i="141"/>
  <c r="C9" i="141"/>
  <c r="B9" i="141"/>
  <c r="K8" i="141"/>
  <c r="C8" i="141"/>
  <c r="H8" i="141" s="1"/>
  <c r="B8" i="141"/>
  <c r="K7" i="141"/>
  <c r="H7" i="141"/>
  <c r="C7" i="141"/>
  <c r="B7" i="141"/>
  <c r="K6" i="141"/>
  <c r="C6" i="141"/>
  <c r="H6" i="141" s="1"/>
  <c r="B6" i="141"/>
  <c r="K5" i="141"/>
  <c r="H5" i="141"/>
  <c r="C5" i="141"/>
  <c r="B5" i="141"/>
  <c r="K4" i="141"/>
  <c r="C4" i="141"/>
  <c r="H4" i="141" s="1"/>
  <c r="I1" i="141" s="1"/>
  <c r="B4" i="141"/>
  <c r="K3" i="141"/>
  <c r="H3" i="141"/>
  <c r="C3" i="141"/>
  <c r="B3" i="141"/>
  <c r="K2" i="141"/>
  <c r="I2" i="141" s="1"/>
  <c r="H2" i="141"/>
  <c r="F2" i="141"/>
  <c r="G2" i="141" s="1"/>
  <c r="C2" i="141"/>
  <c r="B2" i="141"/>
  <c r="A2" i="141"/>
  <c r="H31" i="140"/>
  <c r="C31" i="140"/>
  <c r="B31" i="140"/>
  <c r="H30" i="140"/>
  <c r="C30" i="140"/>
  <c r="B30" i="140"/>
  <c r="H29" i="140"/>
  <c r="C29" i="140"/>
  <c r="B29" i="140"/>
  <c r="H28" i="140"/>
  <c r="C28" i="140"/>
  <c r="B28" i="140"/>
  <c r="H27" i="140"/>
  <c r="C27" i="140"/>
  <c r="B27" i="140"/>
  <c r="H26" i="140"/>
  <c r="C26" i="140"/>
  <c r="B26" i="140"/>
  <c r="H25" i="140"/>
  <c r="C25" i="140"/>
  <c r="B25" i="140"/>
  <c r="H24" i="140"/>
  <c r="C24" i="140"/>
  <c r="B24" i="140"/>
  <c r="H23" i="140"/>
  <c r="C23" i="140"/>
  <c r="B23" i="140"/>
  <c r="H22" i="140"/>
  <c r="C22" i="140"/>
  <c r="B22" i="140"/>
  <c r="H21" i="140"/>
  <c r="C21" i="140"/>
  <c r="B21" i="140"/>
  <c r="K20" i="140"/>
  <c r="C20" i="140"/>
  <c r="H20" i="140" s="1"/>
  <c r="B20" i="140"/>
  <c r="K19" i="140"/>
  <c r="H19" i="140"/>
  <c r="C19" i="140"/>
  <c r="B19" i="140"/>
  <c r="K18" i="140"/>
  <c r="C18" i="140"/>
  <c r="H18" i="140" s="1"/>
  <c r="B18" i="140"/>
  <c r="K17" i="140"/>
  <c r="H17" i="140"/>
  <c r="C17" i="140"/>
  <c r="B17" i="140"/>
  <c r="K16" i="140"/>
  <c r="C16" i="140"/>
  <c r="H16" i="140" s="1"/>
  <c r="B16" i="140"/>
  <c r="K15" i="140"/>
  <c r="H15" i="140"/>
  <c r="C15" i="140"/>
  <c r="B15" i="140"/>
  <c r="K14" i="140"/>
  <c r="C14" i="140"/>
  <c r="H14" i="140" s="1"/>
  <c r="B14" i="140"/>
  <c r="K13" i="140"/>
  <c r="H13" i="140"/>
  <c r="C13" i="140"/>
  <c r="B13" i="140"/>
  <c r="K12" i="140"/>
  <c r="C12" i="140"/>
  <c r="H12" i="140" s="1"/>
  <c r="B12" i="140"/>
  <c r="K11" i="140"/>
  <c r="H11" i="140"/>
  <c r="C11" i="140"/>
  <c r="B11" i="140"/>
  <c r="K10" i="140"/>
  <c r="C10" i="140"/>
  <c r="H10" i="140" s="1"/>
  <c r="B10" i="140"/>
  <c r="K9" i="140"/>
  <c r="H9" i="140"/>
  <c r="C9" i="140"/>
  <c r="B9" i="140"/>
  <c r="K8" i="140"/>
  <c r="C8" i="140"/>
  <c r="H8" i="140" s="1"/>
  <c r="B8" i="140"/>
  <c r="K7" i="140"/>
  <c r="H7" i="140"/>
  <c r="C7" i="140"/>
  <c r="B7" i="140"/>
  <c r="K6" i="140"/>
  <c r="C6" i="140"/>
  <c r="H6" i="140" s="1"/>
  <c r="B6" i="140"/>
  <c r="K5" i="140"/>
  <c r="H5" i="140"/>
  <c r="C5" i="140"/>
  <c r="B5" i="140"/>
  <c r="K4" i="140"/>
  <c r="C4" i="140"/>
  <c r="H4" i="140" s="1"/>
  <c r="I1" i="140" s="1"/>
  <c r="B4" i="140"/>
  <c r="K3" i="140"/>
  <c r="H3" i="140"/>
  <c r="C3" i="140"/>
  <c r="B3" i="140"/>
  <c r="K2" i="140"/>
  <c r="I2" i="140" s="1"/>
  <c r="H2" i="140"/>
  <c r="F2" i="140"/>
  <c r="G2" i="140" s="1"/>
  <c r="C2" i="140"/>
  <c r="B2" i="140"/>
  <c r="A2" i="140"/>
  <c r="H31" i="139"/>
  <c r="C31" i="139"/>
  <c r="B31" i="139"/>
  <c r="H30" i="139"/>
  <c r="C30" i="139"/>
  <c r="B30" i="139"/>
  <c r="H29" i="139"/>
  <c r="C29" i="139"/>
  <c r="B29" i="139"/>
  <c r="H28" i="139"/>
  <c r="C28" i="139"/>
  <c r="B28" i="139"/>
  <c r="H27" i="139"/>
  <c r="C27" i="139"/>
  <c r="B27" i="139"/>
  <c r="H26" i="139"/>
  <c r="C26" i="139"/>
  <c r="B26" i="139"/>
  <c r="H25" i="139"/>
  <c r="C25" i="139"/>
  <c r="B25" i="139"/>
  <c r="H24" i="139"/>
  <c r="C24" i="139"/>
  <c r="B24" i="139"/>
  <c r="H23" i="139"/>
  <c r="C23" i="139"/>
  <c r="B23" i="139"/>
  <c r="H22" i="139"/>
  <c r="C22" i="139"/>
  <c r="B22" i="139"/>
  <c r="H21" i="139"/>
  <c r="C21" i="139"/>
  <c r="B21" i="139"/>
  <c r="K20" i="139"/>
  <c r="C20" i="139"/>
  <c r="H20" i="139" s="1"/>
  <c r="B20" i="139"/>
  <c r="K19" i="139"/>
  <c r="H19" i="139"/>
  <c r="C19" i="139"/>
  <c r="B19" i="139"/>
  <c r="K18" i="139"/>
  <c r="C18" i="139"/>
  <c r="H18" i="139" s="1"/>
  <c r="B18" i="139"/>
  <c r="K17" i="139"/>
  <c r="H17" i="139"/>
  <c r="C17" i="139"/>
  <c r="B17" i="139"/>
  <c r="K16" i="139"/>
  <c r="C16" i="139"/>
  <c r="H16" i="139" s="1"/>
  <c r="B16" i="139"/>
  <c r="K15" i="139"/>
  <c r="H15" i="139"/>
  <c r="C15" i="139"/>
  <c r="B15" i="139"/>
  <c r="K14" i="139"/>
  <c r="C14" i="139"/>
  <c r="H14" i="139" s="1"/>
  <c r="B14" i="139"/>
  <c r="K13" i="139"/>
  <c r="H13" i="139"/>
  <c r="C13" i="139"/>
  <c r="B13" i="139"/>
  <c r="K12" i="139"/>
  <c r="C12" i="139"/>
  <c r="H12" i="139" s="1"/>
  <c r="B12" i="139"/>
  <c r="K11" i="139"/>
  <c r="H11" i="139"/>
  <c r="C11" i="139"/>
  <c r="B11" i="139"/>
  <c r="K10" i="139"/>
  <c r="C10" i="139"/>
  <c r="H10" i="139" s="1"/>
  <c r="B10" i="139"/>
  <c r="K9" i="139"/>
  <c r="H9" i="139"/>
  <c r="C9" i="139"/>
  <c r="B9" i="139"/>
  <c r="K8" i="139"/>
  <c r="C8" i="139"/>
  <c r="H8" i="139" s="1"/>
  <c r="B8" i="139"/>
  <c r="K7" i="139"/>
  <c r="H7" i="139"/>
  <c r="C7" i="139"/>
  <c r="B7" i="139"/>
  <c r="K6" i="139"/>
  <c r="C6" i="139"/>
  <c r="H6" i="139" s="1"/>
  <c r="B6" i="139"/>
  <c r="K5" i="139"/>
  <c r="H5" i="139"/>
  <c r="C5" i="139"/>
  <c r="B5" i="139"/>
  <c r="K4" i="139"/>
  <c r="C4" i="139"/>
  <c r="H4" i="139" s="1"/>
  <c r="I1" i="139" s="1"/>
  <c r="B4" i="139"/>
  <c r="K3" i="139"/>
  <c r="H3" i="139"/>
  <c r="C3" i="139"/>
  <c r="B3" i="139"/>
  <c r="K2" i="139"/>
  <c r="I2" i="139" s="1"/>
  <c r="H2" i="139"/>
  <c r="F2" i="139"/>
  <c r="G2" i="139" s="1"/>
  <c r="C2" i="139"/>
  <c r="B2" i="139"/>
  <c r="A2" i="139"/>
  <c r="I2" i="95"/>
  <c r="H31" i="138"/>
  <c r="C31" i="138"/>
  <c r="B31" i="138"/>
  <c r="H30" i="138"/>
  <c r="C30" i="138"/>
  <c r="B30" i="138"/>
  <c r="H29" i="138"/>
  <c r="C29" i="138"/>
  <c r="B29" i="138"/>
  <c r="H28" i="138"/>
  <c r="C28" i="138"/>
  <c r="B28" i="138"/>
  <c r="H27" i="138"/>
  <c r="C27" i="138"/>
  <c r="B27" i="138"/>
  <c r="H26" i="138"/>
  <c r="C26" i="138"/>
  <c r="B26" i="138"/>
  <c r="H25" i="138"/>
  <c r="C25" i="138"/>
  <c r="B25" i="138"/>
  <c r="H24" i="138"/>
  <c r="C24" i="138"/>
  <c r="B24" i="138"/>
  <c r="H23" i="138"/>
  <c r="C23" i="138"/>
  <c r="B23" i="138"/>
  <c r="H22" i="138"/>
  <c r="C22" i="138"/>
  <c r="B22" i="138"/>
  <c r="H21" i="138"/>
  <c r="C21" i="138"/>
  <c r="B21" i="138"/>
  <c r="K20" i="138"/>
  <c r="C20" i="138"/>
  <c r="H20" i="138" s="1"/>
  <c r="B20" i="138"/>
  <c r="K19" i="138"/>
  <c r="H19" i="138"/>
  <c r="C19" i="138"/>
  <c r="B19" i="138"/>
  <c r="K18" i="138"/>
  <c r="C18" i="138"/>
  <c r="H18" i="138" s="1"/>
  <c r="B18" i="138"/>
  <c r="K17" i="138"/>
  <c r="H17" i="138"/>
  <c r="C17" i="138"/>
  <c r="B17" i="138"/>
  <c r="K16" i="138"/>
  <c r="C16" i="138"/>
  <c r="H16" i="138" s="1"/>
  <c r="B16" i="138"/>
  <c r="K15" i="138"/>
  <c r="H15" i="138"/>
  <c r="C15" i="138"/>
  <c r="B15" i="138"/>
  <c r="K14" i="138"/>
  <c r="C14" i="138"/>
  <c r="H14" i="138" s="1"/>
  <c r="B14" i="138"/>
  <c r="K13" i="138"/>
  <c r="H13" i="138"/>
  <c r="C13" i="138"/>
  <c r="B13" i="138"/>
  <c r="K12" i="138"/>
  <c r="C12" i="138"/>
  <c r="H12" i="138" s="1"/>
  <c r="B12" i="138"/>
  <c r="K11" i="138"/>
  <c r="I2" i="138" s="1"/>
  <c r="C11" i="138"/>
  <c r="H11" i="138" s="1"/>
  <c r="B11" i="138"/>
  <c r="K10" i="138"/>
  <c r="H10" i="138"/>
  <c r="C10" i="138"/>
  <c r="B10" i="138"/>
  <c r="K9" i="138"/>
  <c r="H9" i="138"/>
  <c r="C9" i="138"/>
  <c r="B9" i="138"/>
  <c r="K8" i="138"/>
  <c r="C8" i="138"/>
  <c r="H8" i="138" s="1"/>
  <c r="B8" i="138"/>
  <c r="K7" i="138"/>
  <c r="C7" i="138"/>
  <c r="H7" i="138" s="1"/>
  <c r="B7" i="138"/>
  <c r="K6" i="138"/>
  <c r="H6" i="138"/>
  <c r="C6" i="138"/>
  <c r="B6" i="138"/>
  <c r="K5" i="138"/>
  <c r="H5" i="138"/>
  <c r="C5" i="138"/>
  <c r="B5" i="138"/>
  <c r="K4" i="138"/>
  <c r="C4" i="138"/>
  <c r="H4" i="138" s="1"/>
  <c r="B4" i="138"/>
  <c r="K3" i="138"/>
  <c r="C3" i="138"/>
  <c r="H3" i="138" s="1"/>
  <c r="B3" i="138"/>
  <c r="K2" i="138"/>
  <c r="F2" i="138"/>
  <c r="G2" i="138" s="1"/>
  <c r="C2" i="138"/>
  <c r="H2" i="138" s="1"/>
  <c r="B2" i="138"/>
  <c r="A2" i="138"/>
  <c r="H31" i="137"/>
  <c r="C31" i="137"/>
  <c r="B31" i="137"/>
  <c r="H30" i="137"/>
  <c r="C30" i="137"/>
  <c r="B30" i="137"/>
  <c r="H29" i="137"/>
  <c r="C29" i="137"/>
  <c r="B29" i="137"/>
  <c r="H28" i="137"/>
  <c r="C28" i="137"/>
  <c r="B28" i="137"/>
  <c r="H27" i="137"/>
  <c r="C27" i="137"/>
  <c r="B27" i="137"/>
  <c r="H26" i="137"/>
  <c r="C26" i="137"/>
  <c r="B26" i="137"/>
  <c r="H25" i="137"/>
  <c r="C25" i="137"/>
  <c r="B25" i="137"/>
  <c r="H24" i="137"/>
  <c r="C24" i="137"/>
  <c r="B24" i="137"/>
  <c r="H23" i="137"/>
  <c r="C23" i="137"/>
  <c r="B23" i="137"/>
  <c r="H22" i="137"/>
  <c r="C22" i="137"/>
  <c r="B22" i="137"/>
  <c r="H21" i="137"/>
  <c r="C21" i="137"/>
  <c r="B21" i="137"/>
  <c r="K20" i="137"/>
  <c r="C20" i="137"/>
  <c r="H20" i="137" s="1"/>
  <c r="B20" i="137"/>
  <c r="K19" i="137"/>
  <c r="H19" i="137"/>
  <c r="C19" i="137"/>
  <c r="B19" i="137"/>
  <c r="K18" i="137"/>
  <c r="C18" i="137"/>
  <c r="H18" i="137" s="1"/>
  <c r="B18" i="137"/>
  <c r="K17" i="137"/>
  <c r="H17" i="137"/>
  <c r="C17" i="137"/>
  <c r="B17" i="137"/>
  <c r="K16" i="137"/>
  <c r="C16" i="137"/>
  <c r="H16" i="137" s="1"/>
  <c r="B16" i="137"/>
  <c r="K15" i="137"/>
  <c r="H15" i="137"/>
  <c r="C15" i="137"/>
  <c r="B15" i="137"/>
  <c r="K14" i="137"/>
  <c r="C14" i="137"/>
  <c r="H14" i="137" s="1"/>
  <c r="B14" i="137"/>
  <c r="K13" i="137"/>
  <c r="H13" i="137"/>
  <c r="C13" i="137"/>
  <c r="B13" i="137"/>
  <c r="K12" i="137"/>
  <c r="C12" i="137"/>
  <c r="H12" i="137" s="1"/>
  <c r="B12" i="137"/>
  <c r="K11" i="137"/>
  <c r="H11" i="137"/>
  <c r="C11" i="137"/>
  <c r="B11" i="137"/>
  <c r="K10" i="137"/>
  <c r="C10" i="137"/>
  <c r="H10" i="137" s="1"/>
  <c r="B10" i="137"/>
  <c r="K9" i="137"/>
  <c r="H9" i="137"/>
  <c r="C9" i="137"/>
  <c r="B9" i="137"/>
  <c r="K8" i="137"/>
  <c r="C8" i="137"/>
  <c r="H8" i="137" s="1"/>
  <c r="B8" i="137"/>
  <c r="K7" i="137"/>
  <c r="H7" i="137"/>
  <c r="C7" i="137"/>
  <c r="B7" i="137"/>
  <c r="K6" i="137"/>
  <c r="C6" i="137"/>
  <c r="H6" i="137" s="1"/>
  <c r="B6" i="137"/>
  <c r="K5" i="137"/>
  <c r="H5" i="137"/>
  <c r="C5" i="137"/>
  <c r="B5" i="137"/>
  <c r="K4" i="137"/>
  <c r="C4" i="137"/>
  <c r="H4" i="137" s="1"/>
  <c r="B4" i="137"/>
  <c r="K3" i="137"/>
  <c r="H3" i="137"/>
  <c r="C3" i="137"/>
  <c r="B3" i="137"/>
  <c r="K2" i="137"/>
  <c r="I2" i="137" s="1"/>
  <c r="H2" i="137"/>
  <c r="I1" i="137" s="1"/>
  <c r="F2" i="137"/>
  <c r="G2" i="137" s="1"/>
  <c r="C2" i="137"/>
  <c r="B2" i="137"/>
  <c r="A2" i="137"/>
  <c r="H31" i="136"/>
  <c r="C31" i="136"/>
  <c r="B31" i="136"/>
  <c r="H30" i="136"/>
  <c r="C30" i="136"/>
  <c r="B30" i="136"/>
  <c r="H29" i="136"/>
  <c r="C29" i="136"/>
  <c r="B29" i="136"/>
  <c r="H28" i="136"/>
  <c r="C28" i="136"/>
  <c r="B28" i="136"/>
  <c r="H27" i="136"/>
  <c r="C27" i="136"/>
  <c r="B27" i="136"/>
  <c r="H26" i="136"/>
  <c r="C26" i="136"/>
  <c r="B26" i="136"/>
  <c r="H25" i="136"/>
  <c r="C25" i="136"/>
  <c r="B25" i="136"/>
  <c r="H24" i="136"/>
  <c r="C24" i="136"/>
  <c r="B24" i="136"/>
  <c r="H23" i="136"/>
  <c r="C23" i="136"/>
  <c r="B23" i="136"/>
  <c r="H22" i="136"/>
  <c r="C22" i="136"/>
  <c r="B22" i="136"/>
  <c r="H21" i="136"/>
  <c r="C21" i="136"/>
  <c r="B21" i="136"/>
  <c r="K20" i="136"/>
  <c r="C20" i="136"/>
  <c r="H20" i="136" s="1"/>
  <c r="B20" i="136"/>
  <c r="K19" i="136"/>
  <c r="H19" i="136"/>
  <c r="C19" i="136"/>
  <c r="B19" i="136"/>
  <c r="K18" i="136"/>
  <c r="C18" i="136"/>
  <c r="H18" i="136" s="1"/>
  <c r="B18" i="136"/>
  <c r="K17" i="136"/>
  <c r="H17" i="136"/>
  <c r="C17" i="136"/>
  <c r="B17" i="136"/>
  <c r="K16" i="136"/>
  <c r="C16" i="136"/>
  <c r="H16" i="136" s="1"/>
  <c r="B16" i="136"/>
  <c r="K15" i="136"/>
  <c r="H15" i="136"/>
  <c r="C15" i="136"/>
  <c r="B15" i="136"/>
  <c r="K14" i="136"/>
  <c r="C14" i="136"/>
  <c r="H14" i="136" s="1"/>
  <c r="B14" i="136"/>
  <c r="K13" i="136"/>
  <c r="H13" i="136"/>
  <c r="C13" i="136"/>
  <c r="B13" i="136"/>
  <c r="K12" i="136"/>
  <c r="C12" i="136"/>
  <c r="H12" i="136" s="1"/>
  <c r="B12" i="136"/>
  <c r="K11" i="136"/>
  <c r="H11" i="136"/>
  <c r="C11" i="136"/>
  <c r="B11" i="136"/>
  <c r="K10" i="136"/>
  <c r="C10" i="136"/>
  <c r="H10" i="136" s="1"/>
  <c r="B10" i="136"/>
  <c r="K9" i="136"/>
  <c r="H9" i="136"/>
  <c r="C9" i="136"/>
  <c r="B9" i="136"/>
  <c r="K8" i="136"/>
  <c r="C8" i="136"/>
  <c r="H8" i="136" s="1"/>
  <c r="B8" i="136"/>
  <c r="K7" i="136"/>
  <c r="H7" i="136"/>
  <c r="C7" i="136"/>
  <c r="B7" i="136"/>
  <c r="K6" i="136"/>
  <c r="C6" i="136"/>
  <c r="H6" i="136" s="1"/>
  <c r="B6" i="136"/>
  <c r="K5" i="136"/>
  <c r="H5" i="136"/>
  <c r="C5" i="136"/>
  <c r="B5" i="136"/>
  <c r="K4" i="136"/>
  <c r="C4" i="136"/>
  <c r="H4" i="136" s="1"/>
  <c r="B4" i="136"/>
  <c r="K3" i="136"/>
  <c r="H3" i="136"/>
  <c r="C3" i="136"/>
  <c r="B3" i="136"/>
  <c r="K2" i="136"/>
  <c r="I2" i="136" s="1"/>
  <c r="H2" i="136"/>
  <c r="F2" i="136"/>
  <c r="G2" i="136" s="1"/>
  <c r="C2" i="136"/>
  <c r="B2" i="136"/>
  <c r="A2" i="136"/>
  <c r="C31" i="135"/>
  <c r="H31" i="135" s="1"/>
  <c r="B31" i="135"/>
  <c r="C30" i="135"/>
  <c r="H30" i="135" s="1"/>
  <c r="B30" i="135"/>
  <c r="C29" i="135"/>
  <c r="H29" i="135" s="1"/>
  <c r="B29" i="135"/>
  <c r="C28" i="135"/>
  <c r="H28" i="135" s="1"/>
  <c r="B28" i="135"/>
  <c r="C27" i="135"/>
  <c r="H27" i="135" s="1"/>
  <c r="B27" i="135"/>
  <c r="C26" i="135"/>
  <c r="H26" i="135" s="1"/>
  <c r="B26" i="135"/>
  <c r="C25" i="135"/>
  <c r="H25" i="135" s="1"/>
  <c r="B25" i="135"/>
  <c r="C24" i="135"/>
  <c r="H24" i="135" s="1"/>
  <c r="B24" i="135"/>
  <c r="C23" i="135"/>
  <c r="H23" i="135" s="1"/>
  <c r="B23" i="135"/>
  <c r="C22" i="135"/>
  <c r="H22" i="135" s="1"/>
  <c r="B22" i="135"/>
  <c r="C21" i="135"/>
  <c r="H21" i="135" s="1"/>
  <c r="B21" i="135"/>
  <c r="K20" i="135"/>
  <c r="H20" i="135"/>
  <c r="C20" i="135"/>
  <c r="B20" i="135"/>
  <c r="K19" i="135"/>
  <c r="C19" i="135"/>
  <c r="H19" i="135" s="1"/>
  <c r="B19" i="135"/>
  <c r="K18" i="135"/>
  <c r="H18" i="135"/>
  <c r="C18" i="135"/>
  <c r="B18" i="135"/>
  <c r="K17" i="135"/>
  <c r="C17" i="135"/>
  <c r="H17" i="135" s="1"/>
  <c r="B17" i="135"/>
  <c r="K16" i="135"/>
  <c r="H16" i="135"/>
  <c r="C16" i="135"/>
  <c r="B16" i="135"/>
  <c r="K15" i="135"/>
  <c r="C15" i="135"/>
  <c r="H15" i="135" s="1"/>
  <c r="B15" i="135"/>
  <c r="K14" i="135"/>
  <c r="H14" i="135"/>
  <c r="C14" i="135"/>
  <c r="B14" i="135"/>
  <c r="K13" i="135"/>
  <c r="C13" i="135"/>
  <c r="H13" i="135" s="1"/>
  <c r="B13" i="135"/>
  <c r="K12" i="135"/>
  <c r="H12" i="135"/>
  <c r="C12" i="135"/>
  <c r="B12" i="135"/>
  <c r="K11" i="135"/>
  <c r="C11" i="135"/>
  <c r="H11" i="135" s="1"/>
  <c r="B11" i="135"/>
  <c r="K10" i="135"/>
  <c r="H10" i="135"/>
  <c r="C10" i="135"/>
  <c r="B10" i="135"/>
  <c r="K9" i="135"/>
  <c r="C9" i="135"/>
  <c r="H9" i="135" s="1"/>
  <c r="B9" i="135"/>
  <c r="K8" i="135"/>
  <c r="H8" i="135"/>
  <c r="C8" i="135"/>
  <c r="B8" i="135"/>
  <c r="K7" i="135"/>
  <c r="C7" i="135"/>
  <c r="H7" i="135" s="1"/>
  <c r="B7" i="135"/>
  <c r="K6" i="135"/>
  <c r="H6" i="135"/>
  <c r="C6" i="135"/>
  <c r="B6" i="135"/>
  <c r="K5" i="135"/>
  <c r="C5" i="135"/>
  <c r="H5" i="135" s="1"/>
  <c r="B5" i="135"/>
  <c r="K4" i="135"/>
  <c r="H4" i="135"/>
  <c r="C4" i="135"/>
  <c r="B4" i="135"/>
  <c r="K3" i="135"/>
  <c r="C3" i="135"/>
  <c r="H3" i="135" s="1"/>
  <c r="B3" i="135"/>
  <c r="K2" i="135"/>
  <c r="I2" i="135"/>
  <c r="G2" i="135"/>
  <c r="F2" i="135"/>
  <c r="C2" i="135"/>
  <c r="H2" i="135" s="1"/>
  <c r="B2" i="135"/>
  <c r="A2" i="135"/>
  <c r="C31" i="134"/>
  <c r="H31" i="134" s="1"/>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C15" i="134"/>
  <c r="H15" i="134" s="1"/>
  <c r="B15" i="134"/>
  <c r="K14" i="134"/>
  <c r="H14" i="134"/>
  <c r="C14" i="134"/>
  <c r="B14" i="134"/>
  <c r="K13" i="134"/>
  <c r="H13" i="134"/>
  <c r="C13" i="134"/>
  <c r="B13" i="134"/>
  <c r="K12" i="134"/>
  <c r="C12" i="134"/>
  <c r="H12" i="134" s="1"/>
  <c r="B12" i="134"/>
  <c r="K11" i="134"/>
  <c r="C11" i="134"/>
  <c r="H11" i="134" s="1"/>
  <c r="B11" i="134"/>
  <c r="K10" i="134"/>
  <c r="H10" i="134"/>
  <c r="C10" i="134"/>
  <c r="B10" i="134"/>
  <c r="K9" i="134"/>
  <c r="C9" i="134"/>
  <c r="H9" i="134" s="1"/>
  <c r="B9" i="134"/>
  <c r="K8" i="134"/>
  <c r="C8" i="134"/>
  <c r="H8" i="134" s="1"/>
  <c r="B8" i="134"/>
  <c r="K7" i="134"/>
  <c r="C7" i="134"/>
  <c r="H7" i="134" s="1"/>
  <c r="B7" i="134"/>
  <c r="K6" i="134"/>
  <c r="H6" i="134"/>
  <c r="C6" i="134"/>
  <c r="B6" i="134"/>
  <c r="K5" i="134"/>
  <c r="C5" i="134"/>
  <c r="H5" i="134" s="1"/>
  <c r="B5" i="134"/>
  <c r="K4" i="134"/>
  <c r="H4" i="134"/>
  <c r="C4" i="134"/>
  <c r="B4" i="134"/>
  <c r="K3" i="134"/>
  <c r="C3" i="134"/>
  <c r="H3" i="134" s="1"/>
  <c r="B3" i="134"/>
  <c r="K2" i="134"/>
  <c r="I2" i="134"/>
  <c r="G2" i="134"/>
  <c r="F2" i="134"/>
  <c r="C2" i="134"/>
  <c r="H2" i="134" s="1"/>
  <c r="I1" i="134" s="1"/>
  <c r="B2" i="134"/>
  <c r="A2" i="134"/>
  <c r="AI3" i="1"/>
  <c r="AH3" i="1"/>
  <c r="C31" i="133"/>
  <c r="H31" i="133" s="1"/>
  <c r="B31" i="133"/>
  <c r="C30" i="133"/>
  <c r="H30" i="133" s="1"/>
  <c r="B30" i="133"/>
  <c r="C29" i="133"/>
  <c r="H29" i="133" s="1"/>
  <c r="B29" i="133"/>
  <c r="C28" i="133"/>
  <c r="H28" i="133" s="1"/>
  <c r="B28" i="133"/>
  <c r="C27" i="133"/>
  <c r="H27" i="133" s="1"/>
  <c r="B27" i="133"/>
  <c r="C26" i="133"/>
  <c r="H26" i="133" s="1"/>
  <c r="B26" i="133"/>
  <c r="C25" i="133"/>
  <c r="H25" i="133" s="1"/>
  <c r="B25" i="133"/>
  <c r="C24" i="133"/>
  <c r="H24" i="133" s="1"/>
  <c r="B24" i="133"/>
  <c r="C23" i="133"/>
  <c r="H23" i="133" s="1"/>
  <c r="B23" i="133"/>
  <c r="C22" i="133"/>
  <c r="H22" i="133" s="1"/>
  <c r="B22" i="133"/>
  <c r="C21" i="133"/>
  <c r="H21" i="133" s="1"/>
  <c r="B21" i="133"/>
  <c r="K20" i="133"/>
  <c r="H20" i="133"/>
  <c r="C20" i="133"/>
  <c r="B20" i="133"/>
  <c r="K19" i="133"/>
  <c r="C19" i="133"/>
  <c r="H19" i="133" s="1"/>
  <c r="B19" i="133"/>
  <c r="K18" i="133"/>
  <c r="H18" i="133"/>
  <c r="C18" i="133"/>
  <c r="B18" i="133"/>
  <c r="K17" i="133"/>
  <c r="C17" i="133"/>
  <c r="H17" i="133" s="1"/>
  <c r="B17" i="133"/>
  <c r="K16" i="133"/>
  <c r="H16" i="133"/>
  <c r="C16" i="133"/>
  <c r="B16" i="133"/>
  <c r="K15" i="133"/>
  <c r="C15" i="133"/>
  <c r="H15" i="133" s="1"/>
  <c r="B15" i="133"/>
  <c r="K14" i="133"/>
  <c r="H14" i="133"/>
  <c r="C14" i="133"/>
  <c r="B14" i="133"/>
  <c r="K13" i="133"/>
  <c r="C13" i="133"/>
  <c r="H13" i="133" s="1"/>
  <c r="B13" i="133"/>
  <c r="K12" i="133"/>
  <c r="H12" i="133"/>
  <c r="C12" i="133"/>
  <c r="B12" i="133"/>
  <c r="K11" i="133"/>
  <c r="C11" i="133"/>
  <c r="H11" i="133" s="1"/>
  <c r="B11" i="133"/>
  <c r="K10" i="133"/>
  <c r="H10" i="133"/>
  <c r="C10" i="133"/>
  <c r="B10" i="133"/>
  <c r="K9" i="133"/>
  <c r="C9" i="133"/>
  <c r="H9" i="133" s="1"/>
  <c r="B9" i="133"/>
  <c r="K8" i="133"/>
  <c r="H8" i="133"/>
  <c r="C8" i="133"/>
  <c r="B8" i="133"/>
  <c r="K7" i="133"/>
  <c r="C7" i="133"/>
  <c r="H7" i="133" s="1"/>
  <c r="B7" i="133"/>
  <c r="K6" i="133"/>
  <c r="H6" i="133"/>
  <c r="C6" i="133"/>
  <c r="B6" i="133"/>
  <c r="K5" i="133"/>
  <c r="C5" i="133"/>
  <c r="H5" i="133" s="1"/>
  <c r="B5" i="133"/>
  <c r="K4" i="133"/>
  <c r="H4" i="133"/>
  <c r="C4" i="133"/>
  <c r="B4" i="133"/>
  <c r="K3" i="133"/>
  <c r="C3" i="133"/>
  <c r="H3" i="133" s="1"/>
  <c r="B3" i="133"/>
  <c r="K2" i="133"/>
  <c r="I2" i="133"/>
  <c r="G2" i="133"/>
  <c r="F2" i="133"/>
  <c r="C2" i="133"/>
  <c r="H2" i="133" s="1"/>
  <c r="B2" i="133"/>
  <c r="A2" i="133"/>
  <c r="C31" i="132"/>
  <c r="H31" i="132" s="1"/>
  <c r="B31" i="132"/>
  <c r="H30" i="132"/>
  <c r="C30" i="132"/>
  <c r="B30" i="132"/>
  <c r="C29" i="132"/>
  <c r="H29" i="132" s="1"/>
  <c r="B29" i="132"/>
  <c r="H28" i="132"/>
  <c r="C28" i="132"/>
  <c r="B28" i="132"/>
  <c r="C27" i="132"/>
  <c r="H27" i="132" s="1"/>
  <c r="B27" i="132"/>
  <c r="H26" i="132"/>
  <c r="C26" i="132"/>
  <c r="B26" i="132"/>
  <c r="C25" i="132"/>
  <c r="H25" i="132" s="1"/>
  <c r="B25" i="132"/>
  <c r="H24" i="132"/>
  <c r="C24" i="132"/>
  <c r="B24" i="132"/>
  <c r="C23" i="132"/>
  <c r="H23" i="132" s="1"/>
  <c r="B23" i="132"/>
  <c r="H22" i="132"/>
  <c r="C22" i="132"/>
  <c r="B22" i="132"/>
  <c r="C21" i="132"/>
  <c r="H21" i="132" s="1"/>
  <c r="B21" i="132"/>
  <c r="K20" i="132"/>
  <c r="H20" i="132"/>
  <c r="C20" i="132"/>
  <c r="B20" i="132"/>
  <c r="K19" i="132"/>
  <c r="H19" i="132"/>
  <c r="C19" i="132"/>
  <c r="B19" i="132"/>
  <c r="K18" i="132"/>
  <c r="C18" i="132"/>
  <c r="H18" i="132" s="1"/>
  <c r="B18" i="132"/>
  <c r="K17" i="132"/>
  <c r="C17" i="132"/>
  <c r="H17" i="132" s="1"/>
  <c r="B17" i="132"/>
  <c r="K16" i="132"/>
  <c r="H16" i="132"/>
  <c r="C16" i="132"/>
  <c r="B16" i="132"/>
  <c r="K15" i="132"/>
  <c r="H15" i="132"/>
  <c r="C15" i="132"/>
  <c r="B15" i="132"/>
  <c r="K14" i="132"/>
  <c r="C14" i="132"/>
  <c r="H14" i="132" s="1"/>
  <c r="B14" i="132"/>
  <c r="K13" i="132"/>
  <c r="C13" i="132"/>
  <c r="H13" i="132" s="1"/>
  <c r="B13" i="132"/>
  <c r="K12" i="132"/>
  <c r="H12" i="132"/>
  <c r="C12" i="132"/>
  <c r="B12" i="132"/>
  <c r="K11" i="132"/>
  <c r="H11" i="132"/>
  <c r="C11" i="132"/>
  <c r="B11" i="132"/>
  <c r="K10" i="132"/>
  <c r="C10" i="132"/>
  <c r="H10" i="132" s="1"/>
  <c r="B10" i="132"/>
  <c r="K9" i="132"/>
  <c r="C9" i="132"/>
  <c r="H9" i="132" s="1"/>
  <c r="B9" i="132"/>
  <c r="K8" i="132"/>
  <c r="H8" i="132"/>
  <c r="C8" i="132"/>
  <c r="B8" i="132"/>
  <c r="K7" i="132"/>
  <c r="H7" i="132"/>
  <c r="C7" i="132"/>
  <c r="B7" i="132"/>
  <c r="K6" i="132"/>
  <c r="C6" i="132"/>
  <c r="H6" i="132" s="1"/>
  <c r="B6" i="132"/>
  <c r="K5" i="132"/>
  <c r="C5" i="132"/>
  <c r="H5" i="132" s="1"/>
  <c r="B5" i="132"/>
  <c r="K4" i="132"/>
  <c r="I2" i="132" s="1"/>
  <c r="H4" i="132"/>
  <c r="C4" i="132"/>
  <c r="B4" i="132"/>
  <c r="K3" i="132"/>
  <c r="H3" i="132"/>
  <c r="C3" i="132"/>
  <c r="B3" i="132"/>
  <c r="K2" i="132"/>
  <c r="H2" i="132"/>
  <c r="G2" i="132"/>
  <c r="F2" i="132"/>
  <c r="C2" i="132"/>
  <c r="B2" i="132"/>
  <c r="A2" i="132"/>
  <c r="H31" i="131"/>
  <c r="C31" i="13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K7" i="131"/>
  <c r="H7" i="131"/>
  <c r="C7" i="131"/>
  <c r="B7" i="131"/>
  <c r="K6" i="131"/>
  <c r="C6" i="131"/>
  <c r="H6" i="131" s="1"/>
  <c r="B6" i="131"/>
  <c r="K5" i="131"/>
  <c r="H5" i="131"/>
  <c r="C5" i="131"/>
  <c r="B5" i="131"/>
  <c r="K4" i="131"/>
  <c r="C4" i="131"/>
  <c r="H4" i="131" s="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K7" i="130"/>
  <c r="H7" i="130"/>
  <c r="C7" i="130"/>
  <c r="B7" i="130"/>
  <c r="K6" i="130"/>
  <c r="C6" i="130"/>
  <c r="H6" i="130" s="1"/>
  <c r="B6" i="130"/>
  <c r="K5" i="130"/>
  <c r="H5" i="130"/>
  <c r="C5" i="130"/>
  <c r="B5" i="130"/>
  <c r="K4" i="130"/>
  <c r="C4" i="130"/>
  <c r="H4" i="130" s="1"/>
  <c r="I1" i="130" s="1"/>
  <c r="B4" i="130"/>
  <c r="K3" i="130"/>
  <c r="H3" i="130"/>
  <c r="C3" i="130"/>
  <c r="B3" i="130"/>
  <c r="K2" i="130"/>
  <c r="I2" i="130" s="1"/>
  <c r="H2" i="130"/>
  <c r="F2" i="130"/>
  <c r="G2" i="130" s="1"/>
  <c r="C2" i="130"/>
  <c r="B2" i="130"/>
  <c r="A2"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K7" i="129"/>
  <c r="H7" i="129"/>
  <c r="C7" i="129"/>
  <c r="B7" i="129"/>
  <c r="K6" i="129"/>
  <c r="C6" i="129"/>
  <c r="H6" i="129" s="1"/>
  <c r="B6" i="129"/>
  <c r="K5" i="129"/>
  <c r="H5" i="129"/>
  <c r="C5" i="129"/>
  <c r="B5" i="129"/>
  <c r="K4" i="129"/>
  <c r="C4" i="129"/>
  <c r="H4" i="129" s="1"/>
  <c r="B4" i="129"/>
  <c r="K3" i="129"/>
  <c r="H3" i="129"/>
  <c r="C3" i="129"/>
  <c r="B3" i="129"/>
  <c r="K2" i="129"/>
  <c r="I2" i="129" s="1"/>
  <c r="H2" i="129"/>
  <c r="F2" i="129"/>
  <c r="G2" i="129" s="1"/>
  <c r="C2" i="129"/>
  <c r="B2" i="129"/>
  <c r="A2" i="129"/>
  <c r="C31" i="128"/>
  <c r="H31" i="128" s="1"/>
  <c r="B31" i="128"/>
  <c r="H30" i="128"/>
  <c r="C30" i="128"/>
  <c r="B30" i="128"/>
  <c r="C29" i="128"/>
  <c r="H29" i="128" s="1"/>
  <c r="B29" i="128"/>
  <c r="H28" i="128"/>
  <c r="C28" i="128"/>
  <c r="B28" i="128"/>
  <c r="C27" i="128"/>
  <c r="H27" i="128" s="1"/>
  <c r="B27" i="128"/>
  <c r="H26" i="128"/>
  <c r="C26" i="128"/>
  <c r="B26" i="128"/>
  <c r="C25" i="128"/>
  <c r="H25" i="128" s="1"/>
  <c r="B25" i="128"/>
  <c r="H24" i="128"/>
  <c r="C24" i="128"/>
  <c r="B24" i="128"/>
  <c r="C23" i="128"/>
  <c r="H23" i="128" s="1"/>
  <c r="B23" i="128"/>
  <c r="H22" i="128"/>
  <c r="C22" i="128"/>
  <c r="B22" i="128"/>
  <c r="C21" i="128"/>
  <c r="H21" i="128" s="1"/>
  <c r="B21" i="128"/>
  <c r="K20" i="128"/>
  <c r="C20" i="128"/>
  <c r="H20" i="128" s="1"/>
  <c r="B20" i="128"/>
  <c r="K19" i="128"/>
  <c r="H19" i="128"/>
  <c r="C19" i="128"/>
  <c r="B19" i="128"/>
  <c r="K18" i="128"/>
  <c r="C18" i="128"/>
  <c r="H18" i="128" s="1"/>
  <c r="B18" i="128"/>
  <c r="K17" i="128"/>
  <c r="C17" i="128"/>
  <c r="H17" i="128" s="1"/>
  <c r="B17" i="128"/>
  <c r="K16" i="128"/>
  <c r="C16" i="128"/>
  <c r="H16" i="128" s="1"/>
  <c r="B16" i="128"/>
  <c r="K15" i="128"/>
  <c r="H15" i="128"/>
  <c r="C15" i="128"/>
  <c r="B15" i="128"/>
  <c r="K14" i="128"/>
  <c r="C14" i="128"/>
  <c r="H14" i="128" s="1"/>
  <c r="B14" i="128"/>
  <c r="K13" i="128"/>
  <c r="C13" i="128"/>
  <c r="H13" i="128" s="1"/>
  <c r="B13" i="128"/>
  <c r="K12" i="128"/>
  <c r="C12" i="128"/>
  <c r="H12" i="128" s="1"/>
  <c r="B12" i="128"/>
  <c r="K11" i="128"/>
  <c r="H11" i="128"/>
  <c r="C11" i="128"/>
  <c r="B11" i="128"/>
  <c r="K10" i="128"/>
  <c r="C10" i="128"/>
  <c r="H10" i="128" s="1"/>
  <c r="B10" i="128"/>
  <c r="K9" i="128"/>
  <c r="C9" i="128"/>
  <c r="H9" i="128" s="1"/>
  <c r="B9" i="128"/>
  <c r="K8" i="128"/>
  <c r="C8" i="128"/>
  <c r="H8" i="128" s="1"/>
  <c r="B8" i="128"/>
  <c r="K7" i="128"/>
  <c r="H7" i="128"/>
  <c r="C7" i="128"/>
  <c r="B7" i="128"/>
  <c r="K6" i="128"/>
  <c r="C6" i="128"/>
  <c r="H6" i="128" s="1"/>
  <c r="B6" i="128"/>
  <c r="K5" i="128"/>
  <c r="C5" i="128"/>
  <c r="H5" i="128" s="1"/>
  <c r="B5" i="128"/>
  <c r="K4" i="128"/>
  <c r="I2" i="128" s="1"/>
  <c r="C4" i="128"/>
  <c r="H4" i="128" s="1"/>
  <c r="B4" i="128"/>
  <c r="K3" i="128"/>
  <c r="H3" i="128"/>
  <c r="C3" i="128"/>
  <c r="B3" i="128"/>
  <c r="K2" i="128"/>
  <c r="H2" i="128"/>
  <c r="I1" i="128" s="1"/>
  <c r="G2" i="128"/>
  <c r="F2" i="128"/>
  <c r="C2" i="128"/>
  <c r="B2" i="128"/>
  <c r="A2" i="128"/>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K7" i="127"/>
  <c r="H7" i="127"/>
  <c r="C7" i="127"/>
  <c r="B7" i="127"/>
  <c r="K6" i="127"/>
  <c r="C6" i="127"/>
  <c r="H6" i="127" s="1"/>
  <c r="B6" i="127"/>
  <c r="K5" i="127"/>
  <c r="H5" i="127"/>
  <c r="C5" i="127"/>
  <c r="B5" i="127"/>
  <c r="K4" i="127"/>
  <c r="C4" i="127"/>
  <c r="H4" i="127" s="1"/>
  <c r="I1" i="127" s="1"/>
  <c r="B4" i="127"/>
  <c r="K3" i="127"/>
  <c r="H3" i="127"/>
  <c r="C3" i="127"/>
  <c r="B3" i="127"/>
  <c r="K2" i="127"/>
  <c r="I2" i="127" s="1"/>
  <c r="H2" i="127"/>
  <c r="F2" i="127"/>
  <c r="G2" i="127" s="1"/>
  <c r="C2" i="127"/>
  <c r="B2" i="127"/>
  <c r="A2" i="127"/>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K7" i="126"/>
  <c r="H7" i="126"/>
  <c r="C7" i="126"/>
  <c r="B7" i="126"/>
  <c r="K6" i="126"/>
  <c r="C6" i="126"/>
  <c r="H6" i="126" s="1"/>
  <c r="B6" i="126"/>
  <c r="K5" i="126"/>
  <c r="H5" i="126"/>
  <c r="C5" i="126"/>
  <c r="B5" i="126"/>
  <c r="K4" i="126"/>
  <c r="C4" i="126"/>
  <c r="H4" i="126" s="1"/>
  <c r="I1" i="126" s="1"/>
  <c r="B4" i="126"/>
  <c r="K3" i="126"/>
  <c r="H3" i="126"/>
  <c r="C3" i="126"/>
  <c r="B3" i="126"/>
  <c r="K2" i="126"/>
  <c r="I2" i="126" s="1"/>
  <c r="H2" i="126"/>
  <c r="F2" i="126"/>
  <c r="G2" i="126" s="1"/>
  <c r="C2" i="126"/>
  <c r="B2" i="126"/>
  <c r="A2" i="126"/>
  <c r="H31" i="125"/>
  <c r="C31" i="125"/>
  <c r="B31" i="125"/>
  <c r="C30" i="125"/>
  <c r="H30" i="125" s="1"/>
  <c r="B30" i="125"/>
  <c r="H29" i="125"/>
  <c r="C29" i="125"/>
  <c r="B29" i="125"/>
  <c r="C28" i="125"/>
  <c r="H28" i="125" s="1"/>
  <c r="B28" i="125"/>
  <c r="H27" i="125"/>
  <c r="C27" i="125"/>
  <c r="B27" i="125"/>
  <c r="C26" i="125"/>
  <c r="H26" i="125" s="1"/>
  <c r="B26" i="125"/>
  <c r="H25" i="125"/>
  <c r="C25" i="125"/>
  <c r="B25" i="125"/>
  <c r="C24" i="125"/>
  <c r="H24" i="125" s="1"/>
  <c r="B24" i="125"/>
  <c r="H23" i="125"/>
  <c r="C23" i="125"/>
  <c r="B23" i="125"/>
  <c r="C22" i="125"/>
  <c r="H22" i="125" s="1"/>
  <c r="B22" i="125"/>
  <c r="H21" i="125"/>
  <c r="C21" i="125"/>
  <c r="B21" i="125"/>
  <c r="K20" i="125"/>
  <c r="C20" i="125"/>
  <c r="H20" i="125" s="1"/>
  <c r="B20" i="125"/>
  <c r="K19" i="125"/>
  <c r="C19" i="125"/>
  <c r="H19" i="125" s="1"/>
  <c r="B19" i="125"/>
  <c r="K18" i="125"/>
  <c r="C18" i="125"/>
  <c r="H18" i="125" s="1"/>
  <c r="B18" i="125"/>
  <c r="K17" i="125"/>
  <c r="H17" i="125"/>
  <c r="C17" i="125"/>
  <c r="B17" i="125"/>
  <c r="K16" i="125"/>
  <c r="C16" i="125"/>
  <c r="H16" i="125" s="1"/>
  <c r="B16" i="125"/>
  <c r="K15" i="125"/>
  <c r="C15" i="125"/>
  <c r="H15" i="125" s="1"/>
  <c r="B15" i="125"/>
  <c r="K14" i="125"/>
  <c r="C14" i="125"/>
  <c r="H14" i="125" s="1"/>
  <c r="B14" i="125"/>
  <c r="K13" i="125"/>
  <c r="H13" i="125"/>
  <c r="C13" i="125"/>
  <c r="B13" i="125"/>
  <c r="K12" i="125"/>
  <c r="C12" i="125"/>
  <c r="H12" i="125" s="1"/>
  <c r="B12" i="125"/>
  <c r="K11" i="125"/>
  <c r="C11" i="125"/>
  <c r="H11" i="125" s="1"/>
  <c r="B11" i="125"/>
  <c r="K10" i="125"/>
  <c r="C10" i="125"/>
  <c r="H10" i="125" s="1"/>
  <c r="B10" i="125"/>
  <c r="K9" i="125"/>
  <c r="H9" i="125"/>
  <c r="C9" i="125"/>
  <c r="B9" i="125"/>
  <c r="K8" i="125"/>
  <c r="C8" i="125"/>
  <c r="H8" i="125" s="1"/>
  <c r="B8" i="125"/>
  <c r="K7" i="125"/>
  <c r="C7" i="125"/>
  <c r="H7" i="125" s="1"/>
  <c r="B7" i="125"/>
  <c r="K6" i="125"/>
  <c r="C6" i="125"/>
  <c r="H6" i="125" s="1"/>
  <c r="B6" i="125"/>
  <c r="K5" i="125"/>
  <c r="H5" i="125"/>
  <c r="C5" i="125"/>
  <c r="B5" i="125"/>
  <c r="K4" i="125"/>
  <c r="C4" i="125"/>
  <c r="H4" i="125" s="1"/>
  <c r="B4" i="125"/>
  <c r="K3" i="125"/>
  <c r="C3" i="125"/>
  <c r="H3" i="125" s="1"/>
  <c r="B3" i="125"/>
  <c r="K2" i="125"/>
  <c r="I2" i="125" s="1"/>
  <c r="F2" i="125"/>
  <c r="G2" i="125" s="1"/>
  <c r="C2" i="125"/>
  <c r="H2" i="125" s="1"/>
  <c r="I1" i="125" s="1"/>
  <c r="B2" i="125"/>
  <c r="A2" i="125"/>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K7" i="123"/>
  <c r="H7" i="123"/>
  <c r="C7" i="123"/>
  <c r="B7" i="123"/>
  <c r="K6" i="123"/>
  <c r="C6" i="123"/>
  <c r="H6" i="123" s="1"/>
  <c r="B6" i="123"/>
  <c r="K5" i="123"/>
  <c r="H5" i="123"/>
  <c r="C5" i="123"/>
  <c r="B5" i="123"/>
  <c r="K4" i="123"/>
  <c r="C4" i="123"/>
  <c r="H4" i="123" s="1"/>
  <c r="B4" i="123"/>
  <c r="K3" i="123"/>
  <c r="H3" i="123"/>
  <c r="C3" i="123"/>
  <c r="B3" i="123"/>
  <c r="K2" i="123"/>
  <c r="I2" i="123" s="1"/>
  <c r="H2" i="123"/>
  <c r="F2" i="123"/>
  <c r="G2" i="123" s="1"/>
  <c r="C2" i="123"/>
  <c r="B2" i="123"/>
  <c r="A2" i="123"/>
  <c r="C31" i="122"/>
  <c r="H31" i="122" s="1"/>
  <c r="B31" i="122"/>
  <c r="C30" i="122"/>
  <c r="H30" i="122" s="1"/>
  <c r="B30" i="122"/>
  <c r="C29" i="122"/>
  <c r="H29" i="122" s="1"/>
  <c r="B29" i="122"/>
  <c r="C28" i="122"/>
  <c r="H28" i="122" s="1"/>
  <c r="B28" i="122"/>
  <c r="C27" i="122"/>
  <c r="H27" i="122" s="1"/>
  <c r="B27" i="122"/>
  <c r="C26" i="122"/>
  <c r="H26" i="122" s="1"/>
  <c r="B26" i="122"/>
  <c r="C25" i="122"/>
  <c r="H25" i="122" s="1"/>
  <c r="B25" i="122"/>
  <c r="C24" i="122"/>
  <c r="H24" i="122" s="1"/>
  <c r="B24" i="122"/>
  <c r="C23" i="122"/>
  <c r="H23" i="122" s="1"/>
  <c r="B23" i="122"/>
  <c r="C22" i="122"/>
  <c r="H22" i="122" s="1"/>
  <c r="B22" i="122"/>
  <c r="C21" i="122"/>
  <c r="H21" i="122" s="1"/>
  <c r="B21" i="122"/>
  <c r="K20" i="122"/>
  <c r="H20" i="122"/>
  <c r="C20" i="122"/>
  <c r="B20" i="122"/>
  <c r="K19" i="122"/>
  <c r="C19" i="122"/>
  <c r="H19" i="122" s="1"/>
  <c r="B19" i="122"/>
  <c r="K18" i="122"/>
  <c r="H18" i="122"/>
  <c r="C18" i="122"/>
  <c r="B18" i="122"/>
  <c r="K17" i="122"/>
  <c r="C17" i="122"/>
  <c r="H17" i="122" s="1"/>
  <c r="B17" i="122"/>
  <c r="K16" i="122"/>
  <c r="H16" i="122"/>
  <c r="C16" i="122"/>
  <c r="B16" i="122"/>
  <c r="K15" i="122"/>
  <c r="C15" i="122"/>
  <c r="H15" i="122" s="1"/>
  <c r="B15" i="122"/>
  <c r="K14" i="122"/>
  <c r="H14" i="122"/>
  <c r="C14" i="122"/>
  <c r="B14" i="122"/>
  <c r="K13" i="122"/>
  <c r="C13" i="122"/>
  <c r="H13" i="122" s="1"/>
  <c r="B13" i="122"/>
  <c r="K12" i="122"/>
  <c r="H12" i="122"/>
  <c r="C12" i="122"/>
  <c r="B12" i="122"/>
  <c r="K11" i="122"/>
  <c r="C11" i="122"/>
  <c r="H11" i="122" s="1"/>
  <c r="B11" i="122"/>
  <c r="K10" i="122"/>
  <c r="H10" i="122"/>
  <c r="C10" i="122"/>
  <c r="B10" i="122"/>
  <c r="K9" i="122"/>
  <c r="C9" i="122"/>
  <c r="H9" i="122" s="1"/>
  <c r="B9" i="122"/>
  <c r="K8" i="122"/>
  <c r="I2" i="122" s="1"/>
  <c r="C8" i="122"/>
  <c r="H8" i="122" s="1"/>
  <c r="B8" i="122"/>
  <c r="K7" i="122"/>
  <c r="C7" i="122"/>
  <c r="H7" i="122" s="1"/>
  <c r="B7" i="122"/>
  <c r="K6" i="122"/>
  <c r="H6" i="122"/>
  <c r="C6" i="122"/>
  <c r="B6" i="122"/>
  <c r="K5" i="122"/>
  <c r="C5" i="122"/>
  <c r="H5" i="122" s="1"/>
  <c r="B5" i="122"/>
  <c r="K4" i="122"/>
  <c r="H4" i="122"/>
  <c r="C4" i="122"/>
  <c r="B4" i="122"/>
  <c r="K3" i="122"/>
  <c r="C3" i="122"/>
  <c r="H3" i="122" s="1"/>
  <c r="B3" i="122"/>
  <c r="K2" i="122"/>
  <c r="G2" i="122"/>
  <c r="F2" i="122"/>
  <c r="C2" i="122"/>
  <c r="H2" i="122" s="1"/>
  <c r="B2" i="122"/>
  <c r="A2" i="122"/>
  <c r="A3" i="141" l="1"/>
  <c r="A3" i="140"/>
  <c r="A3" i="139"/>
  <c r="I1" i="138"/>
  <c r="A3" i="138"/>
  <c r="A3" i="137"/>
  <c r="I1" i="136"/>
  <c r="A3" i="136"/>
  <c r="I1" i="135"/>
  <c r="A3" i="135"/>
  <c r="A3" i="134"/>
  <c r="I1" i="133"/>
  <c r="A3" i="133"/>
  <c r="I1" i="132"/>
  <c r="A3" i="132"/>
  <c r="I1" i="131"/>
  <c r="A3" i="131"/>
  <c r="A3" i="130"/>
  <c r="I1" i="129"/>
  <c r="A3" i="129"/>
  <c r="A3" i="128"/>
  <c r="A3" i="127"/>
  <c r="A3" i="126"/>
  <c r="A3" i="125"/>
  <c r="I1" i="123"/>
  <c r="I1" i="122"/>
  <c r="A3" i="123"/>
  <c r="A3" i="122"/>
  <c r="C31" i="121"/>
  <c r="H31" i="121" s="1"/>
  <c r="B31" i="121"/>
  <c r="H30" i="121"/>
  <c r="C30" i="121"/>
  <c r="B30" i="121"/>
  <c r="H29" i="121"/>
  <c r="C29" i="121"/>
  <c r="B29" i="121"/>
  <c r="H28" i="121"/>
  <c r="C28" i="121"/>
  <c r="B28" i="121"/>
  <c r="H27" i="121"/>
  <c r="C27" i="121"/>
  <c r="B27" i="121"/>
  <c r="H26" i="121"/>
  <c r="C26" i="121"/>
  <c r="B26" i="121"/>
  <c r="H25" i="121"/>
  <c r="C25" i="121"/>
  <c r="B25" i="121"/>
  <c r="H24" i="121"/>
  <c r="C24" i="121"/>
  <c r="B24" i="121"/>
  <c r="H23" i="121"/>
  <c r="C23" i="121"/>
  <c r="B23" i="121"/>
  <c r="H22" i="121"/>
  <c r="C22" i="121"/>
  <c r="B22" i="121"/>
  <c r="H21" i="121"/>
  <c r="C21" i="121"/>
  <c r="B21" i="121"/>
  <c r="K20" i="121"/>
  <c r="C20" i="121"/>
  <c r="H20" i="121" s="1"/>
  <c r="B20" i="121"/>
  <c r="K19" i="121"/>
  <c r="H19" i="121"/>
  <c r="C19" i="121"/>
  <c r="B19" i="121"/>
  <c r="K18" i="121"/>
  <c r="C18" i="121"/>
  <c r="H18" i="121" s="1"/>
  <c r="B18" i="121"/>
  <c r="K17" i="121"/>
  <c r="H17" i="121"/>
  <c r="C17" i="121"/>
  <c r="B17" i="121"/>
  <c r="K16" i="121"/>
  <c r="C16" i="121"/>
  <c r="H16" i="121" s="1"/>
  <c r="B16" i="121"/>
  <c r="K15" i="121"/>
  <c r="H15" i="121"/>
  <c r="C15" i="121"/>
  <c r="B15" i="121"/>
  <c r="K14" i="121"/>
  <c r="C14" i="121"/>
  <c r="H14" i="121" s="1"/>
  <c r="B14" i="121"/>
  <c r="K13" i="121"/>
  <c r="H13" i="121"/>
  <c r="C13" i="121"/>
  <c r="B13" i="121"/>
  <c r="K12" i="121"/>
  <c r="C12" i="121"/>
  <c r="H12" i="121" s="1"/>
  <c r="B12" i="121"/>
  <c r="K11" i="121"/>
  <c r="H11" i="121"/>
  <c r="C11" i="121"/>
  <c r="B11" i="121"/>
  <c r="K10" i="121"/>
  <c r="C10" i="121"/>
  <c r="H10" i="121" s="1"/>
  <c r="B10" i="121"/>
  <c r="K9" i="121"/>
  <c r="H9" i="121"/>
  <c r="C9" i="121"/>
  <c r="B9" i="121"/>
  <c r="K8" i="121"/>
  <c r="C8" i="121"/>
  <c r="H8" i="121" s="1"/>
  <c r="B8" i="121"/>
  <c r="K7" i="121"/>
  <c r="H7" i="121"/>
  <c r="C7" i="121"/>
  <c r="B7" i="121"/>
  <c r="K6" i="121"/>
  <c r="C6" i="121"/>
  <c r="H6" i="121" s="1"/>
  <c r="B6" i="121"/>
  <c r="K5" i="121"/>
  <c r="H5" i="121"/>
  <c r="C5" i="121"/>
  <c r="B5" i="121"/>
  <c r="K4" i="121"/>
  <c r="C4" i="121"/>
  <c r="H4" i="121" s="1"/>
  <c r="B4" i="121"/>
  <c r="K3" i="121"/>
  <c r="H3" i="121"/>
  <c r="C3" i="121"/>
  <c r="B3" i="121"/>
  <c r="K2" i="121"/>
  <c r="I2" i="121" s="1"/>
  <c r="H2" i="121"/>
  <c r="F2" i="121"/>
  <c r="G2" i="121" s="1"/>
  <c r="C2" i="121"/>
  <c r="B2" i="121"/>
  <c r="A2" i="121"/>
  <c r="A4" i="141" l="1"/>
  <c r="F3" i="141"/>
  <c r="A4" i="140"/>
  <c r="F3" i="140"/>
  <c r="A4" i="139"/>
  <c r="F3" i="139"/>
  <c r="A4" i="138"/>
  <c r="F3" i="138"/>
  <c r="A4" i="137"/>
  <c r="F3" i="137"/>
  <c r="A4" i="136"/>
  <c r="F3" i="136"/>
  <c r="A4" i="135"/>
  <c r="F3" i="135"/>
  <c r="A4" i="134"/>
  <c r="F3" i="134"/>
  <c r="A4" i="133"/>
  <c r="F3" i="133"/>
  <c r="A4" i="132"/>
  <c r="F3" i="132"/>
  <c r="A4" i="131"/>
  <c r="F3" i="131"/>
  <c r="A4" i="130"/>
  <c r="F3" i="130"/>
  <c r="F3" i="129"/>
  <c r="A4" i="129"/>
  <c r="A4" i="128"/>
  <c r="F3" i="128"/>
  <c r="A4" i="127"/>
  <c r="F3" i="127"/>
  <c r="F3" i="126"/>
  <c r="A4" i="126"/>
  <c r="A4" i="125"/>
  <c r="F3" i="125"/>
  <c r="A4" i="123"/>
  <c r="F3" i="123"/>
  <c r="A4" i="122"/>
  <c r="F3" i="122"/>
  <c r="I1" i="121"/>
  <c r="A3" i="121"/>
  <c r="L32" i="1"/>
  <c r="A2" i="1"/>
  <c r="AN4" i="50"/>
  <c r="AK4" i="50"/>
  <c r="AG4" i="50"/>
  <c r="AJ4" i="50"/>
  <c r="AO4" i="50"/>
  <c r="AI4" i="50"/>
  <c r="AL4" i="50"/>
  <c r="AM4" i="50"/>
  <c r="AH4" i="50"/>
  <c r="AF4" i="50"/>
  <c r="A5" i="141" l="1"/>
  <c r="F4" i="141"/>
  <c r="A5" i="140"/>
  <c r="F4" i="140"/>
  <c r="A5" i="139"/>
  <c r="F4" i="139"/>
  <c r="A5" i="138"/>
  <c r="F4" i="138"/>
  <c r="A5" i="137"/>
  <c r="F4" i="137"/>
  <c r="A5" i="136"/>
  <c r="F4" i="136"/>
  <c r="A5" i="135"/>
  <c r="F4" i="135"/>
  <c r="A5" i="134"/>
  <c r="F4" i="134"/>
  <c r="A5" i="133"/>
  <c r="F4" i="133"/>
  <c r="A5" i="132"/>
  <c r="F4" i="132"/>
  <c r="A5" i="131"/>
  <c r="F4" i="131"/>
  <c r="A5" i="130"/>
  <c r="F4" i="130"/>
  <c r="A5" i="129"/>
  <c r="F4" i="129"/>
  <c r="A5" i="128"/>
  <c r="F4" i="128"/>
  <c r="A5" i="127"/>
  <c r="F4" i="127"/>
  <c r="A5" i="126"/>
  <c r="F4" i="126"/>
  <c r="A5" i="125"/>
  <c r="F4" i="125"/>
  <c r="A5" i="123"/>
  <c r="F4" i="123"/>
  <c r="A5" i="122"/>
  <c r="F4" i="122"/>
  <c r="F3" i="121"/>
  <c r="A4"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6" i="141" l="1"/>
  <c r="F5" i="141"/>
  <c r="A6" i="140"/>
  <c r="F5" i="140"/>
  <c r="A6" i="139"/>
  <c r="F5" i="139"/>
  <c r="A6" i="138"/>
  <c r="F5" i="138"/>
  <c r="A6" i="137"/>
  <c r="F5" i="137"/>
  <c r="A6" i="136"/>
  <c r="F5" i="136"/>
  <c r="A6" i="135"/>
  <c r="F5" i="135"/>
  <c r="A6" i="134"/>
  <c r="F5" i="134"/>
  <c r="A6" i="133"/>
  <c r="F5" i="133"/>
  <c r="A6" i="132"/>
  <c r="F5" i="132"/>
  <c r="A6" i="131"/>
  <c r="F5" i="131"/>
  <c r="F5" i="130"/>
  <c r="A6" i="130"/>
  <c r="A6" i="129"/>
  <c r="F5" i="129"/>
  <c r="A6" i="128"/>
  <c r="F5" i="128"/>
  <c r="A6" i="127"/>
  <c r="F5" i="127"/>
  <c r="A6" i="126"/>
  <c r="F5" i="126"/>
  <c r="A6" i="125"/>
  <c r="F5" i="125"/>
  <c r="A6" i="123"/>
  <c r="F5" i="123"/>
  <c r="A6" i="122"/>
  <c r="F5" i="122"/>
  <c r="A5" i="121"/>
  <c r="F4"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7" i="141" l="1"/>
  <c r="F6" i="141"/>
  <c r="A7" i="140"/>
  <c r="F6" i="140"/>
  <c r="A7" i="139"/>
  <c r="F6" i="139"/>
  <c r="A7" i="138"/>
  <c r="F6" i="138"/>
  <c r="A7" i="137"/>
  <c r="F6" i="137"/>
  <c r="A7" i="136"/>
  <c r="F6" i="136"/>
  <c r="A7" i="135"/>
  <c r="F6" i="135"/>
  <c r="A7" i="134"/>
  <c r="F6" i="134"/>
  <c r="A7" i="133"/>
  <c r="F6" i="133"/>
  <c r="F6" i="132"/>
  <c r="A7" i="132"/>
  <c r="A7" i="131"/>
  <c r="F6" i="131"/>
  <c r="A7" i="130"/>
  <c r="F6" i="130"/>
  <c r="A7" i="129"/>
  <c r="F6" i="129"/>
  <c r="A7" i="128"/>
  <c r="F6" i="128"/>
  <c r="A7" i="127"/>
  <c r="F6" i="127"/>
  <c r="A7" i="126"/>
  <c r="F6" i="126"/>
  <c r="A7" i="125"/>
  <c r="F6" i="125"/>
  <c r="A7" i="123"/>
  <c r="F6" i="123"/>
  <c r="F6" i="122"/>
  <c r="A7" i="122"/>
  <c r="A6" i="121"/>
  <c r="F5"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A8" i="141" l="1"/>
  <c r="F7" i="141"/>
  <c r="A8" i="140"/>
  <c r="F7" i="140"/>
  <c r="A8" i="139"/>
  <c r="F7" i="139"/>
  <c r="A8" i="138"/>
  <c r="F7" i="138"/>
  <c r="A8" i="137"/>
  <c r="F7" i="137"/>
  <c r="A8" i="136"/>
  <c r="F7" i="136"/>
  <c r="A8" i="135"/>
  <c r="F7" i="135"/>
  <c r="A8" i="134"/>
  <c r="F7" i="134"/>
  <c r="A8" i="133"/>
  <c r="F7" i="133"/>
  <c r="A8" i="132"/>
  <c r="F7" i="132"/>
  <c r="A8" i="131"/>
  <c r="F7" i="131"/>
  <c r="A8" i="130"/>
  <c r="F7" i="130"/>
  <c r="A8" i="129"/>
  <c r="F7" i="129"/>
  <c r="A8" i="128"/>
  <c r="F7" i="128"/>
  <c r="F7" i="127"/>
  <c r="A8" i="127"/>
  <c r="A8" i="126"/>
  <c r="F7" i="126"/>
  <c r="A8" i="125"/>
  <c r="F7" i="125"/>
  <c r="F7" i="123"/>
  <c r="A8" i="123"/>
  <c r="A8" i="122"/>
  <c r="F7" i="122"/>
  <c r="A7" i="121"/>
  <c r="F6" i="121"/>
  <c r="R1" i="8"/>
  <c r="A9" i="141" l="1"/>
  <c r="F8" i="141"/>
  <c r="A9" i="140"/>
  <c r="F8" i="140"/>
  <c r="A9" i="139"/>
  <c r="F8" i="139"/>
  <c r="F8" i="138"/>
  <c r="A9" i="138"/>
  <c r="A9" i="137"/>
  <c r="F8" i="137"/>
  <c r="A9" i="136"/>
  <c r="F8" i="136"/>
  <c r="A9" i="135"/>
  <c r="F8" i="135"/>
  <c r="A9" i="134"/>
  <c r="F8" i="134"/>
  <c r="A9" i="133"/>
  <c r="F8" i="133"/>
  <c r="A9" i="132"/>
  <c r="F8" i="132"/>
  <c r="A9" i="131"/>
  <c r="F8" i="131"/>
  <c r="A9" i="130"/>
  <c r="F8" i="130"/>
  <c r="A9" i="129"/>
  <c r="F8" i="129"/>
  <c r="A9" i="128"/>
  <c r="F8" i="128"/>
  <c r="A9" i="127"/>
  <c r="F8" i="127"/>
  <c r="A9" i="126"/>
  <c r="F8" i="126"/>
  <c r="A9" i="125"/>
  <c r="F8" i="125"/>
  <c r="A9" i="123"/>
  <c r="F8" i="123"/>
  <c r="F8" i="122"/>
  <c r="A9" i="122"/>
  <c r="A8" i="121"/>
  <c r="F7" i="121"/>
  <c r="AG19" i="4"/>
  <c r="A2" i="4"/>
  <c r="H19" i="4"/>
  <c r="G18" i="4"/>
  <c r="M19" i="4"/>
  <c r="AD64" i="50"/>
  <c r="S64" i="50"/>
  <c r="AL64" i="50"/>
  <c r="AJ64" i="50"/>
  <c r="AH64" i="50"/>
  <c r="O64" i="50"/>
  <c r="AC64" i="50"/>
  <c r="Y64" i="50"/>
  <c r="AI64" i="50"/>
  <c r="Z64" i="50"/>
  <c r="R64" i="50"/>
  <c r="AG64" i="50"/>
  <c r="AO64" i="50"/>
  <c r="U64" i="50"/>
  <c r="M64" i="50"/>
  <c r="AK64" i="50"/>
  <c r="AB64" i="50"/>
  <c r="AF64" i="50"/>
  <c r="W64" i="50"/>
  <c r="X64" i="50"/>
  <c r="AA64" i="50"/>
  <c r="AN64" i="50"/>
  <c r="P64" i="50"/>
  <c r="N64" i="50"/>
  <c r="T64" i="50"/>
  <c r="Q64" i="50"/>
  <c r="AM64" i="50"/>
  <c r="AE64" i="50"/>
  <c r="V64" i="50"/>
  <c r="L64" i="50"/>
  <c r="A10" i="141" l="1"/>
  <c r="F9" i="141"/>
  <c r="A10" i="140"/>
  <c r="F9" i="140"/>
  <c r="A10" i="139"/>
  <c r="F9" i="139"/>
  <c r="A10" i="138"/>
  <c r="F9" i="138"/>
  <c r="A10" i="137"/>
  <c r="F9" i="137"/>
  <c r="A10" i="136"/>
  <c r="F9" i="136"/>
  <c r="A10" i="135"/>
  <c r="F9" i="135"/>
  <c r="A10" i="134"/>
  <c r="F9" i="134"/>
  <c r="A10" i="133"/>
  <c r="F9" i="133"/>
  <c r="A10" i="132"/>
  <c r="F9" i="132"/>
  <c r="A10" i="131"/>
  <c r="F9" i="131"/>
  <c r="A10" i="130"/>
  <c r="F9" i="130"/>
  <c r="A10" i="129"/>
  <c r="F9" i="129"/>
  <c r="F9" i="128"/>
  <c r="A10" i="128"/>
  <c r="F9" i="127"/>
  <c r="A10" i="127"/>
  <c r="A10" i="126"/>
  <c r="F9" i="126"/>
  <c r="A10" i="125"/>
  <c r="F9" i="125"/>
  <c r="A10" i="123"/>
  <c r="F9" i="123"/>
  <c r="A10" i="122"/>
  <c r="F9" i="122"/>
  <c r="A9" i="121"/>
  <c r="F8" i="121"/>
  <c r="F64" i="50"/>
  <c r="A11" i="141" l="1"/>
  <c r="F10" i="141"/>
  <c r="A11" i="140"/>
  <c r="F10" i="140"/>
  <c r="A11" i="139"/>
  <c r="F10" i="139"/>
  <c r="A11" i="138"/>
  <c r="F10" i="138"/>
  <c r="A11" i="137"/>
  <c r="F10" i="137"/>
  <c r="A11" i="136"/>
  <c r="F10" i="136"/>
  <c r="A11" i="135"/>
  <c r="F10" i="135"/>
  <c r="A11" i="134"/>
  <c r="F10" i="134"/>
  <c r="A11" i="133"/>
  <c r="F10" i="133"/>
  <c r="F10" i="132"/>
  <c r="A11" i="132"/>
  <c r="A11" i="131"/>
  <c r="F10" i="131"/>
  <c r="A11" i="130"/>
  <c r="F10" i="130"/>
  <c r="A11" i="129"/>
  <c r="F10" i="129"/>
  <c r="A11" i="128"/>
  <c r="F10" i="128"/>
  <c r="A11" i="127"/>
  <c r="F10" i="127"/>
  <c r="A11" i="126"/>
  <c r="F10" i="126"/>
  <c r="A11" i="125"/>
  <c r="F10" i="125"/>
  <c r="A11" i="123"/>
  <c r="F10" i="123"/>
  <c r="A11" i="122"/>
  <c r="F10" i="122"/>
  <c r="A10" i="121"/>
  <c r="F9" i="121"/>
  <c r="H64" i="50"/>
  <c r="J64" i="50"/>
  <c r="A12" i="141" l="1"/>
  <c r="F11" i="141"/>
  <c r="A12" i="140"/>
  <c r="F11" i="140"/>
  <c r="A12" i="139"/>
  <c r="F11" i="139"/>
  <c r="A12" i="138"/>
  <c r="F11" i="138"/>
  <c r="A12" i="137"/>
  <c r="F11" i="137"/>
  <c r="A12" i="136"/>
  <c r="F11" i="136"/>
  <c r="A12" i="135"/>
  <c r="F11" i="135"/>
  <c r="A12" i="134"/>
  <c r="F11" i="134"/>
  <c r="A12" i="133"/>
  <c r="F11" i="133"/>
  <c r="A12" i="132"/>
  <c r="F11" i="132"/>
  <c r="A12" i="131"/>
  <c r="F11" i="131"/>
  <c r="A12" i="130"/>
  <c r="F11" i="130"/>
  <c r="A12" i="129"/>
  <c r="F11" i="129"/>
  <c r="A12" i="128"/>
  <c r="F11" i="128"/>
  <c r="A12" i="127"/>
  <c r="F11" i="127"/>
  <c r="A12" i="126"/>
  <c r="F11" i="126"/>
  <c r="A12" i="125"/>
  <c r="F11" i="125"/>
  <c r="A12" i="123"/>
  <c r="F11" i="123"/>
  <c r="A12" i="122"/>
  <c r="F11" i="122"/>
  <c r="A11" i="121"/>
  <c r="F10" i="121"/>
  <c r="D1" i="95"/>
  <c r="AG6" i="4"/>
  <c r="AG7" i="4"/>
  <c r="AG8" i="4"/>
  <c r="AG9" i="4"/>
  <c r="AG10" i="4"/>
  <c r="AG13" i="4"/>
  <c r="AG14" i="4"/>
  <c r="AG15" i="4"/>
  <c r="AG16" i="4"/>
  <c r="AG17" i="4"/>
  <c r="AG5" i="4"/>
  <c r="A13" i="141" l="1"/>
  <c r="F12" i="141"/>
  <c r="A13" i="140"/>
  <c r="F12" i="140"/>
  <c r="A13" i="139"/>
  <c r="F12" i="139"/>
  <c r="A13" i="138"/>
  <c r="F12" i="138"/>
  <c r="A13" i="137"/>
  <c r="F12" i="137"/>
  <c r="A13" i="136"/>
  <c r="F12" i="136"/>
  <c r="A13" i="135"/>
  <c r="F12" i="135"/>
  <c r="A13" i="134"/>
  <c r="F12" i="134"/>
  <c r="A13" i="133"/>
  <c r="F12" i="133"/>
  <c r="A13" i="132"/>
  <c r="F12" i="132"/>
  <c r="A13" i="131"/>
  <c r="F12" i="131"/>
  <c r="A13" i="130"/>
  <c r="F12" i="130"/>
  <c r="A13" i="129"/>
  <c r="F12" i="129"/>
  <c r="A13" i="128"/>
  <c r="F12" i="128"/>
  <c r="A13" i="127"/>
  <c r="F12" i="127"/>
  <c r="A13" i="126"/>
  <c r="F12" i="126"/>
  <c r="A13" i="125"/>
  <c r="F12" i="125"/>
  <c r="A13" i="123"/>
  <c r="F12" i="123"/>
  <c r="A13" i="122"/>
  <c r="F12" i="122"/>
  <c r="A12" i="121"/>
  <c r="F11" i="121"/>
  <c r="B4" i="50"/>
  <c r="A14" i="141" l="1"/>
  <c r="F13" i="141"/>
  <c r="A14" i="140"/>
  <c r="F13" i="140"/>
  <c r="A14" i="139"/>
  <c r="F13" i="139"/>
  <c r="A14" i="138"/>
  <c r="F13" i="138"/>
  <c r="A14" i="137"/>
  <c r="F13" i="137"/>
  <c r="A14" i="136"/>
  <c r="F13" i="136"/>
  <c r="A14" i="135"/>
  <c r="F13" i="135"/>
  <c r="A14" i="134"/>
  <c r="F13" i="134"/>
  <c r="A14" i="133"/>
  <c r="F13" i="133"/>
  <c r="A14" i="132"/>
  <c r="F13" i="132"/>
  <c r="A14" i="131"/>
  <c r="F13" i="131"/>
  <c r="A14" i="130"/>
  <c r="F13" i="130"/>
  <c r="A14" i="129"/>
  <c r="F13" i="129"/>
  <c r="A14" i="128"/>
  <c r="F13" i="128"/>
  <c r="A14" i="127"/>
  <c r="F13" i="127"/>
  <c r="A14" i="126"/>
  <c r="F13" i="126"/>
  <c r="A14" i="125"/>
  <c r="F13" i="125"/>
  <c r="A14" i="123"/>
  <c r="F13" i="123"/>
  <c r="A14" i="122"/>
  <c r="F13" i="122"/>
  <c r="A13" i="121"/>
  <c r="F12" i="121"/>
  <c r="AG18" i="4"/>
  <c r="G12" i="4"/>
  <c r="AG12" i="4" s="1"/>
  <c r="G11" i="4"/>
  <c r="AG11" i="4" s="1"/>
  <c r="AG4" i="4" s="1"/>
  <c r="A15" i="141" l="1"/>
  <c r="F14" i="141"/>
  <c r="A15" i="140"/>
  <c r="F14" i="140"/>
  <c r="A15" i="139"/>
  <c r="F14" i="139"/>
  <c r="A15" i="138"/>
  <c r="F14" i="138"/>
  <c r="A15" i="137"/>
  <c r="F14" i="137"/>
  <c r="A15" i="136"/>
  <c r="F14" i="136"/>
  <c r="A15" i="135"/>
  <c r="F14" i="135"/>
  <c r="A15" i="134"/>
  <c r="F14" i="134"/>
  <c r="A15" i="133"/>
  <c r="F14" i="133"/>
  <c r="A15" i="132"/>
  <c r="F14" i="132"/>
  <c r="A15" i="131"/>
  <c r="F14" i="131"/>
  <c r="A15" i="130"/>
  <c r="F14" i="130"/>
  <c r="A15" i="129"/>
  <c r="F14" i="129"/>
  <c r="A15" i="128"/>
  <c r="F14" i="128"/>
  <c r="A15" i="127"/>
  <c r="F14" i="127"/>
  <c r="A15" i="126"/>
  <c r="F14" i="126"/>
  <c r="A15" i="125"/>
  <c r="F14" i="125"/>
  <c r="A15" i="123"/>
  <c r="F14" i="123"/>
  <c r="A15" i="122"/>
  <c r="F14" i="122"/>
  <c r="A14" i="121"/>
  <c r="F13"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G23" i="1" s="1"/>
  <c r="G24" i="1"/>
  <c r="H24" i="1" s="1"/>
  <c r="G25" i="1"/>
  <c r="G5" i="1"/>
  <c r="M23" i="1"/>
  <c r="H2" i="95"/>
  <c r="A16" i="141" l="1"/>
  <c r="F15" i="141"/>
  <c r="A16" i="140"/>
  <c r="F15" i="140"/>
  <c r="A16" i="139"/>
  <c r="F15" i="139"/>
  <c r="A16" i="138"/>
  <c r="F15" i="138"/>
  <c r="A16" i="137"/>
  <c r="F15" i="137"/>
  <c r="A16" i="136"/>
  <c r="F15" i="136"/>
  <c r="A16" i="135"/>
  <c r="F15" i="135"/>
  <c r="A16" i="134"/>
  <c r="F15" i="134"/>
  <c r="A16" i="133"/>
  <c r="F15" i="133"/>
  <c r="A16" i="132"/>
  <c r="F15" i="132"/>
  <c r="A16" i="131"/>
  <c r="F15" i="131"/>
  <c r="A16" i="130"/>
  <c r="F15" i="130"/>
  <c r="A16" i="129"/>
  <c r="F15" i="129"/>
  <c r="A16" i="128"/>
  <c r="F15" i="128"/>
  <c r="A16" i="127"/>
  <c r="F15" i="127"/>
  <c r="A16" i="126"/>
  <c r="F15" i="126"/>
  <c r="A16" i="125"/>
  <c r="F15" i="125"/>
  <c r="F15" i="123"/>
  <c r="A16" i="123"/>
  <c r="A16" i="122"/>
  <c r="F15" i="122"/>
  <c r="A15" i="121"/>
  <c r="F14" i="121"/>
  <c r="H23" i="1"/>
  <c r="H28" i="1"/>
  <c r="AG28" i="1"/>
  <c r="H25" i="1"/>
  <c r="AG25" i="1"/>
  <c r="H26" i="1"/>
  <c r="AG26" i="1"/>
  <c r="H27" i="1"/>
  <c r="AG27" i="1"/>
  <c r="AG24" i="1"/>
  <c r="AA59" i="50"/>
  <c r="V62" i="50"/>
  <c r="R59" i="50"/>
  <c r="U61" i="50"/>
  <c r="Z58" i="50"/>
  <c r="S61" i="50"/>
  <c r="Q62" i="50"/>
  <c r="AJ62" i="50"/>
  <c r="AE60" i="50"/>
  <c r="T59" i="50"/>
  <c r="T58" i="50"/>
  <c r="L60" i="50"/>
  <c r="S63" i="50"/>
  <c r="Z62" i="50"/>
  <c r="AA62" i="50"/>
  <c r="S60" i="50"/>
  <c r="U63" i="50"/>
  <c r="AH61" i="50"/>
  <c r="AD60" i="50"/>
  <c r="AJ61" i="50"/>
  <c r="AF58" i="50"/>
  <c r="AH60" i="50"/>
  <c r="U59" i="50"/>
  <c r="W59" i="50"/>
  <c r="N58" i="50"/>
  <c r="AM59" i="50"/>
  <c r="AE58" i="50"/>
  <c r="Y58" i="50"/>
  <c r="N60" i="50"/>
  <c r="X63" i="50"/>
  <c r="AG59" i="50"/>
  <c r="X61" i="50"/>
  <c r="X62" i="50"/>
  <c r="M61" i="50"/>
  <c r="AG60" i="50"/>
  <c r="AM60" i="50"/>
  <c r="AN63" i="50"/>
  <c r="V61" i="50"/>
  <c r="AI60" i="50"/>
  <c r="O59" i="50"/>
  <c r="AC59" i="50"/>
  <c r="AL60" i="50"/>
  <c r="AF63" i="50"/>
  <c r="AI58" i="50"/>
  <c r="V63" i="50"/>
  <c r="AE61" i="50"/>
  <c r="M58" i="50"/>
  <c r="U62" i="50"/>
  <c r="AM63" i="50"/>
  <c r="AO62" i="50"/>
  <c r="AK63" i="50"/>
  <c r="AL63" i="50"/>
  <c r="X60" i="50"/>
  <c r="L63" i="50"/>
  <c r="AK62" i="50"/>
  <c r="O60" i="50"/>
  <c r="AL59" i="50"/>
  <c r="O61" i="50"/>
  <c r="V58" i="50"/>
  <c r="Y60" i="50"/>
  <c r="AJ63" i="50"/>
  <c r="R60" i="50"/>
  <c r="O62" i="50"/>
  <c r="AB60" i="50"/>
  <c r="P59" i="50"/>
  <c r="Y62" i="50"/>
  <c r="N61" i="50"/>
  <c r="AI61" i="50"/>
  <c r="AM62" i="50"/>
  <c r="AA61" i="50"/>
  <c r="V59" i="50"/>
  <c r="AB63" i="50"/>
  <c r="AC62" i="50"/>
  <c r="M60" i="50"/>
  <c r="Y61" i="50"/>
  <c r="X58" i="50"/>
  <c r="AM61" i="50"/>
  <c r="AO59" i="50"/>
  <c r="AD63" i="50"/>
  <c r="P61" i="50"/>
  <c r="Q61" i="50"/>
  <c r="AF60" i="50"/>
  <c r="AG61" i="50"/>
  <c r="L59" i="50"/>
  <c r="T62" i="50"/>
  <c r="N62" i="50"/>
  <c r="V60" i="50"/>
  <c r="AC63" i="50"/>
  <c r="AD61" i="50"/>
  <c r="AJ59" i="50"/>
  <c r="Y59" i="50"/>
  <c r="Z60" i="50"/>
  <c r="AO63" i="50"/>
  <c r="AK61" i="50"/>
  <c r="AD58" i="50"/>
  <c r="AF59" i="50"/>
  <c r="AH62" i="50"/>
  <c r="AA60" i="50"/>
  <c r="T63" i="50"/>
  <c r="AB59" i="50"/>
  <c r="N59" i="50"/>
  <c r="W61" i="50"/>
  <c r="T61" i="50"/>
  <c r="Z61" i="50"/>
  <c r="AI63" i="50"/>
  <c r="AE63" i="50"/>
  <c r="U60" i="50"/>
  <c r="S62" i="50"/>
  <c r="L58" i="50"/>
  <c r="L61" i="50"/>
  <c r="AE62" i="50"/>
  <c r="P60" i="50"/>
  <c r="P62" i="50"/>
  <c r="AC60" i="50"/>
  <c r="AH59" i="50"/>
  <c r="Q63" i="50"/>
  <c r="Z63" i="50"/>
  <c r="W63" i="50"/>
  <c r="AG58" i="50"/>
  <c r="AC61" i="50"/>
  <c r="L62" i="50"/>
  <c r="AA58" i="50"/>
  <c r="R62" i="50"/>
  <c r="AH63" i="50"/>
  <c r="M62" i="50"/>
  <c r="W60" i="50"/>
  <c r="AL58" i="50"/>
  <c r="AL61" i="50"/>
  <c r="N63" i="50"/>
  <c r="AK60" i="50"/>
  <c r="AO61" i="50"/>
  <c r="W58" i="50"/>
  <c r="AE59" i="50"/>
  <c r="P58" i="50"/>
  <c r="S58" i="50"/>
  <c r="AK59" i="50"/>
  <c r="AN62" i="50"/>
  <c r="AA63" i="50"/>
  <c r="AO60" i="50"/>
  <c r="Y63" i="50"/>
  <c r="O63" i="50"/>
  <c r="AF61" i="50"/>
  <c r="AB62" i="50"/>
  <c r="AD59" i="50"/>
  <c r="U58" i="50"/>
  <c r="Z59" i="50"/>
  <c r="AI62" i="50"/>
  <c r="P63" i="50"/>
  <c r="Q60" i="50"/>
  <c r="Q59" i="50"/>
  <c r="AN61" i="50"/>
  <c r="AN58" i="50"/>
  <c r="R58" i="50"/>
  <c r="AN60" i="50"/>
  <c r="AJ58" i="50"/>
  <c r="AD62" i="50"/>
  <c r="Q58" i="50"/>
  <c r="AF62" i="50"/>
  <c r="AG63" i="50"/>
  <c r="AI59" i="50"/>
  <c r="T60" i="50"/>
  <c r="AN59" i="50"/>
  <c r="AB61" i="50"/>
  <c r="S59" i="50"/>
  <c r="M63" i="50"/>
  <c r="W62" i="50"/>
  <c r="AG62" i="50"/>
  <c r="AM58" i="50"/>
  <c r="AK58" i="50"/>
  <c r="AB58" i="50"/>
  <c r="AH58" i="50"/>
  <c r="R61" i="50"/>
  <c r="R63" i="50"/>
  <c r="AL62" i="50"/>
  <c r="AC58" i="50"/>
  <c r="AJ60" i="50"/>
  <c r="O58" i="50"/>
  <c r="AO58" i="50"/>
  <c r="M59" i="50"/>
  <c r="X59" i="50"/>
  <c r="A17" i="141" l="1"/>
  <c r="F16" i="141"/>
  <c r="A17" i="140"/>
  <c r="F16" i="140"/>
  <c r="A17" i="139"/>
  <c r="F16" i="139"/>
  <c r="A17" i="138"/>
  <c r="F16" i="138"/>
  <c r="A17" i="137"/>
  <c r="F16" i="137"/>
  <c r="A17" i="136"/>
  <c r="F16" i="136"/>
  <c r="A17" i="135"/>
  <c r="F16" i="135"/>
  <c r="A17" i="134"/>
  <c r="F16" i="134"/>
  <c r="A17" i="133"/>
  <c r="F16" i="133"/>
  <c r="A17" i="132"/>
  <c r="F16" i="132"/>
  <c r="A17" i="131"/>
  <c r="F16" i="131"/>
  <c r="A17" i="130"/>
  <c r="F16" i="130"/>
  <c r="A17" i="129"/>
  <c r="F16" i="129"/>
  <c r="A17" i="128"/>
  <c r="F16" i="128"/>
  <c r="A17" i="127"/>
  <c r="F16" i="127"/>
  <c r="A17" i="126"/>
  <c r="F16" i="126"/>
  <c r="A17" i="125"/>
  <c r="F16" i="125"/>
  <c r="A17" i="123"/>
  <c r="F16" i="123"/>
  <c r="A17" i="122"/>
  <c r="F16" i="122"/>
  <c r="A16" i="121"/>
  <c r="F15" i="121"/>
  <c r="F63" i="50"/>
  <c r="F62" i="50"/>
  <c r="F61" i="50"/>
  <c r="F59" i="50"/>
  <c r="F60" i="50"/>
  <c r="F58" i="50"/>
  <c r="A18" i="141" l="1"/>
  <c r="F17" i="141"/>
  <c r="A18" i="140"/>
  <c r="F17" i="140"/>
  <c r="A18" i="139"/>
  <c r="F17" i="139"/>
  <c r="A18" i="138"/>
  <c r="F17" i="138"/>
  <c r="A18" i="137"/>
  <c r="F17" i="137"/>
  <c r="A18" i="136"/>
  <c r="F17" i="136"/>
  <c r="A18" i="135"/>
  <c r="F17" i="135"/>
  <c r="A18" i="134"/>
  <c r="F17" i="134"/>
  <c r="A18" i="133"/>
  <c r="F17" i="133"/>
  <c r="A18" i="132"/>
  <c r="F17" i="132"/>
  <c r="A18" i="131"/>
  <c r="F17" i="131"/>
  <c r="A18" i="130"/>
  <c r="F17" i="130"/>
  <c r="A18" i="129"/>
  <c r="F17" i="129"/>
  <c r="A18" i="128"/>
  <c r="F17" i="128"/>
  <c r="A18" i="127"/>
  <c r="F17" i="127"/>
  <c r="A18" i="126"/>
  <c r="F17" i="126"/>
  <c r="A18" i="125"/>
  <c r="F17" i="125"/>
  <c r="A18" i="123"/>
  <c r="F17" i="123"/>
  <c r="A18" i="122"/>
  <c r="F17" i="122"/>
  <c r="A17" i="121"/>
  <c r="F16"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A19" i="141" l="1"/>
  <c r="F18" i="141"/>
  <c r="A19" i="140"/>
  <c r="F18" i="140"/>
  <c r="A19" i="139"/>
  <c r="F18" i="139"/>
  <c r="A19" i="138"/>
  <c r="F18" i="138"/>
  <c r="A19" i="137"/>
  <c r="F18" i="137"/>
  <c r="A19" i="136"/>
  <c r="F18" i="136"/>
  <c r="A19" i="135"/>
  <c r="F18" i="135"/>
  <c r="A19" i="134"/>
  <c r="F18" i="134"/>
  <c r="A19" i="133"/>
  <c r="F18" i="133"/>
  <c r="F18" i="132"/>
  <c r="A19" i="132"/>
  <c r="A19" i="131"/>
  <c r="F18" i="131"/>
  <c r="A19" i="130"/>
  <c r="F18" i="130"/>
  <c r="A19" i="129"/>
  <c r="F18" i="129"/>
  <c r="A19" i="128"/>
  <c r="F18" i="128"/>
  <c r="A19" i="127"/>
  <c r="F18" i="127"/>
  <c r="A19" i="126"/>
  <c r="F18" i="126"/>
  <c r="A19" i="125"/>
  <c r="F18" i="125"/>
  <c r="A19" i="123"/>
  <c r="F18" i="123"/>
  <c r="A19" i="122"/>
  <c r="F18" i="122"/>
  <c r="A18" i="121"/>
  <c r="F17" i="121"/>
  <c r="C2" i="120"/>
  <c r="H3" i="120"/>
  <c r="H2" i="120" s="1"/>
  <c r="F2" i="120"/>
  <c r="L24" i="5"/>
  <c r="D56" i="50"/>
  <c r="L23" i="5"/>
  <c r="G23" i="5"/>
  <c r="C4" i="9"/>
  <c r="C5" i="9"/>
  <c r="U57" i="50"/>
  <c r="AJ57" i="50"/>
  <c r="AD56" i="50"/>
  <c r="S56" i="50"/>
  <c r="AI57" i="50"/>
  <c r="AI56" i="50"/>
  <c r="V57" i="50"/>
  <c r="N57" i="50"/>
  <c r="X56" i="50"/>
  <c r="AK57" i="50"/>
  <c r="AA56" i="50"/>
  <c r="AG57" i="50"/>
  <c r="AJ56" i="50"/>
  <c r="AL56" i="50"/>
  <c r="M57" i="50"/>
  <c r="Q56" i="50"/>
  <c r="M56" i="50"/>
  <c r="AK56" i="50"/>
  <c r="N56" i="50"/>
  <c r="X57" i="50"/>
  <c r="AL57" i="50"/>
  <c r="S57" i="50"/>
  <c r="AN56" i="50"/>
  <c r="AE57" i="50"/>
  <c r="AN57" i="50"/>
  <c r="AC56" i="50"/>
  <c r="L57" i="50"/>
  <c r="P56" i="50"/>
  <c r="AA57" i="50"/>
  <c r="W56" i="50"/>
  <c r="AC57" i="50"/>
  <c r="AE56" i="50"/>
  <c r="AH56" i="50"/>
  <c r="Y57" i="50"/>
  <c r="U56" i="50"/>
  <c r="W57" i="50"/>
  <c r="AO56" i="50"/>
  <c r="P57" i="50"/>
  <c r="R56" i="50"/>
  <c r="T57" i="50"/>
  <c r="AF56" i="50"/>
  <c r="AG56" i="50"/>
  <c r="Z57" i="50"/>
  <c r="T56" i="50"/>
  <c r="O56" i="50"/>
  <c r="AB57" i="50"/>
  <c r="V56" i="50"/>
  <c r="AO57" i="50"/>
  <c r="AH57" i="50"/>
  <c r="R57" i="50"/>
  <c r="Z56" i="50"/>
  <c r="AM57" i="50"/>
  <c r="AB56" i="50"/>
  <c r="AF57" i="50"/>
  <c r="AD57" i="50"/>
  <c r="Y56" i="50"/>
  <c r="Q57" i="50"/>
  <c r="O57" i="50"/>
  <c r="AM56" i="50"/>
  <c r="A20" i="141" l="1"/>
  <c r="F19" i="141"/>
  <c r="A20" i="140"/>
  <c r="F19" i="140"/>
  <c r="A20" i="139"/>
  <c r="F19" i="139"/>
  <c r="A20" i="138"/>
  <c r="F19" i="138"/>
  <c r="A20" i="137"/>
  <c r="F19" i="137"/>
  <c r="A20" i="136"/>
  <c r="F19" i="136"/>
  <c r="A20" i="135"/>
  <c r="F19" i="135"/>
  <c r="A20" i="134"/>
  <c r="F19" i="134"/>
  <c r="A20" i="133"/>
  <c r="F19" i="133"/>
  <c r="A20" i="132"/>
  <c r="F19" i="132"/>
  <c r="A20" i="131"/>
  <c r="F19" i="131"/>
  <c r="A20" i="130"/>
  <c r="F19" i="130"/>
  <c r="A20" i="129"/>
  <c r="F19" i="129"/>
  <c r="A20" i="128"/>
  <c r="F19" i="128"/>
  <c r="A20" i="127"/>
  <c r="F19" i="127"/>
  <c r="A20" i="126"/>
  <c r="F19" i="126"/>
  <c r="A20" i="125"/>
  <c r="F19" i="125"/>
  <c r="A20" i="123"/>
  <c r="F19" i="123"/>
  <c r="A20" i="122"/>
  <c r="F19" i="122"/>
  <c r="A19" i="121"/>
  <c r="F18" i="121"/>
  <c r="G24" i="5"/>
  <c r="F57" i="50"/>
  <c r="L56" i="50"/>
  <c r="A21" i="141" l="1"/>
  <c r="F20" i="141"/>
  <c r="A21" i="140"/>
  <c r="F20" i="140"/>
  <c r="A21" i="139"/>
  <c r="F20" i="139"/>
  <c r="A21" i="138"/>
  <c r="F20" i="138"/>
  <c r="A21" i="137"/>
  <c r="F20" i="137"/>
  <c r="A21" i="136"/>
  <c r="F20" i="136"/>
  <c r="A21" i="135"/>
  <c r="F20" i="135"/>
  <c r="A21" i="134"/>
  <c r="F20" i="134"/>
  <c r="A21" i="133"/>
  <c r="F20" i="133"/>
  <c r="A21" i="132"/>
  <c r="F20" i="132"/>
  <c r="A21" i="131"/>
  <c r="F20" i="131"/>
  <c r="A21" i="130"/>
  <c r="F20" i="130"/>
  <c r="A21" i="129"/>
  <c r="F20" i="129"/>
  <c r="A21" i="128"/>
  <c r="F20" i="128"/>
  <c r="A21" i="127"/>
  <c r="F20" i="127"/>
  <c r="A21" i="126"/>
  <c r="F20" i="126"/>
  <c r="A21" i="125"/>
  <c r="F20" i="125"/>
  <c r="A21" i="123"/>
  <c r="F20" i="123"/>
  <c r="A21" i="122"/>
  <c r="F20" i="122"/>
  <c r="A20" i="121"/>
  <c r="F19"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AC55" i="50"/>
  <c r="P55" i="50"/>
  <c r="AA55" i="50"/>
  <c r="AG55" i="50"/>
  <c r="W55" i="50"/>
  <c r="N55" i="50"/>
  <c r="U55" i="50"/>
  <c r="Z55" i="50"/>
  <c r="M55" i="50"/>
  <c r="Q55" i="50"/>
  <c r="AE55" i="50"/>
  <c r="AK55" i="50"/>
  <c r="AB55" i="50"/>
  <c r="AF55" i="50"/>
  <c r="L55" i="50"/>
  <c r="Y55" i="50"/>
  <c r="R55" i="50"/>
  <c r="AL55" i="50"/>
  <c r="T55" i="50"/>
  <c r="O55" i="50"/>
  <c r="V55" i="50"/>
  <c r="AH55" i="50"/>
  <c r="S55" i="50"/>
  <c r="AN55" i="50"/>
  <c r="AI55" i="50"/>
  <c r="AM55" i="50"/>
  <c r="AJ55" i="50"/>
  <c r="AO55" i="50"/>
  <c r="X55" i="50"/>
  <c r="AD55" i="50"/>
  <c r="F21" i="141" l="1"/>
  <c r="A22" i="141"/>
  <c r="F21" i="140"/>
  <c r="A22" i="140"/>
  <c r="F21" i="139"/>
  <c r="A22" i="139"/>
  <c r="F21" i="138"/>
  <c r="A22" i="138"/>
  <c r="F21" i="137"/>
  <c r="A22" i="137"/>
  <c r="F21" i="136"/>
  <c r="A22" i="136"/>
  <c r="F21" i="135"/>
  <c r="A22" i="135"/>
  <c r="F21" i="134"/>
  <c r="A22" i="134"/>
  <c r="F21" i="133"/>
  <c r="A22" i="133"/>
  <c r="F21" i="132"/>
  <c r="A22" i="132"/>
  <c r="F21" i="131"/>
  <c r="A22" i="131"/>
  <c r="F21" i="130"/>
  <c r="A22" i="130"/>
  <c r="F21" i="129"/>
  <c r="A22" i="129"/>
  <c r="F21" i="128"/>
  <c r="A22" i="128"/>
  <c r="F21" i="127"/>
  <c r="A22" i="127"/>
  <c r="F21" i="126"/>
  <c r="A22" i="126"/>
  <c r="F21" i="125"/>
  <c r="A22" i="125"/>
  <c r="F21" i="123"/>
  <c r="A22" i="123"/>
  <c r="F21" i="122"/>
  <c r="A22" i="122"/>
  <c r="A21" i="121"/>
  <c r="F20" i="121"/>
  <c r="J56" i="50"/>
  <c r="H56" i="50"/>
  <c r="F55" i="50"/>
  <c r="F22" i="141" l="1"/>
  <c r="A23" i="141"/>
  <c r="F22" i="140"/>
  <c r="A23" i="140"/>
  <c r="F22" i="139"/>
  <c r="A23" i="139"/>
  <c r="F22" i="138"/>
  <c r="A23" i="138"/>
  <c r="F22" i="137"/>
  <c r="A23" i="137"/>
  <c r="F22" i="136"/>
  <c r="A23" i="136"/>
  <c r="F22" i="135"/>
  <c r="A23" i="135"/>
  <c r="F22" i="134"/>
  <c r="A23" i="134"/>
  <c r="F22" i="133"/>
  <c r="A23" i="133"/>
  <c r="F22" i="132"/>
  <c r="A23" i="132"/>
  <c r="F22" i="131"/>
  <c r="A23" i="131"/>
  <c r="F22" i="130"/>
  <c r="A23" i="130"/>
  <c r="F22" i="129"/>
  <c r="A23" i="129"/>
  <c r="F22" i="128"/>
  <c r="A23" i="128"/>
  <c r="F22" i="127"/>
  <c r="A23" i="127"/>
  <c r="F22" i="126"/>
  <c r="A23" i="126"/>
  <c r="F22" i="125"/>
  <c r="A23" i="125"/>
  <c r="F22" i="123"/>
  <c r="A23" i="123"/>
  <c r="F22" i="122"/>
  <c r="A23" i="122"/>
  <c r="F21" i="121"/>
  <c r="A22" i="121"/>
  <c r="J55" i="50"/>
  <c r="H55" i="50"/>
  <c r="F23" i="141" l="1"/>
  <c r="A24" i="141"/>
  <c r="F23" i="140"/>
  <c r="A24" i="140"/>
  <c r="F23" i="139"/>
  <c r="A24" i="139"/>
  <c r="F23" i="138"/>
  <c r="A24" i="138"/>
  <c r="F23" i="137"/>
  <c r="A24" i="137"/>
  <c r="F23" i="136"/>
  <c r="A24" i="136"/>
  <c r="F23" i="135"/>
  <c r="A24" i="135"/>
  <c r="F23" i="134"/>
  <c r="A24" i="134"/>
  <c r="F23" i="133"/>
  <c r="A24" i="133"/>
  <c r="F23" i="132"/>
  <c r="A24" i="132"/>
  <c r="F23" i="131"/>
  <c r="A24" i="131"/>
  <c r="F23" i="130"/>
  <c r="A24" i="130"/>
  <c r="F23" i="129"/>
  <c r="A24" i="129"/>
  <c r="F23" i="128"/>
  <c r="A24" i="128"/>
  <c r="F23" i="127"/>
  <c r="A24" i="127"/>
  <c r="F23" i="126"/>
  <c r="A24" i="126"/>
  <c r="F23" i="125"/>
  <c r="A24" i="125"/>
  <c r="F23" i="123"/>
  <c r="A24" i="123"/>
  <c r="F23" i="122"/>
  <c r="A24" i="122"/>
  <c r="F22" i="121"/>
  <c r="A23" i="121"/>
  <c r="AG6" i="1"/>
  <c r="AG7" i="1"/>
  <c r="AG8" i="1"/>
  <c r="AG9" i="1"/>
  <c r="AG10" i="1"/>
  <c r="AG11" i="1"/>
  <c r="AG12" i="1"/>
  <c r="AG13" i="1"/>
  <c r="AG14" i="1"/>
  <c r="AG15" i="1"/>
  <c r="AG16" i="1"/>
  <c r="AG17" i="1"/>
  <c r="AG18" i="1"/>
  <c r="AG19" i="1"/>
  <c r="AG20" i="1"/>
  <c r="AG21" i="1"/>
  <c r="AG22" i="1"/>
  <c r="AG5" i="1"/>
  <c r="F24" i="141" l="1"/>
  <c r="A25" i="141"/>
  <c r="F24" i="140"/>
  <c r="A25" i="140"/>
  <c r="F24" i="139"/>
  <c r="A25" i="139"/>
  <c r="F24" i="138"/>
  <c r="A25" i="138"/>
  <c r="F24" i="137"/>
  <c r="A25" i="137"/>
  <c r="F24" i="136"/>
  <c r="A25" i="136"/>
  <c r="F24" i="135"/>
  <c r="A25" i="135"/>
  <c r="F24" i="134"/>
  <c r="A25" i="134"/>
  <c r="F24" i="133"/>
  <c r="A25" i="133"/>
  <c r="F24" i="132"/>
  <c r="A25" i="132"/>
  <c r="F24" i="131"/>
  <c r="A25" i="131"/>
  <c r="F24" i="130"/>
  <c r="A25" i="130"/>
  <c r="F24" i="129"/>
  <c r="A25" i="129"/>
  <c r="F24" i="128"/>
  <c r="A25" i="128"/>
  <c r="F24" i="127"/>
  <c r="A25" i="127"/>
  <c r="F24" i="126"/>
  <c r="A25" i="126"/>
  <c r="F24" i="125"/>
  <c r="A25" i="125"/>
  <c r="F24" i="123"/>
  <c r="A25" i="123"/>
  <c r="F24" i="122"/>
  <c r="A25" i="122"/>
  <c r="F23" i="121"/>
  <c r="A24" i="121"/>
  <c r="AG4" i="1"/>
  <c r="P4" i="1"/>
  <c r="R4" i="4"/>
  <c r="S4" i="4"/>
  <c r="T4" i="4"/>
  <c r="Q4" i="4"/>
  <c r="F4" i="4"/>
  <c r="P4" i="4"/>
  <c r="R4" i="5"/>
  <c r="S4" i="5"/>
  <c r="T4" i="5"/>
  <c r="Q4" i="5"/>
  <c r="P4" i="5"/>
  <c r="E4" i="5"/>
  <c r="F25" i="141" l="1"/>
  <c r="A26" i="141"/>
  <c r="F25" i="140"/>
  <c r="A26" i="140"/>
  <c r="F25" i="139"/>
  <c r="A26" i="139"/>
  <c r="F25" i="138"/>
  <c r="A26" i="138"/>
  <c r="F25" i="137"/>
  <c r="A26" i="137"/>
  <c r="F25" i="136"/>
  <c r="A26" i="136"/>
  <c r="F25" i="135"/>
  <c r="A26" i="135"/>
  <c r="F25" i="134"/>
  <c r="A26" i="134"/>
  <c r="F25" i="133"/>
  <c r="A26" i="133"/>
  <c r="F25" i="132"/>
  <c r="A26" i="132"/>
  <c r="F25" i="131"/>
  <c r="A26" i="131"/>
  <c r="F25" i="130"/>
  <c r="A26" i="130"/>
  <c r="F25" i="129"/>
  <c r="A26" i="129"/>
  <c r="F25" i="128"/>
  <c r="A26" i="128"/>
  <c r="F25" i="127"/>
  <c r="A26" i="127"/>
  <c r="F25" i="126"/>
  <c r="A26" i="126"/>
  <c r="F25" i="125"/>
  <c r="A26" i="125"/>
  <c r="F25" i="123"/>
  <c r="A26" i="123"/>
  <c r="F25" i="122"/>
  <c r="A26" i="122"/>
  <c r="F24" i="121"/>
  <c r="A25" i="121"/>
  <c r="T4" i="1"/>
  <c r="S4" i="1"/>
  <c r="R4" i="1"/>
  <c r="Q4" i="1"/>
  <c r="F4" i="1"/>
  <c r="H5" i="1"/>
  <c r="H22" i="1"/>
  <c r="H21" i="1"/>
  <c r="AO51" i="50"/>
  <c r="AC53" i="50"/>
  <c r="T52" i="50"/>
  <c r="P51" i="50"/>
  <c r="R51" i="50"/>
  <c r="AK52" i="50"/>
  <c r="R54" i="50"/>
  <c r="AF53" i="50"/>
  <c r="P52" i="50"/>
  <c r="T51" i="50"/>
  <c r="O54" i="50"/>
  <c r="V54" i="50"/>
  <c r="AI54" i="50"/>
  <c r="AE53" i="50"/>
  <c r="AO54" i="50"/>
  <c r="P54" i="50"/>
  <c r="AJ54" i="50"/>
  <c r="Z54" i="50"/>
  <c r="AA53" i="50"/>
  <c r="AO53" i="50"/>
  <c r="Y51" i="50"/>
  <c r="AM54" i="50"/>
  <c r="S51" i="50"/>
  <c r="U52" i="50"/>
  <c r="U53" i="50"/>
  <c r="AF52" i="50"/>
  <c r="AD54" i="50"/>
  <c r="AK54" i="50"/>
  <c r="S52" i="50"/>
  <c r="X52" i="50"/>
  <c r="AC51" i="50"/>
  <c r="X53" i="50"/>
  <c r="AJ51" i="50"/>
  <c r="AB51" i="50"/>
  <c r="AI52" i="50"/>
  <c r="Y54" i="50"/>
  <c r="AI53" i="50"/>
  <c r="AF51" i="50"/>
  <c r="AG53" i="50"/>
  <c r="W53" i="50"/>
  <c r="W52" i="50"/>
  <c r="AH52" i="50"/>
  <c r="S53" i="50"/>
  <c r="AL51" i="50"/>
  <c r="S54" i="50"/>
  <c r="V52" i="50"/>
  <c r="Q52" i="50"/>
  <c r="AJ53" i="50"/>
  <c r="N53" i="50"/>
  <c r="AE51" i="50"/>
  <c r="AH53" i="50"/>
  <c r="AB54" i="50"/>
  <c r="AN51" i="50"/>
  <c r="AN53" i="50"/>
  <c r="AJ52" i="50"/>
  <c r="N54" i="50"/>
  <c r="AC54" i="50"/>
  <c r="AM51" i="50"/>
  <c r="Z51" i="50"/>
  <c r="AB53" i="50"/>
  <c r="AD51" i="50"/>
  <c r="M52" i="50"/>
  <c r="W51" i="50"/>
  <c r="Z53" i="50"/>
  <c r="AH54" i="50"/>
  <c r="AG52" i="50"/>
  <c r="AG54" i="50"/>
  <c r="Q51" i="50"/>
  <c r="M51" i="50"/>
  <c r="N51" i="50"/>
  <c r="W54" i="50"/>
  <c r="AE52" i="50"/>
  <c r="AG51" i="50"/>
  <c r="U54" i="50"/>
  <c r="O51" i="50"/>
  <c r="Y52" i="50"/>
  <c r="R52" i="50"/>
  <c r="Q54" i="50"/>
  <c r="M54" i="50"/>
  <c r="Q53" i="50"/>
  <c r="AN52" i="50"/>
  <c r="AL52" i="50"/>
  <c r="V51" i="50"/>
  <c r="N52" i="50"/>
  <c r="AE54" i="50"/>
  <c r="AM53" i="50"/>
  <c r="AL54" i="50"/>
  <c r="AA51" i="50"/>
  <c r="AK53" i="50"/>
  <c r="AM52" i="50"/>
  <c r="AF54" i="50"/>
  <c r="V53" i="50"/>
  <c r="AD53" i="50"/>
  <c r="X51" i="50"/>
  <c r="AL53" i="50"/>
  <c r="AH51" i="50"/>
  <c r="AD52" i="50"/>
  <c r="Y53" i="50"/>
  <c r="AI51" i="50"/>
  <c r="X54" i="50"/>
  <c r="AB52" i="50"/>
  <c r="AA54" i="50"/>
  <c r="AA52" i="50"/>
  <c r="AN54" i="50"/>
  <c r="T54" i="50"/>
  <c r="M53" i="50"/>
  <c r="R53" i="50"/>
  <c r="Z52" i="50"/>
  <c r="P53" i="50"/>
  <c r="T53" i="50"/>
  <c r="O52" i="50"/>
  <c r="AK51" i="50"/>
  <c r="O53" i="50"/>
  <c r="AO52" i="50"/>
  <c r="U51" i="50"/>
  <c r="AC52" i="50"/>
  <c r="F26" i="141" l="1"/>
  <c r="A27" i="141"/>
  <c r="F26" i="140"/>
  <c r="A27" i="140"/>
  <c r="F26" i="139"/>
  <c r="A27" i="139"/>
  <c r="F26" i="138"/>
  <c r="A27" i="138"/>
  <c r="F26" i="137"/>
  <c r="A27" i="137"/>
  <c r="F26" i="136"/>
  <c r="A27" i="136"/>
  <c r="F26" i="135"/>
  <c r="A27" i="135"/>
  <c r="F26" i="134"/>
  <c r="A27" i="134"/>
  <c r="F26" i="133"/>
  <c r="A27" i="133"/>
  <c r="F26" i="132"/>
  <c r="A27" i="132"/>
  <c r="F26" i="131"/>
  <c r="A27" i="131"/>
  <c r="F26" i="130"/>
  <c r="A27" i="130"/>
  <c r="F26" i="129"/>
  <c r="A27" i="129"/>
  <c r="F26" i="128"/>
  <c r="A27" i="128"/>
  <c r="F26" i="127"/>
  <c r="A27" i="127"/>
  <c r="F26" i="126"/>
  <c r="A27" i="126"/>
  <c r="F26" i="125"/>
  <c r="A27" i="125"/>
  <c r="F26" i="123"/>
  <c r="A27" i="123"/>
  <c r="F26" i="122"/>
  <c r="A27" i="122"/>
  <c r="F25" i="121"/>
  <c r="A26" i="121"/>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27" i="141" l="1"/>
  <c r="A28" i="141"/>
  <c r="F27" i="140"/>
  <c r="A28" i="140"/>
  <c r="F27" i="139"/>
  <c r="A28" i="139"/>
  <c r="F27" i="138"/>
  <c r="A28" i="138"/>
  <c r="F27" i="137"/>
  <c r="A28" i="137"/>
  <c r="F27" i="136"/>
  <c r="A28" i="136"/>
  <c r="F27" i="135"/>
  <c r="A28" i="135"/>
  <c r="F27" i="134"/>
  <c r="A28" i="134"/>
  <c r="F27" i="133"/>
  <c r="A28" i="133"/>
  <c r="F27" i="132"/>
  <c r="A28" i="132"/>
  <c r="F27" i="131"/>
  <c r="A28" i="131"/>
  <c r="F27" i="130"/>
  <c r="A28" i="130"/>
  <c r="F27" i="129"/>
  <c r="A28" i="129"/>
  <c r="F27" i="128"/>
  <c r="A28" i="128"/>
  <c r="F27" i="127"/>
  <c r="A28" i="127"/>
  <c r="F27" i="126"/>
  <c r="A28" i="126"/>
  <c r="F27" i="125"/>
  <c r="A28" i="125"/>
  <c r="F27" i="123"/>
  <c r="A28" i="123"/>
  <c r="F27" i="122"/>
  <c r="A28" i="122"/>
  <c r="F26" i="121"/>
  <c r="A27" i="121"/>
  <c r="I1" i="9"/>
  <c r="H1" i="95"/>
  <c r="F28" i="141" l="1"/>
  <c r="A29" i="141"/>
  <c r="F28" i="140"/>
  <c r="A29" i="140"/>
  <c r="F28" i="139"/>
  <c r="A29" i="139"/>
  <c r="F28" i="138"/>
  <c r="A29" i="138"/>
  <c r="F28" i="137"/>
  <c r="A29" i="137"/>
  <c r="F28" i="136"/>
  <c r="A29" i="136"/>
  <c r="F28" i="135"/>
  <c r="A29" i="135"/>
  <c r="F28" i="134"/>
  <c r="A29" i="134"/>
  <c r="F28" i="133"/>
  <c r="A29" i="133"/>
  <c r="F28" i="132"/>
  <c r="A29" i="132"/>
  <c r="F28" i="131"/>
  <c r="A29" i="131"/>
  <c r="F28" i="130"/>
  <c r="A29" i="130"/>
  <c r="F28" i="129"/>
  <c r="A29" i="129"/>
  <c r="F28" i="128"/>
  <c r="A29" i="128"/>
  <c r="F28" i="127"/>
  <c r="A29" i="127"/>
  <c r="F28" i="126"/>
  <c r="A29" i="126"/>
  <c r="F28" i="125"/>
  <c r="A29" i="125"/>
  <c r="F28" i="123"/>
  <c r="A29" i="123"/>
  <c r="F28" i="122"/>
  <c r="A29" i="122"/>
  <c r="F27" i="121"/>
  <c r="A28" i="121"/>
  <c r="H20" i="1"/>
  <c r="M20" i="1"/>
  <c r="F29" i="141" l="1"/>
  <c r="A30" i="141"/>
  <c r="F29" i="140"/>
  <c r="A30" i="140"/>
  <c r="F29" i="139"/>
  <c r="A30" i="139"/>
  <c r="F29" i="138"/>
  <c r="A30" i="138"/>
  <c r="F29" i="137"/>
  <c r="A30" i="137"/>
  <c r="F29" i="136"/>
  <c r="A30" i="136"/>
  <c r="F29" i="135"/>
  <c r="A30" i="135"/>
  <c r="F29" i="134"/>
  <c r="A30" i="134"/>
  <c r="F29" i="133"/>
  <c r="A30" i="133"/>
  <c r="F29" i="132"/>
  <c r="A30" i="132"/>
  <c r="F29" i="131"/>
  <c r="A30" i="131"/>
  <c r="F29" i="130"/>
  <c r="A30" i="130"/>
  <c r="F29" i="129"/>
  <c r="A30" i="129"/>
  <c r="F29" i="128"/>
  <c r="A30" i="128"/>
  <c r="F29" i="127"/>
  <c r="A30" i="127"/>
  <c r="F29" i="126"/>
  <c r="A30" i="126"/>
  <c r="F29" i="125"/>
  <c r="A30" i="125"/>
  <c r="F29" i="123"/>
  <c r="A30" i="123"/>
  <c r="F29" i="122"/>
  <c r="A30" i="122"/>
  <c r="F28" i="121"/>
  <c r="A29" i="121"/>
  <c r="F2" i="76"/>
  <c r="K2" i="76" s="1"/>
  <c r="D2" i="76"/>
  <c r="F30" i="141" l="1"/>
  <c r="A31" i="141"/>
  <c r="G24" i="141" s="1"/>
  <c r="G27" i="141"/>
  <c r="G28" i="141"/>
  <c r="G30" i="141"/>
  <c r="F30" i="140"/>
  <c r="A31" i="140"/>
  <c r="G27" i="140"/>
  <c r="G30" i="140"/>
  <c r="F30" i="139"/>
  <c r="A31" i="139"/>
  <c r="G29" i="139" s="1"/>
  <c r="G24" i="139"/>
  <c r="G26" i="139"/>
  <c r="G30" i="139"/>
  <c r="G26" i="138"/>
  <c r="F30" i="138"/>
  <c r="A31" i="138"/>
  <c r="G27" i="138"/>
  <c r="F30" i="137"/>
  <c r="G30" i="137" s="1"/>
  <c r="A31" i="137"/>
  <c r="G28" i="137"/>
  <c r="G26" i="137"/>
  <c r="G26" i="136"/>
  <c r="F30" i="136"/>
  <c r="G30" i="136" s="1"/>
  <c r="A31" i="136"/>
  <c r="G24" i="136"/>
  <c r="G28" i="136"/>
  <c r="F30" i="135"/>
  <c r="A31" i="135"/>
  <c r="G29" i="135" s="1"/>
  <c r="F30" i="134"/>
  <c r="A31" i="134"/>
  <c r="G27" i="134" s="1"/>
  <c r="F30" i="133"/>
  <c r="A31" i="133"/>
  <c r="G28" i="133" s="1"/>
  <c r="F30" i="132"/>
  <c r="A31" i="132"/>
  <c r="G28" i="132"/>
  <c r="G26" i="132"/>
  <c r="F30" i="131"/>
  <c r="A31" i="131"/>
  <c r="F30" i="130"/>
  <c r="A31" i="130"/>
  <c r="F30" i="129"/>
  <c r="A31" i="129"/>
  <c r="G29" i="129"/>
  <c r="G28" i="129"/>
  <c r="G24" i="129"/>
  <c r="G27" i="129"/>
  <c r="G30" i="129"/>
  <c r="G25" i="129"/>
  <c r="F30" i="128"/>
  <c r="A31" i="128"/>
  <c r="G30" i="128" s="1"/>
  <c r="F30" i="127"/>
  <c r="A31" i="127"/>
  <c r="G27" i="126"/>
  <c r="F30" i="126"/>
  <c r="A31" i="126"/>
  <c r="G29" i="126"/>
  <c r="G30" i="126"/>
  <c r="F30" i="125"/>
  <c r="A31" i="125"/>
  <c r="F30" i="123"/>
  <c r="A31" i="123"/>
  <c r="F30" i="122"/>
  <c r="A31" i="122"/>
  <c r="G28" i="122" s="1"/>
  <c r="F29" i="121"/>
  <c r="A30" i="121"/>
  <c r="G2" i="76"/>
  <c r="I2" i="76" s="1"/>
  <c r="E2" i="76"/>
  <c r="F31" i="141" l="1"/>
  <c r="F32" i="141"/>
  <c r="G32" i="141" s="1"/>
  <c r="G3" i="141"/>
  <c r="G4" i="141"/>
  <c r="G6" i="141"/>
  <c r="G5" i="141"/>
  <c r="G7" i="141"/>
  <c r="G10" i="141"/>
  <c r="G8" i="141"/>
  <c r="G9" i="141"/>
  <c r="G11" i="141"/>
  <c r="G14" i="141"/>
  <c r="G12" i="141"/>
  <c r="G13" i="141"/>
  <c r="G15" i="141"/>
  <c r="G16" i="141"/>
  <c r="G17" i="141"/>
  <c r="G19" i="141"/>
  <c r="G18" i="141"/>
  <c r="G20" i="141"/>
  <c r="G21" i="141"/>
  <c r="G23" i="141"/>
  <c r="G22" i="141"/>
  <c r="G26" i="141"/>
  <c r="G25" i="141"/>
  <c r="G29" i="141"/>
  <c r="G31" i="141"/>
  <c r="F31" i="140"/>
  <c r="F32" i="140"/>
  <c r="G32" i="140" s="1"/>
  <c r="G3" i="140"/>
  <c r="G6" i="140"/>
  <c r="G4" i="140"/>
  <c r="G5" i="140"/>
  <c r="G8" i="140"/>
  <c r="G7" i="140"/>
  <c r="G9" i="140"/>
  <c r="G10" i="140"/>
  <c r="G13" i="140"/>
  <c r="G12" i="140"/>
  <c r="G14" i="140"/>
  <c r="G11" i="140"/>
  <c r="G15" i="140"/>
  <c r="G16" i="140"/>
  <c r="G18" i="140"/>
  <c r="G19" i="140"/>
  <c r="G17" i="140"/>
  <c r="G21" i="140"/>
  <c r="G20" i="140"/>
  <c r="G25" i="140"/>
  <c r="G23" i="140"/>
  <c r="G22" i="140"/>
  <c r="G24" i="140"/>
  <c r="G29" i="140"/>
  <c r="G31" i="140"/>
  <c r="G28" i="140"/>
  <c r="G26" i="140"/>
  <c r="G27" i="139"/>
  <c r="F31" i="139"/>
  <c r="F32" i="139"/>
  <c r="G32" i="139" s="1"/>
  <c r="G3" i="139"/>
  <c r="G6" i="139" s="1"/>
  <c r="G4" i="139"/>
  <c r="G5" i="139"/>
  <c r="G7" i="139"/>
  <c r="G8" i="139"/>
  <c r="G9" i="139"/>
  <c r="G10" i="139"/>
  <c r="G11" i="139"/>
  <c r="G12" i="139"/>
  <c r="G13" i="139"/>
  <c r="G15" i="139"/>
  <c r="G14" i="139"/>
  <c r="G17" i="139"/>
  <c r="G16" i="139"/>
  <c r="G21" i="139"/>
  <c r="G18" i="139"/>
  <c r="G19" i="139"/>
  <c r="G22" i="139"/>
  <c r="G20" i="139"/>
  <c r="G25" i="139"/>
  <c r="G23" i="139"/>
  <c r="G28" i="139"/>
  <c r="G31" i="139"/>
  <c r="F31" i="138"/>
  <c r="F32" i="138"/>
  <c r="G32" i="138" s="1"/>
  <c r="G3" i="138"/>
  <c r="G6" i="138"/>
  <c r="G4" i="138"/>
  <c r="G5" i="138" s="1"/>
  <c r="G7" i="138"/>
  <c r="G8" i="138"/>
  <c r="G9" i="138"/>
  <c r="G12" i="138"/>
  <c r="G10" i="138"/>
  <c r="G11" i="138"/>
  <c r="G15" i="138"/>
  <c r="G13" i="138"/>
  <c r="G16" i="138"/>
  <c r="G17" i="138"/>
  <c r="G14" i="138"/>
  <c r="G18" i="138"/>
  <c r="G20" i="138"/>
  <c r="G21" i="138"/>
  <c r="G19" i="138"/>
  <c r="G22" i="138"/>
  <c r="G23" i="138"/>
  <c r="G24" i="138"/>
  <c r="G29" i="138"/>
  <c r="G28" i="138"/>
  <c r="G30" i="138"/>
  <c r="G25" i="138"/>
  <c r="G31" i="138"/>
  <c r="F31" i="137"/>
  <c r="F32" i="137"/>
  <c r="G32" i="137" s="1"/>
  <c r="G3" i="137"/>
  <c r="G4" i="137"/>
  <c r="G6" i="137"/>
  <c r="G5" i="137"/>
  <c r="G8" i="137"/>
  <c r="G7" i="137"/>
  <c r="G9" i="137"/>
  <c r="G12" i="137"/>
  <c r="G10" i="137"/>
  <c r="G13" i="137"/>
  <c r="G11" i="137"/>
  <c r="G14" i="137"/>
  <c r="G15" i="137"/>
  <c r="G17" i="137"/>
  <c r="G16" i="137"/>
  <c r="G18" i="137"/>
  <c r="G19" i="137"/>
  <c r="G20" i="137"/>
  <c r="G24" i="137"/>
  <c r="G23" i="137"/>
  <c r="G21" i="137"/>
  <c r="G25" i="137"/>
  <c r="G22" i="137"/>
  <c r="G29" i="137"/>
  <c r="G31" i="137"/>
  <c r="G27" i="137"/>
  <c r="F31" i="136"/>
  <c r="F32" i="136"/>
  <c r="G32" i="136" s="1"/>
  <c r="G3" i="136"/>
  <c r="G5" i="136"/>
  <c r="G4" i="136"/>
  <c r="G6" i="136"/>
  <c r="G7" i="136"/>
  <c r="G8" i="136"/>
  <c r="G10" i="136"/>
  <c r="G9" i="136"/>
  <c r="G11" i="136"/>
  <c r="G13" i="136"/>
  <c r="G14" i="136"/>
  <c r="G12" i="136"/>
  <c r="G15" i="136"/>
  <c r="G16" i="136"/>
  <c r="G18" i="136"/>
  <c r="G19" i="136"/>
  <c r="G17" i="136"/>
  <c r="G20" i="136"/>
  <c r="G22" i="136"/>
  <c r="G21" i="136"/>
  <c r="G25" i="136"/>
  <c r="G23" i="136"/>
  <c r="G29" i="136"/>
  <c r="G27" i="136"/>
  <c r="G31" i="136"/>
  <c r="F31" i="135"/>
  <c r="G31" i="135" s="1"/>
  <c r="F32" i="135"/>
  <c r="G32" i="135" s="1"/>
  <c r="G4" i="135"/>
  <c r="G3" i="135"/>
  <c r="G5" i="135"/>
  <c r="G6" i="135"/>
  <c r="G7" i="135"/>
  <c r="G9" i="135"/>
  <c r="G8" i="135"/>
  <c r="G11" i="135"/>
  <c r="G10" i="135"/>
  <c r="G12" i="135"/>
  <c r="G14" i="135"/>
  <c r="G13" i="135"/>
  <c r="G16" i="135"/>
  <c r="G15" i="135"/>
  <c r="G18" i="135"/>
  <c r="G17" i="135"/>
  <c r="G19" i="135"/>
  <c r="G21" i="135"/>
  <c r="G20" i="135"/>
  <c r="G22" i="135"/>
  <c r="G24" i="135"/>
  <c r="G23" i="135"/>
  <c r="G30" i="135"/>
  <c r="G25" i="135"/>
  <c r="G26" i="135"/>
  <c r="G27" i="135"/>
  <c r="G28" i="135"/>
  <c r="F31" i="134"/>
  <c r="F32" i="134"/>
  <c r="G32" i="134" s="1"/>
  <c r="G3" i="134"/>
  <c r="G7" i="134"/>
  <c r="G6" i="134"/>
  <c r="G8" i="134"/>
  <c r="G5" i="134"/>
  <c r="G9" i="134"/>
  <c r="G10" i="134"/>
  <c r="G11" i="134"/>
  <c r="G13" i="134"/>
  <c r="G12" i="134"/>
  <c r="G16" i="134"/>
  <c r="G15" i="134"/>
  <c r="G14" i="134"/>
  <c r="G17" i="134"/>
  <c r="G19" i="134"/>
  <c r="G18" i="134"/>
  <c r="G20" i="134"/>
  <c r="G22" i="134"/>
  <c r="G21" i="134"/>
  <c r="G23" i="134"/>
  <c r="G24" i="134"/>
  <c r="G25" i="134"/>
  <c r="G26" i="134"/>
  <c r="G29" i="134"/>
  <c r="G30" i="134"/>
  <c r="G31" i="134"/>
  <c r="G28" i="134"/>
  <c r="G29" i="133"/>
  <c r="F31" i="133"/>
  <c r="F32" i="133"/>
  <c r="G32" i="133" s="1"/>
  <c r="G3" i="133"/>
  <c r="G5" i="133"/>
  <c r="G6" i="133"/>
  <c r="G4" i="133"/>
  <c r="G7" i="133"/>
  <c r="G8" i="133"/>
  <c r="G11" i="133"/>
  <c r="G9" i="133"/>
  <c r="G10" i="133"/>
  <c r="G12" i="133"/>
  <c r="G14" i="133"/>
  <c r="G15" i="133"/>
  <c r="G13" i="133"/>
  <c r="G18" i="133"/>
  <c r="G16" i="133"/>
  <c r="G17" i="133"/>
  <c r="G19" i="133"/>
  <c r="G21" i="133"/>
  <c r="G20" i="133"/>
  <c r="G22" i="133"/>
  <c r="G23" i="133"/>
  <c r="G25" i="133"/>
  <c r="G24" i="133"/>
  <c r="G26" i="133"/>
  <c r="G27" i="133"/>
  <c r="G30" i="133"/>
  <c r="G31" i="133"/>
  <c r="F31" i="132"/>
  <c r="F32" i="132"/>
  <c r="G32" i="132" s="1"/>
  <c r="G3" i="132"/>
  <c r="G5" i="132"/>
  <c r="G6" i="132"/>
  <c r="G4" i="132"/>
  <c r="G7" i="132"/>
  <c r="G8" i="132"/>
  <c r="G10" i="132"/>
  <c r="G9" i="132"/>
  <c r="G11" i="132"/>
  <c r="G12" i="132"/>
  <c r="G13" i="132"/>
  <c r="G16" i="132"/>
  <c r="G14" i="132"/>
  <c r="G15" i="132"/>
  <c r="G18" i="132"/>
  <c r="G19" i="132"/>
  <c r="G17" i="132"/>
  <c r="G21" i="132"/>
  <c r="G20" i="132"/>
  <c r="G22" i="132"/>
  <c r="G24" i="132"/>
  <c r="G23" i="132"/>
  <c r="G27" i="132"/>
  <c r="G29" i="132"/>
  <c r="G25" i="132"/>
  <c r="G30" i="132"/>
  <c r="G31" i="132"/>
  <c r="G30" i="131"/>
  <c r="G25" i="131"/>
  <c r="F31" i="131"/>
  <c r="G31" i="131" s="1"/>
  <c r="F32" i="131"/>
  <c r="G32" i="131" s="1"/>
  <c r="G4" i="131"/>
  <c r="G3" i="131"/>
  <c r="G6" i="131"/>
  <c r="G5" i="131"/>
  <c r="G7" i="131"/>
  <c r="G8" i="131"/>
  <c r="G10" i="131"/>
  <c r="G9" i="131"/>
  <c r="G11" i="131"/>
  <c r="G12" i="131"/>
  <c r="G13" i="131"/>
  <c r="G14" i="131"/>
  <c r="G15" i="131"/>
  <c r="G16" i="131"/>
  <c r="G17" i="131"/>
  <c r="G18" i="131"/>
  <c r="G19" i="131"/>
  <c r="G20" i="131"/>
  <c r="G22" i="131"/>
  <c r="G21" i="131"/>
  <c r="G24" i="131"/>
  <c r="G23" i="131"/>
  <c r="G26" i="131"/>
  <c r="G28" i="131"/>
  <c r="G27" i="131"/>
  <c r="G29" i="131"/>
  <c r="F31" i="130"/>
  <c r="F32" i="130"/>
  <c r="G32" i="130" s="1"/>
  <c r="G3" i="130"/>
  <c r="G5" i="130"/>
  <c r="G4" i="130"/>
  <c r="G6" i="130"/>
  <c r="G8" i="130"/>
  <c r="G7" i="130"/>
  <c r="G9" i="130"/>
  <c r="G10" i="130"/>
  <c r="G11" i="130"/>
  <c r="G13" i="130"/>
  <c r="G12" i="130"/>
  <c r="G14" i="130"/>
  <c r="G15" i="130"/>
  <c r="G16" i="130"/>
  <c r="G17" i="130"/>
  <c r="G18" i="130"/>
  <c r="G20" i="130"/>
  <c r="G19" i="130"/>
  <c r="G22" i="130"/>
  <c r="G21" i="130"/>
  <c r="G23" i="130"/>
  <c r="G25" i="130"/>
  <c r="G26" i="130"/>
  <c r="G27" i="130"/>
  <c r="G24" i="130"/>
  <c r="G31" i="130"/>
  <c r="G30" i="130"/>
  <c r="G28" i="130"/>
  <c r="G29" i="130"/>
  <c r="F31" i="129"/>
  <c r="F32" i="129"/>
  <c r="G32" i="129" s="1"/>
  <c r="G3" i="129"/>
  <c r="G6" i="129"/>
  <c r="G4" i="129"/>
  <c r="G7" i="129"/>
  <c r="G8" i="129"/>
  <c r="G10" i="129"/>
  <c r="G9" i="129"/>
  <c r="G14" i="129"/>
  <c r="G12" i="129"/>
  <c r="G11" i="129"/>
  <c r="G13" i="129"/>
  <c r="G15" i="129"/>
  <c r="G18" i="129"/>
  <c r="G16" i="129"/>
  <c r="G17" i="129"/>
  <c r="G20" i="129"/>
  <c r="G19" i="129"/>
  <c r="G23" i="129"/>
  <c r="G22" i="129"/>
  <c r="G21" i="129"/>
  <c r="G26" i="129"/>
  <c r="G31" i="129"/>
  <c r="G29" i="128"/>
  <c r="F31" i="128"/>
  <c r="G31" i="128" s="1"/>
  <c r="F32" i="128"/>
  <c r="G32" i="128" s="1"/>
  <c r="G3" i="128"/>
  <c r="G4" i="128"/>
  <c r="G6" i="128"/>
  <c r="G5" i="128"/>
  <c r="G7" i="128"/>
  <c r="G9" i="128"/>
  <c r="G8" i="128"/>
  <c r="G10" i="128"/>
  <c r="G12" i="128"/>
  <c r="G11" i="128"/>
  <c r="G13" i="128"/>
  <c r="G15" i="128"/>
  <c r="G14" i="128"/>
  <c r="G16" i="128"/>
  <c r="G17" i="128"/>
  <c r="G18" i="128"/>
  <c r="G19" i="128"/>
  <c r="G21" i="128"/>
  <c r="G20" i="128"/>
  <c r="G23" i="128"/>
  <c r="G22" i="128"/>
  <c r="G25" i="128"/>
  <c r="G24" i="128"/>
  <c r="G26" i="128"/>
  <c r="G27" i="128"/>
  <c r="G28" i="128"/>
  <c r="F31" i="127"/>
  <c r="F32" i="127"/>
  <c r="G32" i="127" s="1"/>
  <c r="G3" i="127"/>
  <c r="G4" i="127"/>
  <c r="G7" i="127"/>
  <c r="G6" i="127"/>
  <c r="G5" i="127"/>
  <c r="G9" i="127"/>
  <c r="G8" i="127"/>
  <c r="G10" i="127"/>
  <c r="G12" i="127"/>
  <c r="G11" i="127"/>
  <c r="G14" i="127"/>
  <c r="G13" i="127"/>
  <c r="G15" i="127"/>
  <c r="G16" i="127"/>
  <c r="G17" i="127"/>
  <c r="G19" i="127"/>
  <c r="G18" i="127"/>
  <c r="G21" i="127"/>
  <c r="G23" i="127"/>
  <c r="G24" i="127"/>
  <c r="G20" i="127"/>
  <c r="G26" i="127"/>
  <c r="G22" i="127"/>
  <c r="G30" i="127"/>
  <c r="G29" i="127"/>
  <c r="G31" i="127"/>
  <c r="G27" i="127"/>
  <c r="G25" i="127"/>
  <c r="G28" i="127"/>
  <c r="F31" i="126"/>
  <c r="G31" i="126" s="1"/>
  <c r="F32" i="126"/>
  <c r="G32" i="126" s="1"/>
  <c r="G3" i="126"/>
  <c r="G6" i="126"/>
  <c r="G5" i="126"/>
  <c r="G4" i="126"/>
  <c r="G12" i="126" s="1"/>
  <c r="G8" i="126"/>
  <c r="G7" i="126"/>
  <c r="G9" i="126"/>
  <c r="G13" i="126"/>
  <c r="G10" i="126"/>
  <c r="G11" i="126"/>
  <c r="G15" i="126"/>
  <c r="G14" i="126"/>
  <c r="G16" i="126"/>
  <c r="G18" i="126"/>
  <c r="G17" i="126"/>
  <c r="G19" i="126"/>
  <c r="G20" i="126"/>
  <c r="G21" i="126"/>
  <c r="G22" i="126"/>
  <c r="G23" i="126"/>
  <c r="G25" i="126"/>
  <c r="G26" i="126"/>
  <c r="G28" i="126"/>
  <c r="G24" i="126"/>
  <c r="F31" i="125"/>
  <c r="F32" i="125"/>
  <c r="G32" i="125" s="1"/>
  <c r="G3" i="125"/>
  <c r="G5" i="125"/>
  <c r="G4" i="125"/>
  <c r="G6" i="125"/>
  <c r="G8" i="125"/>
  <c r="G10" i="125"/>
  <c r="G7" i="125"/>
  <c r="G9" i="125"/>
  <c r="G14" i="125"/>
  <c r="G13" i="125"/>
  <c r="G11" i="125"/>
  <c r="G15" i="125"/>
  <c r="G12" i="125"/>
  <c r="G20" i="125"/>
  <c r="G17" i="125"/>
  <c r="G19" i="125"/>
  <c r="G16" i="125"/>
  <c r="G22" i="125"/>
  <c r="G18" i="125"/>
  <c r="G21" i="125"/>
  <c r="G26" i="125"/>
  <c r="G23" i="125"/>
  <c r="G25" i="125"/>
  <c r="G24" i="125"/>
  <c r="G28" i="125"/>
  <c r="G31" i="125"/>
  <c r="G30" i="125"/>
  <c r="G27" i="125"/>
  <c r="G29" i="125"/>
  <c r="G26" i="122"/>
  <c r="G27" i="122"/>
  <c r="F31" i="123"/>
  <c r="F32" i="123"/>
  <c r="G32" i="123" s="1"/>
  <c r="G3" i="123"/>
  <c r="G4" i="123"/>
  <c r="G6" i="123"/>
  <c r="G5" i="123"/>
  <c r="G7" i="123"/>
  <c r="G8" i="123"/>
  <c r="G11" i="123"/>
  <c r="G12" i="123"/>
  <c r="G15" i="123"/>
  <c r="G16" i="123"/>
  <c r="G13" i="123"/>
  <c r="G14" i="123"/>
  <c r="G18" i="123"/>
  <c r="G17" i="123"/>
  <c r="G20" i="123"/>
  <c r="G19" i="123"/>
  <c r="G21" i="123"/>
  <c r="G22" i="123"/>
  <c r="G25" i="123"/>
  <c r="G28" i="123"/>
  <c r="G30" i="123"/>
  <c r="G27" i="123"/>
  <c r="G24" i="123"/>
  <c r="G23" i="123"/>
  <c r="G26" i="123"/>
  <c r="G29" i="123"/>
  <c r="G31" i="123"/>
  <c r="F31" i="122"/>
  <c r="G31" i="122" s="1"/>
  <c r="F32" i="122"/>
  <c r="G32" i="122" s="1"/>
  <c r="G3" i="122"/>
  <c r="G5" i="122"/>
  <c r="G4" i="122"/>
  <c r="G8" i="122" s="1"/>
  <c r="G6" i="122"/>
  <c r="G7" i="122"/>
  <c r="G11" i="122"/>
  <c r="G10" i="122"/>
  <c r="G13" i="122"/>
  <c r="G12" i="122"/>
  <c r="G14" i="122"/>
  <c r="G15" i="122"/>
  <c r="G16" i="122"/>
  <c r="G17" i="122"/>
  <c r="G19" i="122"/>
  <c r="G18" i="122"/>
  <c r="G20" i="122"/>
  <c r="G21" i="122"/>
  <c r="G22" i="122"/>
  <c r="G23" i="122"/>
  <c r="G24" i="122"/>
  <c r="G25" i="122"/>
  <c r="G29" i="122"/>
  <c r="G30" i="122"/>
  <c r="F30" i="121"/>
  <c r="A31" i="121"/>
  <c r="G28" i="121" s="1"/>
  <c r="B21" i="9"/>
  <c r="B4" i="9"/>
  <c r="B5" i="9"/>
  <c r="B6" i="9"/>
  <c r="B7" i="9"/>
  <c r="B8" i="9"/>
  <c r="B9" i="9"/>
  <c r="B10" i="9"/>
  <c r="B11" i="9"/>
  <c r="B12" i="9"/>
  <c r="B13" i="9"/>
  <c r="B14" i="9"/>
  <c r="B15" i="9"/>
  <c r="B16" i="9"/>
  <c r="B17" i="9"/>
  <c r="B18" i="9"/>
  <c r="B19" i="9"/>
  <c r="B20" i="9"/>
  <c r="AE4" i="50"/>
  <c r="AD4" i="50"/>
  <c r="AC4" i="50"/>
  <c r="AB4" i="50"/>
  <c r="AA4" i="50"/>
  <c r="Z4" i="50"/>
  <c r="Y4" i="50"/>
  <c r="W4" i="50"/>
  <c r="V4" i="50"/>
  <c r="U4" i="50"/>
  <c r="T4" i="50"/>
  <c r="R4" i="50"/>
  <c r="P4" i="50"/>
  <c r="O4" i="50"/>
  <c r="G4" i="134" l="1"/>
  <c r="G5" i="129"/>
  <c r="G9" i="123"/>
  <c r="G10" i="123"/>
  <c r="G9" i="122"/>
  <c r="F31" i="121"/>
  <c r="F32" i="121"/>
  <c r="G32" i="121" s="1"/>
  <c r="G3" i="121"/>
  <c r="G5" i="121"/>
  <c r="G6" i="121"/>
  <c r="G4" i="121"/>
  <c r="G10" i="121" s="1"/>
  <c r="G9" i="121"/>
  <c r="G8" i="121"/>
  <c r="G7" i="121"/>
  <c r="G12" i="121"/>
  <c r="G11" i="121"/>
  <c r="G13" i="121"/>
  <c r="G15" i="121"/>
  <c r="G14" i="121"/>
  <c r="G16" i="121"/>
  <c r="G18" i="121"/>
  <c r="G17" i="121"/>
  <c r="G19" i="121"/>
  <c r="G22" i="121"/>
  <c r="G20" i="121"/>
  <c r="G21" i="121"/>
  <c r="G24" i="121"/>
  <c r="G23" i="121"/>
  <c r="G29" i="121"/>
  <c r="G30" i="121"/>
  <c r="G27" i="121"/>
  <c r="G25" i="121"/>
  <c r="G26" i="121"/>
  <c r="G31" i="121"/>
  <c r="B3" i="9"/>
  <c r="K12" i="9"/>
  <c r="K13" i="9"/>
  <c r="K14" i="9"/>
  <c r="K15" i="9"/>
  <c r="K16" i="9"/>
  <c r="K17" i="9"/>
  <c r="K18" i="9"/>
  <c r="K19" i="9"/>
  <c r="K20" i="9"/>
  <c r="X4" i="50"/>
  <c r="S4" i="50"/>
  <c r="N4" i="50"/>
  <c r="M4" i="50"/>
  <c r="L4" i="50"/>
  <c r="K3" i="9" l="1"/>
  <c r="G2" i="9"/>
  <c r="K5" i="9"/>
  <c r="K6" i="9"/>
  <c r="K7" i="9"/>
  <c r="K8" i="9"/>
  <c r="K9" i="9"/>
  <c r="K10" i="9"/>
  <c r="K11" i="9"/>
  <c r="K4" i="9"/>
  <c r="K2" i="9"/>
  <c r="A2" i="9"/>
  <c r="P1" i="50"/>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V4" i="1"/>
  <c r="V4" i="5"/>
  <c r="V4" i="4"/>
  <c r="A15" i="9"/>
  <c r="F15" i="9" s="1"/>
  <c r="AE19" i="4" l="1"/>
  <c r="AE26" i="1"/>
  <c r="AE28" i="1"/>
  <c r="AE23" i="1"/>
  <c r="O23" i="1" s="1"/>
  <c r="A23" i="1" s="1"/>
  <c r="AE24" i="1"/>
  <c r="AE27" i="1"/>
  <c r="O27" i="1" s="1"/>
  <c r="A27" i="1" s="1"/>
  <c r="AE25" i="1"/>
  <c r="N25" i="1" s="1"/>
  <c r="AE24" i="5"/>
  <c r="AE23" i="5"/>
  <c r="N23" i="5" s="1"/>
  <c r="AE18" i="4"/>
  <c r="O28" i="1"/>
  <c r="A28" i="1" s="1"/>
  <c r="N26" i="1"/>
  <c r="O24" i="1"/>
  <c r="A24" i="1" s="1"/>
  <c r="X4" i="4"/>
  <c r="X4" i="5"/>
  <c r="X4" i="1"/>
  <c r="W4" i="5"/>
  <c r="W4" i="4"/>
  <c r="W4" i="1"/>
  <c r="A16" i="9"/>
  <c r="F16" i="9" s="1"/>
  <c r="O18" i="4" l="1"/>
  <c r="A18" i="4" s="1"/>
  <c r="N18" i="4"/>
  <c r="O19" i="4"/>
  <c r="A19" i="4" s="1"/>
  <c r="N19" i="4"/>
  <c r="M24" i="5"/>
  <c r="N24" i="5"/>
  <c r="A24" i="5" s="1"/>
  <c r="A23" i="5"/>
  <c r="M23" i="5"/>
  <c r="N27" i="1"/>
  <c r="O26" i="1"/>
  <c r="A26" i="1" s="1"/>
  <c r="O25" i="1"/>
  <c r="A25" i="1" s="1"/>
  <c r="N28" i="1"/>
  <c r="Y4" i="1"/>
  <c r="N23" i="1"/>
  <c r="N24" i="1"/>
  <c r="Y4" i="4"/>
  <c r="A17" i="9"/>
  <c r="F17" i="9" s="1"/>
  <c r="U4" i="4"/>
  <c r="U4" i="5"/>
  <c r="U4" i="1"/>
  <c r="Y4" i="5" l="1"/>
  <c r="A18" i="9"/>
  <c r="F18" i="9" s="1"/>
  <c r="A19" i="9" l="1"/>
  <c r="F19" i="9" s="1"/>
  <c r="A20" i="9" l="1"/>
  <c r="F20" i="9" s="1"/>
  <c r="A21" i="9" l="1"/>
  <c r="F21" i="9" l="1"/>
  <c r="A22" i="9"/>
  <c r="Z4" i="5"/>
  <c r="Z4" i="4"/>
  <c r="Z4" i="1"/>
  <c r="A23" i="9" l="1"/>
  <c r="F22" i="9"/>
  <c r="AA4" i="5"/>
  <c r="AA4" i="4"/>
  <c r="AA4" i="1"/>
  <c r="F23" i="9" l="1"/>
  <c r="A24" i="9"/>
  <c r="F24" i="9" l="1"/>
  <c r="A25" i="9"/>
  <c r="A26" i="9" l="1"/>
  <c r="F25" i="9"/>
  <c r="F26" i="9" l="1"/>
  <c r="A27" i="9"/>
  <c r="F27" i="9" l="1"/>
  <c r="A28" i="9"/>
  <c r="AB4" i="5" l="1"/>
  <c r="AB4" i="4"/>
  <c r="AB4" i="1"/>
  <c r="A29" i="9"/>
  <c r="F28" i="9"/>
  <c r="A30" i="9" l="1"/>
  <c r="F29" i="9"/>
  <c r="A31" i="9" l="1"/>
  <c r="F30" i="9"/>
  <c r="G27" i="9" l="1"/>
  <c r="F32" i="9"/>
  <c r="G28" i="9"/>
  <c r="F31" i="9"/>
  <c r="G31" i="9" s="1"/>
  <c r="G22" i="9"/>
  <c r="G21" i="9"/>
  <c r="G23" i="9"/>
  <c r="G3" i="9"/>
  <c r="G4" i="9" s="1"/>
  <c r="G15" i="9"/>
  <c r="G16" i="9" s="1"/>
  <c r="G17" i="9" s="1"/>
  <c r="G18" i="9" s="1"/>
  <c r="G19" i="9" s="1"/>
  <c r="G20" i="9" s="1"/>
  <c r="G29" i="9"/>
  <c r="G25" i="9"/>
  <c r="K4" i="50" l="1"/>
  <c r="AC4" i="4"/>
  <c r="AC4" i="1"/>
  <c r="AC4" i="5"/>
  <c r="G5" i="9"/>
  <c r="G24" i="9"/>
  <c r="G30" i="9" s="1"/>
  <c r="G6" i="9" l="1"/>
  <c r="G7" i="9"/>
  <c r="G8" i="9" s="1"/>
  <c r="G9" i="9" s="1"/>
  <c r="G32" i="9" s="1"/>
  <c r="AD4" i="1" l="1"/>
  <c r="AD4" i="5"/>
  <c r="G10" i="9"/>
  <c r="G11" i="9" s="1"/>
  <c r="G13" i="9"/>
  <c r="G14" i="9" s="1"/>
  <c r="O31" i="50"/>
  <c r="AF8" i="50"/>
  <c r="L31" i="50"/>
  <c r="U21" i="50"/>
  <c r="AL20" i="50"/>
  <c r="AB5" i="50"/>
  <c r="M32" i="50"/>
  <c r="AD9" i="50"/>
  <c r="AG31" i="50"/>
  <c r="AF33" i="50"/>
  <c r="AC28" i="50"/>
  <c r="AC49" i="50"/>
  <c r="AG41" i="50"/>
  <c r="R10" i="50"/>
  <c r="AN41" i="50"/>
  <c r="X33" i="50"/>
  <c r="U27" i="50"/>
  <c r="AG28" i="50"/>
  <c r="T18" i="50"/>
  <c r="Q39" i="50"/>
  <c r="AG24" i="50"/>
  <c r="AL14" i="50"/>
  <c r="AG36" i="50"/>
  <c r="AI25" i="50"/>
  <c r="AD19" i="50"/>
  <c r="AJ17" i="50"/>
  <c r="R18" i="50"/>
  <c r="Y24" i="50"/>
  <c r="AC50" i="50"/>
  <c r="AB21" i="50"/>
  <c r="AL29" i="50"/>
  <c r="M11" i="50"/>
  <c r="Q49" i="50"/>
  <c r="V45" i="50"/>
  <c r="X21" i="50"/>
  <c r="L25" i="50"/>
  <c r="U19" i="50"/>
  <c r="Z45" i="50"/>
  <c r="Z16" i="50"/>
  <c r="AM8" i="50"/>
  <c r="O36" i="50"/>
  <c r="AG18" i="50"/>
  <c r="AK40" i="50"/>
  <c r="P31" i="50"/>
  <c r="U35" i="50"/>
  <c r="AD27" i="50"/>
  <c r="AG38" i="50"/>
  <c r="O6" i="50"/>
  <c r="AG47" i="50"/>
  <c r="AI34" i="50"/>
  <c r="AH42" i="50"/>
  <c r="AN46" i="50"/>
  <c r="O21" i="50"/>
  <c r="T43" i="50"/>
  <c r="R8" i="50"/>
  <c r="AH9" i="50"/>
  <c r="AO20" i="50"/>
  <c r="N15" i="50"/>
  <c r="AK26" i="50"/>
  <c r="AN50" i="50"/>
  <c r="AE6" i="50"/>
  <c r="U12" i="50"/>
  <c r="AL19" i="50"/>
  <c r="O13" i="50"/>
  <c r="P38" i="50"/>
  <c r="Q46" i="50"/>
  <c r="AN31" i="50"/>
  <c r="L23" i="50"/>
  <c r="Z5" i="50"/>
  <c r="Q13" i="50"/>
  <c r="S15" i="50"/>
  <c r="S34" i="50"/>
  <c r="Q10" i="50"/>
  <c r="AF30" i="50"/>
  <c r="R28" i="50"/>
  <c r="S29" i="50"/>
  <c r="AB34" i="50"/>
  <c r="AH10" i="50"/>
  <c r="O44" i="50"/>
  <c r="Q17" i="50"/>
  <c r="AN25" i="50"/>
  <c r="R44" i="50"/>
  <c r="X37" i="50"/>
  <c r="AL33" i="50"/>
  <c r="U38" i="50"/>
  <c r="S49" i="50"/>
  <c r="AE17" i="50"/>
  <c r="M35" i="50"/>
  <c r="N33" i="50"/>
  <c r="AH40" i="50"/>
  <c r="AJ23" i="50"/>
  <c r="AB19" i="50"/>
  <c r="V38" i="50"/>
  <c r="AN38" i="50"/>
  <c r="O14" i="50"/>
  <c r="M9" i="50"/>
  <c r="V6" i="50"/>
  <c r="T38" i="50"/>
  <c r="AK18" i="50"/>
  <c r="S40" i="50"/>
  <c r="AL16" i="50"/>
  <c r="N23" i="50"/>
  <c r="AJ49" i="50"/>
  <c r="AA31" i="50"/>
  <c r="AJ47" i="50"/>
  <c r="AD42" i="50"/>
  <c r="AI8" i="50"/>
  <c r="Y12" i="50"/>
  <c r="S30" i="50"/>
  <c r="M7" i="50"/>
  <c r="AI5" i="50"/>
  <c r="V28" i="50"/>
  <c r="V49" i="50"/>
  <c r="L36" i="50"/>
  <c r="L44" i="50"/>
  <c r="AL22" i="50"/>
  <c r="W34" i="50"/>
  <c r="Y32" i="50"/>
  <c r="Z6" i="50"/>
  <c r="T6" i="50"/>
  <c r="X49" i="50"/>
  <c r="AK9" i="50"/>
  <c r="T22" i="50"/>
  <c r="AF23" i="50"/>
  <c r="W35" i="50"/>
  <c r="AO23" i="50"/>
  <c r="Z24" i="50"/>
  <c r="AG25" i="50"/>
  <c r="Y40" i="50"/>
  <c r="P41" i="50"/>
  <c r="Y49" i="50"/>
  <c r="AG8" i="50"/>
  <c r="AG46" i="50"/>
  <c r="AA27" i="50"/>
  <c r="X30" i="50"/>
  <c r="AN45" i="50"/>
  <c r="AN27" i="50"/>
  <c r="AF10" i="50"/>
  <c r="N5" i="50"/>
  <c r="AF41" i="50"/>
  <c r="AI42" i="50"/>
  <c r="AC38" i="50"/>
  <c r="AF49" i="50"/>
  <c r="V10" i="50"/>
  <c r="T8" i="50"/>
  <c r="AN28" i="50"/>
  <c r="AI26" i="50"/>
  <c r="M15" i="50"/>
  <c r="W9" i="50"/>
  <c r="AA46" i="50"/>
  <c r="Q45" i="50"/>
  <c r="Q24" i="50"/>
  <c r="N32" i="50"/>
  <c r="O34" i="50"/>
  <c r="U24" i="50"/>
  <c r="AE43" i="50"/>
  <c r="L42" i="50"/>
  <c r="AE19" i="50"/>
  <c r="AN47" i="50"/>
  <c r="S48" i="50"/>
  <c r="AL38" i="50"/>
  <c r="AF27" i="50"/>
  <c r="AF44" i="50"/>
  <c r="AB23" i="50"/>
  <c r="L48" i="50"/>
  <c r="AN26" i="50"/>
  <c r="AI49" i="50"/>
  <c r="AK11" i="50"/>
  <c r="R26" i="50"/>
  <c r="V40" i="50"/>
  <c r="AI36" i="50"/>
  <c r="AK36" i="50"/>
  <c r="O22" i="50"/>
  <c r="AH33" i="50"/>
  <c r="AE23" i="50"/>
  <c r="M38" i="50"/>
  <c r="AC18" i="50"/>
  <c r="T13" i="50"/>
  <c r="X18" i="50"/>
  <c r="AC30" i="50"/>
  <c r="AG50" i="50"/>
  <c r="AM39" i="50"/>
  <c r="AF46" i="50"/>
  <c r="AJ11" i="50"/>
  <c r="P18" i="50"/>
  <c r="AE42" i="50"/>
  <c r="AH35" i="50"/>
  <c r="AM14" i="50"/>
  <c r="L30" i="50"/>
  <c r="AA18" i="50"/>
  <c r="L10" i="50"/>
  <c r="AK21" i="50"/>
  <c r="X20" i="50"/>
  <c r="AE28" i="50"/>
  <c r="AF14" i="50"/>
  <c r="AG5" i="50"/>
  <c r="AI30" i="50"/>
  <c r="AF9" i="50"/>
  <c r="AO34" i="50"/>
  <c r="AC48" i="50"/>
  <c r="AC21" i="50"/>
  <c r="AK39" i="50"/>
  <c r="AJ30" i="50"/>
  <c r="P43" i="50"/>
  <c r="AE47" i="50"/>
  <c r="R29" i="50"/>
  <c r="AE30" i="50"/>
  <c r="T15" i="50"/>
  <c r="AL48" i="50"/>
  <c r="AB37" i="50"/>
  <c r="AH20" i="50"/>
  <c r="AC32" i="50"/>
  <c r="W27" i="50"/>
  <c r="X34" i="50"/>
  <c r="AM50" i="50"/>
  <c r="Q42" i="50"/>
  <c r="M28" i="50"/>
  <c r="AF11" i="50"/>
  <c r="AK44" i="50"/>
  <c r="Z9" i="50"/>
  <c r="AC6" i="50"/>
  <c r="V36" i="50"/>
  <c r="AI38" i="50"/>
  <c r="AF26" i="50"/>
  <c r="AN21" i="50"/>
  <c r="AJ14" i="50"/>
  <c r="S9" i="50"/>
  <c r="AN20" i="50"/>
  <c r="AF15" i="50"/>
  <c r="AD17" i="50"/>
  <c r="AH12" i="50"/>
  <c r="AH7" i="50"/>
  <c r="W48" i="50"/>
  <c r="P24" i="50"/>
  <c r="AE49" i="50"/>
  <c r="AM37" i="50"/>
  <c r="W50" i="50"/>
  <c r="AB33" i="50"/>
  <c r="N24" i="50"/>
  <c r="Q50" i="50"/>
  <c r="AB32" i="50"/>
  <c r="AH46" i="50"/>
  <c r="AH25" i="50"/>
  <c r="X38" i="50"/>
  <c r="W32" i="50"/>
  <c r="Y16" i="50"/>
  <c r="X23" i="50"/>
  <c r="AF25" i="50"/>
  <c r="AO26" i="50"/>
  <c r="AO29" i="50"/>
  <c r="P36" i="50"/>
  <c r="L29" i="50"/>
  <c r="AL30" i="50"/>
  <c r="N20" i="50"/>
  <c r="AE41" i="50"/>
  <c r="V26" i="50"/>
  <c r="U17" i="50"/>
  <c r="N29" i="50"/>
  <c r="AF6" i="50"/>
  <c r="AD31" i="50"/>
  <c r="AJ6" i="50"/>
  <c r="L39" i="50"/>
  <c r="AJ9" i="50"/>
  <c r="Q40" i="50"/>
  <c r="U18" i="50"/>
  <c r="AG37" i="50"/>
  <c r="AI14" i="50"/>
  <c r="AD35" i="50"/>
  <c r="AL41" i="50"/>
  <c r="AC45" i="50"/>
  <c r="P32" i="50"/>
  <c r="L37" i="50"/>
  <c r="Y30" i="50"/>
  <c r="AK37" i="50"/>
  <c r="AJ13" i="50"/>
  <c r="AD23" i="50"/>
  <c r="AL39" i="50"/>
  <c r="AO46" i="50"/>
  <c r="U25" i="50"/>
  <c r="X10" i="50"/>
  <c r="L45" i="50"/>
  <c r="Y45" i="50"/>
  <c r="AA36" i="50"/>
  <c r="U28" i="50"/>
  <c r="AK17" i="50"/>
  <c r="AE11" i="50"/>
  <c r="AC9" i="50"/>
  <c r="Q47" i="50"/>
  <c r="AI39" i="50"/>
  <c r="AF21" i="50"/>
  <c r="AJ28" i="50"/>
  <c r="AD21" i="50"/>
  <c r="Z13" i="50"/>
  <c r="P12" i="50"/>
  <c r="X9" i="50"/>
  <c r="X42" i="50"/>
  <c r="V13" i="50"/>
  <c r="AB27" i="50"/>
  <c r="AA17" i="50"/>
  <c r="AN39" i="50"/>
  <c r="AB10" i="50"/>
  <c r="Q38" i="50"/>
  <c r="P17" i="50"/>
  <c r="AH47" i="50"/>
  <c r="X48" i="50"/>
  <c r="AH19" i="50"/>
  <c r="S13" i="50"/>
  <c r="W25" i="50"/>
  <c r="Z22" i="50"/>
  <c r="AN11" i="50"/>
  <c r="T28" i="50"/>
  <c r="S26" i="50"/>
  <c r="O39" i="50"/>
  <c r="S47" i="50"/>
  <c r="AM18" i="50"/>
  <c r="AB43" i="50"/>
  <c r="R38" i="50"/>
  <c r="Z50" i="50"/>
  <c r="U7" i="50"/>
  <c r="AD39" i="50"/>
  <c r="N50" i="50"/>
  <c r="AK16" i="50"/>
  <c r="W10" i="50"/>
  <c r="T33" i="50"/>
  <c r="AO24" i="50"/>
  <c r="AM11" i="50"/>
  <c r="Y7" i="50"/>
  <c r="AM32" i="50"/>
  <c r="AG45" i="50"/>
  <c r="W41" i="50"/>
  <c r="R50" i="50"/>
  <c r="AL27" i="50"/>
  <c r="R16" i="50"/>
  <c r="Y50" i="50"/>
  <c r="U8" i="50"/>
  <c r="T20" i="50"/>
  <c r="AD43" i="50"/>
  <c r="S24" i="50"/>
  <c r="AO18" i="50"/>
  <c r="T34" i="50"/>
  <c r="T36" i="50"/>
  <c r="L53" i="50"/>
  <c r="AF42" i="50"/>
  <c r="AG23" i="50"/>
  <c r="Q20" i="50"/>
  <c r="AN22" i="50"/>
  <c r="AB20" i="50"/>
  <c r="U50" i="50"/>
  <c r="U15" i="50"/>
  <c r="AA35" i="50"/>
  <c r="AI45" i="50"/>
  <c r="AF47" i="50"/>
  <c r="W39" i="50"/>
  <c r="T32" i="50"/>
  <c r="AI37" i="50"/>
  <c r="AG21" i="50"/>
  <c r="W21" i="50"/>
  <c r="X12" i="50"/>
  <c r="Y38" i="50"/>
  <c r="Q15" i="50"/>
  <c r="AC29" i="50"/>
  <c r="L12" i="50"/>
  <c r="AA28" i="50"/>
  <c r="L13" i="50"/>
  <c r="AE39" i="50"/>
  <c r="Z18" i="50"/>
  <c r="O23" i="50"/>
  <c r="X6" i="50"/>
  <c r="T11" i="50"/>
  <c r="AE22" i="50"/>
  <c r="V17" i="50"/>
  <c r="U39" i="50"/>
  <c r="V21" i="50"/>
  <c r="O47" i="50"/>
  <c r="R22" i="50"/>
  <c r="AB8" i="50"/>
  <c r="AF48" i="50"/>
  <c r="Z31" i="50"/>
  <c r="AC34" i="50"/>
  <c r="N17" i="50"/>
  <c r="T27" i="50"/>
  <c r="AK22" i="50"/>
  <c r="AJ26" i="50"/>
  <c r="AH34" i="50"/>
  <c r="AF7" i="50"/>
  <c r="AK42" i="50"/>
  <c r="N25" i="50"/>
  <c r="W16" i="50"/>
  <c r="R40" i="50"/>
  <c r="AG26" i="50"/>
  <c r="W40" i="50"/>
  <c r="AM29" i="50"/>
  <c r="X7" i="50"/>
  <c r="N44" i="50"/>
  <c r="R36" i="50"/>
  <c r="AN33" i="50"/>
  <c r="T50" i="50"/>
  <c r="AI24" i="50"/>
  <c r="M8" i="50"/>
  <c r="AJ19" i="50"/>
  <c r="Z37" i="50"/>
  <c r="AJ29" i="50"/>
  <c r="AN42" i="50"/>
  <c r="AD29" i="50"/>
  <c r="AB47" i="50"/>
  <c r="M12" i="50"/>
  <c r="AL35" i="50"/>
  <c r="W24" i="50"/>
  <c r="U9" i="50"/>
  <c r="AN43" i="50"/>
  <c r="T47" i="50"/>
  <c r="T40" i="50"/>
  <c r="AI15" i="50"/>
  <c r="R13" i="50"/>
  <c r="R41" i="50"/>
  <c r="R24" i="50"/>
  <c r="AM34" i="50"/>
  <c r="X32" i="50"/>
  <c r="AM41" i="50"/>
  <c r="L9" i="50"/>
  <c r="AM12" i="50"/>
  <c r="N14" i="50"/>
  <c r="Y44" i="50"/>
  <c r="AK46" i="50"/>
  <c r="L6" i="50"/>
  <c r="AK15" i="50"/>
  <c r="AN15" i="50"/>
  <c r="L18" i="50"/>
  <c r="AE36" i="50"/>
  <c r="W47" i="50"/>
  <c r="AJ24" i="50"/>
  <c r="N16" i="50"/>
  <c r="AN36" i="50"/>
  <c r="AO7" i="50"/>
  <c r="AB11" i="50"/>
  <c r="AN6" i="50"/>
  <c r="Z38" i="50"/>
  <c r="AE16" i="50"/>
  <c r="AC42" i="50"/>
  <c r="AH49" i="50"/>
  <c r="AB15" i="50"/>
  <c r="AC43" i="50"/>
  <c r="M36" i="50"/>
  <c r="Q32" i="50"/>
  <c r="P8" i="50"/>
  <c r="Z12" i="50"/>
  <c r="AM47" i="50"/>
  <c r="AE8" i="50"/>
  <c r="O42" i="50"/>
  <c r="AA41" i="50"/>
  <c r="P21" i="50"/>
  <c r="X17" i="50"/>
  <c r="Y31" i="50"/>
  <c r="AG40" i="50"/>
  <c r="AM26" i="50"/>
  <c r="AE44" i="50"/>
  <c r="M44" i="50"/>
  <c r="AM49" i="50"/>
  <c r="AO48" i="50"/>
  <c r="L51" i="50"/>
  <c r="AI7" i="50"/>
  <c r="T9" i="50"/>
  <c r="N7" i="50"/>
  <c r="AA24" i="50"/>
  <c r="L52" i="50"/>
  <c r="AJ10" i="50"/>
  <c r="AF18" i="50"/>
  <c r="X22" i="50"/>
  <c r="AM15" i="50"/>
  <c r="AF40" i="50"/>
  <c r="AK35" i="50"/>
  <c r="AN13" i="50"/>
  <c r="V33" i="50"/>
  <c r="AA38" i="50"/>
  <c r="Z19" i="50"/>
  <c r="R39" i="50"/>
  <c r="AH38" i="50"/>
  <c r="AB25" i="50"/>
  <c r="V27" i="50"/>
  <c r="Y43" i="50"/>
  <c r="Y19" i="50"/>
  <c r="R20" i="50"/>
  <c r="AF12" i="50"/>
  <c r="AB38" i="50"/>
  <c r="AH26" i="50"/>
  <c r="AD50" i="50"/>
  <c r="N6" i="50"/>
  <c r="AF16" i="50"/>
  <c r="O40" i="50"/>
  <c r="AK24" i="50"/>
  <c r="L21" i="50"/>
  <c r="W6" i="50"/>
  <c r="Q35" i="50"/>
  <c r="AO15" i="50"/>
  <c r="Z29" i="50"/>
  <c r="S27" i="50"/>
  <c r="W49" i="50"/>
  <c r="AK14" i="50"/>
  <c r="M13" i="50"/>
  <c r="N45" i="50"/>
  <c r="N34" i="50"/>
  <c r="X15" i="50"/>
  <c r="V12" i="50"/>
  <c r="AC46" i="50"/>
  <c r="AG14" i="50"/>
  <c r="AK19" i="50"/>
  <c r="S43" i="50"/>
  <c r="Y25" i="50"/>
  <c r="O19" i="50"/>
  <c r="M40" i="50"/>
  <c r="AN5" i="50"/>
  <c r="W23" i="50"/>
  <c r="AH23" i="50"/>
  <c r="AJ5" i="50"/>
  <c r="AH14" i="50"/>
  <c r="AC8" i="50"/>
  <c r="P9" i="50"/>
  <c r="O48" i="50"/>
  <c r="W45" i="50"/>
  <c r="AE46" i="50"/>
  <c r="Y14" i="50"/>
  <c r="L26" i="50"/>
  <c r="Q28" i="50"/>
  <c r="Z35" i="50"/>
  <c r="W8" i="50"/>
  <c r="X13" i="50"/>
  <c r="W7" i="50"/>
  <c r="AM19" i="50"/>
  <c r="L35" i="50"/>
  <c r="AE29" i="50"/>
  <c r="AA40" i="50"/>
  <c r="M39" i="50"/>
  <c r="AN10" i="50"/>
  <c r="Q21" i="50"/>
  <c r="AN35" i="50"/>
  <c r="Q44" i="50"/>
  <c r="U20" i="50"/>
  <c r="AB12" i="50"/>
  <c r="W17" i="50"/>
  <c r="T19" i="50"/>
  <c r="V34" i="50"/>
  <c r="U31" i="50"/>
  <c r="X35" i="50"/>
  <c r="AF34" i="50"/>
  <c r="AB39" i="50"/>
  <c r="M25" i="50"/>
  <c r="AD13" i="50"/>
  <c r="S22" i="50"/>
  <c r="AI47" i="50"/>
  <c r="AF19" i="50"/>
  <c r="O18" i="50"/>
  <c r="AK20" i="50"/>
  <c r="AH5" i="50"/>
  <c r="AD26" i="50"/>
  <c r="AM10" i="50"/>
  <c r="AE13" i="50"/>
  <c r="V18" i="50"/>
  <c r="U16" i="50"/>
  <c r="AI43" i="50"/>
  <c r="AL17" i="50"/>
  <c r="AA26" i="50"/>
  <c r="W12" i="50"/>
  <c r="AA23" i="50"/>
  <c r="AE31" i="50"/>
  <c r="AG35" i="50"/>
  <c r="AK25" i="50"/>
  <c r="AD10" i="50"/>
  <c r="Q14" i="50"/>
  <c r="V5" i="50"/>
  <c r="AO16" i="50"/>
  <c r="O8" i="50"/>
  <c r="AJ48" i="50"/>
  <c r="X19" i="50"/>
  <c r="M34" i="50"/>
  <c r="M46" i="50"/>
  <c r="AA15" i="50"/>
  <c r="M6" i="50"/>
  <c r="AK49" i="50"/>
  <c r="W20" i="50"/>
  <c r="N18" i="50"/>
  <c r="AA45" i="50"/>
  <c r="O25" i="50"/>
  <c r="AE10" i="50"/>
  <c r="AC20" i="50"/>
  <c r="AI35" i="50"/>
  <c r="AL5" i="50"/>
  <c r="AI12" i="50"/>
  <c r="AJ21" i="50"/>
  <c r="AB41" i="50"/>
  <c r="AC15" i="50"/>
  <c r="R48" i="50"/>
  <c r="U5" i="50"/>
  <c r="U34" i="50"/>
  <c r="R6" i="50"/>
  <c r="AN17" i="50"/>
  <c r="V14" i="50"/>
  <c r="AG17" i="50"/>
  <c r="AO13" i="50"/>
  <c r="AE18" i="50"/>
  <c r="M45" i="50"/>
  <c r="O9" i="50"/>
  <c r="AD49" i="50"/>
  <c r="AF39" i="50"/>
  <c r="U42" i="50"/>
  <c r="N36" i="50"/>
  <c r="AJ41" i="50"/>
  <c r="M31" i="50"/>
  <c r="AE14" i="50"/>
  <c r="AI20" i="50"/>
  <c r="Y28" i="50"/>
  <c r="AK8" i="50"/>
  <c r="Q25" i="50"/>
  <c r="AG12" i="50"/>
  <c r="L27" i="50"/>
  <c r="AH17" i="50"/>
  <c r="X25" i="50"/>
  <c r="AD46" i="50"/>
  <c r="AG34" i="50"/>
  <c r="AI22" i="50"/>
  <c r="Z23" i="50"/>
  <c r="N28" i="50"/>
  <c r="W38" i="50"/>
  <c r="AI23" i="50"/>
  <c r="P39" i="50"/>
  <c r="AD8" i="50"/>
  <c r="Z41" i="50"/>
  <c r="V19" i="50"/>
  <c r="AC16" i="50"/>
  <c r="L15" i="50"/>
  <c r="AA10" i="50"/>
  <c r="Z21" i="50"/>
  <c r="M26" i="50"/>
  <c r="AL9" i="50"/>
  <c r="AB49" i="50"/>
  <c r="W46" i="50"/>
  <c r="AO5" i="50"/>
  <c r="R27" i="50"/>
  <c r="AH18" i="50"/>
  <c r="V50" i="50"/>
  <c r="V32" i="50"/>
  <c r="L43" i="50"/>
  <c r="V48" i="50"/>
  <c r="O7" i="50"/>
  <c r="Z7" i="50"/>
  <c r="X41" i="50"/>
  <c r="M24" i="50"/>
  <c r="Y10" i="50"/>
  <c r="X39" i="50"/>
  <c r="AA39" i="50"/>
  <c r="T7" i="50"/>
  <c r="AN9" i="50"/>
  <c r="R35" i="50"/>
  <c r="S46" i="50"/>
  <c r="AL43" i="50"/>
  <c r="N37" i="50"/>
  <c r="Q48" i="50"/>
  <c r="T23" i="50"/>
  <c r="AO9" i="50"/>
  <c r="N10" i="50"/>
  <c r="U26" i="50"/>
  <c r="P30" i="50"/>
  <c r="AA48" i="50"/>
  <c r="P47" i="50"/>
  <c r="L8" i="50"/>
  <c r="Y11" i="50"/>
  <c r="AA11" i="50"/>
  <c r="R45" i="50"/>
  <c r="T16" i="50"/>
  <c r="AL40" i="50"/>
  <c r="W26" i="50"/>
  <c r="S18" i="50"/>
  <c r="AJ32" i="50"/>
  <c r="AG22" i="50"/>
  <c r="U32" i="50"/>
  <c r="AK28" i="50"/>
  <c r="S50" i="50"/>
  <c r="AO19" i="50"/>
  <c r="Q37" i="50"/>
  <c r="V16" i="50"/>
  <c r="Q12" i="50"/>
  <c r="L54" i="50"/>
  <c r="Y39" i="50"/>
  <c r="T12" i="50"/>
  <c r="AO21" i="50"/>
  <c r="AM45" i="50"/>
  <c r="N40" i="50"/>
  <c r="AH28" i="50"/>
  <c r="AI44" i="50"/>
  <c r="AC47" i="50"/>
  <c r="AJ18" i="50"/>
  <c r="X28" i="50"/>
  <c r="Y23" i="50"/>
  <c r="AE24" i="50"/>
  <c r="AK47" i="50"/>
  <c r="O5" i="50"/>
  <c r="R9" i="50"/>
  <c r="AO35" i="50"/>
  <c r="AC10" i="50"/>
  <c r="AD45" i="50"/>
  <c r="AF13" i="50"/>
  <c r="N19" i="50"/>
  <c r="S14" i="50"/>
  <c r="S19" i="50"/>
  <c r="AB13" i="50"/>
  <c r="AK50" i="50"/>
  <c r="X8" i="50"/>
  <c r="Y22" i="50"/>
  <c r="AM23" i="50"/>
  <c r="S23" i="50"/>
  <c r="S44" i="50"/>
  <c r="AC22" i="50"/>
  <c r="AB36" i="50"/>
  <c r="O45" i="50"/>
  <c r="W29" i="50"/>
  <c r="AO8" i="50"/>
  <c r="P37" i="50"/>
  <c r="AK31" i="50"/>
  <c r="AA47" i="50"/>
  <c r="AC36" i="50"/>
  <c r="Q27" i="50"/>
  <c r="AD15" i="50"/>
  <c r="AB46" i="50"/>
  <c r="AC12" i="50"/>
  <c r="AG33" i="50"/>
  <c r="AA13" i="50"/>
  <c r="S12" i="50"/>
  <c r="T24" i="50"/>
  <c r="AH21" i="50"/>
  <c r="P6" i="50"/>
  <c r="W37" i="50"/>
  <c r="X50" i="50"/>
  <c r="AD34" i="50"/>
  <c r="AN16" i="50"/>
  <c r="T17" i="50"/>
  <c r="S39" i="50"/>
  <c r="AF28" i="50"/>
  <c r="Q34" i="50"/>
  <c r="O11" i="50"/>
  <c r="AO44" i="50"/>
  <c r="AE34" i="50"/>
  <c r="T31" i="50"/>
  <c r="AB42" i="50"/>
  <c r="AK43" i="50"/>
  <c r="P15" i="50"/>
  <c r="AD37" i="50"/>
  <c r="AH31" i="50"/>
  <c r="R5" i="50"/>
  <c r="Z43" i="50"/>
  <c r="U11" i="50"/>
  <c r="L41" i="50"/>
  <c r="P40" i="50"/>
  <c r="Y18" i="50"/>
  <c r="AK13" i="50"/>
  <c r="AA8" i="50"/>
  <c r="W30" i="50"/>
  <c r="AD40" i="50"/>
  <c r="W44" i="50"/>
  <c r="M27" i="50"/>
  <c r="AO17" i="50"/>
  <c r="AO45" i="50"/>
  <c r="AL44" i="50"/>
  <c r="AI48" i="50"/>
  <c r="X14" i="50"/>
  <c r="AH48" i="50"/>
  <c r="O38" i="50"/>
  <c r="Y48" i="50"/>
  <c r="Z39" i="50"/>
  <c r="U22" i="50"/>
  <c r="AL45" i="50"/>
  <c r="AA42" i="50"/>
  <c r="AO38" i="50"/>
  <c r="AD12" i="50"/>
  <c r="AF5" i="50"/>
  <c r="W31" i="50"/>
  <c r="AJ42" i="50"/>
  <c r="S11" i="50"/>
  <c r="AN34" i="50"/>
  <c r="M30" i="50"/>
  <c r="AH41" i="50"/>
  <c r="U43" i="50"/>
  <c r="AA12" i="50"/>
  <c r="N11" i="50"/>
  <c r="M29" i="50"/>
  <c r="AF36" i="50"/>
  <c r="W28" i="50"/>
  <c r="V22" i="50"/>
  <c r="AC31" i="50"/>
  <c r="AM7" i="50"/>
  <c r="AL13" i="50"/>
  <c r="AB44" i="50"/>
  <c r="X45" i="50"/>
  <c r="AN14" i="50"/>
  <c r="Z48" i="50"/>
  <c r="X26" i="50"/>
  <c r="Y29" i="50"/>
  <c r="AE20" i="50"/>
  <c r="U30" i="50"/>
  <c r="AA9" i="50"/>
  <c r="AN18" i="50"/>
  <c r="AO33" i="50"/>
  <c r="P26" i="50"/>
  <c r="Q16" i="50"/>
  <c r="AB7" i="50"/>
  <c r="AN49" i="50"/>
  <c r="AL37" i="50"/>
  <c r="O41" i="50"/>
  <c r="AG43" i="50"/>
  <c r="N41" i="50"/>
  <c r="AF45" i="50"/>
  <c r="AD48" i="50"/>
  <c r="AA33" i="50"/>
  <c r="O43" i="50"/>
  <c r="V30" i="50"/>
  <c r="AG27" i="50"/>
  <c r="U14" i="50"/>
  <c r="AH11" i="50"/>
  <c r="AA22" i="50"/>
  <c r="S41" i="50"/>
  <c r="W43" i="50"/>
  <c r="AL32" i="50"/>
  <c r="L33" i="50"/>
  <c r="AA34" i="50"/>
  <c r="O15" i="50"/>
  <c r="Q18" i="50"/>
  <c r="M17" i="50"/>
  <c r="Y36" i="50"/>
  <c r="Y35" i="50"/>
  <c r="AL50" i="50"/>
  <c r="AK10" i="50"/>
  <c r="S5" i="50"/>
  <c r="AG11" i="50"/>
  <c r="AI6" i="50"/>
  <c r="M43" i="50"/>
  <c r="AO41" i="50"/>
  <c r="L19" i="50"/>
  <c r="W33" i="50"/>
  <c r="U40" i="50"/>
  <c r="Z49" i="50"/>
  <c r="O46" i="50"/>
  <c r="N48" i="50"/>
  <c r="T46" i="50"/>
  <c r="U44" i="50"/>
  <c r="Z14" i="50"/>
  <c r="Z15" i="50"/>
  <c r="Y15" i="50"/>
  <c r="L17" i="50"/>
  <c r="W14" i="50"/>
  <c r="U41" i="50"/>
  <c r="V44" i="50"/>
  <c r="AE33" i="50"/>
  <c r="O24" i="50"/>
  <c r="AO37" i="50"/>
  <c r="X11" i="50"/>
  <c r="Z40" i="50"/>
  <c r="AD20" i="50"/>
  <c r="M50" i="50"/>
  <c r="U13" i="50"/>
  <c r="AG49" i="50"/>
  <c r="AI33" i="50"/>
  <c r="Y33" i="50"/>
  <c r="AE15" i="50"/>
  <c r="Z17" i="50"/>
  <c r="AJ38" i="50"/>
  <c r="Q26" i="50"/>
  <c r="AH29" i="50"/>
  <c r="AH50" i="50"/>
  <c r="S10" i="50"/>
  <c r="AN30" i="50"/>
  <c r="AC27" i="50"/>
  <c r="L38" i="50"/>
  <c r="Z20" i="50"/>
  <c r="V23" i="50"/>
  <c r="AN32" i="50"/>
  <c r="T21" i="50"/>
  <c r="T44" i="50"/>
  <c r="N47" i="50"/>
  <c r="AK7" i="50"/>
  <c r="S8" i="50"/>
  <c r="R19" i="50"/>
  <c r="N38" i="50"/>
  <c r="AM27" i="50"/>
  <c r="AF17" i="50"/>
  <c r="O27" i="50"/>
  <c r="M16" i="50"/>
  <c r="M19" i="50"/>
  <c r="V9" i="50"/>
  <c r="Y46" i="50"/>
  <c r="L11" i="50"/>
  <c r="T39" i="50"/>
  <c r="Z26" i="50"/>
  <c r="U37" i="50"/>
  <c r="AN19" i="50"/>
  <c r="AH24" i="50"/>
  <c r="Y20" i="50"/>
  <c r="P29" i="50"/>
  <c r="AJ36" i="50"/>
  <c r="M49" i="50"/>
  <c r="R25" i="50"/>
  <c r="X29" i="50"/>
  <c r="AI41" i="50"/>
  <c r="AG9" i="50"/>
  <c r="Y21" i="50"/>
  <c r="AF32" i="50"/>
  <c r="V11" i="50"/>
  <c r="AI32" i="50"/>
  <c r="AK30" i="50"/>
  <c r="AE40" i="50"/>
  <c r="X47" i="50"/>
  <c r="AB14" i="50"/>
  <c r="L40" i="50"/>
  <c r="P13" i="50"/>
  <c r="AK45" i="50"/>
  <c r="AM6" i="50"/>
  <c r="R12" i="50"/>
  <c r="AN24" i="50"/>
  <c r="AI16" i="50"/>
  <c r="AA21" i="50"/>
  <c r="AI18" i="50"/>
  <c r="S21" i="50"/>
  <c r="AH8" i="50"/>
  <c r="O12" i="50"/>
  <c r="Z10" i="50"/>
  <c r="U36" i="50"/>
  <c r="V25" i="50"/>
  <c r="N13" i="50"/>
  <c r="X31" i="50"/>
  <c r="AO22" i="50"/>
  <c r="L50" i="50"/>
  <c r="AJ34" i="50"/>
  <c r="AG6" i="50"/>
  <c r="AE45" i="50"/>
  <c r="AG10" i="50"/>
  <c r="X43" i="50"/>
  <c r="AO39" i="50"/>
  <c r="L24" i="50"/>
  <c r="V35" i="50"/>
  <c r="AG42" i="50"/>
  <c r="S16" i="50"/>
  <c r="AJ44" i="50"/>
  <c r="AB28" i="50"/>
  <c r="AM31" i="50"/>
  <c r="M42" i="50"/>
  <c r="S35" i="50"/>
  <c r="AE50" i="50"/>
  <c r="S38" i="50"/>
  <c r="Q9" i="50"/>
  <c r="L32" i="50"/>
  <c r="W18" i="50"/>
  <c r="AH32" i="50"/>
  <c r="O33" i="50"/>
  <c r="AD41" i="50"/>
  <c r="AO43" i="50"/>
  <c r="AH44" i="50"/>
  <c r="AF38" i="50"/>
  <c r="AG48" i="50"/>
  <c r="AD6" i="50"/>
  <c r="AN12" i="50"/>
  <c r="AI17" i="50"/>
  <c r="P35" i="50"/>
  <c r="AM46" i="50"/>
  <c r="AM30" i="50"/>
  <c r="X36" i="50"/>
  <c r="AC17" i="50"/>
  <c r="R31" i="50"/>
  <c r="AJ35" i="50"/>
  <c r="AL21" i="50"/>
  <c r="Q31" i="50"/>
  <c r="AJ50" i="50"/>
  <c r="AC13" i="50"/>
  <c r="AE27" i="50"/>
  <c r="M21" i="50"/>
  <c r="V42" i="50"/>
  <c r="Y9" i="50"/>
  <c r="AE7" i="50"/>
  <c r="AI10" i="50"/>
  <c r="AM22" i="50"/>
  <c r="AI40" i="50"/>
  <c r="AB30" i="50"/>
  <c r="AK29" i="50"/>
  <c r="AB9" i="50"/>
  <c r="AB40" i="50"/>
  <c r="AE32" i="50"/>
  <c r="AO31" i="50"/>
  <c r="S45" i="50"/>
  <c r="O30" i="50"/>
  <c r="AH6" i="50"/>
  <c r="N9" i="50"/>
  <c r="O10" i="50"/>
  <c r="AO6" i="50"/>
  <c r="Y27" i="50"/>
  <c r="AM5" i="50"/>
  <c r="AD5" i="50"/>
  <c r="AL18" i="50"/>
  <c r="AD16" i="50"/>
  <c r="M37" i="50"/>
  <c r="P7" i="50"/>
  <c r="X46" i="50"/>
  <c r="AB18" i="50"/>
  <c r="V47" i="50"/>
  <c r="Q22" i="50"/>
  <c r="AA25" i="50"/>
  <c r="AA6" i="50"/>
  <c r="Q23" i="50"/>
  <c r="AK41" i="50"/>
  <c r="Q43" i="50"/>
  <c r="AB24" i="50"/>
  <c r="AD44" i="50"/>
  <c r="AO30" i="50"/>
  <c r="AN44" i="50"/>
  <c r="AG16" i="50"/>
  <c r="T26" i="50"/>
  <c r="L16" i="50"/>
  <c r="R37" i="50"/>
  <c r="AO50" i="50"/>
  <c r="AO27" i="50"/>
  <c r="AA37" i="50"/>
  <c r="U49" i="50"/>
  <c r="AM17" i="50"/>
  <c r="S37" i="50"/>
  <c r="Z44" i="50"/>
  <c r="AM25" i="50"/>
  <c r="P27" i="50"/>
  <c r="AG44" i="50"/>
  <c r="Y26" i="50"/>
  <c r="N46" i="50"/>
  <c r="AM36" i="50"/>
  <c r="AJ25" i="50"/>
  <c r="AK48" i="50"/>
  <c r="R42" i="50"/>
  <c r="AL36" i="50"/>
  <c r="AF20" i="50"/>
  <c r="R46" i="50"/>
  <c r="AG19" i="50"/>
  <c r="AJ16" i="50"/>
  <c r="AI50" i="50"/>
  <c r="AK12" i="50"/>
  <c r="Q6" i="50"/>
  <c r="V39" i="50"/>
  <c r="Q19" i="50"/>
  <c r="P23" i="50"/>
  <c r="AB45" i="50"/>
  <c r="N27" i="50"/>
  <c r="AD36" i="50"/>
  <c r="AD38" i="50"/>
  <c r="R34" i="50"/>
  <c r="P49" i="50"/>
  <c r="N30" i="50"/>
  <c r="V37" i="50"/>
  <c r="AA29" i="50"/>
  <c r="AE37" i="50"/>
  <c r="L49" i="50"/>
  <c r="U23" i="50"/>
  <c r="M20" i="50"/>
  <c r="AC44" i="50"/>
  <c r="AJ20" i="50"/>
  <c r="L28" i="50"/>
  <c r="V24" i="50"/>
  <c r="AH27" i="50"/>
  <c r="AM42" i="50"/>
  <c r="AN37" i="50"/>
  <c r="R7" i="50"/>
  <c r="L34" i="50"/>
  <c r="S7" i="50"/>
  <c r="AB35" i="50"/>
  <c r="P10" i="50"/>
  <c r="AM28" i="50"/>
  <c r="AI21" i="50"/>
  <c r="AA44" i="50"/>
  <c r="AH13" i="50"/>
  <c r="Y34" i="50"/>
  <c r="AI28" i="50"/>
  <c r="Y47" i="50"/>
  <c r="AH36" i="50"/>
  <c r="AO12" i="50"/>
  <c r="M22" i="50"/>
  <c r="AO28" i="50"/>
  <c r="Y17" i="50"/>
  <c r="W13" i="50"/>
  <c r="AF29" i="50"/>
  <c r="W11" i="50"/>
  <c r="O32" i="50"/>
  <c r="T45" i="50"/>
  <c r="AN7" i="50"/>
  <c r="V46" i="50"/>
  <c r="AB16" i="50"/>
  <c r="AN29" i="50"/>
  <c r="AC11" i="50"/>
  <c r="AG20" i="50"/>
  <c r="N21" i="50"/>
  <c r="AL26" i="50"/>
  <c r="AH15" i="50"/>
  <c r="AH45" i="50"/>
  <c r="AM20" i="50"/>
  <c r="N26" i="50"/>
  <c r="T10" i="50"/>
  <c r="L5" i="50"/>
  <c r="O50" i="50"/>
  <c r="AJ37" i="50"/>
  <c r="Y37" i="50"/>
  <c r="AN40" i="50"/>
  <c r="Z25" i="50"/>
  <c r="AJ43" i="50"/>
  <c r="AJ39" i="50"/>
  <c r="Y6" i="50"/>
  <c r="X5" i="50"/>
  <c r="AD14" i="50"/>
  <c r="AL15" i="50"/>
  <c r="P5" i="50"/>
  <c r="Y8" i="50"/>
  <c r="L46" i="50"/>
  <c r="S6" i="50"/>
  <c r="T25" i="50"/>
  <c r="AM40" i="50"/>
  <c r="W15" i="50"/>
  <c r="R15" i="50"/>
  <c r="X16" i="50"/>
  <c r="S31" i="50"/>
  <c r="AF35" i="50"/>
  <c r="T14" i="50"/>
  <c r="AE26" i="50"/>
  <c r="AD22" i="50"/>
  <c r="AO11" i="50"/>
  <c r="AL7" i="50"/>
  <c r="P11" i="50"/>
  <c r="N39" i="50"/>
  <c r="M10" i="50"/>
  <c r="AH22" i="50"/>
  <c r="AL25" i="50"/>
  <c r="P20" i="50"/>
  <c r="AL12" i="50"/>
  <c r="R47" i="50"/>
  <c r="AJ27" i="50"/>
  <c r="AD11" i="50"/>
  <c r="AA43" i="50"/>
  <c r="AC37" i="50"/>
  <c r="AD32" i="50"/>
  <c r="AC33" i="50"/>
  <c r="L22" i="50"/>
  <c r="L14" i="50"/>
  <c r="AC23" i="50"/>
  <c r="AB26" i="50"/>
  <c r="AM48" i="50"/>
  <c r="AL46" i="50"/>
  <c r="P33" i="50"/>
  <c r="P25" i="50"/>
  <c r="AG15" i="50"/>
  <c r="AM38" i="50"/>
  <c r="P14" i="50"/>
  <c r="N49" i="50"/>
  <c r="P44" i="50"/>
  <c r="AL23" i="50"/>
  <c r="L47" i="50"/>
  <c r="P19" i="50"/>
  <c r="X24" i="50"/>
  <c r="AC14" i="50"/>
  <c r="P22" i="50"/>
  <c r="AG30" i="50"/>
  <c r="AD33" i="50"/>
  <c r="AC19" i="50"/>
  <c r="AG39" i="50"/>
  <c r="AI31" i="50"/>
  <c r="AJ33" i="50"/>
  <c r="AO10" i="50"/>
  <c r="AM44" i="50"/>
  <c r="Q41" i="50"/>
  <c r="AE21" i="50"/>
  <c r="AC25" i="50"/>
  <c r="Q7" i="50"/>
  <c r="U6" i="50"/>
  <c r="R14" i="50"/>
  <c r="AL31" i="50"/>
  <c r="AK34" i="50"/>
  <c r="L20" i="50"/>
  <c r="AH37" i="50"/>
  <c r="AA49" i="50"/>
  <c r="Q11" i="50"/>
  <c r="Y13" i="50"/>
  <c r="AM13" i="50"/>
  <c r="AL42" i="50"/>
  <c r="AM43" i="50"/>
  <c r="AD47" i="50"/>
  <c r="R30" i="50"/>
  <c r="AK5" i="50"/>
  <c r="W42" i="50"/>
  <c r="V7" i="50"/>
  <c r="R32" i="50"/>
  <c r="O35" i="50"/>
  <c r="R21" i="50"/>
  <c r="U10" i="50"/>
  <c r="U33" i="50"/>
  <c r="V31" i="50"/>
  <c r="O16" i="50"/>
  <c r="P34" i="50"/>
  <c r="AE12" i="50"/>
  <c r="AF37" i="50"/>
  <c r="AC24" i="50"/>
  <c r="AO25" i="50"/>
  <c r="AN8" i="50"/>
  <c r="AE9" i="50"/>
  <c r="Q33" i="50"/>
  <c r="P16" i="50"/>
  <c r="O20" i="50"/>
  <c r="R43" i="50"/>
  <c r="P42" i="50"/>
  <c r="Z42" i="50"/>
  <c r="AF50" i="50"/>
  <c r="Q5" i="50"/>
  <c r="R17" i="50"/>
  <c r="AK6" i="50"/>
  <c r="AB22" i="50"/>
  <c r="N8" i="50"/>
  <c r="AB6" i="50"/>
  <c r="AJ7" i="50"/>
  <c r="AJ40" i="50"/>
  <c r="AJ45" i="50"/>
  <c r="AO36" i="50"/>
  <c r="AL11" i="50"/>
  <c r="AN23" i="50"/>
  <c r="U45" i="50"/>
  <c r="Z46" i="50"/>
  <c r="AL49" i="50"/>
  <c r="S20" i="50"/>
  <c r="AL10" i="50"/>
  <c r="AL28" i="50"/>
  <c r="N12" i="50"/>
  <c r="AI13" i="50"/>
  <c r="AI11" i="50"/>
  <c r="X27" i="50"/>
  <c r="AE38" i="50"/>
  <c r="AF43" i="50"/>
  <c r="U46" i="50"/>
  <c r="AC26" i="50"/>
  <c r="U47" i="50"/>
  <c r="N35" i="50"/>
  <c r="AL47" i="50"/>
  <c r="AB31" i="50"/>
  <c r="AJ22" i="50"/>
  <c r="T30" i="50"/>
  <c r="W5" i="50"/>
  <c r="Z27" i="50"/>
  <c r="AD25" i="50"/>
  <c r="AA7" i="50"/>
  <c r="P50" i="50"/>
  <c r="T42" i="50"/>
  <c r="AJ12" i="50"/>
  <c r="Q8" i="50"/>
  <c r="AJ8" i="50"/>
  <c r="AG32" i="50"/>
  <c r="AL24" i="50"/>
  <c r="P28" i="50"/>
  <c r="AA50" i="50"/>
  <c r="AM9" i="50"/>
  <c r="AK23" i="50"/>
  <c r="AC35" i="50"/>
  <c r="M14" i="50"/>
  <c r="S17" i="50"/>
  <c r="T48" i="50"/>
  <c r="T41" i="50"/>
  <c r="AM24" i="50"/>
  <c r="AO32" i="50"/>
  <c r="AI19" i="50"/>
  <c r="N43" i="50"/>
  <c r="AO14" i="50"/>
  <c r="Z47" i="50"/>
  <c r="S25" i="50"/>
  <c r="X44" i="50"/>
  <c r="AM16" i="50"/>
  <c r="AJ46" i="50"/>
  <c r="M41" i="50"/>
  <c r="O49" i="50"/>
  <c r="AK33" i="50"/>
  <c r="M47" i="50"/>
  <c r="AA14" i="50"/>
  <c r="AL8" i="50"/>
  <c r="AK38" i="50"/>
  <c r="M18" i="50"/>
  <c r="M48" i="50"/>
  <c r="AG13" i="50"/>
  <c r="AE48" i="50"/>
  <c r="O29" i="50"/>
  <c r="N42" i="50"/>
  <c r="AI29" i="50"/>
  <c r="Y41" i="50"/>
  <c r="O26" i="50"/>
  <c r="AD24" i="50"/>
  <c r="AD18" i="50"/>
  <c r="AJ15" i="50"/>
  <c r="O28" i="50"/>
  <c r="AF22" i="50"/>
  <c r="AM21" i="50"/>
  <c r="N31" i="50"/>
  <c r="AC40" i="50"/>
  <c r="W22" i="50"/>
  <c r="AO49" i="50"/>
  <c r="V20" i="50"/>
  <c r="Z34" i="50"/>
  <c r="R11" i="50"/>
  <c r="P45" i="50"/>
  <c r="O37" i="50"/>
  <c r="AC5" i="50"/>
  <c r="S36" i="50"/>
  <c r="M23" i="50"/>
  <c r="AF24" i="50"/>
  <c r="AD7" i="50"/>
  <c r="R23" i="50"/>
  <c r="AD30" i="50"/>
  <c r="AI9" i="50"/>
  <c r="R49" i="50"/>
  <c r="AO42" i="50"/>
  <c r="V15" i="50"/>
  <c r="AE5" i="50"/>
  <c r="M33" i="50"/>
  <c r="Q36" i="50"/>
  <c r="AB29" i="50"/>
  <c r="AC41" i="50"/>
  <c r="V41" i="50"/>
  <c r="AL34" i="50"/>
  <c r="AE35" i="50"/>
  <c r="AE25" i="50"/>
  <c r="AB17" i="50"/>
  <c r="V8" i="50"/>
  <c r="Z36" i="50"/>
  <c r="N22" i="50"/>
  <c r="AC39" i="50"/>
  <c r="Z11" i="50"/>
  <c r="AL6" i="50"/>
  <c r="AO40" i="50"/>
  <c r="AH16" i="50"/>
  <c r="S33" i="50"/>
  <c r="P46" i="50"/>
  <c r="AN48" i="50"/>
  <c r="L7" i="50"/>
  <c r="S28" i="50"/>
  <c r="T37" i="50"/>
  <c r="T35" i="50"/>
  <c r="U48" i="50"/>
  <c r="Q30" i="50"/>
  <c r="AM35" i="50"/>
  <c r="W36" i="50"/>
  <c r="AO47" i="50"/>
  <c r="O17" i="50"/>
  <c r="Z30" i="50"/>
  <c r="AI46" i="50"/>
  <c r="AK27" i="50"/>
  <c r="S42" i="50"/>
  <c r="AH43" i="50"/>
  <c r="Y42" i="50"/>
  <c r="Q29" i="50"/>
  <c r="U29" i="50"/>
  <c r="Z8" i="50"/>
  <c r="Z28" i="50"/>
  <c r="T29" i="50"/>
  <c r="AA16" i="50"/>
  <c r="V43" i="50"/>
  <c r="AI27" i="50"/>
  <c r="V29" i="50"/>
  <c r="Z33" i="50"/>
  <c r="Z32" i="50"/>
  <c r="AF31" i="50"/>
  <c r="AG7" i="50"/>
  <c r="AA30" i="50"/>
  <c r="AH39" i="50"/>
  <c r="T5" i="50"/>
  <c r="P48" i="50"/>
  <c r="X40" i="50"/>
  <c r="R33" i="50"/>
  <c r="AK32" i="50"/>
  <c r="AA32" i="50"/>
  <c r="AG29" i="50"/>
  <c r="AA19" i="50"/>
  <c r="AA5" i="50"/>
  <c r="AB50" i="50"/>
  <c r="AH30" i="50"/>
  <c r="S32" i="50"/>
  <c r="W19" i="50"/>
  <c r="AD28" i="50"/>
  <c r="AA20" i="50"/>
  <c r="AB48" i="50"/>
  <c r="AM33" i="50"/>
  <c r="T49" i="50"/>
  <c r="AC7" i="50"/>
  <c r="M5" i="50"/>
  <c r="AJ31" i="50"/>
  <c r="Y5" i="50"/>
  <c r="G12" i="9" l="1"/>
  <c r="F7" i="50"/>
  <c r="H7" i="50" s="1"/>
  <c r="F20" i="50"/>
  <c r="F47" i="50"/>
  <c r="AE7" i="5" s="1"/>
  <c r="M7" i="5" s="1"/>
  <c r="F14" i="50"/>
  <c r="AE10" i="1" s="1"/>
  <c r="F22" i="50"/>
  <c r="F46" i="50"/>
  <c r="F5" i="50"/>
  <c r="AE6" i="4" s="1"/>
  <c r="O6" i="4" s="1"/>
  <c r="A6" i="4" s="1"/>
  <c r="F34" i="50"/>
  <c r="H34" i="50" s="1"/>
  <c r="F28" i="50"/>
  <c r="F49" i="50"/>
  <c r="H49" i="50" s="1"/>
  <c r="F16" i="50"/>
  <c r="AE13" i="4" s="1"/>
  <c r="N13" i="4" s="1"/>
  <c r="F32" i="50"/>
  <c r="F24" i="50"/>
  <c r="F50" i="50"/>
  <c r="J50" i="50" s="1"/>
  <c r="F40" i="50"/>
  <c r="H40" i="50" s="1"/>
  <c r="F11" i="50"/>
  <c r="F38" i="50"/>
  <c r="H38" i="50" s="1"/>
  <c r="F17" i="50"/>
  <c r="F19" i="50"/>
  <c r="H19" i="50" s="1"/>
  <c r="F33" i="50"/>
  <c r="H33" i="50" s="1"/>
  <c r="F41" i="50"/>
  <c r="H41" i="50" s="1"/>
  <c r="F54" i="50"/>
  <c r="F8" i="50"/>
  <c r="F43" i="50"/>
  <c r="H43" i="50" s="1"/>
  <c r="F15" i="50"/>
  <c r="F27" i="50"/>
  <c r="F35" i="50"/>
  <c r="J35" i="50" s="1"/>
  <c r="F26" i="50"/>
  <c r="H26" i="50" s="1"/>
  <c r="F21" i="50"/>
  <c r="AE8" i="1" s="1"/>
  <c r="N8" i="1" s="1"/>
  <c r="F52" i="50"/>
  <c r="J52" i="50" s="1"/>
  <c r="F51" i="50"/>
  <c r="F18" i="50"/>
  <c r="F6" i="50"/>
  <c r="AE5" i="1" s="1"/>
  <c r="O5" i="1" s="1"/>
  <c r="A5" i="1" s="1"/>
  <c r="F9" i="50"/>
  <c r="J9" i="50" s="1"/>
  <c r="F13" i="50"/>
  <c r="F12" i="50"/>
  <c r="F53" i="50"/>
  <c r="AE20" i="1" s="1"/>
  <c r="N20" i="1" s="1"/>
  <c r="F45" i="50"/>
  <c r="AE8" i="5" s="1"/>
  <c r="N8" i="5" s="1"/>
  <c r="A8" i="5" s="1"/>
  <c r="F37" i="50"/>
  <c r="J37" i="50" s="1"/>
  <c r="F39" i="50"/>
  <c r="AE15" i="5" s="1"/>
  <c r="F29" i="50"/>
  <c r="F10" i="50"/>
  <c r="AE9" i="4" s="1"/>
  <c r="N9" i="4" s="1"/>
  <c r="F30" i="50"/>
  <c r="AE8" i="4" s="1"/>
  <c r="O8" i="4" s="1"/>
  <c r="A8" i="4" s="1"/>
  <c r="F48" i="50"/>
  <c r="F42" i="50"/>
  <c r="F44" i="50"/>
  <c r="F36" i="50"/>
  <c r="AE12" i="5" s="1"/>
  <c r="F23" i="50"/>
  <c r="AE17" i="1" s="1"/>
  <c r="O17" i="1" s="1"/>
  <c r="A17" i="1" s="1"/>
  <c r="F25" i="50"/>
  <c r="F31" i="50"/>
  <c r="J31" i="50" s="1"/>
  <c r="H52" i="50"/>
  <c r="AE6" i="1"/>
  <c r="AE19" i="5"/>
  <c r="J41" i="50"/>
  <c r="H5" i="50"/>
  <c r="AD4" i="4"/>
  <c r="G26" i="9"/>
  <c r="H45" i="50" l="1"/>
  <c r="AE21" i="5"/>
  <c r="J38" i="50"/>
  <c r="J7" i="50"/>
  <c r="J53" i="50"/>
  <c r="O20" i="1"/>
  <c r="A20" i="1" s="1"/>
  <c r="H53" i="50"/>
  <c r="N6" i="4"/>
  <c r="O13" i="4"/>
  <c r="A13" i="4" s="1"/>
  <c r="H10" i="50"/>
  <c r="J5" i="50"/>
  <c r="J16" i="50"/>
  <c r="H50" i="50"/>
  <c r="O9" i="4"/>
  <c r="A9" i="4" s="1"/>
  <c r="H16" i="50"/>
  <c r="AE14" i="5"/>
  <c r="N14" i="5" s="1"/>
  <c r="A14" i="5" s="1"/>
  <c r="M8" i="5"/>
  <c r="H31" i="50"/>
  <c r="J43" i="50"/>
  <c r="J33" i="50"/>
  <c r="H35" i="50"/>
  <c r="AE16" i="5"/>
  <c r="M16" i="5" s="1"/>
  <c r="AE15" i="4"/>
  <c r="N15" i="4" s="1"/>
  <c r="H30" i="50"/>
  <c r="F4" i="50"/>
  <c r="J19" i="50"/>
  <c r="J30" i="50"/>
  <c r="J39" i="50"/>
  <c r="H36" i="50"/>
  <c r="AE10" i="5"/>
  <c r="M10" i="5" s="1"/>
  <c r="N17" i="1"/>
  <c r="J14" i="50"/>
  <c r="H14" i="50"/>
  <c r="J26" i="50"/>
  <c r="AE17" i="5"/>
  <c r="N17" i="5" s="1"/>
  <c r="A17" i="5" s="1"/>
  <c r="J23" i="50"/>
  <c r="AE11" i="1"/>
  <c r="N8" i="4"/>
  <c r="H39" i="50"/>
  <c r="M15" i="5"/>
  <c r="N15" i="5"/>
  <c r="A15" i="5" s="1"/>
  <c r="H12" i="50"/>
  <c r="J12" i="50"/>
  <c r="AE10" i="4"/>
  <c r="AE14" i="4"/>
  <c r="H18" i="50"/>
  <c r="J18" i="50"/>
  <c r="H11" i="50"/>
  <c r="AE12" i="4"/>
  <c r="J11" i="50"/>
  <c r="H32" i="50"/>
  <c r="AE14" i="1"/>
  <c r="J32" i="50"/>
  <c r="AE11" i="5"/>
  <c r="J34" i="50"/>
  <c r="AE19" i="1"/>
  <c r="N19" i="1" s="1"/>
  <c r="J10" i="50"/>
  <c r="J48" i="50"/>
  <c r="AE6" i="5"/>
  <c r="H9" i="50"/>
  <c r="H48" i="50"/>
  <c r="N12" i="5"/>
  <c r="A12" i="5" s="1"/>
  <c r="M12" i="5"/>
  <c r="AE13" i="5"/>
  <c r="H37" i="50"/>
  <c r="J13" i="50"/>
  <c r="AE5" i="4"/>
  <c r="H13" i="50"/>
  <c r="AE21" i="1"/>
  <c r="H51" i="50"/>
  <c r="J51" i="50"/>
  <c r="AE7" i="1"/>
  <c r="J8" i="50"/>
  <c r="H8" i="50"/>
  <c r="AE18" i="5"/>
  <c r="J40" i="50"/>
  <c r="H47" i="50"/>
  <c r="J47" i="50"/>
  <c r="J54" i="50"/>
  <c r="H54" i="50"/>
  <c r="AE16" i="4"/>
  <c r="J17" i="50"/>
  <c r="H17" i="50"/>
  <c r="J49" i="50"/>
  <c r="AE5" i="5"/>
  <c r="AE9" i="5"/>
  <c r="H46" i="50"/>
  <c r="J46" i="50"/>
  <c r="J20" i="50"/>
  <c r="AE9" i="1"/>
  <c r="H20" i="50"/>
  <c r="AE22" i="5"/>
  <c r="H44" i="50"/>
  <c r="J44" i="50"/>
  <c r="H27" i="50"/>
  <c r="J27" i="50"/>
  <c r="AE12" i="1"/>
  <c r="AE7" i="4"/>
  <c r="O7" i="4" s="1"/>
  <c r="A7" i="4" s="1"/>
  <c r="H23" i="50"/>
  <c r="J45" i="50"/>
  <c r="N5" i="1"/>
  <c r="AE22" i="1"/>
  <c r="N22" i="1" s="1"/>
  <c r="J36" i="50"/>
  <c r="AE18" i="1"/>
  <c r="J25" i="50"/>
  <c r="H25" i="50"/>
  <c r="AE20" i="5"/>
  <c r="J42" i="50"/>
  <c r="H42" i="50"/>
  <c r="H29" i="50"/>
  <c r="AE15" i="1"/>
  <c r="J29" i="50"/>
  <c r="J6" i="50"/>
  <c r="H6" i="50"/>
  <c r="H21" i="50"/>
  <c r="J21" i="50"/>
  <c r="J15" i="50"/>
  <c r="AE17" i="4"/>
  <c r="H15" i="50"/>
  <c r="AE16" i="1"/>
  <c r="J24" i="50"/>
  <c r="H24" i="50"/>
  <c r="AE11" i="4"/>
  <c r="H28" i="50"/>
  <c r="J28" i="50"/>
  <c r="AE13" i="1"/>
  <c r="H22" i="50"/>
  <c r="J22" i="50"/>
  <c r="N7" i="5"/>
  <c r="A7" i="5" s="1"/>
  <c r="O8" i="1"/>
  <c r="A8" i="1" s="1"/>
  <c r="O6" i="1"/>
  <c r="A6" i="1" s="1"/>
  <c r="N6" i="1"/>
  <c r="N10" i="1"/>
  <c r="O10" i="1"/>
  <c r="A10" i="1" s="1"/>
  <c r="M19" i="5"/>
  <c r="N19" i="5"/>
  <c r="A19" i="5" s="1"/>
  <c r="M21" i="5"/>
  <c r="N21" i="5"/>
  <c r="A21" i="5" s="1"/>
  <c r="O11" i="1"/>
  <c r="A11" i="1" s="1"/>
  <c r="N11" i="1"/>
  <c r="M14" i="5" l="1"/>
  <c r="O19" i="1"/>
  <c r="A19" i="1" s="1"/>
  <c r="N16" i="5"/>
  <c r="A16" i="5" s="1"/>
  <c r="N10" i="5"/>
  <c r="A10" i="5" s="1"/>
  <c r="N7" i="4"/>
  <c r="AE4" i="5"/>
  <c r="O15" i="4"/>
  <c r="A15" i="4" s="1"/>
  <c r="M17" i="5"/>
  <c r="O22" i="1"/>
  <c r="A22" i="1" s="1"/>
  <c r="H4" i="50"/>
  <c r="I4" i="50" s="1"/>
  <c r="J4" i="50"/>
  <c r="N20" i="5"/>
  <c r="A20" i="5" s="1"/>
  <c r="M20" i="5"/>
  <c r="N5" i="4"/>
  <c r="O5" i="4"/>
  <c r="A5" i="4" s="1"/>
  <c r="O13" i="1"/>
  <c r="A13" i="1" s="1"/>
  <c r="N13" i="1"/>
  <c r="O17" i="4"/>
  <c r="A17" i="4" s="1"/>
  <c r="N17" i="4"/>
  <c r="O9" i="1"/>
  <c r="A9" i="1" s="1"/>
  <c r="N9" i="1"/>
  <c r="N9" i="5"/>
  <c r="A9" i="5" s="1"/>
  <c r="M9" i="5"/>
  <c r="M11" i="5"/>
  <c r="N11" i="5"/>
  <c r="A11" i="5" s="1"/>
  <c r="N11" i="4"/>
  <c r="O11" i="4"/>
  <c r="A11" i="4" s="1"/>
  <c r="N18" i="5"/>
  <c r="A18" i="5" s="1"/>
  <c r="M18" i="5"/>
  <c r="N6" i="5"/>
  <c r="A6" i="5" s="1"/>
  <c r="M6" i="5"/>
  <c r="AE4" i="1"/>
  <c r="N12" i="1"/>
  <c r="O12" i="1"/>
  <c r="A12" i="1" s="1"/>
  <c r="N5" i="5"/>
  <c r="A5" i="5" s="1"/>
  <c r="M5" i="5"/>
  <c r="N16" i="4"/>
  <c r="O16" i="4"/>
  <c r="A16" i="4" s="1"/>
  <c r="O21" i="1"/>
  <c r="A21" i="1" s="1"/>
  <c r="N21" i="1"/>
  <c r="N12" i="4"/>
  <c r="O12" i="4"/>
  <c r="A12" i="4" s="1"/>
  <c r="O14" i="4"/>
  <c r="A14" i="4" s="1"/>
  <c r="N14" i="4"/>
  <c r="O15" i="1"/>
  <c r="A15" i="1" s="1"/>
  <c r="N15" i="1"/>
  <c r="AE4" i="4"/>
  <c r="N16" i="1"/>
  <c r="O16" i="1"/>
  <c r="A16" i="1" s="1"/>
  <c r="O18" i="1"/>
  <c r="A18" i="1" s="1"/>
  <c r="N18" i="1"/>
  <c r="N22" i="5"/>
  <c r="A22" i="5" s="1"/>
  <c r="M22" i="5"/>
  <c r="O7" i="1"/>
  <c r="A7" i="1" s="1"/>
  <c r="N7" i="1"/>
  <c r="N13" i="5"/>
  <c r="A13" i="5" s="1"/>
  <c r="M13" i="5"/>
  <c r="O14" i="1"/>
  <c r="A14" i="1" s="1"/>
  <c r="N14" i="1"/>
  <c r="N10" i="4"/>
  <c r="O10" i="4"/>
  <c r="A10" i="4" s="1"/>
  <c r="A4" i="1" l="1"/>
  <c r="A4" i="5"/>
  <c r="K8" i="50"/>
  <c r="N4" i="4"/>
  <c r="N4" i="5"/>
  <c r="M4" i="5"/>
  <c r="A4" i="4"/>
  <c r="N4" i="1"/>
  <c r="O4" i="4"/>
  <c r="O4" i="1"/>
  <c r="I4" i="95" l="1"/>
  <c r="I5" i="95" s="1"/>
  <c r="E1" i="50"/>
  <c r="C1" i="50"/>
  <c r="D1" i="50"/>
  <c r="A1" i="50"/>
</calcChain>
</file>

<file path=xl/comments1.xml><?xml version="1.0" encoding="utf-8"?>
<comments xmlns="http://schemas.openxmlformats.org/spreadsheetml/2006/main">
  <authors>
    <author>Windows User</author>
  </authors>
  <commentList>
    <comment ref="Q5" authorId="0">
      <text>
        <r>
          <rPr>
            <b/>
            <sz val="9"/>
            <color indexed="81"/>
            <rFont val="Tahoma"/>
            <family val="2"/>
          </rPr>
          <t>Windows User:</t>
        </r>
        <r>
          <rPr>
            <sz val="9"/>
            <color indexed="81"/>
            <rFont val="Tahoma"/>
            <family val="2"/>
          </rPr>
          <t xml:space="preserve">
Dì Bé 1</t>
        </r>
      </text>
    </comment>
    <comment ref="Q8" authorId="0">
      <text>
        <r>
          <rPr>
            <b/>
            <sz val="9"/>
            <color indexed="81"/>
            <rFont val="Tahoma"/>
            <family val="2"/>
          </rPr>
          <t>Windows User:</t>
        </r>
        <r>
          <rPr>
            <sz val="9"/>
            <color indexed="81"/>
            <rFont val="Tahoma"/>
            <family val="2"/>
          </rPr>
          <t xml:space="preserve">
Thiện lấy chào hàng
</t>
        </r>
      </text>
    </comment>
    <comment ref="Q10" authorId="0">
      <text>
        <r>
          <rPr>
            <b/>
            <sz val="9"/>
            <color indexed="81"/>
            <rFont val="Tahoma"/>
            <family val="2"/>
          </rPr>
          <t>Windows User:</t>
        </r>
        <r>
          <rPr>
            <sz val="9"/>
            <color indexed="81"/>
            <rFont val="Tahoma"/>
            <family val="2"/>
          </rPr>
          <t xml:space="preserve">
Dì Bé 1
Sơn ML 1</t>
        </r>
      </text>
    </comment>
    <comment ref="R10" authorId="0">
      <text>
        <r>
          <rPr>
            <b/>
            <sz val="9"/>
            <color indexed="81"/>
            <rFont val="Tahoma"/>
            <family val="2"/>
          </rPr>
          <t>Windows User:</t>
        </r>
        <r>
          <rPr>
            <sz val="9"/>
            <color indexed="81"/>
            <rFont val="Tahoma"/>
            <family val="2"/>
          </rPr>
          <t xml:space="preserve">
c. Loan 1
KH Lẻ-C. Mai 1
</t>
        </r>
      </text>
    </comment>
    <comment ref="Q11" authorId="0">
      <text>
        <r>
          <rPr>
            <b/>
            <sz val="9"/>
            <color indexed="81"/>
            <rFont val="Tahoma"/>
            <family val="2"/>
          </rPr>
          <t>Windows User:</t>
        </r>
        <r>
          <rPr>
            <sz val="9"/>
            <color indexed="81"/>
            <rFont val="Tahoma"/>
            <family val="2"/>
          </rPr>
          <t xml:space="preserve">
Dì Bé 1</t>
        </r>
      </text>
    </comment>
    <comment ref="Q12" authorId="0">
      <text>
        <r>
          <rPr>
            <b/>
            <sz val="9"/>
            <color indexed="81"/>
            <rFont val="Tahoma"/>
            <family val="2"/>
          </rPr>
          <t>Windows User:</t>
        </r>
        <r>
          <rPr>
            <sz val="9"/>
            <color indexed="81"/>
            <rFont val="Tahoma"/>
            <family val="2"/>
          </rPr>
          <t xml:space="preserve">
Dì Bé 1
Sơn ML 1</t>
        </r>
      </text>
    </comment>
    <comment ref="Q13" authorId="0">
      <text>
        <r>
          <rPr>
            <b/>
            <sz val="9"/>
            <color indexed="81"/>
            <rFont val="Tahoma"/>
            <family val="2"/>
          </rPr>
          <t>Windows User:</t>
        </r>
        <r>
          <rPr>
            <sz val="9"/>
            <color indexed="81"/>
            <rFont val="Tahoma"/>
            <family val="2"/>
          </rPr>
          <t xml:space="preserve">
Dì Bé 1</t>
        </r>
      </text>
    </comment>
    <comment ref="P15" authorId="0">
      <text>
        <r>
          <rPr>
            <b/>
            <sz val="9"/>
            <color indexed="81"/>
            <rFont val="Tahoma"/>
            <family val="2"/>
          </rPr>
          <t>Windows User:</t>
        </r>
        <r>
          <rPr>
            <sz val="9"/>
            <color indexed="81"/>
            <rFont val="Tahoma"/>
            <family val="2"/>
          </rPr>
          <t xml:space="preserve">
XM Phú</t>
        </r>
      </text>
    </comment>
    <comment ref="Q15" authorId="0">
      <text>
        <r>
          <rPr>
            <b/>
            <sz val="9"/>
            <color indexed="81"/>
            <rFont val="Tahoma"/>
            <family val="2"/>
          </rPr>
          <t>Windows User:</t>
        </r>
        <r>
          <rPr>
            <sz val="9"/>
            <color indexed="81"/>
            <rFont val="Tahoma"/>
            <family val="2"/>
          </rPr>
          <t xml:space="preserve">
Dì Bé 1</t>
        </r>
      </text>
    </comment>
    <comment ref="Q16" authorId="0">
      <text>
        <r>
          <rPr>
            <b/>
            <sz val="9"/>
            <color indexed="81"/>
            <rFont val="Tahoma"/>
            <family val="2"/>
          </rPr>
          <t>Windows User:</t>
        </r>
        <r>
          <rPr>
            <sz val="9"/>
            <color indexed="81"/>
            <rFont val="Tahoma"/>
            <family val="2"/>
          </rPr>
          <t xml:space="preserve">
Thư Ngọng 1</t>
        </r>
      </text>
    </comment>
    <comment ref="Q18" authorId="0">
      <text>
        <r>
          <rPr>
            <b/>
            <sz val="9"/>
            <color indexed="81"/>
            <rFont val="Tahoma"/>
            <family val="2"/>
          </rPr>
          <t>Windows User:</t>
        </r>
        <r>
          <rPr>
            <sz val="9"/>
            <color indexed="81"/>
            <rFont val="Tahoma"/>
            <family val="2"/>
          </rPr>
          <t xml:space="preserve">
Dì Bé 1</t>
        </r>
      </text>
    </comment>
    <comment ref="O20" authorId="0">
      <text>
        <r>
          <rPr>
            <b/>
            <sz val="9"/>
            <color indexed="81"/>
            <rFont val="Tahoma"/>
            <family val="2"/>
          </rPr>
          <t>Windows User:</t>
        </r>
        <r>
          <rPr>
            <sz val="9"/>
            <color indexed="81"/>
            <rFont val="Tahoma"/>
            <family val="2"/>
          </rPr>
          <t xml:space="preserve">
Xì</t>
        </r>
      </text>
    </comment>
    <comment ref="Q20" authorId="0">
      <text>
        <r>
          <rPr>
            <b/>
            <sz val="9"/>
            <color indexed="81"/>
            <rFont val="Tahoma"/>
            <family val="2"/>
          </rPr>
          <t>Windows User:</t>
        </r>
        <r>
          <rPr>
            <sz val="9"/>
            <color indexed="81"/>
            <rFont val="Tahoma"/>
            <family val="2"/>
          </rPr>
          <t xml:space="preserve">
Dì Bé 1</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R5" authorId="0">
      <text>
        <r>
          <rPr>
            <b/>
            <sz val="9"/>
            <color indexed="81"/>
            <rFont val="Tahoma"/>
            <family val="2"/>
          </rPr>
          <t>Windows User:</t>
        </r>
        <r>
          <rPr>
            <sz val="9"/>
            <color indexed="81"/>
            <rFont val="Tahoma"/>
            <family val="2"/>
          </rPr>
          <t xml:space="preserve">
c. Loan 1</t>
        </r>
      </text>
    </comment>
    <comment ref="R6" authorId="0">
      <text>
        <r>
          <rPr>
            <b/>
            <sz val="9"/>
            <color indexed="81"/>
            <rFont val="Tahoma"/>
            <family val="2"/>
          </rPr>
          <t>Windows User:</t>
        </r>
        <r>
          <rPr>
            <sz val="9"/>
            <color indexed="81"/>
            <rFont val="Tahoma"/>
            <family val="2"/>
          </rPr>
          <t xml:space="preserve">
Kh Lẻ
</t>
        </r>
      </text>
    </comment>
    <comment ref="P7" authorId="0">
      <text>
        <r>
          <rPr>
            <b/>
            <sz val="9"/>
            <color indexed="81"/>
            <rFont val="Tahoma"/>
            <family val="2"/>
          </rPr>
          <t>Windows User:</t>
        </r>
        <r>
          <rPr>
            <sz val="9"/>
            <color indexed="81"/>
            <rFont val="Tahoma"/>
            <family val="2"/>
          </rPr>
          <t xml:space="preserve">
chưa rõ</t>
        </r>
      </text>
    </comment>
    <comment ref="R7" authorId="0">
      <text>
        <r>
          <rPr>
            <b/>
            <sz val="9"/>
            <color indexed="81"/>
            <rFont val="Tahoma"/>
            <family val="2"/>
          </rPr>
          <t>Windows User:</t>
        </r>
        <r>
          <rPr>
            <sz val="9"/>
            <color indexed="81"/>
            <rFont val="Tahoma"/>
            <family val="2"/>
          </rPr>
          <t xml:space="preserve">
c. Loan 1</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 ref="R11" authorId="0">
      <text>
        <r>
          <rPr>
            <b/>
            <sz val="9"/>
            <color indexed="81"/>
            <rFont val="Tahoma"/>
            <family val="2"/>
          </rPr>
          <t>Windows User:</t>
        </r>
        <r>
          <rPr>
            <sz val="9"/>
            <color indexed="81"/>
            <rFont val="Tahoma"/>
            <family val="2"/>
          </rPr>
          <t xml:space="preserve">
KH Lẻ 1
KH Lẻ C. Mai 1</t>
        </r>
      </text>
    </comment>
    <comment ref="R12" authorId="0">
      <text>
        <r>
          <rPr>
            <b/>
            <sz val="9"/>
            <color indexed="81"/>
            <rFont val="Tahoma"/>
            <family val="2"/>
          </rPr>
          <t>Windows User:</t>
        </r>
        <r>
          <rPr>
            <sz val="9"/>
            <color indexed="81"/>
            <rFont val="Tahoma"/>
            <family val="2"/>
          </rPr>
          <t xml:space="preserve">
c. Loan 1</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R5" authorId="0">
      <text>
        <r>
          <rPr>
            <b/>
            <sz val="9"/>
            <color indexed="81"/>
            <rFont val="Tahoma"/>
            <family val="2"/>
          </rPr>
          <t>Windows User:</t>
        </r>
        <r>
          <rPr>
            <sz val="9"/>
            <color indexed="81"/>
            <rFont val="Tahoma"/>
            <family val="2"/>
          </rPr>
          <t xml:space="preserve">
xì</t>
        </r>
      </text>
    </comment>
    <comment ref="R7" authorId="0">
      <text>
        <r>
          <rPr>
            <b/>
            <sz val="9"/>
            <color indexed="81"/>
            <rFont val="Tahoma"/>
            <family val="2"/>
          </rPr>
          <t>Windows User:</t>
        </r>
        <r>
          <rPr>
            <sz val="9"/>
            <color indexed="81"/>
            <rFont val="Tahoma"/>
            <family val="2"/>
          </rPr>
          <t xml:space="preserve">
xì</t>
        </r>
      </text>
    </comment>
    <comment ref="R8" authorId="0">
      <text>
        <r>
          <rPr>
            <b/>
            <sz val="9"/>
            <color indexed="81"/>
            <rFont val="Tahoma"/>
            <family val="2"/>
          </rPr>
          <t>Windows User:</t>
        </r>
        <r>
          <rPr>
            <sz val="9"/>
            <color indexed="81"/>
            <rFont val="Tahoma"/>
            <family val="2"/>
          </rPr>
          <t xml:space="preserve">
KH Lẻ-C. Mai 1</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R19" authorId="0">
      <text>
        <r>
          <rPr>
            <b/>
            <sz val="9"/>
            <color indexed="81"/>
            <rFont val="Tahoma"/>
            <family val="2"/>
          </rPr>
          <t>Windows User:</t>
        </r>
        <r>
          <rPr>
            <sz val="9"/>
            <color indexed="81"/>
            <rFont val="Tahoma"/>
            <family val="2"/>
          </rPr>
          <t xml:space="preserve">
KH Lẻ-C. Mai 1</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<sst xmlns="http://schemas.openxmlformats.org/spreadsheetml/2006/main" count="1842" uniqueCount="208">
  <si>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</si>
  <si>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</si>
  <si>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</si>
  <si>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</si>
  <si>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</si>
  <si>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</si>
  <si>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</si>
  <si>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</si>
  <si>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</si>
  <si>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</si>
  <si>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</si>
  <si>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</si>
  <si>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</si>
  <si>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</si>
  <si>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</si>
  <si>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</si>
  <si>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</si>
  <si>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</si>
  <si>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</si>
  <si>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</si>
  <si>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</si>
  <si>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</si>
  <si>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</si>
  <si>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</si>
  <si>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</si>
  <si>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</si>
  <si>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</si>
  <si>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</si>
  <si>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</si>
  <si>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</si>
  <si>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</si>
  <si>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</si>
  <si>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</si>
  <si>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</si>
  <si>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</si>
  <si>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</si>
  <si>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</si>
  <si>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</si>
  <si>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</si>
  <si>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</si>
  <si>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</si>
  <si>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</si>
  <si>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</si>
  <si>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</si>
  <si>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</si>
  <si>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</si>
  <si>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</si>
  <si>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</si>
  <si>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</si>
  <si>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</si>
  <si>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</si>
  <si>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</si>
  <si>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</si>
  <si>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</si>
  <si>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</si>
  <si>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</si>
  <si>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</si>
  <si>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</si>
  <si>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</si>
  <si>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</si>
  <si>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</si>
  <si>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</si>
  <si>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</si>
  <si>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</si>
  <si>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</si>
  <si>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</si>
  <si>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</si>
  <si>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</si>
  <si>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</si>
  <si>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</si>
  <si>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</si>
  <si>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</si>
  <si>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</si>
  <si>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</si>
  <si>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</si>
  <si>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</si>
  <si>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</si>
  <si>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</si>
  <si>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</si>
  <si>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</si>
  <si>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</si>
  <si>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</si>
  <si>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</si>
  <si>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</si>
  <si>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</si>
  <si>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</si>
  <si>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</si>
  <si>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</si>
  <si>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</si>
  <si>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</si>
  <si>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</si>
  <si>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</si>
  <si>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</si>
  <si>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</si>
  <si>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</si>
  <si>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</si>
  <si>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</si>
  <si>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</si>
  <si>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</si>
  <si>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</si>
  <si>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</si>
  <si>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</si>
  <si>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</si>
  <si>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</si>
  <si>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</si>
  <si>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</si>
  <si>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</si>
  <si>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</si>
  <si>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</si>
  <si>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</si>
  <si>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</si>
  <si>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</si>
  <si>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</si>
  <si>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</si>
  <si>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</si>
  <si>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</si>
  <si>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</si>
  <si>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</si>
  <si>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</si>
  <si>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</si>
  <si>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</si>
  <si>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</si>
  <si>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</si>
  <si>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</si>
  <si>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</si>
  <si>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</si>
  <si>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</si>
  <si>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</si>
  <si>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</si>
  <si>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</si>
  <si>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</si>
  <si>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</si>
  <si>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</si>
  <si>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</si>
  <si>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</si>
  <si>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</si>
  <si>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</si>
  <si>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</si>
  <si>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</si>
  <si>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</si>
  <si>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</si>
  <si>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</si>
  <si>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</si>
  <si>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</si>
  <si>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</si>
  <si>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</si>
  <si>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</si>
  <si>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</si>
  <si>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</si>
  <si>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</si>
  <si>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</si>
  <si>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</si>
  <si>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</si>
  <si>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</si>
  <si>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</si>
  <si>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</si>
  <si>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</si>
  <si>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</si>
  <si>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</si>
  <si>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</si>
  <si>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</si>
  <si>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</si>
  <si>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</si>
  <si>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</si>
  <si>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</si>
  <si>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</si>
  <si>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</si>
  <si>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</si>
  <si>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</si>
  <si>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</si>
  <si>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</si>
  <si>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</si>
  <si>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</si>
  <si>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</si>
  <si>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</si>
  <si>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</si>
  <si>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</si>
  <si>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</si>
  <si>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</si>
  <si>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</si>
  <si>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</si>
  <si>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</si>
  <si>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</si>
  <si>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</si>
  <si>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</si>
  <si>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</si>
  <si>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</si>
  <si>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</si>
  <si>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</si>
  <si>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</si>
  <si>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</si>
  <si>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</si>
  <si>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</si>
  <si>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</si>
  <si>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Thím Gái</t>
  </si>
  <si>
    <t>Móm</t>
  </si>
  <si>
    <t>Dì Tư</t>
  </si>
  <si>
    <t>Bảo Ngọc</t>
  </si>
  <si>
    <t>Cô Bé Ken</t>
  </si>
  <si>
    <t>Dì Luận</t>
  </si>
  <si>
    <t>KH lẻ</t>
  </si>
  <si>
    <t>Chị Trang</t>
  </si>
  <si>
    <t>Dì Thi</t>
  </si>
  <si>
    <t>Kim Vân</t>
  </si>
  <si>
    <t>Cô Tư Lan</t>
  </si>
  <si>
    <t>TS 199X</t>
  </si>
  <si>
    <t>KH Lẻ</t>
  </si>
  <si>
    <t xml:space="preserve">Mượn Mẹ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</si>
</sst>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3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1"/>
      <color theme="1"/>
      <name val="Times New Roman"/>
    </font>
    <font>
      <sz val="18"/>
      <color theme="1"/>
      <name val="Times New Roman"/>
    </font>
    <font>
      <sz val="14"/>
      <color theme="1"/>
      <name val="Times New Roman"/>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1">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4" fillId="6" borderId="1" xfId="1" applyFont="1" applyFill="1" applyBorder="1" applyAlignment="1">
      <alignment horizontal="center" vertical="center"/>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3" fillId="7" borderId="1" xfId="1" applyFont="1" applyFill="1" applyBorder="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28" fillId="0" borderId="1" xfId="0" pivotButton="1" applyFont="1" applyBorder="1" applyAlignment="1">
      <alignment horizontal="center" vertical="top"/>
    </xf>
    <xf numFmtId="0" fontId="29" fillId="0" borderId="1" xfId="0" pivotButton="1" applyFont="1" applyBorder="1" applyAlignment="1">
      <alignment horizontal="center" vertical="top"/>
    </xf>
    <xf numFmtId="0" fontId="30" fillId="0" borderId="0" xfId="0" applyFont="1" applyAlignment="1">
      <alignment horizontal="center" vertical="center"/>
    </xf>
    <xf numFmtId="0" fontId="30" fillId="0" borderId="0" xfId="0" applyFont="1"/>
    <xf numFmtId="0" fontId="31" fillId="0" borderId="0" xfId="0" applyFont="1" applyAlignment="1">
      <alignment horizontal="left"/>
    </xf>
    <xf numFmtId="41" fontId="31" fillId="0" borderId="0" xfId="0" applyNumberFormat="1" applyFont="1" applyAlignment="1">
      <alignment horizontal="center" vertical="center"/>
    </xf>
    <xf numFmtId="41" fontId="20" fillId="0" borderId="1" xfId="1" applyFont="1" applyBorder="1" applyAlignment="1">
      <alignment vertical="center"/>
    </xf>
  </cellXfs>
  <cellStyles count="3">
    <cellStyle name="Comma [0]" xfId="1" builtinId="6"/>
    <cellStyle name="Normal" xfId="0" builtinId="0"/>
    <cellStyle name="Percent" xfId="2" builtinId="5"/>
  </cellStyles>
  <dxfs count="713">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12"/>
      <tableStyleElement type="headerRow" dxfId="71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4817" name="Button 1" hidden="1">
              <a:extLst>
                <a:ext uri="{63B3BB69-23CF-44E3-9099-C40C66FF867C}">
                  <a14:compatExt spid="_x0000_s348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695">
      <pivotArea field="3" type="button" dataOnly="0" labelOnly="1" outline="0" axis="axisRow" fieldPosition="3"/>
    </format>
    <format dxfId="69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9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9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9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8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8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8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8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8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8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8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8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8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8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7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7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7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7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7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7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7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7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7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7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6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6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6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6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6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6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6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6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6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6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5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5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5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5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5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5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5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5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5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5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4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4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4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4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4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4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4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4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4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4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3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3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3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63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63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3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3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3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2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2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2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2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2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2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2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2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2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2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1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1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1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1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1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1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1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1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1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1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0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0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0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0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0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0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0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0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9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9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9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9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9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9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9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9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9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9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8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8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8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8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8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8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8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8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8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8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7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7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7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7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7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74">
      <pivotArea field="1" type="button" dataOnly="0" labelOnly="1" outline="0" axis="axisRow" fieldPosition="2"/>
    </format>
    <format dxfId="573">
      <pivotArea dataOnly="0" labelOnly="1" outline="0" fieldPosition="0">
        <references count="1">
          <reference field="1" count="0"/>
        </references>
      </pivotArea>
    </format>
    <format dxfId="572">
      <pivotArea field="0" type="button" dataOnly="0" labelOnly="1" outline="0" axis="axisRow" fieldPosition="0"/>
    </format>
    <format dxfId="57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70">
      <pivotArea dataOnly="0" labelOnly="1" outline="0" fieldPosition="0">
        <references count="1">
          <reference field="0" count="10">
            <x v="50"/>
            <x v="51"/>
            <x v="52"/>
            <x v="53"/>
            <x v="54"/>
            <x v="55"/>
            <x v="56"/>
            <x v="57"/>
            <x v="58"/>
            <x v="59"/>
          </reference>
        </references>
      </pivotArea>
    </format>
    <format dxfId="569">
      <pivotArea dataOnly="0" labelOnly="1" grandRow="1" outline="0" fieldPosition="0"/>
    </format>
    <format dxfId="56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67">
      <pivotArea dataOnly="0" labelOnly="1" outline="0" fieldPosition="0">
        <references count="1">
          <reference field="0" count="10">
            <x v="50"/>
            <x v="51"/>
            <x v="52"/>
            <x v="53"/>
            <x v="54"/>
            <x v="55"/>
            <x v="56"/>
            <x v="57"/>
            <x v="58"/>
            <x v="59"/>
          </reference>
        </references>
      </pivotArea>
    </format>
    <format dxfId="566">
      <pivotArea dataOnly="0" labelOnly="1" grandRow="1" outline="0" fieldPosition="0"/>
    </format>
    <format dxfId="565">
      <pivotArea field="2" type="button" dataOnly="0" labelOnly="1" outline="0" axis="axisRow" fieldPosition="1"/>
    </format>
    <format dxfId="564">
      <pivotArea type="all" dataOnly="0" outline="0" fieldPosition="0"/>
    </format>
    <format dxfId="563">
      <pivotArea field="0" type="button" dataOnly="0" labelOnly="1" outline="0" axis="axisRow" fieldPosition="0"/>
    </format>
    <format dxfId="562">
      <pivotArea field="2" type="button" dataOnly="0" labelOnly="1" outline="0" axis="axisRow" fieldPosition="1"/>
    </format>
    <format dxfId="561">
      <pivotArea field="1" type="button" dataOnly="0" labelOnly="1" outline="0" axis="axisRow" fieldPosition="2"/>
    </format>
    <format dxfId="560">
      <pivotArea field="3" type="button" dataOnly="0" labelOnly="1" outline="0" axis="axisRow" fieldPosition="3"/>
    </format>
    <format dxfId="559">
      <pivotArea field="0" type="button" dataOnly="0" labelOnly="1" outline="0" axis="axisRow" fieldPosition="0"/>
    </format>
    <format dxfId="558">
      <pivotArea field="2" type="button" dataOnly="0" labelOnly="1" outline="0" axis="axisRow" fieldPosition="1"/>
    </format>
    <format dxfId="557">
      <pivotArea field="1" type="button" dataOnly="0" labelOnly="1" outline="0" axis="axisRow" fieldPosition="2"/>
    </format>
    <format dxfId="556">
      <pivotArea field="3" type="button" dataOnly="0" labelOnly="1" outline="0" axis="axisRow" fieldPosition="3"/>
    </format>
    <format dxfId="555">
      <pivotArea field="0" type="button" dataOnly="0" labelOnly="1" outline="0" axis="axisRow" fieldPosition="0"/>
    </format>
    <format dxfId="554">
      <pivotArea field="2" type="button" dataOnly="0" labelOnly="1" outline="0" axis="axisRow" fieldPosition="1"/>
    </format>
    <format dxfId="553">
      <pivotArea dataOnly="0" labelOnly="1" outline="0" fieldPosition="0">
        <references count="3">
          <reference field="0" count="1" selected="0">
            <x v="0"/>
          </reference>
          <reference field="1" count="1">
            <x v="6"/>
          </reference>
          <reference field="2" count="1" selected="0">
            <x v="0"/>
          </reference>
        </references>
      </pivotArea>
    </format>
    <format dxfId="552">
      <pivotArea dataOnly="0" labelOnly="1" outline="0" fieldPosition="0">
        <references count="3">
          <reference field="0" count="1" selected="0">
            <x v="1"/>
          </reference>
          <reference field="1" count="1">
            <x v="5"/>
          </reference>
          <reference field="2" count="1" selected="0">
            <x v="1"/>
          </reference>
        </references>
      </pivotArea>
    </format>
    <format dxfId="551">
      <pivotArea dataOnly="0" labelOnly="1" outline="0" fieldPosition="0">
        <references count="3">
          <reference field="0" count="1" selected="0">
            <x v="2"/>
          </reference>
          <reference field="1" count="1">
            <x v="7"/>
          </reference>
          <reference field="2" count="1" selected="0">
            <x v="2"/>
          </reference>
        </references>
      </pivotArea>
    </format>
    <format dxfId="550">
      <pivotArea dataOnly="0" labelOnly="1" outline="0" fieldPosition="0">
        <references count="3">
          <reference field="0" count="1" selected="0">
            <x v="3"/>
          </reference>
          <reference field="1" count="1">
            <x v="40"/>
          </reference>
          <reference field="2" count="1" selected="0">
            <x v="3"/>
          </reference>
        </references>
      </pivotArea>
    </format>
    <format dxfId="549">
      <pivotArea dataOnly="0" labelOnly="1" outline="0" fieldPosition="0">
        <references count="3">
          <reference field="0" count="1" selected="0">
            <x v="4"/>
          </reference>
          <reference field="1" count="1">
            <x v="16"/>
          </reference>
          <reference field="2" count="1" selected="0">
            <x v="4"/>
          </reference>
        </references>
      </pivotArea>
    </format>
    <format dxfId="548">
      <pivotArea dataOnly="0" labelOnly="1" outline="0" fieldPosition="0">
        <references count="3">
          <reference field="0" count="1" selected="0">
            <x v="5"/>
          </reference>
          <reference field="1" count="1">
            <x v="33"/>
          </reference>
          <reference field="2" count="1" selected="0">
            <x v="5"/>
          </reference>
        </references>
      </pivotArea>
    </format>
    <format dxfId="547">
      <pivotArea dataOnly="0" labelOnly="1" outline="0" fieldPosition="0">
        <references count="3">
          <reference field="0" count="1" selected="0">
            <x v="6"/>
          </reference>
          <reference field="1" count="1">
            <x v="39"/>
          </reference>
          <reference field="2" count="1" selected="0">
            <x v="6"/>
          </reference>
        </references>
      </pivotArea>
    </format>
    <format dxfId="546">
      <pivotArea dataOnly="0" labelOnly="1" outline="0" fieldPosition="0">
        <references count="3">
          <reference field="0" count="1" selected="0">
            <x v="7"/>
          </reference>
          <reference field="1" count="1">
            <x v="28"/>
          </reference>
          <reference field="2" count="1" selected="0">
            <x v="7"/>
          </reference>
        </references>
      </pivotArea>
    </format>
    <format dxfId="545">
      <pivotArea dataOnly="0" labelOnly="1" outline="0" fieldPosition="0">
        <references count="3">
          <reference field="0" count="1" selected="0">
            <x v="8"/>
          </reference>
          <reference field="1" count="1">
            <x v="25"/>
          </reference>
          <reference field="2" count="1" selected="0">
            <x v="8"/>
          </reference>
        </references>
      </pivotArea>
    </format>
    <format dxfId="544">
      <pivotArea dataOnly="0" labelOnly="1" outline="0" fieldPosition="0">
        <references count="3">
          <reference field="0" count="1" selected="0">
            <x v="9"/>
          </reference>
          <reference field="1" count="1">
            <x v="43"/>
          </reference>
          <reference field="2" count="1" selected="0">
            <x v="9"/>
          </reference>
        </references>
      </pivotArea>
    </format>
    <format dxfId="543">
      <pivotArea dataOnly="0" labelOnly="1" outline="0" fieldPosition="0">
        <references count="3">
          <reference field="0" count="1" selected="0">
            <x v="10"/>
          </reference>
          <reference field="1" count="1">
            <x v="44"/>
          </reference>
          <reference field="2" count="1" selected="0">
            <x v="10"/>
          </reference>
        </references>
      </pivotArea>
    </format>
    <format dxfId="542">
      <pivotArea dataOnly="0" labelOnly="1" outline="0" fieldPosition="0">
        <references count="3">
          <reference field="0" count="1" selected="0">
            <x v="11"/>
          </reference>
          <reference field="1" count="1">
            <x v="45"/>
          </reference>
          <reference field="2" count="1" selected="0">
            <x v="11"/>
          </reference>
        </references>
      </pivotArea>
    </format>
    <format dxfId="541">
      <pivotArea dataOnly="0" labelOnly="1" outline="0" fieldPosition="0">
        <references count="3">
          <reference field="0" count="1" selected="0">
            <x v="12"/>
          </reference>
          <reference field="1" count="1">
            <x v="46"/>
          </reference>
          <reference field="2" count="1" selected="0">
            <x v="12"/>
          </reference>
        </references>
      </pivotArea>
    </format>
    <format dxfId="540">
      <pivotArea dataOnly="0" labelOnly="1" outline="0" fieldPosition="0">
        <references count="3">
          <reference field="0" count="1" selected="0">
            <x v="13"/>
          </reference>
          <reference field="1" count="1">
            <x v="47"/>
          </reference>
          <reference field="2" count="1" selected="0">
            <x v="13"/>
          </reference>
        </references>
      </pivotArea>
    </format>
    <format dxfId="539">
      <pivotArea dataOnly="0" labelOnly="1" outline="0" fieldPosition="0">
        <references count="3">
          <reference field="0" count="1" selected="0">
            <x v="14"/>
          </reference>
          <reference field="1" count="1">
            <x v="48"/>
          </reference>
          <reference field="2" count="1" selected="0">
            <x v="14"/>
          </reference>
        </references>
      </pivotArea>
    </format>
    <format dxfId="538">
      <pivotArea dataOnly="0" labelOnly="1" outline="0" fieldPosition="0">
        <references count="3">
          <reference field="0" count="1" selected="0">
            <x v="15"/>
          </reference>
          <reference field="1" count="1">
            <x v="36"/>
          </reference>
          <reference field="2" count="1" selected="0">
            <x v="15"/>
          </reference>
        </references>
      </pivotArea>
    </format>
    <format dxfId="537">
      <pivotArea dataOnly="0" labelOnly="1" outline="0" fieldPosition="0">
        <references count="3">
          <reference field="0" count="1" selected="0">
            <x v="16"/>
          </reference>
          <reference field="1" count="1">
            <x v="37"/>
          </reference>
          <reference field="2" count="1" selected="0">
            <x v="16"/>
          </reference>
        </references>
      </pivotArea>
    </format>
    <format dxfId="536">
      <pivotArea dataOnly="0" labelOnly="1" outline="0" fieldPosition="0">
        <references count="3">
          <reference field="0" count="1" selected="0">
            <x v="17"/>
          </reference>
          <reference field="1" count="1">
            <x v="18"/>
          </reference>
          <reference field="2" count="1" selected="0">
            <x v="17"/>
          </reference>
        </references>
      </pivotArea>
    </format>
    <format dxfId="535">
      <pivotArea dataOnly="0" labelOnly="1" outline="0" fieldPosition="0">
        <references count="3">
          <reference field="0" count="1" selected="0">
            <x v="18"/>
          </reference>
          <reference field="1" count="1">
            <x v="51"/>
          </reference>
          <reference field="2" count="1" selected="0">
            <x v="18"/>
          </reference>
        </references>
      </pivotArea>
    </format>
    <format dxfId="534">
      <pivotArea dataOnly="0" labelOnly="1" outline="0" fieldPosition="0">
        <references count="3">
          <reference field="0" count="1" selected="0">
            <x v="19"/>
          </reference>
          <reference field="1" count="1">
            <x v="52"/>
          </reference>
          <reference field="2" count="1" selected="0">
            <x v="19"/>
          </reference>
        </references>
      </pivotArea>
    </format>
    <format dxfId="533">
      <pivotArea dataOnly="0" labelOnly="1" outline="0" fieldPosition="0">
        <references count="3">
          <reference field="0" count="1" selected="0">
            <x v="20"/>
          </reference>
          <reference field="1" count="1">
            <x v="53"/>
          </reference>
          <reference field="2" count="1" selected="0">
            <x v="20"/>
          </reference>
        </references>
      </pivotArea>
    </format>
    <format dxfId="532">
      <pivotArea dataOnly="0" labelOnly="1" outline="0" fieldPosition="0">
        <references count="3">
          <reference field="0" count="1" selected="0">
            <x v="21"/>
          </reference>
          <reference field="1" count="1">
            <x v="55"/>
          </reference>
          <reference field="2" count="1" selected="0">
            <x v="21"/>
          </reference>
        </references>
      </pivotArea>
    </format>
    <format dxfId="531">
      <pivotArea dataOnly="0" labelOnly="1" outline="0" fieldPosition="0">
        <references count="3">
          <reference field="0" count="1" selected="0">
            <x v="22"/>
          </reference>
          <reference field="1" count="1">
            <x v="58"/>
          </reference>
          <reference field="2" count="1" selected="0">
            <x v="22"/>
          </reference>
        </references>
      </pivotArea>
    </format>
    <format dxfId="530">
      <pivotArea dataOnly="0" labelOnly="1" outline="0" fieldPosition="0">
        <references count="3">
          <reference field="0" count="1" selected="0">
            <x v="23"/>
          </reference>
          <reference field="1" count="1">
            <x v="59"/>
          </reference>
          <reference field="2" count="1" selected="0">
            <x v="23"/>
          </reference>
        </references>
      </pivotArea>
    </format>
    <format dxfId="529">
      <pivotArea dataOnly="0" labelOnly="1" outline="0" fieldPosition="0">
        <references count="3">
          <reference field="0" count="1" selected="0">
            <x v="24"/>
          </reference>
          <reference field="1" count="1">
            <x v="11"/>
          </reference>
          <reference field="2" count="1" selected="0">
            <x v="24"/>
          </reference>
        </references>
      </pivotArea>
    </format>
    <format dxfId="528">
      <pivotArea dataOnly="0" labelOnly="1" outline="0" fieldPosition="0">
        <references count="3">
          <reference field="0" count="1" selected="0">
            <x v="25"/>
          </reference>
          <reference field="1" count="1">
            <x v="12"/>
          </reference>
          <reference field="2" count="1" selected="0">
            <x v="25"/>
          </reference>
        </references>
      </pivotArea>
    </format>
    <format dxfId="527">
      <pivotArea dataOnly="0" labelOnly="1" outline="0" fieldPosition="0">
        <references count="3">
          <reference field="0" count="1" selected="0">
            <x v="26"/>
          </reference>
          <reference field="1" count="1">
            <x v="13"/>
          </reference>
          <reference field="2" count="1" selected="0">
            <x v="26"/>
          </reference>
        </references>
      </pivotArea>
    </format>
    <format dxfId="526">
      <pivotArea dataOnly="0" labelOnly="1" outline="0" fieldPosition="0">
        <references count="3">
          <reference field="0" count="1" selected="0">
            <x v="27"/>
          </reference>
          <reference field="1" count="1">
            <x v="14"/>
          </reference>
          <reference field="2" count="1" selected="0">
            <x v="27"/>
          </reference>
        </references>
      </pivotArea>
    </format>
    <format dxfId="525">
      <pivotArea dataOnly="0" labelOnly="1" outline="0" fieldPosition="0">
        <references count="3">
          <reference field="0" count="1" selected="0">
            <x v="28"/>
          </reference>
          <reference field="1" count="1">
            <x v="9"/>
          </reference>
          <reference field="2" count="1" selected="0">
            <x v="28"/>
          </reference>
        </references>
      </pivotArea>
    </format>
    <format dxfId="524">
      <pivotArea dataOnly="0" labelOnly="1" outline="0" fieldPosition="0">
        <references count="3">
          <reference field="0" count="1" selected="0">
            <x v="29"/>
          </reference>
          <reference field="1" count="1">
            <x v="10"/>
          </reference>
          <reference field="2" count="1" selected="0">
            <x v="29"/>
          </reference>
        </references>
      </pivotArea>
    </format>
    <format dxfId="523">
      <pivotArea dataOnly="0" labelOnly="1" outline="0" fieldPosition="0">
        <references count="3">
          <reference field="0" count="1" selected="0">
            <x v="30"/>
          </reference>
          <reference field="1" count="1">
            <x v="8"/>
          </reference>
          <reference field="2" count="1" selected="0">
            <x v="30"/>
          </reference>
        </references>
      </pivotArea>
    </format>
    <format dxfId="522">
      <pivotArea dataOnly="0" labelOnly="1" outline="0" fieldPosition="0">
        <references count="3">
          <reference field="0" count="1" selected="0">
            <x v="31"/>
          </reference>
          <reference field="1" count="1">
            <x v="41"/>
          </reference>
          <reference field="2" count="1" selected="0">
            <x v="31"/>
          </reference>
        </references>
      </pivotArea>
    </format>
    <format dxfId="521">
      <pivotArea dataOnly="0" labelOnly="1" outline="0" fieldPosition="0">
        <references count="3">
          <reference field="0" count="1" selected="0">
            <x v="32"/>
          </reference>
          <reference field="1" count="1">
            <x v="42"/>
          </reference>
          <reference field="2" count="1" selected="0">
            <x v="32"/>
          </reference>
        </references>
      </pivotArea>
    </format>
    <format dxfId="520">
      <pivotArea dataOnly="0" labelOnly="1" outline="0" fieldPosition="0">
        <references count="3">
          <reference field="0" count="1" selected="0">
            <x v="33"/>
          </reference>
          <reference field="1" count="1">
            <x v="3"/>
          </reference>
          <reference field="2" count="1" selected="0">
            <x v="33"/>
          </reference>
        </references>
      </pivotArea>
    </format>
    <format dxfId="519">
      <pivotArea dataOnly="0" labelOnly="1" outline="0" fieldPosition="0">
        <references count="3">
          <reference field="0" count="1" selected="0">
            <x v="34"/>
          </reference>
          <reference field="1" count="1">
            <x v="4"/>
          </reference>
          <reference field="2" count="1" selected="0">
            <x v="34"/>
          </reference>
        </references>
      </pivotArea>
    </format>
    <format dxfId="518">
      <pivotArea dataOnly="0" labelOnly="1" outline="0" fieldPosition="0">
        <references count="3">
          <reference field="0" count="1" selected="0">
            <x v="35"/>
          </reference>
          <reference field="1" count="1">
            <x v="49"/>
          </reference>
          <reference field="2" count="1" selected="0">
            <x v="35"/>
          </reference>
        </references>
      </pivotArea>
    </format>
    <format dxfId="517">
      <pivotArea dataOnly="0" labelOnly="1" outline="0" fieldPosition="0">
        <references count="3">
          <reference field="0" count="1" selected="0">
            <x v="36"/>
          </reference>
          <reference field="1" count="1">
            <x v="50"/>
          </reference>
          <reference field="2" count="1" selected="0">
            <x v="36"/>
          </reference>
        </references>
      </pivotArea>
    </format>
    <format dxfId="516">
      <pivotArea dataOnly="0" labelOnly="1" outline="0" fieldPosition="0">
        <references count="3">
          <reference field="0" count="1" selected="0">
            <x v="37"/>
          </reference>
          <reference field="1" count="1">
            <x v="54"/>
          </reference>
          <reference field="2" count="1" selected="0">
            <x v="37"/>
          </reference>
        </references>
      </pivotArea>
    </format>
    <format dxfId="515">
      <pivotArea dataOnly="0" labelOnly="1" outline="0" fieldPosition="0">
        <references count="3">
          <reference field="0" count="1" selected="0">
            <x v="38"/>
          </reference>
          <reference field="1" count="1">
            <x v="56"/>
          </reference>
          <reference field="2" count="1" selected="0">
            <x v="38"/>
          </reference>
        </references>
      </pivotArea>
    </format>
    <format dxfId="514">
      <pivotArea dataOnly="0" labelOnly="1" outline="0" fieldPosition="0">
        <references count="3">
          <reference field="0" count="1" selected="0">
            <x v="39"/>
          </reference>
          <reference field="1" count="1">
            <x v="34"/>
          </reference>
          <reference field="2" count="1" selected="0">
            <x v="39"/>
          </reference>
        </references>
      </pivotArea>
    </format>
    <format dxfId="513">
      <pivotArea dataOnly="0" labelOnly="1" outline="0" fieldPosition="0">
        <references count="3">
          <reference field="0" count="1" selected="0">
            <x v="40"/>
          </reference>
          <reference field="1" count="1">
            <x v="29"/>
          </reference>
          <reference field="2" count="1" selected="0">
            <x v="40"/>
          </reference>
        </references>
      </pivotArea>
    </format>
    <format dxfId="512">
      <pivotArea dataOnly="0" labelOnly="1" outline="0" fieldPosition="0">
        <references count="3">
          <reference field="0" count="1" selected="0">
            <x v="41"/>
          </reference>
          <reference field="1" count="1">
            <x v="30"/>
          </reference>
          <reference field="2" count="1" selected="0">
            <x v="41"/>
          </reference>
        </references>
      </pivotArea>
    </format>
    <format dxfId="511">
      <pivotArea dataOnly="0" labelOnly="1" outline="0" fieldPosition="0">
        <references count="3">
          <reference field="0" count="1" selected="0">
            <x v="42"/>
          </reference>
          <reference field="1" count="1">
            <x v="31"/>
          </reference>
          <reference field="2" count="1" selected="0">
            <x v="42"/>
          </reference>
        </references>
      </pivotArea>
    </format>
    <format dxfId="510">
      <pivotArea dataOnly="0" labelOnly="1" outline="0" fieldPosition="0">
        <references count="3">
          <reference field="0" count="1" selected="0">
            <x v="43"/>
          </reference>
          <reference field="1" count="1">
            <x v="20"/>
          </reference>
          <reference field="2" count="1" selected="0">
            <x v="43"/>
          </reference>
        </references>
      </pivotArea>
    </format>
    <format dxfId="509">
      <pivotArea dataOnly="0" labelOnly="1" outline="0" fieldPosition="0">
        <references count="3">
          <reference field="0" count="1" selected="0">
            <x v="44"/>
          </reference>
          <reference field="1" count="1">
            <x v="21"/>
          </reference>
          <reference field="2" count="1" selected="0">
            <x v="44"/>
          </reference>
        </references>
      </pivotArea>
    </format>
    <format dxfId="508">
      <pivotArea dataOnly="0" labelOnly="1" outline="0" fieldPosition="0">
        <references count="3">
          <reference field="0" count="1" selected="0">
            <x v="45"/>
          </reference>
          <reference field="1" count="1">
            <x v="22"/>
          </reference>
          <reference field="2" count="1" selected="0">
            <x v="45"/>
          </reference>
        </references>
      </pivotArea>
    </format>
    <format dxfId="507">
      <pivotArea dataOnly="0" labelOnly="1" outline="0" fieldPosition="0">
        <references count="3">
          <reference field="0" count="1" selected="0">
            <x v="46"/>
          </reference>
          <reference field="1" count="1">
            <x v="57"/>
          </reference>
          <reference field="2" count="1" selected="0">
            <x v="46"/>
          </reference>
        </references>
      </pivotArea>
    </format>
    <format dxfId="506">
      <pivotArea dataOnly="0" labelOnly="1" outline="0" fieldPosition="0">
        <references count="3">
          <reference field="0" count="1" selected="0">
            <x v="47"/>
          </reference>
          <reference field="1" count="1">
            <x v="17"/>
          </reference>
          <reference field="2" count="1" selected="0">
            <x v="47"/>
          </reference>
        </references>
      </pivotArea>
    </format>
    <format dxfId="505">
      <pivotArea dataOnly="0" labelOnly="1" outline="0" fieldPosition="0">
        <references count="3">
          <reference field="0" count="1" selected="0">
            <x v="48"/>
          </reference>
          <reference field="1" count="1">
            <x v="26"/>
          </reference>
          <reference field="2" count="1" selected="0">
            <x v="48"/>
          </reference>
        </references>
      </pivotArea>
    </format>
    <format dxfId="504">
      <pivotArea dataOnly="0" labelOnly="1" outline="0" fieldPosition="0">
        <references count="3">
          <reference field="0" count="1" selected="0">
            <x v="49"/>
          </reference>
          <reference field="1" count="1">
            <x v="0"/>
          </reference>
          <reference field="2" count="1" selected="0">
            <x v="49"/>
          </reference>
        </references>
      </pivotArea>
    </format>
    <format dxfId="503">
      <pivotArea dataOnly="0" labelOnly="1" outline="0" fieldPosition="0">
        <references count="3">
          <reference field="0" count="1" selected="0">
            <x v="50"/>
          </reference>
          <reference field="1" count="1">
            <x v="35"/>
          </reference>
          <reference field="2" count="1" selected="0">
            <x v="50"/>
          </reference>
        </references>
      </pivotArea>
    </format>
    <format dxfId="502">
      <pivotArea dataOnly="0" labelOnly="1" outline="0" fieldPosition="0">
        <references count="3">
          <reference field="0" count="1" selected="0">
            <x v="51"/>
          </reference>
          <reference field="1" count="1">
            <x v="15"/>
          </reference>
          <reference field="2" count="1" selected="0">
            <x v="51"/>
          </reference>
        </references>
      </pivotArea>
    </format>
    <format dxfId="501">
      <pivotArea dataOnly="0" labelOnly="1" outline="0" fieldPosition="0">
        <references count="3">
          <reference field="0" count="1" selected="0">
            <x v="52"/>
          </reference>
          <reference field="1" count="1">
            <x v="2"/>
          </reference>
          <reference field="2" count="1" selected="0">
            <x v="52"/>
          </reference>
        </references>
      </pivotArea>
    </format>
    <format dxfId="500">
      <pivotArea dataOnly="0" labelOnly="1" outline="0" fieldPosition="0">
        <references count="3">
          <reference field="0" count="1" selected="0">
            <x v="53"/>
          </reference>
          <reference field="1" count="1">
            <x v="1"/>
          </reference>
          <reference field="2" count="1" selected="0">
            <x v="53"/>
          </reference>
        </references>
      </pivotArea>
    </format>
    <format dxfId="499">
      <pivotArea dataOnly="0" labelOnly="1" outline="0" fieldPosition="0">
        <references count="3">
          <reference field="0" count="1" selected="0">
            <x v="54"/>
          </reference>
          <reference field="1" count="1">
            <x v="32"/>
          </reference>
          <reference field="2" count="1" selected="0">
            <x v="54"/>
          </reference>
        </references>
      </pivotArea>
    </format>
    <format dxfId="498">
      <pivotArea dataOnly="0" labelOnly="1" outline="0" fieldPosition="0">
        <references count="3">
          <reference field="0" count="1" selected="0">
            <x v="55"/>
          </reference>
          <reference field="1" count="1">
            <x v="19"/>
          </reference>
          <reference field="2" count="1" selected="0">
            <x v="55"/>
          </reference>
        </references>
      </pivotArea>
    </format>
    <format dxfId="497">
      <pivotArea dataOnly="0" labelOnly="1" outline="0" fieldPosition="0">
        <references count="3">
          <reference field="0" count="1" selected="0">
            <x v="56"/>
          </reference>
          <reference field="1" count="1">
            <x v="27"/>
          </reference>
          <reference field="2" count="1" selected="0">
            <x v="56"/>
          </reference>
        </references>
      </pivotArea>
    </format>
    <format dxfId="496">
      <pivotArea dataOnly="0" labelOnly="1" outline="0" fieldPosition="0">
        <references count="3">
          <reference field="0" count="1" selected="0">
            <x v="57"/>
          </reference>
          <reference field="1" count="1">
            <x v="23"/>
          </reference>
          <reference field="2" count="1" selected="0">
            <x v="57"/>
          </reference>
        </references>
      </pivotArea>
    </format>
    <format dxfId="495">
      <pivotArea dataOnly="0" labelOnly="1" outline="0" fieldPosition="0">
        <references count="3">
          <reference field="0" count="1" selected="0">
            <x v="58"/>
          </reference>
          <reference field="1" count="1">
            <x v="24"/>
          </reference>
          <reference field="2" count="1" selected="0">
            <x v="58"/>
          </reference>
        </references>
      </pivotArea>
    </format>
    <format dxfId="494">
      <pivotArea dataOnly="0" labelOnly="1" outline="0" fieldPosition="0">
        <references count="3">
          <reference field="0" count="1" selected="0">
            <x v="59"/>
          </reference>
          <reference field="1" count="1">
            <x v="38"/>
          </reference>
          <reference field="2" count="1" selected="0">
            <x v="59"/>
          </reference>
        </references>
      </pivotArea>
    </format>
    <format dxfId="49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9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8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8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8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8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8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8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8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8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8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8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7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7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7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7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7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7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7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7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7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7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6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6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6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6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6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6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6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6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6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6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5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5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5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5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5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5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5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5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4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4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4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4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4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4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4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4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4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4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3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3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3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3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3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3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3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2">
      <pivotArea dataOnly="0" labelOnly="1" outline="0" fieldPosition="0">
        <references count="1">
          <reference field="0" count="10">
            <x v="50"/>
            <x v="51"/>
            <x v="52"/>
            <x v="53"/>
            <x v="54"/>
            <x v="55"/>
            <x v="56"/>
            <x v="57"/>
            <x v="58"/>
            <x v="59"/>
          </reference>
        </references>
      </pivotArea>
    </format>
    <format dxfId="431">
      <pivotArea dataOnly="0" labelOnly="1" outline="0" fieldPosition="0">
        <references count="2">
          <reference field="0" count="1" selected="0">
            <x v="0"/>
          </reference>
          <reference field="2" count="1">
            <x v="0"/>
          </reference>
        </references>
      </pivotArea>
    </format>
    <format dxfId="430">
      <pivotArea dataOnly="0" labelOnly="1" outline="0" fieldPosition="0">
        <references count="2">
          <reference field="0" count="1" selected="0">
            <x v="1"/>
          </reference>
          <reference field="2" count="1">
            <x v="1"/>
          </reference>
        </references>
      </pivotArea>
    </format>
    <format dxfId="429">
      <pivotArea dataOnly="0" labelOnly="1" outline="0" fieldPosition="0">
        <references count="2">
          <reference field="0" count="1" selected="0">
            <x v="2"/>
          </reference>
          <reference field="2" count="1">
            <x v="2"/>
          </reference>
        </references>
      </pivotArea>
    </format>
    <format dxfId="428">
      <pivotArea dataOnly="0" labelOnly="1" outline="0" fieldPosition="0">
        <references count="2">
          <reference field="0" count="1" selected="0">
            <x v="3"/>
          </reference>
          <reference field="2" count="1">
            <x v="3"/>
          </reference>
        </references>
      </pivotArea>
    </format>
    <format dxfId="427">
      <pivotArea dataOnly="0" labelOnly="1" outline="0" fieldPosition="0">
        <references count="2">
          <reference field="0" count="1" selected="0">
            <x v="4"/>
          </reference>
          <reference field="2" count="1">
            <x v="4"/>
          </reference>
        </references>
      </pivotArea>
    </format>
    <format dxfId="426">
      <pivotArea dataOnly="0" labelOnly="1" outline="0" fieldPosition="0">
        <references count="2">
          <reference field="0" count="1" selected="0">
            <x v="5"/>
          </reference>
          <reference field="2" count="1">
            <x v="5"/>
          </reference>
        </references>
      </pivotArea>
    </format>
    <format dxfId="425">
      <pivotArea dataOnly="0" labelOnly="1" outline="0" fieldPosition="0">
        <references count="2">
          <reference field="0" count="1" selected="0">
            <x v="6"/>
          </reference>
          <reference field="2" count="1">
            <x v="6"/>
          </reference>
        </references>
      </pivotArea>
    </format>
    <format dxfId="424">
      <pivotArea dataOnly="0" labelOnly="1" outline="0" fieldPosition="0">
        <references count="2">
          <reference field="0" count="1" selected="0">
            <x v="7"/>
          </reference>
          <reference field="2" count="1">
            <x v="7"/>
          </reference>
        </references>
      </pivotArea>
    </format>
    <format dxfId="423">
      <pivotArea dataOnly="0" labelOnly="1" outline="0" fieldPosition="0">
        <references count="2">
          <reference field="0" count="1" selected="0">
            <x v="8"/>
          </reference>
          <reference field="2" count="1">
            <x v="8"/>
          </reference>
        </references>
      </pivotArea>
    </format>
    <format dxfId="422">
      <pivotArea dataOnly="0" labelOnly="1" outline="0" fieldPosition="0">
        <references count="2">
          <reference field="0" count="1" selected="0">
            <x v="9"/>
          </reference>
          <reference field="2" count="1">
            <x v="9"/>
          </reference>
        </references>
      </pivotArea>
    </format>
    <format dxfId="421">
      <pivotArea dataOnly="0" labelOnly="1" outline="0" fieldPosition="0">
        <references count="2">
          <reference field="0" count="1" selected="0">
            <x v="10"/>
          </reference>
          <reference field="2" count="1">
            <x v="10"/>
          </reference>
        </references>
      </pivotArea>
    </format>
    <format dxfId="420">
      <pivotArea dataOnly="0" labelOnly="1" outline="0" fieldPosition="0">
        <references count="2">
          <reference field="0" count="1" selected="0">
            <x v="11"/>
          </reference>
          <reference field="2" count="1">
            <x v="11"/>
          </reference>
        </references>
      </pivotArea>
    </format>
    <format dxfId="419">
      <pivotArea dataOnly="0" labelOnly="1" outline="0" fieldPosition="0">
        <references count="2">
          <reference field="0" count="1" selected="0">
            <x v="12"/>
          </reference>
          <reference field="2" count="1">
            <x v="12"/>
          </reference>
        </references>
      </pivotArea>
    </format>
    <format dxfId="418">
      <pivotArea dataOnly="0" labelOnly="1" outline="0" fieldPosition="0">
        <references count="2">
          <reference field="0" count="1" selected="0">
            <x v="13"/>
          </reference>
          <reference field="2" count="1">
            <x v="13"/>
          </reference>
        </references>
      </pivotArea>
    </format>
    <format dxfId="417">
      <pivotArea dataOnly="0" labelOnly="1" outline="0" fieldPosition="0">
        <references count="2">
          <reference field="0" count="1" selected="0">
            <x v="14"/>
          </reference>
          <reference field="2" count="1">
            <x v="14"/>
          </reference>
        </references>
      </pivotArea>
    </format>
    <format dxfId="416">
      <pivotArea dataOnly="0" labelOnly="1" outline="0" fieldPosition="0">
        <references count="2">
          <reference field="0" count="1" selected="0">
            <x v="15"/>
          </reference>
          <reference field="2" count="1">
            <x v="15"/>
          </reference>
        </references>
      </pivotArea>
    </format>
    <format dxfId="415">
      <pivotArea dataOnly="0" labelOnly="1" outline="0" fieldPosition="0">
        <references count="2">
          <reference field="0" count="1" selected="0">
            <x v="16"/>
          </reference>
          <reference field="2" count="1">
            <x v="16"/>
          </reference>
        </references>
      </pivotArea>
    </format>
    <format dxfId="414">
      <pivotArea dataOnly="0" labelOnly="1" outline="0" fieldPosition="0">
        <references count="2">
          <reference field="0" count="1" selected="0">
            <x v="17"/>
          </reference>
          <reference field="2" count="1">
            <x v="17"/>
          </reference>
        </references>
      </pivotArea>
    </format>
    <format dxfId="413">
      <pivotArea dataOnly="0" labelOnly="1" outline="0" fieldPosition="0">
        <references count="2">
          <reference field="0" count="1" selected="0">
            <x v="18"/>
          </reference>
          <reference field="2" count="1">
            <x v="18"/>
          </reference>
        </references>
      </pivotArea>
    </format>
    <format dxfId="412">
      <pivotArea dataOnly="0" labelOnly="1" outline="0" fieldPosition="0">
        <references count="2">
          <reference field="0" count="1" selected="0">
            <x v="19"/>
          </reference>
          <reference field="2" count="1">
            <x v="19"/>
          </reference>
        </references>
      </pivotArea>
    </format>
    <format dxfId="411">
      <pivotArea dataOnly="0" labelOnly="1" outline="0" fieldPosition="0">
        <references count="2">
          <reference field="0" count="1" selected="0">
            <x v="20"/>
          </reference>
          <reference field="2" count="1">
            <x v="20"/>
          </reference>
        </references>
      </pivotArea>
    </format>
    <format dxfId="410">
      <pivotArea dataOnly="0" labelOnly="1" outline="0" fieldPosition="0">
        <references count="2">
          <reference field="0" count="1" selected="0">
            <x v="21"/>
          </reference>
          <reference field="2" count="1">
            <x v="21"/>
          </reference>
        </references>
      </pivotArea>
    </format>
    <format dxfId="409">
      <pivotArea dataOnly="0" labelOnly="1" outline="0" fieldPosition="0">
        <references count="2">
          <reference field="0" count="1" selected="0">
            <x v="22"/>
          </reference>
          <reference field="2" count="1">
            <x v="22"/>
          </reference>
        </references>
      </pivotArea>
    </format>
    <format dxfId="408">
      <pivotArea dataOnly="0" labelOnly="1" outline="0" fieldPosition="0">
        <references count="2">
          <reference field="0" count="1" selected="0">
            <x v="23"/>
          </reference>
          <reference field="2" count="1">
            <x v="23"/>
          </reference>
        </references>
      </pivotArea>
    </format>
    <format dxfId="407">
      <pivotArea dataOnly="0" labelOnly="1" outline="0" fieldPosition="0">
        <references count="2">
          <reference field="0" count="1" selected="0">
            <x v="24"/>
          </reference>
          <reference field="2" count="1">
            <x v="24"/>
          </reference>
        </references>
      </pivotArea>
    </format>
    <format dxfId="406">
      <pivotArea dataOnly="0" labelOnly="1" outline="0" fieldPosition="0">
        <references count="2">
          <reference field="0" count="1" selected="0">
            <x v="25"/>
          </reference>
          <reference field="2" count="1">
            <x v="25"/>
          </reference>
        </references>
      </pivotArea>
    </format>
    <format dxfId="405">
      <pivotArea dataOnly="0" labelOnly="1" outline="0" fieldPosition="0">
        <references count="2">
          <reference field="0" count="1" selected="0">
            <x v="26"/>
          </reference>
          <reference field="2" count="1">
            <x v="26"/>
          </reference>
        </references>
      </pivotArea>
    </format>
    <format dxfId="404">
      <pivotArea dataOnly="0" labelOnly="1" outline="0" fieldPosition="0">
        <references count="2">
          <reference field="0" count="1" selected="0">
            <x v="27"/>
          </reference>
          <reference field="2" count="1">
            <x v="27"/>
          </reference>
        </references>
      </pivotArea>
    </format>
    <format dxfId="403">
      <pivotArea dataOnly="0" labelOnly="1" outline="0" fieldPosition="0">
        <references count="2">
          <reference field="0" count="1" selected="0">
            <x v="28"/>
          </reference>
          <reference field="2" count="1">
            <x v="28"/>
          </reference>
        </references>
      </pivotArea>
    </format>
    <format dxfId="402">
      <pivotArea dataOnly="0" labelOnly="1" outline="0" fieldPosition="0">
        <references count="2">
          <reference field="0" count="1" selected="0">
            <x v="29"/>
          </reference>
          <reference field="2" count="1">
            <x v="29"/>
          </reference>
        </references>
      </pivotArea>
    </format>
    <format dxfId="401">
      <pivotArea dataOnly="0" labelOnly="1" outline="0" fieldPosition="0">
        <references count="2">
          <reference field="0" count="1" selected="0">
            <x v="30"/>
          </reference>
          <reference field="2" count="1">
            <x v="30"/>
          </reference>
        </references>
      </pivotArea>
    </format>
    <format dxfId="400">
      <pivotArea dataOnly="0" labelOnly="1" outline="0" fieldPosition="0">
        <references count="2">
          <reference field="0" count="1" selected="0">
            <x v="31"/>
          </reference>
          <reference field="2" count="1">
            <x v="31"/>
          </reference>
        </references>
      </pivotArea>
    </format>
    <format dxfId="399">
      <pivotArea dataOnly="0" labelOnly="1" outline="0" fieldPosition="0">
        <references count="2">
          <reference field="0" count="1" selected="0">
            <x v="32"/>
          </reference>
          <reference field="2" count="1">
            <x v="32"/>
          </reference>
        </references>
      </pivotArea>
    </format>
    <format dxfId="398">
      <pivotArea dataOnly="0" labelOnly="1" outline="0" fieldPosition="0">
        <references count="2">
          <reference field="0" count="1" selected="0">
            <x v="33"/>
          </reference>
          <reference field="2" count="1">
            <x v="33"/>
          </reference>
        </references>
      </pivotArea>
    </format>
    <format dxfId="397">
      <pivotArea dataOnly="0" labelOnly="1" outline="0" fieldPosition="0">
        <references count="2">
          <reference field="0" count="1" selected="0">
            <x v="34"/>
          </reference>
          <reference field="2" count="1">
            <x v="34"/>
          </reference>
        </references>
      </pivotArea>
    </format>
    <format dxfId="396">
      <pivotArea dataOnly="0" labelOnly="1" outline="0" fieldPosition="0">
        <references count="2">
          <reference field="0" count="1" selected="0">
            <x v="35"/>
          </reference>
          <reference field="2" count="1">
            <x v="35"/>
          </reference>
        </references>
      </pivotArea>
    </format>
    <format dxfId="395">
      <pivotArea dataOnly="0" labelOnly="1" outline="0" fieldPosition="0">
        <references count="2">
          <reference field="0" count="1" selected="0">
            <x v="36"/>
          </reference>
          <reference field="2" count="1">
            <x v="36"/>
          </reference>
        </references>
      </pivotArea>
    </format>
    <format dxfId="394">
      <pivotArea dataOnly="0" labelOnly="1" outline="0" fieldPosition="0">
        <references count="2">
          <reference field="0" count="1" selected="0">
            <x v="37"/>
          </reference>
          <reference field="2" count="1">
            <x v="37"/>
          </reference>
        </references>
      </pivotArea>
    </format>
    <format dxfId="393">
      <pivotArea dataOnly="0" labelOnly="1" outline="0" fieldPosition="0">
        <references count="2">
          <reference field="0" count="1" selected="0">
            <x v="38"/>
          </reference>
          <reference field="2" count="1">
            <x v="38"/>
          </reference>
        </references>
      </pivotArea>
    </format>
    <format dxfId="392">
      <pivotArea dataOnly="0" labelOnly="1" outline="0" fieldPosition="0">
        <references count="2">
          <reference field="0" count="1" selected="0">
            <x v="39"/>
          </reference>
          <reference field="2" count="1">
            <x v="39"/>
          </reference>
        </references>
      </pivotArea>
    </format>
    <format dxfId="391">
      <pivotArea dataOnly="0" labelOnly="1" outline="0" fieldPosition="0">
        <references count="2">
          <reference field="0" count="1" selected="0">
            <x v="40"/>
          </reference>
          <reference field="2" count="1">
            <x v="40"/>
          </reference>
        </references>
      </pivotArea>
    </format>
    <format dxfId="390">
      <pivotArea dataOnly="0" labelOnly="1" outline="0" fieldPosition="0">
        <references count="2">
          <reference field="0" count="1" selected="0">
            <x v="41"/>
          </reference>
          <reference field="2" count="1">
            <x v="41"/>
          </reference>
        </references>
      </pivotArea>
    </format>
    <format dxfId="389">
      <pivotArea dataOnly="0" labelOnly="1" outline="0" fieldPosition="0">
        <references count="2">
          <reference field="0" count="1" selected="0">
            <x v="42"/>
          </reference>
          <reference field="2" count="1">
            <x v="42"/>
          </reference>
        </references>
      </pivotArea>
    </format>
    <format dxfId="388">
      <pivotArea dataOnly="0" labelOnly="1" outline="0" fieldPosition="0">
        <references count="2">
          <reference field="0" count="1" selected="0">
            <x v="43"/>
          </reference>
          <reference field="2" count="1">
            <x v="43"/>
          </reference>
        </references>
      </pivotArea>
    </format>
    <format dxfId="387">
      <pivotArea dataOnly="0" labelOnly="1" outline="0" fieldPosition="0">
        <references count="2">
          <reference field="0" count="1" selected="0">
            <x v="44"/>
          </reference>
          <reference field="2" count="1">
            <x v="44"/>
          </reference>
        </references>
      </pivotArea>
    </format>
    <format dxfId="386">
      <pivotArea dataOnly="0" labelOnly="1" outline="0" fieldPosition="0">
        <references count="2">
          <reference field="0" count="1" selected="0">
            <x v="45"/>
          </reference>
          <reference field="2" count="1">
            <x v="45"/>
          </reference>
        </references>
      </pivotArea>
    </format>
    <format dxfId="385">
      <pivotArea dataOnly="0" labelOnly="1" outline="0" fieldPosition="0">
        <references count="2">
          <reference field="0" count="1" selected="0">
            <x v="46"/>
          </reference>
          <reference field="2" count="1">
            <x v="46"/>
          </reference>
        </references>
      </pivotArea>
    </format>
    <format dxfId="384">
      <pivotArea dataOnly="0" labelOnly="1" outline="0" fieldPosition="0">
        <references count="2">
          <reference field="0" count="1" selected="0">
            <x v="47"/>
          </reference>
          <reference field="2" count="1">
            <x v="47"/>
          </reference>
        </references>
      </pivotArea>
    </format>
    <format dxfId="383">
      <pivotArea dataOnly="0" labelOnly="1" outline="0" fieldPosition="0">
        <references count="2">
          <reference field="0" count="1" selected="0">
            <x v="48"/>
          </reference>
          <reference field="2" count="1">
            <x v="48"/>
          </reference>
        </references>
      </pivotArea>
    </format>
    <format dxfId="382">
      <pivotArea dataOnly="0" labelOnly="1" outline="0" fieldPosition="0">
        <references count="2">
          <reference field="0" count="1" selected="0">
            <x v="49"/>
          </reference>
          <reference field="2" count="1">
            <x v="49"/>
          </reference>
        </references>
      </pivotArea>
    </format>
    <format dxfId="381">
      <pivotArea dataOnly="0" labelOnly="1" outline="0" fieldPosition="0">
        <references count="2">
          <reference field="0" count="1" selected="0">
            <x v="50"/>
          </reference>
          <reference field="2" count="1">
            <x v="50"/>
          </reference>
        </references>
      </pivotArea>
    </format>
    <format dxfId="380">
      <pivotArea dataOnly="0" labelOnly="1" outline="0" fieldPosition="0">
        <references count="2">
          <reference field="0" count="1" selected="0">
            <x v="51"/>
          </reference>
          <reference field="2" count="1">
            <x v="51"/>
          </reference>
        </references>
      </pivotArea>
    </format>
    <format dxfId="379">
      <pivotArea dataOnly="0" labelOnly="1" outline="0" fieldPosition="0">
        <references count="2">
          <reference field="0" count="1" selected="0">
            <x v="52"/>
          </reference>
          <reference field="2" count="1">
            <x v="52"/>
          </reference>
        </references>
      </pivotArea>
    </format>
    <format dxfId="378">
      <pivotArea dataOnly="0" labelOnly="1" outline="0" fieldPosition="0">
        <references count="2">
          <reference field="0" count="1" selected="0">
            <x v="53"/>
          </reference>
          <reference field="2" count="1">
            <x v="53"/>
          </reference>
        </references>
      </pivotArea>
    </format>
    <format dxfId="377">
      <pivotArea dataOnly="0" labelOnly="1" outline="0" fieldPosition="0">
        <references count="2">
          <reference field="0" count="1" selected="0">
            <x v="54"/>
          </reference>
          <reference field="2" count="1">
            <x v="54"/>
          </reference>
        </references>
      </pivotArea>
    </format>
    <format dxfId="376">
      <pivotArea dataOnly="0" labelOnly="1" outline="0" fieldPosition="0">
        <references count="2">
          <reference field="0" count="1" selected="0">
            <x v="55"/>
          </reference>
          <reference field="2" count="1">
            <x v="55"/>
          </reference>
        </references>
      </pivotArea>
    </format>
    <format dxfId="375">
      <pivotArea dataOnly="0" labelOnly="1" outline="0" fieldPosition="0">
        <references count="2">
          <reference field="0" count="1" selected="0">
            <x v="56"/>
          </reference>
          <reference field="2" count="1">
            <x v="56"/>
          </reference>
        </references>
      </pivotArea>
    </format>
    <format dxfId="374">
      <pivotArea dataOnly="0" labelOnly="1" outline="0" fieldPosition="0">
        <references count="2">
          <reference field="0" count="1" selected="0">
            <x v="57"/>
          </reference>
          <reference field="2" count="1">
            <x v="57"/>
          </reference>
        </references>
      </pivotArea>
    </format>
    <format dxfId="373">
      <pivotArea dataOnly="0" labelOnly="1" outline="0" fieldPosition="0">
        <references count="2">
          <reference field="0" count="1" selected="0">
            <x v="58"/>
          </reference>
          <reference field="2" count="1">
            <x v="58"/>
          </reference>
        </references>
      </pivotArea>
    </format>
    <format dxfId="372">
      <pivotArea dataOnly="0" labelOnly="1" outline="0" fieldPosition="0">
        <references count="2">
          <reference field="0" count="1" selected="0">
            <x v="59"/>
          </reference>
          <reference field="2" count="1">
            <x v="59"/>
          </reference>
        </references>
      </pivotArea>
    </format>
    <format dxfId="371">
      <pivotArea dataOnly="0" labelOnly="1" outline="0" fieldPosition="0">
        <references count="3">
          <reference field="0" count="1" selected="0">
            <x v="0"/>
          </reference>
          <reference field="1" count="1">
            <x v="6"/>
          </reference>
          <reference field="2" count="1" selected="0">
            <x v="0"/>
          </reference>
        </references>
      </pivotArea>
    </format>
    <format dxfId="370">
      <pivotArea dataOnly="0" labelOnly="1" outline="0" fieldPosition="0">
        <references count="3">
          <reference field="0" count="1" selected="0">
            <x v="1"/>
          </reference>
          <reference field="1" count="1">
            <x v="5"/>
          </reference>
          <reference field="2" count="1" selected="0">
            <x v="1"/>
          </reference>
        </references>
      </pivotArea>
    </format>
    <format dxfId="369">
      <pivotArea dataOnly="0" labelOnly="1" outline="0" fieldPosition="0">
        <references count="3">
          <reference field="0" count="1" selected="0">
            <x v="2"/>
          </reference>
          <reference field="1" count="1">
            <x v="7"/>
          </reference>
          <reference field="2" count="1" selected="0">
            <x v="2"/>
          </reference>
        </references>
      </pivotArea>
    </format>
    <format dxfId="368">
      <pivotArea dataOnly="0" labelOnly="1" outline="0" fieldPosition="0">
        <references count="3">
          <reference field="0" count="1" selected="0">
            <x v="3"/>
          </reference>
          <reference field="1" count="1">
            <x v="40"/>
          </reference>
          <reference field="2" count="1" selected="0">
            <x v="3"/>
          </reference>
        </references>
      </pivotArea>
    </format>
    <format dxfId="367">
      <pivotArea dataOnly="0" labelOnly="1" outline="0" fieldPosition="0">
        <references count="3">
          <reference field="0" count="1" selected="0">
            <x v="4"/>
          </reference>
          <reference field="1" count="1">
            <x v="16"/>
          </reference>
          <reference field="2" count="1" selected="0">
            <x v="4"/>
          </reference>
        </references>
      </pivotArea>
    </format>
    <format dxfId="366">
      <pivotArea dataOnly="0" labelOnly="1" outline="0" fieldPosition="0">
        <references count="3">
          <reference field="0" count="1" selected="0">
            <x v="5"/>
          </reference>
          <reference field="1" count="1">
            <x v="33"/>
          </reference>
          <reference field="2" count="1" selected="0">
            <x v="5"/>
          </reference>
        </references>
      </pivotArea>
    </format>
    <format dxfId="365">
      <pivotArea dataOnly="0" labelOnly="1" outline="0" fieldPosition="0">
        <references count="3">
          <reference field="0" count="1" selected="0">
            <x v="6"/>
          </reference>
          <reference field="1" count="1">
            <x v="39"/>
          </reference>
          <reference field="2" count="1" selected="0">
            <x v="6"/>
          </reference>
        </references>
      </pivotArea>
    </format>
    <format dxfId="364">
      <pivotArea dataOnly="0" labelOnly="1" outline="0" fieldPosition="0">
        <references count="3">
          <reference field="0" count="1" selected="0">
            <x v="7"/>
          </reference>
          <reference field="1" count="1">
            <x v="28"/>
          </reference>
          <reference field="2" count="1" selected="0">
            <x v="7"/>
          </reference>
        </references>
      </pivotArea>
    </format>
    <format dxfId="363">
      <pivotArea dataOnly="0" labelOnly="1" outline="0" fieldPosition="0">
        <references count="3">
          <reference field="0" count="1" selected="0">
            <x v="8"/>
          </reference>
          <reference field="1" count="1">
            <x v="25"/>
          </reference>
          <reference field="2" count="1" selected="0">
            <x v="8"/>
          </reference>
        </references>
      </pivotArea>
    </format>
    <format dxfId="362">
      <pivotArea dataOnly="0" labelOnly="1" outline="0" fieldPosition="0">
        <references count="3">
          <reference field="0" count="1" selected="0">
            <x v="9"/>
          </reference>
          <reference field="1" count="1">
            <x v="43"/>
          </reference>
          <reference field="2" count="1" selected="0">
            <x v="9"/>
          </reference>
        </references>
      </pivotArea>
    </format>
    <format dxfId="361">
      <pivotArea dataOnly="0" labelOnly="1" outline="0" fieldPosition="0">
        <references count="3">
          <reference field="0" count="1" selected="0">
            <x v="10"/>
          </reference>
          <reference field="1" count="1">
            <x v="44"/>
          </reference>
          <reference field="2" count="1" selected="0">
            <x v="10"/>
          </reference>
        </references>
      </pivotArea>
    </format>
    <format dxfId="360">
      <pivotArea dataOnly="0" labelOnly="1" outline="0" fieldPosition="0">
        <references count="3">
          <reference field="0" count="1" selected="0">
            <x v="11"/>
          </reference>
          <reference field="1" count="1">
            <x v="45"/>
          </reference>
          <reference field="2" count="1" selected="0">
            <x v="11"/>
          </reference>
        </references>
      </pivotArea>
    </format>
    <format dxfId="359">
      <pivotArea dataOnly="0" labelOnly="1" outline="0" fieldPosition="0">
        <references count="3">
          <reference field="0" count="1" selected="0">
            <x v="12"/>
          </reference>
          <reference field="1" count="1">
            <x v="46"/>
          </reference>
          <reference field="2" count="1" selected="0">
            <x v="12"/>
          </reference>
        </references>
      </pivotArea>
    </format>
    <format dxfId="358">
      <pivotArea dataOnly="0" labelOnly="1" outline="0" fieldPosition="0">
        <references count="3">
          <reference field="0" count="1" selected="0">
            <x v="13"/>
          </reference>
          <reference field="1" count="1">
            <x v="47"/>
          </reference>
          <reference field="2" count="1" selected="0">
            <x v="13"/>
          </reference>
        </references>
      </pivotArea>
    </format>
    <format dxfId="357">
      <pivotArea dataOnly="0" labelOnly="1" outline="0" fieldPosition="0">
        <references count="3">
          <reference field="0" count="1" selected="0">
            <x v="14"/>
          </reference>
          <reference field="1" count="1">
            <x v="48"/>
          </reference>
          <reference field="2" count="1" selected="0">
            <x v="14"/>
          </reference>
        </references>
      </pivotArea>
    </format>
    <format dxfId="356">
      <pivotArea dataOnly="0" labelOnly="1" outline="0" fieldPosition="0">
        <references count="3">
          <reference field="0" count="1" selected="0">
            <x v="15"/>
          </reference>
          <reference field="1" count="1">
            <x v="36"/>
          </reference>
          <reference field="2" count="1" selected="0">
            <x v="15"/>
          </reference>
        </references>
      </pivotArea>
    </format>
    <format dxfId="355">
      <pivotArea dataOnly="0" labelOnly="1" outline="0" fieldPosition="0">
        <references count="3">
          <reference field="0" count="1" selected="0">
            <x v="16"/>
          </reference>
          <reference field="1" count="1">
            <x v="37"/>
          </reference>
          <reference field="2" count="1" selected="0">
            <x v="16"/>
          </reference>
        </references>
      </pivotArea>
    </format>
    <format dxfId="354">
      <pivotArea dataOnly="0" labelOnly="1" outline="0" fieldPosition="0">
        <references count="3">
          <reference field="0" count="1" selected="0">
            <x v="17"/>
          </reference>
          <reference field="1" count="1">
            <x v="18"/>
          </reference>
          <reference field="2" count="1" selected="0">
            <x v="17"/>
          </reference>
        </references>
      </pivotArea>
    </format>
    <format dxfId="353">
      <pivotArea dataOnly="0" labelOnly="1" outline="0" fieldPosition="0">
        <references count="3">
          <reference field="0" count="1" selected="0">
            <x v="18"/>
          </reference>
          <reference field="1" count="1">
            <x v="51"/>
          </reference>
          <reference field="2" count="1" selected="0">
            <x v="18"/>
          </reference>
        </references>
      </pivotArea>
    </format>
    <format dxfId="352">
      <pivotArea dataOnly="0" labelOnly="1" outline="0" fieldPosition="0">
        <references count="3">
          <reference field="0" count="1" selected="0">
            <x v="19"/>
          </reference>
          <reference field="1" count="1">
            <x v="52"/>
          </reference>
          <reference field="2" count="1" selected="0">
            <x v="19"/>
          </reference>
        </references>
      </pivotArea>
    </format>
    <format dxfId="351">
      <pivotArea dataOnly="0" labelOnly="1" outline="0" fieldPosition="0">
        <references count="3">
          <reference field="0" count="1" selected="0">
            <x v="20"/>
          </reference>
          <reference field="1" count="1">
            <x v="53"/>
          </reference>
          <reference field="2" count="1" selected="0">
            <x v="20"/>
          </reference>
        </references>
      </pivotArea>
    </format>
    <format dxfId="350">
      <pivotArea dataOnly="0" labelOnly="1" outline="0" fieldPosition="0">
        <references count="3">
          <reference field="0" count="1" selected="0">
            <x v="21"/>
          </reference>
          <reference field="1" count="1">
            <x v="55"/>
          </reference>
          <reference field="2" count="1" selected="0">
            <x v="21"/>
          </reference>
        </references>
      </pivotArea>
    </format>
    <format dxfId="349">
      <pivotArea dataOnly="0" labelOnly="1" outline="0" fieldPosition="0">
        <references count="3">
          <reference field="0" count="1" selected="0">
            <x v="22"/>
          </reference>
          <reference field="1" count="1">
            <x v="58"/>
          </reference>
          <reference field="2" count="1" selected="0">
            <x v="22"/>
          </reference>
        </references>
      </pivotArea>
    </format>
    <format dxfId="348">
      <pivotArea dataOnly="0" labelOnly="1" outline="0" fieldPosition="0">
        <references count="3">
          <reference field="0" count="1" selected="0">
            <x v="23"/>
          </reference>
          <reference field="1" count="1">
            <x v="59"/>
          </reference>
          <reference field="2" count="1" selected="0">
            <x v="23"/>
          </reference>
        </references>
      </pivotArea>
    </format>
    <format dxfId="347">
      <pivotArea dataOnly="0" labelOnly="1" outline="0" fieldPosition="0">
        <references count="3">
          <reference field="0" count="1" selected="0">
            <x v="24"/>
          </reference>
          <reference field="1" count="1">
            <x v="11"/>
          </reference>
          <reference field="2" count="1" selected="0">
            <x v="24"/>
          </reference>
        </references>
      </pivotArea>
    </format>
    <format dxfId="346">
      <pivotArea dataOnly="0" labelOnly="1" outline="0" fieldPosition="0">
        <references count="3">
          <reference field="0" count="1" selected="0">
            <x v="25"/>
          </reference>
          <reference field="1" count="1">
            <x v="12"/>
          </reference>
          <reference field="2" count="1" selected="0">
            <x v="25"/>
          </reference>
        </references>
      </pivotArea>
    </format>
    <format dxfId="345">
      <pivotArea dataOnly="0" labelOnly="1" outline="0" fieldPosition="0">
        <references count="3">
          <reference field="0" count="1" selected="0">
            <x v="26"/>
          </reference>
          <reference field="1" count="1">
            <x v="13"/>
          </reference>
          <reference field="2" count="1" selected="0">
            <x v="26"/>
          </reference>
        </references>
      </pivotArea>
    </format>
    <format dxfId="344">
      <pivotArea dataOnly="0" labelOnly="1" outline="0" fieldPosition="0">
        <references count="3">
          <reference field="0" count="1" selected="0">
            <x v="27"/>
          </reference>
          <reference field="1" count="1">
            <x v="14"/>
          </reference>
          <reference field="2" count="1" selected="0">
            <x v="27"/>
          </reference>
        </references>
      </pivotArea>
    </format>
    <format dxfId="343">
      <pivotArea dataOnly="0" labelOnly="1" outline="0" fieldPosition="0">
        <references count="3">
          <reference field="0" count="1" selected="0">
            <x v="28"/>
          </reference>
          <reference field="1" count="1">
            <x v="9"/>
          </reference>
          <reference field="2" count="1" selected="0">
            <x v="28"/>
          </reference>
        </references>
      </pivotArea>
    </format>
    <format dxfId="342">
      <pivotArea dataOnly="0" labelOnly="1" outline="0" fieldPosition="0">
        <references count="3">
          <reference field="0" count="1" selected="0">
            <x v="29"/>
          </reference>
          <reference field="1" count="1">
            <x v="10"/>
          </reference>
          <reference field="2" count="1" selected="0">
            <x v="29"/>
          </reference>
        </references>
      </pivotArea>
    </format>
    <format dxfId="341">
      <pivotArea dataOnly="0" labelOnly="1" outline="0" fieldPosition="0">
        <references count="3">
          <reference field="0" count="1" selected="0">
            <x v="30"/>
          </reference>
          <reference field="1" count="1">
            <x v="8"/>
          </reference>
          <reference field="2" count="1" selected="0">
            <x v="30"/>
          </reference>
        </references>
      </pivotArea>
    </format>
    <format dxfId="340">
      <pivotArea dataOnly="0" labelOnly="1" outline="0" fieldPosition="0">
        <references count="3">
          <reference field="0" count="1" selected="0">
            <x v="31"/>
          </reference>
          <reference field="1" count="1">
            <x v="41"/>
          </reference>
          <reference field="2" count="1" selected="0">
            <x v="31"/>
          </reference>
        </references>
      </pivotArea>
    </format>
    <format dxfId="339">
      <pivotArea dataOnly="0" labelOnly="1" outline="0" fieldPosition="0">
        <references count="3">
          <reference field="0" count="1" selected="0">
            <x v="32"/>
          </reference>
          <reference field="1" count="1">
            <x v="42"/>
          </reference>
          <reference field="2" count="1" selected="0">
            <x v="32"/>
          </reference>
        </references>
      </pivotArea>
    </format>
    <format dxfId="338">
      <pivotArea dataOnly="0" labelOnly="1" outline="0" fieldPosition="0">
        <references count="3">
          <reference field="0" count="1" selected="0">
            <x v="33"/>
          </reference>
          <reference field="1" count="1">
            <x v="3"/>
          </reference>
          <reference field="2" count="1" selected="0">
            <x v="33"/>
          </reference>
        </references>
      </pivotArea>
    </format>
    <format dxfId="337">
      <pivotArea dataOnly="0" labelOnly="1" outline="0" fieldPosition="0">
        <references count="3">
          <reference field="0" count="1" selected="0">
            <x v="34"/>
          </reference>
          <reference field="1" count="1">
            <x v="4"/>
          </reference>
          <reference field="2" count="1" selected="0">
            <x v="34"/>
          </reference>
        </references>
      </pivotArea>
    </format>
    <format dxfId="336">
      <pivotArea dataOnly="0" labelOnly="1" outline="0" fieldPosition="0">
        <references count="3">
          <reference field="0" count="1" selected="0">
            <x v="35"/>
          </reference>
          <reference field="1" count="1">
            <x v="49"/>
          </reference>
          <reference field="2" count="1" selected="0">
            <x v="35"/>
          </reference>
        </references>
      </pivotArea>
    </format>
    <format dxfId="335">
      <pivotArea dataOnly="0" labelOnly="1" outline="0" fieldPosition="0">
        <references count="3">
          <reference field="0" count="1" selected="0">
            <x v="36"/>
          </reference>
          <reference field="1" count="1">
            <x v="50"/>
          </reference>
          <reference field="2" count="1" selected="0">
            <x v="36"/>
          </reference>
        </references>
      </pivotArea>
    </format>
    <format dxfId="334">
      <pivotArea dataOnly="0" labelOnly="1" outline="0" fieldPosition="0">
        <references count="3">
          <reference field="0" count="1" selected="0">
            <x v="37"/>
          </reference>
          <reference field="1" count="1">
            <x v="54"/>
          </reference>
          <reference field="2" count="1" selected="0">
            <x v="37"/>
          </reference>
        </references>
      </pivotArea>
    </format>
    <format dxfId="333">
      <pivotArea dataOnly="0" labelOnly="1" outline="0" fieldPosition="0">
        <references count="3">
          <reference field="0" count="1" selected="0">
            <x v="38"/>
          </reference>
          <reference field="1" count="1">
            <x v="56"/>
          </reference>
          <reference field="2" count="1" selected="0">
            <x v="38"/>
          </reference>
        </references>
      </pivotArea>
    </format>
    <format dxfId="332">
      <pivotArea dataOnly="0" labelOnly="1" outline="0" fieldPosition="0">
        <references count="3">
          <reference field="0" count="1" selected="0">
            <x v="39"/>
          </reference>
          <reference field="1" count="1">
            <x v="34"/>
          </reference>
          <reference field="2" count="1" selected="0">
            <x v="39"/>
          </reference>
        </references>
      </pivotArea>
    </format>
    <format dxfId="331">
      <pivotArea dataOnly="0" labelOnly="1" outline="0" fieldPosition="0">
        <references count="3">
          <reference field="0" count="1" selected="0">
            <x v="40"/>
          </reference>
          <reference field="1" count="1">
            <x v="29"/>
          </reference>
          <reference field="2" count="1" selected="0">
            <x v="40"/>
          </reference>
        </references>
      </pivotArea>
    </format>
    <format dxfId="330">
      <pivotArea dataOnly="0" labelOnly="1" outline="0" fieldPosition="0">
        <references count="3">
          <reference field="0" count="1" selected="0">
            <x v="41"/>
          </reference>
          <reference field="1" count="1">
            <x v="30"/>
          </reference>
          <reference field="2" count="1" selected="0">
            <x v="41"/>
          </reference>
        </references>
      </pivotArea>
    </format>
    <format dxfId="329">
      <pivotArea dataOnly="0" labelOnly="1" outline="0" fieldPosition="0">
        <references count="3">
          <reference field="0" count="1" selected="0">
            <x v="42"/>
          </reference>
          <reference field="1" count="1">
            <x v="31"/>
          </reference>
          <reference field="2" count="1" selected="0">
            <x v="42"/>
          </reference>
        </references>
      </pivotArea>
    </format>
    <format dxfId="328">
      <pivotArea dataOnly="0" labelOnly="1" outline="0" fieldPosition="0">
        <references count="3">
          <reference field="0" count="1" selected="0">
            <x v="43"/>
          </reference>
          <reference field="1" count="1">
            <x v="20"/>
          </reference>
          <reference field="2" count="1" selected="0">
            <x v="43"/>
          </reference>
        </references>
      </pivotArea>
    </format>
    <format dxfId="327">
      <pivotArea dataOnly="0" labelOnly="1" outline="0" fieldPosition="0">
        <references count="3">
          <reference field="0" count="1" selected="0">
            <x v="44"/>
          </reference>
          <reference field="1" count="1">
            <x v="21"/>
          </reference>
          <reference field="2" count="1" selected="0">
            <x v="44"/>
          </reference>
        </references>
      </pivotArea>
    </format>
    <format dxfId="326">
      <pivotArea dataOnly="0" labelOnly="1" outline="0" fieldPosition="0">
        <references count="3">
          <reference field="0" count="1" selected="0">
            <x v="45"/>
          </reference>
          <reference field="1" count="1">
            <x v="22"/>
          </reference>
          <reference field="2" count="1" selected="0">
            <x v="45"/>
          </reference>
        </references>
      </pivotArea>
    </format>
    <format dxfId="325">
      <pivotArea dataOnly="0" labelOnly="1" outline="0" fieldPosition="0">
        <references count="3">
          <reference field="0" count="1" selected="0">
            <x v="46"/>
          </reference>
          <reference field="1" count="1">
            <x v="57"/>
          </reference>
          <reference field="2" count="1" selected="0">
            <x v="46"/>
          </reference>
        </references>
      </pivotArea>
    </format>
    <format dxfId="324">
      <pivotArea dataOnly="0" labelOnly="1" outline="0" fieldPosition="0">
        <references count="3">
          <reference field="0" count="1" selected="0">
            <x v="47"/>
          </reference>
          <reference field="1" count="1">
            <x v="17"/>
          </reference>
          <reference field="2" count="1" selected="0">
            <x v="47"/>
          </reference>
        </references>
      </pivotArea>
    </format>
    <format dxfId="323">
      <pivotArea dataOnly="0" labelOnly="1" outline="0" fieldPosition="0">
        <references count="3">
          <reference field="0" count="1" selected="0">
            <x v="48"/>
          </reference>
          <reference field="1" count="1">
            <x v="26"/>
          </reference>
          <reference field="2" count="1" selected="0">
            <x v="48"/>
          </reference>
        </references>
      </pivotArea>
    </format>
    <format dxfId="322">
      <pivotArea dataOnly="0" labelOnly="1" outline="0" fieldPosition="0">
        <references count="3">
          <reference field="0" count="1" selected="0">
            <x v="49"/>
          </reference>
          <reference field="1" count="1">
            <x v="0"/>
          </reference>
          <reference field="2" count="1" selected="0">
            <x v="49"/>
          </reference>
        </references>
      </pivotArea>
    </format>
    <format dxfId="321">
      <pivotArea dataOnly="0" labelOnly="1" outline="0" fieldPosition="0">
        <references count="3">
          <reference field="0" count="1" selected="0">
            <x v="50"/>
          </reference>
          <reference field="1" count="1">
            <x v="35"/>
          </reference>
          <reference field="2" count="1" selected="0">
            <x v="50"/>
          </reference>
        </references>
      </pivotArea>
    </format>
    <format dxfId="320">
      <pivotArea dataOnly="0" labelOnly="1" outline="0" fieldPosition="0">
        <references count="3">
          <reference field="0" count="1" selected="0">
            <x v="51"/>
          </reference>
          <reference field="1" count="1">
            <x v="15"/>
          </reference>
          <reference field="2" count="1" selected="0">
            <x v="51"/>
          </reference>
        </references>
      </pivotArea>
    </format>
    <format dxfId="319">
      <pivotArea dataOnly="0" labelOnly="1" outline="0" fieldPosition="0">
        <references count="3">
          <reference field="0" count="1" selected="0">
            <x v="52"/>
          </reference>
          <reference field="1" count="1">
            <x v="2"/>
          </reference>
          <reference field="2" count="1" selected="0">
            <x v="52"/>
          </reference>
        </references>
      </pivotArea>
    </format>
    <format dxfId="318">
      <pivotArea dataOnly="0" labelOnly="1" outline="0" fieldPosition="0">
        <references count="3">
          <reference field="0" count="1" selected="0">
            <x v="53"/>
          </reference>
          <reference field="1" count="1">
            <x v="1"/>
          </reference>
          <reference field="2" count="1" selected="0">
            <x v="53"/>
          </reference>
        </references>
      </pivotArea>
    </format>
    <format dxfId="317">
      <pivotArea dataOnly="0" labelOnly="1" outline="0" fieldPosition="0">
        <references count="3">
          <reference field="0" count="1" selected="0">
            <x v="54"/>
          </reference>
          <reference field="1" count="1">
            <x v="32"/>
          </reference>
          <reference field="2" count="1" selected="0">
            <x v="54"/>
          </reference>
        </references>
      </pivotArea>
    </format>
    <format dxfId="316">
      <pivotArea dataOnly="0" labelOnly="1" outline="0" fieldPosition="0">
        <references count="3">
          <reference field="0" count="1" selected="0">
            <x v="55"/>
          </reference>
          <reference field="1" count="1">
            <x v="19"/>
          </reference>
          <reference field="2" count="1" selected="0">
            <x v="55"/>
          </reference>
        </references>
      </pivotArea>
    </format>
    <format dxfId="315">
      <pivotArea dataOnly="0" labelOnly="1" outline="0" fieldPosition="0">
        <references count="3">
          <reference field="0" count="1" selected="0">
            <x v="56"/>
          </reference>
          <reference field="1" count="1">
            <x v="27"/>
          </reference>
          <reference field="2" count="1" selected="0">
            <x v="56"/>
          </reference>
        </references>
      </pivotArea>
    </format>
    <format dxfId="314">
      <pivotArea dataOnly="0" labelOnly="1" outline="0" fieldPosition="0">
        <references count="3">
          <reference field="0" count="1" selected="0">
            <x v="57"/>
          </reference>
          <reference field="1" count="1">
            <x v="23"/>
          </reference>
          <reference field="2" count="1" selected="0">
            <x v="57"/>
          </reference>
        </references>
      </pivotArea>
    </format>
    <format dxfId="313">
      <pivotArea dataOnly="0" labelOnly="1" outline="0" fieldPosition="0">
        <references count="3">
          <reference field="0" count="1" selected="0">
            <x v="58"/>
          </reference>
          <reference field="1" count="1">
            <x v="24"/>
          </reference>
          <reference field="2" count="1" selected="0">
            <x v="58"/>
          </reference>
        </references>
      </pivotArea>
    </format>
    <format dxfId="312">
      <pivotArea dataOnly="0" labelOnly="1" outline="0" fieldPosition="0">
        <references count="3">
          <reference field="0" count="1" selected="0">
            <x v="59"/>
          </reference>
          <reference field="1" count="1">
            <x v="38"/>
          </reference>
          <reference field="2" count="1" selected="0">
            <x v="59"/>
          </reference>
        </references>
      </pivotArea>
    </format>
    <format dxfId="31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0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0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0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0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0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0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0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0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0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9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9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9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9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9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9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9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9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9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9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8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8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8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8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8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8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28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28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28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28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27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27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7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27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27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27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27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27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27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26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26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26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26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26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26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26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26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26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26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25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25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25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25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25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25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25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25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7"/>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40" t="s">
        <v>0</v>
      </c>
      <c r="B1" s="140" t="s">
        <v>17</v>
      </c>
      <c r="C1" s="140" t="s">
        <v>170</v>
      </c>
      <c r="D1" s="140" t="s">
        <v>16</v>
      </c>
      <c r="E1" s="140" t="s">
        <v>18</v>
      </c>
      <c r="F1" s="140" t="s">
        <v>19</v>
      </c>
      <c r="G1" s="140" t="s">
        <v>171</v>
      </c>
      <c r="H1" s="150" t="s">
        <v>172</v>
      </c>
    </row>
    <row r="2" spans="1:8" s="139" customFormat="1" ht="24" customHeight="1" x14ac:dyDescent="0.2">
      <c r="A2" s="145"/>
      <c r="B2" s="141"/>
      <c r="C2" s="148">
        <f>SUBTOTAL(9,C3:C20)</f>
        <v>8.6000000000000014</v>
      </c>
      <c r="D2" s="148">
        <f>SUBTOTAL(9,$D$3:$D$20)</f>
        <v>36</v>
      </c>
      <c r="E2" s="148"/>
      <c r="F2" s="142">
        <f>SUBTOTAL(9,$F$3:$F$20)</f>
        <v>1509.4</v>
      </c>
      <c r="G2" s="142">
        <f t="shared" ref="G2:H2" si="0">SUBTOTAL(9,G3:G20)</f>
        <v>0</v>
      </c>
      <c r="H2" s="142">
        <f t="shared" si="0"/>
        <v>1509.4</v>
      </c>
    </row>
    <row r="3" spans="1:8" x14ac:dyDescent="0.25">
      <c r="A3" s="146">
        <v>1</v>
      </c>
      <c r="B3" s="143" t="s">
        <v>52</v>
      </c>
      <c r="C3" s="144">
        <f>VLOOKUP($B3,TVP!$C$5:$F$24,2,0)</f>
        <v>0.5</v>
      </c>
      <c r="D3" s="144">
        <v>2</v>
      </c>
      <c r="E3" s="144">
        <f>VLOOKUP($B3,TVP!$C$5:$F$24,4,0)</f>
        <v>45</v>
      </c>
      <c r="F3" s="149">
        <f>D3*E3</f>
        <v>90</v>
      </c>
      <c r="G3" s="41">
        <v>0</v>
      </c>
      <c r="H3" s="149">
        <f>F3-(G3*E3)</f>
        <v>90</v>
      </c>
    </row>
    <row r="4" spans="1:8" x14ac:dyDescent="0.25">
      <c r="A4" s="146">
        <v>2</v>
      </c>
      <c r="B4" s="143" t="s">
        <v>51</v>
      </c>
      <c r="C4" s="144">
        <f>VLOOKUP($B4,TVP!$C$5:$F$24,2,0)</f>
        <v>0.5</v>
      </c>
      <c r="D4" s="144">
        <v>2</v>
      </c>
      <c r="E4" s="144">
        <f>VLOOKUP($B4,TVP!$C$5:$F$24,4,0)</f>
        <v>54</v>
      </c>
      <c r="F4" s="149">
        <f t="shared" ref="F4:F20" si="1">D4*E4</f>
        <v>108</v>
      </c>
      <c r="G4" s="41">
        <v>0</v>
      </c>
      <c r="H4" s="149">
        <f t="shared" ref="H4:H20" si="2">F4-(G4*E4)</f>
        <v>108</v>
      </c>
    </row>
    <row r="5" spans="1:8" x14ac:dyDescent="0.25">
      <c r="A5" s="146">
        <v>3</v>
      </c>
      <c r="B5" s="143" t="s">
        <v>36</v>
      </c>
      <c r="C5" s="144">
        <f>VLOOKUP($B5,TVP!$C$5:$F$24,2,0)</f>
        <v>0.5</v>
      </c>
      <c r="D5" s="144">
        <v>2</v>
      </c>
      <c r="E5" s="144">
        <f>VLOOKUP($B5,TVP!$C$5:$F$24,4,0)</f>
        <v>55.5</v>
      </c>
      <c r="F5" s="149">
        <f t="shared" si="1"/>
        <v>111</v>
      </c>
      <c r="G5" s="41">
        <v>0</v>
      </c>
      <c r="H5" s="149">
        <f t="shared" si="2"/>
        <v>111</v>
      </c>
    </row>
    <row r="6" spans="1:8" x14ac:dyDescent="0.25">
      <c r="A6" s="146">
        <v>4</v>
      </c>
      <c r="B6" s="143" t="s">
        <v>37</v>
      </c>
      <c r="C6" s="144">
        <f>VLOOKUP($B6,TVP!$C$5:$F$24,2,0)</f>
        <v>0.5</v>
      </c>
      <c r="D6" s="144">
        <v>2</v>
      </c>
      <c r="E6" s="144">
        <f>VLOOKUP($B6,TVP!$C$5:$F$24,4,0)</f>
        <v>55.5</v>
      </c>
      <c r="F6" s="149">
        <f t="shared" si="1"/>
        <v>111</v>
      </c>
      <c r="G6" s="41">
        <v>0</v>
      </c>
      <c r="H6" s="149">
        <f t="shared" si="2"/>
        <v>111</v>
      </c>
    </row>
    <row r="7" spans="1:8" x14ac:dyDescent="0.25">
      <c r="A7" s="146">
        <v>5</v>
      </c>
      <c r="B7" s="143" t="s">
        <v>50</v>
      </c>
      <c r="C7" s="144">
        <f>VLOOKUP($B7,TVP!$C$5:$F$24,2,0)</f>
        <v>1</v>
      </c>
      <c r="D7" s="144">
        <v>2</v>
      </c>
      <c r="E7" s="144">
        <f>VLOOKUP($B7,TVP!$C$5:$F$24,4,0)</f>
        <v>102</v>
      </c>
      <c r="F7" s="149">
        <f t="shared" si="1"/>
        <v>204</v>
      </c>
      <c r="G7" s="41">
        <v>0</v>
      </c>
      <c r="H7" s="149">
        <f t="shared" si="2"/>
        <v>204</v>
      </c>
    </row>
    <row r="8" spans="1:8" x14ac:dyDescent="0.25">
      <c r="A8" s="146">
        <v>6</v>
      </c>
      <c r="B8" s="143" t="s">
        <v>38</v>
      </c>
      <c r="C8" s="144">
        <f>VLOOKUP($B8,TVP!$C$5:$F$24,2,0)</f>
        <v>0.5</v>
      </c>
      <c r="D8" s="144">
        <v>2</v>
      </c>
      <c r="E8" s="144">
        <f>VLOOKUP($B8,TVP!$C$5:$F$24,4,0)</f>
        <v>26.5</v>
      </c>
      <c r="F8" s="149">
        <f t="shared" si="1"/>
        <v>53</v>
      </c>
      <c r="G8" s="41">
        <v>0</v>
      </c>
      <c r="H8" s="149">
        <f t="shared" si="2"/>
        <v>53</v>
      </c>
    </row>
    <row r="9" spans="1:8" x14ac:dyDescent="0.25">
      <c r="A9" s="146">
        <v>7</v>
      </c>
      <c r="B9" s="143" t="s">
        <v>39</v>
      </c>
      <c r="C9" s="144">
        <f>VLOOKUP($B9,TVP!$C$5:$F$24,2,0)</f>
        <v>0.2</v>
      </c>
      <c r="D9" s="144">
        <v>2</v>
      </c>
      <c r="E9" s="144">
        <f>VLOOKUP($B9,TVP!$C$5:$F$24,4,0)</f>
        <v>11.2</v>
      </c>
      <c r="F9" s="149">
        <f t="shared" si="1"/>
        <v>22.4</v>
      </c>
      <c r="G9" s="41">
        <v>0</v>
      </c>
      <c r="H9" s="149">
        <f t="shared" si="2"/>
        <v>22.4</v>
      </c>
    </row>
    <row r="10" spans="1:8" x14ac:dyDescent="0.25">
      <c r="A10" s="146">
        <v>8</v>
      </c>
      <c r="B10" s="143" t="s">
        <v>40</v>
      </c>
      <c r="C10" s="144">
        <f>VLOOKUP($B10,TVP!$C$5:$F$24,2,0)</f>
        <v>0.5</v>
      </c>
      <c r="D10" s="144">
        <v>2</v>
      </c>
      <c r="E10" s="144">
        <f>VLOOKUP($B10,TVP!$C$5:$F$24,4,0)</f>
        <v>28.5</v>
      </c>
      <c r="F10" s="149">
        <f t="shared" si="1"/>
        <v>57</v>
      </c>
      <c r="G10" s="41">
        <v>0</v>
      </c>
      <c r="H10" s="149">
        <f t="shared" si="2"/>
        <v>57</v>
      </c>
    </row>
    <row r="11" spans="1:8" x14ac:dyDescent="0.25">
      <c r="A11" s="146">
        <v>9</v>
      </c>
      <c r="B11" s="143" t="s">
        <v>41</v>
      </c>
      <c r="C11" s="144">
        <f>VLOOKUP($B11,TVP!$C$5:$F$24,2,0)</f>
        <v>0.2</v>
      </c>
      <c r="D11" s="144">
        <v>2</v>
      </c>
      <c r="E11" s="144">
        <f>VLOOKUP($B11,TVP!$C$5:$F$24,4,0)</f>
        <v>12</v>
      </c>
      <c r="F11" s="149">
        <f t="shared" si="1"/>
        <v>24</v>
      </c>
      <c r="G11" s="41">
        <v>0</v>
      </c>
      <c r="H11" s="149">
        <f t="shared" si="2"/>
        <v>24</v>
      </c>
    </row>
    <row r="12" spans="1:8" x14ac:dyDescent="0.25">
      <c r="A12" s="146">
        <v>10</v>
      </c>
      <c r="B12" s="143" t="s">
        <v>42</v>
      </c>
      <c r="C12" s="144">
        <f>VLOOKUP($B12,TVP!$C$5:$F$24,2,0)</f>
        <v>0.5</v>
      </c>
      <c r="D12" s="144">
        <v>2</v>
      </c>
      <c r="E12" s="144">
        <f>VLOOKUP($B12,TVP!$C$5:$F$24,4,0)</f>
        <v>28.5</v>
      </c>
      <c r="F12" s="149">
        <f t="shared" si="1"/>
        <v>57</v>
      </c>
      <c r="G12" s="41">
        <v>0</v>
      </c>
      <c r="H12" s="149">
        <f t="shared" si="2"/>
        <v>57</v>
      </c>
    </row>
    <row r="13" spans="1:8" x14ac:dyDescent="0.25">
      <c r="A13" s="146">
        <v>11</v>
      </c>
      <c r="B13" s="143" t="s">
        <v>43</v>
      </c>
      <c r="C13" s="144">
        <f>VLOOKUP($B13,TVP!$C$5:$F$24,2,0)</f>
        <v>0.2</v>
      </c>
      <c r="D13" s="144">
        <v>2</v>
      </c>
      <c r="E13" s="144">
        <f>VLOOKUP($B13,TVP!$C$5:$F$24,4,0)</f>
        <v>12</v>
      </c>
      <c r="F13" s="149">
        <f t="shared" si="1"/>
        <v>24</v>
      </c>
      <c r="G13" s="41">
        <v>0</v>
      </c>
      <c r="H13" s="149">
        <f t="shared" si="2"/>
        <v>24</v>
      </c>
    </row>
    <row r="14" spans="1:8" x14ac:dyDescent="0.25">
      <c r="A14" s="146">
        <v>12</v>
      </c>
      <c r="B14" s="143" t="s">
        <v>67</v>
      </c>
      <c r="C14" s="144">
        <f>VLOOKUP($B14,TVP!$C$5:$F$24,2,0)</f>
        <v>0.5</v>
      </c>
      <c r="D14" s="144">
        <v>2</v>
      </c>
      <c r="E14" s="144">
        <f>VLOOKUP($B14,TVP!$C$5:$F$24,4,0)</f>
        <v>26.5</v>
      </c>
      <c r="F14" s="149">
        <f t="shared" si="1"/>
        <v>53</v>
      </c>
      <c r="G14" s="41">
        <v>0</v>
      </c>
      <c r="H14" s="149">
        <f t="shared" si="2"/>
        <v>53</v>
      </c>
    </row>
    <row r="15" spans="1:8" x14ac:dyDescent="0.25">
      <c r="A15" s="146">
        <v>13</v>
      </c>
      <c r="B15" s="143" t="s">
        <v>44</v>
      </c>
      <c r="C15" s="144">
        <f>VLOOKUP($B15,TVP!$C$5:$F$24,2,0)</f>
        <v>0.5</v>
      </c>
      <c r="D15" s="144">
        <v>2</v>
      </c>
      <c r="E15" s="144">
        <f>VLOOKUP($B15,TVP!$C$5:$F$24,4,0)</f>
        <v>36.5</v>
      </c>
      <c r="F15" s="149">
        <f t="shared" si="1"/>
        <v>73</v>
      </c>
      <c r="G15" s="41">
        <v>0</v>
      </c>
      <c r="H15" s="149">
        <f t="shared" si="2"/>
        <v>73</v>
      </c>
    </row>
    <row r="16" spans="1:8" x14ac:dyDescent="0.25">
      <c r="A16" s="146">
        <v>14</v>
      </c>
      <c r="B16" s="143" t="s">
        <v>48</v>
      </c>
      <c r="C16" s="144">
        <f>VLOOKUP($B16,TVP!$C$5:$F$24,2,0)</f>
        <v>0.5</v>
      </c>
      <c r="D16" s="144">
        <v>2</v>
      </c>
      <c r="E16" s="144">
        <f>VLOOKUP($B16,TVP!$C$5:$F$24,4,0)</f>
        <v>49</v>
      </c>
      <c r="F16" s="149">
        <f t="shared" si="1"/>
        <v>98</v>
      </c>
      <c r="G16" s="41">
        <v>0</v>
      </c>
      <c r="H16" s="149">
        <f t="shared" si="2"/>
        <v>98</v>
      </c>
    </row>
    <row r="17" spans="1:8" x14ac:dyDescent="0.25">
      <c r="A17" s="146">
        <v>15</v>
      </c>
      <c r="B17" s="143" t="s">
        <v>49</v>
      </c>
      <c r="C17" s="144">
        <f>VLOOKUP($B17,TVP!$C$5:$F$24,2,0)</f>
        <v>0.5</v>
      </c>
      <c r="D17" s="144">
        <v>2</v>
      </c>
      <c r="E17" s="144">
        <f>VLOOKUP($B17,TVP!$C$5:$F$24,4,0)</f>
        <v>43</v>
      </c>
      <c r="F17" s="149">
        <f t="shared" si="1"/>
        <v>86</v>
      </c>
      <c r="G17" s="41">
        <v>0</v>
      </c>
      <c r="H17" s="149">
        <f t="shared" si="2"/>
        <v>86</v>
      </c>
    </row>
    <row r="18" spans="1:8" x14ac:dyDescent="0.25">
      <c r="A18" s="146">
        <v>16</v>
      </c>
      <c r="B18" s="143" t="s">
        <v>45</v>
      </c>
      <c r="C18" s="144">
        <f>VLOOKUP($B18,TVP!$C$5:$F$24,2,0)</f>
        <v>0.5</v>
      </c>
      <c r="D18" s="144">
        <v>2</v>
      </c>
      <c r="E18" s="144">
        <f>VLOOKUP($B18,TVP!$C$5:$F$24,4,0)</f>
        <v>54</v>
      </c>
      <c r="F18" s="149">
        <f t="shared" si="1"/>
        <v>108</v>
      </c>
      <c r="G18" s="41">
        <v>0</v>
      </c>
      <c r="H18" s="149">
        <f t="shared" si="2"/>
        <v>108</v>
      </c>
    </row>
    <row r="19" spans="1:8" x14ac:dyDescent="0.25">
      <c r="A19" s="146">
        <v>17</v>
      </c>
      <c r="B19" s="143" t="s">
        <v>46</v>
      </c>
      <c r="C19" s="144">
        <f>VLOOKUP($B19,TVP!$C$5:$F$24,2,0)</f>
        <v>0.5</v>
      </c>
      <c r="D19" s="144">
        <v>2</v>
      </c>
      <c r="E19" s="144">
        <f>VLOOKUP($B19,TVP!$C$5:$F$24,4,0)</f>
        <v>49</v>
      </c>
      <c r="F19" s="149">
        <f t="shared" si="1"/>
        <v>98</v>
      </c>
      <c r="G19" s="41">
        <v>0</v>
      </c>
      <c r="H19" s="149">
        <f t="shared" si="2"/>
        <v>98</v>
      </c>
    </row>
    <row r="20" spans="1:8" x14ac:dyDescent="0.25">
      <c r="A20" s="146">
        <v>18</v>
      </c>
      <c r="B20" s="143" t="s">
        <v>47</v>
      </c>
      <c r="C20" s="144">
        <f>VLOOKUP($B20,TVP!$C$5:$F$24,2,0)</f>
        <v>0.5</v>
      </c>
      <c r="D20" s="144">
        <v>2</v>
      </c>
      <c r="E20" s="144">
        <f>VLOOKUP($B20,TVP!$C$5:$F$24,4,0)</f>
        <v>66</v>
      </c>
      <c r="F20" s="149">
        <f t="shared" si="1"/>
        <v>132</v>
      </c>
      <c r="G20" s="41">
        <v>0</v>
      </c>
      <c r="H20" s="149">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G31"/>
  <sheetViews>
    <sheetView workbookViewId="0">
      <pane xSplit="3" ySplit="4" topLeftCell="D5" activePane="bottomRight" state="frozen"/>
      <selection pane="topRight" activeCell="D1" sqref="D1"/>
      <selection pane="bottomLeft" activeCell="A5" sqref="A5"/>
      <selection pane="bottomRight" activeCell="F2" sqref="F1:N1048576"/>
    </sheetView>
  </sheetViews>
  <sheetFormatPr defaultRowHeight="15" x14ac:dyDescent="0.25"/>
  <cols>
    <col min="1" max="1" width="16.28515625" style="97" customWidth="1"/>
    <col min="2" max="2" width="7" style="97" customWidth="1"/>
    <col min="3" max="3" width="26.5703125" style="97" bestFit="1" customWidth="1"/>
    <col min="4" max="5" width="10" style="97" customWidth="1"/>
    <col min="6" max="6" width="11.85546875" style="97" customWidth="1"/>
    <col min="7" max="7" width="16.28515625" style="97" customWidth="1"/>
    <col min="8" max="8" width="14.85546875" style="97" customWidth="1"/>
    <col min="9" max="9" width="13.42578125" style="97" customWidth="1"/>
    <col min="10" max="10" width="16.85546875" style="97" customWidth="1"/>
    <col min="11" max="11" width="11.42578125" style="97" customWidth="1"/>
    <col min="12" max="13" width="16.28515625" style="97" customWidth="1"/>
    <col min="14" max="14" width="10.140625" style="97" bestFit="1" customWidth="1"/>
    <col min="15" max="15" width="10.85546875" style="97" customWidth="1"/>
    <col min="16" max="16" width="12.5703125" style="97" customWidth="1"/>
    <col min="17" max="18" width="5.140625" style="97" customWidth="1"/>
    <col min="19" max="19" width="4.7109375" style="97" bestFit="1" customWidth="1"/>
    <col min="20" max="31" width="5.140625" style="97" customWidth="1"/>
    <col min="32" max="16384" width="9.140625" style="97"/>
  </cols>
  <sheetData>
    <row r="1" spans="1:33" hidden="1" x14ac:dyDescent="0.25">
      <c r="B1" s="175" t="s">
        <v>59</v>
      </c>
      <c r="C1" s="175"/>
      <c r="D1" s="175"/>
      <c r="E1" s="175"/>
      <c r="F1" s="175"/>
      <c r="G1" s="175"/>
      <c r="H1" s="175"/>
      <c r="I1" s="175"/>
      <c r="J1" s="175"/>
      <c r="K1" s="175"/>
      <c r="L1" s="175"/>
      <c r="M1" s="98"/>
    </row>
    <row r="2" spans="1:33" ht="18.75" customHeight="1" x14ac:dyDescent="0.25">
      <c r="A2" s="1">
        <v>210</v>
      </c>
      <c r="J2" s="13">
        <f>SUMPRODUCT((D5:D19)*(E5:E19))</f>
        <v>201.5</v>
      </c>
      <c r="K2" s="13">
        <f>L4-J4</f>
        <v>4700.5000000000036</v>
      </c>
      <c r="L2" s="8">
        <f>L4/J4-1</f>
        <v>0.19061619254242812</v>
      </c>
      <c r="M2" s="8"/>
      <c r="Q2" s="65"/>
    </row>
    <row r="3" spans="1:33" ht="31.5" customHeight="1" x14ac:dyDescent="0.25">
      <c r="A3" s="83" t="s">
        <v>127</v>
      </c>
      <c r="B3" s="3" t="s">
        <v>0</v>
      </c>
      <c r="C3" s="3" t="s">
        <v>17</v>
      </c>
      <c r="D3" s="121" t="s">
        <v>160</v>
      </c>
      <c r="E3" s="155" t="s">
        <v>159</v>
      </c>
      <c r="F3" s="4" t="s">
        <v>18</v>
      </c>
      <c r="G3" s="4" t="s">
        <v>19</v>
      </c>
      <c r="H3" s="9" t="s">
        <v>20</v>
      </c>
      <c r="I3" s="9" t="s">
        <v>21</v>
      </c>
      <c r="J3" s="9" t="s">
        <v>24</v>
      </c>
      <c r="K3" s="66" t="s">
        <v>22</v>
      </c>
      <c r="L3" s="11" t="s">
        <v>23</v>
      </c>
      <c r="M3" s="11" t="s">
        <v>122</v>
      </c>
      <c r="N3" s="35" t="s">
        <v>60</v>
      </c>
      <c r="O3" s="94" t="s">
        <v>188</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c r="AG3" s="159"/>
    </row>
    <row r="4" spans="1:33" s="69" customFormat="1" ht="27" customHeight="1" x14ac:dyDescent="0.25">
      <c r="A4" s="78">
        <f ca="1">SUBTOTAL(9,A5:A220)</f>
        <v>16142.166492157305</v>
      </c>
      <c r="B4" s="19"/>
      <c r="C4" s="19"/>
      <c r="D4" s="19"/>
      <c r="E4" s="19">
        <f>SUBTOTAL(9,E5:E220)</f>
        <v>670</v>
      </c>
      <c r="F4" s="7"/>
      <c r="G4" s="7">
        <f>SUBTOTAL(9,G5:G181)</f>
        <v>24449.5</v>
      </c>
      <c r="H4" s="12"/>
      <c r="I4" s="12"/>
      <c r="J4" s="12">
        <f>SUBTOTAL(9,J5:J181)</f>
        <v>24659.499999999996</v>
      </c>
      <c r="K4" s="115"/>
      <c r="L4" s="7">
        <f>SUBTOTAL(9,L5:L181)</f>
        <v>29360</v>
      </c>
      <c r="M4" s="7">
        <f ca="1">SUBTOTAL(9,M5:M181)</f>
        <v>10064</v>
      </c>
      <c r="N4" s="39">
        <f ca="1">SUBTOTAL(9,N5:N220)</f>
        <v>466</v>
      </c>
      <c r="O4" s="114"/>
      <c r="P4" s="114">
        <f>SUBTOTAL(9,P5:P220)</f>
        <v>3</v>
      </c>
      <c r="Q4" s="40">
        <f>SUBTOTAL(9,Q5:Q220)</f>
        <v>11</v>
      </c>
      <c r="R4" s="40">
        <f t="shared" ref="R4:AE4" si="0">SUBTOTAL(9,R5:R220)</f>
        <v>3</v>
      </c>
      <c r="S4" s="40">
        <f t="shared" si="0"/>
        <v>34</v>
      </c>
      <c r="T4" s="40">
        <f t="shared" si="0"/>
        <v>29</v>
      </c>
      <c r="U4" s="40">
        <f t="shared" si="0"/>
        <v>19</v>
      </c>
      <c r="V4" s="40">
        <f t="shared" si="0"/>
        <v>7</v>
      </c>
      <c r="W4" s="40">
        <f t="shared" si="0"/>
        <v>3</v>
      </c>
      <c r="X4" s="40">
        <f t="shared" si="0"/>
        <v>17</v>
      </c>
      <c r="Y4" s="40">
        <f t="shared" si="0"/>
        <v>24</v>
      </c>
      <c r="Z4" s="40">
        <f t="shared" si="0"/>
        <v>9</v>
      </c>
      <c r="AA4" s="40">
        <f t="shared" si="0"/>
        <v>11</v>
      </c>
      <c r="AB4" s="40">
        <f t="shared" si="0"/>
        <v>8</v>
      </c>
      <c r="AC4" s="40">
        <f t="shared" si="0"/>
        <v>6</v>
      </c>
      <c r="AD4" s="40">
        <f t="shared" si="0"/>
        <v>16</v>
      </c>
      <c r="AE4" s="40">
        <f t="shared" ca="1" si="0"/>
        <v>5</v>
      </c>
    </row>
    <row r="5" spans="1:33" ht="18.75" x14ac:dyDescent="0.25">
      <c r="A5" s="97">
        <f t="shared" ref="A5:A24" ca="1" si="1">I5*N5</f>
        <v>317.70557680116156</v>
      </c>
      <c r="B5" s="6">
        <v>1</v>
      </c>
      <c r="C5" s="99" t="s">
        <v>52</v>
      </c>
      <c r="D5" s="100">
        <v>0.5</v>
      </c>
      <c r="E5" s="24">
        <v>16</v>
      </c>
      <c r="F5" s="101">
        <v>45</v>
      </c>
      <c r="G5" s="102">
        <f t="shared" ref="G5:G19" si="2">F5*E5</f>
        <v>720</v>
      </c>
      <c r="H5" s="103">
        <f t="shared" ref="H5:H24" si="3">((G5/$G$4)*$A$2)/E5</f>
        <v>0.38651097159451114</v>
      </c>
      <c r="I5" s="104">
        <f t="shared" ref="I5:I19" si="4">F5+H5</f>
        <v>45.386510971594511</v>
      </c>
      <c r="J5" s="104">
        <f>I5*E5</f>
        <v>726.18417554551218</v>
      </c>
      <c r="K5" s="105">
        <v>54</v>
      </c>
      <c r="L5" s="102">
        <f t="shared" ref="L5" si="5">K5*E5</f>
        <v>864</v>
      </c>
      <c r="M5" s="102">
        <f t="shared" ref="M5:M24" ca="1" si="6">SUMPRODUCT($K5*($Q5:$AE5))</f>
        <v>486</v>
      </c>
      <c r="N5" s="106">
        <f t="shared" ref="N5:N24" ca="1" si="7">E5-SUM(Q5:AE5)-P5-O5</f>
        <v>7</v>
      </c>
      <c r="O5" s="96">
        <v>0</v>
      </c>
      <c r="P5" s="96"/>
      <c r="Q5" s="37">
        <v>1</v>
      </c>
      <c r="R5" s="41">
        <v>0</v>
      </c>
      <c r="S5" s="41">
        <v>0</v>
      </c>
      <c r="T5" s="41">
        <v>2</v>
      </c>
      <c r="U5" s="41">
        <v>1</v>
      </c>
      <c r="V5" s="41">
        <v>2</v>
      </c>
      <c r="W5" s="41">
        <v>0</v>
      </c>
      <c r="X5" s="41">
        <v>1</v>
      </c>
      <c r="Y5" s="41">
        <v>0</v>
      </c>
      <c r="Z5" s="41">
        <v>0</v>
      </c>
      <c r="AA5" s="41">
        <v>1</v>
      </c>
      <c r="AB5" s="41">
        <v>0</v>
      </c>
      <c r="AC5" s="41">
        <v>0</v>
      </c>
      <c r="AD5" s="41">
        <v>1</v>
      </c>
      <c r="AE5" s="41">
        <f ca="1">SUMIFS('Tổng Đơn'!$F:$F,'Tổng Đơn'!$B:$B,TVP!$C5)</f>
        <v>0</v>
      </c>
    </row>
    <row r="6" spans="1:33" ht="18.75" x14ac:dyDescent="0.25">
      <c r="A6" s="97">
        <f t="shared" ca="1" si="1"/>
        <v>1089.2762633182683</v>
      </c>
      <c r="B6" s="6">
        <v>2</v>
      </c>
      <c r="C6" s="99" t="s">
        <v>51</v>
      </c>
      <c r="D6" s="100">
        <v>0.5</v>
      </c>
      <c r="E6" s="24">
        <v>26</v>
      </c>
      <c r="F6" s="101">
        <v>54</v>
      </c>
      <c r="G6" s="102">
        <f t="shared" si="2"/>
        <v>1404</v>
      </c>
      <c r="H6" s="103">
        <f t="shared" si="3"/>
        <v>0.46381316591341337</v>
      </c>
      <c r="I6" s="104">
        <f t="shared" si="4"/>
        <v>54.463813165913415</v>
      </c>
      <c r="J6" s="104">
        <f>I6*E6</f>
        <v>1416.0591423137487</v>
      </c>
      <c r="K6" s="105">
        <v>65</v>
      </c>
      <c r="L6" s="102">
        <f t="shared" ref="L6:L24" si="8">K6*E6</f>
        <v>1690</v>
      </c>
      <c r="M6" s="102">
        <f t="shared" ca="1" si="6"/>
        <v>390</v>
      </c>
      <c r="N6" s="106">
        <f t="shared" ca="1" si="7"/>
        <v>20</v>
      </c>
      <c r="O6" s="96">
        <v>0</v>
      </c>
      <c r="P6" s="96"/>
      <c r="Q6" s="37">
        <v>0</v>
      </c>
      <c r="R6" s="41">
        <v>0</v>
      </c>
      <c r="S6" s="41">
        <v>0</v>
      </c>
      <c r="T6" s="41">
        <v>1</v>
      </c>
      <c r="U6" s="41">
        <v>2</v>
      </c>
      <c r="V6" s="41">
        <v>1</v>
      </c>
      <c r="W6" s="41">
        <v>1</v>
      </c>
      <c r="X6" s="41">
        <v>0</v>
      </c>
      <c r="Y6" s="41">
        <v>0</v>
      </c>
      <c r="Z6" s="41">
        <v>0</v>
      </c>
      <c r="AA6" s="41">
        <v>1</v>
      </c>
      <c r="AB6" s="41">
        <v>0</v>
      </c>
      <c r="AC6" s="41">
        <v>0</v>
      </c>
      <c r="AD6" s="41">
        <v>0</v>
      </c>
      <c r="AE6" s="41">
        <f ca="1">SUMIFS('Tổng Đơn'!$F:$F,'Tổng Đơn'!$B:$B,TVP!$C6)</f>
        <v>0</v>
      </c>
    </row>
    <row r="7" spans="1:33" ht="18.75" x14ac:dyDescent="0.25">
      <c r="A7" s="97">
        <f t="shared" ca="1" si="1"/>
        <v>223.90678745986625</v>
      </c>
      <c r="B7" s="6">
        <v>3</v>
      </c>
      <c r="C7" s="99" t="s">
        <v>36</v>
      </c>
      <c r="D7" s="100">
        <v>0.5</v>
      </c>
      <c r="E7" s="24">
        <v>6</v>
      </c>
      <c r="F7" s="101">
        <v>55.5</v>
      </c>
      <c r="G7" s="102">
        <f t="shared" si="2"/>
        <v>333</v>
      </c>
      <c r="H7" s="103">
        <f t="shared" si="3"/>
        <v>0.47669686496656372</v>
      </c>
      <c r="I7" s="104">
        <f t="shared" si="4"/>
        <v>55.976696864966563</v>
      </c>
      <c r="J7" s="104">
        <f t="shared" ref="J7:J19" si="9">I7*E7</f>
        <v>335.86018118979939</v>
      </c>
      <c r="K7" s="105">
        <v>66</v>
      </c>
      <c r="L7" s="102">
        <f t="shared" si="8"/>
        <v>396</v>
      </c>
      <c r="M7" s="102">
        <f t="shared" ca="1" si="6"/>
        <v>132</v>
      </c>
      <c r="N7" s="106">
        <f t="shared" ca="1" si="7"/>
        <v>4</v>
      </c>
      <c r="O7" s="96">
        <v>0</v>
      </c>
      <c r="P7" s="96"/>
      <c r="Q7" s="37">
        <v>0</v>
      </c>
      <c r="R7" s="41">
        <v>0</v>
      </c>
      <c r="S7" s="41">
        <v>1</v>
      </c>
      <c r="T7" s="41">
        <v>1</v>
      </c>
      <c r="U7" s="41">
        <v>0</v>
      </c>
      <c r="V7" s="41">
        <v>0</v>
      </c>
      <c r="W7" s="41">
        <v>0</v>
      </c>
      <c r="X7" s="41">
        <v>0</v>
      </c>
      <c r="Y7" s="41">
        <v>0</v>
      </c>
      <c r="Z7" s="41">
        <v>0</v>
      </c>
      <c r="AA7" s="41">
        <v>0</v>
      </c>
      <c r="AB7" s="41">
        <v>0</v>
      </c>
      <c r="AC7" s="41">
        <v>0</v>
      </c>
      <c r="AD7" s="41">
        <v>0</v>
      </c>
      <c r="AE7" s="41">
        <f ca="1">SUMIFS('Tổng Đơn'!$F:$F,'Tổng Đơn'!$B:$B,TVP!$C7)</f>
        <v>0</v>
      </c>
    </row>
    <row r="8" spans="1:33" ht="18.75" x14ac:dyDescent="0.25">
      <c r="A8" s="97">
        <f t="shared" ca="1" si="1"/>
        <v>839.65045297449842</v>
      </c>
      <c r="B8" s="6">
        <v>4</v>
      </c>
      <c r="C8" s="99" t="s">
        <v>37</v>
      </c>
      <c r="D8" s="100">
        <v>0.5</v>
      </c>
      <c r="E8" s="24">
        <v>30</v>
      </c>
      <c r="F8" s="101">
        <v>55.5</v>
      </c>
      <c r="G8" s="102">
        <f t="shared" si="2"/>
        <v>1665</v>
      </c>
      <c r="H8" s="103">
        <f t="shared" si="3"/>
        <v>0.47669686496656372</v>
      </c>
      <c r="I8" s="104">
        <f t="shared" si="4"/>
        <v>55.976696864966563</v>
      </c>
      <c r="J8" s="104">
        <f t="shared" si="9"/>
        <v>1679.3009059489968</v>
      </c>
      <c r="K8" s="105">
        <v>66</v>
      </c>
      <c r="L8" s="102">
        <f t="shared" si="8"/>
        <v>1980</v>
      </c>
      <c r="M8" s="102">
        <f t="shared" ca="1" si="6"/>
        <v>924</v>
      </c>
      <c r="N8" s="106">
        <f t="shared" ca="1" si="7"/>
        <v>15</v>
      </c>
      <c r="O8" s="96">
        <v>0</v>
      </c>
      <c r="P8" s="96">
        <v>1</v>
      </c>
      <c r="Q8" s="95">
        <v>0</v>
      </c>
      <c r="R8" s="41">
        <v>1</v>
      </c>
      <c r="S8" s="41">
        <v>4</v>
      </c>
      <c r="T8" s="41">
        <v>3</v>
      </c>
      <c r="U8" s="41">
        <v>4</v>
      </c>
      <c r="V8" s="41">
        <v>0</v>
      </c>
      <c r="W8" s="41">
        <v>0</v>
      </c>
      <c r="X8" s="41">
        <v>0</v>
      </c>
      <c r="Y8" s="41">
        <v>1</v>
      </c>
      <c r="Z8" s="41">
        <v>0</v>
      </c>
      <c r="AA8" s="41">
        <v>1</v>
      </c>
      <c r="AB8" s="41">
        <v>0</v>
      </c>
      <c r="AC8" s="41">
        <v>0</v>
      </c>
      <c r="AD8" s="41">
        <v>0</v>
      </c>
      <c r="AE8" s="41">
        <f ca="1">SUMIFS('Tổng Đơn'!$F:$F,'Tổng Đơn'!$B:$B,TVP!$C8)</f>
        <v>0</v>
      </c>
    </row>
    <row r="9" spans="1:33" ht="18.75" x14ac:dyDescent="0.25">
      <c r="A9" s="97">
        <f t="shared" ca="1" si="1"/>
        <v>1440.2652814985991</v>
      </c>
      <c r="B9" s="6">
        <v>5</v>
      </c>
      <c r="C9" s="99" t="s">
        <v>50</v>
      </c>
      <c r="D9" s="100">
        <v>1</v>
      </c>
      <c r="E9" s="24">
        <v>15</v>
      </c>
      <c r="F9" s="101">
        <v>102</v>
      </c>
      <c r="G9" s="102">
        <f t="shared" si="2"/>
        <v>1530</v>
      </c>
      <c r="H9" s="103">
        <f t="shared" si="3"/>
        <v>0.87609153561422537</v>
      </c>
      <c r="I9" s="104">
        <f t="shared" si="4"/>
        <v>102.87609153561422</v>
      </c>
      <c r="J9" s="104">
        <f>I9*E9</f>
        <v>1543.1413730342133</v>
      </c>
      <c r="K9" s="105">
        <v>122</v>
      </c>
      <c r="L9" s="102">
        <f t="shared" si="8"/>
        <v>1830</v>
      </c>
      <c r="M9" s="102">
        <f t="shared" ca="1" si="6"/>
        <v>122</v>
      </c>
      <c r="N9" s="106">
        <f t="shared" ca="1" si="7"/>
        <v>14</v>
      </c>
      <c r="O9" s="96">
        <v>0</v>
      </c>
      <c r="P9" s="96"/>
      <c r="Q9" s="37">
        <v>0</v>
      </c>
      <c r="R9" s="41">
        <v>0</v>
      </c>
      <c r="S9" s="41">
        <v>1</v>
      </c>
      <c r="T9" s="41">
        <v>0</v>
      </c>
      <c r="U9" s="41">
        <v>0</v>
      </c>
      <c r="V9" s="41">
        <v>0</v>
      </c>
      <c r="W9" s="41">
        <v>0</v>
      </c>
      <c r="X9" s="41">
        <v>0</v>
      </c>
      <c r="Y9" s="41">
        <v>0</v>
      </c>
      <c r="Z9" s="41">
        <v>0</v>
      </c>
      <c r="AA9" s="41">
        <v>0</v>
      </c>
      <c r="AB9" s="41">
        <v>0</v>
      </c>
      <c r="AC9" s="41">
        <v>0</v>
      </c>
      <c r="AD9" s="41">
        <v>0</v>
      </c>
      <c r="AE9" s="41">
        <f ca="1">SUMIFS('Tổng Đơn'!$F:$F,'Tổng Đơn'!$B:$B,TVP!$C9)</f>
        <v>0</v>
      </c>
    </row>
    <row r="10" spans="1:33" ht="18.75" x14ac:dyDescent="0.25">
      <c r="A10" s="97">
        <f t="shared" ca="1" si="1"/>
        <v>347.45895621587357</v>
      </c>
      <c r="B10" s="6">
        <v>6</v>
      </c>
      <c r="C10" s="99" t="s">
        <v>38</v>
      </c>
      <c r="D10" s="100">
        <v>0.5</v>
      </c>
      <c r="E10" s="24">
        <v>40</v>
      </c>
      <c r="F10" s="101">
        <v>26.5</v>
      </c>
      <c r="G10" s="102">
        <f t="shared" si="2"/>
        <v>1060</v>
      </c>
      <c r="H10" s="103">
        <f t="shared" si="3"/>
        <v>0.22761201660565655</v>
      </c>
      <c r="I10" s="104">
        <f t="shared" si="4"/>
        <v>26.727612016605658</v>
      </c>
      <c r="J10" s="104">
        <f t="shared" si="9"/>
        <v>1069.1044806642262</v>
      </c>
      <c r="K10" s="105">
        <v>32</v>
      </c>
      <c r="L10" s="102">
        <f t="shared" si="8"/>
        <v>1280</v>
      </c>
      <c r="M10" s="102">
        <f t="shared" ca="1" si="6"/>
        <v>864</v>
      </c>
      <c r="N10" s="106">
        <f t="shared" ca="1" si="7"/>
        <v>13</v>
      </c>
      <c r="O10" s="96">
        <v>0</v>
      </c>
      <c r="P10" s="96"/>
      <c r="Q10" s="37">
        <v>2</v>
      </c>
      <c r="R10" s="41">
        <v>2</v>
      </c>
      <c r="S10" s="41">
        <v>4</v>
      </c>
      <c r="T10" s="41">
        <v>2</v>
      </c>
      <c r="U10" s="41">
        <v>0</v>
      </c>
      <c r="V10" s="41">
        <v>0</v>
      </c>
      <c r="W10" s="41">
        <v>0</v>
      </c>
      <c r="X10" s="41">
        <v>2</v>
      </c>
      <c r="Y10" s="41">
        <v>5</v>
      </c>
      <c r="Z10" s="41">
        <v>1</v>
      </c>
      <c r="AA10" s="41">
        <v>0</v>
      </c>
      <c r="AB10" s="41">
        <v>2</v>
      </c>
      <c r="AC10" s="41">
        <v>2</v>
      </c>
      <c r="AD10" s="41">
        <v>4</v>
      </c>
      <c r="AE10" s="41">
        <f ca="1">SUMIFS('Tổng Đơn'!$F:$F,'Tổng Đơn'!$B:$B,TVP!$C10)</f>
        <v>1</v>
      </c>
    </row>
    <row r="11" spans="1:33" ht="18.75" x14ac:dyDescent="0.25">
      <c r="A11" s="97">
        <f t="shared" ca="1" si="1"/>
        <v>914.99206118734526</v>
      </c>
      <c r="B11" s="6">
        <v>7</v>
      </c>
      <c r="C11" s="99" t="s">
        <v>39</v>
      </c>
      <c r="D11" s="100">
        <v>0.2</v>
      </c>
      <c r="E11" s="24">
        <v>90</v>
      </c>
      <c r="F11" s="101">
        <v>11.2</v>
      </c>
      <c r="G11" s="102">
        <f t="shared" si="2"/>
        <v>1007.9999999999999</v>
      </c>
      <c r="H11" s="103">
        <f t="shared" si="3"/>
        <v>9.6198286263522767E-2</v>
      </c>
      <c r="I11" s="104">
        <f t="shared" si="4"/>
        <v>11.296198286263522</v>
      </c>
      <c r="J11" s="104">
        <f t="shared" si="9"/>
        <v>1016.657845763717</v>
      </c>
      <c r="K11" s="105">
        <v>14</v>
      </c>
      <c r="L11" s="102">
        <f t="shared" si="8"/>
        <v>1260</v>
      </c>
      <c r="M11" s="102">
        <f t="shared" ca="1" si="6"/>
        <v>126</v>
      </c>
      <c r="N11" s="106">
        <f t="shared" ca="1" si="7"/>
        <v>81</v>
      </c>
      <c r="O11" s="96">
        <v>0</v>
      </c>
      <c r="P11" s="96"/>
      <c r="Q11" s="37">
        <v>1</v>
      </c>
      <c r="R11" s="41">
        <v>0</v>
      </c>
      <c r="S11" s="41">
        <v>3</v>
      </c>
      <c r="T11" s="41">
        <v>0</v>
      </c>
      <c r="U11" s="41">
        <v>3</v>
      </c>
      <c r="V11" s="41">
        <v>1</v>
      </c>
      <c r="W11" s="41">
        <v>0</v>
      </c>
      <c r="X11" s="41">
        <v>0</v>
      </c>
      <c r="Y11" s="41">
        <v>0</v>
      </c>
      <c r="Z11" s="41">
        <v>0</v>
      </c>
      <c r="AA11" s="41">
        <v>0</v>
      </c>
      <c r="AB11" s="41">
        <v>0</v>
      </c>
      <c r="AC11" s="41">
        <v>1</v>
      </c>
      <c r="AD11" s="41">
        <v>0</v>
      </c>
      <c r="AE11" s="41">
        <f ca="1">SUMIFS('Tổng Đơn'!$F:$F,'Tổng Đơn'!$B:$B,TVP!$C11)</f>
        <v>0</v>
      </c>
    </row>
    <row r="12" spans="1:33" ht="18.75" x14ac:dyDescent="0.25">
      <c r="A12" s="97">
        <f t="shared" ca="1" si="1"/>
        <v>718.61975705024633</v>
      </c>
      <c r="B12" s="6">
        <v>8</v>
      </c>
      <c r="C12" s="99" t="s">
        <v>40</v>
      </c>
      <c r="D12" s="100">
        <v>0.5</v>
      </c>
      <c r="E12" s="24">
        <v>36</v>
      </c>
      <c r="F12" s="101">
        <v>28.5</v>
      </c>
      <c r="G12" s="102">
        <f t="shared" si="2"/>
        <v>1026</v>
      </c>
      <c r="H12" s="103">
        <f t="shared" si="3"/>
        <v>0.24479028200985706</v>
      </c>
      <c r="I12" s="104">
        <f t="shared" si="4"/>
        <v>28.744790282009856</v>
      </c>
      <c r="J12" s="104">
        <f t="shared" si="9"/>
        <v>1034.8124501523548</v>
      </c>
      <c r="K12" s="105">
        <v>35</v>
      </c>
      <c r="L12" s="102">
        <f t="shared" si="8"/>
        <v>1260</v>
      </c>
      <c r="M12" s="102">
        <f t="shared" ca="1" si="6"/>
        <v>385</v>
      </c>
      <c r="N12" s="106">
        <f t="shared" ca="1" si="7"/>
        <v>25</v>
      </c>
      <c r="O12" s="96">
        <v>0</v>
      </c>
      <c r="P12" s="96"/>
      <c r="Q12" s="37">
        <v>2</v>
      </c>
      <c r="R12" s="41">
        <v>0</v>
      </c>
      <c r="S12" s="41">
        <v>2</v>
      </c>
      <c r="T12" s="41">
        <v>2</v>
      </c>
      <c r="U12" s="41">
        <v>0</v>
      </c>
      <c r="V12" s="41">
        <v>0</v>
      </c>
      <c r="W12" s="41">
        <v>1</v>
      </c>
      <c r="X12" s="41">
        <v>1</v>
      </c>
      <c r="Y12" s="41">
        <v>1</v>
      </c>
      <c r="Z12" s="41">
        <v>0</v>
      </c>
      <c r="AA12" s="41">
        <v>0</v>
      </c>
      <c r="AB12" s="41">
        <v>0</v>
      </c>
      <c r="AC12" s="41">
        <v>0</v>
      </c>
      <c r="AD12" s="41">
        <v>2</v>
      </c>
      <c r="AE12" s="41">
        <f ca="1">SUMIFS('Tổng Đơn'!$F:$F,'Tổng Đơn'!$B:$B,TVP!$C12)</f>
        <v>0</v>
      </c>
    </row>
    <row r="13" spans="1:33" ht="18.75" x14ac:dyDescent="0.25">
      <c r="A13" s="97">
        <f t="shared" ca="1" si="1"/>
        <v>1052.9670545409926</v>
      </c>
      <c r="B13" s="6">
        <v>9</v>
      </c>
      <c r="C13" s="99" t="s">
        <v>41</v>
      </c>
      <c r="D13" s="100">
        <v>0.2</v>
      </c>
      <c r="E13" s="24">
        <v>90</v>
      </c>
      <c r="F13" s="101">
        <v>12</v>
      </c>
      <c r="G13" s="102">
        <f t="shared" si="2"/>
        <v>1080</v>
      </c>
      <c r="H13" s="103">
        <f t="shared" si="3"/>
        <v>0.10306959242520297</v>
      </c>
      <c r="I13" s="104">
        <f t="shared" si="4"/>
        <v>12.103069592425204</v>
      </c>
      <c r="J13" s="104">
        <f t="shared" si="9"/>
        <v>1089.2762633182683</v>
      </c>
      <c r="K13" s="105">
        <v>14</v>
      </c>
      <c r="L13" s="102">
        <f t="shared" si="8"/>
        <v>1260</v>
      </c>
      <c r="M13" s="102">
        <f t="shared" ca="1" si="6"/>
        <v>42</v>
      </c>
      <c r="N13" s="106">
        <f t="shared" ca="1" si="7"/>
        <v>87</v>
      </c>
      <c r="O13" s="96">
        <v>0</v>
      </c>
      <c r="P13" s="96"/>
      <c r="Q13" s="37">
        <v>1</v>
      </c>
      <c r="R13" s="41">
        <v>0</v>
      </c>
      <c r="S13" s="41">
        <v>1</v>
      </c>
      <c r="T13" s="41">
        <v>1</v>
      </c>
      <c r="U13" s="41">
        <v>0</v>
      </c>
      <c r="V13" s="41">
        <v>0</v>
      </c>
      <c r="W13" s="41">
        <v>0</v>
      </c>
      <c r="X13" s="41">
        <v>0</v>
      </c>
      <c r="Y13" s="41">
        <v>0</v>
      </c>
      <c r="Z13" s="41">
        <v>0</v>
      </c>
      <c r="AA13" s="41">
        <v>0</v>
      </c>
      <c r="AB13" s="41">
        <v>0</v>
      </c>
      <c r="AC13" s="41">
        <v>0</v>
      </c>
      <c r="AD13" s="41">
        <v>0</v>
      </c>
      <c r="AE13" s="41">
        <f ca="1">SUMIFS('Tổng Đơn'!$F:$F,'Tổng Đơn'!$B:$B,TVP!$C13)</f>
        <v>0</v>
      </c>
    </row>
    <row r="14" spans="1:33" ht="18.75" x14ac:dyDescent="0.25">
      <c r="A14" s="97">
        <f t="shared" ca="1" si="1"/>
        <v>258.7031125380887</v>
      </c>
      <c r="B14" s="6">
        <v>10</v>
      </c>
      <c r="C14" s="99" t="s">
        <v>42</v>
      </c>
      <c r="D14" s="100">
        <v>0.5</v>
      </c>
      <c r="E14" s="24">
        <v>26</v>
      </c>
      <c r="F14" s="101">
        <v>28.5</v>
      </c>
      <c r="G14" s="102">
        <f t="shared" si="2"/>
        <v>741</v>
      </c>
      <c r="H14" s="103">
        <f t="shared" si="3"/>
        <v>0.24479028200985703</v>
      </c>
      <c r="I14" s="104">
        <f t="shared" si="4"/>
        <v>28.744790282009856</v>
      </c>
      <c r="J14" s="104">
        <f t="shared" si="9"/>
        <v>747.36454733225628</v>
      </c>
      <c r="K14" s="105">
        <v>35</v>
      </c>
      <c r="L14" s="102">
        <f t="shared" si="8"/>
        <v>910</v>
      </c>
      <c r="M14" s="102">
        <f t="shared" ca="1" si="6"/>
        <v>595</v>
      </c>
      <c r="N14" s="106">
        <f t="shared" ca="1" si="7"/>
        <v>9</v>
      </c>
      <c r="O14" s="96">
        <v>0</v>
      </c>
      <c r="P14" s="96"/>
      <c r="Q14" s="37">
        <v>0</v>
      </c>
      <c r="R14" s="41">
        <v>0</v>
      </c>
      <c r="S14" s="41">
        <v>2</v>
      </c>
      <c r="T14" s="41">
        <v>3</v>
      </c>
      <c r="U14" s="41">
        <v>1</v>
      </c>
      <c r="V14" s="41">
        <v>3</v>
      </c>
      <c r="W14" s="41">
        <v>0</v>
      </c>
      <c r="X14" s="41">
        <v>1</v>
      </c>
      <c r="Y14" s="41">
        <v>4</v>
      </c>
      <c r="Z14" s="41">
        <v>0</v>
      </c>
      <c r="AA14" s="41">
        <v>1</v>
      </c>
      <c r="AB14" s="41">
        <v>0</v>
      </c>
      <c r="AC14" s="41">
        <v>0</v>
      </c>
      <c r="AD14" s="41">
        <v>2</v>
      </c>
      <c r="AE14" s="41">
        <f ca="1">SUMIFS('Tổng Đơn'!$F:$F,'Tổng Đơn'!$B:$B,TVP!$C14)</f>
        <v>0</v>
      </c>
    </row>
    <row r="15" spans="1:33" ht="18.75" x14ac:dyDescent="0.25">
      <c r="A15" s="97">
        <f t="shared" ca="1" si="1"/>
        <v>121.03069592425203</v>
      </c>
      <c r="B15" s="6">
        <v>11</v>
      </c>
      <c r="C15" s="99" t="s">
        <v>43</v>
      </c>
      <c r="D15" s="100">
        <v>0.2</v>
      </c>
      <c r="E15" s="24">
        <v>15</v>
      </c>
      <c r="F15" s="101">
        <v>12</v>
      </c>
      <c r="G15" s="102">
        <f t="shared" si="2"/>
        <v>180</v>
      </c>
      <c r="H15" s="103">
        <f t="shared" si="3"/>
        <v>0.10306959242520297</v>
      </c>
      <c r="I15" s="104">
        <f t="shared" si="4"/>
        <v>12.103069592425204</v>
      </c>
      <c r="J15" s="104">
        <f t="shared" si="9"/>
        <v>181.54604388637804</v>
      </c>
      <c r="K15" s="105">
        <v>14</v>
      </c>
      <c r="L15" s="102">
        <f t="shared" si="8"/>
        <v>210</v>
      </c>
      <c r="M15" s="102">
        <f t="shared" ca="1" si="6"/>
        <v>56</v>
      </c>
      <c r="N15" s="106">
        <f t="shared" ca="1" si="7"/>
        <v>10</v>
      </c>
      <c r="O15" s="96">
        <v>0</v>
      </c>
      <c r="P15" s="96">
        <v>1</v>
      </c>
      <c r="Q15" s="37">
        <v>1</v>
      </c>
      <c r="R15" s="41">
        <v>0</v>
      </c>
      <c r="S15" s="41">
        <v>3</v>
      </c>
      <c r="T15" s="41">
        <v>0</v>
      </c>
      <c r="U15" s="41">
        <v>0</v>
      </c>
      <c r="V15" s="41">
        <v>0</v>
      </c>
      <c r="W15" s="41">
        <v>0</v>
      </c>
      <c r="X15" s="41">
        <v>0</v>
      </c>
      <c r="Y15" s="41">
        <v>0</v>
      </c>
      <c r="Z15" s="41">
        <v>0</v>
      </c>
      <c r="AA15" s="41">
        <v>0</v>
      </c>
      <c r="AB15" s="41">
        <v>0</v>
      </c>
      <c r="AC15" s="41">
        <v>0</v>
      </c>
      <c r="AD15" s="41">
        <v>0</v>
      </c>
      <c r="AE15" s="41">
        <f ca="1">SUMIFS('Tổng Đơn'!$F:$F,'Tổng Đơn'!$B:$B,TVP!$C15)</f>
        <v>0</v>
      </c>
    </row>
    <row r="16" spans="1:33" ht="18.75" x14ac:dyDescent="0.25">
      <c r="A16" s="97">
        <f t="shared" ca="1" si="1"/>
        <v>721.64552444835272</v>
      </c>
      <c r="B16" s="6">
        <v>12</v>
      </c>
      <c r="C16" s="99" t="s">
        <v>67</v>
      </c>
      <c r="D16" s="100">
        <v>0.5</v>
      </c>
      <c r="E16" s="24">
        <v>40</v>
      </c>
      <c r="F16" s="101">
        <v>26.5</v>
      </c>
      <c r="G16" s="102">
        <f t="shared" si="2"/>
        <v>1060</v>
      </c>
      <c r="H16" s="103">
        <f t="shared" si="3"/>
        <v>0.22761201660565655</v>
      </c>
      <c r="I16" s="104">
        <f t="shared" si="4"/>
        <v>26.727612016605658</v>
      </c>
      <c r="J16" s="104">
        <f t="shared" si="9"/>
        <v>1069.1044806642262</v>
      </c>
      <c r="K16" s="105">
        <v>32</v>
      </c>
      <c r="L16" s="102">
        <f t="shared" si="8"/>
        <v>1280</v>
      </c>
      <c r="M16" s="102">
        <f t="shared" ca="1" si="6"/>
        <v>416</v>
      </c>
      <c r="N16" s="106">
        <f t="shared" ca="1" si="7"/>
        <v>27</v>
      </c>
      <c r="O16" s="96">
        <v>0</v>
      </c>
      <c r="P16" s="96"/>
      <c r="Q16" s="37">
        <v>1</v>
      </c>
      <c r="R16" s="41">
        <v>0</v>
      </c>
      <c r="S16" s="41">
        <v>5</v>
      </c>
      <c r="T16" s="41">
        <v>3</v>
      </c>
      <c r="U16" s="41">
        <v>0</v>
      </c>
      <c r="V16" s="41">
        <v>0</v>
      </c>
      <c r="W16" s="41">
        <v>0</v>
      </c>
      <c r="X16" s="41">
        <v>0</v>
      </c>
      <c r="Y16" s="41">
        <v>1</v>
      </c>
      <c r="Z16" s="41">
        <v>0</v>
      </c>
      <c r="AA16" s="41">
        <v>1</v>
      </c>
      <c r="AB16" s="41">
        <v>0</v>
      </c>
      <c r="AC16" s="41">
        <v>0</v>
      </c>
      <c r="AD16" s="41">
        <v>2</v>
      </c>
      <c r="AE16" s="41">
        <f ca="1">SUMIFS('Tổng Đơn'!$F:$F,'Tổng Đơn'!$B:$B,TVP!$C16)</f>
        <v>0</v>
      </c>
    </row>
    <row r="17" spans="1:31" ht="18.75" x14ac:dyDescent="0.25">
      <c r="A17" s="97">
        <f t="shared" ca="1" si="1"/>
        <v>809.89707355978646</v>
      </c>
      <c r="B17" s="6">
        <v>13</v>
      </c>
      <c r="C17" s="99" t="s">
        <v>44</v>
      </c>
      <c r="D17" s="100">
        <v>0.5</v>
      </c>
      <c r="E17" s="24">
        <v>25</v>
      </c>
      <c r="F17" s="101">
        <v>36.5</v>
      </c>
      <c r="G17" s="102">
        <f t="shared" si="2"/>
        <v>912.5</v>
      </c>
      <c r="H17" s="103">
        <f t="shared" si="3"/>
        <v>0.31350334362665899</v>
      </c>
      <c r="I17" s="104">
        <f t="shared" si="4"/>
        <v>36.813503343626657</v>
      </c>
      <c r="J17" s="104">
        <f t="shared" si="9"/>
        <v>920.33758359066644</v>
      </c>
      <c r="K17" s="105">
        <v>44</v>
      </c>
      <c r="L17" s="102">
        <f t="shared" si="8"/>
        <v>1100</v>
      </c>
      <c r="M17" s="102">
        <f t="shared" ca="1" si="6"/>
        <v>132</v>
      </c>
      <c r="N17" s="106">
        <f t="shared" ca="1" si="7"/>
        <v>22</v>
      </c>
      <c r="O17" s="96">
        <v>0</v>
      </c>
      <c r="P17" s="96"/>
      <c r="Q17" s="37">
        <v>0</v>
      </c>
      <c r="R17" s="41">
        <v>0</v>
      </c>
      <c r="S17" s="41">
        <v>0</v>
      </c>
      <c r="T17" s="41">
        <v>1</v>
      </c>
      <c r="U17" s="41">
        <v>1</v>
      </c>
      <c r="V17" s="41">
        <v>0</v>
      </c>
      <c r="W17" s="41">
        <v>0</v>
      </c>
      <c r="X17" s="41">
        <v>0</v>
      </c>
      <c r="Y17" s="41">
        <v>0</v>
      </c>
      <c r="Z17" s="41">
        <v>0</v>
      </c>
      <c r="AA17" s="41">
        <v>0</v>
      </c>
      <c r="AB17" s="41">
        <v>0</v>
      </c>
      <c r="AC17" s="41">
        <v>0</v>
      </c>
      <c r="AD17" s="41">
        <v>1</v>
      </c>
      <c r="AE17" s="41">
        <f ca="1">SUMIFS('Tổng Đơn'!$F:$F,'Tổng Đơn'!$B:$B,TVP!$C17)</f>
        <v>0</v>
      </c>
    </row>
    <row r="18" spans="1:31" ht="18.75" x14ac:dyDescent="0.25">
      <c r="A18" s="97">
        <f t="shared" ca="1" si="1"/>
        <v>938.99648254565534</v>
      </c>
      <c r="B18" s="6">
        <v>14</v>
      </c>
      <c r="C18" s="99" t="s">
        <v>48</v>
      </c>
      <c r="D18" s="100">
        <v>0.5</v>
      </c>
      <c r="E18" s="24">
        <v>25</v>
      </c>
      <c r="F18" s="101">
        <v>49</v>
      </c>
      <c r="G18" s="102">
        <f t="shared" si="2"/>
        <v>1225</v>
      </c>
      <c r="H18" s="103">
        <f t="shared" si="3"/>
        <v>0.42086750240291215</v>
      </c>
      <c r="I18" s="104">
        <f t="shared" si="4"/>
        <v>49.420867502402913</v>
      </c>
      <c r="J18" s="104">
        <f t="shared" si="9"/>
        <v>1235.5216875600729</v>
      </c>
      <c r="K18" s="105">
        <v>59</v>
      </c>
      <c r="L18" s="102">
        <f t="shared" si="8"/>
        <v>1475</v>
      </c>
      <c r="M18" s="102">
        <f t="shared" ca="1" si="6"/>
        <v>354</v>
      </c>
      <c r="N18" s="106">
        <f t="shared" ca="1" si="7"/>
        <v>19</v>
      </c>
      <c r="O18" s="96">
        <v>0</v>
      </c>
      <c r="P18" s="96"/>
      <c r="Q18" s="37">
        <v>1</v>
      </c>
      <c r="R18" s="41">
        <v>0</v>
      </c>
      <c r="S18" s="41">
        <v>0</v>
      </c>
      <c r="T18" s="41">
        <v>2</v>
      </c>
      <c r="U18" s="41">
        <v>1</v>
      </c>
      <c r="V18" s="41">
        <v>0</v>
      </c>
      <c r="W18" s="41">
        <v>0</v>
      </c>
      <c r="X18" s="41">
        <v>0</v>
      </c>
      <c r="Y18" s="41">
        <v>0</v>
      </c>
      <c r="Z18" s="41">
        <v>0</v>
      </c>
      <c r="AA18" s="41">
        <v>0</v>
      </c>
      <c r="AB18" s="41">
        <v>2</v>
      </c>
      <c r="AC18" s="41">
        <v>0</v>
      </c>
      <c r="AD18" s="41">
        <v>0</v>
      </c>
      <c r="AE18" s="41">
        <f ca="1">SUMIFS('Tổng Đơn'!$F:$F,'Tổng Đơn'!$B:$B,TVP!$C18)</f>
        <v>0</v>
      </c>
    </row>
    <row r="19" spans="1:31" ht="18.75" x14ac:dyDescent="0.25">
      <c r="A19" s="97">
        <f t="shared" ca="1" si="1"/>
        <v>607.17065788666434</v>
      </c>
      <c r="B19" s="6">
        <v>15</v>
      </c>
      <c r="C19" s="99" t="s">
        <v>49</v>
      </c>
      <c r="D19" s="100">
        <v>0.5</v>
      </c>
      <c r="E19" s="24">
        <v>25</v>
      </c>
      <c r="F19" s="101">
        <v>43</v>
      </c>
      <c r="G19" s="102">
        <f t="shared" si="2"/>
        <v>1075</v>
      </c>
      <c r="H19" s="103">
        <f t="shared" si="3"/>
        <v>0.36933270619031061</v>
      </c>
      <c r="I19" s="104">
        <f t="shared" si="4"/>
        <v>43.369332706190313</v>
      </c>
      <c r="J19" s="104">
        <f t="shared" si="9"/>
        <v>1084.2333176547579</v>
      </c>
      <c r="K19" s="105">
        <v>52</v>
      </c>
      <c r="L19" s="102">
        <f t="shared" si="8"/>
        <v>1300</v>
      </c>
      <c r="M19" s="102">
        <f t="shared" ca="1" si="6"/>
        <v>572</v>
      </c>
      <c r="N19" s="106">
        <f t="shared" ca="1" si="7"/>
        <v>14</v>
      </c>
      <c r="O19" s="96">
        <v>0</v>
      </c>
      <c r="P19" s="96"/>
      <c r="Q19" s="37">
        <v>0</v>
      </c>
      <c r="R19" s="41">
        <v>0</v>
      </c>
      <c r="S19" s="41">
        <v>2</v>
      </c>
      <c r="T19" s="41">
        <v>3</v>
      </c>
      <c r="U19" s="41">
        <v>2</v>
      </c>
      <c r="V19" s="41">
        <v>0</v>
      </c>
      <c r="W19" s="41">
        <v>1</v>
      </c>
      <c r="X19" s="41">
        <v>1</v>
      </c>
      <c r="Y19" s="41">
        <v>1</v>
      </c>
      <c r="Z19" s="41">
        <v>0</v>
      </c>
      <c r="AA19" s="41">
        <v>0</v>
      </c>
      <c r="AB19" s="41">
        <v>0</v>
      </c>
      <c r="AC19" s="41">
        <v>0</v>
      </c>
      <c r="AD19" s="41">
        <v>1</v>
      </c>
      <c r="AE19" s="41">
        <f ca="1">SUMIFS('Tổng Đơn'!$F:$F,'Tổng Đơn'!$B:$B,TVP!$C19)</f>
        <v>0</v>
      </c>
    </row>
    <row r="20" spans="1:31" ht="18.75" x14ac:dyDescent="0.25">
      <c r="A20" s="97">
        <f t="shared" ca="1" si="1"/>
        <v>217.85525266365366</v>
      </c>
      <c r="B20" s="6">
        <v>16</v>
      </c>
      <c r="C20" s="99" t="s">
        <v>45</v>
      </c>
      <c r="D20" s="100">
        <v>0.5</v>
      </c>
      <c r="E20" s="24">
        <v>10</v>
      </c>
      <c r="F20" s="101">
        <v>54</v>
      </c>
      <c r="G20" s="102">
        <f>F20*E20</f>
        <v>540</v>
      </c>
      <c r="H20" s="103">
        <f t="shared" si="3"/>
        <v>0.46381316591341337</v>
      </c>
      <c r="I20" s="104">
        <f>F20+H20</f>
        <v>54.463813165913415</v>
      </c>
      <c r="J20" s="104">
        <f>I20*E20</f>
        <v>544.63813165913416</v>
      </c>
      <c r="K20" s="105">
        <v>65</v>
      </c>
      <c r="L20" s="102">
        <f t="shared" si="8"/>
        <v>650</v>
      </c>
      <c r="M20" s="102">
        <f t="shared" ca="1" si="6"/>
        <v>455</v>
      </c>
      <c r="N20" s="106">
        <f ca="1">E20-SUM(Q20:AE20)-P20-O20</f>
        <v>4</v>
      </c>
      <c r="O20" s="173">
        <v>-1</v>
      </c>
      <c r="P20" s="96"/>
      <c r="Q20" s="37">
        <v>1</v>
      </c>
      <c r="R20" s="41">
        <v>0</v>
      </c>
      <c r="S20" s="41">
        <v>2</v>
      </c>
      <c r="T20" s="41">
        <v>1</v>
      </c>
      <c r="U20" s="41">
        <v>1</v>
      </c>
      <c r="V20" s="41">
        <v>0</v>
      </c>
      <c r="W20" s="41">
        <v>0</v>
      </c>
      <c r="X20" s="41">
        <v>0</v>
      </c>
      <c r="Y20" s="41">
        <v>0</v>
      </c>
      <c r="Z20" s="41">
        <v>0</v>
      </c>
      <c r="AA20" s="41">
        <v>0</v>
      </c>
      <c r="AB20" s="174">
        <v>1</v>
      </c>
      <c r="AC20" s="41">
        <v>0</v>
      </c>
      <c r="AD20" s="41">
        <v>1</v>
      </c>
      <c r="AE20" s="41">
        <f ca="1">SUMIFS('Tổng Đơn'!$F:$F,'Tổng Đơn'!$B:$B,TVP!$C20)</f>
        <v>0</v>
      </c>
    </row>
    <row r="21" spans="1:31" ht="18.75" x14ac:dyDescent="0.25">
      <c r="A21" s="97">
        <f t="shared" ca="1" si="1"/>
        <v>741.31301253604374</v>
      </c>
      <c r="B21" s="6">
        <v>17</v>
      </c>
      <c r="C21" s="99" t="s">
        <v>46</v>
      </c>
      <c r="D21" s="100">
        <v>0.5</v>
      </c>
      <c r="E21" s="24">
        <v>30</v>
      </c>
      <c r="F21" s="101">
        <v>49</v>
      </c>
      <c r="G21" s="102">
        <f>F21*E21</f>
        <v>1470</v>
      </c>
      <c r="H21" s="103">
        <f t="shared" si="3"/>
        <v>0.42086750240291215</v>
      </c>
      <c r="I21" s="104">
        <f>F21+H21</f>
        <v>49.420867502402913</v>
      </c>
      <c r="J21" s="104">
        <f>I21*E21</f>
        <v>1482.6260250720875</v>
      </c>
      <c r="K21" s="105">
        <v>59</v>
      </c>
      <c r="L21" s="102">
        <f t="shared" si="8"/>
        <v>1770</v>
      </c>
      <c r="M21" s="102">
        <f t="shared" ca="1" si="6"/>
        <v>885</v>
      </c>
      <c r="N21" s="106">
        <f t="shared" ca="1" si="7"/>
        <v>15</v>
      </c>
      <c r="O21" s="96">
        <v>0</v>
      </c>
      <c r="P21" s="96"/>
      <c r="Q21" s="41">
        <v>0</v>
      </c>
      <c r="R21" s="41">
        <v>0</v>
      </c>
      <c r="S21" s="41">
        <v>3</v>
      </c>
      <c r="T21" s="41">
        <v>3</v>
      </c>
      <c r="U21" s="41">
        <v>3</v>
      </c>
      <c r="V21" s="41">
        <v>0</v>
      </c>
      <c r="W21" s="41">
        <v>0</v>
      </c>
      <c r="X21" s="41">
        <v>1</v>
      </c>
      <c r="Y21" s="41">
        <v>2</v>
      </c>
      <c r="Z21" s="41">
        <v>2</v>
      </c>
      <c r="AA21" s="41">
        <v>0</v>
      </c>
      <c r="AB21" s="41">
        <v>1</v>
      </c>
      <c r="AC21" s="41">
        <v>0</v>
      </c>
      <c r="AD21" s="41">
        <v>0</v>
      </c>
      <c r="AE21" s="41">
        <f ca="1">SUMIFS('Tổng Đơn'!$F:$F,'Tổng Đơn'!$B:$B,TVP!$C21)</f>
        <v>0</v>
      </c>
    </row>
    <row r="22" spans="1:31" ht="18.75" x14ac:dyDescent="0.25">
      <c r="A22" s="97">
        <f t="shared" ca="1" si="1"/>
        <v>665.66882758338625</v>
      </c>
      <c r="B22" s="6">
        <v>18</v>
      </c>
      <c r="C22" s="99" t="s">
        <v>47</v>
      </c>
      <c r="D22" s="100">
        <v>0.5</v>
      </c>
      <c r="E22" s="24">
        <v>15</v>
      </c>
      <c r="F22" s="101">
        <v>66</v>
      </c>
      <c r="G22" s="102">
        <f>F22*E22</f>
        <v>990</v>
      </c>
      <c r="H22" s="103">
        <f t="shared" si="3"/>
        <v>0.56688275833861634</v>
      </c>
      <c r="I22" s="104">
        <f>F22+H22</f>
        <v>66.566882758338622</v>
      </c>
      <c r="J22" s="104">
        <f>I22*E22</f>
        <v>998.50324137507937</v>
      </c>
      <c r="K22" s="105">
        <v>79</v>
      </c>
      <c r="L22" s="102">
        <f t="shared" si="8"/>
        <v>1185</v>
      </c>
      <c r="M22" s="102">
        <f t="shared" ca="1" si="6"/>
        <v>395</v>
      </c>
      <c r="N22" s="106">
        <f t="shared" ca="1" si="7"/>
        <v>10</v>
      </c>
      <c r="O22" s="96">
        <v>0</v>
      </c>
      <c r="P22" s="96"/>
      <c r="Q22" s="41">
        <v>0</v>
      </c>
      <c r="R22" s="41">
        <v>0</v>
      </c>
      <c r="S22" s="41">
        <v>1</v>
      </c>
      <c r="T22" s="41">
        <v>1</v>
      </c>
      <c r="U22" s="41">
        <v>0</v>
      </c>
      <c r="V22" s="41">
        <v>0</v>
      </c>
      <c r="W22" s="41">
        <v>0</v>
      </c>
      <c r="X22" s="41">
        <v>0</v>
      </c>
      <c r="Y22" s="41">
        <v>2</v>
      </c>
      <c r="Z22" s="41">
        <v>0</v>
      </c>
      <c r="AA22" s="41">
        <v>0</v>
      </c>
      <c r="AB22" s="41">
        <v>0</v>
      </c>
      <c r="AC22" s="41">
        <v>0</v>
      </c>
      <c r="AD22" s="41">
        <v>0</v>
      </c>
      <c r="AE22" s="41">
        <f ca="1">SUMIFS('Tổng Đơn'!$F:$F,'Tổng Đơn'!$B:$B,TVP!$C22)</f>
        <v>1</v>
      </c>
    </row>
    <row r="23" spans="1:31" ht="18.75" x14ac:dyDescent="0.25">
      <c r="A23" s="97">
        <f t="shared" ca="1" si="1"/>
        <v>3860.8791999836399</v>
      </c>
      <c r="B23" s="6">
        <v>19</v>
      </c>
      <c r="C23" s="99" t="s">
        <v>166</v>
      </c>
      <c r="D23" s="100">
        <v>0.5</v>
      </c>
      <c r="E23" s="24">
        <v>100</v>
      </c>
      <c r="F23" s="101">
        <v>58</v>
      </c>
      <c r="G23" s="102">
        <f>F23*E23</f>
        <v>5800</v>
      </c>
      <c r="H23" s="103">
        <f t="shared" si="3"/>
        <v>0.49816969672181427</v>
      </c>
      <c r="I23" s="104">
        <f>F23+H23</f>
        <v>58.498169696721817</v>
      </c>
      <c r="J23" s="104">
        <f>I23*E23</f>
        <v>5849.8169696721816</v>
      </c>
      <c r="K23" s="105">
        <v>69</v>
      </c>
      <c r="L23" s="102">
        <f t="shared" si="8"/>
        <v>6900</v>
      </c>
      <c r="M23" s="102">
        <f t="shared" ca="1" si="6"/>
        <v>2277</v>
      </c>
      <c r="N23" s="106">
        <f t="shared" ca="1" si="7"/>
        <v>66</v>
      </c>
      <c r="O23" s="96">
        <v>0</v>
      </c>
      <c r="P23" s="96">
        <v>1</v>
      </c>
      <c r="Q23" s="41"/>
      <c r="R23" s="41"/>
      <c r="S23" s="41"/>
      <c r="T23" s="41"/>
      <c r="U23" s="41"/>
      <c r="V23" s="41"/>
      <c r="W23" s="41"/>
      <c r="X23" s="41">
        <v>10</v>
      </c>
      <c r="Y23" s="41">
        <v>7</v>
      </c>
      <c r="Z23" s="41">
        <v>6</v>
      </c>
      <c r="AA23" s="41">
        <v>3</v>
      </c>
      <c r="AB23" s="41">
        <v>1</v>
      </c>
      <c r="AC23" s="41">
        <v>3</v>
      </c>
      <c r="AD23" s="41">
        <v>2</v>
      </c>
      <c r="AE23" s="41">
        <f ca="1">SUMIFS('Tổng Đơn'!$F:$F,'Tổng Đơn'!$B:$B,TVP!$C23)</f>
        <v>1</v>
      </c>
    </row>
    <row r="24" spans="1:31" ht="18.75" x14ac:dyDescent="0.25">
      <c r="A24" s="97">
        <f t="shared" ca="1" si="1"/>
        <v>254.16446144092927</v>
      </c>
      <c r="B24" s="6">
        <v>20</v>
      </c>
      <c r="C24" s="99" t="s">
        <v>168</v>
      </c>
      <c r="D24" s="100">
        <v>0.5</v>
      </c>
      <c r="E24" s="24">
        <v>10</v>
      </c>
      <c r="F24" s="101">
        <v>63</v>
      </c>
      <c r="G24" s="102">
        <f>F24*E24</f>
        <v>630</v>
      </c>
      <c r="H24" s="103">
        <f t="shared" si="3"/>
        <v>0.54111536023231566</v>
      </c>
      <c r="I24" s="104">
        <f>F24+H24</f>
        <v>63.541115360232318</v>
      </c>
      <c r="J24" s="104">
        <f>I24*E24</f>
        <v>635.41115360232322</v>
      </c>
      <c r="K24" s="105">
        <v>76</v>
      </c>
      <c r="L24" s="102">
        <f t="shared" si="8"/>
        <v>760</v>
      </c>
      <c r="M24" s="102">
        <f t="shared" ca="1" si="6"/>
        <v>456</v>
      </c>
      <c r="N24" s="106">
        <f t="shared" ca="1" si="7"/>
        <v>4</v>
      </c>
      <c r="O24" s="96">
        <v>0</v>
      </c>
      <c r="P24" s="96"/>
      <c r="Q24" s="41"/>
      <c r="R24" s="41"/>
      <c r="S24" s="41"/>
      <c r="T24" s="41"/>
      <c r="U24" s="41"/>
      <c r="V24" s="41"/>
      <c r="W24" s="41"/>
      <c r="X24" s="41">
        <v>0</v>
      </c>
      <c r="Y24" s="41">
        <v>0</v>
      </c>
      <c r="Z24" s="41">
        <v>0</v>
      </c>
      <c r="AA24" s="41">
        <v>3</v>
      </c>
      <c r="AB24" s="41">
        <v>1</v>
      </c>
      <c r="AC24" s="41">
        <v>0</v>
      </c>
      <c r="AD24" s="41">
        <v>0</v>
      </c>
      <c r="AE24" s="41">
        <f ca="1">SUMIFS('Tổng Đơn'!$F:$F,'Tổng Đơn'!$B:$B,TVP!$C24)</f>
        <v>2</v>
      </c>
    </row>
    <row r="31" spans="1:31" x14ac:dyDescent="0.25">
      <c r="O31" s="137"/>
      <c r="P31" s="137"/>
    </row>
  </sheetData>
  <autoFilter ref="B4:L4"/>
  <mergeCells count="1">
    <mergeCell ref="B1:L1"/>
  </mergeCells>
  <conditionalFormatting sqref="C5:C24">
    <cfRule type="expression" dxfId="710"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G19"/>
  <sheetViews>
    <sheetView topLeftCell="A2" workbookViewId="0">
      <pane xSplit="15" ySplit="3" topLeftCell="Y5" activePane="bottomRight" state="frozen"/>
      <selection activeCell="A2" sqref="A2"/>
      <selection pane="topRight" activeCell="P2" sqref="P2"/>
      <selection pane="bottomLeft" activeCell="A5" sqref="A5"/>
      <selection pane="bottomRight" activeCell="F2" sqref="F1:O1048576"/>
    </sheetView>
  </sheetViews>
  <sheetFormatPr defaultRowHeight="15" x14ac:dyDescent="0.25"/>
  <cols>
    <col min="1" max="1" width="16.28515625" style="97" customWidth="1"/>
    <col min="2" max="2" width="9.140625" style="97"/>
    <col min="3" max="3" width="38.7109375" style="97" customWidth="1"/>
    <col min="4" max="4" width="9" style="97" customWidth="1"/>
    <col min="5" max="5" width="7.140625" style="97" customWidth="1"/>
    <col min="6" max="6" width="9.85546875" style="97" customWidth="1"/>
    <col min="7" max="8" width="12.85546875" style="97" customWidth="1"/>
    <col min="9" max="9" width="14.85546875" style="97" customWidth="1"/>
    <col min="10" max="10" width="12.7109375" style="97" customWidth="1"/>
    <col min="11" max="11" width="14.85546875" style="97" customWidth="1"/>
    <col min="12" max="12" width="12" style="97" customWidth="1"/>
    <col min="13" max="14" width="16.28515625" style="97" customWidth="1"/>
    <col min="15" max="15" width="9.140625" style="97"/>
    <col min="16" max="16" width="13.140625" style="97" customWidth="1"/>
    <col min="17" max="18" width="4.5703125" style="97" customWidth="1"/>
    <col min="19" max="19" width="4.7109375" style="97" bestFit="1" customWidth="1"/>
    <col min="20" max="31" width="4.5703125" style="97" customWidth="1"/>
    <col min="32" max="32" width="9.140625" style="97"/>
    <col min="33" max="33" width="10.28515625" style="97" bestFit="1" customWidth="1"/>
    <col min="34" max="16384" width="9.140625" style="97"/>
  </cols>
  <sheetData>
    <row r="1" spans="1:33" hidden="1" x14ac:dyDescent="0.25">
      <c r="B1" s="175" t="s">
        <v>59</v>
      </c>
      <c r="C1" s="175"/>
      <c r="D1" s="175"/>
      <c r="E1" s="175"/>
      <c r="F1" s="175"/>
      <c r="G1" s="175"/>
      <c r="H1" s="175"/>
      <c r="I1" s="175"/>
      <c r="J1" s="175"/>
      <c r="K1" s="175"/>
      <c r="L1" s="175"/>
      <c r="M1" s="175"/>
      <c r="N1" s="98"/>
    </row>
    <row r="2" spans="1:33" ht="34.5" customHeight="1" x14ac:dyDescent="0.25">
      <c r="A2" s="1">
        <f>370+100+80+150</f>
        <v>700</v>
      </c>
      <c r="K2" s="13">
        <f>SUMPRODUCT((E5:E18)*(F5:F18))</f>
        <v>382</v>
      </c>
      <c r="L2" s="13">
        <f>M4-K4</f>
        <v>5193.1052631578932</v>
      </c>
      <c r="M2" s="8">
        <f>M4/K4-1</f>
        <v>0.18367787633682986</v>
      </c>
      <c r="N2" s="8"/>
    </row>
    <row r="3" spans="1:33" ht="31.5" customHeight="1" x14ac:dyDescent="0.25">
      <c r="A3" s="83" t="s">
        <v>127</v>
      </c>
      <c r="B3" s="3" t="s">
        <v>0</v>
      </c>
      <c r="C3" s="3" t="s">
        <v>17</v>
      </c>
      <c r="D3" s="20" t="s">
        <v>62</v>
      </c>
      <c r="E3" s="5" t="s">
        <v>160</v>
      </c>
      <c r="F3" s="156"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row>
    <row r="4" spans="1:33" s="69" customFormat="1" ht="27" customHeight="1" x14ac:dyDescent="0.25">
      <c r="A4" s="78">
        <f ca="1">SUBTOTAL(9,A5:A218)</f>
        <v>18046.467975674823</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f>
        <v>12131</v>
      </c>
      <c r="O4" s="72">
        <f ca="1">SUBTOTAL(9,O5:O168)</f>
        <v>492</v>
      </c>
      <c r="P4" s="114">
        <f>SUBTOTAL(9,P5:P218)</f>
        <v>2</v>
      </c>
      <c r="Q4" s="40">
        <f t="shared" ref="Q4:AE4" si="0">SUBTOTAL(9,Q5:Q168)</f>
        <v>0</v>
      </c>
      <c r="R4" s="40">
        <f t="shared" si="0"/>
        <v>7</v>
      </c>
      <c r="S4" s="40">
        <f t="shared" si="0"/>
        <v>25</v>
      </c>
      <c r="T4" s="40">
        <f t="shared" si="0"/>
        <v>48</v>
      </c>
      <c r="U4" s="40">
        <f t="shared" si="0"/>
        <v>39</v>
      </c>
      <c r="V4" s="40">
        <f t="shared" si="0"/>
        <v>13</v>
      </c>
      <c r="W4" s="40">
        <f t="shared" si="0"/>
        <v>19</v>
      </c>
      <c r="X4" s="40">
        <f t="shared" si="0"/>
        <v>25</v>
      </c>
      <c r="Y4" s="40">
        <f t="shared" si="0"/>
        <v>24</v>
      </c>
      <c r="Z4" s="40">
        <f t="shared" si="0"/>
        <v>22</v>
      </c>
      <c r="AA4" s="40">
        <f t="shared" si="0"/>
        <v>6</v>
      </c>
      <c r="AB4" s="40">
        <f t="shared" si="0"/>
        <v>17</v>
      </c>
      <c r="AC4" s="40">
        <f t="shared" si="0"/>
        <v>14</v>
      </c>
      <c r="AD4" s="40">
        <f t="shared" si="0"/>
        <v>19</v>
      </c>
      <c r="AE4" s="40">
        <f t="shared" ca="1" si="0"/>
        <v>30</v>
      </c>
      <c r="AG4" s="118">
        <f>SUBTOTAL(9,AG5:AG178)</f>
        <v>2687.894736842105</v>
      </c>
    </row>
    <row r="5" spans="1:33" ht="18.75" x14ac:dyDescent="0.25">
      <c r="A5" s="97">
        <f t="shared" ref="A5:A19" ca="1" si="1">J5*O5</f>
        <v>3488.3674279660613</v>
      </c>
      <c r="B5" s="6">
        <v>1</v>
      </c>
      <c r="C5" s="99" t="s">
        <v>164</v>
      </c>
      <c r="D5" s="107">
        <f>G5*2</f>
        <v>63</v>
      </c>
      <c r="E5" s="100">
        <v>0.5</v>
      </c>
      <c r="F5" s="160">
        <v>160</v>
      </c>
      <c r="G5" s="101">
        <v>31.5</v>
      </c>
      <c r="H5" s="102">
        <f t="shared" ref="H5:H19" si="2">G5*F5</f>
        <v>5040</v>
      </c>
      <c r="I5" s="103">
        <f t="shared" ref="I5:I19" si="3">((H5/$H$4)*$A$2)/F5</f>
        <v>0.79969840709315965</v>
      </c>
      <c r="J5" s="104">
        <f t="shared" ref="J5:J17" si="4">G5+I5</f>
        <v>32.29969840709316</v>
      </c>
      <c r="K5" s="104">
        <f>J5*F5</f>
        <v>5167.9517451349057</v>
      </c>
      <c r="L5" s="108">
        <v>45</v>
      </c>
      <c r="M5" s="102">
        <f t="shared" ref="M5:M18" si="5">L5*F5</f>
        <v>7200</v>
      </c>
      <c r="N5" s="102">
        <f t="shared" ref="N5:N19" ca="1" si="6">SUMPRODUCT(($Q5:$AE5)*$L5)</f>
        <v>2295</v>
      </c>
      <c r="O5" s="109">
        <f t="shared" ref="O5:O19" ca="1" si="7">F5-SUM(Q5:AE5)-P5</f>
        <v>108</v>
      </c>
      <c r="P5" s="96">
        <v>1</v>
      </c>
      <c r="Q5" s="37">
        <v>0</v>
      </c>
      <c r="R5" s="37">
        <v>1</v>
      </c>
      <c r="S5" s="41">
        <v>5</v>
      </c>
      <c r="T5" s="41">
        <v>5</v>
      </c>
      <c r="U5" s="41">
        <v>4</v>
      </c>
      <c r="V5" s="41">
        <v>1</v>
      </c>
      <c r="W5" s="41">
        <v>1</v>
      </c>
      <c r="X5" s="41">
        <v>4</v>
      </c>
      <c r="Y5" s="41">
        <v>6</v>
      </c>
      <c r="Z5" s="41">
        <v>8</v>
      </c>
      <c r="AA5" s="41">
        <v>2</v>
      </c>
      <c r="AB5" s="41">
        <v>3</v>
      </c>
      <c r="AC5" s="41">
        <v>6</v>
      </c>
      <c r="AD5" s="41">
        <v>2</v>
      </c>
      <c r="AE5" s="41">
        <f ca="1">SUMIFS('Tổng Đơn'!$F:$F,'Tổng Đơn'!$B:$B,'La Cusina'!$C5)</f>
        <v>3</v>
      </c>
      <c r="AG5" s="97">
        <f t="shared" ref="AG5:AG19" si="8">AF5*G5</f>
        <v>0</v>
      </c>
    </row>
    <row r="6" spans="1:33" ht="18.75" x14ac:dyDescent="0.25">
      <c r="A6" s="97">
        <f t="shared" ca="1" si="1"/>
        <v>360.9363123586283</v>
      </c>
      <c r="B6" s="6">
        <v>2</v>
      </c>
      <c r="C6" s="99" t="s">
        <v>25</v>
      </c>
      <c r="D6" s="107">
        <f t="shared" ref="D6:D17" si="9">G6*2</f>
        <v>44</v>
      </c>
      <c r="E6" s="100">
        <v>0.5</v>
      </c>
      <c r="F6" s="160">
        <v>40</v>
      </c>
      <c r="G6" s="101">
        <v>22</v>
      </c>
      <c r="H6" s="102">
        <f t="shared" si="2"/>
        <v>880</v>
      </c>
      <c r="I6" s="103">
        <f t="shared" si="3"/>
        <v>0.55851952241427028</v>
      </c>
      <c r="J6" s="104">
        <f t="shared" si="4"/>
        <v>22.558519522414269</v>
      </c>
      <c r="K6" s="104">
        <f t="shared" ref="K6:K17" si="10">J6*F6</f>
        <v>902.34078089657078</v>
      </c>
      <c r="L6" s="108">
        <v>27</v>
      </c>
      <c r="M6" s="102">
        <f t="shared" si="5"/>
        <v>1080</v>
      </c>
      <c r="N6" s="102">
        <f t="shared" ca="1" si="6"/>
        <v>648</v>
      </c>
      <c r="O6" s="109">
        <f t="shared" ca="1" si="7"/>
        <v>16</v>
      </c>
      <c r="P6" s="96"/>
      <c r="Q6" s="37">
        <v>0</v>
      </c>
      <c r="R6" s="37">
        <v>2</v>
      </c>
      <c r="S6" s="41">
        <v>3</v>
      </c>
      <c r="T6" s="41">
        <v>7</v>
      </c>
      <c r="U6" s="41">
        <v>5</v>
      </c>
      <c r="V6" s="41">
        <v>2</v>
      </c>
      <c r="W6" s="41">
        <v>3</v>
      </c>
      <c r="X6" s="41">
        <v>1</v>
      </c>
      <c r="Y6" s="41">
        <v>1</v>
      </c>
      <c r="Z6" s="41">
        <v>0</v>
      </c>
      <c r="AA6" s="41">
        <v>0</v>
      </c>
      <c r="AB6" s="41">
        <v>0</v>
      </c>
      <c r="AC6" s="41">
        <v>0</v>
      </c>
      <c r="AD6" s="41">
        <v>0</v>
      </c>
      <c r="AE6" s="41">
        <f ca="1">SUMIFS('Tổng Đơn'!$F:$F,'Tổng Đơn'!$B:$B,'La Cusina'!$C6)</f>
        <v>0</v>
      </c>
      <c r="AG6" s="97">
        <f t="shared" si="8"/>
        <v>0</v>
      </c>
    </row>
    <row r="7" spans="1:33" ht="18.75" x14ac:dyDescent="0.25">
      <c r="A7" s="97">
        <f t="shared" ca="1" si="1"/>
        <v>1049.9965450432824</v>
      </c>
      <c r="B7" s="6">
        <v>3</v>
      </c>
      <c r="C7" s="99" t="s">
        <v>30</v>
      </c>
      <c r="D7" s="107">
        <f t="shared" si="9"/>
        <v>64</v>
      </c>
      <c r="E7" s="100">
        <v>0.5</v>
      </c>
      <c r="F7" s="160">
        <v>80</v>
      </c>
      <c r="G7" s="101">
        <v>32</v>
      </c>
      <c r="H7" s="102">
        <f t="shared" si="2"/>
        <v>2560</v>
      </c>
      <c r="I7" s="103">
        <f t="shared" si="3"/>
        <v>0.81239203260257487</v>
      </c>
      <c r="J7" s="104">
        <f t="shared" si="4"/>
        <v>32.812392032602574</v>
      </c>
      <c r="K7" s="104">
        <f t="shared" si="10"/>
        <v>2624.9913626082061</v>
      </c>
      <c r="L7" s="108">
        <v>38</v>
      </c>
      <c r="M7" s="102">
        <f t="shared" si="5"/>
        <v>3040</v>
      </c>
      <c r="N7" s="102">
        <f t="shared" ca="1" si="6"/>
        <v>1786</v>
      </c>
      <c r="O7" s="109">
        <f t="shared" ca="1" si="7"/>
        <v>32</v>
      </c>
      <c r="P7" s="96">
        <v>1</v>
      </c>
      <c r="Q7" s="37">
        <v>0</v>
      </c>
      <c r="R7" s="37">
        <v>1</v>
      </c>
      <c r="S7" s="41">
        <v>3</v>
      </c>
      <c r="T7" s="41">
        <v>7</v>
      </c>
      <c r="U7" s="41">
        <v>7</v>
      </c>
      <c r="V7" s="41">
        <v>1</v>
      </c>
      <c r="W7" s="41">
        <v>1</v>
      </c>
      <c r="X7" s="41">
        <v>1</v>
      </c>
      <c r="Y7" s="41">
        <v>1</v>
      </c>
      <c r="Z7" s="41">
        <v>2</v>
      </c>
      <c r="AA7" s="41">
        <v>1</v>
      </c>
      <c r="AB7" s="41">
        <v>3</v>
      </c>
      <c r="AC7" s="41">
        <v>0</v>
      </c>
      <c r="AD7" s="41">
        <v>5</v>
      </c>
      <c r="AE7" s="41">
        <f ca="1">SUMIFS('Tổng Đơn'!$F:$F,'Tổng Đơn'!$B:$B,'La Cusina'!$C7)</f>
        <v>14</v>
      </c>
      <c r="AG7" s="97">
        <f t="shared" si="8"/>
        <v>0</v>
      </c>
    </row>
    <row r="8" spans="1:33" ht="18.75" x14ac:dyDescent="0.25">
      <c r="A8" s="97">
        <f t="shared" ca="1" si="1"/>
        <v>451.17039044828545</v>
      </c>
      <c r="B8" s="6">
        <v>4</v>
      </c>
      <c r="C8" s="99" t="s">
        <v>29</v>
      </c>
      <c r="D8" s="107">
        <f t="shared" si="9"/>
        <v>80</v>
      </c>
      <c r="E8" s="100">
        <v>0.5</v>
      </c>
      <c r="F8" s="160">
        <v>30</v>
      </c>
      <c r="G8" s="101">
        <v>40</v>
      </c>
      <c r="H8" s="102">
        <f t="shared" si="2"/>
        <v>1200</v>
      </c>
      <c r="I8" s="103">
        <f t="shared" si="3"/>
        <v>1.0154900407532186</v>
      </c>
      <c r="J8" s="104">
        <f t="shared" si="4"/>
        <v>41.015490040753221</v>
      </c>
      <c r="K8" s="104">
        <f t="shared" si="10"/>
        <v>1230.4647012225967</v>
      </c>
      <c r="L8" s="108">
        <v>45</v>
      </c>
      <c r="M8" s="102">
        <f t="shared" si="5"/>
        <v>1350</v>
      </c>
      <c r="N8" s="102">
        <f t="shared" ca="1" si="6"/>
        <v>900</v>
      </c>
      <c r="O8" s="109">
        <f t="shared" ca="1" si="7"/>
        <v>11</v>
      </c>
      <c r="P8" s="96">
        <v>-1</v>
      </c>
      <c r="Q8" s="37">
        <v>0</v>
      </c>
      <c r="R8" s="37">
        <v>0</v>
      </c>
      <c r="S8" s="41">
        <v>4</v>
      </c>
      <c r="T8" s="41">
        <v>3</v>
      </c>
      <c r="U8" s="41">
        <v>1</v>
      </c>
      <c r="V8" s="41">
        <v>0</v>
      </c>
      <c r="W8" s="41">
        <v>3</v>
      </c>
      <c r="X8" s="41">
        <v>3</v>
      </c>
      <c r="Y8" s="41">
        <v>0</v>
      </c>
      <c r="Z8" s="41">
        <v>0</v>
      </c>
      <c r="AA8" s="41">
        <v>1</v>
      </c>
      <c r="AB8" s="41">
        <v>1</v>
      </c>
      <c r="AC8" s="41">
        <v>2</v>
      </c>
      <c r="AD8" s="41">
        <v>1</v>
      </c>
      <c r="AE8" s="41">
        <f ca="1">SUMIFS('Tổng Đơn'!$F:$F,'Tổng Đơn'!$B:$B,'La Cusina'!$C8)</f>
        <v>1</v>
      </c>
      <c r="AF8" s="97">
        <v>40</v>
      </c>
      <c r="AG8" s="97">
        <f t="shared" si="8"/>
        <v>1600</v>
      </c>
    </row>
    <row r="9" spans="1:33" ht="18.75" x14ac:dyDescent="0.25">
      <c r="A9" s="97">
        <f t="shared" ca="1" si="1"/>
        <v>1983.6116370959276</v>
      </c>
      <c r="B9" s="6">
        <v>5</v>
      </c>
      <c r="C9" s="99" t="s">
        <v>28</v>
      </c>
      <c r="D9" s="107">
        <f t="shared" si="9"/>
        <v>73</v>
      </c>
      <c r="E9" s="100">
        <v>0.5</v>
      </c>
      <c r="F9" s="160">
        <v>96</v>
      </c>
      <c r="G9" s="101">
        <v>36.5</v>
      </c>
      <c r="H9" s="102">
        <f t="shared" si="2"/>
        <v>3504</v>
      </c>
      <c r="I9" s="103">
        <f t="shared" si="3"/>
        <v>0.92663466218731205</v>
      </c>
      <c r="J9" s="104">
        <f t="shared" si="4"/>
        <v>37.426634662187311</v>
      </c>
      <c r="K9" s="104">
        <f t="shared" si="10"/>
        <v>3592.9569275699819</v>
      </c>
      <c r="L9" s="108">
        <v>42</v>
      </c>
      <c r="M9" s="102">
        <f t="shared" si="5"/>
        <v>4032</v>
      </c>
      <c r="N9" s="102">
        <f t="shared" ca="1" si="6"/>
        <v>1764</v>
      </c>
      <c r="O9" s="109">
        <f t="shared" ca="1" si="7"/>
        <v>53</v>
      </c>
      <c r="P9" s="96">
        <v>1</v>
      </c>
      <c r="Q9" s="37">
        <v>0</v>
      </c>
      <c r="R9" s="37">
        <v>0</v>
      </c>
      <c r="S9" s="41">
        <v>0</v>
      </c>
      <c r="T9" s="41">
        <v>12</v>
      </c>
      <c r="U9" s="41">
        <v>3</v>
      </c>
      <c r="V9" s="41">
        <v>2</v>
      </c>
      <c r="W9" s="41">
        <v>1</v>
      </c>
      <c r="X9" s="41">
        <v>4</v>
      </c>
      <c r="Y9" s="41">
        <v>6</v>
      </c>
      <c r="Z9" s="41">
        <v>3</v>
      </c>
      <c r="AA9" s="41">
        <v>0</v>
      </c>
      <c r="AB9" s="41">
        <v>7</v>
      </c>
      <c r="AC9" s="41">
        <v>2</v>
      </c>
      <c r="AD9" s="41">
        <v>0</v>
      </c>
      <c r="AE9" s="41">
        <f ca="1">SUMIFS('Tổng Đơn'!$F:$F,'Tổng Đơn'!$B:$B,'La Cusina'!$C9)</f>
        <v>2</v>
      </c>
      <c r="AG9" s="97">
        <f t="shared" si="8"/>
        <v>0</v>
      </c>
    </row>
    <row r="10" spans="1:33" ht="18.75" x14ac:dyDescent="0.25">
      <c r="A10" s="97">
        <f t="shared" ca="1" si="1"/>
        <v>1149.4591083921089</v>
      </c>
      <c r="B10" s="6">
        <v>6</v>
      </c>
      <c r="C10" s="99" t="s">
        <v>61</v>
      </c>
      <c r="D10" s="107">
        <f t="shared" si="9"/>
        <v>59</v>
      </c>
      <c r="E10" s="100">
        <v>0.5</v>
      </c>
      <c r="F10" s="160">
        <v>60</v>
      </c>
      <c r="G10" s="101">
        <v>29.5</v>
      </c>
      <c r="H10" s="102">
        <f t="shared" si="2"/>
        <v>1770</v>
      </c>
      <c r="I10" s="103">
        <f t="shared" si="3"/>
        <v>0.74892390505549877</v>
      </c>
      <c r="J10" s="104">
        <f t="shared" si="4"/>
        <v>30.248923905055499</v>
      </c>
      <c r="K10" s="104">
        <f t="shared" si="10"/>
        <v>1814.9354343033299</v>
      </c>
      <c r="L10" s="108">
        <v>35</v>
      </c>
      <c r="M10" s="102">
        <f t="shared" si="5"/>
        <v>2100</v>
      </c>
      <c r="N10" s="102">
        <f t="shared" ca="1" si="6"/>
        <v>770</v>
      </c>
      <c r="O10" s="109">
        <f t="shared" ca="1" si="7"/>
        <v>38</v>
      </c>
      <c r="P10" s="96"/>
      <c r="Q10" s="37">
        <v>0</v>
      </c>
      <c r="R10" s="37">
        <v>0</v>
      </c>
      <c r="S10" s="41">
        <v>2</v>
      </c>
      <c r="T10" s="41">
        <v>2</v>
      </c>
      <c r="U10" s="41">
        <v>5</v>
      </c>
      <c r="V10" s="41">
        <v>2</v>
      </c>
      <c r="W10" s="41">
        <v>2</v>
      </c>
      <c r="X10" s="41">
        <v>2</v>
      </c>
      <c r="Y10" s="41">
        <v>2</v>
      </c>
      <c r="Z10" s="41">
        <v>2</v>
      </c>
      <c r="AA10" s="41">
        <v>0</v>
      </c>
      <c r="AB10" s="41">
        <v>1</v>
      </c>
      <c r="AC10" s="41">
        <v>1</v>
      </c>
      <c r="AD10" s="41">
        <v>0</v>
      </c>
      <c r="AE10" s="41">
        <f ca="1">SUMIFS('Tổng Đơn'!$F:$F,'Tổng Đơn'!$B:$B,'La Cusina'!$C10)</f>
        <v>1</v>
      </c>
      <c r="AG10" s="97">
        <f t="shared" si="8"/>
        <v>0</v>
      </c>
    </row>
    <row r="11" spans="1:33" ht="18.75" x14ac:dyDescent="0.25">
      <c r="A11" s="97">
        <f t="shared" ca="1" si="1"/>
        <v>705.74841019498547</v>
      </c>
      <c r="B11" s="6">
        <v>7</v>
      </c>
      <c r="C11" s="99" t="s">
        <v>27</v>
      </c>
      <c r="D11" s="107">
        <f t="shared" si="9"/>
        <v>65.55</v>
      </c>
      <c r="E11" s="100">
        <v>0.5</v>
      </c>
      <c r="F11" s="160">
        <v>40</v>
      </c>
      <c r="G11" s="101">
        <f>1311/40</f>
        <v>32.774999999999999</v>
      </c>
      <c r="H11" s="102">
        <f t="shared" si="2"/>
        <v>1311</v>
      </c>
      <c r="I11" s="103">
        <f t="shared" si="3"/>
        <v>0.83206715214216853</v>
      </c>
      <c r="J11" s="104">
        <f t="shared" si="4"/>
        <v>33.607067152142164</v>
      </c>
      <c r="K11" s="104">
        <f t="shared" si="10"/>
        <v>1344.2826860856867</v>
      </c>
      <c r="L11" s="108">
        <v>38</v>
      </c>
      <c r="M11" s="102">
        <f t="shared" si="5"/>
        <v>1520</v>
      </c>
      <c r="N11" s="102">
        <f t="shared" ca="1" si="6"/>
        <v>722</v>
      </c>
      <c r="O11" s="109">
        <f t="shared" ca="1" si="7"/>
        <v>21</v>
      </c>
      <c r="P11" s="96"/>
      <c r="Q11" s="37">
        <v>0</v>
      </c>
      <c r="R11" s="37">
        <v>2</v>
      </c>
      <c r="S11" s="41">
        <v>6</v>
      </c>
      <c r="T11" s="41">
        <v>2</v>
      </c>
      <c r="U11" s="41">
        <v>3</v>
      </c>
      <c r="V11" s="41">
        <v>1</v>
      </c>
      <c r="W11" s="41">
        <v>0</v>
      </c>
      <c r="X11" s="41">
        <v>2</v>
      </c>
      <c r="Y11" s="41">
        <v>0</v>
      </c>
      <c r="Z11" s="41">
        <v>1</v>
      </c>
      <c r="AA11" s="41">
        <v>1</v>
      </c>
      <c r="AB11" s="41">
        <v>0</v>
      </c>
      <c r="AC11" s="41">
        <v>0</v>
      </c>
      <c r="AD11" s="41">
        <v>1</v>
      </c>
      <c r="AE11" s="41">
        <f ca="1">SUMIFS('Tổng Đơn'!$F:$F,'Tổng Đơn'!$B:$B,'La Cusina'!$C11)</f>
        <v>0</v>
      </c>
      <c r="AG11" s="97">
        <f t="shared" si="8"/>
        <v>0</v>
      </c>
    </row>
    <row r="12" spans="1:33" ht="18.75" x14ac:dyDescent="0.25">
      <c r="A12" s="97">
        <f t="shared" ca="1" si="1"/>
        <v>29.052638778866861</v>
      </c>
      <c r="B12" s="6">
        <v>8</v>
      </c>
      <c r="C12" s="99" t="s">
        <v>26</v>
      </c>
      <c r="D12" s="107">
        <f>G12*4</f>
        <v>113.33333333333333</v>
      </c>
      <c r="E12" s="100">
        <v>0.25</v>
      </c>
      <c r="F12" s="160">
        <v>36</v>
      </c>
      <c r="G12" s="101">
        <f>1020/36</f>
        <v>28.333333333333332</v>
      </c>
      <c r="H12" s="102">
        <f t="shared" si="2"/>
        <v>1020</v>
      </c>
      <c r="I12" s="103">
        <f t="shared" si="3"/>
        <v>0.71930544553352993</v>
      </c>
      <c r="J12" s="104">
        <f t="shared" si="4"/>
        <v>29.052638778866861</v>
      </c>
      <c r="K12" s="104">
        <f t="shared" si="10"/>
        <v>1045.8949960392069</v>
      </c>
      <c r="L12" s="108">
        <v>34</v>
      </c>
      <c r="M12" s="102">
        <f t="shared" si="5"/>
        <v>1224</v>
      </c>
      <c r="N12" s="102">
        <f t="shared" ca="1" si="6"/>
        <v>1190</v>
      </c>
      <c r="O12" s="109">
        <f t="shared" ca="1" si="7"/>
        <v>1</v>
      </c>
      <c r="P12" s="96"/>
      <c r="Q12" s="37">
        <v>0</v>
      </c>
      <c r="R12" s="37">
        <v>1</v>
      </c>
      <c r="S12" s="41">
        <v>1</v>
      </c>
      <c r="T12" s="41">
        <v>7</v>
      </c>
      <c r="U12" s="41">
        <v>4</v>
      </c>
      <c r="V12" s="41">
        <v>3</v>
      </c>
      <c r="W12" s="41">
        <v>5</v>
      </c>
      <c r="X12" s="41">
        <v>2</v>
      </c>
      <c r="Y12" s="41">
        <v>3</v>
      </c>
      <c r="Z12" s="41">
        <v>2</v>
      </c>
      <c r="AA12" s="41">
        <v>1</v>
      </c>
      <c r="AB12" s="41">
        <v>2</v>
      </c>
      <c r="AC12" s="41">
        <v>1</v>
      </c>
      <c r="AD12" s="41">
        <v>0</v>
      </c>
      <c r="AE12" s="41">
        <f ca="1">SUMIFS('Tổng Đơn'!$F:$F,'Tổng Đơn'!$B:$B,'La Cusina'!$C12)</f>
        <v>3</v>
      </c>
      <c r="AG12" s="97">
        <f t="shared" si="8"/>
        <v>0</v>
      </c>
    </row>
    <row r="13" spans="1:33" ht="18.75" x14ac:dyDescent="0.25">
      <c r="A13" s="97">
        <f t="shared" ca="1" si="1"/>
        <v>1517.5731315078692</v>
      </c>
      <c r="B13" s="6">
        <v>9</v>
      </c>
      <c r="C13" s="99" t="s">
        <v>35</v>
      </c>
      <c r="D13" s="107">
        <f t="shared" si="9"/>
        <v>80</v>
      </c>
      <c r="E13" s="100">
        <v>0.5</v>
      </c>
      <c r="F13" s="160">
        <v>40</v>
      </c>
      <c r="G13" s="101">
        <v>40</v>
      </c>
      <c r="H13" s="102">
        <f t="shared" si="2"/>
        <v>1600</v>
      </c>
      <c r="I13" s="103">
        <f t="shared" si="3"/>
        <v>1.0154900407532188</v>
      </c>
      <c r="J13" s="104">
        <f t="shared" si="4"/>
        <v>41.015490040753221</v>
      </c>
      <c r="K13" s="104">
        <f t="shared" si="10"/>
        <v>1640.6196016301287</v>
      </c>
      <c r="L13" s="108">
        <v>45</v>
      </c>
      <c r="M13" s="102">
        <f t="shared" si="5"/>
        <v>1800</v>
      </c>
      <c r="N13" s="102">
        <f t="shared" ca="1" si="6"/>
        <v>135</v>
      </c>
      <c r="O13" s="109">
        <f t="shared" ca="1" si="7"/>
        <v>37</v>
      </c>
      <c r="P13" s="96"/>
      <c r="Q13" s="37">
        <v>0</v>
      </c>
      <c r="R13" s="37">
        <v>0</v>
      </c>
      <c r="S13" s="41">
        <v>1</v>
      </c>
      <c r="T13" s="41">
        <v>0</v>
      </c>
      <c r="U13" s="41">
        <v>1</v>
      </c>
      <c r="V13" s="41">
        <v>0</v>
      </c>
      <c r="W13" s="41">
        <v>0</v>
      </c>
      <c r="X13" s="41">
        <v>0</v>
      </c>
      <c r="Y13" s="41">
        <v>0</v>
      </c>
      <c r="Z13" s="41">
        <v>0</v>
      </c>
      <c r="AA13" s="41">
        <v>0</v>
      </c>
      <c r="AB13" s="41">
        <v>0</v>
      </c>
      <c r="AC13" s="41">
        <v>0</v>
      </c>
      <c r="AD13" s="41">
        <v>1</v>
      </c>
      <c r="AE13" s="41">
        <f ca="1">SUMIFS('Tổng Đơn'!$F:$F,'Tổng Đơn'!$B:$B,'La Cusina'!$C13)</f>
        <v>0</v>
      </c>
      <c r="AG13" s="97">
        <f t="shared" si="8"/>
        <v>0</v>
      </c>
    </row>
    <row r="14" spans="1:33" ht="18.75" x14ac:dyDescent="0.25">
      <c r="A14" s="97">
        <f t="shared" ca="1" si="1"/>
        <v>1558.5886215486223</v>
      </c>
      <c r="B14" s="6">
        <v>10</v>
      </c>
      <c r="C14" s="99" t="s">
        <v>34</v>
      </c>
      <c r="D14" s="107">
        <f t="shared" si="9"/>
        <v>80</v>
      </c>
      <c r="E14" s="100">
        <v>0.5</v>
      </c>
      <c r="F14" s="160">
        <v>40</v>
      </c>
      <c r="G14" s="101">
        <v>40</v>
      </c>
      <c r="H14" s="102">
        <f t="shared" si="2"/>
        <v>1600</v>
      </c>
      <c r="I14" s="103">
        <f t="shared" si="3"/>
        <v>1.0154900407532188</v>
      </c>
      <c r="J14" s="104">
        <f t="shared" si="4"/>
        <v>41.015490040753221</v>
      </c>
      <c r="K14" s="104">
        <f t="shared" si="10"/>
        <v>1640.6196016301287</v>
      </c>
      <c r="L14" s="108">
        <v>45</v>
      </c>
      <c r="M14" s="102">
        <f t="shared" si="5"/>
        <v>1800</v>
      </c>
      <c r="N14" s="102">
        <f t="shared" ca="1" si="6"/>
        <v>90</v>
      </c>
      <c r="O14" s="109">
        <f t="shared" ca="1" si="7"/>
        <v>38</v>
      </c>
      <c r="P14" s="96"/>
      <c r="Q14" s="37">
        <v>0</v>
      </c>
      <c r="R14" s="37">
        <v>0</v>
      </c>
      <c r="S14" s="41">
        <v>0</v>
      </c>
      <c r="T14" s="41">
        <v>0</v>
      </c>
      <c r="U14" s="41">
        <v>1</v>
      </c>
      <c r="V14" s="41">
        <v>0</v>
      </c>
      <c r="W14" s="41">
        <v>0</v>
      </c>
      <c r="X14" s="41">
        <v>0</v>
      </c>
      <c r="Y14" s="41">
        <v>0</v>
      </c>
      <c r="Z14" s="41">
        <v>0</v>
      </c>
      <c r="AA14" s="41">
        <v>0</v>
      </c>
      <c r="AB14" s="41">
        <v>0</v>
      </c>
      <c r="AC14" s="41">
        <v>0</v>
      </c>
      <c r="AD14" s="41">
        <v>1</v>
      </c>
      <c r="AE14" s="41">
        <f ca="1">SUMIFS('Tổng Đơn'!$F:$F,'Tổng Đơn'!$B:$B,'La Cusina'!$C14)</f>
        <v>0</v>
      </c>
      <c r="AG14" s="97">
        <f t="shared" si="8"/>
        <v>0</v>
      </c>
    </row>
    <row r="15" spans="1:33" ht="18.75" x14ac:dyDescent="0.25">
      <c r="A15" s="97">
        <f t="shared" ca="1" si="1"/>
        <v>1476.5576414671159</v>
      </c>
      <c r="B15" s="6">
        <v>11</v>
      </c>
      <c r="C15" s="99" t="s">
        <v>33</v>
      </c>
      <c r="D15" s="107">
        <f t="shared" si="9"/>
        <v>80</v>
      </c>
      <c r="E15" s="100">
        <v>0.5</v>
      </c>
      <c r="F15" s="160">
        <v>40</v>
      </c>
      <c r="G15" s="101">
        <v>40</v>
      </c>
      <c r="H15" s="102">
        <f t="shared" si="2"/>
        <v>1600</v>
      </c>
      <c r="I15" s="103">
        <f t="shared" si="3"/>
        <v>1.0154900407532188</v>
      </c>
      <c r="J15" s="104">
        <f t="shared" si="4"/>
        <v>41.015490040753221</v>
      </c>
      <c r="K15" s="104">
        <f t="shared" si="10"/>
        <v>1640.6196016301287</v>
      </c>
      <c r="L15" s="108">
        <v>45</v>
      </c>
      <c r="M15" s="102">
        <f t="shared" si="5"/>
        <v>1800</v>
      </c>
      <c r="N15" s="102">
        <f t="shared" ca="1" si="6"/>
        <v>180</v>
      </c>
      <c r="O15" s="109">
        <f t="shared" ca="1" si="7"/>
        <v>36</v>
      </c>
      <c r="P15" s="96"/>
      <c r="Q15" s="37">
        <v>0</v>
      </c>
      <c r="R15" s="37">
        <v>0</v>
      </c>
      <c r="S15" s="41">
        <v>0</v>
      </c>
      <c r="T15" s="41">
        <v>1</v>
      </c>
      <c r="U15" s="41">
        <v>1</v>
      </c>
      <c r="V15" s="41">
        <v>1</v>
      </c>
      <c r="W15" s="41">
        <v>0</v>
      </c>
      <c r="X15" s="41">
        <v>0</v>
      </c>
      <c r="Y15" s="41">
        <v>0</v>
      </c>
      <c r="Z15" s="41">
        <v>0</v>
      </c>
      <c r="AA15" s="41">
        <v>0</v>
      </c>
      <c r="AB15" s="41">
        <v>0</v>
      </c>
      <c r="AC15" s="41">
        <v>0</v>
      </c>
      <c r="AD15" s="41">
        <v>1</v>
      </c>
      <c r="AE15" s="41">
        <f ca="1">SUMIFS('Tổng Đơn'!$F:$F,'Tổng Đơn'!$B:$B,'La Cusina'!$C15)</f>
        <v>0</v>
      </c>
      <c r="AG15" s="97">
        <f t="shared" si="8"/>
        <v>0</v>
      </c>
    </row>
    <row r="16" spans="1:33" ht="18.75" x14ac:dyDescent="0.25">
      <c r="A16" s="97">
        <f t="shared" ca="1" si="1"/>
        <v>1517.5731315078692</v>
      </c>
      <c r="B16" s="6">
        <v>12</v>
      </c>
      <c r="C16" s="99" t="s">
        <v>32</v>
      </c>
      <c r="D16" s="107">
        <f t="shared" si="9"/>
        <v>80</v>
      </c>
      <c r="E16" s="100">
        <v>0.5</v>
      </c>
      <c r="F16" s="160">
        <v>40</v>
      </c>
      <c r="G16" s="101">
        <v>40</v>
      </c>
      <c r="H16" s="102">
        <f t="shared" si="2"/>
        <v>1600</v>
      </c>
      <c r="I16" s="103">
        <f t="shared" si="3"/>
        <v>1.0154900407532188</v>
      </c>
      <c r="J16" s="104">
        <f t="shared" si="4"/>
        <v>41.015490040753221</v>
      </c>
      <c r="K16" s="104">
        <f t="shared" si="10"/>
        <v>1640.6196016301287</v>
      </c>
      <c r="L16" s="108">
        <v>45</v>
      </c>
      <c r="M16" s="102">
        <f t="shared" si="5"/>
        <v>1800</v>
      </c>
      <c r="N16" s="102">
        <f t="shared" ca="1" si="6"/>
        <v>135</v>
      </c>
      <c r="O16" s="109">
        <f t="shared" ca="1" si="7"/>
        <v>37</v>
      </c>
      <c r="P16" s="96"/>
      <c r="Q16" s="37">
        <v>0</v>
      </c>
      <c r="R16" s="37">
        <v>0</v>
      </c>
      <c r="S16" s="41">
        <v>0</v>
      </c>
      <c r="T16" s="41">
        <v>0</v>
      </c>
      <c r="U16" s="41">
        <v>2</v>
      </c>
      <c r="V16" s="41">
        <v>0</v>
      </c>
      <c r="W16" s="41">
        <v>0</v>
      </c>
      <c r="X16" s="41">
        <v>0</v>
      </c>
      <c r="Y16" s="41">
        <v>0</v>
      </c>
      <c r="Z16" s="41">
        <v>0</v>
      </c>
      <c r="AA16" s="41">
        <v>0</v>
      </c>
      <c r="AB16" s="41">
        <v>0</v>
      </c>
      <c r="AC16" s="41">
        <v>0</v>
      </c>
      <c r="AD16" s="41">
        <v>1</v>
      </c>
      <c r="AE16" s="41">
        <f ca="1">SUMIFS('Tổng Đơn'!$F:$F,'Tổng Đơn'!$B:$B,'La Cusina'!$C16)</f>
        <v>0</v>
      </c>
      <c r="AG16" s="97">
        <f t="shared" si="8"/>
        <v>0</v>
      </c>
    </row>
    <row r="17" spans="1:33" ht="18.75" x14ac:dyDescent="0.25">
      <c r="A17" s="97">
        <f t="shared" ca="1" si="1"/>
        <v>1148.4337211410902</v>
      </c>
      <c r="B17" s="6">
        <v>13</v>
      </c>
      <c r="C17" s="99" t="s">
        <v>58</v>
      </c>
      <c r="D17" s="107">
        <f t="shared" si="9"/>
        <v>80</v>
      </c>
      <c r="E17" s="100">
        <v>0.5</v>
      </c>
      <c r="F17" s="160">
        <v>40</v>
      </c>
      <c r="G17" s="101">
        <v>40</v>
      </c>
      <c r="H17" s="102">
        <f t="shared" si="2"/>
        <v>1600</v>
      </c>
      <c r="I17" s="103">
        <f t="shared" si="3"/>
        <v>1.0154900407532188</v>
      </c>
      <c r="J17" s="104">
        <f t="shared" si="4"/>
        <v>41.015490040753221</v>
      </c>
      <c r="K17" s="104">
        <f t="shared" si="10"/>
        <v>1640.6196016301287</v>
      </c>
      <c r="L17" s="108">
        <v>45</v>
      </c>
      <c r="M17" s="102">
        <f t="shared" si="5"/>
        <v>1800</v>
      </c>
      <c r="N17" s="102">
        <f t="shared" ca="1" si="6"/>
        <v>540</v>
      </c>
      <c r="O17" s="109">
        <f t="shared" ca="1" si="7"/>
        <v>28</v>
      </c>
      <c r="P17" s="96"/>
      <c r="Q17" s="37">
        <v>0</v>
      </c>
      <c r="R17" s="37">
        <v>0</v>
      </c>
      <c r="S17" s="41">
        <v>0</v>
      </c>
      <c r="T17" s="41">
        <v>2</v>
      </c>
      <c r="U17" s="41">
        <v>2</v>
      </c>
      <c r="V17" s="41">
        <v>0</v>
      </c>
      <c r="W17" s="41">
        <v>2</v>
      </c>
      <c r="X17" s="41">
        <v>0</v>
      </c>
      <c r="Y17" s="41">
        <v>1</v>
      </c>
      <c r="Z17" s="41">
        <v>1</v>
      </c>
      <c r="AA17" s="41">
        <v>0</v>
      </c>
      <c r="AB17" s="41">
        <v>0</v>
      </c>
      <c r="AC17" s="41">
        <v>1</v>
      </c>
      <c r="AD17" s="41">
        <v>2</v>
      </c>
      <c r="AE17" s="41">
        <f ca="1">SUMIFS('Tổng Đơn'!$F:$F,'Tổng Đơn'!$B:$B,'La Cusina'!$C17)</f>
        <v>1</v>
      </c>
      <c r="AG17" s="97">
        <f t="shared" si="8"/>
        <v>0</v>
      </c>
    </row>
    <row r="18" spans="1:33" ht="18.75" x14ac:dyDescent="0.25">
      <c r="A18" s="97">
        <f t="shared" ca="1" si="1"/>
        <v>501.98102712377113</v>
      </c>
      <c r="B18" s="6">
        <v>14</v>
      </c>
      <c r="C18" s="99" t="s">
        <v>150</v>
      </c>
      <c r="D18" s="107">
        <v>53</v>
      </c>
      <c r="E18" s="100">
        <v>0.5</v>
      </c>
      <c r="F18" s="160">
        <v>40</v>
      </c>
      <c r="G18" s="101">
        <f>1033.5/38</f>
        <v>27.19736842105263</v>
      </c>
      <c r="H18" s="102">
        <f t="shared" si="2"/>
        <v>1087.8947368421052</v>
      </c>
      <c r="I18" s="103">
        <f t="shared" si="3"/>
        <v>0.6904664191568759</v>
      </c>
      <c r="J18" s="104">
        <f t="shared" ref="J18" si="11">G18+I18</f>
        <v>27.887834840209507</v>
      </c>
      <c r="K18" s="104">
        <f t="shared" ref="K18" si="12">J18*F18</f>
        <v>1115.5133936083803</v>
      </c>
      <c r="L18" s="108">
        <v>38</v>
      </c>
      <c r="M18" s="102">
        <f t="shared" si="5"/>
        <v>1520</v>
      </c>
      <c r="N18" s="102">
        <f t="shared" ca="1" si="6"/>
        <v>836</v>
      </c>
      <c r="O18" s="109">
        <f t="shared" ca="1" si="7"/>
        <v>18</v>
      </c>
      <c r="P18" s="96"/>
      <c r="Q18" s="37"/>
      <c r="R18" s="37"/>
      <c r="S18" s="41"/>
      <c r="T18" s="41"/>
      <c r="U18" s="41"/>
      <c r="V18" s="41"/>
      <c r="W18" s="41">
        <v>1</v>
      </c>
      <c r="X18" s="41">
        <v>6</v>
      </c>
      <c r="Y18" s="41">
        <v>4</v>
      </c>
      <c r="Z18" s="41">
        <v>3</v>
      </c>
      <c r="AA18" s="41">
        <v>0</v>
      </c>
      <c r="AB18" s="41">
        <v>0</v>
      </c>
      <c r="AC18" s="41">
        <v>1</v>
      </c>
      <c r="AD18" s="41">
        <v>2</v>
      </c>
      <c r="AE18" s="41">
        <f ca="1">SUMIFS('Tổng Đơn'!$F:$F,'Tổng Đơn'!$B:$B,'La Cusina'!$C18)</f>
        <v>5</v>
      </c>
      <c r="AF18" s="97">
        <v>40</v>
      </c>
      <c r="AG18" s="97">
        <f t="shared" si="8"/>
        <v>1087.8947368421052</v>
      </c>
    </row>
    <row r="19" spans="1:33" ht="18.75" x14ac:dyDescent="0.25">
      <c r="A19" s="97">
        <f t="shared" ca="1" si="1"/>
        <v>1107.4182311003369</v>
      </c>
      <c r="B19" s="6">
        <v>15</v>
      </c>
      <c r="C19" s="99" t="s">
        <v>189</v>
      </c>
      <c r="D19" s="107">
        <v>120</v>
      </c>
      <c r="E19" s="100">
        <v>0.5</v>
      </c>
      <c r="F19" s="160">
        <v>20</v>
      </c>
      <c r="G19" s="101">
        <v>60</v>
      </c>
      <c r="H19" s="102">
        <f t="shared" si="2"/>
        <v>1200</v>
      </c>
      <c r="I19" s="103">
        <f t="shared" si="3"/>
        <v>1.523235061129828</v>
      </c>
      <c r="J19" s="104">
        <f t="shared" ref="J19" si="13">G19+I19</f>
        <v>61.523235061129824</v>
      </c>
      <c r="K19" s="104">
        <f t="shared" ref="K19" si="14">J19*F19</f>
        <v>1230.4647012225964</v>
      </c>
      <c r="L19" s="108">
        <v>70</v>
      </c>
      <c r="M19" s="102">
        <f t="shared" ref="M19" si="15">L19*F19</f>
        <v>1400</v>
      </c>
      <c r="N19" s="102">
        <f t="shared" ca="1" si="6"/>
        <v>140</v>
      </c>
      <c r="O19" s="109">
        <f t="shared" ca="1" si="7"/>
        <v>18</v>
      </c>
      <c r="P19" s="96"/>
      <c r="Q19" s="37"/>
      <c r="R19" s="37"/>
      <c r="S19" s="41"/>
      <c r="T19" s="41"/>
      <c r="U19" s="41"/>
      <c r="V19" s="41"/>
      <c r="W19" s="41"/>
      <c r="X19" s="41"/>
      <c r="Y19" s="41"/>
      <c r="Z19" s="41"/>
      <c r="AA19" s="41"/>
      <c r="AB19" s="41">
        <v>0</v>
      </c>
      <c r="AC19" s="41">
        <v>0</v>
      </c>
      <c r="AD19" s="41">
        <v>2</v>
      </c>
      <c r="AE19" s="41">
        <f ca="1">SUMIFS('Tổng Đơn'!$F:$F,'Tổng Đơn'!$B:$B,'La Cusina'!$C19)</f>
        <v>0</v>
      </c>
      <c r="AG19" s="97">
        <f t="shared" si="8"/>
        <v>0</v>
      </c>
    </row>
  </sheetData>
  <autoFilter ref="B4:M4"/>
  <mergeCells count="1">
    <mergeCell ref="B1:M1"/>
  </mergeCells>
  <conditionalFormatting sqref="C6:C17">
    <cfRule type="expression" dxfId="709" priority="13">
      <formula>($O6/$O6)&lt;=1/4</formula>
    </cfRule>
  </conditionalFormatting>
  <conditionalFormatting sqref="C18">
    <cfRule type="expression" dxfId="708" priority="10">
      <formula>($O18/$O18)&lt;=1/4</formula>
    </cfRule>
  </conditionalFormatting>
  <conditionalFormatting sqref="C5:C18">
    <cfRule type="expression" dxfId="707" priority="21">
      <formula>($O5/$F5)&lt;=1/4</formula>
    </cfRule>
  </conditionalFormatting>
  <conditionalFormatting sqref="C19">
    <cfRule type="expression" dxfId="706" priority="1">
      <formula>($O19/$O19)&lt;=1/4</formula>
    </cfRule>
  </conditionalFormatting>
  <conditionalFormatting sqref="C19">
    <cfRule type="expression" dxfId="705"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I32"/>
  <sheetViews>
    <sheetView topLeftCell="A2" workbookViewId="0">
      <pane xSplit="15" ySplit="3" topLeftCell="P16" activePane="bottomRight" state="frozen"/>
      <selection activeCell="A2" sqref="A2"/>
      <selection pane="topRight" activeCell="P2" sqref="P2"/>
      <selection pane="bottomLeft" activeCell="A5" sqref="A5"/>
      <selection pane="bottomRight" activeCell="F2" sqref="F1:O1048576"/>
    </sheetView>
  </sheetViews>
  <sheetFormatPr defaultRowHeight="15" x14ac:dyDescent="0.25"/>
  <cols>
    <col min="1" max="1" width="16.28515625" style="97" customWidth="1"/>
    <col min="2" max="2" width="6.85546875" style="97" customWidth="1"/>
    <col min="3" max="3" width="35.85546875" style="97" customWidth="1"/>
    <col min="4" max="4" width="9.7109375" style="97" customWidth="1"/>
    <col min="5" max="6" width="8.7109375" style="97" customWidth="1"/>
    <col min="7" max="8" width="11.140625" style="97" customWidth="1"/>
    <col min="9" max="9" width="13.28515625" style="97" customWidth="1"/>
    <col min="10" max="10" width="12.140625" style="97" customWidth="1"/>
    <col min="11" max="11" width="13.28515625" style="97" customWidth="1"/>
    <col min="12" max="12" width="12.7109375" style="97" customWidth="1"/>
    <col min="13" max="14" width="11.42578125" style="97" customWidth="1"/>
    <col min="15" max="15" width="9.140625" style="97"/>
    <col min="16" max="16" width="12.42578125" style="97" customWidth="1"/>
    <col min="17" max="31" width="5.28515625" style="97" customWidth="1"/>
    <col min="32" max="32" width="9.140625" style="97"/>
    <col min="33" max="33" width="10.28515625" style="97" bestFit="1" customWidth="1"/>
    <col min="34" max="16384" width="9.140625" style="97"/>
  </cols>
  <sheetData>
    <row r="1" spans="1:35" hidden="1" x14ac:dyDescent="0.25">
      <c r="B1" s="175" t="s">
        <v>59</v>
      </c>
      <c r="C1" s="175"/>
      <c r="D1" s="175"/>
      <c r="E1" s="175"/>
      <c r="F1" s="175"/>
      <c r="G1" s="175"/>
      <c r="H1" s="175"/>
      <c r="I1" s="175"/>
      <c r="J1" s="175"/>
      <c r="K1" s="175"/>
      <c r="L1" s="175"/>
      <c r="M1" s="175"/>
      <c r="N1" s="98"/>
    </row>
    <row r="2" spans="1:35" ht="24" customHeight="1" x14ac:dyDescent="0.25">
      <c r="A2" s="1">
        <f>150+160+120+70+30+100+30+150</f>
        <v>810</v>
      </c>
      <c r="K2" s="13">
        <f>SUMPRODUCT((E5:E19)*(F5:F19))</f>
        <v>477</v>
      </c>
      <c r="L2" s="13">
        <f>M4-K4</f>
        <v>6986.5000000000073</v>
      </c>
      <c r="M2" s="8">
        <f>M4/K4-1</f>
        <v>0.20344782399790362</v>
      </c>
      <c r="N2" s="8"/>
      <c r="R2" s="64"/>
    </row>
    <row r="3" spans="1:35" ht="55.5" customHeight="1" x14ac:dyDescent="0.25">
      <c r="A3" s="83" t="s">
        <v>127</v>
      </c>
      <c r="B3" s="3" t="s">
        <v>0</v>
      </c>
      <c r="C3" s="3" t="s">
        <v>17</v>
      </c>
      <c r="D3" s="20" t="s">
        <v>62</v>
      </c>
      <c r="E3" s="121" t="s">
        <v>160</v>
      </c>
      <c r="F3" s="155" t="s">
        <v>159</v>
      </c>
      <c r="G3" s="4" t="s">
        <v>18</v>
      </c>
      <c r="H3" s="4" t="s">
        <v>19</v>
      </c>
      <c r="I3" s="9" t="s">
        <v>20</v>
      </c>
      <c r="J3" s="9" t="s">
        <v>21</v>
      </c>
      <c r="K3" s="9" t="s">
        <v>24</v>
      </c>
      <c r="L3" s="10" t="s">
        <v>22</v>
      </c>
      <c r="M3" s="11" t="s">
        <v>23</v>
      </c>
      <c r="N3" s="11" t="s">
        <v>122</v>
      </c>
      <c r="O3" s="35" t="s">
        <v>60</v>
      </c>
      <c r="P3" s="94" t="s">
        <v>149</v>
      </c>
      <c r="Q3" s="36">
        <v>17</v>
      </c>
      <c r="R3" s="38">
        <v>18</v>
      </c>
      <c r="S3" s="36">
        <v>19</v>
      </c>
      <c r="T3" s="38">
        <v>20</v>
      </c>
      <c r="U3" s="36">
        <v>21</v>
      </c>
      <c r="V3" s="38">
        <v>22</v>
      </c>
      <c r="W3" s="36">
        <v>23</v>
      </c>
      <c r="X3" s="38">
        <v>24</v>
      </c>
      <c r="Y3" s="36">
        <v>25</v>
      </c>
      <c r="Z3" s="38">
        <v>26</v>
      </c>
      <c r="AA3" s="36">
        <v>27</v>
      </c>
      <c r="AB3" s="38">
        <v>28</v>
      </c>
      <c r="AC3" s="36">
        <v>29</v>
      </c>
      <c r="AD3" s="38">
        <v>30</v>
      </c>
      <c r="AE3" s="36">
        <v>31</v>
      </c>
      <c r="AH3" s="97">
        <f>37*6</f>
        <v>222</v>
      </c>
      <c r="AI3" s="97">
        <f>AH3+228</f>
        <v>450</v>
      </c>
    </row>
    <row r="4" spans="1:35" s="69" customFormat="1" ht="27" customHeight="1" x14ac:dyDescent="0.25">
      <c r="A4" s="78">
        <f ca="1">SUBTOTAL(9,A5:A220)</f>
        <v>13864.526885969488</v>
      </c>
      <c r="B4" s="19"/>
      <c r="C4" s="19"/>
      <c r="D4" s="70"/>
      <c r="E4" s="19">
        <f>SUMPRODUCT((E5:E25)*(F5:F25))</f>
        <v>565</v>
      </c>
      <c r="F4" s="19">
        <f>SUBTOTAL(9,F5:F190)</f>
        <v>1160</v>
      </c>
      <c r="G4" s="7"/>
      <c r="H4" s="7">
        <f>SUBTOTAL(9,H5:H100)</f>
        <v>33530.5</v>
      </c>
      <c r="I4" s="12"/>
      <c r="J4" s="12"/>
      <c r="K4" s="12">
        <f>SUBTOTAL(9,K5:K190)</f>
        <v>34340.499999999993</v>
      </c>
      <c r="L4" s="71"/>
      <c r="M4" s="7">
        <f>SUBTOTAL(9,M5:M190)</f>
        <v>41327</v>
      </c>
      <c r="N4" s="7">
        <f ca="1">SUBTOTAL(9,N5:N190)</f>
        <v>24499</v>
      </c>
      <c r="O4" s="39">
        <f ca="1">SUBTOTAL(9,O5:O190)</f>
        <v>451</v>
      </c>
      <c r="P4" s="114">
        <f>SUBTOTAL(9,P5:P220)</f>
        <v>4</v>
      </c>
      <c r="Q4" s="40">
        <f>SUBTOTAL(9,Q5:Q190)</f>
        <v>0</v>
      </c>
      <c r="R4" s="40">
        <f t="shared" ref="R4:AG4" si="0">SUBTOTAL(9,R5:R190)</f>
        <v>4</v>
      </c>
      <c r="S4" s="40">
        <f t="shared" si="0"/>
        <v>56</v>
      </c>
      <c r="T4" s="40">
        <f t="shared" si="0"/>
        <v>51</v>
      </c>
      <c r="U4" s="40">
        <f t="shared" si="0"/>
        <v>87</v>
      </c>
      <c r="V4" s="40">
        <f t="shared" si="0"/>
        <v>10</v>
      </c>
      <c r="W4" s="40">
        <f t="shared" si="0"/>
        <v>22</v>
      </c>
      <c r="X4" s="40">
        <f t="shared" si="0"/>
        <v>30</v>
      </c>
      <c r="Y4" s="40">
        <f t="shared" si="0"/>
        <v>70</v>
      </c>
      <c r="Z4" s="40">
        <f t="shared" si="0"/>
        <v>61</v>
      </c>
      <c r="AA4" s="40">
        <f t="shared" si="0"/>
        <v>46</v>
      </c>
      <c r="AB4" s="40">
        <f t="shared" si="0"/>
        <v>68</v>
      </c>
      <c r="AC4" s="40">
        <f t="shared" si="0"/>
        <v>93</v>
      </c>
      <c r="AD4" s="40">
        <f t="shared" si="0"/>
        <v>45</v>
      </c>
      <c r="AE4" s="40">
        <f t="shared" ca="1" si="0"/>
        <v>62</v>
      </c>
      <c r="AG4" s="118">
        <f t="shared" si="0"/>
        <v>5050</v>
      </c>
    </row>
    <row r="5" spans="1:35" ht="18.75" x14ac:dyDescent="0.25">
      <c r="A5" s="97">
        <f t="shared" ref="A5:A28" ca="1" si="1">IFERROR(J5*O5,"")</f>
        <v>1109.9302687105769</v>
      </c>
      <c r="B5" s="6">
        <v>1</v>
      </c>
      <c r="C5" s="99" t="s">
        <v>1</v>
      </c>
      <c r="D5" s="107">
        <v>42.5</v>
      </c>
      <c r="E5" s="6">
        <v>0.5</v>
      </c>
      <c r="F5" s="6">
        <v>210</v>
      </c>
      <c r="G5" s="110">
        <f t="shared" ref="G5:G28" si="2">D5/(1/E5)</f>
        <v>21.25</v>
      </c>
      <c r="H5" s="102">
        <f>G5*F5</f>
        <v>4462.5</v>
      </c>
      <c r="I5" s="103">
        <f t="shared" ref="I5:I28" si="3">((H5/$H$4)*$A$2)/F5</f>
        <v>0.51333860216817528</v>
      </c>
      <c r="J5" s="104">
        <f t="shared" ref="J5:J19" si="4">G5+I5</f>
        <v>21.763338602168176</v>
      </c>
      <c r="K5" s="104">
        <f>J5*F5</f>
        <v>4570.3011064553166</v>
      </c>
      <c r="L5" s="111">
        <v>25</v>
      </c>
      <c r="M5" s="102">
        <f>L5*F5</f>
        <v>5250</v>
      </c>
      <c r="N5" s="102">
        <f t="shared" ref="N5:N28" ca="1" si="5">SUMPRODUCT($L5*($Q5:$AE5))</f>
        <v>3950</v>
      </c>
      <c r="O5" s="106">
        <f ca="1">F5-SUM(Q5:AE5)-P5</f>
        <v>51</v>
      </c>
      <c r="P5" s="96">
        <v>1</v>
      </c>
      <c r="Q5" s="99">
        <v>0</v>
      </c>
      <c r="R5" s="112">
        <v>1</v>
      </c>
      <c r="S5" s="112">
        <v>6</v>
      </c>
      <c r="T5" s="112">
        <v>8</v>
      </c>
      <c r="U5" s="112">
        <v>32</v>
      </c>
      <c r="V5" s="112">
        <v>2</v>
      </c>
      <c r="W5" s="112">
        <v>5</v>
      </c>
      <c r="X5" s="112">
        <v>9</v>
      </c>
      <c r="Y5" s="112">
        <v>16</v>
      </c>
      <c r="Z5" s="112">
        <v>11</v>
      </c>
      <c r="AA5" s="112">
        <v>11</v>
      </c>
      <c r="AB5" s="112">
        <v>17</v>
      </c>
      <c r="AC5" s="112">
        <v>29</v>
      </c>
      <c r="AD5" s="112">
        <v>3</v>
      </c>
      <c r="AE5" s="112">
        <f ca="1">SUMIFS('Tổng Đơn'!$F:$F,'Tổng Đơn'!$B:$B,'Quốc Nhân'!$C5)</f>
        <v>8</v>
      </c>
      <c r="AF5" s="97">
        <v>100</v>
      </c>
      <c r="AG5" s="97">
        <f t="shared" ref="AG5:AG28" si="6">AF5*G5</f>
        <v>2125</v>
      </c>
    </row>
    <row r="6" spans="1:35" ht="18.75" x14ac:dyDescent="0.25">
      <c r="A6" s="97">
        <f t="shared" ca="1" si="1"/>
        <v>450.62912870371753</v>
      </c>
      <c r="B6" s="6">
        <v>2</v>
      </c>
      <c r="C6" s="99" t="s">
        <v>2</v>
      </c>
      <c r="D6" s="107">
        <v>44</v>
      </c>
      <c r="E6" s="6">
        <v>0.5</v>
      </c>
      <c r="F6" s="6">
        <v>60</v>
      </c>
      <c r="G6" s="110">
        <f t="shared" si="2"/>
        <v>22</v>
      </c>
      <c r="H6" s="102">
        <f t="shared" ref="H6:H19" si="7">G6*F6</f>
        <v>1320</v>
      </c>
      <c r="I6" s="103">
        <f t="shared" si="3"/>
        <v>0.53145643518587549</v>
      </c>
      <c r="J6" s="104">
        <f t="shared" si="4"/>
        <v>22.531456435185877</v>
      </c>
      <c r="K6" s="104">
        <f t="shared" ref="K6:K19" si="8">J6*F6</f>
        <v>1351.8873861111526</v>
      </c>
      <c r="L6" s="111">
        <v>28</v>
      </c>
      <c r="M6" s="102">
        <f t="shared" ref="M6:M19" si="9">L6*F6</f>
        <v>1680</v>
      </c>
      <c r="N6" s="102">
        <f t="shared" ca="1" si="5"/>
        <v>1120</v>
      </c>
      <c r="O6" s="106">
        <f t="shared" ref="O6:O28" ca="1" si="10">F6-SUM(Q6:AE6)-P6</f>
        <v>20</v>
      </c>
      <c r="P6" s="96"/>
      <c r="Q6" s="99">
        <v>0</v>
      </c>
      <c r="R6" s="99">
        <v>0</v>
      </c>
      <c r="S6" s="112">
        <v>5</v>
      </c>
      <c r="T6" s="112">
        <v>4</v>
      </c>
      <c r="U6" s="112">
        <v>5</v>
      </c>
      <c r="V6" s="112">
        <v>0</v>
      </c>
      <c r="W6" s="112">
        <v>1</v>
      </c>
      <c r="X6" s="112">
        <v>1</v>
      </c>
      <c r="Y6" s="112">
        <v>5</v>
      </c>
      <c r="Z6" s="112">
        <v>7</v>
      </c>
      <c r="AA6" s="112">
        <v>5</v>
      </c>
      <c r="AB6" s="112">
        <v>1</v>
      </c>
      <c r="AC6" s="112">
        <v>0</v>
      </c>
      <c r="AD6" s="112">
        <v>6</v>
      </c>
      <c r="AE6" s="112">
        <f ca="1">SUMIFS('Tổng Đơn'!$F:$F,'Tổng Đơn'!$B:$B,'Quốc Nhân'!$C6)</f>
        <v>0</v>
      </c>
      <c r="AG6" s="97">
        <f t="shared" si="6"/>
        <v>0</v>
      </c>
    </row>
    <row r="7" spans="1:35" ht="18.75" x14ac:dyDescent="0.25">
      <c r="A7" s="97">
        <f t="shared" ca="1" si="1"/>
        <v>645.98709756788594</v>
      </c>
      <c r="B7" s="6">
        <v>3</v>
      </c>
      <c r="C7" s="99" t="s">
        <v>3</v>
      </c>
      <c r="D7" s="107">
        <v>43.5</v>
      </c>
      <c r="E7" s="6">
        <v>0.5</v>
      </c>
      <c r="F7" s="6">
        <v>50</v>
      </c>
      <c r="G7" s="110">
        <f t="shared" si="2"/>
        <v>21.75</v>
      </c>
      <c r="H7" s="102">
        <f t="shared" si="7"/>
        <v>1087.5</v>
      </c>
      <c r="I7" s="103">
        <f t="shared" si="3"/>
        <v>0.52541715751330875</v>
      </c>
      <c r="J7" s="104">
        <f t="shared" si="4"/>
        <v>22.27541715751331</v>
      </c>
      <c r="K7" s="104">
        <f t="shared" si="8"/>
        <v>1113.7708578756656</v>
      </c>
      <c r="L7" s="111">
        <v>30</v>
      </c>
      <c r="M7" s="102">
        <f t="shared" si="9"/>
        <v>1500</v>
      </c>
      <c r="N7" s="102">
        <f t="shared" ca="1" si="5"/>
        <v>630</v>
      </c>
      <c r="O7" s="106">
        <f t="shared" ca="1" si="10"/>
        <v>29</v>
      </c>
      <c r="P7" s="96"/>
      <c r="Q7" s="99">
        <v>0</v>
      </c>
      <c r="R7" s="112">
        <v>1</v>
      </c>
      <c r="S7" s="112">
        <v>0</v>
      </c>
      <c r="T7" s="112">
        <v>2</v>
      </c>
      <c r="U7" s="112">
        <v>0</v>
      </c>
      <c r="V7" s="112">
        <v>0</v>
      </c>
      <c r="W7" s="112">
        <v>1</v>
      </c>
      <c r="X7" s="112">
        <v>0</v>
      </c>
      <c r="Y7" s="112">
        <v>5</v>
      </c>
      <c r="Z7" s="112">
        <v>7</v>
      </c>
      <c r="AA7" s="112">
        <v>0</v>
      </c>
      <c r="AB7" s="112">
        <v>2</v>
      </c>
      <c r="AC7" s="112">
        <v>2</v>
      </c>
      <c r="AD7" s="112">
        <v>0</v>
      </c>
      <c r="AE7" s="112">
        <f ca="1">SUMIFS('Tổng Đơn'!$F:$F,'Tổng Đơn'!$B:$B,'Quốc Nhân'!$C7)</f>
        <v>1</v>
      </c>
      <c r="AG7" s="97">
        <f t="shared" si="6"/>
        <v>0</v>
      </c>
    </row>
    <row r="8" spans="1:35" ht="18.75" x14ac:dyDescent="0.25">
      <c r="A8" s="97">
        <f t="shared" ca="1" si="1"/>
        <v>675.94369305557632</v>
      </c>
      <c r="B8" s="6">
        <v>4</v>
      </c>
      <c r="C8" s="99" t="s">
        <v>4</v>
      </c>
      <c r="D8" s="107">
        <v>60</v>
      </c>
      <c r="E8" s="6">
        <v>0.5</v>
      </c>
      <c r="F8" s="6">
        <v>70</v>
      </c>
      <c r="G8" s="110">
        <f t="shared" si="2"/>
        <v>30</v>
      </c>
      <c r="H8" s="113">
        <f t="shared" si="7"/>
        <v>2100</v>
      </c>
      <c r="I8" s="103">
        <f t="shared" si="3"/>
        <v>0.72471332070801209</v>
      </c>
      <c r="J8" s="104">
        <f t="shared" si="4"/>
        <v>30.724713320708013</v>
      </c>
      <c r="K8" s="104">
        <f t="shared" si="8"/>
        <v>2150.7299324495607</v>
      </c>
      <c r="L8" s="111">
        <v>40</v>
      </c>
      <c r="M8" s="102">
        <f t="shared" si="9"/>
        <v>2800</v>
      </c>
      <c r="N8" s="102">
        <f t="shared" ca="1" si="5"/>
        <v>1920</v>
      </c>
      <c r="O8" s="106">
        <f t="shared" ca="1" si="10"/>
        <v>22</v>
      </c>
      <c r="P8" s="96"/>
      <c r="Q8" s="99">
        <v>0</v>
      </c>
      <c r="R8" s="99">
        <v>1</v>
      </c>
      <c r="S8" s="112">
        <v>4</v>
      </c>
      <c r="T8" s="112">
        <v>5</v>
      </c>
      <c r="U8" s="112">
        <v>5</v>
      </c>
      <c r="V8" s="112">
        <v>1</v>
      </c>
      <c r="W8" s="112">
        <v>1</v>
      </c>
      <c r="X8" s="112">
        <v>3</v>
      </c>
      <c r="Y8" s="112">
        <v>3</v>
      </c>
      <c r="Z8" s="112">
        <v>7</v>
      </c>
      <c r="AA8" s="112">
        <v>1</v>
      </c>
      <c r="AB8" s="112">
        <v>1</v>
      </c>
      <c r="AC8" s="112">
        <v>4</v>
      </c>
      <c r="AD8" s="112">
        <v>2</v>
      </c>
      <c r="AE8" s="112">
        <f ca="1">SUMIFS('Tổng Đơn'!$F:$F,'Tổng Đơn'!$B:$B,'Quốc Nhân'!$C8)</f>
        <v>10</v>
      </c>
      <c r="AF8" s="97">
        <v>30</v>
      </c>
      <c r="AG8" s="97">
        <f t="shared" si="6"/>
        <v>900</v>
      </c>
    </row>
    <row r="9" spans="1:35" ht="18.75" x14ac:dyDescent="0.25">
      <c r="A9" s="97">
        <f t="shared" ca="1" si="1"/>
        <v>731.24817703285066</v>
      </c>
      <c r="B9" s="6">
        <v>5</v>
      </c>
      <c r="C9" s="99" t="s">
        <v>5</v>
      </c>
      <c r="D9" s="107">
        <v>68</v>
      </c>
      <c r="E9" s="6">
        <v>0.5</v>
      </c>
      <c r="F9" s="6">
        <v>90</v>
      </c>
      <c r="G9" s="110">
        <f t="shared" si="2"/>
        <v>34</v>
      </c>
      <c r="H9" s="113">
        <f t="shared" si="7"/>
        <v>3060</v>
      </c>
      <c r="I9" s="103">
        <f t="shared" si="3"/>
        <v>0.82134176346908039</v>
      </c>
      <c r="J9" s="104">
        <f t="shared" si="4"/>
        <v>34.821341763469079</v>
      </c>
      <c r="K9" s="104">
        <f t="shared" si="8"/>
        <v>3133.9207587122169</v>
      </c>
      <c r="L9" s="111">
        <v>40</v>
      </c>
      <c r="M9" s="102">
        <f t="shared" si="9"/>
        <v>3600</v>
      </c>
      <c r="N9" s="102">
        <f t="shared" ca="1" si="5"/>
        <v>2760</v>
      </c>
      <c r="O9" s="106">
        <f t="shared" ca="1" si="10"/>
        <v>21</v>
      </c>
      <c r="P9" s="96"/>
      <c r="Q9" s="99">
        <v>0</v>
      </c>
      <c r="R9" s="99">
        <v>0</v>
      </c>
      <c r="S9" s="112">
        <v>13</v>
      </c>
      <c r="T9" s="112">
        <v>7</v>
      </c>
      <c r="U9" s="112">
        <v>10</v>
      </c>
      <c r="V9" s="112">
        <v>1</v>
      </c>
      <c r="W9" s="112">
        <v>2</v>
      </c>
      <c r="X9" s="112">
        <v>3</v>
      </c>
      <c r="Y9" s="112">
        <v>5</v>
      </c>
      <c r="Z9" s="112">
        <v>3</v>
      </c>
      <c r="AA9" s="112">
        <v>5</v>
      </c>
      <c r="AB9" s="112">
        <v>3</v>
      </c>
      <c r="AC9" s="112">
        <v>9</v>
      </c>
      <c r="AD9" s="112">
        <v>2</v>
      </c>
      <c r="AE9" s="112">
        <f ca="1">SUMIFS('Tổng Đơn'!$F:$F,'Tổng Đơn'!$B:$B,'Quốc Nhân'!$C9)</f>
        <v>6</v>
      </c>
      <c r="AF9" s="97">
        <v>30</v>
      </c>
      <c r="AG9" s="97">
        <f t="shared" si="6"/>
        <v>1020</v>
      </c>
    </row>
    <row r="10" spans="1:35" ht="18.75" x14ac:dyDescent="0.25">
      <c r="A10" s="97">
        <f t="shared" ca="1" si="1"/>
        <v>1145.0076497517186</v>
      </c>
      <c r="B10" s="6">
        <v>6</v>
      </c>
      <c r="C10" s="99" t="s">
        <v>6</v>
      </c>
      <c r="D10" s="107">
        <v>86</v>
      </c>
      <c r="E10" s="6">
        <v>0.5</v>
      </c>
      <c r="F10" s="6">
        <v>56</v>
      </c>
      <c r="G10" s="110">
        <f t="shared" si="2"/>
        <v>43</v>
      </c>
      <c r="H10" s="113">
        <f t="shared" si="7"/>
        <v>2408</v>
      </c>
      <c r="I10" s="103">
        <f t="shared" si="3"/>
        <v>1.0387557596814843</v>
      </c>
      <c r="J10" s="104">
        <f t="shared" si="4"/>
        <v>44.038755759681486</v>
      </c>
      <c r="K10" s="104">
        <f t="shared" si="8"/>
        <v>2466.1703225421634</v>
      </c>
      <c r="L10" s="111">
        <v>50</v>
      </c>
      <c r="M10" s="102">
        <f t="shared" si="9"/>
        <v>2800</v>
      </c>
      <c r="N10" s="102">
        <f t="shared" ca="1" si="5"/>
        <v>1450</v>
      </c>
      <c r="O10" s="106">
        <f t="shared" ca="1" si="10"/>
        <v>26</v>
      </c>
      <c r="P10" s="96">
        <v>1</v>
      </c>
      <c r="Q10" s="99">
        <v>0</v>
      </c>
      <c r="R10" s="99">
        <v>0</v>
      </c>
      <c r="S10" s="112">
        <v>1</v>
      </c>
      <c r="T10" s="112">
        <v>6</v>
      </c>
      <c r="U10" s="112">
        <v>2</v>
      </c>
      <c r="V10" s="112">
        <v>0</v>
      </c>
      <c r="W10" s="112">
        <v>1</v>
      </c>
      <c r="X10" s="112">
        <v>2</v>
      </c>
      <c r="Y10" s="112">
        <v>2</v>
      </c>
      <c r="Z10" s="112">
        <v>4</v>
      </c>
      <c r="AA10" s="112">
        <v>0</v>
      </c>
      <c r="AB10" s="112">
        <v>1</v>
      </c>
      <c r="AC10" s="112">
        <v>5</v>
      </c>
      <c r="AD10" s="112">
        <v>0</v>
      </c>
      <c r="AE10" s="112">
        <f ca="1">SUMIFS('Tổng Đơn'!$F:$F,'Tổng Đơn'!$B:$B,'Quốc Nhân'!$C10)</f>
        <v>5</v>
      </c>
      <c r="AG10" s="97">
        <f t="shared" si="6"/>
        <v>0</v>
      </c>
    </row>
    <row r="11" spans="1:35" ht="18.75" x14ac:dyDescent="0.25">
      <c r="A11" s="97">
        <f t="shared" ca="1" si="1"/>
        <v>56.328641087964691</v>
      </c>
      <c r="B11" s="6">
        <v>7</v>
      </c>
      <c r="C11" s="99" t="s">
        <v>7</v>
      </c>
      <c r="D11" s="107">
        <v>55</v>
      </c>
      <c r="E11" s="6">
        <v>0.5</v>
      </c>
      <c r="F11" s="6">
        <v>20</v>
      </c>
      <c r="G11" s="110">
        <f t="shared" si="2"/>
        <v>27.5</v>
      </c>
      <c r="H11" s="113">
        <f t="shared" si="7"/>
        <v>550</v>
      </c>
      <c r="I11" s="103">
        <f t="shared" si="3"/>
        <v>0.66432054398234452</v>
      </c>
      <c r="J11" s="104">
        <f t="shared" si="4"/>
        <v>28.164320543982345</v>
      </c>
      <c r="K11" s="104">
        <f t="shared" si="8"/>
        <v>563.28641087964695</v>
      </c>
      <c r="L11" s="111">
        <v>34</v>
      </c>
      <c r="M11" s="102">
        <f t="shared" si="9"/>
        <v>680</v>
      </c>
      <c r="N11" s="102">
        <f t="shared" ca="1" si="5"/>
        <v>612</v>
      </c>
      <c r="O11" s="106">
        <f t="shared" ca="1" si="10"/>
        <v>2</v>
      </c>
      <c r="P11" s="96"/>
      <c r="Q11" s="99">
        <v>0</v>
      </c>
      <c r="R11" s="99">
        <v>0</v>
      </c>
      <c r="S11" s="112">
        <v>3</v>
      </c>
      <c r="T11" s="112">
        <v>3</v>
      </c>
      <c r="U11" s="112">
        <v>0</v>
      </c>
      <c r="V11" s="112">
        <v>0</v>
      </c>
      <c r="W11" s="112">
        <v>0</v>
      </c>
      <c r="X11" s="112">
        <v>1</v>
      </c>
      <c r="Y11" s="112">
        <v>1</v>
      </c>
      <c r="Z11" s="112">
        <v>1</v>
      </c>
      <c r="AA11" s="112">
        <v>1</v>
      </c>
      <c r="AB11" s="112">
        <v>0</v>
      </c>
      <c r="AC11" s="112">
        <v>2</v>
      </c>
      <c r="AD11" s="112">
        <v>6</v>
      </c>
      <c r="AE11" s="112">
        <f ca="1">SUMIFS('Tổng Đơn'!$F:$F,'Tổng Đơn'!$B:$B,'Quốc Nhân'!$C11)</f>
        <v>0</v>
      </c>
      <c r="AG11" s="97">
        <f t="shared" si="6"/>
        <v>0</v>
      </c>
    </row>
    <row r="12" spans="1:35" ht="18.75" x14ac:dyDescent="0.25">
      <c r="A12" s="97">
        <f t="shared" ca="1" si="1"/>
        <v>353.33420318814211</v>
      </c>
      <c r="B12" s="6">
        <v>8</v>
      </c>
      <c r="C12" s="99" t="s">
        <v>8</v>
      </c>
      <c r="D12" s="107">
        <v>115</v>
      </c>
      <c r="E12" s="6">
        <v>0.5</v>
      </c>
      <c r="F12" s="6">
        <v>18</v>
      </c>
      <c r="G12" s="110">
        <f t="shared" si="2"/>
        <v>57.5</v>
      </c>
      <c r="H12" s="113">
        <f t="shared" si="7"/>
        <v>1035</v>
      </c>
      <c r="I12" s="103">
        <f t="shared" si="3"/>
        <v>1.3890338646903566</v>
      </c>
      <c r="J12" s="104">
        <f t="shared" si="4"/>
        <v>58.889033864690354</v>
      </c>
      <c r="K12" s="104">
        <f t="shared" si="8"/>
        <v>1060.0026095644264</v>
      </c>
      <c r="L12" s="111">
        <v>69</v>
      </c>
      <c r="M12" s="102">
        <f t="shared" si="9"/>
        <v>1242</v>
      </c>
      <c r="N12" s="102">
        <f t="shared" ca="1" si="5"/>
        <v>759</v>
      </c>
      <c r="O12" s="106">
        <f t="shared" ca="1" si="10"/>
        <v>6</v>
      </c>
      <c r="P12" s="96">
        <v>1</v>
      </c>
      <c r="Q12" s="99">
        <v>0</v>
      </c>
      <c r="R12" s="99">
        <v>0</v>
      </c>
      <c r="S12" s="112">
        <v>1</v>
      </c>
      <c r="T12" s="112">
        <v>4</v>
      </c>
      <c r="U12" s="112">
        <v>2</v>
      </c>
      <c r="V12" s="112">
        <v>1</v>
      </c>
      <c r="W12" s="112">
        <v>0</v>
      </c>
      <c r="X12" s="112">
        <v>0</v>
      </c>
      <c r="Y12" s="112">
        <v>0</v>
      </c>
      <c r="Z12" s="112">
        <v>0</v>
      </c>
      <c r="AA12" s="112">
        <v>1</v>
      </c>
      <c r="AB12" s="112">
        <v>2</v>
      </c>
      <c r="AC12" s="112">
        <v>0</v>
      </c>
      <c r="AD12" s="112">
        <v>0</v>
      </c>
      <c r="AE12" s="112">
        <f ca="1">SUMIFS('Tổng Đơn'!$F:$F,'Tổng Đơn'!$B:$B,'Quốc Nhân'!$C12)</f>
        <v>0</v>
      </c>
      <c r="AG12" s="97">
        <f t="shared" si="6"/>
        <v>0</v>
      </c>
    </row>
    <row r="13" spans="1:35" ht="18.75" x14ac:dyDescent="0.25">
      <c r="A13" s="97">
        <f t="shared" ca="1" si="1"/>
        <v>478.79344924769987</v>
      </c>
      <c r="B13" s="6">
        <v>9</v>
      </c>
      <c r="C13" s="99" t="s">
        <v>9</v>
      </c>
      <c r="D13" s="107">
        <v>85</v>
      </c>
      <c r="E13" s="6">
        <v>0.5</v>
      </c>
      <c r="F13" s="6">
        <v>40</v>
      </c>
      <c r="G13" s="110">
        <f t="shared" si="2"/>
        <v>42.5</v>
      </c>
      <c r="H13" s="113">
        <f t="shared" si="7"/>
        <v>1700</v>
      </c>
      <c r="I13" s="103">
        <f t="shared" si="3"/>
        <v>1.0266772043363503</v>
      </c>
      <c r="J13" s="104">
        <f t="shared" si="4"/>
        <v>43.526677204336352</v>
      </c>
      <c r="K13" s="104">
        <f t="shared" si="8"/>
        <v>1741.0670881734541</v>
      </c>
      <c r="L13" s="111">
        <v>55</v>
      </c>
      <c r="M13" s="102">
        <f t="shared" si="9"/>
        <v>2200</v>
      </c>
      <c r="N13" s="102">
        <f t="shared" ca="1" si="5"/>
        <v>1595</v>
      </c>
      <c r="O13" s="106">
        <f t="shared" ca="1" si="10"/>
        <v>11</v>
      </c>
      <c r="P13" s="96"/>
      <c r="Q13" s="99">
        <v>0</v>
      </c>
      <c r="R13" s="99">
        <v>0</v>
      </c>
      <c r="S13" s="112">
        <v>4</v>
      </c>
      <c r="T13" s="112">
        <v>1</v>
      </c>
      <c r="U13" s="112">
        <v>7</v>
      </c>
      <c r="V13" s="112">
        <v>2</v>
      </c>
      <c r="W13" s="112">
        <v>0</v>
      </c>
      <c r="X13" s="112">
        <v>3</v>
      </c>
      <c r="Y13" s="112">
        <v>2</v>
      </c>
      <c r="Z13" s="112">
        <v>0</v>
      </c>
      <c r="AA13" s="112">
        <v>0</v>
      </c>
      <c r="AB13" s="112">
        <v>0</v>
      </c>
      <c r="AC13" s="112">
        <v>1</v>
      </c>
      <c r="AD13" s="112">
        <v>5</v>
      </c>
      <c r="AE13" s="112">
        <f ca="1">SUMIFS('Tổng Đơn'!$F:$F,'Tổng Đơn'!$B:$B,'Quốc Nhân'!$C13)</f>
        <v>4</v>
      </c>
      <c r="AG13" s="97">
        <f t="shared" si="6"/>
        <v>0</v>
      </c>
    </row>
    <row r="14" spans="1:35" ht="18.75" x14ac:dyDescent="0.25">
      <c r="A14" s="97">
        <f t="shared" ca="1" si="1"/>
        <v>110.60896795454885</v>
      </c>
      <c r="B14" s="6">
        <v>10</v>
      </c>
      <c r="C14" s="99" t="s">
        <v>10</v>
      </c>
      <c r="D14" s="107">
        <v>54</v>
      </c>
      <c r="E14" s="6">
        <v>0.5</v>
      </c>
      <c r="F14" s="6">
        <v>10</v>
      </c>
      <c r="G14" s="110">
        <f t="shared" si="2"/>
        <v>27</v>
      </c>
      <c r="H14" s="113">
        <f t="shared" si="7"/>
        <v>270</v>
      </c>
      <c r="I14" s="103">
        <f t="shared" si="3"/>
        <v>0.65224198863721095</v>
      </c>
      <c r="J14" s="104">
        <f t="shared" si="4"/>
        <v>27.652241988637211</v>
      </c>
      <c r="K14" s="104">
        <f t="shared" si="8"/>
        <v>276.52241988637212</v>
      </c>
      <c r="L14" s="111">
        <v>32</v>
      </c>
      <c r="M14" s="102">
        <f t="shared" si="9"/>
        <v>320</v>
      </c>
      <c r="N14" s="102">
        <f t="shared" ca="1" si="5"/>
        <v>192</v>
      </c>
      <c r="O14" s="106">
        <f t="shared" ca="1" si="10"/>
        <v>4</v>
      </c>
      <c r="P14" s="96"/>
      <c r="Q14" s="99">
        <v>0</v>
      </c>
      <c r="R14" s="99">
        <v>0</v>
      </c>
      <c r="S14" s="112">
        <v>0</v>
      </c>
      <c r="T14" s="112">
        <v>1</v>
      </c>
      <c r="U14" s="112">
        <v>0</v>
      </c>
      <c r="V14" s="112">
        <v>0</v>
      </c>
      <c r="W14" s="112">
        <v>0</v>
      </c>
      <c r="X14" s="112">
        <v>0</v>
      </c>
      <c r="Y14" s="112">
        <v>0</v>
      </c>
      <c r="Z14" s="112">
        <v>0</v>
      </c>
      <c r="AA14" s="112">
        <v>0</v>
      </c>
      <c r="AB14" s="112">
        <v>0</v>
      </c>
      <c r="AC14" s="112">
        <v>5</v>
      </c>
      <c r="AD14" s="112">
        <v>0</v>
      </c>
      <c r="AE14" s="112">
        <f ca="1">SUMIFS('Tổng Đơn'!$F:$F,'Tổng Đơn'!$B:$B,'Quốc Nhân'!$C14)</f>
        <v>0</v>
      </c>
      <c r="AG14" s="97">
        <f t="shared" si="6"/>
        <v>0</v>
      </c>
    </row>
    <row r="15" spans="1:35" ht="18.75" x14ac:dyDescent="0.25">
      <c r="A15" s="97">
        <f t="shared" ca="1" si="1"/>
        <v>82.95672596591163</v>
      </c>
      <c r="B15" s="6">
        <v>11</v>
      </c>
      <c r="C15" s="99" t="s">
        <v>11</v>
      </c>
      <c r="D15" s="107">
        <v>54</v>
      </c>
      <c r="E15" s="6">
        <v>0.5</v>
      </c>
      <c r="F15" s="6">
        <v>10</v>
      </c>
      <c r="G15" s="110">
        <f t="shared" si="2"/>
        <v>27</v>
      </c>
      <c r="H15" s="113">
        <f t="shared" si="7"/>
        <v>270</v>
      </c>
      <c r="I15" s="103">
        <f t="shared" si="3"/>
        <v>0.65224198863721095</v>
      </c>
      <c r="J15" s="104">
        <f t="shared" si="4"/>
        <v>27.652241988637211</v>
      </c>
      <c r="K15" s="104">
        <f t="shared" si="8"/>
        <v>276.52241988637212</v>
      </c>
      <c r="L15" s="111">
        <v>35</v>
      </c>
      <c r="M15" s="102">
        <f t="shared" si="9"/>
        <v>350</v>
      </c>
      <c r="N15" s="102">
        <f t="shared" ca="1" si="5"/>
        <v>245</v>
      </c>
      <c r="O15" s="106">
        <f t="shared" ca="1" si="10"/>
        <v>3</v>
      </c>
      <c r="P15" s="96"/>
      <c r="Q15" s="99">
        <v>0</v>
      </c>
      <c r="R15" s="99">
        <v>0</v>
      </c>
      <c r="S15" s="112">
        <v>0</v>
      </c>
      <c r="T15" s="112">
        <v>0</v>
      </c>
      <c r="U15" s="112">
        <v>0</v>
      </c>
      <c r="V15" s="112">
        <v>0</v>
      </c>
      <c r="W15" s="112">
        <v>0</v>
      </c>
      <c r="X15" s="112">
        <v>0</v>
      </c>
      <c r="Y15" s="112">
        <v>0</v>
      </c>
      <c r="Z15" s="112">
        <v>0</v>
      </c>
      <c r="AA15" s="112">
        <v>0</v>
      </c>
      <c r="AB15" s="112">
        <v>0</v>
      </c>
      <c r="AC15" s="112">
        <v>3</v>
      </c>
      <c r="AD15" s="112">
        <v>3</v>
      </c>
      <c r="AE15" s="112">
        <f ca="1">SUMIFS('Tổng Đơn'!$F:$F,'Tổng Đơn'!$B:$B,'Quốc Nhân'!$C15)</f>
        <v>1</v>
      </c>
      <c r="AG15" s="97">
        <f t="shared" si="6"/>
        <v>0</v>
      </c>
    </row>
    <row r="16" spans="1:35" ht="18.75" x14ac:dyDescent="0.25">
      <c r="A16" s="97">
        <f t="shared" ca="1" si="1"/>
        <v>986.77537615007236</v>
      </c>
      <c r="B16" s="6">
        <v>12</v>
      </c>
      <c r="C16" s="99" t="s">
        <v>12</v>
      </c>
      <c r="D16" s="107">
        <v>41</v>
      </c>
      <c r="E16" s="6">
        <v>0.5</v>
      </c>
      <c r="F16" s="6">
        <v>120</v>
      </c>
      <c r="G16" s="110">
        <f t="shared" si="2"/>
        <v>20.5</v>
      </c>
      <c r="H16" s="113">
        <f t="shared" si="7"/>
        <v>2460</v>
      </c>
      <c r="I16" s="103">
        <f t="shared" si="3"/>
        <v>0.49522076915047492</v>
      </c>
      <c r="J16" s="104">
        <f t="shared" si="4"/>
        <v>20.995220769150475</v>
      </c>
      <c r="K16" s="104">
        <f t="shared" si="8"/>
        <v>2519.4264922980569</v>
      </c>
      <c r="L16" s="111">
        <v>26</v>
      </c>
      <c r="M16" s="102">
        <f t="shared" si="9"/>
        <v>3120</v>
      </c>
      <c r="N16" s="102">
        <f t="shared" ca="1" si="5"/>
        <v>1898</v>
      </c>
      <c r="O16" s="106">
        <f t="shared" ca="1" si="10"/>
        <v>47</v>
      </c>
      <c r="P16" s="96"/>
      <c r="Q16" s="99">
        <v>0</v>
      </c>
      <c r="R16" s="99">
        <v>0</v>
      </c>
      <c r="S16" s="112">
        <v>4</v>
      </c>
      <c r="T16" s="112">
        <v>2</v>
      </c>
      <c r="U16" s="112">
        <v>12</v>
      </c>
      <c r="V16" s="112">
        <v>0</v>
      </c>
      <c r="W16" s="112">
        <v>4</v>
      </c>
      <c r="X16" s="112">
        <v>0</v>
      </c>
      <c r="Y16" s="112">
        <v>4</v>
      </c>
      <c r="Z16" s="112">
        <v>5</v>
      </c>
      <c r="AA16" s="112">
        <v>5</v>
      </c>
      <c r="AB16" s="112">
        <v>16</v>
      </c>
      <c r="AC16" s="112">
        <v>12</v>
      </c>
      <c r="AD16" s="112">
        <v>1</v>
      </c>
      <c r="AE16" s="112">
        <f ca="1">SUMIFS('Tổng Đơn'!$F:$F,'Tổng Đơn'!$B:$B,'Quốc Nhân'!$C16)</f>
        <v>8</v>
      </c>
      <c r="AG16" s="97">
        <f t="shared" si="6"/>
        <v>0</v>
      </c>
    </row>
    <row r="17" spans="1:33" ht="18.75" x14ac:dyDescent="0.25">
      <c r="A17" s="97">
        <f t="shared" ca="1" si="1"/>
        <v>62.98566230745142</v>
      </c>
      <c r="B17" s="6">
        <v>13</v>
      </c>
      <c r="C17" s="99" t="s">
        <v>13</v>
      </c>
      <c r="D17" s="107">
        <v>41</v>
      </c>
      <c r="E17" s="6">
        <v>0.5</v>
      </c>
      <c r="F17" s="6">
        <v>20</v>
      </c>
      <c r="G17" s="110">
        <f t="shared" si="2"/>
        <v>20.5</v>
      </c>
      <c r="H17" s="113">
        <f t="shared" si="7"/>
        <v>410</v>
      </c>
      <c r="I17" s="103">
        <f t="shared" si="3"/>
        <v>0.49522076915047492</v>
      </c>
      <c r="J17" s="104">
        <f t="shared" si="4"/>
        <v>20.995220769150475</v>
      </c>
      <c r="K17" s="104">
        <f t="shared" si="8"/>
        <v>419.90441538300951</v>
      </c>
      <c r="L17" s="111">
        <v>28</v>
      </c>
      <c r="M17" s="102">
        <f t="shared" si="9"/>
        <v>560</v>
      </c>
      <c r="N17" s="102">
        <f t="shared" ca="1" si="5"/>
        <v>476</v>
      </c>
      <c r="O17" s="106">
        <f t="shared" ca="1" si="10"/>
        <v>3</v>
      </c>
      <c r="P17" s="96"/>
      <c r="Q17" s="99">
        <v>0</v>
      </c>
      <c r="R17" s="99">
        <v>0</v>
      </c>
      <c r="S17" s="112">
        <v>3</v>
      </c>
      <c r="T17" s="112">
        <v>2</v>
      </c>
      <c r="U17" s="112">
        <v>1</v>
      </c>
      <c r="V17" s="112">
        <v>0</v>
      </c>
      <c r="W17" s="112">
        <v>0</v>
      </c>
      <c r="X17" s="112">
        <v>3</v>
      </c>
      <c r="Y17" s="112">
        <v>2</v>
      </c>
      <c r="Z17" s="112">
        <v>1</v>
      </c>
      <c r="AA17" s="112">
        <v>0</v>
      </c>
      <c r="AB17" s="112">
        <v>1</v>
      </c>
      <c r="AC17" s="112">
        <v>4</v>
      </c>
      <c r="AD17" s="112">
        <v>0</v>
      </c>
      <c r="AE17" s="112">
        <f ca="1">SUMIFS('Tổng Đơn'!$F:$F,'Tổng Đơn'!$B:$B,'Quốc Nhân'!$C17)</f>
        <v>0</v>
      </c>
      <c r="AF17" s="97">
        <v>30</v>
      </c>
      <c r="AG17" s="97">
        <f t="shared" si="6"/>
        <v>615</v>
      </c>
    </row>
    <row r="18" spans="1:33" ht="18.75" x14ac:dyDescent="0.25">
      <c r="A18" s="97">
        <f t="shared" ca="1" si="1"/>
        <v>2281.3099640625701</v>
      </c>
      <c r="B18" s="6">
        <v>14</v>
      </c>
      <c r="C18" s="99" t="s">
        <v>14</v>
      </c>
      <c r="D18" s="107">
        <v>55</v>
      </c>
      <c r="E18" s="6">
        <v>0.5</v>
      </c>
      <c r="F18" s="6">
        <v>170</v>
      </c>
      <c r="G18" s="110">
        <f t="shared" si="2"/>
        <v>27.5</v>
      </c>
      <c r="H18" s="113">
        <f t="shared" si="7"/>
        <v>4675</v>
      </c>
      <c r="I18" s="103">
        <f t="shared" si="3"/>
        <v>0.66432054398234452</v>
      </c>
      <c r="J18" s="104">
        <f t="shared" si="4"/>
        <v>28.164320543982345</v>
      </c>
      <c r="K18" s="104">
        <f t="shared" si="8"/>
        <v>4787.9344924769985</v>
      </c>
      <c r="L18" s="111">
        <v>33</v>
      </c>
      <c r="M18" s="102">
        <f t="shared" si="9"/>
        <v>5610</v>
      </c>
      <c r="N18" s="102">
        <f t="shared" ca="1" si="5"/>
        <v>2937</v>
      </c>
      <c r="O18" s="106">
        <f t="shared" ca="1" si="10"/>
        <v>81</v>
      </c>
      <c r="P18" s="96"/>
      <c r="Q18" s="99">
        <v>0</v>
      </c>
      <c r="R18" s="99">
        <v>0</v>
      </c>
      <c r="S18" s="112">
        <v>12</v>
      </c>
      <c r="T18" s="112">
        <v>6</v>
      </c>
      <c r="U18" s="112">
        <v>6</v>
      </c>
      <c r="V18" s="112">
        <v>2</v>
      </c>
      <c r="W18" s="112">
        <v>3</v>
      </c>
      <c r="X18" s="112">
        <v>3</v>
      </c>
      <c r="Y18" s="112">
        <v>4</v>
      </c>
      <c r="Z18" s="112">
        <v>4</v>
      </c>
      <c r="AA18" s="112">
        <v>10</v>
      </c>
      <c r="AB18" s="112">
        <v>14</v>
      </c>
      <c r="AC18" s="112">
        <v>5</v>
      </c>
      <c r="AD18" s="112">
        <v>10</v>
      </c>
      <c r="AE18" s="112">
        <f ca="1">SUMIFS('Tổng Đơn'!$F:$F,'Tổng Đơn'!$B:$B,'Quốc Nhân'!$C18)</f>
        <v>10</v>
      </c>
      <c r="AG18" s="97">
        <f t="shared" si="6"/>
        <v>0</v>
      </c>
    </row>
    <row r="19" spans="1:33" ht="18.75" x14ac:dyDescent="0.25">
      <c r="A19" s="97">
        <f t="shared" ca="1" si="1"/>
        <v>153.62356660354007</v>
      </c>
      <c r="B19" s="6">
        <v>15</v>
      </c>
      <c r="C19" s="99" t="s">
        <v>15</v>
      </c>
      <c r="D19" s="107">
        <v>60</v>
      </c>
      <c r="E19" s="6">
        <v>0.5</v>
      </c>
      <c r="F19" s="6">
        <v>10</v>
      </c>
      <c r="G19" s="110">
        <f t="shared" si="2"/>
        <v>30</v>
      </c>
      <c r="H19" s="113">
        <f t="shared" si="7"/>
        <v>300</v>
      </c>
      <c r="I19" s="103">
        <f t="shared" si="3"/>
        <v>0.7247133207080122</v>
      </c>
      <c r="J19" s="104">
        <f t="shared" si="4"/>
        <v>30.724713320708013</v>
      </c>
      <c r="K19" s="104">
        <f t="shared" si="8"/>
        <v>307.24713320708014</v>
      </c>
      <c r="L19" s="111">
        <v>35</v>
      </c>
      <c r="M19" s="102">
        <f t="shared" si="9"/>
        <v>350</v>
      </c>
      <c r="N19" s="102">
        <f t="shared" ca="1" si="5"/>
        <v>175</v>
      </c>
      <c r="O19" s="106">
        <f t="shared" ca="1" si="10"/>
        <v>5</v>
      </c>
      <c r="P19" s="96"/>
      <c r="Q19" s="99">
        <v>0</v>
      </c>
      <c r="R19" s="99">
        <v>1</v>
      </c>
      <c r="S19" s="112">
        <v>0</v>
      </c>
      <c r="T19" s="112">
        <v>0</v>
      </c>
      <c r="U19" s="112">
        <v>0</v>
      </c>
      <c r="V19" s="112">
        <v>0</v>
      </c>
      <c r="W19" s="112">
        <v>0</v>
      </c>
      <c r="X19" s="112">
        <v>0</v>
      </c>
      <c r="Y19" s="112">
        <v>0</v>
      </c>
      <c r="Z19" s="112">
        <v>1</v>
      </c>
      <c r="AA19" s="112">
        <v>0</v>
      </c>
      <c r="AB19" s="112">
        <v>0</v>
      </c>
      <c r="AC19" s="112">
        <v>3</v>
      </c>
      <c r="AD19" s="112">
        <v>0</v>
      </c>
      <c r="AE19" s="112">
        <f ca="1">SUMIFS('Tổng Đơn'!$F:$F,'Tổng Đơn'!$B:$B,'Quốc Nhân'!$C19)</f>
        <v>0</v>
      </c>
      <c r="AG19" s="97">
        <f t="shared" si="6"/>
        <v>0</v>
      </c>
    </row>
    <row r="20" spans="1:33" ht="18.75" x14ac:dyDescent="0.25">
      <c r="A20" s="97">
        <f t="shared" ca="1" si="1"/>
        <v>55.304483977274423</v>
      </c>
      <c r="B20" s="6">
        <v>16</v>
      </c>
      <c r="C20" s="99" t="s">
        <v>165</v>
      </c>
      <c r="D20" s="107">
        <v>54</v>
      </c>
      <c r="E20" s="6">
        <v>0.5</v>
      </c>
      <c r="F20" s="6">
        <v>10</v>
      </c>
      <c r="G20" s="110">
        <f t="shared" si="2"/>
        <v>27</v>
      </c>
      <c r="H20" s="113">
        <f t="shared" ref="H20:H25" si="11">G20*F20</f>
        <v>270</v>
      </c>
      <c r="I20" s="103">
        <f t="shared" si="3"/>
        <v>0.65224198863721095</v>
      </c>
      <c r="J20" s="104">
        <f t="shared" ref="J20:J25" si="12">G20+I20</f>
        <v>27.652241988637211</v>
      </c>
      <c r="K20" s="104">
        <f t="shared" ref="K20:K25" si="13">J20*F20</f>
        <v>276.52241988637212</v>
      </c>
      <c r="L20" s="111">
        <v>45</v>
      </c>
      <c r="M20" s="102">
        <f t="shared" ref="M20:M25" si="14">L20*F20</f>
        <v>450</v>
      </c>
      <c r="N20" s="102">
        <f t="shared" ca="1" si="5"/>
        <v>405</v>
      </c>
      <c r="O20" s="106">
        <f t="shared" ca="1" si="10"/>
        <v>2</v>
      </c>
      <c r="P20" s="96">
        <v>-1</v>
      </c>
      <c r="Q20" s="99">
        <v>0</v>
      </c>
      <c r="R20" s="99">
        <v>0</v>
      </c>
      <c r="S20" s="112">
        <v>0</v>
      </c>
      <c r="T20" s="112">
        <v>0</v>
      </c>
      <c r="U20" s="112">
        <v>2</v>
      </c>
      <c r="V20" s="112">
        <v>0</v>
      </c>
      <c r="W20" s="112">
        <v>3</v>
      </c>
      <c r="X20" s="112">
        <v>0</v>
      </c>
      <c r="Y20" s="112">
        <v>3</v>
      </c>
      <c r="Z20" s="112">
        <v>1</v>
      </c>
      <c r="AA20" s="112">
        <v>0</v>
      </c>
      <c r="AB20" s="112">
        <v>0</v>
      </c>
      <c r="AC20" s="112">
        <v>0</v>
      </c>
      <c r="AD20" s="112">
        <v>0</v>
      </c>
      <c r="AE20" s="112">
        <f ca="1">SUMIFS('Tổng Đơn'!$F:$F,'Tổng Đơn'!$B:$B,'Quốc Nhân'!$C20)</f>
        <v>0</v>
      </c>
      <c r="AG20" s="97">
        <f t="shared" si="6"/>
        <v>0</v>
      </c>
    </row>
    <row r="21" spans="1:33" ht="18.75" x14ac:dyDescent="0.25">
      <c r="A21" s="97">
        <f t="shared" ca="1" si="1"/>
        <v>571.4796677651691</v>
      </c>
      <c r="B21" s="6">
        <v>17</v>
      </c>
      <c r="C21" s="99" t="s">
        <v>142</v>
      </c>
      <c r="D21" s="107">
        <v>62</v>
      </c>
      <c r="E21" s="6">
        <v>0.5</v>
      </c>
      <c r="F21" s="6">
        <v>45</v>
      </c>
      <c r="G21" s="110">
        <f t="shared" si="2"/>
        <v>31</v>
      </c>
      <c r="H21" s="113">
        <f t="shared" si="11"/>
        <v>1395</v>
      </c>
      <c r="I21" s="103">
        <f t="shared" si="3"/>
        <v>0.74887043139827925</v>
      </c>
      <c r="J21" s="104">
        <f t="shared" si="12"/>
        <v>31.748870431398281</v>
      </c>
      <c r="K21" s="104">
        <f t="shared" si="13"/>
        <v>1428.6991694129226</v>
      </c>
      <c r="L21" s="111">
        <v>40</v>
      </c>
      <c r="M21" s="102">
        <f t="shared" si="14"/>
        <v>1800</v>
      </c>
      <c r="N21" s="102">
        <f t="shared" ca="1" si="5"/>
        <v>1080</v>
      </c>
      <c r="O21" s="106">
        <f t="shared" ca="1" si="10"/>
        <v>18</v>
      </c>
      <c r="P21" s="96"/>
      <c r="Q21" s="99">
        <v>0</v>
      </c>
      <c r="R21" s="99">
        <v>0</v>
      </c>
      <c r="S21" s="112">
        <v>0</v>
      </c>
      <c r="T21" s="112">
        <v>0</v>
      </c>
      <c r="U21" s="112">
        <v>2</v>
      </c>
      <c r="V21" s="112">
        <v>0</v>
      </c>
      <c r="W21" s="112">
        <v>1</v>
      </c>
      <c r="X21" s="112">
        <v>2</v>
      </c>
      <c r="Y21" s="112">
        <v>2</v>
      </c>
      <c r="Z21" s="112">
        <v>1</v>
      </c>
      <c r="AA21" s="112">
        <v>5</v>
      </c>
      <c r="AB21" s="112">
        <v>6</v>
      </c>
      <c r="AC21" s="112">
        <v>3</v>
      </c>
      <c r="AD21" s="112">
        <v>1</v>
      </c>
      <c r="AE21" s="112">
        <f ca="1">SUMIFS('Tổng Đơn'!$F:$F,'Tổng Đơn'!$B:$B,'Quốc Nhân'!$C21)</f>
        <v>4</v>
      </c>
      <c r="AG21" s="97">
        <f t="shared" si="6"/>
        <v>0</v>
      </c>
    </row>
    <row r="22" spans="1:33" ht="18.75" x14ac:dyDescent="0.25">
      <c r="A22" s="97">
        <f t="shared" ca="1" si="1"/>
        <v>352.31004607745189</v>
      </c>
      <c r="B22" s="6">
        <v>18</v>
      </c>
      <c r="C22" s="99" t="s">
        <v>143</v>
      </c>
      <c r="D22" s="107">
        <v>43</v>
      </c>
      <c r="E22" s="6">
        <v>0.5</v>
      </c>
      <c r="F22" s="6">
        <v>25</v>
      </c>
      <c r="G22" s="110">
        <f t="shared" si="2"/>
        <v>21.5</v>
      </c>
      <c r="H22" s="113">
        <f t="shared" si="11"/>
        <v>537.5</v>
      </c>
      <c r="I22" s="103">
        <f t="shared" si="3"/>
        <v>0.51937787984074202</v>
      </c>
      <c r="J22" s="104">
        <f t="shared" si="12"/>
        <v>22.019377879840743</v>
      </c>
      <c r="K22" s="104">
        <f t="shared" si="13"/>
        <v>550.48444699601862</v>
      </c>
      <c r="L22" s="111">
        <v>35</v>
      </c>
      <c r="M22" s="102">
        <f t="shared" si="14"/>
        <v>875</v>
      </c>
      <c r="N22" s="102">
        <f t="shared" ca="1" si="5"/>
        <v>315</v>
      </c>
      <c r="O22" s="106">
        <f t="shared" ca="1" si="10"/>
        <v>16</v>
      </c>
      <c r="P22" s="96"/>
      <c r="Q22" s="99"/>
      <c r="R22" s="99"/>
      <c r="S22" s="112"/>
      <c r="T22" s="112"/>
      <c r="U22" s="112">
        <v>1</v>
      </c>
      <c r="V22" s="112">
        <v>1</v>
      </c>
      <c r="W22" s="112">
        <v>0</v>
      </c>
      <c r="X22" s="112">
        <v>0</v>
      </c>
      <c r="Y22" s="112">
        <v>2</v>
      </c>
      <c r="Z22" s="112">
        <v>1</v>
      </c>
      <c r="AA22" s="112">
        <v>0</v>
      </c>
      <c r="AB22" s="112">
        <v>0</v>
      </c>
      <c r="AC22" s="112">
        <v>1</v>
      </c>
      <c r="AD22" s="112">
        <v>1</v>
      </c>
      <c r="AE22" s="112">
        <f ca="1">SUMIFS('Tổng Đơn'!$F:$F,'Tổng Đơn'!$B:$B,'Quốc Nhân'!$C22)</f>
        <v>2</v>
      </c>
      <c r="AG22" s="97">
        <f t="shared" si="6"/>
        <v>0</v>
      </c>
    </row>
    <row r="23" spans="1:33" ht="18.75" x14ac:dyDescent="0.25">
      <c r="A23" s="97">
        <f t="shared" ca="1" si="1"/>
        <v>623.71168041037265</v>
      </c>
      <c r="B23" s="6">
        <v>19</v>
      </c>
      <c r="C23" s="99" t="s">
        <v>178</v>
      </c>
      <c r="D23" s="107">
        <v>43.5</v>
      </c>
      <c r="E23" s="6">
        <v>0.5</v>
      </c>
      <c r="F23" s="6">
        <v>40</v>
      </c>
      <c r="G23" s="110">
        <f t="shared" si="2"/>
        <v>21.75</v>
      </c>
      <c r="H23" s="113">
        <f t="shared" si="11"/>
        <v>870</v>
      </c>
      <c r="I23" s="103">
        <f t="shared" si="3"/>
        <v>0.52541715751330875</v>
      </c>
      <c r="J23" s="104">
        <f t="shared" si="12"/>
        <v>22.27541715751331</v>
      </c>
      <c r="K23" s="104">
        <f t="shared" si="13"/>
        <v>891.01668630053246</v>
      </c>
      <c r="L23" s="111">
        <v>30</v>
      </c>
      <c r="M23" s="102">
        <f t="shared" si="14"/>
        <v>1200</v>
      </c>
      <c r="N23" s="102">
        <f t="shared" ca="1" si="5"/>
        <v>360</v>
      </c>
      <c r="O23" s="106">
        <f t="shared" ca="1" si="10"/>
        <v>28</v>
      </c>
      <c r="P23" s="96"/>
      <c r="Q23" s="99"/>
      <c r="R23" s="99"/>
      <c r="S23" s="112"/>
      <c r="T23" s="112"/>
      <c r="U23" s="112"/>
      <c r="V23" s="112"/>
      <c r="W23" s="112"/>
      <c r="X23" s="112"/>
      <c r="Y23" s="112">
        <v>9</v>
      </c>
      <c r="Z23" s="112">
        <v>1</v>
      </c>
      <c r="AA23" s="112">
        <v>0</v>
      </c>
      <c r="AB23" s="112">
        <v>0</v>
      </c>
      <c r="AC23" s="112">
        <v>1</v>
      </c>
      <c r="AD23" s="112">
        <v>1</v>
      </c>
      <c r="AE23" s="112">
        <f ca="1">SUMIFS('Tổng Đơn'!$F:$F,'Tổng Đơn'!$B:$B,'Quốc Nhân'!$C23)</f>
        <v>0</v>
      </c>
      <c r="AG23" s="97">
        <f t="shared" si="6"/>
        <v>0</v>
      </c>
    </row>
    <row r="24" spans="1:33" ht="18.75" x14ac:dyDescent="0.25">
      <c r="A24" s="97">
        <f t="shared" ca="1" si="1"/>
        <v>159.76850926768165</v>
      </c>
      <c r="B24" s="6">
        <v>20</v>
      </c>
      <c r="C24" s="99" t="s">
        <v>176</v>
      </c>
      <c r="D24" s="107">
        <v>39</v>
      </c>
      <c r="E24" s="6">
        <v>1</v>
      </c>
      <c r="F24" s="6">
        <v>10</v>
      </c>
      <c r="G24" s="110">
        <f t="shared" si="2"/>
        <v>39</v>
      </c>
      <c r="H24" s="113">
        <f t="shared" si="11"/>
        <v>390</v>
      </c>
      <c r="I24" s="103">
        <f t="shared" si="3"/>
        <v>0.94212731692041574</v>
      </c>
      <c r="J24" s="104">
        <f t="shared" si="12"/>
        <v>39.942127316920413</v>
      </c>
      <c r="K24" s="104">
        <f t="shared" si="13"/>
        <v>399.42127316920414</v>
      </c>
      <c r="L24" s="111">
        <v>49</v>
      </c>
      <c r="M24" s="102">
        <f t="shared" si="14"/>
        <v>490</v>
      </c>
      <c r="N24" s="102">
        <f t="shared" ca="1" si="5"/>
        <v>294</v>
      </c>
      <c r="O24" s="106">
        <f t="shared" ca="1" si="10"/>
        <v>4</v>
      </c>
      <c r="P24" s="96"/>
      <c r="Q24" s="99"/>
      <c r="R24" s="99"/>
      <c r="S24" s="112"/>
      <c r="T24" s="112"/>
      <c r="U24" s="112"/>
      <c r="V24" s="112"/>
      <c r="W24" s="112"/>
      <c r="X24" s="112"/>
      <c r="Y24" s="112">
        <v>2</v>
      </c>
      <c r="Z24" s="112">
        <v>2</v>
      </c>
      <c r="AA24" s="112">
        <v>0</v>
      </c>
      <c r="AB24" s="112">
        <v>0</v>
      </c>
      <c r="AC24" s="112">
        <v>1</v>
      </c>
      <c r="AD24" s="112">
        <v>1</v>
      </c>
      <c r="AE24" s="112">
        <f ca="1">SUMIFS('Tổng Đơn'!$F:$F,'Tổng Đơn'!$B:$B,'Quốc Nhân'!$C24)</f>
        <v>0</v>
      </c>
      <c r="AF24" s="97">
        <v>10</v>
      </c>
      <c r="AG24" s="97">
        <f t="shared" si="6"/>
        <v>390</v>
      </c>
    </row>
    <row r="25" spans="1:33" ht="18.75" x14ac:dyDescent="0.25">
      <c r="A25" s="97">
        <f t="shared" ca="1" si="1"/>
        <v>1856.2847631261088</v>
      </c>
      <c r="B25" s="6">
        <v>21</v>
      </c>
      <c r="C25" s="99" t="s">
        <v>174</v>
      </c>
      <c r="D25" s="107">
        <v>145</v>
      </c>
      <c r="E25" s="6">
        <v>0.5</v>
      </c>
      <c r="F25" s="6">
        <v>36</v>
      </c>
      <c r="G25" s="110">
        <f t="shared" si="2"/>
        <v>72.5</v>
      </c>
      <c r="H25" s="113">
        <f t="shared" si="11"/>
        <v>2610</v>
      </c>
      <c r="I25" s="103">
        <f t="shared" si="3"/>
        <v>1.7513905250443627</v>
      </c>
      <c r="J25" s="104">
        <f t="shared" si="12"/>
        <v>74.251390525044357</v>
      </c>
      <c r="K25" s="104">
        <f t="shared" si="13"/>
        <v>2673.0500589015969</v>
      </c>
      <c r="L25" s="111">
        <v>80</v>
      </c>
      <c r="M25" s="102">
        <f t="shared" si="14"/>
        <v>2880</v>
      </c>
      <c r="N25" s="102">
        <f t="shared" ca="1" si="5"/>
        <v>880</v>
      </c>
      <c r="O25" s="106">
        <f t="shared" ca="1" si="10"/>
        <v>25</v>
      </c>
      <c r="P25" s="96"/>
      <c r="Q25" s="99"/>
      <c r="R25" s="99"/>
      <c r="S25" s="112"/>
      <c r="T25" s="112"/>
      <c r="U25" s="112"/>
      <c r="V25" s="112"/>
      <c r="W25" s="112"/>
      <c r="X25" s="112"/>
      <c r="Y25" s="112">
        <v>2</v>
      </c>
      <c r="Z25" s="112">
        <v>2</v>
      </c>
      <c r="AA25" s="112">
        <v>1</v>
      </c>
      <c r="AB25" s="112">
        <v>3</v>
      </c>
      <c r="AC25" s="112">
        <v>0</v>
      </c>
      <c r="AD25" s="112">
        <v>1</v>
      </c>
      <c r="AE25" s="112">
        <f ca="1">SUMIFS('Tổng Đơn'!$F:$F,'Tổng Đơn'!$B:$B,'Quốc Nhân'!$C25)</f>
        <v>2</v>
      </c>
      <c r="AG25" s="97">
        <f t="shared" si="6"/>
        <v>0</v>
      </c>
    </row>
    <row r="26" spans="1:33" ht="18.75" x14ac:dyDescent="0.25">
      <c r="A26" s="97">
        <f t="shared" ca="1" si="1"/>
        <v>454.7257571464786</v>
      </c>
      <c r="B26" s="6">
        <v>22</v>
      </c>
      <c r="C26" s="99" t="s">
        <v>180</v>
      </c>
      <c r="D26" s="107">
        <v>74</v>
      </c>
      <c r="E26" s="6">
        <v>0.5</v>
      </c>
      <c r="F26" s="6">
        <v>20</v>
      </c>
      <c r="G26" s="110">
        <f t="shared" si="2"/>
        <v>37</v>
      </c>
      <c r="H26" s="113">
        <f t="shared" ref="H26" si="15">G26*F26</f>
        <v>740</v>
      </c>
      <c r="I26" s="103">
        <f t="shared" si="3"/>
        <v>0.89381309553988153</v>
      </c>
      <c r="J26" s="104">
        <f t="shared" ref="J26" si="16">G26+I26</f>
        <v>37.893813095539883</v>
      </c>
      <c r="K26" s="104">
        <f t="shared" ref="K26" si="17">J26*F26</f>
        <v>757.87626191079767</v>
      </c>
      <c r="L26" s="111">
        <v>42</v>
      </c>
      <c r="M26" s="102">
        <f t="shared" ref="M26" si="18">L26*F26</f>
        <v>840</v>
      </c>
      <c r="N26" s="102">
        <f t="shared" ca="1" si="5"/>
        <v>294</v>
      </c>
      <c r="O26" s="106">
        <f t="shared" ca="1" si="10"/>
        <v>12</v>
      </c>
      <c r="P26" s="96">
        <v>1</v>
      </c>
      <c r="Q26" s="99"/>
      <c r="R26" s="99"/>
      <c r="S26" s="112"/>
      <c r="T26" s="112"/>
      <c r="U26" s="112"/>
      <c r="V26" s="112"/>
      <c r="W26" s="112"/>
      <c r="X26" s="112"/>
      <c r="Y26" s="112">
        <v>1</v>
      </c>
      <c r="Z26" s="112">
        <v>1</v>
      </c>
      <c r="AA26" s="112">
        <v>1</v>
      </c>
      <c r="AB26" s="112">
        <v>1</v>
      </c>
      <c r="AC26" s="112">
        <v>2</v>
      </c>
      <c r="AD26" s="112">
        <v>1</v>
      </c>
      <c r="AE26" s="112">
        <f ca="1">SUMIFS('Tổng Đơn'!$F:$F,'Tổng Đơn'!$B:$B,'Quốc Nhân'!$C26)</f>
        <v>0</v>
      </c>
      <c r="AG26" s="97">
        <f t="shared" si="6"/>
        <v>0</v>
      </c>
    </row>
    <row r="27" spans="1:33" ht="18.75" x14ac:dyDescent="0.25">
      <c r="A27" s="97">
        <f t="shared" ca="1" si="1"/>
        <v>271.91371288826588</v>
      </c>
      <c r="B27" s="6">
        <v>23</v>
      </c>
      <c r="C27" s="99" t="s">
        <v>182</v>
      </c>
      <c r="D27" s="107">
        <v>59</v>
      </c>
      <c r="E27" s="6">
        <v>0.5</v>
      </c>
      <c r="F27" s="6">
        <v>10</v>
      </c>
      <c r="G27" s="110">
        <f t="shared" si="2"/>
        <v>29.5</v>
      </c>
      <c r="H27" s="113">
        <f t="shared" ref="H27:H28" si="19">G27*F27</f>
        <v>295</v>
      </c>
      <c r="I27" s="103">
        <f t="shared" si="3"/>
        <v>0.71263476536287862</v>
      </c>
      <c r="J27" s="104">
        <f t="shared" ref="J27:J28" si="20">G27+I27</f>
        <v>30.212634765362878</v>
      </c>
      <c r="K27" s="104">
        <f t="shared" ref="K27:K28" si="21">J27*F27</f>
        <v>302.12634765362878</v>
      </c>
      <c r="L27" s="111">
        <v>35</v>
      </c>
      <c r="M27" s="102">
        <f t="shared" ref="M27:M28" si="22">L27*F27</f>
        <v>350</v>
      </c>
      <c r="N27" s="102">
        <f t="shared" ca="1" si="5"/>
        <v>0</v>
      </c>
      <c r="O27" s="106">
        <f t="shared" ca="1" si="10"/>
        <v>9</v>
      </c>
      <c r="P27" s="96">
        <v>1</v>
      </c>
      <c r="Q27" s="99"/>
      <c r="R27" s="99"/>
      <c r="S27" s="112"/>
      <c r="T27" s="112"/>
      <c r="U27" s="112"/>
      <c r="V27" s="112"/>
      <c r="W27" s="112"/>
      <c r="X27" s="112"/>
      <c r="Y27" s="112">
        <v>0</v>
      </c>
      <c r="Z27" s="112">
        <v>0</v>
      </c>
      <c r="AA27" s="112">
        <v>0</v>
      </c>
      <c r="AB27" s="112">
        <v>0</v>
      </c>
      <c r="AC27" s="112">
        <v>0</v>
      </c>
      <c r="AD27" s="112">
        <v>0</v>
      </c>
      <c r="AE27" s="112">
        <f ca="1">SUMIFS('Tổng Đơn'!$F:$F,'Tổng Đơn'!$B:$B,'Quốc Nhân'!$C27)</f>
        <v>0</v>
      </c>
      <c r="AG27" s="97">
        <f t="shared" si="6"/>
        <v>0</v>
      </c>
    </row>
    <row r="28" spans="1:33" ht="18.75" x14ac:dyDescent="0.25">
      <c r="A28" s="97">
        <f t="shared" ca="1" si="1"/>
        <v>193.56569392046049</v>
      </c>
      <c r="B28" s="6">
        <v>24</v>
      </c>
      <c r="C28" s="99" t="s">
        <v>183</v>
      </c>
      <c r="D28" s="107">
        <v>63</v>
      </c>
      <c r="E28" s="6">
        <v>0.5</v>
      </c>
      <c r="F28" s="6">
        <v>10</v>
      </c>
      <c r="G28" s="110">
        <f t="shared" si="2"/>
        <v>31.5</v>
      </c>
      <c r="H28" s="113">
        <f t="shared" si="19"/>
        <v>315</v>
      </c>
      <c r="I28" s="103">
        <f t="shared" si="3"/>
        <v>0.76094898674341271</v>
      </c>
      <c r="J28" s="104">
        <f t="shared" si="20"/>
        <v>32.260948986743415</v>
      </c>
      <c r="K28" s="104">
        <f t="shared" si="21"/>
        <v>322.60948986743415</v>
      </c>
      <c r="L28" s="111">
        <v>38</v>
      </c>
      <c r="M28" s="102">
        <f t="shared" si="22"/>
        <v>380</v>
      </c>
      <c r="N28" s="102">
        <f t="shared" ca="1" si="5"/>
        <v>152</v>
      </c>
      <c r="O28" s="106">
        <f t="shared" ca="1" si="10"/>
        <v>6</v>
      </c>
      <c r="P28" s="96"/>
      <c r="Q28" s="99"/>
      <c r="R28" s="99"/>
      <c r="S28" s="112"/>
      <c r="T28" s="112"/>
      <c r="U28" s="112"/>
      <c r="V28" s="112"/>
      <c r="W28" s="112"/>
      <c r="X28" s="112"/>
      <c r="Y28" s="112">
        <v>0</v>
      </c>
      <c r="Z28" s="112">
        <v>1</v>
      </c>
      <c r="AA28" s="112">
        <v>0</v>
      </c>
      <c r="AB28" s="112">
        <v>0</v>
      </c>
      <c r="AC28" s="112">
        <v>1</v>
      </c>
      <c r="AD28" s="112">
        <v>1</v>
      </c>
      <c r="AE28" s="112">
        <f ca="1">SUMIFS('Tổng Đơn'!$F:$F,'Tổng Đơn'!$B:$B,'Quốc Nhân'!$C28)</f>
        <v>1</v>
      </c>
      <c r="AG28" s="97">
        <f t="shared" si="6"/>
        <v>0</v>
      </c>
    </row>
    <row r="32" spans="1:33" x14ac:dyDescent="0.25">
      <c r="L32" s="97">
        <f>45+45+42+45+50+45+38+40</f>
        <v>350</v>
      </c>
    </row>
  </sheetData>
  <autoFilter ref="B4:M25"/>
  <mergeCells count="1">
    <mergeCell ref="B1:M1"/>
  </mergeCells>
  <conditionalFormatting sqref="C6:C19">
    <cfRule type="expression" dxfId="704" priority="15">
      <formula>($O6/$O6)&lt;=1/4</formula>
    </cfRule>
  </conditionalFormatting>
  <conditionalFormatting sqref="C20">
    <cfRule type="expression" dxfId="703" priority="14">
      <formula>($O20/$O20)&lt;=1/4</formula>
    </cfRule>
  </conditionalFormatting>
  <conditionalFormatting sqref="C21">
    <cfRule type="expression" dxfId="702" priority="12">
      <formula>($O21/$O21)&lt;=1/4</formula>
    </cfRule>
  </conditionalFormatting>
  <conditionalFormatting sqref="C22">
    <cfRule type="expression" dxfId="701" priority="10">
      <formula>($O22/$O22)&lt;=1/4</formula>
    </cfRule>
  </conditionalFormatting>
  <conditionalFormatting sqref="C23">
    <cfRule type="expression" dxfId="700" priority="8">
      <formula>($O23/$O23)&lt;=1/4</formula>
    </cfRule>
  </conditionalFormatting>
  <conditionalFormatting sqref="C24:C25">
    <cfRule type="expression" dxfId="699" priority="6">
      <formula>($O24/$O24)&lt;=1/4</formula>
    </cfRule>
  </conditionalFormatting>
  <conditionalFormatting sqref="C26">
    <cfRule type="expression" dxfId="698" priority="4">
      <formula>($O26/$O26)&lt;=1/4</formula>
    </cfRule>
  </conditionalFormatting>
  <conditionalFormatting sqref="C27:C28">
    <cfRule type="expression" dxfId="697" priority="2">
      <formula>($O27/$O27)&lt;=1/4</formula>
    </cfRule>
  </conditionalFormatting>
  <conditionalFormatting sqref="C5:C28">
    <cfRule type="expression" dxfId="69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76" t="s">
        <v>66</v>
      </c>
      <c r="B1" s="176"/>
      <c r="C1" s="176"/>
      <c r="E1" s="176" t="s">
        <v>66</v>
      </c>
      <c r="F1" s="176"/>
      <c r="G1" s="17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6"/>
  <sheetViews>
    <sheetView topLeftCell="B1" workbookViewId="0">
      <selection activeCell="F21" sqref="F21"/>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11837</v>
      </c>
      <c r="G1" s="122" t="s">
        <v>156</v>
      </c>
      <c r="H1" s="122">
        <f>60000+6217</f>
        <v>66217</v>
      </c>
      <c r="I1" s="123">
        <f>H1-H2-H3</f>
        <v>-32892</v>
      </c>
      <c r="J1" s="130" t="s">
        <v>154</v>
      </c>
    </row>
    <row r="2" spans="1:10" ht="27.75" customHeight="1" x14ac:dyDescent="0.25">
      <c r="G2" s="133" t="s">
        <v>153</v>
      </c>
      <c r="H2" s="124">
        <f>D1</f>
        <v>11837</v>
      </c>
      <c r="I2" s="125">
        <f>-3762+1120</f>
        <v>-2642</v>
      </c>
      <c r="J2" s="125" t="s">
        <v>157</v>
      </c>
    </row>
    <row r="3" spans="1:10" ht="27.75" customHeight="1" x14ac:dyDescent="0.25">
      <c r="G3" s="126" t="s">
        <v>155</v>
      </c>
      <c r="H3" s="138">
        <f>INT('Quốc Nhân'!K4+'La Cusina'!K4+TVP!J4)</f>
        <v>87272</v>
      </c>
      <c r="I3" s="127">
        <f>I1+I2</f>
        <v>-35534</v>
      </c>
      <c r="J3" s="131" t="s">
        <v>152</v>
      </c>
    </row>
    <row r="4" spans="1:10" ht="27.75" customHeight="1" x14ac:dyDescent="0.25">
      <c r="G4" s="128"/>
      <c r="H4" s="128"/>
      <c r="I4" s="129">
        <f ca="1">INT('Quốc Nhân'!K4+'La Cusina'!K4+TVP!J4-('Quốc Nhân'!A4+'La Cusina'!A4+TVP!A4))</f>
        <v>39219</v>
      </c>
      <c r="J4" s="132" t="s">
        <v>162</v>
      </c>
    </row>
    <row r="5" spans="1:10" ht="27.75" customHeight="1" x14ac:dyDescent="0.25">
      <c r="G5" s="128" t="s">
        <v>207</v>
      </c>
      <c r="H5" s="190">
        <v>10000</v>
      </c>
      <c r="I5" s="134">
        <f ca="1">I4+I3</f>
        <v>3685</v>
      </c>
      <c r="J5" s="135" t="s">
        <v>163</v>
      </c>
    </row>
    <row r="6" spans="1:10" x14ac:dyDescent="0.25">
      <c r="C6" t="s">
        <v>128</v>
      </c>
      <c r="D6">
        <v>400</v>
      </c>
      <c r="E6" t="s">
        <v>129</v>
      </c>
    </row>
    <row r="7" spans="1:10" x14ac:dyDescent="0.25">
      <c r="C7" t="s">
        <v>130</v>
      </c>
      <c r="D7">
        <v>1000</v>
      </c>
      <c r="E7" t="s">
        <v>129</v>
      </c>
      <c r="J7" s="136"/>
    </row>
    <row r="8" spans="1:10" x14ac:dyDescent="0.25">
      <c r="C8" t="s">
        <v>131</v>
      </c>
      <c r="D8">
        <v>80</v>
      </c>
      <c r="E8" t="s">
        <v>129</v>
      </c>
      <c r="H8" s="136"/>
      <c r="I8" s="136"/>
      <c r="J8" s="136"/>
    </row>
    <row r="9" spans="1:10" x14ac:dyDescent="0.25">
      <c r="C9" t="s">
        <v>132</v>
      </c>
      <c r="D9">
        <v>145</v>
      </c>
      <c r="E9" t="s">
        <v>133</v>
      </c>
      <c r="G9" s="136"/>
      <c r="H9" s="136"/>
      <c r="I9" s="136"/>
      <c r="J9" s="136"/>
    </row>
    <row r="10" spans="1:10" x14ac:dyDescent="0.25">
      <c r="C10" t="s">
        <v>134</v>
      </c>
      <c r="D10">
        <v>800</v>
      </c>
      <c r="E10" t="s">
        <v>133</v>
      </c>
      <c r="I10" s="136"/>
      <c r="J10" s="136"/>
    </row>
    <row r="11" spans="1:10" x14ac:dyDescent="0.25">
      <c r="C11" t="s">
        <v>135</v>
      </c>
      <c r="D11">
        <v>1500</v>
      </c>
      <c r="E11" t="s">
        <v>133</v>
      </c>
      <c r="I11" s="136"/>
      <c r="J11" s="136"/>
    </row>
    <row r="12" spans="1:10" x14ac:dyDescent="0.25">
      <c r="C12" t="s">
        <v>158</v>
      </c>
      <c r="D12">
        <v>160</v>
      </c>
      <c r="E12" t="s">
        <v>133</v>
      </c>
      <c r="I12" s="136"/>
      <c r="J12" s="136"/>
    </row>
    <row r="13" spans="1:10" x14ac:dyDescent="0.25">
      <c r="C13" t="s">
        <v>173</v>
      </c>
      <c r="D13">
        <v>42</v>
      </c>
      <c r="E13" t="s">
        <v>133</v>
      </c>
    </row>
    <row r="14" spans="1:10" x14ac:dyDescent="0.25">
      <c r="A14" t="s">
        <v>136</v>
      </c>
      <c r="B14">
        <v>40</v>
      </c>
      <c r="C14" s="157" t="s">
        <v>186</v>
      </c>
      <c r="D14" s="157">
        <v>7500</v>
      </c>
      <c r="E14" s="157" t="s">
        <v>133</v>
      </c>
      <c r="I14" s="136"/>
      <c r="J14" s="136"/>
    </row>
    <row r="15" spans="1:10" x14ac:dyDescent="0.25">
      <c r="A15" t="s">
        <v>137</v>
      </c>
      <c r="B15">
        <v>150</v>
      </c>
      <c r="C15" t="s">
        <v>187</v>
      </c>
      <c r="D15">
        <v>160</v>
      </c>
      <c r="E15" t="s">
        <v>133</v>
      </c>
      <c r="H15" s="136"/>
      <c r="I15" s="136"/>
    </row>
    <row r="16" spans="1:10" x14ac:dyDescent="0.25">
      <c r="A16" t="s">
        <v>138</v>
      </c>
      <c r="B16">
        <v>55</v>
      </c>
      <c r="C16" t="s">
        <v>193</v>
      </c>
      <c r="D16">
        <v>50</v>
      </c>
      <c r="E16" t="s">
        <v>133</v>
      </c>
      <c r="I16" s="13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tabSelected="1" zoomScale="85" zoomScaleNormal="85" workbookViewId="0">
      <pane ySplit="4" topLeftCell="A5" activePane="bottomLeft" state="frozen"/>
      <selection activeCell="Q5" sqref="Q5:Q22"/>
      <selection pane="bottomLeft" activeCell="F3" sqref="F3"/>
    </sheetView>
  </sheetViews>
  <sheetFormatPr defaultRowHeight="15.75" x14ac:dyDescent="0.25"/>
  <cols>
    <col min="1" max="1" width="14.14062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77">
        <f ca="1">'Quốc Nhân'!N4+'La Cusina'!N4+TVP!M4-('Quốc Nhân'!K4+'La Cusina'!K4+TVP!J4-('Quốc Nhân'!A4+'La Cusina'!A4+TVP!A4))</f>
        <v>7474.266616959525</v>
      </c>
      <c r="B1" s="183" t="str">
        <f>"Tiền Hàng: "&amp;INT('Quốc Nhân'!K4+'La Cusina'!K4+TVP!J4)</f>
        <v>Tiền Hàng: 87272</v>
      </c>
      <c r="C1" s="182" t="str">
        <f ca="1">"Giá trị hàng Tồn: "&amp;INT('Quốc Nhân'!A4+'La Cusina'!A4+TVP!A4)</f>
        <v>Giá trị hàng Tồn: 48053</v>
      </c>
      <c r="D1" s="181" t="str">
        <f ca="1">"Giá trị Hàng xuất: "&amp;CHAR(10)&amp;INT('Quốc Nhân'!K4+'La Cusina'!K4+TVP!J4-('Quốc Nhân'!A4+'La Cusina'!A4+TVP!A4))</f>
        <v>Giá trị Hàng xuất: 
39219</v>
      </c>
      <c r="E1" s="181" t="str">
        <f ca="1">"Doanh Thu Tích Lũy: "&amp;INT('Quốc Nhân'!N4+'La Cusina'!N4+TVP!M4)</f>
        <v>Doanh Thu Tích Lũy: 46694</v>
      </c>
      <c r="F1" s="179">
        <v>3685</v>
      </c>
      <c r="G1" s="119"/>
      <c r="H1" s="82"/>
      <c r="I1" s="82"/>
      <c r="J1" s="82"/>
      <c r="K1" s="120"/>
      <c r="L1" s="120"/>
      <c r="P1" s="42">
        <f ca="1">SUBTOTAL(3,INDIRECT("'Thanh Toán ("&amp;Q$3&amp;")'!$g$2:$g$50"))-COUNTIF(INDIRECT("'Thanh Toán ("&amp;Q$3&amp;")'!$g$2:$g$50"),""&amp;"*")</f>
        <v>3</v>
      </c>
    </row>
    <row r="2" spans="1:41" ht="28.5" customHeight="1" x14ac:dyDescent="0.25">
      <c r="A2" s="178"/>
      <c r="B2" s="183"/>
      <c r="C2" s="182"/>
      <c r="D2" s="181"/>
      <c r="E2" s="181"/>
      <c r="F2" s="180"/>
      <c r="G2" s="84"/>
      <c r="H2" s="84"/>
      <c r="I2" s="84"/>
      <c r="J2" s="120"/>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60</v>
      </c>
      <c r="C4" s="61"/>
      <c r="D4" s="61"/>
      <c r="E4" s="61"/>
      <c r="F4" s="61">
        <f ca="1">SUMPRODUCT(($E$5:$E$50)*($F$5:$F$50))</f>
        <v>39.25</v>
      </c>
      <c r="G4" s="61"/>
      <c r="H4" s="85">
        <f ca="1">SUBTOTAL(9,H5:H500)</f>
        <v>695069.12814253487</v>
      </c>
      <c r="I4" s="85">
        <f ca="1">H4-K2</f>
        <v>695069.12814253487</v>
      </c>
      <c r="J4" s="40">
        <f ca="1">SUBTOTAL(9,J5:J500)</f>
        <v>3145930.8718574652</v>
      </c>
      <c r="K4" s="67">
        <f ca="1">SUM(L4:AN4)</f>
        <v>3841000</v>
      </c>
      <c r="L4" s="93">
        <f t="shared" ref="L4:P4" ca="1" si="0">IFERROR(INDIRECT("'Thanh Toán ("&amp;L$3&amp;")'!$g"&amp;SUBTOTAL(3,INDIRECT("'Thanh Toán ("&amp;L$3&amp;")'!$g$2:$g$50"))+1-COUNTIF(INDIRECT("'Thanh Toán ("&amp;L$3&amp;")'!$g$2:$g$50"),""&amp;"*")),"")</f>
        <v>404000</v>
      </c>
      <c r="M4" s="93">
        <f t="shared" ca="1" si="0"/>
        <v>334000</v>
      </c>
      <c r="N4" s="93">
        <f t="shared" ca="1" si="0"/>
        <v>402000</v>
      </c>
      <c r="O4" s="93">
        <f t="shared" ca="1" si="0"/>
        <v>320000</v>
      </c>
      <c r="P4" s="93">
        <f t="shared" ca="1" si="0"/>
        <v>570000</v>
      </c>
      <c r="Q4" s="93">
        <f ca="1">IFERROR(INDIRECT("'Thanh Toán ("&amp;Q$3&amp;")'!$g"&amp;SUBTOTAL(3,INDIRECT("'Thanh Toán ("&amp;Q$3&amp;")'!$g$2:$g$50"))+1-COUNTIF(INDIRECT("'Thanh Toán ("&amp;Q$3&amp;")'!$g$2:$g$50"),""&amp;"*")),"")</f>
        <v>85000</v>
      </c>
      <c r="R4" s="93">
        <f t="shared" ref="R4:AO4" ca="1" si="1">IFERROR(INDIRECT("'Thanh Toán ("&amp;R$3&amp;")'!$g"&amp;SUBTOTAL(3,INDIRECT("'Thanh Toán ("&amp;R$3&amp;")'!$g$2:$g$50"))+1-COUNTIF(INDIRECT("'Thanh Toán ("&amp;R$3&amp;")'!$g$2:$g$50"),""&amp;"*")),"")</f>
        <v>33000</v>
      </c>
      <c r="S4" s="93">
        <f t="shared" ca="1" si="1"/>
        <v>224000</v>
      </c>
      <c r="T4" s="93">
        <f t="shared" ca="1" si="1"/>
        <v>40000</v>
      </c>
      <c r="U4" s="93">
        <f t="shared" ca="1" si="1"/>
        <v>152000</v>
      </c>
      <c r="V4" s="93">
        <f t="shared" ca="1" si="1"/>
        <v>45000</v>
      </c>
      <c r="W4" s="93">
        <f t="shared" ca="1" si="1"/>
        <v>110000</v>
      </c>
      <c r="X4" s="93">
        <f t="shared" ca="1" si="1"/>
        <v>468000</v>
      </c>
      <c r="Y4" s="93">
        <f t="shared" ca="1" si="1"/>
        <v>166000</v>
      </c>
      <c r="Z4" s="93">
        <f t="shared" ca="1" si="1"/>
        <v>33000</v>
      </c>
      <c r="AA4" s="93">
        <f t="shared" ca="1" si="1"/>
        <v>69000</v>
      </c>
      <c r="AB4" s="93">
        <f t="shared" ca="1" si="1"/>
        <v>139000</v>
      </c>
      <c r="AC4" s="93">
        <f t="shared" ca="1" si="1"/>
        <v>137000</v>
      </c>
      <c r="AD4" s="93">
        <f t="shared" ca="1" si="1"/>
        <v>85000</v>
      </c>
      <c r="AE4" s="93">
        <f t="shared" ca="1" si="1"/>
        <v>25000</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2" t="s">
        <v>25</v>
      </c>
      <c r="C5" s="23" t="s">
        <v>108</v>
      </c>
      <c r="D5" s="44">
        <f>VLOOKUP($C5,Sheet1!$C$2:$D$99,2,0)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7" customFormat="1" x14ac:dyDescent="0.25">
      <c r="A6" s="27">
        <v>2</v>
      </c>
      <c r="B6" s="153" t="s">
        <v>1</v>
      </c>
      <c r="C6" s="27" t="s">
        <v>109</v>
      </c>
      <c r="D6" s="44">
        <f>VLOOKUP($C6,Sheet1!$C$2:$D$99,2,0)</f>
        <v>25000</v>
      </c>
      <c r="E6" s="60">
        <v>0.5</v>
      </c>
      <c r="F6" s="58">
        <f t="shared" ref="F6:F54" ca="1" si="3">SUM(L6:BW6)</f>
        <v>8</v>
      </c>
      <c r="G6" s="58">
        <v>21.779779860886041</v>
      </c>
      <c r="H6" s="58">
        <f t="shared" ca="1" si="2"/>
        <v>25761.761112911685</v>
      </c>
      <c r="I6" s="58"/>
      <c r="J6" s="58">
        <f t="shared" ref="J6:J63" ca="1" si="4">F6*G6*1000</f>
        <v>174238.23888708832</v>
      </c>
      <c r="K6" s="58"/>
      <c r="L6" s="116">
        <f ca="1">IFERROR(SUMIFS(INDIRECT("'Thanh Toán ("&amp;L$3&amp;")'!$e:$e"),INDIRECT("'Thanh Toán ("&amp;L$3&amp;")'!$B:$B"),'Tổng Đơn'!$B6),0)</f>
        <v>2</v>
      </c>
      <c r="M6" s="116">
        <f ca="1">IFERROR(SUMIFS(INDIRECT("'Thanh Toán ("&amp;M$3&amp;")'!$e:$e"),INDIRECT("'Thanh Toán ("&amp;M$3&amp;")'!$B:$B"),'Tổng Đơn'!$B6),0)</f>
        <v>0</v>
      </c>
      <c r="N6" s="116">
        <f ca="1">IFERROR(SUMIFS(INDIRECT("'Thanh Toán ("&amp;N$3&amp;")'!$e:$e"),INDIRECT("'Thanh Toán ("&amp;N$3&amp;")'!$B:$B"),'Tổng Đơn'!$B6),0)</f>
        <v>1</v>
      </c>
      <c r="O6" s="116">
        <f ca="1">IFERROR(SUMIFS(INDIRECT("'Thanh Toán ("&amp;O$3&amp;")'!$e:$e"),INDIRECT("'Thanh Toán ("&amp;O$3&amp;")'!$B:$B"),'Tổng Đơn'!$B6),0)</f>
        <v>0</v>
      </c>
      <c r="P6" s="116">
        <f ca="1">IFERROR(SUMIFS(INDIRECT("'Thanh Toán ("&amp;P$3&amp;")'!$e:$e"),INDIRECT("'Thanh Toán ("&amp;P$3&amp;")'!$B:$B"),'Tổng Đơn'!$B6),0)</f>
        <v>1</v>
      </c>
      <c r="Q6" s="116">
        <f ca="1">IFERROR(SUMIFS(INDIRECT("'Thanh Toán ("&amp;Q$3&amp;")'!$e:$e"),INDIRECT("'Thanh Toán ("&amp;Q$3&amp;")'!$B:$B"),'Tổng Đơn'!$B6),0)</f>
        <v>0</v>
      </c>
      <c r="R6" s="116">
        <f ca="1">IFERROR(SUMIFS(INDIRECT("'Thanh Toán ("&amp;R$3&amp;")'!$e:$e"),INDIRECT("'Thanh Toán ("&amp;R$3&amp;")'!$B:$B"),'Tổng Đơn'!$B6),0)</f>
        <v>0</v>
      </c>
      <c r="S6" s="116">
        <f ca="1">IFERROR(SUMIFS(INDIRECT("'Thanh Toán ("&amp;S$3&amp;")'!$e:$e"),INDIRECT("'Thanh Toán ("&amp;S$3&amp;")'!$B:$B"),'Tổng Đơn'!$B6),0)</f>
        <v>0</v>
      </c>
      <c r="T6" s="116">
        <f ca="1">IFERROR(SUMIFS(INDIRECT("'Thanh Toán ("&amp;T$3&amp;")'!$e:$e"),INDIRECT("'Thanh Toán ("&amp;T$3&amp;")'!$B:$B"),'Tổng Đơn'!$B6),0)</f>
        <v>0</v>
      </c>
      <c r="U6" s="116">
        <f ca="1">IFERROR(SUMIFS(INDIRECT("'Thanh Toán ("&amp;U$3&amp;")'!$e:$e"),INDIRECT("'Thanh Toán ("&amp;U$3&amp;")'!$B:$B"),'Tổng Đơn'!$B6),0)</f>
        <v>0</v>
      </c>
      <c r="V6" s="116">
        <f ca="1">IFERROR(SUMIFS(INDIRECT("'Thanh Toán ("&amp;V$3&amp;")'!$e:$e"),INDIRECT("'Thanh Toán ("&amp;V$3&amp;")'!$B:$B"),'Tổng Đơn'!$B6),0)</f>
        <v>0</v>
      </c>
      <c r="W6" s="116">
        <f ca="1">IFERROR(SUMIFS(INDIRECT("'Thanh Toán ("&amp;W$3&amp;")'!$e:$e"),INDIRECT("'Thanh Toán ("&amp;W$3&amp;")'!$B:$B"),'Tổng Đơn'!$B6),0)</f>
        <v>0</v>
      </c>
      <c r="X6" s="116">
        <f ca="1">IFERROR(SUMIFS(INDIRECT("'Thanh Toán ("&amp;X$3&amp;")'!$e:$e"),INDIRECT("'Thanh Toán ("&amp;X$3&amp;")'!$B:$B"),'Tổng Đơn'!$B6),0)</f>
        <v>0</v>
      </c>
      <c r="Y6" s="116">
        <f ca="1">IFERROR(SUMIFS(INDIRECT("'Thanh Toán ("&amp;Y$3&amp;")'!$e:$e"),INDIRECT("'Thanh Toán ("&amp;Y$3&amp;")'!$B:$B"),'Tổng Đơn'!$B6),0)</f>
        <v>2</v>
      </c>
      <c r="Z6" s="116">
        <f ca="1">IFERROR(SUMIFS(INDIRECT("'Thanh Toán ("&amp;Z$3&amp;")'!$e:$e"),INDIRECT("'Thanh Toán ("&amp;Z$3&amp;")'!$B:$B"),'Tổng Đơn'!$B6),0)</f>
        <v>0</v>
      </c>
      <c r="AA6" s="116">
        <f ca="1">IFERROR(SUMIFS(INDIRECT("'Thanh Toán ("&amp;AA$3&amp;")'!$e:$e"),INDIRECT("'Thanh Toán ("&amp;AA$3&amp;")'!$B:$B"),'Tổng Đơn'!$B6),0)</f>
        <v>0</v>
      </c>
      <c r="AB6" s="116">
        <f ca="1">IFERROR(SUMIFS(INDIRECT("'Thanh Toán ("&amp;AB$3&amp;")'!$e:$e"),INDIRECT("'Thanh Toán ("&amp;AB$3&amp;")'!$B:$B"),'Tổng Đơn'!$B6),0)</f>
        <v>1</v>
      </c>
      <c r="AC6" s="116">
        <f ca="1">IFERROR(SUMIFS(INDIRECT("'Thanh Toán ("&amp;AC$3&amp;")'!$e:$e"),INDIRECT("'Thanh Toán ("&amp;AC$3&amp;")'!$B:$B"),'Tổng Đơn'!$B6),0)</f>
        <v>0</v>
      </c>
      <c r="AD6" s="116">
        <f ca="1">IFERROR(SUMIFS(INDIRECT("'Thanh Toán ("&amp;AD$3&amp;")'!$e:$e"),INDIRECT("'Thanh Toán ("&amp;AD$3&amp;")'!$B:$B"),'Tổng Đơn'!$B6),0)</f>
        <v>0</v>
      </c>
      <c r="AE6" s="116">
        <f ca="1">IFERROR(SUMIFS(INDIRECT("'Thanh Toán ("&amp;AE$3&amp;")'!$e:$e"),INDIRECT("'Thanh Toán ("&amp;AE$3&amp;")'!$B:$B"),'Tổng Đơn'!$B6),0)</f>
        <v>1</v>
      </c>
      <c r="AF6" s="116">
        <f ca="1">IFERROR(SUMIFS(INDIRECT("'Thanh Toán ("&amp;AF$3&amp;")'!$e:$e"),INDIRECT("'Thanh Toán ("&amp;AF$3&amp;")'!$B:$B"),'Tổng Đơn'!$B6),0)</f>
        <v>0</v>
      </c>
      <c r="AG6" s="116">
        <f ca="1">IFERROR(SUMIFS(INDIRECT("'Thanh Toán ("&amp;AG$3&amp;")'!$e:$e"),INDIRECT("'Thanh Toán ("&amp;AG$3&amp;")'!$B:$B"),'Tổng Đơn'!$B6),0)</f>
        <v>0</v>
      </c>
      <c r="AH6" s="116">
        <f ca="1">IFERROR(SUMIFS(INDIRECT("'Thanh Toán ("&amp;AH$3&amp;")'!$e:$e"),INDIRECT("'Thanh Toán ("&amp;AH$3&amp;")'!$B:$B"),'Tổng Đơn'!$B6),0)</f>
        <v>0</v>
      </c>
      <c r="AI6" s="116">
        <f ca="1">IFERROR(SUMIFS(INDIRECT("'Thanh Toán ("&amp;AI$3&amp;")'!$e:$e"),INDIRECT("'Thanh Toán ("&amp;AI$3&amp;")'!$B:$B"),'Tổng Đơn'!$B6),0)</f>
        <v>0</v>
      </c>
      <c r="AJ6" s="116">
        <f ca="1">IFERROR(SUMIFS(INDIRECT("'Thanh Toán ("&amp;AJ$3&amp;")'!$e:$e"),INDIRECT("'Thanh Toán ("&amp;AJ$3&amp;")'!$B:$B"),'Tổng Đơn'!$B6),0)</f>
        <v>0</v>
      </c>
      <c r="AK6" s="116">
        <f ca="1">IFERROR(SUMIFS(INDIRECT("'Thanh Toán ("&amp;AK$3&amp;")'!$e:$e"),INDIRECT("'Thanh Toán ("&amp;AK$3&amp;")'!$B:$B"),'Tổng Đơn'!$B6),0)</f>
        <v>0</v>
      </c>
      <c r="AL6" s="116">
        <f ca="1">IFERROR(SUMIFS(INDIRECT("'Thanh Toán ("&amp;AL$3&amp;")'!$e:$e"),INDIRECT("'Thanh Toán ("&amp;AL$3&amp;")'!$B:$B"),'Tổng Đơn'!$B6),0)</f>
        <v>0</v>
      </c>
      <c r="AM6" s="116">
        <f ca="1">IFERROR(SUMIFS(INDIRECT("'Thanh Toán ("&amp;AM$3&amp;")'!$e:$e"),INDIRECT("'Thanh Toán ("&amp;AM$3&amp;")'!$B:$B"),'Tổng Đơn'!$B6),0)</f>
        <v>0</v>
      </c>
      <c r="AN6" s="116">
        <f ca="1">IFERROR(SUMIFS(INDIRECT("'Thanh Toán ("&amp;AN$3&amp;")'!$e:$e"),INDIRECT("'Thanh Toán ("&amp;AN$3&amp;")'!$B:$B"),'Tổng Đơn'!$B6),0)</f>
        <v>0</v>
      </c>
      <c r="AO6" s="116">
        <f ca="1">IFERROR(SUMIFS(INDIRECT("'Thanh Toán ("&amp;AO$3&amp;")'!$e:$e"),INDIRECT("'Thanh Toán ("&amp;AO$3&amp;")'!$B:$B"),'Tổng Đơn'!$B6),0)</f>
        <v>0</v>
      </c>
    </row>
    <row r="7" spans="1:41" x14ac:dyDescent="0.25">
      <c r="A7" s="23">
        <v>3</v>
      </c>
      <c r="B7" s="152" t="s">
        <v>2</v>
      </c>
      <c r="C7" s="23" t="s">
        <v>110</v>
      </c>
      <c r="D7" s="44">
        <f>VLOOKUP($C7,Sheet1!$C$2:$D$99,2,0)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2" t="s">
        <v>3</v>
      </c>
      <c r="C8" s="23" t="s">
        <v>111</v>
      </c>
      <c r="D8" s="44">
        <f>VLOOKUP($C8,Sheet1!$C$2:$D$99,2,0)</f>
        <v>30000</v>
      </c>
      <c r="E8" s="60">
        <v>0.5</v>
      </c>
      <c r="F8" s="58">
        <f t="shared" ca="1" si="3"/>
        <v>1</v>
      </c>
      <c r="G8" s="58">
        <v>22.292245269377478</v>
      </c>
      <c r="H8" s="58">
        <f t="shared" ca="1" si="2"/>
        <v>7707.7547306225206</v>
      </c>
      <c r="I8" s="58"/>
      <c r="J8" s="58">
        <f t="shared" ca="1" si="4"/>
        <v>22292.245269377479</v>
      </c>
      <c r="K8" s="161">
        <f ca="1">H4/J4</f>
        <v>0.22094227637371519</v>
      </c>
      <c r="L8" s="2">
        <f ca="1">IFERROR(SUMIFS(INDIRECT("'Thanh Toán ("&amp;L$3&amp;")'!$e:$e"),INDIRECT("'Thanh Toán ("&amp;L$3&amp;")'!$B:$B"),'Tổng Đơn'!$B8),0)</f>
        <v>1</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2" t="s">
        <v>30</v>
      </c>
      <c r="C9" s="23" t="s">
        <v>112</v>
      </c>
      <c r="D9" s="44">
        <f>VLOOKUP($C9,Sheet1!$C$2:$D$99,2,0)</f>
        <v>38000</v>
      </c>
      <c r="E9" s="60">
        <v>0.5</v>
      </c>
      <c r="F9" s="58">
        <f t="shared" ca="1" si="3"/>
        <v>14</v>
      </c>
      <c r="G9" s="58">
        <v>34.783991271105947</v>
      </c>
      <c r="H9" s="58">
        <f t="shared" ca="1" si="2"/>
        <v>45024.122204516781</v>
      </c>
      <c r="I9" s="58"/>
      <c r="J9" s="58">
        <f t="shared" ca="1" si="4"/>
        <v>486975.87779548328</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2</v>
      </c>
      <c r="O9" s="2">
        <f ca="1">IFERROR(SUMIFS(INDIRECT("'Thanh Toán ("&amp;O$3&amp;")'!$e:$e"),INDIRECT("'Thanh Toán ("&amp;O$3&amp;")'!$B:$B"),'Tổng Đơn'!$B9),0)</f>
        <v>5</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6</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1</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2" t="s">
        <v>28</v>
      </c>
      <c r="C10" s="23" t="s">
        <v>113</v>
      </c>
      <c r="D10" s="44">
        <f>VLOOKUP($C10,Sheet1!$C$2:$D$99,2,0)</f>
        <v>42000</v>
      </c>
      <c r="E10" s="60">
        <v>0.5</v>
      </c>
      <c r="F10" s="58">
        <f t="shared" ca="1" si="3"/>
        <v>2</v>
      </c>
      <c r="G10" s="58">
        <v>37.341637688099034</v>
      </c>
      <c r="H10" s="58">
        <f t="shared" ca="1" si="2"/>
        <v>9316.7246238019288</v>
      </c>
      <c r="I10" s="58"/>
      <c r="J10" s="58">
        <f t="shared" ca="1" si="4"/>
        <v>74683.275376198071</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1</v>
      </c>
      <c r="O10" s="2">
        <f ca="1">IFERROR(SUMIFS(INDIRECT("'Thanh Toán ("&amp;O$3&amp;")'!$e:$e"),INDIRECT("'Thanh Toán ("&amp;O$3&amp;")'!$B:$B"),'Tổng Đơn'!$B10),0)</f>
        <v>0</v>
      </c>
      <c r="P10" s="2">
        <f ca="1">IFERROR(SUMIFS(INDIRECT("'Thanh Toán ("&amp;P$3&amp;")'!$e:$e"),INDIRECT("'Thanh Toán ("&amp;P$3&amp;")'!$B:$B"),'Tổng Đơn'!$B10),0)</f>
        <v>1</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2" t="s">
        <v>26</v>
      </c>
      <c r="C11" s="23" t="s">
        <v>114</v>
      </c>
      <c r="D11" s="44">
        <f>VLOOKUP($C11,Sheet1!$C$2:$D$99,2,0)</f>
        <v>34000</v>
      </c>
      <c r="E11" s="60">
        <v>0.25</v>
      </c>
      <c r="F11" s="58">
        <f t="shared" ca="1" si="3"/>
        <v>3</v>
      </c>
      <c r="G11" s="58">
        <v>28.98324919736563</v>
      </c>
      <c r="H11" s="58">
        <f t="shared" ca="1" si="2"/>
        <v>15050.252407903114</v>
      </c>
      <c r="I11" s="58"/>
      <c r="J11" s="58">
        <f t="shared" ca="1" si="4"/>
        <v>86949.747592096886</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3</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2" t="s">
        <v>61</v>
      </c>
      <c r="C12" s="23" t="s">
        <v>115</v>
      </c>
      <c r="D12" s="44">
        <f>VLOOKUP($C12,Sheet1!$C$2:$D$99,2,0)</f>
        <v>35000</v>
      </c>
      <c r="E12" s="60">
        <v>0.5</v>
      </c>
      <c r="F12" s="58">
        <f t="shared" ca="1" si="3"/>
        <v>1</v>
      </c>
      <c r="G12" s="58">
        <v>30.180227720518396</v>
      </c>
      <c r="H12" s="58">
        <f t="shared" ca="1" si="2"/>
        <v>4819.7722794816036</v>
      </c>
      <c r="I12" s="58"/>
      <c r="J12" s="58">
        <f t="shared" ca="1" si="4"/>
        <v>30180.227720518396</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1</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2" t="s">
        <v>164</v>
      </c>
      <c r="C13" s="23" t="s">
        <v>116</v>
      </c>
      <c r="D13" s="44">
        <f>VLOOKUP($C13,Sheet1!$C$2:$D$99,2,0)</f>
        <v>45000</v>
      </c>
      <c r="E13" s="60">
        <v>0.5</v>
      </c>
      <c r="F13" s="58">
        <f t="shared" ca="1" si="3"/>
        <v>3</v>
      </c>
      <c r="G13" s="58">
        <v>32.226344854112867</v>
      </c>
      <c r="H13" s="58">
        <f t="shared" ca="1" si="2"/>
        <v>38320.965437661398</v>
      </c>
      <c r="I13" s="58"/>
      <c r="J13" s="58">
        <f t="shared" ca="1" si="4"/>
        <v>96679.034562338595</v>
      </c>
      <c r="K13" s="58"/>
      <c r="L13" s="2">
        <f ca="1">IFERROR(SUMIFS(INDIRECT("'Thanh Toán ("&amp;L$3&amp;")'!$e:$e"),INDIRECT("'Thanh Toán ("&amp;L$3&amp;")'!$B:$B"),'Tổng Đơn'!$B13),0)</f>
        <v>0</v>
      </c>
      <c r="M13" s="2">
        <f ca="1">IFERROR(SUMIFS(INDIRECT("'Thanh Toán ("&amp;M$3&amp;")'!$e:$e"),INDIRECT("'Thanh Toán ("&amp;M$3&amp;")'!$B:$B"),'Tổng Đơn'!$B13),0)</f>
        <v>1</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1</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1</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2" t="s">
        <v>6</v>
      </c>
      <c r="C14" s="23" t="s">
        <v>69</v>
      </c>
      <c r="D14" s="44">
        <f>VLOOKUP($C14,Sheet1!$C$2:$D$99,2,0)</f>
        <v>50000</v>
      </c>
      <c r="E14" s="60">
        <v>0.5</v>
      </c>
      <c r="F14" s="58">
        <f t="shared" ca="1" si="3"/>
        <v>5</v>
      </c>
      <c r="G14" s="58">
        <v>44.072025130263519</v>
      </c>
      <c r="H14" s="58">
        <f t="shared" ca="1" si="2"/>
        <v>29639.874348682388</v>
      </c>
      <c r="I14" s="58"/>
      <c r="J14" s="58">
        <f t="shared" ca="1" si="4"/>
        <v>220360.12565131759</v>
      </c>
      <c r="K14" s="58"/>
      <c r="L14" s="2">
        <f ca="1">IFERROR(SUMIFS(INDIRECT("'Thanh Toán ("&amp;L$3&amp;")'!$e:$e"),INDIRECT("'Thanh Toán ("&amp;L$3&amp;")'!$B:$B"),'Tổng Đơn'!$B14),0)</f>
        <v>3</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1</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1</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2" t="s">
        <v>58</v>
      </c>
      <c r="C15" s="23" t="s">
        <v>70</v>
      </c>
      <c r="D15" s="44">
        <f>VLOOKUP($C15,Sheet1!$C$2:$D$99,2,0)</f>
        <v>45000</v>
      </c>
      <c r="E15" s="60">
        <v>0.5</v>
      </c>
      <c r="F15" s="58">
        <f t="shared" ca="1" si="3"/>
        <v>1</v>
      </c>
      <c r="G15" s="58">
        <v>40.922342671889353</v>
      </c>
      <c r="H15" s="58">
        <f t="shared" ca="1" si="2"/>
        <v>4077.6573281106466</v>
      </c>
      <c r="I15" s="58"/>
      <c r="J15" s="58">
        <f t="shared" ca="1" si="4"/>
        <v>40922.342671889353</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1</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2" t="s">
        <v>35</v>
      </c>
      <c r="C16" s="23" t="s">
        <v>71</v>
      </c>
      <c r="D16" s="44">
        <f>VLOOKUP($C16,Sheet1!$C$2:$D$99,2,0)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2" t="s">
        <v>32</v>
      </c>
      <c r="C17" s="23" t="s">
        <v>72</v>
      </c>
      <c r="D17" s="44">
        <f>VLOOKUP($C17,Sheet1!$C$2:$D$99,2,0)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2" t="s">
        <v>34</v>
      </c>
      <c r="C18" s="23" t="s">
        <v>73</v>
      </c>
      <c r="D18" s="44">
        <f>VLOOKUP($C18,Sheet1!$C$2:$D$99,2,0)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2" t="s">
        <v>33</v>
      </c>
      <c r="C19" s="23" t="s">
        <v>74</v>
      </c>
      <c r="D19" s="44">
        <f>VLOOKUP($C19,Sheet1!$C$2:$D$99,2,0)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2" t="s">
        <v>5</v>
      </c>
      <c r="C20" s="23" t="s">
        <v>75</v>
      </c>
      <c r="D20" s="44">
        <f>VLOOKUP($C20,Sheet1!$C$2:$D$99,2,0)</f>
        <v>40000</v>
      </c>
      <c r="E20" s="60">
        <v>0.5</v>
      </c>
      <c r="F20" s="58">
        <f t="shared" ca="1" si="3"/>
        <v>6</v>
      </c>
      <c r="G20" s="58">
        <v>34.847647777417663</v>
      </c>
      <c r="H20" s="58">
        <f t="shared" ca="1" si="2"/>
        <v>30914.113335494039</v>
      </c>
      <c r="I20" s="58"/>
      <c r="J20" s="58">
        <f t="shared" ca="1" si="4"/>
        <v>209085.88666450599</v>
      </c>
      <c r="K20" s="58"/>
      <c r="L20" s="2">
        <f ca="1">IFERROR(SUMIFS(INDIRECT("'Thanh Toán ("&amp;L$3&amp;")'!$e:$e"),INDIRECT("'Thanh Toán ("&amp;L$3&amp;")'!$B:$B"),'Tổng Đơn'!$B20),0)</f>
        <v>1</v>
      </c>
      <c r="M20" s="2">
        <f ca="1">IFERROR(SUMIFS(INDIRECT("'Thanh Toán ("&amp;M$3&amp;")'!$e:$e"),INDIRECT("'Thanh Toán ("&amp;M$3&amp;")'!$B:$B"),'Tổng Đơn'!$B20),0)</f>
        <v>1</v>
      </c>
      <c r="N20" s="2">
        <f ca="1">IFERROR(SUMIFS(INDIRECT("'Thanh Toán ("&amp;N$3&amp;")'!$e:$e"),INDIRECT("'Thanh Toán ("&amp;N$3&amp;")'!$B:$B"),'Tổng Đơn'!$B20),0)</f>
        <v>3</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1</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2" t="s">
        <v>4</v>
      </c>
      <c r="C21" s="23" t="s">
        <v>76</v>
      </c>
      <c r="D21" s="44">
        <f>VLOOKUP($C21,Sheet1!$C$2:$D$99,2,0)</f>
        <v>40000</v>
      </c>
      <c r="E21" s="60">
        <v>0.5</v>
      </c>
      <c r="F21" s="58">
        <f t="shared" ca="1" si="3"/>
        <v>10</v>
      </c>
      <c r="G21" s="58">
        <v>30.747924509486175</v>
      </c>
      <c r="H21" s="58">
        <f t="shared" ca="1" si="2"/>
        <v>92520.754905138238</v>
      </c>
      <c r="I21" s="58"/>
      <c r="J21" s="58">
        <f t="shared" ca="1" si="4"/>
        <v>307479.24509486178</v>
      </c>
      <c r="K21" s="58"/>
      <c r="L21" s="2">
        <f ca="1">IFERROR(SUMIFS(INDIRECT("'Thanh Toán ("&amp;L$3&amp;")'!$e:$e"),INDIRECT("'Thanh Toán ("&amp;L$3&amp;")'!$B:$B"),'Tổng Đơn'!$B21),0)</f>
        <v>1</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1</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6</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1</v>
      </c>
      <c r="AD21" s="2">
        <f ca="1">IFERROR(SUMIFS(INDIRECT("'Thanh Toán ("&amp;AD$3&amp;")'!$e:$e"),INDIRECT("'Thanh Toán ("&amp;AD$3&amp;")'!$B:$B"),'Tổng Đơn'!$B21),0)</f>
        <v>1</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2" t="s">
        <v>9</v>
      </c>
      <c r="C22" s="23" t="s">
        <v>77</v>
      </c>
      <c r="D22" s="44">
        <f>VLOOKUP($C22,Sheet1!$C$2:$D$99,2,0)</f>
        <v>55000</v>
      </c>
      <c r="E22" s="60">
        <v>0.5</v>
      </c>
      <c r="F22" s="58">
        <f t="shared" ca="1" si="3"/>
        <v>4</v>
      </c>
      <c r="G22" s="58">
        <v>43.559559721772082</v>
      </c>
      <c r="H22" s="58">
        <f t="shared" ca="1" si="2"/>
        <v>45761.761112911685</v>
      </c>
      <c r="I22" s="58"/>
      <c r="J22" s="58">
        <f t="shared" ca="1" si="4"/>
        <v>174238.23888708832</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2</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2</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2" t="s">
        <v>13</v>
      </c>
      <c r="C23" s="23" t="s">
        <v>78</v>
      </c>
      <c r="D23" s="44">
        <f>VLOOKUP($C23,Sheet1!$C$2:$D$99,2,0)</f>
        <v>28000</v>
      </c>
      <c r="E23" s="60">
        <v>0.5</v>
      </c>
      <c r="F23" s="58">
        <f t="shared" ca="1" si="3"/>
        <v>0</v>
      </c>
      <c r="G23" s="58">
        <v>21.011081748148886</v>
      </c>
      <c r="H23" s="58">
        <f t="shared" ca="1" si="2"/>
        <v>0</v>
      </c>
      <c r="I23" s="58"/>
      <c r="J23" s="58">
        <f t="shared" ca="1" si="4"/>
        <v>0</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2" t="s">
        <v>12</v>
      </c>
      <c r="C24" s="23" t="s">
        <v>79</v>
      </c>
      <c r="D24" s="44">
        <f>VLOOKUP($C24,Sheet1!$C$2:$D$99,2,0)</f>
        <v>26000</v>
      </c>
      <c r="E24" s="60">
        <v>0.5</v>
      </c>
      <c r="F24" s="58">
        <f t="shared" ca="1" si="3"/>
        <v>8</v>
      </c>
      <c r="G24" s="58">
        <v>21.011081748148886</v>
      </c>
      <c r="H24" s="58">
        <f t="shared" ca="1" si="2"/>
        <v>39911.346014808922</v>
      </c>
      <c r="I24" s="58"/>
      <c r="J24" s="58">
        <f t="shared" ca="1" si="4"/>
        <v>168088.65398519108</v>
      </c>
      <c r="K24" s="58"/>
      <c r="L24" s="2">
        <f ca="1">IFERROR(SUMIFS(INDIRECT("'Thanh Toán ("&amp;L$3&amp;")'!$e:$e"),INDIRECT("'Thanh Toán ("&amp;L$3&amp;")'!$B:$B"),'Tổng Đơn'!$B24),0)</f>
        <v>1</v>
      </c>
      <c r="M24" s="2">
        <f ca="1">IFERROR(SUMIFS(INDIRECT("'Thanh Toán ("&amp;M$3&amp;")'!$e:$e"),INDIRECT("'Thanh Toán ("&amp;M$3&amp;")'!$B:$B"),'Tổng Đơn'!$B24),0)</f>
        <v>0</v>
      </c>
      <c r="N24" s="2">
        <f ca="1">IFERROR(SUMIFS(INDIRECT("'Thanh Toán ("&amp;N$3&amp;")'!$e:$e"),INDIRECT("'Thanh Toán ("&amp;N$3&amp;")'!$B:$B"),'Tổng Đơn'!$B24),0)</f>
        <v>1</v>
      </c>
      <c r="O24" s="2">
        <f ca="1">IFERROR(SUMIFS(INDIRECT("'Thanh Toán ("&amp;O$3&amp;")'!$e:$e"),INDIRECT("'Thanh Toán ("&amp;O$3&amp;")'!$B:$B"),'Tổng Đơn'!$B24),0)</f>
        <v>5</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1</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2" t="s">
        <v>14</v>
      </c>
      <c r="C25" s="23" t="s">
        <v>80</v>
      </c>
      <c r="D25" s="44">
        <f>VLOOKUP($C25,Sheet1!$C$2:$D$99,2,0)</f>
        <v>33000</v>
      </c>
      <c r="E25" s="60">
        <v>0.5</v>
      </c>
      <c r="F25" s="58">
        <f t="shared" ca="1" si="3"/>
        <v>10</v>
      </c>
      <c r="G25" s="58">
        <v>28.185597467028995</v>
      </c>
      <c r="H25" s="58">
        <f t="shared" ca="1" si="2"/>
        <v>48144.025329710057</v>
      </c>
      <c r="I25" s="58"/>
      <c r="J25" s="58">
        <f t="shared" ca="1" si="4"/>
        <v>281855.9746702899</v>
      </c>
      <c r="K25" s="58"/>
      <c r="L25" s="2">
        <f ca="1">IFERROR(SUMIFS(INDIRECT("'Thanh Toán ("&amp;L$3&amp;")'!$e:$e"),INDIRECT("'Thanh Toán ("&amp;L$3&amp;")'!$B:$B"),'Tổng Đơn'!$B25),0)</f>
        <v>1</v>
      </c>
      <c r="M25" s="2">
        <f ca="1">IFERROR(SUMIFS(INDIRECT("'Thanh Toán ("&amp;M$3&amp;")'!$e:$e"),INDIRECT("'Thanh Toán ("&amp;M$3&amp;")'!$B:$B"),'Tổng Đơn'!$B25),0)</f>
        <v>2</v>
      </c>
      <c r="N25" s="2">
        <f ca="1">IFERROR(SUMIFS(INDIRECT("'Thanh Toán ("&amp;N$3&amp;")'!$e:$e"),INDIRECT("'Thanh Toán ("&amp;N$3&amp;")'!$B:$B"),'Tổng Đơn'!$B25),0)</f>
        <v>1</v>
      </c>
      <c r="O25" s="2">
        <f ca="1">IFERROR(SUMIFS(INDIRECT("'Thanh Toán ("&amp;O$3&amp;")'!$e:$e"),INDIRECT("'Thanh Toán ("&amp;O$3&amp;")'!$B:$B"),'Tổng Đơn'!$B25),0)</f>
        <v>0</v>
      </c>
      <c r="P25" s="2">
        <f ca="1">IFERROR(SUMIFS(INDIRECT("'Thanh Toán ("&amp;P$3&amp;")'!$e:$e"),INDIRECT("'Thanh Toán ("&amp;P$3&amp;")'!$B:$B"),'Tổng Đơn'!$B25),0)</f>
        <v>1</v>
      </c>
      <c r="Q25" s="2">
        <f ca="1">IFERROR(SUMIFS(INDIRECT("'Thanh Toán ("&amp;Q$3&amp;")'!$e:$e"),INDIRECT("'Thanh Toán ("&amp;Q$3&amp;")'!$B:$B"),'Tổng Đơn'!$B25),0)</f>
        <v>0</v>
      </c>
      <c r="R25" s="2">
        <f ca="1">IFERROR(SUMIFS(INDIRECT("'Thanh Toán ("&amp;R$3&amp;")'!$e:$e"),INDIRECT("'Thanh Toán ("&amp;R$3&amp;")'!$B:$B"),'Tổng Đơn'!$B25),0)</f>
        <v>1</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2</v>
      </c>
      <c r="Z25" s="2">
        <f ca="1">IFERROR(SUMIFS(INDIRECT("'Thanh Toán ("&amp;Z$3&amp;")'!$e:$e"),INDIRECT("'Thanh Toán ("&amp;Z$3&amp;")'!$B:$B"),'Tổng Đơn'!$B25),0)</f>
        <v>1</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1</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2" t="s">
        <v>7</v>
      </c>
      <c r="C26" s="23" t="s">
        <v>81</v>
      </c>
      <c r="D26" s="44">
        <f>VLOOKUP($C26,Sheet1!$C$2:$D$99,2,0)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2" t="s">
        <v>8</v>
      </c>
      <c r="C27" s="23" t="s">
        <v>82</v>
      </c>
      <c r="D27" s="44">
        <f>VLOOKUP($C27,Sheet1!$C$2:$D$99,2,0)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2" t="s">
        <v>27</v>
      </c>
      <c r="C28" s="23" t="s">
        <v>83</v>
      </c>
      <c r="D28" s="44">
        <f>VLOOKUP($C28,Sheet1!$C$2:$D$99,2,0)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2" t="s">
        <v>68</v>
      </c>
      <c r="C29" s="23" t="s">
        <v>84</v>
      </c>
      <c r="D29" s="44">
        <f>VLOOKUP($C29,Sheet1!$C$2:$D$99,2,0)</f>
        <v>35000</v>
      </c>
      <c r="E29" s="60">
        <v>0.5</v>
      </c>
      <c r="F29" s="58">
        <f t="shared" ca="1" si="3"/>
        <v>1</v>
      </c>
      <c r="G29" s="58">
        <v>27.673132058537558</v>
      </c>
      <c r="H29" s="58">
        <f t="shared" ca="1" si="2"/>
        <v>7326.8679414624421</v>
      </c>
      <c r="I29" s="58"/>
      <c r="J29" s="58">
        <f t="shared" ca="1" si="4"/>
        <v>27673.132058537558</v>
      </c>
      <c r="K29" s="58"/>
      <c r="L29" s="2">
        <f ca="1">IFERROR(SUMIFS(INDIRECT("'Thanh Toán ("&amp;L$3&amp;")'!$e:$e"),INDIRECT("'Thanh Toán ("&amp;L$3&amp;")'!$B:$B"),'Tổng Đơn'!$B29),0)</f>
        <v>1</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2" t="s">
        <v>29</v>
      </c>
      <c r="C30" s="23" t="s">
        <v>85</v>
      </c>
      <c r="D30" s="44">
        <f>VLOOKUP($C30,Sheet1!$C$2:$D$99,2,0)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1</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2" t="s">
        <v>15</v>
      </c>
      <c r="C31" s="23" t="s">
        <v>86</v>
      </c>
      <c r="D31" s="44">
        <f>VLOOKUP($C31,Sheet1!$C$2:$D$99,2,0)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2" t="s">
        <v>10</v>
      </c>
      <c r="C32" s="23" t="s">
        <v>87</v>
      </c>
      <c r="D32" s="44">
        <f>VLOOKUP($C32,Sheet1!$C$2:$D$99,2,0)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2" t="s">
        <v>38</v>
      </c>
      <c r="C33" s="23" t="s">
        <v>88</v>
      </c>
      <c r="D33" s="44">
        <f>VLOOKUP($C33,Sheet1!$C$2:$D$99,2,0)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1</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2" t="s">
        <v>39</v>
      </c>
      <c r="C34" s="23" t="s">
        <v>89</v>
      </c>
      <c r="D34" s="44">
        <f>VLOOKUP($C34,Sheet1!$C$2:$D$99,2,0)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2" t="s">
        <v>67</v>
      </c>
      <c r="C35" s="23" t="s">
        <v>90</v>
      </c>
      <c r="D35" s="44">
        <f>VLOOKUP($C35,Sheet1!$C$2:$D$99,2,0)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2" t="s">
        <v>40</v>
      </c>
      <c r="C36" s="23" t="s">
        <v>91</v>
      </c>
      <c r="D36" s="44">
        <f>VLOOKUP($C36,Sheet1!$C$2:$D$99,2,0)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2" t="s">
        <v>41</v>
      </c>
      <c r="C37" s="23" t="s">
        <v>92</v>
      </c>
      <c r="D37" s="44">
        <f>VLOOKUP($C37,Sheet1!$C$2:$D$99,2,0)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2" t="s">
        <v>42</v>
      </c>
      <c r="C38" s="23" t="s">
        <v>93</v>
      </c>
      <c r="D38" s="44">
        <f>VLOOKUP($C38,Sheet1!$C$2:$D$99,2,0)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2" t="s">
        <v>43</v>
      </c>
      <c r="C39" s="23" t="s">
        <v>94</v>
      </c>
      <c r="D39" s="44">
        <f>VLOOKUP($C39,Sheet1!$C$2:$D$99,2,0)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2" t="s">
        <v>48</v>
      </c>
      <c r="C40" s="23" t="s">
        <v>95</v>
      </c>
      <c r="D40" s="44">
        <f>VLOOKUP($C40,Sheet1!$C$2:$D$99,2,0)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2" t="s">
        <v>49</v>
      </c>
      <c r="C41" s="23" t="s">
        <v>96</v>
      </c>
      <c r="D41" s="44">
        <f>VLOOKUP($C41,Sheet1!$C$2:$D$99,2,0)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2" t="s">
        <v>45</v>
      </c>
      <c r="C42" s="23" t="s">
        <v>97</v>
      </c>
      <c r="D42" s="44">
        <f>VLOOKUP($C42,Sheet1!$C$2:$D$99,2,0)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2" t="s">
        <v>44</v>
      </c>
      <c r="C43" s="23" t="s">
        <v>98</v>
      </c>
      <c r="D43" s="44">
        <f>VLOOKUP($C43,Sheet1!$C$2:$D$99,2,0)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2" t="s">
        <v>47</v>
      </c>
      <c r="C44" s="23" t="s">
        <v>99</v>
      </c>
      <c r="D44" s="44">
        <f>VLOOKUP($C44,Sheet1!$C$2:$D$99,2,0)</f>
        <v>79000</v>
      </c>
      <c r="E44" s="60">
        <v>0.5</v>
      </c>
      <c r="F44" s="58">
        <f t="shared" ca="1" si="3"/>
        <v>1</v>
      </c>
      <c r="G44" s="58">
        <v>66.67616352814909</v>
      </c>
      <c r="H44" s="58">
        <f t="shared" ca="1" si="5"/>
        <v>12323.836471850911</v>
      </c>
      <c r="I44" s="58"/>
      <c r="J44" s="58">
        <f t="shared" ca="1" si="4"/>
        <v>66676.163528149089</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1</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2" t="s">
        <v>37</v>
      </c>
      <c r="C45" s="23" t="s">
        <v>100</v>
      </c>
      <c r="D45" s="44">
        <f>VLOOKUP($C45,Sheet1!$C$2:$D$99,2,0)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2" t="s">
        <v>50</v>
      </c>
      <c r="C46" s="23" t="s">
        <v>101</v>
      </c>
      <c r="D46" s="44">
        <f>VLOOKUP($C46,Sheet1!$C$2:$D$99,2,0)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2" t="s">
        <v>36</v>
      </c>
      <c r="C47" s="23" t="s">
        <v>102</v>
      </c>
      <c r="D47" s="44">
        <f>VLOOKUP($C47,Sheet1!$C$2:$D$99,2,0)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2" t="s">
        <v>51</v>
      </c>
      <c r="C48" s="23" t="s">
        <v>103</v>
      </c>
      <c r="D48" s="44">
        <f>VLOOKUP($C48,Sheet1!$C$2:$D$99,2,0)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2" t="s">
        <v>52</v>
      </c>
      <c r="C49" s="23" t="s">
        <v>104</v>
      </c>
      <c r="D49" s="44">
        <f>VLOOKUP($C49,Sheet1!$C$2:$D$99,2,0)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2" t="s">
        <v>46</v>
      </c>
      <c r="C50" s="23" t="s">
        <v>105</v>
      </c>
      <c r="D50" s="44">
        <f>VLOOKUP($C50,Sheet1!$C$2:$D$99,2,0)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1">
        <v>47</v>
      </c>
      <c r="B51" s="154" t="s">
        <v>142</v>
      </c>
      <c r="C51" s="23" t="s">
        <v>126</v>
      </c>
      <c r="D51" s="44">
        <f>VLOOKUP($C51,Sheet1!$C$2:$D$99,2,0)</f>
        <v>40000</v>
      </c>
      <c r="E51" s="60">
        <v>0.5</v>
      </c>
      <c r="F51" s="58">
        <f t="shared" ca="1" si="3"/>
        <v>4</v>
      </c>
      <c r="G51" s="58">
        <v>31.772855326469049</v>
      </c>
      <c r="H51" s="58">
        <f t="shared" ca="1" si="5"/>
        <v>32908.578694123804</v>
      </c>
      <c r="I51" s="58"/>
      <c r="J51" s="58">
        <f t="shared" ca="1" si="4"/>
        <v>127091.4213058762</v>
      </c>
      <c r="K51" s="58"/>
      <c r="L51" s="2">
        <f ca="1">IFERROR(SUMIFS(INDIRECT("'Thanh Toán ("&amp;L$3&amp;")'!$e:$e"),INDIRECT("'Thanh Toán ("&amp;L$3&amp;")'!$B:$B"),'Tổng Đơn'!$B51),0)</f>
        <v>0</v>
      </c>
      <c r="M51" s="2">
        <f ca="1">IFERROR(SUMIFS(INDIRECT("'Thanh Toán ("&amp;M$3&amp;")'!$e:$e"),INDIRECT("'Thanh Toán ("&amp;M$3&amp;")'!$B:$B"),'Tổng Đơn'!$B51),0)</f>
        <v>1</v>
      </c>
      <c r="N51" s="2">
        <f ca="1">IFERROR(SUMIFS(INDIRECT("'Thanh Toán ("&amp;N$3&amp;")'!$e:$e"),INDIRECT("'Thanh Toán ("&amp;N$3&amp;")'!$B:$B"),'Tổng Đơn'!$B51),0)</f>
        <v>2</v>
      </c>
      <c r="O51" s="2">
        <f ca="1">IFERROR(SUMIFS(INDIRECT("'Thanh Toán ("&amp;O$3&amp;")'!$e:$e"),INDIRECT("'Thanh Toán ("&amp;O$3&amp;")'!$B:$B"),'Tổng Đơn'!$B51),0)</f>
        <v>0</v>
      </c>
      <c r="P51" s="2">
        <f ca="1">IFERROR(SUMIFS(INDIRECT("'Thanh Toán ("&amp;P$3&amp;")'!$e:$e"),INDIRECT("'Thanh Toán ("&amp;P$3&amp;")'!$B:$B"),'Tổng Đơn'!$B51),0)</f>
        <v>1</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1">
        <v>48</v>
      </c>
      <c r="B52" s="154" t="s">
        <v>143</v>
      </c>
      <c r="C52" s="23" t="s">
        <v>144</v>
      </c>
      <c r="D52" s="44">
        <f>VLOOKUP($C52,Sheet1!$C$2:$D$99,2,0)</f>
        <v>35000</v>
      </c>
      <c r="E52" s="60">
        <v>0.5</v>
      </c>
      <c r="F52" s="58">
        <f t="shared" ca="1" si="3"/>
        <v>2</v>
      </c>
      <c r="G52" s="58">
        <v>22.03601256513176</v>
      </c>
      <c r="H52" s="58">
        <f t="shared" ca="1" si="5"/>
        <v>25927.974869736478</v>
      </c>
      <c r="I52" s="58"/>
      <c r="J52" s="58">
        <f t="shared" ca="1" si="4"/>
        <v>44072.025130263522</v>
      </c>
      <c r="K52" s="58"/>
      <c r="L52" s="2">
        <f ca="1">IFERROR(SUMIFS(INDIRECT("'Thanh Toán ("&amp;L$3&amp;")'!$e:$e"),INDIRECT("'Thanh Toán ("&amp;L$3&amp;")'!$B:$B"),'Tổng Đơn'!$B52),0)</f>
        <v>0</v>
      </c>
      <c r="M52" s="2">
        <f ca="1">IFERROR(SUMIFS(INDIRECT("'Thanh Toán ("&amp;M$3&amp;")'!$e:$e"),INDIRECT("'Thanh Toán ("&amp;M$3&amp;")'!$B:$B"),'Tổng Đơn'!$B52),0)</f>
        <v>1</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1</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1">
        <v>49</v>
      </c>
      <c r="B53" s="154" t="s">
        <v>165</v>
      </c>
      <c r="C53" s="23" t="s">
        <v>146</v>
      </c>
      <c r="D53" s="44">
        <f>VLOOKUP($C53,Sheet1!$C$2:$D$99,2,0)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1">
        <v>50</v>
      </c>
      <c r="B54" s="154" t="s">
        <v>147</v>
      </c>
      <c r="C54" s="23" t="s">
        <v>148</v>
      </c>
      <c r="D54" s="44">
        <f>VLOOKUP($C54,Sheet1!$C$2:$D$99,2,0)</f>
        <v>40000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1">
        <v>51</v>
      </c>
      <c r="B55" s="154" t="s">
        <v>150</v>
      </c>
      <c r="C55" s="23" t="s">
        <v>161</v>
      </c>
      <c r="D55" s="44">
        <f>VLOOKUP($C55,Sheet1!$C$2:$D$99,2,0)</f>
        <v>38000</v>
      </c>
      <c r="E55" s="60">
        <v>0.5</v>
      </c>
      <c r="F55" s="58">
        <f t="shared" ref="F55:F57" ca="1" si="6">SUM(L55:BW55)</f>
        <v>5</v>
      </c>
      <c r="G55" s="58">
        <v>27.111052020126696</v>
      </c>
      <c r="H55" s="58">
        <f t="shared" ca="1" si="5"/>
        <v>54444.739899366527</v>
      </c>
      <c r="I55" s="58"/>
      <c r="J55" s="58">
        <f t="shared" ca="1" si="4"/>
        <v>135555.26010063349</v>
      </c>
      <c r="K55" s="58"/>
      <c r="L55" s="2">
        <f ca="1">IFERROR(SUMIFS(INDIRECT("'Thanh Toán ("&amp;L$3&amp;")'!$e:$e"),INDIRECT("'Thanh Toán ("&amp;L$3&amp;")'!$B:$B"),'Tổng Đơn'!$B55),0)</f>
        <v>0</v>
      </c>
      <c r="M55" s="2">
        <f ca="1">IFERROR(SUMIFS(INDIRECT("'Thanh Toán ("&amp;M$3&amp;")'!$e:$e"),INDIRECT("'Thanh Toán ("&amp;M$3&amp;")'!$B:$B"),'Tổng Đơn'!$B55),0)</f>
        <v>2</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1</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2</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1">
        <v>52</v>
      </c>
      <c r="B56" s="154" t="s">
        <v>166</v>
      </c>
      <c r="C56" s="23" t="s">
        <v>167</v>
      </c>
      <c r="D56" s="44">
        <f>VLOOKUP($C56,Sheet1!$C$2:$D$99,2,0)</f>
        <v>69000</v>
      </c>
      <c r="E56" s="60">
        <v>0.5</v>
      </c>
      <c r="F56" s="58">
        <f t="shared" ca="1" si="6"/>
        <v>1</v>
      </c>
      <c r="G56" s="58">
        <v>58.594204312615865</v>
      </c>
      <c r="H56" s="58">
        <f ca="1">(D56-G56*1000)*$F56</f>
        <v>10405.795687384132</v>
      </c>
      <c r="I56" s="58"/>
      <c r="J56" s="58">
        <f t="shared" ca="1" si="4"/>
        <v>58594.204312615868</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1</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1">
        <v>53</v>
      </c>
      <c r="B57" s="154" t="s">
        <v>168</v>
      </c>
      <c r="C57" s="23" t="s">
        <v>169</v>
      </c>
      <c r="D57" s="44">
        <v>76000</v>
      </c>
      <c r="E57" s="60">
        <v>0.5</v>
      </c>
      <c r="F57" s="58">
        <f t="shared" ca="1" si="6"/>
        <v>2</v>
      </c>
      <c r="G57" s="58">
        <v>31.822714411162064</v>
      </c>
      <c r="H57" s="58">
        <f t="shared" ca="1" si="5"/>
        <v>88354.571177675869</v>
      </c>
      <c r="I57" s="58"/>
      <c r="J57" s="58">
        <f t="shared" ca="1" si="4"/>
        <v>63645.428822324131</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2</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1">
        <v>54</v>
      </c>
      <c r="B58" s="154" t="s">
        <v>178</v>
      </c>
      <c r="C58" s="23" t="s">
        <v>175</v>
      </c>
      <c r="D58" s="44">
        <v>30000</v>
      </c>
      <c r="E58" s="60">
        <v>0.5</v>
      </c>
      <c r="F58" s="58">
        <f t="shared" ref="F58:F60" ca="1" si="7">SUM(L58:BW58)</f>
        <v>0</v>
      </c>
      <c r="G58" s="58">
        <v>22.292245269377478</v>
      </c>
      <c r="H58" s="58">
        <f t="shared" ca="1" si="5"/>
        <v>0</v>
      </c>
      <c r="I58" s="58"/>
      <c r="J58" s="58">
        <f t="shared" ca="1" si="4"/>
        <v>0</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1">
        <v>55</v>
      </c>
      <c r="B59" s="154" t="s">
        <v>176</v>
      </c>
      <c r="C59" s="23" t="s">
        <v>177</v>
      </c>
      <c r="D59" s="44">
        <v>49000</v>
      </c>
      <c r="E59" s="60">
        <v>1</v>
      </c>
      <c r="F59" s="58">
        <f t="shared" ca="1" si="7"/>
        <v>0</v>
      </c>
      <c r="G59" s="58">
        <v>39.972301862332031</v>
      </c>
      <c r="H59" s="58">
        <f t="shared" ca="1" si="5"/>
        <v>0</v>
      </c>
      <c r="I59" s="58"/>
      <c r="J59" s="58">
        <f t="shared" ca="1" si="4"/>
        <v>0</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1">
        <v>56</v>
      </c>
      <c r="B60" s="154"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2</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1">
        <v>57</v>
      </c>
      <c r="B61" s="154" t="s">
        <v>180</v>
      </c>
      <c r="C61" s="23" t="s">
        <v>181</v>
      </c>
      <c r="D61" s="44">
        <v>42000</v>
      </c>
      <c r="E61" s="60">
        <v>0.5</v>
      </c>
      <c r="F61" s="58">
        <f t="shared" ref="F61:F64" ca="1" si="8">SUM(L61:BW61)</f>
        <v>0</v>
      </c>
      <c r="G61" s="58">
        <v>37.922440228366284</v>
      </c>
      <c r="H61" s="58">
        <f t="shared" ca="1" si="5"/>
        <v>0</v>
      </c>
      <c r="I61" s="58"/>
      <c r="J61" s="58">
        <f t="shared" ca="1" si="4"/>
        <v>0</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1">
        <v>58</v>
      </c>
      <c r="B62" s="154"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1">
        <v>59</v>
      </c>
      <c r="B63" s="154"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1</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1">
        <v>60</v>
      </c>
      <c r="B64" s="154"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2"/>
      <c r="F1" s="162"/>
      <c r="G1" s="162"/>
      <c r="H1" s="162"/>
      <c r="I1" s="162"/>
      <c r="J1" s="162"/>
      <c r="K1" s="162"/>
      <c r="L1" s="185" t="s">
        <v>106</v>
      </c>
      <c r="M1" s="185" t="s">
        <v>107</v>
      </c>
      <c r="N1" s="184" t="s">
        <v>17</v>
      </c>
      <c r="O1" s="184" t="s">
        <v>117</v>
      </c>
      <c r="P1" s="163" t="s">
        <v>107</v>
      </c>
      <c r="Q1" s="163" t="s">
        <v>191</v>
      </c>
      <c r="R1" s="164">
        <f>SUBTOTAL(9,R2:R31)</f>
        <v>0</v>
      </c>
    </row>
    <row r="2" spans="1:18" s="169" customFormat="1" ht="18.75" x14ac:dyDescent="0.3">
      <c r="A2" s="165">
        <v>1</v>
      </c>
      <c r="B2" s="166" t="s">
        <v>25</v>
      </c>
      <c r="C2" s="165" t="s">
        <v>108</v>
      </c>
      <c r="D2" s="167">
        <v>27000</v>
      </c>
      <c r="E2" s="168"/>
      <c r="F2" s="168"/>
      <c r="G2" s="168"/>
      <c r="H2" s="168"/>
      <c r="I2" s="168"/>
      <c r="J2" s="168"/>
      <c r="K2" s="168"/>
      <c r="L2" s="186">
        <v>1</v>
      </c>
      <c r="M2" s="187" t="s">
        <v>108</v>
      </c>
      <c r="N2" s="188" t="s">
        <v>25</v>
      </c>
      <c r="O2" s="189">
        <v>27000</v>
      </c>
      <c r="P2" s="170">
        <f t="shared" ref="P2:P31" si="0">IFERROR(VALUE(SUBSTITUTE(L2,"&lt;1","")),"")</f>
        <v>1</v>
      </c>
      <c r="Q2" s="171"/>
      <c r="R2" s="172">
        <f>O2*Q2</f>
        <v>0</v>
      </c>
    </row>
    <row r="3" spans="1:18" s="169" customFormat="1" ht="18.75" x14ac:dyDescent="0.3">
      <c r="A3" s="165">
        <v>2</v>
      </c>
      <c r="B3" s="166" t="s">
        <v>1</v>
      </c>
      <c r="C3" s="165" t="s">
        <v>109</v>
      </c>
      <c r="D3" s="167">
        <v>25000</v>
      </c>
      <c r="E3" s="168"/>
      <c r="F3" s="168"/>
      <c r="G3" s="168"/>
      <c r="H3" s="168"/>
      <c r="I3" s="168"/>
      <c r="J3" s="168"/>
      <c r="K3" s="168"/>
      <c r="L3" s="186">
        <v>2</v>
      </c>
      <c r="M3" s="187" t="s">
        <v>109</v>
      </c>
      <c r="N3" s="188" t="s">
        <v>1</v>
      </c>
      <c r="O3" s="189">
        <v>25000</v>
      </c>
      <c r="P3" s="170">
        <f t="shared" si="0"/>
        <v>2</v>
      </c>
      <c r="Q3" s="171"/>
      <c r="R3" s="172">
        <f t="shared" ref="R3:R31" si="1">O3*Q3</f>
        <v>0</v>
      </c>
    </row>
    <row r="4" spans="1:18" s="169" customFormat="1" ht="18.75" x14ac:dyDescent="0.3">
      <c r="A4" s="165">
        <v>3</v>
      </c>
      <c r="B4" s="166" t="s">
        <v>2</v>
      </c>
      <c r="C4" s="165" t="s">
        <v>110</v>
      </c>
      <c r="D4" s="167">
        <v>28000</v>
      </c>
      <c r="E4" s="168"/>
      <c r="F4" s="168"/>
      <c r="G4" s="168"/>
      <c r="H4" s="168"/>
      <c r="I4" s="168"/>
      <c r="J4" s="168"/>
      <c r="K4" s="168"/>
      <c r="L4" s="186">
        <v>3</v>
      </c>
      <c r="M4" s="187" t="s">
        <v>110</v>
      </c>
      <c r="N4" s="188" t="s">
        <v>2</v>
      </c>
      <c r="O4" s="189">
        <v>28000</v>
      </c>
      <c r="P4" s="170">
        <f t="shared" si="0"/>
        <v>3</v>
      </c>
      <c r="Q4" s="171"/>
      <c r="R4" s="172">
        <f t="shared" si="1"/>
        <v>0</v>
      </c>
    </row>
    <row r="5" spans="1:18" s="169" customFormat="1" ht="18.75" x14ac:dyDescent="0.3">
      <c r="A5" s="165">
        <v>4</v>
      </c>
      <c r="B5" s="166" t="s">
        <v>3</v>
      </c>
      <c r="C5" s="165" t="s">
        <v>111</v>
      </c>
      <c r="D5" s="167">
        <v>30000</v>
      </c>
      <c r="E5" s="168"/>
      <c r="F5" s="168"/>
      <c r="G5" s="168"/>
      <c r="H5" s="168"/>
      <c r="I5" s="168"/>
      <c r="J5" s="168"/>
      <c r="K5" s="168"/>
      <c r="L5" s="186">
        <v>4</v>
      </c>
      <c r="M5" s="187" t="s">
        <v>111</v>
      </c>
      <c r="N5" s="188" t="s">
        <v>3</v>
      </c>
      <c r="O5" s="189">
        <v>30000</v>
      </c>
      <c r="P5" s="170">
        <f t="shared" si="0"/>
        <v>4</v>
      </c>
      <c r="Q5" s="171"/>
      <c r="R5" s="172">
        <f t="shared" si="1"/>
        <v>0</v>
      </c>
    </row>
    <row r="6" spans="1:18" s="169" customFormat="1" ht="18.75" x14ac:dyDescent="0.3">
      <c r="A6" s="165">
        <v>5</v>
      </c>
      <c r="B6" s="166" t="s">
        <v>30</v>
      </c>
      <c r="C6" s="165" t="s">
        <v>112</v>
      </c>
      <c r="D6" s="167">
        <v>38000</v>
      </c>
      <c r="E6" s="168"/>
      <c r="F6" s="168"/>
      <c r="G6" s="168"/>
      <c r="H6" s="168"/>
      <c r="I6" s="168"/>
      <c r="J6" s="168"/>
      <c r="K6" s="168"/>
      <c r="L6" s="186">
        <v>5</v>
      </c>
      <c r="M6" s="187" t="s">
        <v>112</v>
      </c>
      <c r="N6" s="188" t="s">
        <v>30</v>
      </c>
      <c r="O6" s="189">
        <v>38000</v>
      </c>
      <c r="P6" s="170">
        <f t="shared" si="0"/>
        <v>5</v>
      </c>
      <c r="Q6" s="171"/>
      <c r="R6" s="172">
        <f t="shared" si="1"/>
        <v>0</v>
      </c>
    </row>
    <row r="7" spans="1:18" s="169" customFormat="1" ht="18.75" x14ac:dyDescent="0.3">
      <c r="A7" s="165">
        <v>6</v>
      </c>
      <c r="B7" s="166" t="s">
        <v>28</v>
      </c>
      <c r="C7" s="165" t="s">
        <v>113</v>
      </c>
      <c r="D7" s="167">
        <v>42000</v>
      </c>
      <c r="E7" s="168"/>
      <c r="F7" s="168"/>
      <c r="G7" s="168"/>
      <c r="H7" s="168"/>
      <c r="I7" s="168"/>
      <c r="J7" s="168"/>
      <c r="K7" s="168"/>
      <c r="L7" s="186">
        <v>6</v>
      </c>
      <c r="M7" s="187" t="s">
        <v>113</v>
      </c>
      <c r="N7" s="188" t="s">
        <v>28</v>
      </c>
      <c r="O7" s="189">
        <v>42000</v>
      </c>
      <c r="P7" s="170">
        <f t="shared" si="0"/>
        <v>6</v>
      </c>
      <c r="Q7" s="171"/>
      <c r="R7" s="172">
        <f t="shared" si="1"/>
        <v>0</v>
      </c>
    </row>
    <row r="8" spans="1:18" s="169" customFormat="1" ht="18.75" x14ac:dyDescent="0.3">
      <c r="A8" s="165">
        <v>7</v>
      </c>
      <c r="B8" s="166" t="s">
        <v>26</v>
      </c>
      <c r="C8" s="165" t="s">
        <v>114</v>
      </c>
      <c r="D8" s="167">
        <v>34000</v>
      </c>
      <c r="E8" s="168"/>
      <c r="F8" s="168"/>
      <c r="G8" s="168"/>
      <c r="H8" s="168"/>
      <c r="I8" s="168"/>
      <c r="J8" s="168"/>
      <c r="K8" s="168"/>
      <c r="L8" s="186">
        <v>7</v>
      </c>
      <c r="M8" s="187" t="s">
        <v>114</v>
      </c>
      <c r="N8" s="188" t="s">
        <v>26</v>
      </c>
      <c r="O8" s="189">
        <v>34000</v>
      </c>
      <c r="P8" s="170">
        <f t="shared" si="0"/>
        <v>7</v>
      </c>
      <c r="Q8" s="171"/>
      <c r="R8" s="172">
        <f t="shared" si="1"/>
        <v>0</v>
      </c>
    </row>
    <row r="9" spans="1:18" s="169" customFormat="1" ht="18.75" x14ac:dyDescent="0.3">
      <c r="A9" s="165">
        <v>8</v>
      </c>
      <c r="B9" s="166" t="s">
        <v>61</v>
      </c>
      <c r="C9" s="165" t="s">
        <v>115</v>
      </c>
      <c r="D9" s="167">
        <v>35000</v>
      </c>
      <c r="E9" s="168"/>
      <c r="F9" s="168"/>
      <c r="G9" s="168"/>
      <c r="H9" s="168"/>
      <c r="I9" s="168"/>
      <c r="J9" s="168"/>
      <c r="K9" s="168"/>
      <c r="L9" s="186">
        <v>8</v>
      </c>
      <c r="M9" s="187" t="s">
        <v>115</v>
      </c>
      <c r="N9" s="188" t="s">
        <v>61</v>
      </c>
      <c r="O9" s="189">
        <v>35000</v>
      </c>
      <c r="P9" s="170">
        <f t="shared" si="0"/>
        <v>8</v>
      </c>
      <c r="Q9" s="171"/>
      <c r="R9" s="172">
        <f t="shared" si="1"/>
        <v>0</v>
      </c>
    </row>
    <row r="10" spans="1:18" s="169" customFormat="1" ht="18.75" x14ac:dyDescent="0.3">
      <c r="A10" s="165">
        <v>9</v>
      </c>
      <c r="B10" s="166" t="s">
        <v>164</v>
      </c>
      <c r="C10" s="165" t="s">
        <v>116</v>
      </c>
      <c r="D10" s="167">
        <v>45000</v>
      </c>
      <c r="E10" s="168"/>
      <c r="F10" s="168"/>
      <c r="G10" s="168"/>
      <c r="H10" s="168"/>
      <c r="I10" s="168"/>
      <c r="J10" s="168"/>
      <c r="K10" s="168"/>
      <c r="L10" s="186">
        <v>9</v>
      </c>
      <c r="M10" s="187" t="s">
        <v>116</v>
      </c>
      <c r="N10" s="188" t="s">
        <v>164</v>
      </c>
      <c r="O10" s="189">
        <v>45000</v>
      </c>
      <c r="P10" s="170">
        <f t="shared" si="0"/>
        <v>9</v>
      </c>
      <c r="Q10" s="171"/>
      <c r="R10" s="172">
        <f t="shared" si="1"/>
        <v>0</v>
      </c>
    </row>
    <row r="11" spans="1:18" s="169" customFormat="1" ht="18.75" x14ac:dyDescent="0.3">
      <c r="A11" s="165">
        <v>10</v>
      </c>
      <c r="B11" s="166" t="s">
        <v>6</v>
      </c>
      <c r="C11" s="165" t="s">
        <v>69</v>
      </c>
      <c r="D11" s="167">
        <v>50000</v>
      </c>
      <c r="E11" s="168"/>
      <c r="F11" s="168"/>
      <c r="G11" s="168"/>
      <c r="H11" s="168"/>
      <c r="I11" s="168"/>
      <c r="J11" s="168"/>
      <c r="K11" s="168"/>
      <c r="L11" s="186">
        <v>10</v>
      </c>
      <c r="M11" s="187" t="s">
        <v>69</v>
      </c>
      <c r="N11" s="188" t="s">
        <v>6</v>
      </c>
      <c r="O11" s="189">
        <v>50000</v>
      </c>
      <c r="P11" s="170">
        <f t="shared" si="0"/>
        <v>10</v>
      </c>
      <c r="Q11" s="171"/>
      <c r="R11" s="172">
        <f t="shared" si="1"/>
        <v>0</v>
      </c>
    </row>
    <row r="12" spans="1:18" s="169" customFormat="1" ht="18.75" x14ac:dyDescent="0.3">
      <c r="A12" s="165">
        <v>11</v>
      </c>
      <c r="B12" s="166" t="s">
        <v>58</v>
      </c>
      <c r="C12" s="165" t="s">
        <v>70</v>
      </c>
      <c r="D12" s="167">
        <v>45000</v>
      </c>
      <c r="E12" s="168"/>
      <c r="F12" s="168"/>
      <c r="G12" s="168"/>
      <c r="H12" s="168"/>
      <c r="I12" s="168"/>
      <c r="J12" s="168"/>
      <c r="K12" s="168"/>
      <c r="L12" s="186">
        <v>11</v>
      </c>
      <c r="M12" s="187" t="s">
        <v>70</v>
      </c>
      <c r="N12" s="188" t="s">
        <v>58</v>
      </c>
      <c r="O12" s="189">
        <v>45000</v>
      </c>
      <c r="P12" s="170">
        <f t="shared" si="0"/>
        <v>11</v>
      </c>
      <c r="Q12" s="171"/>
      <c r="R12" s="172">
        <f t="shared" si="1"/>
        <v>0</v>
      </c>
    </row>
    <row r="13" spans="1:18" s="169" customFormat="1" ht="18.75" x14ac:dyDescent="0.3">
      <c r="A13" s="165">
        <v>12</v>
      </c>
      <c r="B13" s="166" t="s">
        <v>35</v>
      </c>
      <c r="C13" s="165" t="s">
        <v>71</v>
      </c>
      <c r="D13" s="167">
        <v>45000</v>
      </c>
      <c r="E13" s="168"/>
      <c r="F13" s="168"/>
      <c r="G13" s="168"/>
      <c r="H13" s="168"/>
      <c r="I13" s="168"/>
      <c r="J13" s="168"/>
      <c r="K13" s="168"/>
      <c r="L13" s="186">
        <v>12</v>
      </c>
      <c r="M13" s="187" t="s">
        <v>71</v>
      </c>
      <c r="N13" s="188" t="s">
        <v>35</v>
      </c>
      <c r="O13" s="189">
        <v>45000</v>
      </c>
      <c r="P13" s="170">
        <f t="shared" si="0"/>
        <v>12</v>
      </c>
      <c r="Q13" s="171"/>
      <c r="R13" s="172">
        <f t="shared" si="1"/>
        <v>0</v>
      </c>
    </row>
    <row r="14" spans="1:18" s="169" customFormat="1" ht="18.75" x14ac:dyDescent="0.3">
      <c r="A14" s="165">
        <v>13</v>
      </c>
      <c r="B14" s="166" t="s">
        <v>32</v>
      </c>
      <c r="C14" s="165" t="s">
        <v>72</v>
      </c>
      <c r="D14" s="167">
        <v>45000</v>
      </c>
      <c r="E14" s="168"/>
      <c r="F14" s="168"/>
      <c r="G14" s="168"/>
      <c r="H14" s="168"/>
      <c r="I14" s="168"/>
      <c r="J14" s="168"/>
      <c r="K14" s="168"/>
      <c r="L14" s="186">
        <v>13</v>
      </c>
      <c r="M14" s="187" t="s">
        <v>72</v>
      </c>
      <c r="N14" s="188" t="s">
        <v>32</v>
      </c>
      <c r="O14" s="189">
        <v>45000</v>
      </c>
      <c r="P14" s="170">
        <f t="shared" si="0"/>
        <v>13</v>
      </c>
      <c r="Q14" s="171"/>
      <c r="R14" s="172">
        <f t="shared" si="1"/>
        <v>0</v>
      </c>
    </row>
    <row r="15" spans="1:18" s="169" customFormat="1" ht="18.75" x14ac:dyDescent="0.3">
      <c r="A15" s="165">
        <v>14</v>
      </c>
      <c r="B15" s="166" t="s">
        <v>34</v>
      </c>
      <c r="C15" s="165" t="s">
        <v>73</v>
      </c>
      <c r="D15" s="167">
        <v>45000</v>
      </c>
      <c r="E15" s="168"/>
      <c r="F15" s="168"/>
      <c r="G15" s="168"/>
      <c r="H15" s="168"/>
      <c r="I15" s="168"/>
      <c r="J15" s="168"/>
      <c r="K15" s="168"/>
      <c r="L15" s="186">
        <v>14</v>
      </c>
      <c r="M15" s="187" t="s">
        <v>73</v>
      </c>
      <c r="N15" s="188" t="s">
        <v>34</v>
      </c>
      <c r="O15" s="189">
        <v>45000</v>
      </c>
      <c r="P15" s="170">
        <f t="shared" si="0"/>
        <v>14</v>
      </c>
      <c r="Q15" s="171"/>
      <c r="R15" s="172">
        <f t="shared" si="1"/>
        <v>0</v>
      </c>
    </row>
    <row r="16" spans="1:18" s="169" customFormat="1" ht="18.75" x14ac:dyDescent="0.3">
      <c r="A16" s="165">
        <v>15</v>
      </c>
      <c r="B16" s="166" t="s">
        <v>33</v>
      </c>
      <c r="C16" s="165" t="s">
        <v>74</v>
      </c>
      <c r="D16" s="167">
        <v>45000</v>
      </c>
      <c r="E16" s="168"/>
      <c r="F16" s="168"/>
      <c r="G16" s="168"/>
      <c r="H16" s="168"/>
      <c r="I16" s="168"/>
      <c r="J16" s="168"/>
      <c r="K16" s="168"/>
      <c r="L16" s="186">
        <v>15</v>
      </c>
      <c r="M16" s="187" t="s">
        <v>74</v>
      </c>
      <c r="N16" s="188" t="s">
        <v>33</v>
      </c>
      <c r="O16" s="189">
        <v>45000</v>
      </c>
      <c r="P16" s="170">
        <f t="shared" si="0"/>
        <v>15</v>
      </c>
      <c r="Q16" s="171"/>
      <c r="R16" s="172">
        <f t="shared" si="1"/>
        <v>0</v>
      </c>
    </row>
    <row r="17" spans="1:18" s="169" customFormat="1" ht="18.75" x14ac:dyDescent="0.3">
      <c r="A17" s="165">
        <v>16</v>
      </c>
      <c r="B17" s="166" t="s">
        <v>5</v>
      </c>
      <c r="C17" s="165" t="s">
        <v>75</v>
      </c>
      <c r="D17" s="167">
        <v>40000</v>
      </c>
      <c r="E17" s="168"/>
      <c r="F17" s="168"/>
      <c r="G17" s="168"/>
      <c r="H17" s="168"/>
      <c r="I17" s="168"/>
      <c r="J17" s="168"/>
      <c r="K17" s="168"/>
      <c r="L17" s="186">
        <v>16</v>
      </c>
      <c r="M17" s="187" t="s">
        <v>75</v>
      </c>
      <c r="N17" s="188" t="s">
        <v>5</v>
      </c>
      <c r="O17" s="189">
        <v>40000</v>
      </c>
      <c r="P17" s="170">
        <f t="shared" si="0"/>
        <v>16</v>
      </c>
      <c r="Q17" s="171"/>
      <c r="R17" s="172">
        <f t="shared" si="1"/>
        <v>0</v>
      </c>
    </row>
    <row r="18" spans="1:18" s="169" customFormat="1" ht="18.75" x14ac:dyDescent="0.3">
      <c r="A18" s="165">
        <v>17</v>
      </c>
      <c r="B18" s="166" t="s">
        <v>4</v>
      </c>
      <c r="C18" s="165" t="s">
        <v>76</v>
      </c>
      <c r="D18" s="167">
        <v>40000</v>
      </c>
      <c r="E18" s="168"/>
      <c r="F18" s="168"/>
      <c r="G18" s="168"/>
      <c r="H18" s="168"/>
      <c r="I18" s="168"/>
      <c r="J18" s="168"/>
      <c r="K18" s="168"/>
      <c r="L18" s="186">
        <v>17</v>
      </c>
      <c r="M18" s="187" t="s">
        <v>76</v>
      </c>
      <c r="N18" s="188" t="s">
        <v>4</v>
      </c>
      <c r="O18" s="189">
        <v>40000</v>
      </c>
      <c r="P18" s="170">
        <f t="shared" si="0"/>
        <v>17</v>
      </c>
      <c r="Q18" s="171"/>
      <c r="R18" s="172">
        <f t="shared" si="1"/>
        <v>0</v>
      </c>
    </row>
    <row r="19" spans="1:18" s="169" customFormat="1" ht="18.75" x14ac:dyDescent="0.3">
      <c r="A19" s="165">
        <v>18</v>
      </c>
      <c r="B19" s="166" t="s">
        <v>9</v>
      </c>
      <c r="C19" s="165" t="s">
        <v>77</v>
      </c>
      <c r="D19" s="167">
        <v>55000</v>
      </c>
      <c r="E19" s="168"/>
      <c r="F19" s="168"/>
      <c r="G19" s="168"/>
      <c r="H19" s="168"/>
      <c r="I19" s="168"/>
      <c r="J19" s="168"/>
      <c r="K19" s="168"/>
      <c r="L19" s="186">
        <v>18</v>
      </c>
      <c r="M19" s="187" t="s">
        <v>77</v>
      </c>
      <c r="N19" s="188" t="s">
        <v>9</v>
      </c>
      <c r="O19" s="189">
        <v>55000</v>
      </c>
      <c r="P19" s="170">
        <f t="shared" si="0"/>
        <v>18</v>
      </c>
      <c r="Q19" s="171"/>
      <c r="R19" s="172">
        <f t="shared" si="1"/>
        <v>0</v>
      </c>
    </row>
    <row r="20" spans="1:18" s="169" customFormat="1" ht="18.75" x14ac:dyDescent="0.3">
      <c r="A20" s="165">
        <v>19</v>
      </c>
      <c r="B20" s="166" t="s">
        <v>13</v>
      </c>
      <c r="C20" s="165" t="s">
        <v>78</v>
      </c>
      <c r="D20" s="167">
        <v>28000</v>
      </c>
      <c r="E20" s="168"/>
      <c r="F20" s="168"/>
      <c r="G20" s="168"/>
      <c r="H20" s="168"/>
      <c r="I20" s="168"/>
      <c r="J20" s="168"/>
      <c r="K20" s="168"/>
      <c r="L20" s="186">
        <v>19</v>
      </c>
      <c r="M20" s="187" t="s">
        <v>78</v>
      </c>
      <c r="N20" s="188" t="s">
        <v>13</v>
      </c>
      <c r="O20" s="189">
        <v>28000</v>
      </c>
      <c r="P20" s="170">
        <f t="shared" si="0"/>
        <v>19</v>
      </c>
      <c r="Q20" s="171"/>
      <c r="R20" s="172">
        <f t="shared" si="1"/>
        <v>0</v>
      </c>
    </row>
    <row r="21" spans="1:18" s="169" customFormat="1" ht="18.75" x14ac:dyDescent="0.3">
      <c r="A21" s="165">
        <v>20</v>
      </c>
      <c r="B21" s="166" t="s">
        <v>12</v>
      </c>
      <c r="C21" s="165" t="s">
        <v>79</v>
      </c>
      <c r="D21" s="167">
        <v>26000</v>
      </c>
      <c r="E21" s="168"/>
      <c r="F21" s="168"/>
      <c r="G21" s="168"/>
      <c r="H21" s="168"/>
      <c r="I21" s="168"/>
      <c r="J21" s="168"/>
      <c r="K21" s="168"/>
      <c r="L21" s="186">
        <v>20</v>
      </c>
      <c r="M21" s="187" t="s">
        <v>79</v>
      </c>
      <c r="N21" s="188" t="s">
        <v>12</v>
      </c>
      <c r="O21" s="189">
        <v>26000</v>
      </c>
      <c r="P21" s="170">
        <f t="shared" si="0"/>
        <v>20</v>
      </c>
      <c r="Q21" s="171"/>
      <c r="R21" s="172">
        <f t="shared" si="1"/>
        <v>0</v>
      </c>
    </row>
    <row r="22" spans="1:18" s="169" customFormat="1" ht="18.75" x14ac:dyDescent="0.3">
      <c r="A22" s="165">
        <v>21</v>
      </c>
      <c r="B22" s="166" t="s">
        <v>14</v>
      </c>
      <c r="C22" s="165" t="s">
        <v>80</v>
      </c>
      <c r="D22" s="167">
        <v>33000</v>
      </c>
      <c r="E22" s="168"/>
      <c r="F22" s="168"/>
      <c r="G22" s="168"/>
      <c r="H22" s="168"/>
      <c r="I22" s="168"/>
      <c r="J22" s="168"/>
      <c r="K22" s="168"/>
      <c r="L22" s="186">
        <v>21</v>
      </c>
      <c r="M22" s="187" t="s">
        <v>80</v>
      </c>
      <c r="N22" s="188" t="s">
        <v>14</v>
      </c>
      <c r="O22" s="189">
        <v>33000</v>
      </c>
      <c r="P22" s="170">
        <f t="shared" si="0"/>
        <v>21</v>
      </c>
      <c r="Q22" s="171"/>
      <c r="R22" s="172">
        <f t="shared" si="1"/>
        <v>0</v>
      </c>
    </row>
    <row r="23" spans="1:18" s="169" customFormat="1" ht="18.75" x14ac:dyDescent="0.3">
      <c r="A23" s="165">
        <v>22</v>
      </c>
      <c r="B23" s="166" t="s">
        <v>7</v>
      </c>
      <c r="C23" s="165" t="s">
        <v>81</v>
      </c>
      <c r="D23" s="167">
        <v>34000</v>
      </c>
      <c r="E23" s="168"/>
      <c r="F23" s="168"/>
      <c r="G23" s="168"/>
      <c r="H23" s="168"/>
      <c r="I23" s="168"/>
      <c r="J23" s="168"/>
      <c r="K23" s="168"/>
      <c r="L23" s="186">
        <v>22</v>
      </c>
      <c r="M23" s="187" t="s">
        <v>81</v>
      </c>
      <c r="N23" s="188" t="s">
        <v>7</v>
      </c>
      <c r="O23" s="189">
        <v>34000</v>
      </c>
      <c r="P23" s="170">
        <f t="shared" si="0"/>
        <v>22</v>
      </c>
      <c r="Q23" s="171"/>
      <c r="R23" s="172">
        <f t="shared" si="1"/>
        <v>0</v>
      </c>
    </row>
    <row r="24" spans="1:18" s="169" customFormat="1" ht="18.75" x14ac:dyDescent="0.3">
      <c r="A24" s="165">
        <v>23</v>
      </c>
      <c r="B24" s="166" t="s">
        <v>8</v>
      </c>
      <c r="C24" s="165" t="s">
        <v>82</v>
      </c>
      <c r="D24" s="167">
        <v>69000</v>
      </c>
      <c r="E24" s="168"/>
      <c r="F24" s="168"/>
      <c r="G24" s="168"/>
      <c r="H24" s="168"/>
      <c r="I24" s="168"/>
      <c r="J24" s="168"/>
      <c r="K24" s="168"/>
      <c r="L24" s="186">
        <v>23</v>
      </c>
      <c r="M24" s="187" t="s">
        <v>82</v>
      </c>
      <c r="N24" s="188" t="s">
        <v>8</v>
      </c>
      <c r="O24" s="189">
        <v>69000</v>
      </c>
      <c r="P24" s="170">
        <f t="shared" si="0"/>
        <v>23</v>
      </c>
      <c r="Q24" s="171"/>
      <c r="R24" s="172">
        <f t="shared" si="1"/>
        <v>0</v>
      </c>
    </row>
    <row r="25" spans="1:18" s="169" customFormat="1" ht="18.75" x14ac:dyDescent="0.3">
      <c r="A25" s="165">
        <v>24</v>
      </c>
      <c r="B25" s="166" t="s">
        <v>27</v>
      </c>
      <c r="C25" s="165" t="s">
        <v>83</v>
      </c>
      <c r="D25" s="167">
        <v>38000</v>
      </c>
      <c r="E25" s="168"/>
      <c r="F25" s="168"/>
      <c r="G25" s="168"/>
      <c r="H25" s="168"/>
      <c r="I25" s="168"/>
      <c r="J25" s="168"/>
      <c r="K25" s="168"/>
      <c r="L25" s="186">
        <v>24</v>
      </c>
      <c r="M25" s="187" t="s">
        <v>83</v>
      </c>
      <c r="N25" s="188" t="s">
        <v>27</v>
      </c>
      <c r="O25" s="189">
        <v>38000</v>
      </c>
      <c r="P25" s="170">
        <f t="shared" si="0"/>
        <v>24</v>
      </c>
      <c r="Q25" s="171"/>
      <c r="R25" s="172">
        <f t="shared" si="1"/>
        <v>0</v>
      </c>
    </row>
    <row r="26" spans="1:18" s="169" customFormat="1" ht="18.75" x14ac:dyDescent="0.3">
      <c r="A26" s="165">
        <v>25</v>
      </c>
      <c r="B26" s="166" t="s">
        <v>68</v>
      </c>
      <c r="C26" s="165" t="s">
        <v>84</v>
      </c>
      <c r="D26" s="167">
        <v>35000</v>
      </c>
      <c r="E26" s="168"/>
      <c r="F26" s="168"/>
      <c r="G26" s="168"/>
      <c r="H26" s="168"/>
      <c r="I26" s="168"/>
      <c r="J26" s="168"/>
      <c r="K26" s="168"/>
      <c r="L26" s="186">
        <v>25</v>
      </c>
      <c r="M26" s="187" t="s">
        <v>84</v>
      </c>
      <c r="N26" s="188" t="s">
        <v>68</v>
      </c>
      <c r="O26" s="189">
        <v>35000</v>
      </c>
      <c r="P26" s="170">
        <f t="shared" si="0"/>
        <v>25</v>
      </c>
      <c r="Q26" s="171"/>
      <c r="R26" s="172">
        <f t="shared" si="1"/>
        <v>0</v>
      </c>
    </row>
    <row r="27" spans="1:18" s="169" customFormat="1" ht="18.75" x14ac:dyDescent="0.3">
      <c r="A27" s="165">
        <v>26</v>
      </c>
      <c r="B27" s="166" t="s">
        <v>29</v>
      </c>
      <c r="C27" s="165" t="s">
        <v>85</v>
      </c>
      <c r="D27" s="167">
        <v>45000</v>
      </c>
      <c r="E27" s="168"/>
      <c r="F27" s="168"/>
      <c r="G27" s="168"/>
      <c r="H27" s="168"/>
      <c r="I27" s="168"/>
      <c r="J27" s="168"/>
      <c r="K27" s="168"/>
      <c r="L27" s="186">
        <v>26</v>
      </c>
      <c r="M27" s="187" t="s">
        <v>85</v>
      </c>
      <c r="N27" s="188" t="s">
        <v>29</v>
      </c>
      <c r="O27" s="189">
        <v>45000</v>
      </c>
      <c r="P27" s="170">
        <f t="shared" si="0"/>
        <v>26</v>
      </c>
      <c r="Q27" s="171"/>
      <c r="R27" s="172">
        <f t="shared" si="1"/>
        <v>0</v>
      </c>
    </row>
    <row r="28" spans="1:18" s="169" customFormat="1" ht="18.75" x14ac:dyDescent="0.3">
      <c r="A28" s="165">
        <v>27</v>
      </c>
      <c r="B28" s="166" t="s">
        <v>15</v>
      </c>
      <c r="C28" s="165" t="s">
        <v>86</v>
      </c>
      <c r="D28" s="167">
        <v>35000</v>
      </c>
      <c r="E28" s="168"/>
      <c r="F28" s="168"/>
      <c r="G28" s="168"/>
      <c r="H28" s="168"/>
      <c r="I28" s="168"/>
      <c r="J28" s="168"/>
      <c r="K28" s="168"/>
      <c r="L28" s="186">
        <v>27</v>
      </c>
      <c r="M28" s="187" t="s">
        <v>86</v>
      </c>
      <c r="N28" s="188" t="s">
        <v>15</v>
      </c>
      <c r="O28" s="189">
        <v>35000</v>
      </c>
      <c r="P28" s="170">
        <f t="shared" si="0"/>
        <v>27</v>
      </c>
      <c r="Q28" s="171"/>
      <c r="R28" s="172">
        <f t="shared" si="1"/>
        <v>0</v>
      </c>
    </row>
    <row r="29" spans="1:18" s="169" customFormat="1" ht="18.75" x14ac:dyDescent="0.3">
      <c r="A29" s="165">
        <v>28</v>
      </c>
      <c r="B29" s="166" t="s">
        <v>10</v>
      </c>
      <c r="C29" s="165" t="s">
        <v>87</v>
      </c>
      <c r="D29" s="167">
        <v>32000</v>
      </c>
      <c r="E29" s="168"/>
      <c r="F29" s="168"/>
      <c r="G29" s="168"/>
      <c r="H29" s="168"/>
      <c r="I29" s="168"/>
      <c r="J29" s="168"/>
      <c r="K29" s="168"/>
      <c r="L29" s="186">
        <v>28</v>
      </c>
      <c r="M29" s="187" t="s">
        <v>87</v>
      </c>
      <c r="N29" s="188" t="s">
        <v>10</v>
      </c>
      <c r="O29" s="189">
        <v>32000</v>
      </c>
      <c r="P29" s="170">
        <f t="shared" si="0"/>
        <v>28</v>
      </c>
      <c r="Q29" s="171"/>
      <c r="R29" s="172">
        <f t="shared" si="1"/>
        <v>0</v>
      </c>
    </row>
    <row r="30" spans="1:18" s="169" customFormat="1" ht="18.75" x14ac:dyDescent="0.3">
      <c r="A30" s="165">
        <v>29</v>
      </c>
      <c r="B30" s="166" t="s">
        <v>38</v>
      </c>
      <c r="C30" s="165" t="s">
        <v>88</v>
      </c>
      <c r="D30" s="167">
        <v>32000</v>
      </c>
      <c r="E30" s="168"/>
      <c r="F30" s="168"/>
      <c r="G30" s="168"/>
      <c r="H30" s="168"/>
      <c r="I30" s="168"/>
      <c r="J30" s="168"/>
      <c r="K30" s="168"/>
      <c r="L30" s="186">
        <v>29</v>
      </c>
      <c r="M30" s="187" t="s">
        <v>88</v>
      </c>
      <c r="N30" s="188" t="s">
        <v>38</v>
      </c>
      <c r="O30" s="189">
        <v>32000</v>
      </c>
      <c r="P30" s="170">
        <f t="shared" si="0"/>
        <v>29</v>
      </c>
      <c r="Q30" s="171"/>
      <c r="R30" s="172">
        <f t="shared" si="1"/>
        <v>0</v>
      </c>
    </row>
    <row r="31" spans="1:18" s="169" customFormat="1" ht="18.75" x14ac:dyDescent="0.3">
      <c r="A31" s="165">
        <v>30</v>
      </c>
      <c r="B31" s="166" t="s">
        <v>39</v>
      </c>
      <c r="C31" s="165" t="s">
        <v>89</v>
      </c>
      <c r="D31" s="167">
        <v>14000</v>
      </c>
      <c r="E31" s="168"/>
      <c r="F31" s="168"/>
      <c r="G31" s="168"/>
      <c r="H31" s="168"/>
      <c r="I31" s="168"/>
      <c r="J31" s="168"/>
      <c r="K31" s="168"/>
      <c r="L31" s="186">
        <v>30</v>
      </c>
      <c r="M31" s="187" t="s">
        <v>89</v>
      </c>
      <c r="N31" s="188" t="s">
        <v>39</v>
      </c>
      <c r="O31" s="189">
        <v>14000</v>
      </c>
      <c r="P31" s="170">
        <f t="shared" si="0"/>
        <v>30</v>
      </c>
      <c r="Q31" s="171"/>
      <c r="R31" s="172">
        <f t="shared" si="1"/>
        <v>0</v>
      </c>
    </row>
    <row r="32" spans="1:18" s="169" customFormat="1" ht="18.75" x14ac:dyDescent="0.3">
      <c r="A32" s="165">
        <v>31</v>
      </c>
      <c r="B32" s="166" t="s">
        <v>67</v>
      </c>
      <c r="C32" s="165" t="s">
        <v>90</v>
      </c>
      <c r="D32" s="167">
        <v>32000</v>
      </c>
      <c r="E32" s="168"/>
      <c r="F32" s="168"/>
      <c r="G32" s="168"/>
      <c r="H32" s="168"/>
      <c r="I32" s="168"/>
      <c r="J32" s="168"/>
      <c r="K32" s="168"/>
      <c r="L32" s="186">
        <v>31</v>
      </c>
      <c r="M32" s="187" t="s">
        <v>90</v>
      </c>
      <c r="N32" s="188" t="s">
        <v>67</v>
      </c>
      <c r="O32" s="189">
        <v>32000</v>
      </c>
      <c r="P32" s="170">
        <f t="shared" ref="P32:P61" si="2">IFERROR(VALUE(SUBSTITUTE(L32,"&lt;1","")),"")</f>
        <v>31</v>
      </c>
      <c r="Q32" s="171"/>
      <c r="R32" s="171"/>
    </row>
    <row r="33" spans="1:18" s="169" customFormat="1" ht="18.75" x14ac:dyDescent="0.3">
      <c r="A33" s="165">
        <v>32</v>
      </c>
      <c r="B33" s="166" t="s">
        <v>40</v>
      </c>
      <c r="C33" s="165" t="s">
        <v>91</v>
      </c>
      <c r="D33" s="167">
        <v>35000</v>
      </c>
      <c r="E33" s="168"/>
      <c r="F33" s="168"/>
      <c r="G33" s="168"/>
      <c r="H33" s="168"/>
      <c r="I33" s="168"/>
      <c r="J33" s="168"/>
      <c r="K33" s="168"/>
      <c r="L33" s="186">
        <v>32</v>
      </c>
      <c r="M33" s="187" t="s">
        <v>91</v>
      </c>
      <c r="N33" s="188" t="s">
        <v>40</v>
      </c>
      <c r="O33" s="189">
        <v>35000</v>
      </c>
      <c r="P33" s="170">
        <f t="shared" si="2"/>
        <v>32</v>
      </c>
      <c r="Q33" s="171"/>
      <c r="R33" s="171"/>
    </row>
    <row r="34" spans="1:18" s="169" customFormat="1" ht="18.75" x14ac:dyDescent="0.3">
      <c r="A34" s="165">
        <v>33</v>
      </c>
      <c r="B34" s="166" t="s">
        <v>41</v>
      </c>
      <c r="C34" s="165" t="s">
        <v>92</v>
      </c>
      <c r="D34" s="167">
        <v>14000</v>
      </c>
      <c r="E34" s="168"/>
      <c r="F34" s="168"/>
      <c r="G34" s="168"/>
      <c r="H34" s="168"/>
      <c r="I34" s="168"/>
      <c r="J34" s="168"/>
      <c r="K34" s="168"/>
      <c r="L34" s="186">
        <v>33</v>
      </c>
      <c r="M34" s="187" t="s">
        <v>92</v>
      </c>
      <c r="N34" s="188" t="s">
        <v>41</v>
      </c>
      <c r="O34" s="189">
        <v>14000</v>
      </c>
      <c r="P34" s="170">
        <f t="shared" si="2"/>
        <v>33</v>
      </c>
      <c r="Q34" s="171"/>
      <c r="R34" s="171"/>
    </row>
    <row r="35" spans="1:18" s="169" customFormat="1" ht="18.75" x14ac:dyDescent="0.3">
      <c r="A35" s="165">
        <v>34</v>
      </c>
      <c r="B35" s="166" t="s">
        <v>42</v>
      </c>
      <c r="C35" s="165" t="s">
        <v>93</v>
      </c>
      <c r="D35" s="167">
        <v>35000</v>
      </c>
      <c r="E35" s="168"/>
      <c r="F35" s="168"/>
      <c r="G35" s="168"/>
      <c r="H35" s="168"/>
      <c r="I35" s="168"/>
      <c r="J35" s="168"/>
      <c r="K35" s="168"/>
      <c r="L35" s="186">
        <v>34</v>
      </c>
      <c r="M35" s="187" t="s">
        <v>93</v>
      </c>
      <c r="N35" s="188" t="s">
        <v>42</v>
      </c>
      <c r="O35" s="189">
        <v>35000</v>
      </c>
      <c r="P35" s="170">
        <f t="shared" si="2"/>
        <v>34</v>
      </c>
      <c r="Q35" s="171"/>
      <c r="R35" s="171"/>
    </row>
    <row r="36" spans="1:18" s="169" customFormat="1" ht="18.75" x14ac:dyDescent="0.3">
      <c r="A36" s="165">
        <v>35</v>
      </c>
      <c r="B36" s="166" t="s">
        <v>43</v>
      </c>
      <c r="C36" s="165" t="s">
        <v>94</v>
      </c>
      <c r="D36" s="167">
        <v>14000</v>
      </c>
      <c r="E36" s="168"/>
      <c r="F36" s="168"/>
      <c r="G36" s="168"/>
      <c r="H36" s="168"/>
      <c r="I36" s="168"/>
      <c r="J36" s="168"/>
      <c r="K36" s="168"/>
      <c r="L36" s="186">
        <v>35</v>
      </c>
      <c r="M36" s="187" t="s">
        <v>94</v>
      </c>
      <c r="N36" s="188" t="s">
        <v>43</v>
      </c>
      <c r="O36" s="189">
        <v>14000</v>
      </c>
      <c r="P36" s="170">
        <f t="shared" si="2"/>
        <v>35</v>
      </c>
      <c r="Q36" s="171"/>
      <c r="R36" s="171"/>
    </row>
    <row r="37" spans="1:18" s="169" customFormat="1" ht="18.75" x14ac:dyDescent="0.3">
      <c r="A37" s="165">
        <v>36</v>
      </c>
      <c r="B37" s="166" t="s">
        <v>48</v>
      </c>
      <c r="C37" s="165" t="s">
        <v>95</v>
      </c>
      <c r="D37" s="167">
        <v>59000</v>
      </c>
      <c r="E37" s="168"/>
      <c r="F37" s="168"/>
      <c r="G37" s="168"/>
      <c r="H37" s="168"/>
      <c r="I37" s="168"/>
      <c r="J37" s="168"/>
      <c r="K37" s="168"/>
      <c r="L37" s="186">
        <v>36</v>
      </c>
      <c r="M37" s="187" t="s">
        <v>95</v>
      </c>
      <c r="N37" s="188" t="s">
        <v>48</v>
      </c>
      <c r="O37" s="189">
        <v>59000</v>
      </c>
      <c r="P37" s="170">
        <f t="shared" si="2"/>
        <v>36</v>
      </c>
      <c r="Q37" s="171"/>
      <c r="R37" s="171"/>
    </row>
    <row r="38" spans="1:18" s="169" customFormat="1" ht="18.75" x14ac:dyDescent="0.3">
      <c r="A38" s="165">
        <v>37</v>
      </c>
      <c r="B38" s="166" t="s">
        <v>49</v>
      </c>
      <c r="C38" s="165" t="s">
        <v>96</v>
      </c>
      <c r="D38" s="167">
        <v>52000</v>
      </c>
      <c r="E38" s="168"/>
      <c r="F38" s="168"/>
      <c r="G38" s="168"/>
      <c r="H38" s="168"/>
      <c r="I38" s="168"/>
      <c r="J38" s="168"/>
      <c r="K38" s="168"/>
      <c r="L38" s="186">
        <v>37</v>
      </c>
      <c r="M38" s="187" t="s">
        <v>96</v>
      </c>
      <c r="N38" s="188" t="s">
        <v>49</v>
      </c>
      <c r="O38" s="189">
        <v>52000</v>
      </c>
      <c r="P38" s="170">
        <f t="shared" si="2"/>
        <v>37</v>
      </c>
      <c r="Q38" s="171"/>
      <c r="R38" s="171"/>
    </row>
    <row r="39" spans="1:18" s="169" customFormat="1" ht="18.75" x14ac:dyDescent="0.3">
      <c r="A39" s="165">
        <v>38</v>
      </c>
      <c r="B39" s="166" t="s">
        <v>45</v>
      </c>
      <c r="C39" s="165" t="s">
        <v>97</v>
      </c>
      <c r="D39" s="167">
        <v>65000</v>
      </c>
      <c r="E39" s="168"/>
      <c r="F39" s="168"/>
      <c r="G39" s="168"/>
      <c r="H39" s="168"/>
      <c r="I39" s="168"/>
      <c r="J39" s="168"/>
      <c r="K39" s="168"/>
      <c r="L39" s="186">
        <v>38</v>
      </c>
      <c r="M39" s="187" t="s">
        <v>97</v>
      </c>
      <c r="N39" s="188" t="s">
        <v>45</v>
      </c>
      <c r="O39" s="189">
        <v>65000</v>
      </c>
      <c r="P39" s="170">
        <f t="shared" si="2"/>
        <v>38</v>
      </c>
      <c r="Q39" s="171"/>
      <c r="R39" s="171"/>
    </row>
    <row r="40" spans="1:18" s="169" customFormat="1" ht="18.75" x14ac:dyDescent="0.3">
      <c r="A40" s="165">
        <v>39</v>
      </c>
      <c r="B40" s="166" t="s">
        <v>44</v>
      </c>
      <c r="C40" s="165" t="s">
        <v>98</v>
      </c>
      <c r="D40" s="167">
        <v>44000</v>
      </c>
      <c r="E40" s="168"/>
      <c r="F40" s="168"/>
      <c r="G40" s="168"/>
      <c r="H40" s="168"/>
      <c r="I40" s="168"/>
      <c r="J40" s="168"/>
      <c r="K40" s="168"/>
      <c r="L40" s="186">
        <v>39</v>
      </c>
      <c r="M40" s="187" t="s">
        <v>98</v>
      </c>
      <c r="N40" s="188" t="s">
        <v>44</v>
      </c>
      <c r="O40" s="189">
        <v>44000</v>
      </c>
      <c r="P40" s="170">
        <f t="shared" si="2"/>
        <v>39</v>
      </c>
      <c r="Q40" s="171"/>
      <c r="R40" s="171"/>
    </row>
    <row r="41" spans="1:18" s="169" customFormat="1" ht="18.75" x14ac:dyDescent="0.3">
      <c r="A41" s="165">
        <v>40</v>
      </c>
      <c r="B41" s="166" t="s">
        <v>47</v>
      </c>
      <c r="C41" s="165" t="s">
        <v>99</v>
      </c>
      <c r="D41" s="167">
        <v>79000</v>
      </c>
      <c r="E41" s="168"/>
      <c r="F41" s="168"/>
      <c r="G41" s="168"/>
      <c r="H41" s="168"/>
      <c r="I41" s="168"/>
      <c r="J41" s="168"/>
      <c r="K41" s="168"/>
      <c r="L41" s="186">
        <v>40</v>
      </c>
      <c r="M41" s="187" t="s">
        <v>99</v>
      </c>
      <c r="N41" s="188" t="s">
        <v>47</v>
      </c>
      <c r="O41" s="189">
        <v>79000</v>
      </c>
      <c r="P41" s="170">
        <f t="shared" si="2"/>
        <v>40</v>
      </c>
      <c r="Q41" s="171"/>
      <c r="R41" s="171"/>
    </row>
    <row r="42" spans="1:18" s="169" customFormat="1" ht="18.75" x14ac:dyDescent="0.3">
      <c r="A42" s="165">
        <v>41</v>
      </c>
      <c r="B42" s="166" t="s">
        <v>37</v>
      </c>
      <c r="C42" s="165" t="s">
        <v>100</v>
      </c>
      <c r="D42" s="167">
        <v>66000</v>
      </c>
      <c r="E42" s="168"/>
      <c r="F42" s="168"/>
      <c r="G42" s="168"/>
      <c r="H42" s="168"/>
      <c r="I42" s="168"/>
      <c r="J42" s="168"/>
      <c r="K42" s="168"/>
      <c r="L42" s="186">
        <v>41</v>
      </c>
      <c r="M42" s="187" t="s">
        <v>100</v>
      </c>
      <c r="N42" s="188" t="s">
        <v>37</v>
      </c>
      <c r="O42" s="189">
        <v>66000</v>
      </c>
      <c r="P42" s="170">
        <f t="shared" si="2"/>
        <v>41</v>
      </c>
      <c r="Q42" s="171"/>
      <c r="R42" s="171"/>
    </row>
    <row r="43" spans="1:18" s="169" customFormat="1" ht="18.75" x14ac:dyDescent="0.3">
      <c r="A43" s="165">
        <v>42</v>
      </c>
      <c r="B43" s="166" t="s">
        <v>50</v>
      </c>
      <c r="C43" s="165" t="s">
        <v>101</v>
      </c>
      <c r="D43" s="167">
        <v>122000</v>
      </c>
      <c r="E43" s="168"/>
      <c r="F43" s="168"/>
      <c r="G43" s="168"/>
      <c r="H43" s="168"/>
      <c r="I43" s="168"/>
      <c r="J43" s="168"/>
      <c r="K43" s="168"/>
      <c r="L43" s="186">
        <v>42</v>
      </c>
      <c r="M43" s="187" t="s">
        <v>101</v>
      </c>
      <c r="N43" s="188" t="s">
        <v>50</v>
      </c>
      <c r="O43" s="189">
        <v>122000</v>
      </c>
      <c r="P43" s="170">
        <f t="shared" si="2"/>
        <v>42</v>
      </c>
      <c r="Q43" s="171"/>
      <c r="R43" s="171"/>
    </row>
    <row r="44" spans="1:18" s="169" customFormat="1" ht="18.75" x14ac:dyDescent="0.3">
      <c r="A44" s="165">
        <v>43</v>
      </c>
      <c r="B44" s="166" t="s">
        <v>36</v>
      </c>
      <c r="C44" s="165" t="s">
        <v>102</v>
      </c>
      <c r="D44" s="167">
        <v>66000</v>
      </c>
      <c r="E44" s="168"/>
      <c r="F44" s="168"/>
      <c r="G44" s="168"/>
      <c r="H44" s="168"/>
      <c r="I44" s="168"/>
      <c r="J44" s="168"/>
      <c r="K44" s="168"/>
      <c r="L44" s="186">
        <v>43</v>
      </c>
      <c r="M44" s="187" t="s">
        <v>102</v>
      </c>
      <c r="N44" s="188" t="s">
        <v>36</v>
      </c>
      <c r="O44" s="189">
        <v>66000</v>
      </c>
      <c r="P44" s="170">
        <f t="shared" si="2"/>
        <v>43</v>
      </c>
      <c r="Q44" s="171"/>
      <c r="R44" s="171"/>
    </row>
    <row r="45" spans="1:18" s="169" customFormat="1" ht="18.75" x14ac:dyDescent="0.3">
      <c r="A45" s="165">
        <v>44</v>
      </c>
      <c r="B45" s="166" t="s">
        <v>51</v>
      </c>
      <c r="C45" s="165" t="s">
        <v>103</v>
      </c>
      <c r="D45" s="167">
        <v>65000</v>
      </c>
      <c r="E45" s="168"/>
      <c r="F45" s="168"/>
      <c r="G45" s="168"/>
      <c r="H45" s="168"/>
      <c r="I45" s="168"/>
      <c r="J45" s="168"/>
      <c r="K45" s="168"/>
      <c r="L45" s="186">
        <v>44</v>
      </c>
      <c r="M45" s="187" t="s">
        <v>103</v>
      </c>
      <c r="N45" s="188" t="s">
        <v>51</v>
      </c>
      <c r="O45" s="189">
        <v>65000</v>
      </c>
      <c r="P45" s="170">
        <f t="shared" si="2"/>
        <v>44</v>
      </c>
      <c r="Q45" s="171"/>
      <c r="R45" s="171"/>
    </row>
    <row r="46" spans="1:18" s="169" customFormat="1" ht="18.75" x14ac:dyDescent="0.3">
      <c r="A46" s="165">
        <v>45</v>
      </c>
      <c r="B46" s="166" t="s">
        <v>52</v>
      </c>
      <c r="C46" s="165" t="s">
        <v>104</v>
      </c>
      <c r="D46" s="167">
        <v>54000</v>
      </c>
      <c r="E46" s="168"/>
      <c r="F46" s="168"/>
      <c r="G46" s="168"/>
      <c r="H46" s="168"/>
      <c r="I46" s="168"/>
      <c r="J46" s="168"/>
      <c r="K46" s="168"/>
      <c r="L46" s="186">
        <v>45</v>
      </c>
      <c r="M46" s="187" t="s">
        <v>104</v>
      </c>
      <c r="N46" s="188" t="s">
        <v>52</v>
      </c>
      <c r="O46" s="189">
        <v>54000</v>
      </c>
      <c r="P46" s="170">
        <f t="shared" si="2"/>
        <v>45</v>
      </c>
      <c r="Q46" s="171"/>
      <c r="R46" s="171"/>
    </row>
    <row r="47" spans="1:18" s="169" customFormat="1" ht="18.75" x14ac:dyDescent="0.3">
      <c r="A47" s="165">
        <v>46</v>
      </c>
      <c r="B47" s="166" t="s">
        <v>46</v>
      </c>
      <c r="C47" s="165" t="s">
        <v>105</v>
      </c>
      <c r="D47" s="167">
        <v>59000</v>
      </c>
      <c r="E47" s="168"/>
      <c r="F47" s="168"/>
      <c r="G47" s="168"/>
      <c r="H47" s="168"/>
      <c r="I47" s="168"/>
      <c r="J47" s="168"/>
      <c r="K47" s="168"/>
      <c r="L47" s="186">
        <v>46</v>
      </c>
      <c r="M47" s="187" t="s">
        <v>105</v>
      </c>
      <c r="N47" s="188" t="s">
        <v>46</v>
      </c>
      <c r="O47" s="189">
        <v>59000</v>
      </c>
      <c r="P47" s="170">
        <f t="shared" si="2"/>
        <v>46</v>
      </c>
      <c r="Q47" s="171"/>
      <c r="R47" s="171"/>
    </row>
    <row r="48" spans="1:18" s="169" customFormat="1" ht="18.75" x14ac:dyDescent="0.3">
      <c r="A48" s="165">
        <v>47</v>
      </c>
      <c r="B48" s="166" t="s">
        <v>142</v>
      </c>
      <c r="C48" s="165" t="s">
        <v>126</v>
      </c>
      <c r="D48" s="167">
        <v>40000</v>
      </c>
      <c r="E48" s="168"/>
      <c r="F48" s="168"/>
      <c r="G48" s="168"/>
      <c r="H48" s="168"/>
      <c r="I48" s="168"/>
      <c r="J48" s="168"/>
      <c r="K48" s="168"/>
      <c r="L48" s="186">
        <v>47</v>
      </c>
      <c r="M48" s="187" t="s">
        <v>126</v>
      </c>
      <c r="N48" s="188" t="s">
        <v>142</v>
      </c>
      <c r="O48" s="189">
        <v>40000</v>
      </c>
      <c r="P48" s="170">
        <f t="shared" si="2"/>
        <v>47</v>
      </c>
      <c r="Q48" s="171"/>
      <c r="R48" s="171"/>
    </row>
    <row r="49" spans="1:18" s="169" customFormat="1" ht="18.75" x14ac:dyDescent="0.3">
      <c r="A49" s="165">
        <v>48</v>
      </c>
      <c r="B49" s="166" t="s">
        <v>143</v>
      </c>
      <c r="C49" s="165" t="s">
        <v>144</v>
      </c>
      <c r="D49" s="167">
        <v>35000</v>
      </c>
      <c r="E49" s="168"/>
      <c r="F49" s="168"/>
      <c r="G49" s="168"/>
      <c r="H49" s="168"/>
      <c r="I49" s="168"/>
      <c r="J49" s="168"/>
      <c r="K49" s="168"/>
      <c r="L49" s="186">
        <v>48</v>
      </c>
      <c r="M49" s="187" t="s">
        <v>144</v>
      </c>
      <c r="N49" s="188" t="s">
        <v>143</v>
      </c>
      <c r="O49" s="189">
        <v>35000</v>
      </c>
      <c r="P49" s="170">
        <f t="shared" si="2"/>
        <v>48</v>
      </c>
      <c r="Q49" s="171"/>
      <c r="R49" s="171"/>
    </row>
    <row r="50" spans="1:18" s="169" customFormat="1" ht="18.75" x14ac:dyDescent="0.3">
      <c r="A50" s="165">
        <v>49</v>
      </c>
      <c r="B50" s="166" t="s">
        <v>165</v>
      </c>
      <c r="C50" s="165" t="s">
        <v>146</v>
      </c>
      <c r="D50" s="167">
        <v>45000</v>
      </c>
      <c r="E50" s="168"/>
      <c r="F50" s="168"/>
      <c r="G50" s="168"/>
      <c r="H50" s="168"/>
      <c r="I50" s="168"/>
      <c r="J50" s="168"/>
      <c r="K50" s="168"/>
      <c r="L50" s="186">
        <v>49</v>
      </c>
      <c r="M50" s="187" t="s">
        <v>146</v>
      </c>
      <c r="N50" s="188" t="s">
        <v>165</v>
      </c>
      <c r="O50" s="189">
        <v>45000</v>
      </c>
      <c r="P50" s="170">
        <f t="shared" si="2"/>
        <v>49</v>
      </c>
      <c r="Q50" s="171"/>
      <c r="R50" s="171"/>
    </row>
    <row r="51" spans="1:18" s="169" customFormat="1" ht="18.75" x14ac:dyDescent="0.3">
      <c r="A51" s="165">
        <v>50</v>
      </c>
      <c r="B51" s="166" t="s">
        <v>147</v>
      </c>
      <c r="C51" s="165" t="s">
        <v>148</v>
      </c>
      <c r="D51" s="167">
        <v>40000</v>
      </c>
      <c r="E51" s="168"/>
      <c r="F51" s="168"/>
      <c r="G51" s="168"/>
      <c r="H51" s="168"/>
      <c r="I51" s="168"/>
      <c r="J51" s="168"/>
      <c r="K51" s="168"/>
      <c r="L51" s="186">
        <v>50</v>
      </c>
      <c r="M51" s="187" t="s">
        <v>148</v>
      </c>
      <c r="N51" s="188" t="s">
        <v>147</v>
      </c>
      <c r="O51" s="189">
        <v>40000</v>
      </c>
      <c r="P51" s="170">
        <f t="shared" si="2"/>
        <v>50</v>
      </c>
      <c r="Q51" s="171"/>
      <c r="R51" s="171"/>
    </row>
    <row r="52" spans="1:18" s="169" customFormat="1" ht="18.75" x14ac:dyDescent="0.3">
      <c r="A52" s="165">
        <v>51</v>
      </c>
      <c r="B52" s="166" t="s">
        <v>150</v>
      </c>
      <c r="C52" s="165" t="s">
        <v>161</v>
      </c>
      <c r="D52" s="167">
        <v>38000</v>
      </c>
      <c r="E52" s="168"/>
      <c r="F52" s="168"/>
      <c r="G52" s="168"/>
      <c r="H52" s="168"/>
      <c r="I52" s="168"/>
      <c r="J52" s="168"/>
      <c r="K52" s="168"/>
      <c r="L52" s="186">
        <v>51</v>
      </c>
      <c r="M52" s="187" t="s">
        <v>161</v>
      </c>
      <c r="N52" s="188" t="s">
        <v>150</v>
      </c>
      <c r="O52" s="189">
        <v>38000</v>
      </c>
      <c r="P52" s="170">
        <f t="shared" si="2"/>
        <v>51</v>
      </c>
      <c r="Q52" s="171"/>
      <c r="R52" s="171"/>
    </row>
    <row r="53" spans="1:18" s="169" customFormat="1" ht="18.75" x14ac:dyDescent="0.3">
      <c r="A53" s="165">
        <v>52</v>
      </c>
      <c r="B53" s="166" t="s">
        <v>166</v>
      </c>
      <c r="C53" s="165" t="s">
        <v>167</v>
      </c>
      <c r="D53" s="167">
        <v>69000</v>
      </c>
      <c r="E53" s="168"/>
      <c r="F53" s="168"/>
      <c r="G53" s="168"/>
      <c r="H53" s="168"/>
      <c r="I53" s="168"/>
      <c r="J53" s="168"/>
      <c r="K53" s="168"/>
      <c r="L53" s="186">
        <v>52</v>
      </c>
      <c r="M53" s="187" t="s">
        <v>167</v>
      </c>
      <c r="N53" s="188" t="s">
        <v>166</v>
      </c>
      <c r="O53" s="189">
        <v>69000</v>
      </c>
      <c r="P53" s="170">
        <f t="shared" si="2"/>
        <v>52</v>
      </c>
      <c r="Q53" s="171"/>
      <c r="R53" s="171"/>
    </row>
    <row r="54" spans="1:18" s="169" customFormat="1" ht="18.75" x14ac:dyDescent="0.3">
      <c r="A54" s="165">
        <v>53</v>
      </c>
      <c r="B54" s="166" t="s">
        <v>168</v>
      </c>
      <c r="C54" s="165" t="s">
        <v>169</v>
      </c>
      <c r="D54" s="167">
        <v>76000</v>
      </c>
      <c r="E54" s="168"/>
      <c r="F54" s="168"/>
      <c r="G54" s="168"/>
      <c r="H54" s="168"/>
      <c r="I54" s="168"/>
      <c r="J54" s="168"/>
      <c r="K54" s="168"/>
      <c r="L54" s="186">
        <v>53</v>
      </c>
      <c r="M54" s="187" t="s">
        <v>169</v>
      </c>
      <c r="N54" s="188" t="s">
        <v>168</v>
      </c>
      <c r="O54" s="189">
        <v>76000</v>
      </c>
      <c r="P54" s="170">
        <f t="shared" si="2"/>
        <v>53</v>
      </c>
      <c r="Q54" s="171"/>
      <c r="R54" s="171"/>
    </row>
    <row r="55" spans="1:18" s="169" customFormat="1" ht="18.75" x14ac:dyDescent="0.3">
      <c r="A55" s="165">
        <v>54</v>
      </c>
      <c r="B55" s="166" t="s">
        <v>178</v>
      </c>
      <c r="C55" s="165" t="s">
        <v>175</v>
      </c>
      <c r="D55" s="167">
        <v>30000</v>
      </c>
      <c r="E55" s="168"/>
      <c r="F55" s="168"/>
      <c r="G55" s="168"/>
      <c r="H55" s="168"/>
      <c r="I55" s="168"/>
      <c r="J55" s="168"/>
      <c r="K55" s="168"/>
      <c r="L55" s="186">
        <v>54</v>
      </c>
      <c r="M55" s="187" t="s">
        <v>175</v>
      </c>
      <c r="N55" s="188" t="s">
        <v>178</v>
      </c>
      <c r="O55" s="189">
        <v>30000</v>
      </c>
      <c r="P55" s="170">
        <f t="shared" si="2"/>
        <v>54</v>
      </c>
      <c r="Q55" s="171"/>
      <c r="R55" s="171"/>
    </row>
    <row r="56" spans="1:18" s="169" customFormat="1" ht="18.75" x14ac:dyDescent="0.3">
      <c r="A56" s="165">
        <v>55</v>
      </c>
      <c r="B56" s="166" t="s">
        <v>176</v>
      </c>
      <c r="C56" s="165" t="s">
        <v>177</v>
      </c>
      <c r="D56" s="167">
        <v>49000</v>
      </c>
      <c r="E56" s="168"/>
      <c r="F56" s="168"/>
      <c r="G56" s="168"/>
      <c r="H56" s="168"/>
      <c r="I56" s="168"/>
      <c r="J56" s="168"/>
      <c r="K56" s="168"/>
      <c r="L56" s="186">
        <v>55</v>
      </c>
      <c r="M56" s="187" t="s">
        <v>177</v>
      </c>
      <c r="N56" s="188" t="s">
        <v>176</v>
      </c>
      <c r="O56" s="189">
        <v>49000</v>
      </c>
      <c r="P56" s="170">
        <f t="shared" si="2"/>
        <v>55</v>
      </c>
      <c r="Q56" s="171"/>
      <c r="R56" s="171"/>
    </row>
    <row r="57" spans="1:18" s="169" customFormat="1" ht="18.75" x14ac:dyDescent="0.3">
      <c r="A57" s="165">
        <v>56</v>
      </c>
      <c r="B57" s="166" t="s">
        <v>174</v>
      </c>
      <c r="C57" s="165" t="s">
        <v>179</v>
      </c>
      <c r="D57" s="167">
        <v>80000</v>
      </c>
      <c r="E57" s="168"/>
      <c r="F57" s="168"/>
      <c r="G57" s="168"/>
      <c r="H57" s="168"/>
      <c r="I57" s="168"/>
      <c r="J57" s="168"/>
      <c r="K57" s="168"/>
      <c r="L57" s="186">
        <v>56</v>
      </c>
      <c r="M57" s="187" t="s">
        <v>179</v>
      </c>
      <c r="N57" s="188" t="s">
        <v>174</v>
      </c>
      <c r="O57" s="189">
        <v>80000</v>
      </c>
      <c r="P57" s="170">
        <f t="shared" si="2"/>
        <v>56</v>
      </c>
      <c r="Q57" s="171"/>
      <c r="R57" s="171"/>
    </row>
    <row r="58" spans="1:18" s="169" customFormat="1" ht="18.75" x14ac:dyDescent="0.3">
      <c r="A58" s="165">
        <v>57</v>
      </c>
      <c r="B58" s="166" t="s">
        <v>180</v>
      </c>
      <c r="C58" s="165" t="s">
        <v>181</v>
      </c>
      <c r="D58" s="167">
        <v>42000</v>
      </c>
      <c r="E58" s="168"/>
      <c r="F58" s="168"/>
      <c r="G58" s="168"/>
      <c r="H58" s="168"/>
      <c r="I58" s="168"/>
      <c r="J58" s="168"/>
      <c r="K58" s="168"/>
      <c r="L58" s="186">
        <v>57</v>
      </c>
      <c r="M58" s="187" t="s">
        <v>181</v>
      </c>
      <c r="N58" s="188" t="s">
        <v>180</v>
      </c>
      <c r="O58" s="189">
        <v>42000</v>
      </c>
      <c r="P58" s="170">
        <f t="shared" si="2"/>
        <v>57</v>
      </c>
      <c r="Q58" s="171"/>
      <c r="R58" s="171"/>
    </row>
    <row r="59" spans="1:18" s="169" customFormat="1" ht="18.75" x14ac:dyDescent="0.3">
      <c r="A59" s="165">
        <v>58</v>
      </c>
      <c r="B59" s="166" t="s">
        <v>182</v>
      </c>
      <c r="C59" s="165" t="s">
        <v>184</v>
      </c>
      <c r="D59" s="167">
        <v>35000</v>
      </c>
      <c r="E59" s="168"/>
      <c r="F59" s="168"/>
      <c r="G59" s="168"/>
      <c r="H59" s="168"/>
      <c r="I59" s="168"/>
      <c r="J59" s="168"/>
      <c r="K59" s="168"/>
      <c r="L59" s="186">
        <v>58</v>
      </c>
      <c r="M59" s="187" t="s">
        <v>184</v>
      </c>
      <c r="N59" s="188" t="s">
        <v>182</v>
      </c>
      <c r="O59" s="189">
        <v>35000</v>
      </c>
      <c r="P59" s="170">
        <f t="shared" si="2"/>
        <v>58</v>
      </c>
      <c r="Q59" s="171"/>
      <c r="R59" s="171"/>
    </row>
    <row r="60" spans="1:18" s="169" customFormat="1" ht="18.75" x14ac:dyDescent="0.3">
      <c r="A60" s="165">
        <v>59</v>
      </c>
      <c r="B60" s="166" t="s">
        <v>183</v>
      </c>
      <c r="C60" s="165" t="s">
        <v>185</v>
      </c>
      <c r="D60" s="167">
        <v>38000</v>
      </c>
      <c r="E60" s="168"/>
      <c r="F60" s="168"/>
      <c r="G60" s="168"/>
      <c r="H60" s="168"/>
      <c r="I60" s="168"/>
      <c r="J60" s="168"/>
      <c r="K60" s="168"/>
      <c r="L60" s="186">
        <v>59</v>
      </c>
      <c r="M60" s="187" t="s">
        <v>185</v>
      </c>
      <c r="N60" s="188" t="s">
        <v>183</v>
      </c>
      <c r="O60" s="189">
        <v>38000</v>
      </c>
      <c r="P60" s="170">
        <f t="shared" si="2"/>
        <v>59</v>
      </c>
      <c r="Q60" s="171"/>
      <c r="R60" s="171"/>
    </row>
    <row r="61" spans="1:18" s="169" customFormat="1" ht="18.75" x14ac:dyDescent="0.3">
      <c r="A61" s="165">
        <v>60</v>
      </c>
      <c r="B61" s="166" t="s">
        <v>189</v>
      </c>
      <c r="C61" s="165" t="s">
        <v>190</v>
      </c>
      <c r="D61" s="167">
        <v>70000</v>
      </c>
      <c r="E61" s="168"/>
      <c r="F61" s="168"/>
      <c r="G61" s="168"/>
      <c r="H61" s="168"/>
      <c r="I61" s="168"/>
      <c r="J61" s="168"/>
      <c r="K61" s="168"/>
      <c r="L61" s="186">
        <v>60</v>
      </c>
      <c r="M61" s="187" t="s">
        <v>190</v>
      </c>
      <c r="N61" s="188" t="s">
        <v>189</v>
      </c>
      <c r="O61" s="189">
        <v>70000</v>
      </c>
      <c r="P61" s="170">
        <f t="shared" si="2"/>
        <v>60</v>
      </c>
      <c r="Q61" s="171"/>
      <c r="R61" s="171"/>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c r="I1" s="55">
        <f>SUBTOTAL(9,H2:H31)</f>
        <v>0</v>
      </c>
      <c r="K1" s="47" t="s">
        <v>18</v>
      </c>
    </row>
    <row r="2" spans="1:11"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51" priority="21">
      <formula>$A2=MAX($A$2:$A$31)</formula>
    </cfRule>
  </conditionalFormatting>
  <conditionalFormatting sqref="D2:D3">
    <cfRule type="expression" dxfId="250" priority="18">
      <formula>AND($D2="",$E2&lt;&gt;"")</formula>
    </cfRule>
  </conditionalFormatting>
  <conditionalFormatting sqref="E2:E3">
    <cfRule type="expression" dxfId="249" priority="17">
      <formula>AND($E2="",$D2&lt;&gt;"")</formula>
    </cfRule>
  </conditionalFormatting>
  <conditionalFormatting sqref="C2:C3">
    <cfRule type="expression" dxfId="248" priority="15">
      <formula>AND($D2="",$E2&lt;&gt;"")</formula>
    </cfRule>
  </conditionalFormatting>
  <conditionalFormatting sqref="A4:G31">
    <cfRule type="expression" dxfId="247" priority="8">
      <formula>$A3=MAX($A$2:$A$31)</formula>
    </cfRule>
  </conditionalFormatting>
  <conditionalFormatting sqref="D4:D31">
    <cfRule type="expression" dxfId="246" priority="7">
      <formula>AND($D4="",$E4&lt;&gt;"")</formula>
    </cfRule>
  </conditionalFormatting>
  <conditionalFormatting sqref="E4:E31">
    <cfRule type="expression" dxfId="245" priority="6">
      <formula>AND($E4="",$D4&lt;&gt;"")</formula>
    </cfRule>
  </conditionalFormatting>
  <conditionalFormatting sqref="C4:C31">
    <cfRule type="expression" dxfId="244" priority="5">
      <formula>AND($D4="",$E4&lt;&gt;"")</formula>
    </cfRule>
  </conditionalFormatting>
  <conditionalFormatting sqref="A32:G32">
    <cfRule type="expression" dxfId="243" priority="4">
      <formula>$A31=MAX($A$2:$A$31)</formula>
    </cfRule>
  </conditionalFormatting>
  <conditionalFormatting sqref="D32">
    <cfRule type="expression" dxfId="242" priority="3">
      <formula>AND($D32="",$E32&lt;&gt;"")</formula>
    </cfRule>
  </conditionalFormatting>
  <conditionalFormatting sqref="E32">
    <cfRule type="expression" dxfId="241" priority="2">
      <formula>AND($E32="",$D32&lt;&gt;"")</formula>
    </cfRule>
  </conditionalFormatting>
  <conditionalFormatting sqref="C32">
    <cfRule type="expression" dxfId="24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0.5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25000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1</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f t="shared" ref="A3:A31" si="0">IF(OR(SUM($A2,$D3&lt;&gt;"")=0,$D3=""),"",SUM($A2,$D3&lt;&gt;""))</f>
        <v>2</v>
      </c>
      <c r="B3" s="52" t="str">
        <f>IFERROR(VLOOKUP($D3,Sheet1!$A$2:$B$99,2,0),"")</f>
        <v>Phô mai viên (35v)</v>
      </c>
      <c r="C3" s="89">
        <f>IFERROR(VLOOKUP($D3,'Tổng Đơn'!$A$5:$E$101,5,0),"")</f>
        <v>0.5</v>
      </c>
      <c r="D3" s="48">
        <v>17</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Tổng Cộng</v>
      </c>
      <c r="G4" s="54">
        <f>IF($A3=MAX($A$2:$A$50),SUM($G$2:$G3),IFERROR($F4*$E4,""))</f>
        <v>85000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2</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KM 10%</v>
      </c>
      <c r="K2" s="50">
        <f>IFERROR(VLOOKUP($D2,Sheet1!$A$2:$D$99,4,0),"")</f>
        <v>33000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XX Đỏ ĐNA (bao xanh)</v>
      </c>
      <c r="C4" s="89">
        <f>IFERROR(VLOOKUP($D4,'Tổng Đơn'!$A$5:$E$101,5,0),"")</f>
        <v>0.5</v>
      </c>
      <c r="D4" s="48">
        <v>20</v>
      </c>
      <c r="E4" s="48">
        <v>1</v>
      </c>
      <c r="F4" s="53">
        <f>IF(AND($A4="",$A3&lt;&gt;""),"Tổng Cộng",IFERROR(VLOOKUP($D4,Sheet1!$A$2:$D$99,4,0),""))</f>
        <v>26000</v>
      </c>
      <c r="G4" s="54">
        <f>IF($A3=MAX($A$2:$A$50),SUM($G$2:$G3),IFERROR($F4*$E4,""))</f>
        <v>26000</v>
      </c>
      <c r="H4" s="92">
        <f t="shared" si="1"/>
        <v>0.5</v>
      </c>
      <c r="K4" s="49">
        <f>IFERROR(VLOOKUP($D4,Sheet1!$A$2:$D$99,4,0),"")</f>
        <v>26000</v>
      </c>
    </row>
    <row r="5" spans="1:11" s="46" customFormat="1" ht="24.95" customHeight="1" x14ac:dyDescent="0.25">
      <c r="A5" s="51">
        <f t="shared" si="0"/>
        <v>4</v>
      </c>
      <c r="B5" s="52" t="str">
        <f>IFERROR(VLOOKUP($D5,Sheet1!$A$2:$B$99,2,0),"")</f>
        <v>Phô mai viên (35v)</v>
      </c>
      <c r="C5" s="89">
        <f>IFERROR(VLOOKUP($D5,'Tổng Đơn'!$A$5:$E$101,5,0),"")</f>
        <v>0.5</v>
      </c>
      <c r="D5" s="48">
        <v>17</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Tổng Cộng</v>
      </c>
      <c r="G6" s="54">
        <f>IF($A5=MAX($A$2:$A$50),SUM($G$2:$G5),IFERROR($F6*$E6,""))</f>
        <v>137000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206</v>
      </c>
      <c r="I1" s="55">
        <f>SUBTOTAL(9,H2:H31)</f>
        <v>1.5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10%</v>
      </c>
      <c r="K2" s="50">
        <f>IFERROR(VLOOKUP($D2,Sheet1!$A$2:$D$99,4,0),"")</f>
        <v>25000</v>
      </c>
    </row>
    <row r="3" spans="1:11" s="46" customFormat="1" ht="24.95" customHeight="1" x14ac:dyDescent="0.25">
      <c r="A3" s="51">
        <f t="shared" ref="A3:A31" si="0">IF(OR(SUM($A2,$D3&lt;&gt;"")=0,$D3=""),"",SUM($A2,$D3&lt;&gt;""))</f>
        <v>2</v>
      </c>
      <c r="B3" s="52" t="str">
        <f>IFERROR(VLOOKUP($D3,Sheet1!$A$2:$B$99,2,0),"")</f>
        <v>Nem nướng</v>
      </c>
      <c r="C3" s="89">
        <f>IFERROR(VLOOKUP($D3,'Tổng Đơn'!$A$5:$E$101,5,0),"")</f>
        <v>0.5</v>
      </c>
      <c r="D3" s="48">
        <v>40</v>
      </c>
      <c r="E3" s="48">
        <v>1</v>
      </c>
      <c r="F3" s="53">
        <f>IF(AND($A3="",$A2&lt;&gt;""),"Tổng Cộng",IFERROR(VLOOKUP($D3,Sheet1!$A$2:$D$99,4,0),""))</f>
        <v>79000</v>
      </c>
      <c r="G3" s="54">
        <f>IF($A2=MAX($A$2:$A$50),SUM($G$2:$G2),IFERROR($F3*$E3,""))</f>
        <v>79000</v>
      </c>
      <c r="H3" s="92">
        <f t="shared" ref="H3:H31" si="1">IFERROR(E3*C3,"")</f>
        <v>0.5</v>
      </c>
      <c r="K3" s="49">
        <f>IFERROR(VLOOKUP($D3,Sheet1!$A$2:$D$99,4,0),"")</f>
        <v>79000</v>
      </c>
    </row>
    <row r="4" spans="1:11" s="46" customFormat="1" ht="24.95" customHeight="1" x14ac:dyDescent="0.25">
      <c r="A4" s="51">
        <f t="shared" si="0"/>
        <v>3</v>
      </c>
      <c r="B4" s="52" t="str">
        <f>IFERROR(VLOOKUP($D4,Sheet1!$A$2:$B$99,2,0),"")</f>
        <v>Cốm xanh</v>
      </c>
      <c r="C4" s="89">
        <f>IFERROR(VLOOKUP($D4,'Tổng Đơn'!$A$5:$E$101,5,0),"")</f>
        <v>0.5</v>
      </c>
      <c r="D4" s="48">
        <v>48</v>
      </c>
      <c r="E4" s="48">
        <v>1</v>
      </c>
      <c r="F4" s="53">
        <f>IF(AND($A4="",$A3&lt;&gt;""),"Tổng Cộng",IFERROR(VLOOKUP($D4,Sheet1!$A$2:$D$99,4,0),""))</f>
        <v>35000</v>
      </c>
      <c r="G4" s="54">
        <f>IF($A3=MAX($A$2:$A$50),SUM($G$2:$G3),IFERROR($F4*$E4,""))</f>
        <v>35000</v>
      </c>
      <c r="H4" s="92">
        <f t="shared" si="1"/>
        <v>0.5</v>
      </c>
      <c r="K4" s="49">
        <f>IFERROR(VLOOKUP($D4,Sheet1!$A$2:$D$99,4,0),"")</f>
        <v>35000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139000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0.5</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1</v>
      </c>
      <c r="F2" s="53">
        <f>IFERROR(VLOOKUP($D2,Sheet1!$A$2:$D$99,4,0),"")</f>
        <v>69000</v>
      </c>
      <c r="G2" s="54">
        <f>IFERROR($F2*$E2,"")</f>
        <v>69000</v>
      </c>
      <c r="H2" s="92">
        <f>IFERROR(E2*C2,"")</f>
        <v>0.5</v>
      </c>
      <c r="I2" s="46" t="str">
        <f>IF(SUMPRODUCT(($E$2:$E$12),($K$2:$K$12))&gt;=200000,"KM 15%",IF(SUMPRODUCT(($E$2:$E$12),($K$2:$K$12))&gt;=100000,"KM 10%",""))</f>
        <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69000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206</v>
      </c>
      <c r="I1" s="55">
        <f>SUBTOTAL(9,H2:H31)</f>
        <v>0.5</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
      </c>
      <c r="K2" s="50">
        <f>IFERROR(VLOOKUP($D2,Sheet1!$A$2:$D$99,4,0),"")</f>
        <v>33000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33000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K52"/>
  <sheetViews>
    <sheetView zoomScaleNormal="100" workbookViewId="0">
      <pane ySplit="1" topLeftCell="A2" activePane="bottomLeft" state="frozen"/>
      <selection activeCell="H16" sqref="H16"/>
      <selection pane="bottomLeft" activeCell="H8" sqref="H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205</v>
      </c>
      <c r="I1" s="55">
        <f>SUBTOTAL(9,H2:H31)</f>
        <v>2.5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10%</v>
      </c>
      <c r="K2" s="50">
        <f>IFERROR(VLOOKUP($D2,Sheet1!$A$2:$D$99,4,0),"")</f>
        <v>25000</v>
      </c>
    </row>
    <row r="3" spans="1:11" s="46" customFormat="1" ht="24.95" customHeight="1" x14ac:dyDescent="0.25">
      <c r="A3" s="51">
        <f t="shared" ref="A3:A31" si="0">IF(OR(SUM($A2,$D3&lt;&gt;"")=0,$D3=""),"",SUM($A2,$D3&lt;&gt;""))</f>
        <v>2</v>
      </c>
      <c r="B3" s="52" t="str">
        <f>IFERROR(VLOOKUP($D3,Sheet1!$A$2:$B$99,2,0),"")</f>
        <v>Viên thả lẩu 3 màu</v>
      </c>
      <c r="C3" s="89">
        <f>IFERROR(VLOOKUP($D3,'Tổng Đơn'!$A$5:$E$101,5,0),"")</f>
        <v>0.5</v>
      </c>
      <c r="D3" s="48">
        <v>10</v>
      </c>
      <c r="E3" s="48">
        <v>1</v>
      </c>
      <c r="F3" s="53">
        <f>IF(AND($A3="",$A2&lt;&gt;""),"Tổng Cộng",IFERROR(VLOOKUP($D3,Sheet1!$A$2:$D$99,4,0),""))</f>
        <v>50000</v>
      </c>
      <c r="G3" s="54">
        <f>IF($A2=MAX($A$2:$A$50),SUM($G$2:$G2),IFERROR($F3*$E3,""))</f>
        <v>50000</v>
      </c>
      <c r="H3" s="92">
        <f t="shared" ref="H3:H31" si="1">IFERROR(E3*C3,"")</f>
        <v>0.5</v>
      </c>
      <c r="K3" s="49">
        <f>IFERROR(VLOOKUP($D3,Sheet1!$A$2:$D$99,4,0),"")</f>
        <v>50000</v>
      </c>
    </row>
    <row r="4" spans="1:11" s="46" customFormat="1" ht="24.95" customHeight="1" x14ac:dyDescent="0.25">
      <c r="A4" s="51">
        <f t="shared" si="0"/>
        <v>3</v>
      </c>
      <c r="B4" s="52" t="str">
        <f>IFERROR(VLOOKUP($D4,Sheet1!$A$2:$B$99,2,0),"")</f>
        <v>XX Đức HS ĐNA</v>
      </c>
      <c r="C4" s="89">
        <f>IFERROR(VLOOKUP($D4,'Tổng Đơn'!$A$5:$E$101,5,0),"")</f>
        <v>0.5</v>
      </c>
      <c r="D4" s="48">
        <v>21</v>
      </c>
      <c r="E4" s="48">
        <v>2</v>
      </c>
      <c r="F4" s="53">
        <f>IF(AND($A4="",$A3&lt;&gt;""),"Tổng Cộng",IFERROR(VLOOKUP($D4,Sheet1!$A$2:$D$99,4,0),""))</f>
        <v>33000</v>
      </c>
      <c r="G4" s="54">
        <f>IF($A3=MAX($A$2:$A$50),SUM($G$2:$G3),IFERROR($F4*$E4,""))</f>
        <v>66000</v>
      </c>
      <c r="H4" s="92">
        <f t="shared" si="1"/>
        <v>1</v>
      </c>
      <c r="K4" s="49">
        <f>IFERROR(VLOOKUP($D4,Sheet1!$A$2:$D$99,4,0),"")</f>
        <v>33000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166000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K52"/>
  <sheetViews>
    <sheetView zoomScaleNormal="100" workbookViewId="0">
      <pane ySplit="1" topLeftCell="A2" activePane="bottomLeft" state="frozen"/>
      <selection activeCell="H16" sqref="H16"/>
      <selection pane="bottomLeft" activeCell="L9" sqref="L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204</v>
      </c>
      <c r="I1" s="55">
        <f>SUBTOTAL(9,H2:H31)</f>
        <v>6</v>
      </c>
      <c r="K1" s="47" t="s">
        <v>18</v>
      </c>
    </row>
    <row r="2" spans="1:11" s="46" customFormat="1" ht="24.95" customHeight="1" x14ac:dyDescent="0.25">
      <c r="A2" s="51">
        <f>IF(OR(SUM($A1,$D2&lt;&gt;"")=0,$D2=""),"",SUM($A1,$D2&lt;&gt;""))</f>
        <v>1</v>
      </c>
      <c r="B2" s="52" t="str">
        <f>IFERROR(VLOOKUP($D2,Sheet1!$A$2:$B$99,2,0),"")</f>
        <v>Chả tôm hình Surimi LC</v>
      </c>
      <c r="C2" s="88">
        <f>IFERROR(VLOOKUP($D2,'Tổng Đơn'!$A$5:$E$101,5,0),"")</f>
        <v>0.5</v>
      </c>
      <c r="D2" s="48">
        <v>5</v>
      </c>
      <c r="E2" s="48">
        <v>6</v>
      </c>
      <c r="F2" s="53">
        <f>IFERROR(VLOOKUP($D2,Sheet1!$A$2:$D$99,4,0),"")</f>
        <v>38000</v>
      </c>
      <c r="G2" s="54">
        <f>IFERROR($F2*$E2,"")</f>
        <v>228000</v>
      </c>
      <c r="H2" s="92">
        <f>IFERROR(E2*C2,"")</f>
        <v>3</v>
      </c>
      <c r="I2" s="46" t="str">
        <f>IF(SUMPRODUCT(($E$2:$E$12),($K$2:$K$12))&gt;=200000,"KM 15%",IF(SUMPRODUCT(($E$2:$E$12),($K$2:$K$12))&gt;=100000,"KM 10%",""))</f>
        <v>KM 15%</v>
      </c>
      <c r="K2" s="50">
        <f>IFERROR(VLOOKUP($D2,Sheet1!$A$2:$D$99,4,0),"")</f>
        <v>38000</v>
      </c>
    </row>
    <row r="3" spans="1:11" s="46" customFormat="1" ht="24.95" customHeight="1" x14ac:dyDescent="0.25">
      <c r="A3" s="51">
        <f t="shared" ref="A3:A31" si="0">IF(OR(SUM($A2,$D3&lt;&gt;"")=0,$D3=""),"",SUM($A2,$D3&lt;&gt;""))</f>
        <v>2</v>
      </c>
      <c r="B3" s="52" t="str">
        <f>IFERROR(VLOOKUP($D3,Sheet1!$A$2:$B$99,2,0),"")</f>
        <v>Phô mai viên (35v)</v>
      </c>
      <c r="C3" s="89">
        <f>IFERROR(VLOOKUP($D3,'Tổng Đơn'!$A$5:$E$101,5,0),"")</f>
        <v>0.5</v>
      </c>
      <c r="D3" s="48">
        <v>17</v>
      </c>
      <c r="E3" s="48">
        <v>6</v>
      </c>
      <c r="F3" s="53">
        <f>IF(AND($A3="",$A2&lt;&gt;""),"Tổng Cộng",IFERROR(VLOOKUP($D3,Sheet1!$A$2:$D$99,4,0),""))</f>
        <v>40000</v>
      </c>
      <c r="G3" s="54">
        <f>IF($A2=MAX($A$2:$A$50),SUM($G$2:$G2),IFERROR($F3*$E3,""))</f>
        <v>240000</v>
      </c>
      <c r="H3" s="92">
        <f t="shared" ref="H3:H31" si="1">IFERROR(E3*C3,"")</f>
        <v>3</v>
      </c>
      <c r="K3" s="49">
        <f>IFERROR(VLOOKUP($D3,Sheet1!$A$2:$D$99,4,0),"")</f>
        <v>40000</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Tổng Cộng</v>
      </c>
      <c r="G4" s="54">
        <f>IF($A3=MAX($A$2:$A$50),SUM($G$2:$G3),IFERROR($F4*$E4,""))</f>
        <v>468000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H8" sqref="H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203</v>
      </c>
      <c r="I1" s="55">
        <f>SUBTOTAL(9,H2:H31)</f>
        <v>1</v>
      </c>
      <c r="K1" s="47" t="s">
        <v>18</v>
      </c>
    </row>
    <row r="2" spans="1:11" s="46" customFormat="1" ht="24.95" customHeight="1" x14ac:dyDescent="0.25">
      <c r="A2" s="51">
        <f>IF(OR(SUM($A1,$D2&lt;&gt;"")=0,$D2=""),"",SUM($A1,$D2&lt;&gt;""))</f>
        <v>1</v>
      </c>
      <c r="B2" s="52" t="str">
        <f>IFERROR(VLOOKUP($D2,Sheet1!$A$2:$B$99,2,0),"")</f>
        <v>Đậu hủ phô mai</v>
      </c>
      <c r="C2" s="88">
        <f>IFERROR(VLOOKUP($D2,'Tổng Đơn'!$A$5:$E$101,5,0),"")</f>
        <v>0.5</v>
      </c>
      <c r="D2" s="48">
        <v>18</v>
      </c>
      <c r="E2" s="48">
        <v>2</v>
      </c>
      <c r="F2" s="53">
        <f>IFERROR(VLOOKUP($D2,Sheet1!$A$2:$D$99,4,0),"")</f>
        <v>55000</v>
      </c>
      <c r="G2" s="54">
        <f>IFERROR($F2*$E2,"")</f>
        <v>110000</v>
      </c>
      <c r="H2" s="92">
        <f>IFERROR(E2*C2,"")</f>
        <v>1</v>
      </c>
      <c r="I2" s="46" t="str">
        <f>IF(SUMPRODUCT(($E$2:$E$12),($K$2:$K$12))&gt;=200000,"KM 15%",IF(SUMPRODUCT(($E$2:$E$12),($K$2:$K$12))&gt;=100000,"KM 10%",""))</f>
        <v>KM 10%</v>
      </c>
      <c r="K2" s="50">
        <f>IFERROR(VLOOKUP($D2,Sheet1!$A$2:$D$99,4,0),"")</f>
        <v>55000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110000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H9" sqref="H9:H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0.5</v>
      </c>
      <c r="K1" s="47" t="s">
        <v>18</v>
      </c>
    </row>
    <row r="2" spans="1:11" s="46" customFormat="1" ht="24.95" customHeight="1" x14ac:dyDescent="0.25">
      <c r="A2" s="51">
        <f>IF(OR(SUM($A1,$D2&lt;&gt;"")=0,$D2=""),"",SUM($A1,$D2&lt;&gt;""))</f>
        <v>1</v>
      </c>
      <c r="B2" s="52" t="str">
        <f>IFERROR(VLOOKUP($D2,Sheet1!$A$2:$B$99,2,0),"")</f>
        <v>Chả giò Rế tôm mực LC</v>
      </c>
      <c r="C2" s="88">
        <f>IFERROR(VLOOKUP($D2,'Tổng Đơn'!$A$5:$E$101,5,0),"")</f>
        <v>0.5</v>
      </c>
      <c r="D2" s="48">
        <v>26</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Tổng Cộng</v>
      </c>
      <c r="G3" s="54">
        <f>IF($A2=MAX($A$2:$A$50),SUM($G$2:$G2),IFERROR($F3*$E3,""))</f>
        <v>45000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202</v>
      </c>
      <c r="I1" s="55">
        <f>SUBTOTAL(9,H2:H31)</f>
        <v>1</v>
      </c>
      <c r="K1" s="47" t="s">
        <v>18</v>
      </c>
    </row>
    <row r="2" spans="1:11" s="46" customFormat="1" ht="24.95" customHeight="1" x14ac:dyDescent="0.25">
      <c r="A2" s="51">
        <f>IF(OR(SUM($A1,$D2&lt;&gt;"")=0,$D2=""),"",SUM($A1,$D2&lt;&gt;""))</f>
        <v>1</v>
      </c>
      <c r="B2" s="52" t="str">
        <f>IFERROR(VLOOKUP($D2,Sheet1!$A$2:$B$99,2,0),"")</f>
        <v>Bò viên phở TVP</v>
      </c>
      <c r="C2" s="88">
        <f>IFERROR(VLOOKUP($D2,'Tổng Đơn'!$A$5:$E$101,5,0),"")</f>
        <v>0.5</v>
      </c>
      <c r="D2" s="48">
        <v>53</v>
      </c>
      <c r="E2" s="48">
        <v>2</v>
      </c>
      <c r="F2" s="53">
        <f>IFERROR(VLOOKUP($D2,Sheet1!$A$2:$D$99,4,0),"")</f>
        <v>76000</v>
      </c>
      <c r="G2" s="54">
        <f>IFERROR($F2*$E2,"")</f>
        <v>152000</v>
      </c>
      <c r="H2" s="92">
        <f>IFERROR(E2*C2,"")</f>
        <v>1</v>
      </c>
      <c r="I2" s="46" t="str">
        <f>IF(SUMPRODUCT(($E$2:$E$12),($K$2:$K$12))&gt;=200000,"KM 15%",IF(SUMPRODUCT(($E$2:$E$12),($K$2:$K$12))&gt;=100000,"KM 10%",""))</f>
        <v>KM 10%</v>
      </c>
      <c r="K2" s="50">
        <f>IFERROR(VLOOKUP($D2,Sheet1!$A$2:$D$99,4,0),"")</f>
        <v>76000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152000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0.5</v>
      </c>
      <c r="K1" s="47" t="s">
        <v>18</v>
      </c>
    </row>
    <row r="2" spans="1:11" s="46" customFormat="1" ht="24.95" customHeight="1" x14ac:dyDescent="0.25">
      <c r="A2" s="51">
        <f>IF(OR(SUM($A1,$D2&lt;&gt;"")=0,$D2=""),"",SUM($A1,$D2&lt;&gt;""))</f>
        <v>1</v>
      </c>
      <c r="B2" s="52" t="str">
        <f>IFERROR(VLOOKUP($D2,Sheet1!$A$2:$B$99,2,0),"")</f>
        <v>Phô mai viên (35v)</v>
      </c>
      <c r="C2" s="88">
        <f>IFERROR(VLOOKUP($D2,'Tổng Đơn'!$A$5:$E$101,5,0),"")</f>
        <v>0.5</v>
      </c>
      <c r="D2" s="48">
        <v>17</v>
      </c>
      <c r="E2" s="48">
        <v>1</v>
      </c>
      <c r="F2" s="53">
        <f>IFERROR(VLOOKUP($D2,Sheet1!$A$2:$D$99,4,0),"")</f>
        <v>40000</v>
      </c>
      <c r="G2" s="54">
        <f>IFERROR($F2*$E2,"")</f>
        <v>40000</v>
      </c>
      <c r="H2" s="92">
        <f>IFERROR(E2*C2,"")</f>
        <v>0.5</v>
      </c>
      <c r="I2" s="46" t="str">
        <f>IF(SUMPRODUCT(($E$2:$E$12),($K$2:$K$12))&gt;=200000,"KM 15%",IF(SUMPRODUCT(($E$2:$E$12),($K$2:$K$12))&gt;=100000,"KM 10%",""))</f>
        <v/>
      </c>
      <c r="K2" s="50">
        <f>IFERROR(VLOOKUP($D2,Sheet1!$A$2:$D$99,4,0),"")</f>
        <v>40000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40000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H9" sqref="H9:H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201</v>
      </c>
      <c r="I1" s="55">
        <f>SUBTOTAL(9,H2:H31)</f>
        <v>2.5</v>
      </c>
      <c r="K1" s="47" t="s">
        <v>18</v>
      </c>
    </row>
    <row r="2" spans="1:11" s="46" customFormat="1" ht="24.95" customHeight="1" x14ac:dyDescent="0.25">
      <c r="A2" s="51">
        <f>IF(OR(SUM($A1,$D2&lt;&gt;"")=0,$D2=""),"",SUM($A1,$D2&lt;&gt;""))</f>
        <v>1</v>
      </c>
      <c r="B2" s="52" t="str">
        <f>IFERROR(VLOOKUP($D2,Sheet1!$A$2:$B$99,2,0),"")</f>
        <v>Đậu hủ phô mai</v>
      </c>
      <c r="C2" s="88">
        <f>IFERROR(VLOOKUP($D2,'Tổng Đơn'!$A$5:$E$101,5,0),"")</f>
        <v>0.5</v>
      </c>
      <c r="D2" s="48">
        <v>18</v>
      </c>
      <c r="E2" s="48">
        <v>2</v>
      </c>
      <c r="F2" s="53">
        <f>IFERROR(VLOOKUP($D2,Sheet1!$A$2:$D$99,4,0),"")</f>
        <v>55000</v>
      </c>
      <c r="G2" s="54">
        <f>IFERROR($F2*$E2,"")</f>
        <v>110000</v>
      </c>
      <c r="H2" s="92">
        <f>IFERROR(E2*C2,"")</f>
        <v>1</v>
      </c>
      <c r="I2" s="46" t="str">
        <f>IF(SUMPRODUCT(($E$2:$E$12),($K$2:$K$12))&gt;=200000,"KM 15%",IF(SUMPRODUCT(($E$2:$E$12),($K$2:$K$12))&gt;=100000,"KM 10%",""))</f>
        <v>KM 15%</v>
      </c>
      <c r="K2" s="50">
        <f>IFERROR(VLOOKUP($D2,Sheet1!$A$2:$D$99,4,0),"")</f>
        <v>55000</v>
      </c>
    </row>
    <row r="3" spans="1:11" s="46" customFormat="1" ht="24.95" customHeight="1" x14ac:dyDescent="0.25">
      <c r="A3" s="51">
        <f t="shared" ref="A3:A31" si="0">IF(OR(SUM($A2,$D3&lt;&gt;"")=0,$D3=""),"",SUM($A2,$D3&lt;&gt;""))</f>
        <v>2</v>
      </c>
      <c r="B3" s="52" t="str">
        <f>IFERROR(VLOOKUP($D3,Sheet1!$A$2:$B$99,2,0),"")</f>
        <v>Ốc nhồi Hải sản</v>
      </c>
      <c r="C3" s="89">
        <f>IFERROR(VLOOKUP($D3,'Tổng Đơn'!$A$5:$E$101,5,0),"")</f>
        <v>0.5</v>
      </c>
      <c r="D3" s="48">
        <v>51</v>
      </c>
      <c r="E3" s="48">
        <v>2</v>
      </c>
      <c r="F3" s="53">
        <f>IF(AND($A3="",$A2&lt;&gt;""),"Tổng Cộng",IFERROR(VLOOKUP($D3,Sheet1!$A$2:$D$99,4,0),""))</f>
        <v>38000</v>
      </c>
      <c r="G3" s="54">
        <f>IF($A2=MAX($A$2:$A$50),SUM($G$2:$G2),IFERROR($F3*$E3,""))</f>
        <v>76000</v>
      </c>
      <c r="H3" s="92">
        <f t="shared" ref="H3:H31" si="1">IFERROR(E3*C3,"")</f>
        <v>1</v>
      </c>
      <c r="K3" s="49">
        <f>IFERROR(VLOOKUP($D3,Sheet1!$A$2:$D$99,4,0),"")</f>
        <v>38000</v>
      </c>
    </row>
    <row r="4" spans="1:11" s="46" customFormat="1" ht="24.95" customHeight="1" x14ac:dyDescent="0.25">
      <c r="A4" s="51">
        <f t="shared" si="0"/>
        <v>3</v>
      </c>
      <c r="B4" s="52" t="str">
        <f>IFERROR(VLOOKUP($D4,Sheet1!$A$2:$B$99,2,0),"")</f>
        <v>Há cảo Mini</v>
      </c>
      <c r="C4" s="89">
        <f>IFERROR(VLOOKUP($D4,'Tổng Đơn'!$A$5:$E$101,5,0),"")</f>
        <v>0.5</v>
      </c>
      <c r="D4" s="48">
        <v>59</v>
      </c>
      <c r="E4" s="48">
        <v>1</v>
      </c>
      <c r="F4" s="53">
        <f>IF(AND($A4="",$A3&lt;&gt;""),"Tổng Cộng",IFERROR(VLOOKUP($D4,Sheet1!$A$2:$D$99,4,0),""))</f>
        <v>38000</v>
      </c>
      <c r="G4" s="54">
        <f>IF($A3=MAX($A$2:$A$50),SUM($G$2:$G3),IFERROR($F4*$E4,""))</f>
        <v>38000</v>
      </c>
      <c r="H4" s="92">
        <f t="shared" si="1"/>
        <v>0.5</v>
      </c>
      <c r="K4" s="49">
        <f>IFERROR(VLOOKUP($D4,Sheet1!$A$2:$D$99,4,0),"")</f>
        <v>38000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224000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200</v>
      </c>
      <c r="I1" s="55">
        <f>SUBTOTAL(9,H2:H31)</f>
        <v>0.5</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
      </c>
      <c r="K2" s="50">
        <f>IFERROR(VLOOKUP($D2,Sheet1!$A$2:$D$99,4,0),"")</f>
        <v>33000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33000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K52"/>
  <sheetViews>
    <sheetView zoomScaleNormal="100" workbookViewId="0">
      <pane ySplit="1" topLeftCell="A2" activePane="bottomLeft" state="frozen"/>
      <selection activeCell="H16" sqref="H16"/>
      <selection pane="bottomLeft" activeCell="I11" sqref="I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199</v>
      </c>
      <c r="I1" s="55">
        <f>SUBTOTAL(9,H2:H31)</f>
        <v>1</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85000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12">
      <formula>$A2=MAX($A$2:$A$31)</formula>
    </cfRule>
  </conditionalFormatting>
  <conditionalFormatting sqref="D2:D3">
    <cfRule type="expression" dxfId="178" priority="11">
      <formula>AND($D2="",$E2&lt;&gt;"")</formula>
    </cfRule>
  </conditionalFormatting>
  <conditionalFormatting sqref="E2:E3">
    <cfRule type="expression" dxfId="177" priority="10">
      <formula>AND($E2="",$D2&lt;&gt;"")</formula>
    </cfRule>
  </conditionalFormatting>
  <conditionalFormatting sqref="C2:C3">
    <cfRule type="expression" dxfId="176" priority="9">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198</v>
      </c>
      <c r="I1" s="55">
        <f>SUBTOTAL(9,H2:H31)</f>
        <v>5.75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Mực tẩm bột LC</v>
      </c>
      <c r="C3" s="89">
        <f>IFERROR(VLOOKUP($D3,'Tổng Đơn'!$A$5:$E$101,5,0),"")</f>
        <v>0.5</v>
      </c>
      <c r="D3" s="48">
        <v>6</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f t="shared" si="0"/>
        <v>3</v>
      </c>
      <c r="B4" s="52" t="str">
        <f>IFERROR(VLOOKUP($D4,Sheet1!$A$2:$B$99,2,0),"")</f>
        <v>Thanh cua LC</v>
      </c>
      <c r="C4" s="89">
        <f>IFERROR(VLOOKUP($D4,'Tổng Đơn'!$A$5:$E$101,5,0),"")</f>
        <v>0.25</v>
      </c>
      <c r="D4" s="48">
        <v>7</v>
      </c>
      <c r="E4" s="48">
        <v>3</v>
      </c>
      <c r="F4" s="53">
        <f>IF(AND($A4="",$A3&lt;&gt;""),"Tổng Cộng",IFERROR(VLOOKUP($D4,Sheet1!$A$2:$D$99,4,0),""))</f>
        <v>34000</v>
      </c>
      <c r="G4" s="54">
        <f>IF($A3=MAX($A$2:$A$50),SUM($G$2:$G3),IFERROR($F4*$E4,""))</f>
        <v>102000</v>
      </c>
      <c r="H4" s="92">
        <f t="shared" si="1"/>
        <v>0.75</v>
      </c>
      <c r="K4" s="49">
        <f>IFERROR(VLOOKUP($D4,Sheet1!$A$2:$D$99,4,0),"")</f>
        <v>34000</v>
      </c>
    </row>
    <row r="5" spans="1:11" s="46" customFormat="1" ht="24.95" customHeight="1" x14ac:dyDescent="0.25">
      <c r="A5" s="51">
        <f t="shared" si="0"/>
        <v>4</v>
      </c>
      <c r="B5" s="52" t="str">
        <f>IFERROR(VLOOKUP($D5,Sheet1!$A$2:$B$99,2,0),"")</f>
        <v>Hoành thánh chiên 500gr (60 viên)</v>
      </c>
      <c r="C5" s="89">
        <f>IFERROR(VLOOKUP($D5,'Tổng Đơn'!$A$5:$E$101,5,0),"")</f>
        <v>0.5</v>
      </c>
      <c r="D5" s="48">
        <v>8</v>
      </c>
      <c r="E5" s="48">
        <v>1</v>
      </c>
      <c r="F5" s="53">
        <f>IF(AND($A5="",$A4&lt;&gt;""),"Tổng Cộng",IFERROR(VLOOKUP($D5,Sheet1!$A$2:$D$99,4,0),""))</f>
        <v>35000</v>
      </c>
      <c r="G5" s="54">
        <f>IF($A4=MAX($A$2:$A$50),SUM($G$2:$G4),IFERROR($F5*$E5,""))</f>
        <v>35000</v>
      </c>
      <c r="H5" s="92">
        <f t="shared" si="1"/>
        <v>0.5</v>
      </c>
      <c r="K5" s="49">
        <f>IFERROR(VLOOKUP($D5,Sheet1!$A$2:$D$99,4,0),"")</f>
        <v>35000</v>
      </c>
    </row>
    <row r="6" spans="1:11" s="46" customFormat="1" ht="24.95" customHeight="1" x14ac:dyDescent="0.25">
      <c r="A6" s="51">
        <f t="shared" si="0"/>
        <v>5</v>
      </c>
      <c r="B6" s="52" t="str">
        <f>IFERROR(VLOOKUP($D6,Sheet1!$A$2:$B$99,2,0),"")</f>
        <v>Viên thả lẩu 3 màu</v>
      </c>
      <c r="C6" s="89">
        <f>IFERROR(VLOOKUP($D6,'Tổng Đơn'!$A$5:$E$101,5,0),"")</f>
        <v>0.5</v>
      </c>
      <c r="D6" s="48">
        <v>10</v>
      </c>
      <c r="E6" s="48">
        <v>1</v>
      </c>
      <c r="F6" s="53">
        <f>IF(AND($A6="",$A5&lt;&gt;""),"Tổng Cộng",IFERROR(VLOOKUP($D6,Sheet1!$A$2:$D$99,4,0),""))</f>
        <v>50000</v>
      </c>
      <c r="G6" s="54">
        <f>IF($A5=MAX($A$2:$A$50),SUM($G$2:$G5),IFERROR($F6*$E6,""))</f>
        <v>50000</v>
      </c>
      <c r="H6" s="92">
        <f t="shared" si="1"/>
        <v>0.5</v>
      </c>
      <c r="K6" s="49">
        <f>IFERROR(VLOOKUP($D6,Sheet1!$A$2:$D$99,4,0),"")</f>
        <v>50000</v>
      </c>
    </row>
    <row r="7" spans="1:11" s="46" customFormat="1" ht="24.95" customHeight="1" x14ac:dyDescent="0.25">
      <c r="A7" s="51">
        <f t="shared" si="0"/>
        <v>6</v>
      </c>
      <c r="B7" s="52" t="str">
        <f>IFERROR(VLOOKUP($D7,Sheet1!$A$2:$B$99,2,0),"")</f>
        <v>Viên thả lẩu Gà nướng mật ong (Đỏ)</v>
      </c>
      <c r="C7" s="89">
        <f>IFERROR(VLOOKUP($D7,'Tổng Đơn'!$A$5:$E$101,5,0),"")</f>
        <v>0.5</v>
      </c>
      <c r="D7" s="48">
        <v>11</v>
      </c>
      <c r="E7" s="48">
        <v>1</v>
      </c>
      <c r="F7" s="53">
        <f>IF(AND($A7="",$A6&lt;&gt;""),"Tổng Cộng",IFERROR(VLOOKUP($D7,Sheet1!$A$2:$D$99,4,0),""))</f>
        <v>45000</v>
      </c>
      <c r="G7" s="54">
        <f>IF($A6=MAX($A$2:$A$50),SUM($G$2:$G6),IFERROR($F7*$E7,""))</f>
        <v>45000</v>
      </c>
      <c r="H7" s="92">
        <f t="shared" si="1"/>
        <v>0.5</v>
      </c>
      <c r="K7" s="49">
        <f>IFERROR(VLOOKUP($D7,Sheet1!$A$2:$D$99,4,0),"")</f>
        <v>45000</v>
      </c>
    </row>
    <row r="8" spans="1:11" s="46" customFormat="1" ht="24.95" customHeight="1" x14ac:dyDescent="0.25">
      <c r="A8" s="51">
        <f t="shared" si="0"/>
        <v>7</v>
      </c>
      <c r="B8" s="52" t="str">
        <f>IFERROR(VLOOKUP($D8,Sheet1!$A$2:$B$99,2,0),"")</f>
        <v>XX Đức HS ĐNA</v>
      </c>
      <c r="C8" s="89">
        <f>IFERROR(VLOOKUP($D8,'Tổng Đơn'!$A$5:$E$101,5,0),"")</f>
        <v>0.5</v>
      </c>
      <c r="D8" s="48">
        <v>21</v>
      </c>
      <c r="E8" s="48">
        <v>1</v>
      </c>
      <c r="F8" s="53">
        <f>IF(AND($A8="",$A7&lt;&gt;""),"Tổng Cộng",IFERROR(VLOOKUP($D8,Sheet1!$A$2:$D$99,4,0),""))</f>
        <v>33000</v>
      </c>
      <c r="G8" s="54">
        <f>IF($A7=MAX($A$2:$A$50),SUM($G$2:$G7),IFERROR($F8*$E8,""))</f>
        <v>33000</v>
      </c>
      <c r="H8" s="92">
        <f t="shared" si="1"/>
        <v>0.5</v>
      </c>
      <c r="K8" s="49">
        <f>IFERROR(VLOOKUP($D8,Sheet1!$A$2:$D$99,4,0),"")</f>
        <v>33000</v>
      </c>
    </row>
    <row r="9" spans="1:11" s="46" customFormat="1" ht="24.95" customHeight="1" x14ac:dyDescent="0.25">
      <c r="A9" s="51">
        <f t="shared" si="0"/>
        <v>8</v>
      </c>
      <c r="B9" s="52" t="str">
        <f>IFERROR(VLOOKUP($D9,Sheet1!$A$2:$B$99,2,0),"")</f>
        <v>XX nhân Phô Mai</v>
      </c>
      <c r="C9" s="89">
        <f>IFERROR(VLOOKUP($D9,'Tổng Đơn'!$A$5:$E$101,5,0),"")</f>
        <v>0.5</v>
      </c>
      <c r="D9" s="48">
        <v>47</v>
      </c>
      <c r="E9" s="48">
        <v>1</v>
      </c>
      <c r="F9" s="53">
        <f>IF(AND($A9="",$A8&lt;&gt;""),"Tổng Cộng",IFERROR(VLOOKUP($D9,Sheet1!$A$2:$D$99,4,0),""))</f>
        <v>40000</v>
      </c>
      <c r="G9" s="54">
        <f>IF($A8=MAX($A$2:$A$50),SUM($G$2:$G8),IFERROR($F9*$E9,""))</f>
        <v>40000</v>
      </c>
      <c r="H9" s="92">
        <f t="shared" si="1"/>
        <v>0.5</v>
      </c>
      <c r="K9" s="49">
        <f>IFERROR(VLOOKUP($D9,Sheet1!$A$2:$D$99,4,0),"")</f>
        <v>40000</v>
      </c>
    </row>
    <row r="10" spans="1:11" s="46" customFormat="1" ht="24.95" customHeight="1" x14ac:dyDescent="0.25">
      <c r="A10" s="51">
        <f t="shared" si="0"/>
        <v>9</v>
      </c>
      <c r="B10" s="52" t="str">
        <f>IFERROR(VLOOKUP($D10,Sheet1!$A$2:$B$99,2,0),"")</f>
        <v>Ốc nhồi Hải sản</v>
      </c>
      <c r="C10" s="89">
        <f>IFERROR(VLOOKUP($D10,'Tổng Đơn'!$A$5:$E$101,5,0),"")</f>
        <v>0.5</v>
      </c>
      <c r="D10" s="48">
        <v>51</v>
      </c>
      <c r="E10" s="48">
        <v>1</v>
      </c>
      <c r="F10" s="53">
        <f>IF(AND($A10="",$A9&lt;&gt;""),"Tổng Cộng",IFERROR(VLOOKUP($D10,Sheet1!$A$2:$D$99,4,0),""))</f>
        <v>38000</v>
      </c>
      <c r="G10" s="54">
        <f>IF($A9=MAX($A$2:$A$50),SUM($G$2:$G9),IFERROR($F10*$E10,""))</f>
        <v>38000</v>
      </c>
      <c r="H10" s="92">
        <f t="shared" si="1"/>
        <v>0.5</v>
      </c>
      <c r="K10" s="49">
        <f>IFERROR(VLOOKUP($D10,Sheet1!$A$2:$D$99,4,0),"")</f>
        <v>38000</v>
      </c>
    </row>
    <row r="11" spans="1:11" s="46" customFormat="1" ht="24.95" customHeight="1" x14ac:dyDescent="0.25">
      <c r="A11" s="51">
        <f t="shared" si="0"/>
        <v>10</v>
      </c>
      <c r="B11" s="52" t="str">
        <f>IFERROR(VLOOKUP($D11,Sheet1!$A$2:$B$99,2,0),"")</f>
        <v>Đậu hủ phô mai EB</v>
      </c>
      <c r="C11" s="89">
        <f>IFERROR(VLOOKUP($D11,'Tổng Đơn'!$A$5:$E$101,5,0),"")</f>
        <v>0.5</v>
      </c>
      <c r="D11" s="48">
        <v>56</v>
      </c>
      <c r="E11" s="48">
        <v>2</v>
      </c>
      <c r="F11" s="53">
        <f>IF(AND($A11="",$A10&lt;&gt;""),"Tổng Cộng",IFERROR(VLOOKUP($D11,Sheet1!$A$2:$D$99,4,0),""))</f>
        <v>80000</v>
      </c>
      <c r="G11" s="54">
        <f>IF($A10=MAX($A$2:$A$50),SUM($G$2:$G10),IFERROR($F11*$E11,""))</f>
        <v>160000</v>
      </c>
      <c r="H11" s="92">
        <f t="shared" si="1"/>
        <v>1</v>
      </c>
      <c r="K11" s="49">
        <f>IFERROR(VLOOKUP($D11,Sheet1!$A$2:$D$99,4,0),"")</f>
        <v>80000</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Tổng Cộng</v>
      </c>
      <c r="G12" s="54">
        <f>IF($A11=MAX($A$2:$A$50),SUM($G$2:$G11),IFERROR($F12*$E12,""))</f>
        <v>570000</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91" priority="12">
      <formula>$A2=MAX($A$2:$A$31)</formula>
    </cfRule>
  </conditionalFormatting>
  <conditionalFormatting sqref="D2:D3">
    <cfRule type="expression" dxfId="190" priority="11">
      <formula>AND($D2="",$E2&lt;&gt;"")</formula>
    </cfRule>
  </conditionalFormatting>
  <conditionalFormatting sqref="E2:E3">
    <cfRule type="expression" dxfId="189" priority="10">
      <formula>AND($E2="",$D2&lt;&gt;"")</formula>
    </cfRule>
  </conditionalFormatting>
  <conditionalFormatting sqref="C2:C3">
    <cfRule type="expression" dxfId="188" priority="9">
      <formula>AND($D2="",$E2&lt;&gt;"")</formula>
    </cfRule>
  </conditionalFormatting>
  <conditionalFormatting sqref="A4:G31">
    <cfRule type="expression" dxfId="187" priority="8">
      <formula>$A3=MAX($A$2:$A$31)</formula>
    </cfRule>
  </conditionalFormatting>
  <conditionalFormatting sqref="D4:D31">
    <cfRule type="expression" dxfId="186" priority="7">
      <formula>AND($D4="",$E4&lt;&gt;"")</formula>
    </cfRule>
  </conditionalFormatting>
  <conditionalFormatting sqref="E4:E31">
    <cfRule type="expression" dxfId="185" priority="6">
      <formula>AND($E4="",$D4&lt;&gt;"")</formula>
    </cfRule>
  </conditionalFormatting>
  <conditionalFormatting sqref="C4:C31">
    <cfRule type="expression" dxfId="184" priority="5">
      <formula>AND($D4="",$E4&lt;&gt;"")</formula>
    </cfRule>
  </conditionalFormatting>
  <conditionalFormatting sqref="A32:G32">
    <cfRule type="expression" dxfId="183" priority="4">
      <formula>$A31=MAX($A$2:$A$31)</formula>
    </cfRule>
  </conditionalFormatting>
  <conditionalFormatting sqref="D32">
    <cfRule type="expression" dxfId="182" priority="3">
      <formula>AND($D32="",$E32&lt;&gt;"")</formula>
    </cfRule>
  </conditionalFormatting>
  <conditionalFormatting sqref="E32">
    <cfRule type="expression" dxfId="181" priority="2">
      <formula>AND($E32="",$D32&lt;&gt;"")</formula>
    </cfRule>
  </conditionalFormatting>
  <conditionalFormatting sqref="C32">
    <cfRule type="expression" dxfId="18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G13" sqref="G13"/>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197</v>
      </c>
      <c r="I1" s="55">
        <f>SUBTOTAL(9,H2:H31)</f>
        <v>5</v>
      </c>
      <c r="K1" s="47" t="s">
        <v>18</v>
      </c>
    </row>
    <row r="2" spans="1:11" s="46" customFormat="1" ht="24.95" customHeight="1" x14ac:dyDescent="0.25">
      <c r="A2" s="51">
        <f>IF(OR(SUM($A1,$D2&lt;&gt;"")=0,$D2=""),"",SUM($A1,$D2&lt;&gt;""))</f>
        <v>1</v>
      </c>
      <c r="B2" s="52" t="str">
        <f>IFERROR(VLOOKUP($D2,Sheet1!$A$2:$B$99,2,0),"")</f>
        <v>XX Đỏ ĐNA (bao xanh)</v>
      </c>
      <c r="C2" s="88">
        <f>IFERROR(VLOOKUP($D2,'Tổng Đơn'!$A$5:$E$101,5,0),"")</f>
        <v>0.5</v>
      </c>
      <c r="D2" s="48">
        <v>20</v>
      </c>
      <c r="E2" s="48">
        <v>5</v>
      </c>
      <c r="F2" s="53">
        <f>IFERROR(VLOOKUP($D2,Sheet1!$A$2:$D$99,4,0),"")</f>
        <v>26000</v>
      </c>
      <c r="G2" s="54">
        <f>IFERROR($F2*$E2,"")</f>
        <v>130000</v>
      </c>
      <c r="H2" s="92">
        <f>IFERROR(E2*C2,"")</f>
        <v>2.5</v>
      </c>
      <c r="I2" s="46" t="str">
        <f>IF(SUMPRODUCT(($E$2:$E$12),($K$2:$K$12))&gt;=200000,"KM 15%",IF(SUMPRODUCT(($E$2:$E$12),($K$2:$K$12))&gt;=100000,"KM 10%",""))</f>
        <v>KM 15%</v>
      </c>
      <c r="K2" s="50">
        <f>IFERROR(VLOOKUP($D2,Sheet1!$A$2:$D$99,4,0),"")</f>
        <v>26000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5</v>
      </c>
      <c r="F3" s="53">
        <f>IF(AND($A3="",$A2&lt;&gt;""),"Tổng Cộng",IFERROR(VLOOKUP($D3,Sheet1!$A$2:$D$99,4,0),""))</f>
        <v>38000</v>
      </c>
      <c r="G3" s="54">
        <f>IF($A2=MAX($A$2:$A$50),SUM($G$2:$G2),IFERROR($F3*$E3,""))</f>
        <v>190000</v>
      </c>
      <c r="H3" s="92">
        <f t="shared" ref="H3:H31" si="1">IFERROR(E3*C3,"")</f>
        <v>2.5</v>
      </c>
      <c r="K3" s="49">
        <f>IFERROR(VLOOKUP($D3,Sheet1!$A$2:$D$99,4,0),"")</f>
        <v>38000</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Tổng Cộng</v>
      </c>
      <c r="G4" s="54">
        <f>IF($A3=MAX($A$2:$A$50),SUM($G$2:$G3),IFERROR($F4*$E4,""))</f>
        <v>320000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03" priority="12">
      <formula>$A2=MAX($A$2:$A$31)</formula>
    </cfRule>
  </conditionalFormatting>
  <conditionalFormatting sqref="D2:D3">
    <cfRule type="expression" dxfId="202" priority="11">
      <formula>AND($D2="",$E2&lt;&gt;"")</formula>
    </cfRule>
  </conditionalFormatting>
  <conditionalFormatting sqref="E2:E3">
    <cfRule type="expression" dxfId="201" priority="10">
      <formula>AND($E2="",$D2&lt;&gt;"")</formula>
    </cfRule>
  </conditionalFormatting>
  <conditionalFormatting sqref="C2:C3">
    <cfRule type="expression" dxfId="200" priority="9">
      <formula>AND($D2="",$E2&lt;&gt;"")</formula>
    </cfRule>
  </conditionalFormatting>
  <conditionalFormatting sqref="A4:G31">
    <cfRule type="expression" dxfId="199" priority="8">
      <formula>$A3=MAX($A$2:$A$31)</formula>
    </cfRule>
  </conditionalFormatting>
  <conditionalFormatting sqref="D4:D31">
    <cfRule type="expression" dxfId="198" priority="7">
      <formula>AND($D4="",$E4&lt;&gt;"")</formula>
    </cfRule>
  </conditionalFormatting>
  <conditionalFormatting sqref="E4:E31">
    <cfRule type="expression" dxfId="197" priority="6">
      <formula>AND($E4="",$D4&lt;&gt;"")</formula>
    </cfRule>
  </conditionalFormatting>
  <conditionalFormatting sqref="C4:C31">
    <cfRule type="expression" dxfId="196" priority="5">
      <formula>AND($D4="",$E4&lt;&gt;"")</formula>
    </cfRule>
  </conditionalFormatting>
  <conditionalFormatting sqref="A32:G32">
    <cfRule type="expression" dxfId="195" priority="4">
      <formula>$A31=MAX($A$2:$A$31)</formula>
    </cfRule>
  </conditionalFormatting>
  <conditionalFormatting sqref="D32">
    <cfRule type="expression" dxfId="194" priority="3">
      <formula>AND($D32="",$E32&lt;&gt;"")</formula>
    </cfRule>
  </conditionalFormatting>
  <conditionalFormatting sqref="E32">
    <cfRule type="expression" dxfId="193" priority="2">
      <formula>AND($E32="",$D32&lt;&gt;"")</formula>
    </cfRule>
  </conditionalFormatting>
  <conditionalFormatting sqref="C32">
    <cfRule type="expression" dxfId="19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I10" sqref="I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196</v>
      </c>
      <c r="I1" s="55">
        <f>SUBTOTAL(9,H2:H31)</f>
        <v>5.5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2</v>
      </c>
      <c r="F3" s="53">
        <f>IF(AND($A3="",$A2&lt;&gt;""),"Tổng Cộng",IFERROR(VLOOKUP($D3,Sheet1!$A$2:$D$99,4,0),""))</f>
        <v>38000</v>
      </c>
      <c r="G3" s="54">
        <f>IF($A2=MAX($A$2:$A$50),SUM($G$2:$G2),IFERROR($F3*$E3,""))</f>
        <v>76000</v>
      </c>
      <c r="H3" s="92">
        <f t="shared" ref="H3:H31" si="1">IFERROR(E3*C3,"")</f>
        <v>1</v>
      </c>
      <c r="K3" s="49">
        <f>IFERROR(VLOOKUP($D3,Sheet1!$A$2:$D$99,4,0),"")</f>
        <v>38000</v>
      </c>
    </row>
    <row r="4" spans="1:11" s="46" customFormat="1" ht="24.95" customHeight="1" x14ac:dyDescent="0.25">
      <c r="A4" s="51">
        <f t="shared" si="0"/>
        <v>3</v>
      </c>
      <c r="B4" s="52" t="str">
        <f>IFERROR(VLOOKUP($D4,Sheet1!$A$2:$B$99,2,0),"")</f>
        <v>Mực tẩm bột LC</v>
      </c>
      <c r="C4" s="89">
        <f>IFERROR(VLOOKUP($D4,'Tổng Đơn'!$A$5:$E$101,5,0),"")</f>
        <v>0.5</v>
      </c>
      <c r="D4" s="48">
        <v>6</v>
      </c>
      <c r="E4" s="48">
        <v>1</v>
      </c>
      <c r="F4" s="53">
        <f>IF(AND($A4="",$A3&lt;&gt;""),"Tổng Cộng",IFERROR(VLOOKUP($D4,Sheet1!$A$2:$D$99,4,0),""))</f>
        <v>42000</v>
      </c>
      <c r="G4" s="54">
        <f>IF($A3=MAX($A$2:$A$50),SUM($G$2:$G3),IFERROR($F4*$E4,""))</f>
        <v>42000</v>
      </c>
      <c r="H4" s="92">
        <f t="shared" si="1"/>
        <v>0.5</v>
      </c>
      <c r="K4" s="49">
        <f>IFERROR(VLOOKUP($D4,Sheet1!$A$2:$D$99,4,0),"")</f>
        <v>42000</v>
      </c>
    </row>
    <row r="5" spans="1:11" s="46" customFormat="1" ht="24.95" customHeight="1" x14ac:dyDescent="0.25">
      <c r="A5" s="51">
        <f t="shared" si="0"/>
        <v>4</v>
      </c>
      <c r="B5" s="52" t="str">
        <f>IFERROR(VLOOKUP($D5,Sheet1!$A$2:$B$99,2,0),"")</f>
        <v>Phô mai que (13 que)</v>
      </c>
      <c r="C5" s="89">
        <f>IFERROR(VLOOKUP($D5,'Tổng Đơn'!$A$5:$E$101,5,0),"")</f>
        <v>0.5</v>
      </c>
      <c r="D5" s="48">
        <v>16</v>
      </c>
      <c r="E5" s="48">
        <v>3</v>
      </c>
      <c r="F5" s="53">
        <f>IF(AND($A5="",$A4&lt;&gt;""),"Tổng Cộng",IFERROR(VLOOKUP($D5,Sheet1!$A$2:$D$99,4,0),""))</f>
        <v>40000</v>
      </c>
      <c r="G5" s="54">
        <f>IF($A4=MAX($A$2:$A$50),SUM($G$2:$G4),IFERROR($F5*$E5,""))</f>
        <v>120000</v>
      </c>
      <c r="H5" s="92">
        <f t="shared" si="1"/>
        <v>1.5</v>
      </c>
      <c r="K5" s="49">
        <f>IFERROR(VLOOKUP($D5,Sheet1!$A$2:$D$99,4,0),"")</f>
        <v>40000</v>
      </c>
    </row>
    <row r="6" spans="1:11" s="46" customFormat="1" ht="24.95" customHeight="1" x14ac:dyDescent="0.25">
      <c r="A6" s="51">
        <f t="shared" si="0"/>
        <v>5</v>
      </c>
      <c r="B6" s="52" t="str">
        <f>IFERROR(VLOOKUP($D6,Sheet1!$A$2:$B$99,2,0),"")</f>
        <v>XX Đỏ ĐNA (bao xanh)</v>
      </c>
      <c r="C6" s="89">
        <f>IFERROR(VLOOKUP($D6,'Tổng Đơn'!$A$5:$E$101,5,0),"")</f>
        <v>0.5</v>
      </c>
      <c r="D6" s="48">
        <v>20</v>
      </c>
      <c r="E6" s="48">
        <v>1</v>
      </c>
      <c r="F6" s="53">
        <f>IF(AND($A6="",$A5&lt;&gt;""),"Tổng Cộng",IFERROR(VLOOKUP($D6,Sheet1!$A$2:$D$99,4,0),""))</f>
        <v>26000</v>
      </c>
      <c r="G6" s="54">
        <f>IF($A5=MAX($A$2:$A$50),SUM($G$2:$G5),IFERROR($F6*$E6,""))</f>
        <v>26000</v>
      </c>
      <c r="H6" s="92">
        <f t="shared" si="1"/>
        <v>0.5</v>
      </c>
      <c r="K6" s="49">
        <f>IFERROR(VLOOKUP($D6,Sheet1!$A$2:$D$99,4,0),"")</f>
        <v>26000</v>
      </c>
    </row>
    <row r="7" spans="1:11" s="46" customFormat="1" ht="24.95" customHeight="1" x14ac:dyDescent="0.25">
      <c r="A7" s="51">
        <f t="shared" si="0"/>
        <v>6</v>
      </c>
      <c r="B7" s="52" t="str">
        <f>IFERROR(VLOOKUP($D7,Sheet1!$A$2:$B$99,2,0),"")</f>
        <v>XX Đức HS ĐNA</v>
      </c>
      <c r="C7" s="89">
        <f>IFERROR(VLOOKUP($D7,'Tổng Đơn'!$A$5:$E$101,5,0),"")</f>
        <v>0.5</v>
      </c>
      <c r="D7" s="48">
        <v>21</v>
      </c>
      <c r="E7" s="48">
        <v>1</v>
      </c>
      <c r="F7" s="53">
        <f>IF(AND($A7="",$A6&lt;&gt;""),"Tổng Cộng",IFERROR(VLOOKUP($D7,Sheet1!$A$2:$D$99,4,0),""))</f>
        <v>33000</v>
      </c>
      <c r="G7" s="54">
        <f>IF($A6=MAX($A$2:$A$50),SUM($G$2:$G6),IFERROR($F7*$E7,""))</f>
        <v>33000</v>
      </c>
      <c r="H7" s="92">
        <f t="shared" si="1"/>
        <v>0.5</v>
      </c>
      <c r="K7" s="49">
        <f>IFERROR(VLOOKUP($D7,Sheet1!$A$2:$D$99,4,0),"")</f>
        <v>33000</v>
      </c>
    </row>
    <row r="8" spans="1:11" s="46" customFormat="1" ht="24.95" customHeight="1" x14ac:dyDescent="0.25">
      <c r="A8" s="51">
        <f t="shared" si="0"/>
        <v>7</v>
      </c>
      <c r="B8" s="52" t="str">
        <f>IFERROR(VLOOKUP($D8,Sheet1!$A$2:$B$99,2,0),"")</f>
        <v>XX nhân Phô Mai</v>
      </c>
      <c r="C8" s="89">
        <f>IFERROR(VLOOKUP($D8,'Tổng Đơn'!$A$5:$E$101,5,0),"")</f>
        <v>0.5</v>
      </c>
      <c r="D8" s="48">
        <v>47</v>
      </c>
      <c r="E8" s="48">
        <v>2</v>
      </c>
      <c r="F8" s="53">
        <f>IF(AND($A8="",$A7&lt;&gt;""),"Tổng Cộng",IFERROR(VLOOKUP($D8,Sheet1!$A$2:$D$99,4,0),""))</f>
        <v>40000</v>
      </c>
      <c r="G8" s="54">
        <f>IF($A7=MAX($A$2:$A$50),SUM($G$2:$G7),IFERROR($F8*$E8,""))</f>
        <v>80000</v>
      </c>
      <c r="H8" s="92">
        <f t="shared" si="1"/>
        <v>1</v>
      </c>
      <c r="K8" s="49">
        <f>IFERROR(VLOOKUP($D8,Sheet1!$A$2:$D$99,4,0),"")</f>
        <v>40000</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Tổng Cộng</v>
      </c>
      <c r="G9" s="54">
        <f>IF($A8=MAX($A$2:$A$50),SUM($G$2:$G8),IFERROR($F9*$E9,""))</f>
        <v>402000</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15" priority="12">
      <formula>$A2=MAX($A$2:$A$31)</formula>
    </cfRule>
  </conditionalFormatting>
  <conditionalFormatting sqref="D2:D3">
    <cfRule type="expression" dxfId="214" priority="11">
      <formula>AND($D2="",$E2&lt;&gt;"")</formula>
    </cfRule>
  </conditionalFormatting>
  <conditionalFormatting sqref="E2:E3">
    <cfRule type="expression" dxfId="213" priority="10">
      <formula>AND($E2="",$D2&lt;&gt;"")</formula>
    </cfRule>
  </conditionalFormatting>
  <conditionalFormatting sqref="C2:C3">
    <cfRule type="expression" dxfId="212" priority="9">
      <formula>AND($D2="",$E2&lt;&gt;"")</formula>
    </cfRule>
  </conditionalFormatting>
  <conditionalFormatting sqref="A4:G31">
    <cfRule type="expression" dxfId="211" priority="8">
      <formula>$A3=MAX($A$2:$A$31)</formula>
    </cfRule>
  </conditionalFormatting>
  <conditionalFormatting sqref="D4:D31">
    <cfRule type="expression" dxfId="210" priority="7">
      <formula>AND($D4="",$E4&lt;&gt;"")</formula>
    </cfRule>
  </conditionalFormatting>
  <conditionalFormatting sqref="E4:E31">
    <cfRule type="expression" dxfId="209" priority="6">
      <formula>AND($E4="",$D4&lt;&gt;"")</formula>
    </cfRule>
  </conditionalFormatting>
  <conditionalFormatting sqref="C4:C31">
    <cfRule type="expression" dxfId="208" priority="5">
      <formula>AND($D4="",$E4&lt;&gt;"")</formula>
    </cfRule>
  </conditionalFormatting>
  <conditionalFormatting sqref="A32:G32">
    <cfRule type="expression" dxfId="207" priority="4">
      <formula>$A31=MAX($A$2:$A$31)</formula>
    </cfRule>
  </conditionalFormatting>
  <conditionalFormatting sqref="D32">
    <cfRule type="expression" dxfId="206" priority="3">
      <formula>AND($D32="",$E32&lt;&gt;"")</formula>
    </cfRule>
  </conditionalFormatting>
  <conditionalFormatting sqref="E32">
    <cfRule type="expression" dxfId="205" priority="2">
      <formula>AND($E32="",$D32&lt;&gt;"")</formula>
    </cfRule>
  </conditionalFormatting>
  <conditionalFormatting sqref="C32">
    <cfRule type="expression" dxfId="20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K52"/>
  <sheetViews>
    <sheetView zoomScaleNormal="100" workbookViewId="0">
      <pane ySplit="1" topLeftCell="A2" activePane="bottomLeft" state="frozen"/>
      <selection activeCell="H16" sqref="H16"/>
      <selection pane="bottomLeft" activeCell="E4" sqref="E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195</v>
      </c>
      <c r="I1" s="55">
        <f>SUBTOTAL(9,H2:H31)</f>
        <v>4.5</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KM 15%</v>
      </c>
      <c r="K2" s="50">
        <f>IFERROR(VLOOKUP($D2,Sheet1!$A$2:$D$99,4,0),"")</f>
        <v>45000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f t="shared" si="0"/>
        <v>3</v>
      </c>
      <c r="B4" s="52" t="str">
        <f>IFERROR(VLOOKUP($D4,Sheet1!$A$2:$B$99,2,0),"")</f>
        <v>XX Đức HS ĐNA</v>
      </c>
      <c r="C4" s="89">
        <f>IFERROR(VLOOKUP($D4,'Tổng Đơn'!$A$5:$E$101,5,0),"")</f>
        <v>0.5</v>
      </c>
      <c r="D4" s="48">
        <v>21</v>
      </c>
      <c r="E4" s="48">
        <v>2</v>
      </c>
      <c r="F4" s="53">
        <f>IF(AND($A4="",$A3&lt;&gt;""),"Tổng Cộng",IFERROR(VLOOKUP($D4,Sheet1!$A$2:$D$99,4,0),""))</f>
        <v>33000</v>
      </c>
      <c r="G4" s="54">
        <f>IF($A3=MAX($A$2:$A$50),SUM($G$2:$G3),IFERROR($F4*$E4,""))</f>
        <v>66000</v>
      </c>
      <c r="H4" s="92">
        <f t="shared" si="1"/>
        <v>1</v>
      </c>
      <c r="K4" s="49">
        <f>IFERROR(VLOOKUP($D4,Sheet1!$A$2:$D$99,4,0),"")</f>
        <v>33000</v>
      </c>
    </row>
    <row r="5" spans="1:11" s="46" customFormat="1" ht="24.95" customHeight="1" x14ac:dyDescent="0.25">
      <c r="A5" s="51">
        <f t="shared" si="0"/>
        <v>4</v>
      </c>
      <c r="B5" s="52" t="str">
        <f>IFERROR(VLOOKUP($D5,Sheet1!$A$2:$B$99,2,0),"")</f>
        <v>Cá Viên TVP</v>
      </c>
      <c r="C5" s="89">
        <f>IFERROR(VLOOKUP($D5,'Tổng Đơn'!$A$5:$E$101,5,0),"")</f>
        <v>0.5</v>
      </c>
      <c r="D5" s="48">
        <v>29</v>
      </c>
      <c r="E5" s="48">
        <v>1</v>
      </c>
      <c r="F5" s="53">
        <f>IF(AND($A5="",$A4&lt;&gt;""),"Tổng Cộng",IFERROR(VLOOKUP($D5,Sheet1!$A$2:$D$99,4,0),""))</f>
        <v>32000</v>
      </c>
      <c r="G5" s="54">
        <f>IF($A4=MAX($A$2:$A$50),SUM($G$2:$G4),IFERROR($F5*$E5,""))</f>
        <v>32000</v>
      </c>
      <c r="H5" s="92">
        <f t="shared" si="1"/>
        <v>0.5</v>
      </c>
      <c r="K5" s="49">
        <f>IFERROR(VLOOKUP($D5,Sheet1!$A$2:$D$99,4,0),"")</f>
        <v>32000</v>
      </c>
    </row>
    <row r="6" spans="1:11" s="46" customFormat="1" ht="24.95" customHeight="1" x14ac:dyDescent="0.25">
      <c r="A6" s="51">
        <f t="shared" si="0"/>
        <v>5</v>
      </c>
      <c r="B6" s="52" t="str">
        <f>IFERROR(VLOOKUP($D6,Sheet1!$A$2:$B$99,2,0),"")</f>
        <v>XX nhân Phô Mai</v>
      </c>
      <c r="C6" s="89">
        <f>IFERROR(VLOOKUP($D6,'Tổng Đơn'!$A$5:$E$101,5,0),"")</f>
        <v>0.5</v>
      </c>
      <c r="D6" s="48">
        <v>47</v>
      </c>
      <c r="E6" s="48">
        <v>1</v>
      </c>
      <c r="F6" s="53">
        <f>IF(AND($A6="",$A5&lt;&gt;""),"Tổng Cộng",IFERROR(VLOOKUP($D6,Sheet1!$A$2:$D$99,4,0),""))</f>
        <v>40000</v>
      </c>
      <c r="G6" s="54">
        <f>IF($A5=MAX($A$2:$A$50),SUM($G$2:$G5),IFERROR($F6*$E6,""))</f>
        <v>40000</v>
      </c>
      <c r="H6" s="92">
        <f t="shared" si="1"/>
        <v>0.5</v>
      </c>
      <c r="K6" s="49">
        <f>IFERROR(VLOOKUP($D6,Sheet1!$A$2:$D$99,4,0),"")</f>
        <v>40000</v>
      </c>
    </row>
    <row r="7" spans="1:11" s="46" customFormat="1" ht="24.95" customHeight="1" x14ac:dyDescent="0.25">
      <c r="A7" s="51">
        <f t="shared" si="0"/>
        <v>6</v>
      </c>
      <c r="B7" s="52" t="str">
        <f>IFERROR(VLOOKUP($D7,Sheet1!$A$2:$B$99,2,0),"")</f>
        <v>Cốm xanh</v>
      </c>
      <c r="C7" s="89">
        <f>IFERROR(VLOOKUP($D7,'Tổng Đơn'!$A$5:$E$101,5,0),"")</f>
        <v>0.5</v>
      </c>
      <c r="D7" s="48">
        <v>48</v>
      </c>
      <c r="E7" s="48">
        <v>1</v>
      </c>
      <c r="F7" s="53">
        <f>IF(AND($A7="",$A6&lt;&gt;""),"Tổng Cộng",IFERROR(VLOOKUP($D7,Sheet1!$A$2:$D$99,4,0),""))</f>
        <v>35000</v>
      </c>
      <c r="G7" s="54">
        <f>IF($A6=MAX($A$2:$A$50),SUM($G$2:$G6),IFERROR($F7*$E7,""))</f>
        <v>35000</v>
      </c>
      <c r="H7" s="92">
        <f t="shared" si="1"/>
        <v>0.5</v>
      </c>
      <c r="K7" s="49">
        <f>IFERROR(VLOOKUP($D7,Sheet1!$A$2:$D$99,4,0),"")</f>
        <v>35000</v>
      </c>
    </row>
    <row r="8" spans="1:11" s="46" customFormat="1" ht="24.95" customHeight="1" x14ac:dyDescent="0.25">
      <c r="A8" s="51">
        <f t="shared" si="0"/>
        <v>7</v>
      </c>
      <c r="B8" s="52" t="str">
        <f>IFERROR(VLOOKUP($D8,Sheet1!$A$2:$B$99,2,0),"")</f>
        <v>Ốc nhồi Hải sản</v>
      </c>
      <c r="C8" s="89">
        <f>IFERROR(VLOOKUP($D8,'Tổng Đơn'!$A$5:$E$101,5,0),"")</f>
        <v>0.5</v>
      </c>
      <c r="D8" s="48">
        <v>51</v>
      </c>
      <c r="E8" s="48">
        <v>2</v>
      </c>
      <c r="F8" s="53">
        <f>IF(AND($A8="",$A7&lt;&gt;""),"Tổng Cộng",IFERROR(VLOOKUP($D8,Sheet1!$A$2:$D$99,4,0),""))</f>
        <v>38000</v>
      </c>
      <c r="G8" s="54">
        <f>IF($A7=MAX($A$2:$A$50),SUM($G$2:$G7),IFERROR($F8*$E8,""))</f>
        <v>76000</v>
      </c>
      <c r="H8" s="92">
        <f t="shared" si="1"/>
        <v>1</v>
      </c>
      <c r="K8" s="49">
        <f>IFERROR(VLOOKUP($D8,Sheet1!$A$2:$D$99,4,0),"")</f>
        <v>38000</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Tổng Cộng</v>
      </c>
      <c r="G9" s="54">
        <f>IF($A8=MAX($A$2:$A$50),SUM($G$2:$G8),IFERROR($F9*$E9,""))</f>
        <v>334000</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27" priority="12">
      <formula>$A2=MAX($A$2:$A$31)</formula>
    </cfRule>
  </conditionalFormatting>
  <conditionalFormatting sqref="D2:D3">
    <cfRule type="expression" dxfId="226" priority="11">
      <formula>AND($D2="",$E2&lt;&gt;"")</formula>
    </cfRule>
  </conditionalFormatting>
  <conditionalFormatting sqref="E2:E3">
    <cfRule type="expression" dxfId="225" priority="10">
      <formula>AND($E2="",$D2&lt;&gt;"")</formula>
    </cfRule>
  </conditionalFormatting>
  <conditionalFormatting sqref="C2:C3">
    <cfRule type="expression" dxfId="224" priority="9">
      <formula>AND($D2="",$E2&lt;&gt;"")</formula>
    </cfRule>
  </conditionalFormatting>
  <conditionalFormatting sqref="A4:G31">
    <cfRule type="expression" dxfId="223" priority="8">
      <formula>$A3=MAX($A$2:$A$31)</formula>
    </cfRule>
  </conditionalFormatting>
  <conditionalFormatting sqref="D4:D31">
    <cfRule type="expression" dxfId="222" priority="7">
      <formula>AND($D4="",$E4&lt;&gt;"")</formula>
    </cfRule>
  </conditionalFormatting>
  <conditionalFormatting sqref="E4:E31">
    <cfRule type="expression" dxfId="221" priority="6">
      <formula>AND($E4="",$D4&lt;&gt;"")</formula>
    </cfRule>
  </conditionalFormatting>
  <conditionalFormatting sqref="C4:C31">
    <cfRule type="expression" dxfId="220" priority="5">
      <formula>AND($D4="",$E4&lt;&gt;"")</formula>
    </cfRule>
  </conditionalFormatting>
  <conditionalFormatting sqref="A32:G32">
    <cfRule type="expression" dxfId="219" priority="4">
      <formula>$A31=MAX($A$2:$A$31)</formula>
    </cfRule>
  </conditionalFormatting>
  <conditionalFormatting sqref="D32">
    <cfRule type="expression" dxfId="218" priority="3">
      <formula>AND($D32="",$E32&lt;&gt;"")</formula>
    </cfRule>
  </conditionalFormatting>
  <conditionalFormatting sqref="E32">
    <cfRule type="expression" dxfId="217" priority="2">
      <formula>AND($E32="",$D32&lt;&gt;"")</formula>
    </cfRule>
  </conditionalFormatting>
  <conditionalFormatting sqref="C32">
    <cfRule type="expression" dxfId="21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8" t="s">
        <v>194</v>
      </c>
      <c r="I1" s="55">
        <f>SUBTOTAL(9,H2:H31)</f>
        <v>5.5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Viên thả lẩu 3 màu</v>
      </c>
      <c r="C4" s="89">
        <f>IFERROR(VLOOKUP($D4,'Tổng Đơn'!$A$5:$E$101,5,0),"")</f>
        <v>0.5</v>
      </c>
      <c r="D4" s="48">
        <v>10</v>
      </c>
      <c r="E4" s="48">
        <v>3</v>
      </c>
      <c r="F4" s="53">
        <f>IF(AND($A4="",$A3&lt;&gt;""),"Tổng Cộng",IFERROR(VLOOKUP($D4,Sheet1!$A$2:$D$99,4,0),""))</f>
        <v>50000</v>
      </c>
      <c r="G4" s="54">
        <f>IF($A3=MAX($A$2:$A$50),SUM($G$2:$G3),IFERROR($F4*$E4,""))</f>
        <v>150000</v>
      </c>
      <c r="H4" s="92">
        <f t="shared" si="1"/>
        <v>1.5</v>
      </c>
      <c r="K4" s="49">
        <f>IFERROR(VLOOKUP($D4,Sheet1!$A$2:$D$99,4,0),"")</f>
        <v>50000</v>
      </c>
    </row>
    <row r="5" spans="1:11" s="46" customFormat="1" ht="24.95" customHeight="1" x14ac:dyDescent="0.25">
      <c r="A5" s="51">
        <f t="shared" si="0"/>
        <v>4</v>
      </c>
      <c r="B5" s="52" t="str">
        <f>IFERROR(VLOOKUP($D5,Sheet1!$A$2:$B$99,2,0),"")</f>
        <v>Phô mai que (13 que)</v>
      </c>
      <c r="C5" s="89">
        <f>IFERROR(VLOOKUP($D5,'Tổng Đơn'!$A$5:$E$101,5,0),"")</f>
        <v>0.5</v>
      </c>
      <c r="D5" s="48">
        <v>16</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f t="shared" si="0"/>
        <v>5</v>
      </c>
      <c r="B6" s="52" t="str">
        <f>IFERROR(VLOOKUP($D6,Sheet1!$A$2:$B$99,2,0),"")</f>
        <v>Phô mai viên (35v)</v>
      </c>
      <c r="C6" s="89">
        <f>IFERROR(VLOOKUP($D6,'Tổng Đơn'!$A$5:$E$101,5,0),"")</f>
        <v>0.5</v>
      </c>
      <c r="D6" s="48">
        <v>17</v>
      </c>
      <c r="E6" s="48">
        <v>1</v>
      </c>
      <c r="F6" s="53">
        <f>IF(AND($A6="",$A5&lt;&gt;""),"Tổng Cộng",IFERROR(VLOOKUP($D6,Sheet1!$A$2:$D$99,4,0),""))</f>
        <v>40000</v>
      </c>
      <c r="G6" s="54">
        <f>IF($A5=MAX($A$2:$A$50),SUM($G$2:$G5),IFERROR($F6*$E6,""))</f>
        <v>40000</v>
      </c>
      <c r="H6" s="92">
        <f t="shared" si="1"/>
        <v>0.5</v>
      </c>
      <c r="K6" s="49">
        <f>IFERROR(VLOOKUP($D6,Sheet1!$A$2:$D$99,4,0),"")</f>
        <v>40000</v>
      </c>
    </row>
    <row r="7" spans="1:11" s="46" customFormat="1" ht="24.95" customHeight="1" x14ac:dyDescent="0.25">
      <c r="A7" s="51">
        <f t="shared" si="0"/>
        <v>6</v>
      </c>
      <c r="B7" s="52" t="str">
        <f>IFERROR(VLOOKUP($D7,Sheet1!$A$2:$B$99,2,0),"")</f>
        <v>XX Đỏ ĐNA (bao xanh)</v>
      </c>
      <c r="C7" s="89">
        <f>IFERROR(VLOOKUP($D7,'Tổng Đơn'!$A$5:$E$101,5,0),"")</f>
        <v>0.5</v>
      </c>
      <c r="D7" s="48">
        <v>20</v>
      </c>
      <c r="E7" s="48">
        <v>1</v>
      </c>
      <c r="F7" s="53">
        <f>IF(AND($A7="",$A6&lt;&gt;""),"Tổng Cộng",IFERROR(VLOOKUP($D7,Sheet1!$A$2:$D$99,4,0),""))</f>
        <v>26000</v>
      </c>
      <c r="G7" s="54">
        <f>IF($A6=MAX($A$2:$A$50),SUM($G$2:$G6),IFERROR($F7*$E7,""))</f>
        <v>26000</v>
      </c>
      <c r="H7" s="92">
        <f t="shared" si="1"/>
        <v>0.5</v>
      </c>
      <c r="K7" s="49">
        <f>IFERROR(VLOOKUP($D7,Sheet1!$A$2:$D$99,4,0),"")</f>
        <v>26000</v>
      </c>
    </row>
    <row r="8" spans="1:11" s="46" customFormat="1" ht="24.95" customHeight="1" x14ac:dyDescent="0.25">
      <c r="A8" s="51">
        <f t="shared" si="0"/>
        <v>7</v>
      </c>
      <c r="B8" s="52" t="str">
        <f>IFERROR(VLOOKUP($D8,Sheet1!$A$2:$B$99,2,0),"")</f>
        <v>XX Đức HS ĐNA</v>
      </c>
      <c r="C8" s="89">
        <f>IFERROR(VLOOKUP($D8,'Tổng Đơn'!$A$5:$E$101,5,0),"")</f>
        <v>0.5</v>
      </c>
      <c r="D8" s="48">
        <v>21</v>
      </c>
      <c r="E8" s="48">
        <v>1</v>
      </c>
      <c r="F8" s="53">
        <f>IF(AND($A8="",$A7&lt;&gt;""),"Tổng Cộng",IFERROR(VLOOKUP($D8,Sheet1!$A$2:$D$99,4,0),""))</f>
        <v>33000</v>
      </c>
      <c r="G8" s="54">
        <f>IF($A7=MAX($A$2:$A$50),SUM($G$2:$G7),IFERROR($F8*$E8,""))</f>
        <v>33000</v>
      </c>
      <c r="H8" s="92">
        <f t="shared" si="1"/>
        <v>0.5</v>
      </c>
      <c r="K8" s="49">
        <f>IFERROR(VLOOKUP($D8,Sheet1!$A$2:$D$99,4,0),"")</f>
        <v>33000</v>
      </c>
    </row>
    <row r="9" spans="1:11" s="46" customFormat="1" ht="24.95" customHeight="1" x14ac:dyDescent="0.25">
      <c r="A9" s="51">
        <f t="shared" si="0"/>
        <v>8</v>
      </c>
      <c r="B9" s="52" t="str">
        <f>IFERROR(VLOOKUP($D9,Sheet1!$A$2:$B$99,2,0),"")</f>
        <v>Chả giò Rế thịt heo</v>
      </c>
      <c r="C9" s="89">
        <f>IFERROR(VLOOKUP($D9,'Tổng Đơn'!$A$5:$E$101,5,0),"")</f>
        <v>0.5</v>
      </c>
      <c r="D9" s="48">
        <v>25</v>
      </c>
      <c r="E9" s="48">
        <v>1</v>
      </c>
      <c r="F9" s="53">
        <f>IF(AND($A9="",$A8&lt;&gt;""),"Tổng Cộng",IFERROR(VLOOKUP($D9,Sheet1!$A$2:$D$99,4,0),""))</f>
        <v>35000</v>
      </c>
      <c r="G9" s="54">
        <f>IF($A8=MAX($A$2:$A$50),SUM($G$2:$G8),IFERROR($F9*$E9,""))</f>
        <v>35000</v>
      </c>
      <c r="H9" s="92">
        <f t="shared" si="1"/>
        <v>0.5</v>
      </c>
      <c r="K9" s="49">
        <f>IFERROR(VLOOKUP($D9,Sheet1!$A$2:$D$99,4,0),"")</f>
        <v>35000</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Tổng Cộng</v>
      </c>
      <c r="G10" s="54">
        <f>IF($A9=MAX($A$2:$A$50),SUM($G$2:$G9),IFERROR($F10*$E10,""))</f>
        <v>404000</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9" priority="12">
      <formula>$A2=MAX($A$2:$A$31)</formula>
    </cfRule>
  </conditionalFormatting>
  <conditionalFormatting sqref="D2:D3">
    <cfRule type="expression" dxfId="238" priority="11">
      <formula>AND($D2="",$E2&lt;&gt;"")</formula>
    </cfRule>
  </conditionalFormatting>
  <conditionalFormatting sqref="E2:E3">
    <cfRule type="expression" dxfId="237" priority="10">
      <formula>AND($E2="",$D2&lt;&gt;"")</formula>
    </cfRule>
  </conditionalFormatting>
  <conditionalFormatting sqref="C2:C3">
    <cfRule type="expression" dxfId="236" priority="9">
      <formula>AND($D2="",$E2&lt;&gt;"")</formula>
    </cfRule>
  </conditionalFormatting>
  <conditionalFormatting sqref="A4:G31">
    <cfRule type="expression" dxfId="235" priority="8">
      <formula>$A3=MAX($A$2:$A$31)</formula>
    </cfRule>
  </conditionalFormatting>
  <conditionalFormatting sqref="D4:D31">
    <cfRule type="expression" dxfId="234" priority="7">
      <formula>AND($D4="",$E4&lt;&gt;"")</formula>
    </cfRule>
  </conditionalFormatting>
  <conditionalFormatting sqref="E4:E31">
    <cfRule type="expression" dxfId="233" priority="6">
      <formula>AND($E4="",$D4&lt;&gt;"")</formula>
    </cfRule>
  </conditionalFormatting>
  <conditionalFormatting sqref="C4:C31">
    <cfRule type="expression" dxfId="232" priority="5">
      <formula>AND($D4="",$E4&lt;&gt;"")</formula>
    </cfRule>
  </conditionalFormatting>
  <conditionalFormatting sqref="A32:G32">
    <cfRule type="expression" dxfId="231" priority="4">
      <formula>$A31=MAX($A$2:$A$31)</formula>
    </cfRule>
  </conditionalFormatting>
  <conditionalFormatting sqref="D32">
    <cfRule type="expression" dxfId="230" priority="3">
      <formula>AND($D32="",$E32&lt;&gt;"")</formula>
    </cfRule>
  </conditionalFormatting>
  <conditionalFormatting sqref="E32">
    <cfRule type="expression" dxfId="229" priority="2">
      <formula>AND($E32="",$D32&lt;&gt;"")</formula>
    </cfRule>
  </conditionalFormatting>
  <conditionalFormatting sqref="C32">
    <cfRule type="expression" dxfId="22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Hàng tặng TVP</vt:lpstr>
      <vt:lpstr>TVP</vt:lpstr>
      <vt:lpstr>La Cusina</vt:lpstr>
      <vt:lpstr>Quốc Nhân</vt:lpstr>
      <vt:lpstr>Sheet3</vt:lpstr>
      <vt:lpstr>Giá TVP</vt:lpstr>
      <vt:lpstr>Chi phí</vt:lpstr>
      <vt:lpstr>Tổng Đơn</vt:lpstr>
      <vt:lpstr>Sheet1</vt:lpstr>
      <vt:lpstr>Thanh Toán</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2021-12-31T17:32:13Z</dcterms:modified>
</cp:coreProperties>
</file>