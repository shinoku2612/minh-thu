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tabRatio="840" firstSheet="11" activeTab="16"/>
  </bookViews>
  <sheets>
    <sheet name="TVP" sheetId="5" r:id="rId1"/>
    <sheet name="La Cusina" sheetId="4" r:id="rId2"/>
    <sheet name="Quốc Nhân" sheetId="1" r:id="rId3"/>
    <sheet name="Sheet3" sheetId="3" r:id="rId4"/>
    <sheet name="Giá TVP" sheetId="7" state="hidden" r:id="rId5"/>
    <sheet name="Chi phí" sheetId="95" r:id="rId6"/>
    <sheet name="Sheet1" sheetId="8" r:id="rId7"/>
    <sheet name="Tổng Đơn" sheetId="50" r:id="rId8"/>
    <sheet name="Thanh Toán (12)" sheetId="106" r:id="rId9"/>
    <sheet name="Thanh Toán (11)" sheetId="105" r:id="rId10"/>
    <sheet name="Thanh Toán" sheetId="9" r:id="rId11"/>
    <sheet name="Thanh Toán (10)" sheetId="104" r:id="rId12"/>
    <sheet name="Thanh Toán (9)" sheetId="103" r:id="rId13"/>
    <sheet name="Thanh Toán (8)" sheetId="102" r:id="rId14"/>
    <sheet name="Thanh Toán (7)" sheetId="101" r:id="rId15"/>
    <sheet name="Thanh Toán (6)" sheetId="100" r:id="rId16"/>
    <sheet name="Thanh Toán (5)" sheetId="99" r:id="rId17"/>
    <sheet name="Thanh Toán (4)" sheetId="98" r:id="rId18"/>
    <sheet name="Thanh Toán (3)" sheetId="97" r:id="rId19"/>
    <sheet name="Thanh Toán (2)" sheetId="96" r:id="rId20"/>
    <sheet name="DS KHÁCH HÀNG KM (2)" sheetId="76" state="hidden" r:id="rId21"/>
  </sheets>
  <definedNames>
    <definedName name="_xlnm._FilterDatabase" localSheetId="20" hidden="1">'DS KHÁCH HÀNG KM (2)'!$A$2:$G$35</definedName>
    <definedName name="_xlnm._FilterDatabase" localSheetId="4" hidden="1">'Giá TVP'!$A$2:$C$2</definedName>
    <definedName name="_xlnm._FilterDatabase" localSheetId="1" hidden="1">'La Cusina'!$B$4:$M$4</definedName>
    <definedName name="_xlnm._FilterDatabase" localSheetId="2" hidden="1">'Quốc Nhân'!$B$4:$M$4</definedName>
    <definedName name="_xlnm._FilterDatabase" localSheetId="6" hidden="1">Sheet1!$B$2:$D$52</definedName>
    <definedName name="_xlnm._FilterDatabase" localSheetId="3" hidden="1">Sheet3!$A$2:$C$2</definedName>
    <definedName name="_xlnm._FilterDatabase" localSheetId="7" hidden="1">'Tổng Đơn'!$A$4:$AO$50</definedName>
    <definedName name="_xlnm._FilterDatabase" localSheetId="0" hidden="1">TVP!$B$4:$L$4</definedName>
    <definedName name="_xlnm.Print_Area" localSheetId="4">'Giá TVP'!$A$1:$G$27</definedName>
    <definedName name="_xlnm.Print_Area" localSheetId="3">Sheet3!$A$2:$G$23</definedName>
  </definedNames>
  <calcPr calcId="145621"/>
</workbook>
</file>

<file path=xl/calcChain.xml><?xml version="1.0" encoding="utf-8"?>
<calcChain xmlns="http://schemas.openxmlformats.org/spreadsheetml/2006/main">
  <c r="R1" i="50" l="1"/>
  <c r="P1" i="50"/>
  <c r="I2" i="50"/>
  <c r="H24" i="106"/>
  <c r="C24" i="106"/>
  <c r="B24" i="106"/>
  <c r="H23" i="106"/>
  <c r="C23" i="106"/>
  <c r="B23" i="106"/>
  <c r="H22" i="106"/>
  <c r="C22" i="106"/>
  <c r="B22" i="106"/>
  <c r="H21" i="106"/>
  <c r="C21" i="106"/>
  <c r="B21" i="106"/>
  <c r="K20" i="106"/>
  <c r="C20" i="106"/>
  <c r="H20" i="106" s="1"/>
  <c r="B20" i="106"/>
  <c r="K19" i="106"/>
  <c r="H19" i="106"/>
  <c r="C19" i="106"/>
  <c r="B19" i="106"/>
  <c r="K18" i="106"/>
  <c r="C18" i="106"/>
  <c r="H18" i="106" s="1"/>
  <c r="B18" i="106"/>
  <c r="K17" i="106"/>
  <c r="H17" i="106"/>
  <c r="C17" i="106"/>
  <c r="B17" i="106"/>
  <c r="K16" i="106"/>
  <c r="C16" i="106"/>
  <c r="H16" i="106" s="1"/>
  <c r="B16" i="106"/>
  <c r="K15" i="106"/>
  <c r="H15" i="106"/>
  <c r="C15" i="106"/>
  <c r="B15" i="106"/>
  <c r="K14" i="106"/>
  <c r="C14" i="106"/>
  <c r="H14" i="106" s="1"/>
  <c r="B14" i="106"/>
  <c r="K13" i="106"/>
  <c r="H13" i="106"/>
  <c r="C13" i="106"/>
  <c r="B13" i="106"/>
  <c r="K12" i="106"/>
  <c r="C12" i="106"/>
  <c r="H12" i="106" s="1"/>
  <c r="B12" i="106"/>
  <c r="K11" i="106"/>
  <c r="H11" i="106"/>
  <c r="C11" i="106"/>
  <c r="B11" i="106"/>
  <c r="K10" i="106"/>
  <c r="C10" i="106"/>
  <c r="H10" i="106" s="1"/>
  <c r="B10" i="106"/>
  <c r="K9" i="106"/>
  <c r="H9" i="106"/>
  <c r="C9" i="106"/>
  <c r="B9" i="106"/>
  <c r="K8" i="106"/>
  <c r="C8" i="106"/>
  <c r="H8" i="106" s="1"/>
  <c r="B8" i="106"/>
  <c r="K7" i="106"/>
  <c r="H7" i="106"/>
  <c r="C7" i="106"/>
  <c r="B7" i="106"/>
  <c r="K6" i="106"/>
  <c r="C6" i="106"/>
  <c r="H6" i="106" s="1"/>
  <c r="B6" i="106"/>
  <c r="K5" i="106"/>
  <c r="H5" i="106"/>
  <c r="C5" i="106"/>
  <c r="B5" i="106"/>
  <c r="K4" i="106"/>
  <c r="C4" i="106"/>
  <c r="H4" i="106" s="1"/>
  <c r="B4" i="106"/>
  <c r="K3" i="106"/>
  <c r="H3" i="106"/>
  <c r="C3" i="106"/>
  <c r="B3" i="106"/>
  <c r="K2" i="106"/>
  <c r="I2" i="106" s="1"/>
  <c r="H2" i="106"/>
  <c r="F2" i="106"/>
  <c r="G2" i="106" s="1"/>
  <c r="C2" i="106"/>
  <c r="B2" i="106"/>
  <c r="A2" i="106"/>
  <c r="C24" i="105"/>
  <c r="H24" i="105" s="1"/>
  <c r="B24" i="105"/>
  <c r="C23" i="105"/>
  <c r="H23" i="105" s="1"/>
  <c r="B23" i="105"/>
  <c r="H22" i="105"/>
  <c r="C22" i="105"/>
  <c r="B22" i="105"/>
  <c r="H21" i="105"/>
  <c r="C21" i="105"/>
  <c r="B21" i="105"/>
  <c r="K20" i="105"/>
  <c r="C20" i="105"/>
  <c r="H20" i="105" s="1"/>
  <c r="B20" i="105"/>
  <c r="K19" i="105"/>
  <c r="H19" i="105"/>
  <c r="C19" i="105"/>
  <c r="B19" i="105"/>
  <c r="K18" i="105"/>
  <c r="C18" i="105"/>
  <c r="H18" i="105" s="1"/>
  <c r="B18" i="105"/>
  <c r="K17" i="105"/>
  <c r="H17" i="105"/>
  <c r="C17" i="105"/>
  <c r="B17" i="105"/>
  <c r="K16" i="105"/>
  <c r="C16" i="105"/>
  <c r="H16" i="105" s="1"/>
  <c r="B16" i="105"/>
  <c r="K15" i="105"/>
  <c r="H15" i="105"/>
  <c r="C15" i="105"/>
  <c r="B15" i="105"/>
  <c r="K14" i="105"/>
  <c r="C14" i="105"/>
  <c r="H14" i="105" s="1"/>
  <c r="B14" i="105"/>
  <c r="K13" i="105"/>
  <c r="H13" i="105"/>
  <c r="C13" i="105"/>
  <c r="B13" i="105"/>
  <c r="K12" i="105"/>
  <c r="C12" i="105"/>
  <c r="H12" i="105" s="1"/>
  <c r="B12" i="105"/>
  <c r="K11" i="105"/>
  <c r="H11" i="105"/>
  <c r="C11" i="105"/>
  <c r="B11" i="105"/>
  <c r="K10" i="105"/>
  <c r="C10" i="105"/>
  <c r="H10" i="105" s="1"/>
  <c r="B10" i="105"/>
  <c r="K9" i="105"/>
  <c r="H9" i="105"/>
  <c r="C9" i="105"/>
  <c r="B9" i="105"/>
  <c r="K8" i="105"/>
  <c r="C8" i="105"/>
  <c r="H8" i="105" s="1"/>
  <c r="B8" i="105"/>
  <c r="K7" i="105"/>
  <c r="H7" i="105"/>
  <c r="C7" i="105"/>
  <c r="B7" i="105"/>
  <c r="K6" i="105"/>
  <c r="C6" i="105"/>
  <c r="H6" i="105" s="1"/>
  <c r="B6" i="105"/>
  <c r="K5" i="105"/>
  <c r="H5" i="105"/>
  <c r="C5" i="105"/>
  <c r="B5" i="105"/>
  <c r="K4" i="105"/>
  <c r="C4" i="105"/>
  <c r="H4" i="105" s="1"/>
  <c r="B4" i="105"/>
  <c r="K3" i="105"/>
  <c r="H3" i="105"/>
  <c r="C3" i="105"/>
  <c r="B3" i="105"/>
  <c r="K2" i="105"/>
  <c r="I2" i="105" s="1"/>
  <c r="H2" i="105"/>
  <c r="F2" i="105"/>
  <c r="G2" i="105" s="1"/>
  <c r="C2" i="105"/>
  <c r="B2" i="105"/>
  <c r="A2" i="105"/>
  <c r="F1" i="50"/>
  <c r="H24" i="104"/>
  <c r="C24" i="104"/>
  <c r="B24" i="104"/>
  <c r="H23" i="104"/>
  <c r="C23" i="104"/>
  <c r="B23" i="104"/>
  <c r="H22" i="104"/>
  <c r="C22" i="104"/>
  <c r="B22" i="104"/>
  <c r="H21" i="104"/>
  <c r="C21" i="104"/>
  <c r="B21" i="104"/>
  <c r="K20" i="104"/>
  <c r="C20" i="104"/>
  <c r="H20" i="104" s="1"/>
  <c r="B20" i="104"/>
  <c r="K19" i="104"/>
  <c r="H19" i="104"/>
  <c r="C19" i="104"/>
  <c r="B19" i="104"/>
  <c r="K18" i="104"/>
  <c r="C18" i="104"/>
  <c r="H18" i="104" s="1"/>
  <c r="B18" i="104"/>
  <c r="K17" i="104"/>
  <c r="H17" i="104"/>
  <c r="C17" i="104"/>
  <c r="B17" i="104"/>
  <c r="K16" i="104"/>
  <c r="C16" i="104"/>
  <c r="H16" i="104" s="1"/>
  <c r="B16" i="104"/>
  <c r="K15" i="104"/>
  <c r="H15" i="104"/>
  <c r="C15" i="104"/>
  <c r="B15" i="104"/>
  <c r="K14" i="104"/>
  <c r="C14" i="104"/>
  <c r="H14" i="104" s="1"/>
  <c r="B14" i="104"/>
  <c r="K13" i="104"/>
  <c r="H13" i="104"/>
  <c r="C13" i="104"/>
  <c r="B13" i="104"/>
  <c r="K12" i="104"/>
  <c r="C12" i="104"/>
  <c r="H12" i="104" s="1"/>
  <c r="B12" i="104"/>
  <c r="K11" i="104"/>
  <c r="H11" i="104"/>
  <c r="C11" i="104"/>
  <c r="B11" i="104"/>
  <c r="K10" i="104"/>
  <c r="C10" i="104"/>
  <c r="H10" i="104" s="1"/>
  <c r="B10" i="104"/>
  <c r="K9" i="104"/>
  <c r="H9" i="104"/>
  <c r="C9" i="104"/>
  <c r="B9" i="104"/>
  <c r="K8" i="104"/>
  <c r="C8" i="104"/>
  <c r="H8" i="104" s="1"/>
  <c r="B8" i="104"/>
  <c r="K7" i="104"/>
  <c r="H7" i="104"/>
  <c r="C7" i="104"/>
  <c r="B7" i="104"/>
  <c r="K6" i="104"/>
  <c r="C6" i="104"/>
  <c r="H6" i="104" s="1"/>
  <c r="B6" i="104"/>
  <c r="K5" i="104"/>
  <c r="H5" i="104"/>
  <c r="C5" i="104"/>
  <c r="B5" i="104"/>
  <c r="K4" i="104"/>
  <c r="C4" i="104"/>
  <c r="H4" i="104" s="1"/>
  <c r="B4" i="104"/>
  <c r="K3" i="104"/>
  <c r="H3" i="104"/>
  <c r="C3" i="104"/>
  <c r="B3" i="104"/>
  <c r="K2" i="104"/>
  <c r="I2" i="104" s="1"/>
  <c r="H2" i="104"/>
  <c r="F2" i="104"/>
  <c r="G2" i="104" s="1"/>
  <c r="C2" i="104"/>
  <c r="B2" i="104"/>
  <c r="A2" i="104"/>
  <c r="H24" i="103"/>
  <c r="C24" i="103"/>
  <c r="B24" i="103"/>
  <c r="H23" i="103"/>
  <c r="C23" i="103"/>
  <c r="B23" i="103"/>
  <c r="H22" i="103"/>
  <c r="C22" i="103"/>
  <c r="B22" i="103"/>
  <c r="H21" i="103"/>
  <c r="C21" i="103"/>
  <c r="B21" i="103"/>
  <c r="K20" i="103"/>
  <c r="C20" i="103"/>
  <c r="H20" i="103" s="1"/>
  <c r="B20" i="103"/>
  <c r="K19" i="103"/>
  <c r="H19" i="103"/>
  <c r="C19" i="103"/>
  <c r="B19" i="103"/>
  <c r="K18" i="103"/>
  <c r="C18" i="103"/>
  <c r="H18" i="103" s="1"/>
  <c r="B18" i="103"/>
  <c r="K17" i="103"/>
  <c r="H17" i="103"/>
  <c r="C17" i="103"/>
  <c r="B17" i="103"/>
  <c r="K16" i="103"/>
  <c r="C16" i="103"/>
  <c r="H16" i="103" s="1"/>
  <c r="B16" i="103"/>
  <c r="K15" i="103"/>
  <c r="H15" i="103"/>
  <c r="C15" i="103"/>
  <c r="B15" i="103"/>
  <c r="K14" i="103"/>
  <c r="C14" i="103"/>
  <c r="H14" i="103" s="1"/>
  <c r="B14" i="103"/>
  <c r="K13" i="103"/>
  <c r="H13" i="103"/>
  <c r="C13" i="103"/>
  <c r="B13" i="103"/>
  <c r="K12" i="103"/>
  <c r="C12" i="103"/>
  <c r="H12" i="103" s="1"/>
  <c r="B12" i="103"/>
  <c r="K11" i="103"/>
  <c r="H11" i="103"/>
  <c r="C11" i="103"/>
  <c r="B11" i="103"/>
  <c r="K10" i="103"/>
  <c r="C10" i="103"/>
  <c r="H10" i="103" s="1"/>
  <c r="B10" i="103"/>
  <c r="K9" i="103"/>
  <c r="H9" i="103"/>
  <c r="C9" i="103"/>
  <c r="B9" i="103"/>
  <c r="K8" i="103"/>
  <c r="C8" i="103"/>
  <c r="H8" i="103" s="1"/>
  <c r="B8" i="103"/>
  <c r="K7" i="103"/>
  <c r="H7" i="103"/>
  <c r="C7" i="103"/>
  <c r="B7" i="103"/>
  <c r="K6" i="103"/>
  <c r="C6" i="103"/>
  <c r="H6" i="103" s="1"/>
  <c r="B6" i="103"/>
  <c r="K5" i="103"/>
  <c r="H5" i="103"/>
  <c r="C5" i="103"/>
  <c r="B5" i="103"/>
  <c r="K4" i="103"/>
  <c r="C4" i="103"/>
  <c r="H4" i="103" s="1"/>
  <c r="B4" i="103"/>
  <c r="K3" i="103"/>
  <c r="H3" i="103"/>
  <c r="C3" i="103"/>
  <c r="B3" i="103"/>
  <c r="K2" i="103"/>
  <c r="I2" i="103" s="1"/>
  <c r="H2" i="103"/>
  <c r="F2" i="103"/>
  <c r="G2" i="103" s="1"/>
  <c r="C2" i="103"/>
  <c r="B2" i="103"/>
  <c r="A2" i="103"/>
  <c r="H24" i="102"/>
  <c r="C24" i="102"/>
  <c r="B24" i="102"/>
  <c r="H23" i="102"/>
  <c r="C23" i="102"/>
  <c r="B23" i="102"/>
  <c r="H22" i="102"/>
  <c r="C22" i="102"/>
  <c r="B22" i="102"/>
  <c r="H21" i="102"/>
  <c r="C21" i="102"/>
  <c r="B21" i="102"/>
  <c r="K20" i="102"/>
  <c r="C20" i="102"/>
  <c r="H20" i="102" s="1"/>
  <c r="B20" i="102"/>
  <c r="K19" i="102"/>
  <c r="H19" i="102"/>
  <c r="C19" i="102"/>
  <c r="B19" i="102"/>
  <c r="K18" i="102"/>
  <c r="C18" i="102"/>
  <c r="H18" i="102" s="1"/>
  <c r="B18" i="102"/>
  <c r="K17" i="102"/>
  <c r="H17" i="102"/>
  <c r="C17" i="102"/>
  <c r="B17" i="102"/>
  <c r="K16" i="102"/>
  <c r="C16" i="102"/>
  <c r="H16" i="102" s="1"/>
  <c r="B16" i="102"/>
  <c r="K15" i="102"/>
  <c r="H15" i="102"/>
  <c r="C15" i="102"/>
  <c r="B15" i="102"/>
  <c r="K14" i="102"/>
  <c r="C14" i="102"/>
  <c r="H14" i="102" s="1"/>
  <c r="B14" i="102"/>
  <c r="K13" i="102"/>
  <c r="H13" i="102"/>
  <c r="C13" i="102"/>
  <c r="B13" i="102"/>
  <c r="K12" i="102"/>
  <c r="C12" i="102"/>
  <c r="H12" i="102" s="1"/>
  <c r="B12" i="102"/>
  <c r="K11" i="102"/>
  <c r="H11" i="102"/>
  <c r="C11" i="102"/>
  <c r="B11" i="102"/>
  <c r="K10" i="102"/>
  <c r="C10" i="102"/>
  <c r="H10" i="102" s="1"/>
  <c r="B10" i="102"/>
  <c r="K9" i="102"/>
  <c r="H9" i="102"/>
  <c r="C9" i="102"/>
  <c r="B9" i="102"/>
  <c r="K8" i="102"/>
  <c r="C8" i="102"/>
  <c r="H8" i="102" s="1"/>
  <c r="B8" i="102"/>
  <c r="K7" i="102"/>
  <c r="H7" i="102"/>
  <c r="C7" i="102"/>
  <c r="B7" i="102"/>
  <c r="K6" i="102"/>
  <c r="C6" i="102"/>
  <c r="H6" i="102" s="1"/>
  <c r="B6" i="102"/>
  <c r="K5" i="102"/>
  <c r="H5" i="102"/>
  <c r="C5" i="102"/>
  <c r="B5" i="102"/>
  <c r="K4" i="102"/>
  <c r="C4" i="102"/>
  <c r="H4" i="102" s="1"/>
  <c r="B4" i="102"/>
  <c r="K3" i="102"/>
  <c r="H3" i="102"/>
  <c r="C3" i="102"/>
  <c r="B3" i="102"/>
  <c r="K2" i="102"/>
  <c r="I2" i="102" s="1"/>
  <c r="H2" i="102"/>
  <c r="F2" i="102"/>
  <c r="G2" i="102" s="1"/>
  <c r="C2" i="102"/>
  <c r="B2" i="102"/>
  <c r="A2" i="102"/>
  <c r="H24" i="101"/>
  <c r="C24" i="101"/>
  <c r="B24" i="101"/>
  <c r="H23" i="101"/>
  <c r="C23" i="101"/>
  <c r="B23" i="101"/>
  <c r="H22" i="101"/>
  <c r="C22" i="101"/>
  <c r="B22" i="101"/>
  <c r="H21" i="101"/>
  <c r="C21" i="101"/>
  <c r="B21" i="101"/>
  <c r="K20" i="101"/>
  <c r="C20" i="101"/>
  <c r="H20" i="101" s="1"/>
  <c r="B20" i="101"/>
  <c r="K19" i="101"/>
  <c r="H19" i="101"/>
  <c r="C19" i="101"/>
  <c r="B19" i="101"/>
  <c r="K18" i="101"/>
  <c r="C18" i="101"/>
  <c r="H18" i="101" s="1"/>
  <c r="B18" i="101"/>
  <c r="K17" i="101"/>
  <c r="H17" i="101"/>
  <c r="C17" i="101"/>
  <c r="B17" i="101"/>
  <c r="K16" i="101"/>
  <c r="C16" i="101"/>
  <c r="H16" i="101" s="1"/>
  <c r="B16" i="101"/>
  <c r="K15" i="101"/>
  <c r="H15" i="101"/>
  <c r="C15" i="101"/>
  <c r="B15" i="101"/>
  <c r="K14" i="101"/>
  <c r="C14" i="101"/>
  <c r="H14" i="101" s="1"/>
  <c r="B14" i="101"/>
  <c r="K13" i="101"/>
  <c r="H13" i="101"/>
  <c r="C13" i="101"/>
  <c r="B13" i="101"/>
  <c r="K12" i="101"/>
  <c r="C12" i="101"/>
  <c r="H12" i="101" s="1"/>
  <c r="B12" i="101"/>
  <c r="K11" i="101"/>
  <c r="H11" i="101"/>
  <c r="C11" i="101"/>
  <c r="B11" i="101"/>
  <c r="K10" i="101"/>
  <c r="C10" i="101"/>
  <c r="H10" i="101" s="1"/>
  <c r="B10" i="101"/>
  <c r="K9" i="101"/>
  <c r="H9" i="101"/>
  <c r="C9" i="101"/>
  <c r="B9" i="101"/>
  <c r="K8" i="101"/>
  <c r="C8" i="101"/>
  <c r="H8" i="101" s="1"/>
  <c r="B8" i="101"/>
  <c r="K7" i="101"/>
  <c r="H7" i="101"/>
  <c r="C7" i="101"/>
  <c r="B7" i="101"/>
  <c r="K6" i="101"/>
  <c r="C6" i="101"/>
  <c r="H6" i="101" s="1"/>
  <c r="B6" i="101"/>
  <c r="K5" i="101"/>
  <c r="H5" i="101"/>
  <c r="C5" i="101"/>
  <c r="B5" i="101"/>
  <c r="K4" i="101"/>
  <c r="C4" i="101"/>
  <c r="H4" i="101" s="1"/>
  <c r="B4" i="101"/>
  <c r="K3" i="101"/>
  <c r="H3" i="101"/>
  <c r="C3" i="101"/>
  <c r="B3" i="101"/>
  <c r="K2" i="101"/>
  <c r="I2" i="101" s="1"/>
  <c r="H2" i="101"/>
  <c r="F2" i="101"/>
  <c r="G2" i="101" s="1"/>
  <c r="C2" i="101"/>
  <c r="B2" i="101"/>
  <c r="A2" i="101"/>
  <c r="H24" i="100"/>
  <c r="C24" i="100"/>
  <c r="B24" i="100"/>
  <c r="C23" i="100"/>
  <c r="H23" i="100" s="1"/>
  <c r="B23" i="100"/>
  <c r="H22" i="100"/>
  <c r="C22" i="100"/>
  <c r="B22" i="100"/>
  <c r="H21" i="100"/>
  <c r="C21" i="100"/>
  <c r="B21" i="100"/>
  <c r="K20" i="100"/>
  <c r="C20" i="100"/>
  <c r="H20" i="100" s="1"/>
  <c r="B20" i="100"/>
  <c r="K19" i="100"/>
  <c r="H19" i="100"/>
  <c r="C19" i="100"/>
  <c r="B19" i="100"/>
  <c r="K18" i="100"/>
  <c r="C18" i="100"/>
  <c r="H18" i="100" s="1"/>
  <c r="B18" i="100"/>
  <c r="K17" i="100"/>
  <c r="H17" i="100"/>
  <c r="C17" i="100"/>
  <c r="B17" i="100"/>
  <c r="K16" i="100"/>
  <c r="C16" i="100"/>
  <c r="H16" i="100" s="1"/>
  <c r="B16" i="100"/>
  <c r="K15" i="100"/>
  <c r="H15" i="100"/>
  <c r="C15" i="100"/>
  <c r="B15" i="100"/>
  <c r="K14" i="100"/>
  <c r="C14" i="100"/>
  <c r="H14" i="100" s="1"/>
  <c r="B14" i="100"/>
  <c r="K13" i="100"/>
  <c r="H13" i="100"/>
  <c r="C13" i="100"/>
  <c r="B13" i="100"/>
  <c r="K12" i="100"/>
  <c r="C12" i="100"/>
  <c r="H12" i="100" s="1"/>
  <c r="B12" i="100"/>
  <c r="K11" i="100"/>
  <c r="H11" i="100"/>
  <c r="C11" i="100"/>
  <c r="B11" i="100"/>
  <c r="K10" i="100"/>
  <c r="C10" i="100"/>
  <c r="H10" i="100" s="1"/>
  <c r="B10" i="100"/>
  <c r="K9" i="100"/>
  <c r="H9" i="100"/>
  <c r="C9" i="100"/>
  <c r="B9" i="100"/>
  <c r="K8" i="100"/>
  <c r="C8" i="100"/>
  <c r="H8" i="100" s="1"/>
  <c r="B8" i="100"/>
  <c r="K7" i="100"/>
  <c r="H7" i="100"/>
  <c r="C7" i="100"/>
  <c r="B7" i="100"/>
  <c r="K6" i="100"/>
  <c r="C6" i="100"/>
  <c r="H6" i="100" s="1"/>
  <c r="B6" i="100"/>
  <c r="K5" i="100"/>
  <c r="H5" i="100"/>
  <c r="C5" i="100"/>
  <c r="B5" i="100"/>
  <c r="K4" i="100"/>
  <c r="C4" i="100"/>
  <c r="H4" i="100" s="1"/>
  <c r="B4" i="100"/>
  <c r="K3" i="100"/>
  <c r="H3" i="100"/>
  <c r="C3" i="100"/>
  <c r="B3" i="100"/>
  <c r="K2" i="100"/>
  <c r="I2" i="100" s="1"/>
  <c r="H2" i="100"/>
  <c r="F2" i="100"/>
  <c r="G2" i="100" s="1"/>
  <c r="C2" i="100"/>
  <c r="B2" i="100"/>
  <c r="A2" i="100"/>
  <c r="H24" i="99"/>
  <c r="C24" i="99"/>
  <c r="B24" i="99"/>
  <c r="H23" i="99"/>
  <c r="C23" i="99"/>
  <c r="B23" i="99"/>
  <c r="H22" i="99"/>
  <c r="C22" i="99"/>
  <c r="B22" i="99"/>
  <c r="H21" i="99"/>
  <c r="C21" i="99"/>
  <c r="B21" i="99"/>
  <c r="K20" i="99"/>
  <c r="C20" i="99"/>
  <c r="H20" i="99" s="1"/>
  <c r="B20" i="99"/>
  <c r="K19" i="99"/>
  <c r="H19" i="99"/>
  <c r="C19" i="99"/>
  <c r="B19" i="99"/>
  <c r="K18" i="99"/>
  <c r="C18" i="99"/>
  <c r="H18" i="99" s="1"/>
  <c r="B18" i="99"/>
  <c r="K17" i="99"/>
  <c r="H17" i="99"/>
  <c r="C17" i="99"/>
  <c r="B17" i="99"/>
  <c r="K16" i="99"/>
  <c r="C16" i="99"/>
  <c r="H16" i="99" s="1"/>
  <c r="B16" i="99"/>
  <c r="K15" i="99"/>
  <c r="H15" i="99"/>
  <c r="C15" i="99"/>
  <c r="B15" i="99"/>
  <c r="K14" i="99"/>
  <c r="C14" i="99"/>
  <c r="H14" i="99" s="1"/>
  <c r="B14" i="99"/>
  <c r="K13" i="99"/>
  <c r="H13" i="99"/>
  <c r="C13" i="99"/>
  <c r="B13" i="99"/>
  <c r="K12" i="99"/>
  <c r="C12" i="99"/>
  <c r="H12" i="99" s="1"/>
  <c r="B12" i="99"/>
  <c r="K11" i="99"/>
  <c r="H11" i="99"/>
  <c r="C11" i="99"/>
  <c r="B11" i="99"/>
  <c r="K10" i="99"/>
  <c r="C10" i="99"/>
  <c r="H10" i="99" s="1"/>
  <c r="B10" i="99"/>
  <c r="K9" i="99"/>
  <c r="H9" i="99"/>
  <c r="C9" i="99"/>
  <c r="B9" i="99"/>
  <c r="K8" i="99"/>
  <c r="C8" i="99"/>
  <c r="H8" i="99" s="1"/>
  <c r="B8" i="99"/>
  <c r="K7" i="99"/>
  <c r="H7" i="99"/>
  <c r="C7" i="99"/>
  <c r="B7" i="99"/>
  <c r="K6" i="99"/>
  <c r="C6" i="99"/>
  <c r="H6" i="99" s="1"/>
  <c r="B6" i="99"/>
  <c r="K5" i="99"/>
  <c r="H5" i="99"/>
  <c r="C5" i="99"/>
  <c r="B5" i="99"/>
  <c r="K4" i="99"/>
  <c r="C4" i="99"/>
  <c r="H4" i="99" s="1"/>
  <c r="B4" i="99"/>
  <c r="K3" i="99"/>
  <c r="H3" i="99"/>
  <c r="C3" i="99"/>
  <c r="B3" i="99"/>
  <c r="K2" i="99"/>
  <c r="I2" i="99" s="1"/>
  <c r="H2" i="99"/>
  <c r="F2" i="99"/>
  <c r="G2" i="99" s="1"/>
  <c r="C2" i="99"/>
  <c r="B2" i="99"/>
  <c r="A2" i="99"/>
  <c r="A3" i="106" l="1"/>
  <c r="A3" i="105"/>
  <c r="A3" i="104"/>
  <c r="A3" i="103"/>
  <c r="A3" i="102"/>
  <c r="A3" i="101"/>
  <c r="A3" i="100"/>
  <c r="A3" i="99"/>
  <c r="H24" i="98"/>
  <c r="C24" i="98"/>
  <c r="B24" i="98"/>
  <c r="C23" i="98"/>
  <c r="H23" i="98" s="1"/>
  <c r="B23" i="98"/>
  <c r="H22" i="98"/>
  <c r="C22" i="98"/>
  <c r="B22" i="98"/>
  <c r="C21" i="98"/>
  <c r="H21" i="98" s="1"/>
  <c r="B21" i="98"/>
  <c r="K20" i="98"/>
  <c r="C20" i="98"/>
  <c r="H20" i="98" s="1"/>
  <c r="B20" i="98"/>
  <c r="K19" i="98"/>
  <c r="H19" i="98"/>
  <c r="C19" i="98"/>
  <c r="B19" i="98"/>
  <c r="K18" i="98"/>
  <c r="H18" i="98"/>
  <c r="C18" i="98"/>
  <c r="B18" i="98"/>
  <c r="K17" i="98"/>
  <c r="C17" i="98"/>
  <c r="H17" i="98" s="1"/>
  <c r="B17" i="98"/>
  <c r="K16" i="98"/>
  <c r="C16" i="98"/>
  <c r="H16" i="98" s="1"/>
  <c r="B16" i="98"/>
  <c r="K15" i="98"/>
  <c r="H15" i="98"/>
  <c r="C15" i="98"/>
  <c r="B15" i="98"/>
  <c r="K14" i="98"/>
  <c r="H14" i="98"/>
  <c r="C14" i="98"/>
  <c r="B14" i="98"/>
  <c r="K13" i="98"/>
  <c r="C13" i="98"/>
  <c r="H13" i="98" s="1"/>
  <c r="B13" i="98"/>
  <c r="K12" i="98"/>
  <c r="C12" i="98"/>
  <c r="H12" i="98" s="1"/>
  <c r="B12" i="98"/>
  <c r="K11" i="98"/>
  <c r="H11" i="98"/>
  <c r="C11" i="98"/>
  <c r="B11" i="98"/>
  <c r="K10" i="98"/>
  <c r="H10" i="98"/>
  <c r="C10" i="98"/>
  <c r="B10" i="98"/>
  <c r="K9" i="98"/>
  <c r="C9" i="98"/>
  <c r="H9" i="98" s="1"/>
  <c r="B9" i="98"/>
  <c r="K8" i="98"/>
  <c r="C8" i="98"/>
  <c r="H8" i="98" s="1"/>
  <c r="B8" i="98"/>
  <c r="K7" i="98"/>
  <c r="H7" i="98"/>
  <c r="C7" i="98"/>
  <c r="B7" i="98"/>
  <c r="K6" i="98"/>
  <c r="H6" i="98"/>
  <c r="C6" i="98"/>
  <c r="B6" i="98"/>
  <c r="K5" i="98"/>
  <c r="C5" i="98"/>
  <c r="H5" i="98" s="1"/>
  <c r="B5" i="98"/>
  <c r="K4" i="98"/>
  <c r="I2" i="98" s="1"/>
  <c r="C4" i="98"/>
  <c r="H4" i="98" s="1"/>
  <c r="B4" i="98"/>
  <c r="K3" i="98"/>
  <c r="H3" i="98"/>
  <c r="C3" i="98"/>
  <c r="B3" i="98"/>
  <c r="K2" i="98"/>
  <c r="H2" i="98"/>
  <c r="G2" i="98"/>
  <c r="F2" i="98"/>
  <c r="C2" i="98"/>
  <c r="B2" i="98"/>
  <c r="A2" i="98"/>
  <c r="H24" i="97"/>
  <c r="C24" i="97"/>
  <c r="B24" i="97"/>
  <c r="H23" i="97"/>
  <c r="C23" i="97"/>
  <c r="B23" i="97"/>
  <c r="H22" i="97"/>
  <c r="C22" i="97"/>
  <c r="B22" i="97"/>
  <c r="H21" i="97"/>
  <c r="C21" i="97"/>
  <c r="B21" i="97"/>
  <c r="K20" i="97"/>
  <c r="C20" i="97"/>
  <c r="H20" i="97" s="1"/>
  <c r="B20" i="97"/>
  <c r="K19" i="97"/>
  <c r="H19" i="97"/>
  <c r="C19" i="97"/>
  <c r="B19" i="97"/>
  <c r="K18" i="97"/>
  <c r="C18" i="97"/>
  <c r="H18" i="97" s="1"/>
  <c r="B18" i="97"/>
  <c r="K17" i="97"/>
  <c r="H17" i="97"/>
  <c r="C17" i="97"/>
  <c r="B17" i="97"/>
  <c r="K16" i="97"/>
  <c r="C16" i="97"/>
  <c r="H16" i="97" s="1"/>
  <c r="B16" i="97"/>
  <c r="K15" i="97"/>
  <c r="H15" i="97"/>
  <c r="C15" i="97"/>
  <c r="B15" i="97"/>
  <c r="K14" i="97"/>
  <c r="C14" i="97"/>
  <c r="H14" i="97" s="1"/>
  <c r="B14" i="97"/>
  <c r="K13" i="97"/>
  <c r="H13" i="97"/>
  <c r="C13" i="97"/>
  <c r="B13" i="97"/>
  <c r="K12" i="97"/>
  <c r="C12" i="97"/>
  <c r="H12" i="97" s="1"/>
  <c r="B12" i="97"/>
  <c r="K11" i="97"/>
  <c r="H11" i="97"/>
  <c r="C11" i="97"/>
  <c r="B11" i="97"/>
  <c r="K10" i="97"/>
  <c r="C10" i="97"/>
  <c r="H10" i="97" s="1"/>
  <c r="B10" i="97"/>
  <c r="K9" i="97"/>
  <c r="H9" i="97"/>
  <c r="C9" i="97"/>
  <c r="B9" i="97"/>
  <c r="K8" i="97"/>
  <c r="C8" i="97"/>
  <c r="H8" i="97" s="1"/>
  <c r="B8" i="97"/>
  <c r="K7" i="97"/>
  <c r="H7" i="97"/>
  <c r="C7" i="97"/>
  <c r="B7" i="97"/>
  <c r="K6" i="97"/>
  <c r="C6" i="97"/>
  <c r="H6" i="97" s="1"/>
  <c r="B6" i="97"/>
  <c r="K5" i="97"/>
  <c r="H5" i="97"/>
  <c r="C5" i="97"/>
  <c r="B5" i="97"/>
  <c r="K4" i="97"/>
  <c r="C4" i="97"/>
  <c r="H4" i="97" s="1"/>
  <c r="B4" i="97"/>
  <c r="K3" i="97"/>
  <c r="H3" i="97"/>
  <c r="C3" i="97"/>
  <c r="B3" i="97"/>
  <c r="K2" i="97"/>
  <c r="I2" i="97" s="1"/>
  <c r="H2" i="97"/>
  <c r="F2" i="97"/>
  <c r="G2" i="97" s="1"/>
  <c r="C2" i="97"/>
  <c r="B2" i="97"/>
  <c r="A2" i="97"/>
  <c r="A4" i="106" l="1"/>
  <c r="F3" i="106"/>
  <c r="A4" i="105"/>
  <c r="F3" i="105"/>
  <c r="F3" i="104"/>
  <c r="A4" i="104"/>
  <c r="A4" i="103"/>
  <c r="F3" i="103"/>
  <c r="F3" i="102"/>
  <c r="A4" i="102"/>
  <c r="A4" i="101"/>
  <c r="F3" i="101"/>
  <c r="F3" i="100"/>
  <c r="A4" i="100"/>
  <c r="A4" i="99"/>
  <c r="F3" i="99"/>
  <c r="A3" i="98"/>
  <c r="A3" i="97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4" i="50"/>
  <c r="D5" i="50"/>
  <c r="C24" i="96"/>
  <c r="H24" i="96" s="1"/>
  <c r="B24" i="96"/>
  <c r="C23" i="96"/>
  <c r="H23" i="96" s="1"/>
  <c r="B23" i="96"/>
  <c r="C22" i="96"/>
  <c r="H22" i="96" s="1"/>
  <c r="B22" i="96"/>
  <c r="C21" i="96"/>
  <c r="H21" i="96" s="1"/>
  <c r="B21" i="96"/>
  <c r="K20" i="96"/>
  <c r="C20" i="96"/>
  <c r="H20" i="96" s="1"/>
  <c r="B20" i="96"/>
  <c r="K19" i="96"/>
  <c r="C19" i="96"/>
  <c r="H19" i="96" s="1"/>
  <c r="B19" i="96"/>
  <c r="K18" i="96"/>
  <c r="C18" i="96"/>
  <c r="H18" i="96" s="1"/>
  <c r="B18" i="96"/>
  <c r="K17" i="96"/>
  <c r="C17" i="96"/>
  <c r="H17" i="96" s="1"/>
  <c r="B17" i="96"/>
  <c r="K16" i="96"/>
  <c r="C16" i="96"/>
  <c r="H16" i="96" s="1"/>
  <c r="B16" i="96"/>
  <c r="K15" i="96"/>
  <c r="C15" i="96"/>
  <c r="H15" i="96" s="1"/>
  <c r="B15" i="96"/>
  <c r="K14" i="96"/>
  <c r="C14" i="96"/>
  <c r="H14" i="96" s="1"/>
  <c r="B14" i="96"/>
  <c r="K13" i="96"/>
  <c r="C13" i="96"/>
  <c r="H13" i="96" s="1"/>
  <c r="B13" i="96"/>
  <c r="K12" i="96"/>
  <c r="C12" i="96"/>
  <c r="H12" i="96" s="1"/>
  <c r="B12" i="96"/>
  <c r="K11" i="96"/>
  <c r="C11" i="96"/>
  <c r="H11" i="96" s="1"/>
  <c r="B11" i="96"/>
  <c r="K10" i="96"/>
  <c r="C10" i="96"/>
  <c r="H10" i="96" s="1"/>
  <c r="B10" i="96"/>
  <c r="K9" i="96"/>
  <c r="C9" i="96"/>
  <c r="H9" i="96" s="1"/>
  <c r="B9" i="96"/>
  <c r="K8" i="96"/>
  <c r="C8" i="96"/>
  <c r="H8" i="96" s="1"/>
  <c r="B8" i="96"/>
  <c r="K7" i="96"/>
  <c r="C7" i="96"/>
  <c r="H7" i="96" s="1"/>
  <c r="B7" i="96"/>
  <c r="K6" i="96"/>
  <c r="C6" i="96"/>
  <c r="H6" i="96" s="1"/>
  <c r="B6" i="96"/>
  <c r="K5" i="96"/>
  <c r="C5" i="96"/>
  <c r="H5" i="96" s="1"/>
  <c r="B5" i="96"/>
  <c r="K4" i="96"/>
  <c r="C4" i="96"/>
  <c r="H4" i="96" s="1"/>
  <c r="B4" i="96"/>
  <c r="K3" i="96"/>
  <c r="C3" i="96"/>
  <c r="H3" i="96" s="1"/>
  <c r="B3" i="96"/>
  <c r="K2" i="96"/>
  <c r="F2" i="96"/>
  <c r="G2" i="96" s="1"/>
  <c r="C2" i="96"/>
  <c r="H2" i="96" s="1"/>
  <c r="B2" i="96"/>
  <c r="A2" i="96"/>
  <c r="A5" i="106" l="1"/>
  <c r="F4" i="106"/>
  <c r="A5" i="105"/>
  <c r="F4" i="105"/>
  <c r="A5" i="104"/>
  <c r="F4" i="104"/>
  <c r="A5" i="103"/>
  <c r="F4" i="103"/>
  <c r="A5" i="102"/>
  <c r="F4" i="102"/>
  <c r="A5" i="101"/>
  <c r="F4" i="101"/>
  <c r="A5" i="100"/>
  <c r="F4" i="100"/>
  <c r="A5" i="99"/>
  <c r="F4" i="99"/>
  <c r="A4" i="98"/>
  <c r="F3" i="98"/>
  <c r="A4" i="97"/>
  <c r="F3" i="97"/>
  <c r="I2" i="96"/>
  <c r="A3" i="96"/>
  <c r="H2" i="95"/>
  <c r="H10" i="95"/>
  <c r="I2" i="95"/>
  <c r="A6" i="106" l="1"/>
  <c r="F5" i="106"/>
  <c r="F5" i="105"/>
  <c r="A6" i="105"/>
  <c r="A6" i="104"/>
  <c r="F5" i="104"/>
  <c r="A6" i="103"/>
  <c r="F5" i="103"/>
  <c r="A6" i="102"/>
  <c r="F5" i="102"/>
  <c r="A6" i="101"/>
  <c r="F5" i="101"/>
  <c r="A6" i="100"/>
  <c r="F5" i="100"/>
  <c r="A6" i="99"/>
  <c r="F5" i="99"/>
  <c r="A5" i="98"/>
  <c r="F4" i="98"/>
  <c r="A5" i="97"/>
  <c r="F4" i="97"/>
  <c r="A4" i="96"/>
  <c r="F3" i="96"/>
  <c r="I1" i="95"/>
  <c r="I3" i="95" s="1"/>
  <c r="A7" i="106" l="1"/>
  <c r="F6" i="106"/>
  <c r="A7" i="105"/>
  <c r="F6" i="105"/>
  <c r="A7" i="104"/>
  <c r="F6" i="104"/>
  <c r="A7" i="103"/>
  <c r="F6" i="103"/>
  <c r="A7" i="102"/>
  <c r="F6" i="102"/>
  <c r="A7" i="101"/>
  <c r="F6" i="101"/>
  <c r="A7" i="100"/>
  <c r="F6" i="100"/>
  <c r="A7" i="99"/>
  <c r="F6" i="99"/>
  <c r="A6" i="98"/>
  <c r="F5" i="98"/>
  <c r="A6" i="97"/>
  <c r="F5" i="97"/>
  <c r="A5" i="96"/>
  <c r="F4" i="96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4" i="1" s="1"/>
  <c r="AG22" i="1"/>
  <c r="AG5" i="1"/>
  <c r="E9" i="5"/>
  <c r="E8" i="5"/>
  <c r="E19" i="5"/>
  <c r="E17" i="5"/>
  <c r="E18" i="5"/>
  <c r="E14" i="5"/>
  <c r="E16" i="5"/>
  <c r="E12" i="5"/>
  <c r="E13" i="5"/>
  <c r="E11" i="5"/>
  <c r="E10" i="5"/>
  <c r="A8" i="106" l="1"/>
  <c r="F7" i="106"/>
  <c r="A8" i="105"/>
  <c r="F7" i="105"/>
  <c r="A8" i="104"/>
  <c r="F7" i="104"/>
  <c r="A8" i="103"/>
  <c r="F7" i="103"/>
  <c r="A8" i="102"/>
  <c r="F7" i="102"/>
  <c r="A8" i="101"/>
  <c r="F7" i="101"/>
  <c r="A8" i="100"/>
  <c r="F7" i="100"/>
  <c r="A8" i="99"/>
  <c r="F7" i="99"/>
  <c r="A7" i="98"/>
  <c r="F6" i="98"/>
  <c r="A7" i="97"/>
  <c r="F6" i="97"/>
  <c r="A6" i="96"/>
  <c r="F5" i="96"/>
  <c r="P4" i="1"/>
  <c r="R4" i="4"/>
  <c r="S4" i="4"/>
  <c r="T4" i="4"/>
  <c r="W4" i="4"/>
  <c r="X4" i="4"/>
  <c r="Y4" i="4"/>
  <c r="Z4" i="4"/>
  <c r="AA4" i="4"/>
  <c r="AB4" i="4"/>
  <c r="AC4" i="4"/>
  <c r="AD4" i="4"/>
  <c r="AE4" i="4"/>
  <c r="Q4" i="4"/>
  <c r="M4" i="4"/>
  <c r="F4" i="4"/>
  <c r="P4" i="4"/>
  <c r="Q4" i="5"/>
  <c r="R4" i="5"/>
  <c r="S4" i="5"/>
  <c r="V4" i="5"/>
  <c r="W4" i="5"/>
  <c r="X4" i="5"/>
  <c r="Y4" i="5"/>
  <c r="Z4" i="5"/>
  <c r="AA4" i="5"/>
  <c r="AB4" i="5"/>
  <c r="AC4" i="5"/>
  <c r="AD4" i="5"/>
  <c r="P4" i="5"/>
  <c r="O4" i="5"/>
  <c r="E4" i="5"/>
  <c r="A9" i="106" l="1"/>
  <c r="F8" i="106"/>
  <c r="A9" i="105"/>
  <c r="F8" i="105"/>
  <c r="A9" i="104"/>
  <c r="F8" i="104"/>
  <c r="A9" i="103"/>
  <c r="F8" i="103"/>
  <c r="A9" i="102"/>
  <c r="F8" i="102"/>
  <c r="A9" i="101"/>
  <c r="F8" i="101"/>
  <c r="A9" i="100"/>
  <c r="F8" i="100"/>
  <c r="A9" i="99"/>
  <c r="F8" i="99"/>
  <c r="A8" i="98"/>
  <c r="F7" i="98"/>
  <c r="A8" i="97"/>
  <c r="F7" i="97"/>
  <c r="A7" i="96"/>
  <c r="F6" i="96"/>
  <c r="A2" i="1"/>
  <c r="AE4" i="1"/>
  <c r="AD4" i="1"/>
  <c r="AC4" i="1"/>
  <c r="AB4" i="1"/>
  <c r="AA4" i="1"/>
  <c r="Z4" i="1"/>
  <c r="Y4" i="1"/>
  <c r="X4" i="1"/>
  <c r="W4" i="1"/>
  <c r="T4" i="1"/>
  <c r="S4" i="1"/>
  <c r="R4" i="1"/>
  <c r="Q4" i="1"/>
  <c r="M4" i="1"/>
  <c r="H4" i="1"/>
  <c r="F4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8" i="1"/>
  <c r="H5" i="1"/>
  <c r="F13" i="1"/>
  <c r="F9" i="1"/>
  <c r="F16" i="1"/>
  <c r="F17" i="1"/>
  <c r="F5" i="1"/>
  <c r="F18" i="1"/>
  <c r="G54" i="50"/>
  <c r="H22" i="1"/>
  <c r="H21" i="1"/>
  <c r="W51" i="50"/>
  <c r="AN53" i="50"/>
  <c r="AM4" i="50"/>
  <c r="N51" i="50"/>
  <c r="R52" i="50"/>
  <c r="AL52" i="50"/>
  <c r="AJ54" i="50"/>
  <c r="N53" i="50"/>
  <c r="AH51" i="50"/>
  <c r="Y53" i="50"/>
  <c r="AI4" i="50"/>
  <c r="Z53" i="50"/>
  <c r="AN4" i="50"/>
  <c r="V51" i="50"/>
  <c r="AH54" i="50"/>
  <c r="V52" i="50"/>
  <c r="Y4" i="50"/>
  <c r="AJ52" i="50"/>
  <c r="AF54" i="50"/>
  <c r="X52" i="50"/>
  <c r="O53" i="50"/>
  <c r="R54" i="50"/>
  <c r="W4" i="50"/>
  <c r="AB53" i="50"/>
  <c r="AC4" i="50"/>
  <c r="AM52" i="50"/>
  <c r="AI52" i="50"/>
  <c r="V53" i="50"/>
  <c r="AK53" i="50"/>
  <c r="M51" i="50"/>
  <c r="AA4" i="50"/>
  <c r="AF51" i="50"/>
  <c r="AL4" i="50"/>
  <c r="R51" i="50"/>
  <c r="AJ4" i="50"/>
  <c r="AN54" i="50"/>
  <c r="Y51" i="50"/>
  <c r="AO54" i="50"/>
  <c r="AB52" i="50"/>
  <c r="AG54" i="50"/>
  <c r="AK51" i="50"/>
  <c r="M53" i="50"/>
  <c r="S53" i="50"/>
  <c r="AK52" i="50"/>
  <c r="Z52" i="50"/>
  <c r="S51" i="50"/>
  <c r="AH4" i="50"/>
  <c r="O51" i="50"/>
  <c r="N52" i="50"/>
  <c r="AF53" i="50"/>
  <c r="AD51" i="50"/>
  <c r="AK4" i="50"/>
  <c r="AC54" i="50"/>
  <c r="Q52" i="50"/>
  <c r="AO53" i="50"/>
  <c r="Z4" i="50"/>
  <c r="AN51" i="50"/>
  <c r="Y54" i="50"/>
  <c r="AC53" i="50"/>
  <c r="W52" i="50"/>
  <c r="T54" i="50"/>
  <c r="U53" i="50"/>
  <c r="AH53" i="50"/>
  <c r="P51" i="50"/>
  <c r="U51" i="50"/>
  <c r="V54" i="50"/>
  <c r="X54" i="50"/>
  <c r="AE4" i="50"/>
  <c r="M52" i="50"/>
  <c r="S54" i="50"/>
  <c r="U52" i="50"/>
  <c r="AG52" i="50"/>
  <c r="U54" i="50"/>
  <c r="AF52" i="50"/>
  <c r="Z51" i="50"/>
  <c r="AO52" i="50"/>
  <c r="AE51" i="50"/>
  <c r="S52" i="50"/>
  <c r="AO4" i="50"/>
  <c r="Z54" i="50"/>
  <c r="AM53" i="50"/>
  <c r="AG4" i="50"/>
  <c r="AI53" i="50"/>
  <c r="AM54" i="50"/>
  <c r="AD52" i="50"/>
  <c r="O54" i="50"/>
  <c r="AL53" i="50"/>
  <c r="AB51" i="50"/>
  <c r="AC51" i="50"/>
  <c r="AE53" i="50"/>
  <c r="AK54" i="50"/>
  <c r="X4" i="50"/>
  <c r="N54" i="50"/>
  <c r="AJ53" i="50"/>
  <c r="AD4" i="50"/>
  <c r="AD53" i="50"/>
  <c r="AA51" i="50"/>
  <c r="AN52" i="50"/>
  <c r="X51" i="50"/>
  <c r="T51" i="50"/>
  <c r="AO51" i="50"/>
  <c r="R53" i="50"/>
  <c r="AI54" i="50"/>
  <c r="AB54" i="50"/>
  <c r="AA53" i="50"/>
  <c r="AG53" i="50"/>
  <c r="T53" i="50"/>
  <c r="AG51" i="50"/>
  <c r="W54" i="50"/>
  <c r="P53" i="50"/>
  <c r="AH52" i="50"/>
  <c r="AA54" i="50"/>
  <c r="O52" i="50"/>
  <c r="P54" i="50"/>
  <c r="AE52" i="50"/>
  <c r="P52" i="50"/>
  <c r="AL51" i="50"/>
  <c r="AJ51" i="50"/>
  <c r="AA52" i="50"/>
  <c r="AM51" i="50"/>
  <c r="AB4" i="50"/>
  <c r="Y52" i="50"/>
  <c r="Q53" i="50"/>
  <c r="AD54" i="50"/>
  <c r="AI51" i="50"/>
  <c r="AL54" i="50"/>
  <c r="AC52" i="50"/>
  <c r="Q54" i="50"/>
  <c r="AE54" i="50"/>
  <c r="M54" i="50"/>
  <c r="AF4" i="50"/>
  <c r="X53" i="50"/>
  <c r="T52" i="50"/>
  <c r="Q51" i="50"/>
  <c r="W53" i="50"/>
  <c r="A10" i="106" l="1"/>
  <c r="F9" i="106"/>
  <c r="A10" i="105"/>
  <c r="F9" i="105"/>
  <c r="A10" i="104"/>
  <c r="F9" i="104"/>
  <c r="A10" i="103"/>
  <c r="F9" i="103"/>
  <c r="A10" i="102"/>
  <c r="F9" i="102"/>
  <c r="A10" i="101"/>
  <c r="F9" i="101"/>
  <c r="A10" i="100"/>
  <c r="F9" i="100"/>
  <c r="A10" i="99"/>
  <c r="F9" i="99"/>
  <c r="A9" i="98"/>
  <c r="F8" i="98"/>
  <c r="A9" i="97"/>
  <c r="F8" i="97"/>
  <c r="F7" i="96"/>
  <c r="A8" i="96"/>
  <c r="C2" i="9"/>
  <c r="H2" i="9" s="1"/>
  <c r="C3" i="9"/>
  <c r="H3" i="9" s="1"/>
  <c r="C4" i="9"/>
  <c r="H4" i="9" s="1"/>
  <c r="C5" i="9"/>
  <c r="H5" i="9" s="1"/>
  <c r="C6" i="9"/>
  <c r="H6" i="9" s="1"/>
  <c r="C7" i="9"/>
  <c r="H7" i="9" s="1"/>
  <c r="C8" i="9"/>
  <c r="H8" i="9" s="1"/>
  <c r="C9" i="9"/>
  <c r="H9" i="9" s="1"/>
  <c r="C10" i="9"/>
  <c r="H10" i="9" s="1"/>
  <c r="C11" i="9"/>
  <c r="H11" i="9" s="1"/>
  <c r="C12" i="9"/>
  <c r="H12" i="9" s="1"/>
  <c r="C13" i="9"/>
  <c r="H13" i="9" s="1"/>
  <c r="C14" i="9"/>
  <c r="H14" i="9" s="1"/>
  <c r="C15" i="9"/>
  <c r="H15" i="9" s="1"/>
  <c r="C16" i="9"/>
  <c r="H16" i="9" s="1"/>
  <c r="C17" i="9"/>
  <c r="H17" i="9" s="1"/>
  <c r="C18" i="9"/>
  <c r="H18" i="9" s="1"/>
  <c r="C19" i="9"/>
  <c r="H19" i="9" s="1"/>
  <c r="C20" i="9"/>
  <c r="H20" i="9" s="1"/>
  <c r="C21" i="9"/>
  <c r="H21" i="9" s="1"/>
  <c r="C22" i="9"/>
  <c r="H22" i="9" s="1"/>
  <c r="C23" i="9"/>
  <c r="H23" i="9" s="1"/>
  <c r="C24" i="9"/>
  <c r="H24" i="9" s="1"/>
  <c r="A11" i="106" l="1"/>
  <c r="F10" i="106"/>
  <c r="A11" i="105"/>
  <c r="F10" i="105"/>
  <c r="A11" i="104"/>
  <c r="F10" i="104"/>
  <c r="A11" i="103"/>
  <c r="F10" i="103"/>
  <c r="A11" i="102"/>
  <c r="F10" i="102"/>
  <c r="A11" i="101"/>
  <c r="F10" i="101"/>
  <c r="A11" i="100"/>
  <c r="F10" i="100"/>
  <c r="A11" i="99"/>
  <c r="F10" i="99"/>
  <c r="A10" i="98"/>
  <c r="F9" i="98"/>
  <c r="A10" i="97"/>
  <c r="F9" i="97"/>
  <c r="A9" i="96"/>
  <c r="F8" i="96"/>
  <c r="H1" i="95"/>
  <c r="D1" i="95"/>
  <c r="A12" i="106" l="1"/>
  <c r="F11" i="106"/>
  <c r="A12" i="105"/>
  <c r="F11" i="105"/>
  <c r="A12" i="104"/>
  <c r="F11" i="104"/>
  <c r="A12" i="103"/>
  <c r="F11" i="103"/>
  <c r="A12" i="102"/>
  <c r="F11" i="102"/>
  <c r="F11" i="101"/>
  <c r="A12" i="101"/>
  <c r="A12" i="100"/>
  <c r="F11" i="100"/>
  <c r="A12" i="99"/>
  <c r="F11" i="99"/>
  <c r="A11" i="98"/>
  <c r="F10" i="98"/>
  <c r="A11" i="97"/>
  <c r="F10" i="97"/>
  <c r="A10" i="96"/>
  <c r="F9" i="96"/>
  <c r="H20" i="1"/>
  <c r="M20" i="1"/>
  <c r="A13" i="106" l="1"/>
  <c r="F12" i="106"/>
  <c r="A13" i="105"/>
  <c r="F12" i="105"/>
  <c r="A13" i="104"/>
  <c r="F12" i="104"/>
  <c r="A13" i="103"/>
  <c r="F12" i="103"/>
  <c r="A13" i="102"/>
  <c r="F12" i="102"/>
  <c r="A13" i="101"/>
  <c r="F12" i="101"/>
  <c r="A13" i="100"/>
  <c r="F12" i="100"/>
  <c r="A13" i="99"/>
  <c r="F12" i="99"/>
  <c r="A12" i="98"/>
  <c r="F11" i="98"/>
  <c r="A12" i="97"/>
  <c r="F11" i="97"/>
  <c r="A11" i="96"/>
  <c r="F10" i="96"/>
  <c r="F2" i="76"/>
  <c r="K2" i="76" s="1"/>
  <c r="D2" i="76"/>
  <c r="A14" i="106" l="1"/>
  <c r="F13" i="106"/>
  <c r="A14" i="105"/>
  <c r="F13" i="105"/>
  <c r="A14" i="104"/>
  <c r="F13" i="104"/>
  <c r="A14" i="103"/>
  <c r="F13" i="103"/>
  <c r="A14" i="102"/>
  <c r="F13" i="102"/>
  <c r="A14" i="101"/>
  <c r="F13" i="101"/>
  <c r="A14" i="100"/>
  <c r="F13" i="100"/>
  <c r="F13" i="99"/>
  <c r="A14" i="99"/>
  <c r="A13" i="98"/>
  <c r="F12" i="98"/>
  <c r="A13" i="97"/>
  <c r="F12" i="97"/>
  <c r="A12" i="96"/>
  <c r="F11" i="96"/>
  <c r="G2" i="76"/>
  <c r="I2" i="76" s="1"/>
  <c r="E2" i="76"/>
  <c r="B4" i="50"/>
  <c r="A15" i="106" l="1"/>
  <c r="F14" i="106"/>
  <c r="A15" i="105"/>
  <c r="F14" i="105"/>
  <c r="A15" i="104"/>
  <c r="F14" i="104"/>
  <c r="A15" i="103"/>
  <c r="F14" i="103"/>
  <c r="A15" i="102"/>
  <c r="F14" i="102"/>
  <c r="A15" i="101"/>
  <c r="F14" i="101"/>
  <c r="A15" i="100"/>
  <c r="F14" i="100"/>
  <c r="A15" i="99"/>
  <c r="F14" i="99"/>
  <c r="A14" i="98"/>
  <c r="F13" i="98"/>
  <c r="A14" i="97"/>
  <c r="F13" i="97"/>
  <c r="A13" i="96"/>
  <c r="F12" i="96"/>
  <c r="B23" i="9"/>
  <c r="B24" i="9"/>
  <c r="B21" i="9"/>
  <c r="B2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A16" i="106" l="1"/>
  <c r="F15" i="106"/>
  <c r="A16" i="105"/>
  <c r="F15" i="105"/>
  <c r="A16" i="104"/>
  <c r="F15" i="104"/>
  <c r="A16" i="103"/>
  <c r="F15" i="103"/>
  <c r="A16" i="102"/>
  <c r="F15" i="102"/>
  <c r="A16" i="101"/>
  <c r="F15" i="101"/>
  <c r="A16" i="100"/>
  <c r="F15" i="100"/>
  <c r="A16" i="99"/>
  <c r="F15" i="99"/>
  <c r="A15" i="98"/>
  <c r="F14" i="98"/>
  <c r="A15" i="97"/>
  <c r="F14" i="97"/>
  <c r="A14" i="96"/>
  <c r="F13" i="96"/>
  <c r="B3" i="9"/>
  <c r="K12" i="9"/>
  <c r="K13" i="9"/>
  <c r="K14" i="9"/>
  <c r="K15" i="9"/>
  <c r="K16" i="9"/>
  <c r="K17" i="9"/>
  <c r="K18" i="9"/>
  <c r="K19" i="9"/>
  <c r="K20" i="9"/>
  <c r="A17" i="106" l="1"/>
  <c r="F16" i="106"/>
  <c r="A17" i="105"/>
  <c r="F16" i="105"/>
  <c r="A17" i="104"/>
  <c r="F16" i="104"/>
  <c r="A17" i="103"/>
  <c r="F16" i="103"/>
  <c r="A17" i="102"/>
  <c r="F16" i="102"/>
  <c r="A17" i="101"/>
  <c r="F16" i="101"/>
  <c r="A17" i="100"/>
  <c r="F16" i="100"/>
  <c r="A17" i="99"/>
  <c r="F16" i="99"/>
  <c r="A16" i="98"/>
  <c r="F15" i="98"/>
  <c r="A16" i="97"/>
  <c r="F15" i="97"/>
  <c r="A15" i="96"/>
  <c r="F14" i="96"/>
  <c r="K3" i="9"/>
  <c r="F2" i="9"/>
  <c r="G2" i="9" s="1"/>
  <c r="K5" i="9"/>
  <c r="K6" i="9"/>
  <c r="K7" i="9"/>
  <c r="K8" i="9"/>
  <c r="K9" i="9"/>
  <c r="K10" i="9"/>
  <c r="K11" i="9"/>
  <c r="K4" i="9"/>
  <c r="K2" i="9"/>
  <c r="A2" i="9"/>
  <c r="B2" i="9"/>
  <c r="B2" i="8"/>
  <c r="A18" i="106" l="1"/>
  <c r="F17" i="106"/>
  <c r="A18" i="105"/>
  <c r="F17" i="105"/>
  <c r="A18" i="104"/>
  <c r="F17" i="104"/>
  <c r="A18" i="103"/>
  <c r="F17" i="103"/>
  <c r="A18" i="102"/>
  <c r="F17" i="102"/>
  <c r="A18" i="101"/>
  <c r="F17" i="101"/>
  <c r="A18" i="100"/>
  <c r="F17" i="100"/>
  <c r="A18" i="99"/>
  <c r="F17" i="99"/>
  <c r="A17" i="98"/>
  <c r="F16" i="98"/>
  <c r="A17" i="97"/>
  <c r="F16" i="97"/>
  <c r="A16" i="96"/>
  <c r="F15" i="96"/>
  <c r="A3" i="9"/>
  <c r="F3" i="9" s="1"/>
  <c r="I2" i="9"/>
  <c r="D12" i="4"/>
  <c r="N8" i="50"/>
  <c r="AN19" i="50"/>
  <c r="AN7" i="50"/>
  <c r="AH17" i="50"/>
  <c r="AI12" i="50"/>
  <c r="AK15" i="50"/>
  <c r="P19" i="50"/>
  <c r="L8" i="50"/>
  <c r="AN16" i="50"/>
  <c r="Z22" i="50"/>
  <c r="Q16" i="50"/>
  <c r="AF32" i="50"/>
  <c r="AA7" i="50"/>
  <c r="Q8" i="50"/>
  <c r="AD8" i="50"/>
  <c r="U10" i="50"/>
  <c r="AC11" i="50"/>
  <c r="AF11" i="50"/>
  <c r="Q6" i="50"/>
  <c r="S20" i="50"/>
  <c r="X19" i="50"/>
  <c r="Z8" i="50"/>
  <c r="S7" i="50"/>
  <c r="AC15" i="50"/>
  <c r="AD25" i="50"/>
  <c r="S6" i="50"/>
  <c r="AB18" i="50"/>
  <c r="S19" i="50"/>
  <c r="AO22" i="50"/>
  <c r="Y22" i="50"/>
  <c r="AD11" i="50"/>
  <c r="L6" i="50"/>
  <c r="AE22" i="50"/>
  <c r="AC18" i="50"/>
  <c r="AA31" i="50"/>
  <c r="AI21" i="50"/>
  <c r="AK23" i="50"/>
  <c r="P10" i="50"/>
  <c r="W32" i="50"/>
  <c r="N21" i="50"/>
  <c r="AD39" i="50"/>
  <c r="X14" i="50"/>
  <c r="AM45" i="50"/>
  <c r="O19" i="50"/>
  <c r="Y39" i="50"/>
  <c r="T7" i="50"/>
  <c r="N6" i="50"/>
  <c r="U14" i="50"/>
  <c r="AF10" i="50"/>
  <c r="R13" i="50"/>
  <c r="W15" i="50"/>
  <c r="L9" i="50"/>
  <c r="L54" i="50"/>
  <c r="AA34" i="50"/>
  <c r="Y16" i="50"/>
  <c r="AI36" i="50"/>
  <c r="AN50" i="50"/>
  <c r="Z31" i="50"/>
  <c r="Z17" i="50"/>
  <c r="Y31" i="50"/>
  <c r="AC14" i="50"/>
  <c r="U34" i="50"/>
  <c r="Q10" i="50"/>
  <c r="Z24" i="50"/>
  <c r="L11" i="50"/>
  <c r="AL9" i="50"/>
  <c r="T10" i="50"/>
  <c r="M36" i="50"/>
  <c r="AH6" i="50"/>
  <c r="AL17" i="50"/>
  <c r="U9" i="50"/>
  <c r="T16" i="50"/>
  <c r="U16" i="50"/>
  <c r="R21" i="50"/>
  <c r="U27" i="50"/>
  <c r="Y20" i="50"/>
  <c r="AI25" i="50"/>
  <c r="AJ14" i="50"/>
  <c r="AL48" i="50"/>
  <c r="S17" i="50"/>
  <c r="AB20" i="50"/>
  <c r="L36" i="50"/>
  <c r="T31" i="50"/>
  <c r="M18" i="50"/>
  <c r="AO16" i="50"/>
  <c r="V31" i="50"/>
  <c r="Q20" i="50"/>
  <c r="Z14" i="50"/>
  <c r="AL25" i="50"/>
  <c r="AK14" i="50"/>
  <c r="AN33" i="50"/>
  <c r="AO49" i="50"/>
  <c r="AC28" i="50"/>
  <c r="AA11" i="50"/>
  <c r="AF29" i="50"/>
  <c r="AE20" i="50"/>
  <c r="AB12" i="50"/>
  <c r="U8" i="50"/>
  <c r="L52" i="50"/>
  <c r="AH23" i="50"/>
  <c r="AJ31" i="50"/>
  <c r="U36" i="50"/>
  <c r="Y8" i="50"/>
  <c r="W30" i="50"/>
  <c r="AH11" i="50"/>
  <c r="AC24" i="50"/>
  <c r="AE19" i="50"/>
  <c r="Z26" i="50"/>
  <c r="AG21" i="50"/>
  <c r="X18" i="50"/>
  <c r="Y18" i="50"/>
  <c r="X6" i="50"/>
  <c r="AK22" i="50"/>
  <c r="AB8" i="50"/>
  <c r="V7" i="50"/>
  <c r="Z7" i="50"/>
  <c r="Q34" i="50"/>
  <c r="Q12" i="50"/>
  <c r="S28" i="50"/>
  <c r="V13" i="50"/>
  <c r="AA25" i="50"/>
  <c r="AO8" i="50"/>
  <c r="N9" i="50"/>
  <c r="O15" i="50"/>
  <c r="AI13" i="50"/>
  <c r="Z6" i="50"/>
  <c r="AI20" i="50"/>
  <c r="AA19" i="50"/>
  <c r="AG36" i="50"/>
  <c r="N10" i="50"/>
  <c r="AH26" i="50"/>
  <c r="AE33" i="50"/>
  <c r="AO20" i="50"/>
  <c r="AI19" i="50"/>
  <c r="P37" i="50"/>
  <c r="V10" i="50"/>
  <c r="W31" i="50"/>
  <c r="N13" i="50"/>
  <c r="R14" i="50"/>
  <c r="Q30" i="50"/>
  <c r="O25" i="50"/>
  <c r="V17" i="50"/>
  <c r="AD27" i="50"/>
  <c r="N28" i="50"/>
  <c r="AL30" i="50"/>
  <c r="AN36" i="50"/>
  <c r="V6" i="50"/>
  <c r="AM20" i="50"/>
  <c r="AD13" i="50"/>
  <c r="W25" i="50"/>
  <c r="V24" i="50"/>
  <c r="P25" i="50"/>
  <c r="R7" i="50"/>
  <c r="AE30" i="50"/>
  <c r="X25" i="50"/>
  <c r="V40" i="50"/>
  <c r="AH46" i="50"/>
  <c r="AJ5" i="50"/>
  <c r="Z9" i="50"/>
  <c r="L38" i="50"/>
  <c r="AG8" i="50"/>
  <c r="Q47" i="50"/>
  <c r="AD19" i="50"/>
  <c r="AL35" i="50"/>
  <c r="W12" i="50"/>
  <c r="AM13" i="50"/>
  <c r="AC23" i="50"/>
  <c r="AF13" i="50"/>
  <c r="AI45" i="50"/>
  <c r="AM21" i="50"/>
  <c r="AG5" i="50"/>
  <c r="X24" i="50"/>
  <c r="AB45" i="50"/>
  <c r="V15" i="50"/>
  <c r="AA10" i="50"/>
  <c r="Y12" i="50"/>
  <c r="P21" i="50"/>
  <c r="AN8" i="50"/>
  <c r="V27" i="50"/>
  <c r="AA13" i="50"/>
  <c r="AF7" i="50"/>
  <c r="T22" i="50"/>
  <c r="U12" i="50"/>
  <c r="AC30" i="50"/>
  <c r="AI9" i="50"/>
  <c r="X45" i="50"/>
  <c r="Q27" i="50"/>
  <c r="AB13" i="50"/>
  <c r="M21" i="50"/>
  <c r="AJ23" i="50"/>
  <c r="AA17" i="50"/>
  <c r="AH9" i="50"/>
  <c r="X8" i="50"/>
  <c r="AN12" i="50"/>
  <c r="AI31" i="50"/>
  <c r="L27" i="50"/>
  <c r="AB10" i="50"/>
  <c r="AF19" i="50"/>
  <c r="AF9" i="50"/>
  <c r="Y21" i="50"/>
  <c r="T43" i="50"/>
  <c r="Z23" i="50"/>
  <c r="AA48" i="50"/>
  <c r="M9" i="50"/>
  <c r="AC16" i="50"/>
  <c r="T47" i="50"/>
  <c r="R20" i="50"/>
  <c r="AF36" i="50"/>
  <c r="Q9" i="50"/>
  <c r="X37" i="50"/>
  <c r="P38" i="50"/>
  <c r="AH30" i="50"/>
  <c r="AO13" i="50"/>
  <c r="P42" i="50"/>
  <c r="AM5" i="50"/>
  <c r="AK25" i="50"/>
  <c r="AI17" i="50"/>
  <c r="W35" i="50"/>
  <c r="N48" i="50"/>
  <c r="O30" i="50"/>
  <c r="Z35" i="50"/>
  <c r="O14" i="50"/>
  <c r="Y7" i="50"/>
  <c r="AE15" i="50"/>
  <c r="W20" i="50"/>
  <c r="AE9" i="50"/>
  <c r="X35" i="50"/>
  <c r="AF6" i="50"/>
  <c r="AN24" i="50"/>
  <c r="AK32" i="50"/>
  <c r="AD26" i="50"/>
  <c r="AF14" i="50"/>
  <c r="AI8" i="50"/>
  <c r="AD28" i="50"/>
  <c r="X49" i="50"/>
  <c r="AA14" i="50"/>
  <c r="Z20" i="50"/>
  <c r="AG17" i="50"/>
  <c r="Q37" i="50"/>
  <c r="AI29" i="50"/>
  <c r="AO12" i="50"/>
  <c r="T21" i="50"/>
  <c r="X10" i="50"/>
  <c r="U29" i="50"/>
  <c r="AC36" i="50"/>
  <c r="AN17" i="50"/>
  <c r="L24" i="50"/>
  <c r="L19" i="50"/>
  <c r="W33" i="50"/>
  <c r="Y50" i="50"/>
  <c r="U20" i="50"/>
  <c r="AK46" i="50"/>
  <c r="V25" i="50"/>
  <c r="L16" i="50"/>
  <c r="AN47" i="50"/>
  <c r="R19" i="50"/>
  <c r="AI24" i="50"/>
  <c r="AF12" i="50"/>
  <c r="N14" i="50"/>
  <c r="P18" i="50"/>
  <c r="AH19" i="50"/>
  <c r="AH44" i="50"/>
  <c r="M25" i="50"/>
  <c r="O5" i="50"/>
  <c r="O17" i="50"/>
  <c r="S5" i="50"/>
  <c r="AC22" i="50"/>
  <c r="W41" i="50"/>
  <c r="W21" i="50"/>
  <c r="AB40" i="50"/>
  <c r="AL16" i="50"/>
  <c r="R28" i="50"/>
  <c r="AA15" i="50"/>
  <c r="AG19" i="50"/>
  <c r="Z15" i="50"/>
  <c r="AE17" i="50"/>
  <c r="AM40" i="50"/>
  <c r="AM19" i="50"/>
  <c r="X5" i="50"/>
  <c r="S11" i="50"/>
  <c r="AE35" i="50"/>
  <c r="V16" i="50"/>
  <c r="P50" i="50"/>
  <c r="AJ15" i="50"/>
  <c r="T23" i="50"/>
  <c r="S14" i="50"/>
  <c r="R15" i="50"/>
  <c r="AO10" i="50"/>
  <c r="P29" i="50"/>
  <c r="R23" i="50"/>
  <c r="O11" i="50"/>
  <c r="AE6" i="50"/>
  <c r="Q13" i="50"/>
  <c r="P11" i="50"/>
  <c r="AM9" i="50"/>
  <c r="T26" i="50"/>
  <c r="M19" i="50"/>
  <c r="M15" i="50"/>
  <c r="AB15" i="50"/>
  <c r="AB25" i="50"/>
  <c r="O20" i="50"/>
  <c r="AN18" i="50"/>
  <c r="AG14" i="50"/>
  <c r="L51" i="50"/>
  <c r="AG13" i="50"/>
  <c r="AH15" i="50"/>
  <c r="AJ26" i="50"/>
  <c r="AG10" i="50"/>
  <c r="M13" i="50"/>
  <c r="R6" i="50"/>
  <c r="AM22" i="50"/>
  <c r="AG18" i="50"/>
  <c r="AE47" i="50"/>
  <c r="AB19" i="50"/>
  <c r="AF20" i="50"/>
  <c r="AC32" i="50"/>
  <c r="M22" i="50"/>
  <c r="AF22" i="50"/>
  <c r="W13" i="50"/>
  <c r="O49" i="50"/>
  <c r="V21" i="50"/>
  <c r="Y27" i="50"/>
  <c r="Y14" i="50"/>
  <c r="N39" i="50"/>
  <c r="N12" i="50"/>
  <c r="P44" i="50"/>
  <c r="M8" i="50"/>
  <c r="AL5" i="50"/>
  <c r="AL8" i="50"/>
  <c r="M16" i="50"/>
  <c r="AG34" i="50"/>
  <c r="M10" i="50"/>
  <c r="AD15" i="50"/>
  <c r="AM18" i="50"/>
  <c r="AD29" i="50"/>
  <c r="S21" i="50"/>
  <c r="W7" i="50"/>
  <c r="Y17" i="50"/>
  <c r="U6" i="50"/>
  <c r="X20" i="50"/>
  <c r="V26" i="50"/>
  <c r="AM26" i="50"/>
  <c r="T18" i="50"/>
  <c r="AK13" i="50"/>
  <c r="O12" i="50"/>
  <c r="Q22" i="50"/>
  <c r="N15" i="50"/>
  <c r="W22" i="50"/>
  <c r="W16" i="50"/>
  <c r="AD18" i="50"/>
  <c r="O13" i="50"/>
  <c r="Z29" i="50"/>
  <c r="AD22" i="50"/>
  <c r="AA23" i="50"/>
  <c r="Q19" i="50"/>
  <c r="AH16" i="50"/>
  <c r="AL14" i="50"/>
  <c r="AB14" i="50"/>
  <c r="AH18" i="50"/>
  <c r="W8" i="50"/>
  <c r="AN15" i="50"/>
  <c r="Y10" i="50"/>
  <c r="AM30" i="50"/>
  <c r="Z46" i="50"/>
  <c r="AH13" i="50"/>
  <c r="AM12" i="50"/>
  <c r="AA8" i="50"/>
  <c r="O16" i="50"/>
  <c r="O34" i="50"/>
  <c r="AI10" i="50"/>
  <c r="AG33" i="50"/>
  <c r="AN6" i="50"/>
  <c r="AL34" i="50"/>
  <c r="AE11" i="50"/>
  <c r="R25" i="50"/>
  <c r="AN14" i="50"/>
  <c r="AG25" i="50"/>
  <c r="Z10" i="50"/>
  <c r="T9" i="50"/>
  <c r="Y23" i="50"/>
  <c r="AF16" i="50"/>
  <c r="X22" i="50"/>
  <c r="AL19" i="50"/>
  <c r="AO31" i="50"/>
  <c r="Z16" i="50"/>
  <c r="AH25" i="50"/>
  <c r="AD17" i="50"/>
  <c r="Y33" i="50"/>
  <c r="U22" i="50"/>
  <c r="P34" i="50"/>
  <c r="O36" i="50"/>
  <c r="AD35" i="50"/>
  <c r="AM25" i="50"/>
  <c r="AE23" i="50"/>
  <c r="AM8" i="50"/>
  <c r="V14" i="50"/>
  <c r="AL11" i="50"/>
  <c r="AE7" i="50"/>
  <c r="AJ17" i="50"/>
  <c r="S9" i="50"/>
  <c r="AL10" i="50"/>
  <c r="AL15" i="50"/>
  <c r="AG6" i="50"/>
  <c r="M6" i="50"/>
  <c r="AJ34" i="50"/>
  <c r="P20" i="50"/>
  <c r="AE29" i="50"/>
  <c r="W19" i="50"/>
  <c r="AF18" i="50"/>
  <c r="AD24" i="50"/>
  <c r="AF40" i="50"/>
  <c r="AL32" i="50"/>
  <c r="T6" i="50"/>
  <c r="N31" i="50"/>
  <c r="AJ20" i="50"/>
  <c r="AD21" i="50"/>
  <c r="P12" i="50"/>
  <c r="AL7" i="50"/>
  <c r="AG16" i="50"/>
  <c r="Y26" i="50"/>
  <c r="AI35" i="50"/>
  <c r="M20" i="50"/>
  <c r="T13" i="50"/>
  <c r="L34" i="50"/>
  <c r="S49" i="50"/>
  <c r="R18" i="50"/>
  <c r="AO48" i="50"/>
  <c r="Z19" i="50"/>
  <c r="Q45" i="50"/>
  <c r="N17" i="50"/>
  <c r="Q38" i="50"/>
  <c r="M29" i="50"/>
  <c r="V34" i="50"/>
  <c r="R11" i="50"/>
  <c r="AJ21" i="50"/>
  <c r="AE27" i="50"/>
  <c r="AE12" i="50"/>
  <c r="M14" i="50"/>
  <c r="AC10" i="50"/>
  <c r="L53" i="50"/>
  <c r="O22" i="50"/>
  <c r="M11" i="50"/>
  <c r="AI7" i="50"/>
  <c r="AM16" i="50"/>
  <c r="AO18" i="50"/>
  <c r="P30" i="50"/>
  <c r="AL23" i="50"/>
  <c r="AB11" i="50"/>
  <c r="AA9" i="50"/>
  <c r="N37" i="50"/>
  <c r="X39" i="50"/>
  <c r="U44" i="50"/>
  <c r="X33" i="50"/>
  <c r="T19" i="50"/>
  <c r="AK8" i="50"/>
  <c r="AA39" i="50"/>
  <c r="O8" i="50"/>
  <c r="AC34" i="50"/>
  <c r="M12" i="50"/>
  <c r="Z28" i="50"/>
  <c r="AE14" i="50"/>
  <c r="Q21" i="50"/>
  <c r="U17" i="50"/>
  <c r="V20" i="50"/>
  <c r="AN31" i="50"/>
  <c r="AH20" i="50"/>
  <c r="T35" i="50"/>
  <c r="R12" i="50"/>
  <c r="AH27" i="50"/>
  <c r="L10" i="50"/>
  <c r="AB31" i="50"/>
  <c r="AL20" i="50"/>
  <c r="S36" i="50"/>
  <c r="AH14" i="50"/>
  <c r="AO28" i="50"/>
  <c r="Z32" i="50"/>
  <c r="AL24" i="50"/>
  <c r="AF44" i="50"/>
  <c r="V41" i="50"/>
  <c r="X27" i="50"/>
  <c r="AC50" i="50"/>
  <c r="V12" i="50"/>
  <c r="AG49" i="50"/>
  <c r="M32" i="50"/>
  <c r="AB50" i="50"/>
  <c r="Z33" i="50"/>
  <c r="AL42" i="50"/>
  <c r="T14" i="50"/>
  <c r="Q41" i="50"/>
  <c r="AF41" i="50"/>
  <c r="AB23" i="50"/>
  <c r="AB24" i="50"/>
  <c r="AD23" i="50"/>
  <c r="V9" i="50"/>
  <c r="AN28" i="50"/>
  <c r="N42" i="50"/>
  <c r="N44" i="50"/>
  <c r="AJ6" i="50"/>
  <c r="AC12" i="50"/>
  <c r="AL27" i="50"/>
  <c r="AD32" i="50"/>
  <c r="P7" i="50"/>
  <c r="AL28" i="50"/>
  <c r="AL33" i="50"/>
  <c r="R36" i="50"/>
  <c r="AB43" i="50"/>
  <c r="AN45" i="50"/>
  <c r="L17" i="50"/>
  <c r="AC39" i="50"/>
  <c r="S10" i="50"/>
  <c r="O23" i="50"/>
  <c r="X7" i="50"/>
  <c r="AO40" i="50"/>
  <c r="AJ36" i="50"/>
  <c r="Z44" i="50"/>
  <c r="L21" i="50"/>
  <c r="S32" i="50"/>
  <c r="O32" i="50"/>
  <c r="AA26" i="50"/>
  <c r="R16" i="50"/>
  <c r="X47" i="50"/>
  <c r="AN34" i="50"/>
  <c r="U13" i="50"/>
  <c r="W43" i="50"/>
  <c r="AO47" i="50"/>
  <c r="X17" i="50"/>
  <c r="AI32" i="50"/>
  <c r="V11" i="50"/>
  <c r="AI5" i="50"/>
  <c r="AL12" i="50"/>
  <c r="X23" i="50"/>
  <c r="V45" i="50"/>
  <c r="W28" i="50"/>
  <c r="W34" i="50"/>
  <c r="AL26" i="50"/>
  <c r="W6" i="50"/>
  <c r="L40" i="50"/>
  <c r="AC7" i="50"/>
  <c r="W18" i="50"/>
  <c r="AD12" i="50"/>
  <c r="O21" i="50"/>
  <c r="P36" i="50"/>
  <c r="V8" i="50"/>
  <c r="S13" i="50"/>
  <c r="AB16" i="50"/>
  <c r="N7" i="50"/>
  <c r="AF24" i="50"/>
  <c r="AF49" i="50"/>
  <c r="U47" i="50"/>
  <c r="V30" i="50"/>
  <c r="Q14" i="50"/>
  <c r="N34" i="50"/>
  <c r="AF45" i="50"/>
  <c r="AL43" i="50"/>
  <c r="Z43" i="50"/>
  <c r="AM41" i="50"/>
  <c r="AJ18" i="50"/>
  <c r="O41" i="50"/>
  <c r="AK5" i="50"/>
  <c r="AI28" i="50"/>
  <c r="T25" i="50"/>
  <c r="N33" i="50"/>
  <c r="AK29" i="50"/>
  <c r="AM36" i="50"/>
  <c r="T17" i="50"/>
  <c r="X46" i="50"/>
  <c r="X41" i="50"/>
  <c r="AI14" i="50"/>
  <c r="AB6" i="50"/>
  <c r="P45" i="50"/>
  <c r="X9" i="50"/>
  <c r="AG7" i="50"/>
  <c r="Y49" i="50"/>
  <c r="AE36" i="50"/>
  <c r="AG28" i="50"/>
  <c r="AD20" i="50"/>
  <c r="R26" i="50"/>
  <c r="AG12" i="50"/>
  <c r="AF42" i="50"/>
  <c r="AE13" i="50"/>
  <c r="AO50" i="50"/>
  <c r="AK16" i="50"/>
  <c r="O40" i="50"/>
  <c r="AH29" i="50"/>
  <c r="V43" i="50"/>
  <c r="Z45" i="50"/>
  <c r="AC38" i="50"/>
  <c r="R30" i="50"/>
  <c r="R10" i="50"/>
  <c r="N16" i="50"/>
  <c r="AG11" i="50"/>
  <c r="AJ19" i="50"/>
  <c r="R42" i="50"/>
  <c r="AM37" i="50"/>
  <c r="P6" i="50"/>
  <c r="T27" i="50"/>
  <c r="AK20" i="50"/>
  <c r="R17" i="50"/>
  <c r="O27" i="50"/>
  <c r="U23" i="50"/>
  <c r="N41" i="50"/>
  <c r="T12" i="50"/>
  <c r="AM11" i="50"/>
  <c r="AG22" i="50"/>
  <c r="S16" i="50"/>
  <c r="T30" i="50"/>
  <c r="P15" i="50"/>
  <c r="AM24" i="50"/>
  <c r="AE8" i="50"/>
  <c r="U31" i="50"/>
  <c r="Q49" i="50"/>
  <c r="AG27" i="50"/>
  <c r="Z18" i="50"/>
  <c r="AK31" i="50"/>
  <c r="U28" i="50"/>
  <c r="AI49" i="50"/>
  <c r="V36" i="50"/>
  <c r="AI11" i="50"/>
  <c r="AE31" i="50"/>
  <c r="X32" i="50"/>
  <c r="AK38" i="50"/>
  <c r="P26" i="50"/>
  <c r="AA6" i="50"/>
  <c r="AD14" i="50"/>
  <c r="O37" i="50"/>
  <c r="L32" i="50"/>
  <c r="AJ42" i="50"/>
  <c r="W23" i="50"/>
  <c r="AO5" i="50"/>
  <c r="AK27" i="50"/>
  <c r="AM47" i="50"/>
  <c r="U38" i="50"/>
  <c r="AO46" i="50"/>
  <c r="AH49" i="50"/>
  <c r="Z13" i="50"/>
  <c r="P48" i="50"/>
  <c r="U43" i="50"/>
  <c r="X29" i="50"/>
  <c r="Q29" i="50"/>
  <c r="Y13" i="50"/>
  <c r="T37" i="50"/>
  <c r="AD44" i="50"/>
  <c r="L45" i="50"/>
  <c r="AM14" i="50"/>
  <c r="AG38" i="50"/>
  <c r="AH7" i="50"/>
  <c r="L26" i="50"/>
  <c r="AF17" i="50"/>
  <c r="Q24" i="50"/>
  <c r="AB17" i="50"/>
  <c r="R22" i="50"/>
  <c r="AE34" i="50"/>
  <c r="M31" i="50"/>
  <c r="AA27" i="50"/>
  <c r="AF27" i="50"/>
  <c r="AO45" i="50"/>
  <c r="AC19" i="50"/>
  <c r="AN40" i="50"/>
  <c r="S46" i="50"/>
  <c r="P28" i="50"/>
  <c r="W38" i="50"/>
  <c r="V48" i="50"/>
  <c r="L42" i="50"/>
  <c r="Q11" i="50"/>
  <c r="Z21" i="50"/>
  <c r="AL22" i="50"/>
  <c r="AM42" i="50"/>
  <c r="AN22" i="50"/>
  <c r="AC8" i="50"/>
  <c r="AK12" i="50"/>
  <c r="AE21" i="50"/>
  <c r="AG20" i="50"/>
  <c r="V32" i="50"/>
  <c r="AK6" i="50"/>
  <c r="AN25" i="50"/>
  <c r="AM7" i="50"/>
  <c r="P8" i="50"/>
  <c r="AD38" i="50"/>
  <c r="AL21" i="50"/>
  <c r="T38" i="50"/>
  <c r="AA38" i="50"/>
  <c r="X36" i="50"/>
  <c r="AJ35" i="50"/>
  <c r="AI46" i="50"/>
  <c r="AO32" i="50"/>
  <c r="Q15" i="50"/>
  <c r="T36" i="50"/>
  <c r="P41" i="50"/>
  <c r="AM33" i="50"/>
  <c r="AB42" i="50"/>
  <c r="M48" i="50"/>
  <c r="S34" i="50"/>
  <c r="AC41" i="50"/>
  <c r="S12" i="50"/>
  <c r="AO14" i="50"/>
  <c r="W26" i="50"/>
  <c r="AC25" i="50"/>
  <c r="N11" i="50"/>
  <c r="AL29" i="50"/>
  <c r="AJ40" i="50"/>
  <c r="U30" i="50"/>
  <c r="M5" i="50"/>
  <c r="AH31" i="50"/>
  <c r="AO11" i="50"/>
  <c r="AM29" i="50"/>
  <c r="AG32" i="50"/>
  <c r="Y30" i="50"/>
  <c r="M43" i="50"/>
  <c r="N40" i="50"/>
  <c r="AD50" i="50"/>
  <c r="M50" i="50"/>
  <c r="AI26" i="50"/>
  <c r="AN9" i="50"/>
  <c r="AC40" i="50"/>
  <c r="AB41" i="50"/>
  <c r="AD16" i="50"/>
  <c r="Z41" i="50"/>
  <c r="AC20" i="50"/>
  <c r="AD41" i="50"/>
  <c r="M17" i="50"/>
  <c r="AN35" i="50"/>
  <c r="U11" i="50"/>
  <c r="AC5" i="50"/>
  <c r="AI18" i="50"/>
  <c r="AH39" i="50"/>
  <c r="W14" i="50"/>
  <c r="L30" i="50"/>
  <c r="R24" i="50"/>
  <c r="AM49" i="50"/>
  <c r="L13" i="50"/>
  <c r="R9" i="50"/>
  <c r="R40" i="50"/>
  <c r="AD9" i="50"/>
  <c r="AD48" i="50"/>
  <c r="AK10" i="50"/>
  <c r="Q40" i="50"/>
  <c r="AI15" i="50"/>
  <c r="R38" i="50"/>
  <c r="Q5" i="50"/>
  <c r="U41" i="50"/>
  <c r="AO44" i="50"/>
  <c r="AF15" i="50"/>
  <c r="V49" i="50"/>
  <c r="AG26" i="50"/>
  <c r="AA36" i="50"/>
  <c r="O44" i="50"/>
  <c r="T44" i="50"/>
  <c r="O45" i="50"/>
  <c r="AM38" i="50"/>
  <c r="P35" i="50"/>
  <c r="Q39" i="50"/>
  <c r="R31" i="50"/>
  <c r="AI16" i="50"/>
  <c r="AH8" i="50"/>
  <c r="AA18" i="50"/>
  <c r="M34" i="50"/>
  <c r="Q25" i="50"/>
  <c r="AO36" i="50"/>
  <c r="AF30" i="50"/>
  <c r="T42" i="50"/>
  <c r="AK11" i="50"/>
  <c r="N29" i="50"/>
  <c r="AN13" i="50"/>
  <c r="X30" i="50"/>
  <c r="AO9" i="50"/>
  <c r="AE28" i="50"/>
  <c r="R39" i="50"/>
  <c r="AE18" i="50"/>
  <c r="P33" i="50"/>
  <c r="M27" i="50"/>
  <c r="AF33" i="50"/>
  <c r="AB47" i="50"/>
  <c r="N30" i="50"/>
  <c r="Y38" i="50"/>
  <c r="L12" i="50"/>
  <c r="O9" i="50"/>
  <c r="W11" i="50"/>
  <c r="L18" i="50"/>
  <c r="AJ7" i="50"/>
  <c r="AJ13" i="50"/>
  <c r="AL6" i="50"/>
  <c r="AA16" i="50"/>
  <c r="AI41" i="50"/>
  <c r="AJ32" i="50"/>
  <c r="AD10" i="50"/>
  <c r="AB5" i="50"/>
  <c r="X26" i="50"/>
  <c r="P49" i="50"/>
  <c r="AC6" i="50"/>
  <c r="AF48" i="50"/>
  <c r="AA21" i="50"/>
  <c r="AA28" i="50"/>
  <c r="M33" i="50"/>
  <c r="Y32" i="50"/>
  <c r="AJ47" i="50"/>
  <c r="Y34" i="50"/>
  <c r="AJ10" i="50"/>
  <c r="AD40" i="50"/>
  <c r="X31" i="50"/>
  <c r="N25" i="50"/>
  <c r="AA24" i="50"/>
  <c r="AO24" i="50"/>
  <c r="U35" i="50"/>
  <c r="AB9" i="50"/>
  <c r="T28" i="50"/>
  <c r="AH12" i="50"/>
  <c r="AA30" i="50"/>
  <c r="L39" i="50"/>
  <c r="AO23" i="50"/>
  <c r="AN46" i="50"/>
  <c r="AO39" i="50"/>
  <c r="AA46" i="50"/>
  <c r="AK49" i="50"/>
  <c r="AN49" i="50"/>
  <c r="AH35" i="50"/>
  <c r="AH37" i="50"/>
  <c r="Y48" i="50"/>
  <c r="AF8" i="50"/>
  <c r="Y35" i="50"/>
  <c r="U25" i="50"/>
  <c r="AA12" i="50"/>
  <c r="X12" i="50"/>
  <c r="AM6" i="50"/>
  <c r="AN30" i="50"/>
  <c r="AG35" i="50"/>
  <c r="X38" i="50"/>
  <c r="W49" i="50"/>
  <c r="AG24" i="50"/>
  <c r="AO26" i="50"/>
  <c r="AJ41" i="50"/>
  <c r="AJ12" i="50"/>
  <c r="U50" i="50"/>
  <c r="AM28" i="50"/>
  <c r="U7" i="50"/>
  <c r="Z40" i="50"/>
  <c r="AK18" i="50"/>
  <c r="U19" i="50"/>
  <c r="Q32" i="50"/>
  <c r="AE25" i="50"/>
  <c r="R29" i="50"/>
  <c r="AF39" i="50"/>
  <c r="AD42" i="50"/>
  <c r="X40" i="50"/>
  <c r="AC17" i="50"/>
  <c r="AK47" i="50"/>
  <c r="AB44" i="50"/>
  <c r="AB38" i="50"/>
  <c r="AC13" i="50"/>
  <c r="AA49" i="50"/>
  <c r="AA20" i="50"/>
  <c r="AK42" i="50"/>
  <c r="M45" i="50"/>
  <c r="N45" i="50"/>
  <c r="Q17" i="50"/>
  <c r="P9" i="50"/>
  <c r="AN26" i="50"/>
  <c r="O29" i="50"/>
  <c r="AN20" i="50"/>
  <c r="AA22" i="50"/>
  <c r="AK17" i="50"/>
  <c r="S33" i="50"/>
  <c r="AG47" i="50"/>
  <c r="AJ33" i="50"/>
  <c r="AL31" i="50"/>
  <c r="O35" i="50"/>
  <c r="S38" i="50"/>
  <c r="P23" i="50"/>
  <c r="P31" i="50"/>
  <c r="N36" i="50"/>
  <c r="N35" i="50"/>
  <c r="Y43" i="50"/>
  <c r="AC31" i="50"/>
  <c r="AJ9" i="50"/>
  <c r="Z37" i="50"/>
  <c r="Q31" i="50"/>
  <c r="AC33" i="50"/>
  <c r="AB39" i="50"/>
  <c r="N43" i="50"/>
  <c r="L7" i="50"/>
  <c r="T50" i="50"/>
  <c r="AN37" i="50"/>
  <c r="AG23" i="50"/>
  <c r="AB28" i="50"/>
  <c r="O47" i="50"/>
  <c r="O10" i="50"/>
  <c r="AI39" i="50"/>
  <c r="AN44" i="50"/>
  <c r="AH38" i="50"/>
  <c r="AL49" i="50"/>
  <c r="AM10" i="50"/>
  <c r="AK7" i="50"/>
  <c r="Z25" i="50"/>
  <c r="Y36" i="50"/>
  <c r="W5" i="50"/>
  <c r="AI37" i="50"/>
  <c r="AH33" i="50"/>
  <c r="U21" i="50"/>
  <c r="AM46" i="50"/>
  <c r="R43" i="50"/>
  <c r="M23" i="50"/>
  <c r="U24" i="50"/>
  <c r="AC35" i="50"/>
  <c r="V19" i="50"/>
  <c r="AJ50" i="50"/>
  <c r="P14" i="50"/>
  <c r="Y40" i="50"/>
  <c r="L47" i="50"/>
  <c r="AK28" i="50"/>
  <c r="AI34" i="50"/>
  <c r="AH5" i="50"/>
  <c r="AH32" i="50"/>
  <c r="Q23" i="50"/>
  <c r="V44" i="50"/>
  <c r="V23" i="50"/>
  <c r="AH24" i="50"/>
  <c r="AA29" i="50"/>
  <c r="Y37" i="50"/>
  <c r="Z11" i="50"/>
  <c r="AH41" i="50"/>
  <c r="AE45" i="50"/>
  <c r="Z27" i="50"/>
  <c r="Y11" i="50"/>
  <c r="P13" i="50"/>
  <c r="AA33" i="50"/>
  <c r="Z38" i="50"/>
  <c r="AE40" i="50"/>
  <c r="AC46" i="50"/>
  <c r="AE37" i="50"/>
  <c r="L49" i="50"/>
  <c r="AC27" i="50"/>
  <c r="AJ30" i="50"/>
  <c r="AF5" i="50"/>
  <c r="AH42" i="50"/>
  <c r="AJ11" i="50"/>
  <c r="AD49" i="50"/>
  <c r="Y24" i="50"/>
  <c r="AM35" i="50"/>
  <c r="U49" i="50"/>
  <c r="Q28" i="50"/>
  <c r="AO15" i="50"/>
  <c r="AG30" i="50"/>
  <c r="T39" i="50"/>
  <c r="AL47" i="50"/>
  <c r="AK43" i="50"/>
  <c r="AI22" i="50"/>
  <c r="AE39" i="50"/>
  <c r="AA45" i="50"/>
  <c r="R34" i="50"/>
  <c r="P5" i="50"/>
  <c r="M42" i="50"/>
  <c r="AC37" i="50"/>
  <c r="AF46" i="50"/>
  <c r="O42" i="50"/>
  <c r="AK40" i="50"/>
  <c r="AK34" i="50"/>
  <c r="L15" i="50"/>
  <c r="AC42" i="50"/>
  <c r="Q44" i="50"/>
  <c r="AO29" i="50"/>
  <c r="V39" i="50"/>
  <c r="AG45" i="50"/>
  <c r="AA43" i="50"/>
  <c r="Z48" i="50"/>
  <c r="AM15" i="50"/>
  <c r="Y19" i="50"/>
  <c r="X34" i="50"/>
  <c r="AJ38" i="50"/>
  <c r="S50" i="50"/>
  <c r="M7" i="50"/>
  <c r="Q18" i="50"/>
  <c r="AO33" i="50"/>
  <c r="V29" i="50"/>
  <c r="AM39" i="50"/>
  <c r="AO38" i="50"/>
  <c r="S48" i="50"/>
  <c r="AG41" i="50"/>
  <c r="L35" i="50"/>
  <c r="AO6" i="50"/>
  <c r="V50" i="50"/>
  <c r="AH34" i="50"/>
  <c r="O24" i="50"/>
  <c r="W36" i="50"/>
  <c r="L33" i="50"/>
  <c r="X13" i="50"/>
  <c r="AL37" i="50"/>
  <c r="AE42" i="50"/>
  <c r="AM17" i="50"/>
  <c r="AB33" i="50"/>
  <c r="N46" i="50"/>
  <c r="Z12" i="50"/>
  <c r="V46" i="50"/>
  <c r="P46" i="50"/>
  <c r="AA44" i="50"/>
  <c r="W9" i="50"/>
  <c r="Q7" i="50"/>
  <c r="L25" i="50"/>
  <c r="Q48" i="50"/>
  <c r="AO43" i="50"/>
  <c r="AJ29" i="50"/>
  <c r="AN27" i="50"/>
  <c r="AJ8" i="50"/>
  <c r="U26" i="50"/>
  <c r="AJ37" i="50"/>
  <c r="AM44" i="50"/>
  <c r="M38" i="50"/>
  <c r="V33" i="50"/>
  <c r="AA37" i="50"/>
  <c r="N23" i="50"/>
  <c r="AM48" i="50"/>
  <c r="S44" i="50"/>
  <c r="T20" i="50"/>
  <c r="AO19" i="50"/>
  <c r="W45" i="50"/>
  <c r="AJ24" i="50"/>
  <c r="O39" i="50"/>
  <c r="AK24" i="50"/>
  <c r="AB46" i="50"/>
  <c r="AG48" i="50"/>
  <c r="S22" i="50"/>
  <c r="M40" i="50"/>
  <c r="R45" i="50"/>
  <c r="AA50" i="50"/>
  <c r="X48" i="50"/>
  <c r="AK21" i="50"/>
  <c r="Q36" i="50"/>
  <c r="L20" i="50"/>
  <c r="AF43" i="50"/>
  <c r="U33" i="50"/>
  <c r="S18" i="50"/>
  <c r="AJ45" i="50"/>
  <c r="O6" i="50"/>
  <c r="Q26" i="50"/>
  <c r="W39" i="50"/>
  <c r="AD30" i="50"/>
  <c r="X11" i="50"/>
  <c r="AI48" i="50"/>
  <c r="X44" i="50"/>
  <c r="S29" i="50"/>
  <c r="AH50" i="50"/>
  <c r="AC9" i="50"/>
  <c r="O18" i="50"/>
  <c r="W17" i="50"/>
  <c r="AH21" i="50"/>
  <c r="AA5" i="50"/>
  <c r="AO41" i="50"/>
  <c r="L50" i="50"/>
  <c r="AF21" i="50"/>
  <c r="AJ27" i="50"/>
  <c r="AM50" i="50"/>
  <c r="AN39" i="50"/>
  <c r="M44" i="50"/>
  <c r="O38" i="50"/>
  <c r="S35" i="50"/>
  <c r="X16" i="50"/>
  <c r="U42" i="50"/>
  <c r="Q35" i="50"/>
  <c r="R47" i="50"/>
  <c r="AB49" i="50"/>
  <c r="AJ44" i="50"/>
  <c r="R50" i="50"/>
  <c r="S15" i="50"/>
  <c r="Q43" i="50"/>
  <c r="AN38" i="50"/>
  <c r="AM32" i="50"/>
  <c r="N18" i="50"/>
  <c r="M35" i="50"/>
  <c r="P24" i="50"/>
  <c r="AF34" i="50"/>
  <c r="AI6" i="50"/>
  <c r="AJ48" i="50"/>
  <c r="AL45" i="50"/>
  <c r="AB22" i="50"/>
  <c r="P32" i="50"/>
  <c r="O48" i="50"/>
  <c r="AG43" i="50"/>
  <c r="T49" i="50"/>
  <c r="AD31" i="50"/>
  <c r="AD37" i="50"/>
  <c r="AO17" i="50"/>
  <c r="L28" i="50"/>
  <c r="AF38" i="50"/>
  <c r="N22" i="50"/>
  <c r="AM27" i="50"/>
  <c r="L43" i="50"/>
  <c r="O46" i="50"/>
  <c r="AJ22" i="50"/>
  <c r="R5" i="50"/>
  <c r="W48" i="50"/>
  <c r="X42" i="50"/>
  <c r="M24" i="50"/>
  <c r="R33" i="50"/>
  <c r="Z39" i="50"/>
  <c r="U18" i="50"/>
  <c r="AD6" i="50"/>
  <c r="L5" i="50"/>
  <c r="AE26" i="50"/>
  <c r="L31" i="50"/>
  <c r="AF26" i="50"/>
  <c r="U40" i="50"/>
  <c r="L14" i="50"/>
  <c r="AF31" i="50"/>
  <c r="R8" i="50"/>
  <c r="L23" i="50"/>
  <c r="S41" i="50"/>
  <c r="AC29" i="50"/>
  <c r="N32" i="50"/>
  <c r="N26" i="50"/>
  <c r="M26" i="50"/>
  <c r="S26" i="50"/>
  <c r="AN32" i="50"/>
  <c r="Y44" i="50"/>
  <c r="AI43" i="50"/>
  <c r="AE43" i="50"/>
  <c r="AD36" i="50"/>
  <c r="T40" i="50"/>
  <c r="AK9" i="50"/>
  <c r="R27" i="50"/>
  <c r="AN23" i="50"/>
  <c r="AG9" i="50"/>
  <c r="AO42" i="50"/>
  <c r="AO25" i="50"/>
  <c r="U39" i="50"/>
  <c r="AD5" i="50"/>
  <c r="AB37" i="50"/>
  <c r="Z36" i="50"/>
  <c r="AI42" i="50"/>
  <c r="AN10" i="50"/>
  <c r="V38" i="50"/>
  <c r="AI27" i="50"/>
  <c r="Z30" i="50"/>
  <c r="Z50" i="50"/>
  <c r="AB36" i="50"/>
  <c r="AH45" i="50"/>
  <c r="AA40" i="50"/>
  <c r="M41" i="50"/>
  <c r="AM31" i="50"/>
  <c r="M30" i="50"/>
  <c r="AG50" i="50"/>
  <c r="U32" i="50"/>
  <c r="AG15" i="50"/>
  <c r="AN42" i="50"/>
  <c r="N20" i="50"/>
  <c r="R49" i="50"/>
  <c r="AD7" i="50"/>
  <c r="S24" i="50"/>
  <c r="Y9" i="50"/>
  <c r="AF35" i="50"/>
  <c r="AE10" i="50"/>
  <c r="AN41" i="50"/>
  <c r="W27" i="50"/>
  <c r="S40" i="50"/>
  <c r="AO34" i="50"/>
  <c r="Y47" i="50"/>
  <c r="AN11" i="50"/>
  <c r="AI33" i="50"/>
  <c r="M39" i="50"/>
  <c r="AL39" i="50"/>
  <c r="AN21" i="50"/>
  <c r="X28" i="50"/>
  <c r="S25" i="50"/>
  <c r="AO7" i="50"/>
  <c r="AK26" i="50"/>
  <c r="AF25" i="50"/>
  <c r="AJ16" i="50"/>
  <c r="P47" i="50"/>
  <c r="AN5" i="50"/>
  <c r="L44" i="50"/>
  <c r="AI30" i="50"/>
  <c r="AD43" i="50"/>
  <c r="P43" i="50"/>
  <c r="AB29" i="50"/>
  <c r="AL13" i="50"/>
  <c r="AI50" i="50"/>
  <c r="M37" i="50"/>
  <c r="AC45" i="50"/>
  <c r="Q46" i="50"/>
  <c r="N47" i="50"/>
  <c r="Q33" i="50"/>
  <c r="V5" i="50"/>
  <c r="X15" i="50"/>
  <c r="AN29" i="50"/>
  <c r="AF28" i="50"/>
  <c r="AD33" i="50"/>
  <c r="AL44" i="50"/>
  <c r="T8" i="50"/>
  <c r="AB7" i="50"/>
  <c r="X50" i="50"/>
  <c r="N27" i="50"/>
  <c r="AG44" i="50"/>
  <c r="R44" i="50"/>
  <c r="U45" i="50"/>
  <c r="Y29" i="50"/>
  <c r="N5" i="50"/>
  <c r="AC48" i="50"/>
  <c r="V37" i="50"/>
  <c r="V22" i="50"/>
  <c r="L37" i="50"/>
  <c r="Y15" i="50"/>
  <c r="AK30" i="50"/>
  <c r="AJ25" i="50"/>
  <c r="O7" i="50"/>
  <c r="AB26" i="50"/>
  <c r="S45" i="50"/>
  <c r="AL50" i="50"/>
  <c r="AI40" i="50"/>
  <c r="T24" i="50"/>
  <c r="AO21" i="50"/>
  <c r="R32" i="50"/>
  <c r="W42" i="50"/>
  <c r="L29" i="50"/>
  <c r="AA42" i="50"/>
  <c r="AC49" i="50"/>
  <c r="AG39" i="50"/>
  <c r="R41" i="50"/>
  <c r="Q42" i="50"/>
  <c r="O50" i="50"/>
  <c r="Z42" i="50"/>
  <c r="AD47" i="50"/>
  <c r="W29" i="50"/>
  <c r="S31" i="50"/>
  <c r="AK36" i="50"/>
  <c r="AH10" i="50"/>
  <c r="U46" i="50"/>
  <c r="AB27" i="50"/>
  <c r="AD34" i="50"/>
  <c r="T33" i="50"/>
  <c r="AM34" i="50"/>
  <c r="AE41" i="50"/>
  <c r="R37" i="50"/>
  <c r="V35" i="50"/>
  <c r="X21" i="50"/>
  <c r="AO27" i="50"/>
  <c r="AK33" i="50"/>
  <c r="T29" i="50"/>
  <c r="AI38" i="50"/>
  <c r="Z49" i="50"/>
  <c r="AJ46" i="50"/>
  <c r="AK41" i="50"/>
  <c r="AE16" i="50"/>
  <c r="W40" i="50"/>
  <c r="S23" i="50"/>
  <c r="N24" i="50"/>
  <c r="T45" i="50"/>
  <c r="N19" i="50"/>
  <c r="AF50" i="50"/>
  <c r="Y5" i="50"/>
  <c r="L41" i="50"/>
  <c r="AK35" i="50"/>
  <c r="AO30" i="50"/>
  <c r="T15" i="50"/>
  <c r="AE46" i="50"/>
  <c r="AB21" i="50"/>
  <c r="AB48" i="50"/>
  <c r="AJ49" i="50"/>
  <c r="AB30" i="50"/>
  <c r="AH36" i="50"/>
  <c r="Y41" i="50"/>
  <c r="T34" i="50"/>
  <c r="S27" i="50"/>
  <c r="AB35" i="50"/>
  <c r="Y25" i="50"/>
  <c r="X43" i="50"/>
  <c r="AL41" i="50"/>
  <c r="AK39" i="50"/>
  <c r="AE5" i="50"/>
  <c r="V18" i="50"/>
  <c r="R35" i="50"/>
  <c r="W47" i="50"/>
  <c r="AE38" i="50"/>
  <c r="AG40" i="50"/>
  <c r="S8" i="50"/>
  <c r="AJ28" i="50"/>
  <c r="W44" i="50"/>
  <c r="AL18" i="50"/>
  <c r="AC21" i="50"/>
  <c r="AE48" i="50"/>
  <c r="S30" i="50"/>
  <c r="Q50" i="50"/>
  <c r="AE24" i="50"/>
  <c r="AC47" i="50"/>
  <c r="T32" i="50"/>
  <c r="N50" i="50"/>
  <c r="Y28" i="50"/>
  <c r="U48" i="50"/>
  <c r="O28" i="50"/>
  <c r="AI44" i="50"/>
  <c r="AK50" i="50"/>
  <c r="N38" i="50"/>
  <c r="S37" i="50"/>
  <c r="W50" i="50"/>
  <c r="P40" i="50"/>
  <c r="M46" i="50"/>
  <c r="M28" i="50"/>
  <c r="Y42" i="50"/>
  <c r="AA32" i="50"/>
  <c r="AM23" i="50"/>
  <c r="AF23" i="50"/>
  <c r="AO35" i="50"/>
  <c r="AJ43" i="50"/>
  <c r="U37" i="50"/>
  <c r="AE32" i="50"/>
  <c r="O43" i="50"/>
  <c r="T41" i="50"/>
  <c r="P17" i="50"/>
  <c r="AE50" i="50"/>
  <c r="AH47" i="50"/>
  <c r="AI23" i="50"/>
  <c r="S47" i="50"/>
  <c r="AL46" i="50"/>
  <c r="O33" i="50"/>
  <c r="V42" i="50"/>
  <c r="AH48" i="50"/>
  <c r="AD45" i="50"/>
  <c r="T5" i="50"/>
  <c r="Z47" i="50"/>
  <c r="N49" i="50"/>
  <c r="AI47" i="50"/>
  <c r="AB34" i="50"/>
  <c r="AL36" i="50"/>
  <c r="S42" i="50"/>
  <c r="AL38" i="50"/>
  <c r="Y45" i="50"/>
  <c r="U15" i="50"/>
  <c r="W24" i="50"/>
  <c r="AK19" i="50"/>
  <c r="AB32" i="50"/>
  <c r="AE44" i="50"/>
  <c r="AN48" i="50"/>
  <c r="AK45" i="50"/>
  <c r="Z34" i="50"/>
  <c r="AN43" i="50"/>
  <c r="AH28" i="50"/>
  <c r="O31" i="50"/>
  <c r="L22" i="50"/>
  <c r="L46" i="50"/>
  <c r="AG46" i="50"/>
  <c r="T48" i="50"/>
  <c r="AD46" i="50"/>
  <c r="AG37" i="50"/>
  <c r="S39" i="50"/>
  <c r="Y46" i="50"/>
  <c r="V28" i="50"/>
  <c r="AO37" i="50"/>
  <c r="S43" i="50"/>
  <c r="AH22" i="50"/>
  <c r="AH43" i="50"/>
  <c r="M49" i="50"/>
  <c r="AA47" i="50"/>
  <c r="AK44" i="50"/>
  <c r="AG42" i="50"/>
  <c r="P27" i="50"/>
  <c r="P16" i="50"/>
  <c r="AC26" i="50"/>
  <c r="AG29" i="50"/>
  <c r="W10" i="50"/>
  <c r="V47" i="50"/>
  <c r="T46" i="50"/>
  <c r="U5" i="50"/>
  <c r="AH40" i="50"/>
  <c r="P22" i="50"/>
  <c r="R48" i="50"/>
  <c r="AC44" i="50"/>
  <c r="W37" i="50"/>
  <c r="Z5" i="50"/>
  <c r="T11" i="50"/>
  <c r="AM43" i="50"/>
  <c r="L48" i="50"/>
  <c r="AA41" i="50"/>
  <c r="W46" i="50"/>
  <c r="AJ39" i="50"/>
  <c r="AL40" i="50"/>
  <c r="M47" i="50"/>
  <c r="AK48" i="50"/>
  <c r="AE49" i="50"/>
  <c r="AA35" i="50"/>
  <c r="AC43" i="50"/>
  <c r="P39" i="50"/>
  <c r="AG31" i="50"/>
  <c r="Y6" i="50"/>
  <c r="R46" i="50"/>
  <c r="AF47" i="50"/>
  <c r="O26" i="50"/>
  <c r="AF37" i="50"/>
  <c r="AK37" i="50"/>
  <c r="F53" i="50" l="1"/>
  <c r="J53" i="50" s="1"/>
  <c r="F51" i="50"/>
  <c r="H51" i="50" s="1"/>
  <c r="F52" i="50"/>
  <c r="J52" i="50" s="1"/>
  <c r="F54" i="50"/>
  <c r="J51" i="50"/>
  <c r="A19" i="106"/>
  <c r="F18" i="106"/>
  <c r="A19" i="105"/>
  <c r="F18" i="105"/>
  <c r="A19" i="104"/>
  <c r="F18" i="104"/>
  <c r="A19" i="103"/>
  <c r="F18" i="103"/>
  <c r="A19" i="102"/>
  <c r="F18" i="102"/>
  <c r="A19" i="101"/>
  <c r="F18" i="101"/>
  <c r="A19" i="100"/>
  <c r="F18" i="100"/>
  <c r="A19" i="99"/>
  <c r="F18" i="99"/>
  <c r="A18" i="98"/>
  <c r="F17" i="98"/>
  <c r="A18" i="97"/>
  <c r="F17" i="97"/>
  <c r="A17" i="96"/>
  <c r="F16" i="96"/>
  <c r="A4" i="9"/>
  <c r="F4" i="9" s="1"/>
  <c r="H53" i="50" l="1"/>
  <c r="H54" i="50"/>
  <c r="J54" i="50"/>
  <c r="H52" i="50"/>
  <c r="A20" i="106"/>
  <c r="F19" i="106"/>
  <c r="A20" i="105"/>
  <c r="F19" i="105"/>
  <c r="A20" i="104"/>
  <c r="F19" i="104"/>
  <c r="A20" i="103"/>
  <c r="F19" i="103"/>
  <c r="A20" i="102"/>
  <c r="F19" i="102"/>
  <c r="A20" i="101"/>
  <c r="F19" i="101"/>
  <c r="A20" i="100"/>
  <c r="F19" i="100"/>
  <c r="A20" i="99"/>
  <c r="F19" i="99"/>
  <c r="A19" i="98"/>
  <c r="F18" i="98"/>
  <c r="A19" i="97"/>
  <c r="F18" i="97"/>
  <c r="A18" i="96"/>
  <c r="F17" i="96"/>
  <c r="A5" i="9"/>
  <c r="F5" i="9" s="1"/>
  <c r="D6" i="4"/>
  <c r="D7" i="4"/>
  <c r="D8" i="4"/>
  <c r="D9" i="4"/>
  <c r="D10" i="4"/>
  <c r="D11" i="4"/>
  <c r="D13" i="4"/>
  <c r="D14" i="4"/>
  <c r="D15" i="4"/>
  <c r="D16" i="4"/>
  <c r="D17" i="4"/>
  <c r="D5" i="4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5" i="1"/>
  <c r="G6" i="1"/>
  <c r="G7" i="1"/>
  <c r="G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A21" i="106" l="1"/>
  <c r="F20" i="106"/>
  <c r="A21" i="105"/>
  <c r="F20" i="105"/>
  <c r="A21" i="104"/>
  <c r="F20" i="104"/>
  <c r="A21" i="103"/>
  <c r="F20" i="103"/>
  <c r="A21" i="102"/>
  <c r="F20" i="102"/>
  <c r="A21" i="101"/>
  <c r="F20" i="101"/>
  <c r="A21" i="100"/>
  <c r="F20" i="100"/>
  <c r="A21" i="99"/>
  <c r="F20" i="99"/>
  <c r="A20" i="98"/>
  <c r="F19" i="98"/>
  <c r="A20" i="97"/>
  <c r="F19" i="97"/>
  <c r="A19" i="96"/>
  <c r="F18" i="96"/>
  <c r="A6" i="9"/>
  <c r="F6" i="9" s="1"/>
  <c r="F49" i="50"/>
  <c r="F48" i="50"/>
  <c r="F40" i="50"/>
  <c r="F42" i="50"/>
  <c r="F33" i="50"/>
  <c r="F9" i="50"/>
  <c r="F13" i="50"/>
  <c r="F7" i="50"/>
  <c r="F39" i="50"/>
  <c r="F20" i="50"/>
  <c r="F41" i="50"/>
  <c r="F23" i="50"/>
  <c r="F38" i="50"/>
  <c r="F37" i="50"/>
  <c r="F25" i="50"/>
  <c r="F50" i="50"/>
  <c r="F19" i="50"/>
  <c r="F14" i="50"/>
  <c r="F35" i="50"/>
  <c r="F15" i="50"/>
  <c r="F27" i="50"/>
  <c r="F46" i="50"/>
  <c r="F30" i="50"/>
  <c r="F17" i="50"/>
  <c r="F22" i="50"/>
  <c r="F10" i="50"/>
  <c r="F18" i="50"/>
  <c r="F5" i="50"/>
  <c r="F26" i="50"/>
  <c r="F45" i="50"/>
  <c r="F11" i="50"/>
  <c r="F6" i="50"/>
  <c r="F12" i="50"/>
  <c r="F28" i="50"/>
  <c r="F21" i="50"/>
  <c r="F29" i="50"/>
  <c r="F32" i="50"/>
  <c r="F43" i="50"/>
  <c r="F24" i="50"/>
  <c r="F8" i="50"/>
  <c r="F34" i="50"/>
  <c r="F31" i="50"/>
  <c r="F47" i="50"/>
  <c r="F44" i="50"/>
  <c r="F16" i="50"/>
  <c r="F36" i="50"/>
  <c r="G9" i="5"/>
  <c r="L9" i="5"/>
  <c r="G6" i="5"/>
  <c r="L6" i="5"/>
  <c r="G20" i="5"/>
  <c r="L20" i="5"/>
  <c r="G21" i="5"/>
  <c r="L21" i="5"/>
  <c r="G22" i="5"/>
  <c r="L22" i="5"/>
  <c r="L19" i="5"/>
  <c r="G19" i="5"/>
  <c r="L18" i="5"/>
  <c r="G18" i="5"/>
  <c r="L17" i="5"/>
  <c r="G17" i="5"/>
  <c r="L16" i="5"/>
  <c r="G16" i="5"/>
  <c r="L15" i="5"/>
  <c r="G15" i="5"/>
  <c r="L14" i="5"/>
  <c r="G14" i="5"/>
  <c r="L13" i="5"/>
  <c r="G13" i="5"/>
  <c r="L12" i="5"/>
  <c r="G12" i="5"/>
  <c r="L11" i="5"/>
  <c r="G11" i="5"/>
  <c r="L10" i="5"/>
  <c r="G10" i="5"/>
  <c r="L8" i="5"/>
  <c r="G8" i="5"/>
  <c r="L7" i="5"/>
  <c r="G7" i="5"/>
  <c r="L5" i="5"/>
  <c r="G5" i="5"/>
  <c r="J2" i="5"/>
  <c r="M17" i="4"/>
  <c r="H17" i="4"/>
  <c r="M16" i="4"/>
  <c r="H16" i="4"/>
  <c r="M15" i="4"/>
  <c r="H15" i="4"/>
  <c r="M14" i="4"/>
  <c r="H14" i="4"/>
  <c r="M13" i="4"/>
  <c r="H13" i="4"/>
  <c r="M12" i="4"/>
  <c r="M11" i="4"/>
  <c r="H11" i="4"/>
  <c r="M10" i="4"/>
  <c r="H10" i="4"/>
  <c r="M9" i="4"/>
  <c r="H9" i="4"/>
  <c r="M8" i="4"/>
  <c r="H8" i="4"/>
  <c r="M7" i="4"/>
  <c r="H7" i="4"/>
  <c r="H4" i="4" s="1"/>
  <c r="M6" i="4"/>
  <c r="H6" i="4"/>
  <c r="M5" i="4"/>
  <c r="H5" i="4"/>
  <c r="K2" i="4"/>
  <c r="K2" i="1"/>
  <c r="L1" i="50" l="1"/>
  <c r="J5" i="50"/>
  <c r="F21" i="106"/>
  <c r="A22" i="106"/>
  <c r="F21" i="105"/>
  <c r="A22" i="105"/>
  <c r="F21" i="104"/>
  <c r="A22" i="104"/>
  <c r="F21" i="103"/>
  <c r="A22" i="103"/>
  <c r="F21" i="102"/>
  <c r="A22" i="102"/>
  <c r="F21" i="101"/>
  <c r="A22" i="101"/>
  <c r="F21" i="100"/>
  <c r="A22" i="100"/>
  <c r="F21" i="99"/>
  <c r="A22" i="99"/>
  <c r="A21" i="98"/>
  <c r="F20" i="98"/>
  <c r="A21" i="97"/>
  <c r="F20" i="97"/>
  <c r="A20" i="96"/>
  <c r="F19" i="96"/>
  <c r="A7" i="9"/>
  <c r="F7" i="9" s="1"/>
  <c r="H5" i="50"/>
  <c r="H22" i="50"/>
  <c r="H24" i="50"/>
  <c r="H21" i="50"/>
  <c r="H25" i="50"/>
  <c r="H26" i="50"/>
  <c r="H31" i="50"/>
  <c r="H14" i="50"/>
  <c r="H20" i="50"/>
  <c r="H32" i="50"/>
  <c r="H27" i="50"/>
  <c r="H8" i="50"/>
  <c r="H29" i="50"/>
  <c r="H23" i="50"/>
  <c r="H7" i="50"/>
  <c r="H6" i="50"/>
  <c r="H12" i="50"/>
  <c r="H19" i="50"/>
  <c r="H11" i="50"/>
  <c r="H18" i="50"/>
  <c r="H30" i="50"/>
  <c r="H28" i="50"/>
  <c r="H10" i="50"/>
  <c r="H9" i="50"/>
  <c r="H16" i="50"/>
  <c r="H17" i="50"/>
  <c r="H15" i="50"/>
  <c r="H13" i="50"/>
  <c r="H44" i="50"/>
  <c r="H47" i="50"/>
  <c r="H35" i="50"/>
  <c r="H41" i="50"/>
  <c r="H40" i="50"/>
  <c r="H43" i="50"/>
  <c r="H45" i="50"/>
  <c r="H46" i="50"/>
  <c r="H37" i="50"/>
  <c r="H48" i="50"/>
  <c r="H38" i="50"/>
  <c r="H39" i="50"/>
  <c r="H33" i="50"/>
  <c r="H36" i="50"/>
  <c r="H34" i="50"/>
  <c r="H50" i="50"/>
  <c r="H42" i="50"/>
  <c r="H49" i="50"/>
  <c r="J20" i="50"/>
  <c r="J6" i="50"/>
  <c r="J19" i="50"/>
  <c r="J41" i="50"/>
  <c r="J43" i="50"/>
  <c r="J7" i="50"/>
  <c r="J31" i="50"/>
  <c r="J37" i="50"/>
  <c r="J23" i="50"/>
  <c r="J15" i="50"/>
  <c r="J48" i="50"/>
  <c r="J45" i="50"/>
  <c r="J36" i="50"/>
  <c r="J8" i="50"/>
  <c r="J42" i="50"/>
  <c r="J50" i="50"/>
  <c r="J17" i="50"/>
  <c r="J9" i="50"/>
  <c r="J28" i="50"/>
  <c r="J14" i="50"/>
  <c r="J46" i="50"/>
  <c r="J10" i="50"/>
  <c r="J44" i="50"/>
  <c r="J34" i="50"/>
  <c r="J38" i="50"/>
  <c r="J26" i="50"/>
  <c r="J29" i="50"/>
  <c r="J24" i="50"/>
  <c r="J33" i="50"/>
  <c r="J11" i="50"/>
  <c r="F4" i="50"/>
  <c r="J21" i="50"/>
  <c r="J47" i="50"/>
  <c r="J18" i="50"/>
  <c r="J35" i="50"/>
  <c r="J49" i="50"/>
  <c r="J27" i="50"/>
  <c r="J22" i="50"/>
  <c r="J30" i="50"/>
  <c r="J32" i="50"/>
  <c r="J13" i="50"/>
  <c r="J40" i="50"/>
  <c r="J39" i="50"/>
  <c r="J12" i="50"/>
  <c r="J16" i="50"/>
  <c r="J25" i="50"/>
  <c r="L4" i="5"/>
  <c r="G4" i="5"/>
  <c r="H16" i="5" s="1"/>
  <c r="I16" i="5" s="1"/>
  <c r="J16" i="5" s="1"/>
  <c r="I5" i="1"/>
  <c r="F22" i="106" l="1"/>
  <c r="A23" i="106"/>
  <c r="F22" i="105"/>
  <c r="A23" i="105"/>
  <c r="F22" i="104"/>
  <c r="A23" i="104"/>
  <c r="F22" i="103"/>
  <c r="A23" i="103"/>
  <c r="F22" i="102"/>
  <c r="A23" i="102"/>
  <c r="F22" i="101"/>
  <c r="A23" i="101"/>
  <c r="F22" i="100"/>
  <c r="A23" i="100"/>
  <c r="F22" i="99"/>
  <c r="A23" i="99"/>
  <c r="F21" i="98"/>
  <c r="A22" i="98"/>
  <c r="F21" i="97"/>
  <c r="A22" i="97"/>
  <c r="J4" i="50"/>
  <c r="H4" i="50"/>
  <c r="A21" i="96"/>
  <c r="F20" i="96"/>
  <c r="A8" i="9"/>
  <c r="F8" i="9" s="1"/>
  <c r="J5" i="1"/>
  <c r="K5" i="1" s="1"/>
  <c r="I22" i="1"/>
  <c r="J22" i="1" s="1"/>
  <c r="K22" i="1" s="1"/>
  <c r="I21" i="1"/>
  <c r="J21" i="1" s="1"/>
  <c r="K21" i="1" s="1"/>
  <c r="I20" i="1"/>
  <c r="J20" i="1" s="1"/>
  <c r="K20" i="1" s="1"/>
  <c r="H9" i="5"/>
  <c r="I9" i="5" s="1"/>
  <c r="J9" i="5" s="1"/>
  <c r="H6" i="5"/>
  <c r="I6" i="5" s="1"/>
  <c r="J6" i="5" s="1"/>
  <c r="H20" i="5"/>
  <c r="I20" i="5" s="1"/>
  <c r="J20" i="5" s="1"/>
  <c r="H22" i="5"/>
  <c r="I22" i="5" s="1"/>
  <c r="J22" i="5" s="1"/>
  <c r="H21" i="5"/>
  <c r="I21" i="5" s="1"/>
  <c r="J21" i="5" s="1"/>
  <c r="H17" i="5"/>
  <c r="I17" i="5" s="1"/>
  <c r="J17" i="5" s="1"/>
  <c r="H13" i="5"/>
  <c r="I13" i="5" s="1"/>
  <c r="J13" i="5" s="1"/>
  <c r="H8" i="5"/>
  <c r="I8" i="5" s="1"/>
  <c r="J8" i="5" s="1"/>
  <c r="H14" i="5"/>
  <c r="I14" i="5" s="1"/>
  <c r="J14" i="5" s="1"/>
  <c r="H10" i="5"/>
  <c r="I10" i="5" s="1"/>
  <c r="J10" i="5" s="1"/>
  <c r="H18" i="5"/>
  <c r="I18" i="5" s="1"/>
  <c r="J18" i="5" s="1"/>
  <c r="H7" i="5"/>
  <c r="I7" i="5" s="1"/>
  <c r="J7" i="5" s="1"/>
  <c r="H5" i="5"/>
  <c r="I5" i="5" s="1"/>
  <c r="J5" i="5" s="1"/>
  <c r="H19" i="5"/>
  <c r="I19" i="5" s="1"/>
  <c r="J19" i="5" s="1"/>
  <c r="H15" i="5"/>
  <c r="I15" i="5" s="1"/>
  <c r="J15" i="5" s="1"/>
  <c r="H11" i="5"/>
  <c r="I11" i="5" s="1"/>
  <c r="J11" i="5" s="1"/>
  <c r="H12" i="5"/>
  <c r="I12" i="5" s="1"/>
  <c r="J12" i="5" s="1"/>
  <c r="I16" i="1"/>
  <c r="J16" i="1" s="1"/>
  <c r="K16" i="1" s="1"/>
  <c r="I8" i="1"/>
  <c r="J8" i="1" s="1"/>
  <c r="K8" i="1" s="1"/>
  <c r="I14" i="1"/>
  <c r="J14" i="1" s="1"/>
  <c r="K14" i="1" s="1"/>
  <c r="I13" i="1"/>
  <c r="J13" i="1" s="1"/>
  <c r="K13" i="1" s="1"/>
  <c r="I17" i="1"/>
  <c r="J17" i="1" s="1"/>
  <c r="K17" i="1" s="1"/>
  <c r="I10" i="1"/>
  <c r="J10" i="1" s="1"/>
  <c r="K10" i="1" s="1"/>
  <c r="I18" i="1"/>
  <c r="J18" i="1" s="1"/>
  <c r="K18" i="1" s="1"/>
  <c r="I12" i="1"/>
  <c r="J12" i="1" s="1"/>
  <c r="K12" i="1" s="1"/>
  <c r="I15" i="1"/>
  <c r="J15" i="1" s="1"/>
  <c r="K15" i="1" s="1"/>
  <c r="I11" i="1"/>
  <c r="J11" i="1" s="1"/>
  <c r="K11" i="1" s="1"/>
  <c r="I6" i="1"/>
  <c r="J6" i="1" s="1"/>
  <c r="K6" i="1" s="1"/>
  <c r="I9" i="1"/>
  <c r="J9" i="1" s="1"/>
  <c r="K9" i="1" s="1"/>
  <c r="I7" i="1"/>
  <c r="J7" i="1" s="1"/>
  <c r="K7" i="1" s="1"/>
  <c r="I19" i="1"/>
  <c r="J19" i="1" s="1"/>
  <c r="K19" i="1" s="1"/>
  <c r="I1" i="50" l="1"/>
  <c r="F23" i="106"/>
  <c r="A24" i="106"/>
  <c r="G20" i="106" s="1"/>
  <c r="F23" i="105"/>
  <c r="A24" i="105"/>
  <c r="G17" i="105" s="1"/>
  <c r="F23" i="104"/>
  <c r="G23" i="104" s="1"/>
  <c r="A24" i="104"/>
  <c r="F23" i="103"/>
  <c r="A24" i="103"/>
  <c r="G20" i="103" s="1"/>
  <c r="G23" i="103"/>
  <c r="G18" i="102"/>
  <c r="F23" i="102"/>
  <c r="A24" i="102"/>
  <c r="G17" i="102"/>
  <c r="G22" i="102"/>
  <c r="G21" i="102"/>
  <c r="G20" i="102"/>
  <c r="G23" i="102"/>
  <c r="F23" i="101"/>
  <c r="A24" i="101"/>
  <c r="G22" i="101"/>
  <c r="F23" i="100"/>
  <c r="A24" i="100"/>
  <c r="F23" i="99"/>
  <c r="G23" i="99" s="1"/>
  <c r="A24" i="99"/>
  <c r="G19" i="99" s="1"/>
  <c r="G21" i="99"/>
  <c r="G18" i="99"/>
  <c r="G20" i="99"/>
  <c r="F22" i="98"/>
  <c r="A23" i="98"/>
  <c r="F22" i="97"/>
  <c r="A23" i="97"/>
  <c r="F21" i="96"/>
  <c r="A22" i="96"/>
  <c r="A9" i="9"/>
  <c r="F9" i="9" s="1"/>
  <c r="K4" i="1"/>
  <c r="K8" i="50"/>
  <c r="J4" i="5"/>
  <c r="G19" i="106" l="1"/>
  <c r="G23" i="106"/>
  <c r="F24" i="106"/>
  <c r="G3" i="106"/>
  <c r="G4" i="106"/>
  <c r="G5" i="106"/>
  <c r="G6" i="106"/>
  <c r="G8" i="106"/>
  <c r="G9" i="106"/>
  <c r="G7" i="106"/>
  <c r="G11" i="106"/>
  <c r="G10" i="106"/>
  <c r="G12" i="106"/>
  <c r="G14" i="106"/>
  <c r="G13" i="106"/>
  <c r="G16" i="106"/>
  <c r="G18" i="106"/>
  <c r="G15" i="106"/>
  <c r="G17" i="106"/>
  <c r="G22" i="106"/>
  <c r="G21" i="106"/>
  <c r="G24" i="106"/>
  <c r="G18" i="105"/>
  <c r="F24" i="105"/>
  <c r="G3" i="105"/>
  <c r="G4" i="105"/>
  <c r="G7" i="105"/>
  <c r="G5" i="105"/>
  <c r="G8" i="105"/>
  <c r="G6" i="105"/>
  <c r="G9" i="105"/>
  <c r="G10" i="105"/>
  <c r="G11" i="105"/>
  <c r="G12" i="105"/>
  <c r="G13" i="105"/>
  <c r="G14" i="105"/>
  <c r="G16" i="105"/>
  <c r="G15" i="105"/>
  <c r="G21" i="105"/>
  <c r="G19" i="105"/>
  <c r="G22" i="105"/>
  <c r="G20" i="105"/>
  <c r="G23" i="105"/>
  <c r="G24" i="105"/>
  <c r="F24" i="104"/>
  <c r="G3" i="104"/>
  <c r="G6" i="104"/>
  <c r="G4" i="104"/>
  <c r="G5" i="104"/>
  <c r="G8" i="104"/>
  <c r="G7" i="104"/>
  <c r="G9" i="104"/>
  <c r="G11" i="104"/>
  <c r="G10" i="104"/>
  <c r="G15" i="104"/>
  <c r="G12" i="104"/>
  <c r="G13" i="104"/>
  <c r="G14" i="104"/>
  <c r="G16" i="104"/>
  <c r="G19" i="104"/>
  <c r="G22" i="104"/>
  <c r="G24" i="104"/>
  <c r="G17" i="104"/>
  <c r="G21" i="104"/>
  <c r="G20" i="104"/>
  <c r="G18" i="104"/>
  <c r="G17" i="103"/>
  <c r="F24" i="103"/>
  <c r="G3" i="103"/>
  <c r="G4" i="103"/>
  <c r="G5" i="103"/>
  <c r="G6" i="103"/>
  <c r="G7" i="103"/>
  <c r="G10" i="103"/>
  <c r="G9" i="103"/>
  <c r="G8" i="103"/>
  <c r="G11" i="103"/>
  <c r="G12" i="103"/>
  <c r="G13" i="103"/>
  <c r="G15" i="103"/>
  <c r="G16" i="103"/>
  <c r="G14" i="103"/>
  <c r="G18" i="103"/>
  <c r="G19" i="103"/>
  <c r="G24" i="103"/>
  <c r="G22" i="103"/>
  <c r="G21" i="103"/>
  <c r="F24" i="102"/>
  <c r="G24" i="102" s="1"/>
  <c r="G3" i="102"/>
  <c r="G5" i="102"/>
  <c r="G4" i="102"/>
  <c r="G7" i="102"/>
  <c r="G6" i="102"/>
  <c r="G8" i="102"/>
  <c r="G12" i="102"/>
  <c r="G9" i="102"/>
  <c r="G10" i="102"/>
  <c r="G13" i="102"/>
  <c r="G11" i="102"/>
  <c r="G14" i="102"/>
  <c r="G15" i="102"/>
  <c r="G16" i="102"/>
  <c r="G19" i="102"/>
  <c r="F24" i="101"/>
  <c r="G3" i="101"/>
  <c r="G4" i="101" s="1"/>
  <c r="G5" i="101"/>
  <c r="G6" i="101"/>
  <c r="G7" i="101"/>
  <c r="G8" i="101"/>
  <c r="G10" i="101"/>
  <c r="G9" i="101"/>
  <c r="G11" i="101"/>
  <c r="G12" i="101"/>
  <c r="G14" i="101"/>
  <c r="G13" i="101"/>
  <c r="G15" i="101"/>
  <c r="G16" i="101"/>
  <c r="G18" i="101"/>
  <c r="G17" i="101"/>
  <c r="G20" i="101"/>
  <c r="G19" i="101"/>
  <c r="G24" i="101"/>
  <c r="G21" i="101"/>
  <c r="G23" i="101"/>
  <c r="F24" i="100"/>
  <c r="G3" i="100"/>
  <c r="G4" i="100" s="1"/>
  <c r="G5" i="100"/>
  <c r="G6" i="100"/>
  <c r="G7" i="100"/>
  <c r="G8" i="100"/>
  <c r="G9" i="100"/>
  <c r="G12" i="100"/>
  <c r="G10" i="100"/>
  <c r="G11" i="100"/>
  <c r="G15" i="100"/>
  <c r="G13" i="100"/>
  <c r="G14" i="100"/>
  <c r="G18" i="100"/>
  <c r="G16" i="100"/>
  <c r="G19" i="100"/>
  <c r="G17" i="100"/>
  <c r="G21" i="100"/>
  <c r="G24" i="100"/>
  <c r="G23" i="100"/>
  <c r="G20" i="100"/>
  <c r="G22" i="100"/>
  <c r="F24" i="99"/>
  <c r="G3" i="99"/>
  <c r="G4" i="99" s="1"/>
  <c r="G5" i="99"/>
  <c r="G6" i="99"/>
  <c r="G7" i="99"/>
  <c r="G8" i="99"/>
  <c r="G9" i="99"/>
  <c r="G11" i="99"/>
  <c r="G10" i="99"/>
  <c r="G12" i="99"/>
  <c r="G13" i="99"/>
  <c r="G15" i="99"/>
  <c r="G14" i="99"/>
  <c r="G17" i="99"/>
  <c r="G22" i="99"/>
  <c r="G16" i="99"/>
  <c r="G24" i="99"/>
  <c r="F23" i="98"/>
  <c r="G23" i="98" s="1"/>
  <c r="A24" i="98"/>
  <c r="G18" i="98" s="1"/>
  <c r="F23" i="97"/>
  <c r="A24" i="97"/>
  <c r="G21" i="97" s="1"/>
  <c r="F22" i="96"/>
  <c r="A23" i="96"/>
  <c r="A10" i="9"/>
  <c r="L2" i="1"/>
  <c r="L2" i="5"/>
  <c r="M2" i="1"/>
  <c r="K2" i="5"/>
  <c r="T4" i="50"/>
  <c r="V4" i="50"/>
  <c r="S4" i="50"/>
  <c r="Q4" i="50"/>
  <c r="P4" i="50"/>
  <c r="R4" i="50"/>
  <c r="U4" i="50"/>
  <c r="O4" i="50"/>
  <c r="F24" i="98" l="1"/>
  <c r="G3" i="98"/>
  <c r="G4" i="98"/>
  <c r="G5" i="98"/>
  <c r="G6" i="98"/>
  <c r="G9" i="98"/>
  <c r="G7" i="98"/>
  <c r="G8" i="98"/>
  <c r="G10" i="98"/>
  <c r="G11" i="98"/>
  <c r="G13" i="98"/>
  <c r="G12" i="98"/>
  <c r="G16" i="98"/>
  <c r="G15" i="98"/>
  <c r="G17" i="98"/>
  <c r="G14" i="98"/>
  <c r="G19" i="98"/>
  <c r="G20" i="98"/>
  <c r="G22" i="98"/>
  <c r="G21" i="98"/>
  <c r="G24" i="98"/>
  <c r="G19" i="97"/>
  <c r="F24" i="97"/>
  <c r="G3" i="97"/>
  <c r="G5" i="97" s="1"/>
  <c r="G4" i="97"/>
  <c r="G6" i="97"/>
  <c r="G9" i="97"/>
  <c r="G10" i="97"/>
  <c r="G7" i="97"/>
  <c r="G8" i="97"/>
  <c r="G12" i="97"/>
  <c r="G11" i="97"/>
  <c r="G13" i="97"/>
  <c r="G14" i="97"/>
  <c r="G16" i="97"/>
  <c r="G15" i="97"/>
  <c r="G23" i="97"/>
  <c r="G20" i="97"/>
  <c r="G17" i="97"/>
  <c r="G22" i="97"/>
  <c r="G18" i="97"/>
  <c r="G24" i="97"/>
  <c r="F23" i="96"/>
  <c r="A24" i="96"/>
  <c r="G22" i="96" s="1"/>
  <c r="A11" i="9"/>
  <c r="F11" i="9" s="1"/>
  <c r="F10" i="9"/>
  <c r="H12" i="4"/>
  <c r="I12" i="4" s="1"/>
  <c r="J12" i="4" s="1"/>
  <c r="K12" i="4" s="1"/>
  <c r="I14" i="4"/>
  <c r="J14" i="4" s="1"/>
  <c r="K14" i="4" s="1"/>
  <c r="G23" i="96" l="1"/>
  <c r="G21" i="96"/>
  <c r="F24" i="96"/>
  <c r="G24" i="96" s="1"/>
  <c r="G3" i="96"/>
  <c r="G4" i="96"/>
  <c r="G7" i="96"/>
  <c r="G5" i="96"/>
  <c r="G6" i="96"/>
  <c r="G8" i="96"/>
  <c r="G11" i="96"/>
  <c r="G10" i="96"/>
  <c r="G13" i="96"/>
  <c r="G12" i="96"/>
  <c r="G15" i="96"/>
  <c r="G14" i="96"/>
  <c r="G19" i="96"/>
  <c r="G16" i="96"/>
  <c r="G20" i="96"/>
  <c r="G18" i="96"/>
  <c r="G17" i="96"/>
  <c r="A12" i="9"/>
  <c r="F12" i="9" s="1"/>
  <c r="I10" i="4"/>
  <c r="J10" i="4" s="1"/>
  <c r="K10" i="4" s="1"/>
  <c r="I13" i="4"/>
  <c r="J13" i="4" s="1"/>
  <c r="K13" i="4" s="1"/>
  <c r="I17" i="4"/>
  <c r="J17" i="4" s="1"/>
  <c r="K17" i="4" s="1"/>
  <c r="I5" i="4"/>
  <c r="J5" i="4" s="1"/>
  <c r="K5" i="4" s="1"/>
  <c r="I15" i="4"/>
  <c r="J15" i="4" s="1"/>
  <c r="K15" i="4" s="1"/>
  <c r="I7" i="4"/>
  <c r="J7" i="4" s="1"/>
  <c r="K7" i="4" s="1"/>
  <c r="I16" i="4"/>
  <c r="J16" i="4" s="1"/>
  <c r="K16" i="4" s="1"/>
  <c r="I11" i="4"/>
  <c r="J11" i="4" s="1"/>
  <c r="K11" i="4" s="1"/>
  <c r="I8" i="4"/>
  <c r="J8" i="4" s="1"/>
  <c r="K8" i="4" s="1"/>
  <c r="I9" i="4"/>
  <c r="J9" i="4" s="1"/>
  <c r="K9" i="4" s="1"/>
  <c r="I6" i="4"/>
  <c r="J6" i="4" s="1"/>
  <c r="K6" i="4" s="1"/>
  <c r="K4" i="4" l="1"/>
  <c r="B1" i="50" s="1"/>
  <c r="G9" i="96"/>
  <c r="A13" i="9"/>
  <c r="F13" i="9" s="1"/>
  <c r="V20" i="1" l="1"/>
  <c r="V22" i="1"/>
  <c r="V21" i="1"/>
  <c r="V13" i="1"/>
  <c r="U15" i="5"/>
  <c r="V11" i="1"/>
  <c r="V17" i="1"/>
  <c r="V8" i="4"/>
  <c r="U12" i="5"/>
  <c r="U13" i="5"/>
  <c r="V12" i="1"/>
  <c r="U10" i="5"/>
  <c r="U22" i="5"/>
  <c r="V16" i="4"/>
  <c r="V6" i="1"/>
  <c r="V8" i="1"/>
  <c r="U16" i="5"/>
  <c r="U18" i="5"/>
  <c r="V15" i="4"/>
  <c r="U5" i="5"/>
  <c r="V7" i="1"/>
  <c r="V17" i="4"/>
  <c r="U20" i="5"/>
  <c r="V12" i="4"/>
  <c r="V18" i="1"/>
  <c r="V10" i="4"/>
  <c r="U17" i="5"/>
  <c r="U9" i="5"/>
  <c r="V7" i="4"/>
  <c r="V19" i="1"/>
  <c r="V6" i="4"/>
  <c r="U14" i="5"/>
  <c r="V14" i="1"/>
  <c r="V15" i="1"/>
  <c r="U21" i="5"/>
  <c r="V13" i="4"/>
  <c r="V14" i="4"/>
  <c r="U19" i="5"/>
  <c r="U7" i="5"/>
  <c r="V11" i="4"/>
  <c r="V10" i="1"/>
  <c r="N10" i="1" s="1"/>
  <c r="U6" i="5"/>
  <c r="U11" i="5"/>
  <c r="V5" i="1"/>
  <c r="V16" i="1"/>
  <c r="V5" i="4"/>
  <c r="U8" i="5"/>
  <c r="V9" i="4"/>
  <c r="V9" i="1"/>
  <c r="A14" i="9"/>
  <c r="F14" i="9" s="1"/>
  <c r="L2" i="4"/>
  <c r="M2" i="4"/>
  <c r="L4" i="50"/>
  <c r="M4" i="50"/>
  <c r="N4" i="50"/>
  <c r="V4" i="1" l="1"/>
  <c r="U4" i="5"/>
  <c r="V4" i="4"/>
  <c r="K4" i="50"/>
  <c r="K1" i="50" s="1"/>
  <c r="A15" i="9"/>
  <c r="F15" i="9" s="1"/>
  <c r="K2" i="50" l="1"/>
  <c r="I4" i="50" s="1"/>
  <c r="J2" i="50" s="1"/>
  <c r="A16" i="9"/>
  <c r="F16" i="9" s="1"/>
  <c r="N5" i="5"/>
  <c r="O5" i="1"/>
  <c r="A17" i="9" l="1"/>
  <c r="F17" i="9" s="1"/>
  <c r="N20" i="1"/>
  <c r="O20" i="1"/>
  <c r="A20" i="1" s="1"/>
  <c r="N12" i="1"/>
  <c r="O12" i="1"/>
  <c r="A12" i="1" s="1"/>
  <c r="O22" i="1"/>
  <c r="A22" i="1" s="1"/>
  <c r="N11" i="1"/>
  <c r="O11" i="1"/>
  <c r="A11" i="1" s="1"/>
  <c r="O14" i="1"/>
  <c r="A14" i="1" s="1"/>
  <c r="N18" i="1"/>
  <c r="O18" i="1"/>
  <c r="A18" i="1" s="1"/>
  <c r="N13" i="1"/>
  <c r="O13" i="1"/>
  <c r="A13" i="1" s="1"/>
  <c r="O17" i="1"/>
  <c r="A17" i="1" s="1"/>
  <c r="N9" i="1"/>
  <c r="O9" i="1"/>
  <c r="A9" i="1" s="1"/>
  <c r="O21" i="1"/>
  <c r="A21" i="1" s="1"/>
  <c r="N6" i="1"/>
  <c r="O6" i="1"/>
  <c r="A6" i="1" s="1"/>
  <c r="O10" i="1"/>
  <c r="A10" i="1" s="1"/>
  <c r="O16" i="1"/>
  <c r="A16" i="1" s="1"/>
  <c r="O8" i="1"/>
  <c r="A8" i="1" s="1"/>
  <c r="N15" i="1"/>
  <c r="O15" i="1"/>
  <c r="A15" i="1" s="1"/>
  <c r="N7" i="1"/>
  <c r="O7" i="1"/>
  <c r="A7" i="1" s="1"/>
  <c r="N19" i="1"/>
  <c r="O19" i="1"/>
  <c r="A19" i="1" s="1"/>
  <c r="U4" i="4"/>
  <c r="O13" i="4"/>
  <c r="A13" i="4" s="1"/>
  <c r="O16" i="4"/>
  <c r="A16" i="4" s="1"/>
  <c r="N15" i="4"/>
  <c r="O15" i="4"/>
  <c r="A15" i="4" s="1"/>
  <c r="O17" i="4"/>
  <c r="A17" i="4" s="1"/>
  <c r="O7" i="4"/>
  <c r="A7" i="4" s="1"/>
  <c r="N12" i="4"/>
  <c r="O12" i="4"/>
  <c r="A12" i="4" s="1"/>
  <c r="N6" i="4"/>
  <c r="O6" i="4"/>
  <c r="A6" i="4" s="1"/>
  <c r="N14" i="4"/>
  <c r="O14" i="4"/>
  <c r="A14" i="4" s="1"/>
  <c r="N9" i="4"/>
  <c r="O9" i="4"/>
  <c r="A9" i="4" s="1"/>
  <c r="O11" i="4"/>
  <c r="A11" i="4" s="1"/>
  <c r="O10" i="4"/>
  <c r="A10" i="4" s="1"/>
  <c r="O8" i="4"/>
  <c r="A8" i="4" s="1"/>
  <c r="N5" i="4"/>
  <c r="O5" i="4"/>
  <c r="A5" i="4" s="1"/>
  <c r="M18" i="5"/>
  <c r="N18" i="5"/>
  <c r="A18" i="5" s="1"/>
  <c r="N19" i="5"/>
  <c r="A19" i="5" s="1"/>
  <c r="M22" i="5"/>
  <c r="N22" i="5"/>
  <c r="A22" i="5" s="1"/>
  <c r="M15" i="5"/>
  <c r="N15" i="5"/>
  <c r="A15" i="5" s="1"/>
  <c r="M13" i="5"/>
  <c r="N13" i="5"/>
  <c r="A13" i="5" s="1"/>
  <c r="N7" i="5"/>
  <c r="A7" i="5" s="1"/>
  <c r="M21" i="5"/>
  <c r="N21" i="5"/>
  <c r="A21" i="5" s="1"/>
  <c r="M8" i="5"/>
  <c r="N8" i="5"/>
  <c r="A8" i="5" s="1"/>
  <c r="N6" i="5"/>
  <c r="A6" i="5" s="1"/>
  <c r="N14" i="5"/>
  <c r="A14" i="5" s="1"/>
  <c r="M11" i="5"/>
  <c r="N11" i="5"/>
  <c r="A11" i="5" s="1"/>
  <c r="M9" i="5"/>
  <c r="N9" i="5"/>
  <c r="A9" i="5" s="1"/>
  <c r="M16" i="5"/>
  <c r="N16" i="5"/>
  <c r="A16" i="5" s="1"/>
  <c r="M12" i="5"/>
  <c r="N12" i="5"/>
  <c r="A12" i="5" s="1"/>
  <c r="N10" i="5"/>
  <c r="A10" i="5" s="1"/>
  <c r="N20" i="5"/>
  <c r="A20" i="5" s="1"/>
  <c r="M17" i="5"/>
  <c r="N17" i="5"/>
  <c r="A17" i="5" s="1"/>
  <c r="T4" i="5"/>
  <c r="M10" i="5"/>
  <c r="N10" i="4"/>
  <c r="N8" i="4"/>
  <c r="M7" i="5"/>
  <c r="M14" i="5"/>
  <c r="N7" i="4"/>
  <c r="N5" i="1"/>
  <c r="M20" i="5"/>
  <c r="A5" i="1"/>
  <c r="M19" i="5"/>
  <c r="N16" i="1"/>
  <c r="N8" i="1"/>
  <c r="N14" i="1"/>
  <c r="N17" i="4"/>
  <c r="M5" i="5"/>
  <c r="N11" i="4"/>
  <c r="U4" i="1"/>
  <c r="N13" i="4"/>
  <c r="M6" i="5"/>
  <c r="N17" i="1"/>
  <c r="N16" i="4"/>
  <c r="A18" i="9" l="1"/>
  <c r="F18" i="9" s="1"/>
  <c r="N4" i="1"/>
  <c r="A4" i="1"/>
  <c r="O4" i="4"/>
  <c r="N4" i="4"/>
  <c r="A4" i="4"/>
  <c r="M4" i="5"/>
  <c r="N4" i="5"/>
  <c r="O4" i="1"/>
  <c r="A5" i="5"/>
  <c r="A4" i="5" s="1"/>
  <c r="A19" i="9" l="1"/>
  <c r="F19" i="9" s="1"/>
  <c r="D1" i="50"/>
  <c r="A1" i="50"/>
  <c r="E1" i="50"/>
  <c r="C1" i="50"/>
  <c r="A20" i="9" l="1"/>
  <c r="F20" i="9" s="1"/>
  <c r="A21" i="9" l="1"/>
  <c r="F21" i="9" s="1"/>
  <c r="A22" i="9" l="1"/>
  <c r="F22" i="9" s="1"/>
  <c r="A23" i="9" l="1"/>
  <c r="F23" i="9" s="1"/>
  <c r="A24" i="9" l="1"/>
  <c r="F24" i="9" s="1"/>
  <c r="G24" i="9" s="1"/>
  <c r="G22" i="9" l="1"/>
  <c r="G23" i="9"/>
  <c r="G10" i="9" l="1"/>
  <c r="G11" i="9" l="1"/>
  <c r="G12" i="9" l="1"/>
  <c r="G13" i="9" l="1"/>
  <c r="G14" i="9" l="1"/>
  <c r="G15" i="9" l="1"/>
  <c r="G16" i="9" l="1"/>
  <c r="G17" i="9" l="1"/>
  <c r="G18" i="9" l="1"/>
  <c r="G19" i="9" l="1"/>
  <c r="G20" i="9" l="1"/>
  <c r="G21" i="9" l="1"/>
  <c r="G3" i="9"/>
  <c r="G4" i="9" l="1"/>
  <c r="G5" i="9" s="1"/>
  <c r="G6" i="9" s="1"/>
  <c r="G7" i="9" l="1"/>
  <c r="G8" i="9" s="1"/>
  <c r="G9" i="9" s="1"/>
</calcChain>
</file>

<file path=xl/comments1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Thiện lấy chào hàng
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
KH Lẻ-C. Mai 1
</t>
        </r>
      </text>
    </comment>
    <comment ref="P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P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XM Phú</t>
        </r>
      </text>
    </comment>
    <comment ref="P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Thư Ngọng 1</t>
        </r>
      </text>
    </comment>
    <comment ref="P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R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
</t>
        </r>
      </text>
    </comment>
    <comment ref="P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
</t>
        </r>
      </text>
    </comment>
    <comment ref="P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 1
KH Lẻ C. Mai 1</t>
        </r>
      </text>
    </comment>
    <comment ref="R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</commentList>
</comments>
</file>

<file path=xl/sharedStrings.xml><?xml version="1.0" encoding="utf-8"?>
<sst xmlns="http://schemas.openxmlformats.org/spreadsheetml/2006/main" count="639" uniqueCount="172">
  <si>
    <t>STT</t>
  </si>
  <si>
    <t>Cá viên HM</t>
  </si>
  <si>
    <t>Cá viên rau củ HM</t>
  </si>
  <si>
    <t>Tôm viên HM</t>
  </si>
  <si>
    <t>Phô mai viên (35v)</t>
  </si>
  <si>
    <t>Phô mai que (13 que)</t>
  </si>
  <si>
    <t>Viên thả lẩu 3 màu</t>
  </si>
  <si>
    <t xml:space="preserve">XX Hotdog DNA </t>
  </si>
  <si>
    <t>XX Phô mai</t>
  </si>
  <si>
    <t>Đậu hủ phô mai</t>
  </si>
  <si>
    <t>Chả giò xốp thịt heo</t>
  </si>
  <si>
    <t>Chả giò rế thịt heo</t>
  </si>
  <si>
    <t>XX Đỏ ĐNA (bao xanh)</t>
  </si>
  <si>
    <t>XX Đỏ ĐNA (bao đỏ)</t>
  </si>
  <si>
    <t>XX Đức HS ĐNA</t>
  </si>
  <si>
    <t>Chả giò xốp hải sản</t>
  </si>
  <si>
    <t>Số lượng</t>
  </si>
  <si>
    <t>Tên hàng</t>
  </si>
  <si>
    <t>Đơn giá</t>
  </si>
  <si>
    <t>Thành tiền</t>
  </si>
  <si>
    <t>Phí vận chuyển/đơn vị</t>
  </si>
  <si>
    <t>Đơn giá sau vận chuyển</t>
  </si>
  <si>
    <t>Giá bán</t>
  </si>
  <si>
    <t>Doanh thu dự kiến</t>
  </si>
  <si>
    <t>Thành tiền sau vận chuyển</t>
  </si>
  <si>
    <t>Trọng lượng</t>
  </si>
  <si>
    <t>Cá viên LC</t>
  </si>
  <si>
    <t>Thanh cua LC</t>
  </si>
  <si>
    <t>XX Yummy LC</t>
  </si>
  <si>
    <t>Mực tẩm bột LC</t>
  </si>
  <si>
    <t>Chả giò Rế tôm mực LC</t>
  </si>
  <si>
    <t>Chả tôm hình Surimi LC</t>
  </si>
  <si>
    <t>Hải sản sốt MAYONNAISE LC (35 viên)</t>
  </si>
  <si>
    <t>Viên thả lẩu răng mực (Hồng)</t>
  </si>
  <si>
    <t>Viên thả lẩu trứng tôm (Vàng)</t>
  </si>
  <si>
    <t>Viên thả lẩu TOMYUM (Tím)</t>
  </si>
  <si>
    <t>Viên thả lẩu phô mai (Xanh lá)</t>
  </si>
  <si>
    <t>Jambon Trắng</t>
  </si>
  <si>
    <t>Jambon Đỏ</t>
  </si>
  <si>
    <t>Cá Viên TVP</t>
  </si>
  <si>
    <t>Cá Viên TVP nhỏ</t>
  </si>
  <si>
    <t>Tôm viên TVP</t>
  </si>
  <si>
    <t>Tôm viên TVP nhỏ</t>
  </si>
  <si>
    <t>Bò viên TVP</t>
  </si>
  <si>
    <t>Bò viên TVP nhỏ</t>
  </si>
  <si>
    <t>XX MUNICH (10 Cây)</t>
  </si>
  <si>
    <t>XX Hồ lô</t>
  </si>
  <si>
    <t>Giò Thủ bì</t>
  </si>
  <si>
    <t>Nem nướng</t>
  </si>
  <si>
    <t>XX BERLING (10 Cây)</t>
  </si>
  <si>
    <t>XX COCKTAIL (26 Cây)</t>
  </si>
  <si>
    <t>Jambon Đỏ TX</t>
  </si>
  <si>
    <t>Giò lụa Bò</t>
  </si>
  <si>
    <t>Giò lụa lá</t>
  </si>
  <si>
    <t>Hộp</t>
  </si>
  <si>
    <t>Vỉ</t>
  </si>
  <si>
    <t>Quy cách</t>
  </si>
  <si>
    <t>500gr</t>
  </si>
  <si>
    <t>Giá</t>
  </si>
  <si>
    <t>Viên thả lẩu Gà nướng mật ong (Đỏ)</t>
  </si>
  <si>
    <t>HÀNG NHẬP 16/12</t>
  </si>
  <si>
    <t>Tồn</t>
  </si>
  <si>
    <t>Hoành thánh chiên 500gr (60 viên)</t>
  </si>
  <si>
    <t>Giá nhập/Kg</t>
  </si>
  <si>
    <t>250gr</t>
  </si>
  <si>
    <t>1kg</t>
  </si>
  <si>
    <t>200gr</t>
  </si>
  <si>
    <t>THỰC PHẨM CAO CẤP CỦA TVP FOODS</t>
  </si>
  <si>
    <t>Cá viên rau củ TVP</t>
  </si>
  <si>
    <t>Chả giò Rế thịt heo</t>
  </si>
  <si>
    <t>MT10</t>
  </si>
  <si>
    <t>MT11</t>
  </si>
  <si>
    <t>MT12</t>
  </si>
  <si>
    <t>MT13</t>
  </si>
  <si>
    <t>MT14</t>
  </si>
  <si>
    <t>MT15</t>
  </si>
  <si>
    <t>MT16</t>
  </si>
  <si>
    <t>MT17</t>
  </si>
  <si>
    <t>MT18</t>
  </si>
  <si>
    <t>MT19</t>
  </si>
  <si>
    <t>MT20</t>
  </si>
  <si>
    <t>MT21</t>
  </si>
  <si>
    <t>MT22</t>
  </si>
  <si>
    <t>MT23</t>
  </si>
  <si>
    <t>MT24</t>
  </si>
  <si>
    <t>MT25</t>
  </si>
  <si>
    <t>MT26</t>
  </si>
  <si>
    <t>MT27</t>
  </si>
  <si>
    <t>MT28</t>
  </si>
  <si>
    <t>MT29</t>
  </si>
  <si>
    <t>MT30</t>
  </si>
  <si>
    <t>MT31</t>
  </si>
  <si>
    <t>MT32</t>
  </si>
  <si>
    <t>MT33</t>
  </si>
  <si>
    <t>MT34</t>
  </si>
  <si>
    <t>MT35</t>
  </si>
  <si>
    <t>MT36</t>
  </si>
  <si>
    <t>MT37</t>
  </si>
  <si>
    <t>MT38</t>
  </si>
  <si>
    <t>MT39</t>
  </si>
  <si>
    <t>MT40</t>
  </si>
  <si>
    <t>MT41</t>
  </si>
  <si>
    <t>MT42</t>
  </si>
  <si>
    <t>MT43</t>
  </si>
  <si>
    <t>MT44</t>
  </si>
  <si>
    <t>MT45</t>
  </si>
  <si>
    <t>MT46</t>
  </si>
  <si>
    <t>Trật tự</t>
  </si>
  <si>
    <t>Mã Hàng</t>
  </si>
  <si>
    <t>MT01</t>
  </si>
  <si>
    <t>MT02</t>
  </si>
  <si>
    <t>MT03</t>
  </si>
  <si>
    <t>MT04</t>
  </si>
  <si>
    <t>MT05</t>
  </si>
  <si>
    <t>MT06</t>
  </si>
  <si>
    <t>MT07</t>
  </si>
  <si>
    <t>MT08</t>
  </si>
  <si>
    <t>MT09</t>
  </si>
  <si>
    <t>Giá  bán</t>
  </si>
  <si>
    <t>Mã hàng</t>
  </si>
  <si>
    <t>Sản lượng bán</t>
  </si>
  <si>
    <t>Tiền hàng danh nghĩa</t>
  </si>
  <si>
    <t>Tiền hàng thực</t>
  </si>
  <si>
    <t>Doanh thu tích lũy</t>
  </si>
  <si>
    <t>Giá sau vận chuyển</t>
  </si>
  <si>
    <t>Tiền lời</t>
  </si>
  <si>
    <t>Hải sản sốt Cam</t>
  </si>
  <si>
    <t>MT47</t>
  </si>
  <si>
    <t>Giá trị hàng tồn
(Theo giá nhập)</t>
  </si>
  <si>
    <t>Poster Menu</t>
  </si>
  <si>
    <t>Mượn tiền sữa</t>
  </si>
  <si>
    <t>Bàn ghế</t>
  </si>
  <si>
    <t xml:space="preserve">Văn phòng phẩm </t>
  </si>
  <si>
    <t>Ổ khóa</t>
  </si>
  <si>
    <t>Mượn tiền hàng</t>
  </si>
  <si>
    <t>Ghế</t>
  </si>
  <si>
    <t xml:space="preserve">Biển quảng cáo trả mẹ </t>
  </si>
  <si>
    <t>Tiền bị</t>
  </si>
  <si>
    <t>Cây lau nhà</t>
  </si>
  <si>
    <t>Trái cây</t>
  </si>
  <si>
    <t>chi phí</t>
  </si>
  <si>
    <t>Lời đã KM</t>
  </si>
  <si>
    <t>bán Lời chưa KM</t>
  </si>
  <si>
    <t>XX nhân Phô Mai</t>
  </si>
  <si>
    <t>Cốm xanh</t>
  </si>
  <si>
    <t>MT48</t>
  </si>
  <si>
    <t>Cá sốt cam</t>
  </si>
  <si>
    <t>MT49</t>
  </si>
  <si>
    <t>Bò lá lốt</t>
  </si>
  <si>
    <t>MT50</t>
  </si>
  <si>
    <t>Hư hao
&amp; Xuất mẫu</t>
  </si>
  <si>
    <t>Ốc nhồi Hải sản</t>
  </si>
  <si>
    <t>Hoành thánh chiên (60 viên)</t>
  </si>
  <si>
    <t>Tiền còn lại</t>
  </si>
  <si>
    <t>Chi phí lặt vặt</t>
  </si>
  <si>
    <t>Trừ tiền hàng &amp; chi phí</t>
  </si>
  <si>
    <t>Tiền hàng</t>
  </si>
  <si>
    <t>Tổng vốn</t>
  </si>
  <si>
    <t>Tiền trong thẻ</t>
  </si>
  <si>
    <t>426-350</t>
  </si>
  <si>
    <t>Poster Menu lần 2</t>
  </si>
  <si>
    <t>Chị Thanh</t>
  </si>
  <si>
    <t>Cô Bé Ken</t>
  </si>
  <si>
    <t>Cô Nghĩa</t>
  </si>
  <si>
    <t>Luận (Tâm Ách)</t>
  </si>
  <si>
    <t>Trân</t>
  </si>
  <si>
    <t>PHÚ</t>
  </si>
  <si>
    <t>kh lẻ</t>
  </si>
  <si>
    <t>Bác Gái</t>
  </si>
  <si>
    <t>Cô Lệ</t>
  </si>
  <si>
    <t>Ba</t>
  </si>
  <si>
    <t>Thư Ngọng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</si>
</sst>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3" formatCode="_(* #,##0.00_);_(* \(#,##0.00\);_(* &quot;-&quot;??_);_(@_)"/>
    <numFmt numFmtId="164" formatCode="0.0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rgb="FFFF0000"/>
      <name val="Times New Roman"/>
      <family val="1"/>
    </font>
    <font>
      <b/>
      <sz val="14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20"/>
      <color rgb="FFFF0000"/>
      <name val="Calibri"/>
      <family val="2"/>
    </font>
    <font>
      <b/>
      <sz val="18"/>
      <color theme="1"/>
      <name val="Times New Roman"/>
      <family val="1"/>
    </font>
    <font>
      <sz val="20"/>
      <color rgb="FFFF0000"/>
      <name val="Times New Roman"/>
      <family val="1"/>
    </font>
    <font>
      <b/>
      <sz val="10"/>
      <color theme="1"/>
      <name val="Times New Roman"/>
      <family val="1"/>
    </font>
    <font>
      <b/>
      <sz val="22"/>
      <color rgb="FFFF0000"/>
      <name val="Times New Roman"/>
      <family val="1"/>
    </font>
    <font>
      <sz val="14"/>
      <color theme="1"/>
      <name val="Times New Roman"/>
      <family val="1"/>
    </font>
    <font>
      <sz val="20"/>
      <color theme="1"/>
      <name val="Times New Roman"/>
      <family val="1"/>
    </font>
    <font>
      <b/>
      <sz val="20"/>
      <color theme="1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2">
    <xf numFmtId="0" fontId="0" fillId="0" borderId="0" xfId="0"/>
    <xf numFmtId="0" fontId="2" fillId="0" borderId="0" xfId="1" applyNumberFormat="1" applyFont="1" applyAlignment="1">
      <alignment horizontal="center" vertical="center"/>
    </xf>
    <xf numFmtId="41" fontId="4" fillId="0" borderId="0" xfId="1" applyFont="1"/>
    <xf numFmtId="41" fontId="5" fillId="0" borderId="1" xfId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center"/>
    </xf>
    <xf numFmtId="41" fontId="5" fillId="0" borderId="1" xfId="1" applyFont="1" applyBorder="1" applyAlignment="1">
      <alignment horizontal="center" vertical="center" wrapText="1"/>
    </xf>
    <xf numFmtId="0" fontId="4" fillId="0" borderId="1" xfId="1" applyNumberFormat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top"/>
    </xf>
    <xf numFmtId="9" fontId="7" fillId="0" borderId="0" xfId="2" applyFont="1" applyAlignment="1">
      <alignment horizontal="center" vertical="center"/>
    </xf>
    <xf numFmtId="41" fontId="5" fillId="3" borderId="1" xfId="1" applyFont="1" applyFill="1" applyBorder="1" applyAlignment="1">
      <alignment horizontal="center" vertical="center" wrapText="1"/>
    </xf>
    <xf numFmtId="41" fontId="6" fillId="2" borderId="1" xfId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horizontal="center" vertical="center" wrapText="1"/>
    </xf>
    <xf numFmtId="41" fontId="5" fillId="3" borderId="1" xfId="1" applyFont="1" applyFill="1" applyBorder="1" applyAlignment="1">
      <alignment horizontal="center" vertical="top" wrapText="1"/>
    </xf>
    <xf numFmtId="41" fontId="7" fillId="0" borderId="0" xfId="1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41" fontId="2" fillId="0" borderId="1" xfId="1" applyFont="1" applyBorder="1" applyAlignment="1">
      <alignment vertical="center"/>
    </xf>
    <xf numFmtId="41" fontId="2" fillId="4" borderId="1" xfId="1" applyFont="1" applyFill="1" applyBorder="1" applyAlignment="1">
      <alignment vertical="center"/>
    </xf>
    <xf numFmtId="41" fontId="2" fillId="6" borderId="1" xfId="1" applyFont="1" applyFill="1" applyBorder="1" applyAlignment="1">
      <alignment vertical="center"/>
    </xf>
    <xf numFmtId="41" fontId="5" fillId="0" borderId="1" xfId="1" applyFont="1" applyBorder="1" applyAlignment="1">
      <alignment horizontal="center" vertical="top"/>
    </xf>
    <xf numFmtId="41" fontId="6" fillId="9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41" fontId="5" fillId="6" borderId="1" xfId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41" fontId="5" fillId="4" borderId="1" xfId="1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41" fontId="5" fillId="6" borderId="0" xfId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41" fontId="9" fillId="8" borderId="1" xfId="1" applyFont="1" applyFill="1" applyBorder="1" applyAlignment="1">
      <alignment horizontal="center" vertical="center"/>
    </xf>
    <xf numFmtId="41" fontId="5" fillId="0" borderId="1" xfId="1" quotePrefix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41" fontId="5" fillId="4" borderId="1" xfId="1" quotePrefix="1" applyFont="1" applyFill="1" applyBorder="1" applyAlignment="1">
      <alignment horizontal="center" vertical="center"/>
    </xf>
    <xf numFmtId="41" fontId="5" fillId="10" borderId="1" xfId="1" applyFont="1" applyFill="1" applyBorder="1" applyAlignment="1">
      <alignment horizontal="center" vertical="top"/>
    </xf>
    <xf numFmtId="41" fontId="5" fillId="4" borderId="1" xfId="1" applyFont="1" applyFill="1" applyBorder="1" applyAlignment="1">
      <alignment horizontal="center" vertical="top"/>
    </xf>
    <xf numFmtId="41" fontId="3" fillId="0" borderId="1" xfId="1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1" xfId="0" applyFont="1" applyBorder="1"/>
    <xf numFmtId="41" fontId="8" fillId="0" borderId="1" xfId="1" applyFont="1" applyBorder="1" applyAlignment="1">
      <alignment horizontal="center" vertical="center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vertical="center"/>
    </xf>
    <xf numFmtId="41" fontId="12" fillId="0" borderId="0" xfId="1" applyFont="1" applyAlignment="1" applyProtection="1">
      <alignment vertical="center"/>
    </xf>
    <xf numFmtId="41" fontId="13" fillId="0" borderId="0" xfId="0" applyNumberFormat="1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 applyProtection="1">
      <alignment vertical="center"/>
      <protection locked="0"/>
    </xf>
    <xf numFmtId="41" fontId="8" fillId="0" borderId="0" xfId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vertical="center" wrapText="1"/>
    </xf>
    <xf numFmtId="41" fontId="3" fillId="0" borderId="0" xfId="1" applyFont="1" applyAlignment="1">
      <alignment horizontal="center" vertical="center"/>
    </xf>
    <xf numFmtId="41" fontId="5" fillId="0" borderId="0" xfId="1" applyFont="1" applyAlignment="1">
      <alignment horizontal="center" vertical="center"/>
    </xf>
    <xf numFmtId="41" fontId="2" fillId="0" borderId="0" xfId="1" quotePrefix="1" applyFont="1" applyAlignment="1">
      <alignment horizontal="center" vertical="center"/>
    </xf>
    <xf numFmtId="41" fontId="6" fillId="4" borderId="1" xfId="1" applyFont="1" applyFill="1" applyBorder="1" applyAlignment="1">
      <alignment horizontal="center" vertical="center"/>
    </xf>
    <xf numFmtId="41" fontId="5" fillId="4" borderId="1" xfId="1" applyNumberFormat="1" applyFont="1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41" fontId="3" fillId="0" borderId="0" xfId="1" applyFont="1" applyAlignment="1">
      <alignment vertical="top"/>
    </xf>
    <xf numFmtId="41" fontId="5" fillId="9" borderId="1" xfId="1" applyFont="1" applyFill="1" applyBorder="1" applyAlignment="1">
      <alignment horizontal="center" vertical="top"/>
    </xf>
    <xf numFmtId="41" fontId="6" fillId="2" borderId="1" xfId="1" applyFont="1" applyFill="1" applyBorder="1" applyAlignment="1">
      <alignment horizontal="center" vertical="top"/>
    </xf>
    <xf numFmtId="41" fontId="9" fillId="10" borderId="1" xfId="1" applyFont="1" applyFill="1" applyBorder="1" applyAlignment="1">
      <alignment horizontal="center" vertical="top"/>
    </xf>
    <xf numFmtId="41" fontId="3" fillId="0" borderId="0" xfId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vertical="top"/>
    </xf>
    <xf numFmtId="41" fontId="2" fillId="0" borderId="0" xfId="1" applyFont="1" applyAlignment="1">
      <alignment horizontal="center" vertical="top"/>
    </xf>
    <xf numFmtId="0" fontId="3" fillId="0" borderId="0" xfId="2" applyNumberFormat="1" applyFont="1" applyAlignment="1">
      <alignment horizontal="left" vertical="top"/>
    </xf>
    <xf numFmtId="41" fontId="3" fillId="0" borderId="0" xfId="0" applyNumberFormat="1" applyFont="1" applyAlignment="1">
      <alignment horizontal="left" vertical="top"/>
    </xf>
    <xf numFmtId="41" fontId="0" fillId="0" borderId="0" xfId="1" applyFont="1"/>
    <xf numFmtId="41" fontId="4" fillId="0" borderId="0" xfId="0" applyNumberFormat="1" applyFont="1" applyAlignment="1">
      <alignment horizontal="center" vertical="center"/>
    </xf>
    <xf numFmtId="41" fontId="2" fillId="0" borderId="0" xfId="1" applyFont="1" applyAlignment="1">
      <alignment horizontal="center" vertical="center" wrapText="1"/>
    </xf>
    <xf numFmtId="41" fontId="16" fillId="0" borderId="0" xfId="0" applyNumberFormat="1" applyFont="1" applyAlignment="1">
      <alignment horizontal="center" vertical="center"/>
    </xf>
    <xf numFmtId="164" fontId="8" fillId="0" borderId="0" xfId="2" applyNumberFormat="1" applyFont="1" applyBorder="1" applyAlignment="1">
      <alignment horizontal="center" vertical="center"/>
    </xf>
    <xf numFmtId="41" fontId="6" fillId="7" borderId="1" xfId="1" applyFont="1" applyFill="1" applyBorder="1" applyAlignment="1">
      <alignment horizontal="center" vertical="top"/>
    </xf>
    <xf numFmtId="41" fontId="5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  <protection hidden="1"/>
    </xf>
    <xf numFmtId="0" fontId="12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11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horizontal="center" vertical="top"/>
    </xf>
    <xf numFmtId="0" fontId="7" fillId="0" borderId="0" xfId="0" applyFont="1" applyAlignment="1" applyProtection="1">
      <alignment horizontal="center" vertical="center"/>
      <protection locked="0"/>
    </xf>
    <xf numFmtId="41" fontId="5" fillId="4" borderId="1" xfId="1" quotePrefix="1" applyFont="1" applyFill="1" applyBorder="1" applyAlignment="1">
      <alignment horizontal="center" vertical="center" wrapText="1"/>
    </xf>
    <xf numFmtId="41" fontId="4" fillId="6" borderId="1" xfId="1" applyFont="1" applyFill="1" applyBorder="1" applyAlignment="1">
      <alignment horizontal="center" vertical="center"/>
    </xf>
    <xf numFmtId="41" fontId="19" fillId="0" borderId="1" xfId="1" applyFont="1" applyBorder="1" applyAlignment="1">
      <alignment horizontal="center" vertical="center"/>
    </xf>
    <xf numFmtId="41" fontId="3" fillId="0" borderId="0" xfId="1" applyFont="1" applyAlignment="1">
      <alignment vertical="center"/>
    </xf>
    <xf numFmtId="41" fontId="2" fillId="7" borderId="0" xfId="1" applyFont="1" applyFill="1" applyAlignment="1">
      <alignment horizontal="center" vertical="center"/>
    </xf>
    <xf numFmtId="41" fontId="4" fillId="0" borderId="1" xfId="1" applyFont="1" applyBorder="1" applyAlignment="1">
      <alignment vertical="center"/>
    </xf>
    <xf numFmtId="0" fontId="4" fillId="0" borderId="1" xfId="1" applyNumberFormat="1" applyFont="1" applyBorder="1" applyAlignment="1">
      <alignment vertical="center"/>
    </xf>
    <xf numFmtId="0" fontId="4" fillId="2" borderId="1" xfId="1" applyNumberFormat="1" applyFont="1" applyFill="1" applyBorder="1" applyAlignment="1">
      <alignment vertical="center"/>
    </xf>
    <xf numFmtId="41" fontId="5" fillId="2" borderId="1" xfId="1" applyFont="1" applyFill="1" applyBorder="1" applyAlignment="1">
      <alignment vertical="center"/>
    </xf>
    <xf numFmtId="43" fontId="4" fillId="3" borderId="1" xfId="1" applyNumberFormat="1" applyFont="1" applyFill="1" applyBorder="1" applyAlignment="1">
      <alignment vertical="center"/>
    </xf>
    <xf numFmtId="41" fontId="4" fillId="3" borderId="1" xfId="1" applyFont="1" applyFill="1" applyBorder="1" applyAlignment="1">
      <alignment vertical="center"/>
    </xf>
    <xf numFmtId="0" fontId="6" fillId="4" borderId="1" xfId="1" applyNumberFormat="1" applyFont="1" applyFill="1" applyBorder="1" applyAlignment="1">
      <alignment vertical="center"/>
    </xf>
    <xf numFmtId="41" fontId="5" fillId="10" borderId="1" xfId="1" applyFont="1" applyFill="1" applyBorder="1" applyAlignment="1">
      <alignment vertical="center"/>
    </xf>
    <xf numFmtId="0" fontId="5" fillId="9" borderId="1" xfId="1" applyNumberFormat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vertical="center"/>
    </xf>
    <xf numFmtId="41" fontId="9" fillId="10" borderId="1" xfId="1" applyFont="1" applyFill="1" applyBorder="1" applyAlignment="1">
      <alignment vertical="center"/>
    </xf>
    <xf numFmtId="41" fontId="4" fillId="0" borderId="0" xfId="1" applyFont="1" applyAlignment="1">
      <alignment vertical="center"/>
    </xf>
    <xf numFmtId="41" fontId="4" fillId="2" borderId="1" xfId="1" applyFont="1" applyFill="1" applyBorder="1" applyAlignment="1">
      <alignment vertical="center"/>
    </xf>
    <xf numFmtId="41" fontId="8" fillId="2" borderId="1" xfId="1" applyFont="1" applyFill="1" applyBorder="1" applyAlignment="1">
      <alignment vertical="center"/>
    </xf>
    <xf numFmtId="41" fontId="4" fillId="8" borderId="1" xfId="1" applyFont="1" applyFill="1" applyBorder="1" applyAlignment="1">
      <alignment vertical="center"/>
    </xf>
    <xf numFmtId="41" fontId="3" fillId="0" borderId="1" xfId="1" applyFont="1" applyBorder="1" applyAlignment="1">
      <alignment vertical="center"/>
    </xf>
    <xf numFmtId="0" fontId="5" fillId="2" borderId="1" xfId="1" applyNumberFormat="1" applyFont="1" applyFill="1" applyBorder="1" applyAlignment="1">
      <alignment vertical="center"/>
    </xf>
    <xf numFmtId="41" fontId="9" fillId="4" borderId="1" xfId="1" applyFont="1" applyFill="1" applyBorder="1" applyAlignment="1">
      <alignment horizontal="center" vertical="top"/>
    </xf>
    <xf numFmtId="41" fontId="6" fillId="4" borderId="1" xfId="1" applyFont="1" applyFill="1" applyBorder="1" applyAlignment="1">
      <alignment horizontal="center" vertical="top"/>
    </xf>
    <xf numFmtId="0" fontId="4" fillId="6" borderId="1" xfId="0" applyFont="1" applyFill="1" applyBorder="1"/>
    <xf numFmtId="0" fontId="8" fillId="6" borderId="0" xfId="1" applyNumberFormat="1" applyFont="1" applyFill="1" applyBorder="1" applyAlignment="1">
      <alignment horizontal="center" vertical="center"/>
    </xf>
    <xf numFmtId="41" fontId="8" fillId="6" borderId="0" xfId="1" applyFont="1" applyFill="1" applyBorder="1" applyAlignment="1">
      <alignment horizontal="center" vertical="center"/>
    </xf>
    <xf numFmtId="41" fontId="4" fillId="6" borderId="0" xfId="1" applyFont="1" applyFill="1"/>
    <xf numFmtId="0" fontId="4" fillId="6" borderId="0" xfId="0" applyFont="1" applyFill="1"/>
    <xf numFmtId="41" fontId="7" fillId="0" borderId="0" xfId="1" applyFont="1" applyAlignment="1">
      <alignment vertical="top"/>
    </xf>
    <xf numFmtId="0" fontId="20" fillId="7" borderId="0" xfId="0" applyFont="1" applyFill="1"/>
    <xf numFmtId="0" fontId="20" fillId="16" borderId="0" xfId="0" applyFont="1" applyFill="1"/>
    <xf numFmtId="0" fontId="20" fillId="14" borderId="0" xfId="0" applyFont="1" applyFill="1"/>
    <xf numFmtId="0" fontId="20" fillId="17" borderId="0" xfId="0" applyFont="1" applyFill="1"/>
    <xf numFmtId="0" fontId="20" fillId="15" borderId="0" xfId="0" applyFont="1" applyFill="1"/>
    <xf numFmtId="0" fontId="20" fillId="18" borderId="0" xfId="0" applyFont="1" applyFill="1"/>
    <xf numFmtId="0" fontId="21" fillId="7" borderId="1" xfId="0" applyFont="1" applyFill="1" applyBorder="1"/>
    <xf numFmtId="41" fontId="21" fillId="16" borderId="1" xfId="0" applyNumberFormat="1" applyFont="1" applyFill="1" applyBorder="1"/>
    <xf numFmtId="41" fontId="21" fillId="14" borderId="1" xfId="0" applyNumberFormat="1" applyFont="1" applyFill="1" applyBorder="1"/>
    <xf numFmtId="0" fontId="21" fillId="17" borderId="1" xfId="0" applyFont="1" applyFill="1" applyBorder="1"/>
    <xf numFmtId="0" fontId="21" fillId="15" borderId="1" xfId="0" applyFont="1" applyFill="1" applyBorder="1"/>
    <xf numFmtId="41" fontId="21" fillId="18" borderId="1" xfId="0" applyNumberFormat="1" applyFont="1" applyFill="1" applyBorder="1"/>
    <xf numFmtId="0" fontId="21" fillId="0" borderId="0" xfId="0" applyFont="1" applyAlignment="1">
      <alignment horizontal="center" vertical="center"/>
    </xf>
    <xf numFmtId="41" fontId="4" fillId="0" borderId="0" xfId="0" applyNumberFormat="1" applyFont="1"/>
    <xf numFmtId="41" fontId="2" fillId="7" borderId="0" xfId="1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18" fillId="13" borderId="0" xfId="0" applyNumberFormat="1" applyFont="1" applyFill="1" applyAlignment="1">
      <alignment horizontal="center" vertical="center"/>
    </xf>
    <xf numFmtId="0" fontId="18" fillId="13" borderId="2" xfId="0" applyFont="1" applyFill="1" applyBorder="1" applyAlignment="1">
      <alignment horizontal="center" vertical="center"/>
    </xf>
    <xf numFmtId="41" fontId="9" fillId="0" borderId="0" xfId="0" applyNumberFormat="1" applyFont="1" applyAlignment="1">
      <alignment horizontal="center" vertical="center" wrapText="1"/>
    </xf>
    <xf numFmtId="41" fontId="9" fillId="0" borderId="2" xfId="0" applyNumberFormat="1" applyFont="1" applyBorder="1" applyAlignment="1">
      <alignment horizontal="center" vertical="center" wrapText="1"/>
    </xf>
    <xf numFmtId="41" fontId="7" fillId="12" borderId="1" xfId="0" applyNumberFormat="1" applyFont="1" applyFill="1" applyBorder="1" applyAlignment="1">
      <alignment horizontal="center" vertical="center" wrapText="1"/>
    </xf>
    <xf numFmtId="41" fontId="7" fillId="7" borderId="1" xfId="0" applyNumberFormat="1" applyFont="1" applyFill="1" applyBorder="1" applyAlignment="1">
      <alignment horizontal="center" vertical="center" wrapText="1"/>
    </xf>
    <xf numFmtId="41" fontId="18" fillId="7" borderId="1" xfId="0" applyNumberFormat="1" applyFont="1" applyFill="1" applyBorder="1" applyAlignment="1">
      <alignment horizontal="center" vertical="center"/>
    </xf>
  </cellXfs>
  <cellStyles count="3">
    <cellStyle name="Comma [0]" xfId="1" builtinId="6"/>
    <cellStyle name="Normal" xfId="0" builtinId="0"/>
    <cellStyle name="Percent" xfId="2" builtinId="5"/>
  </cellStyles>
  <dxfs count="8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2"/>
  <sheetViews>
    <sheetView workbookViewId="0">
      <pane xSplit="3" ySplit="4" topLeftCell="L5" activePane="bottomRight" state="frozen"/>
      <selection pane="topRight" activeCell="D1" sqref="D1"/>
      <selection pane="bottomLeft" activeCell="A5" sqref="A5"/>
      <selection pane="bottomRight" activeCell="T11" sqref="T11"/>
    </sheetView>
  </sheetViews>
  <sheetFormatPr defaultRowHeight="15" x14ac:dyDescent="0.25"/>
  <cols>
    <col min="1" max="1" width="16.28515625" style="102" customWidth="1"/>
    <col min="2" max="2" width="7" style="102" customWidth="1"/>
    <col min="3" max="3" width="26.5703125" style="102" bestFit="1" customWidth="1"/>
    <col min="4" max="5" width="9.42578125" style="102" customWidth="1"/>
    <col min="6" max="6" width="11.85546875" style="102" customWidth="1"/>
    <col min="7" max="7" width="16.28515625" style="102" customWidth="1"/>
    <col min="8" max="10" width="14.85546875" style="102" customWidth="1"/>
    <col min="11" max="11" width="10.28515625" style="102" customWidth="1"/>
    <col min="12" max="13" width="16.28515625" style="102" customWidth="1"/>
    <col min="14" max="14" width="10.140625" style="102" bestFit="1" customWidth="1"/>
    <col min="15" max="15" width="12.5703125" style="102" customWidth="1"/>
    <col min="16" max="17" width="5.140625" style="102" customWidth="1"/>
    <col min="18" max="18" width="4.7109375" style="102" bestFit="1" customWidth="1"/>
    <col min="19" max="30" width="5.140625" style="102" customWidth="1"/>
    <col min="31" max="16384" width="9.140625" style="102"/>
  </cols>
  <sheetData>
    <row r="1" spans="1:30" x14ac:dyDescent="0.25">
      <c r="B1" s="143" t="s">
        <v>60</v>
      </c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03"/>
    </row>
    <row r="2" spans="1:30" ht="18.75" customHeight="1" x14ac:dyDescent="0.25">
      <c r="A2" s="1">
        <v>210</v>
      </c>
      <c r="J2" s="13">
        <f>SUMPRODUCT((D5:D19)*(E5:E19))</f>
        <v>184</v>
      </c>
      <c r="K2" s="13">
        <f>L4-J4</f>
        <v>2781.5</v>
      </c>
      <c r="L2" s="8">
        <f>L4/J4-1</f>
        <v>0.18564372956016828</v>
      </c>
      <c r="M2" s="8"/>
      <c r="P2" s="68"/>
    </row>
    <row r="3" spans="1:30" ht="31.5" customHeight="1" x14ac:dyDescent="0.25">
      <c r="A3" s="86" t="s">
        <v>128</v>
      </c>
      <c r="B3" s="3" t="s">
        <v>0</v>
      </c>
      <c r="C3" s="3" t="s">
        <v>17</v>
      </c>
      <c r="D3" s="5" t="s">
        <v>25</v>
      </c>
      <c r="E3" s="5" t="s">
        <v>16</v>
      </c>
      <c r="F3" s="4" t="s">
        <v>18</v>
      </c>
      <c r="G3" s="4" t="s">
        <v>19</v>
      </c>
      <c r="H3" s="9" t="s">
        <v>20</v>
      </c>
      <c r="I3" s="9" t="s">
        <v>21</v>
      </c>
      <c r="J3" s="9" t="s">
        <v>24</v>
      </c>
      <c r="K3" s="69" t="s">
        <v>22</v>
      </c>
      <c r="L3" s="11" t="s">
        <v>23</v>
      </c>
      <c r="M3" s="11" t="s">
        <v>123</v>
      </c>
      <c r="N3" s="35" t="s">
        <v>61</v>
      </c>
      <c r="O3" s="99" t="s">
        <v>150</v>
      </c>
      <c r="P3" s="36">
        <v>17</v>
      </c>
      <c r="Q3" s="38">
        <v>18</v>
      </c>
      <c r="R3" s="36">
        <v>19</v>
      </c>
      <c r="S3" s="38">
        <v>20</v>
      </c>
      <c r="T3" s="36">
        <v>21</v>
      </c>
      <c r="U3" s="38">
        <v>22</v>
      </c>
      <c r="V3" s="36">
        <v>23</v>
      </c>
      <c r="W3" s="38">
        <v>24</v>
      </c>
      <c r="X3" s="36">
        <v>25</v>
      </c>
      <c r="Y3" s="38">
        <v>26</v>
      </c>
      <c r="Z3" s="36">
        <v>27</v>
      </c>
      <c r="AA3" s="38">
        <v>28</v>
      </c>
      <c r="AB3" s="36">
        <v>29</v>
      </c>
      <c r="AC3" s="38">
        <v>30</v>
      </c>
      <c r="AD3" s="36">
        <v>31</v>
      </c>
    </row>
    <row r="4" spans="1:30" s="72" customFormat="1" ht="27" customHeight="1" x14ac:dyDescent="0.25">
      <c r="A4" s="81">
        <f ca="1">SUBTOTAL(9,A5:A22)</f>
        <v>10976.748845867462</v>
      </c>
      <c r="B4" s="19"/>
      <c r="C4" s="19"/>
      <c r="D4" s="19"/>
      <c r="E4" s="19">
        <f>SUBTOTAL(9,E5:E220)</f>
        <v>495</v>
      </c>
      <c r="F4" s="7"/>
      <c r="G4" s="7">
        <f>SUBTOTAL(9,G5:G181)</f>
        <v>14773</v>
      </c>
      <c r="H4" s="12"/>
      <c r="I4" s="12"/>
      <c r="J4" s="12">
        <f>SUBTOTAL(9,J5:J181)</f>
        <v>14983</v>
      </c>
      <c r="K4" s="122"/>
      <c r="L4" s="7">
        <f>SUBTOTAL(9,L5:L181)</f>
        <v>17764.5</v>
      </c>
      <c r="M4" s="7">
        <f ca="1">SUBTOTAL(9,M5:M181)</f>
        <v>4667.5</v>
      </c>
      <c r="N4" s="39">
        <f ca="1">SUBTOTAL(9,N5:N220)</f>
        <v>390</v>
      </c>
      <c r="O4" s="121">
        <f>SUBTOTAL(9,O5:O220)</f>
        <v>2</v>
      </c>
      <c r="P4" s="40">
        <f>SUBTOTAL(9,P5:P220)</f>
        <v>11</v>
      </c>
      <c r="Q4" s="40">
        <f t="shared" ref="Q4:AD4" si="0">SUBTOTAL(9,Q5:Q220)</f>
        <v>3</v>
      </c>
      <c r="R4" s="40">
        <f t="shared" si="0"/>
        <v>34</v>
      </c>
      <c r="S4" s="40">
        <f t="shared" si="0"/>
        <v>29</v>
      </c>
      <c r="T4" s="40">
        <f t="shared" si="0"/>
        <v>19</v>
      </c>
      <c r="U4" s="40">
        <f t="shared" ca="1" si="0"/>
        <v>7</v>
      </c>
      <c r="V4" s="40">
        <f t="shared" si="0"/>
        <v>0</v>
      </c>
      <c r="W4" s="40">
        <f t="shared" si="0"/>
        <v>0</v>
      </c>
      <c r="X4" s="40">
        <f t="shared" si="0"/>
        <v>0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</row>
    <row r="5" spans="1:30" ht="18.75" x14ac:dyDescent="0.25">
      <c r="A5" s="102">
        <f ca="1">I5*N5</f>
        <v>182.55872199282476</v>
      </c>
      <c r="B5" s="6">
        <v>1</v>
      </c>
      <c r="C5" s="104" t="s">
        <v>53</v>
      </c>
      <c r="D5" s="105">
        <v>0.5</v>
      </c>
      <c r="E5" s="104">
        <v>10</v>
      </c>
      <c r="F5" s="106">
        <v>45</v>
      </c>
      <c r="G5" s="107">
        <f t="shared" ref="G5:G19" si="1">F5*E5</f>
        <v>450</v>
      </c>
      <c r="H5" s="108">
        <f t="shared" ref="H5:H19" si="2">((G5/$G$4)*$A$2)/E5</f>
        <v>0.639680498206187</v>
      </c>
      <c r="I5" s="109">
        <f t="shared" ref="I5:I19" si="3">F5+H5</f>
        <v>45.639680498206189</v>
      </c>
      <c r="J5" s="109">
        <f>I5*E5</f>
        <v>456.39680498206189</v>
      </c>
      <c r="K5" s="110">
        <v>54</v>
      </c>
      <c r="L5" s="107">
        <f t="shared" ref="L5:L19" si="4">K5*E5</f>
        <v>540</v>
      </c>
      <c r="M5" s="107">
        <f ca="1">SUMPRODUCT($K5*($P5:$AD5))</f>
        <v>324</v>
      </c>
      <c r="N5" s="111">
        <f ca="1">E5-SUM(P5:AD5)-O5</f>
        <v>4</v>
      </c>
      <c r="O5" s="101"/>
      <c r="P5" s="37">
        <v>1</v>
      </c>
      <c r="Q5" s="41">
        <v>0</v>
      </c>
      <c r="R5" s="41">
        <v>0</v>
      </c>
      <c r="S5" s="41">
        <v>2</v>
      </c>
      <c r="T5" s="41">
        <v>1</v>
      </c>
      <c r="U5" s="41">
        <f ca="1">SUMIFS('Tổng Đơn'!$F:$F,'Tổng Đơn'!$B:$B,TVP!$C5)</f>
        <v>2</v>
      </c>
      <c r="V5" s="41">
        <v>0</v>
      </c>
      <c r="W5" s="41">
        <v>0</v>
      </c>
      <c r="X5" s="41">
        <v>0</v>
      </c>
      <c r="Y5" s="41">
        <v>0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</row>
    <row r="6" spans="1:30" ht="18.75" x14ac:dyDescent="0.25">
      <c r="A6" s="102">
        <f t="shared" ref="A6:A22" ca="1" si="5">I6*N6</f>
        <v>109.53523319569484</v>
      </c>
      <c r="B6" s="6">
        <v>2</v>
      </c>
      <c r="C6" s="104" t="s">
        <v>52</v>
      </c>
      <c r="D6" s="105">
        <v>0.5</v>
      </c>
      <c r="E6" s="104">
        <v>6</v>
      </c>
      <c r="F6" s="106">
        <v>54</v>
      </c>
      <c r="G6" s="107">
        <f t="shared" si="1"/>
        <v>324</v>
      </c>
      <c r="H6" s="108">
        <f t="shared" si="2"/>
        <v>0.76761659784742431</v>
      </c>
      <c r="I6" s="109">
        <f t="shared" si="3"/>
        <v>54.767616597847422</v>
      </c>
      <c r="J6" s="109">
        <f>I6*E6</f>
        <v>328.60569958708453</v>
      </c>
      <c r="K6" s="110">
        <v>65</v>
      </c>
      <c r="L6" s="107">
        <f t="shared" si="4"/>
        <v>390</v>
      </c>
      <c r="M6" s="107">
        <f t="shared" ref="M6:M22" ca="1" si="6">SUMPRODUCT($K6*($P6:$AD6))</f>
        <v>260</v>
      </c>
      <c r="N6" s="111">
        <f t="shared" ref="N6:N22" ca="1" si="7">E6-SUM(P6:AD6)-O6</f>
        <v>2</v>
      </c>
      <c r="O6" s="101"/>
      <c r="P6" s="37">
        <v>0</v>
      </c>
      <c r="Q6" s="41">
        <v>0</v>
      </c>
      <c r="R6" s="41">
        <v>0</v>
      </c>
      <c r="S6" s="41">
        <v>1</v>
      </c>
      <c r="T6" s="41">
        <v>2</v>
      </c>
      <c r="U6" s="41">
        <f ca="1">SUMIFS('Tổng Đơn'!$F:$F,'Tổng Đơn'!$B:$B,TVP!$C6)</f>
        <v>1</v>
      </c>
      <c r="V6" s="41">
        <v>0</v>
      </c>
      <c r="W6" s="41">
        <v>0</v>
      </c>
      <c r="X6" s="41">
        <v>0</v>
      </c>
      <c r="Y6" s="41">
        <v>0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</row>
    <row r="7" spans="1:30" ht="18.75" x14ac:dyDescent="0.25">
      <c r="A7" s="102">
        <f t="shared" ca="1" si="5"/>
        <v>225.15575712448384</v>
      </c>
      <c r="B7" s="6">
        <v>3</v>
      </c>
      <c r="C7" s="104" t="s">
        <v>37</v>
      </c>
      <c r="D7" s="105">
        <v>0.5</v>
      </c>
      <c r="E7" s="104">
        <v>6</v>
      </c>
      <c r="F7" s="106">
        <v>55.5</v>
      </c>
      <c r="G7" s="107">
        <f t="shared" si="1"/>
        <v>333</v>
      </c>
      <c r="H7" s="108">
        <f t="shared" si="2"/>
        <v>0.7889392811209639</v>
      </c>
      <c r="I7" s="109">
        <f t="shared" si="3"/>
        <v>56.28893928112096</v>
      </c>
      <c r="J7" s="109">
        <f t="shared" ref="J7:J19" si="8">I7*E7</f>
        <v>337.73363568672573</v>
      </c>
      <c r="K7" s="110">
        <v>66</v>
      </c>
      <c r="L7" s="107">
        <f t="shared" si="4"/>
        <v>396</v>
      </c>
      <c r="M7" s="107">
        <f t="shared" ca="1" si="6"/>
        <v>132</v>
      </c>
      <c r="N7" s="111">
        <f t="shared" ca="1" si="7"/>
        <v>4</v>
      </c>
      <c r="O7" s="101"/>
      <c r="P7" s="37">
        <v>0</v>
      </c>
      <c r="Q7" s="41">
        <v>0</v>
      </c>
      <c r="R7" s="41">
        <v>1</v>
      </c>
      <c r="S7" s="41">
        <v>1</v>
      </c>
      <c r="T7" s="41">
        <v>0</v>
      </c>
      <c r="U7" s="41">
        <f ca="1">SUMIFS('Tổng Đơn'!$F:$F,'Tổng Đơn'!$B:$B,TVP!$C7)</f>
        <v>0</v>
      </c>
      <c r="V7" s="41">
        <v>0</v>
      </c>
      <c r="W7" s="41">
        <v>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</row>
    <row r="8" spans="1:30" ht="18.75" x14ac:dyDescent="0.25">
      <c r="A8" s="102">
        <f t="shared" ca="1" si="5"/>
        <v>956.91196777905634</v>
      </c>
      <c r="B8" s="6">
        <v>4</v>
      </c>
      <c r="C8" s="104" t="s">
        <v>38</v>
      </c>
      <c r="D8" s="105">
        <v>0.5</v>
      </c>
      <c r="E8" s="104">
        <f>10+20</f>
        <v>30</v>
      </c>
      <c r="F8" s="106">
        <v>55.5</v>
      </c>
      <c r="G8" s="107">
        <f t="shared" si="1"/>
        <v>1665</v>
      </c>
      <c r="H8" s="108">
        <f t="shared" si="2"/>
        <v>0.7889392811209639</v>
      </c>
      <c r="I8" s="109">
        <f t="shared" si="3"/>
        <v>56.28893928112096</v>
      </c>
      <c r="J8" s="109">
        <f t="shared" si="8"/>
        <v>1688.6681784336288</v>
      </c>
      <c r="K8" s="110">
        <v>66</v>
      </c>
      <c r="L8" s="107">
        <f t="shared" si="4"/>
        <v>1980</v>
      </c>
      <c r="M8" s="107">
        <f t="shared" ca="1" si="6"/>
        <v>792</v>
      </c>
      <c r="N8" s="111">
        <f t="shared" ca="1" si="7"/>
        <v>17</v>
      </c>
      <c r="O8" s="101">
        <v>1</v>
      </c>
      <c r="P8" s="100">
        <v>0</v>
      </c>
      <c r="Q8" s="41">
        <v>1</v>
      </c>
      <c r="R8" s="41">
        <v>4</v>
      </c>
      <c r="S8" s="41">
        <v>3</v>
      </c>
      <c r="T8" s="41">
        <v>4</v>
      </c>
      <c r="U8" s="41">
        <f ca="1">SUMIFS('Tổng Đơn'!$F:$F,'Tổng Đơn'!$B:$B,TVP!$C8)</f>
        <v>0</v>
      </c>
      <c r="V8" s="41">
        <v>0</v>
      </c>
      <c r="W8" s="41">
        <v>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</row>
    <row r="9" spans="1:30" ht="18.75" x14ac:dyDescent="0.25">
      <c r="A9" s="102">
        <f t="shared" ca="1" si="5"/>
        <v>1448.2991944764096</v>
      </c>
      <c r="B9" s="6">
        <v>5</v>
      </c>
      <c r="C9" s="104" t="s">
        <v>51</v>
      </c>
      <c r="D9" s="105">
        <v>1</v>
      </c>
      <c r="E9" s="104">
        <f>5+10</f>
        <v>15</v>
      </c>
      <c r="F9" s="106">
        <v>102</v>
      </c>
      <c r="G9" s="107">
        <f t="shared" si="1"/>
        <v>1530</v>
      </c>
      <c r="H9" s="108">
        <f t="shared" si="2"/>
        <v>1.4499424626006905</v>
      </c>
      <c r="I9" s="109">
        <f t="shared" si="3"/>
        <v>103.44994246260069</v>
      </c>
      <c r="J9" s="109">
        <f>I9*E9</f>
        <v>1551.7491369390104</v>
      </c>
      <c r="K9" s="110">
        <v>122</v>
      </c>
      <c r="L9" s="107">
        <f t="shared" si="4"/>
        <v>1830</v>
      </c>
      <c r="M9" s="107">
        <f t="shared" ca="1" si="6"/>
        <v>122</v>
      </c>
      <c r="N9" s="111">
        <f t="shared" ca="1" si="7"/>
        <v>14</v>
      </c>
      <c r="O9" s="101"/>
      <c r="P9" s="37">
        <v>0</v>
      </c>
      <c r="Q9" s="41">
        <v>0</v>
      </c>
      <c r="R9" s="41">
        <v>1</v>
      </c>
      <c r="S9" s="41">
        <v>0</v>
      </c>
      <c r="T9" s="41">
        <v>0</v>
      </c>
      <c r="U9" s="41">
        <f ca="1">SUMIFS('Tổng Đơn'!$F:$F,'Tổng Đơn'!$B:$B,TVP!$C9)</f>
        <v>0</v>
      </c>
      <c r="V9" s="41">
        <v>0</v>
      </c>
      <c r="W9" s="41">
        <v>0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</row>
    <row r="10" spans="1:30" ht="18.75" x14ac:dyDescent="0.25">
      <c r="A10" s="102">
        <f t="shared" ca="1" si="5"/>
        <v>806.30102213497594</v>
      </c>
      <c r="B10" s="6">
        <v>6</v>
      </c>
      <c r="C10" s="104" t="s">
        <v>39</v>
      </c>
      <c r="D10" s="105">
        <v>0.5</v>
      </c>
      <c r="E10" s="104">
        <f>10+30</f>
        <v>40</v>
      </c>
      <c r="F10" s="106">
        <v>26.5</v>
      </c>
      <c r="G10" s="107">
        <f t="shared" si="1"/>
        <v>1060</v>
      </c>
      <c r="H10" s="108">
        <f t="shared" si="2"/>
        <v>0.37670073783253233</v>
      </c>
      <c r="I10" s="109">
        <f t="shared" si="3"/>
        <v>26.876700737832532</v>
      </c>
      <c r="J10" s="109">
        <f t="shared" si="8"/>
        <v>1075.0680295133013</v>
      </c>
      <c r="K10" s="110">
        <v>32</v>
      </c>
      <c r="L10" s="107">
        <f t="shared" si="4"/>
        <v>1280</v>
      </c>
      <c r="M10" s="107">
        <f t="shared" ca="1" si="6"/>
        <v>320</v>
      </c>
      <c r="N10" s="111">
        <f t="shared" ca="1" si="7"/>
        <v>30</v>
      </c>
      <c r="O10" s="101"/>
      <c r="P10" s="37">
        <v>2</v>
      </c>
      <c r="Q10" s="41">
        <v>2</v>
      </c>
      <c r="R10" s="41">
        <v>4</v>
      </c>
      <c r="S10" s="41">
        <v>2</v>
      </c>
      <c r="T10" s="41">
        <v>0</v>
      </c>
      <c r="U10" s="41">
        <f ca="1">SUMIFS('Tổng Đơn'!$F:$F,'Tổng Đơn'!$B:$B,TVP!$C10)</f>
        <v>0</v>
      </c>
      <c r="V10" s="41">
        <v>0</v>
      </c>
      <c r="W10" s="41">
        <v>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</row>
    <row r="11" spans="1:30" ht="18.75" x14ac:dyDescent="0.25">
      <c r="A11" s="102">
        <f t="shared" ca="1" si="5"/>
        <v>931.45516821227909</v>
      </c>
      <c r="B11" s="6">
        <v>7</v>
      </c>
      <c r="C11" s="104" t="s">
        <v>40</v>
      </c>
      <c r="D11" s="105">
        <v>0.2</v>
      </c>
      <c r="E11" s="104">
        <f>15+75</f>
        <v>90</v>
      </c>
      <c r="F11" s="106">
        <v>11.2</v>
      </c>
      <c r="G11" s="107">
        <f t="shared" si="1"/>
        <v>1007.9999999999999</v>
      </c>
      <c r="H11" s="108">
        <f t="shared" si="2"/>
        <v>0.15920936844242872</v>
      </c>
      <c r="I11" s="109">
        <f t="shared" si="3"/>
        <v>11.359209368442428</v>
      </c>
      <c r="J11" s="109">
        <f t="shared" si="8"/>
        <v>1022.3288431598186</v>
      </c>
      <c r="K11" s="110">
        <v>14</v>
      </c>
      <c r="L11" s="107">
        <f t="shared" si="4"/>
        <v>1260</v>
      </c>
      <c r="M11" s="107">
        <f t="shared" ca="1" si="6"/>
        <v>112</v>
      </c>
      <c r="N11" s="111">
        <f t="shared" ca="1" si="7"/>
        <v>82</v>
      </c>
      <c r="O11" s="101"/>
      <c r="P11" s="37">
        <v>1</v>
      </c>
      <c r="Q11" s="41">
        <v>0</v>
      </c>
      <c r="R11" s="41">
        <v>3</v>
      </c>
      <c r="S11" s="41">
        <v>0</v>
      </c>
      <c r="T11" s="41">
        <v>3</v>
      </c>
      <c r="U11" s="41">
        <f ca="1">SUMIFS('Tổng Đơn'!$F:$F,'Tổng Đơn'!$B:$B,TVP!$C11)</f>
        <v>1</v>
      </c>
      <c r="V11" s="41">
        <v>0</v>
      </c>
      <c r="W11" s="41">
        <v>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</row>
    <row r="12" spans="1:30" ht="18.75" x14ac:dyDescent="0.25">
      <c r="A12" s="102">
        <f t="shared" ca="1" si="5"/>
        <v>924.9641914303121</v>
      </c>
      <c r="B12" s="6">
        <v>8</v>
      </c>
      <c r="C12" s="104" t="s">
        <v>41</v>
      </c>
      <c r="D12" s="105">
        <v>0.5</v>
      </c>
      <c r="E12" s="104">
        <f>8+30</f>
        <v>38</v>
      </c>
      <c r="F12" s="106">
        <v>28.5</v>
      </c>
      <c r="G12" s="107">
        <f t="shared" si="1"/>
        <v>1083</v>
      </c>
      <c r="H12" s="108">
        <f t="shared" si="2"/>
        <v>0.40513098219725174</v>
      </c>
      <c r="I12" s="109">
        <f t="shared" si="3"/>
        <v>28.905130982197253</v>
      </c>
      <c r="J12" s="109">
        <f t="shared" si="8"/>
        <v>1098.3949773234956</v>
      </c>
      <c r="K12" s="110">
        <v>34.5</v>
      </c>
      <c r="L12" s="107">
        <f t="shared" si="4"/>
        <v>1311</v>
      </c>
      <c r="M12" s="107">
        <f t="shared" ca="1" si="6"/>
        <v>207</v>
      </c>
      <c r="N12" s="111">
        <f t="shared" ca="1" si="7"/>
        <v>32</v>
      </c>
      <c r="O12" s="101"/>
      <c r="P12" s="37">
        <v>2</v>
      </c>
      <c r="Q12" s="41">
        <v>0</v>
      </c>
      <c r="R12" s="41">
        <v>2</v>
      </c>
      <c r="S12" s="41">
        <v>2</v>
      </c>
      <c r="T12" s="41">
        <v>0</v>
      </c>
      <c r="U12" s="41">
        <f ca="1">SUMIFS('Tổng Đơn'!$F:$F,'Tổng Đơn'!$B:$B,TVP!$C12)</f>
        <v>0</v>
      </c>
      <c r="V12" s="41">
        <v>0</v>
      </c>
      <c r="W12" s="41">
        <v>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</row>
    <row r="13" spans="1:30" ht="18.75" x14ac:dyDescent="0.25">
      <c r="A13" s="102">
        <f t="shared" ca="1" si="5"/>
        <v>1058.8405875583835</v>
      </c>
      <c r="B13" s="6">
        <v>9</v>
      </c>
      <c r="C13" s="104" t="s">
        <v>42</v>
      </c>
      <c r="D13" s="105">
        <v>0.2</v>
      </c>
      <c r="E13" s="104">
        <f>15+75</f>
        <v>90</v>
      </c>
      <c r="F13" s="106">
        <v>12</v>
      </c>
      <c r="G13" s="107">
        <f t="shared" si="1"/>
        <v>1080</v>
      </c>
      <c r="H13" s="108">
        <f t="shared" si="2"/>
        <v>0.17058146618831654</v>
      </c>
      <c r="I13" s="109">
        <f t="shared" si="3"/>
        <v>12.170581466188317</v>
      </c>
      <c r="J13" s="109">
        <f t="shared" si="8"/>
        <v>1095.3523319569485</v>
      </c>
      <c r="K13" s="110">
        <v>14</v>
      </c>
      <c r="L13" s="107">
        <f t="shared" si="4"/>
        <v>1260</v>
      </c>
      <c r="M13" s="107">
        <f t="shared" ca="1" si="6"/>
        <v>42</v>
      </c>
      <c r="N13" s="111">
        <f t="shared" ca="1" si="7"/>
        <v>87</v>
      </c>
      <c r="O13" s="101"/>
      <c r="P13" s="37">
        <v>1</v>
      </c>
      <c r="Q13" s="41">
        <v>0</v>
      </c>
      <c r="R13" s="41">
        <v>1</v>
      </c>
      <c r="S13" s="41">
        <v>1</v>
      </c>
      <c r="T13" s="41">
        <v>0</v>
      </c>
      <c r="U13" s="41">
        <f ca="1">SUMIFS('Tổng Đơn'!$F:$F,'Tổng Đơn'!$B:$B,TVP!$C13)</f>
        <v>0</v>
      </c>
      <c r="V13" s="41">
        <v>0</v>
      </c>
      <c r="W13" s="41">
        <v>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</row>
    <row r="14" spans="1:30" ht="18.75" x14ac:dyDescent="0.25">
      <c r="A14" s="102">
        <f t="shared" ca="1" si="5"/>
        <v>173.43078589318353</v>
      </c>
      <c r="B14" s="6">
        <v>10</v>
      </c>
      <c r="C14" s="104" t="s">
        <v>43</v>
      </c>
      <c r="D14" s="105">
        <v>0.5</v>
      </c>
      <c r="E14" s="104">
        <f>5+10</f>
        <v>15</v>
      </c>
      <c r="F14" s="106">
        <v>28.5</v>
      </c>
      <c r="G14" s="107">
        <f t="shared" si="1"/>
        <v>427.5</v>
      </c>
      <c r="H14" s="108">
        <f t="shared" si="2"/>
        <v>0.40513098219725169</v>
      </c>
      <c r="I14" s="109">
        <f t="shared" si="3"/>
        <v>28.905130982197253</v>
      </c>
      <c r="J14" s="109">
        <f t="shared" si="8"/>
        <v>433.5769647329588</v>
      </c>
      <c r="K14" s="110">
        <v>34.5</v>
      </c>
      <c r="L14" s="107">
        <f t="shared" si="4"/>
        <v>517.5</v>
      </c>
      <c r="M14" s="107">
        <f t="shared" ca="1" si="6"/>
        <v>310.5</v>
      </c>
      <c r="N14" s="111">
        <f t="shared" ca="1" si="7"/>
        <v>6</v>
      </c>
      <c r="O14" s="101"/>
      <c r="P14" s="37">
        <v>0</v>
      </c>
      <c r="Q14" s="41">
        <v>0</v>
      </c>
      <c r="R14" s="41">
        <v>2</v>
      </c>
      <c r="S14" s="41">
        <v>3</v>
      </c>
      <c r="T14" s="41">
        <v>1</v>
      </c>
      <c r="U14" s="41">
        <f ca="1">SUMIFS('Tổng Đơn'!$F:$F,'Tổng Đơn'!$B:$B,TVP!$C14)</f>
        <v>3</v>
      </c>
      <c r="V14" s="41">
        <v>0</v>
      </c>
      <c r="W14" s="41">
        <v>0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</row>
    <row r="15" spans="1:30" ht="18.75" x14ac:dyDescent="0.25">
      <c r="A15" s="102">
        <f t="shared" ca="1" si="5"/>
        <v>121.70581466188317</v>
      </c>
      <c r="B15" s="6">
        <v>11</v>
      </c>
      <c r="C15" s="104" t="s">
        <v>44</v>
      </c>
      <c r="D15" s="105">
        <v>0.2</v>
      </c>
      <c r="E15" s="104">
        <v>15</v>
      </c>
      <c r="F15" s="106">
        <v>12</v>
      </c>
      <c r="G15" s="107">
        <f t="shared" si="1"/>
        <v>180</v>
      </c>
      <c r="H15" s="108">
        <f t="shared" si="2"/>
        <v>0.17058146618831654</v>
      </c>
      <c r="I15" s="109">
        <f t="shared" si="3"/>
        <v>12.170581466188317</v>
      </c>
      <c r="J15" s="109">
        <f t="shared" si="8"/>
        <v>182.55872199282476</v>
      </c>
      <c r="K15" s="110">
        <v>14</v>
      </c>
      <c r="L15" s="107">
        <f t="shared" si="4"/>
        <v>210</v>
      </c>
      <c r="M15" s="107">
        <f t="shared" ca="1" si="6"/>
        <v>56</v>
      </c>
      <c r="N15" s="111">
        <f t="shared" ca="1" si="7"/>
        <v>10</v>
      </c>
      <c r="O15" s="101">
        <v>1</v>
      </c>
      <c r="P15" s="37">
        <v>1</v>
      </c>
      <c r="Q15" s="41">
        <v>0</v>
      </c>
      <c r="R15" s="41">
        <v>3</v>
      </c>
      <c r="S15" s="41">
        <v>0</v>
      </c>
      <c r="T15" s="41">
        <v>0</v>
      </c>
      <c r="U15" s="41">
        <f ca="1">SUMIFS('Tổng Đơn'!$F:$F,'Tổng Đơn'!$B:$B,TVP!$C15)</f>
        <v>0</v>
      </c>
      <c r="V15" s="41">
        <v>0</v>
      </c>
      <c r="W15" s="41">
        <v>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</row>
    <row r="16" spans="1:30" ht="18.75" x14ac:dyDescent="0.25">
      <c r="A16" s="102">
        <f t="shared" ca="1" si="5"/>
        <v>833.17772287280854</v>
      </c>
      <c r="B16" s="6">
        <v>12</v>
      </c>
      <c r="C16" s="104" t="s">
        <v>68</v>
      </c>
      <c r="D16" s="105">
        <v>0.5</v>
      </c>
      <c r="E16" s="104">
        <f>10+30</f>
        <v>40</v>
      </c>
      <c r="F16" s="106">
        <v>26.5</v>
      </c>
      <c r="G16" s="107">
        <f t="shared" si="1"/>
        <v>1060</v>
      </c>
      <c r="H16" s="108">
        <f t="shared" si="2"/>
        <v>0.37670073783253233</v>
      </c>
      <c r="I16" s="109">
        <f t="shared" si="3"/>
        <v>26.876700737832532</v>
      </c>
      <c r="J16" s="109">
        <f t="shared" si="8"/>
        <v>1075.0680295133013</v>
      </c>
      <c r="K16" s="110">
        <v>32</v>
      </c>
      <c r="L16" s="107">
        <f t="shared" si="4"/>
        <v>1280</v>
      </c>
      <c r="M16" s="107">
        <f t="shared" ca="1" si="6"/>
        <v>288</v>
      </c>
      <c r="N16" s="111">
        <f t="shared" ca="1" si="7"/>
        <v>31</v>
      </c>
      <c r="O16" s="101"/>
      <c r="P16" s="37">
        <v>1</v>
      </c>
      <c r="Q16" s="41">
        <v>0</v>
      </c>
      <c r="R16" s="41">
        <v>5</v>
      </c>
      <c r="S16" s="41">
        <v>3</v>
      </c>
      <c r="T16" s="41">
        <v>0</v>
      </c>
      <c r="U16" s="41">
        <f ca="1">SUMIFS('Tổng Đơn'!$F:$F,'Tổng Đơn'!$B:$B,TVP!$C16)</f>
        <v>0</v>
      </c>
      <c r="V16" s="41">
        <v>0</v>
      </c>
      <c r="W16" s="41">
        <v>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</row>
    <row r="17" spans="1:30" ht="18.75" x14ac:dyDescent="0.25">
      <c r="A17" s="102">
        <f t="shared" ca="1" si="5"/>
        <v>851.43359507209107</v>
      </c>
      <c r="B17" s="6">
        <v>13</v>
      </c>
      <c r="C17" s="104" t="s">
        <v>45</v>
      </c>
      <c r="D17" s="105">
        <v>0.5</v>
      </c>
      <c r="E17" s="104">
        <f>10+15</f>
        <v>25</v>
      </c>
      <c r="F17" s="106">
        <v>36.5</v>
      </c>
      <c r="G17" s="107">
        <f t="shared" si="1"/>
        <v>912.5</v>
      </c>
      <c r="H17" s="108">
        <f t="shared" si="2"/>
        <v>0.5188519596561294</v>
      </c>
      <c r="I17" s="109">
        <f t="shared" si="3"/>
        <v>37.018851959656132</v>
      </c>
      <c r="J17" s="109">
        <f t="shared" si="8"/>
        <v>925.47129899140327</v>
      </c>
      <c r="K17" s="110">
        <v>44</v>
      </c>
      <c r="L17" s="107">
        <f t="shared" si="4"/>
        <v>1100</v>
      </c>
      <c r="M17" s="107">
        <f t="shared" ca="1" si="6"/>
        <v>88</v>
      </c>
      <c r="N17" s="111">
        <f t="shared" ca="1" si="7"/>
        <v>23</v>
      </c>
      <c r="O17" s="101"/>
      <c r="P17" s="37">
        <v>0</v>
      </c>
      <c r="Q17" s="41">
        <v>0</v>
      </c>
      <c r="R17" s="41">
        <v>0</v>
      </c>
      <c r="S17" s="41">
        <v>1</v>
      </c>
      <c r="T17" s="41">
        <v>1</v>
      </c>
      <c r="U17" s="41">
        <f ca="1">SUMIFS('Tổng Đơn'!$F:$F,'Tổng Đơn'!$B:$B,TVP!$C17)</f>
        <v>0</v>
      </c>
      <c r="V17" s="41">
        <v>0</v>
      </c>
      <c r="W17" s="41">
        <v>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</row>
    <row r="18" spans="1:30" ht="18.75" x14ac:dyDescent="0.25">
      <c r="A18" s="102">
        <f t="shared" ca="1" si="5"/>
        <v>1043.627360725648</v>
      </c>
      <c r="B18" s="6">
        <v>14</v>
      </c>
      <c r="C18" s="104" t="s">
        <v>49</v>
      </c>
      <c r="D18" s="105">
        <v>0.5</v>
      </c>
      <c r="E18" s="104">
        <f>10+15</f>
        <v>25</v>
      </c>
      <c r="F18" s="106">
        <v>49</v>
      </c>
      <c r="G18" s="107">
        <f t="shared" si="1"/>
        <v>1225</v>
      </c>
      <c r="H18" s="108">
        <f t="shared" si="2"/>
        <v>0.69654098693562583</v>
      </c>
      <c r="I18" s="109">
        <f t="shared" si="3"/>
        <v>49.696540986935624</v>
      </c>
      <c r="J18" s="109">
        <f t="shared" si="8"/>
        <v>1242.4135246733906</v>
      </c>
      <c r="K18" s="110">
        <v>59</v>
      </c>
      <c r="L18" s="107">
        <f t="shared" si="4"/>
        <v>1475</v>
      </c>
      <c r="M18" s="107">
        <f t="shared" ca="1" si="6"/>
        <v>236</v>
      </c>
      <c r="N18" s="111">
        <f t="shared" ca="1" si="7"/>
        <v>21</v>
      </c>
      <c r="O18" s="101"/>
      <c r="P18" s="37">
        <v>1</v>
      </c>
      <c r="Q18" s="41">
        <v>0</v>
      </c>
      <c r="R18" s="41">
        <v>0</v>
      </c>
      <c r="S18" s="41">
        <v>2</v>
      </c>
      <c r="T18" s="41">
        <v>1</v>
      </c>
      <c r="U18" s="41">
        <f ca="1">SUMIFS('Tổng Đơn'!$F:$F,'Tổng Đơn'!$B:$B,TVP!$C18)</f>
        <v>0</v>
      </c>
      <c r="V18" s="41">
        <v>0</v>
      </c>
      <c r="W18" s="41">
        <v>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41">
        <v>0</v>
      </c>
    </row>
    <row r="19" spans="1:30" ht="18.75" x14ac:dyDescent="0.25">
      <c r="A19" s="102">
        <f t="shared" ca="1" si="5"/>
        <v>785.00250456914648</v>
      </c>
      <c r="B19" s="6">
        <v>15</v>
      </c>
      <c r="C19" s="104" t="s">
        <v>50</v>
      </c>
      <c r="D19" s="105">
        <v>0.5</v>
      </c>
      <c r="E19" s="104">
        <f>10+15</f>
        <v>25</v>
      </c>
      <c r="F19" s="106">
        <v>43</v>
      </c>
      <c r="G19" s="107">
        <f t="shared" si="1"/>
        <v>1075</v>
      </c>
      <c r="H19" s="108">
        <f t="shared" si="2"/>
        <v>0.61125025384146747</v>
      </c>
      <c r="I19" s="109">
        <f t="shared" si="3"/>
        <v>43.611250253841469</v>
      </c>
      <c r="J19" s="109">
        <f t="shared" si="8"/>
        <v>1090.2812563460368</v>
      </c>
      <c r="K19" s="110">
        <v>52</v>
      </c>
      <c r="L19" s="107">
        <f t="shared" si="4"/>
        <v>1300</v>
      </c>
      <c r="M19" s="107">
        <f t="shared" ca="1" si="6"/>
        <v>364</v>
      </c>
      <c r="N19" s="111">
        <f t="shared" ca="1" si="7"/>
        <v>18</v>
      </c>
      <c r="O19" s="101"/>
      <c r="P19" s="37">
        <v>0</v>
      </c>
      <c r="Q19" s="41">
        <v>0</v>
      </c>
      <c r="R19" s="41">
        <v>2</v>
      </c>
      <c r="S19" s="41">
        <v>3</v>
      </c>
      <c r="T19" s="41">
        <v>2</v>
      </c>
      <c r="U19" s="41">
        <f ca="1">SUMIFS('Tổng Đơn'!$F:$F,'Tổng Đơn'!$B:$B,TVP!$C19)</f>
        <v>0</v>
      </c>
      <c r="V19" s="41">
        <v>0</v>
      </c>
      <c r="W19" s="41">
        <v>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41">
        <v>0</v>
      </c>
      <c r="AD19" s="41">
        <v>0</v>
      </c>
    </row>
    <row r="20" spans="1:30" ht="18.75" x14ac:dyDescent="0.25">
      <c r="A20" s="102">
        <f t="shared" ca="1" si="5"/>
        <v>273.83808298923714</v>
      </c>
      <c r="B20" s="6">
        <v>16</v>
      </c>
      <c r="C20" s="104" t="s">
        <v>46</v>
      </c>
      <c r="D20" s="105">
        <v>0.5</v>
      </c>
      <c r="E20" s="104">
        <v>10</v>
      </c>
      <c r="F20" s="106">
        <v>54</v>
      </c>
      <c r="G20" s="107">
        <f>F20*E20</f>
        <v>540</v>
      </c>
      <c r="H20" s="108">
        <f>((G20/$G$4)*$A$2)/E20</f>
        <v>0.76761659784742442</v>
      </c>
      <c r="I20" s="109">
        <f>F20+H20</f>
        <v>54.767616597847422</v>
      </c>
      <c r="J20" s="109">
        <f>I20*E20</f>
        <v>547.67616597847427</v>
      </c>
      <c r="K20" s="110">
        <v>65</v>
      </c>
      <c r="L20" s="107">
        <f>K20*E20</f>
        <v>650</v>
      </c>
      <c r="M20" s="107">
        <f t="shared" ca="1" si="6"/>
        <v>325</v>
      </c>
      <c r="N20" s="111">
        <f t="shared" ca="1" si="7"/>
        <v>5</v>
      </c>
      <c r="O20" s="101"/>
      <c r="P20" s="37">
        <v>1</v>
      </c>
      <c r="Q20" s="41">
        <v>0</v>
      </c>
      <c r="R20" s="41">
        <v>2</v>
      </c>
      <c r="S20" s="41">
        <v>1</v>
      </c>
      <c r="T20" s="41">
        <v>1</v>
      </c>
      <c r="U20" s="41">
        <f ca="1">SUMIFS('Tổng Đơn'!$F:$F,'Tổng Đơn'!$B:$B,TVP!$C20)</f>
        <v>0</v>
      </c>
      <c r="V20" s="41">
        <v>0</v>
      </c>
      <c r="W20" s="41">
        <v>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41">
        <v>0</v>
      </c>
      <c r="AD20" s="41">
        <v>0</v>
      </c>
    </row>
    <row r="21" spans="1:30" ht="18.75" x14ac:dyDescent="0.25">
      <c r="A21" s="102">
        <f t="shared" ca="1" si="5"/>
        <v>49.696540986935624</v>
      </c>
      <c r="B21" s="6">
        <v>17</v>
      </c>
      <c r="C21" s="104" t="s">
        <v>47</v>
      </c>
      <c r="D21" s="105">
        <v>0.5</v>
      </c>
      <c r="E21" s="104">
        <v>10</v>
      </c>
      <c r="F21" s="106">
        <v>49</v>
      </c>
      <c r="G21" s="107">
        <f>F21*E21</f>
        <v>490</v>
      </c>
      <c r="H21" s="108">
        <f>((G21/$G$4)*$A$2)/E21</f>
        <v>0.69654098693562572</v>
      </c>
      <c r="I21" s="109">
        <f>F21+H21</f>
        <v>49.696540986935624</v>
      </c>
      <c r="J21" s="109">
        <f>I21*E21</f>
        <v>496.96540986935622</v>
      </c>
      <c r="K21" s="110">
        <v>59</v>
      </c>
      <c r="L21" s="107">
        <f>K21*E21</f>
        <v>590</v>
      </c>
      <c r="M21" s="107">
        <f t="shared" ca="1" si="6"/>
        <v>531</v>
      </c>
      <c r="N21" s="111">
        <f t="shared" ca="1" si="7"/>
        <v>1</v>
      </c>
      <c r="O21" s="101"/>
      <c r="P21" s="41">
        <v>0</v>
      </c>
      <c r="Q21" s="41">
        <v>0</v>
      </c>
      <c r="R21" s="41">
        <v>3</v>
      </c>
      <c r="S21" s="41">
        <v>3</v>
      </c>
      <c r="T21" s="41">
        <v>3</v>
      </c>
      <c r="U21" s="41">
        <f ca="1">SUMIFS('Tổng Đơn'!$F:$F,'Tổng Đơn'!$B:$B,TVP!$C21)</f>
        <v>0</v>
      </c>
      <c r="V21" s="41">
        <v>0</v>
      </c>
      <c r="W21" s="41">
        <v>0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41">
        <v>0</v>
      </c>
      <c r="AD21" s="41">
        <v>0</v>
      </c>
    </row>
    <row r="22" spans="1:30" ht="15.75" x14ac:dyDescent="0.25">
      <c r="A22" s="102">
        <f t="shared" ca="1" si="5"/>
        <v>200.81459419210722</v>
      </c>
      <c r="B22" s="6">
        <v>18</v>
      </c>
      <c r="C22" s="104" t="s">
        <v>48</v>
      </c>
      <c r="D22" s="105">
        <v>0.5</v>
      </c>
      <c r="E22" s="104">
        <v>5</v>
      </c>
      <c r="F22" s="106">
        <v>66</v>
      </c>
      <c r="G22" s="107">
        <f>F22*E22</f>
        <v>330</v>
      </c>
      <c r="H22" s="108">
        <f>((G22/$G$4)*$A$2)/E22</f>
        <v>0.9381980640357408</v>
      </c>
      <c r="I22" s="109">
        <f>F22+H22</f>
        <v>66.938198064035745</v>
      </c>
      <c r="J22" s="109">
        <f>I22*E22</f>
        <v>334.69099032017874</v>
      </c>
      <c r="K22" s="110">
        <v>79</v>
      </c>
      <c r="L22" s="107">
        <f>K22*E22</f>
        <v>395</v>
      </c>
      <c r="M22" s="107">
        <f t="shared" ca="1" si="6"/>
        <v>158</v>
      </c>
      <c r="N22" s="111">
        <f t="shared" ca="1" si="7"/>
        <v>3</v>
      </c>
      <c r="O22" s="41"/>
      <c r="P22" s="41">
        <v>0</v>
      </c>
      <c r="Q22" s="41">
        <v>0</v>
      </c>
      <c r="R22" s="41">
        <v>1</v>
      </c>
      <c r="S22" s="41">
        <v>1</v>
      </c>
      <c r="T22" s="41">
        <v>0</v>
      </c>
      <c r="U22" s="41">
        <f ca="1">SUMIFS('Tổng Đơn'!$F:$F,'Tổng Đơn'!$B:$B,TVP!$C22)</f>
        <v>0</v>
      </c>
      <c r="V22" s="41">
        <v>0</v>
      </c>
      <c r="W22" s="41">
        <v>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41">
        <v>0</v>
      </c>
      <c r="AD22" s="41">
        <v>0</v>
      </c>
    </row>
  </sheetData>
  <autoFilter ref="B4:L4"/>
  <mergeCells count="1">
    <mergeCell ref="B1:L1"/>
  </mergeCells>
  <conditionalFormatting sqref="C5:C22">
    <cfRule type="expression" dxfId="81" priority="1">
      <formula>($N5/$E5)&lt;=1/4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AE18"/>
  <sheetViews>
    <sheetView workbookViewId="0">
      <pane xSplit="11" ySplit="4" topLeftCell="L5" activePane="bottomRight" state="frozen"/>
      <selection pane="topRight" activeCell="L1" sqref="L1"/>
      <selection pane="bottomLeft" activeCell="A5" sqref="A5"/>
      <selection pane="bottomRight" activeCell="V12" sqref="V12"/>
    </sheetView>
  </sheetViews>
  <sheetFormatPr defaultRowHeight="15" x14ac:dyDescent="0.25"/>
  <cols>
    <col min="1" max="1" width="16.28515625" style="102" customWidth="1"/>
    <col min="2" max="2" width="9.140625" style="102"/>
    <col min="3" max="3" width="38.7109375" style="102" customWidth="1"/>
    <col min="4" max="4" width="12.140625" style="102" customWidth="1"/>
    <col min="5" max="6" width="9.42578125" style="102" customWidth="1"/>
    <col min="7" max="7" width="14.85546875" style="102" hidden="1" customWidth="1"/>
    <col min="8" max="8" width="16.28515625" style="102" hidden="1" customWidth="1"/>
    <col min="9" max="12" width="14.85546875" style="102" hidden="1" customWidth="1"/>
    <col min="13" max="14" width="16.28515625" style="102" hidden="1" customWidth="1"/>
    <col min="15" max="15" width="9.140625" style="102"/>
    <col min="16" max="16" width="13.140625" style="102" customWidth="1"/>
    <col min="17" max="18" width="4.5703125" style="102" customWidth="1"/>
    <col min="19" max="19" width="4.7109375" style="102" bestFit="1" customWidth="1"/>
    <col min="20" max="31" width="4.5703125" style="102" customWidth="1"/>
    <col min="32" max="16384" width="9.140625" style="102"/>
  </cols>
  <sheetData>
    <row r="1" spans="1:31" x14ac:dyDescent="0.25">
      <c r="B1" s="143" t="s">
        <v>60</v>
      </c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03"/>
    </row>
    <row r="2" spans="1:31" ht="34.5" customHeight="1" x14ac:dyDescent="0.25">
      <c r="A2" s="1">
        <v>370</v>
      </c>
      <c r="K2" s="13">
        <f>SUMPRODUCT((E5:E17)*(F5:F17))</f>
        <v>206</v>
      </c>
      <c r="L2" s="13">
        <f>M4-K4</f>
        <v>1865.119999999999</v>
      </c>
      <c r="M2" s="8">
        <f>M4/K4-1</f>
        <v>0.12082234233860722</v>
      </c>
      <c r="N2" s="8"/>
    </row>
    <row r="3" spans="1:31" ht="31.5" customHeight="1" x14ac:dyDescent="0.25">
      <c r="A3" s="86" t="s">
        <v>128</v>
      </c>
      <c r="B3" s="3" t="s">
        <v>0</v>
      </c>
      <c r="C3" s="3" t="s">
        <v>17</v>
      </c>
      <c r="D3" s="20" t="s">
        <v>63</v>
      </c>
      <c r="E3" s="5" t="s">
        <v>25</v>
      </c>
      <c r="F3" s="5" t="s">
        <v>16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123</v>
      </c>
      <c r="O3" s="35" t="s">
        <v>61</v>
      </c>
      <c r="P3" s="99" t="s">
        <v>150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1" s="72" customFormat="1" ht="27" customHeight="1" x14ac:dyDescent="0.25">
      <c r="A4" s="81">
        <f ca="1">SUBTOTAL(9,A5:A220)</f>
        <v>11076.743751858381</v>
      </c>
      <c r="B4" s="19"/>
      <c r="C4" s="19"/>
      <c r="D4" s="73"/>
      <c r="E4" s="19"/>
      <c r="F4" s="19">
        <f>SUBTOTAL(9,F5:F170)</f>
        <v>430</v>
      </c>
      <c r="G4" s="7"/>
      <c r="H4" s="7">
        <f>SUBTOTAL(9,H5:H170)</f>
        <v>15066.880000000001</v>
      </c>
      <c r="I4" s="12"/>
      <c r="J4" s="12"/>
      <c r="K4" s="12">
        <f>SUBTOTAL(9,K5:K170)</f>
        <v>15436.880000000001</v>
      </c>
      <c r="L4" s="74"/>
      <c r="M4" s="7">
        <f>SUBTOTAL(9,M5:M170)</f>
        <v>17302</v>
      </c>
      <c r="N4" s="7">
        <f ca="1">SUBTOTAL(9,N5:N170)+SUM(Q2:AE2)</f>
        <v>4950</v>
      </c>
      <c r="O4" s="75">
        <f ca="1">SUBTOTAL(9,O5:O170)</f>
        <v>297</v>
      </c>
      <c r="P4" s="121">
        <f>SUBTOTAL(9,P5:P220)</f>
        <v>1</v>
      </c>
      <c r="Q4" s="40">
        <f>SUBTOTAL(9,Q5:Q170)</f>
        <v>0</v>
      </c>
      <c r="R4" s="40">
        <f t="shared" ref="R4:AE4" si="0">SUBTOTAL(9,R5:R170)</f>
        <v>7</v>
      </c>
      <c r="S4" s="40">
        <f t="shared" si="0"/>
        <v>25</v>
      </c>
      <c r="T4" s="40">
        <f t="shared" si="0"/>
        <v>48</v>
      </c>
      <c r="U4" s="40">
        <f t="shared" si="0"/>
        <v>39</v>
      </c>
      <c r="V4" s="40">
        <f t="shared" ca="1" si="0"/>
        <v>13</v>
      </c>
      <c r="W4" s="40">
        <f t="shared" si="0"/>
        <v>0</v>
      </c>
      <c r="X4" s="40">
        <f t="shared" si="0"/>
        <v>0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</row>
    <row r="5" spans="1:31" ht="18.75" x14ac:dyDescent="0.25">
      <c r="A5" s="102">
        <f ca="1">J5*O5</f>
        <v>129.09420397587292</v>
      </c>
      <c r="B5" s="6">
        <v>1</v>
      </c>
      <c r="C5" s="104" t="s">
        <v>32</v>
      </c>
      <c r="D5" s="112">
        <f>G5*2</f>
        <v>63</v>
      </c>
      <c r="E5" s="105">
        <v>0.5</v>
      </c>
      <c r="F5" s="104">
        <v>20</v>
      </c>
      <c r="G5" s="106">
        <v>31.5</v>
      </c>
      <c r="H5" s="107">
        <f t="shared" ref="H5:H17" si="1">G5*F5</f>
        <v>630</v>
      </c>
      <c r="I5" s="108">
        <f t="shared" ref="I5:I17" si="2">((H5/$H$4)*$A$2)/F5</f>
        <v>0.77355099396822691</v>
      </c>
      <c r="J5" s="109">
        <f t="shared" ref="J5:J17" si="3">G5+I5</f>
        <v>32.273550993968229</v>
      </c>
      <c r="K5" s="109">
        <f>J5*F5</f>
        <v>645.47101987936458</v>
      </c>
      <c r="L5" s="113">
        <v>40</v>
      </c>
      <c r="M5" s="107">
        <f t="shared" ref="M5:M17" si="4">L5*F5</f>
        <v>800</v>
      </c>
      <c r="N5" s="107">
        <f ca="1">SUMPRODUCT(($Q5:$AE5)*$L5)</f>
        <v>640</v>
      </c>
      <c r="O5" s="114">
        <f ca="1">F5-SUM(Q5:AE5)-P5</f>
        <v>4</v>
      </c>
      <c r="P5" s="101"/>
      <c r="Q5" s="37">
        <v>0</v>
      </c>
      <c r="R5" s="37">
        <v>1</v>
      </c>
      <c r="S5" s="41">
        <v>5</v>
      </c>
      <c r="T5" s="41">
        <v>5</v>
      </c>
      <c r="U5" s="41">
        <v>4</v>
      </c>
      <c r="V5" s="41">
        <f ca="1">SUMIFS('Tổng Đơn'!$F:$F,'Tổng Đơn'!$B:$B,'La Cusina'!$C5)</f>
        <v>1</v>
      </c>
      <c r="W5" s="41">
        <v>0</v>
      </c>
      <c r="X5" s="41">
        <v>0</v>
      </c>
      <c r="Y5" s="41">
        <v>0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  <c r="AE5" s="41">
        <v>0</v>
      </c>
    </row>
    <row r="6" spans="1:31" ht="18.75" x14ac:dyDescent="0.25">
      <c r="A6" s="102">
        <f t="shared" ref="A6:A17" ca="1" si="5">J6*O6</f>
        <v>473.34541457820069</v>
      </c>
      <c r="B6" s="6">
        <v>2</v>
      </c>
      <c r="C6" s="104" t="s">
        <v>26</v>
      </c>
      <c r="D6" s="112">
        <f t="shared" ref="D6:D17" si="6">G6*2</f>
        <v>44</v>
      </c>
      <c r="E6" s="105">
        <v>0.5</v>
      </c>
      <c r="F6" s="104">
        <v>40</v>
      </c>
      <c r="G6" s="106">
        <v>22</v>
      </c>
      <c r="H6" s="107">
        <f t="shared" si="1"/>
        <v>880</v>
      </c>
      <c r="I6" s="108">
        <f t="shared" si="2"/>
        <v>0.54025783705717445</v>
      </c>
      <c r="J6" s="109">
        <f t="shared" si="3"/>
        <v>22.540257837057176</v>
      </c>
      <c r="K6" s="109">
        <f t="shared" ref="K6:K17" si="7">J6*F6</f>
        <v>901.61031348228698</v>
      </c>
      <c r="L6" s="113">
        <v>27</v>
      </c>
      <c r="M6" s="107">
        <f t="shared" si="4"/>
        <v>1080</v>
      </c>
      <c r="N6" s="107">
        <f t="shared" ref="N6:N17" ca="1" si="8">SUMPRODUCT(($Q6:$AE6)*$L6)</f>
        <v>513</v>
      </c>
      <c r="O6" s="114">
        <f t="shared" ref="O6:O17" ca="1" si="9">F6-SUM(Q6:AE6)-P6</f>
        <v>21</v>
      </c>
      <c r="P6" s="101"/>
      <c r="Q6" s="37">
        <v>0</v>
      </c>
      <c r="R6" s="37">
        <v>2</v>
      </c>
      <c r="S6" s="41">
        <v>3</v>
      </c>
      <c r="T6" s="41">
        <v>7</v>
      </c>
      <c r="U6" s="41">
        <v>5</v>
      </c>
      <c r="V6" s="41">
        <f ca="1">SUMIFS('Tổng Đơn'!$F:$F,'Tổng Đơn'!$B:$B,'La Cusina'!$C6)</f>
        <v>2</v>
      </c>
      <c r="W6" s="41">
        <v>0</v>
      </c>
      <c r="X6" s="41">
        <v>0</v>
      </c>
      <c r="Y6" s="41">
        <v>0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  <c r="AE6" s="41">
        <v>0</v>
      </c>
    </row>
    <row r="7" spans="1:31" ht="18.75" x14ac:dyDescent="0.25">
      <c r="A7" s="102">
        <f t="shared" ca="1" si="5"/>
        <v>696.69887859994901</v>
      </c>
      <c r="B7" s="6">
        <v>3</v>
      </c>
      <c r="C7" s="104" t="s">
        <v>31</v>
      </c>
      <c r="D7" s="112">
        <f t="shared" si="6"/>
        <v>68</v>
      </c>
      <c r="E7" s="105">
        <v>0.5</v>
      </c>
      <c r="F7" s="104">
        <v>40</v>
      </c>
      <c r="G7" s="106">
        <v>34</v>
      </c>
      <c r="H7" s="107">
        <f t="shared" si="1"/>
        <v>1360</v>
      </c>
      <c r="I7" s="108">
        <f t="shared" si="2"/>
        <v>0.83494392999745126</v>
      </c>
      <c r="J7" s="109">
        <f t="shared" si="3"/>
        <v>34.834943929997451</v>
      </c>
      <c r="K7" s="109">
        <f t="shared" si="7"/>
        <v>1393.397757199898</v>
      </c>
      <c r="L7" s="113">
        <v>38</v>
      </c>
      <c r="M7" s="107">
        <f t="shared" si="4"/>
        <v>1520</v>
      </c>
      <c r="N7" s="107">
        <f t="shared" ca="1" si="8"/>
        <v>722</v>
      </c>
      <c r="O7" s="114">
        <f t="shared" ca="1" si="9"/>
        <v>20</v>
      </c>
      <c r="P7" s="101">
        <v>1</v>
      </c>
      <c r="Q7" s="37">
        <v>0</v>
      </c>
      <c r="R7" s="37">
        <v>1</v>
      </c>
      <c r="S7" s="41">
        <v>3</v>
      </c>
      <c r="T7" s="41">
        <v>7</v>
      </c>
      <c r="U7" s="41">
        <v>7</v>
      </c>
      <c r="V7" s="41">
        <f ca="1">SUMIFS('Tổng Đơn'!$F:$F,'Tổng Đơn'!$B:$B,'La Cusina'!$C7)</f>
        <v>1</v>
      </c>
      <c r="W7" s="41">
        <v>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  <c r="AE7" s="41">
        <v>0</v>
      </c>
    </row>
    <row r="8" spans="1:31" ht="18.75" x14ac:dyDescent="0.25">
      <c r="A8" s="102">
        <f t="shared" ca="1" si="5"/>
        <v>122.94686092940277</v>
      </c>
      <c r="B8" s="6">
        <v>4</v>
      </c>
      <c r="C8" s="104" t="s">
        <v>30</v>
      </c>
      <c r="D8" s="112">
        <f t="shared" si="6"/>
        <v>80</v>
      </c>
      <c r="E8" s="105">
        <v>0.5</v>
      </c>
      <c r="F8" s="104">
        <v>10</v>
      </c>
      <c r="G8" s="106">
        <v>40</v>
      </c>
      <c r="H8" s="107">
        <f t="shared" si="1"/>
        <v>400</v>
      </c>
      <c r="I8" s="108">
        <f t="shared" si="2"/>
        <v>0.98228697646758967</v>
      </c>
      <c r="J8" s="109">
        <f t="shared" si="3"/>
        <v>40.982286976467591</v>
      </c>
      <c r="K8" s="109">
        <f t="shared" si="7"/>
        <v>409.82286976467594</v>
      </c>
      <c r="L8" s="113">
        <v>45</v>
      </c>
      <c r="M8" s="107">
        <f t="shared" si="4"/>
        <v>450</v>
      </c>
      <c r="N8" s="107">
        <f t="shared" ca="1" si="8"/>
        <v>360</v>
      </c>
      <c r="O8" s="114">
        <f t="shared" ca="1" si="9"/>
        <v>3</v>
      </c>
      <c r="P8" s="101">
        <v>-1</v>
      </c>
      <c r="Q8" s="37">
        <v>0</v>
      </c>
      <c r="R8" s="37">
        <v>0</v>
      </c>
      <c r="S8" s="41">
        <v>4</v>
      </c>
      <c r="T8" s="41">
        <v>3</v>
      </c>
      <c r="U8" s="41">
        <v>1</v>
      </c>
      <c r="V8" s="41">
        <f ca="1">SUMIFS('Tổng Đơn'!$F:$F,'Tổng Đơn'!$B:$B,'La Cusina'!$C8)</f>
        <v>0</v>
      </c>
      <c r="W8" s="41">
        <v>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  <c r="AE8" s="41">
        <v>0</v>
      </c>
    </row>
    <row r="9" spans="1:31" ht="18.75" x14ac:dyDescent="0.25">
      <c r="A9" s="102">
        <f t="shared" ca="1" si="5"/>
        <v>224.37802119616003</v>
      </c>
      <c r="B9" s="6">
        <v>5</v>
      </c>
      <c r="C9" s="104" t="s">
        <v>29</v>
      </c>
      <c r="D9" s="112">
        <f t="shared" si="6"/>
        <v>73</v>
      </c>
      <c r="E9" s="105">
        <v>0.5</v>
      </c>
      <c r="F9" s="104">
        <v>24</v>
      </c>
      <c r="G9" s="106">
        <v>36.5</v>
      </c>
      <c r="H9" s="107">
        <f t="shared" si="1"/>
        <v>876</v>
      </c>
      <c r="I9" s="108">
        <f t="shared" si="2"/>
        <v>0.89633686602667562</v>
      </c>
      <c r="J9" s="109">
        <f t="shared" si="3"/>
        <v>37.396336866026672</v>
      </c>
      <c r="K9" s="109">
        <f t="shared" si="7"/>
        <v>897.51208478464014</v>
      </c>
      <c r="L9" s="113">
        <v>42</v>
      </c>
      <c r="M9" s="107">
        <f t="shared" si="4"/>
        <v>1008</v>
      </c>
      <c r="N9" s="107">
        <f t="shared" ca="1" si="8"/>
        <v>714</v>
      </c>
      <c r="O9" s="114">
        <f t="shared" ca="1" si="9"/>
        <v>6</v>
      </c>
      <c r="P9" s="101">
        <v>1</v>
      </c>
      <c r="Q9" s="37">
        <v>0</v>
      </c>
      <c r="R9" s="37">
        <v>0</v>
      </c>
      <c r="S9" s="41">
        <v>0</v>
      </c>
      <c r="T9" s="41">
        <v>12</v>
      </c>
      <c r="U9" s="41">
        <v>3</v>
      </c>
      <c r="V9" s="41">
        <f ca="1">SUMIFS('Tổng Đơn'!$F:$F,'Tổng Đơn'!$B:$B,'La Cusina'!$C9)</f>
        <v>2</v>
      </c>
      <c r="W9" s="41">
        <v>0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  <c r="AE9" s="41">
        <v>0</v>
      </c>
    </row>
    <row r="10" spans="1:31" ht="18.75" x14ac:dyDescent="0.25">
      <c r="A10" s="102">
        <f t="shared" ca="1" si="5"/>
        <v>272.01992980630365</v>
      </c>
      <c r="B10" s="6">
        <v>6</v>
      </c>
      <c r="C10" s="104" t="s">
        <v>62</v>
      </c>
      <c r="D10" s="112">
        <f t="shared" si="6"/>
        <v>59</v>
      </c>
      <c r="E10" s="105">
        <v>0.5</v>
      </c>
      <c r="F10" s="104">
        <v>20</v>
      </c>
      <c r="G10" s="106">
        <v>29.5</v>
      </c>
      <c r="H10" s="107">
        <f t="shared" si="1"/>
        <v>590</v>
      </c>
      <c r="I10" s="108">
        <f t="shared" si="2"/>
        <v>0.7244366451448474</v>
      </c>
      <c r="J10" s="109">
        <f t="shared" si="3"/>
        <v>30.224436645144849</v>
      </c>
      <c r="K10" s="109">
        <f t="shared" si="7"/>
        <v>604.48873290289703</v>
      </c>
      <c r="L10" s="113">
        <v>35</v>
      </c>
      <c r="M10" s="107">
        <f t="shared" si="4"/>
        <v>700</v>
      </c>
      <c r="N10" s="107">
        <f t="shared" ca="1" si="8"/>
        <v>385</v>
      </c>
      <c r="O10" s="114">
        <f t="shared" ca="1" si="9"/>
        <v>9</v>
      </c>
      <c r="P10" s="101"/>
      <c r="Q10" s="37">
        <v>0</v>
      </c>
      <c r="R10" s="37">
        <v>0</v>
      </c>
      <c r="S10" s="41">
        <v>2</v>
      </c>
      <c r="T10" s="41">
        <v>2</v>
      </c>
      <c r="U10" s="41">
        <v>5</v>
      </c>
      <c r="V10" s="41">
        <f ca="1">SUMIFS('Tổng Đơn'!$F:$F,'Tổng Đơn'!$B:$B,'La Cusina'!$C10)</f>
        <v>2</v>
      </c>
      <c r="W10" s="41">
        <v>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  <c r="AE10" s="41">
        <v>0</v>
      </c>
    </row>
    <row r="11" spans="1:31" ht="18.75" x14ac:dyDescent="0.25">
      <c r="A11" s="102">
        <f t="shared" ca="1" si="5"/>
        <v>873.07639617492134</v>
      </c>
      <c r="B11" s="6">
        <v>7</v>
      </c>
      <c r="C11" s="104" t="s">
        <v>28</v>
      </c>
      <c r="D11" s="112">
        <f t="shared" si="6"/>
        <v>65.55</v>
      </c>
      <c r="E11" s="105">
        <v>0.5</v>
      </c>
      <c r="F11" s="104">
        <v>40</v>
      </c>
      <c r="G11" s="106">
        <v>32.774999999999999</v>
      </c>
      <c r="H11" s="107">
        <f t="shared" si="1"/>
        <v>1311</v>
      </c>
      <c r="I11" s="108">
        <f t="shared" si="2"/>
        <v>0.80486139134313128</v>
      </c>
      <c r="J11" s="109">
        <f t="shared" si="3"/>
        <v>33.57986139134313</v>
      </c>
      <c r="K11" s="109">
        <f t="shared" si="7"/>
        <v>1343.1944556537251</v>
      </c>
      <c r="L11" s="113">
        <v>38</v>
      </c>
      <c r="M11" s="107">
        <f t="shared" si="4"/>
        <v>1520</v>
      </c>
      <c r="N11" s="107">
        <f t="shared" ca="1" si="8"/>
        <v>532</v>
      </c>
      <c r="O11" s="114">
        <f t="shared" ca="1" si="9"/>
        <v>26</v>
      </c>
      <c r="P11" s="101"/>
      <c r="Q11" s="37">
        <v>0</v>
      </c>
      <c r="R11" s="37">
        <v>2</v>
      </c>
      <c r="S11" s="41">
        <v>6</v>
      </c>
      <c r="T11" s="41">
        <v>2</v>
      </c>
      <c r="U11" s="41">
        <v>3</v>
      </c>
      <c r="V11" s="41">
        <f ca="1">SUMIFS('Tổng Đơn'!$F:$F,'Tổng Đơn'!$B:$B,'La Cusina'!$C11)</f>
        <v>1</v>
      </c>
      <c r="W11" s="41">
        <v>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  <c r="AE11" s="41">
        <v>0</v>
      </c>
    </row>
    <row r="12" spans="1:31" ht="18.75" x14ac:dyDescent="0.25">
      <c r="A12" s="102">
        <f t="shared" ca="1" si="5"/>
        <v>580.51409502166337</v>
      </c>
      <c r="B12" s="6">
        <v>8</v>
      </c>
      <c r="C12" s="104" t="s">
        <v>27</v>
      </c>
      <c r="D12" s="112">
        <f>G12*4</f>
        <v>113.32</v>
      </c>
      <c r="E12" s="105">
        <v>0.25</v>
      </c>
      <c r="F12" s="104">
        <v>36</v>
      </c>
      <c r="G12" s="106">
        <v>28.33</v>
      </c>
      <c r="H12" s="107">
        <f t="shared" si="1"/>
        <v>1019.8799999999999</v>
      </c>
      <c r="I12" s="108">
        <f t="shared" si="2"/>
        <v>0.69570475108317043</v>
      </c>
      <c r="J12" s="109">
        <f t="shared" si="3"/>
        <v>29.025704751083168</v>
      </c>
      <c r="K12" s="109">
        <f t="shared" si="7"/>
        <v>1044.9253710389939</v>
      </c>
      <c r="L12" s="113">
        <v>34</v>
      </c>
      <c r="M12" s="107">
        <f t="shared" si="4"/>
        <v>1224</v>
      </c>
      <c r="N12" s="107">
        <f t="shared" ca="1" si="8"/>
        <v>544</v>
      </c>
      <c r="O12" s="114">
        <f t="shared" ca="1" si="9"/>
        <v>20</v>
      </c>
      <c r="P12" s="101"/>
      <c r="Q12" s="37">
        <v>0</v>
      </c>
      <c r="R12" s="37">
        <v>1</v>
      </c>
      <c r="S12" s="41">
        <v>1</v>
      </c>
      <c r="T12" s="41">
        <v>7</v>
      </c>
      <c r="U12" s="41">
        <v>4</v>
      </c>
      <c r="V12" s="41">
        <f ca="1">SUMIFS('Tổng Đơn'!$F:$F,'Tổng Đơn'!$B:$B,'La Cusina'!$C12)</f>
        <v>3</v>
      </c>
      <c r="W12" s="41">
        <v>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  <c r="AE12" s="41">
        <v>0</v>
      </c>
    </row>
    <row r="13" spans="1:31" ht="18.75" x14ac:dyDescent="0.25">
      <c r="A13" s="102">
        <f t="shared" ca="1" si="5"/>
        <v>1557.3269051057684</v>
      </c>
      <c r="B13" s="6">
        <v>9</v>
      </c>
      <c r="C13" s="104" t="s">
        <v>36</v>
      </c>
      <c r="D13" s="112">
        <f t="shared" si="6"/>
        <v>80</v>
      </c>
      <c r="E13" s="105">
        <v>0.5</v>
      </c>
      <c r="F13" s="104">
        <v>40</v>
      </c>
      <c r="G13" s="106">
        <v>40</v>
      </c>
      <c r="H13" s="107">
        <f t="shared" si="1"/>
        <v>1600</v>
      </c>
      <c r="I13" s="108">
        <f t="shared" si="2"/>
        <v>0.98228697646758967</v>
      </c>
      <c r="J13" s="109">
        <f t="shared" si="3"/>
        <v>40.982286976467591</v>
      </c>
      <c r="K13" s="109">
        <f t="shared" si="7"/>
        <v>1639.2914790587038</v>
      </c>
      <c r="L13" s="113">
        <v>45</v>
      </c>
      <c r="M13" s="107">
        <f t="shared" si="4"/>
        <v>1800</v>
      </c>
      <c r="N13" s="107">
        <f t="shared" ca="1" si="8"/>
        <v>90</v>
      </c>
      <c r="O13" s="114">
        <f t="shared" ca="1" si="9"/>
        <v>38</v>
      </c>
      <c r="P13" s="101"/>
      <c r="Q13" s="37">
        <v>0</v>
      </c>
      <c r="R13" s="37">
        <v>0</v>
      </c>
      <c r="S13" s="41">
        <v>1</v>
      </c>
      <c r="T13" s="41">
        <v>0</v>
      </c>
      <c r="U13" s="41">
        <v>1</v>
      </c>
      <c r="V13" s="41">
        <f ca="1">SUMIFS('Tổng Đơn'!$F:$F,'Tổng Đơn'!$B:$B,'La Cusina'!$C13)</f>
        <v>0</v>
      </c>
      <c r="W13" s="41">
        <v>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  <c r="AE13" s="41">
        <v>0</v>
      </c>
    </row>
    <row r="14" spans="1:31" ht="18.75" x14ac:dyDescent="0.25">
      <c r="A14" s="102">
        <f t="shared" ca="1" si="5"/>
        <v>1598.309192082236</v>
      </c>
      <c r="B14" s="6">
        <v>10</v>
      </c>
      <c r="C14" s="104" t="s">
        <v>35</v>
      </c>
      <c r="D14" s="112">
        <f t="shared" si="6"/>
        <v>80</v>
      </c>
      <c r="E14" s="105">
        <v>0.5</v>
      </c>
      <c r="F14" s="104">
        <v>40</v>
      </c>
      <c r="G14" s="106">
        <v>40</v>
      </c>
      <c r="H14" s="107">
        <f t="shared" si="1"/>
        <v>1600</v>
      </c>
      <c r="I14" s="108">
        <f t="shared" si="2"/>
        <v>0.98228697646758967</v>
      </c>
      <c r="J14" s="109">
        <f t="shared" si="3"/>
        <v>40.982286976467591</v>
      </c>
      <c r="K14" s="109">
        <f t="shared" si="7"/>
        <v>1639.2914790587038</v>
      </c>
      <c r="L14" s="113">
        <v>45</v>
      </c>
      <c r="M14" s="107">
        <f t="shared" si="4"/>
        <v>1800</v>
      </c>
      <c r="N14" s="107">
        <f t="shared" ca="1" si="8"/>
        <v>45</v>
      </c>
      <c r="O14" s="114">
        <f t="shared" ca="1" si="9"/>
        <v>39</v>
      </c>
      <c r="P14" s="101"/>
      <c r="Q14" s="37">
        <v>0</v>
      </c>
      <c r="R14" s="37">
        <v>0</v>
      </c>
      <c r="S14" s="41">
        <v>0</v>
      </c>
      <c r="T14" s="41">
        <v>0</v>
      </c>
      <c r="U14" s="41">
        <v>1</v>
      </c>
      <c r="V14" s="41">
        <f ca="1">SUMIFS('Tổng Đơn'!$F:$F,'Tổng Đơn'!$B:$B,'La Cusina'!$C14)</f>
        <v>0</v>
      </c>
      <c r="W14" s="41">
        <v>0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  <c r="AE14" s="41">
        <v>0</v>
      </c>
    </row>
    <row r="15" spans="1:31" ht="18.75" x14ac:dyDescent="0.25">
      <c r="A15" s="102">
        <f t="shared" ca="1" si="5"/>
        <v>1516.3446181293009</v>
      </c>
      <c r="B15" s="6">
        <v>11</v>
      </c>
      <c r="C15" s="104" t="s">
        <v>34</v>
      </c>
      <c r="D15" s="112">
        <f t="shared" si="6"/>
        <v>80</v>
      </c>
      <c r="E15" s="105">
        <v>0.5</v>
      </c>
      <c r="F15" s="104">
        <v>40</v>
      </c>
      <c r="G15" s="106">
        <v>40</v>
      </c>
      <c r="H15" s="107">
        <f t="shared" si="1"/>
        <v>1600</v>
      </c>
      <c r="I15" s="108">
        <f t="shared" si="2"/>
        <v>0.98228697646758967</v>
      </c>
      <c r="J15" s="109">
        <f t="shared" si="3"/>
        <v>40.982286976467591</v>
      </c>
      <c r="K15" s="109">
        <f t="shared" si="7"/>
        <v>1639.2914790587038</v>
      </c>
      <c r="L15" s="113">
        <v>45</v>
      </c>
      <c r="M15" s="107">
        <f t="shared" si="4"/>
        <v>1800</v>
      </c>
      <c r="N15" s="107">
        <f t="shared" ca="1" si="8"/>
        <v>135</v>
      </c>
      <c r="O15" s="114">
        <f t="shared" ca="1" si="9"/>
        <v>37</v>
      </c>
      <c r="P15" s="101"/>
      <c r="Q15" s="37">
        <v>0</v>
      </c>
      <c r="R15" s="37">
        <v>0</v>
      </c>
      <c r="S15" s="41">
        <v>0</v>
      </c>
      <c r="T15" s="41">
        <v>1</v>
      </c>
      <c r="U15" s="41">
        <v>1</v>
      </c>
      <c r="V15" s="41">
        <f ca="1">SUMIFS('Tổng Đơn'!$F:$F,'Tổng Đơn'!$B:$B,'La Cusina'!$C15)</f>
        <v>1</v>
      </c>
      <c r="W15" s="41">
        <v>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  <c r="AE15" s="41">
        <v>0</v>
      </c>
    </row>
    <row r="16" spans="1:31" ht="18.75" x14ac:dyDescent="0.25">
      <c r="A16" s="102">
        <f t="shared" ca="1" si="5"/>
        <v>1557.3269051057684</v>
      </c>
      <c r="B16" s="6">
        <v>12</v>
      </c>
      <c r="C16" s="104" t="s">
        <v>33</v>
      </c>
      <c r="D16" s="112">
        <f t="shared" si="6"/>
        <v>80</v>
      </c>
      <c r="E16" s="105">
        <v>0.5</v>
      </c>
      <c r="F16" s="104">
        <v>40</v>
      </c>
      <c r="G16" s="106">
        <v>40</v>
      </c>
      <c r="H16" s="107">
        <f t="shared" si="1"/>
        <v>1600</v>
      </c>
      <c r="I16" s="108">
        <f t="shared" si="2"/>
        <v>0.98228697646758967</v>
      </c>
      <c r="J16" s="109">
        <f t="shared" si="3"/>
        <v>40.982286976467591</v>
      </c>
      <c r="K16" s="109">
        <f t="shared" si="7"/>
        <v>1639.2914790587038</v>
      </c>
      <c r="L16" s="113">
        <v>45</v>
      </c>
      <c r="M16" s="107">
        <f t="shared" si="4"/>
        <v>1800</v>
      </c>
      <c r="N16" s="107">
        <f t="shared" ca="1" si="8"/>
        <v>90</v>
      </c>
      <c r="O16" s="114">
        <f t="shared" ca="1" si="9"/>
        <v>38</v>
      </c>
      <c r="P16" s="101"/>
      <c r="Q16" s="37">
        <v>0</v>
      </c>
      <c r="R16" s="37">
        <v>0</v>
      </c>
      <c r="S16" s="41">
        <v>0</v>
      </c>
      <c r="T16" s="41">
        <v>0</v>
      </c>
      <c r="U16" s="41">
        <v>2</v>
      </c>
      <c r="V16" s="41">
        <f ca="1">SUMIFS('Tổng Đơn'!$F:$F,'Tổng Đơn'!$B:$B,'La Cusina'!$C16)</f>
        <v>0</v>
      </c>
      <c r="W16" s="41">
        <v>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  <c r="AE16" s="41">
        <v>0</v>
      </c>
    </row>
    <row r="17" spans="1:31" ht="18.75" x14ac:dyDescent="0.25">
      <c r="A17" s="102">
        <f t="shared" ca="1" si="5"/>
        <v>1475.3623311528333</v>
      </c>
      <c r="B17" s="6">
        <v>13</v>
      </c>
      <c r="C17" s="104" t="s">
        <v>59</v>
      </c>
      <c r="D17" s="112">
        <f t="shared" si="6"/>
        <v>80</v>
      </c>
      <c r="E17" s="105">
        <v>0.5</v>
      </c>
      <c r="F17" s="104">
        <v>40</v>
      </c>
      <c r="G17" s="106">
        <v>40</v>
      </c>
      <c r="H17" s="107">
        <f t="shared" si="1"/>
        <v>1600</v>
      </c>
      <c r="I17" s="108">
        <f t="shared" si="2"/>
        <v>0.98228697646758967</v>
      </c>
      <c r="J17" s="109">
        <f t="shared" si="3"/>
        <v>40.982286976467591</v>
      </c>
      <c r="K17" s="109">
        <f t="shared" si="7"/>
        <v>1639.2914790587038</v>
      </c>
      <c r="L17" s="113">
        <v>45</v>
      </c>
      <c r="M17" s="107">
        <f t="shared" si="4"/>
        <v>1800</v>
      </c>
      <c r="N17" s="107">
        <f t="shared" ca="1" si="8"/>
        <v>180</v>
      </c>
      <c r="O17" s="114">
        <f t="shared" ca="1" si="9"/>
        <v>36</v>
      </c>
      <c r="P17" s="101"/>
      <c r="Q17" s="37">
        <v>0</v>
      </c>
      <c r="R17" s="37">
        <v>0</v>
      </c>
      <c r="S17" s="41">
        <v>0</v>
      </c>
      <c r="T17" s="41">
        <v>2</v>
      </c>
      <c r="U17" s="41">
        <v>2</v>
      </c>
      <c r="V17" s="41">
        <f ca="1">SUMIFS('Tổng Đơn'!$F:$F,'Tổng Đơn'!$B:$B,'La Cusina'!$C17)</f>
        <v>0</v>
      </c>
      <c r="W17" s="41">
        <v>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  <c r="AE17" s="41">
        <v>0</v>
      </c>
    </row>
    <row r="18" spans="1:31" ht="15.75" x14ac:dyDescent="0.25">
      <c r="B18" s="115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</row>
  </sheetData>
  <autoFilter ref="B4:M4"/>
  <mergeCells count="1">
    <mergeCell ref="B1:M1"/>
  </mergeCells>
  <conditionalFormatting sqref="C6:C17">
    <cfRule type="expression" dxfId="80" priority="3">
      <formula>($O6/$O6)&lt;=1/4</formula>
    </cfRule>
  </conditionalFormatting>
  <conditionalFormatting sqref="C5:C17">
    <cfRule type="expression" dxfId="79" priority="1">
      <formula>($O5/$F5)&lt;=1/4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AG22"/>
  <sheetViews>
    <sheetView workbookViewId="0">
      <pane xSplit="4" ySplit="4" topLeftCell="O5" activePane="bottomRight" state="frozen"/>
      <selection pane="topRight" activeCell="E1" sqref="E1"/>
      <selection pane="bottomLeft" activeCell="A5" sqref="A5"/>
      <selection pane="bottomRight" activeCell="A5" sqref="A5"/>
    </sheetView>
  </sheetViews>
  <sheetFormatPr defaultRowHeight="15" x14ac:dyDescent="0.25"/>
  <cols>
    <col min="1" max="1" width="16.28515625" style="102" customWidth="1"/>
    <col min="2" max="2" width="6.85546875" style="102" customWidth="1"/>
    <col min="3" max="3" width="24.5703125" style="102" bestFit="1" customWidth="1"/>
    <col min="4" max="4" width="14.28515625" style="102" customWidth="1"/>
    <col min="5" max="6" width="9.85546875" style="102" customWidth="1"/>
    <col min="7" max="8" width="11.140625" style="102" customWidth="1"/>
    <col min="9" max="11" width="13.28515625" style="102" customWidth="1"/>
    <col min="12" max="14" width="11.42578125" style="102" customWidth="1"/>
    <col min="15" max="15" width="9.140625" style="102"/>
    <col min="16" max="16" width="13" style="102" customWidth="1"/>
    <col min="17" max="31" width="5.28515625" style="102" customWidth="1"/>
    <col min="32" max="32" width="9.140625" style="102"/>
    <col min="33" max="33" width="10.28515625" style="102" bestFit="1" customWidth="1"/>
    <col min="34" max="16384" width="9.140625" style="102"/>
  </cols>
  <sheetData>
    <row r="1" spans="1:33" x14ac:dyDescent="0.25">
      <c r="B1" s="143" t="s">
        <v>60</v>
      </c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03"/>
    </row>
    <row r="2" spans="1:33" ht="24" customHeight="1" x14ac:dyDescent="0.25">
      <c r="A2" s="1">
        <f>150+160</f>
        <v>310</v>
      </c>
      <c r="K2" s="13">
        <f>SUMPRODUCT((E5:E19)*(F5:F19))</f>
        <v>191.5</v>
      </c>
      <c r="L2" s="13">
        <f>M4-K4</f>
        <v>1772.0000000000018</v>
      </c>
      <c r="M2" s="8">
        <f>M4/K4-1</f>
        <v>0.14940978077571687</v>
      </c>
      <c r="N2" s="8"/>
      <c r="R2" s="67"/>
    </row>
    <row r="3" spans="1:33" ht="55.5" customHeight="1" x14ac:dyDescent="0.25">
      <c r="A3" s="86" t="s">
        <v>128</v>
      </c>
      <c r="B3" s="3" t="s">
        <v>0</v>
      </c>
      <c r="C3" s="3" t="s">
        <v>17</v>
      </c>
      <c r="D3" s="20" t="s">
        <v>63</v>
      </c>
      <c r="E3" s="5" t="s">
        <v>25</v>
      </c>
      <c r="F3" s="5" t="s">
        <v>16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123</v>
      </c>
      <c r="O3" s="35" t="s">
        <v>61</v>
      </c>
      <c r="P3" s="99" t="s">
        <v>150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3" s="72" customFormat="1" ht="27" customHeight="1" x14ac:dyDescent="0.25">
      <c r="A4" s="81">
        <f ca="1">SUBTOTAL(9,A5:A220)</f>
        <v>5655.0636363636368</v>
      </c>
      <c r="B4" s="19"/>
      <c r="C4" s="19"/>
      <c r="D4" s="73"/>
      <c r="E4" s="19"/>
      <c r="F4" s="19">
        <f>SUBTOTAL(9,F5:F190)</f>
        <v>408</v>
      </c>
      <c r="G4" s="7"/>
      <c r="H4" s="7">
        <f>SUBTOTAL(9,H5:H100)</f>
        <v>11550</v>
      </c>
      <c r="I4" s="12"/>
      <c r="J4" s="12"/>
      <c r="K4" s="12">
        <f>SUBTOTAL(9,K5:K190)</f>
        <v>11859.999999999998</v>
      </c>
      <c r="L4" s="74"/>
      <c r="M4" s="7">
        <f>SUBTOTAL(9,M5:M190)</f>
        <v>13632</v>
      </c>
      <c r="N4" s="7">
        <f ca="1">SUBTOTAL(9,N5:N190)+SUM(Q2:AE20)</f>
        <v>7762</v>
      </c>
      <c r="O4" s="39">
        <f ca="1">SUBTOTAL(9,O5:O190)</f>
        <v>198</v>
      </c>
      <c r="P4" s="121">
        <f>SUBTOTAL(9,P5:P220)</f>
        <v>2</v>
      </c>
      <c r="Q4" s="40">
        <f>SUBTOTAL(9,Q5:Q190)</f>
        <v>0</v>
      </c>
      <c r="R4" s="40">
        <f t="shared" ref="R4:AG4" si="0">SUBTOTAL(9,R5:R190)</f>
        <v>4</v>
      </c>
      <c r="S4" s="40">
        <f t="shared" si="0"/>
        <v>56</v>
      </c>
      <c r="T4" s="40">
        <f t="shared" si="0"/>
        <v>51</v>
      </c>
      <c r="U4" s="40">
        <f t="shared" si="0"/>
        <v>87</v>
      </c>
      <c r="V4" s="40">
        <f t="shared" ca="1" si="0"/>
        <v>10</v>
      </c>
      <c r="W4" s="40">
        <f t="shared" si="0"/>
        <v>0</v>
      </c>
      <c r="X4" s="40">
        <f t="shared" si="0"/>
        <v>0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  <c r="AG4" s="128">
        <f t="shared" si="0"/>
        <v>5758</v>
      </c>
    </row>
    <row r="5" spans="1:33" ht="18.75" x14ac:dyDescent="0.25">
      <c r="A5" s="102">
        <f ca="1">IFERROR(J5*O5,"")</f>
        <v>0</v>
      </c>
      <c r="B5" s="6">
        <v>1</v>
      </c>
      <c r="C5" s="104" t="s">
        <v>1</v>
      </c>
      <c r="D5" s="112">
        <v>42.5</v>
      </c>
      <c r="E5" s="6">
        <v>0.5</v>
      </c>
      <c r="F5" s="6">
        <f>20+30</f>
        <v>50</v>
      </c>
      <c r="G5" s="116">
        <f>D5/2</f>
        <v>21.25</v>
      </c>
      <c r="H5" s="107">
        <f>G5*F5</f>
        <v>1062.5</v>
      </c>
      <c r="I5" s="108">
        <f t="shared" ref="I5:I19" si="1">((H5/$H$4)*$A$2)/F5</f>
        <v>0.57034632034632038</v>
      </c>
      <c r="J5" s="109">
        <f t="shared" ref="J5:J19" si="2">G5+I5</f>
        <v>21.820346320346321</v>
      </c>
      <c r="K5" s="109">
        <f>J5*F5</f>
        <v>1091.017316017316</v>
      </c>
      <c r="L5" s="117">
        <v>25</v>
      </c>
      <c r="M5" s="107">
        <f>L5*F5</f>
        <v>1250</v>
      </c>
      <c r="N5" s="107">
        <f ca="1">SUMPRODUCT($L5*($Q5:$AE5))</f>
        <v>1225</v>
      </c>
      <c r="O5" s="111">
        <f ca="1">F5-SUM(Q5:AE5)-P5</f>
        <v>0</v>
      </c>
      <c r="P5" s="101">
        <v>1</v>
      </c>
      <c r="Q5" s="104">
        <v>0</v>
      </c>
      <c r="R5" s="118">
        <v>1</v>
      </c>
      <c r="S5" s="119">
        <v>6</v>
      </c>
      <c r="T5" s="119">
        <v>8</v>
      </c>
      <c r="U5" s="119">
        <v>32</v>
      </c>
      <c r="V5" s="119">
        <f ca="1">SUMIFS('Tổng Đơn'!$F:$F,'Tổng Đơn'!$B:$B,'Quốc Nhân'!$C5)</f>
        <v>2</v>
      </c>
      <c r="W5" s="119">
        <v>0</v>
      </c>
      <c r="X5" s="119">
        <v>0</v>
      </c>
      <c r="Y5" s="119">
        <v>0</v>
      </c>
      <c r="Z5" s="119">
        <v>0</v>
      </c>
      <c r="AA5" s="119">
        <v>0</v>
      </c>
      <c r="AB5" s="119">
        <v>0</v>
      </c>
      <c r="AC5" s="119">
        <v>0</v>
      </c>
      <c r="AD5" s="119">
        <v>0</v>
      </c>
      <c r="AE5" s="119">
        <v>0</v>
      </c>
      <c r="AF5" s="102">
        <v>60</v>
      </c>
      <c r="AG5" s="102">
        <f>AF5*G5</f>
        <v>1275</v>
      </c>
    </row>
    <row r="6" spans="1:33" ht="18.75" x14ac:dyDescent="0.25">
      <c r="A6" s="102">
        <f t="shared" ref="A6:A22" ca="1" si="3">IFERROR(J6*O6,"")</f>
        <v>135.54285714285714</v>
      </c>
      <c r="B6" s="6">
        <v>2</v>
      </c>
      <c r="C6" s="104" t="s">
        <v>2</v>
      </c>
      <c r="D6" s="112">
        <v>44</v>
      </c>
      <c r="E6" s="6">
        <v>0.5</v>
      </c>
      <c r="F6" s="6">
        <v>20</v>
      </c>
      <c r="G6" s="116">
        <f t="shared" ref="G6:G7" si="4">D6/2</f>
        <v>22</v>
      </c>
      <c r="H6" s="107">
        <f t="shared" ref="H6:H19" si="5">G6*F6</f>
        <v>440</v>
      </c>
      <c r="I6" s="108">
        <f t="shared" si="1"/>
        <v>0.59047619047619049</v>
      </c>
      <c r="J6" s="109">
        <f t="shared" si="2"/>
        <v>22.590476190476192</v>
      </c>
      <c r="K6" s="109">
        <f t="shared" ref="K6:K19" si="6">J6*F6</f>
        <v>451.80952380952385</v>
      </c>
      <c r="L6" s="117">
        <v>28</v>
      </c>
      <c r="M6" s="107">
        <f t="shared" ref="M6:M19" si="7">L6*F6</f>
        <v>560</v>
      </c>
      <c r="N6" s="107">
        <f t="shared" ref="N6:N20" ca="1" si="8">SUMPRODUCT($L6*($Q6:$AE6))</f>
        <v>392</v>
      </c>
      <c r="O6" s="111">
        <f t="shared" ref="O6:O22" ca="1" si="9">F6-SUM(Q6:AE6)-P6</f>
        <v>6</v>
      </c>
      <c r="P6" s="101"/>
      <c r="Q6" s="104">
        <v>0</v>
      </c>
      <c r="R6" s="104">
        <v>0</v>
      </c>
      <c r="S6" s="119">
        <v>5</v>
      </c>
      <c r="T6" s="119">
        <v>4</v>
      </c>
      <c r="U6" s="119">
        <v>5</v>
      </c>
      <c r="V6" s="119">
        <f ca="1">SUMIFS('Tổng Đơn'!$F:$F,'Tổng Đơn'!$B:$B,'Quốc Nhân'!$C6)</f>
        <v>0</v>
      </c>
      <c r="W6" s="119">
        <v>0</v>
      </c>
      <c r="X6" s="119">
        <v>0</v>
      </c>
      <c r="Y6" s="119">
        <v>0</v>
      </c>
      <c r="Z6" s="119">
        <v>0</v>
      </c>
      <c r="AA6" s="119">
        <v>0</v>
      </c>
      <c r="AB6" s="119">
        <v>0</v>
      </c>
      <c r="AC6" s="119">
        <v>0</v>
      </c>
      <c r="AD6" s="119">
        <v>0</v>
      </c>
      <c r="AE6" s="119">
        <v>0</v>
      </c>
      <c r="AF6" s="102">
        <v>20</v>
      </c>
      <c r="AG6" s="102">
        <f t="shared" ref="AG6:AG22" si="10">AF6*G6</f>
        <v>440</v>
      </c>
    </row>
    <row r="7" spans="1:33" ht="18.75" x14ac:dyDescent="0.25">
      <c r="A7" s="102">
        <f t="shared" ca="1" si="3"/>
        <v>379.67402597402599</v>
      </c>
      <c r="B7" s="6">
        <v>3</v>
      </c>
      <c r="C7" s="104" t="s">
        <v>3</v>
      </c>
      <c r="D7" s="112">
        <v>43.5</v>
      </c>
      <c r="E7" s="6">
        <v>0.5</v>
      </c>
      <c r="F7" s="6">
        <v>20</v>
      </c>
      <c r="G7" s="116">
        <f t="shared" si="4"/>
        <v>21.75</v>
      </c>
      <c r="H7" s="107">
        <f t="shared" si="5"/>
        <v>435</v>
      </c>
      <c r="I7" s="108">
        <f t="shared" si="1"/>
        <v>0.58376623376623371</v>
      </c>
      <c r="J7" s="109">
        <f t="shared" si="2"/>
        <v>22.333766233766234</v>
      </c>
      <c r="K7" s="109">
        <f t="shared" si="6"/>
        <v>446.67532467532465</v>
      </c>
      <c r="L7" s="117">
        <v>30</v>
      </c>
      <c r="M7" s="107">
        <f t="shared" si="7"/>
        <v>600</v>
      </c>
      <c r="N7" s="107">
        <f t="shared" ca="1" si="8"/>
        <v>90</v>
      </c>
      <c r="O7" s="111">
        <f t="shared" ca="1" si="9"/>
        <v>17</v>
      </c>
      <c r="P7" s="101"/>
      <c r="Q7" s="104">
        <v>0</v>
      </c>
      <c r="R7" s="118">
        <v>1</v>
      </c>
      <c r="S7" s="119">
        <v>0</v>
      </c>
      <c r="T7" s="119">
        <v>2</v>
      </c>
      <c r="U7" s="119">
        <v>0</v>
      </c>
      <c r="V7" s="119">
        <f ca="1">SUMIFS('Tổng Đơn'!$F:$F,'Tổng Đơn'!$B:$B,'Quốc Nhân'!$C7)</f>
        <v>0</v>
      </c>
      <c r="W7" s="119">
        <v>0</v>
      </c>
      <c r="X7" s="119">
        <v>0</v>
      </c>
      <c r="Y7" s="119">
        <v>0</v>
      </c>
      <c r="Z7" s="119">
        <v>0</v>
      </c>
      <c r="AA7" s="119">
        <v>0</v>
      </c>
      <c r="AB7" s="119">
        <v>0</v>
      </c>
      <c r="AC7" s="119">
        <v>0</v>
      </c>
      <c r="AD7" s="119">
        <v>0</v>
      </c>
      <c r="AE7" s="119">
        <v>0</v>
      </c>
      <c r="AG7" s="102">
        <f t="shared" si="10"/>
        <v>0</v>
      </c>
    </row>
    <row r="8" spans="1:33" ht="18.75" x14ac:dyDescent="0.25">
      <c r="A8" s="102">
        <f t="shared" ca="1" si="3"/>
        <v>123.22077922077922</v>
      </c>
      <c r="B8" s="6">
        <v>4</v>
      </c>
      <c r="C8" s="104" t="s">
        <v>4</v>
      </c>
      <c r="D8" s="112">
        <v>60</v>
      </c>
      <c r="E8" s="6">
        <v>0.5</v>
      </c>
      <c r="F8" s="6">
        <v>20</v>
      </c>
      <c r="G8" s="106">
        <f>D8/2</f>
        <v>30</v>
      </c>
      <c r="H8" s="120">
        <f t="shared" si="5"/>
        <v>600</v>
      </c>
      <c r="I8" s="108">
        <f t="shared" si="1"/>
        <v>0.80519480519480524</v>
      </c>
      <c r="J8" s="109">
        <f t="shared" si="2"/>
        <v>30.805194805194805</v>
      </c>
      <c r="K8" s="109">
        <f t="shared" si="6"/>
        <v>616.10389610389609</v>
      </c>
      <c r="L8" s="117">
        <v>35</v>
      </c>
      <c r="M8" s="107">
        <f t="shared" si="7"/>
        <v>700</v>
      </c>
      <c r="N8" s="107">
        <f t="shared" ca="1" si="8"/>
        <v>560</v>
      </c>
      <c r="O8" s="111">
        <f t="shared" ca="1" si="9"/>
        <v>4</v>
      </c>
      <c r="P8" s="101"/>
      <c r="Q8" s="104">
        <v>0</v>
      </c>
      <c r="R8" s="104">
        <v>1</v>
      </c>
      <c r="S8" s="119">
        <v>4</v>
      </c>
      <c r="T8" s="119">
        <v>5</v>
      </c>
      <c r="U8" s="119">
        <v>5</v>
      </c>
      <c r="V8" s="119">
        <f ca="1">SUMIFS('Tổng Đơn'!$F:$F,'Tổng Đơn'!$B:$B,'Quốc Nhân'!$C8)</f>
        <v>1</v>
      </c>
      <c r="W8" s="119">
        <v>0</v>
      </c>
      <c r="X8" s="119">
        <v>0</v>
      </c>
      <c r="Y8" s="119">
        <v>0</v>
      </c>
      <c r="Z8" s="119">
        <v>0</v>
      </c>
      <c r="AA8" s="119">
        <v>0</v>
      </c>
      <c r="AB8" s="119">
        <v>0</v>
      </c>
      <c r="AC8" s="119">
        <v>0</v>
      </c>
      <c r="AD8" s="119">
        <v>0</v>
      </c>
      <c r="AE8" s="119">
        <v>0</v>
      </c>
      <c r="AF8" s="102">
        <v>30</v>
      </c>
      <c r="AG8" s="102">
        <f t="shared" si="10"/>
        <v>900</v>
      </c>
    </row>
    <row r="9" spans="1:33" ht="18.75" x14ac:dyDescent="0.25">
      <c r="A9" s="102">
        <f t="shared" ca="1" si="3"/>
        <v>1012.4640692640693</v>
      </c>
      <c r="B9" s="6">
        <v>5</v>
      </c>
      <c r="C9" s="104" t="s">
        <v>5</v>
      </c>
      <c r="D9" s="112">
        <v>68</v>
      </c>
      <c r="E9" s="6">
        <v>0.5</v>
      </c>
      <c r="F9" s="6">
        <f>20+40</f>
        <v>60</v>
      </c>
      <c r="G9" s="106">
        <f t="shared" ref="G9:G22" si="11">D9/2</f>
        <v>34</v>
      </c>
      <c r="H9" s="120">
        <f t="shared" si="5"/>
        <v>2040</v>
      </c>
      <c r="I9" s="108">
        <f t="shared" si="1"/>
        <v>0.91255411255411256</v>
      </c>
      <c r="J9" s="109">
        <f t="shared" si="2"/>
        <v>34.912554112554112</v>
      </c>
      <c r="K9" s="109">
        <f t="shared" si="6"/>
        <v>2094.7532467532469</v>
      </c>
      <c r="L9" s="117">
        <v>40</v>
      </c>
      <c r="M9" s="107">
        <f t="shared" si="7"/>
        <v>2400</v>
      </c>
      <c r="N9" s="107">
        <f t="shared" ca="1" si="8"/>
        <v>1240</v>
      </c>
      <c r="O9" s="111">
        <f t="shared" ca="1" si="9"/>
        <v>29</v>
      </c>
      <c r="P9" s="101"/>
      <c r="Q9" s="104">
        <v>0</v>
      </c>
      <c r="R9" s="104">
        <v>0</v>
      </c>
      <c r="S9" s="119">
        <v>13</v>
      </c>
      <c r="T9" s="119">
        <v>7</v>
      </c>
      <c r="U9" s="119">
        <v>10</v>
      </c>
      <c r="V9" s="119">
        <f ca="1">SUMIFS('Tổng Đơn'!$F:$F,'Tổng Đơn'!$B:$B,'Quốc Nhân'!$C9)</f>
        <v>1</v>
      </c>
      <c r="W9" s="119">
        <v>0</v>
      </c>
      <c r="X9" s="119">
        <v>0</v>
      </c>
      <c r="Y9" s="119">
        <v>0</v>
      </c>
      <c r="Z9" s="119">
        <v>0</v>
      </c>
      <c r="AA9" s="119">
        <v>0</v>
      </c>
      <c r="AB9" s="119">
        <v>0</v>
      </c>
      <c r="AC9" s="119">
        <v>0</v>
      </c>
      <c r="AD9" s="119">
        <v>0</v>
      </c>
      <c r="AE9" s="119">
        <v>0</v>
      </c>
      <c r="AG9" s="102">
        <f t="shared" si="10"/>
        <v>0</v>
      </c>
    </row>
    <row r="10" spans="1:33" ht="18.75" x14ac:dyDescent="0.25">
      <c r="A10" s="102">
        <f t="shared" ca="1" si="3"/>
        <v>441.5411255411255</v>
      </c>
      <c r="B10" s="6">
        <v>6</v>
      </c>
      <c r="C10" s="104" t="s">
        <v>6</v>
      </c>
      <c r="D10" s="112">
        <v>86</v>
      </c>
      <c r="E10" s="6">
        <v>0.5</v>
      </c>
      <c r="F10" s="6">
        <v>20</v>
      </c>
      <c r="G10" s="106">
        <f t="shared" si="11"/>
        <v>43</v>
      </c>
      <c r="H10" s="120">
        <f t="shared" si="5"/>
        <v>860</v>
      </c>
      <c r="I10" s="108">
        <f t="shared" si="1"/>
        <v>1.1541125541125541</v>
      </c>
      <c r="J10" s="109">
        <f t="shared" si="2"/>
        <v>44.154112554112551</v>
      </c>
      <c r="K10" s="109">
        <f t="shared" si="6"/>
        <v>883.08225108225099</v>
      </c>
      <c r="L10" s="117">
        <v>50</v>
      </c>
      <c r="M10" s="107">
        <f t="shared" si="7"/>
        <v>1000</v>
      </c>
      <c r="N10" s="107">
        <f ca="1">SUMPRODUCT($L10*($Q10:$AE10))</f>
        <v>450</v>
      </c>
      <c r="O10" s="111">
        <f t="shared" ca="1" si="9"/>
        <v>10</v>
      </c>
      <c r="P10" s="101">
        <v>1</v>
      </c>
      <c r="Q10" s="104">
        <v>0</v>
      </c>
      <c r="R10" s="104">
        <v>0</v>
      </c>
      <c r="S10" s="119">
        <v>1</v>
      </c>
      <c r="T10" s="119">
        <v>6</v>
      </c>
      <c r="U10" s="119">
        <v>2</v>
      </c>
      <c r="V10" s="119">
        <f ca="1">SUMIFS('Tổng Đơn'!$F:$F,'Tổng Đơn'!$B:$B,'Quốc Nhân'!$C10)</f>
        <v>0</v>
      </c>
      <c r="W10" s="119">
        <v>0</v>
      </c>
      <c r="X10" s="119">
        <v>0</v>
      </c>
      <c r="Y10" s="119">
        <v>0</v>
      </c>
      <c r="Z10" s="119">
        <v>0</v>
      </c>
      <c r="AA10" s="119">
        <v>0</v>
      </c>
      <c r="AB10" s="119">
        <v>0</v>
      </c>
      <c r="AC10" s="119">
        <v>0</v>
      </c>
      <c r="AD10" s="119">
        <v>0</v>
      </c>
      <c r="AE10" s="119">
        <v>0</v>
      </c>
      <c r="AF10" s="102">
        <v>16</v>
      </c>
      <c r="AG10" s="102">
        <f t="shared" si="10"/>
        <v>688</v>
      </c>
    </row>
    <row r="11" spans="1:33" ht="18.75" x14ac:dyDescent="0.25">
      <c r="A11" s="102">
        <f t="shared" ca="1" si="3"/>
        <v>395.33333333333331</v>
      </c>
      <c r="B11" s="6">
        <v>7</v>
      </c>
      <c r="C11" s="104" t="s">
        <v>7</v>
      </c>
      <c r="D11" s="112">
        <v>55</v>
      </c>
      <c r="E11" s="6">
        <v>0.5</v>
      </c>
      <c r="F11" s="6">
        <v>20</v>
      </c>
      <c r="G11" s="106">
        <f t="shared" si="11"/>
        <v>27.5</v>
      </c>
      <c r="H11" s="120">
        <f t="shared" si="5"/>
        <v>550</v>
      </c>
      <c r="I11" s="108">
        <f t="shared" si="1"/>
        <v>0.73809523809523803</v>
      </c>
      <c r="J11" s="109">
        <f t="shared" si="2"/>
        <v>28.238095238095237</v>
      </c>
      <c r="K11" s="109">
        <f t="shared" si="6"/>
        <v>564.7619047619047</v>
      </c>
      <c r="L11" s="117">
        <v>34</v>
      </c>
      <c r="M11" s="107">
        <f t="shared" si="7"/>
        <v>680</v>
      </c>
      <c r="N11" s="107">
        <f t="shared" ca="1" si="8"/>
        <v>204</v>
      </c>
      <c r="O11" s="111">
        <f t="shared" ca="1" si="9"/>
        <v>14</v>
      </c>
      <c r="P11" s="101"/>
      <c r="Q11" s="104">
        <v>0</v>
      </c>
      <c r="R11" s="104">
        <v>0</v>
      </c>
      <c r="S11" s="119">
        <v>3</v>
      </c>
      <c r="T11" s="119">
        <v>3</v>
      </c>
      <c r="U11" s="119">
        <v>0</v>
      </c>
      <c r="V11" s="119">
        <f ca="1">SUMIFS('Tổng Đơn'!$F:$F,'Tổng Đơn'!$B:$B,'Quốc Nhân'!$C11)</f>
        <v>0</v>
      </c>
      <c r="W11" s="119">
        <v>0</v>
      </c>
      <c r="X11" s="119">
        <v>0</v>
      </c>
      <c r="Y11" s="119">
        <v>0</v>
      </c>
      <c r="Z11" s="119">
        <v>0</v>
      </c>
      <c r="AA11" s="119">
        <v>0</v>
      </c>
      <c r="AB11" s="119">
        <v>0</v>
      </c>
      <c r="AC11" s="119">
        <v>0</v>
      </c>
      <c r="AD11" s="119">
        <v>0</v>
      </c>
      <c r="AE11" s="119">
        <v>0</v>
      </c>
      <c r="AG11" s="102">
        <f t="shared" si="10"/>
        <v>0</v>
      </c>
    </row>
    <row r="12" spans="1:33" ht="18.75" x14ac:dyDescent="0.25">
      <c r="A12" s="102">
        <f t="shared" ca="1" si="3"/>
        <v>0</v>
      </c>
      <c r="B12" s="6">
        <v>8</v>
      </c>
      <c r="C12" s="104" t="s">
        <v>8</v>
      </c>
      <c r="D12" s="112">
        <v>115</v>
      </c>
      <c r="E12" s="6">
        <v>0.5</v>
      </c>
      <c r="F12" s="6">
        <v>8</v>
      </c>
      <c r="G12" s="106">
        <f t="shared" si="11"/>
        <v>57.5</v>
      </c>
      <c r="H12" s="120">
        <f t="shared" si="5"/>
        <v>460</v>
      </c>
      <c r="I12" s="108">
        <f t="shared" si="1"/>
        <v>1.5432900432900434</v>
      </c>
      <c r="J12" s="109">
        <f t="shared" si="2"/>
        <v>59.043290043290042</v>
      </c>
      <c r="K12" s="109">
        <f t="shared" si="6"/>
        <v>472.34632034632034</v>
      </c>
      <c r="L12" s="117">
        <v>64</v>
      </c>
      <c r="M12" s="107">
        <f t="shared" si="7"/>
        <v>512</v>
      </c>
      <c r="N12" s="107">
        <f t="shared" ca="1" si="8"/>
        <v>512</v>
      </c>
      <c r="O12" s="111">
        <f t="shared" ca="1" si="9"/>
        <v>0</v>
      </c>
      <c r="P12" s="101"/>
      <c r="Q12" s="104">
        <v>0</v>
      </c>
      <c r="R12" s="104">
        <v>0</v>
      </c>
      <c r="S12" s="119">
        <v>1</v>
      </c>
      <c r="T12" s="119">
        <v>4</v>
      </c>
      <c r="U12" s="119">
        <v>2</v>
      </c>
      <c r="V12" s="119">
        <f ca="1">SUMIFS('Tổng Đơn'!$F:$F,'Tổng Đơn'!$B:$B,'Quốc Nhân'!$C12)</f>
        <v>1</v>
      </c>
      <c r="W12" s="119">
        <v>0</v>
      </c>
      <c r="X12" s="119">
        <v>0</v>
      </c>
      <c r="Y12" s="119">
        <v>0</v>
      </c>
      <c r="Z12" s="119">
        <v>0</v>
      </c>
      <c r="AA12" s="119">
        <v>0</v>
      </c>
      <c r="AB12" s="119">
        <v>0</v>
      </c>
      <c r="AC12" s="119">
        <v>0</v>
      </c>
      <c r="AD12" s="119">
        <v>0</v>
      </c>
      <c r="AE12" s="119">
        <v>0</v>
      </c>
      <c r="AF12" s="102">
        <v>10</v>
      </c>
      <c r="AG12" s="102">
        <f t="shared" si="10"/>
        <v>575</v>
      </c>
    </row>
    <row r="13" spans="1:33" ht="18.75" x14ac:dyDescent="0.25">
      <c r="A13" s="102">
        <f t="shared" ca="1" si="3"/>
        <v>261.84415584415586</v>
      </c>
      <c r="B13" s="6">
        <v>9</v>
      </c>
      <c r="C13" s="104" t="s">
        <v>9</v>
      </c>
      <c r="D13" s="112">
        <v>85</v>
      </c>
      <c r="E13" s="6">
        <v>0.5</v>
      </c>
      <c r="F13" s="6">
        <f>10+10</f>
        <v>20</v>
      </c>
      <c r="G13" s="106">
        <f t="shared" si="11"/>
        <v>42.5</v>
      </c>
      <c r="H13" s="120">
        <f t="shared" si="5"/>
        <v>850</v>
      </c>
      <c r="I13" s="108">
        <f t="shared" si="1"/>
        <v>1.1406926406926408</v>
      </c>
      <c r="J13" s="109">
        <f t="shared" si="2"/>
        <v>43.640692640692642</v>
      </c>
      <c r="K13" s="109">
        <f t="shared" si="6"/>
        <v>872.8138528138528</v>
      </c>
      <c r="L13" s="117">
        <v>49</v>
      </c>
      <c r="M13" s="107">
        <f t="shared" si="7"/>
        <v>980</v>
      </c>
      <c r="N13" s="107">
        <f t="shared" ca="1" si="8"/>
        <v>686</v>
      </c>
      <c r="O13" s="111">
        <f t="shared" ca="1" si="9"/>
        <v>6</v>
      </c>
      <c r="P13" s="101"/>
      <c r="Q13" s="104">
        <v>0</v>
      </c>
      <c r="R13" s="104">
        <v>0</v>
      </c>
      <c r="S13" s="119">
        <v>4</v>
      </c>
      <c r="T13" s="119">
        <v>1</v>
      </c>
      <c r="U13" s="119">
        <v>7</v>
      </c>
      <c r="V13" s="119">
        <f ca="1">SUMIFS('Tổng Đơn'!$F:$F,'Tổng Đơn'!$B:$B,'Quốc Nhân'!$C13)</f>
        <v>2</v>
      </c>
      <c r="W13" s="119">
        <v>0</v>
      </c>
      <c r="X13" s="119">
        <v>0</v>
      </c>
      <c r="Y13" s="119">
        <v>0</v>
      </c>
      <c r="Z13" s="119">
        <v>0</v>
      </c>
      <c r="AA13" s="119">
        <v>0</v>
      </c>
      <c r="AB13" s="119">
        <v>0</v>
      </c>
      <c r="AC13" s="119">
        <v>0</v>
      </c>
      <c r="AD13" s="119">
        <v>0</v>
      </c>
      <c r="AE13" s="119">
        <v>0</v>
      </c>
      <c r="AF13" s="102">
        <v>20</v>
      </c>
      <c r="AG13" s="102">
        <f t="shared" si="10"/>
        <v>850</v>
      </c>
    </row>
    <row r="14" spans="1:33" ht="18.75" x14ac:dyDescent="0.25">
      <c r="A14" s="102">
        <f t="shared" ca="1" si="3"/>
        <v>249.52207792207793</v>
      </c>
      <c r="B14" s="6">
        <v>10</v>
      </c>
      <c r="C14" s="104" t="s">
        <v>10</v>
      </c>
      <c r="D14" s="112">
        <v>54</v>
      </c>
      <c r="E14" s="6">
        <v>0.4</v>
      </c>
      <c r="F14" s="6">
        <v>10</v>
      </c>
      <c r="G14" s="106">
        <f t="shared" si="11"/>
        <v>27</v>
      </c>
      <c r="H14" s="120">
        <f t="shared" si="5"/>
        <v>270</v>
      </c>
      <c r="I14" s="108">
        <f t="shared" si="1"/>
        <v>0.72467532467532469</v>
      </c>
      <c r="J14" s="109">
        <f t="shared" si="2"/>
        <v>27.724675324675324</v>
      </c>
      <c r="K14" s="109">
        <f t="shared" si="6"/>
        <v>277.24675324675326</v>
      </c>
      <c r="L14" s="117">
        <v>32</v>
      </c>
      <c r="M14" s="107">
        <f t="shared" si="7"/>
        <v>320</v>
      </c>
      <c r="N14" s="107">
        <f t="shared" ca="1" si="8"/>
        <v>32</v>
      </c>
      <c r="O14" s="111">
        <f t="shared" ca="1" si="9"/>
        <v>9</v>
      </c>
      <c r="P14" s="101"/>
      <c r="Q14" s="104">
        <v>0</v>
      </c>
      <c r="R14" s="104">
        <v>0</v>
      </c>
      <c r="S14" s="119">
        <v>0</v>
      </c>
      <c r="T14" s="119">
        <v>1</v>
      </c>
      <c r="U14" s="119">
        <v>0</v>
      </c>
      <c r="V14" s="119">
        <f ca="1">SUMIFS('Tổng Đơn'!$F:$F,'Tổng Đơn'!$B:$B,'Quốc Nhân'!$C14)</f>
        <v>0</v>
      </c>
      <c r="W14" s="119">
        <v>0</v>
      </c>
      <c r="X14" s="119">
        <v>0</v>
      </c>
      <c r="Y14" s="119">
        <v>0</v>
      </c>
      <c r="Z14" s="119">
        <v>0</v>
      </c>
      <c r="AA14" s="119">
        <v>0</v>
      </c>
      <c r="AB14" s="119">
        <v>0</v>
      </c>
      <c r="AC14" s="119">
        <v>0</v>
      </c>
      <c r="AD14" s="119">
        <v>0</v>
      </c>
      <c r="AE14" s="119">
        <v>0</v>
      </c>
      <c r="AG14" s="102">
        <f t="shared" si="10"/>
        <v>0</v>
      </c>
    </row>
    <row r="15" spans="1:33" ht="18.75" x14ac:dyDescent="0.25">
      <c r="A15" s="102">
        <f t="shared" ca="1" si="3"/>
        <v>277.24675324675326</v>
      </c>
      <c r="B15" s="6">
        <v>11</v>
      </c>
      <c r="C15" s="104" t="s">
        <v>11</v>
      </c>
      <c r="D15" s="112">
        <v>54</v>
      </c>
      <c r="E15" s="6">
        <v>0.4</v>
      </c>
      <c r="F15" s="6">
        <v>10</v>
      </c>
      <c r="G15" s="106">
        <f t="shared" si="11"/>
        <v>27</v>
      </c>
      <c r="H15" s="120">
        <f t="shared" si="5"/>
        <v>270</v>
      </c>
      <c r="I15" s="108">
        <f t="shared" si="1"/>
        <v>0.72467532467532469</v>
      </c>
      <c r="J15" s="109">
        <f t="shared" si="2"/>
        <v>27.724675324675324</v>
      </c>
      <c r="K15" s="109">
        <f t="shared" si="6"/>
        <v>277.24675324675326</v>
      </c>
      <c r="L15" s="117">
        <v>35</v>
      </c>
      <c r="M15" s="107">
        <f t="shared" si="7"/>
        <v>350</v>
      </c>
      <c r="N15" s="107">
        <f t="shared" ca="1" si="8"/>
        <v>0</v>
      </c>
      <c r="O15" s="111">
        <f t="shared" ca="1" si="9"/>
        <v>10</v>
      </c>
      <c r="P15" s="101"/>
      <c r="Q15" s="104">
        <v>0</v>
      </c>
      <c r="R15" s="104">
        <v>0</v>
      </c>
      <c r="S15" s="119">
        <v>0</v>
      </c>
      <c r="T15" s="119">
        <v>0</v>
      </c>
      <c r="U15" s="119">
        <v>0</v>
      </c>
      <c r="V15" s="119">
        <f ca="1">SUMIFS('Tổng Đơn'!$F:$F,'Tổng Đơn'!$B:$B,'Quốc Nhân'!$C15)</f>
        <v>0</v>
      </c>
      <c r="W15" s="119">
        <v>0</v>
      </c>
      <c r="X15" s="119">
        <v>0</v>
      </c>
      <c r="Y15" s="119">
        <v>0</v>
      </c>
      <c r="Z15" s="119">
        <v>0</v>
      </c>
      <c r="AA15" s="119">
        <v>0</v>
      </c>
      <c r="AB15" s="119">
        <v>0</v>
      </c>
      <c r="AC15" s="119">
        <v>0</v>
      </c>
      <c r="AD15" s="119">
        <v>0</v>
      </c>
      <c r="AE15" s="119">
        <v>0</v>
      </c>
      <c r="AG15" s="102">
        <f t="shared" si="10"/>
        <v>0</v>
      </c>
    </row>
    <row r="16" spans="1:33" ht="18.75" x14ac:dyDescent="0.25">
      <c r="A16" s="102">
        <f t="shared" ca="1" si="3"/>
        <v>463.10476190476192</v>
      </c>
      <c r="B16" s="6">
        <v>12</v>
      </c>
      <c r="C16" s="104" t="s">
        <v>12</v>
      </c>
      <c r="D16" s="112">
        <v>41</v>
      </c>
      <c r="E16" s="6">
        <v>0.5</v>
      </c>
      <c r="F16" s="6">
        <f>10+30</f>
        <v>40</v>
      </c>
      <c r="G16" s="106">
        <f t="shared" si="11"/>
        <v>20.5</v>
      </c>
      <c r="H16" s="120">
        <f t="shared" si="5"/>
        <v>820</v>
      </c>
      <c r="I16" s="108">
        <f t="shared" si="1"/>
        <v>0.55021645021645027</v>
      </c>
      <c r="J16" s="109">
        <f t="shared" si="2"/>
        <v>21.05021645021645</v>
      </c>
      <c r="K16" s="109">
        <f t="shared" si="6"/>
        <v>842.00865800865802</v>
      </c>
      <c r="L16" s="117">
        <v>26</v>
      </c>
      <c r="M16" s="107">
        <f t="shared" si="7"/>
        <v>1040</v>
      </c>
      <c r="N16" s="107">
        <f t="shared" ca="1" si="8"/>
        <v>468</v>
      </c>
      <c r="O16" s="111">
        <f t="shared" ca="1" si="9"/>
        <v>22</v>
      </c>
      <c r="P16" s="101"/>
      <c r="Q16" s="104">
        <v>0</v>
      </c>
      <c r="R16" s="104">
        <v>0</v>
      </c>
      <c r="S16" s="119">
        <v>4</v>
      </c>
      <c r="T16" s="119">
        <v>2</v>
      </c>
      <c r="U16" s="119">
        <v>12</v>
      </c>
      <c r="V16" s="119">
        <f ca="1">SUMIFS('Tổng Đơn'!$F:$F,'Tổng Đơn'!$B:$B,'Quốc Nhân'!$C16)</f>
        <v>0</v>
      </c>
      <c r="W16" s="119">
        <v>0</v>
      </c>
      <c r="X16" s="119">
        <v>0</v>
      </c>
      <c r="Y16" s="119">
        <v>0</v>
      </c>
      <c r="Z16" s="119">
        <v>0</v>
      </c>
      <c r="AA16" s="119">
        <v>0</v>
      </c>
      <c r="AB16" s="119">
        <v>0</v>
      </c>
      <c r="AC16" s="119">
        <v>0</v>
      </c>
      <c r="AD16" s="119">
        <v>0</v>
      </c>
      <c r="AE16" s="119">
        <v>0</v>
      </c>
      <c r="AF16" s="102">
        <v>20</v>
      </c>
      <c r="AG16" s="102">
        <f t="shared" si="10"/>
        <v>410</v>
      </c>
    </row>
    <row r="17" spans="1:33" ht="18.75" x14ac:dyDescent="0.25">
      <c r="A17" s="102">
        <f t="shared" ca="1" si="3"/>
        <v>294.70303030303029</v>
      </c>
      <c r="B17" s="6">
        <v>13</v>
      </c>
      <c r="C17" s="104" t="s">
        <v>13</v>
      </c>
      <c r="D17" s="112">
        <v>41</v>
      </c>
      <c r="E17" s="6">
        <v>0.5</v>
      </c>
      <c r="F17" s="6">
        <f>10+10</f>
        <v>20</v>
      </c>
      <c r="G17" s="106">
        <f t="shared" si="11"/>
        <v>20.5</v>
      </c>
      <c r="H17" s="120">
        <f t="shared" si="5"/>
        <v>410</v>
      </c>
      <c r="I17" s="108">
        <f t="shared" si="1"/>
        <v>0.55021645021645027</v>
      </c>
      <c r="J17" s="109">
        <f t="shared" si="2"/>
        <v>21.05021645021645</v>
      </c>
      <c r="K17" s="109">
        <f t="shared" si="6"/>
        <v>421.00432900432901</v>
      </c>
      <c r="L17" s="117">
        <v>28</v>
      </c>
      <c r="M17" s="107">
        <f t="shared" si="7"/>
        <v>560</v>
      </c>
      <c r="N17" s="107">
        <f t="shared" ca="1" si="8"/>
        <v>168</v>
      </c>
      <c r="O17" s="111">
        <f t="shared" ca="1" si="9"/>
        <v>14</v>
      </c>
      <c r="P17" s="101"/>
      <c r="Q17" s="104">
        <v>0</v>
      </c>
      <c r="R17" s="104">
        <v>0</v>
      </c>
      <c r="S17" s="119">
        <v>3</v>
      </c>
      <c r="T17" s="119">
        <v>2</v>
      </c>
      <c r="U17" s="119">
        <v>1</v>
      </c>
      <c r="V17" s="119">
        <f ca="1">SUMIFS('Tổng Đơn'!$F:$F,'Tổng Đơn'!$B:$B,'Quốc Nhân'!$C17)</f>
        <v>0</v>
      </c>
      <c r="W17" s="119">
        <v>0</v>
      </c>
      <c r="X17" s="119">
        <v>0</v>
      </c>
      <c r="Y17" s="119">
        <v>0</v>
      </c>
      <c r="Z17" s="119">
        <v>0</v>
      </c>
      <c r="AA17" s="119">
        <v>0</v>
      </c>
      <c r="AB17" s="119">
        <v>0</v>
      </c>
      <c r="AC17" s="119">
        <v>0</v>
      </c>
      <c r="AD17" s="119">
        <v>0</v>
      </c>
      <c r="AE17" s="119">
        <v>0</v>
      </c>
      <c r="AG17" s="102">
        <f t="shared" si="10"/>
        <v>0</v>
      </c>
    </row>
    <row r="18" spans="1:33" ht="18.75" x14ac:dyDescent="0.25">
      <c r="A18" s="102">
        <f t="shared" ca="1" si="3"/>
        <v>960.09523809523807</v>
      </c>
      <c r="B18" s="6">
        <v>14</v>
      </c>
      <c r="C18" s="104" t="s">
        <v>14</v>
      </c>
      <c r="D18" s="112">
        <v>55</v>
      </c>
      <c r="E18" s="6">
        <v>0.5</v>
      </c>
      <c r="F18" s="6">
        <f>20+40</f>
        <v>60</v>
      </c>
      <c r="G18" s="106">
        <f t="shared" si="11"/>
        <v>27.5</v>
      </c>
      <c r="H18" s="120">
        <f t="shared" si="5"/>
        <v>1650</v>
      </c>
      <c r="I18" s="108">
        <f t="shared" si="1"/>
        <v>0.73809523809523803</v>
      </c>
      <c r="J18" s="109">
        <f t="shared" si="2"/>
        <v>28.238095238095237</v>
      </c>
      <c r="K18" s="109">
        <f t="shared" si="6"/>
        <v>1694.2857142857142</v>
      </c>
      <c r="L18" s="117">
        <v>33</v>
      </c>
      <c r="M18" s="107">
        <f t="shared" si="7"/>
        <v>1980</v>
      </c>
      <c r="N18" s="107">
        <f t="shared" ca="1" si="8"/>
        <v>858</v>
      </c>
      <c r="O18" s="111">
        <f t="shared" ca="1" si="9"/>
        <v>34</v>
      </c>
      <c r="P18" s="101"/>
      <c r="Q18" s="104">
        <v>0</v>
      </c>
      <c r="R18" s="104">
        <v>0</v>
      </c>
      <c r="S18" s="119">
        <v>12</v>
      </c>
      <c r="T18" s="119">
        <v>6</v>
      </c>
      <c r="U18" s="119">
        <v>6</v>
      </c>
      <c r="V18" s="119">
        <f ca="1">SUMIFS('Tổng Đơn'!$F:$F,'Tổng Đơn'!$B:$B,'Quốc Nhân'!$C18)</f>
        <v>2</v>
      </c>
      <c r="W18" s="119">
        <v>0</v>
      </c>
      <c r="X18" s="119">
        <v>0</v>
      </c>
      <c r="Y18" s="119">
        <v>0</v>
      </c>
      <c r="Z18" s="119">
        <v>0</v>
      </c>
      <c r="AA18" s="119">
        <v>0</v>
      </c>
      <c r="AB18" s="119">
        <v>0</v>
      </c>
      <c r="AC18" s="119">
        <v>0</v>
      </c>
      <c r="AD18" s="119">
        <v>0</v>
      </c>
      <c r="AE18" s="119">
        <v>0</v>
      </c>
      <c r="AG18" s="102">
        <f t="shared" si="10"/>
        <v>0</v>
      </c>
    </row>
    <row r="19" spans="1:33" ht="18.75" x14ac:dyDescent="0.25">
      <c r="A19" s="102">
        <f t="shared" ca="1" si="3"/>
        <v>277.24675324675326</v>
      </c>
      <c r="B19" s="6">
        <v>15</v>
      </c>
      <c r="C19" s="104" t="s">
        <v>15</v>
      </c>
      <c r="D19" s="112">
        <v>60</v>
      </c>
      <c r="E19" s="6">
        <v>0.45</v>
      </c>
      <c r="F19" s="6">
        <v>10</v>
      </c>
      <c r="G19" s="106">
        <f t="shared" si="11"/>
        <v>30</v>
      </c>
      <c r="H19" s="120">
        <f t="shared" si="5"/>
        <v>300</v>
      </c>
      <c r="I19" s="108">
        <f t="shared" si="1"/>
        <v>0.80519480519480524</v>
      </c>
      <c r="J19" s="109">
        <f t="shared" si="2"/>
        <v>30.805194805194805</v>
      </c>
      <c r="K19" s="109">
        <f t="shared" si="6"/>
        <v>308.05194805194805</v>
      </c>
      <c r="L19" s="117">
        <v>35</v>
      </c>
      <c r="M19" s="107">
        <f t="shared" si="7"/>
        <v>350</v>
      </c>
      <c r="N19" s="107">
        <f t="shared" ca="1" si="8"/>
        <v>35</v>
      </c>
      <c r="O19" s="111">
        <f t="shared" ca="1" si="9"/>
        <v>9</v>
      </c>
      <c r="P19" s="101"/>
      <c r="Q19" s="104">
        <v>0</v>
      </c>
      <c r="R19" s="104">
        <v>1</v>
      </c>
      <c r="S19" s="119">
        <v>0</v>
      </c>
      <c r="T19" s="119">
        <v>0</v>
      </c>
      <c r="U19" s="119">
        <v>0</v>
      </c>
      <c r="V19" s="119">
        <f ca="1">SUMIFS('Tổng Đơn'!$F:$F,'Tổng Đơn'!$B:$B,'Quốc Nhân'!$C19)</f>
        <v>0</v>
      </c>
      <c r="W19" s="119">
        <v>0</v>
      </c>
      <c r="X19" s="119">
        <v>0</v>
      </c>
      <c r="Y19" s="119">
        <v>0</v>
      </c>
      <c r="Z19" s="119">
        <v>0</v>
      </c>
      <c r="AA19" s="119">
        <v>0</v>
      </c>
      <c r="AB19" s="119">
        <v>0</v>
      </c>
      <c r="AC19" s="119">
        <v>0</v>
      </c>
      <c r="AD19" s="119">
        <v>0</v>
      </c>
      <c r="AE19" s="119">
        <v>0</v>
      </c>
      <c r="AG19" s="102">
        <f t="shared" si="10"/>
        <v>0</v>
      </c>
    </row>
    <row r="20" spans="1:33" ht="18.75" x14ac:dyDescent="0.25">
      <c r="A20" s="102">
        <f t="shared" ca="1" si="3"/>
        <v>221.79740259740259</v>
      </c>
      <c r="B20" s="6">
        <v>16</v>
      </c>
      <c r="C20" s="104" t="s">
        <v>146</v>
      </c>
      <c r="D20" s="112">
        <v>54</v>
      </c>
      <c r="E20" s="6">
        <v>0.5</v>
      </c>
      <c r="F20" s="6">
        <v>10</v>
      </c>
      <c r="G20" s="106">
        <f t="shared" si="11"/>
        <v>27</v>
      </c>
      <c r="H20" s="120">
        <f t="shared" ref="H20:H22" si="12">G20*F20</f>
        <v>270</v>
      </c>
      <c r="I20" s="108">
        <f t="shared" ref="I20:I22" si="13">((H20/$H$4)*$A$2)/F20</f>
        <v>0.72467532467532469</v>
      </c>
      <c r="J20" s="109">
        <f t="shared" ref="J20:J22" si="14">G20+I20</f>
        <v>27.724675324675324</v>
      </c>
      <c r="K20" s="109">
        <f t="shared" ref="K20:K22" si="15">J20*F20</f>
        <v>277.24675324675326</v>
      </c>
      <c r="L20" s="117">
        <v>35</v>
      </c>
      <c r="M20" s="107">
        <f t="shared" ref="M20" si="16">L20*F20</f>
        <v>350</v>
      </c>
      <c r="N20" s="107">
        <f t="shared" ca="1" si="8"/>
        <v>70</v>
      </c>
      <c r="O20" s="111">
        <f t="shared" ca="1" si="9"/>
        <v>8</v>
      </c>
      <c r="P20" s="101"/>
      <c r="Q20" s="104">
        <v>0</v>
      </c>
      <c r="R20" s="104">
        <v>0</v>
      </c>
      <c r="S20" s="119">
        <v>0</v>
      </c>
      <c r="T20" s="119">
        <v>0</v>
      </c>
      <c r="U20" s="119">
        <v>2</v>
      </c>
      <c r="V20" s="119">
        <f ca="1">SUMIFS('Tổng Đơn'!$F:$F,'Tổng Đơn'!$B:$B,'Quốc Nhân'!$C20)</f>
        <v>0</v>
      </c>
      <c r="W20" s="119">
        <v>0</v>
      </c>
      <c r="X20" s="119">
        <v>0</v>
      </c>
      <c r="Y20" s="119">
        <v>0</v>
      </c>
      <c r="Z20" s="119">
        <v>0</v>
      </c>
      <c r="AA20" s="119">
        <v>0</v>
      </c>
      <c r="AB20" s="119">
        <v>0</v>
      </c>
      <c r="AC20" s="119">
        <v>0</v>
      </c>
      <c r="AD20" s="119">
        <v>0</v>
      </c>
      <c r="AE20" s="119">
        <v>0</v>
      </c>
      <c r="AG20" s="102">
        <f t="shared" si="10"/>
        <v>0</v>
      </c>
    </row>
    <row r="21" spans="1:33" ht="18.75" x14ac:dyDescent="0.25">
      <c r="A21" s="102">
        <f t="shared" ca="1" si="3"/>
        <v>95.496103896103889</v>
      </c>
      <c r="B21" s="6">
        <v>17</v>
      </c>
      <c r="C21" s="104" t="s">
        <v>143</v>
      </c>
      <c r="D21" s="112">
        <v>62</v>
      </c>
      <c r="E21" s="6">
        <v>0.5</v>
      </c>
      <c r="F21" s="6">
        <v>5</v>
      </c>
      <c r="G21" s="106">
        <f t="shared" si="11"/>
        <v>31</v>
      </c>
      <c r="H21" s="120">
        <f t="shared" si="12"/>
        <v>155</v>
      </c>
      <c r="I21" s="108">
        <f t="shared" si="13"/>
        <v>0.83203463203463213</v>
      </c>
      <c r="J21" s="109">
        <f t="shared" si="14"/>
        <v>31.832034632034631</v>
      </c>
      <c r="K21" s="109">
        <f t="shared" si="15"/>
        <v>159.16017316017314</v>
      </c>
      <c r="L21" s="117"/>
      <c r="M21" s="107"/>
      <c r="N21" s="107"/>
      <c r="O21" s="111">
        <f t="shared" ca="1" si="9"/>
        <v>3</v>
      </c>
      <c r="P21" s="101"/>
      <c r="Q21" s="104">
        <v>0</v>
      </c>
      <c r="R21" s="104">
        <v>0</v>
      </c>
      <c r="S21" s="119">
        <v>0</v>
      </c>
      <c r="T21" s="119">
        <v>0</v>
      </c>
      <c r="U21" s="119">
        <v>2</v>
      </c>
      <c r="V21" s="119">
        <f ca="1">SUMIFS('Tổng Đơn'!$F:$F,'Tổng Đơn'!$B:$B,'Quốc Nhân'!$C21)</f>
        <v>0</v>
      </c>
      <c r="W21" s="119">
        <v>0</v>
      </c>
      <c r="X21" s="119">
        <v>0</v>
      </c>
      <c r="Y21" s="119">
        <v>0</v>
      </c>
      <c r="Z21" s="119">
        <v>0</v>
      </c>
      <c r="AA21" s="119">
        <v>0</v>
      </c>
      <c r="AB21" s="119">
        <v>0</v>
      </c>
      <c r="AC21" s="119">
        <v>0</v>
      </c>
      <c r="AD21" s="119">
        <v>0</v>
      </c>
      <c r="AE21" s="119">
        <v>0</v>
      </c>
      <c r="AF21" s="102">
        <v>20</v>
      </c>
      <c r="AG21" s="102">
        <f t="shared" si="10"/>
        <v>620</v>
      </c>
    </row>
    <row r="22" spans="1:33" ht="18.75" x14ac:dyDescent="0.25">
      <c r="A22" s="102">
        <f t="shared" ca="1" si="3"/>
        <v>66.23116883116883</v>
      </c>
      <c r="B22" s="6">
        <v>18</v>
      </c>
      <c r="C22" s="104" t="s">
        <v>144</v>
      </c>
      <c r="D22" s="112">
        <v>43</v>
      </c>
      <c r="E22" s="6">
        <v>0.5</v>
      </c>
      <c r="F22" s="6">
        <v>5</v>
      </c>
      <c r="G22" s="106">
        <f t="shared" si="11"/>
        <v>21.5</v>
      </c>
      <c r="H22" s="120">
        <f t="shared" si="12"/>
        <v>107.5</v>
      </c>
      <c r="I22" s="108">
        <f t="shared" si="13"/>
        <v>0.57705627705627704</v>
      </c>
      <c r="J22" s="109">
        <f t="shared" si="14"/>
        <v>22.077056277056275</v>
      </c>
      <c r="K22" s="109">
        <f t="shared" si="15"/>
        <v>110.38528138528137</v>
      </c>
      <c r="L22" s="117"/>
      <c r="M22" s="107"/>
      <c r="N22" s="107"/>
      <c r="O22" s="111">
        <f t="shared" ca="1" si="9"/>
        <v>3</v>
      </c>
      <c r="P22" s="101"/>
      <c r="Q22" s="104"/>
      <c r="R22" s="104"/>
      <c r="S22" s="119"/>
      <c r="T22" s="119"/>
      <c r="U22" s="119">
        <v>1</v>
      </c>
      <c r="V22" s="119">
        <f ca="1">SUMIFS('Tổng Đơn'!$F:$F,'Tổng Đơn'!$B:$B,'Quốc Nhân'!$C22)</f>
        <v>1</v>
      </c>
      <c r="W22" s="119">
        <v>0</v>
      </c>
      <c r="X22" s="119">
        <v>0</v>
      </c>
      <c r="Y22" s="119">
        <v>0</v>
      </c>
      <c r="Z22" s="119">
        <v>0</v>
      </c>
      <c r="AA22" s="119">
        <v>0</v>
      </c>
      <c r="AB22" s="119">
        <v>0</v>
      </c>
      <c r="AC22" s="119">
        <v>0</v>
      </c>
      <c r="AD22" s="119">
        <v>0</v>
      </c>
      <c r="AE22" s="119">
        <v>0</v>
      </c>
      <c r="AG22" s="102">
        <f t="shared" si="10"/>
        <v>0</v>
      </c>
    </row>
  </sheetData>
  <autoFilter ref="B4:M4"/>
  <mergeCells count="1">
    <mergeCell ref="B1:M1"/>
  </mergeCells>
  <conditionalFormatting sqref="C6:C19">
    <cfRule type="expression" dxfId="78" priority="7">
      <formula>($O6/$O6)&lt;=1/4</formula>
    </cfRule>
  </conditionalFormatting>
  <conditionalFormatting sqref="C20">
    <cfRule type="expression" dxfId="77" priority="6">
      <formula>($O20/$O20)&lt;=1/4</formula>
    </cfRule>
  </conditionalFormatting>
  <conditionalFormatting sqref="C5:C20">
    <cfRule type="expression" dxfId="76" priority="5">
      <formula>($O5/$F5)&lt;=1/4</formula>
    </cfRule>
  </conditionalFormatting>
  <conditionalFormatting sqref="C21">
    <cfRule type="expression" dxfId="75" priority="4">
      <formula>($O21/$O21)&lt;=1/4</formula>
    </cfRule>
  </conditionalFormatting>
  <conditionalFormatting sqref="C21">
    <cfRule type="expression" dxfId="74" priority="3">
      <formula>($O21/$F21)&lt;=1/4</formula>
    </cfRule>
  </conditionalFormatting>
  <conditionalFormatting sqref="C22">
    <cfRule type="expression" dxfId="73" priority="2">
      <formula>($O22/$O22)&lt;=1/4</formula>
    </cfRule>
  </conditionalFormatting>
  <conditionalFormatting sqref="C22">
    <cfRule type="expression" dxfId="72" priority="1">
      <formula>($O22/$F22)&lt;=1/4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42"/>
  <sheetViews>
    <sheetView workbookViewId="0">
      <selection activeCell="E10" sqref="E10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2.5703125" style="14" customWidth="1"/>
    <col min="4" max="4" width="6.140625" style="14" customWidth="1"/>
    <col min="5" max="5" width="40.5703125" style="14" customWidth="1"/>
    <col min="6" max="6" width="13" style="15" customWidth="1"/>
    <col min="7" max="7" width="12.5703125" style="14" customWidth="1"/>
    <col min="8" max="8" width="9.140625" style="14"/>
    <col min="9" max="9" width="40.5703125" style="14" customWidth="1"/>
    <col min="10" max="10" width="11.85546875" style="14" customWidth="1"/>
    <col min="11" max="11" width="12.85546875" style="14" customWidth="1"/>
    <col min="12" max="16384" width="9.140625" style="14"/>
  </cols>
  <sheetData>
    <row r="1" spans="1:7" ht="22.5" customHeight="1" x14ac:dyDescent="0.25"/>
    <row r="2" spans="1:7" ht="36" customHeight="1" x14ac:dyDescent="0.25">
      <c r="A2" s="21" t="s">
        <v>17</v>
      </c>
      <c r="B2" s="21" t="s">
        <v>56</v>
      </c>
      <c r="C2" s="21" t="s">
        <v>58</v>
      </c>
      <c r="E2" s="21" t="s">
        <v>17</v>
      </c>
      <c r="F2" s="21" t="s">
        <v>56</v>
      </c>
      <c r="G2" s="21" t="s">
        <v>58</v>
      </c>
    </row>
    <row r="3" spans="1:7" ht="23.25" customHeight="1" x14ac:dyDescent="0.25">
      <c r="A3" s="22" t="s">
        <v>26</v>
      </c>
      <c r="B3" s="23" t="s">
        <v>57</v>
      </c>
      <c r="C3" s="24">
        <v>27000</v>
      </c>
      <c r="E3" s="22" t="s">
        <v>143</v>
      </c>
      <c r="F3" s="23" t="s">
        <v>57</v>
      </c>
      <c r="G3" s="24">
        <v>42000</v>
      </c>
    </row>
    <row r="4" spans="1:7" ht="23.25" customHeight="1" x14ac:dyDescent="0.25">
      <c r="A4" s="22" t="s">
        <v>1</v>
      </c>
      <c r="B4" s="23" t="s">
        <v>57</v>
      </c>
      <c r="C4" s="24">
        <v>25000</v>
      </c>
      <c r="E4" s="22" t="s">
        <v>144</v>
      </c>
      <c r="F4" s="23" t="s">
        <v>57</v>
      </c>
      <c r="G4" s="24">
        <v>35000</v>
      </c>
    </row>
    <row r="5" spans="1:7" ht="23.25" customHeight="1" x14ac:dyDescent="0.25">
      <c r="A5" s="22" t="s">
        <v>2</v>
      </c>
      <c r="B5" s="23" t="s">
        <v>57</v>
      </c>
      <c r="C5" s="24">
        <v>28000</v>
      </c>
      <c r="E5" s="22" t="s">
        <v>146</v>
      </c>
      <c r="F5" s="23" t="s">
        <v>57</v>
      </c>
      <c r="G5" s="24">
        <v>45000</v>
      </c>
    </row>
    <row r="6" spans="1:7" ht="23.25" customHeight="1" x14ac:dyDescent="0.25">
      <c r="A6" s="25" t="s">
        <v>3</v>
      </c>
      <c r="B6" s="29" t="s">
        <v>57</v>
      </c>
      <c r="C6" s="30">
        <v>30000</v>
      </c>
      <c r="E6" s="26" t="s">
        <v>148</v>
      </c>
      <c r="F6" s="23" t="s">
        <v>57</v>
      </c>
      <c r="G6" s="24">
        <v>45000</v>
      </c>
    </row>
    <row r="7" spans="1:7" ht="23.25" customHeight="1" x14ac:dyDescent="0.25">
      <c r="A7" s="26" t="s">
        <v>31</v>
      </c>
      <c r="B7" s="27" t="s">
        <v>57</v>
      </c>
      <c r="C7" s="28">
        <v>38000</v>
      </c>
      <c r="E7" s="26" t="s">
        <v>151</v>
      </c>
      <c r="F7" s="23" t="s">
        <v>57</v>
      </c>
      <c r="G7" s="24">
        <v>35000</v>
      </c>
    </row>
    <row r="8" spans="1:7" ht="23.25" customHeight="1" x14ac:dyDescent="0.25">
      <c r="A8" s="26" t="s">
        <v>29</v>
      </c>
      <c r="B8" s="23" t="s">
        <v>57</v>
      </c>
      <c r="C8" s="24">
        <v>42000</v>
      </c>
    </row>
    <row r="9" spans="1:7" ht="23.25" customHeight="1" x14ac:dyDescent="0.25">
      <c r="A9" s="25" t="s">
        <v>27</v>
      </c>
      <c r="B9" s="29" t="s">
        <v>64</v>
      </c>
      <c r="C9" s="30">
        <v>34000</v>
      </c>
    </row>
    <row r="10" spans="1:7" ht="23.25" customHeight="1" x14ac:dyDescent="0.25">
      <c r="A10" s="26" t="s">
        <v>152</v>
      </c>
      <c r="B10" s="27" t="s">
        <v>57</v>
      </c>
      <c r="C10" s="28">
        <v>35000</v>
      </c>
    </row>
    <row r="11" spans="1:7" ht="23.25" customHeight="1" x14ac:dyDescent="0.25">
      <c r="A11" s="25" t="s">
        <v>32</v>
      </c>
      <c r="B11" s="29" t="s">
        <v>57</v>
      </c>
      <c r="C11" s="30">
        <v>45000</v>
      </c>
    </row>
    <row r="12" spans="1:7" ht="24.95" customHeight="1" x14ac:dyDescent="0.25">
      <c r="B12" s="14"/>
    </row>
    <row r="13" spans="1:7" ht="23.25" customHeight="1" x14ac:dyDescent="0.25">
      <c r="A13" s="21" t="s">
        <v>17</v>
      </c>
      <c r="B13" s="21" t="s">
        <v>56</v>
      </c>
      <c r="C13" s="21" t="s">
        <v>58</v>
      </c>
      <c r="E13" s="21" t="s">
        <v>17</v>
      </c>
      <c r="F13" s="21" t="s">
        <v>56</v>
      </c>
      <c r="G13" s="21" t="s">
        <v>58</v>
      </c>
    </row>
    <row r="14" spans="1:7" ht="23.25" customHeight="1" x14ac:dyDescent="0.25">
      <c r="A14" s="26" t="s">
        <v>6</v>
      </c>
      <c r="B14" s="27" t="s">
        <v>57</v>
      </c>
      <c r="C14" s="28">
        <v>50000</v>
      </c>
      <c r="E14" s="22" t="s">
        <v>13</v>
      </c>
      <c r="F14" s="23" t="s">
        <v>57</v>
      </c>
      <c r="G14" s="24">
        <v>28000</v>
      </c>
    </row>
    <row r="15" spans="1:7" ht="23.25" customHeight="1" x14ac:dyDescent="0.25">
      <c r="A15" s="26" t="s">
        <v>59</v>
      </c>
      <c r="B15" s="27" t="s">
        <v>57</v>
      </c>
      <c r="C15" s="28">
        <v>45000</v>
      </c>
      <c r="E15" s="22" t="s">
        <v>12</v>
      </c>
      <c r="F15" s="23" t="s">
        <v>57</v>
      </c>
      <c r="G15" s="24">
        <v>26000</v>
      </c>
    </row>
    <row r="16" spans="1:7" ht="23.25" customHeight="1" x14ac:dyDescent="0.25">
      <c r="A16" s="26" t="s">
        <v>36</v>
      </c>
      <c r="B16" s="27" t="s">
        <v>57</v>
      </c>
      <c r="C16" s="28">
        <v>45000</v>
      </c>
      <c r="D16" s="33"/>
      <c r="E16" s="22" t="s">
        <v>14</v>
      </c>
      <c r="F16" s="23" t="s">
        <v>57</v>
      </c>
      <c r="G16" s="24">
        <v>33000</v>
      </c>
    </row>
    <row r="17" spans="1:7" ht="23.25" customHeight="1" x14ac:dyDescent="0.25">
      <c r="A17" s="26" t="s">
        <v>33</v>
      </c>
      <c r="B17" s="27" t="s">
        <v>57</v>
      </c>
      <c r="C17" s="28">
        <v>45000</v>
      </c>
      <c r="D17" s="33"/>
      <c r="E17" s="22" t="s">
        <v>7</v>
      </c>
      <c r="F17" s="23" t="s">
        <v>57</v>
      </c>
      <c r="G17" s="24">
        <v>34000</v>
      </c>
    </row>
    <row r="18" spans="1:7" ht="23.25" customHeight="1" x14ac:dyDescent="0.25">
      <c r="A18" s="26" t="s">
        <v>35</v>
      </c>
      <c r="B18" s="27" t="s">
        <v>57</v>
      </c>
      <c r="C18" s="28">
        <v>45000</v>
      </c>
      <c r="D18" s="33"/>
      <c r="E18" s="26" t="s">
        <v>8</v>
      </c>
      <c r="F18" s="27" t="s">
        <v>57</v>
      </c>
      <c r="G18" s="28">
        <v>69000</v>
      </c>
    </row>
    <row r="19" spans="1:7" ht="23.25" customHeight="1" x14ac:dyDescent="0.25">
      <c r="A19" s="26" t="s">
        <v>34</v>
      </c>
      <c r="B19" s="27" t="s">
        <v>57</v>
      </c>
      <c r="C19" s="28">
        <v>45000</v>
      </c>
      <c r="E19" s="26" t="s">
        <v>28</v>
      </c>
      <c r="F19" s="23" t="s">
        <v>57</v>
      </c>
      <c r="G19" s="24">
        <v>38000</v>
      </c>
    </row>
    <row r="20" spans="1:7" ht="23.25" customHeight="1" x14ac:dyDescent="0.25">
      <c r="A20" s="25" t="s">
        <v>5</v>
      </c>
      <c r="B20" s="29" t="s">
        <v>55</v>
      </c>
      <c r="C20" s="30">
        <v>40000</v>
      </c>
      <c r="E20" s="25" t="s">
        <v>69</v>
      </c>
      <c r="F20" s="29" t="s">
        <v>54</v>
      </c>
      <c r="G20" s="30">
        <v>35000</v>
      </c>
    </row>
    <row r="21" spans="1:7" ht="23.25" customHeight="1" x14ac:dyDescent="0.25">
      <c r="A21" s="25" t="s">
        <v>4</v>
      </c>
      <c r="B21" s="29" t="s">
        <v>55</v>
      </c>
      <c r="C21" s="30">
        <v>40000</v>
      </c>
      <c r="E21" s="25" t="s">
        <v>30</v>
      </c>
      <c r="F21" s="29" t="s">
        <v>54</v>
      </c>
      <c r="G21" s="30">
        <v>45000</v>
      </c>
    </row>
    <row r="22" spans="1:7" ht="24.95" customHeight="1" x14ac:dyDescent="0.25">
      <c r="A22" s="26" t="s">
        <v>9</v>
      </c>
      <c r="B22" s="27" t="s">
        <v>57</v>
      </c>
      <c r="C22" s="28">
        <v>55000</v>
      </c>
      <c r="E22" s="26" t="s">
        <v>15</v>
      </c>
      <c r="F22" s="27" t="s">
        <v>54</v>
      </c>
      <c r="G22" s="28">
        <v>35000</v>
      </c>
    </row>
    <row r="23" spans="1:7" ht="24.95" customHeight="1" x14ac:dyDescent="0.25">
      <c r="B23" s="14"/>
      <c r="E23" s="26" t="s">
        <v>10</v>
      </c>
      <c r="F23" s="27" t="s">
        <v>54</v>
      </c>
      <c r="G23" s="28">
        <v>32000</v>
      </c>
    </row>
    <row r="24" spans="1:7" x14ac:dyDescent="0.25">
      <c r="B24" s="14"/>
      <c r="F24" s="14"/>
    </row>
    <row r="25" spans="1:7" x14ac:dyDescent="0.25">
      <c r="B25" s="14"/>
      <c r="F25" s="14"/>
    </row>
    <row r="26" spans="1:7" x14ac:dyDescent="0.25">
      <c r="B26" s="14"/>
      <c r="F26" s="14"/>
    </row>
    <row r="27" spans="1:7" x14ac:dyDescent="0.25">
      <c r="B27" s="14"/>
      <c r="F27" s="14"/>
    </row>
    <row r="28" spans="1:7" x14ac:dyDescent="0.25">
      <c r="B28" s="14"/>
      <c r="F28" s="14"/>
    </row>
    <row r="29" spans="1:7" x14ac:dyDescent="0.25">
      <c r="B29" s="14"/>
      <c r="F29" s="14"/>
    </row>
    <row r="30" spans="1:7" x14ac:dyDescent="0.25">
      <c r="B30" s="14"/>
      <c r="F30" s="14"/>
    </row>
    <row r="31" spans="1:7" x14ac:dyDescent="0.25">
      <c r="B31" s="14"/>
      <c r="F31" s="14"/>
    </row>
    <row r="32" spans="1:7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</sheetData>
  <autoFilter ref="A2:C2"/>
  <pageMargins left="0" right="0" top="0" bottom="0" header="0" footer="0"/>
  <pageSetup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46"/>
  <sheetViews>
    <sheetView workbookViewId="0">
      <selection activeCell="E13" sqref="E13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1.28515625" style="14" customWidth="1"/>
    <col min="4" max="4" width="6.7109375" style="14" customWidth="1"/>
    <col min="5" max="5" width="40.5703125" style="14" customWidth="1"/>
    <col min="6" max="6" width="13" style="15" customWidth="1"/>
    <col min="7" max="7" width="11.28515625" style="14" customWidth="1"/>
    <col min="8" max="16384" width="9.140625" style="14"/>
  </cols>
  <sheetData>
    <row r="1" spans="1:7" ht="39.75" customHeight="1" x14ac:dyDescent="0.25">
      <c r="A1" s="144" t="s">
        <v>67</v>
      </c>
      <c r="B1" s="144"/>
      <c r="C1" s="144"/>
      <c r="E1" s="144" t="s">
        <v>67</v>
      </c>
      <c r="F1" s="144"/>
      <c r="G1" s="144"/>
    </row>
    <row r="2" spans="1:7" ht="36" customHeight="1" x14ac:dyDescent="0.25">
      <c r="A2" s="21" t="s">
        <v>17</v>
      </c>
      <c r="B2" s="21" t="s">
        <v>56</v>
      </c>
      <c r="C2" s="21" t="s">
        <v>58</v>
      </c>
      <c r="E2" s="21" t="s">
        <v>17</v>
      </c>
      <c r="F2" s="21" t="s">
        <v>56</v>
      </c>
      <c r="G2" s="21" t="s">
        <v>58</v>
      </c>
    </row>
    <row r="3" spans="1:7" ht="23.25" customHeight="1" x14ac:dyDescent="0.25">
      <c r="A3" s="26" t="s">
        <v>39</v>
      </c>
      <c r="B3" s="31" t="s">
        <v>57</v>
      </c>
      <c r="C3" s="16">
        <v>32000</v>
      </c>
      <c r="E3" s="26" t="s">
        <v>48</v>
      </c>
      <c r="F3" s="31" t="s">
        <v>57</v>
      </c>
      <c r="G3" s="16">
        <v>79000</v>
      </c>
    </row>
    <row r="4" spans="1:7" ht="23.25" customHeight="1" x14ac:dyDescent="0.25">
      <c r="A4" s="26" t="s">
        <v>40</v>
      </c>
      <c r="B4" s="31" t="s">
        <v>66</v>
      </c>
      <c r="C4" s="16">
        <v>14000</v>
      </c>
      <c r="E4" s="25" t="s">
        <v>38</v>
      </c>
      <c r="F4" s="32" t="s">
        <v>57</v>
      </c>
      <c r="G4" s="17">
        <v>66000</v>
      </c>
    </row>
    <row r="5" spans="1:7" ht="23.25" customHeight="1" x14ac:dyDescent="0.25">
      <c r="A5" s="25" t="s">
        <v>68</v>
      </c>
      <c r="B5" s="32" t="s">
        <v>57</v>
      </c>
      <c r="C5" s="17">
        <v>32000</v>
      </c>
      <c r="E5" s="25" t="s">
        <v>51</v>
      </c>
      <c r="F5" s="32" t="s">
        <v>65</v>
      </c>
      <c r="G5" s="17">
        <v>122000</v>
      </c>
    </row>
    <row r="6" spans="1:7" ht="23.25" customHeight="1" x14ac:dyDescent="0.25">
      <c r="A6" s="26" t="s">
        <v>41</v>
      </c>
      <c r="B6" s="31" t="s">
        <v>57</v>
      </c>
      <c r="C6" s="16">
        <v>34500</v>
      </c>
      <c r="E6" s="25" t="s">
        <v>37</v>
      </c>
      <c r="F6" s="32" t="s">
        <v>57</v>
      </c>
      <c r="G6" s="17">
        <v>66000</v>
      </c>
    </row>
    <row r="7" spans="1:7" ht="23.25" customHeight="1" x14ac:dyDescent="0.25">
      <c r="A7" s="26" t="s">
        <v>42</v>
      </c>
      <c r="B7" s="31" t="s">
        <v>66</v>
      </c>
      <c r="C7" s="16">
        <v>14000</v>
      </c>
      <c r="E7" s="26" t="s">
        <v>52</v>
      </c>
      <c r="F7" s="34" t="s">
        <v>57</v>
      </c>
      <c r="G7" s="18">
        <v>65000</v>
      </c>
    </row>
    <row r="8" spans="1:7" ht="23.25" customHeight="1" x14ac:dyDescent="0.25">
      <c r="A8" s="25" t="s">
        <v>43</v>
      </c>
      <c r="B8" s="32" t="s">
        <v>57</v>
      </c>
      <c r="C8" s="17">
        <v>34500</v>
      </c>
      <c r="E8" s="26" t="s">
        <v>53</v>
      </c>
      <c r="F8" s="34" t="s">
        <v>57</v>
      </c>
      <c r="G8" s="18">
        <v>54000</v>
      </c>
    </row>
    <row r="9" spans="1:7" ht="23.25" customHeight="1" x14ac:dyDescent="0.25">
      <c r="A9" s="25" t="s">
        <v>44</v>
      </c>
      <c r="B9" s="32" t="s">
        <v>66</v>
      </c>
      <c r="C9" s="17">
        <v>14000</v>
      </c>
      <c r="E9" s="26" t="s">
        <v>47</v>
      </c>
      <c r="F9" s="34" t="s">
        <v>57</v>
      </c>
      <c r="G9" s="18">
        <v>59000</v>
      </c>
    </row>
    <row r="10" spans="1:7" ht="23.25" customHeight="1" x14ac:dyDescent="0.25">
      <c r="A10" s="26" t="s">
        <v>49</v>
      </c>
      <c r="B10" s="31" t="s">
        <v>57</v>
      </c>
      <c r="C10" s="16">
        <v>59000</v>
      </c>
      <c r="F10" s="14"/>
    </row>
    <row r="11" spans="1:7" ht="23.25" customHeight="1" x14ac:dyDescent="0.25">
      <c r="A11" s="26" t="s">
        <v>50</v>
      </c>
      <c r="B11" s="31" t="s">
        <v>57</v>
      </c>
      <c r="C11" s="16">
        <v>52000</v>
      </c>
      <c r="F11" s="14"/>
    </row>
    <row r="12" spans="1:7" ht="23.25" customHeight="1" x14ac:dyDescent="0.25">
      <c r="A12" s="26" t="s">
        <v>46</v>
      </c>
      <c r="B12" s="31" t="s">
        <v>57</v>
      </c>
      <c r="C12" s="16">
        <v>65000</v>
      </c>
      <c r="F12" s="14"/>
    </row>
    <row r="13" spans="1:7" ht="23.25" customHeight="1" x14ac:dyDescent="0.25">
      <c r="A13" s="26" t="s">
        <v>45</v>
      </c>
      <c r="B13" s="31" t="s">
        <v>57</v>
      </c>
      <c r="C13" s="16">
        <v>44000</v>
      </c>
      <c r="F13" s="14"/>
    </row>
    <row r="14" spans="1:7" ht="23.25" customHeight="1" x14ac:dyDescent="0.25">
      <c r="B14" s="14"/>
      <c r="F14" s="14"/>
    </row>
    <row r="15" spans="1:7" ht="23.25" customHeight="1" x14ac:dyDescent="0.25">
      <c r="B15" s="14"/>
      <c r="F15" s="14"/>
    </row>
    <row r="16" spans="1:7" ht="24.95" customHeight="1" x14ac:dyDescent="0.25">
      <c r="B16" s="14"/>
      <c r="F16" s="14"/>
    </row>
    <row r="17" spans="2:6" ht="23.25" customHeight="1" x14ac:dyDescent="0.25">
      <c r="B17" s="14"/>
      <c r="F17" s="14"/>
    </row>
    <row r="18" spans="2:6" ht="23.25" customHeight="1" x14ac:dyDescent="0.25"/>
    <row r="19" spans="2:6" ht="23.25" customHeight="1" x14ac:dyDescent="0.25"/>
    <row r="20" spans="2:6" ht="23.25" customHeight="1" x14ac:dyDescent="0.25"/>
    <row r="21" spans="2:6" ht="23.25" customHeight="1" x14ac:dyDescent="0.25"/>
    <row r="22" spans="2:6" ht="23.25" customHeight="1" x14ac:dyDescent="0.25"/>
    <row r="23" spans="2:6" ht="23.25" customHeight="1" x14ac:dyDescent="0.25"/>
    <row r="24" spans="2:6" ht="23.25" customHeight="1" x14ac:dyDescent="0.25">
      <c r="B24" s="14"/>
      <c r="F24" s="14"/>
    </row>
    <row r="25" spans="2:6" ht="23.25" customHeight="1" x14ac:dyDescent="0.25">
      <c r="B25" s="14"/>
      <c r="F25" s="14"/>
    </row>
    <row r="26" spans="2:6" ht="24.95" customHeight="1" x14ac:dyDescent="0.25">
      <c r="B26" s="14"/>
      <c r="F26" s="14"/>
    </row>
    <row r="27" spans="2:6" x14ac:dyDescent="0.25">
      <c r="B27" s="14"/>
      <c r="F27" s="14"/>
    </row>
    <row r="28" spans="2:6" x14ac:dyDescent="0.25">
      <c r="B28" s="14"/>
      <c r="F28" s="14"/>
    </row>
    <row r="29" spans="2:6" x14ac:dyDescent="0.25">
      <c r="B29" s="14"/>
      <c r="F29" s="14"/>
    </row>
    <row r="30" spans="2:6" x14ac:dyDescent="0.25">
      <c r="B30" s="14"/>
      <c r="F30" s="14"/>
    </row>
    <row r="31" spans="2:6" x14ac:dyDescent="0.25">
      <c r="B31" s="14"/>
      <c r="F31" s="14"/>
    </row>
    <row r="32" spans="2:6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  <row r="43" spans="2:6" x14ac:dyDescent="0.25">
      <c r="B43" s="14"/>
      <c r="F43" s="14"/>
    </row>
    <row r="44" spans="2:6" x14ac:dyDescent="0.25">
      <c r="B44" s="14"/>
      <c r="F44" s="14"/>
    </row>
    <row r="45" spans="2:6" x14ac:dyDescent="0.25">
      <c r="B45" s="14"/>
      <c r="F45" s="14"/>
    </row>
    <row r="46" spans="2:6" x14ac:dyDescent="0.25">
      <c r="B46" s="14"/>
      <c r="F46" s="14"/>
    </row>
  </sheetData>
  <autoFilter ref="A2:C2"/>
  <mergeCells count="2">
    <mergeCell ref="A1:C1"/>
    <mergeCell ref="E1:G1"/>
  </mergeCells>
  <pageMargins left="0" right="0" top="0" bottom="0" header="0" footer="0"/>
  <pageSetup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J13"/>
  <sheetViews>
    <sheetView topLeftCell="B1" workbookViewId="0">
      <selection activeCell="H3" sqref="H3"/>
    </sheetView>
  </sheetViews>
  <sheetFormatPr defaultRowHeight="15" x14ac:dyDescent="0.25"/>
  <cols>
    <col min="1" max="1" width="13.5703125" customWidth="1"/>
    <col min="3" max="3" width="25.7109375" customWidth="1"/>
    <col min="4" max="4" width="16" customWidth="1"/>
    <col min="7" max="7" width="25.85546875" customWidth="1"/>
    <col min="8" max="8" width="14.5703125" bestFit="1" customWidth="1"/>
    <col min="9" max="9" width="15.28515625" bestFit="1" customWidth="1"/>
    <col min="10" max="10" width="41" customWidth="1"/>
  </cols>
  <sheetData>
    <row r="1" spans="1:10" ht="26.25" x14ac:dyDescent="0.4">
      <c r="D1" s="84">
        <f>SUBTOTAL(9,D2:D18)</f>
        <v>4085</v>
      </c>
      <c r="G1" s="129" t="s">
        <v>157</v>
      </c>
      <c r="H1" s="135">
        <f>60000+6217</f>
        <v>66217</v>
      </c>
      <c r="I1" s="136">
        <f>H1+H2+H3</f>
        <v>19933</v>
      </c>
      <c r="J1" s="130" t="s">
        <v>155</v>
      </c>
    </row>
    <row r="2" spans="1:10" ht="26.25" x14ac:dyDescent="0.4">
      <c r="G2" s="131" t="s">
        <v>154</v>
      </c>
      <c r="H2" s="137">
        <f>-D1</f>
        <v>-4085</v>
      </c>
      <c r="I2" s="138">
        <f>-3451-1500</f>
        <v>-4951</v>
      </c>
      <c r="J2" s="132" t="s">
        <v>158</v>
      </c>
    </row>
    <row r="3" spans="1:10" ht="26.25" x14ac:dyDescent="0.4">
      <c r="C3" t="s">
        <v>129</v>
      </c>
      <c r="D3">
        <v>400</v>
      </c>
      <c r="E3" t="s">
        <v>130</v>
      </c>
      <c r="G3" s="133" t="s">
        <v>156</v>
      </c>
      <c r="H3" s="139">
        <v>-42199</v>
      </c>
      <c r="I3" s="140">
        <f>I1+I2</f>
        <v>14982</v>
      </c>
      <c r="J3" s="134" t="s">
        <v>153</v>
      </c>
    </row>
    <row r="4" spans="1:10" x14ac:dyDescent="0.25">
      <c r="C4" t="s">
        <v>131</v>
      </c>
      <c r="D4">
        <v>1000</v>
      </c>
      <c r="E4" t="s">
        <v>130</v>
      </c>
    </row>
    <row r="5" spans="1:10" x14ac:dyDescent="0.25">
      <c r="C5" t="s">
        <v>132</v>
      </c>
      <c r="D5">
        <v>80</v>
      </c>
      <c r="E5" t="s">
        <v>130</v>
      </c>
    </row>
    <row r="6" spans="1:10" x14ac:dyDescent="0.25">
      <c r="C6" t="s">
        <v>133</v>
      </c>
      <c r="D6">
        <v>145</v>
      </c>
      <c r="E6" t="s">
        <v>134</v>
      </c>
    </row>
    <row r="7" spans="1:10" x14ac:dyDescent="0.25">
      <c r="C7" t="s">
        <v>135</v>
      </c>
      <c r="D7">
        <v>800</v>
      </c>
      <c r="E7" t="s">
        <v>134</v>
      </c>
    </row>
    <row r="8" spans="1:10" x14ac:dyDescent="0.25">
      <c r="C8" t="s">
        <v>136</v>
      </c>
      <c r="D8">
        <v>1500</v>
      </c>
      <c r="E8" t="s">
        <v>134</v>
      </c>
    </row>
    <row r="9" spans="1:10" x14ac:dyDescent="0.25">
      <c r="C9" t="s">
        <v>160</v>
      </c>
      <c r="D9">
        <v>160</v>
      </c>
      <c r="E9" t="s">
        <v>134</v>
      </c>
      <c r="H9" t="s">
        <v>159</v>
      </c>
    </row>
    <row r="10" spans="1:10" x14ac:dyDescent="0.25">
      <c r="H10">
        <f>426-350</f>
        <v>76</v>
      </c>
    </row>
    <row r="11" spans="1:10" x14ac:dyDescent="0.25">
      <c r="A11" t="s">
        <v>137</v>
      </c>
      <c r="B11">
        <v>40</v>
      </c>
    </row>
    <row r="12" spans="1:10" x14ac:dyDescent="0.25">
      <c r="A12" t="s">
        <v>138</v>
      </c>
      <c r="B12">
        <v>150</v>
      </c>
    </row>
    <row r="13" spans="1:10" x14ac:dyDescent="0.25">
      <c r="A13" t="s">
        <v>139</v>
      </c>
      <c r="B13">
        <v>55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2"/>
  <sheetViews>
    <sheetView workbookViewId="0">
      <pane ySplit="2" topLeftCell="A21" activePane="bottomLeft" state="frozen"/>
      <selection activeCell="A4" sqref="A4"/>
      <selection pane="bottomLeft" activeCell="A36" sqref="A36:XFD36"/>
    </sheetView>
  </sheetViews>
  <sheetFormatPr defaultRowHeight="15.75" x14ac:dyDescent="0.25"/>
  <cols>
    <col min="1" max="1" width="9.140625" style="43"/>
    <col min="2" max="2" width="41.85546875" style="42" customWidth="1"/>
    <col min="3" max="4" width="10.140625" style="42" bestFit="1" customWidth="1"/>
    <col min="5" max="16384" width="9.140625" style="42"/>
  </cols>
  <sheetData>
    <row r="1" spans="1:4" s="43" customFormat="1" ht="30" customHeight="1" x14ac:dyDescent="0.25">
      <c r="A1" s="32" t="s">
        <v>107</v>
      </c>
      <c r="B1" s="32" t="s">
        <v>17</v>
      </c>
      <c r="C1" s="32" t="s">
        <v>108</v>
      </c>
      <c r="D1" s="32" t="s">
        <v>118</v>
      </c>
    </row>
    <row r="2" spans="1:4" s="43" customFormat="1" ht="16.5" customHeight="1" x14ac:dyDescent="0.25">
      <c r="A2" s="32"/>
      <c r="B2" s="32">
        <f>SUBTOTAL(3,B3:B48)</f>
        <v>46</v>
      </c>
      <c r="C2" s="32"/>
      <c r="D2" s="32"/>
    </row>
    <row r="3" spans="1:4" x14ac:dyDescent="0.25">
      <c r="A3" s="23">
        <v>1</v>
      </c>
      <c r="B3" s="44" t="s">
        <v>26</v>
      </c>
      <c r="C3" s="23" t="s">
        <v>109</v>
      </c>
      <c r="D3" s="45">
        <v>27000</v>
      </c>
    </row>
    <row r="4" spans="1:4" x14ac:dyDescent="0.25">
      <c r="A4" s="23">
        <v>2</v>
      </c>
      <c r="B4" s="44" t="s">
        <v>1</v>
      </c>
      <c r="C4" s="23" t="s">
        <v>110</v>
      </c>
      <c r="D4" s="45">
        <v>25000</v>
      </c>
    </row>
    <row r="5" spans="1:4" x14ac:dyDescent="0.25">
      <c r="A5" s="23">
        <v>3</v>
      </c>
      <c r="B5" s="44" t="s">
        <v>2</v>
      </c>
      <c r="C5" s="23" t="s">
        <v>111</v>
      </c>
      <c r="D5" s="45">
        <v>28000</v>
      </c>
    </row>
    <row r="6" spans="1:4" x14ac:dyDescent="0.25">
      <c r="A6" s="23">
        <v>4</v>
      </c>
      <c r="B6" s="44" t="s">
        <v>3</v>
      </c>
      <c r="C6" s="23" t="s">
        <v>112</v>
      </c>
      <c r="D6" s="45">
        <v>30000</v>
      </c>
    </row>
    <row r="7" spans="1:4" x14ac:dyDescent="0.25">
      <c r="A7" s="23">
        <v>5</v>
      </c>
      <c r="B7" s="44" t="s">
        <v>31</v>
      </c>
      <c r="C7" s="23" t="s">
        <v>113</v>
      </c>
      <c r="D7" s="45">
        <v>38000</v>
      </c>
    </row>
    <row r="8" spans="1:4" x14ac:dyDescent="0.25">
      <c r="A8" s="23">
        <v>6</v>
      </c>
      <c r="B8" s="44" t="s">
        <v>29</v>
      </c>
      <c r="C8" s="23" t="s">
        <v>114</v>
      </c>
      <c r="D8" s="45">
        <v>42000</v>
      </c>
    </row>
    <row r="9" spans="1:4" x14ac:dyDescent="0.25">
      <c r="A9" s="23">
        <v>7</v>
      </c>
      <c r="B9" s="44" t="s">
        <v>27</v>
      </c>
      <c r="C9" s="23" t="s">
        <v>115</v>
      </c>
      <c r="D9" s="45">
        <v>34000</v>
      </c>
    </row>
    <row r="10" spans="1:4" x14ac:dyDescent="0.25">
      <c r="A10" s="23">
        <v>8</v>
      </c>
      <c r="B10" s="44" t="s">
        <v>62</v>
      </c>
      <c r="C10" s="23" t="s">
        <v>116</v>
      </c>
      <c r="D10" s="45">
        <v>35000</v>
      </c>
    </row>
    <row r="11" spans="1:4" x14ac:dyDescent="0.25">
      <c r="A11" s="23">
        <v>9</v>
      </c>
      <c r="B11" s="44" t="s">
        <v>32</v>
      </c>
      <c r="C11" s="23" t="s">
        <v>117</v>
      </c>
      <c r="D11" s="45">
        <v>45000</v>
      </c>
    </row>
    <row r="12" spans="1:4" x14ac:dyDescent="0.25">
      <c r="A12" s="23">
        <v>10</v>
      </c>
      <c r="B12" s="44" t="s">
        <v>6</v>
      </c>
      <c r="C12" s="23" t="s">
        <v>70</v>
      </c>
      <c r="D12" s="45">
        <v>50000</v>
      </c>
    </row>
    <row r="13" spans="1:4" x14ac:dyDescent="0.25">
      <c r="A13" s="23">
        <v>11</v>
      </c>
      <c r="B13" s="44" t="s">
        <v>59</v>
      </c>
      <c r="C13" s="23" t="s">
        <v>71</v>
      </c>
      <c r="D13" s="45">
        <v>45000</v>
      </c>
    </row>
    <row r="14" spans="1:4" x14ac:dyDescent="0.25">
      <c r="A14" s="23">
        <v>12</v>
      </c>
      <c r="B14" s="44" t="s">
        <v>36</v>
      </c>
      <c r="C14" s="23" t="s">
        <v>72</v>
      </c>
      <c r="D14" s="45">
        <v>45000</v>
      </c>
    </row>
    <row r="15" spans="1:4" x14ac:dyDescent="0.25">
      <c r="A15" s="23">
        <v>13</v>
      </c>
      <c r="B15" s="44" t="s">
        <v>33</v>
      </c>
      <c r="C15" s="23" t="s">
        <v>73</v>
      </c>
      <c r="D15" s="45">
        <v>45000</v>
      </c>
    </row>
    <row r="16" spans="1:4" x14ac:dyDescent="0.25">
      <c r="A16" s="23">
        <v>14</v>
      </c>
      <c r="B16" s="44" t="s">
        <v>35</v>
      </c>
      <c r="C16" s="23" t="s">
        <v>74</v>
      </c>
      <c r="D16" s="45">
        <v>45000</v>
      </c>
    </row>
    <row r="17" spans="1:4" x14ac:dyDescent="0.25">
      <c r="A17" s="23">
        <v>15</v>
      </c>
      <c r="B17" s="44" t="s">
        <v>34</v>
      </c>
      <c r="C17" s="23" t="s">
        <v>75</v>
      </c>
      <c r="D17" s="45">
        <v>45000</v>
      </c>
    </row>
    <row r="18" spans="1:4" x14ac:dyDescent="0.25">
      <c r="A18" s="23">
        <v>16</v>
      </c>
      <c r="B18" s="44" t="s">
        <v>5</v>
      </c>
      <c r="C18" s="23" t="s">
        <v>76</v>
      </c>
      <c r="D18" s="45">
        <v>40000</v>
      </c>
    </row>
    <row r="19" spans="1:4" x14ac:dyDescent="0.25">
      <c r="A19" s="23">
        <v>17</v>
      </c>
      <c r="B19" s="44" t="s">
        <v>4</v>
      </c>
      <c r="C19" s="23" t="s">
        <v>77</v>
      </c>
      <c r="D19" s="45">
        <v>40000</v>
      </c>
    </row>
    <row r="20" spans="1:4" x14ac:dyDescent="0.25">
      <c r="A20" s="23">
        <v>18</v>
      </c>
      <c r="B20" s="44" t="s">
        <v>9</v>
      </c>
      <c r="C20" s="23" t="s">
        <v>78</v>
      </c>
      <c r="D20" s="45">
        <v>55000</v>
      </c>
    </row>
    <row r="21" spans="1:4" x14ac:dyDescent="0.25">
      <c r="A21" s="23">
        <v>19</v>
      </c>
      <c r="B21" s="44" t="s">
        <v>13</v>
      </c>
      <c r="C21" s="23" t="s">
        <v>79</v>
      </c>
      <c r="D21" s="45">
        <v>28000</v>
      </c>
    </row>
    <row r="22" spans="1:4" x14ac:dyDescent="0.25">
      <c r="A22" s="23">
        <v>20</v>
      </c>
      <c r="B22" s="44" t="s">
        <v>12</v>
      </c>
      <c r="C22" s="23" t="s">
        <v>80</v>
      </c>
      <c r="D22" s="45">
        <v>26000</v>
      </c>
    </row>
    <row r="23" spans="1:4" x14ac:dyDescent="0.25">
      <c r="A23" s="23">
        <v>21</v>
      </c>
      <c r="B23" s="44" t="s">
        <v>14</v>
      </c>
      <c r="C23" s="23" t="s">
        <v>81</v>
      </c>
      <c r="D23" s="45">
        <v>33000</v>
      </c>
    </row>
    <row r="24" spans="1:4" x14ac:dyDescent="0.25">
      <c r="A24" s="23">
        <v>22</v>
      </c>
      <c r="B24" s="44" t="s">
        <v>7</v>
      </c>
      <c r="C24" s="23" t="s">
        <v>82</v>
      </c>
      <c r="D24" s="45">
        <v>34000</v>
      </c>
    </row>
    <row r="25" spans="1:4" x14ac:dyDescent="0.25">
      <c r="A25" s="23">
        <v>23</v>
      </c>
      <c r="B25" s="44" t="s">
        <v>8</v>
      </c>
      <c r="C25" s="23" t="s">
        <v>83</v>
      </c>
      <c r="D25" s="45">
        <v>69000</v>
      </c>
    </row>
    <row r="26" spans="1:4" x14ac:dyDescent="0.25">
      <c r="A26" s="23">
        <v>24</v>
      </c>
      <c r="B26" s="44" t="s">
        <v>28</v>
      </c>
      <c r="C26" s="23" t="s">
        <v>84</v>
      </c>
      <c r="D26" s="45">
        <v>38000</v>
      </c>
    </row>
    <row r="27" spans="1:4" x14ac:dyDescent="0.25">
      <c r="A27" s="23">
        <v>25</v>
      </c>
      <c r="B27" s="44" t="s">
        <v>69</v>
      </c>
      <c r="C27" s="23" t="s">
        <v>85</v>
      </c>
      <c r="D27" s="45">
        <v>35000</v>
      </c>
    </row>
    <row r="28" spans="1:4" x14ac:dyDescent="0.25">
      <c r="A28" s="23">
        <v>26</v>
      </c>
      <c r="B28" s="44" t="s">
        <v>30</v>
      </c>
      <c r="C28" s="23" t="s">
        <v>86</v>
      </c>
      <c r="D28" s="45">
        <v>45000</v>
      </c>
    </row>
    <row r="29" spans="1:4" x14ac:dyDescent="0.25">
      <c r="A29" s="23">
        <v>27</v>
      </c>
      <c r="B29" s="44" t="s">
        <v>15</v>
      </c>
      <c r="C29" s="23" t="s">
        <v>87</v>
      </c>
      <c r="D29" s="45">
        <v>35000</v>
      </c>
    </row>
    <row r="30" spans="1:4" x14ac:dyDescent="0.25">
      <c r="A30" s="23">
        <v>28</v>
      </c>
      <c r="B30" s="44" t="s">
        <v>10</v>
      </c>
      <c r="C30" s="23" t="s">
        <v>88</v>
      </c>
      <c r="D30" s="45">
        <v>32000</v>
      </c>
    </row>
    <row r="31" spans="1:4" x14ac:dyDescent="0.25">
      <c r="A31" s="23">
        <v>29</v>
      </c>
      <c r="B31" s="44" t="s">
        <v>39</v>
      </c>
      <c r="C31" s="23" t="s">
        <v>89</v>
      </c>
      <c r="D31" s="45">
        <v>32000</v>
      </c>
    </row>
    <row r="32" spans="1:4" x14ac:dyDescent="0.25">
      <c r="A32" s="23">
        <v>30</v>
      </c>
      <c r="B32" s="44" t="s">
        <v>40</v>
      </c>
      <c r="C32" s="23" t="s">
        <v>90</v>
      </c>
      <c r="D32" s="45">
        <v>14000</v>
      </c>
    </row>
    <row r="33" spans="1:4" x14ac:dyDescent="0.25">
      <c r="A33" s="23">
        <v>31</v>
      </c>
      <c r="B33" s="44" t="s">
        <v>68</v>
      </c>
      <c r="C33" s="23" t="s">
        <v>91</v>
      </c>
      <c r="D33" s="45">
        <v>32000</v>
      </c>
    </row>
    <row r="34" spans="1:4" x14ac:dyDescent="0.25">
      <c r="A34" s="23">
        <v>32</v>
      </c>
      <c r="B34" s="44" t="s">
        <v>41</v>
      </c>
      <c r="C34" s="23" t="s">
        <v>92</v>
      </c>
      <c r="D34" s="45">
        <v>34500</v>
      </c>
    </row>
    <row r="35" spans="1:4" x14ac:dyDescent="0.25">
      <c r="A35" s="23">
        <v>33</v>
      </c>
      <c r="B35" s="44" t="s">
        <v>42</v>
      </c>
      <c r="C35" s="23" t="s">
        <v>93</v>
      </c>
      <c r="D35" s="45">
        <v>14000</v>
      </c>
    </row>
    <row r="36" spans="1:4" x14ac:dyDescent="0.25">
      <c r="A36" s="23">
        <v>34</v>
      </c>
      <c r="B36" s="44" t="s">
        <v>43</v>
      </c>
      <c r="C36" s="23" t="s">
        <v>94</v>
      </c>
      <c r="D36" s="45">
        <v>34500</v>
      </c>
    </row>
    <row r="37" spans="1:4" x14ac:dyDescent="0.25">
      <c r="A37" s="23">
        <v>35</v>
      </c>
      <c r="B37" s="44" t="s">
        <v>44</v>
      </c>
      <c r="C37" s="23" t="s">
        <v>95</v>
      </c>
      <c r="D37" s="45">
        <v>14000</v>
      </c>
    </row>
    <row r="38" spans="1:4" x14ac:dyDescent="0.25">
      <c r="A38" s="23">
        <v>36</v>
      </c>
      <c r="B38" s="44" t="s">
        <v>49</v>
      </c>
      <c r="C38" s="23" t="s">
        <v>96</v>
      </c>
      <c r="D38" s="45">
        <v>59000</v>
      </c>
    </row>
    <row r="39" spans="1:4" x14ac:dyDescent="0.25">
      <c r="A39" s="23">
        <v>37</v>
      </c>
      <c r="B39" s="44" t="s">
        <v>50</v>
      </c>
      <c r="C39" s="23" t="s">
        <v>97</v>
      </c>
      <c r="D39" s="45">
        <v>52000</v>
      </c>
    </row>
    <row r="40" spans="1:4" x14ac:dyDescent="0.25">
      <c r="A40" s="23">
        <v>38</v>
      </c>
      <c r="B40" s="44" t="s">
        <v>46</v>
      </c>
      <c r="C40" s="23" t="s">
        <v>98</v>
      </c>
      <c r="D40" s="45">
        <v>65000</v>
      </c>
    </row>
    <row r="41" spans="1:4" x14ac:dyDescent="0.25">
      <c r="A41" s="23">
        <v>39</v>
      </c>
      <c r="B41" s="44" t="s">
        <v>45</v>
      </c>
      <c r="C41" s="23" t="s">
        <v>99</v>
      </c>
      <c r="D41" s="45">
        <v>44000</v>
      </c>
    </row>
    <row r="42" spans="1:4" x14ac:dyDescent="0.25">
      <c r="A42" s="23">
        <v>40</v>
      </c>
      <c r="B42" s="44" t="s">
        <v>48</v>
      </c>
      <c r="C42" s="23" t="s">
        <v>100</v>
      </c>
      <c r="D42" s="45">
        <v>79000</v>
      </c>
    </row>
    <row r="43" spans="1:4" x14ac:dyDescent="0.25">
      <c r="A43" s="23">
        <v>41</v>
      </c>
      <c r="B43" s="44" t="s">
        <v>38</v>
      </c>
      <c r="C43" s="23" t="s">
        <v>101</v>
      </c>
      <c r="D43" s="45">
        <v>66000</v>
      </c>
    </row>
    <row r="44" spans="1:4" x14ac:dyDescent="0.25">
      <c r="A44" s="23">
        <v>42</v>
      </c>
      <c r="B44" s="44" t="s">
        <v>51</v>
      </c>
      <c r="C44" s="23" t="s">
        <v>102</v>
      </c>
      <c r="D44" s="45">
        <v>122000</v>
      </c>
    </row>
    <row r="45" spans="1:4" x14ac:dyDescent="0.25">
      <c r="A45" s="23">
        <v>43</v>
      </c>
      <c r="B45" s="44" t="s">
        <v>37</v>
      </c>
      <c r="C45" s="23" t="s">
        <v>103</v>
      </c>
      <c r="D45" s="45">
        <v>66000</v>
      </c>
    </row>
    <row r="46" spans="1:4" x14ac:dyDescent="0.25">
      <c r="A46" s="23">
        <v>44</v>
      </c>
      <c r="B46" s="44" t="s">
        <v>52</v>
      </c>
      <c r="C46" s="23" t="s">
        <v>104</v>
      </c>
      <c r="D46" s="45">
        <v>65000</v>
      </c>
    </row>
    <row r="47" spans="1:4" x14ac:dyDescent="0.25">
      <c r="A47" s="23">
        <v>45</v>
      </c>
      <c r="B47" s="44" t="s">
        <v>53</v>
      </c>
      <c r="C47" s="23" t="s">
        <v>105</v>
      </c>
      <c r="D47" s="45">
        <v>54000</v>
      </c>
    </row>
    <row r="48" spans="1:4" x14ac:dyDescent="0.25">
      <c r="A48" s="23">
        <v>46</v>
      </c>
      <c r="B48" s="44" t="s">
        <v>47</v>
      </c>
      <c r="C48" s="23" t="s">
        <v>106</v>
      </c>
      <c r="D48" s="45">
        <v>59000</v>
      </c>
    </row>
    <row r="49" spans="1:4" x14ac:dyDescent="0.25">
      <c r="A49" s="23">
        <v>47</v>
      </c>
      <c r="B49" s="44" t="s">
        <v>143</v>
      </c>
      <c r="C49" s="23" t="s">
        <v>127</v>
      </c>
      <c r="D49" s="45">
        <v>42000</v>
      </c>
    </row>
    <row r="50" spans="1:4" x14ac:dyDescent="0.25">
      <c r="A50" s="23">
        <v>48</v>
      </c>
      <c r="B50" s="44" t="s">
        <v>144</v>
      </c>
      <c r="C50" s="23" t="s">
        <v>145</v>
      </c>
      <c r="D50" s="45">
        <v>35000</v>
      </c>
    </row>
    <row r="51" spans="1:4" x14ac:dyDescent="0.25">
      <c r="A51" s="23">
        <v>49</v>
      </c>
      <c r="B51" s="44" t="s">
        <v>146</v>
      </c>
      <c r="C51" s="23" t="s">
        <v>147</v>
      </c>
      <c r="D51" s="45">
        <v>40000</v>
      </c>
    </row>
    <row r="52" spans="1:4" x14ac:dyDescent="0.25">
      <c r="A52" s="23">
        <v>50</v>
      </c>
      <c r="B52" s="44" t="s">
        <v>148</v>
      </c>
      <c r="C52" s="23" t="s">
        <v>149</v>
      </c>
      <c r="D52" s="45">
        <v>45000</v>
      </c>
    </row>
  </sheetData>
  <autoFilter ref="B2:D52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AO54"/>
  <sheetViews>
    <sheetView zoomScale="85" zoomScaleNormal="85" workbookViewId="0">
      <pane ySplit="4" topLeftCell="A5" activePane="bottomLeft" state="frozen"/>
      <selection activeCell="Q5" sqref="Q5:Q22"/>
      <selection pane="bottomLeft" activeCell="R2" sqref="R2"/>
    </sheetView>
  </sheetViews>
  <sheetFormatPr defaultRowHeight="15.75" x14ac:dyDescent="0.25"/>
  <cols>
    <col min="1" max="1" width="14.140625" style="43" customWidth="1"/>
    <col min="2" max="2" width="41.85546875" style="42" customWidth="1"/>
    <col min="3" max="3" width="19.5703125" style="42" customWidth="1"/>
    <col min="4" max="4" width="18.28515625" style="42" customWidth="1"/>
    <col min="5" max="5" width="16.5703125" style="42" customWidth="1"/>
    <col min="6" max="6" width="15" style="42" customWidth="1"/>
    <col min="7" max="7" width="12.28515625" style="42" customWidth="1"/>
    <col min="8" max="11" width="14.28515625" style="42" customWidth="1"/>
    <col min="12" max="28" width="10.85546875" style="42" customWidth="1"/>
    <col min="29" max="36" width="9.140625" style="42"/>
    <col min="37" max="37" width="11.42578125" style="42" customWidth="1"/>
    <col min="38" max="16384" width="9.140625" style="42"/>
  </cols>
  <sheetData>
    <row r="1" spans="1:41" ht="28.5" customHeight="1" x14ac:dyDescent="0.25">
      <c r="A1" s="145">
        <f ca="1">'Quốc Nhân'!N4+'La Cusina'!N4+TVP!M4-('Quốc Nhân'!K4+'La Cusina'!K4+TVP!J4-('Quốc Nhân'!A4+'La Cusina'!A4+TVP!A4))</f>
        <v>2808.1762340894857</v>
      </c>
      <c r="B1" s="151" t="str">
        <f>"Tiền Hàng: "&amp;INT('Quốc Nhân'!K4+'La Cusina'!K4+TVP!J4)</f>
        <v>Tiền Hàng: 42279</v>
      </c>
      <c r="C1" s="150" t="str">
        <f ca="1">"Giá trị hàng Tồn: "&amp;INT('Quốc Nhân'!A4+'La Cusina'!A4+TVP!A4)</f>
        <v>Giá trị hàng Tồn: 27708</v>
      </c>
      <c r="D1" s="149" t="str">
        <f ca="1">"Giá trị Hàng xuất: "&amp;CHAR(10)&amp;INT('Quốc Nhân'!K4+'La Cusina'!K4+TVP!J4-('Quốc Nhân'!A4+'La Cusina'!A4+TVP!A4))</f>
        <v>Giá trị Hàng xuất: 
14571</v>
      </c>
      <c r="E1" s="149" t="str">
        <f ca="1">"Doanh Thu Tích Lũy: "&amp;INT('Quốc Nhân'!N4+'La Cusina'!N4+TVP!M4)</f>
        <v>Doanh Thu Tích Lũy: 17379</v>
      </c>
      <c r="F1" s="147">
        <f>G1-210</f>
        <v>3323</v>
      </c>
      <c r="G1" s="141">
        <v>3533</v>
      </c>
      <c r="H1" s="43">
        <v>-210</v>
      </c>
      <c r="I1" s="85">
        <f ca="1">J4-10000-20000</f>
        <v>1146500</v>
      </c>
      <c r="K1" s="142">
        <f ca="1">K4-L1</f>
        <v>195895.7574526309</v>
      </c>
      <c r="L1" s="142">
        <f ca="1">SUMPRODUCT(($F$5:$F$54)*($G$5:$G$54))*1000</f>
        <v>980604.2425473691</v>
      </c>
      <c r="N1" s="42">
        <v>23</v>
      </c>
      <c r="P1" s="42">
        <f>400</f>
        <v>400</v>
      </c>
      <c r="R1" s="42">
        <f>980-943</f>
        <v>37</v>
      </c>
    </row>
    <row r="2" spans="1:41" ht="28.5" customHeight="1" x14ac:dyDescent="0.25">
      <c r="A2" s="146"/>
      <c r="B2" s="151"/>
      <c r="C2" s="150"/>
      <c r="D2" s="149"/>
      <c r="E2" s="149"/>
      <c r="F2" s="148"/>
      <c r="G2" s="87"/>
      <c r="H2" s="87"/>
      <c r="I2" s="87">
        <f>510+600</f>
        <v>1110</v>
      </c>
      <c r="J2" s="142">
        <f ca="1">+J4-I4</f>
        <v>980604.2425473691</v>
      </c>
      <c r="K2" s="85">
        <f ca="1">J4-K4</f>
        <v>0</v>
      </c>
      <c r="N2" s="42">
        <v>520</v>
      </c>
    </row>
    <row r="3" spans="1:41" s="43" customFormat="1" ht="30" customHeight="1" x14ac:dyDescent="0.25">
      <c r="A3" s="32" t="s">
        <v>107</v>
      </c>
      <c r="B3" s="32" t="s">
        <v>17</v>
      </c>
      <c r="C3" s="32" t="s">
        <v>108</v>
      </c>
      <c r="D3" s="32" t="s">
        <v>118</v>
      </c>
      <c r="E3" s="62" t="s">
        <v>56</v>
      </c>
      <c r="F3" s="62" t="s">
        <v>120</v>
      </c>
      <c r="G3" s="32" t="s">
        <v>140</v>
      </c>
      <c r="H3" s="62" t="s">
        <v>142</v>
      </c>
      <c r="I3" s="90" t="s">
        <v>141</v>
      </c>
      <c r="J3" s="62" t="s">
        <v>121</v>
      </c>
      <c r="K3" s="65" t="s">
        <v>122</v>
      </c>
      <c r="L3" s="43">
        <v>2</v>
      </c>
      <c r="M3" s="43">
        <v>3</v>
      </c>
      <c r="N3" s="43">
        <v>4</v>
      </c>
      <c r="O3" s="43">
        <v>5</v>
      </c>
      <c r="P3" s="43">
        <v>6</v>
      </c>
      <c r="Q3" s="43">
        <v>7</v>
      </c>
      <c r="R3" s="43">
        <v>8</v>
      </c>
      <c r="S3" s="43">
        <v>9</v>
      </c>
      <c r="T3" s="43">
        <v>10</v>
      </c>
      <c r="U3" s="43">
        <v>11</v>
      </c>
      <c r="V3" s="43">
        <v>12</v>
      </c>
      <c r="W3" s="43">
        <v>13</v>
      </c>
      <c r="X3" s="43">
        <v>14</v>
      </c>
      <c r="Y3" s="43">
        <v>15</v>
      </c>
      <c r="Z3" s="43">
        <v>16</v>
      </c>
      <c r="AA3" s="43">
        <v>17</v>
      </c>
      <c r="AB3" s="43">
        <v>18</v>
      </c>
      <c r="AC3" s="43">
        <v>19</v>
      </c>
      <c r="AD3" s="43">
        <v>20</v>
      </c>
      <c r="AE3" s="43">
        <v>21</v>
      </c>
      <c r="AF3" s="43">
        <v>22</v>
      </c>
      <c r="AG3" s="43">
        <v>23</v>
      </c>
      <c r="AH3" s="43">
        <v>24</v>
      </c>
      <c r="AI3" s="43">
        <v>25</v>
      </c>
      <c r="AJ3" s="43">
        <v>26</v>
      </c>
      <c r="AK3" s="43">
        <v>27</v>
      </c>
      <c r="AL3" s="43">
        <v>28</v>
      </c>
      <c r="AM3" s="43">
        <v>29</v>
      </c>
      <c r="AN3" s="43">
        <v>30</v>
      </c>
      <c r="AO3" s="43">
        <v>31</v>
      </c>
    </row>
    <row r="4" spans="1:41" s="71" customFormat="1" ht="26.25" customHeight="1" x14ac:dyDescent="0.25">
      <c r="A4" s="64"/>
      <c r="B4" s="64">
        <f>SUBTOTAL(3,B5:B50)</f>
        <v>46</v>
      </c>
      <c r="C4" s="64"/>
      <c r="D4" s="64"/>
      <c r="E4" s="64"/>
      <c r="F4" s="64">
        <f ca="1">SUMPRODUCT(($E$5:$E$50)*($F$5:$F$50))</f>
        <v>13.45</v>
      </c>
      <c r="G4" s="64"/>
      <c r="H4" s="89">
        <f ca="1">SUBTOTAL(9,H5:H500)</f>
        <v>195895.75745263093</v>
      </c>
      <c r="I4" s="89">
        <f ca="1">H4-K2</f>
        <v>195895.75745263093</v>
      </c>
      <c r="J4" s="40">
        <f ca="1">SUBTOTAL(9,J5:J500)</f>
        <v>1176500</v>
      </c>
      <c r="K4" s="70">
        <f ca="1">SUM(L4:AN4)</f>
        <v>1176500</v>
      </c>
      <c r="L4" s="97">
        <f ca="1">IFERROR(INDIRECT("'Thanh Toán ("&amp;L$3&amp;")'!$g"&amp;SUBTOTAL(3,INDIRECT("'Thanh Toán ("&amp;L$3&amp;")'!$g$1:$g$24"))-COUNTBLANK(INDIRECT("'Thanh Toán ("&amp;L$3&amp;")'!$g$1:$g$24"))),"")</f>
        <v>284000</v>
      </c>
      <c r="M4" s="97">
        <f t="shared" ref="M4:AO4" ca="1" si="0">IFERROR(INDIRECT("'Thanh Toán ("&amp;M$3&amp;")'!$g"&amp;SUBTOTAL(3,INDIRECT("'Thanh Toán ("&amp;M$3&amp;")'!$g$1:$g$24"))-COUNTBLANK(INDIRECT("'Thanh Toán ("&amp;M$3&amp;")'!$g$1:$g$24"))),"")</f>
        <v>244000</v>
      </c>
      <c r="N4" s="97">
        <f t="shared" ca="1" si="0"/>
        <v>89000</v>
      </c>
      <c r="O4" s="97">
        <f t="shared" ca="1" si="0"/>
        <v>87000</v>
      </c>
      <c r="P4" s="97">
        <f t="shared" ca="1" si="0"/>
        <v>83000</v>
      </c>
      <c r="Q4" s="97">
        <f t="shared" ca="1" si="0"/>
        <v>119000</v>
      </c>
      <c r="R4" s="97">
        <f t="shared" ca="1" si="0"/>
        <v>34000</v>
      </c>
      <c r="S4" s="97">
        <f t="shared" ca="1" si="0"/>
        <v>69000</v>
      </c>
      <c r="T4" s="97">
        <f t="shared" ca="1" si="0"/>
        <v>65000</v>
      </c>
      <c r="U4" s="97">
        <f t="shared" ca="1" si="0"/>
        <v>54000</v>
      </c>
      <c r="V4" s="97">
        <f t="shared" ca="1" si="0"/>
        <v>48500</v>
      </c>
      <c r="W4" s="97" t="str">
        <f t="shared" ca="1" si="0"/>
        <v/>
      </c>
      <c r="X4" s="97" t="str">
        <f t="shared" ca="1" si="0"/>
        <v/>
      </c>
      <c r="Y4" s="97" t="str">
        <f t="shared" ca="1" si="0"/>
        <v/>
      </c>
      <c r="Z4" s="97" t="str">
        <f t="shared" ca="1" si="0"/>
        <v/>
      </c>
      <c r="AA4" s="97" t="str">
        <f t="shared" ca="1" si="0"/>
        <v/>
      </c>
      <c r="AB4" s="97" t="str">
        <f t="shared" ca="1" si="0"/>
        <v/>
      </c>
      <c r="AC4" s="97" t="str">
        <f t="shared" ca="1" si="0"/>
        <v/>
      </c>
      <c r="AD4" s="97" t="str">
        <f t="shared" ca="1" si="0"/>
        <v/>
      </c>
      <c r="AE4" s="97" t="str">
        <f t="shared" ca="1" si="0"/>
        <v/>
      </c>
      <c r="AF4" s="97" t="str">
        <f t="shared" ca="1" si="0"/>
        <v/>
      </c>
      <c r="AG4" s="97" t="str">
        <f t="shared" ca="1" si="0"/>
        <v/>
      </c>
      <c r="AH4" s="97" t="str">
        <f t="shared" ca="1" si="0"/>
        <v/>
      </c>
      <c r="AI4" s="97" t="str">
        <f t="shared" ca="1" si="0"/>
        <v/>
      </c>
      <c r="AJ4" s="97" t="str">
        <f t="shared" ca="1" si="0"/>
        <v/>
      </c>
      <c r="AK4" s="97" t="str">
        <f t="shared" ca="1" si="0"/>
        <v/>
      </c>
      <c r="AL4" s="97" t="str">
        <f t="shared" ca="1" si="0"/>
        <v/>
      </c>
      <c r="AM4" s="97" t="str">
        <f t="shared" ca="1" si="0"/>
        <v/>
      </c>
      <c r="AN4" s="97" t="str">
        <f t="shared" ca="1" si="0"/>
        <v/>
      </c>
      <c r="AO4" s="97" t="str">
        <f t="shared" ca="1" si="0"/>
        <v/>
      </c>
    </row>
    <row r="5" spans="1:41" x14ac:dyDescent="0.25">
      <c r="A5" s="23">
        <v>1</v>
      </c>
      <c r="B5" s="44" t="s">
        <v>26</v>
      </c>
      <c r="C5" s="23" t="s">
        <v>109</v>
      </c>
      <c r="D5" s="45">
        <f>VLOOKUP($C5,Sheet1!$C$3:$D$52,2,0)</f>
        <v>27000</v>
      </c>
      <c r="E5" s="63">
        <v>0.5</v>
      </c>
      <c r="F5" s="61">
        <f ca="1">SUM(L5:BW5)</f>
        <v>2</v>
      </c>
      <c r="G5" s="61">
        <v>22.543141734637228</v>
      </c>
      <c r="H5" s="61">
        <f ca="1">(D5-G5*1000)*$F5</f>
        <v>8913.7165307255418</v>
      </c>
      <c r="I5" s="61"/>
      <c r="J5" s="61">
        <f ca="1">F5*D5</f>
        <v>54000</v>
      </c>
      <c r="K5" s="61"/>
      <c r="L5" s="2">
        <f ca="1">IFERROR(SUMIFS(INDIRECT("'Thanh Toán ("&amp;L$3&amp;")'!$e:$e"),INDIRECT("'Thanh Toán ("&amp;L$3&amp;")'!$B:$B"),'Tổng Đơn'!$B5),0)</f>
        <v>2</v>
      </c>
      <c r="M5" s="2">
        <f ca="1">IFERROR(SUMIFS(INDIRECT("'Thanh Toán ("&amp;M$3&amp;")'!$e:$e"),INDIRECT("'Thanh Toán ("&amp;M$3&amp;")'!$B:$B"),'Tổng Đơn'!$B5),0)</f>
        <v>0</v>
      </c>
      <c r="N5" s="2">
        <f ca="1">IFERROR(SUMIFS(INDIRECT("'Thanh Toán ("&amp;N$3&amp;")'!$e:$e"),INDIRECT("'Thanh Toán ("&amp;N$3&amp;")'!$B:$B"),'Tổng Đơn'!$B5),0)</f>
        <v>0</v>
      </c>
      <c r="O5" s="2">
        <f ca="1">IFERROR(SUMIFS(INDIRECT("'Thanh Toán ("&amp;O$3&amp;")'!$e:$e"),INDIRECT("'Thanh Toán ("&amp;O$3&amp;")'!$B:$B"),'Tổng Đơn'!$B5),0)</f>
        <v>0</v>
      </c>
      <c r="P5" s="2">
        <f ca="1">IFERROR(SUMIFS(INDIRECT("'Thanh Toán ("&amp;P$3&amp;")'!$e:$e"),INDIRECT("'Thanh Toán ("&amp;P$3&amp;")'!$B:$B"),'Tổng Đơn'!$B5),0)</f>
        <v>0</v>
      </c>
      <c r="Q5" s="2">
        <f ca="1">IFERROR(SUMIFS(INDIRECT("'Thanh Toán ("&amp;Q$3&amp;")'!$e:$e"),INDIRECT("'Thanh Toán ("&amp;Q$3&amp;")'!$B:$B"),'Tổng Đơn'!$B5),0)</f>
        <v>0</v>
      </c>
      <c r="R5" s="2">
        <f ca="1">IFERROR(SUMIFS(INDIRECT("'Thanh Toán ("&amp;R$3&amp;")'!$e:$e"),INDIRECT("'Thanh Toán ("&amp;R$3&amp;")'!$B:$B"),'Tổng Đơn'!$B5),0)</f>
        <v>0</v>
      </c>
      <c r="S5" s="2">
        <f ca="1">IFERROR(SUMIFS(INDIRECT("'Thanh Toán ("&amp;S$3&amp;")'!$e:$e"),INDIRECT("'Thanh Toán ("&amp;S$3&amp;")'!$B:$B"),'Tổng Đơn'!$B5),0)</f>
        <v>0</v>
      </c>
      <c r="T5" s="2">
        <f ca="1">IFERROR(SUMIFS(INDIRECT("'Thanh Toán ("&amp;T$3&amp;")'!$e:$e"),INDIRECT("'Thanh Toán ("&amp;T$3&amp;")'!$B:$B"),'Tổng Đơn'!$B5),0)</f>
        <v>0</v>
      </c>
      <c r="U5" s="2">
        <f ca="1">IFERROR(SUMIFS(INDIRECT("'Thanh Toán ("&amp;U$3&amp;")'!$e:$e"),INDIRECT("'Thanh Toán ("&amp;U$3&amp;")'!$B:$B"),'Tổng Đơn'!$B5),0)</f>
        <v>0</v>
      </c>
      <c r="V5" s="2">
        <f ca="1">IFERROR(SUMIFS(INDIRECT("'Thanh Toán ("&amp;V$3&amp;")'!$e:$e"),INDIRECT("'Thanh Toán ("&amp;V$3&amp;")'!$B:$B"),'Tổng Đơn'!$B5),0)</f>
        <v>0</v>
      </c>
      <c r="W5" s="2">
        <f ca="1">IFERROR(SUMIFS(INDIRECT("'Thanh Toán ("&amp;W$3&amp;")'!$e:$e"),INDIRECT("'Thanh Toán ("&amp;W$3&amp;")'!$B:$B"),'Tổng Đơn'!$B5),0)</f>
        <v>0</v>
      </c>
      <c r="X5" s="2">
        <f ca="1">IFERROR(SUMIFS(INDIRECT("'Thanh Toán ("&amp;X$3&amp;")'!$e:$e"),INDIRECT("'Thanh Toán ("&amp;X$3&amp;")'!$B:$B"),'Tổng Đơn'!$B5),0)</f>
        <v>0</v>
      </c>
      <c r="Y5" s="2">
        <f ca="1">IFERROR(SUMIFS(INDIRECT("'Thanh Toán ("&amp;Y$3&amp;")'!$e:$e"),INDIRECT("'Thanh Toán ("&amp;Y$3&amp;")'!$B:$B"),'Tổng Đơn'!$B5),0)</f>
        <v>0</v>
      </c>
      <c r="Z5" s="2">
        <f ca="1">IFERROR(SUMIFS(INDIRECT("'Thanh Toán ("&amp;Z$3&amp;")'!$e:$e"),INDIRECT("'Thanh Toán ("&amp;Z$3&amp;")'!$B:$B"),'Tổng Đơn'!$B5),0)</f>
        <v>0</v>
      </c>
      <c r="AA5" s="2">
        <f ca="1">IFERROR(SUMIFS(INDIRECT("'Thanh Toán ("&amp;AA$3&amp;")'!$e:$e"),INDIRECT("'Thanh Toán ("&amp;AA$3&amp;")'!$B:$B"),'Tổng Đơn'!$B5),0)</f>
        <v>0</v>
      </c>
      <c r="AB5" s="2">
        <f ca="1">IFERROR(SUMIFS(INDIRECT("'Thanh Toán ("&amp;AB$3&amp;")'!$e:$e"),INDIRECT("'Thanh Toán ("&amp;AB$3&amp;")'!$B:$B"),'Tổng Đơn'!$B5),0)</f>
        <v>0</v>
      </c>
      <c r="AC5" s="2">
        <f ca="1">IFERROR(SUMIFS(INDIRECT("'Thanh Toán ("&amp;AC$3&amp;")'!$e:$e"),INDIRECT("'Thanh Toán ("&amp;AC$3&amp;")'!$B:$B"),'Tổng Đơn'!$B5),0)</f>
        <v>0</v>
      </c>
      <c r="AD5" s="2">
        <f ca="1">IFERROR(SUMIFS(INDIRECT("'Thanh Toán ("&amp;AD$3&amp;")'!$e:$e"),INDIRECT("'Thanh Toán ("&amp;AD$3&amp;")'!$B:$B"),'Tổng Đơn'!$B5),0)</f>
        <v>0</v>
      </c>
      <c r="AE5" s="2">
        <f ca="1">IFERROR(SUMIFS(INDIRECT("'Thanh Toán ("&amp;AE$3&amp;")'!$e:$e"),INDIRECT("'Thanh Toán ("&amp;AE$3&amp;")'!$B:$B"),'Tổng Đơn'!$B5),0)</f>
        <v>0</v>
      </c>
      <c r="AF5" s="2">
        <f ca="1">IFERROR(SUMIFS(INDIRECT("'Thanh Toán ("&amp;AF$3&amp;")'!$e:$e"),INDIRECT("'Thanh Toán ("&amp;AF$3&amp;")'!$B:$B"),'Tổng Đơn'!$B5),0)</f>
        <v>0</v>
      </c>
      <c r="AG5" s="2">
        <f ca="1">IFERROR(SUMIFS(INDIRECT("'Thanh Toán ("&amp;AG$3&amp;")'!$e:$e"),INDIRECT("'Thanh Toán ("&amp;AG$3&amp;")'!$B:$B"),'Tổng Đơn'!$B5),0)</f>
        <v>0</v>
      </c>
      <c r="AH5" s="2">
        <f ca="1">IFERROR(SUMIFS(INDIRECT("'Thanh Toán ("&amp;AH$3&amp;")'!$e:$e"),INDIRECT("'Thanh Toán ("&amp;AH$3&amp;")'!$B:$B"),'Tổng Đơn'!$B5),0)</f>
        <v>0</v>
      </c>
      <c r="AI5" s="2">
        <f ca="1">IFERROR(SUMIFS(INDIRECT("'Thanh Toán ("&amp;AI$3&amp;")'!$e:$e"),INDIRECT("'Thanh Toán ("&amp;AI$3&amp;")'!$B:$B"),'Tổng Đơn'!$B5),0)</f>
        <v>0</v>
      </c>
      <c r="AJ5" s="2">
        <f ca="1">IFERROR(SUMIFS(INDIRECT("'Thanh Toán ("&amp;AJ$3&amp;")'!$e:$e"),INDIRECT("'Thanh Toán ("&amp;AJ$3&amp;")'!$B:$B"),'Tổng Đơn'!$B5),0)</f>
        <v>0</v>
      </c>
      <c r="AK5" s="2">
        <f ca="1">IFERROR(SUMIFS(INDIRECT("'Thanh Toán ("&amp;AK$3&amp;")'!$e:$e"),INDIRECT("'Thanh Toán ("&amp;AK$3&amp;")'!$B:$B"),'Tổng Đơn'!$B5),0)</f>
        <v>0</v>
      </c>
      <c r="AL5" s="2">
        <f ca="1">IFERROR(SUMIFS(INDIRECT("'Thanh Toán ("&amp;AL$3&amp;")'!$e:$e"),INDIRECT("'Thanh Toán ("&amp;AL$3&amp;")'!$B:$B"),'Tổng Đơn'!$B5),0)</f>
        <v>0</v>
      </c>
      <c r="AM5" s="2">
        <f ca="1">IFERROR(SUMIFS(INDIRECT("'Thanh Toán ("&amp;AM$3&amp;")'!$e:$e"),INDIRECT("'Thanh Toán ("&amp;AM$3&amp;")'!$B:$B"),'Tổng Đơn'!$B5),0)</f>
        <v>0</v>
      </c>
      <c r="AN5" s="2">
        <f ca="1">IFERROR(SUMIFS(INDIRECT("'Thanh Toán ("&amp;AN$3&amp;")'!$e:$e"),INDIRECT("'Thanh Toán ("&amp;AN$3&amp;")'!$B:$B"),'Tổng Đơn'!$B5),0)</f>
        <v>0</v>
      </c>
      <c r="AO5" s="2">
        <f ca="1">IFERROR(SUMIFS(INDIRECT("'Thanh Toán ("&amp;AO$3&amp;")'!$e:$e"),INDIRECT("'Thanh Toán ("&amp;AO$3&amp;")'!$B:$B"),'Tổng Đơn'!$B5),0)</f>
        <v>0</v>
      </c>
    </row>
    <row r="6" spans="1:41" s="127" customFormat="1" x14ac:dyDescent="0.25">
      <c r="A6" s="27">
        <v>2</v>
      </c>
      <c r="B6" s="123" t="s">
        <v>1</v>
      </c>
      <c r="C6" s="27" t="s">
        <v>110</v>
      </c>
      <c r="D6" s="45">
        <f>VLOOKUP($C6,Sheet1!$C$3:$D$52,2,0)</f>
        <v>25000</v>
      </c>
      <c r="E6" s="124">
        <v>0.5</v>
      </c>
      <c r="F6" s="125">
        <f t="shared" ref="F6:F54" ca="1" si="1">SUM(L6:BW6)</f>
        <v>2</v>
      </c>
      <c r="G6" s="125">
        <v>21.727528089887642</v>
      </c>
      <c r="H6" s="125">
        <f t="shared" ref="H6:H53" ca="1" si="2">(D6-G6*1000)*$F6</f>
        <v>6544.9438202247184</v>
      </c>
      <c r="I6" s="125"/>
      <c r="J6" s="125">
        <f t="shared" ref="J6:J53" ca="1" si="3">F6*D6</f>
        <v>50000</v>
      </c>
      <c r="K6" s="125"/>
      <c r="L6" s="126">
        <f ca="1">IFERROR(SUMIFS(INDIRECT("'Thanh Toán ("&amp;L$3&amp;")'!$e:$e"),INDIRECT("'Thanh Toán ("&amp;L$3&amp;")'!$B:$B"),'Tổng Đơn'!$B6),0)</f>
        <v>0</v>
      </c>
      <c r="M6" s="126">
        <f ca="1">IFERROR(SUMIFS(INDIRECT("'Thanh Toán ("&amp;M$3&amp;")'!$e:$e"),INDIRECT("'Thanh Toán ("&amp;M$3&amp;")'!$B:$B"),'Tổng Đơn'!$B6),0)</f>
        <v>0</v>
      </c>
      <c r="N6" s="126">
        <f ca="1">IFERROR(SUMIFS(INDIRECT("'Thanh Toán ("&amp;N$3&amp;")'!$e:$e"),INDIRECT("'Thanh Toán ("&amp;N$3&amp;")'!$B:$B"),'Tổng Đơn'!$B6),0)</f>
        <v>0</v>
      </c>
      <c r="O6" s="126">
        <f ca="1">IFERROR(SUMIFS(INDIRECT("'Thanh Toán ("&amp;O$3&amp;")'!$e:$e"),INDIRECT("'Thanh Toán ("&amp;O$3&amp;")'!$B:$B"),'Tổng Đơn'!$B6),0)</f>
        <v>0</v>
      </c>
      <c r="P6" s="126">
        <f ca="1">IFERROR(SUMIFS(INDIRECT("'Thanh Toán ("&amp;P$3&amp;")'!$e:$e"),INDIRECT("'Thanh Toán ("&amp;P$3&amp;")'!$B:$B"),'Tổng Đơn'!$B6),0)</f>
        <v>0</v>
      </c>
      <c r="Q6" s="126">
        <f ca="1">IFERROR(SUMIFS(INDIRECT("'Thanh Toán ("&amp;Q$3&amp;")'!$e:$e"),INDIRECT("'Thanh Toán ("&amp;Q$3&amp;")'!$B:$B"),'Tổng Đơn'!$B6),0)</f>
        <v>2</v>
      </c>
      <c r="R6" s="126">
        <f ca="1">IFERROR(SUMIFS(INDIRECT("'Thanh Toán ("&amp;R$3&amp;")'!$e:$e"),INDIRECT("'Thanh Toán ("&amp;R$3&amp;")'!$B:$B"),'Tổng Đơn'!$B6),0)</f>
        <v>0</v>
      </c>
      <c r="S6" s="126">
        <f ca="1">IFERROR(SUMIFS(INDIRECT("'Thanh Toán ("&amp;S$3&amp;")'!$e:$e"),INDIRECT("'Thanh Toán ("&amp;S$3&amp;")'!$B:$B"),'Tổng Đơn'!$B6),0)</f>
        <v>0</v>
      </c>
      <c r="T6" s="126">
        <f ca="1">IFERROR(SUMIFS(INDIRECT("'Thanh Toán ("&amp;T$3&amp;")'!$e:$e"),INDIRECT("'Thanh Toán ("&amp;T$3&amp;")'!$B:$B"),'Tổng Đơn'!$B6),0)</f>
        <v>0</v>
      </c>
      <c r="U6" s="126">
        <f ca="1">IFERROR(SUMIFS(INDIRECT("'Thanh Toán ("&amp;U$3&amp;")'!$e:$e"),INDIRECT("'Thanh Toán ("&amp;U$3&amp;")'!$B:$B"),'Tổng Đơn'!$B6),0)</f>
        <v>0</v>
      </c>
      <c r="V6" s="126">
        <f ca="1">IFERROR(SUMIFS(INDIRECT("'Thanh Toán ("&amp;V$3&amp;")'!$e:$e"),INDIRECT("'Thanh Toán ("&amp;V$3&amp;")'!$B:$B"),'Tổng Đơn'!$B6),0)</f>
        <v>0</v>
      </c>
      <c r="W6" s="126">
        <f ca="1">IFERROR(SUMIFS(INDIRECT("'Thanh Toán ("&amp;W$3&amp;")'!$e:$e"),INDIRECT("'Thanh Toán ("&amp;W$3&amp;")'!$B:$B"),'Tổng Đơn'!$B6),0)</f>
        <v>0</v>
      </c>
      <c r="X6" s="126">
        <f ca="1">IFERROR(SUMIFS(INDIRECT("'Thanh Toán ("&amp;X$3&amp;")'!$e:$e"),INDIRECT("'Thanh Toán ("&amp;X$3&amp;")'!$B:$B"),'Tổng Đơn'!$B6),0)</f>
        <v>0</v>
      </c>
      <c r="Y6" s="126">
        <f ca="1">IFERROR(SUMIFS(INDIRECT("'Thanh Toán ("&amp;Y$3&amp;")'!$e:$e"),INDIRECT("'Thanh Toán ("&amp;Y$3&amp;")'!$B:$B"),'Tổng Đơn'!$B6),0)</f>
        <v>0</v>
      </c>
      <c r="Z6" s="126">
        <f ca="1">IFERROR(SUMIFS(INDIRECT("'Thanh Toán ("&amp;Z$3&amp;")'!$e:$e"),INDIRECT("'Thanh Toán ("&amp;Z$3&amp;")'!$B:$B"),'Tổng Đơn'!$B6),0)</f>
        <v>0</v>
      </c>
      <c r="AA6" s="126">
        <f ca="1">IFERROR(SUMIFS(INDIRECT("'Thanh Toán ("&amp;AA$3&amp;")'!$e:$e"),INDIRECT("'Thanh Toán ("&amp;AA$3&amp;")'!$B:$B"),'Tổng Đơn'!$B6),0)</f>
        <v>0</v>
      </c>
      <c r="AB6" s="126">
        <f ca="1">IFERROR(SUMIFS(INDIRECT("'Thanh Toán ("&amp;AB$3&amp;")'!$e:$e"),INDIRECT("'Thanh Toán ("&amp;AB$3&amp;")'!$B:$B"),'Tổng Đơn'!$B6),0)</f>
        <v>0</v>
      </c>
      <c r="AC6" s="126">
        <f ca="1">IFERROR(SUMIFS(INDIRECT("'Thanh Toán ("&amp;AC$3&amp;")'!$e:$e"),INDIRECT("'Thanh Toán ("&amp;AC$3&amp;")'!$B:$B"),'Tổng Đơn'!$B6),0)</f>
        <v>0</v>
      </c>
      <c r="AD6" s="126">
        <f ca="1">IFERROR(SUMIFS(INDIRECT("'Thanh Toán ("&amp;AD$3&amp;")'!$e:$e"),INDIRECT("'Thanh Toán ("&amp;AD$3&amp;")'!$B:$B"),'Tổng Đơn'!$B6),0)</f>
        <v>0</v>
      </c>
      <c r="AE6" s="126">
        <f ca="1">IFERROR(SUMIFS(INDIRECT("'Thanh Toán ("&amp;AE$3&amp;")'!$e:$e"),INDIRECT("'Thanh Toán ("&amp;AE$3&amp;")'!$B:$B"),'Tổng Đơn'!$B6),0)</f>
        <v>0</v>
      </c>
      <c r="AF6" s="126">
        <f ca="1">IFERROR(SUMIFS(INDIRECT("'Thanh Toán ("&amp;AF$3&amp;")'!$e:$e"),INDIRECT("'Thanh Toán ("&amp;AF$3&amp;")'!$B:$B"),'Tổng Đơn'!$B6),0)</f>
        <v>0</v>
      </c>
      <c r="AG6" s="126">
        <f ca="1">IFERROR(SUMIFS(INDIRECT("'Thanh Toán ("&amp;AG$3&amp;")'!$e:$e"),INDIRECT("'Thanh Toán ("&amp;AG$3&amp;")'!$B:$B"),'Tổng Đơn'!$B6),0)</f>
        <v>0</v>
      </c>
      <c r="AH6" s="126">
        <f ca="1">IFERROR(SUMIFS(INDIRECT("'Thanh Toán ("&amp;AH$3&amp;")'!$e:$e"),INDIRECT("'Thanh Toán ("&amp;AH$3&amp;")'!$B:$B"),'Tổng Đơn'!$B6),0)</f>
        <v>0</v>
      </c>
      <c r="AI6" s="126">
        <f ca="1">IFERROR(SUMIFS(INDIRECT("'Thanh Toán ("&amp;AI$3&amp;")'!$e:$e"),INDIRECT("'Thanh Toán ("&amp;AI$3&amp;")'!$B:$B"),'Tổng Đơn'!$B6),0)</f>
        <v>0</v>
      </c>
      <c r="AJ6" s="126">
        <f ca="1">IFERROR(SUMIFS(INDIRECT("'Thanh Toán ("&amp;AJ$3&amp;")'!$e:$e"),INDIRECT("'Thanh Toán ("&amp;AJ$3&amp;")'!$B:$B"),'Tổng Đơn'!$B6),0)</f>
        <v>0</v>
      </c>
      <c r="AK6" s="126">
        <f ca="1">IFERROR(SUMIFS(INDIRECT("'Thanh Toán ("&amp;AK$3&amp;")'!$e:$e"),INDIRECT("'Thanh Toán ("&amp;AK$3&amp;")'!$B:$B"),'Tổng Đơn'!$B6),0)</f>
        <v>0</v>
      </c>
      <c r="AL6" s="126">
        <f ca="1">IFERROR(SUMIFS(INDIRECT("'Thanh Toán ("&amp;AL$3&amp;")'!$e:$e"),INDIRECT("'Thanh Toán ("&amp;AL$3&amp;")'!$B:$B"),'Tổng Đơn'!$B6),0)</f>
        <v>0</v>
      </c>
      <c r="AM6" s="126">
        <f ca="1">IFERROR(SUMIFS(INDIRECT("'Thanh Toán ("&amp;AM$3&amp;")'!$e:$e"),INDIRECT("'Thanh Toán ("&amp;AM$3&amp;")'!$B:$B"),'Tổng Đơn'!$B6),0)</f>
        <v>0</v>
      </c>
      <c r="AN6" s="126">
        <f ca="1">IFERROR(SUMIFS(INDIRECT("'Thanh Toán ("&amp;AN$3&amp;")'!$e:$e"),INDIRECT("'Thanh Toán ("&amp;AN$3&amp;")'!$B:$B"),'Tổng Đơn'!$B6),0)</f>
        <v>0</v>
      </c>
      <c r="AO6" s="126">
        <f ca="1">IFERROR(SUMIFS(INDIRECT("'Thanh Toán ("&amp;AO$3&amp;")'!$e:$e"),INDIRECT("'Thanh Toán ("&amp;AO$3&amp;")'!$B:$B"),'Tổng Đơn'!$B6),0)</f>
        <v>0</v>
      </c>
    </row>
    <row r="7" spans="1:41" x14ac:dyDescent="0.25">
      <c r="A7" s="23">
        <v>3</v>
      </c>
      <c r="B7" s="44" t="s">
        <v>2</v>
      </c>
      <c r="C7" s="23" t="s">
        <v>111</v>
      </c>
      <c r="D7" s="45">
        <f>VLOOKUP($C7,Sheet1!$C$3:$D$52,2,0)</f>
        <v>28000</v>
      </c>
      <c r="E7" s="63">
        <v>0.5</v>
      </c>
      <c r="F7" s="61">
        <f t="shared" ca="1" si="1"/>
        <v>0</v>
      </c>
      <c r="G7" s="61">
        <v>22.49438202247191</v>
      </c>
      <c r="H7" s="61">
        <f t="shared" ca="1" si="2"/>
        <v>0</v>
      </c>
      <c r="I7" s="61"/>
      <c r="J7" s="61">
        <f t="shared" ca="1" si="3"/>
        <v>0</v>
      </c>
      <c r="K7" s="61"/>
      <c r="L7" s="2">
        <f ca="1">IFERROR(SUMIFS(INDIRECT("'Thanh Toán ("&amp;L$3&amp;")'!$e:$e"),INDIRECT("'Thanh Toán ("&amp;L$3&amp;")'!$B:$B"),'Tổng Đơn'!$B7),0)</f>
        <v>0</v>
      </c>
      <c r="M7" s="2">
        <f ca="1">IFERROR(SUMIFS(INDIRECT("'Thanh Toán ("&amp;M$3&amp;")'!$e:$e"),INDIRECT("'Thanh Toán ("&amp;M$3&amp;")'!$B:$B"),'Tổng Đơn'!$B7),0)</f>
        <v>0</v>
      </c>
      <c r="N7" s="2">
        <f ca="1">IFERROR(SUMIFS(INDIRECT("'Thanh Toán ("&amp;N$3&amp;")'!$e:$e"),INDIRECT("'Thanh Toán ("&amp;N$3&amp;")'!$B:$B"),'Tổng Đơn'!$B7),0)</f>
        <v>0</v>
      </c>
      <c r="O7" s="2">
        <f ca="1">IFERROR(SUMIFS(INDIRECT("'Thanh Toán ("&amp;O$3&amp;")'!$e:$e"),INDIRECT("'Thanh Toán ("&amp;O$3&amp;")'!$B:$B"),'Tổng Đơn'!$B7),0)</f>
        <v>0</v>
      </c>
      <c r="P7" s="2">
        <f ca="1">IFERROR(SUMIFS(INDIRECT("'Thanh Toán ("&amp;P$3&amp;")'!$e:$e"),INDIRECT("'Thanh Toán ("&amp;P$3&amp;")'!$B:$B"),'Tổng Đơn'!$B7),0)</f>
        <v>0</v>
      </c>
      <c r="Q7" s="2">
        <f ca="1">IFERROR(SUMIFS(INDIRECT("'Thanh Toán ("&amp;Q$3&amp;")'!$e:$e"),INDIRECT("'Thanh Toán ("&amp;Q$3&amp;")'!$B:$B"),'Tổng Đơn'!$B7),0)</f>
        <v>0</v>
      </c>
      <c r="R7" s="2">
        <f ca="1">IFERROR(SUMIFS(INDIRECT("'Thanh Toán ("&amp;R$3&amp;")'!$e:$e"),INDIRECT("'Thanh Toán ("&amp;R$3&amp;")'!$B:$B"),'Tổng Đơn'!$B7),0)</f>
        <v>0</v>
      </c>
      <c r="S7" s="2">
        <f ca="1">IFERROR(SUMIFS(INDIRECT("'Thanh Toán ("&amp;S$3&amp;")'!$e:$e"),INDIRECT("'Thanh Toán ("&amp;S$3&amp;")'!$B:$B"),'Tổng Đơn'!$B7),0)</f>
        <v>0</v>
      </c>
      <c r="T7" s="2">
        <f ca="1">IFERROR(SUMIFS(INDIRECT("'Thanh Toán ("&amp;T$3&amp;")'!$e:$e"),INDIRECT("'Thanh Toán ("&amp;T$3&amp;")'!$B:$B"),'Tổng Đơn'!$B7),0)</f>
        <v>0</v>
      </c>
      <c r="U7" s="2">
        <f ca="1">IFERROR(SUMIFS(INDIRECT("'Thanh Toán ("&amp;U$3&amp;")'!$e:$e"),INDIRECT("'Thanh Toán ("&amp;U$3&amp;")'!$B:$B"),'Tổng Đơn'!$B7),0)</f>
        <v>0</v>
      </c>
      <c r="V7" s="2">
        <f ca="1">IFERROR(SUMIFS(INDIRECT("'Thanh Toán ("&amp;V$3&amp;")'!$e:$e"),INDIRECT("'Thanh Toán ("&amp;V$3&amp;")'!$B:$B"),'Tổng Đơn'!$B7),0)</f>
        <v>0</v>
      </c>
      <c r="W7" s="2">
        <f ca="1">IFERROR(SUMIFS(INDIRECT("'Thanh Toán ("&amp;W$3&amp;")'!$e:$e"),INDIRECT("'Thanh Toán ("&amp;W$3&amp;")'!$B:$B"),'Tổng Đơn'!$B7),0)</f>
        <v>0</v>
      </c>
      <c r="X7" s="2">
        <f ca="1">IFERROR(SUMIFS(INDIRECT("'Thanh Toán ("&amp;X$3&amp;")'!$e:$e"),INDIRECT("'Thanh Toán ("&amp;X$3&amp;")'!$B:$B"),'Tổng Đơn'!$B7),0)</f>
        <v>0</v>
      </c>
      <c r="Y7" s="2">
        <f ca="1">IFERROR(SUMIFS(INDIRECT("'Thanh Toán ("&amp;Y$3&amp;")'!$e:$e"),INDIRECT("'Thanh Toán ("&amp;Y$3&amp;")'!$B:$B"),'Tổng Đơn'!$B7),0)</f>
        <v>0</v>
      </c>
      <c r="Z7" s="2">
        <f ca="1">IFERROR(SUMIFS(INDIRECT("'Thanh Toán ("&amp;Z$3&amp;")'!$e:$e"),INDIRECT("'Thanh Toán ("&amp;Z$3&amp;")'!$B:$B"),'Tổng Đơn'!$B7),0)</f>
        <v>0</v>
      </c>
      <c r="AA7" s="2">
        <f ca="1">IFERROR(SUMIFS(INDIRECT("'Thanh Toán ("&amp;AA$3&amp;")'!$e:$e"),INDIRECT("'Thanh Toán ("&amp;AA$3&amp;")'!$B:$B"),'Tổng Đơn'!$B7),0)</f>
        <v>0</v>
      </c>
      <c r="AB7" s="2">
        <f ca="1">IFERROR(SUMIFS(INDIRECT("'Thanh Toán ("&amp;AB$3&amp;")'!$e:$e"),INDIRECT("'Thanh Toán ("&amp;AB$3&amp;")'!$B:$B"),'Tổng Đơn'!$B7),0)</f>
        <v>0</v>
      </c>
      <c r="AC7" s="2">
        <f ca="1">IFERROR(SUMIFS(INDIRECT("'Thanh Toán ("&amp;AC$3&amp;")'!$e:$e"),INDIRECT("'Thanh Toán ("&amp;AC$3&amp;")'!$B:$B"),'Tổng Đơn'!$B7),0)</f>
        <v>0</v>
      </c>
      <c r="AD7" s="2">
        <f ca="1">IFERROR(SUMIFS(INDIRECT("'Thanh Toán ("&amp;AD$3&amp;")'!$e:$e"),INDIRECT("'Thanh Toán ("&amp;AD$3&amp;")'!$B:$B"),'Tổng Đơn'!$B7),0)</f>
        <v>0</v>
      </c>
      <c r="AE7" s="2">
        <f ca="1">IFERROR(SUMIFS(INDIRECT("'Thanh Toán ("&amp;AE$3&amp;")'!$e:$e"),INDIRECT("'Thanh Toán ("&amp;AE$3&amp;")'!$B:$B"),'Tổng Đơn'!$B7),0)</f>
        <v>0</v>
      </c>
      <c r="AF7" s="2">
        <f ca="1">IFERROR(SUMIFS(INDIRECT("'Thanh Toán ("&amp;AF$3&amp;")'!$e:$e"),INDIRECT("'Thanh Toán ("&amp;AF$3&amp;")'!$B:$B"),'Tổng Đơn'!$B7),0)</f>
        <v>0</v>
      </c>
      <c r="AG7" s="2">
        <f ca="1">IFERROR(SUMIFS(INDIRECT("'Thanh Toán ("&amp;AG$3&amp;")'!$e:$e"),INDIRECT("'Thanh Toán ("&amp;AG$3&amp;")'!$B:$B"),'Tổng Đơn'!$B7),0)</f>
        <v>0</v>
      </c>
      <c r="AH7" s="2">
        <f ca="1">IFERROR(SUMIFS(INDIRECT("'Thanh Toán ("&amp;AH$3&amp;")'!$e:$e"),INDIRECT("'Thanh Toán ("&amp;AH$3&amp;")'!$B:$B"),'Tổng Đơn'!$B7),0)</f>
        <v>0</v>
      </c>
      <c r="AI7" s="2">
        <f ca="1">IFERROR(SUMIFS(INDIRECT("'Thanh Toán ("&amp;AI$3&amp;")'!$e:$e"),INDIRECT("'Thanh Toán ("&amp;AI$3&amp;")'!$B:$B"),'Tổng Đơn'!$B7),0)</f>
        <v>0</v>
      </c>
      <c r="AJ7" s="2">
        <f ca="1">IFERROR(SUMIFS(INDIRECT("'Thanh Toán ("&amp;AJ$3&amp;")'!$e:$e"),INDIRECT("'Thanh Toán ("&amp;AJ$3&amp;")'!$B:$B"),'Tổng Đơn'!$B7),0)</f>
        <v>0</v>
      </c>
      <c r="AK7" s="2">
        <f ca="1">IFERROR(SUMIFS(INDIRECT("'Thanh Toán ("&amp;AK$3&amp;")'!$e:$e"),INDIRECT("'Thanh Toán ("&amp;AK$3&amp;")'!$B:$B"),'Tổng Đơn'!$B7),0)</f>
        <v>0</v>
      </c>
      <c r="AL7" s="2">
        <f ca="1">IFERROR(SUMIFS(INDIRECT("'Thanh Toán ("&amp;AL$3&amp;")'!$e:$e"),INDIRECT("'Thanh Toán ("&amp;AL$3&amp;")'!$B:$B"),'Tổng Đơn'!$B7),0)</f>
        <v>0</v>
      </c>
      <c r="AM7" s="2">
        <f ca="1">IFERROR(SUMIFS(INDIRECT("'Thanh Toán ("&amp;AM$3&amp;")'!$e:$e"),INDIRECT("'Thanh Toán ("&amp;AM$3&amp;")'!$B:$B"),'Tổng Đơn'!$B7),0)</f>
        <v>0</v>
      </c>
      <c r="AN7" s="2">
        <f ca="1">IFERROR(SUMIFS(INDIRECT("'Thanh Toán ("&amp;AN$3&amp;")'!$e:$e"),INDIRECT("'Thanh Toán ("&amp;AN$3&amp;")'!$B:$B"),'Tổng Đơn'!$B7),0)</f>
        <v>0</v>
      </c>
      <c r="AO7" s="2">
        <f ca="1">IFERROR(SUMIFS(INDIRECT("'Thanh Toán ("&amp;AO$3&amp;")'!$e:$e"),INDIRECT("'Thanh Toán ("&amp;AO$3&amp;")'!$B:$B"),'Tổng Đơn'!$B7),0)</f>
        <v>0</v>
      </c>
    </row>
    <row r="8" spans="1:41" ht="15.75" customHeight="1" x14ac:dyDescent="0.25">
      <c r="A8" s="23">
        <v>4</v>
      </c>
      <c r="B8" s="44" t="s">
        <v>3</v>
      </c>
      <c r="C8" s="23" t="s">
        <v>112</v>
      </c>
      <c r="D8" s="45">
        <f>VLOOKUP($C8,Sheet1!$C$3:$D$52,2,0)</f>
        <v>30000</v>
      </c>
      <c r="E8" s="63">
        <v>0.5</v>
      </c>
      <c r="F8" s="61">
        <f t="shared" ca="1" si="1"/>
        <v>0</v>
      </c>
      <c r="G8" s="61">
        <v>22.238764044943821</v>
      </c>
      <c r="H8" s="61">
        <f t="shared" ca="1" si="2"/>
        <v>0</v>
      </c>
      <c r="I8" s="61"/>
      <c r="J8" s="61">
        <f t="shared" ca="1" si="3"/>
        <v>0</v>
      </c>
      <c r="K8" s="88">
        <f ca="1">H4/J4</f>
        <v>0.16650723115395744</v>
      </c>
      <c r="L8" s="2">
        <f ca="1">IFERROR(SUMIFS(INDIRECT("'Thanh Toán ("&amp;L$3&amp;")'!$e:$e"),INDIRECT("'Thanh Toán ("&amp;L$3&amp;")'!$B:$B"),'Tổng Đơn'!$B8),0)</f>
        <v>0</v>
      </c>
      <c r="M8" s="2">
        <f ca="1">IFERROR(SUMIFS(INDIRECT("'Thanh Toán ("&amp;M$3&amp;")'!$e:$e"),INDIRECT("'Thanh Toán ("&amp;M$3&amp;")'!$B:$B"),'Tổng Đơn'!$B8),0)</f>
        <v>0</v>
      </c>
      <c r="N8" s="2">
        <f ca="1">IFERROR(SUMIFS(INDIRECT("'Thanh Toán ("&amp;N$3&amp;")'!$e:$e"),INDIRECT("'Thanh Toán ("&amp;N$3&amp;")'!$B:$B"),'Tổng Đơn'!$B8),0)</f>
        <v>0</v>
      </c>
      <c r="O8" s="2">
        <f ca="1">IFERROR(SUMIFS(INDIRECT("'Thanh Toán ("&amp;O$3&amp;")'!$e:$e"),INDIRECT("'Thanh Toán ("&amp;O$3&amp;")'!$B:$B"),'Tổng Đơn'!$B8),0)</f>
        <v>0</v>
      </c>
      <c r="P8" s="2">
        <f ca="1">IFERROR(SUMIFS(INDIRECT("'Thanh Toán ("&amp;P$3&amp;")'!$e:$e"),INDIRECT("'Thanh Toán ("&amp;P$3&amp;")'!$B:$B"),'Tổng Đơn'!$B8),0)</f>
        <v>0</v>
      </c>
      <c r="Q8" s="2">
        <f ca="1">IFERROR(SUMIFS(INDIRECT("'Thanh Toán ("&amp;Q$3&amp;")'!$e:$e"),INDIRECT("'Thanh Toán ("&amp;Q$3&amp;")'!$B:$B"),'Tổng Đơn'!$B8),0)</f>
        <v>0</v>
      </c>
      <c r="R8" s="2">
        <f ca="1">IFERROR(SUMIFS(INDIRECT("'Thanh Toán ("&amp;R$3&amp;")'!$e:$e"),INDIRECT("'Thanh Toán ("&amp;R$3&amp;")'!$B:$B"),'Tổng Đơn'!$B8),0)</f>
        <v>0</v>
      </c>
      <c r="S8" s="2">
        <f ca="1">IFERROR(SUMIFS(INDIRECT("'Thanh Toán ("&amp;S$3&amp;")'!$e:$e"),INDIRECT("'Thanh Toán ("&amp;S$3&amp;")'!$B:$B"),'Tổng Đơn'!$B8),0)</f>
        <v>0</v>
      </c>
      <c r="T8" s="2">
        <f ca="1">IFERROR(SUMIFS(INDIRECT("'Thanh Toán ("&amp;T$3&amp;")'!$e:$e"),INDIRECT("'Thanh Toán ("&amp;T$3&amp;")'!$B:$B"),'Tổng Đơn'!$B8),0)</f>
        <v>0</v>
      </c>
      <c r="U8" s="2">
        <f ca="1">IFERROR(SUMIFS(INDIRECT("'Thanh Toán ("&amp;U$3&amp;")'!$e:$e"),INDIRECT("'Thanh Toán ("&amp;U$3&amp;")'!$B:$B"),'Tổng Đơn'!$B8),0)</f>
        <v>0</v>
      </c>
      <c r="V8" s="2">
        <f ca="1">IFERROR(SUMIFS(INDIRECT("'Thanh Toán ("&amp;V$3&amp;")'!$e:$e"),INDIRECT("'Thanh Toán ("&amp;V$3&amp;")'!$B:$B"),'Tổng Đơn'!$B8),0)</f>
        <v>0</v>
      </c>
      <c r="W8" s="2">
        <f ca="1">IFERROR(SUMIFS(INDIRECT("'Thanh Toán ("&amp;W$3&amp;")'!$e:$e"),INDIRECT("'Thanh Toán ("&amp;W$3&amp;")'!$B:$B"),'Tổng Đơn'!$B8),0)</f>
        <v>0</v>
      </c>
      <c r="X8" s="2">
        <f ca="1">IFERROR(SUMIFS(INDIRECT("'Thanh Toán ("&amp;X$3&amp;")'!$e:$e"),INDIRECT("'Thanh Toán ("&amp;X$3&amp;")'!$B:$B"),'Tổng Đơn'!$B8),0)</f>
        <v>0</v>
      </c>
      <c r="Y8" s="2">
        <f ca="1">IFERROR(SUMIFS(INDIRECT("'Thanh Toán ("&amp;Y$3&amp;")'!$e:$e"),INDIRECT("'Thanh Toán ("&amp;Y$3&amp;")'!$B:$B"),'Tổng Đơn'!$B8),0)</f>
        <v>0</v>
      </c>
      <c r="Z8" s="2">
        <f ca="1">IFERROR(SUMIFS(INDIRECT("'Thanh Toán ("&amp;Z$3&amp;")'!$e:$e"),INDIRECT("'Thanh Toán ("&amp;Z$3&amp;")'!$B:$B"),'Tổng Đơn'!$B8),0)</f>
        <v>0</v>
      </c>
      <c r="AA8" s="2">
        <f ca="1">IFERROR(SUMIFS(INDIRECT("'Thanh Toán ("&amp;AA$3&amp;")'!$e:$e"),INDIRECT("'Thanh Toán ("&amp;AA$3&amp;")'!$B:$B"),'Tổng Đơn'!$B8),0)</f>
        <v>0</v>
      </c>
      <c r="AB8" s="2">
        <f ca="1">IFERROR(SUMIFS(INDIRECT("'Thanh Toán ("&amp;AB$3&amp;")'!$e:$e"),INDIRECT("'Thanh Toán ("&amp;AB$3&amp;")'!$B:$B"),'Tổng Đơn'!$B8),0)</f>
        <v>0</v>
      </c>
      <c r="AC8" s="2">
        <f ca="1">IFERROR(SUMIFS(INDIRECT("'Thanh Toán ("&amp;AC$3&amp;")'!$e:$e"),INDIRECT("'Thanh Toán ("&amp;AC$3&amp;")'!$B:$B"),'Tổng Đơn'!$B8),0)</f>
        <v>0</v>
      </c>
      <c r="AD8" s="2">
        <f ca="1">IFERROR(SUMIFS(INDIRECT("'Thanh Toán ("&amp;AD$3&amp;")'!$e:$e"),INDIRECT("'Thanh Toán ("&amp;AD$3&amp;")'!$B:$B"),'Tổng Đơn'!$B8),0)</f>
        <v>0</v>
      </c>
      <c r="AE8" s="2">
        <f ca="1">IFERROR(SUMIFS(INDIRECT("'Thanh Toán ("&amp;AE$3&amp;")'!$e:$e"),INDIRECT("'Thanh Toán ("&amp;AE$3&amp;")'!$B:$B"),'Tổng Đơn'!$B8),0)</f>
        <v>0</v>
      </c>
      <c r="AF8" s="2">
        <f ca="1">IFERROR(SUMIFS(INDIRECT("'Thanh Toán ("&amp;AF$3&amp;")'!$e:$e"),INDIRECT("'Thanh Toán ("&amp;AF$3&amp;")'!$B:$B"),'Tổng Đơn'!$B8),0)</f>
        <v>0</v>
      </c>
      <c r="AG8" s="2">
        <f ca="1">IFERROR(SUMIFS(INDIRECT("'Thanh Toán ("&amp;AG$3&amp;")'!$e:$e"),INDIRECT("'Thanh Toán ("&amp;AG$3&amp;")'!$B:$B"),'Tổng Đơn'!$B8),0)</f>
        <v>0</v>
      </c>
      <c r="AH8" s="2">
        <f ca="1">IFERROR(SUMIFS(INDIRECT("'Thanh Toán ("&amp;AH$3&amp;")'!$e:$e"),INDIRECT("'Thanh Toán ("&amp;AH$3&amp;")'!$B:$B"),'Tổng Đơn'!$B8),0)</f>
        <v>0</v>
      </c>
      <c r="AI8" s="2">
        <f ca="1">IFERROR(SUMIFS(INDIRECT("'Thanh Toán ("&amp;AI$3&amp;")'!$e:$e"),INDIRECT("'Thanh Toán ("&amp;AI$3&amp;")'!$B:$B"),'Tổng Đơn'!$B8),0)</f>
        <v>0</v>
      </c>
      <c r="AJ8" s="2">
        <f ca="1">IFERROR(SUMIFS(INDIRECT("'Thanh Toán ("&amp;AJ$3&amp;")'!$e:$e"),INDIRECT("'Thanh Toán ("&amp;AJ$3&amp;")'!$B:$B"),'Tổng Đơn'!$B8),0)</f>
        <v>0</v>
      </c>
      <c r="AK8" s="2">
        <f ca="1">IFERROR(SUMIFS(INDIRECT("'Thanh Toán ("&amp;AK$3&amp;")'!$e:$e"),INDIRECT("'Thanh Toán ("&amp;AK$3&amp;")'!$B:$B"),'Tổng Đơn'!$B8),0)</f>
        <v>0</v>
      </c>
      <c r="AL8" s="2">
        <f ca="1">IFERROR(SUMIFS(INDIRECT("'Thanh Toán ("&amp;AL$3&amp;")'!$e:$e"),INDIRECT("'Thanh Toán ("&amp;AL$3&amp;")'!$B:$B"),'Tổng Đơn'!$B8),0)</f>
        <v>0</v>
      </c>
      <c r="AM8" s="2">
        <f ca="1">IFERROR(SUMIFS(INDIRECT("'Thanh Toán ("&amp;AM$3&amp;")'!$e:$e"),INDIRECT("'Thanh Toán ("&amp;AM$3&amp;")'!$B:$B"),'Tổng Đơn'!$B8),0)</f>
        <v>0</v>
      </c>
      <c r="AN8" s="2">
        <f ca="1">IFERROR(SUMIFS(INDIRECT("'Thanh Toán ("&amp;AN$3&amp;")'!$e:$e"),INDIRECT("'Thanh Toán ("&amp;AN$3&amp;")'!$B:$B"),'Tổng Đơn'!$B8),0)</f>
        <v>0</v>
      </c>
      <c r="AO8" s="2">
        <f ca="1">IFERROR(SUMIFS(INDIRECT("'Thanh Toán ("&amp;AO$3&amp;")'!$e:$e"),INDIRECT("'Thanh Toán ("&amp;AO$3&amp;")'!$B:$B"),'Tổng Đơn'!$B8),0)</f>
        <v>0</v>
      </c>
    </row>
    <row r="9" spans="1:41" x14ac:dyDescent="0.25">
      <c r="A9" s="23">
        <v>5</v>
      </c>
      <c r="B9" s="44" t="s">
        <v>31</v>
      </c>
      <c r="C9" s="23" t="s">
        <v>113</v>
      </c>
      <c r="D9" s="45">
        <f>VLOOKUP($C9,Sheet1!$C$3:$D$52,2,0)</f>
        <v>38000</v>
      </c>
      <c r="E9" s="63">
        <v>0.5</v>
      </c>
      <c r="F9" s="61">
        <f t="shared" ca="1" si="1"/>
        <v>1</v>
      </c>
      <c r="G9" s="61">
        <v>32.790024341290518</v>
      </c>
      <c r="H9" s="61">
        <f t="shared" ca="1" si="2"/>
        <v>5209.9756587094816</v>
      </c>
      <c r="I9" s="61"/>
      <c r="J9" s="61">
        <f t="shared" ca="1" si="3"/>
        <v>38000</v>
      </c>
      <c r="K9" s="61"/>
      <c r="L9" s="2">
        <f ca="1">IFERROR(SUMIFS(INDIRECT("'Thanh Toán ("&amp;L$3&amp;")'!$e:$e"),INDIRECT("'Thanh Toán ("&amp;L$3&amp;")'!$B:$B"),'Tổng Đơn'!$B9),0)</f>
        <v>1</v>
      </c>
      <c r="M9" s="2">
        <f ca="1">IFERROR(SUMIFS(INDIRECT("'Thanh Toán ("&amp;M$3&amp;")'!$e:$e"),INDIRECT("'Thanh Toán ("&amp;M$3&amp;")'!$B:$B"),'Tổng Đơn'!$B9),0)</f>
        <v>0</v>
      </c>
      <c r="N9" s="2">
        <f ca="1">IFERROR(SUMIFS(INDIRECT("'Thanh Toán ("&amp;N$3&amp;")'!$e:$e"),INDIRECT("'Thanh Toán ("&amp;N$3&amp;")'!$B:$B"),'Tổng Đơn'!$B9),0)</f>
        <v>0</v>
      </c>
      <c r="O9" s="2">
        <f ca="1">IFERROR(SUMIFS(INDIRECT("'Thanh Toán ("&amp;O$3&amp;")'!$e:$e"),INDIRECT("'Thanh Toán ("&amp;O$3&amp;")'!$B:$B"),'Tổng Đơn'!$B9),0)</f>
        <v>0</v>
      </c>
      <c r="P9" s="2">
        <f ca="1">IFERROR(SUMIFS(INDIRECT("'Thanh Toán ("&amp;P$3&amp;")'!$e:$e"),INDIRECT("'Thanh Toán ("&amp;P$3&amp;")'!$B:$B"),'Tổng Đơn'!$B9),0)</f>
        <v>0</v>
      </c>
      <c r="Q9" s="2">
        <f ca="1">IFERROR(SUMIFS(INDIRECT("'Thanh Toán ("&amp;Q$3&amp;")'!$e:$e"),INDIRECT("'Thanh Toán ("&amp;Q$3&amp;")'!$B:$B"),'Tổng Đơn'!$B9),0)</f>
        <v>0</v>
      </c>
      <c r="R9" s="2">
        <f ca="1">IFERROR(SUMIFS(INDIRECT("'Thanh Toán ("&amp;R$3&amp;")'!$e:$e"),INDIRECT("'Thanh Toán ("&amp;R$3&amp;")'!$B:$B"),'Tổng Đơn'!$B9),0)</f>
        <v>0</v>
      </c>
      <c r="S9" s="2">
        <f ca="1">IFERROR(SUMIFS(INDIRECT("'Thanh Toán ("&amp;S$3&amp;")'!$e:$e"),INDIRECT("'Thanh Toán ("&amp;S$3&amp;")'!$B:$B"),'Tổng Đơn'!$B9),0)</f>
        <v>0</v>
      </c>
      <c r="T9" s="2">
        <f ca="1">IFERROR(SUMIFS(INDIRECT("'Thanh Toán ("&amp;T$3&amp;")'!$e:$e"),INDIRECT("'Thanh Toán ("&amp;T$3&amp;")'!$B:$B"),'Tổng Đơn'!$B9),0)</f>
        <v>0</v>
      </c>
      <c r="U9" s="2">
        <f ca="1">IFERROR(SUMIFS(INDIRECT("'Thanh Toán ("&amp;U$3&amp;")'!$e:$e"),INDIRECT("'Thanh Toán ("&amp;U$3&amp;")'!$B:$B"),'Tổng Đơn'!$B9),0)</f>
        <v>0</v>
      </c>
      <c r="V9" s="2">
        <f ca="1">IFERROR(SUMIFS(INDIRECT("'Thanh Toán ("&amp;V$3&amp;")'!$e:$e"),INDIRECT("'Thanh Toán ("&amp;V$3&amp;")'!$B:$B"),'Tổng Đơn'!$B9),0)</f>
        <v>0</v>
      </c>
      <c r="W9" s="2">
        <f ca="1">IFERROR(SUMIFS(INDIRECT("'Thanh Toán ("&amp;W$3&amp;")'!$e:$e"),INDIRECT("'Thanh Toán ("&amp;W$3&amp;")'!$B:$B"),'Tổng Đơn'!$B9),0)</f>
        <v>0</v>
      </c>
      <c r="X9" s="2">
        <f ca="1">IFERROR(SUMIFS(INDIRECT("'Thanh Toán ("&amp;X$3&amp;")'!$e:$e"),INDIRECT("'Thanh Toán ("&amp;X$3&amp;")'!$B:$B"),'Tổng Đơn'!$B9),0)</f>
        <v>0</v>
      </c>
      <c r="Y9" s="2">
        <f ca="1">IFERROR(SUMIFS(INDIRECT("'Thanh Toán ("&amp;Y$3&amp;")'!$e:$e"),INDIRECT("'Thanh Toán ("&amp;Y$3&amp;")'!$B:$B"),'Tổng Đơn'!$B9),0)</f>
        <v>0</v>
      </c>
      <c r="Z9" s="2">
        <f ca="1">IFERROR(SUMIFS(INDIRECT("'Thanh Toán ("&amp;Z$3&amp;")'!$e:$e"),INDIRECT("'Thanh Toán ("&amp;Z$3&amp;")'!$B:$B"),'Tổng Đơn'!$B9),0)</f>
        <v>0</v>
      </c>
      <c r="AA9" s="2">
        <f ca="1">IFERROR(SUMIFS(INDIRECT("'Thanh Toán ("&amp;AA$3&amp;")'!$e:$e"),INDIRECT("'Thanh Toán ("&amp;AA$3&amp;")'!$B:$B"),'Tổng Đơn'!$B9),0)</f>
        <v>0</v>
      </c>
      <c r="AB9" s="2">
        <f ca="1">IFERROR(SUMIFS(INDIRECT("'Thanh Toán ("&amp;AB$3&amp;")'!$e:$e"),INDIRECT("'Thanh Toán ("&amp;AB$3&amp;")'!$B:$B"),'Tổng Đơn'!$B9),0)</f>
        <v>0</v>
      </c>
      <c r="AC9" s="2">
        <f ca="1">IFERROR(SUMIFS(INDIRECT("'Thanh Toán ("&amp;AC$3&amp;")'!$e:$e"),INDIRECT("'Thanh Toán ("&amp;AC$3&amp;")'!$B:$B"),'Tổng Đơn'!$B9),0)</f>
        <v>0</v>
      </c>
      <c r="AD9" s="2">
        <f ca="1">IFERROR(SUMIFS(INDIRECT("'Thanh Toán ("&amp;AD$3&amp;")'!$e:$e"),INDIRECT("'Thanh Toán ("&amp;AD$3&amp;")'!$B:$B"),'Tổng Đơn'!$B9),0)</f>
        <v>0</v>
      </c>
      <c r="AE9" s="2">
        <f ca="1">IFERROR(SUMIFS(INDIRECT("'Thanh Toán ("&amp;AE$3&amp;")'!$e:$e"),INDIRECT("'Thanh Toán ("&amp;AE$3&amp;")'!$B:$B"),'Tổng Đơn'!$B9),0)</f>
        <v>0</v>
      </c>
      <c r="AF9" s="2">
        <f ca="1">IFERROR(SUMIFS(INDIRECT("'Thanh Toán ("&amp;AF$3&amp;")'!$e:$e"),INDIRECT("'Thanh Toán ("&amp;AF$3&amp;")'!$B:$B"),'Tổng Đơn'!$B9),0)</f>
        <v>0</v>
      </c>
      <c r="AG9" s="2">
        <f ca="1">IFERROR(SUMIFS(INDIRECT("'Thanh Toán ("&amp;AG$3&amp;")'!$e:$e"),INDIRECT("'Thanh Toán ("&amp;AG$3&amp;")'!$B:$B"),'Tổng Đơn'!$B9),0)</f>
        <v>0</v>
      </c>
      <c r="AH9" s="2">
        <f ca="1">IFERROR(SUMIFS(INDIRECT("'Thanh Toán ("&amp;AH$3&amp;")'!$e:$e"),INDIRECT("'Thanh Toán ("&amp;AH$3&amp;")'!$B:$B"),'Tổng Đơn'!$B9),0)</f>
        <v>0</v>
      </c>
      <c r="AI9" s="2">
        <f ca="1">IFERROR(SUMIFS(INDIRECT("'Thanh Toán ("&amp;AI$3&amp;")'!$e:$e"),INDIRECT("'Thanh Toán ("&amp;AI$3&amp;")'!$B:$B"),'Tổng Đơn'!$B9),0)</f>
        <v>0</v>
      </c>
      <c r="AJ9" s="2">
        <f ca="1">IFERROR(SUMIFS(INDIRECT("'Thanh Toán ("&amp;AJ$3&amp;")'!$e:$e"),INDIRECT("'Thanh Toán ("&amp;AJ$3&amp;")'!$B:$B"),'Tổng Đơn'!$B9),0)</f>
        <v>0</v>
      </c>
      <c r="AK9" s="2">
        <f ca="1">IFERROR(SUMIFS(INDIRECT("'Thanh Toán ("&amp;AK$3&amp;")'!$e:$e"),INDIRECT("'Thanh Toán ("&amp;AK$3&amp;")'!$B:$B"),'Tổng Đơn'!$B9),0)</f>
        <v>0</v>
      </c>
      <c r="AL9" s="2">
        <f ca="1">IFERROR(SUMIFS(INDIRECT("'Thanh Toán ("&amp;AL$3&amp;")'!$e:$e"),INDIRECT("'Thanh Toán ("&amp;AL$3&amp;")'!$B:$B"),'Tổng Đơn'!$B9),0)</f>
        <v>0</v>
      </c>
      <c r="AM9" s="2">
        <f ca="1">IFERROR(SUMIFS(INDIRECT("'Thanh Toán ("&amp;AM$3&amp;")'!$e:$e"),INDIRECT("'Thanh Toán ("&amp;AM$3&amp;")'!$B:$B"),'Tổng Đơn'!$B9),0)</f>
        <v>0</v>
      </c>
      <c r="AN9" s="2">
        <f ca="1">IFERROR(SUMIFS(INDIRECT("'Thanh Toán ("&amp;AN$3&amp;")'!$e:$e"),INDIRECT("'Thanh Toán ("&amp;AN$3&amp;")'!$B:$B"),'Tổng Đơn'!$B9),0)</f>
        <v>0</v>
      </c>
      <c r="AO9" s="2">
        <f ca="1">IFERROR(SUMIFS(INDIRECT("'Thanh Toán ("&amp;AO$3&amp;")'!$e:$e"),INDIRECT("'Thanh Toán ("&amp;AO$3&amp;")'!$B:$B"),'Tổng Đơn'!$B9),0)</f>
        <v>0</v>
      </c>
    </row>
    <row r="10" spans="1:41" ht="15.75" customHeight="1" x14ac:dyDescent="0.25">
      <c r="A10" s="23">
        <v>6</v>
      </c>
      <c r="B10" s="44" t="s">
        <v>29</v>
      </c>
      <c r="C10" s="23" t="s">
        <v>114</v>
      </c>
      <c r="D10" s="45">
        <f>VLOOKUP($C10,Sheet1!$C$3:$D$52,2,0)</f>
        <v>42000</v>
      </c>
      <c r="E10" s="63">
        <v>0.5</v>
      </c>
      <c r="F10" s="61">
        <f t="shared" ca="1" si="1"/>
        <v>2</v>
      </c>
      <c r="G10" s="61">
        <v>37.401121514284497</v>
      </c>
      <c r="H10" s="61">
        <f t="shared" ca="1" si="2"/>
        <v>9197.7569714310084</v>
      </c>
      <c r="I10" s="61"/>
      <c r="J10" s="61">
        <f t="shared" ca="1" si="3"/>
        <v>84000</v>
      </c>
      <c r="K10" s="61"/>
      <c r="L10" s="2">
        <f ca="1">IFERROR(SUMIFS(INDIRECT("'Thanh Toán ("&amp;L$3&amp;")'!$e:$e"),INDIRECT("'Thanh Toán ("&amp;L$3&amp;")'!$B:$B"),'Tổng Đơn'!$B10),0)</f>
        <v>1</v>
      </c>
      <c r="M10" s="2">
        <f ca="1">IFERROR(SUMIFS(INDIRECT("'Thanh Toán ("&amp;M$3&amp;")'!$e:$e"),INDIRECT("'Thanh Toán ("&amp;M$3&amp;")'!$B:$B"),'Tổng Đơn'!$B10),0)</f>
        <v>0</v>
      </c>
      <c r="N10" s="2">
        <f ca="1">IFERROR(SUMIFS(INDIRECT("'Thanh Toán ("&amp;N$3&amp;")'!$e:$e"),INDIRECT("'Thanh Toán ("&amp;N$3&amp;")'!$B:$B"),'Tổng Đơn'!$B10),0)</f>
        <v>0</v>
      </c>
      <c r="O10" s="2">
        <f ca="1">IFERROR(SUMIFS(INDIRECT("'Thanh Toán ("&amp;O$3&amp;")'!$e:$e"),INDIRECT("'Thanh Toán ("&amp;O$3&amp;")'!$B:$B"),'Tổng Đơn'!$B10),0)</f>
        <v>1</v>
      </c>
      <c r="P10" s="2">
        <f ca="1">IFERROR(SUMIFS(INDIRECT("'Thanh Toán ("&amp;P$3&amp;")'!$e:$e"),INDIRECT("'Thanh Toán ("&amp;P$3&amp;")'!$B:$B"),'Tổng Đơn'!$B10),0)</f>
        <v>0</v>
      </c>
      <c r="Q10" s="2">
        <f ca="1">IFERROR(SUMIFS(INDIRECT("'Thanh Toán ("&amp;Q$3&amp;")'!$e:$e"),INDIRECT("'Thanh Toán ("&amp;Q$3&amp;")'!$B:$B"),'Tổng Đơn'!$B10),0)</f>
        <v>0</v>
      </c>
      <c r="R10" s="2">
        <f ca="1">IFERROR(SUMIFS(INDIRECT("'Thanh Toán ("&amp;R$3&amp;")'!$e:$e"),INDIRECT("'Thanh Toán ("&amp;R$3&amp;")'!$B:$B"),'Tổng Đơn'!$B10),0)</f>
        <v>0</v>
      </c>
      <c r="S10" s="2">
        <f ca="1">IFERROR(SUMIFS(INDIRECT("'Thanh Toán ("&amp;S$3&amp;")'!$e:$e"),INDIRECT("'Thanh Toán ("&amp;S$3&amp;")'!$B:$B"),'Tổng Đơn'!$B10),0)</f>
        <v>0</v>
      </c>
      <c r="T10" s="2">
        <f ca="1">IFERROR(SUMIFS(INDIRECT("'Thanh Toán ("&amp;T$3&amp;")'!$e:$e"),INDIRECT("'Thanh Toán ("&amp;T$3&amp;")'!$B:$B"),'Tổng Đơn'!$B10),0)</f>
        <v>0</v>
      </c>
      <c r="U10" s="2">
        <f ca="1">IFERROR(SUMIFS(INDIRECT("'Thanh Toán ("&amp;U$3&amp;")'!$e:$e"),INDIRECT("'Thanh Toán ("&amp;U$3&amp;")'!$B:$B"),'Tổng Đơn'!$B10),0)</f>
        <v>0</v>
      </c>
      <c r="V10" s="2">
        <f ca="1">IFERROR(SUMIFS(INDIRECT("'Thanh Toán ("&amp;V$3&amp;")'!$e:$e"),INDIRECT("'Thanh Toán ("&amp;V$3&amp;")'!$B:$B"),'Tổng Đơn'!$B10),0)</f>
        <v>0</v>
      </c>
      <c r="W10" s="2">
        <f ca="1">IFERROR(SUMIFS(INDIRECT("'Thanh Toán ("&amp;W$3&amp;")'!$e:$e"),INDIRECT("'Thanh Toán ("&amp;W$3&amp;")'!$B:$B"),'Tổng Đơn'!$B10),0)</f>
        <v>0</v>
      </c>
      <c r="X10" s="2">
        <f ca="1">IFERROR(SUMIFS(INDIRECT("'Thanh Toán ("&amp;X$3&amp;")'!$e:$e"),INDIRECT("'Thanh Toán ("&amp;X$3&amp;")'!$B:$B"),'Tổng Đơn'!$B10),0)</f>
        <v>0</v>
      </c>
      <c r="Y10" s="2">
        <f ca="1">IFERROR(SUMIFS(INDIRECT("'Thanh Toán ("&amp;Y$3&amp;")'!$e:$e"),INDIRECT("'Thanh Toán ("&amp;Y$3&amp;")'!$B:$B"),'Tổng Đơn'!$B10),0)</f>
        <v>0</v>
      </c>
      <c r="Z10" s="2">
        <f ca="1">IFERROR(SUMIFS(INDIRECT("'Thanh Toán ("&amp;Z$3&amp;")'!$e:$e"),INDIRECT("'Thanh Toán ("&amp;Z$3&amp;")'!$B:$B"),'Tổng Đơn'!$B10),0)</f>
        <v>0</v>
      </c>
      <c r="AA10" s="2">
        <f ca="1">IFERROR(SUMIFS(INDIRECT("'Thanh Toán ("&amp;AA$3&amp;")'!$e:$e"),INDIRECT("'Thanh Toán ("&amp;AA$3&amp;")'!$B:$B"),'Tổng Đơn'!$B10),0)</f>
        <v>0</v>
      </c>
      <c r="AB10" s="2">
        <f ca="1">IFERROR(SUMIFS(INDIRECT("'Thanh Toán ("&amp;AB$3&amp;")'!$e:$e"),INDIRECT("'Thanh Toán ("&amp;AB$3&amp;")'!$B:$B"),'Tổng Đơn'!$B10),0)</f>
        <v>0</v>
      </c>
      <c r="AC10" s="2">
        <f ca="1">IFERROR(SUMIFS(INDIRECT("'Thanh Toán ("&amp;AC$3&amp;")'!$e:$e"),INDIRECT("'Thanh Toán ("&amp;AC$3&amp;")'!$B:$B"),'Tổng Đơn'!$B10),0)</f>
        <v>0</v>
      </c>
      <c r="AD10" s="2">
        <f ca="1">IFERROR(SUMIFS(INDIRECT("'Thanh Toán ("&amp;AD$3&amp;")'!$e:$e"),INDIRECT("'Thanh Toán ("&amp;AD$3&amp;")'!$B:$B"),'Tổng Đơn'!$B10),0)</f>
        <v>0</v>
      </c>
      <c r="AE10" s="2">
        <f ca="1">IFERROR(SUMIFS(INDIRECT("'Thanh Toán ("&amp;AE$3&amp;")'!$e:$e"),INDIRECT("'Thanh Toán ("&amp;AE$3&amp;")'!$B:$B"),'Tổng Đơn'!$B10),0)</f>
        <v>0</v>
      </c>
      <c r="AF10" s="2">
        <f ca="1">IFERROR(SUMIFS(INDIRECT("'Thanh Toán ("&amp;AF$3&amp;")'!$e:$e"),INDIRECT("'Thanh Toán ("&amp;AF$3&amp;")'!$B:$B"),'Tổng Đơn'!$B10),0)</f>
        <v>0</v>
      </c>
      <c r="AG10" s="2">
        <f ca="1">IFERROR(SUMIFS(INDIRECT("'Thanh Toán ("&amp;AG$3&amp;")'!$e:$e"),INDIRECT("'Thanh Toán ("&amp;AG$3&amp;")'!$B:$B"),'Tổng Đơn'!$B10),0)</f>
        <v>0</v>
      </c>
      <c r="AH10" s="2">
        <f ca="1">IFERROR(SUMIFS(INDIRECT("'Thanh Toán ("&amp;AH$3&amp;")'!$e:$e"),INDIRECT("'Thanh Toán ("&amp;AH$3&amp;")'!$B:$B"),'Tổng Đơn'!$B10),0)</f>
        <v>0</v>
      </c>
      <c r="AI10" s="2">
        <f ca="1">IFERROR(SUMIFS(INDIRECT("'Thanh Toán ("&amp;AI$3&amp;")'!$e:$e"),INDIRECT("'Thanh Toán ("&amp;AI$3&amp;")'!$B:$B"),'Tổng Đơn'!$B10),0)</f>
        <v>0</v>
      </c>
      <c r="AJ10" s="2">
        <f ca="1">IFERROR(SUMIFS(INDIRECT("'Thanh Toán ("&amp;AJ$3&amp;")'!$e:$e"),INDIRECT("'Thanh Toán ("&amp;AJ$3&amp;")'!$B:$B"),'Tổng Đơn'!$B10),0)</f>
        <v>0</v>
      </c>
      <c r="AK10" s="2">
        <f ca="1">IFERROR(SUMIFS(INDIRECT("'Thanh Toán ("&amp;AK$3&amp;")'!$e:$e"),INDIRECT("'Thanh Toán ("&amp;AK$3&amp;")'!$B:$B"),'Tổng Đơn'!$B10),0)</f>
        <v>0</v>
      </c>
      <c r="AL10" s="2">
        <f ca="1">IFERROR(SUMIFS(INDIRECT("'Thanh Toán ("&amp;AL$3&amp;")'!$e:$e"),INDIRECT("'Thanh Toán ("&amp;AL$3&amp;")'!$B:$B"),'Tổng Đơn'!$B10),0)</f>
        <v>0</v>
      </c>
      <c r="AM10" s="2">
        <f ca="1">IFERROR(SUMIFS(INDIRECT("'Thanh Toán ("&amp;AM$3&amp;")'!$e:$e"),INDIRECT("'Thanh Toán ("&amp;AM$3&amp;")'!$B:$B"),'Tổng Đơn'!$B10),0)</f>
        <v>0</v>
      </c>
      <c r="AN10" s="2">
        <f ca="1">IFERROR(SUMIFS(INDIRECT("'Thanh Toán ("&amp;AN$3&amp;")'!$e:$e"),INDIRECT("'Thanh Toán ("&amp;AN$3&amp;")'!$B:$B"),'Tổng Đơn'!$B10),0)</f>
        <v>0</v>
      </c>
      <c r="AO10" s="2">
        <f ca="1">IFERROR(SUMIFS(INDIRECT("'Thanh Toán ("&amp;AO$3&amp;")'!$e:$e"),INDIRECT("'Thanh Toán ("&amp;AO$3&amp;")'!$B:$B"),'Tổng Đơn'!$B10),0)</f>
        <v>0</v>
      </c>
    </row>
    <row r="11" spans="1:41" x14ac:dyDescent="0.25">
      <c r="A11" s="23">
        <v>7</v>
      </c>
      <c r="B11" s="44" t="s">
        <v>27</v>
      </c>
      <c r="C11" s="23" t="s">
        <v>115</v>
      </c>
      <c r="D11" s="45">
        <f>VLOOKUP($C11,Sheet1!$C$3:$D$52,2,0)</f>
        <v>34000</v>
      </c>
      <c r="E11" s="63">
        <v>0.25</v>
      </c>
      <c r="F11" s="61">
        <f t="shared" ca="1" si="1"/>
        <v>3</v>
      </c>
      <c r="G11" s="61">
        <v>29.029418424648757</v>
      </c>
      <c r="H11" s="61">
        <f t="shared" ca="1" si="2"/>
        <v>14911.74472605373</v>
      </c>
      <c r="I11" s="61"/>
      <c r="J11" s="61">
        <f t="shared" ca="1" si="3"/>
        <v>102000</v>
      </c>
      <c r="K11" s="61"/>
      <c r="L11" s="2">
        <f ca="1">IFERROR(SUMIFS(INDIRECT("'Thanh Toán ("&amp;L$3&amp;")'!$e:$e"),INDIRECT("'Thanh Toán ("&amp;L$3&amp;")'!$B:$B"),'Tổng Đơn'!$B11),0)</f>
        <v>0</v>
      </c>
      <c r="M11" s="2">
        <f ca="1">IFERROR(SUMIFS(INDIRECT("'Thanh Toán ("&amp;M$3&amp;")'!$e:$e"),INDIRECT("'Thanh Toán ("&amp;M$3&amp;")'!$B:$B"),'Tổng Đơn'!$B11),0)</f>
        <v>2</v>
      </c>
      <c r="N11" s="2">
        <f ca="1">IFERROR(SUMIFS(INDIRECT("'Thanh Toán ("&amp;N$3&amp;")'!$e:$e"),INDIRECT("'Thanh Toán ("&amp;N$3&amp;")'!$B:$B"),'Tổng Đơn'!$B11),0)</f>
        <v>0</v>
      </c>
      <c r="O11" s="2">
        <f ca="1">IFERROR(SUMIFS(INDIRECT("'Thanh Toán ("&amp;O$3&amp;")'!$e:$e"),INDIRECT("'Thanh Toán ("&amp;O$3&amp;")'!$B:$B"),'Tổng Đơn'!$B11),0)</f>
        <v>0</v>
      </c>
      <c r="P11" s="2">
        <f ca="1">IFERROR(SUMIFS(INDIRECT("'Thanh Toán ("&amp;P$3&amp;")'!$e:$e"),INDIRECT("'Thanh Toán ("&amp;P$3&amp;")'!$B:$B"),'Tổng Đơn'!$B11),0)</f>
        <v>0</v>
      </c>
      <c r="Q11" s="2">
        <f ca="1">IFERROR(SUMIFS(INDIRECT("'Thanh Toán ("&amp;Q$3&amp;")'!$e:$e"),INDIRECT("'Thanh Toán ("&amp;Q$3&amp;")'!$B:$B"),'Tổng Đơn'!$B11),0)</f>
        <v>0</v>
      </c>
      <c r="R11" s="2">
        <f ca="1">IFERROR(SUMIFS(INDIRECT("'Thanh Toán ("&amp;R$3&amp;")'!$e:$e"),INDIRECT("'Thanh Toán ("&amp;R$3&amp;")'!$B:$B"),'Tổng Đơn'!$B11),0)</f>
        <v>1</v>
      </c>
      <c r="S11" s="2">
        <f ca="1">IFERROR(SUMIFS(INDIRECT("'Thanh Toán ("&amp;S$3&amp;")'!$e:$e"),INDIRECT("'Thanh Toán ("&amp;S$3&amp;")'!$B:$B"),'Tổng Đơn'!$B11),0)</f>
        <v>0</v>
      </c>
      <c r="T11" s="2">
        <f ca="1">IFERROR(SUMIFS(INDIRECT("'Thanh Toán ("&amp;T$3&amp;")'!$e:$e"),INDIRECT("'Thanh Toán ("&amp;T$3&amp;")'!$B:$B"),'Tổng Đơn'!$B11),0)</f>
        <v>0</v>
      </c>
      <c r="U11" s="2">
        <f ca="1">IFERROR(SUMIFS(INDIRECT("'Thanh Toán ("&amp;U$3&amp;")'!$e:$e"),INDIRECT("'Thanh Toán ("&amp;U$3&amp;")'!$B:$B"),'Tổng Đơn'!$B11),0)</f>
        <v>0</v>
      </c>
      <c r="V11" s="2">
        <f ca="1">IFERROR(SUMIFS(INDIRECT("'Thanh Toán ("&amp;V$3&amp;")'!$e:$e"),INDIRECT("'Thanh Toán ("&amp;V$3&amp;")'!$B:$B"),'Tổng Đơn'!$B11),0)</f>
        <v>0</v>
      </c>
      <c r="W11" s="2">
        <f ca="1">IFERROR(SUMIFS(INDIRECT("'Thanh Toán ("&amp;W$3&amp;")'!$e:$e"),INDIRECT("'Thanh Toán ("&amp;W$3&amp;")'!$B:$B"),'Tổng Đơn'!$B11),0)</f>
        <v>0</v>
      </c>
      <c r="X11" s="2">
        <f ca="1">IFERROR(SUMIFS(INDIRECT("'Thanh Toán ("&amp;X$3&amp;")'!$e:$e"),INDIRECT("'Thanh Toán ("&amp;X$3&amp;")'!$B:$B"),'Tổng Đơn'!$B11),0)</f>
        <v>0</v>
      </c>
      <c r="Y11" s="2">
        <f ca="1">IFERROR(SUMIFS(INDIRECT("'Thanh Toán ("&amp;Y$3&amp;")'!$e:$e"),INDIRECT("'Thanh Toán ("&amp;Y$3&amp;")'!$B:$B"),'Tổng Đơn'!$B11),0)</f>
        <v>0</v>
      </c>
      <c r="Z11" s="2">
        <f ca="1">IFERROR(SUMIFS(INDIRECT("'Thanh Toán ("&amp;Z$3&amp;")'!$e:$e"),INDIRECT("'Thanh Toán ("&amp;Z$3&amp;")'!$B:$B"),'Tổng Đơn'!$B11),0)</f>
        <v>0</v>
      </c>
      <c r="AA11" s="2">
        <f ca="1">IFERROR(SUMIFS(INDIRECT("'Thanh Toán ("&amp;AA$3&amp;")'!$e:$e"),INDIRECT("'Thanh Toán ("&amp;AA$3&amp;")'!$B:$B"),'Tổng Đơn'!$B11),0)</f>
        <v>0</v>
      </c>
      <c r="AB11" s="2">
        <f ca="1">IFERROR(SUMIFS(INDIRECT("'Thanh Toán ("&amp;AB$3&amp;")'!$e:$e"),INDIRECT("'Thanh Toán ("&amp;AB$3&amp;")'!$B:$B"),'Tổng Đơn'!$B11),0)</f>
        <v>0</v>
      </c>
      <c r="AC11" s="2">
        <f ca="1">IFERROR(SUMIFS(INDIRECT("'Thanh Toán ("&amp;AC$3&amp;")'!$e:$e"),INDIRECT("'Thanh Toán ("&amp;AC$3&amp;")'!$B:$B"),'Tổng Đơn'!$B11),0)</f>
        <v>0</v>
      </c>
      <c r="AD11" s="2">
        <f ca="1">IFERROR(SUMIFS(INDIRECT("'Thanh Toán ("&amp;AD$3&amp;")'!$e:$e"),INDIRECT("'Thanh Toán ("&amp;AD$3&amp;")'!$B:$B"),'Tổng Đơn'!$B11),0)</f>
        <v>0</v>
      </c>
      <c r="AE11" s="2">
        <f ca="1">IFERROR(SUMIFS(INDIRECT("'Thanh Toán ("&amp;AE$3&amp;")'!$e:$e"),INDIRECT("'Thanh Toán ("&amp;AE$3&amp;")'!$B:$B"),'Tổng Đơn'!$B11),0)</f>
        <v>0</v>
      </c>
      <c r="AF11" s="2">
        <f ca="1">IFERROR(SUMIFS(INDIRECT("'Thanh Toán ("&amp;AF$3&amp;")'!$e:$e"),INDIRECT("'Thanh Toán ("&amp;AF$3&amp;")'!$B:$B"),'Tổng Đơn'!$B11),0)</f>
        <v>0</v>
      </c>
      <c r="AG11" s="2">
        <f ca="1">IFERROR(SUMIFS(INDIRECT("'Thanh Toán ("&amp;AG$3&amp;")'!$e:$e"),INDIRECT("'Thanh Toán ("&amp;AG$3&amp;")'!$B:$B"),'Tổng Đơn'!$B11),0)</f>
        <v>0</v>
      </c>
      <c r="AH11" s="2">
        <f ca="1">IFERROR(SUMIFS(INDIRECT("'Thanh Toán ("&amp;AH$3&amp;")'!$e:$e"),INDIRECT("'Thanh Toán ("&amp;AH$3&amp;")'!$B:$B"),'Tổng Đơn'!$B11),0)</f>
        <v>0</v>
      </c>
      <c r="AI11" s="2">
        <f ca="1">IFERROR(SUMIFS(INDIRECT("'Thanh Toán ("&amp;AI$3&amp;")'!$e:$e"),INDIRECT("'Thanh Toán ("&amp;AI$3&amp;")'!$B:$B"),'Tổng Đơn'!$B11),0)</f>
        <v>0</v>
      </c>
      <c r="AJ11" s="2">
        <f ca="1">IFERROR(SUMIFS(INDIRECT("'Thanh Toán ("&amp;AJ$3&amp;")'!$e:$e"),INDIRECT("'Thanh Toán ("&amp;AJ$3&amp;")'!$B:$B"),'Tổng Đơn'!$B11),0)</f>
        <v>0</v>
      </c>
      <c r="AK11" s="2">
        <f ca="1">IFERROR(SUMIFS(INDIRECT("'Thanh Toán ("&amp;AK$3&amp;")'!$e:$e"),INDIRECT("'Thanh Toán ("&amp;AK$3&amp;")'!$B:$B"),'Tổng Đơn'!$B11),0)</f>
        <v>0</v>
      </c>
      <c r="AL11" s="2">
        <f ca="1">IFERROR(SUMIFS(INDIRECT("'Thanh Toán ("&amp;AL$3&amp;")'!$e:$e"),INDIRECT("'Thanh Toán ("&amp;AL$3&amp;")'!$B:$B"),'Tổng Đơn'!$B11),0)</f>
        <v>0</v>
      </c>
      <c r="AM11" s="2">
        <f ca="1">IFERROR(SUMIFS(INDIRECT("'Thanh Toán ("&amp;AM$3&amp;")'!$e:$e"),INDIRECT("'Thanh Toán ("&amp;AM$3&amp;")'!$B:$B"),'Tổng Đơn'!$B11),0)</f>
        <v>0</v>
      </c>
      <c r="AN11" s="2">
        <f ca="1">IFERROR(SUMIFS(INDIRECT("'Thanh Toán ("&amp;AN$3&amp;")'!$e:$e"),INDIRECT("'Thanh Toán ("&amp;AN$3&amp;")'!$B:$B"),'Tổng Đơn'!$B11),0)</f>
        <v>0</v>
      </c>
      <c r="AO11" s="2">
        <f ca="1">IFERROR(SUMIFS(INDIRECT("'Thanh Toán ("&amp;AO$3&amp;")'!$e:$e"),INDIRECT("'Thanh Toán ("&amp;AO$3&amp;")'!$B:$B"),'Tổng Đơn'!$B11),0)</f>
        <v>0</v>
      </c>
    </row>
    <row r="12" spans="1:41" x14ac:dyDescent="0.25">
      <c r="A12" s="23">
        <v>8</v>
      </c>
      <c r="B12" s="44" t="s">
        <v>62</v>
      </c>
      <c r="C12" s="23" t="s">
        <v>116</v>
      </c>
      <c r="D12" s="45">
        <f>VLOOKUP($C12,Sheet1!$C$3:$D$52,2,0)</f>
        <v>35000</v>
      </c>
      <c r="E12" s="63">
        <v>0.5</v>
      </c>
      <c r="F12" s="61">
        <f t="shared" ca="1" si="1"/>
        <v>2</v>
      </c>
      <c r="G12" s="61">
        <v>30.228303689627193</v>
      </c>
      <c r="H12" s="61">
        <f t="shared" ca="1" si="2"/>
        <v>9543.392620745617</v>
      </c>
      <c r="I12" s="61"/>
      <c r="J12" s="61">
        <f t="shared" ca="1" si="3"/>
        <v>70000</v>
      </c>
      <c r="K12" s="61"/>
      <c r="L12" s="2">
        <f ca="1">IFERROR(SUMIFS(INDIRECT("'Thanh Toán ("&amp;L$3&amp;")'!$e:$e"),INDIRECT("'Thanh Toán ("&amp;L$3&amp;")'!$B:$B"),'Tổng Đơn'!$B12),0)</f>
        <v>1</v>
      </c>
      <c r="M12" s="2">
        <f ca="1">IFERROR(SUMIFS(INDIRECT("'Thanh Toán ("&amp;M$3&amp;")'!$e:$e"),INDIRECT("'Thanh Toán ("&amp;M$3&amp;")'!$B:$B"),'Tổng Đơn'!$B12),0)</f>
        <v>0</v>
      </c>
      <c r="N12" s="2">
        <f ca="1">IFERROR(SUMIFS(INDIRECT("'Thanh Toán ("&amp;N$3&amp;")'!$e:$e"),INDIRECT("'Thanh Toán ("&amp;N$3&amp;")'!$B:$B"),'Tổng Đơn'!$B12),0)</f>
        <v>1</v>
      </c>
      <c r="O12" s="2">
        <f ca="1">IFERROR(SUMIFS(INDIRECT("'Thanh Toán ("&amp;O$3&amp;")'!$e:$e"),INDIRECT("'Thanh Toán ("&amp;O$3&amp;")'!$B:$B"),'Tổng Đơn'!$B12),0)</f>
        <v>0</v>
      </c>
      <c r="P12" s="2">
        <f ca="1">IFERROR(SUMIFS(INDIRECT("'Thanh Toán ("&amp;P$3&amp;")'!$e:$e"),INDIRECT("'Thanh Toán ("&amp;P$3&amp;")'!$B:$B"),'Tổng Đơn'!$B12),0)</f>
        <v>0</v>
      </c>
      <c r="Q12" s="2">
        <f ca="1">IFERROR(SUMIFS(INDIRECT("'Thanh Toán ("&amp;Q$3&amp;")'!$e:$e"),INDIRECT("'Thanh Toán ("&amp;Q$3&amp;")'!$B:$B"),'Tổng Đơn'!$B12),0)</f>
        <v>0</v>
      </c>
      <c r="R12" s="2">
        <f ca="1">IFERROR(SUMIFS(INDIRECT("'Thanh Toán ("&amp;R$3&amp;")'!$e:$e"),INDIRECT("'Thanh Toán ("&amp;R$3&amp;")'!$B:$B"),'Tổng Đơn'!$B12),0)</f>
        <v>0</v>
      </c>
      <c r="S12" s="2">
        <f ca="1">IFERROR(SUMIFS(INDIRECT("'Thanh Toán ("&amp;S$3&amp;")'!$e:$e"),INDIRECT("'Thanh Toán ("&amp;S$3&amp;")'!$B:$B"),'Tổng Đơn'!$B12),0)</f>
        <v>0</v>
      </c>
      <c r="T12" s="2">
        <f ca="1">IFERROR(SUMIFS(INDIRECT("'Thanh Toán ("&amp;T$3&amp;")'!$e:$e"),INDIRECT("'Thanh Toán ("&amp;T$3&amp;")'!$B:$B"),'Tổng Đơn'!$B12),0)</f>
        <v>0</v>
      </c>
      <c r="U12" s="2">
        <f ca="1">IFERROR(SUMIFS(INDIRECT("'Thanh Toán ("&amp;U$3&amp;")'!$e:$e"),INDIRECT("'Thanh Toán ("&amp;U$3&amp;")'!$B:$B"),'Tổng Đơn'!$B12),0)</f>
        <v>0</v>
      </c>
      <c r="V12" s="2">
        <f ca="1">IFERROR(SUMIFS(INDIRECT("'Thanh Toán ("&amp;V$3&amp;")'!$e:$e"),INDIRECT("'Thanh Toán ("&amp;V$3&amp;")'!$B:$B"),'Tổng Đơn'!$B12),0)</f>
        <v>0</v>
      </c>
      <c r="W12" s="2">
        <f ca="1">IFERROR(SUMIFS(INDIRECT("'Thanh Toán ("&amp;W$3&amp;")'!$e:$e"),INDIRECT("'Thanh Toán ("&amp;W$3&amp;")'!$B:$B"),'Tổng Đơn'!$B12),0)</f>
        <v>0</v>
      </c>
      <c r="X12" s="2">
        <f ca="1">IFERROR(SUMIFS(INDIRECT("'Thanh Toán ("&amp;X$3&amp;")'!$e:$e"),INDIRECT("'Thanh Toán ("&amp;X$3&amp;")'!$B:$B"),'Tổng Đơn'!$B12),0)</f>
        <v>0</v>
      </c>
      <c r="Y12" s="2">
        <f ca="1">IFERROR(SUMIFS(INDIRECT("'Thanh Toán ("&amp;Y$3&amp;")'!$e:$e"),INDIRECT("'Thanh Toán ("&amp;Y$3&amp;")'!$B:$B"),'Tổng Đơn'!$B12),0)</f>
        <v>0</v>
      </c>
      <c r="Z12" s="2">
        <f ca="1">IFERROR(SUMIFS(INDIRECT("'Thanh Toán ("&amp;Z$3&amp;")'!$e:$e"),INDIRECT("'Thanh Toán ("&amp;Z$3&amp;")'!$B:$B"),'Tổng Đơn'!$B12),0)</f>
        <v>0</v>
      </c>
      <c r="AA12" s="2">
        <f ca="1">IFERROR(SUMIFS(INDIRECT("'Thanh Toán ("&amp;AA$3&amp;")'!$e:$e"),INDIRECT("'Thanh Toán ("&amp;AA$3&amp;")'!$B:$B"),'Tổng Đơn'!$B12),0)</f>
        <v>0</v>
      </c>
      <c r="AB12" s="2">
        <f ca="1">IFERROR(SUMIFS(INDIRECT("'Thanh Toán ("&amp;AB$3&amp;")'!$e:$e"),INDIRECT("'Thanh Toán ("&amp;AB$3&amp;")'!$B:$B"),'Tổng Đơn'!$B12),0)</f>
        <v>0</v>
      </c>
      <c r="AC12" s="2">
        <f ca="1">IFERROR(SUMIFS(INDIRECT("'Thanh Toán ("&amp;AC$3&amp;")'!$e:$e"),INDIRECT("'Thanh Toán ("&amp;AC$3&amp;")'!$B:$B"),'Tổng Đơn'!$B12),0)</f>
        <v>0</v>
      </c>
      <c r="AD12" s="2">
        <f ca="1">IFERROR(SUMIFS(INDIRECT("'Thanh Toán ("&amp;AD$3&amp;")'!$e:$e"),INDIRECT("'Thanh Toán ("&amp;AD$3&amp;")'!$B:$B"),'Tổng Đơn'!$B12),0)</f>
        <v>0</v>
      </c>
      <c r="AE12" s="2">
        <f ca="1">IFERROR(SUMIFS(INDIRECT("'Thanh Toán ("&amp;AE$3&amp;")'!$e:$e"),INDIRECT("'Thanh Toán ("&amp;AE$3&amp;")'!$B:$B"),'Tổng Đơn'!$B12),0)</f>
        <v>0</v>
      </c>
      <c r="AF12" s="2">
        <f ca="1">IFERROR(SUMIFS(INDIRECT("'Thanh Toán ("&amp;AF$3&amp;")'!$e:$e"),INDIRECT("'Thanh Toán ("&amp;AF$3&amp;")'!$B:$B"),'Tổng Đơn'!$B12),0)</f>
        <v>0</v>
      </c>
      <c r="AG12" s="2">
        <f ca="1">IFERROR(SUMIFS(INDIRECT("'Thanh Toán ("&amp;AG$3&amp;")'!$e:$e"),INDIRECT("'Thanh Toán ("&amp;AG$3&amp;")'!$B:$B"),'Tổng Đơn'!$B12),0)</f>
        <v>0</v>
      </c>
      <c r="AH12" s="2">
        <f ca="1">IFERROR(SUMIFS(INDIRECT("'Thanh Toán ("&amp;AH$3&amp;")'!$e:$e"),INDIRECT("'Thanh Toán ("&amp;AH$3&amp;")'!$B:$B"),'Tổng Đơn'!$B12),0)</f>
        <v>0</v>
      </c>
      <c r="AI12" s="2">
        <f ca="1">IFERROR(SUMIFS(INDIRECT("'Thanh Toán ("&amp;AI$3&amp;")'!$e:$e"),INDIRECT("'Thanh Toán ("&amp;AI$3&amp;")'!$B:$B"),'Tổng Đơn'!$B12),0)</f>
        <v>0</v>
      </c>
      <c r="AJ12" s="2">
        <f ca="1">IFERROR(SUMIFS(INDIRECT("'Thanh Toán ("&amp;AJ$3&amp;")'!$e:$e"),INDIRECT("'Thanh Toán ("&amp;AJ$3&amp;")'!$B:$B"),'Tổng Đơn'!$B12),0)</f>
        <v>0</v>
      </c>
      <c r="AK12" s="2">
        <f ca="1">IFERROR(SUMIFS(INDIRECT("'Thanh Toán ("&amp;AK$3&amp;")'!$e:$e"),INDIRECT("'Thanh Toán ("&amp;AK$3&amp;")'!$B:$B"),'Tổng Đơn'!$B12),0)</f>
        <v>0</v>
      </c>
      <c r="AL12" s="2">
        <f ca="1">IFERROR(SUMIFS(INDIRECT("'Thanh Toán ("&amp;AL$3&amp;")'!$e:$e"),INDIRECT("'Thanh Toán ("&amp;AL$3&amp;")'!$B:$B"),'Tổng Đơn'!$B12),0)</f>
        <v>0</v>
      </c>
      <c r="AM12" s="2">
        <f ca="1">IFERROR(SUMIFS(INDIRECT("'Thanh Toán ("&amp;AM$3&amp;")'!$e:$e"),INDIRECT("'Thanh Toán ("&amp;AM$3&amp;")'!$B:$B"),'Tổng Đơn'!$B12),0)</f>
        <v>0</v>
      </c>
      <c r="AN12" s="2">
        <f ca="1">IFERROR(SUMIFS(INDIRECT("'Thanh Toán ("&amp;AN$3&amp;")'!$e:$e"),INDIRECT("'Thanh Toán ("&amp;AN$3&amp;")'!$B:$B"),'Tổng Đơn'!$B12),0)</f>
        <v>0</v>
      </c>
      <c r="AO12" s="2">
        <f ca="1">IFERROR(SUMIFS(INDIRECT("'Thanh Toán ("&amp;AO$3&amp;")'!$e:$e"),INDIRECT("'Thanh Toán ("&amp;AO$3&amp;")'!$B:$B"),'Tổng Đơn'!$B12),0)</f>
        <v>0</v>
      </c>
    </row>
    <row r="13" spans="1:41" x14ac:dyDescent="0.25">
      <c r="A13" s="23">
        <v>9</v>
      </c>
      <c r="B13" s="44" t="s">
        <v>32</v>
      </c>
      <c r="C13" s="23" t="s">
        <v>117</v>
      </c>
      <c r="D13" s="45">
        <f>VLOOKUP($C13,Sheet1!$C$3:$D$52,2,0)</f>
        <v>45000</v>
      </c>
      <c r="E13" s="63">
        <v>0.5</v>
      </c>
      <c r="F13" s="61">
        <f t="shared" ca="1" si="1"/>
        <v>1</v>
      </c>
      <c r="G13" s="61">
        <v>32.277680210957854</v>
      </c>
      <c r="H13" s="61">
        <f t="shared" ca="1" si="2"/>
        <v>12722.319789042147</v>
      </c>
      <c r="I13" s="61"/>
      <c r="J13" s="61">
        <f t="shared" ca="1" si="3"/>
        <v>45000</v>
      </c>
      <c r="K13" s="61"/>
      <c r="L13" s="2">
        <f ca="1">IFERROR(SUMIFS(INDIRECT("'Thanh Toán ("&amp;L$3&amp;")'!$e:$e"),INDIRECT("'Thanh Toán ("&amp;L$3&amp;")'!$B:$B"),'Tổng Đơn'!$B13),0)</f>
        <v>0</v>
      </c>
      <c r="M13" s="2">
        <f ca="1">IFERROR(SUMIFS(INDIRECT("'Thanh Toán ("&amp;M$3&amp;")'!$e:$e"),INDIRECT("'Thanh Toán ("&amp;M$3&amp;")'!$B:$B"),'Tổng Đơn'!$B13),0)</f>
        <v>0</v>
      </c>
      <c r="N13" s="2">
        <f ca="1">IFERROR(SUMIFS(INDIRECT("'Thanh Toán ("&amp;N$3&amp;")'!$e:$e"),INDIRECT("'Thanh Toán ("&amp;N$3&amp;")'!$B:$B"),'Tổng Đơn'!$B13),0)</f>
        <v>0</v>
      </c>
      <c r="O13" s="2">
        <f ca="1">IFERROR(SUMIFS(INDIRECT("'Thanh Toán ("&amp;O$3&amp;")'!$e:$e"),INDIRECT("'Thanh Toán ("&amp;O$3&amp;")'!$B:$B"),'Tổng Đơn'!$B13),0)</f>
        <v>0</v>
      </c>
      <c r="P13" s="2">
        <f ca="1">IFERROR(SUMIFS(INDIRECT("'Thanh Toán ("&amp;P$3&amp;")'!$e:$e"),INDIRECT("'Thanh Toán ("&amp;P$3&amp;")'!$B:$B"),'Tổng Đơn'!$B13),0)</f>
        <v>1</v>
      </c>
      <c r="Q13" s="2">
        <f ca="1">IFERROR(SUMIFS(INDIRECT("'Thanh Toán ("&amp;Q$3&amp;")'!$e:$e"),INDIRECT("'Thanh Toán ("&amp;Q$3&amp;")'!$B:$B"),'Tổng Đơn'!$B13),0)</f>
        <v>0</v>
      </c>
      <c r="R13" s="2">
        <f ca="1">IFERROR(SUMIFS(INDIRECT("'Thanh Toán ("&amp;R$3&amp;")'!$e:$e"),INDIRECT("'Thanh Toán ("&amp;R$3&amp;")'!$B:$B"),'Tổng Đơn'!$B13),0)</f>
        <v>0</v>
      </c>
      <c r="S13" s="2">
        <f ca="1">IFERROR(SUMIFS(INDIRECT("'Thanh Toán ("&amp;S$3&amp;")'!$e:$e"),INDIRECT("'Thanh Toán ("&amp;S$3&amp;")'!$B:$B"),'Tổng Đơn'!$B13),0)</f>
        <v>0</v>
      </c>
      <c r="T13" s="2">
        <f ca="1">IFERROR(SUMIFS(INDIRECT("'Thanh Toán ("&amp;T$3&amp;")'!$e:$e"),INDIRECT("'Thanh Toán ("&amp;T$3&amp;")'!$B:$B"),'Tổng Đơn'!$B13),0)</f>
        <v>0</v>
      </c>
      <c r="U13" s="2">
        <f ca="1">IFERROR(SUMIFS(INDIRECT("'Thanh Toán ("&amp;U$3&amp;")'!$e:$e"),INDIRECT("'Thanh Toán ("&amp;U$3&amp;")'!$B:$B"),'Tổng Đơn'!$B13),0)</f>
        <v>0</v>
      </c>
      <c r="V13" s="2">
        <f ca="1">IFERROR(SUMIFS(INDIRECT("'Thanh Toán ("&amp;V$3&amp;")'!$e:$e"),INDIRECT("'Thanh Toán ("&amp;V$3&amp;")'!$B:$B"),'Tổng Đơn'!$B13),0)</f>
        <v>0</v>
      </c>
      <c r="W13" s="2">
        <f ca="1">IFERROR(SUMIFS(INDIRECT("'Thanh Toán ("&amp;W$3&amp;")'!$e:$e"),INDIRECT("'Thanh Toán ("&amp;W$3&amp;")'!$B:$B"),'Tổng Đơn'!$B13),0)</f>
        <v>0</v>
      </c>
      <c r="X13" s="2">
        <f ca="1">IFERROR(SUMIFS(INDIRECT("'Thanh Toán ("&amp;X$3&amp;")'!$e:$e"),INDIRECT("'Thanh Toán ("&amp;X$3&amp;")'!$B:$B"),'Tổng Đơn'!$B13),0)</f>
        <v>0</v>
      </c>
      <c r="Y13" s="2">
        <f ca="1">IFERROR(SUMIFS(INDIRECT("'Thanh Toán ("&amp;Y$3&amp;")'!$e:$e"),INDIRECT("'Thanh Toán ("&amp;Y$3&amp;")'!$B:$B"),'Tổng Đơn'!$B13),0)</f>
        <v>0</v>
      </c>
      <c r="Z13" s="2">
        <f ca="1">IFERROR(SUMIFS(INDIRECT("'Thanh Toán ("&amp;Z$3&amp;")'!$e:$e"),INDIRECT("'Thanh Toán ("&amp;Z$3&amp;")'!$B:$B"),'Tổng Đơn'!$B13),0)</f>
        <v>0</v>
      </c>
      <c r="AA13" s="2">
        <f ca="1">IFERROR(SUMIFS(INDIRECT("'Thanh Toán ("&amp;AA$3&amp;")'!$e:$e"),INDIRECT("'Thanh Toán ("&amp;AA$3&amp;")'!$B:$B"),'Tổng Đơn'!$B13),0)</f>
        <v>0</v>
      </c>
      <c r="AB13" s="2">
        <f ca="1">IFERROR(SUMIFS(INDIRECT("'Thanh Toán ("&amp;AB$3&amp;")'!$e:$e"),INDIRECT("'Thanh Toán ("&amp;AB$3&amp;")'!$B:$B"),'Tổng Đơn'!$B13),0)</f>
        <v>0</v>
      </c>
      <c r="AC13" s="2">
        <f ca="1">IFERROR(SUMIFS(INDIRECT("'Thanh Toán ("&amp;AC$3&amp;")'!$e:$e"),INDIRECT("'Thanh Toán ("&amp;AC$3&amp;")'!$B:$B"),'Tổng Đơn'!$B13),0)</f>
        <v>0</v>
      </c>
      <c r="AD13" s="2">
        <f ca="1">IFERROR(SUMIFS(INDIRECT("'Thanh Toán ("&amp;AD$3&amp;")'!$e:$e"),INDIRECT("'Thanh Toán ("&amp;AD$3&amp;")'!$B:$B"),'Tổng Đơn'!$B13),0)</f>
        <v>0</v>
      </c>
      <c r="AE13" s="2">
        <f ca="1">IFERROR(SUMIFS(INDIRECT("'Thanh Toán ("&amp;AE$3&amp;")'!$e:$e"),INDIRECT("'Thanh Toán ("&amp;AE$3&amp;")'!$B:$B"),'Tổng Đơn'!$B13),0)</f>
        <v>0</v>
      </c>
      <c r="AF13" s="2">
        <f ca="1">IFERROR(SUMIFS(INDIRECT("'Thanh Toán ("&amp;AF$3&amp;")'!$e:$e"),INDIRECT("'Thanh Toán ("&amp;AF$3&amp;")'!$B:$B"),'Tổng Đơn'!$B13),0)</f>
        <v>0</v>
      </c>
      <c r="AG13" s="2">
        <f ca="1">IFERROR(SUMIFS(INDIRECT("'Thanh Toán ("&amp;AG$3&amp;")'!$e:$e"),INDIRECT("'Thanh Toán ("&amp;AG$3&amp;")'!$B:$B"),'Tổng Đơn'!$B13),0)</f>
        <v>0</v>
      </c>
      <c r="AH13" s="2">
        <f ca="1">IFERROR(SUMIFS(INDIRECT("'Thanh Toán ("&amp;AH$3&amp;")'!$e:$e"),INDIRECT("'Thanh Toán ("&amp;AH$3&amp;")'!$B:$B"),'Tổng Đơn'!$B13),0)</f>
        <v>0</v>
      </c>
      <c r="AI13" s="2">
        <f ca="1">IFERROR(SUMIFS(INDIRECT("'Thanh Toán ("&amp;AI$3&amp;")'!$e:$e"),INDIRECT("'Thanh Toán ("&amp;AI$3&amp;")'!$B:$B"),'Tổng Đơn'!$B13),0)</f>
        <v>0</v>
      </c>
      <c r="AJ13" s="2">
        <f ca="1">IFERROR(SUMIFS(INDIRECT("'Thanh Toán ("&amp;AJ$3&amp;")'!$e:$e"),INDIRECT("'Thanh Toán ("&amp;AJ$3&amp;")'!$B:$B"),'Tổng Đơn'!$B13),0)</f>
        <v>0</v>
      </c>
      <c r="AK13" s="2">
        <f ca="1">IFERROR(SUMIFS(INDIRECT("'Thanh Toán ("&amp;AK$3&amp;")'!$e:$e"),INDIRECT("'Thanh Toán ("&amp;AK$3&amp;")'!$B:$B"),'Tổng Đơn'!$B13),0)</f>
        <v>0</v>
      </c>
      <c r="AL13" s="2">
        <f ca="1">IFERROR(SUMIFS(INDIRECT("'Thanh Toán ("&amp;AL$3&amp;")'!$e:$e"),INDIRECT("'Thanh Toán ("&amp;AL$3&amp;")'!$B:$B"),'Tổng Đơn'!$B13),0)</f>
        <v>0</v>
      </c>
      <c r="AM13" s="2">
        <f ca="1">IFERROR(SUMIFS(INDIRECT("'Thanh Toán ("&amp;AM$3&amp;")'!$e:$e"),INDIRECT("'Thanh Toán ("&amp;AM$3&amp;")'!$B:$B"),'Tổng Đơn'!$B13),0)</f>
        <v>0</v>
      </c>
      <c r="AN13" s="2">
        <f ca="1">IFERROR(SUMIFS(INDIRECT("'Thanh Toán ("&amp;AN$3&amp;")'!$e:$e"),INDIRECT("'Thanh Toán ("&amp;AN$3&amp;")'!$B:$B"),'Tổng Đơn'!$B13),0)</f>
        <v>0</v>
      </c>
      <c r="AO13" s="2">
        <f ca="1">IFERROR(SUMIFS(INDIRECT("'Thanh Toán ("&amp;AO$3&amp;")'!$e:$e"),INDIRECT("'Thanh Toán ("&amp;AO$3&amp;")'!$B:$B"),'Tổng Đơn'!$B13),0)</f>
        <v>0</v>
      </c>
    </row>
    <row r="14" spans="1:41" x14ac:dyDescent="0.25">
      <c r="A14" s="23">
        <v>10</v>
      </c>
      <c r="B14" s="44" t="s">
        <v>6</v>
      </c>
      <c r="C14" s="23" t="s">
        <v>70</v>
      </c>
      <c r="D14" s="45">
        <f>VLOOKUP($C14,Sheet1!$C$3:$D$52,2,0)</f>
        <v>50000</v>
      </c>
      <c r="E14" s="63">
        <v>0.5</v>
      </c>
      <c r="F14" s="61">
        <f t="shared" ca="1" si="1"/>
        <v>0</v>
      </c>
      <c r="G14" s="61">
        <v>43.966292134831463</v>
      </c>
      <c r="H14" s="61">
        <f t="shared" ca="1" si="2"/>
        <v>0</v>
      </c>
      <c r="I14" s="61"/>
      <c r="J14" s="61">
        <f t="shared" ca="1" si="3"/>
        <v>0</v>
      </c>
      <c r="K14" s="61"/>
      <c r="L14" s="2">
        <f ca="1">IFERROR(SUMIFS(INDIRECT("'Thanh Toán ("&amp;L$3&amp;")'!$e:$e"),INDIRECT("'Thanh Toán ("&amp;L$3&amp;")'!$B:$B"),'Tổng Đơn'!$B14),0)</f>
        <v>0</v>
      </c>
      <c r="M14" s="2">
        <f ca="1">IFERROR(SUMIFS(INDIRECT("'Thanh Toán ("&amp;M$3&amp;")'!$e:$e"),INDIRECT("'Thanh Toán ("&amp;M$3&amp;")'!$B:$B"),'Tổng Đơn'!$B14),0)</f>
        <v>0</v>
      </c>
      <c r="N14" s="2">
        <f ca="1">IFERROR(SUMIFS(INDIRECT("'Thanh Toán ("&amp;N$3&amp;")'!$e:$e"),INDIRECT("'Thanh Toán ("&amp;N$3&amp;")'!$B:$B"),'Tổng Đơn'!$B14),0)</f>
        <v>0</v>
      </c>
      <c r="O14" s="2">
        <f ca="1">IFERROR(SUMIFS(INDIRECT("'Thanh Toán ("&amp;O$3&amp;")'!$e:$e"),INDIRECT("'Thanh Toán ("&amp;O$3&amp;")'!$B:$B"),'Tổng Đơn'!$B14),0)</f>
        <v>0</v>
      </c>
      <c r="P14" s="2">
        <f ca="1">IFERROR(SUMIFS(INDIRECT("'Thanh Toán ("&amp;P$3&amp;")'!$e:$e"),INDIRECT("'Thanh Toán ("&amp;P$3&amp;")'!$B:$B"),'Tổng Đơn'!$B14),0)</f>
        <v>0</v>
      </c>
      <c r="Q14" s="2">
        <f ca="1">IFERROR(SUMIFS(INDIRECT("'Thanh Toán ("&amp;Q$3&amp;")'!$e:$e"),INDIRECT("'Thanh Toán ("&amp;Q$3&amp;")'!$B:$B"),'Tổng Đơn'!$B14),0)</f>
        <v>0</v>
      </c>
      <c r="R14" s="2">
        <f ca="1">IFERROR(SUMIFS(INDIRECT("'Thanh Toán ("&amp;R$3&amp;")'!$e:$e"),INDIRECT("'Thanh Toán ("&amp;R$3&amp;")'!$B:$B"),'Tổng Đơn'!$B14),0)</f>
        <v>0</v>
      </c>
      <c r="S14" s="2">
        <f ca="1">IFERROR(SUMIFS(INDIRECT("'Thanh Toán ("&amp;S$3&amp;")'!$e:$e"),INDIRECT("'Thanh Toán ("&amp;S$3&amp;")'!$B:$B"),'Tổng Đơn'!$B14),0)</f>
        <v>0</v>
      </c>
      <c r="T14" s="2">
        <f ca="1">IFERROR(SUMIFS(INDIRECT("'Thanh Toán ("&amp;T$3&amp;")'!$e:$e"),INDIRECT("'Thanh Toán ("&amp;T$3&amp;")'!$B:$B"),'Tổng Đơn'!$B14),0)</f>
        <v>0</v>
      </c>
      <c r="U14" s="2">
        <f ca="1">IFERROR(SUMIFS(INDIRECT("'Thanh Toán ("&amp;U$3&amp;")'!$e:$e"),INDIRECT("'Thanh Toán ("&amp;U$3&amp;")'!$B:$B"),'Tổng Đơn'!$B14),0)</f>
        <v>0</v>
      </c>
      <c r="V14" s="2">
        <f ca="1">IFERROR(SUMIFS(INDIRECT("'Thanh Toán ("&amp;V$3&amp;")'!$e:$e"),INDIRECT("'Thanh Toán ("&amp;V$3&amp;")'!$B:$B"),'Tổng Đơn'!$B14),0)</f>
        <v>0</v>
      </c>
      <c r="W14" s="2">
        <f ca="1">IFERROR(SUMIFS(INDIRECT("'Thanh Toán ("&amp;W$3&amp;")'!$e:$e"),INDIRECT("'Thanh Toán ("&amp;W$3&amp;")'!$B:$B"),'Tổng Đơn'!$B14),0)</f>
        <v>0</v>
      </c>
      <c r="X14" s="2">
        <f ca="1">IFERROR(SUMIFS(INDIRECT("'Thanh Toán ("&amp;X$3&amp;")'!$e:$e"),INDIRECT("'Thanh Toán ("&amp;X$3&amp;")'!$B:$B"),'Tổng Đơn'!$B14),0)</f>
        <v>0</v>
      </c>
      <c r="Y14" s="2">
        <f ca="1">IFERROR(SUMIFS(INDIRECT("'Thanh Toán ("&amp;Y$3&amp;")'!$e:$e"),INDIRECT("'Thanh Toán ("&amp;Y$3&amp;")'!$B:$B"),'Tổng Đơn'!$B14),0)</f>
        <v>0</v>
      </c>
      <c r="Z14" s="2">
        <f ca="1">IFERROR(SUMIFS(INDIRECT("'Thanh Toán ("&amp;Z$3&amp;")'!$e:$e"),INDIRECT("'Thanh Toán ("&amp;Z$3&amp;")'!$B:$B"),'Tổng Đơn'!$B14),0)</f>
        <v>0</v>
      </c>
      <c r="AA14" s="2">
        <f ca="1">IFERROR(SUMIFS(INDIRECT("'Thanh Toán ("&amp;AA$3&amp;")'!$e:$e"),INDIRECT("'Thanh Toán ("&amp;AA$3&amp;")'!$B:$B"),'Tổng Đơn'!$B14),0)</f>
        <v>0</v>
      </c>
      <c r="AB14" s="2">
        <f ca="1">IFERROR(SUMIFS(INDIRECT("'Thanh Toán ("&amp;AB$3&amp;")'!$e:$e"),INDIRECT("'Thanh Toán ("&amp;AB$3&amp;")'!$B:$B"),'Tổng Đơn'!$B14),0)</f>
        <v>0</v>
      </c>
      <c r="AC14" s="2">
        <f ca="1">IFERROR(SUMIFS(INDIRECT("'Thanh Toán ("&amp;AC$3&amp;")'!$e:$e"),INDIRECT("'Thanh Toán ("&amp;AC$3&amp;")'!$B:$B"),'Tổng Đơn'!$B14),0)</f>
        <v>0</v>
      </c>
      <c r="AD14" s="2">
        <f ca="1">IFERROR(SUMIFS(INDIRECT("'Thanh Toán ("&amp;AD$3&amp;")'!$e:$e"),INDIRECT("'Thanh Toán ("&amp;AD$3&amp;")'!$B:$B"),'Tổng Đơn'!$B14),0)</f>
        <v>0</v>
      </c>
      <c r="AE14" s="2">
        <f ca="1">IFERROR(SUMIFS(INDIRECT("'Thanh Toán ("&amp;AE$3&amp;")'!$e:$e"),INDIRECT("'Thanh Toán ("&amp;AE$3&amp;")'!$B:$B"),'Tổng Đơn'!$B14),0)</f>
        <v>0</v>
      </c>
      <c r="AF14" s="2">
        <f ca="1">IFERROR(SUMIFS(INDIRECT("'Thanh Toán ("&amp;AF$3&amp;")'!$e:$e"),INDIRECT("'Thanh Toán ("&amp;AF$3&amp;")'!$B:$B"),'Tổng Đơn'!$B14),0)</f>
        <v>0</v>
      </c>
      <c r="AG14" s="2">
        <f ca="1">IFERROR(SUMIFS(INDIRECT("'Thanh Toán ("&amp;AG$3&amp;")'!$e:$e"),INDIRECT("'Thanh Toán ("&amp;AG$3&amp;")'!$B:$B"),'Tổng Đơn'!$B14),0)</f>
        <v>0</v>
      </c>
      <c r="AH14" s="2">
        <f ca="1">IFERROR(SUMIFS(INDIRECT("'Thanh Toán ("&amp;AH$3&amp;")'!$e:$e"),INDIRECT("'Thanh Toán ("&amp;AH$3&amp;")'!$B:$B"),'Tổng Đơn'!$B14),0)</f>
        <v>0</v>
      </c>
      <c r="AI14" s="2">
        <f ca="1">IFERROR(SUMIFS(INDIRECT("'Thanh Toán ("&amp;AI$3&amp;")'!$e:$e"),INDIRECT("'Thanh Toán ("&amp;AI$3&amp;")'!$B:$B"),'Tổng Đơn'!$B14),0)</f>
        <v>0</v>
      </c>
      <c r="AJ14" s="2">
        <f ca="1">IFERROR(SUMIFS(INDIRECT("'Thanh Toán ("&amp;AJ$3&amp;")'!$e:$e"),INDIRECT("'Thanh Toán ("&amp;AJ$3&amp;")'!$B:$B"),'Tổng Đơn'!$B14),0)</f>
        <v>0</v>
      </c>
      <c r="AK14" s="2">
        <f ca="1">IFERROR(SUMIFS(INDIRECT("'Thanh Toán ("&amp;AK$3&amp;")'!$e:$e"),INDIRECT("'Thanh Toán ("&amp;AK$3&amp;")'!$B:$B"),'Tổng Đơn'!$B14),0)</f>
        <v>0</v>
      </c>
      <c r="AL14" s="2">
        <f ca="1">IFERROR(SUMIFS(INDIRECT("'Thanh Toán ("&amp;AL$3&amp;")'!$e:$e"),INDIRECT("'Thanh Toán ("&amp;AL$3&amp;")'!$B:$B"),'Tổng Đơn'!$B14),0)</f>
        <v>0</v>
      </c>
      <c r="AM14" s="2">
        <f ca="1">IFERROR(SUMIFS(INDIRECT("'Thanh Toán ("&amp;AM$3&amp;")'!$e:$e"),INDIRECT("'Thanh Toán ("&amp;AM$3&amp;")'!$B:$B"),'Tổng Đơn'!$B14),0)</f>
        <v>0</v>
      </c>
      <c r="AN14" s="2">
        <f ca="1">IFERROR(SUMIFS(INDIRECT("'Thanh Toán ("&amp;AN$3&amp;")'!$e:$e"),INDIRECT("'Thanh Toán ("&amp;AN$3&amp;")'!$B:$B"),'Tổng Đơn'!$B14),0)</f>
        <v>0</v>
      </c>
      <c r="AO14" s="2">
        <f ca="1">IFERROR(SUMIFS(INDIRECT("'Thanh Toán ("&amp;AO$3&amp;")'!$e:$e"),INDIRECT("'Thanh Toán ("&amp;AO$3&amp;")'!$B:$B"),'Tổng Đơn'!$B14),0)</f>
        <v>0</v>
      </c>
    </row>
    <row r="15" spans="1:41" x14ac:dyDescent="0.25">
      <c r="A15" s="23">
        <v>11</v>
      </c>
      <c r="B15" s="44" t="s">
        <v>59</v>
      </c>
      <c r="C15" s="23" t="s">
        <v>71</v>
      </c>
      <c r="D15" s="45">
        <f>VLOOKUP($C15,Sheet1!$C$3:$D$52,2,0)</f>
        <v>45000</v>
      </c>
      <c r="E15" s="63">
        <v>0.5</v>
      </c>
      <c r="F15" s="61">
        <f t="shared" ca="1" si="1"/>
        <v>0</v>
      </c>
      <c r="G15" s="61">
        <v>40.987530426613141</v>
      </c>
      <c r="H15" s="61">
        <f t="shared" ca="1" si="2"/>
        <v>0</v>
      </c>
      <c r="I15" s="61"/>
      <c r="J15" s="61">
        <f t="shared" ca="1" si="3"/>
        <v>0</v>
      </c>
      <c r="K15" s="61"/>
      <c r="L15" s="2">
        <f ca="1">IFERROR(SUMIFS(INDIRECT("'Thanh Toán ("&amp;L$3&amp;")'!$e:$e"),INDIRECT("'Thanh Toán ("&amp;L$3&amp;")'!$B:$B"),'Tổng Đơn'!$B15),0)</f>
        <v>0</v>
      </c>
      <c r="M15" s="2">
        <f ca="1">IFERROR(SUMIFS(INDIRECT("'Thanh Toán ("&amp;M$3&amp;")'!$e:$e"),INDIRECT("'Thanh Toán ("&amp;M$3&amp;")'!$B:$B"),'Tổng Đơn'!$B15),0)</f>
        <v>0</v>
      </c>
      <c r="N15" s="2">
        <f ca="1">IFERROR(SUMIFS(INDIRECT("'Thanh Toán ("&amp;N$3&amp;")'!$e:$e"),INDIRECT("'Thanh Toán ("&amp;N$3&amp;")'!$B:$B"),'Tổng Đơn'!$B15),0)</f>
        <v>0</v>
      </c>
      <c r="O15" s="2">
        <f ca="1">IFERROR(SUMIFS(INDIRECT("'Thanh Toán ("&amp;O$3&amp;")'!$e:$e"),INDIRECT("'Thanh Toán ("&amp;O$3&amp;")'!$B:$B"),'Tổng Đơn'!$B15),0)</f>
        <v>0</v>
      </c>
      <c r="P15" s="2">
        <f ca="1">IFERROR(SUMIFS(INDIRECT("'Thanh Toán ("&amp;P$3&amp;")'!$e:$e"),INDIRECT("'Thanh Toán ("&amp;P$3&amp;")'!$B:$B"),'Tổng Đơn'!$B15),0)</f>
        <v>0</v>
      </c>
      <c r="Q15" s="2">
        <f ca="1">IFERROR(SUMIFS(INDIRECT("'Thanh Toán ("&amp;Q$3&amp;")'!$e:$e"),INDIRECT("'Thanh Toán ("&amp;Q$3&amp;")'!$B:$B"),'Tổng Đơn'!$B15),0)</f>
        <v>0</v>
      </c>
      <c r="R15" s="2">
        <f ca="1">IFERROR(SUMIFS(INDIRECT("'Thanh Toán ("&amp;R$3&amp;")'!$e:$e"),INDIRECT("'Thanh Toán ("&amp;R$3&amp;")'!$B:$B"),'Tổng Đơn'!$B15),0)</f>
        <v>0</v>
      </c>
      <c r="S15" s="2">
        <f ca="1">IFERROR(SUMIFS(INDIRECT("'Thanh Toán ("&amp;S$3&amp;")'!$e:$e"),INDIRECT("'Thanh Toán ("&amp;S$3&amp;")'!$B:$B"),'Tổng Đơn'!$B15),0)</f>
        <v>0</v>
      </c>
      <c r="T15" s="2">
        <f ca="1">IFERROR(SUMIFS(INDIRECT("'Thanh Toán ("&amp;T$3&amp;")'!$e:$e"),INDIRECT("'Thanh Toán ("&amp;T$3&amp;")'!$B:$B"),'Tổng Đơn'!$B15),0)</f>
        <v>0</v>
      </c>
      <c r="U15" s="2">
        <f ca="1">IFERROR(SUMIFS(INDIRECT("'Thanh Toán ("&amp;U$3&amp;")'!$e:$e"),INDIRECT("'Thanh Toán ("&amp;U$3&amp;")'!$B:$B"),'Tổng Đơn'!$B15),0)</f>
        <v>0</v>
      </c>
      <c r="V15" s="2">
        <f ca="1">IFERROR(SUMIFS(INDIRECT("'Thanh Toán ("&amp;V$3&amp;")'!$e:$e"),INDIRECT("'Thanh Toán ("&amp;V$3&amp;")'!$B:$B"),'Tổng Đơn'!$B15),0)</f>
        <v>0</v>
      </c>
      <c r="W15" s="2">
        <f ca="1">IFERROR(SUMIFS(INDIRECT("'Thanh Toán ("&amp;W$3&amp;")'!$e:$e"),INDIRECT("'Thanh Toán ("&amp;W$3&amp;")'!$B:$B"),'Tổng Đơn'!$B15),0)</f>
        <v>0</v>
      </c>
      <c r="X15" s="2">
        <f ca="1">IFERROR(SUMIFS(INDIRECT("'Thanh Toán ("&amp;X$3&amp;")'!$e:$e"),INDIRECT("'Thanh Toán ("&amp;X$3&amp;")'!$B:$B"),'Tổng Đơn'!$B15),0)</f>
        <v>0</v>
      </c>
      <c r="Y15" s="2">
        <f ca="1">IFERROR(SUMIFS(INDIRECT("'Thanh Toán ("&amp;Y$3&amp;")'!$e:$e"),INDIRECT("'Thanh Toán ("&amp;Y$3&amp;")'!$B:$B"),'Tổng Đơn'!$B15),0)</f>
        <v>0</v>
      </c>
      <c r="Z15" s="2">
        <f ca="1">IFERROR(SUMIFS(INDIRECT("'Thanh Toán ("&amp;Z$3&amp;")'!$e:$e"),INDIRECT("'Thanh Toán ("&amp;Z$3&amp;")'!$B:$B"),'Tổng Đơn'!$B15),0)</f>
        <v>0</v>
      </c>
      <c r="AA15" s="2">
        <f ca="1">IFERROR(SUMIFS(INDIRECT("'Thanh Toán ("&amp;AA$3&amp;")'!$e:$e"),INDIRECT("'Thanh Toán ("&amp;AA$3&amp;")'!$B:$B"),'Tổng Đơn'!$B15),0)</f>
        <v>0</v>
      </c>
      <c r="AB15" s="2">
        <f ca="1">IFERROR(SUMIFS(INDIRECT("'Thanh Toán ("&amp;AB$3&amp;")'!$e:$e"),INDIRECT("'Thanh Toán ("&amp;AB$3&amp;")'!$B:$B"),'Tổng Đơn'!$B15),0)</f>
        <v>0</v>
      </c>
      <c r="AC15" s="2">
        <f ca="1">IFERROR(SUMIFS(INDIRECT("'Thanh Toán ("&amp;AC$3&amp;")'!$e:$e"),INDIRECT("'Thanh Toán ("&amp;AC$3&amp;")'!$B:$B"),'Tổng Đơn'!$B15),0)</f>
        <v>0</v>
      </c>
      <c r="AD15" s="2">
        <f ca="1">IFERROR(SUMIFS(INDIRECT("'Thanh Toán ("&amp;AD$3&amp;")'!$e:$e"),INDIRECT("'Thanh Toán ("&amp;AD$3&amp;")'!$B:$B"),'Tổng Đơn'!$B15),0)</f>
        <v>0</v>
      </c>
      <c r="AE15" s="2">
        <f ca="1">IFERROR(SUMIFS(INDIRECT("'Thanh Toán ("&amp;AE$3&amp;")'!$e:$e"),INDIRECT("'Thanh Toán ("&amp;AE$3&amp;")'!$B:$B"),'Tổng Đơn'!$B15),0)</f>
        <v>0</v>
      </c>
      <c r="AF15" s="2">
        <f ca="1">IFERROR(SUMIFS(INDIRECT("'Thanh Toán ("&amp;AF$3&amp;")'!$e:$e"),INDIRECT("'Thanh Toán ("&amp;AF$3&amp;")'!$B:$B"),'Tổng Đơn'!$B15),0)</f>
        <v>0</v>
      </c>
      <c r="AG15" s="2">
        <f ca="1">IFERROR(SUMIFS(INDIRECT("'Thanh Toán ("&amp;AG$3&amp;")'!$e:$e"),INDIRECT("'Thanh Toán ("&amp;AG$3&amp;")'!$B:$B"),'Tổng Đơn'!$B15),0)</f>
        <v>0</v>
      </c>
      <c r="AH15" s="2">
        <f ca="1">IFERROR(SUMIFS(INDIRECT("'Thanh Toán ("&amp;AH$3&amp;")'!$e:$e"),INDIRECT("'Thanh Toán ("&amp;AH$3&amp;")'!$B:$B"),'Tổng Đơn'!$B15),0)</f>
        <v>0</v>
      </c>
      <c r="AI15" s="2">
        <f ca="1">IFERROR(SUMIFS(INDIRECT("'Thanh Toán ("&amp;AI$3&amp;")'!$e:$e"),INDIRECT("'Thanh Toán ("&amp;AI$3&amp;")'!$B:$B"),'Tổng Đơn'!$B15),0)</f>
        <v>0</v>
      </c>
      <c r="AJ15" s="2">
        <f ca="1">IFERROR(SUMIFS(INDIRECT("'Thanh Toán ("&amp;AJ$3&amp;")'!$e:$e"),INDIRECT("'Thanh Toán ("&amp;AJ$3&amp;")'!$B:$B"),'Tổng Đơn'!$B15),0)</f>
        <v>0</v>
      </c>
      <c r="AK15" s="2">
        <f ca="1">IFERROR(SUMIFS(INDIRECT("'Thanh Toán ("&amp;AK$3&amp;")'!$e:$e"),INDIRECT("'Thanh Toán ("&amp;AK$3&amp;")'!$B:$B"),'Tổng Đơn'!$B15),0)</f>
        <v>0</v>
      </c>
      <c r="AL15" s="2">
        <f ca="1">IFERROR(SUMIFS(INDIRECT("'Thanh Toán ("&amp;AL$3&amp;")'!$e:$e"),INDIRECT("'Thanh Toán ("&amp;AL$3&amp;")'!$B:$B"),'Tổng Đơn'!$B15),0)</f>
        <v>0</v>
      </c>
      <c r="AM15" s="2">
        <f ca="1">IFERROR(SUMIFS(INDIRECT("'Thanh Toán ("&amp;AM$3&amp;")'!$e:$e"),INDIRECT("'Thanh Toán ("&amp;AM$3&amp;")'!$B:$B"),'Tổng Đơn'!$B15),0)</f>
        <v>0</v>
      </c>
      <c r="AN15" s="2">
        <f ca="1">IFERROR(SUMIFS(INDIRECT("'Thanh Toán ("&amp;AN$3&amp;")'!$e:$e"),INDIRECT("'Thanh Toán ("&amp;AN$3&amp;")'!$B:$B"),'Tổng Đơn'!$B15),0)</f>
        <v>0</v>
      </c>
      <c r="AO15" s="2">
        <f ca="1">IFERROR(SUMIFS(INDIRECT("'Thanh Toán ("&amp;AO$3&amp;")'!$e:$e"),INDIRECT("'Thanh Toán ("&amp;AO$3&amp;")'!$B:$B"),'Tổng Đơn'!$B15),0)</f>
        <v>0</v>
      </c>
    </row>
    <row r="16" spans="1:41" ht="15.75" customHeight="1" x14ac:dyDescent="0.25">
      <c r="A16" s="23">
        <v>12</v>
      </c>
      <c r="B16" s="44" t="s">
        <v>36</v>
      </c>
      <c r="C16" s="23" t="s">
        <v>72</v>
      </c>
      <c r="D16" s="45">
        <f>VLOOKUP($C16,Sheet1!$C$3:$D$52,2,0)</f>
        <v>45000</v>
      </c>
      <c r="E16" s="63">
        <v>0.5</v>
      </c>
      <c r="F16" s="61">
        <f t="shared" ca="1" si="1"/>
        <v>0</v>
      </c>
      <c r="G16" s="61">
        <v>40.987530426613141</v>
      </c>
      <c r="H16" s="61">
        <f t="shared" ca="1" si="2"/>
        <v>0</v>
      </c>
      <c r="I16" s="61"/>
      <c r="J16" s="61">
        <f t="shared" ca="1" si="3"/>
        <v>0</v>
      </c>
      <c r="K16" s="61"/>
      <c r="L16" s="2">
        <f ca="1">IFERROR(SUMIFS(INDIRECT("'Thanh Toán ("&amp;L$3&amp;")'!$e:$e"),INDIRECT("'Thanh Toán ("&amp;L$3&amp;")'!$B:$B"),'Tổng Đơn'!$B16),0)</f>
        <v>0</v>
      </c>
      <c r="M16" s="2">
        <f ca="1">IFERROR(SUMIFS(INDIRECT("'Thanh Toán ("&amp;M$3&amp;")'!$e:$e"),INDIRECT("'Thanh Toán ("&amp;M$3&amp;")'!$B:$B"),'Tổng Đơn'!$B16),0)</f>
        <v>0</v>
      </c>
      <c r="N16" s="2">
        <f ca="1">IFERROR(SUMIFS(INDIRECT("'Thanh Toán ("&amp;N$3&amp;")'!$e:$e"),INDIRECT("'Thanh Toán ("&amp;N$3&amp;")'!$B:$B"),'Tổng Đơn'!$B16),0)</f>
        <v>0</v>
      </c>
      <c r="O16" s="2">
        <f ca="1">IFERROR(SUMIFS(INDIRECT("'Thanh Toán ("&amp;O$3&amp;")'!$e:$e"),INDIRECT("'Thanh Toán ("&amp;O$3&amp;")'!$B:$B"),'Tổng Đơn'!$B16),0)</f>
        <v>0</v>
      </c>
      <c r="P16" s="2">
        <f ca="1">IFERROR(SUMIFS(INDIRECT("'Thanh Toán ("&amp;P$3&amp;")'!$e:$e"),INDIRECT("'Thanh Toán ("&amp;P$3&amp;")'!$B:$B"),'Tổng Đơn'!$B16),0)</f>
        <v>0</v>
      </c>
      <c r="Q16" s="2">
        <f ca="1">IFERROR(SUMIFS(INDIRECT("'Thanh Toán ("&amp;Q$3&amp;")'!$e:$e"),INDIRECT("'Thanh Toán ("&amp;Q$3&amp;")'!$B:$B"),'Tổng Đơn'!$B16),0)</f>
        <v>0</v>
      </c>
      <c r="R16" s="2">
        <f ca="1">IFERROR(SUMIFS(INDIRECT("'Thanh Toán ("&amp;R$3&amp;")'!$e:$e"),INDIRECT("'Thanh Toán ("&amp;R$3&amp;")'!$B:$B"),'Tổng Đơn'!$B16),0)</f>
        <v>0</v>
      </c>
      <c r="S16" s="2">
        <f ca="1">IFERROR(SUMIFS(INDIRECT("'Thanh Toán ("&amp;S$3&amp;")'!$e:$e"),INDIRECT("'Thanh Toán ("&amp;S$3&amp;")'!$B:$B"),'Tổng Đơn'!$B16),0)</f>
        <v>0</v>
      </c>
      <c r="T16" s="2">
        <f ca="1">IFERROR(SUMIFS(INDIRECT("'Thanh Toán ("&amp;T$3&amp;")'!$e:$e"),INDIRECT("'Thanh Toán ("&amp;T$3&amp;")'!$B:$B"),'Tổng Đơn'!$B16),0)</f>
        <v>0</v>
      </c>
      <c r="U16" s="2">
        <f ca="1">IFERROR(SUMIFS(INDIRECT("'Thanh Toán ("&amp;U$3&amp;")'!$e:$e"),INDIRECT("'Thanh Toán ("&amp;U$3&amp;")'!$B:$B"),'Tổng Đơn'!$B16),0)</f>
        <v>0</v>
      </c>
      <c r="V16" s="2">
        <f ca="1">IFERROR(SUMIFS(INDIRECT("'Thanh Toán ("&amp;V$3&amp;")'!$e:$e"),INDIRECT("'Thanh Toán ("&amp;V$3&amp;")'!$B:$B"),'Tổng Đơn'!$B16),0)</f>
        <v>0</v>
      </c>
      <c r="W16" s="2">
        <f ca="1">IFERROR(SUMIFS(INDIRECT("'Thanh Toán ("&amp;W$3&amp;")'!$e:$e"),INDIRECT("'Thanh Toán ("&amp;W$3&amp;")'!$B:$B"),'Tổng Đơn'!$B16),0)</f>
        <v>0</v>
      </c>
      <c r="X16" s="2">
        <f ca="1">IFERROR(SUMIFS(INDIRECT("'Thanh Toán ("&amp;X$3&amp;")'!$e:$e"),INDIRECT("'Thanh Toán ("&amp;X$3&amp;")'!$B:$B"),'Tổng Đơn'!$B16),0)</f>
        <v>0</v>
      </c>
      <c r="Y16" s="2">
        <f ca="1">IFERROR(SUMIFS(INDIRECT("'Thanh Toán ("&amp;Y$3&amp;")'!$e:$e"),INDIRECT("'Thanh Toán ("&amp;Y$3&amp;")'!$B:$B"),'Tổng Đơn'!$B16),0)</f>
        <v>0</v>
      </c>
      <c r="Z16" s="2">
        <f ca="1">IFERROR(SUMIFS(INDIRECT("'Thanh Toán ("&amp;Z$3&amp;")'!$e:$e"),INDIRECT("'Thanh Toán ("&amp;Z$3&amp;")'!$B:$B"),'Tổng Đơn'!$B16),0)</f>
        <v>0</v>
      </c>
      <c r="AA16" s="2">
        <f ca="1">IFERROR(SUMIFS(INDIRECT("'Thanh Toán ("&amp;AA$3&amp;")'!$e:$e"),INDIRECT("'Thanh Toán ("&amp;AA$3&amp;")'!$B:$B"),'Tổng Đơn'!$B16),0)</f>
        <v>0</v>
      </c>
      <c r="AB16" s="2">
        <f ca="1">IFERROR(SUMIFS(INDIRECT("'Thanh Toán ("&amp;AB$3&amp;")'!$e:$e"),INDIRECT("'Thanh Toán ("&amp;AB$3&amp;")'!$B:$B"),'Tổng Đơn'!$B16),0)</f>
        <v>0</v>
      </c>
      <c r="AC16" s="2">
        <f ca="1">IFERROR(SUMIFS(INDIRECT("'Thanh Toán ("&amp;AC$3&amp;")'!$e:$e"),INDIRECT("'Thanh Toán ("&amp;AC$3&amp;")'!$B:$B"),'Tổng Đơn'!$B16),0)</f>
        <v>0</v>
      </c>
      <c r="AD16" s="2">
        <f ca="1">IFERROR(SUMIFS(INDIRECT("'Thanh Toán ("&amp;AD$3&amp;")'!$e:$e"),INDIRECT("'Thanh Toán ("&amp;AD$3&amp;")'!$B:$B"),'Tổng Đơn'!$B16),0)</f>
        <v>0</v>
      </c>
      <c r="AE16" s="2">
        <f ca="1">IFERROR(SUMIFS(INDIRECT("'Thanh Toán ("&amp;AE$3&amp;")'!$e:$e"),INDIRECT("'Thanh Toán ("&amp;AE$3&amp;")'!$B:$B"),'Tổng Đơn'!$B16),0)</f>
        <v>0</v>
      </c>
      <c r="AF16" s="2">
        <f ca="1">IFERROR(SUMIFS(INDIRECT("'Thanh Toán ("&amp;AF$3&amp;")'!$e:$e"),INDIRECT("'Thanh Toán ("&amp;AF$3&amp;")'!$B:$B"),'Tổng Đơn'!$B16),0)</f>
        <v>0</v>
      </c>
      <c r="AG16" s="2">
        <f ca="1">IFERROR(SUMIFS(INDIRECT("'Thanh Toán ("&amp;AG$3&amp;")'!$e:$e"),INDIRECT("'Thanh Toán ("&amp;AG$3&amp;")'!$B:$B"),'Tổng Đơn'!$B16),0)</f>
        <v>0</v>
      </c>
      <c r="AH16" s="2">
        <f ca="1">IFERROR(SUMIFS(INDIRECT("'Thanh Toán ("&amp;AH$3&amp;")'!$e:$e"),INDIRECT("'Thanh Toán ("&amp;AH$3&amp;")'!$B:$B"),'Tổng Đơn'!$B16),0)</f>
        <v>0</v>
      </c>
      <c r="AI16" s="2">
        <f ca="1">IFERROR(SUMIFS(INDIRECT("'Thanh Toán ("&amp;AI$3&amp;")'!$e:$e"),INDIRECT("'Thanh Toán ("&amp;AI$3&amp;")'!$B:$B"),'Tổng Đơn'!$B16),0)</f>
        <v>0</v>
      </c>
      <c r="AJ16" s="2">
        <f ca="1">IFERROR(SUMIFS(INDIRECT("'Thanh Toán ("&amp;AJ$3&amp;")'!$e:$e"),INDIRECT("'Thanh Toán ("&amp;AJ$3&amp;")'!$B:$B"),'Tổng Đơn'!$B16),0)</f>
        <v>0</v>
      </c>
      <c r="AK16" s="2">
        <f ca="1">IFERROR(SUMIFS(INDIRECT("'Thanh Toán ("&amp;AK$3&amp;")'!$e:$e"),INDIRECT("'Thanh Toán ("&amp;AK$3&amp;")'!$B:$B"),'Tổng Đơn'!$B16),0)</f>
        <v>0</v>
      </c>
      <c r="AL16" s="2">
        <f ca="1">IFERROR(SUMIFS(INDIRECT("'Thanh Toán ("&amp;AL$3&amp;")'!$e:$e"),INDIRECT("'Thanh Toán ("&amp;AL$3&amp;")'!$B:$B"),'Tổng Đơn'!$B16),0)</f>
        <v>0</v>
      </c>
      <c r="AM16" s="2">
        <f ca="1">IFERROR(SUMIFS(INDIRECT("'Thanh Toán ("&amp;AM$3&amp;")'!$e:$e"),INDIRECT("'Thanh Toán ("&amp;AM$3&amp;")'!$B:$B"),'Tổng Đơn'!$B16),0)</f>
        <v>0</v>
      </c>
      <c r="AN16" s="2">
        <f ca="1">IFERROR(SUMIFS(INDIRECT("'Thanh Toán ("&amp;AN$3&amp;")'!$e:$e"),INDIRECT("'Thanh Toán ("&amp;AN$3&amp;")'!$B:$B"),'Tổng Đơn'!$B16),0)</f>
        <v>0</v>
      </c>
      <c r="AO16" s="2">
        <f ca="1">IFERROR(SUMIFS(INDIRECT("'Thanh Toán ("&amp;AO$3&amp;")'!$e:$e"),INDIRECT("'Thanh Toán ("&amp;AO$3&amp;")'!$B:$B"),'Tổng Đơn'!$B16),0)</f>
        <v>0</v>
      </c>
    </row>
    <row r="17" spans="1:41" ht="15.75" customHeight="1" x14ac:dyDescent="0.25">
      <c r="A17" s="23">
        <v>13</v>
      </c>
      <c r="B17" s="44" t="s">
        <v>33</v>
      </c>
      <c r="C17" s="23" t="s">
        <v>73</v>
      </c>
      <c r="D17" s="45">
        <f>VLOOKUP($C17,Sheet1!$C$3:$D$52,2,0)</f>
        <v>45000</v>
      </c>
      <c r="E17" s="63">
        <v>0.5</v>
      </c>
      <c r="F17" s="61">
        <f t="shared" ca="1" si="1"/>
        <v>0</v>
      </c>
      <c r="G17" s="61">
        <v>40.987530426613141</v>
      </c>
      <c r="H17" s="61">
        <f t="shared" ca="1" si="2"/>
        <v>0</v>
      </c>
      <c r="I17" s="61"/>
      <c r="J17" s="61">
        <f t="shared" ca="1" si="3"/>
        <v>0</v>
      </c>
      <c r="K17" s="61"/>
      <c r="L17" s="2">
        <f ca="1">IFERROR(SUMIFS(INDIRECT("'Thanh Toán ("&amp;L$3&amp;")'!$e:$e"),INDIRECT("'Thanh Toán ("&amp;L$3&amp;")'!$B:$B"),'Tổng Đơn'!$B17),0)</f>
        <v>0</v>
      </c>
      <c r="M17" s="2">
        <f ca="1">IFERROR(SUMIFS(INDIRECT("'Thanh Toán ("&amp;M$3&amp;")'!$e:$e"),INDIRECT("'Thanh Toán ("&amp;M$3&amp;")'!$B:$B"),'Tổng Đơn'!$B17),0)</f>
        <v>0</v>
      </c>
      <c r="N17" s="2">
        <f ca="1">IFERROR(SUMIFS(INDIRECT("'Thanh Toán ("&amp;N$3&amp;")'!$e:$e"),INDIRECT("'Thanh Toán ("&amp;N$3&amp;")'!$B:$B"),'Tổng Đơn'!$B17),0)</f>
        <v>0</v>
      </c>
      <c r="O17" s="2">
        <f ca="1">IFERROR(SUMIFS(INDIRECT("'Thanh Toán ("&amp;O$3&amp;")'!$e:$e"),INDIRECT("'Thanh Toán ("&amp;O$3&amp;")'!$B:$B"),'Tổng Đơn'!$B17),0)</f>
        <v>0</v>
      </c>
      <c r="P17" s="2">
        <f ca="1">IFERROR(SUMIFS(INDIRECT("'Thanh Toán ("&amp;P$3&amp;")'!$e:$e"),INDIRECT("'Thanh Toán ("&amp;P$3&amp;")'!$B:$B"),'Tổng Đơn'!$B17),0)</f>
        <v>0</v>
      </c>
      <c r="Q17" s="2">
        <f ca="1">IFERROR(SUMIFS(INDIRECT("'Thanh Toán ("&amp;Q$3&amp;")'!$e:$e"),INDIRECT("'Thanh Toán ("&amp;Q$3&amp;")'!$B:$B"),'Tổng Đơn'!$B17),0)</f>
        <v>0</v>
      </c>
      <c r="R17" s="2">
        <f ca="1">IFERROR(SUMIFS(INDIRECT("'Thanh Toán ("&amp;R$3&amp;")'!$e:$e"),INDIRECT("'Thanh Toán ("&amp;R$3&amp;")'!$B:$B"),'Tổng Đơn'!$B17),0)</f>
        <v>0</v>
      </c>
      <c r="S17" s="2">
        <f ca="1">IFERROR(SUMIFS(INDIRECT("'Thanh Toán ("&amp;S$3&amp;")'!$e:$e"),INDIRECT("'Thanh Toán ("&amp;S$3&amp;")'!$B:$B"),'Tổng Đơn'!$B17),0)</f>
        <v>0</v>
      </c>
      <c r="T17" s="2">
        <f ca="1">IFERROR(SUMIFS(INDIRECT("'Thanh Toán ("&amp;T$3&amp;")'!$e:$e"),INDIRECT("'Thanh Toán ("&amp;T$3&amp;")'!$B:$B"),'Tổng Đơn'!$B17),0)</f>
        <v>0</v>
      </c>
      <c r="U17" s="2">
        <f ca="1">IFERROR(SUMIFS(INDIRECT("'Thanh Toán ("&amp;U$3&amp;")'!$e:$e"),INDIRECT("'Thanh Toán ("&amp;U$3&amp;")'!$B:$B"),'Tổng Đơn'!$B17),0)</f>
        <v>0</v>
      </c>
      <c r="V17" s="2">
        <f ca="1">IFERROR(SUMIFS(INDIRECT("'Thanh Toán ("&amp;V$3&amp;")'!$e:$e"),INDIRECT("'Thanh Toán ("&amp;V$3&amp;")'!$B:$B"),'Tổng Đơn'!$B17),0)</f>
        <v>0</v>
      </c>
      <c r="W17" s="2">
        <f ca="1">IFERROR(SUMIFS(INDIRECT("'Thanh Toán ("&amp;W$3&amp;")'!$e:$e"),INDIRECT("'Thanh Toán ("&amp;W$3&amp;")'!$B:$B"),'Tổng Đơn'!$B17),0)</f>
        <v>0</v>
      </c>
      <c r="X17" s="2">
        <f ca="1">IFERROR(SUMIFS(INDIRECT("'Thanh Toán ("&amp;X$3&amp;")'!$e:$e"),INDIRECT("'Thanh Toán ("&amp;X$3&amp;")'!$B:$B"),'Tổng Đơn'!$B17),0)</f>
        <v>0</v>
      </c>
      <c r="Y17" s="2">
        <f ca="1">IFERROR(SUMIFS(INDIRECT("'Thanh Toán ("&amp;Y$3&amp;")'!$e:$e"),INDIRECT("'Thanh Toán ("&amp;Y$3&amp;")'!$B:$B"),'Tổng Đơn'!$B17),0)</f>
        <v>0</v>
      </c>
      <c r="Z17" s="2">
        <f ca="1">IFERROR(SUMIFS(INDIRECT("'Thanh Toán ("&amp;Z$3&amp;")'!$e:$e"),INDIRECT("'Thanh Toán ("&amp;Z$3&amp;")'!$B:$B"),'Tổng Đơn'!$B17),0)</f>
        <v>0</v>
      </c>
      <c r="AA17" s="2">
        <f ca="1">IFERROR(SUMIFS(INDIRECT("'Thanh Toán ("&amp;AA$3&amp;")'!$e:$e"),INDIRECT("'Thanh Toán ("&amp;AA$3&amp;")'!$B:$B"),'Tổng Đơn'!$B17),0)</f>
        <v>0</v>
      </c>
      <c r="AB17" s="2">
        <f ca="1">IFERROR(SUMIFS(INDIRECT("'Thanh Toán ("&amp;AB$3&amp;")'!$e:$e"),INDIRECT("'Thanh Toán ("&amp;AB$3&amp;")'!$B:$B"),'Tổng Đơn'!$B17),0)</f>
        <v>0</v>
      </c>
      <c r="AC17" s="2">
        <f ca="1">IFERROR(SUMIFS(INDIRECT("'Thanh Toán ("&amp;AC$3&amp;")'!$e:$e"),INDIRECT("'Thanh Toán ("&amp;AC$3&amp;")'!$B:$B"),'Tổng Đơn'!$B17),0)</f>
        <v>0</v>
      </c>
      <c r="AD17" s="2">
        <f ca="1">IFERROR(SUMIFS(INDIRECT("'Thanh Toán ("&amp;AD$3&amp;")'!$e:$e"),INDIRECT("'Thanh Toán ("&amp;AD$3&amp;")'!$B:$B"),'Tổng Đơn'!$B17),0)</f>
        <v>0</v>
      </c>
      <c r="AE17" s="2">
        <f ca="1">IFERROR(SUMIFS(INDIRECT("'Thanh Toán ("&amp;AE$3&amp;")'!$e:$e"),INDIRECT("'Thanh Toán ("&amp;AE$3&amp;")'!$B:$B"),'Tổng Đơn'!$B17),0)</f>
        <v>0</v>
      </c>
      <c r="AF17" s="2">
        <f ca="1">IFERROR(SUMIFS(INDIRECT("'Thanh Toán ("&amp;AF$3&amp;")'!$e:$e"),INDIRECT("'Thanh Toán ("&amp;AF$3&amp;")'!$B:$B"),'Tổng Đơn'!$B17),0)</f>
        <v>0</v>
      </c>
      <c r="AG17" s="2">
        <f ca="1">IFERROR(SUMIFS(INDIRECT("'Thanh Toán ("&amp;AG$3&amp;")'!$e:$e"),INDIRECT("'Thanh Toán ("&amp;AG$3&amp;")'!$B:$B"),'Tổng Đơn'!$B17),0)</f>
        <v>0</v>
      </c>
      <c r="AH17" s="2">
        <f ca="1">IFERROR(SUMIFS(INDIRECT("'Thanh Toán ("&amp;AH$3&amp;")'!$e:$e"),INDIRECT("'Thanh Toán ("&amp;AH$3&amp;")'!$B:$B"),'Tổng Đơn'!$B17),0)</f>
        <v>0</v>
      </c>
      <c r="AI17" s="2">
        <f ca="1">IFERROR(SUMIFS(INDIRECT("'Thanh Toán ("&amp;AI$3&amp;")'!$e:$e"),INDIRECT("'Thanh Toán ("&amp;AI$3&amp;")'!$B:$B"),'Tổng Đơn'!$B17),0)</f>
        <v>0</v>
      </c>
      <c r="AJ17" s="2">
        <f ca="1">IFERROR(SUMIFS(INDIRECT("'Thanh Toán ("&amp;AJ$3&amp;")'!$e:$e"),INDIRECT("'Thanh Toán ("&amp;AJ$3&amp;")'!$B:$B"),'Tổng Đơn'!$B17),0)</f>
        <v>0</v>
      </c>
      <c r="AK17" s="2">
        <f ca="1">IFERROR(SUMIFS(INDIRECT("'Thanh Toán ("&amp;AK$3&amp;")'!$e:$e"),INDIRECT("'Thanh Toán ("&amp;AK$3&amp;")'!$B:$B"),'Tổng Đơn'!$B17),0)</f>
        <v>0</v>
      </c>
      <c r="AL17" s="2">
        <f ca="1">IFERROR(SUMIFS(INDIRECT("'Thanh Toán ("&amp;AL$3&amp;")'!$e:$e"),INDIRECT("'Thanh Toán ("&amp;AL$3&amp;")'!$B:$B"),'Tổng Đơn'!$B17),0)</f>
        <v>0</v>
      </c>
      <c r="AM17" s="2">
        <f ca="1">IFERROR(SUMIFS(INDIRECT("'Thanh Toán ("&amp;AM$3&amp;")'!$e:$e"),INDIRECT("'Thanh Toán ("&amp;AM$3&amp;")'!$B:$B"),'Tổng Đơn'!$B17),0)</f>
        <v>0</v>
      </c>
      <c r="AN17" s="2">
        <f ca="1">IFERROR(SUMIFS(INDIRECT("'Thanh Toán ("&amp;AN$3&amp;")'!$e:$e"),INDIRECT("'Thanh Toán ("&amp;AN$3&amp;")'!$B:$B"),'Tổng Đơn'!$B17),0)</f>
        <v>0</v>
      </c>
      <c r="AO17" s="2">
        <f ca="1">IFERROR(SUMIFS(INDIRECT("'Thanh Toán ("&amp;AO$3&amp;")'!$e:$e"),INDIRECT("'Thanh Toán ("&amp;AO$3&amp;")'!$B:$B"),'Tổng Đơn'!$B17),0)</f>
        <v>0</v>
      </c>
    </row>
    <row r="18" spans="1:41" ht="15.75" customHeight="1" x14ac:dyDescent="0.25">
      <c r="A18" s="23">
        <v>14</v>
      </c>
      <c r="B18" s="44" t="s">
        <v>35</v>
      </c>
      <c r="C18" s="23" t="s">
        <v>74</v>
      </c>
      <c r="D18" s="45">
        <f>VLOOKUP($C18,Sheet1!$C$3:$D$52,2,0)</f>
        <v>45000</v>
      </c>
      <c r="E18" s="63">
        <v>0.5</v>
      </c>
      <c r="F18" s="61">
        <f t="shared" ca="1" si="1"/>
        <v>0</v>
      </c>
      <c r="G18" s="61">
        <v>40.987530426613141</v>
      </c>
      <c r="H18" s="61">
        <f t="shared" ca="1" si="2"/>
        <v>0</v>
      </c>
      <c r="I18" s="61"/>
      <c r="J18" s="61">
        <f t="shared" ca="1" si="3"/>
        <v>0</v>
      </c>
      <c r="K18" s="61"/>
      <c r="L18" s="2">
        <f ca="1">IFERROR(SUMIFS(INDIRECT("'Thanh Toán ("&amp;L$3&amp;")'!$e:$e"),INDIRECT("'Thanh Toán ("&amp;L$3&amp;")'!$B:$B"),'Tổng Đơn'!$B18),0)</f>
        <v>0</v>
      </c>
      <c r="M18" s="2">
        <f ca="1">IFERROR(SUMIFS(INDIRECT("'Thanh Toán ("&amp;M$3&amp;")'!$e:$e"),INDIRECT("'Thanh Toán ("&amp;M$3&amp;")'!$B:$B"),'Tổng Đơn'!$B18),0)</f>
        <v>0</v>
      </c>
      <c r="N18" s="2">
        <f ca="1">IFERROR(SUMIFS(INDIRECT("'Thanh Toán ("&amp;N$3&amp;")'!$e:$e"),INDIRECT("'Thanh Toán ("&amp;N$3&amp;")'!$B:$B"),'Tổng Đơn'!$B18),0)</f>
        <v>0</v>
      </c>
      <c r="O18" s="2">
        <f ca="1">IFERROR(SUMIFS(INDIRECT("'Thanh Toán ("&amp;O$3&amp;")'!$e:$e"),INDIRECT("'Thanh Toán ("&amp;O$3&amp;")'!$B:$B"),'Tổng Đơn'!$B18),0)</f>
        <v>0</v>
      </c>
      <c r="P18" s="2">
        <f ca="1">IFERROR(SUMIFS(INDIRECT("'Thanh Toán ("&amp;P$3&amp;")'!$e:$e"),INDIRECT("'Thanh Toán ("&amp;P$3&amp;")'!$B:$B"),'Tổng Đơn'!$B18),0)</f>
        <v>0</v>
      </c>
      <c r="Q18" s="2">
        <f ca="1">IFERROR(SUMIFS(INDIRECT("'Thanh Toán ("&amp;Q$3&amp;")'!$e:$e"),INDIRECT("'Thanh Toán ("&amp;Q$3&amp;")'!$B:$B"),'Tổng Đơn'!$B18),0)</f>
        <v>0</v>
      </c>
      <c r="R18" s="2">
        <f ca="1">IFERROR(SUMIFS(INDIRECT("'Thanh Toán ("&amp;R$3&amp;")'!$e:$e"),INDIRECT("'Thanh Toán ("&amp;R$3&amp;")'!$B:$B"),'Tổng Đơn'!$B18),0)</f>
        <v>0</v>
      </c>
      <c r="S18" s="2">
        <f ca="1">IFERROR(SUMIFS(INDIRECT("'Thanh Toán ("&amp;S$3&amp;")'!$e:$e"),INDIRECT("'Thanh Toán ("&amp;S$3&amp;")'!$B:$B"),'Tổng Đơn'!$B18),0)</f>
        <v>0</v>
      </c>
      <c r="T18" s="2">
        <f ca="1">IFERROR(SUMIFS(INDIRECT("'Thanh Toán ("&amp;T$3&amp;")'!$e:$e"),INDIRECT("'Thanh Toán ("&amp;T$3&amp;")'!$B:$B"),'Tổng Đơn'!$B18),0)</f>
        <v>0</v>
      </c>
      <c r="U18" s="2">
        <f ca="1">IFERROR(SUMIFS(INDIRECT("'Thanh Toán ("&amp;U$3&amp;")'!$e:$e"),INDIRECT("'Thanh Toán ("&amp;U$3&amp;")'!$B:$B"),'Tổng Đơn'!$B18),0)</f>
        <v>0</v>
      </c>
      <c r="V18" s="2">
        <f ca="1">IFERROR(SUMIFS(INDIRECT("'Thanh Toán ("&amp;V$3&amp;")'!$e:$e"),INDIRECT("'Thanh Toán ("&amp;V$3&amp;")'!$B:$B"),'Tổng Đơn'!$B18),0)</f>
        <v>0</v>
      </c>
      <c r="W18" s="2">
        <f ca="1">IFERROR(SUMIFS(INDIRECT("'Thanh Toán ("&amp;W$3&amp;")'!$e:$e"),INDIRECT("'Thanh Toán ("&amp;W$3&amp;")'!$B:$B"),'Tổng Đơn'!$B18),0)</f>
        <v>0</v>
      </c>
      <c r="X18" s="2">
        <f ca="1">IFERROR(SUMIFS(INDIRECT("'Thanh Toán ("&amp;X$3&amp;")'!$e:$e"),INDIRECT("'Thanh Toán ("&amp;X$3&amp;")'!$B:$B"),'Tổng Đơn'!$B18),0)</f>
        <v>0</v>
      </c>
      <c r="Y18" s="2">
        <f ca="1">IFERROR(SUMIFS(INDIRECT("'Thanh Toán ("&amp;Y$3&amp;")'!$e:$e"),INDIRECT("'Thanh Toán ("&amp;Y$3&amp;")'!$B:$B"),'Tổng Đơn'!$B18),0)</f>
        <v>0</v>
      </c>
      <c r="Z18" s="2">
        <f ca="1">IFERROR(SUMIFS(INDIRECT("'Thanh Toán ("&amp;Z$3&amp;")'!$e:$e"),INDIRECT("'Thanh Toán ("&amp;Z$3&amp;")'!$B:$B"),'Tổng Đơn'!$B18),0)</f>
        <v>0</v>
      </c>
      <c r="AA18" s="2">
        <f ca="1">IFERROR(SUMIFS(INDIRECT("'Thanh Toán ("&amp;AA$3&amp;")'!$e:$e"),INDIRECT("'Thanh Toán ("&amp;AA$3&amp;")'!$B:$B"),'Tổng Đơn'!$B18),0)</f>
        <v>0</v>
      </c>
      <c r="AB18" s="2">
        <f ca="1">IFERROR(SUMIFS(INDIRECT("'Thanh Toán ("&amp;AB$3&amp;")'!$e:$e"),INDIRECT("'Thanh Toán ("&amp;AB$3&amp;")'!$B:$B"),'Tổng Đơn'!$B18),0)</f>
        <v>0</v>
      </c>
      <c r="AC18" s="2">
        <f ca="1">IFERROR(SUMIFS(INDIRECT("'Thanh Toán ("&amp;AC$3&amp;")'!$e:$e"),INDIRECT("'Thanh Toán ("&amp;AC$3&amp;")'!$B:$B"),'Tổng Đơn'!$B18),0)</f>
        <v>0</v>
      </c>
      <c r="AD18" s="2">
        <f ca="1">IFERROR(SUMIFS(INDIRECT("'Thanh Toán ("&amp;AD$3&amp;")'!$e:$e"),INDIRECT("'Thanh Toán ("&amp;AD$3&amp;")'!$B:$B"),'Tổng Đơn'!$B18),0)</f>
        <v>0</v>
      </c>
      <c r="AE18" s="2">
        <f ca="1">IFERROR(SUMIFS(INDIRECT("'Thanh Toán ("&amp;AE$3&amp;")'!$e:$e"),INDIRECT("'Thanh Toán ("&amp;AE$3&amp;")'!$B:$B"),'Tổng Đơn'!$B18),0)</f>
        <v>0</v>
      </c>
      <c r="AF18" s="2">
        <f ca="1">IFERROR(SUMIFS(INDIRECT("'Thanh Toán ("&amp;AF$3&amp;")'!$e:$e"),INDIRECT("'Thanh Toán ("&amp;AF$3&amp;")'!$B:$B"),'Tổng Đơn'!$B18),0)</f>
        <v>0</v>
      </c>
      <c r="AG18" s="2">
        <f ca="1">IFERROR(SUMIFS(INDIRECT("'Thanh Toán ("&amp;AG$3&amp;")'!$e:$e"),INDIRECT("'Thanh Toán ("&amp;AG$3&amp;")'!$B:$B"),'Tổng Đơn'!$B18),0)</f>
        <v>0</v>
      </c>
      <c r="AH18" s="2">
        <f ca="1">IFERROR(SUMIFS(INDIRECT("'Thanh Toán ("&amp;AH$3&amp;")'!$e:$e"),INDIRECT("'Thanh Toán ("&amp;AH$3&amp;")'!$B:$B"),'Tổng Đơn'!$B18),0)</f>
        <v>0</v>
      </c>
      <c r="AI18" s="2">
        <f ca="1">IFERROR(SUMIFS(INDIRECT("'Thanh Toán ("&amp;AI$3&amp;")'!$e:$e"),INDIRECT("'Thanh Toán ("&amp;AI$3&amp;")'!$B:$B"),'Tổng Đơn'!$B18),0)</f>
        <v>0</v>
      </c>
      <c r="AJ18" s="2">
        <f ca="1">IFERROR(SUMIFS(INDIRECT("'Thanh Toán ("&amp;AJ$3&amp;")'!$e:$e"),INDIRECT("'Thanh Toán ("&amp;AJ$3&amp;")'!$B:$B"),'Tổng Đơn'!$B18),0)</f>
        <v>0</v>
      </c>
      <c r="AK18" s="2">
        <f ca="1">IFERROR(SUMIFS(INDIRECT("'Thanh Toán ("&amp;AK$3&amp;")'!$e:$e"),INDIRECT("'Thanh Toán ("&amp;AK$3&amp;")'!$B:$B"),'Tổng Đơn'!$B18),0)</f>
        <v>0</v>
      </c>
      <c r="AL18" s="2">
        <f ca="1">IFERROR(SUMIFS(INDIRECT("'Thanh Toán ("&amp;AL$3&amp;")'!$e:$e"),INDIRECT("'Thanh Toán ("&amp;AL$3&amp;")'!$B:$B"),'Tổng Đơn'!$B18),0)</f>
        <v>0</v>
      </c>
      <c r="AM18" s="2">
        <f ca="1">IFERROR(SUMIFS(INDIRECT("'Thanh Toán ("&amp;AM$3&amp;")'!$e:$e"),INDIRECT("'Thanh Toán ("&amp;AM$3&amp;")'!$B:$B"),'Tổng Đơn'!$B18),0)</f>
        <v>0</v>
      </c>
      <c r="AN18" s="2">
        <f ca="1">IFERROR(SUMIFS(INDIRECT("'Thanh Toán ("&amp;AN$3&amp;")'!$e:$e"),INDIRECT("'Thanh Toán ("&amp;AN$3&amp;")'!$B:$B"),'Tổng Đơn'!$B18),0)</f>
        <v>0</v>
      </c>
      <c r="AO18" s="2">
        <f ca="1">IFERROR(SUMIFS(INDIRECT("'Thanh Toán ("&amp;AO$3&amp;")'!$e:$e"),INDIRECT("'Thanh Toán ("&amp;AO$3&amp;")'!$B:$B"),'Tổng Đơn'!$B18),0)</f>
        <v>0</v>
      </c>
    </row>
    <row r="19" spans="1:41" ht="15.75" customHeight="1" x14ac:dyDescent="0.25">
      <c r="A19" s="23">
        <v>15</v>
      </c>
      <c r="B19" s="44" t="s">
        <v>34</v>
      </c>
      <c r="C19" s="23" t="s">
        <v>75</v>
      </c>
      <c r="D19" s="45">
        <f>VLOOKUP($C19,Sheet1!$C$3:$D$52,2,0)</f>
        <v>45000</v>
      </c>
      <c r="E19" s="63">
        <v>0.5</v>
      </c>
      <c r="F19" s="61">
        <f t="shared" ca="1" si="1"/>
        <v>1</v>
      </c>
      <c r="G19" s="61">
        <v>40.987530426613141</v>
      </c>
      <c r="H19" s="61">
        <f t="shared" ca="1" si="2"/>
        <v>4012.4695733868575</v>
      </c>
      <c r="I19" s="61"/>
      <c r="J19" s="61">
        <f t="shared" ca="1" si="3"/>
        <v>45000</v>
      </c>
      <c r="K19" s="61"/>
      <c r="L19" s="2">
        <f ca="1">IFERROR(SUMIFS(INDIRECT("'Thanh Toán ("&amp;L$3&amp;")'!$e:$e"),INDIRECT("'Thanh Toán ("&amp;L$3&amp;")'!$B:$B"),'Tổng Đơn'!$B19),0)</f>
        <v>0</v>
      </c>
      <c r="M19" s="2">
        <f ca="1">IFERROR(SUMIFS(INDIRECT("'Thanh Toán ("&amp;M$3&amp;")'!$e:$e"),INDIRECT("'Thanh Toán ("&amp;M$3&amp;")'!$B:$B"),'Tổng Đơn'!$B19),0)</f>
        <v>0</v>
      </c>
      <c r="N19" s="2">
        <f ca="1">IFERROR(SUMIFS(INDIRECT("'Thanh Toán ("&amp;N$3&amp;")'!$e:$e"),INDIRECT("'Thanh Toán ("&amp;N$3&amp;")'!$B:$B"),'Tổng Đơn'!$B19),0)</f>
        <v>0</v>
      </c>
      <c r="O19" s="2">
        <f ca="1">IFERROR(SUMIFS(INDIRECT("'Thanh Toán ("&amp;O$3&amp;")'!$e:$e"),INDIRECT("'Thanh Toán ("&amp;O$3&amp;")'!$B:$B"),'Tổng Đơn'!$B19),0)</f>
        <v>1</v>
      </c>
      <c r="P19" s="2">
        <f ca="1">IFERROR(SUMIFS(INDIRECT("'Thanh Toán ("&amp;P$3&amp;")'!$e:$e"),INDIRECT("'Thanh Toán ("&amp;P$3&amp;")'!$B:$B"),'Tổng Đơn'!$B19),0)</f>
        <v>0</v>
      </c>
      <c r="Q19" s="2">
        <f ca="1">IFERROR(SUMIFS(INDIRECT("'Thanh Toán ("&amp;Q$3&amp;")'!$e:$e"),INDIRECT("'Thanh Toán ("&amp;Q$3&amp;")'!$B:$B"),'Tổng Đơn'!$B19),0)</f>
        <v>0</v>
      </c>
      <c r="R19" s="2">
        <f ca="1">IFERROR(SUMIFS(INDIRECT("'Thanh Toán ("&amp;R$3&amp;")'!$e:$e"),INDIRECT("'Thanh Toán ("&amp;R$3&amp;")'!$B:$B"),'Tổng Đơn'!$B19),0)</f>
        <v>0</v>
      </c>
      <c r="S19" s="2">
        <f ca="1">IFERROR(SUMIFS(INDIRECT("'Thanh Toán ("&amp;S$3&amp;")'!$e:$e"),INDIRECT("'Thanh Toán ("&amp;S$3&amp;")'!$B:$B"),'Tổng Đơn'!$B19),0)</f>
        <v>0</v>
      </c>
      <c r="T19" s="2">
        <f ca="1">IFERROR(SUMIFS(INDIRECT("'Thanh Toán ("&amp;T$3&amp;")'!$e:$e"),INDIRECT("'Thanh Toán ("&amp;T$3&amp;")'!$B:$B"),'Tổng Đơn'!$B19),0)</f>
        <v>0</v>
      </c>
      <c r="U19" s="2">
        <f ca="1">IFERROR(SUMIFS(INDIRECT("'Thanh Toán ("&amp;U$3&amp;")'!$e:$e"),INDIRECT("'Thanh Toán ("&amp;U$3&amp;")'!$B:$B"),'Tổng Đơn'!$B19),0)</f>
        <v>0</v>
      </c>
      <c r="V19" s="2">
        <f ca="1">IFERROR(SUMIFS(INDIRECT("'Thanh Toán ("&amp;V$3&amp;")'!$e:$e"),INDIRECT("'Thanh Toán ("&amp;V$3&amp;")'!$B:$B"),'Tổng Đơn'!$B19),0)</f>
        <v>0</v>
      </c>
      <c r="W19" s="2">
        <f ca="1">IFERROR(SUMIFS(INDIRECT("'Thanh Toán ("&amp;W$3&amp;")'!$e:$e"),INDIRECT("'Thanh Toán ("&amp;W$3&amp;")'!$B:$B"),'Tổng Đơn'!$B19),0)</f>
        <v>0</v>
      </c>
      <c r="X19" s="2">
        <f ca="1">IFERROR(SUMIFS(INDIRECT("'Thanh Toán ("&amp;X$3&amp;")'!$e:$e"),INDIRECT("'Thanh Toán ("&amp;X$3&amp;")'!$B:$B"),'Tổng Đơn'!$B19),0)</f>
        <v>0</v>
      </c>
      <c r="Y19" s="2">
        <f ca="1">IFERROR(SUMIFS(INDIRECT("'Thanh Toán ("&amp;Y$3&amp;")'!$e:$e"),INDIRECT("'Thanh Toán ("&amp;Y$3&amp;")'!$B:$B"),'Tổng Đơn'!$B19),0)</f>
        <v>0</v>
      </c>
      <c r="Z19" s="2">
        <f ca="1">IFERROR(SUMIFS(INDIRECT("'Thanh Toán ("&amp;Z$3&amp;")'!$e:$e"),INDIRECT("'Thanh Toán ("&amp;Z$3&amp;")'!$B:$B"),'Tổng Đơn'!$B19),0)</f>
        <v>0</v>
      </c>
      <c r="AA19" s="2">
        <f ca="1">IFERROR(SUMIFS(INDIRECT("'Thanh Toán ("&amp;AA$3&amp;")'!$e:$e"),INDIRECT("'Thanh Toán ("&amp;AA$3&amp;")'!$B:$B"),'Tổng Đơn'!$B19),0)</f>
        <v>0</v>
      </c>
      <c r="AB19" s="2">
        <f ca="1">IFERROR(SUMIFS(INDIRECT("'Thanh Toán ("&amp;AB$3&amp;")'!$e:$e"),INDIRECT("'Thanh Toán ("&amp;AB$3&amp;")'!$B:$B"),'Tổng Đơn'!$B19),0)</f>
        <v>0</v>
      </c>
      <c r="AC19" s="2">
        <f ca="1">IFERROR(SUMIFS(INDIRECT("'Thanh Toán ("&amp;AC$3&amp;")'!$e:$e"),INDIRECT("'Thanh Toán ("&amp;AC$3&amp;")'!$B:$B"),'Tổng Đơn'!$B19),0)</f>
        <v>0</v>
      </c>
      <c r="AD19" s="2">
        <f ca="1">IFERROR(SUMIFS(INDIRECT("'Thanh Toán ("&amp;AD$3&amp;")'!$e:$e"),INDIRECT("'Thanh Toán ("&amp;AD$3&amp;")'!$B:$B"),'Tổng Đơn'!$B19),0)</f>
        <v>0</v>
      </c>
      <c r="AE19" s="2">
        <f ca="1">IFERROR(SUMIFS(INDIRECT("'Thanh Toán ("&amp;AE$3&amp;")'!$e:$e"),INDIRECT("'Thanh Toán ("&amp;AE$3&amp;")'!$B:$B"),'Tổng Đơn'!$B19),0)</f>
        <v>0</v>
      </c>
      <c r="AF19" s="2">
        <f ca="1">IFERROR(SUMIFS(INDIRECT("'Thanh Toán ("&amp;AF$3&amp;")'!$e:$e"),INDIRECT("'Thanh Toán ("&amp;AF$3&amp;")'!$B:$B"),'Tổng Đơn'!$B19),0)</f>
        <v>0</v>
      </c>
      <c r="AG19" s="2">
        <f ca="1">IFERROR(SUMIFS(INDIRECT("'Thanh Toán ("&amp;AG$3&amp;")'!$e:$e"),INDIRECT("'Thanh Toán ("&amp;AG$3&amp;")'!$B:$B"),'Tổng Đơn'!$B19),0)</f>
        <v>0</v>
      </c>
      <c r="AH19" s="2">
        <f ca="1">IFERROR(SUMIFS(INDIRECT("'Thanh Toán ("&amp;AH$3&amp;")'!$e:$e"),INDIRECT("'Thanh Toán ("&amp;AH$3&amp;")'!$B:$B"),'Tổng Đơn'!$B19),0)</f>
        <v>0</v>
      </c>
      <c r="AI19" s="2">
        <f ca="1">IFERROR(SUMIFS(INDIRECT("'Thanh Toán ("&amp;AI$3&amp;")'!$e:$e"),INDIRECT("'Thanh Toán ("&amp;AI$3&amp;")'!$B:$B"),'Tổng Đơn'!$B19),0)</f>
        <v>0</v>
      </c>
      <c r="AJ19" s="2">
        <f ca="1">IFERROR(SUMIFS(INDIRECT("'Thanh Toán ("&amp;AJ$3&amp;")'!$e:$e"),INDIRECT("'Thanh Toán ("&amp;AJ$3&amp;")'!$B:$B"),'Tổng Đơn'!$B19),0)</f>
        <v>0</v>
      </c>
      <c r="AK19" s="2">
        <f ca="1">IFERROR(SUMIFS(INDIRECT("'Thanh Toán ("&amp;AK$3&amp;")'!$e:$e"),INDIRECT("'Thanh Toán ("&amp;AK$3&amp;")'!$B:$B"),'Tổng Đơn'!$B19),0)</f>
        <v>0</v>
      </c>
      <c r="AL19" s="2">
        <f ca="1">IFERROR(SUMIFS(INDIRECT("'Thanh Toán ("&amp;AL$3&amp;")'!$e:$e"),INDIRECT("'Thanh Toán ("&amp;AL$3&amp;")'!$B:$B"),'Tổng Đơn'!$B19),0)</f>
        <v>0</v>
      </c>
      <c r="AM19" s="2">
        <f ca="1">IFERROR(SUMIFS(INDIRECT("'Thanh Toán ("&amp;AM$3&amp;")'!$e:$e"),INDIRECT("'Thanh Toán ("&amp;AM$3&amp;")'!$B:$B"),'Tổng Đơn'!$B19),0)</f>
        <v>0</v>
      </c>
      <c r="AN19" s="2">
        <f ca="1">IFERROR(SUMIFS(INDIRECT("'Thanh Toán ("&amp;AN$3&amp;")'!$e:$e"),INDIRECT("'Thanh Toán ("&amp;AN$3&amp;")'!$B:$B"),'Tổng Đơn'!$B19),0)</f>
        <v>0</v>
      </c>
      <c r="AO19" s="2">
        <f ca="1">IFERROR(SUMIFS(INDIRECT("'Thanh Toán ("&amp;AO$3&amp;")'!$e:$e"),INDIRECT("'Thanh Toán ("&amp;AO$3&amp;")'!$B:$B"),'Tổng Đơn'!$B19),0)</f>
        <v>0</v>
      </c>
    </row>
    <row r="20" spans="1:41" x14ac:dyDescent="0.25">
      <c r="A20" s="23">
        <v>16</v>
      </c>
      <c r="B20" s="44" t="s">
        <v>5</v>
      </c>
      <c r="C20" s="23" t="s">
        <v>76</v>
      </c>
      <c r="D20" s="45">
        <f>VLOOKUP($C20,Sheet1!$C$3:$D$52,2,0)</f>
        <v>40000</v>
      </c>
      <c r="E20" s="63">
        <v>0.5</v>
      </c>
      <c r="F20" s="61">
        <f t="shared" ca="1" si="1"/>
        <v>1</v>
      </c>
      <c r="G20" s="61">
        <v>34.764044943820224</v>
      </c>
      <c r="H20" s="61">
        <f t="shared" ca="1" si="2"/>
        <v>5235.9550561797732</v>
      </c>
      <c r="I20" s="61"/>
      <c r="J20" s="61">
        <f t="shared" ca="1" si="3"/>
        <v>40000</v>
      </c>
      <c r="K20" s="61"/>
      <c r="L20" s="2">
        <f ca="1">IFERROR(SUMIFS(INDIRECT("'Thanh Toán ("&amp;L$3&amp;")'!$e:$e"),INDIRECT("'Thanh Toán ("&amp;L$3&amp;")'!$B:$B"),'Tổng Đơn'!$B20),0)</f>
        <v>1</v>
      </c>
      <c r="M20" s="2">
        <f ca="1">IFERROR(SUMIFS(INDIRECT("'Thanh Toán ("&amp;M$3&amp;")'!$e:$e"),INDIRECT("'Thanh Toán ("&amp;M$3&amp;")'!$B:$B"),'Tổng Đơn'!$B20),0)</f>
        <v>0</v>
      </c>
      <c r="N20" s="2">
        <f ca="1">IFERROR(SUMIFS(INDIRECT("'Thanh Toán ("&amp;N$3&amp;")'!$e:$e"),INDIRECT("'Thanh Toán ("&amp;N$3&amp;")'!$B:$B"),'Tổng Đơn'!$B20),0)</f>
        <v>0</v>
      </c>
      <c r="O20" s="2">
        <f ca="1">IFERROR(SUMIFS(INDIRECT("'Thanh Toán ("&amp;O$3&amp;")'!$e:$e"),INDIRECT("'Thanh Toán ("&amp;O$3&amp;")'!$B:$B"),'Tổng Đơn'!$B20),0)</f>
        <v>0</v>
      </c>
      <c r="P20" s="2">
        <f ca="1">IFERROR(SUMIFS(INDIRECT("'Thanh Toán ("&amp;P$3&amp;")'!$e:$e"),INDIRECT("'Thanh Toán ("&amp;P$3&amp;")'!$B:$B"),'Tổng Đơn'!$B20),0)</f>
        <v>0</v>
      </c>
      <c r="Q20" s="2">
        <f ca="1">IFERROR(SUMIFS(INDIRECT("'Thanh Toán ("&amp;Q$3&amp;")'!$e:$e"),INDIRECT("'Thanh Toán ("&amp;Q$3&amp;")'!$B:$B"),'Tổng Đơn'!$B20),0)</f>
        <v>0</v>
      </c>
      <c r="R20" s="2">
        <f ca="1">IFERROR(SUMIFS(INDIRECT("'Thanh Toán ("&amp;R$3&amp;")'!$e:$e"),INDIRECT("'Thanh Toán ("&amp;R$3&amp;")'!$B:$B"),'Tổng Đơn'!$B20),0)</f>
        <v>0</v>
      </c>
      <c r="S20" s="2">
        <f ca="1">IFERROR(SUMIFS(INDIRECT("'Thanh Toán ("&amp;S$3&amp;")'!$e:$e"),INDIRECT("'Thanh Toán ("&amp;S$3&amp;")'!$B:$B"),'Tổng Đơn'!$B20),0)</f>
        <v>0</v>
      </c>
      <c r="T20" s="2">
        <f ca="1">IFERROR(SUMIFS(INDIRECT("'Thanh Toán ("&amp;T$3&amp;")'!$e:$e"),INDIRECT("'Thanh Toán ("&amp;T$3&amp;")'!$B:$B"),'Tổng Đơn'!$B20),0)</f>
        <v>0</v>
      </c>
      <c r="U20" s="2">
        <f ca="1">IFERROR(SUMIFS(INDIRECT("'Thanh Toán ("&amp;U$3&amp;")'!$e:$e"),INDIRECT("'Thanh Toán ("&amp;U$3&amp;")'!$B:$B"),'Tổng Đơn'!$B20),0)</f>
        <v>0</v>
      </c>
      <c r="V20" s="2">
        <f ca="1">IFERROR(SUMIFS(INDIRECT("'Thanh Toán ("&amp;V$3&amp;")'!$e:$e"),INDIRECT("'Thanh Toán ("&amp;V$3&amp;")'!$B:$B"),'Tổng Đơn'!$B20),0)</f>
        <v>0</v>
      </c>
      <c r="W20" s="2">
        <f ca="1">IFERROR(SUMIFS(INDIRECT("'Thanh Toán ("&amp;W$3&amp;")'!$e:$e"),INDIRECT("'Thanh Toán ("&amp;W$3&amp;")'!$B:$B"),'Tổng Đơn'!$B20),0)</f>
        <v>0</v>
      </c>
      <c r="X20" s="2">
        <f ca="1">IFERROR(SUMIFS(INDIRECT("'Thanh Toán ("&amp;X$3&amp;")'!$e:$e"),INDIRECT("'Thanh Toán ("&amp;X$3&amp;")'!$B:$B"),'Tổng Đơn'!$B20),0)</f>
        <v>0</v>
      </c>
      <c r="Y20" s="2">
        <f ca="1">IFERROR(SUMIFS(INDIRECT("'Thanh Toán ("&amp;Y$3&amp;")'!$e:$e"),INDIRECT("'Thanh Toán ("&amp;Y$3&amp;")'!$B:$B"),'Tổng Đơn'!$B20),0)</f>
        <v>0</v>
      </c>
      <c r="Z20" s="2">
        <f ca="1">IFERROR(SUMIFS(INDIRECT("'Thanh Toán ("&amp;Z$3&amp;")'!$e:$e"),INDIRECT("'Thanh Toán ("&amp;Z$3&amp;")'!$B:$B"),'Tổng Đơn'!$B20),0)</f>
        <v>0</v>
      </c>
      <c r="AA20" s="2">
        <f ca="1">IFERROR(SUMIFS(INDIRECT("'Thanh Toán ("&amp;AA$3&amp;")'!$e:$e"),INDIRECT("'Thanh Toán ("&amp;AA$3&amp;")'!$B:$B"),'Tổng Đơn'!$B20),0)</f>
        <v>0</v>
      </c>
      <c r="AB20" s="2">
        <f ca="1">IFERROR(SUMIFS(INDIRECT("'Thanh Toán ("&amp;AB$3&amp;")'!$e:$e"),INDIRECT("'Thanh Toán ("&amp;AB$3&amp;")'!$B:$B"),'Tổng Đơn'!$B20),0)</f>
        <v>0</v>
      </c>
      <c r="AC20" s="2">
        <f ca="1">IFERROR(SUMIFS(INDIRECT("'Thanh Toán ("&amp;AC$3&amp;")'!$e:$e"),INDIRECT("'Thanh Toán ("&amp;AC$3&amp;")'!$B:$B"),'Tổng Đơn'!$B20),0)</f>
        <v>0</v>
      </c>
      <c r="AD20" s="2">
        <f ca="1">IFERROR(SUMIFS(INDIRECT("'Thanh Toán ("&amp;AD$3&amp;")'!$e:$e"),INDIRECT("'Thanh Toán ("&amp;AD$3&amp;")'!$B:$B"),'Tổng Đơn'!$B20),0)</f>
        <v>0</v>
      </c>
      <c r="AE20" s="2">
        <f ca="1">IFERROR(SUMIFS(INDIRECT("'Thanh Toán ("&amp;AE$3&amp;")'!$e:$e"),INDIRECT("'Thanh Toán ("&amp;AE$3&amp;")'!$B:$B"),'Tổng Đơn'!$B20),0)</f>
        <v>0</v>
      </c>
      <c r="AF20" s="2">
        <f ca="1">IFERROR(SUMIFS(INDIRECT("'Thanh Toán ("&amp;AF$3&amp;")'!$e:$e"),INDIRECT("'Thanh Toán ("&amp;AF$3&amp;")'!$B:$B"),'Tổng Đơn'!$B20),0)</f>
        <v>0</v>
      </c>
      <c r="AG20" s="2">
        <f ca="1">IFERROR(SUMIFS(INDIRECT("'Thanh Toán ("&amp;AG$3&amp;")'!$e:$e"),INDIRECT("'Thanh Toán ("&amp;AG$3&amp;")'!$B:$B"),'Tổng Đơn'!$B20),0)</f>
        <v>0</v>
      </c>
      <c r="AH20" s="2">
        <f ca="1">IFERROR(SUMIFS(INDIRECT("'Thanh Toán ("&amp;AH$3&amp;")'!$e:$e"),INDIRECT("'Thanh Toán ("&amp;AH$3&amp;")'!$B:$B"),'Tổng Đơn'!$B20),0)</f>
        <v>0</v>
      </c>
      <c r="AI20" s="2">
        <f ca="1">IFERROR(SUMIFS(INDIRECT("'Thanh Toán ("&amp;AI$3&amp;")'!$e:$e"),INDIRECT("'Thanh Toán ("&amp;AI$3&amp;")'!$B:$B"),'Tổng Đơn'!$B20),0)</f>
        <v>0</v>
      </c>
      <c r="AJ20" s="2">
        <f ca="1">IFERROR(SUMIFS(INDIRECT("'Thanh Toán ("&amp;AJ$3&amp;")'!$e:$e"),INDIRECT("'Thanh Toán ("&amp;AJ$3&amp;")'!$B:$B"),'Tổng Đơn'!$B20),0)</f>
        <v>0</v>
      </c>
      <c r="AK20" s="2">
        <f ca="1">IFERROR(SUMIFS(INDIRECT("'Thanh Toán ("&amp;AK$3&amp;")'!$e:$e"),INDIRECT("'Thanh Toán ("&amp;AK$3&amp;")'!$B:$B"),'Tổng Đơn'!$B20),0)</f>
        <v>0</v>
      </c>
      <c r="AL20" s="2">
        <f ca="1">IFERROR(SUMIFS(INDIRECT("'Thanh Toán ("&amp;AL$3&amp;")'!$e:$e"),INDIRECT("'Thanh Toán ("&amp;AL$3&amp;")'!$B:$B"),'Tổng Đơn'!$B20),0)</f>
        <v>0</v>
      </c>
      <c r="AM20" s="2">
        <f ca="1">IFERROR(SUMIFS(INDIRECT("'Thanh Toán ("&amp;AM$3&amp;")'!$e:$e"),INDIRECT("'Thanh Toán ("&amp;AM$3&amp;")'!$B:$B"),'Tổng Đơn'!$B20),0)</f>
        <v>0</v>
      </c>
      <c r="AN20" s="2">
        <f ca="1">IFERROR(SUMIFS(INDIRECT("'Thanh Toán ("&amp;AN$3&amp;")'!$e:$e"),INDIRECT("'Thanh Toán ("&amp;AN$3&amp;")'!$B:$B"),'Tổng Đơn'!$B20),0)</f>
        <v>0</v>
      </c>
      <c r="AO20" s="2">
        <f ca="1">IFERROR(SUMIFS(INDIRECT("'Thanh Toán ("&amp;AO$3&amp;")'!$e:$e"),INDIRECT("'Thanh Toán ("&amp;AO$3&amp;")'!$B:$B"),'Tổng Đơn'!$B20),0)</f>
        <v>0</v>
      </c>
    </row>
    <row r="21" spans="1:41" x14ac:dyDescent="0.25">
      <c r="A21" s="23">
        <v>17</v>
      </c>
      <c r="B21" s="44" t="s">
        <v>4</v>
      </c>
      <c r="C21" s="23" t="s">
        <v>77</v>
      </c>
      <c r="D21" s="45">
        <f>VLOOKUP($C21,Sheet1!$C$3:$D$52,2,0)</f>
        <v>40000</v>
      </c>
      <c r="E21" s="63">
        <v>0.5</v>
      </c>
      <c r="F21" s="61">
        <f t="shared" ca="1" si="1"/>
        <v>1</v>
      </c>
      <c r="G21" s="61">
        <v>30.674157303370787</v>
      </c>
      <c r="H21" s="61">
        <f t="shared" ca="1" si="2"/>
        <v>9325.8426966292136</v>
      </c>
      <c r="I21" s="61"/>
      <c r="J21" s="61">
        <f t="shared" ca="1" si="3"/>
        <v>40000</v>
      </c>
      <c r="K21" s="61"/>
      <c r="L21" s="2">
        <f ca="1">IFERROR(SUMIFS(INDIRECT("'Thanh Toán ("&amp;L$3&amp;")'!$e:$e"),INDIRECT("'Thanh Toán ("&amp;L$3&amp;")'!$B:$B"),'Tổng Đơn'!$B21),0)</f>
        <v>1</v>
      </c>
      <c r="M21" s="2">
        <f ca="1">IFERROR(SUMIFS(INDIRECT("'Thanh Toán ("&amp;M$3&amp;")'!$e:$e"),INDIRECT("'Thanh Toán ("&amp;M$3&amp;")'!$B:$B"),'Tổng Đơn'!$B21),0)</f>
        <v>0</v>
      </c>
      <c r="N21" s="2">
        <f ca="1">IFERROR(SUMIFS(INDIRECT("'Thanh Toán ("&amp;N$3&amp;")'!$e:$e"),INDIRECT("'Thanh Toán ("&amp;N$3&amp;")'!$B:$B"),'Tổng Đơn'!$B21),0)</f>
        <v>0</v>
      </c>
      <c r="O21" s="2">
        <f ca="1">IFERROR(SUMIFS(INDIRECT("'Thanh Toán ("&amp;O$3&amp;")'!$e:$e"),INDIRECT("'Thanh Toán ("&amp;O$3&amp;")'!$B:$B"),'Tổng Đơn'!$B21),0)</f>
        <v>0</v>
      </c>
      <c r="P21" s="2">
        <f ca="1">IFERROR(SUMIFS(INDIRECT("'Thanh Toán ("&amp;P$3&amp;")'!$e:$e"),INDIRECT("'Thanh Toán ("&amp;P$3&amp;")'!$B:$B"),'Tổng Đơn'!$B21),0)</f>
        <v>0</v>
      </c>
      <c r="Q21" s="2">
        <f ca="1">IFERROR(SUMIFS(INDIRECT("'Thanh Toán ("&amp;Q$3&amp;")'!$e:$e"),INDIRECT("'Thanh Toán ("&amp;Q$3&amp;")'!$B:$B"),'Tổng Đơn'!$B21),0)</f>
        <v>0</v>
      </c>
      <c r="R21" s="2">
        <f ca="1">IFERROR(SUMIFS(INDIRECT("'Thanh Toán ("&amp;R$3&amp;")'!$e:$e"),INDIRECT("'Thanh Toán ("&amp;R$3&amp;")'!$B:$B"),'Tổng Đơn'!$B21),0)</f>
        <v>0</v>
      </c>
      <c r="S21" s="2">
        <f ca="1">IFERROR(SUMIFS(INDIRECT("'Thanh Toán ("&amp;S$3&amp;")'!$e:$e"),INDIRECT("'Thanh Toán ("&amp;S$3&amp;")'!$B:$B"),'Tổng Đơn'!$B21),0)</f>
        <v>0</v>
      </c>
      <c r="T21" s="2">
        <f ca="1">IFERROR(SUMIFS(INDIRECT("'Thanh Toán ("&amp;T$3&amp;")'!$e:$e"),INDIRECT("'Thanh Toán ("&amp;T$3&amp;")'!$B:$B"),'Tổng Đơn'!$B21),0)</f>
        <v>0</v>
      </c>
      <c r="U21" s="2">
        <f ca="1">IFERROR(SUMIFS(INDIRECT("'Thanh Toán ("&amp;U$3&amp;")'!$e:$e"),INDIRECT("'Thanh Toán ("&amp;U$3&amp;")'!$B:$B"),'Tổng Đơn'!$B21),0)</f>
        <v>0</v>
      </c>
      <c r="V21" s="2">
        <f ca="1">IFERROR(SUMIFS(INDIRECT("'Thanh Toán ("&amp;V$3&amp;")'!$e:$e"),INDIRECT("'Thanh Toán ("&amp;V$3&amp;")'!$B:$B"),'Tổng Đơn'!$B21),0)</f>
        <v>0</v>
      </c>
      <c r="W21" s="2">
        <f ca="1">IFERROR(SUMIFS(INDIRECT("'Thanh Toán ("&amp;W$3&amp;")'!$e:$e"),INDIRECT("'Thanh Toán ("&amp;W$3&amp;")'!$B:$B"),'Tổng Đơn'!$B21),0)</f>
        <v>0</v>
      </c>
      <c r="X21" s="2">
        <f ca="1">IFERROR(SUMIFS(INDIRECT("'Thanh Toán ("&amp;X$3&amp;")'!$e:$e"),INDIRECT("'Thanh Toán ("&amp;X$3&amp;")'!$B:$B"),'Tổng Đơn'!$B21),0)</f>
        <v>0</v>
      </c>
      <c r="Y21" s="2">
        <f ca="1">IFERROR(SUMIFS(INDIRECT("'Thanh Toán ("&amp;Y$3&amp;")'!$e:$e"),INDIRECT("'Thanh Toán ("&amp;Y$3&amp;")'!$B:$B"),'Tổng Đơn'!$B21),0)</f>
        <v>0</v>
      </c>
      <c r="Z21" s="2">
        <f ca="1">IFERROR(SUMIFS(INDIRECT("'Thanh Toán ("&amp;Z$3&amp;")'!$e:$e"),INDIRECT("'Thanh Toán ("&amp;Z$3&amp;")'!$B:$B"),'Tổng Đơn'!$B21),0)</f>
        <v>0</v>
      </c>
      <c r="AA21" s="2">
        <f ca="1">IFERROR(SUMIFS(INDIRECT("'Thanh Toán ("&amp;AA$3&amp;")'!$e:$e"),INDIRECT("'Thanh Toán ("&amp;AA$3&amp;")'!$B:$B"),'Tổng Đơn'!$B21),0)</f>
        <v>0</v>
      </c>
      <c r="AB21" s="2">
        <f ca="1">IFERROR(SUMIFS(INDIRECT("'Thanh Toán ("&amp;AB$3&amp;")'!$e:$e"),INDIRECT("'Thanh Toán ("&amp;AB$3&amp;")'!$B:$B"),'Tổng Đơn'!$B21),0)</f>
        <v>0</v>
      </c>
      <c r="AC21" s="2">
        <f ca="1">IFERROR(SUMIFS(INDIRECT("'Thanh Toán ("&amp;AC$3&amp;")'!$e:$e"),INDIRECT("'Thanh Toán ("&amp;AC$3&amp;")'!$B:$B"),'Tổng Đơn'!$B21),0)</f>
        <v>0</v>
      </c>
      <c r="AD21" s="2">
        <f ca="1">IFERROR(SUMIFS(INDIRECT("'Thanh Toán ("&amp;AD$3&amp;")'!$e:$e"),INDIRECT("'Thanh Toán ("&amp;AD$3&amp;")'!$B:$B"),'Tổng Đơn'!$B21),0)</f>
        <v>0</v>
      </c>
      <c r="AE21" s="2">
        <f ca="1">IFERROR(SUMIFS(INDIRECT("'Thanh Toán ("&amp;AE$3&amp;")'!$e:$e"),INDIRECT("'Thanh Toán ("&amp;AE$3&amp;")'!$B:$B"),'Tổng Đơn'!$B21),0)</f>
        <v>0</v>
      </c>
      <c r="AF21" s="2">
        <f ca="1">IFERROR(SUMIFS(INDIRECT("'Thanh Toán ("&amp;AF$3&amp;")'!$e:$e"),INDIRECT("'Thanh Toán ("&amp;AF$3&amp;")'!$B:$B"),'Tổng Đơn'!$B21),0)</f>
        <v>0</v>
      </c>
      <c r="AG21" s="2">
        <f ca="1">IFERROR(SUMIFS(INDIRECT("'Thanh Toán ("&amp;AG$3&amp;")'!$e:$e"),INDIRECT("'Thanh Toán ("&amp;AG$3&amp;")'!$B:$B"),'Tổng Đơn'!$B21),0)</f>
        <v>0</v>
      </c>
      <c r="AH21" s="2">
        <f ca="1">IFERROR(SUMIFS(INDIRECT("'Thanh Toán ("&amp;AH$3&amp;")'!$e:$e"),INDIRECT("'Thanh Toán ("&amp;AH$3&amp;")'!$B:$B"),'Tổng Đơn'!$B21),0)</f>
        <v>0</v>
      </c>
      <c r="AI21" s="2">
        <f ca="1">IFERROR(SUMIFS(INDIRECT("'Thanh Toán ("&amp;AI$3&amp;")'!$e:$e"),INDIRECT("'Thanh Toán ("&amp;AI$3&amp;")'!$B:$B"),'Tổng Đơn'!$B21),0)</f>
        <v>0</v>
      </c>
      <c r="AJ21" s="2">
        <f ca="1">IFERROR(SUMIFS(INDIRECT("'Thanh Toán ("&amp;AJ$3&amp;")'!$e:$e"),INDIRECT("'Thanh Toán ("&amp;AJ$3&amp;")'!$B:$B"),'Tổng Đơn'!$B21),0)</f>
        <v>0</v>
      </c>
      <c r="AK21" s="2">
        <f ca="1">IFERROR(SUMIFS(INDIRECT("'Thanh Toán ("&amp;AK$3&amp;")'!$e:$e"),INDIRECT("'Thanh Toán ("&amp;AK$3&amp;")'!$B:$B"),'Tổng Đơn'!$B21),0)</f>
        <v>0</v>
      </c>
      <c r="AL21" s="2">
        <f ca="1">IFERROR(SUMIFS(INDIRECT("'Thanh Toán ("&amp;AL$3&amp;")'!$e:$e"),INDIRECT("'Thanh Toán ("&amp;AL$3&amp;")'!$B:$B"),'Tổng Đơn'!$B21),0)</f>
        <v>0</v>
      </c>
      <c r="AM21" s="2">
        <f ca="1">IFERROR(SUMIFS(INDIRECT("'Thanh Toán ("&amp;AM$3&amp;")'!$e:$e"),INDIRECT("'Thanh Toán ("&amp;AM$3&amp;")'!$B:$B"),'Tổng Đơn'!$B21),0)</f>
        <v>0</v>
      </c>
      <c r="AN21" s="2">
        <f ca="1">IFERROR(SUMIFS(INDIRECT("'Thanh Toán ("&amp;AN$3&amp;")'!$e:$e"),INDIRECT("'Thanh Toán ("&amp;AN$3&amp;")'!$B:$B"),'Tổng Đơn'!$B21),0)</f>
        <v>0</v>
      </c>
      <c r="AO21" s="2">
        <f ca="1">IFERROR(SUMIFS(INDIRECT("'Thanh Toán ("&amp;AO$3&amp;")'!$e:$e"),INDIRECT("'Thanh Toán ("&amp;AO$3&amp;")'!$B:$B"),'Tổng Đơn'!$B21),0)</f>
        <v>0</v>
      </c>
    </row>
    <row r="22" spans="1:41" x14ac:dyDescent="0.25">
      <c r="A22" s="23">
        <v>18</v>
      </c>
      <c r="B22" s="44" t="s">
        <v>9</v>
      </c>
      <c r="C22" s="23" t="s">
        <v>78</v>
      </c>
      <c r="D22" s="45">
        <f>VLOOKUP($C22,Sheet1!$C$3:$D$52,2,0)</f>
        <v>55000</v>
      </c>
      <c r="E22" s="63">
        <v>0.5</v>
      </c>
      <c r="F22" s="61">
        <f t="shared" ca="1" si="1"/>
        <v>2</v>
      </c>
      <c r="G22" s="61">
        <v>43.455056179775283</v>
      </c>
      <c r="H22" s="61">
        <f t="shared" ca="1" si="2"/>
        <v>23089.887640449437</v>
      </c>
      <c r="I22" s="61"/>
      <c r="J22" s="61">
        <f t="shared" ca="1" si="3"/>
        <v>110000</v>
      </c>
      <c r="K22" s="61"/>
      <c r="L22" s="2">
        <f ca="1">IFERROR(SUMIFS(INDIRECT("'Thanh Toán ("&amp;L$3&amp;")'!$e:$e"),INDIRECT("'Thanh Toán ("&amp;L$3&amp;")'!$B:$B"),'Tổng Đơn'!$B22),0)</f>
        <v>0</v>
      </c>
      <c r="M22" s="2">
        <f ca="1">IFERROR(SUMIFS(INDIRECT("'Thanh Toán ("&amp;M$3&amp;")'!$e:$e"),INDIRECT("'Thanh Toán ("&amp;M$3&amp;")'!$B:$B"),'Tổng Đơn'!$B22),0)</f>
        <v>2</v>
      </c>
      <c r="N22" s="2">
        <f ca="1">IFERROR(SUMIFS(INDIRECT("'Thanh Toán ("&amp;N$3&amp;")'!$e:$e"),INDIRECT("'Thanh Toán ("&amp;N$3&amp;")'!$B:$B"),'Tổng Đơn'!$B22),0)</f>
        <v>0</v>
      </c>
      <c r="O22" s="2">
        <f ca="1">IFERROR(SUMIFS(INDIRECT("'Thanh Toán ("&amp;O$3&amp;")'!$e:$e"),INDIRECT("'Thanh Toán ("&amp;O$3&amp;")'!$B:$B"),'Tổng Đơn'!$B22),0)</f>
        <v>0</v>
      </c>
      <c r="P22" s="2">
        <f ca="1">IFERROR(SUMIFS(INDIRECT("'Thanh Toán ("&amp;P$3&amp;")'!$e:$e"),INDIRECT("'Thanh Toán ("&amp;P$3&amp;")'!$B:$B"),'Tổng Đơn'!$B22),0)</f>
        <v>0</v>
      </c>
      <c r="Q22" s="2">
        <f ca="1">IFERROR(SUMIFS(INDIRECT("'Thanh Toán ("&amp;Q$3&amp;")'!$e:$e"),INDIRECT("'Thanh Toán ("&amp;Q$3&amp;")'!$B:$B"),'Tổng Đơn'!$B22),0)</f>
        <v>0</v>
      </c>
      <c r="R22" s="2">
        <f ca="1">IFERROR(SUMIFS(INDIRECT("'Thanh Toán ("&amp;R$3&amp;")'!$e:$e"),INDIRECT("'Thanh Toán ("&amp;R$3&amp;")'!$B:$B"),'Tổng Đơn'!$B22),0)</f>
        <v>0</v>
      </c>
      <c r="S22" s="2">
        <f ca="1">IFERROR(SUMIFS(INDIRECT("'Thanh Toán ("&amp;S$3&amp;")'!$e:$e"),INDIRECT("'Thanh Toán ("&amp;S$3&amp;")'!$B:$B"),'Tổng Đơn'!$B22),0)</f>
        <v>0</v>
      </c>
      <c r="T22" s="2">
        <f ca="1">IFERROR(SUMIFS(INDIRECT("'Thanh Toán ("&amp;T$3&amp;")'!$e:$e"),INDIRECT("'Thanh Toán ("&amp;T$3&amp;")'!$B:$B"),'Tổng Đơn'!$B22),0)</f>
        <v>0</v>
      </c>
      <c r="U22" s="2">
        <f ca="1">IFERROR(SUMIFS(INDIRECT("'Thanh Toán ("&amp;U$3&amp;")'!$e:$e"),INDIRECT("'Thanh Toán ("&amp;U$3&amp;")'!$B:$B"),'Tổng Đơn'!$B22),0)</f>
        <v>0</v>
      </c>
      <c r="V22" s="2">
        <f ca="1">IFERROR(SUMIFS(INDIRECT("'Thanh Toán ("&amp;V$3&amp;")'!$e:$e"),INDIRECT("'Thanh Toán ("&amp;V$3&amp;")'!$B:$B"),'Tổng Đơn'!$B22),0)</f>
        <v>0</v>
      </c>
      <c r="W22" s="2">
        <f ca="1">IFERROR(SUMIFS(INDIRECT("'Thanh Toán ("&amp;W$3&amp;")'!$e:$e"),INDIRECT("'Thanh Toán ("&amp;W$3&amp;")'!$B:$B"),'Tổng Đơn'!$B22),0)</f>
        <v>0</v>
      </c>
      <c r="X22" s="2">
        <f ca="1">IFERROR(SUMIFS(INDIRECT("'Thanh Toán ("&amp;X$3&amp;")'!$e:$e"),INDIRECT("'Thanh Toán ("&amp;X$3&amp;")'!$B:$B"),'Tổng Đơn'!$B22),0)</f>
        <v>0</v>
      </c>
      <c r="Y22" s="2">
        <f ca="1">IFERROR(SUMIFS(INDIRECT("'Thanh Toán ("&amp;Y$3&amp;")'!$e:$e"),INDIRECT("'Thanh Toán ("&amp;Y$3&amp;")'!$B:$B"),'Tổng Đơn'!$B22),0)</f>
        <v>0</v>
      </c>
      <c r="Z22" s="2">
        <f ca="1">IFERROR(SUMIFS(INDIRECT("'Thanh Toán ("&amp;Z$3&amp;")'!$e:$e"),INDIRECT("'Thanh Toán ("&amp;Z$3&amp;")'!$B:$B"),'Tổng Đơn'!$B22),0)</f>
        <v>0</v>
      </c>
      <c r="AA22" s="2">
        <f ca="1">IFERROR(SUMIFS(INDIRECT("'Thanh Toán ("&amp;AA$3&amp;")'!$e:$e"),INDIRECT("'Thanh Toán ("&amp;AA$3&amp;")'!$B:$B"),'Tổng Đơn'!$B22),0)</f>
        <v>0</v>
      </c>
      <c r="AB22" s="2">
        <f ca="1">IFERROR(SUMIFS(INDIRECT("'Thanh Toán ("&amp;AB$3&amp;")'!$e:$e"),INDIRECT("'Thanh Toán ("&amp;AB$3&amp;")'!$B:$B"),'Tổng Đơn'!$B22),0)</f>
        <v>0</v>
      </c>
      <c r="AC22" s="2">
        <f ca="1">IFERROR(SUMIFS(INDIRECT("'Thanh Toán ("&amp;AC$3&amp;")'!$e:$e"),INDIRECT("'Thanh Toán ("&amp;AC$3&amp;")'!$B:$B"),'Tổng Đơn'!$B22),0)</f>
        <v>0</v>
      </c>
      <c r="AD22" s="2">
        <f ca="1">IFERROR(SUMIFS(INDIRECT("'Thanh Toán ("&amp;AD$3&amp;")'!$e:$e"),INDIRECT("'Thanh Toán ("&amp;AD$3&amp;")'!$B:$B"),'Tổng Đơn'!$B22),0)</f>
        <v>0</v>
      </c>
      <c r="AE22" s="2">
        <f ca="1">IFERROR(SUMIFS(INDIRECT("'Thanh Toán ("&amp;AE$3&amp;")'!$e:$e"),INDIRECT("'Thanh Toán ("&amp;AE$3&amp;")'!$B:$B"),'Tổng Đơn'!$B22),0)</f>
        <v>0</v>
      </c>
      <c r="AF22" s="2">
        <f ca="1">IFERROR(SUMIFS(INDIRECT("'Thanh Toán ("&amp;AF$3&amp;")'!$e:$e"),INDIRECT("'Thanh Toán ("&amp;AF$3&amp;")'!$B:$B"),'Tổng Đơn'!$B22),0)</f>
        <v>0</v>
      </c>
      <c r="AG22" s="2">
        <f ca="1">IFERROR(SUMIFS(INDIRECT("'Thanh Toán ("&amp;AG$3&amp;")'!$e:$e"),INDIRECT("'Thanh Toán ("&amp;AG$3&amp;")'!$B:$B"),'Tổng Đơn'!$B22),0)</f>
        <v>0</v>
      </c>
      <c r="AH22" s="2">
        <f ca="1">IFERROR(SUMIFS(INDIRECT("'Thanh Toán ("&amp;AH$3&amp;")'!$e:$e"),INDIRECT("'Thanh Toán ("&amp;AH$3&amp;")'!$B:$B"),'Tổng Đơn'!$B22),0)</f>
        <v>0</v>
      </c>
      <c r="AI22" s="2">
        <f ca="1">IFERROR(SUMIFS(INDIRECT("'Thanh Toán ("&amp;AI$3&amp;")'!$e:$e"),INDIRECT("'Thanh Toán ("&amp;AI$3&amp;")'!$B:$B"),'Tổng Đơn'!$B22),0)</f>
        <v>0</v>
      </c>
      <c r="AJ22" s="2">
        <f ca="1">IFERROR(SUMIFS(INDIRECT("'Thanh Toán ("&amp;AJ$3&amp;")'!$e:$e"),INDIRECT("'Thanh Toán ("&amp;AJ$3&amp;")'!$B:$B"),'Tổng Đơn'!$B22),0)</f>
        <v>0</v>
      </c>
      <c r="AK22" s="2">
        <f ca="1">IFERROR(SUMIFS(INDIRECT("'Thanh Toán ("&amp;AK$3&amp;")'!$e:$e"),INDIRECT("'Thanh Toán ("&amp;AK$3&amp;")'!$B:$B"),'Tổng Đơn'!$B22),0)</f>
        <v>0</v>
      </c>
      <c r="AL22" s="2">
        <f ca="1">IFERROR(SUMIFS(INDIRECT("'Thanh Toán ("&amp;AL$3&amp;")'!$e:$e"),INDIRECT("'Thanh Toán ("&amp;AL$3&amp;")'!$B:$B"),'Tổng Đơn'!$B22),0)</f>
        <v>0</v>
      </c>
      <c r="AM22" s="2">
        <f ca="1">IFERROR(SUMIFS(INDIRECT("'Thanh Toán ("&amp;AM$3&amp;")'!$e:$e"),INDIRECT("'Thanh Toán ("&amp;AM$3&amp;")'!$B:$B"),'Tổng Đơn'!$B22),0)</f>
        <v>0</v>
      </c>
      <c r="AN22" s="2">
        <f ca="1">IFERROR(SUMIFS(INDIRECT("'Thanh Toán ("&amp;AN$3&amp;")'!$e:$e"),INDIRECT("'Thanh Toán ("&amp;AN$3&amp;")'!$B:$B"),'Tổng Đơn'!$B22),0)</f>
        <v>0</v>
      </c>
      <c r="AO22" s="2">
        <f ca="1">IFERROR(SUMIFS(INDIRECT("'Thanh Toán ("&amp;AO$3&amp;")'!$e:$e"),INDIRECT("'Thanh Toán ("&amp;AO$3&amp;")'!$B:$B"),'Tổng Đơn'!$B22),0)</f>
        <v>0</v>
      </c>
    </row>
    <row r="23" spans="1:41" x14ac:dyDescent="0.25">
      <c r="A23" s="23">
        <v>19</v>
      </c>
      <c r="B23" s="44" t="s">
        <v>13</v>
      </c>
      <c r="C23" s="23" t="s">
        <v>79</v>
      </c>
      <c r="D23" s="45">
        <f>VLOOKUP($C23,Sheet1!$C$3:$D$52,2,0)</f>
        <v>28000</v>
      </c>
      <c r="E23" s="63">
        <v>0.5</v>
      </c>
      <c r="F23" s="61">
        <f t="shared" ca="1" si="1"/>
        <v>0</v>
      </c>
      <c r="G23" s="61">
        <v>20.960674157303369</v>
      </c>
      <c r="H23" s="61">
        <f t="shared" ca="1" si="2"/>
        <v>0</v>
      </c>
      <c r="I23" s="61"/>
      <c r="J23" s="61">
        <f t="shared" ca="1" si="3"/>
        <v>0</v>
      </c>
      <c r="K23" s="61"/>
      <c r="L23" s="2">
        <f ca="1">IFERROR(SUMIFS(INDIRECT("'Thanh Toán ("&amp;L$3&amp;")'!$e:$e"),INDIRECT("'Thanh Toán ("&amp;L$3&amp;")'!$B:$B"),'Tổng Đơn'!$B23),0)</f>
        <v>0</v>
      </c>
      <c r="M23" s="2">
        <f ca="1">IFERROR(SUMIFS(INDIRECT("'Thanh Toán ("&amp;M$3&amp;")'!$e:$e"),INDIRECT("'Thanh Toán ("&amp;M$3&amp;")'!$B:$B"),'Tổng Đơn'!$B23),0)</f>
        <v>0</v>
      </c>
      <c r="N23" s="2">
        <f ca="1">IFERROR(SUMIFS(INDIRECT("'Thanh Toán ("&amp;N$3&amp;")'!$e:$e"),INDIRECT("'Thanh Toán ("&amp;N$3&amp;")'!$B:$B"),'Tổng Đơn'!$B23),0)</f>
        <v>0</v>
      </c>
      <c r="O23" s="2">
        <f ca="1">IFERROR(SUMIFS(INDIRECT("'Thanh Toán ("&amp;O$3&amp;")'!$e:$e"),INDIRECT("'Thanh Toán ("&amp;O$3&amp;")'!$B:$B"),'Tổng Đơn'!$B23),0)</f>
        <v>0</v>
      </c>
      <c r="P23" s="2">
        <f ca="1">IFERROR(SUMIFS(INDIRECT("'Thanh Toán ("&amp;P$3&amp;")'!$e:$e"),INDIRECT("'Thanh Toán ("&amp;P$3&amp;")'!$B:$B"),'Tổng Đơn'!$B23),0)</f>
        <v>0</v>
      </c>
      <c r="Q23" s="2">
        <f ca="1">IFERROR(SUMIFS(INDIRECT("'Thanh Toán ("&amp;Q$3&amp;")'!$e:$e"),INDIRECT("'Thanh Toán ("&amp;Q$3&amp;")'!$B:$B"),'Tổng Đơn'!$B23),0)</f>
        <v>0</v>
      </c>
      <c r="R23" s="2">
        <f ca="1">IFERROR(SUMIFS(INDIRECT("'Thanh Toán ("&amp;R$3&amp;")'!$e:$e"),INDIRECT("'Thanh Toán ("&amp;R$3&amp;")'!$B:$B"),'Tổng Đơn'!$B23),0)</f>
        <v>0</v>
      </c>
      <c r="S23" s="2">
        <f ca="1">IFERROR(SUMIFS(INDIRECT("'Thanh Toán ("&amp;S$3&amp;")'!$e:$e"),INDIRECT("'Thanh Toán ("&amp;S$3&amp;")'!$B:$B"),'Tổng Đơn'!$B23),0)</f>
        <v>0</v>
      </c>
      <c r="T23" s="2">
        <f ca="1">IFERROR(SUMIFS(INDIRECT("'Thanh Toán ("&amp;T$3&amp;")'!$e:$e"),INDIRECT("'Thanh Toán ("&amp;T$3&amp;")'!$B:$B"),'Tổng Đơn'!$B23),0)</f>
        <v>0</v>
      </c>
      <c r="U23" s="2">
        <f ca="1">IFERROR(SUMIFS(INDIRECT("'Thanh Toán ("&amp;U$3&amp;")'!$e:$e"),INDIRECT("'Thanh Toán ("&amp;U$3&amp;")'!$B:$B"),'Tổng Đơn'!$B23),0)</f>
        <v>0</v>
      </c>
      <c r="V23" s="2">
        <f ca="1">IFERROR(SUMIFS(INDIRECT("'Thanh Toán ("&amp;V$3&amp;")'!$e:$e"),INDIRECT("'Thanh Toán ("&amp;V$3&amp;")'!$B:$B"),'Tổng Đơn'!$B23),0)</f>
        <v>0</v>
      </c>
      <c r="W23" s="2">
        <f ca="1">IFERROR(SUMIFS(INDIRECT("'Thanh Toán ("&amp;W$3&amp;")'!$e:$e"),INDIRECT("'Thanh Toán ("&amp;W$3&amp;")'!$B:$B"),'Tổng Đơn'!$B23),0)</f>
        <v>0</v>
      </c>
      <c r="X23" s="2">
        <f ca="1">IFERROR(SUMIFS(INDIRECT("'Thanh Toán ("&amp;X$3&amp;")'!$e:$e"),INDIRECT("'Thanh Toán ("&amp;X$3&amp;")'!$B:$B"),'Tổng Đơn'!$B23),0)</f>
        <v>0</v>
      </c>
      <c r="Y23" s="2">
        <f ca="1">IFERROR(SUMIFS(INDIRECT("'Thanh Toán ("&amp;Y$3&amp;")'!$e:$e"),INDIRECT("'Thanh Toán ("&amp;Y$3&amp;")'!$B:$B"),'Tổng Đơn'!$B23),0)</f>
        <v>0</v>
      </c>
      <c r="Z23" s="2">
        <f ca="1">IFERROR(SUMIFS(INDIRECT("'Thanh Toán ("&amp;Z$3&amp;")'!$e:$e"),INDIRECT("'Thanh Toán ("&amp;Z$3&amp;")'!$B:$B"),'Tổng Đơn'!$B23),0)</f>
        <v>0</v>
      </c>
      <c r="AA23" s="2">
        <f ca="1">IFERROR(SUMIFS(INDIRECT("'Thanh Toán ("&amp;AA$3&amp;")'!$e:$e"),INDIRECT("'Thanh Toán ("&amp;AA$3&amp;")'!$B:$B"),'Tổng Đơn'!$B23),0)</f>
        <v>0</v>
      </c>
      <c r="AB23" s="2">
        <f ca="1">IFERROR(SUMIFS(INDIRECT("'Thanh Toán ("&amp;AB$3&amp;")'!$e:$e"),INDIRECT("'Thanh Toán ("&amp;AB$3&amp;")'!$B:$B"),'Tổng Đơn'!$B23),0)</f>
        <v>0</v>
      </c>
      <c r="AC23" s="2">
        <f ca="1">IFERROR(SUMIFS(INDIRECT("'Thanh Toán ("&amp;AC$3&amp;")'!$e:$e"),INDIRECT("'Thanh Toán ("&amp;AC$3&amp;")'!$B:$B"),'Tổng Đơn'!$B23),0)</f>
        <v>0</v>
      </c>
      <c r="AD23" s="2">
        <f ca="1">IFERROR(SUMIFS(INDIRECT("'Thanh Toán ("&amp;AD$3&amp;")'!$e:$e"),INDIRECT("'Thanh Toán ("&amp;AD$3&amp;")'!$B:$B"),'Tổng Đơn'!$B23),0)</f>
        <v>0</v>
      </c>
      <c r="AE23" s="2">
        <f ca="1">IFERROR(SUMIFS(INDIRECT("'Thanh Toán ("&amp;AE$3&amp;")'!$e:$e"),INDIRECT("'Thanh Toán ("&amp;AE$3&amp;")'!$B:$B"),'Tổng Đơn'!$B23),0)</f>
        <v>0</v>
      </c>
      <c r="AF23" s="2">
        <f ca="1">IFERROR(SUMIFS(INDIRECT("'Thanh Toán ("&amp;AF$3&amp;")'!$e:$e"),INDIRECT("'Thanh Toán ("&amp;AF$3&amp;")'!$B:$B"),'Tổng Đơn'!$B23),0)</f>
        <v>0</v>
      </c>
      <c r="AG23" s="2">
        <f ca="1">IFERROR(SUMIFS(INDIRECT("'Thanh Toán ("&amp;AG$3&amp;")'!$e:$e"),INDIRECT("'Thanh Toán ("&amp;AG$3&amp;")'!$B:$B"),'Tổng Đơn'!$B23),0)</f>
        <v>0</v>
      </c>
      <c r="AH23" s="2">
        <f ca="1">IFERROR(SUMIFS(INDIRECT("'Thanh Toán ("&amp;AH$3&amp;")'!$e:$e"),INDIRECT("'Thanh Toán ("&amp;AH$3&amp;")'!$B:$B"),'Tổng Đơn'!$B23),0)</f>
        <v>0</v>
      </c>
      <c r="AI23" s="2">
        <f ca="1">IFERROR(SUMIFS(INDIRECT("'Thanh Toán ("&amp;AI$3&amp;")'!$e:$e"),INDIRECT("'Thanh Toán ("&amp;AI$3&amp;")'!$B:$B"),'Tổng Đơn'!$B23),0)</f>
        <v>0</v>
      </c>
      <c r="AJ23" s="2">
        <f ca="1">IFERROR(SUMIFS(INDIRECT("'Thanh Toán ("&amp;AJ$3&amp;")'!$e:$e"),INDIRECT("'Thanh Toán ("&amp;AJ$3&amp;")'!$B:$B"),'Tổng Đơn'!$B23),0)</f>
        <v>0</v>
      </c>
      <c r="AK23" s="2">
        <f ca="1">IFERROR(SUMIFS(INDIRECT("'Thanh Toán ("&amp;AK$3&amp;")'!$e:$e"),INDIRECT("'Thanh Toán ("&amp;AK$3&amp;")'!$B:$B"),'Tổng Đơn'!$B23),0)</f>
        <v>0</v>
      </c>
      <c r="AL23" s="2">
        <f ca="1">IFERROR(SUMIFS(INDIRECT("'Thanh Toán ("&amp;AL$3&amp;")'!$e:$e"),INDIRECT("'Thanh Toán ("&amp;AL$3&amp;")'!$B:$B"),'Tổng Đơn'!$B23),0)</f>
        <v>0</v>
      </c>
      <c r="AM23" s="2">
        <f ca="1">IFERROR(SUMIFS(INDIRECT("'Thanh Toán ("&amp;AM$3&amp;")'!$e:$e"),INDIRECT("'Thanh Toán ("&amp;AM$3&amp;")'!$B:$B"),'Tổng Đơn'!$B23),0)</f>
        <v>0</v>
      </c>
      <c r="AN23" s="2">
        <f ca="1">IFERROR(SUMIFS(INDIRECT("'Thanh Toán ("&amp;AN$3&amp;")'!$e:$e"),INDIRECT("'Thanh Toán ("&amp;AN$3&amp;")'!$B:$B"),'Tổng Đơn'!$B23),0)</f>
        <v>0</v>
      </c>
      <c r="AO23" s="2">
        <f ca="1">IFERROR(SUMIFS(INDIRECT("'Thanh Toán ("&amp;AO$3&amp;")'!$e:$e"),INDIRECT("'Thanh Toán ("&amp;AO$3&amp;")'!$B:$B"),'Tổng Đơn'!$B23),0)</f>
        <v>0</v>
      </c>
    </row>
    <row r="24" spans="1:41" x14ac:dyDescent="0.25">
      <c r="A24" s="23">
        <v>20</v>
      </c>
      <c r="B24" s="44" t="s">
        <v>12</v>
      </c>
      <c r="C24" s="23" t="s">
        <v>80</v>
      </c>
      <c r="D24" s="45">
        <f>VLOOKUP($C24,Sheet1!$C$3:$D$52,2,0)</f>
        <v>26000</v>
      </c>
      <c r="E24" s="63">
        <v>0.5</v>
      </c>
      <c r="F24" s="61">
        <f t="shared" ca="1" si="1"/>
        <v>0</v>
      </c>
      <c r="G24" s="61">
        <v>20.960674157303369</v>
      </c>
      <c r="H24" s="61">
        <f t="shared" ca="1" si="2"/>
        <v>0</v>
      </c>
      <c r="I24" s="61"/>
      <c r="J24" s="61">
        <f t="shared" ca="1" si="3"/>
        <v>0</v>
      </c>
      <c r="K24" s="61"/>
      <c r="L24" s="2">
        <f ca="1">IFERROR(SUMIFS(INDIRECT("'Thanh Toán ("&amp;L$3&amp;")'!$e:$e"),INDIRECT("'Thanh Toán ("&amp;L$3&amp;")'!$B:$B"),'Tổng Đơn'!$B24),0)</f>
        <v>0</v>
      </c>
      <c r="M24" s="2">
        <f ca="1">IFERROR(SUMIFS(INDIRECT("'Thanh Toán ("&amp;M$3&amp;")'!$e:$e"),INDIRECT("'Thanh Toán ("&amp;M$3&amp;")'!$B:$B"),'Tổng Đơn'!$B24),0)</f>
        <v>0</v>
      </c>
      <c r="N24" s="2">
        <f ca="1">IFERROR(SUMIFS(INDIRECT("'Thanh Toán ("&amp;N$3&amp;")'!$e:$e"),INDIRECT("'Thanh Toán ("&amp;N$3&amp;")'!$B:$B"),'Tổng Đơn'!$B24),0)</f>
        <v>0</v>
      </c>
      <c r="O24" s="2">
        <f ca="1">IFERROR(SUMIFS(INDIRECT("'Thanh Toán ("&amp;O$3&amp;")'!$e:$e"),INDIRECT("'Thanh Toán ("&amp;O$3&amp;")'!$B:$B"),'Tổng Đơn'!$B24),0)</f>
        <v>0</v>
      </c>
      <c r="P24" s="2">
        <f ca="1">IFERROR(SUMIFS(INDIRECT("'Thanh Toán ("&amp;P$3&amp;")'!$e:$e"),INDIRECT("'Thanh Toán ("&amp;P$3&amp;")'!$B:$B"),'Tổng Đơn'!$B24),0)</f>
        <v>0</v>
      </c>
      <c r="Q24" s="2">
        <f ca="1">IFERROR(SUMIFS(INDIRECT("'Thanh Toán ("&amp;Q$3&amp;")'!$e:$e"),INDIRECT("'Thanh Toán ("&amp;Q$3&amp;")'!$B:$B"),'Tổng Đơn'!$B24),0)</f>
        <v>0</v>
      </c>
      <c r="R24" s="2">
        <f ca="1">IFERROR(SUMIFS(INDIRECT("'Thanh Toán ("&amp;R$3&amp;")'!$e:$e"),INDIRECT("'Thanh Toán ("&amp;R$3&amp;")'!$B:$B"),'Tổng Đơn'!$B24),0)</f>
        <v>0</v>
      </c>
      <c r="S24" s="2">
        <f ca="1">IFERROR(SUMIFS(INDIRECT("'Thanh Toán ("&amp;S$3&amp;")'!$e:$e"),INDIRECT("'Thanh Toán ("&amp;S$3&amp;")'!$B:$B"),'Tổng Đơn'!$B24),0)</f>
        <v>0</v>
      </c>
      <c r="T24" s="2">
        <f ca="1">IFERROR(SUMIFS(INDIRECT("'Thanh Toán ("&amp;T$3&amp;")'!$e:$e"),INDIRECT("'Thanh Toán ("&amp;T$3&amp;")'!$B:$B"),'Tổng Đơn'!$B24),0)</f>
        <v>0</v>
      </c>
      <c r="U24" s="2">
        <f ca="1">IFERROR(SUMIFS(INDIRECT("'Thanh Toán ("&amp;U$3&amp;")'!$e:$e"),INDIRECT("'Thanh Toán ("&amp;U$3&amp;")'!$B:$B"),'Tổng Đơn'!$B24),0)</f>
        <v>0</v>
      </c>
      <c r="V24" s="2">
        <f ca="1">IFERROR(SUMIFS(INDIRECT("'Thanh Toán ("&amp;V$3&amp;")'!$e:$e"),INDIRECT("'Thanh Toán ("&amp;V$3&amp;")'!$B:$B"),'Tổng Đơn'!$B24),0)</f>
        <v>0</v>
      </c>
      <c r="W24" s="2">
        <f ca="1">IFERROR(SUMIFS(INDIRECT("'Thanh Toán ("&amp;W$3&amp;")'!$e:$e"),INDIRECT("'Thanh Toán ("&amp;W$3&amp;")'!$B:$B"),'Tổng Đơn'!$B24),0)</f>
        <v>0</v>
      </c>
      <c r="X24" s="2">
        <f ca="1">IFERROR(SUMIFS(INDIRECT("'Thanh Toán ("&amp;X$3&amp;")'!$e:$e"),INDIRECT("'Thanh Toán ("&amp;X$3&amp;")'!$B:$B"),'Tổng Đơn'!$B24),0)</f>
        <v>0</v>
      </c>
      <c r="Y24" s="2">
        <f ca="1">IFERROR(SUMIFS(INDIRECT("'Thanh Toán ("&amp;Y$3&amp;")'!$e:$e"),INDIRECT("'Thanh Toán ("&amp;Y$3&amp;")'!$B:$B"),'Tổng Đơn'!$B24),0)</f>
        <v>0</v>
      </c>
      <c r="Z24" s="2">
        <f ca="1">IFERROR(SUMIFS(INDIRECT("'Thanh Toán ("&amp;Z$3&amp;")'!$e:$e"),INDIRECT("'Thanh Toán ("&amp;Z$3&amp;")'!$B:$B"),'Tổng Đơn'!$B24),0)</f>
        <v>0</v>
      </c>
      <c r="AA24" s="2">
        <f ca="1">IFERROR(SUMIFS(INDIRECT("'Thanh Toán ("&amp;AA$3&amp;")'!$e:$e"),INDIRECT("'Thanh Toán ("&amp;AA$3&amp;")'!$B:$B"),'Tổng Đơn'!$B24),0)</f>
        <v>0</v>
      </c>
      <c r="AB24" s="2">
        <f ca="1">IFERROR(SUMIFS(INDIRECT("'Thanh Toán ("&amp;AB$3&amp;")'!$e:$e"),INDIRECT("'Thanh Toán ("&amp;AB$3&amp;")'!$B:$B"),'Tổng Đơn'!$B24),0)</f>
        <v>0</v>
      </c>
      <c r="AC24" s="2">
        <f ca="1">IFERROR(SUMIFS(INDIRECT("'Thanh Toán ("&amp;AC$3&amp;")'!$e:$e"),INDIRECT("'Thanh Toán ("&amp;AC$3&amp;")'!$B:$B"),'Tổng Đơn'!$B24),0)</f>
        <v>0</v>
      </c>
      <c r="AD24" s="2">
        <f ca="1">IFERROR(SUMIFS(INDIRECT("'Thanh Toán ("&amp;AD$3&amp;")'!$e:$e"),INDIRECT("'Thanh Toán ("&amp;AD$3&amp;")'!$B:$B"),'Tổng Đơn'!$B24),0)</f>
        <v>0</v>
      </c>
      <c r="AE24" s="2">
        <f ca="1">IFERROR(SUMIFS(INDIRECT("'Thanh Toán ("&amp;AE$3&amp;")'!$e:$e"),INDIRECT("'Thanh Toán ("&amp;AE$3&amp;")'!$B:$B"),'Tổng Đơn'!$B24),0)</f>
        <v>0</v>
      </c>
      <c r="AF24" s="2">
        <f ca="1">IFERROR(SUMIFS(INDIRECT("'Thanh Toán ("&amp;AF$3&amp;")'!$e:$e"),INDIRECT("'Thanh Toán ("&amp;AF$3&amp;")'!$B:$B"),'Tổng Đơn'!$B24),0)</f>
        <v>0</v>
      </c>
      <c r="AG24" s="2">
        <f ca="1">IFERROR(SUMIFS(INDIRECT("'Thanh Toán ("&amp;AG$3&amp;")'!$e:$e"),INDIRECT("'Thanh Toán ("&amp;AG$3&amp;")'!$B:$B"),'Tổng Đơn'!$B24),0)</f>
        <v>0</v>
      </c>
      <c r="AH24" s="2">
        <f ca="1">IFERROR(SUMIFS(INDIRECT("'Thanh Toán ("&amp;AH$3&amp;")'!$e:$e"),INDIRECT("'Thanh Toán ("&amp;AH$3&amp;")'!$B:$B"),'Tổng Đơn'!$B24),0)</f>
        <v>0</v>
      </c>
      <c r="AI24" s="2">
        <f ca="1">IFERROR(SUMIFS(INDIRECT("'Thanh Toán ("&amp;AI$3&amp;")'!$e:$e"),INDIRECT("'Thanh Toán ("&amp;AI$3&amp;")'!$B:$B"),'Tổng Đơn'!$B24),0)</f>
        <v>0</v>
      </c>
      <c r="AJ24" s="2">
        <f ca="1">IFERROR(SUMIFS(INDIRECT("'Thanh Toán ("&amp;AJ$3&amp;")'!$e:$e"),INDIRECT("'Thanh Toán ("&amp;AJ$3&amp;")'!$B:$B"),'Tổng Đơn'!$B24),0)</f>
        <v>0</v>
      </c>
      <c r="AK24" s="2">
        <f ca="1">IFERROR(SUMIFS(INDIRECT("'Thanh Toán ("&amp;AK$3&amp;")'!$e:$e"),INDIRECT("'Thanh Toán ("&amp;AK$3&amp;")'!$B:$B"),'Tổng Đơn'!$B24),0)</f>
        <v>0</v>
      </c>
      <c r="AL24" s="2">
        <f ca="1">IFERROR(SUMIFS(INDIRECT("'Thanh Toán ("&amp;AL$3&amp;")'!$e:$e"),INDIRECT("'Thanh Toán ("&amp;AL$3&amp;")'!$B:$B"),'Tổng Đơn'!$B24),0)</f>
        <v>0</v>
      </c>
      <c r="AM24" s="2">
        <f ca="1">IFERROR(SUMIFS(INDIRECT("'Thanh Toán ("&amp;AM$3&amp;")'!$e:$e"),INDIRECT("'Thanh Toán ("&amp;AM$3&amp;")'!$B:$B"),'Tổng Đơn'!$B24),0)</f>
        <v>0</v>
      </c>
      <c r="AN24" s="2">
        <f ca="1">IFERROR(SUMIFS(INDIRECT("'Thanh Toán ("&amp;AN$3&amp;")'!$e:$e"),INDIRECT("'Thanh Toán ("&amp;AN$3&amp;")'!$B:$B"),'Tổng Đơn'!$B24),0)</f>
        <v>0</v>
      </c>
      <c r="AO24" s="2">
        <f ca="1">IFERROR(SUMIFS(INDIRECT("'Thanh Toán ("&amp;AO$3&amp;")'!$e:$e"),INDIRECT("'Thanh Toán ("&amp;AO$3&amp;")'!$B:$B"),'Tổng Đơn'!$B24),0)</f>
        <v>0</v>
      </c>
    </row>
    <row r="25" spans="1:41" x14ac:dyDescent="0.25">
      <c r="A25" s="23">
        <v>21</v>
      </c>
      <c r="B25" s="44" t="s">
        <v>14</v>
      </c>
      <c r="C25" s="23" t="s">
        <v>81</v>
      </c>
      <c r="D25" s="45">
        <f>VLOOKUP($C25,Sheet1!$C$3:$D$52,2,0)</f>
        <v>33000</v>
      </c>
      <c r="E25" s="63">
        <v>0.5</v>
      </c>
      <c r="F25" s="61">
        <f t="shared" ca="1" si="1"/>
        <v>2</v>
      </c>
      <c r="G25" s="61">
        <v>28.117977528089888</v>
      </c>
      <c r="H25" s="61">
        <f t="shared" ca="1" si="2"/>
        <v>9764.0449438202268</v>
      </c>
      <c r="I25" s="61"/>
      <c r="J25" s="61">
        <f t="shared" ca="1" si="3"/>
        <v>66000</v>
      </c>
      <c r="K25" s="61"/>
      <c r="L25" s="2">
        <f ca="1">IFERROR(SUMIFS(INDIRECT("'Thanh Toán ("&amp;L$3&amp;")'!$e:$e"),INDIRECT("'Thanh Toán ("&amp;L$3&amp;")'!$B:$B"),'Tổng Đơn'!$B25),0)</f>
        <v>0</v>
      </c>
      <c r="M25" s="2">
        <f ca="1">IFERROR(SUMIFS(INDIRECT("'Thanh Toán ("&amp;M$3&amp;")'!$e:$e"),INDIRECT("'Thanh Toán ("&amp;M$3&amp;")'!$B:$B"),'Tổng Đơn'!$B25),0)</f>
        <v>2</v>
      </c>
      <c r="N25" s="2">
        <f ca="1">IFERROR(SUMIFS(INDIRECT("'Thanh Toán ("&amp;N$3&amp;")'!$e:$e"),INDIRECT("'Thanh Toán ("&amp;N$3&amp;")'!$B:$B"),'Tổng Đơn'!$B25),0)</f>
        <v>0</v>
      </c>
      <c r="O25" s="2">
        <f ca="1">IFERROR(SUMIFS(INDIRECT("'Thanh Toán ("&amp;O$3&amp;")'!$e:$e"),INDIRECT("'Thanh Toán ("&amp;O$3&amp;")'!$B:$B"),'Tổng Đơn'!$B25),0)</f>
        <v>0</v>
      </c>
      <c r="P25" s="2">
        <f ca="1">IFERROR(SUMIFS(INDIRECT("'Thanh Toán ("&amp;P$3&amp;")'!$e:$e"),INDIRECT("'Thanh Toán ("&amp;P$3&amp;")'!$B:$B"),'Tổng Đơn'!$B25),0)</f>
        <v>0</v>
      </c>
      <c r="Q25" s="2">
        <f ca="1">IFERROR(SUMIFS(INDIRECT("'Thanh Toán ("&amp;Q$3&amp;")'!$e:$e"),INDIRECT("'Thanh Toán ("&amp;Q$3&amp;")'!$B:$B"),'Tổng Đơn'!$B25),0)</f>
        <v>0</v>
      </c>
      <c r="R25" s="2">
        <f ca="1">IFERROR(SUMIFS(INDIRECT("'Thanh Toán ("&amp;R$3&amp;")'!$e:$e"),INDIRECT("'Thanh Toán ("&amp;R$3&amp;")'!$B:$B"),'Tổng Đơn'!$B25),0)</f>
        <v>0</v>
      </c>
      <c r="S25" s="2">
        <f ca="1">IFERROR(SUMIFS(INDIRECT("'Thanh Toán ("&amp;S$3&amp;")'!$e:$e"),INDIRECT("'Thanh Toán ("&amp;S$3&amp;")'!$B:$B"),'Tổng Đơn'!$B25),0)</f>
        <v>0</v>
      </c>
      <c r="T25" s="2">
        <f ca="1">IFERROR(SUMIFS(INDIRECT("'Thanh Toán ("&amp;T$3&amp;")'!$e:$e"),INDIRECT("'Thanh Toán ("&amp;T$3&amp;")'!$B:$B"),'Tổng Đơn'!$B25),0)</f>
        <v>0</v>
      </c>
      <c r="U25" s="2">
        <f ca="1">IFERROR(SUMIFS(INDIRECT("'Thanh Toán ("&amp;U$3&amp;")'!$e:$e"),INDIRECT("'Thanh Toán ("&amp;U$3&amp;")'!$B:$B"),'Tổng Đơn'!$B25),0)</f>
        <v>0</v>
      </c>
      <c r="V25" s="2">
        <f ca="1">IFERROR(SUMIFS(INDIRECT("'Thanh Toán ("&amp;V$3&amp;")'!$e:$e"),INDIRECT("'Thanh Toán ("&amp;V$3&amp;")'!$B:$B"),'Tổng Đơn'!$B25),0)</f>
        <v>0</v>
      </c>
      <c r="W25" s="2">
        <f ca="1">IFERROR(SUMIFS(INDIRECT("'Thanh Toán ("&amp;W$3&amp;")'!$e:$e"),INDIRECT("'Thanh Toán ("&amp;W$3&amp;")'!$B:$B"),'Tổng Đơn'!$B25),0)</f>
        <v>0</v>
      </c>
      <c r="X25" s="2">
        <f ca="1">IFERROR(SUMIFS(INDIRECT("'Thanh Toán ("&amp;X$3&amp;")'!$e:$e"),INDIRECT("'Thanh Toán ("&amp;X$3&amp;")'!$B:$B"),'Tổng Đơn'!$B25),0)</f>
        <v>0</v>
      </c>
      <c r="Y25" s="2">
        <f ca="1">IFERROR(SUMIFS(INDIRECT("'Thanh Toán ("&amp;Y$3&amp;")'!$e:$e"),INDIRECT("'Thanh Toán ("&amp;Y$3&amp;")'!$B:$B"),'Tổng Đơn'!$B25),0)</f>
        <v>0</v>
      </c>
      <c r="Z25" s="2">
        <f ca="1">IFERROR(SUMIFS(INDIRECT("'Thanh Toán ("&amp;Z$3&amp;")'!$e:$e"),INDIRECT("'Thanh Toán ("&amp;Z$3&amp;")'!$B:$B"),'Tổng Đơn'!$B25),0)</f>
        <v>0</v>
      </c>
      <c r="AA25" s="2">
        <f ca="1">IFERROR(SUMIFS(INDIRECT("'Thanh Toán ("&amp;AA$3&amp;")'!$e:$e"),INDIRECT("'Thanh Toán ("&amp;AA$3&amp;")'!$B:$B"),'Tổng Đơn'!$B25),0)</f>
        <v>0</v>
      </c>
      <c r="AB25" s="2">
        <f ca="1">IFERROR(SUMIFS(INDIRECT("'Thanh Toán ("&amp;AB$3&amp;")'!$e:$e"),INDIRECT("'Thanh Toán ("&amp;AB$3&amp;")'!$B:$B"),'Tổng Đơn'!$B25),0)</f>
        <v>0</v>
      </c>
      <c r="AC25" s="2">
        <f ca="1">IFERROR(SUMIFS(INDIRECT("'Thanh Toán ("&amp;AC$3&amp;")'!$e:$e"),INDIRECT("'Thanh Toán ("&amp;AC$3&amp;")'!$B:$B"),'Tổng Đơn'!$B25),0)</f>
        <v>0</v>
      </c>
      <c r="AD25" s="2">
        <f ca="1">IFERROR(SUMIFS(INDIRECT("'Thanh Toán ("&amp;AD$3&amp;")'!$e:$e"),INDIRECT("'Thanh Toán ("&amp;AD$3&amp;")'!$B:$B"),'Tổng Đơn'!$B25),0)</f>
        <v>0</v>
      </c>
      <c r="AE25" s="2">
        <f ca="1">IFERROR(SUMIFS(INDIRECT("'Thanh Toán ("&amp;AE$3&amp;")'!$e:$e"),INDIRECT("'Thanh Toán ("&amp;AE$3&amp;")'!$B:$B"),'Tổng Đơn'!$B25),0)</f>
        <v>0</v>
      </c>
      <c r="AF25" s="2">
        <f ca="1">IFERROR(SUMIFS(INDIRECT("'Thanh Toán ("&amp;AF$3&amp;")'!$e:$e"),INDIRECT("'Thanh Toán ("&amp;AF$3&amp;")'!$B:$B"),'Tổng Đơn'!$B25),0)</f>
        <v>0</v>
      </c>
      <c r="AG25" s="2">
        <f ca="1">IFERROR(SUMIFS(INDIRECT("'Thanh Toán ("&amp;AG$3&amp;")'!$e:$e"),INDIRECT("'Thanh Toán ("&amp;AG$3&amp;")'!$B:$B"),'Tổng Đơn'!$B25),0)</f>
        <v>0</v>
      </c>
      <c r="AH25" s="2">
        <f ca="1">IFERROR(SUMIFS(INDIRECT("'Thanh Toán ("&amp;AH$3&amp;")'!$e:$e"),INDIRECT("'Thanh Toán ("&amp;AH$3&amp;")'!$B:$B"),'Tổng Đơn'!$B25),0)</f>
        <v>0</v>
      </c>
      <c r="AI25" s="2">
        <f ca="1">IFERROR(SUMIFS(INDIRECT("'Thanh Toán ("&amp;AI$3&amp;")'!$e:$e"),INDIRECT("'Thanh Toán ("&amp;AI$3&amp;")'!$B:$B"),'Tổng Đơn'!$B25),0)</f>
        <v>0</v>
      </c>
      <c r="AJ25" s="2">
        <f ca="1">IFERROR(SUMIFS(INDIRECT("'Thanh Toán ("&amp;AJ$3&amp;")'!$e:$e"),INDIRECT("'Thanh Toán ("&amp;AJ$3&amp;")'!$B:$B"),'Tổng Đơn'!$B25),0)</f>
        <v>0</v>
      </c>
      <c r="AK25" s="2">
        <f ca="1">IFERROR(SUMIFS(INDIRECT("'Thanh Toán ("&amp;AK$3&amp;")'!$e:$e"),INDIRECT("'Thanh Toán ("&amp;AK$3&amp;")'!$B:$B"),'Tổng Đơn'!$B25),0)</f>
        <v>0</v>
      </c>
      <c r="AL25" s="2">
        <f ca="1">IFERROR(SUMIFS(INDIRECT("'Thanh Toán ("&amp;AL$3&amp;")'!$e:$e"),INDIRECT("'Thanh Toán ("&amp;AL$3&amp;")'!$B:$B"),'Tổng Đơn'!$B25),0)</f>
        <v>0</v>
      </c>
      <c r="AM25" s="2">
        <f ca="1">IFERROR(SUMIFS(INDIRECT("'Thanh Toán ("&amp;AM$3&amp;")'!$e:$e"),INDIRECT("'Thanh Toán ("&amp;AM$3&amp;")'!$B:$B"),'Tổng Đơn'!$B25),0)</f>
        <v>0</v>
      </c>
      <c r="AN25" s="2">
        <f ca="1">IFERROR(SUMIFS(INDIRECT("'Thanh Toán ("&amp;AN$3&amp;")'!$e:$e"),INDIRECT("'Thanh Toán ("&amp;AN$3&amp;")'!$B:$B"),'Tổng Đơn'!$B25),0)</f>
        <v>0</v>
      </c>
      <c r="AO25" s="2">
        <f ca="1">IFERROR(SUMIFS(INDIRECT("'Thanh Toán ("&amp;AO$3&amp;")'!$e:$e"),INDIRECT("'Thanh Toán ("&amp;AO$3&amp;")'!$B:$B"),'Tổng Đơn'!$B25),0)</f>
        <v>0</v>
      </c>
    </row>
    <row r="26" spans="1:41" x14ac:dyDescent="0.25">
      <c r="A26" s="23">
        <v>22</v>
      </c>
      <c r="B26" s="44" t="s">
        <v>7</v>
      </c>
      <c r="C26" s="23" t="s">
        <v>82</v>
      </c>
      <c r="D26" s="45">
        <f>VLOOKUP($C26,Sheet1!$C$3:$D$52,2,0)</f>
        <v>34000</v>
      </c>
      <c r="E26" s="63">
        <v>0.5</v>
      </c>
      <c r="F26" s="61">
        <f t="shared" ca="1" si="1"/>
        <v>0</v>
      </c>
      <c r="G26" s="61">
        <v>28.117977528089888</v>
      </c>
      <c r="H26" s="61">
        <f t="shared" ca="1" si="2"/>
        <v>0</v>
      </c>
      <c r="I26" s="61"/>
      <c r="J26" s="61">
        <f t="shared" ca="1" si="3"/>
        <v>0</v>
      </c>
      <c r="K26" s="61"/>
      <c r="L26" s="2">
        <f ca="1">IFERROR(SUMIFS(INDIRECT("'Thanh Toán ("&amp;L$3&amp;")'!$e:$e"),INDIRECT("'Thanh Toán ("&amp;L$3&amp;")'!$B:$B"),'Tổng Đơn'!$B26),0)</f>
        <v>0</v>
      </c>
      <c r="M26" s="2">
        <f ca="1">IFERROR(SUMIFS(INDIRECT("'Thanh Toán ("&amp;M$3&amp;")'!$e:$e"),INDIRECT("'Thanh Toán ("&amp;M$3&amp;")'!$B:$B"),'Tổng Đơn'!$B26),0)</f>
        <v>0</v>
      </c>
      <c r="N26" s="2">
        <f ca="1">IFERROR(SUMIFS(INDIRECT("'Thanh Toán ("&amp;N$3&amp;")'!$e:$e"),INDIRECT("'Thanh Toán ("&amp;N$3&amp;")'!$B:$B"),'Tổng Đơn'!$B26),0)</f>
        <v>0</v>
      </c>
      <c r="O26" s="2">
        <f ca="1">IFERROR(SUMIFS(INDIRECT("'Thanh Toán ("&amp;O$3&amp;")'!$e:$e"),INDIRECT("'Thanh Toán ("&amp;O$3&amp;")'!$B:$B"),'Tổng Đơn'!$B26),0)</f>
        <v>0</v>
      </c>
      <c r="P26" s="2">
        <f ca="1">IFERROR(SUMIFS(INDIRECT("'Thanh Toán ("&amp;P$3&amp;")'!$e:$e"),INDIRECT("'Thanh Toán ("&amp;P$3&amp;")'!$B:$B"),'Tổng Đơn'!$B26),0)</f>
        <v>0</v>
      </c>
      <c r="Q26" s="2">
        <f ca="1">IFERROR(SUMIFS(INDIRECT("'Thanh Toán ("&amp;Q$3&amp;")'!$e:$e"),INDIRECT("'Thanh Toán ("&amp;Q$3&amp;")'!$B:$B"),'Tổng Đơn'!$B26),0)</f>
        <v>0</v>
      </c>
      <c r="R26" s="2">
        <f ca="1">IFERROR(SUMIFS(INDIRECT("'Thanh Toán ("&amp;R$3&amp;")'!$e:$e"),INDIRECT("'Thanh Toán ("&amp;R$3&amp;")'!$B:$B"),'Tổng Đơn'!$B26),0)</f>
        <v>0</v>
      </c>
      <c r="S26" s="2">
        <f ca="1">IFERROR(SUMIFS(INDIRECT("'Thanh Toán ("&amp;S$3&amp;")'!$e:$e"),INDIRECT("'Thanh Toán ("&amp;S$3&amp;")'!$B:$B"),'Tổng Đơn'!$B26),0)</f>
        <v>0</v>
      </c>
      <c r="T26" s="2">
        <f ca="1">IFERROR(SUMIFS(INDIRECT("'Thanh Toán ("&amp;T$3&amp;")'!$e:$e"),INDIRECT("'Thanh Toán ("&amp;T$3&amp;")'!$B:$B"),'Tổng Đơn'!$B26),0)</f>
        <v>0</v>
      </c>
      <c r="U26" s="2">
        <f ca="1">IFERROR(SUMIFS(INDIRECT("'Thanh Toán ("&amp;U$3&amp;")'!$e:$e"),INDIRECT("'Thanh Toán ("&amp;U$3&amp;")'!$B:$B"),'Tổng Đơn'!$B26),0)</f>
        <v>0</v>
      </c>
      <c r="V26" s="2">
        <f ca="1">IFERROR(SUMIFS(INDIRECT("'Thanh Toán ("&amp;V$3&amp;")'!$e:$e"),INDIRECT("'Thanh Toán ("&amp;V$3&amp;")'!$B:$B"),'Tổng Đơn'!$B26),0)</f>
        <v>0</v>
      </c>
      <c r="W26" s="2">
        <f ca="1">IFERROR(SUMIFS(INDIRECT("'Thanh Toán ("&amp;W$3&amp;")'!$e:$e"),INDIRECT("'Thanh Toán ("&amp;W$3&amp;")'!$B:$B"),'Tổng Đơn'!$B26),0)</f>
        <v>0</v>
      </c>
      <c r="X26" s="2">
        <f ca="1">IFERROR(SUMIFS(INDIRECT("'Thanh Toán ("&amp;X$3&amp;")'!$e:$e"),INDIRECT("'Thanh Toán ("&amp;X$3&amp;")'!$B:$B"),'Tổng Đơn'!$B26),0)</f>
        <v>0</v>
      </c>
      <c r="Y26" s="2">
        <f ca="1">IFERROR(SUMIFS(INDIRECT("'Thanh Toán ("&amp;Y$3&amp;")'!$e:$e"),INDIRECT("'Thanh Toán ("&amp;Y$3&amp;")'!$B:$B"),'Tổng Đơn'!$B26),0)</f>
        <v>0</v>
      </c>
      <c r="Z26" s="2">
        <f ca="1">IFERROR(SUMIFS(INDIRECT("'Thanh Toán ("&amp;Z$3&amp;")'!$e:$e"),INDIRECT("'Thanh Toán ("&amp;Z$3&amp;")'!$B:$B"),'Tổng Đơn'!$B26),0)</f>
        <v>0</v>
      </c>
      <c r="AA26" s="2">
        <f ca="1">IFERROR(SUMIFS(INDIRECT("'Thanh Toán ("&amp;AA$3&amp;")'!$e:$e"),INDIRECT("'Thanh Toán ("&amp;AA$3&amp;")'!$B:$B"),'Tổng Đơn'!$B26),0)</f>
        <v>0</v>
      </c>
      <c r="AB26" s="2">
        <f ca="1">IFERROR(SUMIFS(INDIRECT("'Thanh Toán ("&amp;AB$3&amp;")'!$e:$e"),INDIRECT("'Thanh Toán ("&amp;AB$3&amp;")'!$B:$B"),'Tổng Đơn'!$B26),0)</f>
        <v>0</v>
      </c>
      <c r="AC26" s="2">
        <f ca="1">IFERROR(SUMIFS(INDIRECT("'Thanh Toán ("&amp;AC$3&amp;")'!$e:$e"),INDIRECT("'Thanh Toán ("&amp;AC$3&amp;")'!$B:$B"),'Tổng Đơn'!$B26),0)</f>
        <v>0</v>
      </c>
      <c r="AD26" s="2">
        <f ca="1">IFERROR(SUMIFS(INDIRECT("'Thanh Toán ("&amp;AD$3&amp;")'!$e:$e"),INDIRECT("'Thanh Toán ("&amp;AD$3&amp;")'!$B:$B"),'Tổng Đơn'!$B26),0)</f>
        <v>0</v>
      </c>
      <c r="AE26" s="2">
        <f ca="1">IFERROR(SUMIFS(INDIRECT("'Thanh Toán ("&amp;AE$3&amp;")'!$e:$e"),INDIRECT("'Thanh Toán ("&amp;AE$3&amp;")'!$B:$B"),'Tổng Đơn'!$B26),0)</f>
        <v>0</v>
      </c>
      <c r="AF26" s="2">
        <f ca="1">IFERROR(SUMIFS(INDIRECT("'Thanh Toán ("&amp;AF$3&amp;")'!$e:$e"),INDIRECT("'Thanh Toán ("&amp;AF$3&amp;")'!$B:$B"),'Tổng Đơn'!$B26),0)</f>
        <v>0</v>
      </c>
      <c r="AG26" s="2">
        <f ca="1">IFERROR(SUMIFS(INDIRECT("'Thanh Toán ("&amp;AG$3&amp;")'!$e:$e"),INDIRECT("'Thanh Toán ("&amp;AG$3&amp;")'!$B:$B"),'Tổng Đơn'!$B26),0)</f>
        <v>0</v>
      </c>
      <c r="AH26" s="2">
        <f ca="1">IFERROR(SUMIFS(INDIRECT("'Thanh Toán ("&amp;AH$3&amp;")'!$e:$e"),INDIRECT("'Thanh Toán ("&amp;AH$3&amp;")'!$B:$B"),'Tổng Đơn'!$B26),0)</f>
        <v>0</v>
      </c>
      <c r="AI26" s="2">
        <f ca="1">IFERROR(SUMIFS(INDIRECT("'Thanh Toán ("&amp;AI$3&amp;")'!$e:$e"),INDIRECT("'Thanh Toán ("&amp;AI$3&amp;")'!$B:$B"),'Tổng Đơn'!$B26),0)</f>
        <v>0</v>
      </c>
      <c r="AJ26" s="2">
        <f ca="1">IFERROR(SUMIFS(INDIRECT("'Thanh Toán ("&amp;AJ$3&amp;")'!$e:$e"),INDIRECT("'Thanh Toán ("&amp;AJ$3&amp;")'!$B:$B"),'Tổng Đơn'!$B26),0)</f>
        <v>0</v>
      </c>
      <c r="AK26" s="2">
        <f ca="1">IFERROR(SUMIFS(INDIRECT("'Thanh Toán ("&amp;AK$3&amp;")'!$e:$e"),INDIRECT("'Thanh Toán ("&amp;AK$3&amp;")'!$B:$B"),'Tổng Đơn'!$B26),0)</f>
        <v>0</v>
      </c>
      <c r="AL26" s="2">
        <f ca="1">IFERROR(SUMIFS(INDIRECT("'Thanh Toán ("&amp;AL$3&amp;")'!$e:$e"),INDIRECT("'Thanh Toán ("&amp;AL$3&amp;")'!$B:$B"),'Tổng Đơn'!$B26),0)</f>
        <v>0</v>
      </c>
      <c r="AM26" s="2">
        <f ca="1">IFERROR(SUMIFS(INDIRECT("'Thanh Toán ("&amp;AM$3&amp;")'!$e:$e"),INDIRECT("'Thanh Toán ("&amp;AM$3&amp;")'!$B:$B"),'Tổng Đơn'!$B26),0)</f>
        <v>0</v>
      </c>
      <c r="AN26" s="2">
        <f ca="1">IFERROR(SUMIFS(INDIRECT("'Thanh Toán ("&amp;AN$3&amp;")'!$e:$e"),INDIRECT("'Thanh Toán ("&amp;AN$3&amp;")'!$B:$B"),'Tổng Đơn'!$B26),0)</f>
        <v>0</v>
      </c>
      <c r="AO26" s="2">
        <f ca="1">IFERROR(SUMIFS(INDIRECT("'Thanh Toán ("&amp;AO$3&amp;")'!$e:$e"),INDIRECT("'Thanh Toán ("&amp;AO$3&amp;")'!$B:$B"),'Tổng Đơn'!$B26),0)</f>
        <v>0</v>
      </c>
    </row>
    <row r="27" spans="1:41" x14ac:dyDescent="0.25">
      <c r="A27" s="23">
        <v>23</v>
      </c>
      <c r="B27" s="44" t="s">
        <v>8</v>
      </c>
      <c r="C27" s="23" t="s">
        <v>83</v>
      </c>
      <c r="D27" s="45">
        <f>VLOOKUP($C27,Sheet1!$C$3:$D$52,2,0)</f>
        <v>69000</v>
      </c>
      <c r="E27" s="63">
        <v>0.5</v>
      </c>
      <c r="F27" s="61">
        <f t="shared" ca="1" si="1"/>
        <v>1</v>
      </c>
      <c r="G27" s="61">
        <v>58.792134831460672</v>
      </c>
      <c r="H27" s="61">
        <f t="shared" ca="1" si="2"/>
        <v>10207.865168539327</v>
      </c>
      <c r="I27" s="61"/>
      <c r="J27" s="61">
        <f t="shared" ca="1" si="3"/>
        <v>69000</v>
      </c>
      <c r="K27" s="61"/>
      <c r="L27" s="2">
        <f ca="1">IFERROR(SUMIFS(INDIRECT("'Thanh Toán ("&amp;L$3&amp;")'!$e:$e"),INDIRECT("'Thanh Toán ("&amp;L$3&amp;")'!$B:$B"),'Tổng Đơn'!$B27),0)</f>
        <v>0</v>
      </c>
      <c r="M27" s="2">
        <f ca="1">IFERROR(SUMIFS(INDIRECT("'Thanh Toán ("&amp;M$3&amp;")'!$e:$e"),INDIRECT("'Thanh Toán ("&amp;M$3&amp;")'!$B:$B"),'Tổng Đơn'!$B27),0)</f>
        <v>0</v>
      </c>
      <c r="N27" s="2">
        <f ca="1">IFERROR(SUMIFS(INDIRECT("'Thanh Toán ("&amp;N$3&amp;")'!$e:$e"),INDIRECT("'Thanh Toán ("&amp;N$3&amp;")'!$B:$B"),'Tổng Đơn'!$B27),0)</f>
        <v>0</v>
      </c>
      <c r="O27" s="2">
        <f ca="1">IFERROR(SUMIFS(INDIRECT("'Thanh Toán ("&amp;O$3&amp;")'!$e:$e"),INDIRECT("'Thanh Toán ("&amp;O$3&amp;")'!$B:$B"),'Tổng Đơn'!$B27),0)</f>
        <v>0</v>
      </c>
      <c r="P27" s="2">
        <f ca="1">IFERROR(SUMIFS(INDIRECT("'Thanh Toán ("&amp;P$3&amp;")'!$e:$e"),INDIRECT("'Thanh Toán ("&amp;P$3&amp;")'!$B:$B"),'Tổng Đơn'!$B27),0)</f>
        <v>0</v>
      </c>
      <c r="Q27" s="2">
        <f ca="1">IFERROR(SUMIFS(INDIRECT("'Thanh Toán ("&amp;Q$3&amp;")'!$e:$e"),INDIRECT("'Thanh Toán ("&amp;Q$3&amp;")'!$B:$B"),'Tổng Đơn'!$B27),0)</f>
        <v>0</v>
      </c>
      <c r="R27" s="2">
        <f ca="1">IFERROR(SUMIFS(INDIRECT("'Thanh Toán ("&amp;R$3&amp;")'!$e:$e"),INDIRECT("'Thanh Toán ("&amp;R$3&amp;")'!$B:$B"),'Tổng Đơn'!$B27),0)</f>
        <v>0</v>
      </c>
      <c r="S27" s="2">
        <f ca="1">IFERROR(SUMIFS(INDIRECT("'Thanh Toán ("&amp;S$3&amp;")'!$e:$e"),INDIRECT("'Thanh Toán ("&amp;S$3&amp;")'!$B:$B"),'Tổng Đơn'!$B27),0)</f>
        <v>1</v>
      </c>
      <c r="T27" s="2">
        <f ca="1">IFERROR(SUMIFS(INDIRECT("'Thanh Toán ("&amp;T$3&amp;")'!$e:$e"),INDIRECT("'Thanh Toán ("&amp;T$3&amp;")'!$B:$B"),'Tổng Đơn'!$B27),0)</f>
        <v>0</v>
      </c>
      <c r="U27" s="2">
        <f ca="1">IFERROR(SUMIFS(INDIRECT("'Thanh Toán ("&amp;U$3&amp;")'!$e:$e"),INDIRECT("'Thanh Toán ("&amp;U$3&amp;")'!$B:$B"),'Tổng Đơn'!$B27),0)</f>
        <v>0</v>
      </c>
      <c r="V27" s="2">
        <f ca="1">IFERROR(SUMIFS(INDIRECT("'Thanh Toán ("&amp;V$3&amp;")'!$e:$e"),INDIRECT("'Thanh Toán ("&amp;V$3&amp;")'!$B:$B"),'Tổng Đơn'!$B27),0)</f>
        <v>0</v>
      </c>
      <c r="W27" s="2">
        <f ca="1">IFERROR(SUMIFS(INDIRECT("'Thanh Toán ("&amp;W$3&amp;")'!$e:$e"),INDIRECT("'Thanh Toán ("&amp;W$3&amp;")'!$B:$B"),'Tổng Đơn'!$B27),0)</f>
        <v>0</v>
      </c>
      <c r="X27" s="2">
        <f ca="1">IFERROR(SUMIFS(INDIRECT("'Thanh Toán ("&amp;X$3&amp;")'!$e:$e"),INDIRECT("'Thanh Toán ("&amp;X$3&amp;")'!$B:$B"),'Tổng Đơn'!$B27),0)</f>
        <v>0</v>
      </c>
      <c r="Y27" s="2">
        <f ca="1">IFERROR(SUMIFS(INDIRECT("'Thanh Toán ("&amp;Y$3&amp;")'!$e:$e"),INDIRECT("'Thanh Toán ("&amp;Y$3&amp;")'!$B:$B"),'Tổng Đơn'!$B27),0)</f>
        <v>0</v>
      </c>
      <c r="Z27" s="2">
        <f ca="1">IFERROR(SUMIFS(INDIRECT("'Thanh Toán ("&amp;Z$3&amp;")'!$e:$e"),INDIRECT("'Thanh Toán ("&amp;Z$3&amp;")'!$B:$B"),'Tổng Đơn'!$B27),0)</f>
        <v>0</v>
      </c>
      <c r="AA27" s="2">
        <f ca="1">IFERROR(SUMIFS(INDIRECT("'Thanh Toán ("&amp;AA$3&amp;")'!$e:$e"),INDIRECT("'Thanh Toán ("&amp;AA$3&amp;")'!$B:$B"),'Tổng Đơn'!$B27),0)</f>
        <v>0</v>
      </c>
      <c r="AB27" s="2">
        <f ca="1">IFERROR(SUMIFS(INDIRECT("'Thanh Toán ("&amp;AB$3&amp;")'!$e:$e"),INDIRECT("'Thanh Toán ("&amp;AB$3&amp;")'!$B:$B"),'Tổng Đơn'!$B27),0)</f>
        <v>0</v>
      </c>
      <c r="AC27" s="2">
        <f ca="1">IFERROR(SUMIFS(INDIRECT("'Thanh Toán ("&amp;AC$3&amp;")'!$e:$e"),INDIRECT("'Thanh Toán ("&amp;AC$3&amp;")'!$B:$B"),'Tổng Đơn'!$B27),0)</f>
        <v>0</v>
      </c>
      <c r="AD27" s="2">
        <f ca="1">IFERROR(SUMIFS(INDIRECT("'Thanh Toán ("&amp;AD$3&amp;")'!$e:$e"),INDIRECT("'Thanh Toán ("&amp;AD$3&amp;")'!$B:$B"),'Tổng Đơn'!$B27),0)</f>
        <v>0</v>
      </c>
      <c r="AE27" s="2">
        <f ca="1">IFERROR(SUMIFS(INDIRECT("'Thanh Toán ("&amp;AE$3&amp;")'!$e:$e"),INDIRECT("'Thanh Toán ("&amp;AE$3&amp;")'!$B:$B"),'Tổng Đơn'!$B27),0)</f>
        <v>0</v>
      </c>
      <c r="AF27" s="2">
        <f ca="1">IFERROR(SUMIFS(INDIRECT("'Thanh Toán ("&amp;AF$3&amp;")'!$e:$e"),INDIRECT("'Thanh Toán ("&amp;AF$3&amp;")'!$B:$B"),'Tổng Đơn'!$B27),0)</f>
        <v>0</v>
      </c>
      <c r="AG27" s="2">
        <f ca="1">IFERROR(SUMIFS(INDIRECT("'Thanh Toán ("&amp;AG$3&amp;")'!$e:$e"),INDIRECT("'Thanh Toán ("&amp;AG$3&amp;")'!$B:$B"),'Tổng Đơn'!$B27),0)</f>
        <v>0</v>
      </c>
      <c r="AH27" s="2">
        <f ca="1">IFERROR(SUMIFS(INDIRECT("'Thanh Toán ("&amp;AH$3&amp;")'!$e:$e"),INDIRECT("'Thanh Toán ("&amp;AH$3&amp;")'!$B:$B"),'Tổng Đơn'!$B27),0)</f>
        <v>0</v>
      </c>
      <c r="AI27" s="2">
        <f ca="1">IFERROR(SUMIFS(INDIRECT("'Thanh Toán ("&amp;AI$3&amp;")'!$e:$e"),INDIRECT("'Thanh Toán ("&amp;AI$3&amp;")'!$B:$B"),'Tổng Đơn'!$B27),0)</f>
        <v>0</v>
      </c>
      <c r="AJ27" s="2">
        <f ca="1">IFERROR(SUMIFS(INDIRECT("'Thanh Toán ("&amp;AJ$3&amp;")'!$e:$e"),INDIRECT("'Thanh Toán ("&amp;AJ$3&amp;")'!$B:$B"),'Tổng Đơn'!$B27),0)</f>
        <v>0</v>
      </c>
      <c r="AK27" s="2">
        <f ca="1">IFERROR(SUMIFS(INDIRECT("'Thanh Toán ("&amp;AK$3&amp;")'!$e:$e"),INDIRECT("'Thanh Toán ("&amp;AK$3&amp;")'!$B:$B"),'Tổng Đơn'!$B27),0)</f>
        <v>0</v>
      </c>
      <c r="AL27" s="2">
        <f ca="1">IFERROR(SUMIFS(INDIRECT("'Thanh Toán ("&amp;AL$3&amp;")'!$e:$e"),INDIRECT("'Thanh Toán ("&amp;AL$3&amp;")'!$B:$B"),'Tổng Đơn'!$B27),0)</f>
        <v>0</v>
      </c>
      <c r="AM27" s="2">
        <f ca="1">IFERROR(SUMIFS(INDIRECT("'Thanh Toán ("&amp;AM$3&amp;")'!$e:$e"),INDIRECT("'Thanh Toán ("&amp;AM$3&amp;")'!$B:$B"),'Tổng Đơn'!$B27),0)</f>
        <v>0</v>
      </c>
      <c r="AN27" s="2">
        <f ca="1">IFERROR(SUMIFS(INDIRECT("'Thanh Toán ("&amp;AN$3&amp;")'!$e:$e"),INDIRECT("'Thanh Toán ("&amp;AN$3&amp;")'!$B:$B"),'Tổng Đơn'!$B27),0)</f>
        <v>0</v>
      </c>
      <c r="AO27" s="2">
        <f ca="1">IFERROR(SUMIFS(INDIRECT("'Thanh Toán ("&amp;AO$3&amp;")'!$e:$e"),INDIRECT("'Thanh Toán ("&amp;AO$3&amp;")'!$B:$B"),'Tổng Đơn'!$B27),0)</f>
        <v>0</v>
      </c>
    </row>
    <row r="28" spans="1:41" x14ac:dyDescent="0.25">
      <c r="A28" s="23">
        <v>24</v>
      </c>
      <c r="B28" s="44" t="s">
        <v>28</v>
      </c>
      <c r="C28" s="23" t="s">
        <v>84</v>
      </c>
      <c r="D28" s="45">
        <f>VLOOKUP($C28,Sheet1!$C$3:$D$52,2,0)</f>
        <v>38000</v>
      </c>
      <c r="E28" s="63">
        <v>0.5</v>
      </c>
      <c r="F28" s="61">
        <f t="shared" ca="1" si="1"/>
        <v>1</v>
      </c>
      <c r="G28" s="61">
        <v>33.584157743306143</v>
      </c>
      <c r="H28" s="61">
        <f t="shared" ca="1" si="2"/>
        <v>4415.8422566938534</v>
      </c>
      <c r="I28" s="61"/>
      <c r="J28" s="61">
        <f t="shared" ca="1" si="3"/>
        <v>38000</v>
      </c>
      <c r="K28" s="61"/>
      <c r="L28" s="2">
        <f ca="1">IFERROR(SUMIFS(INDIRECT("'Thanh Toán ("&amp;L$3&amp;")'!$e:$e"),INDIRECT("'Thanh Toán ("&amp;L$3&amp;")'!$B:$B"),'Tổng Đơn'!$B28),0)</f>
        <v>0</v>
      </c>
      <c r="M28" s="2">
        <f ca="1">IFERROR(SUMIFS(INDIRECT("'Thanh Toán ("&amp;M$3&amp;")'!$e:$e"),INDIRECT("'Thanh Toán ("&amp;M$3&amp;")'!$B:$B"),'Tổng Đơn'!$B28),0)</f>
        <v>0</v>
      </c>
      <c r="N28" s="2">
        <f ca="1">IFERROR(SUMIFS(INDIRECT("'Thanh Toán ("&amp;N$3&amp;")'!$e:$e"),INDIRECT("'Thanh Toán ("&amp;N$3&amp;")'!$B:$B"),'Tổng Đơn'!$B28),0)</f>
        <v>0</v>
      </c>
      <c r="O28" s="2">
        <f ca="1">IFERROR(SUMIFS(INDIRECT("'Thanh Toán ("&amp;O$3&amp;")'!$e:$e"),INDIRECT("'Thanh Toán ("&amp;O$3&amp;")'!$B:$B"),'Tổng Đơn'!$B28),0)</f>
        <v>0</v>
      </c>
      <c r="P28" s="2">
        <f ca="1">IFERROR(SUMIFS(INDIRECT("'Thanh Toán ("&amp;P$3&amp;")'!$e:$e"),INDIRECT("'Thanh Toán ("&amp;P$3&amp;")'!$B:$B"),'Tổng Đơn'!$B28),0)</f>
        <v>1</v>
      </c>
      <c r="Q28" s="2">
        <f ca="1">IFERROR(SUMIFS(INDIRECT("'Thanh Toán ("&amp;Q$3&amp;")'!$e:$e"),INDIRECT("'Thanh Toán ("&amp;Q$3&amp;")'!$B:$B"),'Tổng Đơn'!$B28),0)</f>
        <v>0</v>
      </c>
      <c r="R28" s="2">
        <f ca="1">IFERROR(SUMIFS(INDIRECT("'Thanh Toán ("&amp;R$3&amp;")'!$e:$e"),INDIRECT("'Thanh Toán ("&amp;R$3&amp;")'!$B:$B"),'Tổng Đơn'!$B28),0)</f>
        <v>0</v>
      </c>
      <c r="S28" s="2">
        <f ca="1">IFERROR(SUMIFS(INDIRECT("'Thanh Toán ("&amp;S$3&amp;")'!$e:$e"),INDIRECT("'Thanh Toán ("&amp;S$3&amp;")'!$B:$B"),'Tổng Đơn'!$B28),0)</f>
        <v>0</v>
      </c>
      <c r="T28" s="2">
        <f ca="1">IFERROR(SUMIFS(INDIRECT("'Thanh Toán ("&amp;T$3&amp;")'!$e:$e"),INDIRECT("'Thanh Toán ("&amp;T$3&amp;")'!$B:$B"),'Tổng Đơn'!$B28),0)</f>
        <v>0</v>
      </c>
      <c r="U28" s="2">
        <f ca="1">IFERROR(SUMIFS(INDIRECT("'Thanh Toán ("&amp;U$3&amp;")'!$e:$e"),INDIRECT("'Thanh Toán ("&amp;U$3&amp;")'!$B:$B"),'Tổng Đơn'!$B28),0)</f>
        <v>0</v>
      </c>
      <c r="V28" s="2">
        <f ca="1">IFERROR(SUMIFS(INDIRECT("'Thanh Toán ("&amp;V$3&amp;")'!$e:$e"),INDIRECT("'Thanh Toán ("&amp;V$3&amp;")'!$B:$B"),'Tổng Đơn'!$B28),0)</f>
        <v>0</v>
      </c>
      <c r="W28" s="2">
        <f ca="1">IFERROR(SUMIFS(INDIRECT("'Thanh Toán ("&amp;W$3&amp;")'!$e:$e"),INDIRECT("'Thanh Toán ("&amp;W$3&amp;")'!$B:$B"),'Tổng Đơn'!$B28),0)</f>
        <v>0</v>
      </c>
      <c r="X28" s="2">
        <f ca="1">IFERROR(SUMIFS(INDIRECT("'Thanh Toán ("&amp;X$3&amp;")'!$e:$e"),INDIRECT("'Thanh Toán ("&amp;X$3&amp;")'!$B:$B"),'Tổng Đơn'!$B28),0)</f>
        <v>0</v>
      </c>
      <c r="Y28" s="2">
        <f ca="1">IFERROR(SUMIFS(INDIRECT("'Thanh Toán ("&amp;Y$3&amp;")'!$e:$e"),INDIRECT("'Thanh Toán ("&amp;Y$3&amp;")'!$B:$B"),'Tổng Đơn'!$B28),0)</f>
        <v>0</v>
      </c>
      <c r="Z28" s="2">
        <f ca="1">IFERROR(SUMIFS(INDIRECT("'Thanh Toán ("&amp;Z$3&amp;")'!$e:$e"),INDIRECT("'Thanh Toán ("&amp;Z$3&amp;")'!$B:$B"),'Tổng Đơn'!$B28),0)</f>
        <v>0</v>
      </c>
      <c r="AA28" s="2">
        <f ca="1">IFERROR(SUMIFS(INDIRECT("'Thanh Toán ("&amp;AA$3&amp;")'!$e:$e"),INDIRECT("'Thanh Toán ("&amp;AA$3&amp;")'!$B:$B"),'Tổng Đơn'!$B28),0)</f>
        <v>0</v>
      </c>
      <c r="AB28" s="2">
        <f ca="1">IFERROR(SUMIFS(INDIRECT("'Thanh Toán ("&amp;AB$3&amp;")'!$e:$e"),INDIRECT("'Thanh Toán ("&amp;AB$3&amp;")'!$B:$B"),'Tổng Đơn'!$B28),0)</f>
        <v>0</v>
      </c>
      <c r="AC28" s="2">
        <f ca="1">IFERROR(SUMIFS(INDIRECT("'Thanh Toán ("&amp;AC$3&amp;")'!$e:$e"),INDIRECT("'Thanh Toán ("&amp;AC$3&amp;")'!$B:$B"),'Tổng Đơn'!$B28),0)</f>
        <v>0</v>
      </c>
      <c r="AD28" s="2">
        <f ca="1">IFERROR(SUMIFS(INDIRECT("'Thanh Toán ("&amp;AD$3&amp;")'!$e:$e"),INDIRECT("'Thanh Toán ("&amp;AD$3&amp;")'!$B:$B"),'Tổng Đơn'!$B28),0)</f>
        <v>0</v>
      </c>
      <c r="AE28" s="2">
        <f ca="1">IFERROR(SUMIFS(INDIRECT("'Thanh Toán ("&amp;AE$3&amp;")'!$e:$e"),INDIRECT("'Thanh Toán ("&amp;AE$3&amp;")'!$B:$B"),'Tổng Đơn'!$B28),0)</f>
        <v>0</v>
      </c>
      <c r="AF28" s="2">
        <f ca="1">IFERROR(SUMIFS(INDIRECT("'Thanh Toán ("&amp;AF$3&amp;")'!$e:$e"),INDIRECT("'Thanh Toán ("&amp;AF$3&amp;")'!$B:$B"),'Tổng Đơn'!$B28),0)</f>
        <v>0</v>
      </c>
      <c r="AG28" s="2">
        <f ca="1">IFERROR(SUMIFS(INDIRECT("'Thanh Toán ("&amp;AG$3&amp;")'!$e:$e"),INDIRECT("'Thanh Toán ("&amp;AG$3&amp;")'!$B:$B"),'Tổng Đơn'!$B28),0)</f>
        <v>0</v>
      </c>
      <c r="AH28" s="2">
        <f ca="1">IFERROR(SUMIFS(INDIRECT("'Thanh Toán ("&amp;AH$3&amp;")'!$e:$e"),INDIRECT("'Thanh Toán ("&amp;AH$3&amp;")'!$B:$B"),'Tổng Đơn'!$B28),0)</f>
        <v>0</v>
      </c>
      <c r="AI28" s="2">
        <f ca="1">IFERROR(SUMIFS(INDIRECT("'Thanh Toán ("&amp;AI$3&amp;")'!$e:$e"),INDIRECT("'Thanh Toán ("&amp;AI$3&amp;")'!$B:$B"),'Tổng Đơn'!$B28),0)</f>
        <v>0</v>
      </c>
      <c r="AJ28" s="2">
        <f ca="1">IFERROR(SUMIFS(INDIRECT("'Thanh Toán ("&amp;AJ$3&amp;")'!$e:$e"),INDIRECT("'Thanh Toán ("&amp;AJ$3&amp;")'!$B:$B"),'Tổng Đơn'!$B28),0)</f>
        <v>0</v>
      </c>
      <c r="AK28" s="2">
        <f ca="1">IFERROR(SUMIFS(INDIRECT("'Thanh Toán ("&amp;AK$3&amp;")'!$e:$e"),INDIRECT("'Thanh Toán ("&amp;AK$3&amp;")'!$B:$B"),'Tổng Đơn'!$B28),0)</f>
        <v>0</v>
      </c>
      <c r="AL28" s="2">
        <f ca="1">IFERROR(SUMIFS(INDIRECT("'Thanh Toán ("&amp;AL$3&amp;")'!$e:$e"),INDIRECT("'Thanh Toán ("&amp;AL$3&amp;")'!$B:$B"),'Tổng Đơn'!$B28),0)</f>
        <v>0</v>
      </c>
      <c r="AM28" s="2">
        <f ca="1">IFERROR(SUMIFS(INDIRECT("'Thanh Toán ("&amp;AM$3&amp;")'!$e:$e"),INDIRECT("'Thanh Toán ("&amp;AM$3&amp;")'!$B:$B"),'Tổng Đơn'!$B28),0)</f>
        <v>0</v>
      </c>
      <c r="AN28" s="2">
        <f ca="1">IFERROR(SUMIFS(INDIRECT("'Thanh Toán ("&amp;AN$3&amp;")'!$e:$e"),INDIRECT("'Thanh Toán ("&amp;AN$3&amp;")'!$B:$B"),'Tổng Đơn'!$B28),0)</f>
        <v>0</v>
      </c>
      <c r="AO28" s="2">
        <f ca="1">IFERROR(SUMIFS(INDIRECT("'Thanh Toán ("&amp;AO$3&amp;")'!$e:$e"),INDIRECT("'Thanh Toán ("&amp;AO$3&amp;")'!$B:$B"),'Tổng Đơn'!$B28),0)</f>
        <v>0</v>
      </c>
    </row>
    <row r="29" spans="1:41" ht="15.75" customHeight="1" x14ac:dyDescent="0.25">
      <c r="A29" s="23">
        <v>25</v>
      </c>
      <c r="B29" s="44" t="s">
        <v>69</v>
      </c>
      <c r="C29" s="23" t="s">
        <v>85</v>
      </c>
      <c r="D29" s="45">
        <f>VLOOKUP($C29,Sheet1!$C$3:$D$52,2,0)</f>
        <v>35000</v>
      </c>
      <c r="E29" s="63">
        <v>0.5</v>
      </c>
      <c r="F29" s="61">
        <f t="shared" ca="1" si="1"/>
        <v>0</v>
      </c>
      <c r="G29" s="61">
        <v>27.606741573033709</v>
      </c>
      <c r="H29" s="61">
        <f t="shared" ca="1" si="2"/>
        <v>0</v>
      </c>
      <c r="I29" s="61"/>
      <c r="J29" s="61">
        <f t="shared" ca="1" si="3"/>
        <v>0</v>
      </c>
      <c r="K29" s="61"/>
      <c r="L29" s="2">
        <f ca="1">IFERROR(SUMIFS(INDIRECT("'Thanh Toán ("&amp;L$3&amp;")'!$e:$e"),INDIRECT("'Thanh Toán ("&amp;L$3&amp;")'!$B:$B"),'Tổng Đơn'!$B29),0)</f>
        <v>0</v>
      </c>
      <c r="M29" s="2">
        <f ca="1">IFERROR(SUMIFS(INDIRECT("'Thanh Toán ("&amp;M$3&amp;")'!$e:$e"),INDIRECT("'Thanh Toán ("&amp;M$3&amp;")'!$B:$B"),'Tổng Đơn'!$B29),0)</f>
        <v>0</v>
      </c>
      <c r="N29" s="2">
        <f ca="1">IFERROR(SUMIFS(INDIRECT("'Thanh Toán ("&amp;N$3&amp;")'!$e:$e"),INDIRECT("'Thanh Toán ("&amp;N$3&amp;")'!$B:$B"),'Tổng Đơn'!$B29),0)</f>
        <v>0</v>
      </c>
      <c r="O29" s="2">
        <f ca="1">IFERROR(SUMIFS(INDIRECT("'Thanh Toán ("&amp;O$3&amp;")'!$e:$e"),INDIRECT("'Thanh Toán ("&amp;O$3&amp;")'!$B:$B"),'Tổng Đơn'!$B29),0)</f>
        <v>0</v>
      </c>
      <c r="P29" s="2">
        <f ca="1">IFERROR(SUMIFS(INDIRECT("'Thanh Toán ("&amp;P$3&amp;")'!$e:$e"),INDIRECT("'Thanh Toán ("&amp;P$3&amp;")'!$B:$B"),'Tổng Đơn'!$B29),0)</f>
        <v>0</v>
      </c>
      <c r="Q29" s="2">
        <f ca="1">IFERROR(SUMIFS(INDIRECT("'Thanh Toán ("&amp;Q$3&amp;")'!$e:$e"),INDIRECT("'Thanh Toán ("&amp;Q$3&amp;")'!$B:$B"),'Tổng Đơn'!$B29),0)</f>
        <v>0</v>
      </c>
      <c r="R29" s="2">
        <f ca="1">IFERROR(SUMIFS(INDIRECT("'Thanh Toán ("&amp;R$3&amp;")'!$e:$e"),INDIRECT("'Thanh Toán ("&amp;R$3&amp;")'!$B:$B"),'Tổng Đơn'!$B29),0)</f>
        <v>0</v>
      </c>
      <c r="S29" s="2">
        <f ca="1">IFERROR(SUMIFS(INDIRECT("'Thanh Toán ("&amp;S$3&amp;")'!$e:$e"),INDIRECT("'Thanh Toán ("&amp;S$3&amp;")'!$B:$B"),'Tổng Đơn'!$B29),0)</f>
        <v>0</v>
      </c>
      <c r="T29" s="2">
        <f ca="1">IFERROR(SUMIFS(INDIRECT("'Thanh Toán ("&amp;T$3&amp;")'!$e:$e"),INDIRECT("'Thanh Toán ("&amp;T$3&amp;")'!$B:$B"),'Tổng Đơn'!$B29),0)</f>
        <v>0</v>
      </c>
      <c r="U29" s="2">
        <f ca="1">IFERROR(SUMIFS(INDIRECT("'Thanh Toán ("&amp;U$3&amp;")'!$e:$e"),INDIRECT("'Thanh Toán ("&amp;U$3&amp;")'!$B:$B"),'Tổng Đơn'!$B29),0)</f>
        <v>0</v>
      </c>
      <c r="V29" s="2">
        <f ca="1">IFERROR(SUMIFS(INDIRECT("'Thanh Toán ("&amp;V$3&amp;")'!$e:$e"),INDIRECT("'Thanh Toán ("&amp;V$3&amp;")'!$B:$B"),'Tổng Đơn'!$B29),0)</f>
        <v>0</v>
      </c>
      <c r="W29" s="2">
        <f ca="1">IFERROR(SUMIFS(INDIRECT("'Thanh Toán ("&amp;W$3&amp;")'!$e:$e"),INDIRECT("'Thanh Toán ("&amp;W$3&amp;")'!$B:$B"),'Tổng Đơn'!$B29),0)</f>
        <v>0</v>
      </c>
      <c r="X29" s="2">
        <f ca="1">IFERROR(SUMIFS(INDIRECT("'Thanh Toán ("&amp;X$3&amp;")'!$e:$e"),INDIRECT("'Thanh Toán ("&amp;X$3&amp;")'!$B:$B"),'Tổng Đơn'!$B29),0)</f>
        <v>0</v>
      </c>
      <c r="Y29" s="2">
        <f ca="1">IFERROR(SUMIFS(INDIRECT("'Thanh Toán ("&amp;Y$3&amp;")'!$e:$e"),INDIRECT("'Thanh Toán ("&amp;Y$3&amp;")'!$B:$B"),'Tổng Đơn'!$B29),0)</f>
        <v>0</v>
      </c>
      <c r="Z29" s="2">
        <f ca="1">IFERROR(SUMIFS(INDIRECT("'Thanh Toán ("&amp;Z$3&amp;")'!$e:$e"),INDIRECT("'Thanh Toán ("&amp;Z$3&amp;")'!$B:$B"),'Tổng Đơn'!$B29),0)</f>
        <v>0</v>
      </c>
      <c r="AA29" s="2">
        <f ca="1">IFERROR(SUMIFS(INDIRECT("'Thanh Toán ("&amp;AA$3&amp;")'!$e:$e"),INDIRECT("'Thanh Toán ("&amp;AA$3&amp;")'!$B:$B"),'Tổng Đơn'!$B29),0)</f>
        <v>0</v>
      </c>
      <c r="AB29" s="2">
        <f ca="1">IFERROR(SUMIFS(INDIRECT("'Thanh Toán ("&amp;AB$3&amp;")'!$e:$e"),INDIRECT("'Thanh Toán ("&amp;AB$3&amp;")'!$B:$B"),'Tổng Đơn'!$B29),0)</f>
        <v>0</v>
      </c>
      <c r="AC29" s="2">
        <f ca="1">IFERROR(SUMIFS(INDIRECT("'Thanh Toán ("&amp;AC$3&amp;")'!$e:$e"),INDIRECT("'Thanh Toán ("&amp;AC$3&amp;")'!$B:$B"),'Tổng Đơn'!$B29),0)</f>
        <v>0</v>
      </c>
      <c r="AD29" s="2">
        <f ca="1">IFERROR(SUMIFS(INDIRECT("'Thanh Toán ("&amp;AD$3&amp;")'!$e:$e"),INDIRECT("'Thanh Toán ("&amp;AD$3&amp;")'!$B:$B"),'Tổng Đơn'!$B29),0)</f>
        <v>0</v>
      </c>
      <c r="AE29" s="2">
        <f ca="1">IFERROR(SUMIFS(INDIRECT("'Thanh Toán ("&amp;AE$3&amp;")'!$e:$e"),INDIRECT("'Thanh Toán ("&amp;AE$3&amp;")'!$B:$B"),'Tổng Đơn'!$B29),0)</f>
        <v>0</v>
      </c>
      <c r="AF29" s="2">
        <f ca="1">IFERROR(SUMIFS(INDIRECT("'Thanh Toán ("&amp;AF$3&amp;")'!$e:$e"),INDIRECT("'Thanh Toán ("&amp;AF$3&amp;")'!$B:$B"),'Tổng Đơn'!$B29),0)</f>
        <v>0</v>
      </c>
      <c r="AG29" s="2">
        <f ca="1">IFERROR(SUMIFS(INDIRECT("'Thanh Toán ("&amp;AG$3&amp;")'!$e:$e"),INDIRECT("'Thanh Toán ("&amp;AG$3&amp;")'!$B:$B"),'Tổng Đơn'!$B29),0)</f>
        <v>0</v>
      </c>
      <c r="AH29" s="2">
        <f ca="1">IFERROR(SUMIFS(INDIRECT("'Thanh Toán ("&amp;AH$3&amp;")'!$e:$e"),INDIRECT("'Thanh Toán ("&amp;AH$3&amp;")'!$B:$B"),'Tổng Đơn'!$B29),0)</f>
        <v>0</v>
      </c>
      <c r="AI29" s="2">
        <f ca="1">IFERROR(SUMIFS(INDIRECT("'Thanh Toán ("&amp;AI$3&amp;")'!$e:$e"),INDIRECT("'Thanh Toán ("&amp;AI$3&amp;")'!$B:$B"),'Tổng Đơn'!$B29),0)</f>
        <v>0</v>
      </c>
      <c r="AJ29" s="2">
        <f ca="1">IFERROR(SUMIFS(INDIRECT("'Thanh Toán ("&amp;AJ$3&amp;")'!$e:$e"),INDIRECT("'Thanh Toán ("&amp;AJ$3&amp;")'!$B:$B"),'Tổng Đơn'!$B29),0)</f>
        <v>0</v>
      </c>
      <c r="AK29" s="2">
        <f ca="1">IFERROR(SUMIFS(INDIRECT("'Thanh Toán ("&amp;AK$3&amp;")'!$e:$e"),INDIRECT("'Thanh Toán ("&amp;AK$3&amp;")'!$B:$B"),'Tổng Đơn'!$B29),0)</f>
        <v>0</v>
      </c>
      <c r="AL29" s="2">
        <f ca="1">IFERROR(SUMIFS(INDIRECT("'Thanh Toán ("&amp;AL$3&amp;")'!$e:$e"),INDIRECT("'Thanh Toán ("&amp;AL$3&amp;")'!$B:$B"),'Tổng Đơn'!$B29),0)</f>
        <v>0</v>
      </c>
      <c r="AM29" s="2">
        <f ca="1">IFERROR(SUMIFS(INDIRECT("'Thanh Toán ("&amp;AM$3&amp;")'!$e:$e"),INDIRECT("'Thanh Toán ("&amp;AM$3&amp;")'!$B:$B"),'Tổng Đơn'!$B29),0)</f>
        <v>0</v>
      </c>
      <c r="AN29" s="2">
        <f ca="1">IFERROR(SUMIFS(INDIRECT("'Thanh Toán ("&amp;AN$3&amp;")'!$e:$e"),INDIRECT("'Thanh Toán ("&amp;AN$3&amp;")'!$B:$B"),'Tổng Đơn'!$B29),0)</f>
        <v>0</v>
      </c>
      <c r="AO29" s="2">
        <f ca="1">IFERROR(SUMIFS(INDIRECT("'Thanh Toán ("&amp;AO$3&amp;")'!$e:$e"),INDIRECT("'Thanh Toán ("&amp;AO$3&amp;")'!$B:$B"),'Tổng Đơn'!$B29),0)</f>
        <v>0</v>
      </c>
    </row>
    <row r="30" spans="1:41" x14ac:dyDescent="0.25">
      <c r="A30" s="23">
        <v>26</v>
      </c>
      <c r="B30" s="44" t="s">
        <v>30</v>
      </c>
      <c r="C30" s="23" t="s">
        <v>86</v>
      </c>
      <c r="D30" s="45">
        <f>VLOOKUP($C30,Sheet1!$C$3:$D$52,2,0)</f>
        <v>45000</v>
      </c>
      <c r="E30" s="63">
        <v>0.5</v>
      </c>
      <c r="F30" s="61">
        <f t="shared" ca="1" si="1"/>
        <v>0</v>
      </c>
      <c r="G30" s="61">
        <v>40.987530426613141</v>
      </c>
      <c r="H30" s="61">
        <f t="shared" ca="1" si="2"/>
        <v>0</v>
      </c>
      <c r="I30" s="61"/>
      <c r="J30" s="61">
        <f t="shared" ca="1" si="3"/>
        <v>0</v>
      </c>
      <c r="K30" s="61"/>
      <c r="L30" s="2">
        <f ca="1">IFERROR(SUMIFS(INDIRECT("'Thanh Toán ("&amp;L$3&amp;")'!$e:$e"),INDIRECT("'Thanh Toán ("&amp;L$3&amp;")'!$B:$B"),'Tổng Đơn'!$B30),0)</f>
        <v>0</v>
      </c>
      <c r="M30" s="2">
        <f ca="1">IFERROR(SUMIFS(INDIRECT("'Thanh Toán ("&amp;M$3&amp;")'!$e:$e"),INDIRECT("'Thanh Toán ("&amp;M$3&amp;")'!$B:$B"),'Tổng Đơn'!$B30),0)</f>
        <v>0</v>
      </c>
      <c r="N30" s="2">
        <f ca="1">IFERROR(SUMIFS(INDIRECT("'Thanh Toán ("&amp;N$3&amp;")'!$e:$e"),INDIRECT("'Thanh Toán ("&amp;N$3&amp;")'!$B:$B"),'Tổng Đơn'!$B30),0)</f>
        <v>0</v>
      </c>
      <c r="O30" s="2">
        <f ca="1">IFERROR(SUMIFS(INDIRECT("'Thanh Toán ("&amp;O$3&amp;")'!$e:$e"),INDIRECT("'Thanh Toán ("&amp;O$3&amp;")'!$B:$B"),'Tổng Đơn'!$B30),0)</f>
        <v>0</v>
      </c>
      <c r="P30" s="2">
        <f ca="1">IFERROR(SUMIFS(INDIRECT("'Thanh Toán ("&amp;P$3&amp;")'!$e:$e"),INDIRECT("'Thanh Toán ("&amp;P$3&amp;")'!$B:$B"),'Tổng Đơn'!$B30),0)</f>
        <v>0</v>
      </c>
      <c r="Q30" s="2">
        <f ca="1">IFERROR(SUMIFS(INDIRECT("'Thanh Toán ("&amp;Q$3&amp;")'!$e:$e"),INDIRECT("'Thanh Toán ("&amp;Q$3&amp;")'!$B:$B"),'Tổng Đơn'!$B30),0)</f>
        <v>0</v>
      </c>
      <c r="R30" s="2">
        <f ca="1">IFERROR(SUMIFS(INDIRECT("'Thanh Toán ("&amp;R$3&amp;")'!$e:$e"),INDIRECT("'Thanh Toán ("&amp;R$3&amp;")'!$B:$B"),'Tổng Đơn'!$B30),0)</f>
        <v>0</v>
      </c>
      <c r="S30" s="2">
        <f ca="1">IFERROR(SUMIFS(INDIRECT("'Thanh Toán ("&amp;S$3&amp;")'!$e:$e"),INDIRECT("'Thanh Toán ("&amp;S$3&amp;")'!$B:$B"),'Tổng Đơn'!$B30),0)</f>
        <v>0</v>
      </c>
      <c r="T30" s="2">
        <f ca="1">IFERROR(SUMIFS(INDIRECT("'Thanh Toán ("&amp;T$3&amp;")'!$e:$e"),INDIRECT("'Thanh Toán ("&amp;T$3&amp;")'!$B:$B"),'Tổng Đơn'!$B30),0)</f>
        <v>0</v>
      </c>
      <c r="U30" s="2">
        <f ca="1">IFERROR(SUMIFS(INDIRECT("'Thanh Toán ("&amp;U$3&amp;")'!$e:$e"),INDIRECT("'Thanh Toán ("&amp;U$3&amp;")'!$B:$B"),'Tổng Đơn'!$B30),0)</f>
        <v>0</v>
      </c>
      <c r="V30" s="2">
        <f ca="1">IFERROR(SUMIFS(INDIRECT("'Thanh Toán ("&amp;V$3&amp;")'!$e:$e"),INDIRECT("'Thanh Toán ("&amp;V$3&amp;")'!$B:$B"),'Tổng Đơn'!$B30),0)</f>
        <v>0</v>
      </c>
      <c r="W30" s="2">
        <f ca="1">IFERROR(SUMIFS(INDIRECT("'Thanh Toán ("&amp;W$3&amp;")'!$e:$e"),INDIRECT("'Thanh Toán ("&amp;W$3&amp;")'!$B:$B"),'Tổng Đơn'!$B30),0)</f>
        <v>0</v>
      </c>
      <c r="X30" s="2">
        <f ca="1">IFERROR(SUMIFS(INDIRECT("'Thanh Toán ("&amp;X$3&amp;")'!$e:$e"),INDIRECT("'Thanh Toán ("&amp;X$3&amp;")'!$B:$B"),'Tổng Đơn'!$B30),0)</f>
        <v>0</v>
      </c>
      <c r="Y30" s="2">
        <f ca="1">IFERROR(SUMIFS(INDIRECT("'Thanh Toán ("&amp;Y$3&amp;")'!$e:$e"),INDIRECT("'Thanh Toán ("&amp;Y$3&amp;")'!$B:$B"),'Tổng Đơn'!$B30),0)</f>
        <v>0</v>
      </c>
      <c r="Z30" s="2">
        <f ca="1">IFERROR(SUMIFS(INDIRECT("'Thanh Toán ("&amp;Z$3&amp;")'!$e:$e"),INDIRECT("'Thanh Toán ("&amp;Z$3&amp;")'!$B:$B"),'Tổng Đơn'!$B30),0)</f>
        <v>0</v>
      </c>
      <c r="AA30" s="2">
        <f ca="1">IFERROR(SUMIFS(INDIRECT("'Thanh Toán ("&amp;AA$3&amp;")'!$e:$e"),INDIRECT("'Thanh Toán ("&amp;AA$3&amp;")'!$B:$B"),'Tổng Đơn'!$B30),0)</f>
        <v>0</v>
      </c>
      <c r="AB30" s="2">
        <f ca="1">IFERROR(SUMIFS(INDIRECT("'Thanh Toán ("&amp;AB$3&amp;")'!$e:$e"),INDIRECT("'Thanh Toán ("&amp;AB$3&amp;")'!$B:$B"),'Tổng Đơn'!$B30),0)</f>
        <v>0</v>
      </c>
      <c r="AC30" s="2">
        <f ca="1">IFERROR(SUMIFS(INDIRECT("'Thanh Toán ("&amp;AC$3&amp;")'!$e:$e"),INDIRECT("'Thanh Toán ("&amp;AC$3&amp;")'!$B:$B"),'Tổng Đơn'!$B30),0)</f>
        <v>0</v>
      </c>
      <c r="AD30" s="2">
        <f ca="1">IFERROR(SUMIFS(INDIRECT("'Thanh Toán ("&amp;AD$3&amp;")'!$e:$e"),INDIRECT("'Thanh Toán ("&amp;AD$3&amp;")'!$B:$B"),'Tổng Đơn'!$B30),0)</f>
        <v>0</v>
      </c>
      <c r="AE30" s="2">
        <f ca="1">IFERROR(SUMIFS(INDIRECT("'Thanh Toán ("&amp;AE$3&amp;")'!$e:$e"),INDIRECT("'Thanh Toán ("&amp;AE$3&amp;")'!$B:$B"),'Tổng Đơn'!$B30),0)</f>
        <v>0</v>
      </c>
      <c r="AF30" s="2">
        <f ca="1">IFERROR(SUMIFS(INDIRECT("'Thanh Toán ("&amp;AF$3&amp;")'!$e:$e"),INDIRECT("'Thanh Toán ("&amp;AF$3&amp;")'!$B:$B"),'Tổng Đơn'!$B30),0)</f>
        <v>0</v>
      </c>
      <c r="AG30" s="2">
        <f ca="1">IFERROR(SUMIFS(INDIRECT("'Thanh Toán ("&amp;AG$3&amp;")'!$e:$e"),INDIRECT("'Thanh Toán ("&amp;AG$3&amp;")'!$B:$B"),'Tổng Đơn'!$B30),0)</f>
        <v>0</v>
      </c>
      <c r="AH30" s="2">
        <f ca="1">IFERROR(SUMIFS(INDIRECT("'Thanh Toán ("&amp;AH$3&amp;")'!$e:$e"),INDIRECT("'Thanh Toán ("&amp;AH$3&amp;")'!$B:$B"),'Tổng Đơn'!$B30),0)</f>
        <v>0</v>
      </c>
      <c r="AI30" s="2">
        <f ca="1">IFERROR(SUMIFS(INDIRECT("'Thanh Toán ("&amp;AI$3&amp;")'!$e:$e"),INDIRECT("'Thanh Toán ("&amp;AI$3&amp;")'!$B:$B"),'Tổng Đơn'!$B30),0)</f>
        <v>0</v>
      </c>
      <c r="AJ30" s="2">
        <f ca="1">IFERROR(SUMIFS(INDIRECT("'Thanh Toán ("&amp;AJ$3&amp;")'!$e:$e"),INDIRECT("'Thanh Toán ("&amp;AJ$3&amp;")'!$B:$B"),'Tổng Đơn'!$B30),0)</f>
        <v>0</v>
      </c>
      <c r="AK30" s="2">
        <f ca="1">IFERROR(SUMIFS(INDIRECT("'Thanh Toán ("&amp;AK$3&amp;")'!$e:$e"),INDIRECT("'Thanh Toán ("&amp;AK$3&amp;")'!$B:$B"),'Tổng Đơn'!$B30),0)</f>
        <v>0</v>
      </c>
      <c r="AL30" s="2">
        <f ca="1">IFERROR(SUMIFS(INDIRECT("'Thanh Toán ("&amp;AL$3&amp;")'!$e:$e"),INDIRECT("'Thanh Toán ("&amp;AL$3&amp;")'!$B:$B"),'Tổng Đơn'!$B30),0)</f>
        <v>0</v>
      </c>
      <c r="AM30" s="2">
        <f ca="1">IFERROR(SUMIFS(INDIRECT("'Thanh Toán ("&amp;AM$3&amp;")'!$e:$e"),INDIRECT("'Thanh Toán ("&amp;AM$3&amp;")'!$B:$B"),'Tổng Đơn'!$B30),0)</f>
        <v>0</v>
      </c>
      <c r="AN30" s="2">
        <f ca="1">IFERROR(SUMIFS(INDIRECT("'Thanh Toán ("&amp;AN$3&amp;")'!$e:$e"),INDIRECT("'Thanh Toán ("&amp;AN$3&amp;")'!$B:$B"),'Tổng Đơn'!$B30),0)</f>
        <v>0</v>
      </c>
      <c r="AO30" s="2">
        <f ca="1">IFERROR(SUMIFS(INDIRECT("'Thanh Toán ("&amp;AO$3&amp;")'!$e:$e"),INDIRECT("'Thanh Toán ("&amp;AO$3&amp;")'!$B:$B"),'Tổng Đơn'!$B30),0)</f>
        <v>0</v>
      </c>
    </row>
    <row r="31" spans="1:41" ht="15.75" customHeight="1" x14ac:dyDescent="0.25">
      <c r="A31" s="23">
        <v>27</v>
      </c>
      <c r="B31" s="44" t="s">
        <v>15</v>
      </c>
      <c r="C31" s="23" t="s">
        <v>87</v>
      </c>
      <c r="D31" s="45">
        <f>VLOOKUP($C31,Sheet1!$C$3:$D$52,2,0)</f>
        <v>35000</v>
      </c>
      <c r="E31" s="63">
        <v>0.5</v>
      </c>
      <c r="F31" s="61">
        <f t="shared" ca="1" si="1"/>
        <v>0</v>
      </c>
      <c r="G31" s="61">
        <v>30.674157303370787</v>
      </c>
      <c r="H31" s="61">
        <f t="shared" ca="1" si="2"/>
        <v>0</v>
      </c>
      <c r="I31" s="61"/>
      <c r="J31" s="61">
        <f t="shared" ca="1" si="3"/>
        <v>0</v>
      </c>
      <c r="K31" s="61"/>
      <c r="L31" s="2">
        <f ca="1">IFERROR(SUMIFS(INDIRECT("'Thanh Toán ("&amp;L$3&amp;")'!$e:$e"),INDIRECT("'Thanh Toán ("&amp;L$3&amp;")'!$B:$B"),'Tổng Đơn'!$B31),0)</f>
        <v>0</v>
      </c>
      <c r="M31" s="2">
        <f ca="1">IFERROR(SUMIFS(INDIRECT("'Thanh Toán ("&amp;M$3&amp;")'!$e:$e"),INDIRECT("'Thanh Toán ("&amp;M$3&amp;")'!$B:$B"),'Tổng Đơn'!$B31),0)</f>
        <v>0</v>
      </c>
      <c r="N31" s="2">
        <f ca="1">IFERROR(SUMIFS(INDIRECT("'Thanh Toán ("&amp;N$3&amp;")'!$e:$e"),INDIRECT("'Thanh Toán ("&amp;N$3&amp;")'!$B:$B"),'Tổng Đơn'!$B31),0)</f>
        <v>0</v>
      </c>
      <c r="O31" s="2">
        <f ca="1">IFERROR(SUMIFS(INDIRECT("'Thanh Toán ("&amp;O$3&amp;")'!$e:$e"),INDIRECT("'Thanh Toán ("&amp;O$3&amp;")'!$B:$B"),'Tổng Đơn'!$B31),0)</f>
        <v>0</v>
      </c>
      <c r="P31" s="2">
        <f ca="1">IFERROR(SUMIFS(INDIRECT("'Thanh Toán ("&amp;P$3&amp;")'!$e:$e"),INDIRECT("'Thanh Toán ("&amp;P$3&amp;")'!$B:$B"),'Tổng Đơn'!$B31),0)</f>
        <v>0</v>
      </c>
      <c r="Q31" s="2">
        <f ca="1">IFERROR(SUMIFS(INDIRECT("'Thanh Toán ("&amp;Q$3&amp;")'!$e:$e"),INDIRECT("'Thanh Toán ("&amp;Q$3&amp;")'!$B:$B"),'Tổng Đơn'!$B31),0)</f>
        <v>0</v>
      </c>
      <c r="R31" s="2">
        <f ca="1">IFERROR(SUMIFS(INDIRECT("'Thanh Toán ("&amp;R$3&amp;")'!$e:$e"),INDIRECT("'Thanh Toán ("&amp;R$3&amp;")'!$B:$B"),'Tổng Đơn'!$B31),0)</f>
        <v>0</v>
      </c>
      <c r="S31" s="2">
        <f ca="1">IFERROR(SUMIFS(INDIRECT("'Thanh Toán ("&amp;S$3&amp;")'!$e:$e"),INDIRECT("'Thanh Toán ("&amp;S$3&amp;")'!$B:$B"),'Tổng Đơn'!$B31),0)</f>
        <v>0</v>
      </c>
      <c r="T31" s="2">
        <f ca="1">IFERROR(SUMIFS(INDIRECT("'Thanh Toán ("&amp;T$3&amp;")'!$e:$e"),INDIRECT("'Thanh Toán ("&amp;T$3&amp;")'!$B:$B"),'Tổng Đơn'!$B31),0)</f>
        <v>0</v>
      </c>
      <c r="U31" s="2">
        <f ca="1">IFERROR(SUMIFS(INDIRECT("'Thanh Toán ("&amp;U$3&amp;")'!$e:$e"),INDIRECT("'Thanh Toán ("&amp;U$3&amp;")'!$B:$B"),'Tổng Đơn'!$B31),0)</f>
        <v>0</v>
      </c>
      <c r="V31" s="2">
        <f ca="1">IFERROR(SUMIFS(INDIRECT("'Thanh Toán ("&amp;V$3&amp;")'!$e:$e"),INDIRECT("'Thanh Toán ("&amp;V$3&amp;")'!$B:$B"),'Tổng Đơn'!$B31),0)</f>
        <v>0</v>
      </c>
      <c r="W31" s="2">
        <f ca="1">IFERROR(SUMIFS(INDIRECT("'Thanh Toán ("&amp;W$3&amp;")'!$e:$e"),INDIRECT("'Thanh Toán ("&amp;W$3&amp;")'!$B:$B"),'Tổng Đơn'!$B31),0)</f>
        <v>0</v>
      </c>
      <c r="X31" s="2">
        <f ca="1">IFERROR(SUMIFS(INDIRECT("'Thanh Toán ("&amp;X$3&amp;")'!$e:$e"),INDIRECT("'Thanh Toán ("&amp;X$3&amp;")'!$B:$B"),'Tổng Đơn'!$B31),0)</f>
        <v>0</v>
      </c>
      <c r="Y31" s="2">
        <f ca="1">IFERROR(SUMIFS(INDIRECT("'Thanh Toán ("&amp;Y$3&amp;")'!$e:$e"),INDIRECT("'Thanh Toán ("&amp;Y$3&amp;")'!$B:$B"),'Tổng Đơn'!$B31),0)</f>
        <v>0</v>
      </c>
      <c r="Z31" s="2">
        <f ca="1">IFERROR(SUMIFS(INDIRECT("'Thanh Toán ("&amp;Z$3&amp;")'!$e:$e"),INDIRECT("'Thanh Toán ("&amp;Z$3&amp;")'!$B:$B"),'Tổng Đơn'!$B31),0)</f>
        <v>0</v>
      </c>
      <c r="AA31" s="2">
        <f ca="1">IFERROR(SUMIFS(INDIRECT("'Thanh Toán ("&amp;AA$3&amp;")'!$e:$e"),INDIRECT("'Thanh Toán ("&amp;AA$3&amp;")'!$B:$B"),'Tổng Đơn'!$B31),0)</f>
        <v>0</v>
      </c>
      <c r="AB31" s="2">
        <f ca="1">IFERROR(SUMIFS(INDIRECT("'Thanh Toán ("&amp;AB$3&amp;")'!$e:$e"),INDIRECT("'Thanh Toán ("&amp;AB$3&amp;")'!$B:$B"),'Tổng Đơn'!$B31),0)</f>
        <v>0</v>
      </c>
      <c r="AC31" s="2">
        <f ca="1">IFERROR(SUMIFS(INDIRECT("'Thanh Toán ("&amp;AC$3&amp;")'!$e:$e"),INDIRECT("'Thanh Toán ("&amp;AC$3&amp;")'!$B:$B"),'Tổng Đơn'!$B31),0)</f>
        <v>0</v>
      </c>
      <c r="AD31" s="2">
        <f ca="1">IFERROR(SUMIFS(INDIRECT("'Thanh Toán ("&amp;AD$3&amp;")'!$e:$e"),INDIRECT("'Thanh Toán ("&amp;AD$3&amp;")'!$B:$B"),'Tổng Đơn'!$B31),0)</f>
        <v>0</v>
      </c>
      <c r="AE31" s="2">
        <f ca="1">IFERROR(SUMIFS(INDIRECT("'Thanh Toán ("&amp;AE$3&amp;")'!$e:$e"),INDIRECT("'Thanh Toán ("&amp;AE$3&amp;")'!$B:$B"),'Tổng Đơn'!$B31),0)</f>
        <v>0</v>
      </c>
      <c r="AF31" s="2">
        <f ca="1">IFERROR(SUMIFS(INDIRECT("'Thanh Toán ("&amp;AF$3&amp;")'!$e:$e"),INDIRECT("'Thanh Toán ("&amp;AF$3&amp;")'!$B:$B"),'Tổng Đơn'!$B31),0)</f>
        <v>0</v>
      </c>
      <c r="AG31" s="2">
        <f ca="1">IFERROR(SUMIFS(INDIRECT("'Thanh Toán ("&amp;AG$3&amp;")'!$e:$e"),INDIRECT("'Thanh Toán ("&amp;AG$3&amp;")'!$B:$B"),'Tổng Đơn'!$B31),0)</f>
        <v>0</v>
      </c>
      <c r="AH31" s="2">
        <f ca="1">IFERROR(SUMIFS(INDIRECT("'Thanh Toán ("&amp;AH$3&amp;")'!$e:$e"),INDIRECT("'Thanh Toán ("&amp;AH$3&amp;")'!$B:$B"),'Tổng Đơn'!$B31),0)</f>
        <v>0</v>
      </c>
      <c r="AI31" s="2">
        <f ca="1">IFERROR(SUMIFS(INDIRECT("'Thanh Toán ("&amp;AI$3&amp;")'!$e:$e"),INDIRECT("'Thanh Toán ("&amp;AI$3&amp;")'!$B:$B"),'Tổng Đơn'!$B31),0)</f>
        <v>0</v>
      </c>
      <c r="AJ31" s="2">
        <f ca="1">IFERROR(SUMIFS(INDIRECT("'Thanh Toán ("&amp;AJ$3&amp;")'!$e:$e"),INDIRECT("'Thanh Toán ("&amp;AJ$3&amp;")'!$B:$B"),'Tổng Đơn'!$B31),0)</f>
        <v>0</v>
      </c>
      <c r="AK31" s="2">
        <f ca="1">IFERROR(SUMIFS(INDIRECT("'Thanh Toán ("&amp;AK$3&amp;")'!$e:$e"),INDIRECT("'Thanh Toán ("&amp;AK$3&amp;")'!$B:$B"),'Tổng Đơn'!$B31),0)</f>
        <v>0</v>
      </c>
      <c r="AL31" s="2">
        <f ca="1">IFERROR(SUMIFS(INDIRECT("'Thanh Toán ("&amp;AL$3&amp;")'!$e:$e"),INDIRECT("'Thanh Toán ("&amp;AL$3&amp;")'!$B:$B"),'Tổng Đơn'!$B31),0)</f>
        <v>0</v>
      </c>
      <c r="AM31" s="2">
        <f ca="1">IFERROR(SUMIFS(INDIRECT("'Thanh Toán ("&amp;AM$3&amp;")'!$e:$e"),INDIRECT("'Thanh Toán ("&amp;AM$3&amp;")'!$B:$B"),'Tổng Đơn'!$B31),0)</f>
        <v>0</v>
      </c>
      <c r="AN31" s="2">
        <f ca="1">IFERROR(SUMIFS(INDIRECT("'Thanh Toán ("&amp;AN$3&amp;")'!$e:$e"),INDIRECT("'Thanh Toán ("&amp;AN$3&amp;")'!$B:$B"),'Tổng Đơn'!$B31),0)</f>
        <v>0</v>
      </c>
      <c r="AO31" s="2">
        <f ca="1">IFERROR(SUMIFS(INDIRECT("'Thanh Toán ("&amp;AO$3&amp;")'!$e:$e"),INDIRECT("'Thanh Toán ("&amp;AO$3&amp;")'!$B:$B"),'Tổng Đơn'!$B31),0)</f>
        <v>0</v>
      </c>
    </row>
    <row r="32" spans="1:41" ht="15.75" customHeight="1" x14ac:dyDescent="0.25">
      <c r="A32" s="23">
        <v>28</v>
      </c>
      <c r="B32" s="44" t="s">
        <v>10</v>
      </c>
      <c r="C32" s="23" t="s">
        <v>88</v>
      </c>
      <c r="D32" s="45">
        <f>VLOOKUP($C32,Sheet1!$C$3:$D$52,2,0)</f>
        <v>32000</v>
      </c>
      <c r="E32" s="63">
        <v>0.5</v>
      </c>
      <c r="F32" s="61">
        <f t="shared" ca="1" si="1"/>
        <v>0</v>
      </c>
      <c r="G32" s="61">
        <v>27.606741573033709</v>
      </c>
      <c r="H32" s="61">
        <f t="shared" ca="1" si="2"/>
        <v>0</v>
      </c>
      <c r="I32" s="61"/>
      <c r="J32" s="61">
        <f t="shared" ca="1" si="3"/>
        <v>0</v>
      </c>
      <c r="K32" s="61"/>
      <c r="L32" s="2">
        <f ca="1">IFERROR(SUMIFS(INDIRECT("'Thanh Toán ("&amp;L$3&amp;")'!$e:$e"),INDIRECT("'Thanh Toán ("&amp;L$3&amp;")'!$B:$B"),'Tổng Đơn'!$B32),0)</f>
        <v>0</v>
      </c>
      <c r="M32" s="2">
        <f ca="1">IFERROR(SUMIFS(INDIRECT("'Thanh Toán ("&amp;M$3&amp;")'!$e:$e"),INDIRECT("'Thanh Toán ("&amp;M$3&amp;")'!$B:$B"),'Tổng Đơn'!$B32),0)</f>
        <v>0</v>
      </c>
      <c r="N32" s="2">
        <f ca="1">IFERROR(SUMIFS(INDIRECT("'Thanh Toán ("&amp;N$3&amp;")'!$e:$e"),INDIRECT("'Thanh Toán ("&amp;N$3&amp;")'!$B:$B"),'Tổng Đơn'!$B32),0)</f>
        <v>0</v>
      </c>
      <c r="O32" s="2">
        <f ca="1">IFERROR(SUMIFS(INDIRECT("'Thanh Toán ("&amp;O$3&amp;")'!$e:$e"),INDIRECT("'Thanh Toán ("&amp;O$3&amp;")'!$B:$B"),'Tổng Đơn'!$B32),0)</f>
        <v>0</v>
      </c>
      <c r="P32" s="2">
        <f ca="1">IFERROR(SUMIFS(INDIRECT("'Thanh Toán ("&amp;P$3&amp;")'!$e:$e"),INDIRECT("'Thanh Toán ("&amp;P$3&amp;")'!$B:$B"),'Tổng Đơn'!$B32),0)</f>
        <v>0</v>
      </c>
      <c r="Q32" s="2">
        <f ca="1">IFERROR(SUMIFS(INDIRECT("'Thanh Toán ("&amp;Q$3&amp;")'!$e:$e"),INDIRECT("'Thanh Toán ("&amp;Q$3&amp;")'!$B:$B"),'Tổng Đơn'!$B32),0)</f>
        <v>0</v>
      </c>
      <c r="R32" s="2">
        <f ca="1">IFERROR(SUMIFS(INDIRECT("'Thanh Toán ("&amp;R$3&amp;")'!$e:$e"),INDIRECT("'Thanh Toán ("&amp;R$3&amp;")'!$B:$B"),'Tổng Đơn'!$B32),0)</f>
        <v>0</v>
      </c>
      <c r="S32" s="2">
        <f ca="1">IFERROR(SUMIFS(INDIRECT("'Thanh Toán ("&amp;S$3&amp;")'!$e:$e"),INDIRECT("'Thanh Toán ("&amp;S$3&amp;")'!$B:$B"),'Tổng Đơn'!$B32),0)</f>
        <v>0</v>
      </c>
      <c r="T32" s="2">
        <f ca="1">IFERROR(SUMIFS(INDIRECT("'Thanh Toán ("&amp;T$3&amp;")'!$e:$e"),INDIRECT("'Thanh Toán ("&amp;T$3&amp;")'!$B:$B"),'Tổng Đơn'!$B32),0)</f>
        <v>0</v>
      </c>
      <c r="U32" s="2">
        <f ca="1">IFERROR(SUMIFS(INDIRECT("'Thanh Toán ("&amp;U$3&amp;")'!$e:$e"),INDIRECT("'Thanh Toán ("&amp;U$3&amp;")'!$B:$B"),'Tổng Đơn'!$B32),0)</f>
        <v>0</v>
      </c>
      <c r="V32" s="2">
        <f ca="1">IFERROR(SUMIFS(INDIRECT("'Thanh Toán ("&amp;V$3&amp;")'!$e:$e"),INDIRECT("'Thanh Toán ("&amp;V$3&amp;")'!$B:$B"),'Tổng Đơn'!$B32),0)</f>
        <v>0</v>
      </c>
      <c r="W32" s="2">
        <f ca="1">IFERROR(SUMIFS(INDIRECT("'Thanh Toán ("&amp;W$3&amp;")'!$e:$e"),INDIRECT("'Thanh Toán ("&amp;W$3&amp;")'!$B:$B"),'Tổng Đơn'!$B32),0)</f>
        <v>0</v>
      </c>
      <c r="X32" s="2">
        <f ca="1">IFERROR(SUMIFS(INDIRECT("'Thanh Toán ("&amp;X$3&amp;")'!$e:$e"),INDIRECT("'Thanh Toán ("&amp;X$3&amp;")'!$B:$B"),'Tổng Đơn'!$B32),0)</f>
        <v>0</v>
      </c>
      <c r="Y32" s="2">
        <f ca="1">IFERROR(SUMIFS(INDIRECT("'Thanh Toán ("&amp;Y$3&amp;")'!$e:$e"),INDIRECT("'Thanh Toán ("&amp;Y$3&amp;")'!$B:$B"),'Tổng Đơn'!$B32),0)</f>
        <v>0</v>
      </c>
      <c r="Z32" s="2">
        <f ca="1">IFERROR(SUMIFS(INDIRECT("'Thanh Toán ("&amp;Z$3&amp;")'!$e:$e"),INDIRECT("'Thanh Toán ("&amp;Z$3&amp;")'!$B:$B"),'Tổng Đơn'!$B32),0)</f>
        <v>0</v>
      </c>
      <c r="AA32" s="2">
        <f ca="1">IFERROR(SUMIFS(INDIRECT("'Thanh Toán ("&amp;AA$3&amp;")'!$e:$e"),INDIRECT("'Thanh Toán ("&amp;AA$3&amp;")'!$B:$B"),'Tổng Đơn'!$B32),0)</f>
        <v>0</v>
      </c>
      <c r="AB32" s="2">
        <f ca="1">IFERROR(SUMIFS(INDIRECT("'Thanh Toán ("&amp;AB$3&amp;")'!$e:$e"),INDIRECT("'Thanh Toán ("&amp;AB$3&amp;")'!$B:$B"),'Tổng Đơn'!$B32),0)</f>
        <v>0</v>
      </c>
      <c r="AC32" s="2">
        <f ca="1">IFERROR(SUMIFS(INDIRECT("'Thanh Toán ("&amp;AC$3&amp;")'!$e:$e"),INDIRECT("'Thanh Toán ("&amp;AC$3&amp;")'!$B:$B"),'Tổng Đơn'!$B32),0)</f>
        <v>0</v>
      </c>
      <c r="AD32" s="2">
        <f ca="1">IFERROR(SUMIFS(INDIRECT("'Thanh Toán ("&amp;AD$3&amp;")'!$e:$e"),INDIRECT("'Thanh Toán ("&amp;AD$3&amp;")'!$B:$B"),'Tổng Đơn'!$B32),0)</f>
        <v>0</v>
      </c>
      <c r="AE32" s="2">
        <f ca="1">IFERROR(SUMIFS(INDIRECT("'Thanh Toán ("&amp;AE$3&amp;")'!$e:$e"),INDIRECT("'Thanh Toán ("&amp;AE$3&amp;")'!$B:$B"),'Tổng Đơn'!$B32),0)</f>
        <v>0</v>
      </c>
      <c r="AF32" s="2">
        <f ca="1">IFERROR(SUMIFS(INDIRECT("'Thanh Toán ("&amp;AF$3&amp;")'!$e:$e"),INDIRECT("'Thanh Toán ("&amp;AF$3&amp;")'!$B:$B"),'Tổng Đơn'!$B32),0)</f>
        <v>0</v>
      </c>
      <c r="AG32" s="2">
        <f ca="1">IFERROR(SUMIFS(INDIRECT("'Thanh Toán ("&amp;AG$3&amp;")'!$e:$e"),INDIRECT("'Thanh Toán ("&amp;AG$3&amp;")'!$B:$B"),'Tổng Đơn'!$B32),0)</f>
        <v>0</v>
      </c>
      <c r="AH32" s="2">
        <f ca="1">IFERROR(SUMIFS(INDIRECT("'Thanh Toán ("&amp;AH$3&amp;")'!$e:$e"),INDIRECT("'Thanh Toán ("&amp;AH$3&amp;")'!$B:$B"),'Tổng Đơn'!$B32),0)</f>
        <v>0</v>
      </c>
      <c r="AI32" s="2">
        <f ca="1">IFERROR(SUMIFS(INDIRECT("'Thanh Toán ("&amp;AI$3&amp;")'!$e:$e"),INDIRECT("'Thanh Toán ("&amp;AI$3&amp;")'!$B:$B"),'Tổng Đơn'!$B32),0)</f>
        <v>0</v>
      </c>
      <c r="AJ32" s="2">
        <f ca="1">IFERROR(SUMIFS(INDIRECT("'Thanh Toán ("&amp;AJ$3&amp;")'!$e:$e"),INDIRECT("'Thanh Toán ("&amp;AJ$3&amp;")'!$B:$B"),'Tổng Đơn'!$B32),0)</f>
        <v>0</v>
      </c>
      <c r="AK32" s="2">
        <f ca="1">IFERROR(SUMIFS(INDIRECT("'Thanh Toán ("&amp;AK$3&amp;")'!$e:$e"),INDIRECT("'Thanh Toán ("&amp;AK$3&amp;")'!$B:$B"),'Tổng Đơn'!$B32),0)</f>
        <v>0</v>
      </c>
      <c r="AL32" s="2">
        <f ca="1">IFERROR(SUMIFS(INDIRECT("'Thanh Toán ("&amp;AL$3&amp;")'!$e:$e"),INDIRECT("'Thanh Toán ("&amp;AL$3&amp;")'!$B:$B"),'Tổng Đơn'!$B32),0)</f>
        <v>0</v>
      </c>
      <c r="AM32" s="2">
        <f ca="1">IFERROR(SUMIFS(INDIRECT("'Thanh Toán ("&amp;AM$3&amp;")'!$e:$e"),INDIRECT("'Thanh Toán ("&amp;AM$3&amp;")'!$B:$B"),'Tổng Đơn'!$B32),0)</f>
        <v>0</v>
      </c>
      <c r="AN32" s="2">
        <f ca="1">IFERROR(SUMIFS(INDIRECT("'Thanh Toán ("&amp;AN$3&amp;")'!$e:$e"),INDIRECT("'Thanh Toán ("&amp;AN$3&amp;")'!$B:$B"),'Tổng Đơn'!$B32),0)</f>
        <v>0</v>
      </c>
      <c r="AO32" s="2">
        <f ca="1">IFERROR(SUMIFS(INDIRECT("'Thanh Toán ("&amp;AO$3&amp;")'!$e:$e"),INDIRECT("'Thanh Toán ("&amp;AO$3&amp;")'!$B:$B"),'Tổng Đơn'!$B32),0)</f>
        <v>0</v>
      </c>
    </row>
    <row r="33" spans="1:41" x14ac:dyDescent="0.25">
      <c r="A33" s="23">
        <v>29</v>
      </c>
      <c r="B33" s="44" t="s">
        <v>39</v>
      </c>
      <c r="C33" s="23" t="s">
        <v>89</v>
      </c>
      <c r="D33" s="45">
        <f>VLOOKUP($C33,Sheet1!$C$3:$D$52,2,0)</f>
        <v>32000</v>
      </c>
      <c r="E33" s="63">
        <v>0.5</v>
      </c>
      <c r="F33" s="61">
        <f t="shared" ca="1" si="1"/>
        <v>0</v>
      </c>
      <c r="G33" s="61">
        <v>26.5</v>
      </c>
      <c r="H33" s="61">
        <f t="shared" ca="1" si="2"/>
        <v>0</v>
      </c>
      <c r="I33" s="61"/>
      <c r="J33" s="61">
        <f t="shared" ca="1" si="3"/>
        <v>0</v>
      </c>
      <c r="K33" s="61"/>
      <c r="L33" s="2">
        <f ca="1">IFERROR(SUMIFS(INDIRECT("'Thanh Toán ("&amp;L$3&amp;")'!$e:$e"),INDIRECT("'Thanh Toán ("&amp;L$3&amp;")'!$B:$B"),'Tổng Đơn'!$B33),0)</f>
        <v>0</v>
      </c>
      <c r="M33" s="2">
        <f ca="1">IFERROR(SUMIFS(INDIRECT("'Thanh Toán ("&amp;M$3&amp;")'!$e:$e"),INDIRECT("'Thanh Toán ("&amp;M$3&amp;")'!$B:$B"),'Tổng Đơn'!$B33),0)</f>
        <v>0</v>
      </c>
      <c r="N33" s="2">
        <f ca="1">IFERROR(SUMIFS(INDIRECT("'Thanh Toán ("&amp;N$3&amp;")'!$e:$e"),INDIRECT("'Thanh Toán ("&amp;N$3&amp;")'!$B:$B"),'Tổng Đơn'!$B33),0)</f>
        <v>0</v>
      </c>
      <c r="O33" s="2">
        <f ca="1">IFERROR(SUMIFS(INDIRECT("'Thanh Toán ("&amp;O$3&amp;")'!$e:$e"),INDIRECT("'Thanh Toán ("&amp;O$3&amp;")'!$B:$B"),'Tổng Đơn'!$B33),0)</f>
        <v>0</v>
      </c>
      <c r="P33" s="2">
        <f ca="1">IFERROR(SUMIFS(INDIRECT("'Thanh Toán ("&amp;P$3&amp;")'!$e:$e"),INDIRECT("'Thanh Toán ("&amp;P$3&amp;")'!$B:$B"),'Tổng Đơn'!$B33),0)</f>
        <v>0</v>
      </c>
      <c r="Q33" s="2">
        <f ca="1">IFERROR(SUMIFS(INDIRECT("'Thanh Toán ("&amp;Q$3&amp;")'!$e:$e"),INDIRECT("'Thanh Toán ("&amp;Q$3&amp;")'!$B:$B"),'Tổng Đơn'!$B33),0)</f>
        <v>0</v>
      </c>
      <c r="R33" s="2">
        <f ca="1">IFERROR(SUMIFS(INDIRECT("'Thanh Toán ("&amp;R$3&amp;")'!$e:$e"),INDIRECT("'Thanh Toán ("&amp;R$3&amp;")'!$B:$B"),'Tổng Đơn'!$B33),0)</f>
        <v>0</v>
      </c>
      <c r="S33" s="2">
        <f ca="1">IFERROR(SUMIFS(INDIRECT("'Thanh Toán ("&amp;S$3&amp;")'!$e:$e"),INDIRECT("'Thanh Toán ("&amp;S$3&amp;")'!$B:$B"),'Tổng Đơn'!$B33),0)</f>
        <v>0</v>
      </c>
      <c r="T33" s="2">
        <f ca="1">IFERROR(SUMIFS(INDIRECT("'Thanh Toán ("&amp;T$3&amp;")'!$e:$e"),INDIRECT("'Thanh Toán ("&amp;T$3&amp;")'!$B:$B"),'Tổng Đơn'!$B33),0)</f>
        <v>0</v>
      </c>
      <c r="U33" s="2">
        <f ca="1">IFERROR(SUMIFS(INDIRECT("'Thanh Toán ("&amp;U$3&amp;")'!$e:$e"),INDIRECT("'Thanh Toán ("&amp;U$3&amp;")'!$B:$B"),'Tổng Đơn'!$B33),0)</f>
        <v>0</v>
      </c>
      <c r="V33" s="2">
        <f ca="1">IFERROR(SUMIFS(INDIRECT("'Thanh Toán ("&amp;V$3&amp;")'!$e:$e"),INDIRECT("'Thanh Toán ("&amp;V$3&amp;")'!$B:$B"),'Tổng Đơn'!$B33),0)</f>
        <v>0</v>
      </c>
      <c r="W33" s="2">
        <f ca="1">IFERROR(SUMIFS(INDIRECT("'Thanh Toán ("&amp;W$3&amp;")'!$e:$e"),INDIRECT("'Thanh Toán ("&amp;W$3&amp;")'!$B:$B"),'Tổng Đơn'!$B33),0)</f>
        <v>0</v>
      </c>
      <c r="X33" s="2">
        <f ca="1">IFERROR(SUMIFS(INDIRECT("'Thanh Toán ("&amp;X$3&amp;")'!$e:$e"),INDIRECT("'Thanh Toán ("&amp;X$3&amp;")'!$B:$B"),'Tổng Đơn'!$B33),0)</f>
        <v>0</v>
      </c>
      <c r="Y33" s="2">
        <f ca="1">IFERROR(SUMIFS(INDIRECT("'Thanh Toán ("&amp;Y$3&amp;")'!$e:$e"),INDIRECT("'Thanh Toán ("&amp;Y$3&amp;")'!$B:$B"),'Tổng Đơn'!$B33),0)</f>
        <v>0</v>
      </c>
      <c r="Z33" s="2">
        <f ca="1">IFERROR(SUMIFS(INDIRECT("'Thanh Toán ("&amp;Z$3&amp;")'!$e:$e"),INDIRECT("'Thanh Toán ("&amp;Z$3&amp;")'!$B:$B"),'Tổng Đơn'!$B33),0)</f>
        <v>0</v>
      </c>
      <c r="AA33" s="2">
        <f ca="1">IFERROR(SUMIFS(INDIRECT("'Thanh Toán ("&amp;AA$3&amp;")'!$e:$e"),INDIRECT("'Thanh Toán ("&amp;AA$3&amp;")'!$B:$B"),'Tổng Đơn'!$B33),0)</f>
        <v>0</v>
      </c>
      <c r="AB33" s="2">
        <f ca="1">IFERROR(SUMIFS(INDIRECT("'Thanh Toán ("&amp;AB$3&amp;")'!$e:$e"),INDIRECT("'Thanh Toán ("&amp;AB$3&amp;")'!$B:$B"),'Tổng Đơn'!$B33),0)</f>
        <v>0</v>
      </c>
      <c r="AC33" s="2">
        <f ca="1">IFERROR(SUMIFS(INDIRECT("'Thanh Toán ("&amp;AC$3&amp;")'!$e:$e"),INDIRECT("'Thanh Toán ("&amp;AC$3&amp;")'!$B:$B"),'Tổng Đơn'!$B33),0)</f>
        <v>0</v>
      </c>
      <c r="AD33" s="2">
        <f ca="1">IFERROR(SUMIFS(INDIRECT("'Thanh Toán ("&amp;AD$3&amp;")'!$e:$e"),INDIRECT("'Thanh Toán ("&amp;AD$3&amp;")'!$B:$B"),'Tổng Đơn'!$B33),0)</f>
        <v>0</v>
      </c>
      <c r="AE33" s="2">
        <f ca="1">IFERROR(SUMIFS(INDIRECT("'Thanh Toán ("&amp;AE$3&amp;")'!$e:$e"),INDIRECT("'Thanh Toán ("&amp;AE$3&amp;")'!$B:$B"),'Tổng Đơn'!$B33),0)</f>
        <v>0</v>
      </c>
      <c r="AF33" s="2">
        <f ca="1">IFERROR(SUMIFS(INDIRECT("'Thanh Toán ("&amp;AF$3&amp;")'!$e:$e"),INDIRECT("'Thanh Toán ("&amp;AF$3&amp;")'!$B:$B"),'Tổng Đơn'!$B33),0)</f>
        <v>0</v>
      </c>
      <c r="AG33" s="2">
        <f ca="1">IFERROR(SUMIFS(INDIRECT("'Thanh Toán ("&amp;AG$3&amp;")'!$e:$e"),INDIRECT("'Thanh Toán ("&amp;AG$3&amp;")'!$B:$B"),'Tổng Đơn'!$B33),0)</f>
        <v>0</v>
      </c>
      <c r="AH33" s="2">
        <f ca="1">IFERROR(SUMIFS(INDIRECT("'Thanh Toán ("&amp;AH$3&amp;")'!$e:$e"),INDIRECT("'Thanh Toán ("&amp;AH$3&amp;")'!$B:$B"),'Tổng Đơn'!$B33),0)</f>
        <v>0</v>
      </c>
      <c r="AI33" s="2">
        <f ca="1">IFERROR(SUMIFS(INDIRECT("'Thanh Toán ("&amp;AI$3&amp;")'!$e:$e"),INDIRECT("'Thanh Toán ("&amp;AI$3&amp;")'!$B:$B"),'Tổng Đơn'!$B33),0)</f>
        <v>0</v>
      </c>
      <c r="AJ33" s="2">
        <f ca="1">IFERROR(SUMIFS(INDIRECT("'Thanh Toán ("&amp;AJ$3&amp;")'!$e:$e"),INDIRECT("'Thanh Toán ("&amp;AJ$3&amp;")'!$B:$B"),'Tổng Đơn'!$B33),0)</f>
        <v>0</v>
      </c>
      <c r="AK33" s="2">
        <f ca="1">IFERROR(SUMIFS(INDIRECT("'Thanh Toán ("&amp;AK$3&amp;")'!$e:$e"),INDIRECT("'Thanh Toán ("&amp;AK$3&amp;")'!$B:$B"),'Tổng Đơn'!$B33),0)</f>
        <v>0</v>
      </c>
      <c r="AL33" s="2">
        <f ca="1">IFERROR(SUMIFS(INDIRECT("'Thanh Toán ("&amp;AL$3&amp;")'!$e:$e"),INDIRECT("'Thanh Toán ("&amp;AL$3&amp;")'!$B:$B"),'Tổng Đơn'!$B33),0)</f>
        <v>0</v>
      </c>
      <c r="AM33" s="2">
        <f ca="1">IFERROR(SUMIFS(INDIRECT("'Thanh Toán ("&amp;AM$3&amp;")'!$e:$e"),INDIRECT("'Thanh Toán ("&amp;AM$3&amp;")'!$B:$B"),'Tổng Đơn'!$B33),0)</f>
        <v>0</v>
      </c>
      <c r="AN33" s="2">
        <f ca="1">IFERROR(SUMIFS(INDIRECT("'Thanh Toán ("&amp;AN$3&amp;")'!$e:$e"),INDIRECT("'Thanh Toán ("&amp;AN$3&amp;")'!$B:$B"),'Tổng Đơn'!$B33),0)</f>
        <v>0</v>
      </c>
      <c r="AO33" s="2">
        <f ca="1">IFERROR(SUMIFS(INDIRECT("'Thanh Toán ("&amp;AO$3&amp;")'!$e:$e"),INDIRECT("'Thanh Toán ("&amp;AO$3&amp;")'!$B:$B"),'Tổng Đơn'!$B33),0)</f>
        <v>0</v>
      </c>
    </row>
    <row r="34" spans="1:41" x14ac:dyDescent="0.25">
      <c r="A34" s="23">
        <v>30</v>
      </c>
      <c r="B34" s="44" t="s">
        <v>40</v>
      </c>
      <c r="C34" s="23" t="s">
        <v>90</v>
      </c>
      <c r="D34" s="45">
        <f>VLOOKUP($C34,Sheet1!$C$3:$D$52,2,0)</f>
        <v>14000</v>
      </c>
      <c r="E34" s="63">
        <v>0.2</v>
      </c>
      <c r="F34" s="61">
        <f t="shared" ca="1" si="1"/>
        <v>1</v>
      </c>
      <c r="G34" s="61">
        <v>11.2</v>
      </c>
      <c r="H34" s="61">
        <f t="shared" ca="1" si="2"/>
        <v>2800</v>
      </c>
      <c r="I34" s="61"/>
      <c r="J34" s="61">
        <f t="shared" ca="1" si="3"/>
        <v>14000</v>
      </c>
      <c r="K34" s="61"/>
      <c r="L34" s="2">
        <f ca="1">IFERROR(SUMIFS(INDIRECT("'Thanh Toán ("&amp;L$3&amp;")'!$e:$e"),INDIRECT("'Thanh Toán ("&amp;L$3&amp;")'!$B:$B"),'Tổng Đơn'!$B34),0)</f>
        <v>0</v>
      </c>
      <c r="M34" s="2">
        <f ca="1">IFERROR(SUMIFS(INDIRECT("'Thanh Toán ("&amp;M$3&amp;")'!$e:$e"),INDIRECT("'Thanh Toán ("&amp;M$3&amp;")'!$B:$B"),'Tổng Đơn'!$B34),0)</f>
        <v>0</v>
      </c>
      <c r="N34" s="2">
        <f ca="1">IFERROR(SUMIFS(INDIRECT("'Thanh Toán ("&amp;N$3&amp;")'!$e:$e"),INDIRECT("'Thanh Toán ("&amp;N$3&amp;")'!$B:$B"),'Tổng Đơn'!$B34),0)</f>
        <v>0</v>
      </c>
      <c r="O34" s="2">
        <f ca="1">IFERROR(SUMIFS(INDIRECT("'Thanh Toán ("&amp;O$3&amp;")'!$e:$e"),INDIRECT("'Thanh Toán ("&amp;O$3&amp;")'!$B:$B"),'Tổng Đơn'!$B34),0)</f>
        <v>0</v>
      </c>
      <c r="P34" s="2">
        <f ca="1">IFERROR(SUMIFS(INDIRECT("'Thanh Toán ("&amp;P$3&amp;")'!$e:$e"),INDIRECT("'Thanh Toán ("&amp;P$3&amp;")'!$B:$B"),'Tổng Đơn'!$B34),0)</f>
        <v>0</v>
      </c>
      <c r="Q34" s="2">
        <f ca="1">IFERROR(SUMIFS(INDIRECT("'Thanh Toán ("&amp;Q$3&amp;")'!$e:$e"),INDIRECT("'Thanh Toán ("&amp;Q$3&amp;")'!$B:$B"),'Tổng Đơn'!$B34),0)</f>
        <v>0</v>
      </c>
      <c r="R34" s="2">
        <f ca="1">IFERROR(SUMIFS(INDIRECT("'Thanh Toán ("&amp;R$3&amp;")'!$e:$e"),INDIRECT("'Thanh Toán ("&amp;R$3&amp;")'!$B:$B"),'Tổng Đơn'!$B34),0)</f>
        <v>0</v>
      </c>
      <c r="S34" s="2">
        <f ca="1">IFERROR(SUMIFS(INDIRECT("'Thanh Toán ("&amp;S$3&amp;")'!$e:$e"),INDIRECT("'Thanh Toán ("&amp;S$3&amp;")'!$B:$B"),'Tổng Đơn'!$B34),0)</f>
        <v>0</v>
      </c>
      <c r="T34" s="2">
        <f ca="1">IFERROR(SUMIFS(INDIRECT("'Thanh Toán ("&amp;T$3&amp;")'!$e:$e"),INDIRECT("'Thanh Toán ("&amp;T$3&amp;")'!$B:$B"),'Tổng Đơn'!$B34),0)</f>
        <v>0</v>
      </c>
      <c r="U34" s="2">
        <f ca="1">IFERROR(SUMIFS(INDIRECT("'Thanh Toán ("&amp;U$3&amp;")'!$e:$e"),INDIRECT("'Thanh Toán ("&amp;U$3&amp;")'!$B:$B"),'Tổng Đơn'!$B34),0)</f>
        <v>0</v>
      </c>
      <c r="V34" s="2">
        <f ca="1">IFERROR(SUMIFS(INDIRECT("'Thanh Toán ("&amp;V$3&amp;")'!$e:$e"),INDIRECT("'Thanh Toán ("&amp;V$3&amp;")'!$B:$B"),'Tổng Đơn'!$B34),0)</f>
        <v>1</v>
      </c>
      <c r="W34" s="2">
        <f ca="1">IFERROR(SUMIFS(INDIRECT("'Thanh Toán ("&amp;W$3&amp;")'!$e:$e"),INDIRECT("'Thanh Toán ("&amp;W$3&amp;")'!$B:$B"),'Tổng Đơn'!$B34),0)</f>
        <v>0</v>
      </c>
      <c r="X34" s="2">
        <f ca="1">IFERROR(SUMIFS(INDIRECT("'Thanh Toán ("&amp;X$3&amp;")'!$e:$e"),INDIRECT("'Thanh Toán ("&amp;X$3&amp;")'!$B:$B"),'Tổng Đơn'!$B34),0)</f>
        <v>0</v>
      </c>
      <c r="Y34" s="2">
        <f ca="1">IFERROR(SUMIFS(INDIRECT("'Thanh Toán ("&amp;Y$3&amp;")'!$e:$e"),INDIRECT("'Thanh Toán ("&amp;Y$3&amp;")'!$B:$B"),'Tổng Đơn'!$B34),0)</f>
        <v>0</v>
      </c>
      <c r="Z34" s="2">
        <f ca="1">IFERROR(SUMIFS(INDIRECT("'Thanh Toán ("&amp;Z$3&amp;")'!$e:$e"),INDIRECT("'Thanh Toán ("&amp;Z$3&amp;")'!$B:$B"),'Tổng Đơn'!$B34),0)</f>
        <v>0</v>
      </c>
      <c r="AA34" s="2">
        <f ca="1">IFERROR(SUMIFS(INDIRECT("'Thanh Toán ("&amp;AA$3&amp;")'!$e:$e"),INDIRECT("'Thanh Toán ("&amp;AA$3&amp;")'!$B:$B"),'Tổng Đơn'!$B34),0)</f>
        <v>0</v>
      </c>
      <c r="AB34" s="2">
        <f ca="1">IFERROR(SUMIFS(INDIRECT("'Thanh Toán ("&amp;AB$3&amp;")'!$e:$e"),INDIRECT("'Thanh Toán ("&amp;AB$3&amp;")'!$B:$B"),'Tổng Đơn'!$B34),0)</f>
        <v>0</v>
      </c>
      <c r="AC34" s="2">
        <f ca="1">IFERROR(SUMIFS(INDIRECT("'Thanh Toán ("&amp;AC$3&amp;")'!$e:$e"),INDIRECT("'Thanh Toán ("&amp;AC$3&amp;")'!$B:$B"),'Tổng Đơn'!$B34),0)</f>
        <v>0</v>
      </c>
      <c r="AD34" s="2">
        <f ca="1">IFERROR(SUMIFS(INDIRECT("'Thanh Toán ("&amp;AD$3&amp;")'!$e:$e"),INDIRECT("'Thanh Toán ("&amp;AD$3&amp;")'!$B:$B"),'Tổng Đơn'!$B34),0)</f>
        <v>0</v>
      </c>
      <c r="AE34" s="2">
        <f ca="1">IFERROR(SUMIFS(INDIRECT("'Thanh Toán ("&amp;AE$3&amp;")'!$e:$e"),INDIRECT("'Thanh Toán ("&amp;AE$3&amp;")'!$B:$B"),'Tổng Đơn'!$B34),0)</f>
        <v>0</v>
      </c>
      <c r="AF34" s="2">
        <f ca="1">IFERROR(SUMIFS(INDIRECT("'Thanh Toán ("&amp;AF$3&amp;")'!$e:$e"),INDIRECT("'Thanh Toán ("&amp;AF$3&amp;")'!$B:$B"),'Tổng Đơn'!$B34),0)</f>
        <v>0</v>
      </c>
      <c r="AG34" s="2">
        <f ca="1">IFERROR(SUMIFS(INDIRECT("'Thanh Toán ("&amp;AG$3&amp;")'!$e:$e"),INDIRECT("'Thanh Toán ("&amp;AG$3&amp;")'!$B:$B"),'Tổng Đơn'!$B34),0)</f>
        <v>0</v>
      </c>
      <c r="AH34" s="2">
        <f ca="1">IFERROR(SUMIFS(INDIRECT("'Thanh Toán ("&amp;AH$3&amp;")'!$e:$e"),INDIRECT("'Thanh Toán ("&amp;AH$3&amp;")'!$B:$B"),'Tổng Đơn'!$B34),0)</f>
        <v>0</v>
      </c>
      <c r="AI34" s="2">
        <f ca="1">IFERROR(SUMIFS(INDIRECT("'Thanh Toán ("&amp;AI$3&amp;")'!$e:$e"),INDIRECT("'Thanh Toán ("&amp;AI$3&amp;")'!$B:$B"),'Tổng Đơn'!$B34),0)</f>
        <v>0</v>
      </c>
      <c r="AJ34" s="2">
        <f ca="1">IFERROR(SUMIFS(INDIRECT("'Thanh Toán ("&amp;AJ$3&amp;")'!$e:$e"),INDIRECT("'Thanh Toán ("&amp;AJ$3&amp;")'!$B:$B"),'Tổng Đơn'!$B34),0)</f>
        <v>0</v>
      </c>
      <c r="AK34" s="2">
        <f ca="1">IFERROR(SUMIFS(INDIRECT("'Thanh Toán ("&amp;AK$3&amp;")'!$e:$e"),INDIRECT("'Thanh Toán ("&amp;AK$3&amp;")'!$B:$B"),'Tổng Đơn'!$B34),0)</f>
        <v>0</v>
      </c>
      <c r="AL34" s="2">
        <f ca="1">IFERROR(SUMIFS(INDIRECT("'Thanh Toán ("&amp;AL$3&amp;")'!$e:$e"),INDIRECT("'Thanh Toán ("&amp;AL$3&amp;")'!$B:$B"),'Tổng Đơn'!$B34),0)</f>
        <v>0</v>
      </c>
      <c r="AM34" s="2">
        <f ca="1">IFERROR(SUMIFS(INDIRECT("'Thanh Toán ("&amp;AM$3&amp;")'!$e:$e"),INDIRECT("'Thanh Toán ("&amp;AM$3&amp;")'!$B:$B"),'Tổng Đơn'!$B34),0)</f>
        <v>0</v>
      </c>
      <c r="AN34" s="2">
        <f ca="1">IFERROR(SUMIFS(INDIRECT("'Thanh Toán ("&amp;AN$3&amp;")'!$e:$e"),INDIRECT("'Thanh Toán ("&amp;AN$3&amp;")'!$B:$B"),'Tổng Đơn'!$B34),0)</f>
        <v>0</v>
      </c>
      <c r="AO34" s="2">
        <f ca="1">IFERROR(SUMIFS(INDIRECT("'Thanh Toán ("&amp;AO$3&amp;")'!$e:$e"),INDIRECT("'Thanh Toán ("&amp;AO$3&amp;")'!$B:$B"),'Tổng Đơn'!$B34),0)</f>
        <v>0</v>
      </c>
    </row>
    <row r="35" spans="1:41" x14ac:dyDescent="0.25">
      <c r="A35" s="23">
        <v>31</v>
      </c>
      <c r="B35" s="44" t="s">
        <v>68</v>
      </c>
      <c r="C35" s="23" t="s">
        <v>91</v>
      </c>
      <c r="D35" s="45">
        <f>VLOOKUP($C35,Sheet1!$C$3:$D$52,2,0)</f>
        <v>32000</v>
      </c>
      <c r="E35" s="63">
        <v>0.5</v>
      </c>
      <c r="F35" s="61">
        <f t="shared" ca="1" si="1"/>
        <v>0</v>
      </c>
      <c r="G35" s="61">
        <v>26.5</v>
      </c>
      <c r="H35" s="61">
        <f t="shared" ca="1" si="2"/>
        <v>0</v>
      </c>
      <c r="I35" s="61"/>
      <c r="J35" s="61">
        <f t="shared" ca="1" si="3"/>
        <v>0</v>
      </c>
      <c r="K35" s="61"/>
      <c r="L35" s="2">
        <f ca="1">IFERROR(SUMIFS(INDIRECT("'Thanh Toán ("&amp;L$3&amp;")'!$e:$e"),INDIRECT("'Thanh Toán ("&amp;L$3&amp;")'!$B:$B"),'Tổng Đơn'!$B35),0)</f>
        <v>0</v>
      </c>
      <c r="M35" s="2">
        <f ca="1">IFERROR(SUMIFS(INDIRECT("'Thanh Toán ("&amp;M$3&amp;")'!$e:$e"),INDIRECT("'Thanh Toán ("&amp;M$3&amp;")'!$B:$B"),'Tổng Đơn'!$B35),0)</f>
        <v>0</v>
      </c>
      <c r="N35" s="2">
        <f ca="1">IFERROR(SUMIFS(INDIRECT("'Thanh Toán ("&amp;N$3&amp;")'!$e:$e"),INDIRECT("'Thanh Toán ("&amp;N$3&amp;")'!$B:$B"),'Tổng Đơn'!$B35),0)</f>
        <v>0</v>
      </c>
      <c r="O35" s="2">
        <f ca="1">IFERROR(SUMIFS(INDIRECT("'Thanh Toán ("&amp;O$3&amp;")'!$e:$e"),INDIRECT("'Thanh Toán ("&amp;O$3&amp;")'!$B:$B"),'Tổng Đơn'!$B35),0)</f>
        <v>0</v>
      </c>
      <c r="P35" s="2">
        <f ca="1">IFERROR(SUMIFS(INDIRECT("'Thanh Toán ("&amp;P$3&amp;")'!$e:$e"),INDIRECT("'Thanh Toán ("&amp;P$3&amp;")'!$B:$B"),'Tổng Đơn'!$B35),0)</f>
        <v>0</v>
      </c>
      <c r="Q35" s="2">
        <f ca="1">IFERROR(SUMIFS(INDIRECT("'Thanh Toán ("&amp;Q$3&amp;")'!$e:$e"),INDIRECT("'Thanh Toán ("&amp;Q$3&amp;")'!$B:$B"),'Tổng Đơn'!$B35),0)</f>
        <v>0</v>
      </c>
      <c r="R35" s="2">
        <f ca="1">IFERROR(SUMIFS(INDIRECT("'Thanh Toán ("&amp;R$3&amp;")'!$e:$e"),INDIRECT("'Thanh Toán ("&amp;R$3&amp;")'!$B:$B"),'Tổng Đơn'!$B35),0)</f>
        <v>0</v>
      </c>
      <c r="S35" s="2">
        <f ca="1">IFERROR(SUMIFS(INDIRECT("'Thanh Toán ("&amp;S$3&amp;")'!$e:$e"),INDIRECT("'Thanh Toán ("&amp;S$3&amp;")'!$B:$B"),'Tổng Đơn'!$B35),0)</f>
        <v>0</v>
      </c>
      <c r="T35" s="2">
        <f ca="1">IFERROR(SUMIFS(INDIRECT("'Thanh Toán ("&amp;T$3&amp;")'!$e:$e"),INDIRECT("'Thanh Toán ("&amp;T$3&amp;")'!$B:$B"),'Tổng Đơn'!$B35),0)</f>
        <v>0</v>
      </c>
      <c r="U35" s="2">
        <f ca="1">IFERROR(SUMIFS(INDIRECT("'Thanh Toán ("&amp;U$3&amp;")'!$e:$e"),INDIRECT("'Thanh Toán ("&amp;U$3&amp;")'!$B:$B"),'Tổng Đơn'!$B35),0)</f>
        <v>0</v>
      </c>
      <c r="V35" s="2">
        <f ca="1">IFERROR(SUMIFS(INDIRECT("'Thanh Toán ("&amp;V$3&amp;")'!$e:$e"),INDIRECT("'Thanh Toán ("&amp;V$3&amp;")'!$B:$B"),'Tổng Đơn'!$B35),0)</f>
        <v>0</v>
      </c>
      <c r="W35" s="2">
        <f ca="1">IFERROR(SUMIFS(INDIRECT("'Thanh Toán ("&amp;W$3&amp;")'!$e:$e"),INDIRECT("'Thanh Toán ("&amp;W$3&amp;")'!$B:$B"),'Tổng Đơn'!$B35),0)</f>
        <v>0</v>
      </c>
      <c r="X35" s="2">
        <f ca="1">IFERROR(SUMIFS(INDIRECT("'Thanh Toán ("&amp;X$3&amp;")'!$e:$e"),INDIRECT("'Thanh Toán ("&amp;X$3&amp;")'!$B:$B"),'Tổng Đơn'!$B35),0)</f>
        <v>0</v>
      </c>
      <c r="Y35" s="2">
        <f ca="1">IFERROR(SUMIFS(INDIRECT("'Thanh Toán ("&amp;Y$3&amp;")'!$e:$e"),INDIRECT("'Thanh Toán ("&amp;Y$3&amp;")'!$B:$B"),'Tổng Đơn'!$B35),0)</f>
        <v>0</v>
      </c>
      <c r="Z35" s="2">
        <f ca="1">IFERROR(SUMIFS(INDIRECT("'Thanh Toán ("&amp;Z$3&amp;")'!$e:$e"),INDIRECT("'Thanh Toán ("&amp;Z$3&amp;")'!$B:$B"),'Tổng Đơn'!$B35),0)</f>
        <v>0</v>
      </c>
      <c r="AA35" s="2">
        <f ca="1">IFERROR(SUMIFS(INDIRECT("'Thanh Toán ("&amp;AA$3&amp;")'!$e:$e"),INDIRECT("'Thanh Toán ("&amp;AA$3&amp;")'!$B:$B"),'Tổng Đơn'!$B35),0)</f>
        <v>0</v>
      </c>
      <c r="AB35" s="2">
        <f ca="1">IFERROR(SUMIFS(INDIRECT("'Thanh Toán ("&amp;AB$3&amp;")'!$e:$e"),INDIRECT("'Thanh Toán ("&amp;AB$3&amp;")'!$B:$B"),'Tổng Đơn'!$B35),0)</f>
        <v>0</v>
      </c>
      <c r="AC35" s="2">
        <f ca="1">IFERROR(SUMIFS(INDIRECT("'Thanh Toán ("&amp;AC$3&amp;")'!$e:$e"),INDIRECT("'Thanh Toán ("&amp;AC$3&amp;")'!$B:$B"),'Tổng Đơn'!$B35),0)</f>
        <v>0</v>
      </c>
      <c r="AD35" s="2">
        <f ca="1">IFERROR(SUMIFS(INDIRECT("'Thanh Toán ("&amp;AD$3&amp;")'!$e:$e"),INDIRECT("'Thanh Toán ("&amp;AD$3&amp;")'!$B:$B"),'Tổng Đơn'!$B35),0)</f>
        <v>0</v>
      </c>
      <c r="AE35" s="2">
        <f ca="1">IFERROR(SUMIFS(INDIRECT("'Thanh Toán ("&amp;AE$3&amp;")'!$e:$e"),INDIRECT("'Thanh Toán ("&amp;AE$3&amp;")'!$B:$B"),'Tổng Đơn'!$B35),0)</f>
        <v>0</v>
      </c>
      <c r="AF35" s="2">
        <f ca="1">IFERROR(SUMIFS(INDIRECT("'Thanh Toán ("&amp;AF$3&amp;")'!$e:$e"),INDIRECT("'Thanh Toán ("&amp;AF$3&amp;")'!$B:$B"),'Tổng Đơn'!$B35),0)</f>
        <v>0</v>
      </c>
      <c r="AG35" s="2">
        <f ca="1">IFERROR(SUMIFS(INDIRECT("'Thanh Toán ("&amp;AG$3&amp;")'!$e:$e"),INDIRECT("'Thanh Toán ("&amp;AG$3&amp;")'!$B:$B"),'Tổng Đơn'!$B35),0)</f>
        <v>0</v>
      </c>
      <c r="AH35" s="2">
        <f ca="1">IFERROR(SUMIFS(INDIRECT("'Thanh Toán ("&amp;AH$3&amp;")'!$e:$e"),INDIRECT("'Thanh Toán ("&amp;AH$3&amp;")'!$B:$B"),'Tổng Đơn'!$B35),0)</f>
        <v>0</v>
      </c>
      <c r="AI35" s="2">
        <f ca="1">IFERROR(SUMIFS(INDIRECT("'Thanh Toán ("&amp;AI$3&amp;")'!$e:$e"),INDIRECT("'Thanh Toán ("&amp;AI$3&amp;")'!$B:$B"),'Tổng Đơn'!$B35),0)</f>
        <v>0</v>
      </c>
      <c r="AJ35" s="2">
        <f ca="1">IFERROR(SUMIFS(INDIRECT("'Thanh Toán ("&amp;AJ$3&amp;")'!$e:$e"),INDIRECT("'Thanh Toán ("&amp;AJ$3&amp;")'!$B:$B"),'Tổng Đơn'!$B35),0)</f>
        <v>0</v>
      </c>
      <c r="AK35" s="2">
        <f ca="1">IFERROR(SUMIFS(INDIRECT("'Thanh Toán ("&amp;AK$3&amp;")'!$e:$e"),INDIRECT("'Thanh Toán ("&amp;AK$3&amp;")'!$B:$B"),'Tổng Đơn'!$B35),0)</f>
        <v>0</v>
      </c>
      <c r="AL35" s="2">
        <f ca="1">IFERROR(SUMIFS(INDIRECT("'Thanh Toán ("&amp;AL$3&amp;")'!$e:$e"),INDIRECT("'Thanh Toán ("&amp;AL$3&amp;")'!$B:$B"),'Tổng Đơn'!$B35),0)</f>
        <v>0</v>
      </c>
      <c r="AM35" s="2">
        <f ca="1">IFERROR(SUMIFS(INDIRECT("'Thanh Toán ("&amp;AM$3&amp;")'!$e:$e"),INDIRECT("'Thanh Toán ("&amp;AM$3&amp;")'!$B:$B"),'Tổng Đơn'!$B35),0)</f>
        <v>0</v>
      </c>
      <c r="AN35" s="2">
        <f ca="1">IFERROR(SUMIFS(INDIRECT("'Thanh Toán ("&amp;AN$3&amp;")'!$e:$e"),INDIRECT("'Thanh Toán ("&amp;AN$3&amp;")'!$B:$B"),'Tổng Đơn'!$B35),0)</f>
        <v>0</v>
      </c>
      <c r="AO35" s="2">
        <f ca="1">IFERROR(SUMIFS(INDIRECT("'Thanh Toán ("&amp;AO$3&amp;")'!$e:$e"),INDIRECT("'Thanh Toán ("&amp;AO$3&amp;")'!$B:$B"),'Tổng Đơn'!$B35),0)</f>
        <v>0</v>
      </c>
    </row>
    <row r="36" spans="1:41" x14ac:dyDescent="0.25">
      <c r="A36" s="23">
        <v>32</v>
      </c>
      <c r="B36" s="44" t="s">
        <v>41</v>
      </c>
      <c r="C36" s="23" t="s">
        <v>92</v>
      </c>
      <c r="D36" s="45">
        <f>VLOOKUP($C36,Sheet1!$C$3:$D$52,2,0)</f>
        <v>34500</v>
      </c>
      <c r="E36" s="63">
        <v>0.5</v>
      </c>
      <c r="F36" s="61">
        <f t="shared" ca="1" si="1"/>
        <v>0</v>
      </c>
      <c r="G36" s="61">
        <v>28.5</v>
      </c>
      <c r="H36" s="61">
        <f t="shared" ca="1" si="2"/>
        <v>0</v>
      </c>
      <c r="I36" s="61"/>
      <c r="J36" s="61">
        <f t="shared" ca="1" si="3"/>
        <v>0</v>
      </c>
      <c r="K36" s="61"/>
      <c r="L36" s="2">
        <f ca="1">IFERROR(SUMIFS(INDIRECT("'Thanh Toán ("&amp;L$3&amp;")'!$e:$e"),INDIRECT("'Thanh Toán ("&amp;L$3&amp;")'!$B:$B"),'Tổng Đơn'!$B36),0)</f>
        <v>0</v>
      </c>
      <c r="M36" s="2">
        <f ca="1">IFERROR(SUMIFS(INDIRECT("'Thanh Toán ("&amp;M$3&amp;")'!$e:$e"),INDIRECT("'Thanh Toán ("&amp;M$3&amp;")'!$B:$B"),'Tổng Đơn'!$B36),0)</f>
        <v>0</v>
      </c>
      <c r="N36" s="2">
        <f ca="1">IFERROR(SUMIFS(INDIRECT("'Thanh Toán ("&amp;N$3&amp;")'!$e:$e"),INDIRECT("'Thanh Toán ("&amp;N$3&amp;")'!$B:$B"),'Tổng Đơn'!$B36),0)</f>
        <v>0</v>
      </c>
      <c r="O36" s="2">
        <f ca="1">IFERROR(SUMIFS(INDIRECT("'Thanh Toán ("&amp;O$3&amp;")'!$e:$e"),INDIRECT("'Thanh Toán ("&amp;O$3&amp;")'!$B:$B"),'Tổng Đơn'!$B36),0)</f>
        <v>0</v>
      </c>
      <c r="P36" s="2">
        <f ca="1">IFERROR(SUMIFS(INDIRECT("'Thanh Toán ("&amp;P$3&amp;")'!$e:$e"),INDIRECT("'Thanh Toán ("&amp;P$3&amp;")'!$B:$B"),'Tổng Đơn'!$B36),0)</f>
        <v>0</v>
      </c>
      <c r="Q36" s="2">
        <f ca="1">IFERROR(SUMIFS(INDIRECT("'Thanh Toán ("&amp;Q$3&amp;")'!$e:$e"),INDIRECT("'Thanh Toán ("&amp;Q$3&amp;")'!$B:$B"),'Tổng Đơn'!$B36),0)</f>
        <v>0</v>
      </c>
      <c r="R36" s="2">
        <f ca="1">IFERROR(SUMIFS(INDIRECT("'Thanh Toán ("&amp;R$3&amp;")'!$e:$e"),INDIRECT("'Thanh Toán ("&amp;R$3&amp;")'!$B:$B"),'Tổng Đơn'!$B36),0)</f>
        <v>0</v>
      </c>
      <c r="S36" s="2">
        <f ca="1">IFERROR(SUMIFS(INDIRECT("'Thanh Toán ("&amp;S$3&amp;")'!$e:$e"),INDIRECT("'Thanh Toán ("&amp;S$3&amp;")'!$B:$B"),'Tổng Đơn'!$B36),0)</f>
        <v>0</v>
      </c>
      <c r="T36" s="2">
        <f ca="1">IFERROR(SUMIFS(INDIRECT("'Thanh Toán ("&amp;T$3&amp;")'!$e:$e"),INDIRECT("'Thanh Toán ("&amp;T$3&amp;")'!$B:$B"),'Tổng Đơn'!$B36),0)</f>
        <v>0</v>
      </c>
      <c r="U36" s="2">
        <f ca="1">IFERROR(SUMIFS(INDIRECT("'Thanh Toán ("&amp;U$3&amp;")'!$e:$e"),INDIRECT("'Thanh Toán ("&amp;U$3&amp;")'!$B:$B"),'Tổng Đơn'!$B36),0)</f>
        <v>0</v>
      </c>
      <c r="V36" s="2">
        <f ca="1">IFERROR(SUMIFS(INDIRECT("'Thanh Toán ("&amp;V$3&amp;")'!$e:$e"),INDIRECT("'Thanh Toán ("&amp;V$3&amp;")'!$B:$B"),'Tổng Đơn'!$B36),0)</f>
        <v>0</v>
      </c>
      <c r="W36" s="2">
        <f ca="1">IFERROR(SUMIFS(INDIRECT("'Thanh Toán ("&amp;W$3&amp;")'!$e:$e"),INDIRECT("'Thanh Toán ("&amp;W$3&amp;")'!$B:$B"),'Tổng Đơn'!$B36),0)</f>
        <v>0</v>
      </c>
      <c r="X36" s="2">
        <f ca="1">IFERROR(SUMIFS(INDIRECT("'Thanh Toán ("&amp;X$3&amp;")'!$e:$e"),INDIRECT("'Thanh Toán ("&amp;X$3&amp;")'!$B:$B"),'Tổng Đơn'!$B36),0)</f>
        <v>0</v>
      </c>
      <c r="Y36" s="2">
        <f ca="1">IFERROR(SUMIFS(INDIRECT("'Thanh Toán ("&amp;Y$3&amp;")'!$e:$e"),INDIRECT("'Thanh Toán ("&amp;Y$3&amp;")'!$B:$B"),'Tổng Đơn'!$B36),0)</f>
        <v>0</v>
      </c>
      <c r="Z36" s="2">
        <f ca="1">IFERROR(SUMIFS(INDIRECT("'Thanh Toán ("&amp;Z$3&amp;")'!$e:$e"),INDIRECT("'Thanh Toán ("&amp;Z$3&amp;")'!$B:$B"),'Tổng Đơn'!$B36),0)</f>
        <v>0</v>
      </c>
      <c r="AA36" s="2">
        <f ca="1">IFERROR(SUMIFS(INDIRECT("'Thanh Toán ("&amp;AA$3&amp;")'!$e:$e"),INDIRECT("'Thanh Toán ("&amp;AA$3&amp;")'!$B:$B"),'Tổng Đơn'!$B36),0)</f>
        <v>0</v>
      </c>
      <c r="AB36" s="2">
        <f ca="1">IFERROR(SUMIFS(INDIRECT("'Thanh Toán ("&amp;AB$3&amp;")'!$e:$e"),INDIRECT("'Thanh Toán ("&amp;AB$3&amp;")'!$B:$B"),'Tổng Đơn'!$B36),0)</f>
        <v>0</v>
      </c>
      <c r="AC36" s="2">
        <f ca="1">IFERROR(SUMIFS(INDIRECT("'Thanh Toán ("&amp;AC$3&amp;")'!$e:$e"),INDIRECT("'Thanh Toán ("&amp;AC$3&amp;")'!$B:$B"),'Tổng Đơn'!$B36),0)</f>
        <v>0</v>
      </c>
      <c r="AD36" s="2">
        <f ca="1">IFERROR(SUMIFS(INDIRECT("'Thanh Toán ("&amp;AD$3&amp;")'!$e:$e"),INDIRECT("'Thanh Toán ("&amp;AD$3&amp;")'!$B:$B"),'Tổng Đơn'!$B36),0)</f>
        <v>0</v>
      </c>
      <c r="AE36" s="2">
        <f ca="1">IFERROR(SUMIFS(INDIRECT("'Thanh Toán ("&amp;AE$3&amp;")'!$e:$e"),INDIRECT("'Thanh Toán ("&amp;AE$3&amp;")'!$B:$B"),'Tổng Đơn'!$B36),0)</f>
        <v>0</v>
      </c>
      <c r="AF36" s="2">
        <f ca="1">IFERROR(SUMIFS(INDIRECT("'Thanh Toán ("&amp;AF$3&amp;")'!$e:$e"),INDIRECT("'Thanh Toán ("&amp;AF$3&amp;")'!$B:$B"),'Tổng Đơn'!$B36),0)</f>
        <v>0</v>
      </c>
      <c r="AG36" s="2">
        <f ca="1">IFERROR(SUMIFS(INDIRECT("'Thanh Toán ("&amp;AG$3&amp;")'!$e:$e"),INDIRECT("'Thanh Toán ("&amp;AG$3&amp;")'!$B:$B"),'Tổng Đơn'!$B36),0)</f>
        <v>0</v>
      </c>
      <c r="AH36" s="2">
        <f ca="1">IFERROR(SUMIFS(INDIRECT("'Thanh Toán ("&amp;AH$3&amp;")'!$e:$e"),INDIRECT("'Thanh Toán ("&amp;AH$3&amp;")'!$B:$B"),'Tổng Đơn'!$B36),0)</f>
        <v>0</v>
      </c>
      <c r="AI36" s="2">
        <f ca="1">IFERROR(SUMIFS(INDIRECT("'Thanh Toán ("&amp;AI$3&amp;")'!$e:$e"),INDIRECT("'Thanh Toán ("&amp;AI$3&amp;")'!$B:$B"),'Tổng Đơn'!$B36),0)</f>
        <v>0</v>
      </c>
      <c r="AJ36" s="2">
        <f ca="1">IFERROR(SUMIFS(INDIRECT("'Thanh Toán ("&amp;AJ$3&amp;")'!$e:$e"),INDIRECT("'Thanh Toán ("&amp;AJ$3&amp;")'!$B:$B"),'Tổng Đơn'!$B36),0)</f>
        <v>0</v>
      </c>
      <c r="AK36" s="2">
        <f ca="1">IFERROR(SUMIFS(INDIRECT("'Thanh Toán ("&amp;AK$3&amp;")'!$e:$e"),INDIRECT("'Thanh Toán ("&amp;AK$3&amp;")'!$B:$B"),'Tổng Đơn'!$B36),0)</f>
        <v>0</v>
      </c>
      <c r="AL36" s="2">
        <f ca="1">IFERROR(SUMIFS(INDIRECT("'Thanh Toán ("&amp;AL$3&amp;")'!$e:$e"),INDIRECT("'Thanh Toán ("&amp;AL$3&amp;")'!$B:$B"),'Tổng Đơn'!$B36),0)</f>
        <v>0</v>
      </c>
      <c r="AM36" s="2">
        <f ca="1">IFERROR(SUMIFS(INDIRECT("'Thanh Toán ("&amp;AM$3&amp;")'!$e:$e"),INDIRECT("'Thanh Toán ("&amp;AM$3&amp;")'!$B:$B"),'Tổng Đơn'!$B36),0)</f>
        <v>0</v>
      </c>
      <c r="AN36" s="2">
        <f ca="1">IFERROR(SUMIFS(INDIRECT("'Thanh Toán ("&amp;AN$3&amp;")'!$e:$e"),INDIRECT("'Thanh Toán ("&amp;AN$3&amp;")'!$B:$B"),'Tổng Đơn'!$B36),0)</f>
        <v>0</v>
      </c>
      <c r="AO36" s="2">
        <f ca="1">IFERROR(SUMIFS(INDIRECT("'Thanh Toán ("&amp;AO$3&amp;")'!$e:$e"),INDIRECT("'Thanh Toán ("&amp;AO$3&amp;")'!$B:$B"),'Tổng Đơn'!$B36),0)</f>
        <v>0</v>
      </c>
    </row>
    <row r="37" spans="1:41" x14ac:dyDescent="0.25">
      <c r="A37" s="23">
        <v>33</v>
      </c>
      <c r="B37" s="44" t="s">
        <v>42</v>
      </c>
      <c r="C37" s="23" t="s">
        <v>93</v>
      </c>
      <c r="D37" s="45">
        <f>VLOOKUP($C37,Sheet1!$C$3:$D$52,2,0)</f>
        <v>14000</v>
      </c>
      <c r="E37" s="63">
        <v>0.2</v>
      </c>
      <c r="F37" s="61">
        <f t="shared" ca="1" si="1"/>
        <v>0</v>
      </c>
      <c r="G37" s="61">
        <v>12</v>
      </c>
      <c r="H37" s="61">
        <f t="shared" ca="1" si="2"/>
        <v>0</v>
      </c>
      <c r="I37" s="61"/>
      <c r="J37" s="61">
        <f t="shared" ca="1" si="3"/>
        <v>0</v>
      </c>
      <c r="K37" s="61"/>
      <c r="L37" s="2">
        <f ca="1">IFERROR(SUMIFS(INDIRECT("'Thanh Toán ("&amp;L$3&amp;")'!$e:$e"),INDIRECT("'Thanh Toán ("&amp;L$3&amp;")'!$B:$B"),'Tổng Đơn'!$B37),0)</f>
        <v>0</v>
      </c>
      <c r="M37" s="2">
        <f ca="1">IFERROR(SUMIFS(INDIRECT("'Thanh Toán ("&amp;M$3&amp;")'!$e:$e"),INDIRECT("'Thanh Toán ("&amp;M$3&amp;")'!$B:$B"),'Tổng Đơn'!$B37),0)</f>
        <v>0</v>
      </c>
      <c r="N37" s="2">
        <f ca="1">IFERROR(SUMIFS(INDIRECT("'Thanh Toán ("&amp;N$3&amp;")'!$e:$e"),INDIRECT("'Thanh Toán ("&amp;N$3&amp;")'!$B:$B"),'Tổng Đơn'!$B37),0)</f>
        <v>0</v>
      </c>
      <c r="O37" s="2">
        <f ca="1">IFERROR(SUMIFS(INDIRECT("'Thanh Toán ("&amp;O$3&amp;")'!$e:$e"),INDIRECT("'Thanh Toán ("&amp;O$3&amp;")'!$B:$B"),'Tổng Đơn'!$B37),0)</f>
        <v>0</v>
      </c>
      <c r="P37" s="2">
        <f ca="1">IFERROR(SUMIFS(INDIRECT("'Thanh Toán ("&amp;P$3&amp;")'!$e:$e"),INDIRECT("'Thanh Toán ("&amp;P$3&amp;")'!$B:$B"),'Tổng Đơn'!$B37),0)</f>
        <v>0</v>
      </c>
      <c r="Q37" s="2">
        <f ca="1">IFERROR(SUMIFS(INDIRECT("'Thanh Toán ("&amp;Q$3&amp;")'!$e:$e"),INDIRECT("'Thanh Toán ("&amp;Q$3&amp;")'!$B:$B"),'Tổng Đơn'!$B37),0)</f>
        <v>0</v>
      </c>
      <c r="R37" s="2">
        <f ca="1">IFERROR(SUMIFS(INDIRECT("'Thanh Toán ("&amp;R$3&amp;")'!$e:$e"),INDIRECT("'Thanh Toán ("&amp;R$3&amp;")'!$B:$B"),'Tổng Đơn'!$B37),0)</f>
        <v>0</v>
      </c>
      <c r="S37" s="2">
        <f ca="1">IFERROR(SUMIFS(INDIRECT("'Thanh Toán ("&amp;S$3&amp;")'!$e:$e"),INDIRECT("'Thanh Toán ("&amp;S$3&amp;")'!$B:$B"),'Tổng Đơn'!$B37),0)</f>
        <v>0</v>
      </c>
      <c r="T37" s="2">
        <f ca="1">IFERROR(SUMIFS(INDIRECT("'Thanh Toán ("&amp;T$3&amp;")'!$e:$e"),INDIRECT("'Thanh Toán ("&amp;T$3&amp;")'!$B:$B"),'Tổng Đơn'!$B37),0)</f>
        <v>0</v>
      </c>
      <c r="U37" s="2">
        <f ca="1">IFERROR(SUMIFS(INDIRECT("'Thanh Toán ("&amp;U$3&amp;")'!$e:$e"),INDIRECT("'Thanh Toán ("&amp;U$3&amp;")'!$B:$B"),'Tổng Đơn'!$B37),0)</f>
        <v>0</v>
      </c>
      <c r="V37" s="2">
        <f ca="1">IFERROR(SUMIFS(INDIRECT("'Thanh Toán ("&amp;V$3&amp;")'!$e:$e"),INDIRECT("'Thanh Toán ("&amp;V$3&amp;")'!$B:$B"),'Tổng Đơn'!$B37),0)</f>
        <v>0</v>
      </c>
      <c r="W37" s="2">
        <f ca="1">IFERROR(SUMIFS(INDIRECT("'Thanh Toán ("&amp;W$3&amp;")'!$e:$e"),INDIRECT("'Thanh Toán ("&amp;W$3&amp;")'!$B:$B"),'Tổng Đơn'!$B37),0)</f>
        <v>0</v>
      </c>
      <c r="X37" s="2">
        <f ca="1">IFERROR(SUMIFS(INDIRECT("'Thanh Toán ("&amp;X$3&amp;")'!$e:$e"),INDIRECT("'Thanh Toán ("&amp;X$3&amp;")'!$B:$B"),'Tổng Đơn'!$B37),0)</f>
        <v>0</v>
      </c>
      <c r="Y37" s="2">
        <f ca="1">IFERROR(SUMIFS(INDIRECT("'Thanh Toán ("&amp;Y$3&amp;")'!$e:$e"),INDIRECT("'Thanh Toán ("&amp;Y$3&amp;")'!$B:$B"),'Tổng Đơn'!$B37),0)</f>
        <v>0</v>
      </c>
      <c r="Z37" s="2">
        <f ca="1">IFERROR(SUMIFS(INDIRECT("'Thanh Toán ("&amp;Z$3&amp;")'!$e:$e"),INDIRECT("'Thanh Toán ("&amp;Z$3&amp;")'!$B:$B"),'Tổng Đơn'!$B37),0)</f>
        <v>0</v>
      </c>
      <c r="AA37" s="2">
        <f ca="1">IFERROR(SUMIFS(INDIRECT("'Thanh Toán ("&amp;AA$3&amp;")'!$e:$e"),INDIRECT("'Thanh Toán ("&amp;AA$3&amp;")'!$B:$B"),'Tổng Đơn'!$B37),0)</f>
        <v>0</v>
      </c>
      <c r="AB37" s="2">
        <f ca="1">IFERROR(SUMIFS(INDIRECT("'Thanh Toán ("&amp;AB$3&amp;")'!$e:$e"),INDIRECT("'Thanh Toán ("&amp;AB$3&amp;")'!$B:$B"),'Tổng Đơn'!$B37),0)</f>
        <v>0</v>
      </c>
      <c r="AC37" s="2">
        <f ca="1">IFERROR(SUMIFS(INDIRECT("'Thanh Toán ("&amp;AC$3&amp;")'!$e:$e"),INDIRECT("'Thanh Toán ("&amp;AC$3&amp;")'!$B:$B"),'Tổng Đơn'!$B37),0)</f>
        <v>0</v>
      </c>
      <c r="AD37" s="2">
        <f ca="1">IFERROR(SUMIFS(INDIRECT("'Thanh Toán ("&amp;AD$3&amp;")'!$e:$e"),INDIRECT("'Thanh Toán ("&amp;AD$3&amp;")'!$B:$B"),'Tổng Đơn'!$B37),0)</f>
        <v>0</v>
      </c>
      <c r="AE37" s="2">
        <f ca="1">IFERROR(SUMIFS(INDIRECT("'Thanh Toán ("&amp;AE$3&amp;")'!$e:$e"),INDIRECT("'Thanh Toán ("&amp;AE$3&amp;")'!$B:$B"),'Tổng Đơn'!$B37),0)</f>
        <v>0</v>
      </c>
      <c r="AF37" s="2">
        <f ca="1">IFERROR(SUMIFS(INDIRECT("'Thanh Toán ("&amp;AF$3&amp;")'!$e:$e"),INDIRECT("'Thanh Toán ("&amp;AF$3&amp;")'!$B:$B"),'Tổng Đơn'!$B37),0)</f>
        <v>0</v>
      </c>
      <c r="AG37" s="2">
        <f ca="1">IFERROR(SUMIFS(INDIRECT("'Thanh Toán ("&amp;AG$3&amp;")'!$e:$e"),INDIRECT("'Thanh Toán ("&amp;AG$3&amp;")'!$B:$B"),'Tổng Đơn'!$B37),0)</f>
        <v>0</v>
      </c>
      <c r="AH37" s="2">
        <f ca="1">IFERROR(SUMIFS(INDIRECT("'Thanh Toán ("&amp;AH$3&amp;")'!$e:$e"),INDIRECT("'Thanh Toán ("&amp;AH$3&amp;")'!$B:$B"),'Tổng Đơn'!$B37),0)</f>
        <v>0</v>
      </c>
      <c r="AI37" s="2">
        <f ca="1">IFERROR(SUMIFS(INDIRECT("'Thanh Toán ("&amp;AI$3&amp;")'!$e:$e"),INDIRECT("'Thanh Toán ("&amp;AI$3&amp;")'!$B:$B"),'Tổng Đơn'!$B37),0)</f>
        <v>0</v>
      </c>
      <c r="AJ37" s="2">
        <f ca="1">IFERROR(SUMIFS(INDIRECT("'Thanh Toán ("&amp;AJ$3&amp;")'!$e:$e"),INDIRECT("'Thanh Toán ("&amp;AJ$3&amp;")'!$B:$B"),'Tổng Đơn'!$B37),0)</f>
        <v>0</v>
      </c>
      <c r="AK37" s="2">
        <f ca="1">IFERROR(SUMIFS(INDIRECT("'Thanh Toán ("&amp;AK$3&amp;")'!$e:$e"),INDIRECT("'Thanh Toán ("&amp;AK$3&amp;")'!$B:$B"),'Tổng Đơn'!$B37),0)</f>
        <v>0</v>
      </c>
      <c r="AL37" s="2">
        <f ca="1">IFERROR(SUMIFS(INDIRECT("'Thanh Toán ("&amp;AL$3&amp;")'!$e:$e"),INDIRECT("'Thanh Toán ("&amp;AL$3&amp;")'!$B:$B"),'Tổng Đơn'!$B37),0)</f>
        <v>0</v>
      </c>
      <c r="AM37" s="2">
        <f ca="1">IFERROR(SUMIFS(INDIRECT("'Thanh Toán ("&amp;AM$3&amp;")'!$e:$e"),INDIRECT("'Thanh Toán ("&amp;AM$3&amp;")'!$B:$B"),'Tổng Đơn'!$B37),0)</f>
        <v>0</v>
      </c>
      <c r="AN37" s="2">
        <f ca="1">IFERROR(SUMIFS(INDIRECT("'Thanh Toán ("&amp;AN$3&amp;")'!$e:$e"),INDIRECT("'Thanh Toán ("&amp;AN$3&amp;")'!$B:$B"),'Tổng Đơn'!$B37),0)</f>
        <v>0</v>
      </c>
      <c r="AO37" s="2">
        <f ca="1">IFERROR(SUMIFS(INDIRECT("'Thanh Toán ("&amp;AO$3&amp;")'!$e:$e"),INDIRECT("'Thanh Toán ("&amp;AO$3&amp;")'!$B:$B"),'Tổng Đơn'!$B37),0)</f>
        <v>0</v>
      </c>
    </row>
    <row r="38" spans="1:41" x14ac:dyDescent="0.25">
      <c r="A38" s="23">
        <v>34</v>
      </c>
      <c r="B38" s="44" t="s">
        <v>43</v>
      </c>
      <c r="C38" s="23" t="s">
        <v>94</v>
      </c>
      <c r="D38" s="45">
        <f>VLOOKUP($C38,Sheet1!$C$3:$D$52,2,0)</f>
        <v>34500</v>
      </c>
      <c r="E38" s="63">
        <v>0.5</v>
      </c>
      <c r="F38" s="61">
        <f t="shared" ca="1" si="1"/>
        <v>3</v>
      </c>
      <c r="G38" s="61">
        <v>28.5</v>
      </c>
      <c r="H38" s="61">
        <f t="shared" ca="1" si="2"/>
        <v>18000</v>
      </c>
      <c r="I38" s="61"/>
      <c r="J38" s="61">
        <f t="shared" ca="1" si="3"/>
        <v>103500</v>
      </c>
      <c r="K38" s="61"/>
      <c r="L38" s="2">
        <f ca="1">IFERROR(SUMIFS(INDIRECT("'Thanh Toán ("&amp;L$3&amp;")'!$e:$e"),INDIRECT("'Thanh Toán ("&amp;L$3&amp;")'!$B:$B"),'Tổng Đơn'!$B38),0)</f>
        <v>0</v>
      </c>
      <c r="M38" s="2">
        <f ca="1">IFERROR(SUMIFS(INDIRECT("'Thanh Toán ("&amp;M$3&amp;")'!$e:$e"),INDIRECT("'Thanh Toán ("&amp;M$3&amp;")'!$B:$B"),'Tổng Đơn'!$B38),0)</f>
        <v>0</v>
      </c>
      <c r="N38" s="2">
        <f ca="1">IFERROR(SUMIFS(INDIRECT("'Thanh Toán ("&amp;N$3&amp;")'!$e:$e"),INDIRECT("'Thanh Toán ("&amp;N$3&amp;")'!$B:$B"),'Tổng Đơn'!$B38),0)</f>
        <v>0</v>
      </c>
      <c r="O38" s="2">
        <f ca="1">IFERROR(SUMIFS(INDIRECT("'Thanh Toán ("&amp;O$3&amp;")'!$e:$e"),INDIRECT("'Thanh Toán ("&amp;O$3&amp;")'!$B:$B"),'Tổng Đơn'!$B38),0)</f>
        <v>0</v>
      </c>
      <c r="P38" s="2">
        <f ca="1">IFERROR(SUMIFS(INDIRECT("'Thanh Toán ("&amp;P$3&amp;")'!$e:$e"),INDIRECT("'Thanh Toán ("&amp;P$3&amp;")'!$B:$B"),'Tổng Đơn'!$B38),0)</f>
        <v>0</v>
      </c>
      <c r="Q38" s="2">
        <f ca="1">IFERROR(SUMIFS(INDIRECT("'Thanh Toán ("&amp;Q$3&amp;")'!$e:$e"),INDIRECT("'Thanh Toán ("&amp;Q$3&amp;")'!$B:$B"),'Tổng Đơn'!$B38),0)</f>
        <v>2</v>
      </c>
      <c r="R38" s="2">
        <f ca="1">IFERROR(SUMIFS(INDIRECT("'Thanh Toán ("&amp;R$3&amp;")'!$e:$e"),INDIRECT("'Thanh Toán ("&amp;R$3&amp;")'!$B:$B"),'Tổng Đơn'!$B38),0)</f>
        <v>0</v>
      </c>
      <c r="S38" s="2">
        <f ca="1">IFERROR(SUMIFS(INDIRECT("'Thanh Toán ("&amp;S$3&amp;")'!$e:$e"),INDIRECT("'Thanh Toán ("&amp;S$3&amp;")'!$B:$B"),'Tổng Đơn'!$B38),0)</f>
        <v>0</v>
      </c>
      <c r="T38" s="2">
        <f ca="1">IFERROR(SUMIFS(INDIRECT("'Thanh Toán ("&amp;T$3&amp;")'!$e:$e"),INDIRECT("'Thanh Toán ("&amp;T$3&amp;")'!$B:$B"),'Tổng Đơn'!$B38),0)</f>
        <v>0</v>
      </c>
      <c r="U38" s="2">
        <f ca="1">IFERROR(SUMIFS(INDIRECT("'Thanh Toán ("&amp;U$3&amp;")'!$e:$e"),INDIRECT("'Thanh Toán ("&amp;U$3&amp;")'!$B:$B"),'Tổng Đơn'!$B38),0)</f>
        <v>0</v>
      </c>
      <c r="V38" s="2">
        <f ca="1">IFERROR(SUMIFS(INDIRECT("'Thanh Toán ("&amp;V$3&amp;")'!$e:$e"),INDIRECT("'Thanh Toán ("&amp;V$3&amp;")'!$B:$B"),'Tổng Đơn'!$B38),0)</f>
        <v>1</v>
      </c>
      <c r="W38" s="2">
        <f ca="1">IFERROR(SUMIFS(INDIRECT("'Thanh Toán ("&amp;W$3&amp;")'!$e:$e"),INDIRECT("'Thanh Toán ("&amp;W$3&amp;")'!$B:$B"),'Tổng Đơn'!$B38),0)</f>
        <v>0</v>
      </c>
      <c r="X38" s="2">
        <f ca="1">IFERROR(SUMIFS(INDIRECT("'Thanh Toán ("&amp;X$3&amp;")'!$e:$e"),INDIRECT("'Thanh Toán ("&amp;X$3&amp;")'!$B:$B"),'Tổng Đơn'!$B38),0)</f>
        <v>0</v>
      </c>
      <c r="Y38" s="2">
        <f ca="1">IFERROR(SUMIFS(INDIRECT("'Thanh Toán ("&amp;Y$3&amp;")'!$e:$e"),INDIRECT("'Thanh Toán ("&amp;Y$3&amp;")'!$B:$B"),'Tổng Đơn'!$B38),0)</f>
        <v>0</v>
      </c>
      <c r="Z38" s="2">
        <f ca="1">IFERROR(SUMIFS(INDIRECT("'Thanh Toán ("&amp;Z$3&amp;")'!$e:$e"),INDIRECT("'Thanh Toán ("&amp;Z$3&amp;")'!$B:$B"),'Tổng Đơn'!$B38),0)</f>
        <v>0</v>
      </c>
      <c r="AA38" s="2">
        <f ca="1">IFERROR(SUMIFS(INDIRECT("'Thanh Toán ("&amp;AA$3&amp;")'!$e:$e"),INDIRECT("'Thanh Toán ("&amp;AA$3&amp;")'!$B:$B"),'Tổng Đơn'!$B38),0)</f>
        <v>0</v>
      </c>
      <c r="AB38" s="2">
        <f ca="1">IFERROR(SUMIFS(INDIRECT("'Thanh Toán ("&amp;AB$3&amp;")'!$e:$e"),INDIRECT("'Thanh Toán ("&amp;AB$3&amp;")'!$B:$B"),'Tổng Đơn'!$B38),0)</f>
        <v>0</v>
      </c>
      <c r="AC38" s="2">
        <f ca="1">IFERROR(SUMIFS(INDIRECT("'Thanh Toán ("&amp;AC$3&amp;")'!$e:$e"),INDIRECT("'Thanh Toán ("&amp;AC$3&amp;")'!$B:$B"),'Tổng Đơn'!$B38),0)</f>
        <v>0</v>
      </c>
      <c r="AD38" s="2">
        <f ca="1">IFERROR(SUMIFS(INDIRECT("'Thanh Toán ("&amp;AD$3&amp;")'!$e:$e"),INDIRECT("'Thanh Toán ("&amp;AD$3&amp;")'!$B:$B"),'Tổng Đơn'!$B38),0)</f>
        <v>0</v>
      </c>
      <c r="AE38" s="2">
        <f ca="1">IFERROR(SUMIFS(INDIRECT("'Thanh Toán ("&amp;AE$3&amp;")'!$e:$e"),INDIRECT("'Thanh Toán ("&amp;AE$3&amp;")'!$B:$B"),'Tổng Đơn'!$B38),0)</f>
        <v>0</v>
      </c>
      <c r="AF38" s="2">
        <f ca="1">IFERROR(SUMIFS(INDIRECT("'Thanh Toán ("&amp;AF$3&amp;")'!$e:$e"),INDIRECT("'Thanh Toán ("&amp;AF$3&amp;")'!$B:$B"),'Tổng Đơn'!$B38),0)</f>
        <v>0</v>
      </c>
      <c r="AG38" s="2">
        <f ca="1">IFERROR(SUMIFS(INDIRECT("'Thanh Toán ("&amp;AG$3&amp;")'!$e:$e"),INDIRECT("'Thanh Toán ("&amp;AG$3&amp;")'!$B:$B"),'Tổng Đơn'!$B38),0)</f>
        <v>0</v>
      </c>
      <c r="AH38" s="2">
        <f ca="1">IFERROR(SUMIFS(INDIRECT("'Thanh Toán ("&amp;AH$3&amp;")'!$e:$e"),INDIRECT("'Thanh Toán ("&amp;AH$3&amp;")'!$B:$B"),'Tổng Đơn'!$B38),0)</f>
        <v>0</v>
      </c>
      <c r="AI38" s="2">
        <f ca="1">IFERROR(SUMIFS(INDIRECT("'Thanh Toán ("&amp;AI$3&amp;")'!$e:$e"),INDIRECT("'Thanh Toán ("&amp;AI$3&amp;")'!$B:$B"),'Tổng Đơn'!$B38),0)</f>
        <v>0</v>
      </c>
      <c r="AJ38" s="2">
        <f ca="1">IFERROR(SUMIFS(INDIRECT("'Thanh Toán ("&amp;AJ$3&amp;")'!$e:$e"),INDIRECT("'Thanh Toán ("&amp;AJ$3&amp;")'!$B:$B"),'Tổng Đơn'!$B38),0)</f>
        <v>0</v>
      </c>
      <c r="AK38" s="2">
        <f ca="1">IFERROR(SUMIFS(INDIRECT("'Thanh Toán ("&amp;AK$3&amp;")'!$e:$e"),INDIRECT("'Thanh Toán ("&amp;AK$3&amp;")'!$B:$B"),'Tổng Đơn'!$B38),0)</f>
        <v>0</v>
      </c>
      <c r="AL38" s="2">
        <f ca="1">IFERROR(SUMIFS(INDIRECT("'Thanh Toán ("&amp;AL$3&amp;")'!$e:$e"),INDIRECT("'Thanh Toán ("&amp;AL$3&amp;")'!$B:$B"),'Tổng Đơn'!$B38),0)</f>
        <v>0</v>
      </c>
      <c r="AM38" s="2">
        <f ca="1">IFERROR(SUMIFS(INDIRECT("'Thanh Toán ("&amp;AM$3&amp;")'!$e:$e"),INDIRECT("'Thanh Toán ("&amp;AM$3&amp;")'!$B:$B"),'Tổng Đơn'!$B38),0)</f>
        <v>0</v>
      </c>
      <c r="AN38" s="2">
        <f ca="1">IFERROR(SUMIFS(INDIRECT("'Thanh Toán ("&amp;AN$3&amp;")'!$e:$e"),INDIRECT("'Thanh Toán ("&amp;AN$3&amp;")'!$B:$B"),'Tổng Đơn'!$B38),0)</f>
        <v>0</v>
      </c>
      <c r="AO38" s="2">
        <f ca="1">IFERROR(SUMIFS(INDIRECT("'Thanh Toán ("&amp;AO$3&amp;")'!$e:$e"),INDIRECT("'Thanh Toán ("&amp;AO$3&amp;")'!$B:$B"),'Tổng Đơn'!$B38),0)</f>
        <v>0</v>
      </c>
    </row>
    <row r="39" spans="1:41" x14ac:dyDescent="0.25">
      <c r="A39" s="23">
        <v>35</v>
      </c>
      <c r="B39" s="44" t="s">
        <v>44</v>
      </c>
      <c r="C39" s="23" t="s">
        <v>95</v>
      </c>
      <c r="D39" s="45">
        <f>VLOOKUP($C39,Sheet1!$C$3:$D$52,2,0)</f>
        <v>14000</v>
      </c>
      <c r="E39" s="63">
        <v>0.2</v>
      </c>
      <c r="F39" s="61">
        <f t="shared" ca="1" si="1"/>
        <v>0</v>
      </c>
      <c r="G39" s="61">
        <v>12</v>
      </c>
      <c r="H39" s="61">
        <f t="shared" ca="1" si="2"/>
        <v>0</v>
      </c>
      <c r="I39" s="61"/>
      <c r="J39" s="61">
        <f t="shared" ca="1" si="3"/>
        <v>0</v>
      </c>
      <c r="K39" s="61"/>
      <c r="L39" s="2">
        <f ca="1">IFERROR(SUMIFS(INDIRECT("'Thanh Toán ("&amp;L$3&amp;")'!$e:$e"),INDIRECT("'Thanh Toán ("&amp;L$3&amp;")'!$B:$B"),'Tổng Đơn'!$B39),0)</f>
        <v>0</v>
      </c>
      <c r="M39" s="2">
        <f ca="1">IFERROR(SUMIFS(INDIRECT("'Thanh Toán ("&amp;M$3&amp;")'!$e:$e"),INDIRECT("'Thanh Toán ("&amp;M$3&amp;")'!$B:$B"),'Tổng Đơn'!$B39),0)</f>
        <v>0</v>
      </c>
      <c r="N39" s="2">
        <f ca="1">IFERROR(SUMIFS(INDIRECT("'Thanh Toán ("&amp;N$3&amp;")'!$e:$e"),INDIRECT("'Thanh Toán ("&amp;N$3&amp;")'!$B:$B"),'Tổng Đơn'!$B39),0)</f>
        <v>0</v>
      </c>
      <c r="O39" s="2">
        <f ca="1">IFERROR(SUMIFS(INDIRECT("'Thanh Toán ("&amp;O$3&amp;")'!$e:$e"),INDIRECT("'Thanh Toán ("&amp;O$3&amp;")'!$B:$B"),'Tổng Đơn'!$B39),0)</f>
        <v>0</v>
      </c>
      <c r="P39" s="2">
        <f ca="1">IFERROR(SUMIFS(INDIRECT("'Thanh Toán ("&amp;P$3&amp;")'!$e:$e"),INDIRECT("'Thanh Toán ("&amp;P$3&amp;")'!$B:$B"),'Tổng Đơn'!$B39),0)</f>
        <v>0</v>
      </c>
      <c r="Q39" s="2">
        <f ca="1">IFERROR(SUMIFS(INDIRECT("'Thanh Toán ("&amp;Q$3&amp;")'!$e:$e"),INDIRECT("'Thanh Toán ("&amp;Q$3&amp;")'!$B:$B"),'Tổng Đơn'!$B39),0)</f>
        <v>0</v>
      </c>
      <c r="R39" s="2">
        <f ca="1">IFERROR(SUMIFS(INDIRECT("'Thanh Toán ("&amp;R$3&amp;")'!$e:$e"),INDIRECT("'Thanh Toán ("&amp;R$3&amp;")'!$B:$B"),'Tổng Đơn'!$B39),0)</f>
        <v>0</v>
      </c>
      <c r="S39" s="2">
        <f ca="1">IFERROR(SUMIFS(INDIRECT("'Thanh Toán ("&amp;S$3&amp;")'!$e:$e"),INDIRECT("'Thanh Toán ("&amp;S$3&amp;")'!$B:$B"),'Tổng Đơn'!$B39),0)</f>
        <v>0</v>
      </c>
      <c r="T39" s="2">
        <f ca="1">IFERROR(SUMIFS(INDIRECT("'Thanh Toán ("&amp;T$3&amp;")'!$e:$e"),INDIRECT("'Thanh Toán ("&amp;T$3&amp;")'!$B:$B"),'Tổng Đơn'!$B39),0)</f>
        <v>0</v>
      </c>
      <c r="U39" s="2">
        <f ca="1">IFERROR(SUMIFS(INDIRECT("'Thanh Toán ("&amp;U$3&amp;")'!$e:$e"),INDIRECT("'Thanh Toán ("&amp;U$3&amp;")'!$B:$B"),'Tổng Đơn'!$B39),0)</f>
        <v>0</v>
      </c>
      <c r="V39" s="2">
        <f ca="1">IFERROR(SUMIFS(INDIRECT("'Thanh Toán ("&amp;V$3&amp;")'!$e:$e"),INDIRECT("'Thanh Toán ("&amp;V$3&amp;")'!$B:$B"),'Tổng Đơn'!$B39),0)</f>
        <v>0</v>
      </c>
      <c r="W39" s="2">
        <f ca="1">IFERROR(SUMIFS(INDIRECT("'Thanh Toán ("&amp;W$3&amp;")'!$e:$e"),INDIRECT("'Thanh Toán ("&amp;W$3&amp;")'!$B:$B"),'Tổng Đơn'!$B39),0)</f>
        <v>0</v>
      </c>
      <c r="X39" s="2">
        <f ca="1">IFERROR(SUMIFS(INDIRECT("'Thanh Toán ("&amp;X$3&amp;")'!$e:$e"),INDIRECT("'Thanh Toán ("&amp;X$3&amp;")'!$B:$B"),'Tổng Đơn'!$B39),0)</f>
        <v>0</v>
      </c>
      <c r="Y39" s="2">
        <f ca="1">IFERROR(SUMIFS(INDIRECT("'Thanh Toán ("&amp;Y$3&amp;")'!$e:$e"),INDIRECT("'Thanh Toán ("&amp;Y$3&amp;")'!$B:$B"),'Tổng Đơn'!$B39),0)</f>
        <v>0</v>
      </c>
      <c r="Z39" s="2">
        <f ca="1">IFERROR(SUMIFS(INDIRECT("'Thanh Toán ("&amp;Z$3&amp;")'!$e:$e"),INDIRECT("'Thanh Toán ("&amp;Z$3&amp;")'!$B:$B"),'Tổng Đơn'!$B39),0)</f>
        <v>0</v>
      </c>
      <c r="AA39" s="2">
        <f ca="1">IFERROR(SUMIFS(INDIRECT("'Thanh Toán ("&amp;AA$3&amp;")'!$e:$e"),INDIRECT("'Thanh Toán ("&amp;AA$3&amp;")'!$B:$B"),'Tổng Đơn'!$B39),0)</f>
        <v>0</v>
      </c>
      <c r="AB39" s="2">
        <f ca="1">IFERROR(SUMIFS(INDIRECT("'Thanh Toán ("&amp;AB$3&amp;")'!$e:$e"),INDIRECT("'Thanh Toán ("&amp;AB$3&amp;")'!$B:$B"),'Tổng Đơn'!$B39),0)</f>
        <v>0</v>
      </c>
      <c r="AC39" s="2">
        <f ca="1">IFERROR(SUMIFS(INDIRECT("'Thanh Toán ("&amp;AC$3&amp;")'!$e:$e"),INDIRECT("'Thanh Toán ("&amp;AC$3&amp;")'!$B:$B"),'Tổng Đơn'!$B39),0)</f>
        <v>0</v>
      </c>
      <c r="AD39" s="2">
        <f ca="1">IFERROR(SUMIFS(INDIRECT("'Thanh Toán ("&amp;AD$3&amp;")'!$e:$e"),INDIRECT("'Thanh Toán ("&amp;AD$3&amp;")'!$B:$B"),'Tổng Đơn'!$B39),0)</f>
        <v>0</v>
      </c>
      <c r="AE39" s="2">
        <f ca="1">IFERROR(SUMIFS(INDIRECT("'Thanh Toán ("&amp;AE$3&amp;")'!$e:$e"),INDIRECT("'Thanh Toán ("&amp;AE$3&amp;")'!$B:$B"),'Tổng Đơn'!$B39),0)</f>
        <v>0</v>
      </c>
      <c r="AF39" s="2">
        <f ca="1">IFERROR(SUMIFS(INDIRECT("'Thanh Toán ("&amp;AF$3&amp;")'!$e:$e"),INDIRECT("'Thanh Toán ("&amp;AF$3&amp;")'!$B:$B"),'Tổng Đơn'!$B39),0)</f>
        <v>0</v>
      </c>
      <c r="AG39" s="2">
        <f ca="1">IFERROR(SUMIFS(INDIRECT("'Thanh Toán ("&amp;AG$3&amp;")'!$e:$e"),INDIRECT("'Thanh Toán ("&amp;AG$3&amp;")'!$B:$B"),'Tổng Đơn'!$B39),0)</f>
        <v>0</v>
      </c>
      <c r="AH39" s="2">
        <f ca="1">IFERROR(SUMIFS(INDIRECT("'Thanh Toán ("&amp;AH$3&amp;")'!$e:$e"),INDIRECT("'Thanh Toán ("&amp;AH$3&amp;")'!$B:$B"),'Tổng Đơn'!$B39),0)</f>
        <v>0</v>
      </c>
      <c r="AI39" s="2">
        <f ca="1">IFERROR(SUMIFS(INDIRECT("'Thanh Toán ("&amp;AI$3&amp;")'!$e:$e"),INDIRECT("'Thanh Toán ("&amp;AI$3&amp;")'!$B:$B"),'Tổng Đơn'!$B39),0)</f>
        <v>0</v>
      </c>
      <c r="AJ39" s="2">
        <f ca="1">IFERROR(SUMIFS(INDIRECT("'Thanh Toán ("&amp;AJ$3&amp;")'!$e:$e"),INDIRECT("'Thanh Toán ("&amp;AJ$3&amp;")'!$B:$B"),'Tổng Đơn'!$B39),0)</f>
        <v>0</v>
      </c>
      <c r="AK39" s="2">
        <f ca="1">IFERROR(SUMIFS(INDIRECT("'Thanh Toán ("&amp;AK$3&amp;")'!$e:$e"),INDIRECT("'Thanh Toán ("&amp;AK$3&amp;")'!$B:$B"),'Tổng Đơn'!$B39),0)</f>
        <v>0</v>
      </c>
      <c r="AL39" s="2">
        <f ca="1">IFERROR(SUMIFS(INDIRECT("'Thanh Toán ("&amp;AL$3&amp;")'!$e:$e"),INDIRECT("'Thanh Toán ("&amp;AL$3&amp;")'!$B:$B"),'Tổng Đơn'!$B39),0)</f>
        <v>0</v>
      </c>
      <c r="AM39" s="2">
        <f ca="1">IFERROR(SUMIFS(INDIRECT("'Thanh Toán ("&amp;AM$3&amp;")'!$e:$e"),INDIRECT("'Thanh Toán ("&amp;AM$3&amp;")'!$B:$B"),'Tổng Đơn'!$B39),0)</f>
        <v>0</v>
      </c>
      <c r="AN39" s="2">
        <f ca="1">IFERROR(SUMIFS(INDIRECT("'Thanh Toán ("&amp;AN$3&amp;")'!$e:$e"),INDIRECT("'Thanh Toán ("&amp;AN$3&amp;")'!$B:$B"),'Tổng Đơn'!$B39),0)</f>
        <v>0</v>
      </c>
      <c r="AO39" s="2">
        <f ca="1">IFERROR(SUMIFS(INDIRECT("'Thanh Toán ("&amp;AO$3&amp;")'!$e:$e"),INDIRECT("'Thanh Toán ("&amp;AO$3&amp;")'!$B:$B"),'Tổng Đơn'!$B39),0)</f>
        <v>0</v>
      </c>
    </row>
    <row r="40" spans="1:41" ht="15.75" customHeight="1" x14ac:dyDescent="0.25">
      <c r="A40" s="23">
        <v>36</v>
      </c>
      <c r="B40" s="44" t="s">
        <v>49</v>
      </c>
      <c r="C40" s="23" t="s">
        <v>96</v>
      </c>
      <c r="D40" s="45">
        <f>VLOOKUP($C40,Sheet1!$C$3:$D$52,2,0)</f>
        <v>59000</v>
      </c>
      <c r="E40" s="63">
        <v>0.5</v>
      </c>
      <c r="F40" s="61">
        <f t="shared" ca="1" si="1"/>
        <v>0</v>
      </c>
      <c r="G40" s="61">
        <v>49</v>
      </c>
      <c r="H40" s="61">
        <f t="shared" ca="1" si="2"/>
        <v>0</v>
      </c>
      <c r="I40" s="61"/>
      <c r="J40" s="61">
        <f t="shared" ca="1" si="3"/>
        <v>0</v>
      </c>
      <c r="K40" s="61"/>
      <c r="L40" s="2">
        <f ca="1">IFERROR(SUMIFS(INDIRECT("'Thanh Toán ("&amp;L$3&amp;")'!$e:$e"),INDIRECT("'Thanh Toán ("&amp;L$3&amp;")'!$B:$B"),'Tổng Đơn'!$B40),0)</f>
        <v>0</v>
      </c>
      <c r="M40" s="2">
        <f ca="1">IFERROR(SUMIFS(INDIRECT("'Thanh Toán ("&amp;M$3&amp;")'!$e:$e"),INDIRECT("'Thanh Toán ("&amp;M$3&amp;")'!$B:$B"),'Tổng Đơn'!$B40),0)</f>
        <v>0</v>
      </c>
      <c r="N40" s="2">
        <f ca="1">IFERROR(SUMIFS(INDIRECT("'Thanh Toán ("&amp;N$3&amp;")'!$e:$e"),INDIRECT("'Thanh Toán ("&amp;N$3&amp;")'!$B:$B"),'Tổng Đơn'!$B40),0)</f>
        <v>0</v>
      </c>
      <c r="O40" s="2">
        <f ca="1">IFERROR(SUMIFS(INDIRECT("'Thanh Toán ("&amp;O$3&amp;")'!$e:$e"),INDIRECT("'Thanh Toán ("&amp;O$3&amp;")'!$B:$B"),'Tổng Đơn'!$B40),0)</f>
        <v>0</v>
      </c>
      <c r="P40" s="2">
        <f ca="1">IFERROR(SUMIFS(INDIRECT("'Thanh Toán ("&amp;P$3&amp;")'!$e:$e"),INDIRECT("'Thanh Toán ("&amp;P$3&amp;")'!$B:$B"),'Tổng Đơn'!$B40),0)</f>
        <v>0</v>
      </c>
      <c r="Q40" s="2">
        <f ca="1">IFERROR(SUMIFS(INDIRECT("'Thanh Toán ("&amp;Q$3&amp;")'!$e:$e"),INDIRECT("'Thanh Toán ("&amp;Q$3&amp;")'!$B:$B"),'Tổng Đơn'!$B40),0)</f>
        <v>0</v>
      </c>
      <c r="R40" s="2">
        <f ca="1">IFERROR(SUMIFS(INDIRECT("'Thanh Toán ("&amp;R$3&amp;")'!$e:$e"),INDIRECT("'Thanh Toán ("&amp;R$3&amp;")'!$B:$B"),'Tổng Đơn'!$B40),0)</f>
        <v>0</v>
      </c>
      <c r="S40" s="2">
        <f ca="1">IFERROR(SUMIFS(INDIRECT("'Thanh Toán ("&amp;S$3&amp;")'!$e:$e"),INDIRECT("'Thanh Toán ("&amp;S$3&amp;")'!$B:$B"),'Tổng Đơn'!$B40),0)</f>
        <v>0</v>
      </c>
      <c r="T40" s="2">
        <f ca="1">IFERROR(SUMIFS(INDIRECT("'Thanh Toán ("&amp;T$3&amp;")'!$e:$e"),INDIRECT("'Thanh Toán ("&amp;T$3&amp;")'!$B:$B"),'Tổng Đơn'!$B40),0)</f>
        <v>0</v>
      </c>
      <c r="U40" s="2">
        <f ca="1">IFERROR(SUMIFS(INDIRECT("'Thanh Toán ("&amp;U$3&amp;")'!$e:$e"),INDIRECT("'Thanh Toán ("&amp;U$3&amp;")'!$B:$B"),'Tổng Đơn'!$B40),0)</f>
        <v>0</v>
      </c>
      <c r="V40" s="2">
        <f ca="1">IFERROR(SUMIFS(INDIRECT("'Thanh Toán ("&amp;V$3&amp;")'!$e:$e"),INDIRECT("'Thanh Toán ("&amp;V$3&amp;")'!$B:$B"),'Tổng Đơn'!$B40),0)</f>
        <v>0</v>
      </c>
      <c r="W40" s="2">
        <f ca="1">IFERROR(SUMIFS(INDIRECT("'Thanh Toán ("&amp;W$3&amp;")'!$e:$e"),INDIRECT("'Thanh Toán ("&amp;W$3&amp;")'!$B:$B"),'Tổng Đơn'!$B40),0)</f>
        <v>0</v>
      </c>
      <c r="X40" s="2">
        <f ca="1">IFERROR(SUMIFS(INDIRECT("'Thanh Toán ("&amp;X$3&amp;")'!$e:$e"),INDIRECT("'Thanh Toán ("&amp;X$3&amp;")'!$B:$B"),'Tổng Đơn'!$B40),0)</f>
        <v>0</v>
      </c>
      <c r="Y40" s="2">
        <f ca="1">IFERROR(SUMIFS(INDIRECT("'Thanh Toán ("&amp;Y$3&amp;")'!$e:$e"),INDIRECT("'Thanh Toán ("&amp;Y$3&amp;")'!$B:$B"),'Tổng Đơn'!$B40),0)</f>
        <v>0</v>
      </c>
      <c r="Z40" s="2">
        <f ca="1">IFERROR(SUMIFS(INDIRECT("'Thanh Toán ("&amp;Z$3&amp;")'!$e:$e"),INDIRECT("'Thanh Toán ("&amp;Z$3&amp;")'!$B:$B"),'Tổng Đơn'!$B40),0)</f>
        <v>0</v>
      </c>
      <c r="AA40" s="2">
        <f ca="1">IFERROR(SUMIFS(INDIRECT("'Thanh Toán ("&amp;AA$3&amp;")'!$e:$e"),INDIRECT("'Thanh Toán ("&amp;AA$3&amp;")'!$B:$B"),'Tổng Đơn'!$B40),0)</f>
        <v>0</v>
      </c>
      <c r="AB40" s="2">
        <f ca="1">IFERROR(SUMIFS(INDIRECT("'Thanh Toán ("&amp;AB$3&amp;")'!$e:$e"),INDIRECT("'Thanh Toán ("&amp;AB$3&amp;")'!$B:$B"),'Tổng Đơn'!$B40),0)</f>
        <v>0</v>
      </c>
      <c r="AC40" s="2">
        <f ca="1">IFERROR(SUMIFS(INDIRECT("'Thanh Toán ("&amp;AC$3&amp;")'!$e:$e"),INDIRECT("'Thanh Toán ("&amp;AC$3&amp;")'!$B:$B"),'Tổng Đơn'!$B40),0)</f>
        <v>0</v>
      </c>
      <c r="AD40" s="2">
        <f ca="1">IFERROR(SUMIFS(INDIRECT("'Thanh Toán ("&amp;AD$3&amp;")'!$e:$e"),INDIRECT("'Thanh Toán ("&amp;AD$3&amp;")'!$B:$B"),'Tổng Đơn'!$B40),0)</f>
        <v>0</v>
      </c>
      <c r="AE40" s="2">
        <f ca="1">IFERROR(SUMIFS(INDIRECT("'Thanh Toán ("&amp;AE$3&amp;")'!$e:$e"),INDIRECT("'Thanh Toán ("&amp;AE$3&amp;")'!$B:$B"),'Tổng Đơn'!$B40),0)</f>
        <v>0</v>
      </c>
      <c r="AF40" s="2">
        <f ca="1">IFERROR(SUMIFS(INDIRECT("'Thanh Toán ("&amp;AF$3&amp;")'!$e:$e"),INDIRECT("'Thanh Toán ("&amp;AF$3&amp;")'!$B:$B"),'Tổng Đơn'!$B40),0)</f>
        <v>0</v>
      </c>
      <c r="AG40" s="2">
        <f ca="1">IFERROR(SUMIFS(INDIRECT("'Thanh Toán ("&amp;AG$3&amp;")'!$e:$e"),INDIRECT("'Thanh Toán ("&amp;AG$3&amp;")'!$B:$B"),'Tổng Đơn'!$B40),0)</f>
        <v>0</v>
      </c>
      <c r="AH40" s="2">
        <f ca="1">IFERROR(SUMIFS(INDIRECT("'Thanh Toán ("&amp;AH$3&amp;")'!$e:$e"),INDIRECT("'Thanh Toán ("&amp;AH$3&amp;")'!$B:$B"),'Tổng Đơn'!$B40),0)</f>
        <v>0</v>
      </c>
      <c r="AI40" s="2">
        <f ca="1">IFERROR(SUMIFS(INDIRECT("'Thanh Toán ("&amp;AI$3&amp;")'!$e:$e"),INDIRECT("'Thanh Toán ("&amp;AI$3&amp;")'!$B:$B"),'Tổng Đơn'!$B40),0)</f>
        <v>0</v>
      </c>
      <c r="AJ40" s="2">
        <f ca="1">IFERROR(SUMIFS(INDIRECT("'Thanh Toán ("&amp;AJ$3&amp;")'!$e:$e"),INDIRECT("'Thanh Toán ("&amp;AJ$3&amp;")'!$B:$B"),'Tổng Đơn'!$B40),0)</f>
        <v>0</v>
      </c>
      <c r="AK40" s="2">
        <f ca="1">IFERROR(SUMIFS(INDIRECT("'Thanh Toán ("&amp;AK$3&amp;")'!$e:$e"),INDIRECT("'Thanh Toán ("&amp;AK$3&amp;")'!$B:$B"),'Tổng Đơn'!$B40),0)</f>
        <v>0</v>
      </c>
      <c r="AL40" s="2">
        <f ca="1">IFERROR(SUMIFS(INDIRECT("'Thanh Toán ("&amp;AL$3&amp;")'!$e:$e"),INDIRECT("'Thanh Toán ("&amp;AL$3&amp;")'!$B:$B"),'Tổng Đơn'!$B40),0)</f>
        <v>0</v>
      </c>
      <c r="AM40" s="2">
        <f ca="1">IFERROR(SUMIFS(INDIRECT("'Thanh Toán ("&amp;AM$3&amp;")'!$e:$e"),INDIRECT("'Thanh Toán ("&amp;AM$3&amp;")'!$B:$B"),'Tổng Đơn'!$B40),0)</f>
        <v>0</v>
      </c>
      <c r="AN40" s="2">
        <f ca="1">IFERROR(SUMIFS(INDIRECT("'Thanh Toán ("&amp;AN$3&amp;")'!$e:$e"),INDIRECT("'Thanh Toán ("&amp;AN$3&amp;")'!$B:$B"),'Tổng Đơn'!$B40),0)</f>
        <v>0</v>
      </c>
      <c r="AO40" s="2">
        <f ca="1">IFERROR(SUMIFS(INDIRECT("'Thanh Toán ("&amp;AO$3&amp;")'!$e:$e"),INDIRECT("'Thanh Toán ("&amp;AO$3&amp;")'!$B:$B"),'Tổng Đơn'!$B40),0)</f>
        <v>0</v>
      </c>
    </row>
    <row r="41" spans="1:41" x14ac:dyDescent="0.25">
      <c r="A41" s="23">
        <v>37</v>
      </c>
      <c r="B41" s="44" t="s">
        <v>50</v>
      </c>
      <c r="C41" s="23" t="s">
        <v>97</v>
      </c>
      <c r="D41" s="45">
        <f>VLOOKUP($C41,Sheet1!$C$3:$D$52,2,0)</f>
        <v>52000</v>
      </c>
      <c r="E41" s="63">
        <v>0.5</v>
      </c>
      <c r="F41" s="61">
        <f t="shared" ca="1" si="1"/>
        <v>0</v>
      </c>
      <c r="G41" s="61">
        <v>43</v>
      </c>
      <c r="H41" s="61">
        <f t="shared" ca="1" si="2"/>
        <v>0</v>
      </c>
      <c r="I41" s="61"/>
      <c r="J41" s="61">
        <f t="shared" ca="1" si="3"/>
        <v>0</v>
      </c>
      <c r="K41" s="61"/>
      <c r="L41" s="2">
        <f ca="1">IFERROR(SUMIFS(INDIRECT("'Thanh Toán ("&amp;L$3&amp;")'!$e:$e"),INDIRECT("'Thanh Toán ("&amp;L$3&amp;")'!$B:$B"),'Tổng Đơn'!$B41),0)</f>
        <v>0</v>
      </c>
      <c r="M41" s="2">
        <f ca="1">IFERROR(SUMIFS(INDIRECT("'Thanh Toán ("&amp;M$3&amp;")'!$e:$e"),INDIRECT("'Thanh Toán ("&amp;M$3&amp;")'!$B:$B"),'Tổng Đơn'!$B41),0)</f>
        <v>0</v>
      </c>
      <c r="N41" s="2">
        <f ca="1">IFERROR(SUMIFS(INDIRECT("'Thanh Toán ("&amp;N$3&amp;")'!$e:$e"),INDIRECT("'Thanh Toán ("&amp;N$3&amp;")'!$B:$B"),'Tổng Đơn'!$B41),0)</f>
        <v>0</v>
      </c>
      <c r="O41" s="2">
        <f ca="1">IFERROR(SUMIFS(INDIRECT("'Thanh Toán ("&amp;O$3&amp;")'!$e:$e"),INDIRECT("'Thanh Toán ("&amp;O$3&amp;")'!$B:$B"),'Tổng Đơn'!$B41),0)</f>
        <v>0</v>
      </c>
      <c r="P41" s="2">
        <f ca="1">IFERROR(SUMIFS(INDIRECT("'Thanh Toán ("&amp;P$3&amp;")'!$e:$e"),INDIRECT("'Thanh Toán ("&amp;P$3&amp;")'!$B:$B"),'Tổng Đơn'!$B41),0)</f>
        <v>0</v>
      </c>
      <c r="Q41" s="2">
        <f ca="1">IFERROR(SUMIFS(INDIRECT("'Thanh Toán ("&amp;Q$3&amp;")'!$e:$e"),INDIRECT("'Thanh Toán ("&amp;Q$3&amp;")'!$B:$B"),'Tổng Đơn'!$B41),0)</f>
        <v>0</v>
      </c>
      <c r="R41" s="2">
        <f ca="1">IFERROR(SUMIFS(INDIRECT("'Thanh Toán ("&amp;R$3&amp;")'!$e:$e"),INDIRECT("'Thanh Toán ("&amp;R$3&amp;")'!$B:$B"),'Tổng Đơn'!$B41),0)</f>
        <v>0</v>
      </c>
      <c r="S41" s="2">
        <f ca="1">IFERROR(SUMIFS(INDIRECT("'Thanh Toán ("&amp;S$3&amp;")'!$e:$e"),INDIRECT("'Thanh Toán ("&amp;S$3&amp;")'!$B:$B"),'Tổng Đơn'!$B41),0)</f>
        <v>0</v>
      </c>
      <c r="T41" s="2">
        <f ca="1">IFERROR(SUMIFS(INDIRECT("'Thanh Toán ("&amp;T$3&amp;")'!$e:$e"),INDIRECT("'Thanh Toán ("&amp;T$3&amp;")'!$B:$B"),'Tổng Đơn'!$B41),0)</f>
        <v>0</v>
      </c>
      <c r="U41" s="2">
        <f ca="1">IFERROR(SUMIFS(INDIRECT("'Thanh Toán ("&amp;U$3&amp;")'!$e:$e"),INDIRECT("'Thanh Toán ("&amp;U$3&amp;")'!$B:$B"),'Tổng Đơn'!$B41),0)</f>
        <v>0</v>
      </c>
      <c r="V41" s="2">
        <f ca="1">IFERROR(SUMIFS(INDIRECT("'Thanh Toán ("&amp;V$3&amp;")'!$e:$e"),INDIRECT("'Thanh Toán ("&amp;V$3&amp;")'!$B:$B"),'Tổng Đơn'!$B41),0)</f>
        <v>0</v>
      </c>
      <c r="W41" s="2">
        <f ca="1">IFERROR(SUMIFS(INDIRECT("'Thanh Toán ("&amp;W$3&amp;")'!$e:$e"),INDIRECT("'Thanh Toán ("&amp;W$3&amp;")'!$B:$B"),'Tổng Đơn'!$B41),0)</f>
        <v>0</v>
      </c>
      <c r="X41" s="2">
        <f ca="1">IFERROR(SUMIFS(INDIRECT("'Thanh Toán ("&amp;X$3&amp;")'!$e:$e"),INDIRECT("'Thanh Toán ("&amp;X$3&amp;")'!$B:$B"),'Tổng Đơn'!$B41),0)</f>
        <v>0</v>
      </c>
      <c r="Y41" s="2">
        <f ca="1">IFERROR(SUMIFS(INDIRECT("'Thanh Toán ("&amp;Y$3&amp;")'!$e:$e"),INDIRECT("'Thanh Toán ("&amp;Y$3&amp;")'!$B:$B"),'Tổng Đơn'!$B41),0)</f>
        <v>0</v>
      </c>
      <c r="Z41" s="2">
        <f ca="1">IFERROR(SUMIFS(INDIRECT("'Thanh Toán ("&amp;Z$3&amp;")'!$e:$e"),INDIRECT("'Thanh Toán ("&amp;Z$3&amp;")'!$B:$B"),'Tổng Đơn'!$B41),0)</f>
        <v>0</v>
      </c>
      <c r="AA41" s="2">
        <f ca="1">IFERROR(SUMIFS(INDIRECT("'Thanh Toán ("&amp;AA$3&amp;")'!$e:$e"),INDIRECT("'Thanh Toán ("&amp;AA$3&amp;")'!$B:$B"),'Tổng Đơn'!$B41),0)</f>
        <v>0</v>
      </c>
      <c r="AB41" s="2">
        <f ca="1">IFERROR(SUMIFS(INDIRECT("'Thanh Toán ("&amp;AB$3&amp;")'!$e:$e"),INDIRECT("'Thanh Toán ("&amp;AB$3&amp;")'!$B:$B"),'Tổng Đơn'!$B41),0)</f>
        <v>0</v>
      </c>
      <c r="AC41" s="2">
        <f ca="1">IFERROR(SUMIFS(INDIRECT("'Thanh Toán ("&amp;AC$3&amp;")'!$e:$e"),INDIRECT("'Thanh Toán ("&amp;AC$3&amp;")'!$B:$B"),'Tổng Đơn'!$B41),0)</f>
        <v>0</v>
      </c>
      <c r="AD41" s="2">
        <f ca="1">IFERROR(SUMIFS(INDIRECT("'Thanh Toán ("&amp;AD$3&amp;")'!$e:$e"),INDIRECT("'Thanh Toán ("&amp;AD$3&amp;")'!$B:$B"),'Tổng Đơn'!$B41),0)</f>
        <v>0</v>
      </c>
      <c r="AE41" s="2">
        <f ca="1">IFERROR(SUMIFS(INDIRECT("'Thanh Toán ("&amp;AE$3&amp;")'!$e:$e"),INDIRECT("'Thanh Toán ("&amp;AE$3&amp;")'!$B:$B"),'Tổng Đơn'!$B41),0)</f>
        <v>0</v>
      </c>
      <c r="AF41" s="2">
        <f ca="1">IFERROR(SUMIFS(INDIRECT("'Thanh Toán ("&amp;AF$3&amp;")'!$e:$e"),INDIRECT("'Thanh Toán ("&amp;AF$3&amp;")'!$B:$B"),'Tổng Đơn'!$B41),0)</f>
        <v>0</v>
      </c>
      <c r="AG41" s="2">
        <f ca="1">IFERROR(SUMIFS(INDIRECT("'Thanh Toán ("&amp;AG$3&amp;")'!$e:$e"),INDIRECT("'Thanh Toán ("&amp;AG$3&amp;")'!$B:$B"),'Tổng Đơn'!$B41),0)</f>
        <v>0</v>
      </c>
      <c r="AH41" s="2">
        <f ca="1">IFERROR(SUMIFS(INDIRECT("'Thanh Toán ("&amp;AH$3&amp;")'!$e:$e"),INDIRECT("'Thanh Toán ("&amp;AH$3&amp;")'!$B:$B"),'Tổng Đơn'!$B41),0)</f>
        <v>0</v>
      </c>
      <c r="AI41" s="2">
        <f ca="1">IFERROR(SUMIFS(INDIRECT("'Thanh Toán ("&amp;AI$3&amp;")'!$e:$e"),INDIRECT("'Thanh Toán ("&amp;AI$3&amp;")'!$B:$B"),'Tổng Đơn'!$B41),0)</f>
        <v>0</v>
      </c>
      <c r="AJ41" s="2">
        <f ca="1">IFERROR(SUMIFS(INDIRECT("'Thanh Toán ("&amp;AJ$3&amp;")'!$e:$e"),INDIRECT("'Thanh Toán ("&amp;AJ$3&amp;")'!$B:$B"),'Tổng Đơn'!$B41),0)</f>
        <v>0</v>
      </c>
      <c r="AK41" s="2">
        <f ca="1">IFERROR(SUMIFS(INDIRECT("'Thanh Toán ("&amp;AK$3&amp;")'!$e:$e"),INDIRECT("'Thanh Toán ("&amp;AK$3&amp;")'!$B:$B"),'Tổng Đơn'!$B41),0)</f>
        <v>0</v>
      </c>
      <c r="AL41" s="2">
        <f ca="1">IFERROR(SUMIFS(INDIRECT("'Thanh Toán ("&amp;AL$3&amp;")'!$e:$e"),INDIRECT("'Thanh Toán ("&amp;AL$3&amp;")'!$B:$B"),'Tổng Đơn'!$B41),0)</f>
        <v>0</v>
      </c>
      <c r="AM41" s="2">
        <f ca="1">IFERROR(SUMIFS(INDIRECT("'Thanh Toán ("&amp;AM$3&amp;")'!$e:$e"),INDIRECT("'Thanh Toán ("&amp;AM$3&amp;")'!$B:$B"),'Tổng Đơn'!$B41),0)</f>
        <v>0</v>
      </c>
      <c r="AN41" s="2">
        <f ca="1">IFERROR(SUMIFS(INDIRECT("'Thanh Toán ("&amp;AN$3&amp;")'!$e:$e"),INDIRECT("'Thanh Toán ("&amp;AN$3&amp;")'!$B:$B"),'Tổng Đơn'!$B41),0)</f>
        <v>0</v>
      </c>
      <c r="AO41" s="2">
        <f ca="1">IFERROR(SUMIFS(INDIRECT("'Thanh Toán ("&amp;AO$3&amp;")'!$e:$e"),INDIRECT("'Thanh Toán ("&amp;AO$3&amp;")'!$B:$B"),'Tổng Đơn'!$B41),0)</f>
        <v>0</v>
      </c>
    </row>
    <row r="42" spans="1:41" x14ac:dyDescent="0.25">
      <c r="A42" s="23">
        <v>38</v>
      </c>
      <c r="B42" s="44" t="s">
        <v>46</v>
      </c>
      <c r="C42" s="23" t="s">
        <v>98</v>
      </c>
      <c r="D42" s="45">
        <f>VLOOKUP($C42,Sheet1!$C$3:$D$52,2,0)</f>
        <v>65000</v>
      </c>
      <c r="E42" s="63">
        <v>0.5</v>
      </c>
      <c r="F42" s="61">
        <f t="shared" ca="1" si="1"/>
        <v>0</v>
      </c>
      <c r="G42" s="61">
        <v>54</v>
      </c>
      <c r="H42" s="61">
        <f t="shared" ca="1" si="2"/>
        <v>0</v>
      </c>
      <c r="I42" s="61"/>
      <c r="J42" s="61">
        <f t="shared" ca="1" si="3"/>
        <v>0</v>
      </c>
      <c r="K42" s="61"/>
      <c r="L42" s="2">
        <f ca="1">IFERROR(SUMIFS(INDIRECT("'Thanh Toán ("&amp;L$3&amp;")'!$e:$e"),INDIRECT("'Thanh Toán ("&amp;L$3&amp;")'!$B:$B"),'Tổng Đơn'!$B42),0)</f>
        <v>0</v>
      </c>
      <c r="M42" s="2">
        <f ca="1">IFERROR(SUMIFS(INDIRECT("'Thanh Toán ("&amp;M$3&amp;")'!$e:$e"),INDIRECT("'Thanh Toán ("&amp;M$3&amp;")'!$B:$B"),'Tổng Đơn'!$B42),0)</f>
        <v>0</v>
      </c>
      <c r="N42" s="2">
        <f ca="1">IFERROR(SUMIFS(INDIRECT("'Thanh Toán ("&amp;N$3&amp;")'!$e:$e"),INDIRECT("'Thanh Toán ("&amp;N$3&amp;")'!$B:$B"),'Tổng Đơn'!$B42),0)</f>
        <v>0</v>
      </c>
      <c r="O42" s="2">
        <f ca="1">IFERROR(SUMIFS(INDIRECT("'Thanh Toán ("&amp;O$3&amp;")'!$e:$e"),INDIRECT("'Thanh Toán ("&amp;O$3&amp;")'!$B:$B"),'Tổng Đơn'!$B42),0)</f>
        <v>0</v>
      </c>
      <c r="P42" s="2">
        <f ca="1">IFERROR(SUMIFS(INDIRECT("'Thanh Toán ("&amp;P$3&amp;")'!$e:$e"),INDIRECT("'Thanh Toán ("&amp;P$3&amp;")'!$B:$B"),'Tổng Đơn'!$B42),0)</f>
        <v>0</v>
      </c>
      <c r="Q42" s="2">
        <f ca="1">IFERROR(SUMIFS(INDIRECT("'Thanh Toán ("&amp;Q$3&amp;")'!$e:$e"),INDIRECT("'Thanh Toán ("&amp;Q$3&amp;")'!$B:$B"),'Tổng Đơn'!$B42),0)</f>
        <v>0</v>
      </c>
      <c r="R42" s="2">
        <f ca="1">IFERROR(SUMIFS(INDIRECT("'Thanh Toán ("&amp;R$3&amp;")'!$e:$e"),INDIRECT("'Thanh Toán ("&amp;R$3&amp;")'!$B:$B"),'Tổng Đơn'!$B42),0)</f>
        <v>0</v>
      </c>
      <c r="S42" s="2">
        <f ca="1">IFERROR(SUMIFS(INDIRECT("'Thanh Toán ("&amp;S$3&amp;")'!$e:$e"),INDIRECT("'Thanh Toán ("&amp;S$3&amp;")'!$B:$B"),'Tổng Đơn'!$B42),0)</f>
        <v>0</v>
      </c>
      <c r="T42" s="2">
        <f ca="1">IFERROR(SUMIFS(INDIRECT("'Thanh Toán ("&amp;T$3&amp;")'!$e:$e"),INDIRECT("'Thanh Toán ("&amp;T$3&amp;")'!$B:$B"),'Tổng Đơn'!$B42),0)</f>
        <v>0</v>
      </c>
      <c r="U42" s="2">
        <f ca="1">IFERROR(SUMIFS(INDIRECT("'Thanh Toán ("&amp;U$3&amp;")'!$e:$e"),INDIRECT("'Thanh Toán ("&amp;U$3&amp;")'!$B:$B"),'Tổng Đơn'!$B42),0)</f>
        <v>0</v>
      </c>
      <c r="V42" s="2">
        <f ca="1">IFERROR(SUMIFS(INDIRECT("'Thanh Toán ("&amp;V$3&amp;")'!$e:$e"),INDIRECT("'Thanh Toán ("&amp;V$3&amp;")'!$B:$B"),'Tổng Đơn'!$B42),0)</f>
        <v>0</v>
      </c>
      <c r="W42" s="2">
        <f ca="1">IFERROR(SUMIFS(INDIRECT("'Thanh Toán ("&amp;W$3&amp;")'!$e:$e"),INDIRECT("'Thanh Toán ("&amp;W$3&amp;")'!$B:$B"),'Tổng Đơn'!$B42),0)</f>
        <v>0</v>
      </c>
      <c r="X42" s="2">
        <f ca="1">IFERROR(SUMIFS(INDIRECT("'Thanh Toán ("&amp;X$3&amp;")'!$e:$e"),INDIRECT("'Thanh Toán ("&amp;X$3&amp;")'!$B:$B"),'Tổng Đơn'!$B42),0)</f>
        <v>0</v>
      </c>
      <c r="Y42" s="2">
        <f ca="1">IFERROR(SUMIFS(INDIRECT("'Thanh Toán ("&amp;Y$3&amp;")'!$e:$e"),INDIRECT("'Thanh Toán ("&amp;Y$3&amp;")'!$B:$B"),'Tổng Đơn'!$B42),0)</f>
        <v>0</v>
      </c>
      <c r="Z42" s="2">
        <f ca="1">IFERROR(SUMIFS(INDIRECT("'Thanh Toán ("&amp;Z$3&amp;")'!$e:$e"),INDIRECT("'Thanh Toán ("&amp;Z$3&amp;")'!$B:$B"),'Tổng Đơn'!$B42),0)</f>
        <v>0</v>
      </c>
      <c r="AA42" s="2">
        <f ca="1">IFERROR(SUMIFS(INDIRECT("'Thanh Toán ("&amp;AA$3&amp;")'!$e:$e"),INDIRECT("'Thanh Toán ("&amp;AA$3&amp;")'!$B:$B"),'Tổng Đơn'!$B42),0)</f>
        <v>0</v>
      </c>
      <c r="AB42" s="2">
        <f ca="1">IFERROR(SUMIFS(INDIRECT("'Thanh Toán ("&amp;AB$3&amp;")'!$e:$e"),INDIRECT("'Thanh Toán ("&amp;AB$3&amp;")'!$B:$B"),'Tổng Đơn'!$B42),0)</f>
        <v>0</v>
      </c>
      <c r="AC42" s="2">
        <f ca="1">IFERROR(SUMIFS(INDIRECT("'Thanh Toán ("&amp;AC$3&amp;")'!$e:$e"),INDIRECT("'Thanh Toán ("&amp;AC$3&amp;")'!$B:$B"),'Tổng Đơn'!$B42),0)</f>
        <v>0</v>
      </c>
      <c r="AD42" s="2">
        <f ca="1">IFERROR(SUMIFS(INDIRECT("'Thanh Toán ("&amp;AD$3&amp;")'!$e:$e"),INDIRECT("'Thanh Toán ("&amp;AD$3&amp;")'!$B:$B"),'Tổng Đơn'!$B42),0)</f>
        <v>0</v>
      </c>
      <c r="AE42" s="2">
        <f ca="1">IFERROR(SUMIFS(INDIRECT("'Thanh Toán ("&amp;AE$3&amp;")'!$e:$e"),INDIRECT("'Thanh Toán ("&amp;AE$3&amp;")'!$B:$B"),'Tổng Đơn'!$B42),0)</f>
        <v>0</v>
      </c>
      <c r="AF42" s="2">
        <f ca="1">IFERROR(SUMIFS(INDIRECT("'Thanh Toán ("&amp;AF$3&amp;")'!$e:$e"),INDIRECT("'Thanh Toán ("&amp;AF$3&amp;")'!$B:$B"),'Tổng Đơn'!$B42),0)</f>
        <v>0</v>
      </c>
      <c r="AG42" s="2">
        <f ca="1">IFERROR(SUMIFS(INDIRECT("'Thanh Toán ("&amp;AG$3&amp;")'!$e:$e"),INDIRECT("'Thanh Toán ("&amp;AG$3&amp;")'!$B:$B"),'Tổng Đơn'!$B42),0)</f>
        <v>0</v>
      </c>
      <c r="AH42" s="2">
        <f ca="1">IFERROR(SUMIFS(INDIRECT("'Thanh Toán ("&amp;AH$3&amp;")'!$e:$e"),INDIRECT("'Thanh Toán ("&amp;AH$3&amp;")'!$B:$B"),'Tổng Đơn'!$B42),0)</f>
        <v>0</v>
      </c>
      <c r="AI42" s="2">
        <f ca="1">IFERROR(SUMIFS(INDIRECT("'Thanh Toán ("&amp;AI$3&amp;")'!$e:$e"),INDIRECT("'Thanh Toán ("&amp;AI$3&amp;")'!$B:$B"),'Tổng Đơn'!$B42),0)</f>
        <v>0</v>
      </c>
      <c r="AJ42" s="2">
        <f ca="1">IFERROR(SUMIFS(INDIRECT("'Thanh Toán ("&amp;AJ$3&amp;")'!$e:$e"),INDIRECT("'Thanh Toán ("&amp;AJ$3&amp;")'!$B:$B"),'Tổng Đơn'!$B42),0)</f>
        <v>0</v>
      </c>
      <c r="AK42" s="2">
        <f ca="1">IFERROR(SUMIFS(INDIRECT("'Thanh Toán ("&amp;AK$3&amp;")'!$e:$e"),INDIRECT("'Thanh Toán ("&amp;AK$3&amp;")'!$B:$B"),'Tổng Đơn'!$B42),0)</f>
        <v>0</v>
      </c>
      <c r="AL42" s="2">
        <f ca="1">IFERROR(SUMIFS(INDIRECT("'Thanh Toán ("&amp;AL$3&amp;")'!$e:$e"),INDIRECT("'Thanh Toán ("&amp;AL$3&amp;")'!$B:$B"),'Tổng Đơn'!$B42),0)</f>
        <v>0</v>
      </c>
      <c r="AM42" s="2">
        <f ca="1">IFERROR(SUMIFS(INDIRECT("'Thanh Toán ("&amp;AM$3&amp;")'!$e:$e"),INDIRECT("'Thanh Toán ("&amp;AM$3&amp;")'!$B:$B"),'Tổng Đơn'!$B42),0)</f>
        <v>0</v>
      </c>
      <c r="AN42" s="2">
        <f ca="1">IFERROR(SUMIFS(INDIRECT("'Thanh Toán ("&amp;AN$3&amp;")'!$e:$e"),INDIRECT("'Thanh Toán ("&amp;AN$3&amp;")'!$B:$B"),'Tổng Đơn'!$B42),0)</f>
        <v>0</v>
      </c>
      <c r="AO42" s="2">
        <f ca="1">IFERROR(SUMIFS(INDIRECT("'Thanh Toán ("&amp;AO$3&amp;")'!$e:$e"),INDIRECT("'Thanh Toán ("&amp;AO$3&amp;")'!$B:$B"),'Tổng Đơn'!$B42),0)</f>
        <v>0</v>
      </c>
    </row>
    <row r="43" spans="1:41" ht="15.75" customHeight="1" x14ac:dyDescent="0.25">
      <c r="A43" s="23">
        <v>39</v>
      </c>
      <c r="B43" s="44" t="s">
        <v>45</v>
      </c>
      <c r="C43" s="23" t="s">
        <v>99</v>
      </c>
      <c r="D43" s="45">
        <f>VLOOKUP($C43,Sheet1!$C$3:$D$52,2,0)</f>
        <v>44000</v>
      </c>
      <c r="E43" s="63">
        <v>0.5</v>
      </c>
      <c r="F43" s="61">
        <f t="shared" ca="1" si="1"/>
        <v>0</v>
      </c>
      <c r="G43" s="61">
        <v>36.5</v>
      </c>
      <c r="H43" s="61">
        <f t="shared" ca="1" si="2"/>
        <v>0</v>
      </c>
      <c r="I43" s="61"/>
      <c r="J43" s="61">
        <f t="shared" ca="1" si="3"/>
        <v>0</v>
      </c>
      <c r="K43" s="61"/>
      <c r="L43" s="2">
        <f ca="1">IFERROR(SUMIFS(INDIRECT("'Thanh Toán ("&amp;L$3&amp;")'!$e:$e"),INDIRECT("'Thanh Toán ("&amp;L$3&amp;")'!$B:$B"),'Tổng Đơn'!$B43),0)</f>
        <v>0</v>
      </c>
      <c r="M43" s="2">
        <f ca="1">IFERROR(SUMIFS(INDIRECT("'Thanh Toán ("&amp;M$3&amp;")'!$e:$e"),INDIRECT("'Thanh Toán ("&amp;M$3&amp;")'!$B:$B"),'Tổng Đơn'!$B43),0)</f>
        <v>0</v>
      </c>
      <c r="N43" s="2">
        <f ca="1">IFERROR(SUMIFS(INDIRECT("'Thanh Toán ("&amp;N$3&amp;")'!$e:$e"),INDIRECT("'Thanh Toán ("&amp;N$3&amp;")'!$B:$B"),'Tổng Đơn'!$B43),0)</f>
        <v>0</v>
      </c>
      <c r="O43" s="2">
        <f ca="1">IFERROR(SUMIFS(INDIRECT("'Thanh Toán ("&amp;O$3&amp;")'!$e:$e"),INDIRECT("'Thanh Toán ("&amp;O$3&amp;")'!$B:$B"),'Tổng Đơn'!$B43),0)</f>
        <v>0</v>
      </c>
      <c r="P43" s="2">
        <f ca="1">IFERROR(SUMIFS(INDIRECT("'Thanh Toán ("&amp;P$3&amp;")'!$e:$e"),INDIRECT("'Thanh Toán ("&amp;P$3&amp;")'!$B:$B"),'Tổng Đơn'!$B43),0)</f>
        <v>0</v>
      </c>
      <c r="Q43" s="2">
        <f ca="1">IFERROR(SUMIFS(INDIRECT("'Thanh Toán ("&amp;Q$3&amp;")'!$e:$e"),INDIRECT("'Thanh Toán ("&amp;Q$3&amp;")'!$B:$B"),'Tổng Đơn'!$B43),0)</f>
        <v>0</v>
      </c>
      <c r="R43" s="2">
        <f ca="1">IFERROR(SUMIFS(INDIRECT("'Thanh Toán ("&amp;R$3&amp;")'!$e:$e"),INDIRECT("'Thanh Toán ("&amp;R$3&amp;")'!$B:$B"),'Tổng Đơn'!$B43),0)</f>
        <v>0</v>
      </c>
      <c r="S43" s="2">
        <f ca="1">IFERROR(SUMIFS(INDIRECT("'Thanh Toán ("&amp;S$3&amp;")'!$e:$e"),INDIRECT("'Thanh Toán ("&amp;S$3&amp;")'!$B:$B"),'Tổng Đơn'!$B43),0)</f>
        <v>0</v>
      </c>
      <c r="T43" s="2">
        <f ca="1">IFERROR(SUMIFS(INDIRECT("'Thanh Toán ("&amp;T$3&amp;")'!$e:$e"),INDIRECT("'Thanh Toán ("&amp;T$3&amp;")'!$B:$B"),'Tổng Đơn'!$B43),0)</f>
        <v>0</v>
      </c>
      <c r="U43" s="2">
        <f ca="1">IFERROR(SUMIFS(INDIRECT("'Thanh Toán ("&amp;U$3&amp;")'!$e:$e"),INDIRECT("'Thanh Toán ("&amp;U$3&amp;")'!$B:$B"),'Tổng Đơn'!$B43),0)</f>
        <v>0</v>
      </c>
      <c r="V43" s="2">
        <f ca="1">IFERROR(SUMIFS(INDIRECT("'Thanh Toán ("&amp;V$3&amp;")'!$e:$e"),INDIRECT("'Thanh Toán ("&amp;V$3&amp;")'!$B:$B"),'Tổng Đơn'!$B43),0)</f>
        <v>0</v>
      </c>
      <c r="W43" s="2">
        <f ca="1">IFERROR(SUMIFS(INDIRECT("'Thanh Toán ("&amp;W$3&amp;")'!$e:$e"),INDIRECT("'Thanh Toán ("&amp;W$3&amp;")'!$B:$B"),'Tổng Đơn'!$B43),0)</f>
        <v>0</v>
      </c>
      <c r="X43" s="2">
        <f ca="1">IFERROR(SUMIFS(INDIRECT("'Thanh Toán ("&amp;X$3&amp;")'!$e:$e"),INDIRECT("'Thanh Toán ("&amp;X$3&amp;")'!$B:$B"),'Tổng Đơn'!$B43),0)</f>
        <v>0</v>
      </c>
      <c r="Y43" s="2">
        <f ca="1">IFERROR(SUMIFS(INDIRECT("'Thanh Toán ("&amp;Y$3&amp;")'!$e:$e"),INDIRECT("'Thanh Toán ("&amp;Y$3&amp;")'!$B:$B"),'Tổng Đơn'!$B43),0)</f>
        <v>0</v>
      </c>
      <c r="Z43" s="2">
        <f ca="1">IFERROR(SUMIFS(INDIRECT("'Thanh Toán ("&amp;Z$3&amp;")'!$e:$e"),INDIRECT("'Thanh Toán ("&amp;Z$3&amp;")'!$B:$B"),'Tổng Đơn'!$B43),0)</f>
        <v>0</v>
      </c>
      <c r="AA43" s="2">
        <f ca="1">IFERROR(SUMIFS(INDIRECT("'Thanh Toán ("&amp;AA$3&amp;")'!$e:$e"),INDIRECT("'Thanh Toán ("&amp;AA$3&amp;")'!$B:$B"),'Tổng Đơn'!$B43),0)</f>
        <v>0</v>
      </c>
      <c r="AB43" s="2">
        <f ca="1">IFERROR(SUMIFS(INDIRECT("'Thanh Toán ("&amp;AB$3&amp;")'!$e:$e"),INDIRECT("'Thanh Toán ("&amp;AB$3&amp;")'!$B:$B"),'Tổng Đơn'!$B43),0)</f>
        <v>0</v>
      </c>
      <c r="AC43" s="2">
        <f ca="1">IFERROR(SUMIFS(INDIRECT("'Thanh Toán ("&amp;AC$3&amp;")'!$e:$e"),INDIRECT("'Thanh Toán ("&amp;AC$3&amp;")'!$B:$B"),'Tổng Đơn'!$B43),0)</f>
        <v>0</v>
      </c>
      <c r="AD43" s="2">
        <f ca="1">IFERROR(SUMIFS(INDIRECT("'Thanh Toán ("&amp;AD$3&amp;")'!$e:$e"),INDIRECT("'Thanh Toán ("&amp;AD$3&amp;")'!$B:$B"),'Tổng Đơn'!$B43),0)</f>
        <v>0</v>
      </c>
      <c r="AE43" s="2">
        <f ca="1">IFERROR(SUMIFS(INDIRECT("'Thanh Toán ("&amp;AE$3&amp;")'!$e:$e"),INDIRECT("'Thanh Toán ("&amp;AE$3&amp;")'!$B:$B"),'Tổng Đơn'!$B43),0)</f>
        <v>0</v>
      </c>
      <c r="AF43" s="2">
        <f ca="1">IFERROR(SUMIFS(INDIRECT("'Thanh Toán ("&amp;AF$3&amp;")'!$e:$e"),INDIRECT("'Thanh Toán ("&amp;AF$3&amp;")'!$B:$B"),'Tổng Đơn'!$B43),0)</f>
        <v>0</v>
      </c>
      <c r="AG43" s="2">
        <f ca="1">IFERROR(SUMIFS(INDIRECT("'Thanh Toán ("&amp;AG$3&amp;")'!$e:$e"),INDIRECT("'Thanh Toán ("&amp;AG$3&amp;")'!$B:$B"),'Tổng Đơn'!$B43),0)</f>
        <v>0</v>
      </c>
      <c r="AH43" s="2">
        <f ca="1">IFERROR(SUMIFS(INDIRECT("'Thanh Toán ("&amp;AH$3&amp;")'!$e:$e"),INDIRECT("'Thanh Toán ("&amp;AH$3&amp;")'!$B:$B"),'Tổng Đơn'!$B43),0)</f>
        <v>0</v>
      </c>
      <c r="AI43" s="2">
        <f ca="1">IFERROR(SUMIFS(INDIRECT("'Thanh Toán ("&amp;AI$3&amp;")'!$e:$e"),INDIRECT("'Thanh Toán ("&amp;AI$3&amp;")'!$B:$B"),'Tổng Đơn'!$B43),0)</f>
        <v>0</v>
      </c>
      <c r="AJ43" s="2">
        <f ca="1">IFERROR(SUMIFS(INDIRECT("'Thanh Toán ("&amp;AJ$3&amp;")'!$e:$e"),INDIRECT("'Thanh Toán ("&amp;AJ$3&amp;")'!$B:$B"),'Tổng Đơn'!$B43),0)</f>
        <v>0</v>
      </c>
      <c r="AK43" s="2">
        <f ca="1">IFERROR(SUMIFS(INDIRECT("'Thanh Toán ("&amp;AK$3&amp;")'!$e:$e"),INDIRECT("'Thanh Toán ("&amp;AK$3&amp;")'!$B:$B"),'Tổng Đơn'!$B43),0)</f>
        <v>0</v>
      </c>
      <c r="AL43" s="2">
        <f ca="1">IFERROR(SUMIFS(INDIRECT("'Thanh Toán ("&amp;AL$3&amp;")'!$e:$e"),INDIRECT("'Thanh Toán ("&amp;AL$3&amp;")'!$B:$B"),'Tổng Đơn'!$B43),0)</f>
        <v>0</v>
      </c>
      <c r="AM43" s="2">
        <f ca="1">IFERROR(SUMIFS(INDIRECT("'Thanh Toán ("&amp;AM$3&amp;")'!$e:$e"),INDIRECT("'Thanh Toán ("&amp;AM$3&amp;")'!$B:$B"),'Tổng Đơn'!$B43),0)</f>
        <v>0</v>
      </c>
      <c r="AN43" s="2">
        <f ca="1">IFERROR(SUMIFS(INDIRECT("'Thanh Toán ("&amp;AN$3&amp;")'!$e:$e"),INDIRECT("'Thanh Toán ("&amp;AN$3&amp;")'!$B:$B"),'Tổng Đơn'!$B43),0)</f>
        <v>0</v>
      </c>
      <c r="AO43" s="2">
        <f ca="1">IFERROR(SUMIFS(INDIRECT("'Thanh Toán ("&amp;AO$3&amp;")'!$e:$e"),INDIRECT("'Thanh Toán ("&amp;AO$3&amp;")'!$B:$B"),'Tổng Đơn'!$B43),0)</f>
        <v>0</v>
      </c>
    </row>
    <row r="44" spans="1:41" x14ac:dyDescent="0.25">
      <c r="A44" s="23">
        <v>40</v>
      </c>
      <c r="B44" s="44" t="s">
        <v>48</v>
      </c>
      <c r="C44" s="23" t="s">
        <v>100</v>
      </c>
      <c r="D44" s="45">
        <f>VLOOKUP($C44,Sheet1!$C$3:$D$52,2,0)</f>
        <v>79000</v>
      </c>
      <c r="E44" s="63">
        <v>0.5</v>
      </c>
      <c r="F44" s="61">
        <f t="shared" ca="1" si="1"/>
        <v>0</v>
      </c>
      <c r="G44" s="61">
        <v>66</v>
      </c>
      <c r="H44" s="61">
        <f t="shared" ca="1" si="2"/>
        <v>0</v>
      </c>
      <c r="I44" s="61"/>
      <c r="J44" s="61">
        <f t="shared" ca="1" si="3"/>
        <v>0</v>
      </c>
      <c r="K44" s="61"/>
      <c r="L44" s="2">
        <f ca="1">IFERROR(SUMIFS(INDIRECT("'Thanh Toán ("&amp;L$3&amp;")'!$e:$e"),INDIRECT("'Thanh Toán ("&amp;L$3&amp;")'!$B:$B"),'Tổng Đơn'!$B44),0)</f>
        <v>0</v>
      </c>
      <c r="M44" s="2">
        <f ca="1">IFERROR(SUMIFS(INDIRECT("'Thanh Toán ("&amp;M$3&amp;")'!$e:$e"),INDIRECT("'Thanh Toán ("&amp;M$3&amp;")'!$B:$B"),'Tổng Đơn'!$B44),0)</f>
        <v>0</v>
      </c>
      <c r="N44" s="2">
        <f ca="1">IFERROR(SUMIFS(INDIRECT("'Thanh Toán ("&amp;N$3&amp;")'!$e:$e"),INDIRECT("'Thanh Toán ("&amp;N$3&amp;")'!$B:$B"),'Tổng Đơn'!$B44),0)</f>
        <v>0</v>
      </c>
      <c r="O44" s="2">
        <f ca="1">IFERROR(SUMIFS(INDIRECT("'Thanh Toán ("&amp;O$3&amp;")'!$e:$e"),INDIRECT("'Thanh Toán ("&amp;O$3&amp;")'!$B:$B"),'Tổng Đơn'!$B44),0)</f>
        <v>0</v>
      </c>
      <c r="P44" s="2">
        <f ca="1">IFERROR(SUMIFS(INDIRECT("'Thanh Toán ("&amp;P$3&amp;")'!$e:$e"),INDIRECT("'Thanh Toán ("&amp;P$3&amp;")'!$B:$B"),'Tổng Đơn'!$B44),0)</f>
        <v>0</v>
      </c>
      <c r="Q44" s="2">
        <f ca="1">IFERROR(SUMIFS(INDIRECT("'Thanh Toán ("&amp;Q$3&amp;")'!$e:$e"),INDIRECT("'Thanh Toán ("&amp;Q$3&amp;")'!$B:$B"),'Tổng Đơn'!$B44),0)</f>
        <v>0</v>
      </c>
      <c r="R44" s="2">
        <f ca="1">IFERROR(SUMIFS(INDIRECT("'Thanh Toán ("&amp;R$3&amp;")'!$e:$e"),INDIRECT("'Thanh Toán ("&amp;R$3&amp;")'!$B:$B"),'Tổng Đơn'!$B44),0)</f>
        <v>0</v>
      </c>
      <c r="S44" s="2">
        <f ca="1">IFERROR(SUMIFS(INDIRECT("'Thanh Toán ("&amp;S$3&amp;")'!$e:$e"),INDIRECT("'Thanh Toán ("&amp;S$3&amp;")'!$B:$B"),'Tổng Đơn'!$B44),0)</f>
        <v>0</v>
      </c>
      <c r="T44" s="2">
        <f ca="1">IFERROR(SUMIFS(INDIRECT("'Thanh Toán ("&amp;T$3&amp;")'!$e:$e"),INDIRECT("'Thanh Toán ("&amp;T$3&amp;")'!$B:$B"),'Tổng Đơn'!$B44),0)</f>
        <v>0</v>
      </c>
      <c r="U44" s="2">
        <f ca="1">IFERROR(SUMIFS(INDIRECT("'Thanh Toán ("&amp;U$3&amp;")'!$e:$e"),INDIRECT("'Thanh Toán ("&amp;U$3&amp;")'!$B:$B"),'Tổng Đơn'!$B44),0)</f>
        <v>0</v>
      </c>
      <c r="V44" s="2">
        <f ca="1">IFERROR(SUMIFS(INDIRECT("'Thanh Toán ("&amp;V$3&amp;")'!$e:$e"),INDIRECT("'Thanh Toán ("&amp;V$3&amp;")'!$B:$B"),'Tổng Đơn'!$B44),0)</f>
        <v>0</v>
      </c>
      <c r="W44" s="2">
        <f ca="1">IFERROR(SUMIFS(INDIRECT("'Thanh Toán ("&amp;W$3&amp;")'!$e:$e"),INDIRECT("'Thanh Toán ("&amp;W$3&amp;")'!$B:$B"),'Tổng Đơn'!$B44),0)</f>
        <v>0</v>
      </c>
      <c r="X44" s="2">
        <f ca="1">IFERROR(SUMIFS(INDIRECT("'Thanh Toán ("&amp;X$3&amp;")'!$e:$e"),INDIRECT("'Thanh Toán ("&amp;X$3&amp;")'!$B:$B"),'Tổng Đơn'!$B44),0)</f>
        <v>0</v>
      </c>
      <c r="Y44" s="2">
        <f ca="1">IFERROR(SUMIFS(INDIRECT("'Thanh Toán ("&amp;Y$3&amp;")'!$e:$e"),INDIRECT("'Thanh Toán ("&amp;Y$3&amp;")'!$B:$B"),'Tổng Đơn'!$B44),0)</f>
        <v>0</v>
      </c>
      <c r="Z44" s="2">
        <f ca="1">IFERROR(SUMIFS(INDIRECT("'Thanh Toán ("&amp;Z$3&amp;")'!$e:$e"),INDIRECT("'Thanh Toán ("&amp;Z$3&amp;")'!$B:$B"),'Tổng Đơn'!$B44),0)</f>
        <v>0</v>
      </c>
      <c r="AA44" s="2">
        <f ca="1">IFERROR(SUMIFS(INDIRECT("'Thanh Toán ("&amp;AA$3&amp;")'!$e:$e"),INDIRECT("'Thanh Toán ("&amp;AA$3&amp;")'!$B:$B"),'Tổng Đơn'!$B44),0)</f>
        <v>0</v>
      </c>
      <c r="AB44" s="2">
        <f ca="1">IFERROR(SUMIFS(INDIRECT("'Thanh Toán ("&amp;AB$3&amp;")'!$e:$e"),INDIRECT("'Thanh Toán ("&amp;AB$3&amp;")'!$B:$B"),'Tổng Đơn'!$B44),0)</f>
        <v>0</v>
      </c>
      <c r="AC44" s="2">
        <f ca="1">IFERROR(SUMIFS(INDIRECT("'Thanh Toán ("&amp;AC$3&amp;")'!$e:$e"),INDIRECT("'Thanh Toán ("&amp;AC$3&amp;")'!$B:$B"),'Tổng Đơn'!$B44),0)</f>
        <v>0</v>
      </c>
      <c r="AD44" s="2">
        <f ca="1">IFERROR(SUMIFS(INDIRECT("'Thanh Toán ("&amp;AD$3&amp;")'!$e:$e"),INDIRECT("'Thanh Toán ("&amp;AD$3&amp;")'!$B:$B"),'Tổng Đơn'!$B44),0)</f>
        <v>0</v>
      </c>
      <c r="AE44" s="2">
        <f ca="1">IFERROR(SUMIFS(INDIRECT("'Thanh Toán ("&amp;AE$3&amp;")'!$e:$e"),INDIRECT("'Thanh Toán ("&amp;AE$3&amp;")'!$B:$B"),'Tổng Đơn'!$B44),0)</f>
        <v>0</v>
      </c>
      <c r="AF44" s="2">
        <f ca="1">IFERROR(SUMIFS(INDIRECT("'Thanh Toán ("&amp;AF$3&amp;")'!$e:$e"),INDIRECT("'Thanh Toán ("&amp;AF$3&amp;")'!$B:$B"),'Tổng Đơn'!$B44),0)</f>
        <v>0</v>
      </c>
      <c r="AG44" s="2">
        <f ca="1">IFERROR(SUMIFS(INDIRECT("'Thanh Toán ("&amp;AG$3&amp;")'!$e:$e"),INDIRECT("'Thanh Toán ("&amp;AG$3&amp;")'!$B:$B"),'Tổng Đơn'!$B44),0)</f>
        <v>0</v>
      </c>
      <c r="AH44" s="2">
        <f ca="1">IFERROR(SUMIFS(INDIRECT("'Thanh Toán ("&amp;AH$3&amp;")'!$e:$e"),INDIRECT("'Thanh Toán ("&amp;AH$3&amp;")'!$B:$B"),'Tổng Đơn'!$B44),0)</f>
        <v>0</v>
      </c>
      <c r="AI44" s="2">
        <f ca="1">IFERROR(SUMIFS(INDIRECT("'Thanh Toán ("&amp;AI$3&amp;")'!$e:$e"),INDIRECT("'Thanh Toán ("&amp;AI$3&amp;")'!$B:$B"),'Tổng Đơn'!$B44),0)</f>
        <v>0</v>
      </c>
      <c r="AJ44" s="2">
        <f ca="1">IFERROR(SUMIFS(INDIRECT("'Thanh Toán ("&amp;AJ$3&amp;")'!$e:$e"),INDIRECT("'Thanh Toán ("&amp;AJ$3&amp;")'!$B:$B"),'Tổng Đơn'!$B44),0)</f>
        <v>0</v>
      </c>
      <c r="AK44" s="2">
        <f ca="1">IFERROR(SUMIFS(INDIRECT("'Thanh Toán ("&amp;AK$3&amp;")'!$e:$e"),INDIRECT("'Thanh Toán ("&amp;AK$3&amp;")'!$B:$B"),'Tổng Đơn'!$B44),0)</f>
        <v>0</v>
      </c>
      <c r="AL44" s="2">
        <f ca="1">IFERROR(SUMIFS(INDIRECT("'Thanh Toán ("&amp;AL$3&amp;")'!$e:$e"),INDIRECT("'Thanh Toán ("&amp;AL$3&amp;")'!$B:$B"),'Tổng Đơn'!$B44),0)</f>
        <v>0</v>
      </c>
      <c r="AM44" s="2">
        <f ca="1">IFERROR(SUMIFS(INDIRECT("'Thanh Toán ("&amp;AM$3&amp;")'!$e:$e"),INDIRECT("'Thanh Toán ("&amp;AM$3&amp;")'!$B:$B"),'Tổng Đơn'!$B44),0)</f>
        <v>0</v>
      </c>
      <c r="AN44" s="2">
        <f ca="1">IFERROR(SUMIFS(INDIRECT("'Thanh Toán ("&amp;AN$3&amp;")'!$e:$e"),INDIRECT("'Thanh Toán ("&amp;AN$3&amp;")'!$B:$B"),'Tổng Đơn'!$B44),0)</f>
        <v>0</v>
      </c>
      <c r="AO44" s="2">
        <f ca="1">IFERROR(SUMIFS(INDIRECT("'Thanh Toán ("&amp;AO$3&amp;")'!$e:$e"),INDIRECT("'Thanh Toán ("&amp;AO$3&amp;")'!$B:$B"),'Tổng Đơn'!$B44),0)</f>
        <v>0</v>
      </c>
    </row>
    <row r="45" spans="1:41" x14ac:dyDescent="0.25">
      <c r="A45" s="23">
        <v>41</v>
      </c>
      <c r="B45" s="44" t="s">
        <v>38</v>
      </c>
      <c r="C45" s="23" t="s">
        <v>101</v>
      </c>
      <c r="D45" s="45">
        <f>VLOOKUP($C45,Sheet1!$C$3:$D$52,2,0)</f>
        <v>66000</v>
      </c>
      <c r="E45" s="63">
        <v>0.5</v>
      </c>
      <c r="F45" s="61">
        <f t="shared" ca="1" si="1"/>
        <v>0</v>
      </c>
      <c r="G45" s="61">
        <v>55.5</v>
      </c>
      <c r="H45" s="61">
        <f t="shared" ca="1" si="2"/>
        <v>0</v>
      </c>
      <c r="I45" s="61"/>
      <c r="J45" s="61">
        <f t="shared" ca="1" si="3"/>
        <v>0</v>
      </c>
      <c r="K45" s="61"/>
      <c r="L45" s="2">
        <f ca="1">IFERROR(SUMIFS(INDIRECT("'Thanh Toán ("&amp;L$3&amp;")'!$e:$e"),INDIRECT("'Thanh Toán ("&amp;L$3&amp;")'!$B:$B"),'Tổng Đơn'!$B45),0)</f>
        <v>0</v>
      </c>
      <c r="M45" s="2">
        <f ca="1">IFERROR(SUMIFS(INDIRECT("'Thanh Toán ("&amp;M$3&amp;")'!$e:$e"),INDIRECT("'Thanh Toán ("&amp;M$3&amp;")'!$B:$B"),'Tổng Đơn'!$B45),0)</f>
        <v>0</v>
      </c>
      <c r="N45" s="2">
        <f ca="1">IFERROR(SUMIFS(INDIRECT("'Thanh Toán ("&amp;N$3&amp;")'!$e:$e"),INDIRECT("'Thanh Toán ("&amp;N$3&amp;")'!$B:$B"),'Tổng Đơn'!$B45),0)</f>
        <v>0</v>
      </c>
      <c r="O45" s="2">
        <f ca="1">IFERROR(SUMIFS(INDIRECT("'Thanh Toán ("&amp;O$3&amp;")'!$e:$e"),INDIRECT("'Thanh Toán ("&amp;O$3&amp;")'!$B:$B"),'Tổng Đơn'!$B45),0)</f>
        <v>0</v>
      </c>
      <c r="P45" s="2">
        <f ca="1">IFERROR(SUMIFS(INDIRECT("'Thanh Toán ("&amp;P$3&amp;")'!$e:$e"),INDIRECT("'Thanh Toán ("&amp;P$3&amp;")'!$B:$B"),'Tổng Đơn'!$B45),0)</f>
        <v>0</v>
      </c>
      <c r="Q45" s="2">
        <f ca="1">IFERROR(SUMIFS(INDIRECT("'Thanh Toán ("&amp;Q$3&amp;")'!$e:$e"),INDIRECT("'Thanh Toán ("&amp;Q$3&amp;")'!$B:$B"),'Tổng Đơn'!$B45),0)</f>
        <v>0</v>
      </c>
      <c r="R45" s="2">
        <f ca="1">IFERROR(SUMIFS(INDIRECT("'Thanh Toán ("&amp;R$3&amp;")'!$e:$e"),INDIRECT("'Thanh Toán ("&amp;R$3&amp;")'!$B:$B"),'Tổng Đơn'!$B45),0)</f>
        <v>0</v>
      </c>
      <c r="S45" s="2">
        <f ca="1">IFERROR(SUMIFS(INDIRECT("'Thanh Toán ("&amp;S$3&amp;")'!$e:$e"),INDIRECT("'Thanh Toán ("&amp;S$3&amp;")'!$B:$B"),'Tổng Đơn'!$B45),0)</f>
        <v>0</v>
      </c>
      <c r="T45" s="2">
        <f ca="1">IFERROR(SUMIFS(INDIRECT("'Thanh Toán ("&amp;T$3&amp;")'!$e:$e"),INDIRECT("'Thanh Toán ("&amp;T$3&amp;")'!$B:$B"),'Tổng Đơn'!$B45),0)</f>
        <v>0</v>
      </c>
      <c r="U45" s="2">
        <f ca="1">IFERROR(SUMIFS(INDIRECT("'Thanh Toán ("&amp;U$3&amp;")'!$e:$e"),INDIRECT("'Thanh Toán ("&amp;U$3&amp;")'!$B:$B"),'Tổng Đơn'!$B45),0)</f>
        <v>0</v>
      </c>
      <c r="V45" s="2">
        <f ca="1">IFERROR(SUMIFS(INDIRECT("'Thanh Toán ("&amp;V$3&amp;")'!$e:$e"),INDIRECT("'Thanh Toán ("&amp;V$3&amp;")'!$B:$B"),'Tổng Đơn'!$B45),0)</f>
        <v>0</v>
      </c>
      <c r="W45" s="2">
        <f ca="1">IFERROR(SUMIFS(INDIRECT("'Thanh Toán ("&amp;W$3&amp;")'!$e:$e"),INDIRECT("'Thanh Toán ("&amp;W$3&amp;")'!$B:$B"),'Tổng Đơn'!$B45),0)</f>
        <v>0</v>
      </c>
      <c r="X45" s="2">
        <f ca="1">IFERROR(SUMIFS(INDIRECT("'Thanh Toán ("&amp;X$3&amp;")'!$e:$e"),INDIRECT("'Thanh Toán ("&amp;X$3&amp;")'!$B:$B"),'Tổng Đơn'!$B45),0)</f>
        <v>0</v>
      </c>
      <c r="Y45" s="2">
        <f ca="1">IFERROR(SUMIFS(INDIRECT("'Thanh Toán ("&amp;Y$3&amp;")'!$e:$e"),INDIRECT("'Thanh Toán ("&amp;Y$3&amp;")'!$B:$B"),'Tổng Đơn'!$B45),0)</f>
        <v>0</v>
      </c>
      <c r="Z45" s="2">
        <f ca="1">IFERROR(SUMIFS(INDIRECT("'Thanh Toán ("&amp;Z$3&amp;")'!$e:$e"),INDIRECT("'Thanh Toán ("&amp;Z$3&amp;")'!$B:$B"),'Tổng Đơn'!$B45),0)</f>
        <v>0</v>
      </c>
      <c r="AA45" s="2">
        <f ca="1">IFERROR(SUMIFS(INDIRECT("'Thanh Toán ("&amp;AA$3&amp;")'!$e:$e"),INDIRECT("'Thanh Toán ("&amp;AA$3&amp;")'!$B:$B"),'Tổng Đơn'!$B45),0)</f>
        <v>0</v>
      </c>
      <c r="AB45" s="2">
        <f ca="1">IFERROR(SUMIFS(INDIRECT("'Thanh Toán ("&amp;AB$3&amp;")'!$e:$e"),INDIRECT("'Thanh Toán ("&amp;AB$3&amp;")'!$B:$B"),'Tổng Đơn'!$B45),0)</f>
        <v>0</v>
      </c>
      <c r="AC45" s="2">
        <f ca="1">IFERROR(SUMIFS(INDIRECT("'Thanh Toán ("&amp;AC$3&amp;")'!$e:$e"),INDIRECT("'Thanh Toán ("&amp;AC$3&amp;")'!$B:$B"),'Tổng Đơn'!$B45),0)</f>
        <v>0</v>
      </c>
      <c r="AD45" s="2">
        <f ca="1">IFERROR(SUMIFS(INDIRECT("'Thanh Toán ("&amp;AD$3&amp;")'!$e:$e"),INDIRECT("'Thanh Toán ("&amp;AD$3&amp;")'!$B:$B"),'Tổng Đơn'!$B45),0)</f>
        <v>0</v>
      </c>
      <c r="AE45" s="2">
        <f ca="1">IFERROR(SUMIFS(INDIRECT("'Thanh Toán ("&amp;AE$3&amp;")'!$e:$e"),INDIRECT("'Thanh Toán ("&amp;AE$3&amp;")'!$B:$B"),'Tổng Đơn'!$B45),0)</f>
        <v>0</v>
      </c>
      <c r="AF45" s="2">
        <f ca="1">IFERROR(SUMIFS(INDIRECT("'Thanh Toán ("&amp;AF$3&amp;")'!$e:$e"),INDIRECT("'Thanh Toán ("&amp;AF$3&amp;")'!$B:$B"),'Tổng Đơn'!$B45),0)</f>
        <v>0</v>
      </c>
      <c r="AG45" s="2">
        <f ca="1">IFERROR(SUMIFS(INDIRECT("'Thanh Toán ("&amp;AG$3&amp;")'!$e:$e"),INDIRECT("'Thanh Toán ("&amp;AG$3&amp;")'!$B:$B"),'Tổng Đơn'!$B45),0)</f>
        <v>0</v>
      </c>
      <c r="AH45" s="2">
        <f ca="1">IFERROR(SUMIFS(INDIRECT("'Thanh Toán ("&amp;AH$3&amp;")'!$e:$e"),INDIRECT("'Thanh Toán ("&amp;AH$3&amp;")'!$B:$B"),'Tổng Đơn'!$B45),0)</f>
        <v>0</v>
      </c>
      <c r="AI45" s="2">
        <f ca="1">IFERROR(SUMIFS(INDIRECT("'Thanh Toán ("&amp;AI$3&amp;")'!$e:$e"),INDIRECT("'Thanh Toán ("&amp;AI$3&amp;")'!$B:$B"),'Tổng Đơn'!$B45),0)</f>
        <v>0</v>
      </c>
      <c r="AJ45" s="2">
        <f ca="1">IFERROR(SUMIFS(INDIRECT("'Thanh Toán ("&amp;AJ$3&amp;")'!$e:$e"),INDIRECT("'Thanh Toán ("&amp;AJ$3&amp;")'!$B:$B"),'Tổng Đơn'!$B45),0)</f>
        <v>0</v>
      </c>
      <c r="AK45" s="2">
        <f ca="1">IFERROR(SUMIFS(INDIRECT("'Thanh Toán ("&amp;AK$3&amp;")'!$e:$e"),INDIRECT("'Thanh Toán ("&amp;AK$3&amp;")'!$B:$B"),'Tổng Đơn'!$B45),0)</f>
        <v>0</v>
      </c>
      <c r="AL45" s="2">
        <f ca="1">IFERROR(SUMIFS(INDIRECT("'Thanh Toán ("&amp;AL$3&amp;")'!$e:$e"),INDIRECT("'Thanh Toán ("&amp;AL$3&amp;")'!$B:$B"),'Tổng Đơn'!$B45),0)</f>
        <v>0</v>
      </c>
      <c r="AM45" s="2">
        <f ca="1">IFERROR(SUMIFS(INDIRECT("'Thanh Toán ("&amp;AM$3&amp;")'!$e:$e"),INDIRECT("'Thanh Toán ("&amp;AM$3&amp;")'!$B:$B"),'Tổng Đơn'!$B45),0)</f>
        <v>0</v>
      </c>
      <c r="AN45" s="2">
        <f ca="1">IFERROR(SUMIFS(INDIRECT("'Thanh Toán ("&amp;AN$3&amp;")'!$e:$e"),INDIRECT("'Thanh Toán ("&amp;AN$3&amp;")'!$B:$B"),'Tổng Đơn'!$B45),0)</f>
        <v>0</v>
      </c>
      <c r="AO45" s="2">
        <f ca="1">IFERROR(SUMIFS(INDIRECT("'Thanh Toán ("&amp;AO$3&amp;")'!$e:$e"),INDIRECT("'Thanh Toán ("&amp;AO$3&amp;")'!$B:$B"),'Tổng Đơn'!$B45),0)</f>
        <v>0</v>
      </c>
    </row>
    <row r="46" spans="1:41" x14ac:dyDescent="0.25">
      <c r="A46" s="23">
        <v>42</v>
      </c>
      <c r="B46" s="44" t="s">
        <v>51</v>
      </c>
      <c r="C46" s="23" t="s">
        <v>102</v>
      </c>
      <c r="D46" s="45">
        <f>VLOOKUP($C46,Sheet1!$C$3:$D$52,2,0)</f>
        <v>122000</v>
      </c>
      <c r="E46" s="63">
        <v>1</v>
      </c>
      <c r="F46" s="61">
        <f t="shared" ca="1" si="1"/>
        <v>0</v>
      </c>
      <c r="G46" s="61">
        <v>102</v>
      </c>
      <c r="H46" s="61">
        <f t="shared" ca="1" si="2"/>
        <v>0</v>
      </c>
      <c r="I46" s="61"/>
      <c r="J46" s="61">
        <f t="shared" ca="1" si="3"/>
        <v>0</v>
      </c>
      <c r="K46" s="61"/>
      <c r="L46" s="2">
        <f ca="1">IFERROR(SUMIFS(INDIRECT("'Thanh Toán ("&amp;L$3&amp;")'!$e:$e"),INDIRECT("'Thanh Toán ("&amp;L$3&amp;")'!$B:$B"),'Tổng Đơn'!$B46),0)</f>
        <v>0</v>
      </c>
      <c r="M46" s="2">
        <f ca="1">IFERROR(SUMIFS(INDIRECT("'Thanh Toán ("&amp;M$3&amp;")'!$e:$e"),INDIRECT("'Thanh Toán ("&amp;M$3&amp;")'!$B:$B"),'Tổng Đơn'!$B46),0)</f>
        <v>0</v>
      </c>
      <c r="N46" s="2">
        <f ca="1">IFERROR(SUMIFS(INDIRECT("'Thanh Toán ("&amp;N$3&amp;")'!$e:$e"),INDIRECT("'Thanh Toán ("&amp;N$3&amp;")'!$B:$B"),'Tổng Đơn'!$B46),0)</f>
        <v>0</v>
      </c>
      <c r="O46" s="2">
        <f ca="1">IFERROR(SUMIFS(INDIRECT("'Thanh Toán ("&amp;O$3&amp;")'!$e:$e"),INDIRECT("'Thanh Toán ("&amp;O$3&amp;")'!$B:$B"),'Tổng Đơn'!$B46),0)</f>
        <v>0</v>
      </c>
      <c r="P46" s="2">
        <f ca="1">IFERROR(SUMIFS(INDIRECT("'Thanh Toán ("&amp;P$3&amp;")'!$e:$e"),INDIRECT("'Thanh Toán ("&amp;P$3&amp;")'!$B:$B"),'Tổng Đơn'!$B46),0)</f>
        <v>0</v>
      </c>
      <c r="Q46" s="2">
        <f ca="1">IFERROR(SUMIFS(INDIRECT("'Thanh Toán ("&amp;Q$3&amp;")'!$e:$e"),INDIRECT("'Thanh Toán ("&amp;Q$3&amp;")'!$B:$B"),'Tổng Đơn'!$B46),0)</f>
        <v>0</v>
      </c>
      <c r="R46" s="2">
        <f ca="1">IFERROR(SUMIFS(INDIRECT("'Thanh Toán ("&amp;R$3&amp;")'!$e:$e"),INDIRECT("'Thanh Toán ("&amp;R$3&amp;")'!$B:$B"),'Tổng Đơn'!$B46),0)</f>
        <v>0</v>
      </c>
      <c r="S46" s="2">
        <f ca="1">IFERROR(SUMIFS(INDIRECT("'Thanh Toán ("&amp;S$3&amp;")'!$e:$e"),INDIRECT("'Thanh Toán ("&amp;S$3&amp;")'!$B:$B"),'Tổng Đơn'!$B46),0)</f>
        <v>0</v>
      </c>
      <c r="T46" s="2">
        <f ca="1">IFERROR(SUMIFS(INDIRECT("'Thanh Toán ("&amp;T$3&amp;")'!$e:$e"),INDIRECT("'Thanh Toán ("&amp;T$3&amp;")'!$B:$B"),'Tổng Đơn'!$B46),0)</f>
        <v>0</v>
      </c>
      <c r="U46" s="2">
        <f ca="1">IFERROR(SUMIFS(INDIRECT("'Thanh Toán ("&amp;U$3&amp;")'!$e:$e"),INDIRECT("'Thanh Toán ("&amp;U$3&amp;")'!$B:$B"),'Tổng Đơn'!$B46),0)</f>
        <v>0</v>
      </c>
      <c r="V46" s="2">
        <f ca="1">IFERROR(SUMIFS(INDIRECT("'Thanh Toán ("&amp;V$3&amp;")'!$e:$e"),INDIRECT("'Thanh Toán ("&amp;V$3&amp;")'!$B:$B"),'Tổng Đơn'!$B46),0)</f>
        <v>0</v>
      </c>
      <c r="W46" s="2">
        <f ca="1">IFERROR(SUMIFS(INDIRECT("'Thanh Toán ("&amp;W$3&amp;")'!$e:$e"),INDIRECT("'Thanh Toán ("&amp;W$3&amp;")'!$B:$B"),'Tổng Đơn'!$B46),0)</f>
        <v>0</v>
      </c>
      <c r="X46" s="2">
        <f ca="1">IFERROR(SUMIFS(INDIRECT("'Thanh Toán ("&amp;X$3&amp;")'!$e:$e"),INDIRECT("'Thanh Toán ("&amp;X$3&amp;")'!$B:$B"),'Tổng Đơn'!$B46),0)</f>
        <v>0</v>
      </c>
      <c r="Y46" s="2">
        <f ca="1">IFERROR(SUMIFS(INDIRECT("'Thanh Toán ("&amp;Y$3&amp;")'!$e:$e"),INDIRECT("'Thanh Toán ("&amp;Y$3&amp;")'!$B:$B"),'Tổng Đơn'!$B46),0)</f>
        <v>0</v>
      </c>
      <c r="Z46" s="2">
        <f ca="1">IFERROR(SUMIFS(INDIRECT("'Thanh Toán ("&amp;Z$3&amp;")'!$e:$e"),INDIRECT("'Thanh Toán ("&amp;Z$3&amp;")'!$B:$B"),'Tổng Đơn'!$B46),0)</f>
        <v>0</v>
      </c>
      <c r="AA46" s="2">
        <f ca="1">IFERROR(SUMIFS(INDIRECT("'Thanh Toán ("&amp;AA$3&amp;")'!$e:$e"),INDIRECT("'Thanh Toán ("&amp;AA$3&amp;")'!$B:$B"),'Tổng Đơn'!$B46),0)</f>
        <v>0</v>
      </c>
      <c r="AB46" s="2">
        <f ca="1">IFERROR(SUMIFS(INDIRECT("'Thanh Toán ("&amp;AB$3&amp;")'!$e:$e"),INDIRECT("'Thanh Toán ("&amp;AB$3&amp;")'!$B:$B"),'Tổng Đơn'!$B46),0)</f>
        <v>0</v>
      </c>
      <c r="AC46" s="2">
        <f ca="1">IFERROR(SUMIFS(INDIRECT("'Thanh Toán ("&amp;AC$3&amp;")'!$e:$e"),INDIRECT("'Thanh Toán ("&amp;AC$3&amp;")'!$B:$B"),'Tổng Đơn'!$B46),0)</f>
        <v>0</v>
      </c>
      <c r="AD46" s="2">
        <f ca="1">IFERROR(SUMIFS(INDIRECT("'Thanh Toán ("&amp;AD$3&amp;")'!$e:$e"),INDIRECT("'Thanh Toán ("&amp;AD$3&amp;")'!$B:$B"),'Tổng Đơn'!$B46),0)</f>
        <v>0</v>
      </c>
      <c r="AE46" s="2">
        <f ca="1">IFERROR(SUMIFS(INDIRECT("'Thanh Toán ("&amp;AE$3&amp;")'!$e:$e"),INDIRECT("'Thanh Toán ("&amp;AE$3&amp;")'!$B:$B"),'Tổng Đơn'!$B46),0)</f>
        <v>0</v>
      </c>
      <c r="AF46" s="2">
        <f ca="1">IFERROR(SUMIFS(INDIRECT("'Thanh Toán ("&amp;AF$3&amp;")'!$e:$e"),INDIRECT("'Thanh Toán ("&amp;AF$3&amp;")'!$B:$B"),'Tổng Đơn'!$B46),0)</f>
        <v>0</v>
      </c>
      <c r="AG46" s="2">
        <f ca="1">IFERROR(SUMIFS(INDIRECT("'Thanh Toán ("&amp;AG$3&amp;")'!$e:$e"),INDIRECT("'Thanh Toán ("&amp;AG$3&amp;")'!$B:$B"),'Tổng Đơn'!$B46),0)</f>
        <v>0</v>
      </c>
      <c r="AH46" s="2">
        <f ca="1">IFERROR(SUMIFS(INDIRECT("'Thanh Toán ("&amp;AH$3&amp;")'!$e:$e"),INDIRECT("'Thanh Toán ("&amp;AH$3&amp;")'!$B:$B"),'Tổng Đơn'!$B46),0)</f>
        <v>0</v>
      </c>
      <c r="AI46" s="2">
        <f ca="1">IFERROR(SUMIFS(INDIRECT("'Thanh Toán ("&amp;AI$3&amp;")'!$e:$e"),INDIRECT("'Thanh Toán ("&amp;AI$3&amp;")'!$B:$B"),'Tổng Đơn'!$B46),0)</f>
        <v>0</v>
      </c>
      <c r="AJ46" s="2">
        <f ca="1">IFERROR(SUMIFS(INDIRECT("'Thanh Toán ("&amp;AJ$3&amp;")'!$e:$e"),INDIRECT("'Thanh Toán ("&amp;AJ$3&amp;")'!$B:$B"),'Tổng Đơn'!$B46),0)</f>
        <v>0</v>
      </c>
      <c r="AK46" s="2">
        <f ca="1">IFERROR(SUMIFS(INDIRECT("'Thanh Toán ("&amp;AK$3&amp;")'!$e:$e"),INDIRECT("'Thanh Toán ("&amp;AK$3&amp;")'!$B:$B"),'Tổng Đơn'!$B46),0)</f>
        <v>0</v>
      </c>
      <c r="AL46" s="2">
        <f ca="1">IFERROR(SUMIFS(INDIRECT("'Thanh Toán ("&amp;AL$3&amp;")'!$e:$e"),INDIRECT("'Thanh Toán ("&amp;AL$3&amp;")'!$B:$B"),'Tổng Đơn'!$B46),0)</f>
        <v>0</v>
      </c>
      <c r="AM46" s="2">
        <f ca="1">IFERROR(SUMIFS(INDIRECT("'Thanh Toán ("&amp;AM$3&amp;")'!$e:$e"),INDIRECT("'Thanh Toán ("&amp;AM$3&amp;")'!$B:$B"),'Tổng Đơn'!$B46),0)</f>
        <v>0</v>
      </c>
      <c r="AN46" s="2">
        <f ca="1">IFERROR(SUMIFS(INDIRECT("'Thanh Toán ("&amp;AN$3&amp;")'!$e:$e"),INDIRECT("'Thanh Toán ("&amp;AN$3&amp;")'!$B:$B"),'Tổng Đơn'!$B46),0)</f>
        <v>0</v>
      </c>
      <c r="AO46" s="2">
        <f ca="1">IFERROR(SUMIFS(INDIRECT("'Thanh Toán ("&amp;AO$3&amp;")'!$e:$e"),INDIRECT("'Thanh Toán ("&amp;AO$3&amp;")'!$B:$B"),'Tổng Đơn'!$B46),0)</f>
        <v>0</v>
      </c>
    </row>
    <row r="47" spans="1:41" x14ac:dyDescent="0.25">
      <c r="A47" s="23">
        <v>43</v>
      </c>
      <c r="B47" s="44" t="s">
        <v>37</v>
      </c>
      <c r="C47" s="23" t="s">
        <v>103</v>
      </c>
      <c r="D47" s="45">
        <f>VLOOKUP($C47,Sheet1!$C$3:$D$52,2,0)</f>
        <v>66000</v>
      </c>
      <c r="E47" s="63">
        <v>0.5</v>
      </c>
      <c r="F47" s="61">
        <f t="shared" ca="1" si="1"/>
        <v>0</v>
      </c>
      <c r="G47" s="61">
        <v>55.5</v>
      </c>
      <c r="H47" s="61">
        <f t="shared" ca="1" si="2"/>
        <v>0</v>
      </c>
      <c r="I47" s="61"/>
      <c r="J47" s="61">
        <f t="shared" ca="1" si="3"/>
        <v>0</v>
      </c>
      <c r="K47" s="61"/>
      <c r="L47" s="2">
        <f ca="1">IFERROR(SUMIFS(INDIRECT("'Thanh Toán ("&amp;L$3&amp;")'!$e:$e"),INDIRECT("'Thanh Toán ("&amp;L$3&amp;")'!$B:$B"),'Tổng Đơn'!$B47),0)</f>
        <v>0</v>
      </c>
      <c r="M47" s="2">
        <f ca="1">IFERROR(SUMIFS(INDIRECT("'Thanh Toán ("&amp;M$3&amp;")'!$e:$e"),INDIRECT("'Thanh Toán ("&amp;M$3&amp;")'!$B:$B"),'Tổng Đơn'!$B47),0)</f>
        <v>0</v>
      </c>
      <c r="N47" s="2">
        <f ca="1">IFERROR(SUMIFS(INDIRECT("'Thanh Toán ("&amp;N$3&amp;")'!$e:$e"),INDIRECT("'Thanh Toán ("&amp;N$3&amp;")'!$B:$B"),'Tổng Đơn'!$B47),0)</f>
        <v>0</v>
      </c>
      <c r="O47" s="2">
        <f ca="1">IFERROR(SUMIFS(INDIRECT("'Thanh Toán ("&amp;O$3&amp;")'!$e:$e"),INDIRECT("'Thanh Toán ("&amp;O$3&amp;")'!$B:$B"),'Tổng Đơn'!$B47),0)</f>
        <v>0</v>
      </c>
      <c r="P47" s="2">
        <f ca="1">IFERROR(SUMIFS(INDIRECT("'Thanh Toán ("&amp;P$3&amp;")'!$e:$e"),INDIRECT("'Thanh Toán ("&amp;P$3&amp;")'!$B:$B"),'Tổng Đơn'!$B47),0)</f>
        <v>0</v>
      </c>
      <c r="Q47" s="2">
        <f ca="1">IFERROR(SUMIFS(INDIRECT("'Thanh Toán ("&amp;Q$3&amp;")'!$e:$e"),INDIRECT("'Thanh Toán ("&amp;Q$3&amp;")'!$B:$B"),'Tổng Đơn'!$B47),0)</f>
        <v>0</v>
      </c>
      <c r="R47" s="2">
        <f ca="1">IFERROR(SUMIFS(INDIRECT("'Thanh Toán ("&amp;R$3&amp;")'!$e:$e"),INDIRECT("'Thanh Toán ("&amp;R$3&amp;")'!$B:$B"),'Tổng Đơn'!$B47),0)</f>
        <v>0</v>
      </c>
      <c r="S47" s="2">
        <f ca="1">IFERROR(SUMIFS(INDIRECT("'Thanh Toán ("&amp;S$3&amp;")'!$e:$e"),INDIRECT("'Thanh Toán ("&amp;S$3&amp;")'!$B:$B"),'Tổng Đơn'!$B47),0)</f>
        <v>0</v>
      </c>
      <c r="T47" s="2">
        <f ca="1">IFERROR(SUMIFS(INDIRECT("'Thanh Toán ("&amp;T$3&amp;")'!$e:$e"),INDIRECT("'Thanh Toán ("&amp;T$3&amp;")'!$B:$B"),'Tổng Đơn'!$B47),0)</f>
        <v>0</v>
      </c>
      <c r="U47" s="2">
        <f ca="1">IFERROR(SUMIFS(INDIRECT("'Thanh Toán ("&amp;U$3&amp;")'!$e:$e"),INDIRECT("'Thanh Toán ("&amp;U$3&amp;")'!$B:$B"),'Tổng Đơn'!$B47),0)</f>
        <v>0</v>
      </c>
      <c r="V47" s="2">
        <f ca="1">IFERROR(SUMIFS(INDIRECT("'Thanh Toán ("&amp;V$3&amp;")'!$e:$e"),INDIRECT("'Thanh Toán ("&amp;V$3&amp;")'!$B:$B"),'Tổng Đơn'!$B47),0)</f>
        <v>0</v>
      </c>
      <c r="W47" s="2">
        <f ca="1">IFERROR(SUMIFS(INDIRECT("'Thanh Toán ("&amp;W$3&amp;")'!$e:$e"),INDIRECT("'Thanh Toán ("&amp;W$3&amp;")'!$B:$B"),'Tổng Đơn'!$B47),0)</f>
        <v>0</v>
      </c>
      <c r="X47" s="2">
        <f ca="1">IFERROR(SUMIFS(INDIRECT("'Thanh Toán ("&amp;X$3&amp;")'!$e:$e"),INDIRECT("'Thanh Toán ("&amp;X$3&amp;")'!$B:$B"),'Tổng Đơn'!$B47),0)</f>
        <v>0</v>
      </c>
      <c r="Y47" s="2">
        <f ca="1">IFERROR(SUMIFS(INDIRECT("'Thanh Toán ("&amp;Y$3&amp;")'!$e:$e"),INDIRECT("'Thanh Toán ("&amp;Y$3&amp;")'!$B:$B"),'Tổng Đơn'!$B47),0)</f>
        <v>0</v>
      </c>
      <c r="Z47" s="2">
        <f ca="1">IFERROR(SUMIFS(INDIRECT("'Thanh Toán ("&amp;Z$3&amp;")'!$e:$e"),INDIRECT("'Thanh Toán ("&amp;Z$3&amp;")'!$B:$B"),'Tổng Đơn'!$B47),0)</f>
        <v>0</v>
      </c>
      <c r="AA47" s="2">
        <f ca="1">IFERROR(SUMIFS(INDIRECT("'Thanh Toán ("&amp;AA$3&amp;")'!$e:$e"),INDIRECT("'Thanh Toán ("&amp;AA$3&amp;")'!$B:$B"),'Tổng Đơn'!$B47),0)</f>
        <v>0</v>
      </c>
      <c r="AB47" s="2">
        <f ca="1">IFERROR(SUMIFS(INDIRECT("'Thanh Toán ("&amp;AB$3&amp;")'!$e:$e"),INDIRECT("'Thanh Toán ("&amp;AB$3&amp;")'!$B:$B"),'Tổng Đơn'!$B47),0)</f>
        <v>0</v>
      </c>
      <c r="AC47" s="2">
        <f ca="1">IFERROR(SUMIFS(INDIRECT("'Thanh Toán ("&amp;AC$3&amp;")'!$e:$e"),INDIRECT("'Thanh Toán ("&amp;AC$3&amp;")'!$B:$B"),'Tổng Đơn'!$B47),0)</f>
        <v>0</v>
      </c>
      <c r="AD47" s="2">
        <f ca="1">IFERROR(SUMIFS(INDIRECT("'Thanh Toán ("&amp;AD$3&amp;")'!$e:$e"),INDIRECT("'Thanh Toán ("&amp;AD$3&amp;")'!$B:$B"),'Tổng Đơn'!$B47),0)</f>
        <v>0</v>
      </c>
      <c r="AE47" s="2">
        <f ca="1">IFERROR(SUMIFS(INDIRECT("'Thanh Toán ("&amp;AE$3&amp;")'!$e:$e"),INDIRECT("'Thanh Toán ("&amp;AE$3&amp;")'!$B:$B"),'Tổng Đơn'!$B47),0)</f>
        <v>0</v>
      </c>
      <c r="AF47" s="2">
        <f ca="1">IFERROR(SUMIFS(INDIRECT("'Thanh Toán ("&amp;AF$3&amp;")'!$e:$e"),INDIRECT("'Thanh Toán ("&amp;AF$3&amp;")'!$B:$B"),'Tổng Đơn'!$B47),0)</f>
        <v>0</v>
      </c>
      <c r="AG47" s="2">
        <f ca="1">IFERROR(SUMIFS(INDIRECT("'Thanh Toán ("&amp;AG$3&amp;")'!$e:$e"),INDIRECT("'Thanh Toán ("&amp;AG$3&amp;")'!$B:$B"),'Tổng Đơn'!$B47),0)</f>
        <v>0</v>
      </c>
      <c r="AH47" s="2">
        <f ca="1">IFERROR(SUMIFS(INDIRECT("'Thanh Toán ("&amp;AH$3&amp;")'!$e:$e"),INDIRECT("'Thanh Toán ("&amp;AH$3&amp;")'!$B:$B"),'Tổng Đơn'!$B47),0)</f>
        <v>0</v>
      </c>
      <c r="AI47" s="2">
        <f ca="1">IFERROR(SUMIFS(INDIRECT("'Thanh Toán ("&amp;AI$3&amp;")'!$e:$e"),INDIRECT("'Thanh Toán ("&amp;AI$3&amp;")'!$B:$B"),'Tổng Đơn'!$B47),0)</f>
        <v>0</v>
      </c>
      <c r="AJ47" s="2">
        <f ca="1">IFERROR(SUMIFS(INDIRECT("'Thanh Toán ("&amp;AJ$3&amp;")'!$e:$e"),INDIRECT("'Thanh Toán ("&amp;AJ$3&amp;")'!$B:$B"),'Tổng Đơn'!$B47),0)</f>
        <v>0</v>
      </c>
      <c r="AK47" s="2">
        <f ca="1">IFERROR(SUMIFS(INDIRECT("'Thanh Toán ("&amp;AK$3&amp;")'!$e:$e"),INDIRECT("'Thanh Toán ("&amp;AK$3&amp;")'!$B:$B"),'Tổng Đơn'!$B47),0)</f>
        <v>0</v>
      </c>
      <c r="AL47" s="2">
        <f ca="1">IFERROR(SUMIFS(INDIRECT("'Thanh Toán ("&amp;AL$3&amp;")'!$e:$e"),INDIRECT("'Thanh Toán ("&amp;AL$3&amp;")'!$B:$B"),'Tổng Đơn'!$B47),0)</f>
        <v>0</v>
      </c>
      <c r="AM47" s="2">
        <f ca="1">IFERROR(SUMIFS(INDIRECT("'Thanh Toán ("&amp;AM$3&amp;")'!$e:$e"),INDIRECT("'Thanh Toán ("&amp;AM$3&amp;")'!$B:$B"),'Tổng Đơn'!$B47),0)</f>
        <v>0</v>
      </c>
      <c r="AN47" s="2">
        <f ca="1">IFERROR(SUMIFS(INDIRECT("'Thanh Toán ("&amp;AN$3&amp;")'!$e:$e"),INDIRECT("'Thanh Toán ("&amp;AN$3&amp;")'!$B:$B"),'Tổng Đơn'!$B47),0)</f>
        <v>0</v>
      </c>
      <c r="AO47" s="2">
        <f ca="1">IFERROR(SUMIFS(INDIRECT("'Thanh Toán ("&amp;AO$3&amp;")'!$e:$e"),INDIRECT("'Thanh Toán ("&amp;AO$3&amp;")'!$B:$B"),'Tổng Đơn'!$B47),0)</f>
        <v>0</v>
      </c>
    </row>
    <row r="48" spans="1:41" ht="15.75" customHeight="1" x14ac:dyDescent="0.25">
      <c r="A48" s="23">
        <v>44</v>
      </c>
      <c r="B48" s="44" t="s">
        <v>52</v>
      </c>
      <c r="C48" s="23" t="s">
        <v>104</v>
      </c>
      <c r="D48" s="45">
        <f>VLOOKUP($C48,Sheet1!$C$3:$D$52,2,0)</f>
        <v>65000</v>
      </c>
      <c r="E48" s="63">
        <v>0.5</v>
      </c>
      <c r="F48" s="61">
        <f t="shared" ca="1" si="1"/>
        <v>1</v>
      </c>
      <c r="G48" s="61">
        <v>54</v>
      </c>
      <c r="H48" s="61">
        <f t="shared" ca="1" si="2"/>
        <v>11000</v>
      </c>
      <c r="I48" s="61"/>
      <c r="J48" s="61">
        <f t="shared" ca="1" si="3"/>
        <v>65000</v>
      </c>
      <c r="K48" s="61"/>
      <c r="L48" s="2">
        <f ca="1">IFERROR(SUMIFS(INDIRECT("'Thanh Toán ("&amp;L$3&amp;")'!$e:$e"),INDIRECT("'Thanh Toán ("&amp;L$3&amp;")'!$B:$B"),'Tổng Đơn'!$B48),0)</f>
        <v>0</v>
      </c>
      <c r="M48" s="2">
        <f ca="1">IFERROR(SUMIFS(INDIRECT("'Thanh Toán ("&amp;M$3&amp;")'!$e:$e"),INDIRECT("'Thanh Toán ("&amp;M$3&amp;")'!$B:$B"),'Tổng Đơn'!$B48),0)</f>
        <v>0</v>
      </c>
      <c r="N48" s="2">
        <f ca="1">IFERROR(SUMIFS(INDIRECT("'Thanh Toán ("&amp;N$3&amp;")'!$e:$e"),INDIRECT("'Thanh Toán ("&amp;N$3&amp;")'!$B:$B"),'Tổng Đơn'!$B48),0)</f>
        <v>0</v>
      </c>
      <c r="O48" s="2">
        <f ca="1">IFERROR(SUMIFS(INDIRECT("'Thanh Toán ("&amp;O$3&amp;")'!$e:$e"),INDIRECT("'Thanh Toán ("&amp;O$3&amp;")'!$B:$B"),'Tổng Đơn'!$B48),0)</f>
        <v>0</v>
      </c>
      <c r="P48" s="2">
        <f ca="1">IFERROR(SUMIFS(INDIRECT("'Thanh Toán ("&amp;P$3&amp;")'!$e:$e"),INDIRECT("'Thanh Toán ("&amp;P$3&amp;")'!$B:$B"),'Tổng Đơn'!$B48),0)</f>
        <v>0</v>
      </c>
      <c r="Q48" s="2">
        <f ca="1">IFERROR(SUMIFS(INDIRECT("'Thanh Toán ("&amp;Q$3&amp;")'!$e:$e"),INDIRECT("'Thanh Toán ("&amp;Q$3&amp;")'!$B:$B"),'Tổng Đơn'!$B48),0)</f>
        <v>0</v>
      </c>
      <c r="R48" s="2">
        <f ca="1">IFERROR(SUMIFS(INDIRECT("'Thanh Toán ("&amp;R$3&amp;")'!$e:$e"),INDIRECT("'Thanh Toán ("&amp;R$3&amp;")'!$B:$B"),'Tổng Đơn'!$B48),0)</f>
        <v>0</v>
      </c>
      <c r="S48" s="2">
        <f ca="1">IFERROR(SUMIFS(INDIRECT("'Thanh Toán ("&amp;S$3&amp;")'!$e:$e"),INDIRECT("'Thanh Toán ("&amp;S$3&amp;")'!$B:$B"),'Tổng Đơn'!$B48),0)</f>
        <v>0</v>
      </c>
      <c r="T48" s="2">
        <f ca="1">IFERROR(SUMIFS(INDIRECT("'Thanh Toán ("&amp;T$3&amp;")'!$e:$e"),INDIRECT("'Thanh Toán ("&amp;T$3&amp;")'!$B:$B"),'Tổng Đơn'!$B48),0)</f>
        <v>1</v>
      </c>
      <c r="U48" s="2">
        <f ca="1">IFERROR(SUMIFS(INDIRECT("'Thanh Toán ("&amp;U$3&amp;")'!$e:$e"),INDIRECT("'Thanh Toán ("&amp;U$3&amp;")'!$B:$B"),'Tổng Đơn'!$B48),0)</f>
        <v>0</v>
      </c>
      <c r="V48" s="2">
        <f ca="1">IFERROR(SUMIFS(INDIRECT("'Thanh Toán ("&amp;V$3&amp;")'!$e:$e"),INDIRECT("'Thanh Toán ("&amp;V$3&amp;")'!$B:$B"),'Tổng Đơn'!$B48),0)</f>
        <v>0</v>
      </c>
      <c r="W48" s="2">
        <f ca="1">IFERROR(SUMIFS(INDIRECT("'Thanh Toán ("&amp;W$3&amp;")'!$e:$e"),INDIRECT("'Thanh Toán ("&amp;W$3&amp;")'!$B:$B"),'Tổng Đơn'!$B48),0)</f>
        <v>0</v>
      </c>
      <c r="X48" s="2">
        <f ca="1">IFERROR(SUMIFS(INDIRECT("'Thanh Toán ("&amp;X$3&amp;")'!$e:$e"),INDIRECT("'Thanh Toán ("&amp;X$3&amp;")'!$B:$B"),'Tổng Đơn'!$B48),0)</f>
        <v>0</v>
      </c>
      <c r="Y48" s="2">
        <f ca="1">IFERROR(SUMIFS(INDIRECT("'Thanh Toán ("&amp;Y$3&amp;")'!$e:$e"),INDIRECT("'Thanh Toán ("&amp;Y$3&amp;")'!$B:$B"),'Tổng Đơn'!$B48),0)</f>
        <v>0</v>
      </c>
      <c r="Z48" s="2">
        <f ca="1">IFERROR(SUMIFS(INDIRECT("'Thanh Toán ("&amp;Z$3&amp;")'!$e:$e"),INDIRECT("'Thanh Toán ("&amp;Z$3&amp;")'!$B:$B"),'Tổng Đơn'!$B48),0)</f>
        <v>0</v>
      </c>
      <c r="AA48" s="2">
        <f ca="1">IFERROR(SUMIFS(INDIRECT("'Thanh Toán ("&amp;AA$3&amp;")'!$e:$e"),INDIRECT("'Thanh Toán ("&amp;AA$3&amp;")'!$B:$B"),'Tổng Đơn'!$B48),0)</f>
        <v>0</v>
      </c>
      <c r="AB48" s="2">
        <f ca="1">IFERROR(SUMIFS(INDIRECT("'Thanh Toán ("&amp;AB$3&amp;")'!$e:$e"),INDIRECT("'Thanh Toán ("&amp;AB$3&amp;")'!$B:$B"),'Tổng Đơn'!$B48),0)</f>
        <v>0</v>
      </c>
      <c r="AC48" s="2">
        <f ca="1">IFERROR(SUMIFS(INDIRECT("'Thanh Toán ("&amp;AC$3&amp;")'!$e:$e"),INDIRECT("'Thanh Toán ("&amp;AC$3&amp;")'!$B:$B"),'Tổng Đơn'!$B48),0)</f>
        <v>0</v>
      </c>
      <c r="AD48" s="2">
        <f ca="1">IFERROR(SUMIFS(INDIRECT("'Thanh Toán ("&amp;AD$3&amp;")'!$e:$e"),INDIRECT("'Thanh Toán ("&amp;AD$3&amp;")'!$B:$B"),'Tổng Đơn'!$B48),0)</f>
        <v>0</v>
      </c>
      <c r="AE48" s="2">
        <f ca="1">IFERROR(SUMIFS(INDIRECT("'Thanh Toán ("&amp;AE$3&amp;")'!$e:$e"),INDIRECT("'Thanh Toán ("&amp;AE$3&amp;")'!$B:$B"),'Tổng Đơn'!$B48),0)</f>
        <v>0</v>
      </c>
      <c r="AF48" s="2">
        <f ca="1">IFERROR(SUMIFS(INDIRECT("'Thanh Toán ("&amp;AF$3&amp;")'!$e:$e"),INDIRECT("'Thanh Toán ("&amp;AF$3&amp;")'!$B:$B"),'Tổng Đơn'!$B48),0)</f>
        <v>0</v>
      </c>
      <c r="AG48" s="2">
        <f ca="1">IFERROR(SUMIFS(INDIRECT("'Thanh Toán ("&amp;AG$3&amp;")'!$e:$e"),INDIRECT("'Thanh Toán ("&amp;AG$3&amp;")'!$B:$B"),'Tổng Đơn'!$B48),0)</f>
        <v>0</v>
      </c>
      <c r="AH48" s="2">
        <f ca="1">IFERROR(SUMIFS(INDIRECT("'Thanh Toán ("&amp;AH$3&amp;")'!$e:$e"),INDIRECT("'Thanh Toán ("&amp;AH$3&amp;")'!$B:$B"),'Tổng Đơn'!$B48),0)</f>
        <v>0</v>
      </c>
      <c r="AI48" s="2">
        <f ca="1">IFERROR(SUMIFS(INDIRECT("'Thanh Toán ("&amp;AI$3&amp;")'!$e:$e"),INDIRECT("'Thanh Toán ("&amp;AI$3&amp;")'!$B:$B"),'Tổng Đơn'!$B48),0)</f>
        <v>0</v>
      </c>
      <c r="AJ48" s="2">
        <f ca="1">IFERROR(SUMIFS(INDIRECT("'Thanh Toán ("&amp;AJ$3&amp;")'!$e:$e"),INDIRECT("'Thanh Toán ("&amp;AJ$3&amp;")'!$B:$B"),'Tổng Đơn'!$B48),0)</f>
        <v>0</v>
      </c>
      <c r="AK48" s="2">
        <f ca="1">IFERROR(SUMIFS(INDIRECT("'Thanh Toán ("&amp;AK$3&amp;")'!$e:$e"),INDIRECT("'Thanh Toán ("&amp;AK$3&amp;")'!$B:$B"),'Tổng Đơn'!$B48),0)</f>
        <v>0</v>
      </c>
      <c r="AL48" s="2">
        <f ca="1">IFERROR(SUMIFS(INDIRECT("'Thanh Toán ("&amp;AL$3&amp;")'!$e:$e"),INDIRECT("'Thanh Toán ("&amp;AL$3&amp;")'!$B:$B"),'Tổng Đơn'!$B48),0)</f>
        <v>0</v>
      </c>
      <c r="AM48" s="2">
        <f ca="1">IFERROR(SUMIFS(INDIRECT("'Thanh Toán ("&amp;AM$3&amp;")'!$e:$e"),INDIRECT("'Thanh Toán ("&amp;AM$3&amp;")'!$B:$B"),'Tổng Đơn'!$B48),0)</f>
        <v>0</v>
      </c>
      <c r="AN48" s="2">
        <f ca="1">IFERROR(SUMIFS(INDIRECT("'Thanh Toán ("&amp;AN$3&amp;")'!$e:$e"),INDIRECT("'Thanh Toán ("&amp;AN$3&amp;")'!$B:$B"),'Tổng Đơn'!$B48),0)</f>
        <v>0</v>
      </c>
      <c r="AO48" s="2">
        <f ca="1">IFERROR(SUMIFS(INDIRECT("'Thanh Toán ("&amp;AO$3&amp;")'!$e:$e"),INDIRECT("'Thanh Toán ("&amp;AO$3&amp;")'!$B:$B"),'Tổng Đơn'!$B48),0)</f>
        <v>0</v>
      </c>
    </row>
    <row r="49" spans="1:41" ht="15.75" customHeight="1" x14ac:dyDescent="0.25">
      <c r="A49" s="23">
        <v>45</v>
      </c>
      <c r="B49" s="44" t="s">
        <v>53</v>
      </c>
      <c r="C49" s="23" t="s">
        <v>105</v>
      </c>
      <c r="D49" s="45">
        <f>VLOOKUP($C49,Sheet1!$C$3:$D$52,2,0)</f>
        <v>54000</v>
      </c>
      <c r="E49" s="63">
        <v>0.5</v>
      </c>
      <c r="F49" s="61">
        <f t="shared" ca="1" si="1"/>
        <v>2</v>
      </c>
      <c r="G49" s="61">
        <v>45</v>
      </c>
      <c r="H49" s="61">
        <f t="shared" ca="1" si="2"/>
        <v>18000</v>
      </c>
      <c r="I49" s="61"/>
      <c r="J49" s="61">
        <f t="shared" ca="1" si="3"/>
        <v>108000</v>
      </c>
      <c r="K49" s="61"/>
      <c r="L49" s="2">
        <f ca="1">IFERROR(SUMIFS(INDIRECT("'Thanh Toán ("&amp;L$3&amp;")'!$e:$e"),INDIRECT("'Thanh Toán ("&amp;L$3&amp;")'!$B:$B"),'Tổng Đơn'!$B49),0)</f>
        <v>0</v>
      </c>
      <c r="M49" s="2">
        <f ca="1">IFERROR(SUMIFS(INDIRECT("'Thanh Toán ("&amp;M$3&amp;")'!$e:$e"),INDIRECT("'Thanh Toán ("&amp;M$3&amp;")'!$B:$B"),'Tổng Đơn'!$B49),0)</f>
        <v>0</v>
      </c>
      <c r="N49" s="2">
        <f ca="1">IFERROR(SUMIFS(INDIRECT("'Thanh Toán ("&amp;N$3&amp;")'!$e:$e"),INDIRECT("'Thanh Toán ("&amp;N$3&amp;")'!$B:$B"),'Tổng Đơn'!$B49),0)</f>
        <v>1</v>
      </c>
      <c r="O49" s="2">
        <f ca="1">IFERROR(SUMIFS(INDIRECT("'Thanh Toán ("&amp;O$3&amp;")'!$e:$e"),INDIRECT("'Thanh Toán ("&amp;O$3&amp;")'!$B:$B"),'Tổng Đơn'!$B49),0)</f>
        <v>0</v>
      </c>
      <c r="P49" s="2">
        <f ca="1">IFERROR(SUMIFS(INDIRECT("'Thanh Toán ("&amp;P$3&amp;")'!$e:$e"),INDIRECT("'Thanh Toán ("&amp;P$3&amp;")'!$B:$B"),'Tổng Đơn'!$B49),0)</f>
        <v>0</v>
      </c>
      <c r="Q49" s="2">
        <f ca="1">IFERROR(SUMIFS(INDIRECT("'Thanh Toán ("&amp;Q$3&amp;")'!$e:$e"),INDIRECT("'Thanh Toán ("&amp;Q$3&amp;")'!$B:$B"),'Tổng Đơn'!$B49),0)</f>
        <v>0</v>
      </c>
      <c r="R49" s="2">
        <f ca="1">IFERROR(SUMIFS(INDIRECT("'Thanh Toán ("&amp;R$3&amp;")'!$e:$e"),INDIRECT("'Thanh Toán ("&amp;R$3&amp;")'!$B:$B"),'Tổng Đơn'!$B49),0)</f>
        <v>0</v>
      </c>
      <c r="S49" s="2">
        <f ca="1">IFERROR(SUMIFS(INDIRECT("'Thanh Toán ("&amp;S$3&amp;")'!$e:$e"),INDIRECT("'Thanh Toán ("&amp;S$3&amp;")'!$B:$B"),'Tổng Đơn'!$B49),0)</f>
        <v>0</v>
      </c>
      <c r="T49" s="2">
        <f ca="1">IFERROR(SUMIFS(INDIRECT("'Thanh Toán ("&amp;T$3&amp;")'!$e:$e"),INDIRECT("'Thanh Toán ("&amp;T$3&amp;")'!$B:$B"),'Tổng Đơn'!$B49),0)</f>
        <v>0</v>
      </c>
      <c r="U49" s="2">
        <f ca="1">IFERROR(SUMIFS(INDIRECT("'Thanh Toán ("&amp;U$3&amp;")'!$e:$e"),INDIRECT("'Thanh Toán ("&amp;U$3&amp;")'!$B:$B"),'Tổng Đơn'!$B49),0)</f>
        <v>1</v>
      </c>
      <c r="V49" s="2">
        <f ca="1">IFERROR(SUMIFS(INDIRECT("'Thanh Toán ("&amp;V$3&amp;")'!$e:$e"),INDIRECT("'Thanh Toán ("&amp;V$3&amp;")'!$B:$B"),'Tổng Đơn'!$B49),0)</f>
        <v>0</v>
      </c>
      <c r="W49" s="2">
        <f ca="1">IFERROR(SUMIFS(INDIRECT("'Thanh Toán ("&amp;W$3&amp;")'!$e:$e"),INDIRECT("'Thanh Toán ("&amp;W$3&amp;")'!$B:$B"),'Tổng Đơn'!$B49),0)</f>
        <v>0</v>
      </c>
      <c r="X49" s="2">
        <f ca="1">IFERROR(SUMIFS(INDIRECT("'Thanh Toán ("&amp;X$3&amp;")'!$e:$e"),INDIRECT("'Thanh Toán ("&amp;X$3&amp;")'!$B:$B"),'Tổng Đơn'!$B49),0)</f>
        <v>0</v>
      </c>
      <c r="Y49" s="2">
        <f ca="1">IFERROR(SUMIFS(INDIRECT("'Thanh Toán ("&amp;Y$3&amp;")'!$e:$e"),INDIRECT("'Thanh Toán ("&amp;Y$3&amp;")'!$B:$B"),'Tổng Đơn'!$B49),0)</f>
        <v>0</v>
      </c>
      <c r="Z49" s="2">
        <f ca="1">IFERROR(SUMIFS(INDIRECT("'Thanh Toán ("&amp;Z$3&amp;")'!$e:$e"),INDIRECT("'Thanh Toán ("&amp;Z$3&amp;")'!$B:$B"),'Tổng Đơn'!$B49),0)</f>
        <v>0</v>
      </c>
      <c r="AA49" s="2">
        <f ca="1">IFERROR(SUMIFS(INDIRECT("'Thanh Toán ("&amp;AA$3&amp;")'!$e:$e"),INDIRECT("'Thanh Toán ("&amp;AA$3&amp;")'!$B:$B"),'Tổng Đơn'!$B49),0)</f>
        <v>0</v>
      </c>
      <c r="AB49" s="2">
        <f ca="1">IFERROR(SUMIFS(INDIRECT("'Thanh Toán ("&amp;AB$3&amp;")'!$e:$e"),INDIRECT("'Thanh Toán ("&amp;AB$3&amp;")'!$B:$B"),'Tổng Đơn'!$B49),0)</f>
        <v>0</v>
      </c>
      <c r="AC49" s="2">
        <f ca="1">IFERROR(SUMIFS(INDIRECT("'Thanh Toán ("&amp;AC$3&amp;")'!$e:$e"),INDIRECT("'Thanh Toán ("&amp;AC$3&amp;")'!$B:$B"),'Tổng Đơn'!$B49),0)</f>
        <v>0</v>
      </c>
      <c r="AD49" s="2">
        <f ca="1">IFERROR(SUMIFS(INDIRECT("'Thanh Toán ("&amp;AD$3&amp;")'!$e:$e"),INDIRECT("'Thanh Toán ("&amp;AD$3&amp;")'!$B:$B"),'Tổng Đơn'!$B49),0)</f>
        <v>0</v>
      </c>
      <c r="AE49" s="2">
        <f ca="1">IFERROR(SUMIFS(INDIRECT("'Thanh Toán ("&amp;AE$3&amp;")'!$e:$e"),INDIRECT("'Thanh Toán ("&amp;AE$3&amp;")'!$B:$B"),'Tổng Đơn'!$B49),0)</f>
        <v>0</v>
      </c>
      <c r="AF49" s="2">
        <f ca="1">IFERROR(SUMIFS(INDIRECT("'Thanh Toán ("&amp;AF$3&amp;")'!$e:$e"),INDIRECT("'Thanh Toán ("&amp;AF$3&amp;")'!$B:$B"),'Tổng Đơn'!$B49),0)</f>
        <v>0</v>
      </c>
      <c r="AG49" s="2">
        <f ca="1">IFERROR(SUMIFS(INDIRECT("'Thanh Toán ("&amp;AG$3&amp;")'!$e:$e"),INDIRECT("'Thanh Toán ("&amp;AG$3&amp;")'!$B:$B"),'Tổng Đơn'!$B49),0)</f>
        <v>0</v>
      </c>
      <c r="AH49" s="2">
        <f ca="1">IFERROR(SUMIFS(INDIRECT("'Thanh Toán ("&amp;AH$3&amp;")'!$e:$e"),INDIRECT("'Thanh Toán ("&amp;AH$3&amp;")'!$B:$B"),'Tổng Đơn'!$B49),0)</f>
        <v>0</v>
      </c>
      <c r="AI49" s="2">
        <f ca="1">IFERROR(SUMIFS(INDIRECT("'Thanh Toán ("&amp;AI$3&amp;")'!$e:$e"),INDIRECT("'Thanh Toán ("&amp;AI$3&amp;")'!$B:$B"),'Tổng Đơn'!$B49),0)</f>
        <v>0</v>
      </c>
      <c r="AJ49" s="2">
        <f ca="1">IFERROR(SUMIFS(INDIRECT("'Thanh Toán ("&amp;AJ$3&amp;")'!$e:$e"),INDIRECT("'Thanh Toán ("&amp;AJ$3&amp;")'!$B:$B"),'Tổng Đơn'!$B49),0)</f>
        <v>0</v>
      </c>
      <c r="AK49" s="2">
        <f ca="1">IFERROR(SUMIFS(INDIRECT("'Thanh Toán ("&amp;AK$3&amp;")'!$e:$e"),INDIRECT("'Thanh Toán ("&amp;AK$3&amp;")'!$B:$B"),'Tổng Đơn'!$B49),0)</f>
        <v>0</v>
      </c>
      <c r="AL49" s="2">
        <f ca="1">IFERROR(SUMIFS(INDIRECT("'Thanh Toán ("&amp;AL$3&amp;")'!$e:$e"),INDIRECT("'Thanh Toán ("&amp;AL$3&amp;")'!$B:$B"),'Tổng Đơn'!$B49),0)</f>
        <v>0</v>
      </c>
      <c r="AM49" s="2">
        <f ca="1">IFERROR(SUMIFS(INDIRECT("'Thanh Toán ("&amp;AM$3&amp;")'!$e:$e"),INDIRECT("'Thanh Toán ("&amp;AM$3&amp;")'!$B:$B"),'Tổng Đơn'!$B49),0)</f>
        <v>0</v>
      </c>
      <c r="AN49" s="2">
        <f ca="1">IFERROR(SUMIFS(INDIRECT("'Thanh Toán ("&amp;AN$3&amp;")'!$e:$e"),INDIRECT("'Thanh Toán ("&amp;AN$3&amp;")'!$B:$B"),'Tổng Đơn'!$B49),0)</f>
        <v>0</v>
      </c>
      <c r="AO49" s="2">
        <f ca="1">IFERROR(SUMIFS(INDIRECT("'Thanh Toán ("&amp;AO$3&amp;")'!$e:$e"),INDIRECT("'Thanh Toán ("&amp;AO$3&amp;")'!$B:$B"),'Tổng Đơn'!$B49),0)</f>
        <v>0</v>
      </c>
    </row>
    <row r="50" spans="1:41" x14ac:dyDescent="0.25">
      <c r="A50" s="23">
        <v>46</v>
      </c>
      <c r="B50" s="44" t="s">
        <v>47</v>
      </c>
      <c r="C50" s="23" t="s">
        <v>106</v>
      </c>
      <c r="D50" s="45">
        <f>VLOOKUP($C50,Sheet1!$C$3:$D$52,2,0)</f>
        <v>59000</v>
      </c>
      <c r="E50" s="63">
        <v>0.5</v>
      </c>
      <c r="F50" s="61">
        <f t="shared" ca="1" si="1"/>
        <v>0</v>
      </c>
      <c r="G50" s="61">
        <v>49</v>
      </c>
      <c r="H50" s="61">
        <f t="shared" ca="1" si="2"/>
        <v>0</v>
      </c>
      <c r="I50" s="61"/>
      <c r="J50" s="61">
        <f t="shared" ca="1" si="3"/>
        <v>0</v>
      </c>
      <c r="K50" s="61"/>
      <c r="L50" s="2">
        <f ca="1">IFERROR(SUMIFS(INDIRECT("'Thanh Toán ("&amp;L$3&amp;")'!$e:$e"),INDIRECT("'Thanh Toán ("&amp;L$3&amp;")'!$B:$B"),'Tổng Đơn'!$B50),0)</f>
        <v>0</v>
      </c>
      <c r="M50" s="2">
        <f ca="1">IFERROR(SUMIFS(INDIRECT("'Thanh Toán ("&amp;M$3&amp;")'!$e:$e"),INDIRECT("'Thanh Toán ("&amp;M$3&amp;")'!$B:$B"),'Tổng Đơn'!$B50),0)</f>
        <v>0</v>
      </c>
      <c r="N50" s="2">
        <f ca="1">IFERROR(SUMIFS(INDIRECT("'Thanh Toán ("&amp;N$3&amp;")'!$e:$e"),INDIRECT("'Thanh Toán ("&amp;N$3&amp;")'!$B:$B"),'Tổng Đơn'!$B50),0)</f>
        <v>0</v>
      </c>
      <c r="O50" s="2">
        <f ca="1">IFERROR(SUMIFS(INDIRECT("'Thanh Toán ("&amp;O$3&amp;")'!$e:$e"),INDIRECT("'Thanh Toán ("&amp;O$3&amp;")'!$B:$B"),'Tổng Đơn'!$B50),0)</f>
        <v>0</v>
      </c>
      <c r="P50" s="2">
        <f ca="1">IFERROR(SUMIFS(INDIRECT("'Thanh Toán ("&amp;P$3&amp;")'!$e:$e"),INDIRECT("'Thanh Toán ("&amp;P$3&amp;")'!$B:$B"),'Tổng Đơn'!$B50),0)</f>
        <v>0</v>
      </c>
      <c r="Q50" s="2">
        <f ca="1">IFERROR(SUMIFS(INDIRECT("'Thanh Toán ("&amp;Q$3&amp;")'!$e:$e"),INDIRECT("'Thanh Toán ("&amp;Q$3&amp;")'!$B:$B"),'Tổng Đơn'!$B50),0)</f>
        <v>0</v>
      </c>
      <c r="R50" s="2">
        <f ca="1">IFERROR(SUMIFS(INDIRECT("'Thanh Toán ("&amp;R$3&amp;")'!$e:$e"),INDIRECT("'Thanh Toán ("&amp;R$3&amp;")'!$B:$B"),'Tổng Đơn'!$B50),0)</f>
        <v>0</v>
      </c>
      <c r="S50" s="2">
        <f ca="1">IFERROR(SUMIFS(INDIRECT("'Thanh Toán ("&amp;S$3&amp;")'!$e:$e"),INDIRECT("'Thanh Toán ("&amp;S$3&amp;")'!$B:$B"),'Tổng Đơn'!$B50),0)</f>
        <v>0</v>
      </c>
      <c r="T50" s="2">
        <f ca="1">IFERROR(SUMIFS(INDIRECT("'Thanh Toán ("&amp;T$3&amp;")'!$e:$e"),INDIRECT("'Thanh Toán ("&amp;T$3&amp;")'!$B:$B"),'Tổng Đơn'!$B50),0)</f>
        <v>0</v>
      </c>
      <c r="U50" s="2">
        <f ca="1">IFERROR(SUMIFS(INDIRECT("'Thanh Toán ("&amp;U$3&amp;")'!$e:$e"),INDIRECT("'Thanh Toán ("&amp;U$3&amp;")'!$B:$B"),'Tổng Đơn'!$B50),0)</f>
        <v>0</v>
      </c>
      <c r="V50" s="2">
        <f ca="1">IFERROR(SUMIFS(INDIRECT("'Thanh Toán ("&amp;V$3&amp;")'!$e:$e"),INDIRECT("'Thanh Toán ("&amp;V$3&amp;")'!$B:$B"),'Tổng Đơn'!$B50),0)</f>
        <v>0</v>
      </c>
      <c r="W50" s="2">
        <f ca="1">IFERROR(SUMIFS(INDIRECT("'Thanh Toán ("&amp;W$3&amp;")'!$e:$e"),INDIRECT("'Thanh Toán ("&amp;W$3&amp;")'!$B:$B"),'Tổng Đơn'!$B50),0)</f>
        <v>0</v>
      </c>
      <c r="X50" s="2">
        <f ca="1">IFERROR(SUMIFS(INDIRECT("'Thanh Toán ("&amp;X$3&amp;")'!$e:$e"),INDIRECT("'Thanh Toán ("&amp;X$3&amp;")'!$B:$B"),'Tổng Đơn'!$B50),0)</f>
        <v>0</v>
      </c>
      <c r="Y50" s="2">
        <f ca="1">IFERROR(SUMIFS(INDIRECT("'Thanh Toán ("&amp;Y$3&amp;")'!$e:$e"),INDIRECT("'Thanh Toán ("&amp;Y$3&amp;")'!$B:$B"),'Tổng Đơn'!$B50),0)</f>
        <v>0</v>
      </c>
      <c r="Z50" s="2">
        <f ca="1">IFERROR(SUMIFS(INDIRECT("'Thanh Toán ("&amp;Z$3&amp;")'!$e:$e"),INDIRECT("'Thanh Toán ("&amp;Z$3&amp;")'!$B:$B"),'Tổng Đơn'!$B50),0)</f>
        <v>0</v>
      </c>
      <c r="AA50" s="2">
        <f ca="1">IFERROR(SUMIFS(INDIRECT("'Thanh Toán ("&amp;AA$3&amp;")'!$e:$e"),INDIRECT("'Thanh Toán ("&amp;AA$3&amp;")'!$B:$B"),'Tổng Đơn'!$B50),0)</f>
        <v>0</v>
      </c>
      <c r="AB50" s="2">
        <f ca="1">IFERROR(SUMIFS(INDIRECT("'Thanh Toán ("&amp;AB$3&amp;")'!$e:$e"),INDIRECT("'Thanh Toán ("&amp;AB$3&amp;")'!$B:$B"),'Tổng Đơn'!$B50),0)</f>
        <v>0</v>
      </c>
      <c r="AC50" s="2">
        <f ca="1">IFERROR(SUMIFS(INDIRECT("'Thanh Toán ("&amp;AC$3&amp;")'!$e:$e"),INDIRECT("'Thanh Toán ("&amp;AC$3&amp;")'!$B:$B"),'Tổng Đơn'!$B50),0)</f>
        <v>0</v>
      </c>
      <c r="AD50" s="2">
        <f ca="1">IFERROR(SUMIFS(INDIRECT("'Thanh Toán ("&amp;AD$3&amp;")'!$e:$e"),INDIRECT("'Thanh Toán ("&amp;AD$3&amp;")'!$B:$B"),'Tổng Đơn'!$B50),0)</f>
        <v>0</v>
      </c>
      <c r="AE50" s="2">
        <f ca="1">IFERROR(SUMIFS(INDIRECT("'Thanh Toán ("&amp;AE$3&amp;")'!$e:$e"),INDIRECT("'Thanh Toán ("&amp;AE$3&amp;")'!$B:$B"),'Tổng Đơn'!$B50),0)</f>
        <v>0</v>
      </c>
      <c r="AF50" s="2">
        <f ca="1">IFERROR(SUMIFS(INDIRECT("'Thanh Toán ("&amp;AF$3&amp;")'!$e:$e"),INDIRECT("'Thanh Toán ("&amp;AF$3&amp;")'!$B:$B"),'Tổng Đơn'!$B50),0)</f>
        <v>0</v>
      </c>
      <c r="AG50" s="2">
        <f ca="1">IFERROR(SUMIFS(INDIRECT("'Thanh Toán ("&amp;AG$3&amp;")'!$e:$e"),INDIRECT("'Thanh Toán ("&amp;AG$3&amp;")'!$B:$B"),'Tổng Đơn'!$B50),0)</f>
        <v>0</v>
      </c>
      <c r="AH50" s="2">
        <f ca="1">IFERROR(SUMIFS(INDIRECT("'Thanh Toán ("&amp;AH$3&amp;")'!$e:$e"),INDIRECT("'Thanh Toán ("&amp;AH$3&amp;")'!$B:$B"),'Tổng Đơn'!$B50),0)</f>
        <v>0</v>
      </c>
      <c r="AI50" s="2">
        <f ca="1">IFERROR(SUMIFS(INDIRECT("'Thanh Toán ("&amp;AI$3&amp;")'!$e:$e"),INDIRECT("'Thanh Toán ("&amp;AI$3&amp;")'!$B:$B"),'Tổng Đơn'!$B50),0)</f>
        <v>0</v>
      </c>
      <c r="AJ50" s="2">
        <f ca="1">IFERROR(SUMIFS(INDIRECT("'Thanh Toán ("&amp;AJ$3&amp;")'!$e:$e"),INDIRECT("'Thanh Toán ("&amp;AJ$3&amp;")'!$B:$B"),'Tổng Đơn'!$B50),0)</f>
        <v>0</v>
      </c>
      <c r="AK50" s="2">
        <f ca="1">IFERROR(SUMIFS(INDIRECT("'Thanh Toán ("&amp;AK$3&amp;")'!$e:$e"),INDIRECT("'Thanh Toán ("&amp;AK$3&amp;")'!$B:$B"),'Tổng Đơn'!$B50),0)</f>
        <v>0</v>
      </c>
      <c r="AL50" s="2">
        <f ca="1">IFERROR(SUMIFS(INDIRECT("'Thanh Toán ("&amp;AL$3&amp;")'!$e:$e"),INDIRECT("'Thanh Toán ("&amp;AL$3&amp;")'!$B:$B"),'Tổng Đơn'!$B50),0)</f>
        <v>0</v>
      </c>
      <c r="AM50" s="2">
        <f ca="1">IFERROR(SUMIFS(INDIRECT("'Thanh Toán ("&amp;AM$3&amp;")'!$e:$e"),INDIRECT("'Thanh Toán ("&amp;AM$3&amp;")'!$B:$B"),'Tổng Đơn'!$B50),0)</f>
        <v>0</v>
      </c>
      <c r="AN50" s="2">
        <f ca="1">IFERROR(SUMIFS(INDIRECT("'Thanh Toán ("&amp;AN$3&amp;")'!$e:$e"),INDIRECT("'Thanh Toán ("&amp;AN$3&amp;")'!$B:$B"),'Tổng Đơn'!$B50),0)</f>
        <v>0</v>
      </c>
      <c r="AO50" s="2">
        <f ca="1">IFERROR(SUMIFS(INDIRECT("'Thanh Toán ("&amp;AO$3&amp;")'!$e:$e"),INDIRECT("'Thanh Toán ("&amp;AO$3&amp;")'!$B:$B"),'Tổng Đơn'!$B50),0)</f>
        <v>0</v>
      </c>
    </row>
    <row r="51" spans="1:41" x14ac:dyDescent="0.25">
      <c r="A51" s="23">
        <v>47</v>
      </c>
      <c r="B51" s="44" t="s">
        <v>143</v>
      </c>
      <c r="C51" s="23" t="s">
        <v>127</v>
      </c>
      <c r="D51" s="45">
        <f>VLOOKUP($C51,Sheet1!$C$3:$D$52,2,0)</f>
        <v>42000</v>
      </c>
      <c r="E51" s="63">
        <v>0.5</v>
      </c>
      <c r="F51" s="61">
        <f t="shared" ca="1" si="1"/>
        <v>0</v>
      </c>
      <c r="G51" s="61">
        <v>31</v>
      </c>
      <c r="H51" s="61">
        <f t="shared" ca="1" si="2"/>
        <v>0</v>
      </c>
      <c r="I51" s="61"/>
      <c r="J51" s="61">
        <f t="shared" ca="1" si="3"/>
        <v>0</v>
      </c>
      <c r="K51" s="61"/>
      <c r="L51" s="2">
        <f ca="1">IFERROR(SUMIFS(INDIRECT("'Thanh Toán ("&amp;L$3&amp;")'!$e:$e"),INDIRECT("'Thanh Toán ("&amp;L$3&amp;")'!$B:$B"),'Tổng Đơn'!$B51),0)</f>
        <v>0</v>
      </c>
      <c r="M51" s="2">
        <f ca="1">IFERROR(SUMIFS(INDIRECT("'Thanh Toán ("&amp;M$3&amp;")'!$e:$e"),INDIRECT("'Thanh Toán ("&amp;M$3&amp;")'!$B:$B"),'Tổng Đơn'!$B51),0)</f>
        <v>0</v>
      </c>
      <c r="N51" s="2">
        <f ca="1">IFERROR(SUMIFS(INDIRECT("'Thanh Toán ("&amp;N$3&amp;")'!$e:$e"),INDIRECT("'Thanh Toán ("&amp;N$3&amp;")'!$B:$B"),'Tổng Đơn'!$B51),0)</f>
        <v>0</v>
      </c>
      <c r="O51" s="2">
        <f ca="1">IFERROR(SUMIFS(INDIRECT("'Thanh Toán ("&amp;O$3&amp;")'!$e:$e"),INDIRECT("'Thanh Toán ("&amp;O$3&amp;")'!$B:$B"),'Tổng Đơn'!$B51),0)</f>
        <v>0</v>
      </c>
      <c r="P51" s="2">
        <f ca="1">IFERROR(SUMIFS(INDIRECT("'Thanh Toán ("&amp;P$3&amp;")'!$e:$e"),INDIRECT("'Thanh Toán ("&amp;P$3&amp;")'!$B:$B"),'Tổng Đơn'!$B51),0)</f>
        <v>0</v>
      </c>
      <c r="Q51" s="2">
        <f ca="1">IFERROR(SUMIFS(INDIRECT("'Thanh Toán ("&amp;Q$3&amp;")'!$e:$e"),INDIRECT("'Thanh Toán ("&amp;Q$3&amp;")'!$B:$B"),'Tổng Đơn'!$B51),0)</f>
        <v>0</v>
      </c>
      <c r="R51" s="2">
        <f ca="1">IFERROR(SUMIFS(INDIRECT("'Thanh Toán ("&amp;R$3&amp;")'!$e:$e"),INDIRECT("'Thanh Toán ("&amp;R$3&amp;")'!$B:$B"),'Tổng Đơn'!$B51),0)</f>
        <v>0</v>
      </c>
      <c r="S51" s="2">
        <f ca="1">IFERROR(SUMIFS(INDIRECT("'Thanh Toán ("&amp;S$3&amp;")'!$e:$e"),INDIRECT("'Thanh Toán ("&amp;S$3&amp;")'!$B:$B"),'Tổng Đơn'!$B51),0)</f>
        <v>0</v>
      </c>
      <c r="T51" s="2">
        <f ca="1">IFERROR(SUMIFS(INDIRECT("'Thanh Toán ("&amp;T$3&amp;")'!$e:$e"),INDIRECT("'Thanh Toán ("&amp;T$3&amp;")'!$B:$B"),'Tổng Đơn'!$B51),0)</f>
        <v>0</v>
      </c>
      <c r="U51" s="2">
        <f ca="1">IFERROR(SUMIFS(INDIRECT("'Thanh Toán ("&amp;U$3&amp;")'!$e:$e"),INDIRECT("'Thanh Toán ("&amp;U$3&amp;")'!$B:$B"),'Tổng Đơn'!$B51),0)</f>
        <v>0</v>
      </c>
      <c r="V51" s="2">
        <f ca="1">IFERROR(SUMIFS(INDIRECT("'Thanh Toán ("&amp;V$3&amp;")'!$e:$e"),INDIRECT("'Thanh Toán ("&amp;V$3&amp;")'!$B:$B"),'Tổng Đơn'!$B51),0)</f>
        <v>0</v>
      </c>
      <c r="W51" s="2">
        <f ca="1">IFERROR(SUMIFS(INDIRECT("'Thanh Toán ("&amp;W$3&amp;")'!$e:$e"),INDIRECT("'Thanh Toán ("&amp;W$3&amp;")'!$B:$B"),'Tổng Đơn'!$B51),0)</f>
        <v>0</v>
      </c>
      <c r="X51" s="2">
        <f ca="1">IFERROR(SUMIFS(INDIRECT("'Thanh Toán ("&amp;X$3&amp;")'!$e:$e"),INDIRECT("'Thanh Toán ("&amp;X$3&amp;")'!$B:$B"),'Tổng Đơn'!$B51),0)</f>
        <v>0</v>
      </c>
      <c r="Y51" s="2">
        <f ca="1">IFERROR(SUMIFS(INDIRECT("'Thanh Toán ("&amp;Y$3&amp;")'!$e:$e"),INDIRECT("'Thanh Toán ("&amp;Y$3&amp;")'!$B:$B"),'Tổng Đơn'!$B51),0)</f>
        <v>0</v>
      </c>
      <c r="Z51" s="2">
        <f ca="1">IFERROR(SUMIFS(INDIRECT("'Thanh Toán ("&amp;Z$3&amp;")'!$e:$e"),INDIRECT("'Thanh Toán ("&amp;Z$3&amp;")'!$B:$B"),'Tổng Đơn'!$B51),0)</f>
        <v>0</v>
      </c>
      <c r="AA51" s="2">
        <f ca="1">IFERROR(SUMIFS(INDIRECT("'Thanh Toán ("&amp;AA$3&amp;")'!$e:$e"),INDIRECT("'Thanh Toán ("&amp;AA$3&amp;")'!$B:$B"),'Tổng Đơn'!$B51),0)</f>
        <v>0</v>
      </c>
      <c r="AB51" s="2">
        <f ca="1">IFERROR(SUMIFS(INDIRECT("'Thanh Toán ("&amp;AB$3&amp;")'!$e:$e"),INDIRECT("'Thanh Toán ("&amp;AB$3&amp;")'!$B:$B"),'Tổng Đơn'!$B51),0)</f>
        <v>0</v>
      </c>
      <c r="AC51" s="2">
        <f ca="1">IFERROR(SUMIFS(INDIRECT("'Thanh Toán ("&amp;AC$3&amp;")'!$e:$e"),INDIRECT("'Thanh Toán ("&amp;AC$3&amp;")'!$B:$B"),'Tổng Đơn'!$B51),0)</f>
        <v>0</v>
      </c>
      <c r="AD51" s="2">
        <f ca="1">IFERROR(SUMIFS(INDIRECT("'Thanh Toán ("&amp;AD$3&amp;")'!$e:$e"),INDIRECT("'Thanh Toán ("&amp;AD$3&amp;")'!$B:$B"),'Tổng Đơn'!$B51),0)</f>
        <v>0</v>
      </c>
      <c r="AE51" s="2">
        <f ca="1">IFERROR(SUMIFS(INDIRECT("'Thanh Toán ("&amp;AE$3&amp;")'!$e:$e"),INDIRECT("'Thanh Toán ("&amp;AE$3&amp;")'!$B:$B"),'Tổng Đơn'!$B51),0)</f>
        <v>0</v>
      </c>
      <c r="AF51" s="2">
        <f ca="1">IFERROR(SUMIFS(INDIRECT("'Thanh Toán ("&amp;AF$3&amp;")'!$e:$e"),INDIRECT("'Thanh Toán ("&amp;AF$3&amp;")'!$B:$B"),'Tổng Đơn'!$B51),0)</f>
        <v>0</v>
      </c>
      <c r="AG51" s="2">
        <f ca="1">IFERROR(SUMIFS(INDIRECT("'Thanh Toán ("&amp;AG$3&amp;")'!$e:$e"),INDIRECT("'Thanh Toán ("&amp;AG$3&amp;")'!$B:$B"),'Tổng Đơn'!$B51),0)</f>
        <v>0</v>
      </c>
      <c r="AH51" s="2">
        <f ca="1">IFERROR(SUMIFS(INDIRECT("'Thanh Toán ("&amp;AH$3&amp;")'!$e:$e"),INDIRECT("'Thanh Toán ("&amp;AH$3&amp;")'!$B:$B"),'Tổng Đơn'!$B51),0)</f>
        <v>0</v>
      </c>
      <c r="AI51" s="2">
        <f ca="1">IFERROR(SUMIFS(INDIRECT("'Thanh Toán ("&amp;AI$3&amp;")'!$e:$e"),INDIRECT("'Thanh Toán ("&amp;AI$3&amp;")'!$B:$B"),'Tổng Đơn'!$B51),0)</f>
        <v>0</v>
      </c>
      <c r="AJ51" s="2">
        <f ca="1">IFERROR(SUMIFS(INDIRECT("'Thanh Toán ("&amp;AJ$3&amp;")'!$e:$e"),INDIRECT("'Thanh Toán ("&amp;AJ$3&amp;")'!$B:$B"),'Tổng Đơn'!$B51),0)</f>
        <v>0</v>
      </c>
      <c r="AK51" s="2">
        <f ca="1">IFERROR(SUMIFS(INDIRECT("'Thanh Toán ("&amp;AK$3&amp;")'!$e:$e"),INDIRECT("'Thanh Toán ("&amp;AK$3&amp;")'!$B:$B"),'Tổng Đơn'!$B51),0)</f>
        <v>0</v>
      </c>
      <c r="AL51" s="2">
        <f ca="1">IFERROR(SUMIFS(INDIRECT("'Thanh Toán ("&amp;AL$3&amp;")'!$e:$e"),INDIRECT("'Thanh Toán ("&amp;AL$3&amp;")'!$B:$B"),'Tổng Đơn'!$B51),0)</f>
        <v>0</v>
      </c>
      <c r="AM51" s="2">
        <f ca="1">IFERROR(SUMIFS(INDIRECT("'Thanh Toán ("&amp;AM$3&amp;")'!$e:$e"),INDIRECT("'Thanh Toán ("&amp;AM$3&amp;")'!$B:$B"),'Tổng Đơn'!$B51),0)</f>
        <v>0</v>
      </c>
      <c r="AN51" s="2">
        <f ca="1">IFERROR(SUMIFS(INDIRECT("'Thanh Toán ("&amp;AN$3&amp;")'!$e:$e"),INDIRECT("'Thanh Toán ("&amp;AN$3&amp;")'!$B:$B"),'Tổng Đơn'!$B51),0)</f>
        <v>0</v>
      </c>
      <c r="AO51" s="2">
        <f ca="1">IFERROR(SUMIFS(INDIRECT("'Thanh Toán ("&amp;AO$3&amp;")'!$e:$e"),INDIRECT("'Thanh Toán ("&amp;AO$3&amp;")'!$B:$B"),'Tổng Đơn'!$B51),0)</f>
        <v>0</v>
      </c>
    </row>
    <row r="52" spans="1:41" x14ac:dyDescent="0.25">
      <c r="A52" s="23">
        <v>48</v>
      </c>
      <c r="B52" s="44" t="s">
        <v>144</v>
      </c>
      <c r="C52" s="23" t="s">
        <v>145</v>
      </c>
      <c r="D52" s="45">
        <f>VLOOKUP($C52,Sheet1!$C$3:$D$52,2,0)</f>
        <v>35000</v>
      </c>
      <c r="E52" s="63">
        <v>0.5</v>
      </c>
      <c r="F52" s="61">
        <f t="shared" ca="1" si="1"/>
        <v>1</v>
      </c>
      <c r="G52" s="61">
        <v>22</v>
      </c>
      <c r="H52" s="61">
        <f t="shared" ca="1" si="2"/>
        <v>13000</v>
      </c>
      <c r="I52" s="61"/>
      <c r="J52" s="61">
        <f t="shared" ca="1" si="3"/>
        <v>35000</v>
      </c>
      <c r="K52" s="61"/>
      <c r="L52" s="2">
        <f ca="1">IFERROR(SUMIFS(INDIRECT("'Thanh Toán ("&amp;L$3&amp;")'!$e:$e"),INDIRECT("'Thanh Toán ("&amp;L$3&amp;")'!$B:$B"),'Tổng Đơn'!$B52),0)</f>
        <v>1</v>
      </c>
      <c r="M52" s="2">
        <f ca="1">IFERROR(SUMIFS(INDIRECT("'Thanh Toán ("&amp;M$3&amp;")'!$e:$e"),INDIRECT("'Thanh Toán ("&amp;M$3&amp;")'!$B:$B"),'Tổng Đơn'!$B52),0)</f>
        <v>0</v>
      </c>
      <c r="N52" s="2">
        <f ca="1">IFERROR(SUMIFS(INDIRECT("'Thanh Toán ("&amp;N$3&amp;")'!$e:$e"),INDIRECT("'Thanh Toán ("&amp;N$3&amp;")'!$B:$B"),'Tổng Đơn'!$B52),0)</f>
        <v>0</v>
      </c>
      <c r="O52" s="2">
        <f ca="1">IFERROR(SUMIFS(INDIRECT("'Thanh Toán ("&amp;O$3&amp;")'!$e:$e"),INDIRECT("'Thanh Toán ("&amp;O$3&amp;")'!$B:$B"),'Tổng Đơn'!$B52),0)</f>
        <v>0</v>
      </c>
      <c r="P52" s="2">
        <f ca="1">IFERROR(SUMIFS(INDIRECT("'Thanh Toán ("&amp;P$3&amp;")'!$e:$e"),INDIRECT("'Thanh Toán ("&amp;P$3&amp;")'!$B:$B"),'Tổng Đơn'!$B52),0)</f>
        <v>0</v>
      </c>
      <c r="Q52" s="2">
        <f ca="1">IFERROR(SUMIFS(INDIRECT("'Thanh Toán ("&amp;Q$3&amp;")'!$e:$e"),INDIRECT("'Thanh Toán ("&amp;Q$3&amp;")'!$B:$B"),'Tổng Đơn'!$B52),0)</f>
        <v>0</v>
      </c>
      <c r="R52" s="2">
        <f ca="1">IFERROR(SUMIFS(INDIRECT("'Thanh Toán ("&amp;R$3&amp;")'!$e:$e"),INDIRECT("'Thanh Toán ("&amp;R$3&amp;")'!$B:$B"),'Tổng Đơn'!$B52),0)</f>
        <v>0</v>
      </c>
      <c r="S52" s="2">
        <f ca="1">IFERROR(SUMIFS(INDIRECT("'Thanh Toán ("&amp;S$3&amp;")'!$e:$e"),INDIRECT("'Thanh Toán ("&amp;S$3&amp;")'!$B:$B"),'Tổng Đơn'!$B52),0)</f>
        <v>0</v>
      </c>
      <c r="T52" s="2">
        <f ca="1">IFERROR(SUMIFS(INDIRECT("'Thanh Toán ("&amp;T$3&amp;")'!$e:$e"),INDIRECT("'Thanh Toán ("&amp;T$3&amp;")'!$B:$B"),'Tổng Đơn'!$B52),0)</f>
        <v>0</v>
      </c>
      <c r="U52" s="2">
        <f ca="1">IFERROR(SUMIFS(INDIRECT("'Thanh Toán ("&amp;U$3&amp;")'!$e:$e"),INDIRECT("'Thanh Toán ("&amp;U$3&amp;")'!$B:$B"),'Tổng Đơn'!$B52),0)</f>
        <v>0</v>
      </c>
      <c r="V52" s="2">
        <f ca="1">IFERROR(SUMIFS(INDIRECT("'Thanh Toán ("&amp;V$3&amp;")'!$e:$e"),INDIRECT("'Thanh Toán ("&amp;V$3&amp;")'!$B:$B"),'Tổng Đơn'!$B52),0)</f>
        <v>0</v>
      </c>
      <c r="W52" s="2">
        <f ca="1">IFERROR(SUMIFS(INDIRECT("'Thanh Toán ("&amp;W$3&amp;")'!$e:$e"),INDIRECT("'Thanh Toán ("&amp;W$3&amp;")'!$B:$B"),'Tổng Đơn'!$B52),0)</f>
        <v>0</v>
      </c>
      <c r="X52" s="2">
        <f ca="1">IFERROR(SUMIFS(INDIRECT("'Thanh Toán ("&amp;X$3&amp;")'!$e:$e"),INDIRECT("'Thanh Toán ("&amp;X$3&amp;")'!$B:$B"),'Tổng Đơn'!$B52),0)</f>
        <v>0</v>
      </c>
      <c r="Y52" s="2">
        <f ca="1">IFERROR(SUMIFS(INDIRECT("'Thanh Toán ("&amp;Y$3&amp;")'!$e:$e"),INDIRECT("'Thanh Toán ("&amp;Y$3&amp;")'!$B:$B"),'Tổng Đơn'!$B52),0)</f>
        <v>0</v>
      </c>
      <c r="Z52" s="2">
        <f ca="1">IFERROR(SUMIFS(INDIRECT("'Thanh Toán ("&amp;Z$3&amp;")'!$e:$e"),INDIRECT("'Thanh Toán ("&amp;Z$3&amp;")'!$B:$B"),'Tổng Đơn'!$B52),0)</f>
        <v>0</v>
      </c>
      <c r="AA52" s="2">
        <f ca="1">IFERROR(SUMIFS(INDIRECT("'Thanh Toán ("&amp;AA$3&amp;")'!$e:$e"),INDIRECT("'Thanh Toán ("&amp;AA$3&amp;")'!$B:$B"),'Tổng Đơn'!$B52),0)</f>
        <v>0</v>
      </c>
      <c r="AB52" s="2">
        <f ca="1">IFERROR(SUMIFS(INDIRECT("'Thanh Toán ("&amp;AB$3&amp;")'!$e:$e"),INDIRECT("'Thanh Toán ("&amp;AB$3&amp;")'!$B:$B"),'Tổng Đơn'!$B52),0)</f>
        <v>0</v>
      </c>
      <c r="AC52" s="2">
        <f ca="1">IFERROR(SUMIFS(INDIRECT("'Thanh Toán ("&amp;AC$3&amp;")'!$e:$e"),INDIRECT("'Thanh Toán ("&amp;AC$3&amp;")'!$B:$B"),'Tổng Đơn'!$B52),0)</f>
        <v>0</v>
      </c>
      <c r="AD52" s="2">
        <f ca="1">IFERROR(SUMIFS(INDIRECT("'Thanh Toán ("&amp;AD$3&amp;")'!$e:$e"),INDIRECT("'Thanh Toán ("&amp;AD$3&amp;")'!$B:$B"),'Tổng Đơn'!$B52),0)</f>
        <v>0</v>
      </c>
      <c r="AE52" s="2">
        <f ca="1">IFERROR(SUMIFS(INDIRECT("'Thanh Toán ("&amp;AE$3&amp;")'!$e:$e"),INDIRECT("'Thanh Toán ("&amp;AE$3&amp;")'!$B:$B"),'Tổng Đơn'!$B52),0)</f>
        <v>0</v>
      </c>
      <c r="AF52" s="2">
        <f ca="1">IFERROR(SUMIFS(INDIRECT("'Thanh Toán ("&amp;AF$3&amp;")'!$e:$e"),INDIRECT("'Thanh Toán ("&amp;AF$3&amp;")'!$B:$B"),'Tổng Đơn'!$B52),0)</f>
        <v>0</v>
      </c>
      <c r="AG52" s="2">
        <f ca="1">IFERROR(SUMIFS(INDIRECT("'Thanh Toán ("&amp;AG$3&amp;")'!$e:$e"),INDIRECT("'Thanh Toán ("&amp;AG$3&amp;")'!$B:$B"),'Tổng Đơn'!$B52),0)</f>
        <v>0</v>
      </c>
      <c r="AH52" s="2">
        <f ca="1">IFERROR(SUMIFS(INDIRECT("'Thanh Toán ("&amp;AH$3&amp;")'!$e:$e"),INDIRECT("'Thanh Toán ("&amp;AH$3&amp;")'!$B:$B"),'Tổng Đơn'!$B52),0)</f>
        <v>0</v>
      </c>
      <c r="AI52" s="2">
        <f ca="1">IFERROR(SUMIFS(INDIRECT("'Thanh Toán ("&amp;AI$3&amp;")'!$e:$e"),INDIRECT("'Thanh Toán ("&amp;AI$3&amp;")'!$B:$B"),'Tổng Đơn'!$B52),0)</f>
        <v>0</v>
      </c>
      <c r="AJ52" s="2">
        <f ca="1">IFERROR(SUMIFS(INDIRECT("'Thanh Toán ("&amp;AJ$3&amp;")'!$e:$e"),INDIRECT("'Thanh Toán ("&amp;AJ$3&amp;")'!$B:$B"),'Tổng Đơn'!$B52),0)</f>
        <v>0</v>
      </c>
      <c r="AK52" s="2">
        <f ca="1">IFERROR(SUMIFS(INDIRECT("'Thanh Toán ("&amp;AK$3&amp;")'!$e:$e"),INDIRECT("'Thanh Toán ("&amp;AK$3&amp;")'!$B:$B"),'Tổng Đơn'!$B52),0)</f>
        <v>0</v>
      </c>
      <c r="AL52" s="2">
        <f ca="1">IFERROR(SUMIFS(INDIRECT("'Thanh Toán ("&amp;AL$3&amp;")'!$e:$e"),INDIRECT("'Thanh Toán ("&amp;AL$3&amp;")'!$B:$B"),'Tổng Đơn'!$B52),0)</f>
        <v>0</v>
      </c>
      <c r="AM52" s="2">
        <f ca="1">IFERROR(SUMIFS(INDIRECT("'Thanh Toán ("&amp;AM$3&amp;")'!$e:$e"),INDIRECT("'Thanh Toán ("&amp;AM$3&amp;")'!$B:$B"),'Tổng Đơn'!$B52),0)</f>
        <v>0</v>
      </c>
      <c r="AN52" s="2">
        <f ca="1">IFERROR(SUMIFS(INDIRECT("'Thanh Toán ("&amp;AN$3&amp;")'!$e:$e"),INDIRECT("'Thanh Toán ("&amp;AN$3&amp;")'!$B:$B"),'Tổng Đơn'!$B52),0)</f>
        <v>0</v>
      </c>
      <c r="AO52" s="2">
        <f ca="1">IFERROR(SUMIFS(INDIRECT("'Thanh Toán ("&amp;AO$3&amp;")'!$e:$e"),INDIRECT("'Thanh Toán ("&amp;AO$3&amp;")'!$B:$B"),'Tổng Đơn'!$B52),0)</f>
        <v>0</v>
      </c>
    </row>
    <row r="53" spans="1:41" x14ac:dyDescent="0.25">
      <c r="A53" s="23">
        <v>49</v>
      </c>
      <c r="B53" s="44" t="s">
        <v>146</v>
      </c>
      <c r="C53" s="23" t="s">
        <v>147</v>
      </c>
      <c r="D53" s="45">
        <f>VLOOKUP($C53,Sheet1!$C$3:$D$52,2,0)</f>
        <v>40000</v>
      </c>
      <c r="E53" s="63">
        <v>0.5</v>
      </c>
      <c r="F53" s="61">
        <f t="shared" ca="1" si="1"/>
        <v>0</v>
      </c>
      <c r="G53" s="61">
        <v>27</v>
      </c>
      <c r="H53" s="61">
        <f t="shared" ca="1" si="2"/>
        <v>0</v>
      </c>
      <c r="I53" s="61"/>
      <c r="J53" s="61">
        <f t="shared" ca="1" si="3"/>
        <v>0</v>
      </c>
      <c r="K53" s="61"/>
      <c r="L53" s="2">
        <f ca="1">IFERROR(SUMIFS(INDIRECT("'Thanh Toán ("&amp;L$3&amp;")'!$e:$e"),INDIRECT("'Thanh Toán ("&amp;L$3&amp;")'!$B:$B"),'Tổng Đơn'!$B53),0)</f>
        <v>0</v>
      </c>
      <c r="M53" s="2">
        <f ca="1">IFERROR(SUMIFS(INDIRECT("'Thanh Toán ("&amp;M$3&amp;")'!$e:$e"),INDIRECT("'Thanh Toán ("&amp;M$3&amp;")'!$B:$B"),'Tổng Đơn'!$B53),0)</f>
        <v>0</v>
      </c>
      <c r="N53" s="2">
        <f ca="1">IFERROR(SUMIFS(INDIRECT("'Thanh Toán ("&amp;N$3&amp;")'!$e:$e"),INDIRECT("'Thanh Toán ("&amp;N$3&amp;")'!$B:$B"),'Tổng Đơn'!$B53),0)</f>
        <v>0</v>
      </c>
      <c r="O53" s="2">
        <f ca="1">IFERROR(SUMIFS(INDIRECT("'Thanh Toán ("&amp;O$3&amp;")'!$e:$e"),INDIRECT("'Thanh Toán ("&amp;O$3&amp;")'!$B:$B"),'Tổng Đơn'!$B53),0)</f>
        <v>0</v>
      </c>
      <c r="P53" s="2">
        <f ca="1">IFERROR(SUMIFS(INDIRECT("'Thanh Toán ("&amp;P$3&amp;")'!$e:$e"),INDIRECT("'Thanh Toán ("&amp;P$3&amp;")'!$B:$B"),'Tổng Đơn'!$B53),0)</f>
        <v>0</v>
      </c>
      <c r="Q53" s="2">
        <f ca="1">IFERROR(SUMIFS(INDIRECT("'Thanh Toán ("&amp;Q$3&amp;")'!$e:$e"),INDIRECT("'Thanh Toán ("&amp;Q$3&amp;")'!$B:$B"),'Tổng Đơn'!$B53),0)</f>
        <v>0</v>
      </c>
      <c r="R53" s="2">
        <f ca="1">IFERROR(SUMIFS(INDIRECT("'Thanh Toán ("&amp;R$3&amp;")'!$e:$e"),INDIRECT("'Thanh Toán ("&amp;R$3&amp;")'!$B:$B"),'Tổng Đơn'!$B53),0)</f>
        <v>0</v>
      </c>
      <c r="S53" s="2">
        <f ca="1">IFERROR(SUMIFS(INDIRECT("'Thanh Toán ("&amp;S$3&amp;")'!$e:$e"),INDIRECT("'Thanh Toán ("&amp;S$3&amp;")'!$B:$B"),'Tổng Đơn'!$B53),0)</f>
        <v>0</v>
      </c>
      <c r="T53" s="2">
        <f ca="1">IFERROR(SUMIFS(INDIRECT("'Thanh Toán ("&amp;T$3&amp;")'!$e:$e"),INDIRECT("'Thanh Toán ("&amp;T$3&amp;")'!$B:$B"),'Tổng Đơn'!$B53),0)</f>
        <v>0</v>
      </c>
      <c r="U53" s="2">
        <f ca="1">IFERROR(SUMIFS(INDIRECT("'Thanh Toán ("&amp;U$3&amp;")'!$e:$e"),INDIRECT("'Thanh Toán ("&amp;U$3&amp;")'!$B:$B"),'Tổng Đơn'!$B53),0)</f>
        <v>0</v>
      </c>
      <c r="V53" s="2">
        <f ca="1">IFERROR(SUMIFS(INDIRECT("'Thanh Toán ("&amp;V$3&amp;")'!$e:$e"),INDIRECT("'Thanh Toán ("&amp;V$3&amp;")'!$B:$B"),'Tổng Đơn'!$B53),0)</f>
        <v>0</v>
      </c>
      <c r="W53" s="2">
        <f ca="1">IFERROR(SUMIFS(INDIRECT("'Thanh Toán ("&amp;W$3&amp;")'!$e:$e"),INDIRECT("'Thanh Toán ("&amp;W$3&amp;")'!$B:$B"),'Tổng Đơn'!$B53),0)</f>
        <v>0</v>
      </c>
      <c r="X53" s="2">
        <f ca="1">IFERROR(SUMIFS(INDIRECT("'Thanh Toán ("&amp;X$3&amp;")'!$e:$e"),INDIRECT("'Thanh Toán ("&amp;X$3&amp;")'!$B:$B"),'Tổng Đơn'!$B53),0)</f>
        <v>0</v>
      </c>
      <c r="Y53" s="2">
        <f ca="1">IFERROR(SUMIFS(INDIRECT("'Thanh Toán ("&amp;Y$3&amp;")'!$e:$e"),INDIRECT("'Thanh Toán ("&amp;Y$3&amp;")'!$B:$B"),'Tổng Đơn'!$B53),0)</f>
        <v>0</v>
      </c>
      <c r="Z53" s="2">
        <f ca="1">IFERROR(SUMIFS(INDIRECT("'Thanh Toán ("&amp;Z$3&amp;")'!$e:$e"),INDIRECT("'Thanh Toán ("&amp;Z$3&amp;")'!$B:$B"),'Tổng Đơn'!$B53),0)</f>
        <v>0</v>
      </c>
      <c r="AA53" s="2">
        <f ca="1">IFERROR(SUMIFS(INDIRECT("'Thanh Toán ("&amp;AA$3&amp;")'!$e:$e"),INDIRECT("'Thanh Toán ("&amp;AA$3&amp;")'!$B:$B"),'Tổng Đơn'!$B53),0)</f>
        <v>0</v>
      </c>
      <c r="AB53" s="2">
        <f ca="1">IFERROR(SUMIFS(INDIRECT("'Thanh Toán ("&amp;AB$3&amp;")'!$e:$e"),INDIRECT("'Thanh Toán ("&amp;AB$3&amp;")'!$B:$B"),'Tổng Đơn'!$B53),0)</f>
        <v>0</v>
      </c>
      <c r="AC53" s="2">
        <f ca="1">IFERROR(SUMIFS(INDIRECT("'Thanh Toán ("&amp;AC$3&amp;")'!$e:$e"),INDIRECT("'Thanh Toán ("&amp;AC$3&amp;")'!$B:$B"),'Tổng Đơn'!$B53),0)</f>
        <v>0</v>
      </c>
      <c r="AD53" s="2">
        <f ca="1">IFERROR(SUMIFS(INDIRECT("'Thanh Toán ("&amp;AD$3&amp;")'!$e:$e"),INDIRECT("'Thanh Toán ("&amp;AD$3&amp;")'!$B:$B"),'Tổng Đơn'!$B53),0)</f>
        <v>0</v>
      </c>
      <c r="AE53" s="2">
        <f ca="1">IFERROR(SUMIFS(INDIRECT("'Thanh Toán ("&amp;AE$3&amp;")'!$e:$e"),INDIRECT("'Thanh Toán ("&amp;AE$3&amp;")'!$B:$B"),'Tổng Đơn'!$B53),0)</f>
        <v>0</v>
      </c>
      <c r="AF53" s="2">
        <f ca="1">IFERROR(SUMIFS(INDIRECT("'Thanh Toán ("&amp;AF$3&amp;")'!$e:$e"),INDIRECT("'Thanh Toán ("&amp;AF$3&amp;")'!$B:$B"),'Tổng Đơn'!$B53),0)</f>
        <v>0</v>
      </c>
      <c r="AG53" s="2">
        <f ca="1">IFERROR(SUMIFS(INDIRECT("'Thanh Toán ("&amp;AG$3&amp;")'!$e:$e"),INDIRECT("'Thanh Toán ("&amp;AG$3&amp;")'!$B:$B"),'Tổng Đơn'!$B53),0)</f>
        <v>0</v>
      </c>
      <c r="AH53" s="2">
        <f ca="1">IFERROR(SUMIFS(INDIRECT("'Thanh Toán ("&amp;AH$3&amp;")'!$e:$e"),INDIRECT("'Thanh Toán ("&amp;AH$3&amp;")'!$B:$B"),'Tổng Đơn'!$B53),0)</f>
        <v>0</v>
      </c>
      <c r="AI53" s="2">
        <f ca="1">IFERROR(SUMIFS(INDIRECT("'Thanh Toán ("&amp;AI$3&amp;")'!$e:$e"),INDIRECT("'Thanh Toán ("&amp;AI$3&amp;")'!$B:$B"),'Tổng Đơn'!$B53),0)</f>
        <v>0</v>
      </c>
      <c r="AJ53" s="2">
        <f ca="1">IFERROR(SUMIFS(INDIRECT("'Thanh Toán ("&amp;AJ$3&amp;")'!$e:$e"),INDIRECT("'Thanh Toán ("&amp;AJ$3&amp;")'!$B:$B"),'Tổng Đơn'!$B53),0)</f>
        <v>0</v>
      </c>
      <c r="AK53" s="2">
        <f ca="1">IFERROR(SUMIFS(INDIRECT("'Thanh Toán ("&amp;AK$3&amp;")'!$e:$e"),INDIRECT("'Thanh Toán ("&amp;AK$3&amp;")'!$B:$B"),'Tổng Đơn'!$B53),0)</f>
        <v>0</v>
      </c>
      <c r="AL53" s="2">
        <f ca="1">IFERROR(SUMIFS(INDIRECT("'Thanh Toán ("&amp;AL$3&amp;")'!$e:$e"),INDIRECT("'Thanh Toán ("&amp;AL$3&amp;")'!$B:$B"),'Tổng Đơn'!$B53),0)</f>
        <v>0</v>
      </c>
      <c r="AM53" s="2">
        <f ca="1">IFERROR(SUMIFS(INDIRECT("'Thanh Toán ("&amp;AM$3&amp;")'!$e:$e"),INDIRECT("'Thanh Toán ("&amp;AM$3&amp;")'!$B:$B"),'Tổng Đơn'!$B53),0)</f>
        <v>0</v>
      </c>
      <c r="AN53" s="2">
        <f ca="1">IFERROR(SUMIFS(INDIRECT("'Thanh Toán ("&amp;AN$3&amp;")'!$e:$e"),INDIRECT("'Thanh Toán ("&amp;AN$3&amp;")'!$B:$B"),'Tổng Đơn'!$B53),0)</f>
        <v>0</v>
      </c>
      <c r="AO53" s="2">
        <f ca="1">IFERROR(SUMIFS(INDIRECT("'Thanh Toán ("&amp;AO$3&amp;")'!$e:$e"),INDIRECT("'Thanh Toán ("&amp;AO$3&amp;")'!$B:$B"),'Tổng Đơn'!$B53),0)</f>
        <v>0</v>
      </c>
    </row>
    <row r="54" spans="1:41" x14ac:dyDescent="0.25">
      <c r="A54" s="23">
        <v>50</v>
      </c>
      <c r="B54" s="44" t="s">
        <v>148</v>
      </c>
      <c r="C54" s="23" t="s">
        <v>149</v>
      </c>
      <c r="D54" s="45">
        <f>VLOOKUP($C54,Sheet1!$C$3:$D$52,2,0)</f>
        <v>45000</v>
      </c>
      <c r="E54" s="63">
        <v>0.5</v>
      </c>
      <c r="F54" s="61">
        <f t="shared" ca="1" si="1"/>
        <v>0</v>
      </c>
      <c r="G54" s="61">
        <f>73/2</f>
        <v>36.5</v>
      </c>
      <c r="H54" s="61">
        <f t="shared" ref="H54" ca="1" si="4">(D54-G54*1000)*$F54</f>
        <v>0</v>
      </c>
      <c r="I54" s="61"/>
      <c r="J54" s="61">
        <f t="shared" ref="J54" ca="1" si="5">F54*D54</f>
        <v>0</v>
      </c>
      <c r="K54" s="61"/>
      <c r="L54" s="2">
        <f ca="1">IFERROR(SUMIFS(INDIRECT("'Thanh Toán ("&amp;L$3&amp;")'!$e:$e"),INDIRECT("'Thanh Toán ("&amp;L$3&amp;")'!$B:$B"),'Tổng Đơn'!$B54),0)</f>
        <v>0</v>
      </c>
      <c r="M54" s="2">
        <f ca="1">IFERROR(SUMIFS(INDIRECT("'Thanh Toán ("&amp;M$3&amp;")'!$e:$e"),INDIRECT("'Thanh Toán ("&amp;M$3&amp;")'!$B:$B"),'Tổng Đơn'!$B54),0)</f>
        <v>0</v>
      </c>
      <c r="N54" s="2">
        <f ca="1">IFERROR(SUMIFS(INDIRECT("'Thanh Toán ("&amp;N$3&amp;")'!$e:$e"),INDIRECT("'Thanh Toán ("&amp;N$3&amp;")'!$B:$B"),'Tổng Đơn'!$B54),0)</f>
        <v>0</v>
      </c>
      <c r="O54" s="2">
        <f ca="1">IFERROR(SUMIFS(INDIRECT("'Thanh Toán ("&amp;O$3&amp;")'!$e:$e"),INDIRECT("'Thanh Toán ("&amp;O$3&amp;")'!$B:$B"),'Tổng Đơn'!$B54),0)</f>
        <v>0</v>
      </c>
      <c r="P54" s="2">
        <f ca="1">IFERROR(SUMIFS(INDIRECT("'Thanh Toán ("&amp;P$3&amp;")'!$e:$e"),INDIRECT("'Thanh Toán ("&amp;P$3&amp;")'!$B:$B"),'Tổng Đơn'!$B54),0)</f>
        <v>0</v>
      </c>
      <c r="Q54" s="2">
        <f ca="1">IFERROR(SUMIFS(INDIRECT("'Thanh Toán ("&amp;Q$3&amp;")'!$e:$e"),INDIRECT("'Thanh Toán ("&amp;Q$3&amp;")'!$B:$B"),'Tổng Đơn'!$B54),0)</f>
        <v>0</v>
      </c>
      <c r="R54" s="2">
        <f ca="1">IFERROR(SUMIFS(INDIRECT("'Thanh Toán ("&amp;R$3&amp;")'!$e:$e"),INDIRECT("'Thanh Toán ("&amp;R$3&amp;")'!$B:$B"),'Tổng Đơn'!$B54),0)</f>
        <v>0</v>
      </c>
      <c r="S54" s="2">
        <f ca="1">IFERROR(SUMIFS(INDIRECT("'Thanh Toán ("&amp;S$3&amp;")'!$e:$e"),INDIRECT("'Thanh Toán ("&amp;S$3&amp;")'!$B:$B"),'Tổng Đơn'!$B54),0)</f>
        <v>0</v>
      </c>
      <c r="T54" s="2">
        <f ca="1">IFERROR(SUMIFS(INDIRECT("'Thanh Toán ("&amp;T$3&amp;")'!$e:$e"),INDIRECT("'Thanh Toán ("&amp;T$3&amp;")'!$B:$B"),'Tổng Đơn'!$B54),0)</f>
        <v>0</v>
      </c>
      <c r="U54" s="2">
        <f ca="1">IFERROR(SUMIFS(INDIRECT("'Thanh Toán ("&amp;U$3&amp;")'!$e:$e"),INDIRECT("'Thanh Toán ("&amp;U$3&amp;")'!$B:$B"),'Tổng Đơn'!$B54),0)</f>
        <v>0</v>
      </c>
      <c r="V54" s="2">
        <f ca="1">IFERROR(SUMIFS(INDIRECT("'Thanh Toán ("&amp;V$3&amp;")'!$e:$e"),INDIRECT("'Thanh Toán ("&amp;V$3&amp;")'!$B:$B"),'Tổng Đơn'!$B54),0)</f>
        <v>0</v>
      </c>
      <c r="W54" s="2">
        <f ca="1">IFERROR(SUMIFS(INDIRECT("'Thanh Toán ("&amp;W$3&amp;")'!$e:$e"),INDIRECT("'Thanh Toán ("&amp;W$3&amp;")'!$B:$B"),'Tổng Đơn'!$B54),0)</f>
        <v>0</v>
      </c>
      <c r="X54" s="2">
        <f ca="1">IFERROR(SUMIFS(INDIRECT("'Thanh Toán ("&amp;X$3&amp;")'!$e:$e"),INDIRECT("'Thanh Toán ("&amp;X$3&amp;")'!$B:$B"),'Tổng Đơn'!$B54),0)</f>
        <v>0</v>
      </c>
      <c r="Y54" s="2">
        <f ca="1">IFERROR(SUMIFS(INDIRECT("'Thanh Toán ("&amp;Y$3&amp;")'!$e:$e"),INDIRECT("'Thanh Toán ("&amp;Y$3&amp;")'!$B:$B"),'Tổng Đơn'!$B54),0)</f>
        <v>0</v>
      </c>
      <c r="Z54" s="2">
        <f ca="1">IFERROR(SUMIFS(INDIRECT("'Thanh Toán ("&amp;Z$3&amp;")'!$e:$e"),INDIRECT("'Thanh Toán ("&amp;Z$3&amp;")'!$B:$B"),'Tổng Đơn'!$B54),0)</f>
        <v>0</v>
      </c>
      <c r="AA54" s="2">
        <f ca="1">IFERROR(SUMIFS(INDIRECT("'Thanh Toán ("&amp;AA$3&amp;")'!$e:$e"),INDIRECT("'Thanh Toán ("&amp;AA$3&amp;")'!$B:$B"),'Tổng Đơn'!$B54),0)</f>
        <v>0</v>
      </c>
      <c r="AB54" s="2">
        <f ca="1">IFERROR(SUMIFS(INDIRECT("'Thanh Toán ("&amp;AB$3&amp;")'!$e:$e"),INDIRECT("'Thanh Toán ("&amp;AB$3&amp;")'!$B:$B"),'Tổng Đơn'!$B54),0)</f>
        <v>0</v>
      </c>
      <c r="AC54" s="2">
        <f ca="1">IFERROR(SUMIFS(INDIRECT("'Thanh Toán ("&amp;AC$3&amp;")'!$e:$e"),INDIRECT("'Thanh Toán ("&amp;AC$3&amp;")'!$B:$B"),'Tổng Đơn'!$B54),0)</f>
        <v>0</v>
      </c>
      <c r="AD54" s="2">
        <f ca="1">IFERROR(SUMIFS(INDIRECT("'Thanh Toán ("&amp;AD$3&amp;")'!$e:$e"),INDIRECT("'Thanh Toán ("&amp;AD$3&amp;")'!$B:$B"),'Tổng Đơn'!$B54),0)</f>
        <v>0</v>
      </c>
      <c r="AE54" s="2">
        <f ca="1">IFERROR(SUMIFS(INDIRECT("'Thanh Toán ("&amp;AE$3&amp;")'!$e:$e"),INDIRECT("'Thanh Toán ("&amp;AE$3&amp;")'!$B:$B"),'Tổng Đơn'!$B54),0)</f>
        <v>0</v>
      </c>
      <c r="AF54" s="2">
        <f ca="1">IFERROR(SUMIFS(INDIRECT("'Thanh Toán ("&amp;AF$3&amp;")'!$e:$e"),INDIRECT("'Thanh Toán ("&amp;AF$3&amp;")'!$B:$B"),'Tổng Đơn'!$B54),0)</f>
        <v>0</v>
      </c>
      <c r="AG54" s="2">
        <f ca="1">IFERROR(SUMIFS(INDIRECT("'Thanh Toán ("&amp;AG$3&amp;")'!$e:$e"),INDIRECT("'Thanh Toán ("&amp;AG$3&amp;")'!$B:$B"),'Tổng Đơn'!$B54),0)</f>
        <v>0</v>
      </c>
      <c r="AH54" s="2">
        <f ca="1">IFERROR(SUMIFS(INDIRECT("'Thanh Toán ("&amp;AH$3&amp;")'!$e:$e"),INDIRECT("'Thanh Toán ("&amp;AH$3&amp;")'!$B:$B"),'Tổng Đơn'!$B54),0)</f>
        <v>0</v>
      </c>
      <c r="AI54" s="2">
        <f ca="1">IFERROR(SUMIFS(INDIRECT("'Thanh Toán ("&amp;AI$3&amp;")'!$e:$e"),INDIRECT("'Thanh Toán ("&amp;AI$3&amp;")'!$B:$B"),'Tổng Đơn'!$B54),0)</f>
        <v>0</v>
      </c>
      <c r="AJ54" s="2">
        <f ca="1">IFERROR(SUMIFS(INDIRECT("'Thanh Toán ("&amp;AJ$3&amp;")'!$e:$e"),INDIRECT("'Thanh Toán ("&amp;AJ$3&amp;")'!$B:$B"),'Tổng Đơn'!$B54),0)</f>
        <v>0</v>
      </c>
      <c r="AK54" s="2">
        <f ca="1">IFERROR(SUMIFS(INDIRECT("'Thanh Toán ("&amp;AK$3&amp;")'!$e:$e"),INDIRECT("'Thanh Toán ("&amp;AK$3&amp;")'!$B:$B"),'Tổng Đơn'!$B54),0)</f>
        <v>0</v>
      </c>
      <c r="AL54" s="2">
        <f ca="1">IFERROR(SUMIFS(INDIRECT("'Thanh Toán ("&amp;AL$3&amp;")'!$e:$e"),INDIRECT("'Thanh Toán ("&amp;AL$3&amp;")'!$B:$B"),'Tổng Đơn'!$B54),0)</f>
        <v>0</v>
      </c>
      <c r="AM54" s="2">
        <f ca="1">IFERROR(SUMIFS(INDIRECT("'Thanh Toán ("&amp;AM$3&amp;")'!$e:$e"),INDIRECT("'Thanh Toán ("&amp;AM$3&amp;")'!$B:$B"),'Tổng Đơn'!$B54),0)</f>
        <v>0</v>
      </c>
      <c r="AN54" s="2">
        <f ca="1">IFERROR(SUMIFS(INDIRECT("'Thanh Toán ("&amp;AN$3&amp;")'!$e:$e"),INDIRECT("'Thanh Toán ("&amp;AN$3&amp;")'!$B:$B"),'Tổng Đơn'!$B54),0)</f>
        <v>0</v>
      </c>
      <c r="AO54" s="2">
        <f ca="1">IFERROR(SUMIFS(INDIRECT("'Thanh Toán ("&amp;AO$3&amp;")'!$e:$e"),INDIRECT("'Thanh Toán ("&amp;AO$3&amp;")'!$B:$B"),'Tổng Đơn'!$B54),0)</f>
        <v>0</v>
      </c>
    </row>
  </sheetData>
  <autoFilter ref="A4:AO50"/>
  <mergeCells count="6">
    <mergeCell ref="A1:A2"/>
    <mergeCell ref="F1:F2"/>
    <mergeCell ref="D1:D2"/>
    <mergeCell ref="C1:C2"/>
    <mergeCell ref="B1:B2"/>
    <mergeCell ref="E1:E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1" t="s">
        <v>56</v>
      </c>
      <c r="D1" s="95" t="s">
        <v>119</v>
      </c>
      <c r="E1" s="95" t="s">
        <v>16</v>
      </c>
      <c r="F1" s="48" t="s">
        <v>18</v>
      </c>
      <c r="G1" s="48" t="s">
        <v>19</v>
      </c>
      <c r="H1" s="98" t="s">
        <v>171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TVP nhỏ</v>
      </c>
      <c r="C2" s="92">
        <f>IFERROR(VLOOKUP($D2,'Tổng Đơn'!$A$5:$E$101,5,0),"")</f>
        <v>0.2</v>
      </c>
      <c r="D2" s="49">
        <v>30</v>
      </c>
      <c r="E2" s="49">
        <v>1</v>
      </c>
      <c r="F2" s="55">
        <f>IFERROR(VLOOKUP($D2,Sheet1!$A$3:$D$100,4,0),"")</f>
        <v>14000</v>
      </c>
      <c r="G2" s="56">
        <f>IFERROR($F2*$E2,"")</f>
        <v>14000</v>
      </c>
      <c r="H2" s="96">
        <f>IFERROR(E2*C2,"")</f>
        <v>0.2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14000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Bò viên TVP</v>
      </c>
      <c r="C3" s="93">
        <f>IFERROR(VLOOKUP($D3,'Tổng Đơn'!$A$5:$E$101,5,0),"")</f>
        <v>0.5</v>
      </c>
      <c r="D3" s="49">
        <v>34</v>
      </c>
      <c r="E3" s="49">
        <v>1</v>
      </c>
      <c r="F3" s="55">
        <f>IF(AND($A3="",$A2&lt;&gt;""),"Tổng Cộng",IFERROR(VLOOKUP($D3,Sheet1!$A$3:$D$100,4,0),""))</f>
        <v>34500</v>
      </c>
      <c r="G3" s="56">
        <f>IF($A2=MAX($A$2:$A$50),SUM($G$2:$G2),IFERROR($F3*$E3,""))</f>
        <v>34500</v>
      </c>
      <c r="H3" s="96">
        <f t="shared" ref="H3:H24" si="1">IFERROR(E3*C3,"")</f>
        <v>0.5</v>
      </c>
      <c r="K3" s="50">
        <f>IFERROR(VLOOKUP($D3,Sheet1!$A$3:$D$100,4,0),"")</f>
        <v>34500</v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48500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71" priority="6">
      <formula>$A2=MAX($A$2:$A$21)</formula>
    </cfRule>
  </conditionalFormatting>
  <conditionalFormatting sqref="F4:G4 G5:G21">
    <cfRule type="expression" dxfId="70" priority="5">
      <formula>LEFT($F4,2)="KM"</formula>
    </cfRule>
  </conditionalFormatting>
  <conditionalFormatting sqref="F5:G21">
    <cfRule type="expression" dxfId="69" priority="4">
      <formula>LEFT($F5,2)="KM"</formula>
    </cfRule>
  </conditionalFormatting>
  <conditionalFormatting sqref="D2:D24">
    <cfRule type="expression" dxfId="68" priority="3">
      <formula>AND($D2="",$E2&lt;&gt;"")</formula>
    </cfRule>
  </conditionalFormatting>
  <conditionalFormatting sqref="E2:E24">
    <cfRule type="expression" dxfId="67" priority="2">
      <formula>AND($E2="",$D2&lt;&gt;"")</formula>
    </cfRule>
  </conditionalFormatting>
  <conditionalFormatting sqref="C2:C24">
    <cfRule type="expression" dxfId="6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1" t="s">
        <v>56</v>
      </c>
      <c r="D1" s="95" t="s">
        <v>119</v>
      </c>
      <c r="E1" s="95" t="s">
        <v>16</v>
      </c>
      <c r="F1" s="48" t="s">
        <v>18</v>
      </c>
      <c r="G1" s="48" t="s">
        <v>19</v>
      </c>
      <c r="H1" s="98" t="s">
        <v>170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Giò lụa lá</v>
      </c>
      <c r="C2" s="92">
        <f>IFERROR(VLOOKUP($D2,'Tổng Đơn'!$A$5:$E$101,5,0),"")</f>
        <v>0.5</v>
      </c>
      <c r="D2" s="49">
        <v>45</v>
      </c>
      <c r="E2" s="49">
        <v>1</v>
      </c>
      <c r="F2" s="55">
        <f>IFERROR(VLOOKUP($D2,Sheet1!$A$3:$D$100,4,0),"")</f>
        <v>54000</v>
      </c>
      <c r="G2" s="56">
        <f>IFERROR($F2*$E2,"")</f>
        <v>54000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54000</v>
      </c>
    </row>
    <row r="3" spans="1:11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54000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65" priority="6">
      <formula>$A2=MAX($A$2:$A$21)</formula>
    </cfRule>
  </conditionalFormatting>
  <conditionalFormatting sqref="F4:G4 G5:G21">
    <cfRule type="expression" dxfId="64" priority="5">
      <formula>LEFT($F4,2)="KM"</formula>
    </cfRule>
  </conditionalFormatting>
  <conditionalFormatting sqref="F5:G21">
    <cfRule type="expression" dxfId="63" priority="4">
      <formula>LEFT($F5,2)="KM"</formula>
    </cfRule>
  </conditionalFormatting>
  <conditionalFormatting sqref="D2:D24">
    <cfRule type="expression" dxfId="62" priority="3">
      <formula>AND($D2="",$E2&lt;&gt;"")</formula>
    </cfRule>
  </conditionalFormatting>
  <conditionalFormatting sqref="E2:E24">
    <cfRule type="expression" dxfId="61" priority="2">
      <formula>AND($E2="",$D2&lt;&gt;"")</formula>
    </cfRule>
  </conditionalFormatting>
  <conditionalFormatting sqref="C2:C24">
    <cfRule type="expression" dxfId="6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D2" sqref="D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1" t="s">
        <v>56</v>
      </c>
      <c r="D1" s="95" t="s">
        <v>119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1" s="47" customFormat="1" ht="24.95" customHeight="1" x14ac:dyDescent="0.25">
      <c r="A2" s="53" t="str">
        <f>IF(OR(SUM($A1,$D2&lt;&gt;"")=0,$D2=""),"",SUM($A1,$D2&lt;&gt;""))</f>
        <v/>
      </c>
      <c r="B2" s="54" t="str">
        <f>IFERROR(VLOOKUP($D2,Sheet1!$A$3:$B$100,2,0),"")</f>
        <v/>
      </c>
      <c r="C2" s="92" t="str">
        <f>IFERROR(VLOOKUP($D2,'Tổng Đơn'!$A$5:$E$101,5,0),"")</f>
        <v/>
      </c>
      <c r="D2" s="49"/>
      <c r="E2" s="49"/>
      <c r="F2" s="55" t="str">
        <f>IFERROR(VLOOKUP($D2,Sheet1!$A$3:$D$100,4,0),"")</f>
        <v/>
      </c>
      <c r="G2" s="56" t="str">
        <f>IFERROR($F2*$E2,"")</f>
        <v/>
      </c>
      <c r="H2" s="96" t="str">
        <f>IFERROR(E2*C2,"")</f>
        <v/>
      </c>
      <c r="I2" s="47" t="str">
        <f>IF(SUMPRODUCT(($E$2:$E$12),($K$2:$K$12))&gt;=200000,"KM 15%",IF(SUMPRODUCT(($E$2:$E$12),($K$2:$K$12))&gt;=100000,"KM 10%",""))</f>
        <v/>
      </c>
      <c r="K2" s="51" t="str">
        <f>IFERROR(VLOOKUP($D2,Sheet1!$A$3:$D$100,4,0),"")</f>
        <v/>
      </c>
    </row>
    <row r="3" spans="1:11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/>
      </c>
      <c r="G3" s="56" t="str">
        <f>IF($A2=MAX($A$2:$A$50),SUM($G$2:$G2),IFERROR($F3*$E3,""))</f>
        <v/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9" priority="7">
      <formula>$A2=MAX($A$2:$A$21)</formula>
    </cfRule>
  </conditionalFormatting>
  <conditionalFormatting sqref="F4:G4 G5:G21">
    <cfRule type="expression" dxfId="58" priority="6">
      <formula>LEFT($F4,2)="KM"</formula>
    </cfRule>
  </conditionalFormatting>
  <conditionalFormatting sqref="F5:G21">
    <cfRule type="expression" dxfId="57" priority="5">
      <formula>LEFT($F5,2)="KM"</formula>
    </cfRule>
  </conditionalFormatting>
  <conditionalFormatting sqref="D2:D24">
    <cfRule type="expression" dxfId="56" priority="4">
      <formula>AND($D2="",$E2&lt;&gt;"")</formula>
    </cfRule>
  </conditionalFormatting>
  <conditionalFormatting sqref="E2:E24">
    <cfRule type="expression" dxfId="55" priority="3">
      <formula>AND($E2="",$D2&lt;&gt;"")</formula>
    </cfRule>
  </conditionalFormatting>
  <conditionalFormatting sqref="C2:C24">
    <cfRule type="expression" dxfId="5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D3" sqref="D3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1" t="s">
        <v>56</v>
      </c>
      <c r="D1" s="95" t="s">
        <v>119</v>
      </c>
      <c r="E1" s="95" t="s">
        <v>16</v>
      </c>
      <c r="F1" s="48" t="s">
        <v>18</v>
      </c>
      <c r="G1" s="48" t="s">
        <v>19</v>
      </c>
      <c r="H1" s="98" t="s">
        <v>169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Giò lụa Bò</v>
      </c>
      <c r="C2" s="92">
        <f>IFERROR(VLOOKUP($D2,'Tổng Đơn'!$A$5:$E$101,5,0),"")</f>
        <v>0.5</v>
      </c>
      <c r="D2" s="49">
        <v>44</v>
      </c>
      <c r="E2" s="49">
        <v>1</v>
      </c>
      <c r="F2" s="55">
        <f>IFERROR(VLOOKUP($D2,Sheet1!$A$3:$D$100,4,0),"")</f>
        <v>65000</v>
      </c>
      <c r="G2" s="56">
        <f>IFERROR($F2*$E2,"")</f>
        <v>65000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65000</v>
      </c>
    </row>
    <row r="3" spans="1:11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65000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3" priority="6">
      <formula>$A2=MAX($A$2:$A$21)</formula>
    </cfRule>
  </conditionalFormatting>
  <conditionalFormatting sqref="F4:G4 G5:G21">
    <cfRule type="expression" dxfId="52" priority="5">
      <formula>LEFT($F4,2)="KM"</formula>
    </cfRule>
  </conditionalFormatting>
  <conditionalFormatting sqref="F5:G21">
    <cfRule type="expression" dxfId="51" priority="4">
      <formula>LEFT($F5,2)="KM"</formula>
    </cfRule>
  </conditionalFormatting>
  <conditionalFormatting sqref="D2:D24">
    <cfRule type="expression" dxfId="50" priority="3">
      <formula>AND($D2="",$E2&lt;&gt;"")</formula>
    </cfRule>
  </conditionalFormatting>
  <conditionalFormatting sqref="E2:E24">
    <cfRule type="expression" dxfId="49" priority="2">
      <formula>AND($E2="",$D2&lt;&gt;"")</formula>
    </cfRule>
  </conditionalFormatting>
  <conditionalFormatting sqref="C2:C24">
    <cfRule type="expression" dxfId="4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G6" sqref="G6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1" t="s">
        <v>56</v>
      </c>
      <c r="D1" s="95" t="s">
        <v>119</v>
      </c>
      <c r="E1" s="95" t="s">
        <v>16</v>
      </c>
      <c r="F1" s="48" t="s">
        <v>18</v>
      </c>
      <c r="G1" s="48" t="s">
        <v>19</v>
      </c>
      <c r="H1" s="98" t="s">
        <v>168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XX Phô mai</v>
      </c>
      <c r="C2" s="92">
        <f>IFERROR(VLOOKUP($D2,'Tổng Đơn'!$A$5:$E$101,5,0),"")</f>
        <v>0.5</v>
      </c>
      <c r="D2" s="49">
        <v>23</v>
      </c>
      <c r="E2" s="49">
        <v>1</v>
      </c>
      <c r="F2" s="55">
        <f>IFERROR(VLOOKUP($D2,Sheet1!$A$3:$D$100,4,0),"")</f>
        <v>69000</v>
      </c>
      <c r="G2" s="56">
        <f>IFERROR($F2*$E2,"")</f>
        <v>69000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69000</v>
      </c>
    </row>
    <row r="3" spans="1:11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69000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7" priority="6">
      <formula>$A2=MAX($A$2:$A$21)</formula>
    </cfRule>
  </conditionalFormatting>
  <conditionalFormatting sqref="F4:G4 G5:G21">
    <cfRule type="expression" dxfId="46" priority="5">
      <formula>LEFT($F4,2)="KM"</formula>
    </cfRule>
  </conditionalFormatting>
  <conditionalFormatting sqref="F5:G21">
    <cfRule type="expression" dxfId="45" priority="4">
      <formula>LEFT($F5,2)="KM"</formula>
    </cfRule>
  </conditionalFormatting>
  <conditionalFormatting sqref="D2:D24">
    <cfRule type="expression" dxfId="44" priority="3">
      <formula>AND($D2="",$E2&lt;&gt;"")</formula>
    </cfRule>
  </conditionalFormatting>
  <conditionalFormatting sqref="E2:E24">
    <cfRule type="expression" dxfId="43" priority="2">
      <formula>AND($E2="",$D2&lt;&gt;"")</formula>
    </cfRule>
  </conditionalFormatting>
  <conditionalFormatting sqref="C2:C24">
    <cfRule type="expression" dxfId="4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1" t="s">
        <v>56</v>
      </c>
      <c r="D1" s="95" t="s">
        <v>119</v>
      </c>
      <c r="E1" s="95" t="s">
        <v>16</v>
      </c>
      <c r="F1" s="48" t="s">
        <v>18</v>
      </c>
      <c r="G1" s="48" t="s">
        <v>19</v>
      </c>
      <c r="H1" s="98" t="s">
        <v>167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Thanh cua LC</v>
      </c>
      <c r="C2" s="92">
        <f>IFERROR(VLOOKUP($D2,'Tổng Đơn'!$A$5:$E$101,5,0),"")</f>
        <v>0.25</v>
      </c>
      <c r="D2" s="49">
        <v>7</v>
      </c>
      <c r="E2" s="49">
        <v>1</v>
      </c>
      <c r="F2" s="55">
        <f>IFERROR(VLOOKUP($D2,Sheet1!$A$3:$D$100,4,0),"")</f>
        <v>34000</v>
      </c>
      <c r="G2" s="56">
        <f>IFERROR($F2*$E2,"")</f>
        <v>34000</v>
      </c>
      <c r="H2" s="96">
        <f>IFERROR(E2*C2,"")</f>
        <v>0.25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34000</v>
      </c>
    </row>
    <row r="3" spans="1:11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34000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1" priority="6">
      <formula>$A2=MAX($A$2:$A$21)</formula>
    </cfRule>
  </conditionalFormatting>
  <conditionalFormatting sqref="F4:G4 G5:G21">
    <cfRule type="expression" dxfId="40" priority="5">
      <formula>LEFT($F4,2)="KM"</formula>
    </cfRule>
  </conditionalFormatting>
  <conditionalFormatting sqref="F5:G21">
    <cfRule type="expression" dxfId="39" priority="4">
      <formula>LEFT($F5,2)="KM"</formula>
    </cfRule>
  </conditionalFormatting>
  <conditionalFormatting sqref="D2:D24">
    <cfRule type="expression" dxfId="38" priority="3">
      <formula>AND($D2="",$E2&lt;&gt;"")</formula>
    </cfRule>
  </conditionalFormatting>
  <conditionalFormatting sqref="E2:E24">
    <cfRule type="expression" dxfId="37" priority="2">
      <formula>AND($E2="",$D2&lt;&gt;"")</formula>
    </cfRule>
  </conditionalFormatting>
  <conditionalFormatting sqref="C2:C24">
    <cfRule type="expression" dxfId="3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M6" sqref="M6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1" t="s">
        <v>56</v>
      </c>
      <c r="D1" s="95" t="s">
        <v>119</v>
      </c>
      <c r="E1" s="95" t="s">
        <v>16</v>
      </c>
      <c r="F1" s="48" t="s">
        <v>18</v>
      </c>
      <c r="G1" s="48" t="s">
        <v>19</v>
      </c>
      <c r="H1" s="98" t="s">
        <v>166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HM</v>
      </c>
      <c r="C2" s="92">
        <f>IFERROR(VLOOKUP($D2,'Tổng Đơn'!$A$5:$E$101,5,0),"")</f>
        <v>0.5</v>
      </c>
      <c r="D2" s="49">
        <v>2</v>
      </c>
      <c r="E2" s="49">
        <v>2</v>
      </c>
      <c r="F2" s="55">
        <f>IFERROR(VLOOKUP($D2,Sheet1!$A$3:$D$100,4,0),"")</f>
        <v>25000</v>
      </c>
      <c r="G2" s="56">
        <f>IFERROR($F2*$E2,"")</f>
        <v>50000</v>
      </c>
      <c r="H2" s="96">
        <f>IFERROR(E2*C2,"")</f>
        <v>1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25000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Bò viên TVP</v>
      </c>
      <c r="C3" s="93">
        <f>IFERROR(VLOOKUP($D3,'Tổng Đơn'!$A$5:$E$101,5,0),"")</f>
        <v>0.5</v>
      </c>
      <c r="D3" s="49">
        <v>34</v>
      </c>
      <c r="E3" s="49">
        <v>2</v>
      </c>
      <c r="F3" s="55">
        <f>IF(AND($A3="",$A2&lt;&gt;""),"Tổng Cộng",IFERROR(VLOOKUP($D3,Sheet1!$A$3:$D$100,4,0),""))</f>
        <v>34500</v>
      </c>
      <c r="G3" s="56">
        <f>IF($A2=MAX($A$2:$A$50),SUM($G$2:$G2),IFERROR($F3*$E3,""))</f>
        <v>69000</v>
      </c>
      <c r="H3" s="96">
        <f t="shared" ref="H3:H24" si="1">IFERROR(E3*C3,"")</f>
        <v>1</v>
      </c>
      <c r="K3" s="50">
        <f>IFERROR(VLOOKUP($D3,Sheet1!$A$3:$D$100,4,0),"")</f>
        <v>34500</v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119000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35" priority="6">
      <formula>$A2=MAX($A$2:$A$21)</formula>
    </cfRule>
  </conditionalFormatting>
  <conditionalFormatting sqref="F4:G4 G5:G21">
    <cfRule type="expression" dxfId="34" priority="5">
      <formula>LEFT($F4,2)="KM"</formula>
    </cfRule>
  </conditionalFormatting>
  <conditionalFormatting sqref="F5:G21">
    <cfRule type="expression" dxfId="33" priority="4">
      <formula>LEFT($F5,2)="KM"</formula>
    </cfRule>
  </conditionalFormatting>
  <conditionalFormatting sqref="D2:D24">
    <cfRule type="expression" dxfId="32" priority="3">
      <formula>AND($D2="",$E2&lt;&gt;"")</formula>
    </cfRule>
  </conditionalFormatting>
  <conditionalFormatting sqref="E2:E24">
    <cfRule type="expression" dxfId="31" priority="2">
      <formula>AND($E2="",$D2&lt;&gt;"")</formula>
    </cfRule>
  </conditionalFormatting>
  <conditionalFormatting sqref="C2:C24">
    <cfRule type="expression" dxfId="3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10" sqref="H10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1" t="s">
        <v>56</v>
      </c>
      <c r="D1" s="95" t="s">
        <v>119</v>
      </c>
      <c r="E1" s="95" t="s">
        <v>16</v>
      </c>
      <c r="F1" s="48" t="s">
        <v>18</v>
      </c>
      <c r="G1" s="48" t="s">
        <v>19</v>
      </c>
      <c r="H1" s="98" t="s">
        <v>165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MAYONNAISE LC (35 viên)</v>
      </c>
      <c r="C2" s="92">
        <f>IFERROR(VLOOKUP($D2,'Tổng Đơn'!$A$5:$E$101,5,0),"")</f>
        <v>0.5</v>
      </c>
      <c r="D2" s="49">
        <v>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45000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Yummy LC</v>
      </c>
      <c r="C3" s="93">
        <f>IFERROR(VLOOKUP($D3,'Tổng Đơn'!$A$5:$E$101,5,0),"")</f>
        <v>0.5</v>
      </c>
      <c r="D3" s="49">
        <v>24</v>
      </c>
      <c r="E3" s="49">
        <v>1</v>
      </c>
      <c r="F3" s="55">
        <f>IF(AND($A3="",$A2&lt;&gt;""),"Tổng Cộng",IFERROR(VLOOKUP($D3,Sheet1!$A$3:$D$100,4,0),""))</f>
        <v>38000</v>
      </c>
      <c r="G3" s="56">
        <f>IF($A2=MAX($A$2:$A$50),SUM($G$2:$G2),IFERROR($F3*$E3,""))</f>
        <v>38000</v>
      </c>
      <c r="H3" s="96">
        <f t="shared" ref="H3:H24" si="1">IFERROR(E3*C3,"")</f>
        <v>0.5</v>
      </c>
      <c r="K3" s="50">
        <f>IFERROR(VLOOKUP($D3,Sheet1!$A$3:$D$100,4,0),"")</f>
        <v>38000</v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83000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9" priority="6">
      <formula>$A2=MAX($A$2:$A$21)</formula>
    </cfRule>
  </conditionalFormatting>
  <conditionalFormatting sqref="F4:G4 G5:G21">
    <cfRule type="expression" dxfId="28" priority="5">
      <formula>LEFT($F4,2)="KM"</formula>
    </cfRule>
  </conditionalFormatting>
  <conditionalFormatting sqref="F5:G21">
    <cfRule type="expression" dxfId="27" priority="4">
      <formula>LEFT($F5,2)="KM"</formula>
    </cfRule>
  </conditionalFormatting>
  <conditionalFormatting sqref="D2:D24">
    <cfRule type="expression" dxfId="26" priority="3">
      <formula>AND($D2="",$E2&lt;&gt;"")</formula>
    </cfRule>
  </conditionalFormatting>
  <conditionalFormatting sqref="E2:E24">
    <cfRule type="expression" dxfId="25" priority="2">
      <formula>AND($E2="",$D2&lt;&gt;"")</formula>
    </cfRule>
  </conditionalFormatting>
  <conditionalFormatting sqref="C2:C24">
    <cfRule type="expression" dxfId="2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1"/>
  </sheetPr>
  <dimension ref="A1:K47"/>
  <sheetViews>
    <sheetView tabSelected="1" zoomScaleNormal="100" workbookViewId="0">
      <pane ySplit="1" topLeftCell="A2" activePane="bottomLeft" state="frozen"/>
      <selection activeCell="H16" sqref="H16"/>
      <selection pane="bottomLeft" activeCell="A2" sqref="A2:XFD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1" t="s">
        <v>56</v>
      </c>
      <c r="D1" s="95" t="s">
        <v>119</v>
      </c>
      <c r="E1" s="95" t="s">
        <v>16</v>
      </c>
      <c r="F1" s="48" t="s">
        <v>18</v>
      </c>
      <c r="G1" s="48" t="s">
        <v>19</v>
      </c>
      <c r="H1" s="98" t="s">
        <v>164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Mực tẩm bột LC</v>
      </c>
      <c r="C2" s="92">
        <f>IFERROR(VLOOKUP($D2,'Tổng Đơn'!$A$5:$E$101,5,0),"")</f>
        <v>0.5</v>
      </c>
      <c r="D2" s="49">
        <v>6</v>
      </c>
      <c r="E2" s="49">
        <v>1</v>
      </c>
      <c r="F2" s="55">
        <f>IFERROR(VLOOKUP($D2,Sheet1!$A$3:$D$100,4,0),"")</f>
        <v>42000</v>
      </c>
      <c r="G2" s="56">
        <f>IFERROR($F2*$E2,"")</f>
        <v>42000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42000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Viên thả lẩu trứng tôm (Vàng)</v>
      </c>
      <c r="C3" s="93">
        <f>IFERROR(VLOOKUP($D3,'Tổng Đơn'!$A$5:$E$101,5,0),"")</f>
        <v>0.5</v>
      </c>
      <c r="D3" s="49">
        <v>15</v>
      </c>
      <c r="E3" s="49">
        <v>1</v>
      </c>
      <c r="F3" s="55">
        <f>IF(AND($A3="",$A2&lt;&gt;""),"Tổng Cộng",IFERROR(VLOOKUP($D3,Sheet1!$A$3:$D$100,4,0),""))</f>
        <v>45000</v>
      </c>
      <c r="G3" s="56">
        <f>IF($A2=MAX($A$2:$A$50),SUM($G$2:$G2),IFERROR($F3*$E3,""))</f>
        <v>45000</v>
      </c>
      <c r="H3" s="96">
        <f t="shared" ref="H3:H24" si="1">IFERROR(E3*C3,"")</f>
        <v>0.5</v>
      </c>
      <c r="K3" s="50">
        <f>IFERROR(VLOOKUP($D3,Sheet1!$A$3:$D$100,4,0),"")</f>
        <v>45000</v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87000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3" priority="6">
      <formula>$A2=MAX($A$2:$A$21)</formula>
    </cfRule>
  </conditionalFormatting>
  <conditionalFormatting sqref="F4:G4 G5:G21">
    <cfRule type="expression" dxfId="22" priority="5">
      <formula>LEFT($F4,2)="KM"</formula>
    </cfRule>
  </conditionalFormatting>
  <conditionalFormatting sqref="F5:G21">
    <cfRule type="expression" dxfId="21" priority="4">
      <formula>LEFT($F5,2)="KM"</formula>
    </cfRule>
  </conditionalFormatting>
  <conditionalFormatting sqref="D2:D24">
    <cfRule type="expression" dxfId="20" priority="3">
      <formula>AND($D2="",$E2&lt;&gt;"")</formula>
    </cfRule>
  </conditionalFormatting>
  <conditionalFormatting sqref="E2:E24">
    <cfRule type="expression" dxfId="19" priority="2">
      <formula>AND($E2="",$D2&lt;&gt;"")</formula>
    </cfRule>
  </conditionalFormatting>
  <conditionalFormatting sqref="C2:C24">
    <cfRule type="expression" dxfId="1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1" t="s">
        <v>56</v>
      </c>
      <c r="D1" s="95" t="s">
        <v>119</v>
      </c>
      <c r="E1" s="95" t="s">
        <v>16</v>
      </c>
      <c r="F1" s="48" t="s">
        <v>18</v>
      </c>
      <c r="G1" s="48" t="s">
        <v>19</v>
      </c>
      <c r="H1" s="98" t="s">
        <v>163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Hoành thánh chiên 500gr (60 viên)</v>
      </c>
      <c r="C2" s="92">
        <f>IFERROR(VLOOKUP($D2,'Tổng Đơn'!$A$5:$E$101,5,0),"")</f>
        <v>0.5</v>
      </c>
      <c r="D2" s="49">
        <v>8</v>
      </c>
      <c r="E2" s="49">
        <v>1</v>
      </c>
      <c r="F2" s="55">
        <f>IFERROR(VLOOKUP($D2,Sheet1!$A$3:$D$100,4,0),"")</f>
        <v>35000</v>
      </c>
      <c r="G2" s="56">
        <f>IFERROR($F2*$E2,"")</f>
        <v>35000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35000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Giò lụa lá</v>
      </c>
      <c r="C3" s="93">
        <f>IFERROR(VLOOKUP($D3,'Tổng Đơn'!$A$5:$E$101,5,0),"")</f>
        <v>0.5</v>
      </c>
      <c r="D3" s="49">
        <v>45</v>
      </c>
      <c r="E3" s="49">
        <v>1</v>
      </c>
      <c r="F3" s="55">
        <f>IF(AND($A3="",$A2&lt;&gt;""),"Tổng Cộng",IFERROR(VLOOKUP($D3,Sheet1!$A$3:$D$100,4,0),""))</f>
        <v>54000</v>
      </c>
      <c r="G3" s="56">
        <f>IF($A2=MAX($A$2:$A$50),SUM($G$2:$G2),IFERROR($F3*$E3,""))</f>
        <v>54000</v>
      </c>
      <c r="H3" s="96">
        <f t="shared" ref="H3:H24" si="1">IFERROR(E3*C3,"")</f>
        <v>0.5</v>
      </c>
      <c r="K3" s="50">
        <f>IFERROR(VLOOKUP($D3,Sheet1!$A$3:$D$100,4,0),"")</f>
        <v>54000</v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89000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7" priority="6">
      <formula>$A2=MAX($A$2:$A$21)</formula>
    </cfRule>
  </conditionalFormatting>
  <conditionalFormatting sqref="F4:G4 G5:G21">
    <cfRule type="expression" dxfId="16" priority="5">
      <formula>LEFT($F4,2)="KM"</formula>
    </cfRule>
  </conditionalFormatting>
  <conditionalFormatting sqref="F5:G21">
    <cfRule type="expression" dxfId="15" priority="4">
      <formula>LEFT($F5,2)="KM"</formula>
    </cfRule>
  </conditionalFormatting>
  <conditionalFormatting sqref="D2:D24">
    <cfRule type="expression" dxfId="14" priority="3">
      <formula>AND($D2="",$E2&lt;&gt;"")</formula>
    </cfRule>
  </conditionalFormatting>
  <conditionalFormatting sqref="E2:E24">
    <cfRule type="expression" dxfId="13" priority="2">
      <formula>AND($E2="",$D2&lt;&gt;"")</formula>
    </cfRule>
  </conditionalFormatting>
  <conditionalFormatting sqref="C2:C24">
    <cfRule type="expression" dxfId="1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8" sqref="H8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1" t="s">
        <v>56</v>
      </c>
      <c r="D1" s="95" t="s">
        <v>119</v>
      </c>
      <c r="E1" s="95" t="s">
        <v>16</v>
      </c>
      <c r="F1" s="48" t="s">
        <v>18</v>
      </c>
      <c r="G1" s="48" t="s">
        <v>19</v>
      </c>
      <c r="H1" s="98" t="s">
        <v>162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Thanh cua LC</v>
      </c>
      <c r="C2" s="92">
        <f>IFERROR(VLOOKUP($D2,'Tổng Đơn'!$A$5:$E$101,5,0),"")</f>
        <v>0.25</v>
      </c>
      <c r="D2" s="49">
        <v>7</v>
      </c>
      <c r="E2" s="49">
        <v>2</v>
      </c>
      <c r="F2" s="55">
        <f>IFERROR(VLOOKUP($D2,Sheet1!$A$3:$D$100,4,0),"")</f>
        <v>34000</v>
      </c>
      <c r="G2" s="56">
        <f>IFERROR($F2*$E2,"")</f>
        <v>68000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34000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Đức HS ĐNA</v>
      </c>
      <c r="C3" s="93">
        <f>IFERROR(VLOOKUP($D3,'Tổng Đơn'!$A$5:$E$101,5,0),"")</f>
        <v>0.5</v>
      </c>
      <c r="D3" s="49">
        <v>21</v>
      </c>
      <c r="E3" s="49">
        <v>2</v>
      </c>
      <c r="F3" s="55">
        <f>IF(AND($A3="",$A2&lt;&gt;""),"Tổng Cộng",IFERROR(VLOOKUP($D3,Sheet1!$A$3:$D$100,4,0),""))</f>
        <v>33000</v>
      </c>
      <c r="G3" s="56">
        <f>IF($A2=MAX($A$2:$A$50),SUM($G$2:$G2),IFERROR($F3*$E3,""))</f>
        <v>66000</v>
      </c>
      <c r="H3" s="96">
        <f t="shared" ref="H3:H24" si="1">IFERROR(E3*C3,"")</f>
        <v>1</v>
      </c>
      <c r="K3" s="50">
        <f>IFERROR(VLOOKUP($D3,Sheet1!$A$3:$D$100,4,0),"")</f>
        <v>33000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Đậu hủ phô mai</v>
      </c>
      <c r="C4" s="93">
        <f>IFERROR(VLOOKUP($D4,'Tổng Đơn'!$A$5:$E$101,5,0),"")</f>
        <v>0.5</v>
      </c>
      <c r="D4" s="49">
        <v>18</v>
      </c>
      <c r="E4" s="49">
        <v>2</v>
      </c>
      <c r="F4" s="55">
        <f>IF(AND($A4="",$A3&lt;&gt;""),"Tổng Cộng",IFERROR(VLOOKUP($D4,Sheet1!$A$3:$D$100,4,0),""))</f>
        <v>55000</v>
      </c>
      <c r="G4" s="56">
        <f>IF($A3=MAX($A$2:$A$50),SUM($G$2:$G3),IFERROR($F4*$E4,""))</f>
        <v>110000</v>
      </c>
      <c r="H4" s="96">
        <f t="shared" si="1"/>
        <v>1</v>
      </c>
      <c r="I4" s="52"/>
      <c r="K4" s="50">
        <f>IFERROR(VLOOKUP($D4,Sheet1!$A$3:$D$100,4,0),"")</f>
        <v>55000</v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>Tổng Cộng</v>
      </c>
      <c r="G5" s="56">
        <f>IF($A4=MAX($A$2:$A$50),SUM($G$2:$G4),IFERROR($F5*$E5,""))</f>
        <v>244000</v>
      </c>
      <c r="H5" s="96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1" priority="6">
      <formula>$A2=MAX($A$2:$A$21)</formula>
    </cfRule>
  </conditionalFormatting>
  <conditionalFormatting sqref="F4:G4 G5:G21">
    <cfRule type="expression" dxfId="10" priority="5">
      <formula>LEFT($F4,2)="KM"</formula>
    </cfRule>
  </conditionalFormatting>
  <conditionalFormatting sqref="F5:G21">
    <cfRule type="expression" dxfId="9" priority="4">
      <formula>LEFT($F5,2)="KM"</formula>
    </cfRule>
  </conditionalFormatting>
  <conditionalFormatting sqref="D2:D24">
    <cfRule type="expression" dxfId="8" priority="3">
      <formula>AND($D2="",$E2&lt;&gt;"")</formula>
    </cfRule>
  </conditionalFormatting>
  <conditionalFormatting sqref="E2:E24">
    <cfRule type="expression" dxfId="7" priority="2">
      <formula>AND($E2="",$D2&lt;&gt;"")</formula>
    </cfRule>
  </conditionalFormatting>
  <conditionalFormatting sqref="C2:C24">
    <cfRule type="expression" dxfId="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E10" sqref="E10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1" t="s">
        <v>56</v>
      </c>
      <c r="D1" s="95" t="s">
        <v>119</v>
      </c>
      <c r="E1" s="95" t="s">
        <v>16</v>
      </c>
      <c r="F1" s="48" t="s">
        <v>18</v>
      </c>
      <c r="G1" s="48" t="s">
        <v>19</v>
      </c>
      <c r="H1" s="98" t="s">
        <v>161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Phô mai que (13 que)</v>
      </c>
      <c r="C2" s="92">
        <f>IFERROR(VLOOKUP($D2,'Tổng Đơn'!$A$5:$E$101,5,0),"")</f>
        <v>0.5</v>
      </c>
      <c r="D2" s="49">
        <v>16</v>
      </c>
      <c r="E2" s="49">
        <v>1</v>
      </c>
      <c r="F2" s="55">
        <f>IFERROR(VLOOKUP($D2,Sheet1!$A$3:$D$100,4,0),"")</f>
        <v>40000</v>
      </c>
      <c r="G2" s="56">
        <f>IFERROR($F2*$E2,"")</f>
        <v>40000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40000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viên (35v)</v>
      </c>
      <c r="C3" s="93">
        <f>IFERROR(VLOOKUP($D3,'Tổng Đơn'!$A$5:$E$101,5,0),"")</f>
        <v>0.5</v>
      </c>
      <c r="D3" s="49">
        <v>17</v>
      </c>
      <c r="E3" s="49">
        <v>1</v>
      </c>
      <c r="F3" s="55">
        <f>IF(AND($A3="",$A2&lt;&gt;""),"Tổng Cộng",IFERROR(VLOOKUP($D3,Sheet1!$A$3:$D$100,4,0),""))</f>
        <v>40000</v>
      </c>
      <c r="G3" s="56">
        <f>IF($A2=MAX($A$2:$A$50),SUM($G$2:$G2),IFERROR($F3*$E3,""))</f>
        <v>40000</v>
      </c>
      <c r="H3" s="96">
        <f t="shared" ref="H3:H24" si="1">IFERROR(E3*C3,"")</f>
        <v>0.5</v>
      </c>
      <c r="K3" s="50">
        <f>IFERROR(VLOOKUP($D3,Sheet1!$A$3:$D$100,4,0),"")</f>
        <v>40000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Hoành thánh chiên 500gr (60 viên)</v>
      </c>
      <c r="C4" s="93">
        <f>IFERROR(VLOOKUP($D4,'Tổng Đơn'!$A$5:$E$101,5,0),"")</f>
        <v>0.5</v>
      </c>
      <c r="D4" s="49">
        <v>8</v>
      </c>
      <c r="E4" s="49">
        <v>1</v>
      </c>
      <c r="F4" s="55">
        <f>IF(AND($A4="",$A3&lt;&gt;""),"Tổng Cộng",IFERROR(VLOOKUP($D4,Sheet1!$A$3:$D$100,4,0),""))</f>
        <v>35000</v>
      </c>
      <c r="G4" s="56">
        <f>IF($A3=MAX($A$2:$A$50),SUM($G$2:$G3),IFERROR($F4*$E4,""))</f>
        <v>35000</v>
      </c>
      <c r="H4" s="96">
        <f t="shared" si="1"/>
        <v>0.5</v>
      </c>
      <c r="I4" s="52"/>
      <c r="K4" s="50">
        <f>IFERROR(VLOOKUP($D4,Sheet1!$A$3:$D$100,4,0),"")</f>
        <v>35000</v>
      </c>
    </row>
    <row r="5" spans="1:11" s="47" customFormat="1" ht="24.95" customHeight="1" x14ac:dyDescent="0.25">
      <c r="A5" s="53">
        <f t="shared" si="0"/>
        <v>4</v>
      </c>
      <c r="B5" s="54" t="str">
        <f>IFERROR(VLOOKUP($D5,Sheet1!$A$3:$B$100,2,0),"")</f>
        <v>Cốm xanh</v>
      </c>
      <c r="C5" s="93">
        <f>IFERROR(VLOOKUP($D5,'Tổng Đơn'!$A$5:$E$101,5,0),"")</f>
        <v>0.5</v>
      </c>
      <c r="D5" s="49">
        <v>48</v>
      </c>
      <c r="E5" s="49">
        <v>1</v>
      </c>
      <c r="F5" s="55">
        <f>IF(AND($A5="",$A4&lt;&gt;""),"Tổng Cộng",IFERROR(VLOOKUP($D5,Sheet1!$A$3:$D$100,4,0),""))</f>
        <v>35000</v>
      </c>
      <c r="G5" s="56">
        <f>IF($A4=MAX($A$2:$A$50),SUM($G$2:$G4),IFERROR($F5*$E5,""))</f>
        <v>35000</v>
      </c>
      <c r="H5" s="96">
        <f t="shared" si="1"/>
        <v>0.5</v>
      </c>
      <c r="K5" s="50">
        <f>IFERROR(VLOOKUP($D5,Sheet1!$A$3:$D$100,4,0),"")</f>
        <v>35000</v>
      </c>
    </row>
    <row r="6" spans="1:11" s="47" customFormat="1" ht="24.95" customHeight="1" x14ac:dyDescent="0.25">
      <c r="A6" s="53">
        <f t="shared" si="0"/>
        <v>5</v>
      </c>
      <c r="B6" s="54" t="str">
        <f>IFERROR(VLOOKUP($D6,Sheet1!$A$3:$B$100,2,0),"")</f>
        <v>Chả tôm hình Surimi LC</v>
      </c>
      <c r="C6" s="93">
        <f>IFERROR(VLOOKUP($D6,'Tổng Đơn'!$A$5:$E$101,5,0),"")</f>
        <v>0.5</v>
      </c>
      <c r="D6" s="49">
        <v>5</v>
      </c>
      <c r="E6" s="49">
        <v>1</v>
      </c>
      <c r="F6" s="55">
        <f>IF(AND($A6="",$A5&lt;&gt;""),"Tổng Cộng",IFERROR(VLOOKUP($D6,Sheet1!$A$3:$D$100,4,0),""))</f>
        <v>38000</v>
      </c>
      <c r="G6" s="56">
        <f>IF($A5=MAX($A$2:$A$50),SUM($G$2:$G5),IFERROR($F6*$E6,""))</f>
        <v>38000</v>
      </c>
      <c r="H6" s="96">
        <f t="shared" si="1"/>
        <v>0.5</v>
      </c>
      <c r="I6" s="60"/>
      <c r="K6" s="50">
        <f>IFERROR(VLOOKUP($D6,Sheet1!$A$3:$D$100,4,0),"")</f>
        <v>38000</v>
      </c>
    </row>
    <row r="7" spans="1:11" s="47" customFormat="1" ht="24.95" customHeight="1" x14ac:dyDescent="0.25">
      <c r="A7" s="53">
        <f t="shared" si="0"/>
        <v>6</v>
      </c>
      <c r="B7" s="54" t="str">
        <f>IFERROR(VLOOKUP($D7,Sheet1!$A$3:$B$100,2,0),"")</f>
        <v>Mực tẩm bột LC</v>
      </c>
      <c r="C7" s="93">
        <f>IFERROR(VLOOKUP($D7,'Tổng Đơn'!$A$5:$E$101,5,0),"")</f>
        <v>0.5</v>
      </c>
      <c r="D7" s="49">
        <v>6</v>
      </c>
      <c r="E7" s="49">
        <v>1</v>
      </c>
      <c r="F7" s="55">
        <f>IF(AND($A7="",$A6&lt;&gt;""),"Tổng Cộng",IFERROR(VLOOKUP($D7,Sheet1!$A$3:$D$100,4,0),""))</f>
        <v>42000</v>
      </c>
      <c r="G7" s="56">
        <f>IF($A6=MAX($A$2:$A$50),SUM($G$2:$G6),IFERROR($F7*$E7,""))</f>
        <v>42000</v>
      </c>
      <c r="H7" s="96">
        <f t="shared" si="1"/>
        <v>0.5</v>
      </c>
      <c r="K7" s="50">
        <f>IFERROR(VLOOKUP($D7,Sheet1!$A$3:$D$100,4,0),"")</f>
        <v>42000</v>
      </c>
    </row>
    <row r="8" spans="1:11" s="47" customFormat="1" ht="24.95" customHeight="1" x14ac:dyDescent="0.25">
      <c r="A8" s="53">
        <f t="shared" si="0"/>
        <v>7</v>
      </c>
      <c r="B8" s="54" t="str">
        <f>IFERROR(VLOOKUP($D8,Sheet1!$A$3:$B$100,2,0),"")</f>
        <v>Cá viên LC</v>
      </c>
      <c r="C8" s="93">
        <f>IFERROR(VLOOKUP($D8,'Tổng Đơn'!$A$5:$E$101,5,0),"")</f>
        <v>0.5</v>
      </c>
      <c r="D8" s="49">
        <v>1</v>
      </c>
      <c r="E8" s="49">
        <v>2</v>
      </c>
      <c r="F8" s="55">
        <f>IF(AND($A8="",$A7&lt;&gt;""),"Tổng Cộng",IFERROR(VLOOKUP($D8,Sheet1!$A$3:$D$100,4,0),""))</f>
        <v>27000</v>
      </c>
      <c r="G8" s="56">
        <f>IF($A7=MAX($A$2:$A$50),SUM($G$2:$G7),IFERROR($F8*$E8,""))</f>
        <v>54000</v>
      </c>
      <c r="H8" s="96">
        <f t="shared" si="1"/>
        <v>1</v>
      </c>
      <c r="K8" s="50">
        <f>IFERROR(VLOOKUP($D8,Sheet1!$A$3:$D$100,4,0),"")</f>
        <v>27000</v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>Tổng Cộng</v>
      </c>
      <c r="G9" s="56">
        <f>IF($A8=MAX($A$2:$A$50),SUM($G$2:$G8),IFERROR($F9*$E9,""))</f>
        <v>284000</v>
      </c>
      <c r="H9" s="96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" priority="6">
      <formula>$A2=MAX($A$2:$A$21)</formula>
    </cfRule>
  </conditionalFormatting>
  <conditionalFormatting sqref="F4:G4 G5:G21">
    <cfRule type="expression" dxfId="4" priority="5">
      <formula>LEFT($F4,2)="KM"</formula>
    </cfRule>
  </conditionalFormatting>
  <conditionalFormatting sqref="F5:G21">
    <cfRule type="expression" dxfId="3" priority="4">
      <formula>LEFT($F5,2)="KM"</formula>
    </cfRule>
  </conditionalFormatting>
  <conditionalFormatting sqref="D2:D24">
    <cfRule type="expression" dxfId="2" priority="3">
      <formula>AND($D2="",$E2&lt;&gt;"")</formula>
    </cfRule>
  </conditionalFormatting>
  <conditionalFormatting sqref="E2:E24">
    <cfRule type="expression" dxfId="1" priority="2">
      <formula>AND($E2="",$D2&lt;&gt;"")</formula>
    </cfRule>
  </conditionalFormatting>
  <conditionalFormatting sqref="C2:C24">
    <cfRule type="expression" dxfId="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36"/>
  <sheetViews>
    <sheetView workbookViewId="0">
      <pane ySplit="2" topLeftCell="A3" activePane="bottomLeft" state="frozen"/>
      <selection activeCell="Q5" sqref="Q5:Q22"/>
      <selection pane="bottomLeft" activeCell="H13" sqref="H13"/>
    </sheetView>
  </sheetViews>
  <sheetFormatPr defaultRowHeight="15" x14ac:dyDescent="0.25"/>
  <cols>
    <col min="1" max="1" width="7.140625" style="59" customWidth="1"/>
    <col min="2" max="2" width="37" style="59" customWidth="1"/>
    <col min="3" max="3" width="10.5703125" style="15" customWidth="1"/>
    <col min="4" max="4" width="13.140625" style="15" bestFit="1" customWidth="1"/>
    <col min="5" max="5" width="17.7109375" style="15" bestFit="1" customWidth="1"/>
    <col min="6" max="6" width="19.140625" style="59" bestFit="1" customWidth="1"/>
    <col min="7" max="7" width="14.7109375" style="59" customWidth="1"/>
    <col min="8" max="10" width="9.140625" style="59"/>
    <col min="11" max="11" width="10.5703125" style="59" bestFit="1" customWidth="1"/>
    <col min="12" max="16384" width="9.140625" style="59"/>
  </cols>
  <sheetData>
    <row r="1" spans="1:11" ht="18" customHeight="1" x14ac:dyDescent="0.25">
      <c r="D1" s="58" t="s">
        <v>120</v>
      </c>
      <c r="E1" s="58" t="s">
        <v>124</v>
      </c>
      <c r="F1" s="77" t="s">
        <v>121</v>
      </c>
      <c r="G1" s="77" t="s">
        <v>125</v>
      </c>
    </row>
    <row r="2" spans="1:11" s="79" customFormat="1" ht="26.25" customHeight="1" x14ac:dyDescent="0.25">
      <c r="C2" s="80"/>
      <c r="D2" s="81">
        <f>SUBTOTAL(9,D3:D35)</f>
        <v>0</v>
      </c>
      <c r="E2" s="81">
        <f t="shared" ref="E2:G2" si="0">SUBTOTAL(9,E3:E35)</f>
        <v>0</v>
      </c>
      <c r="F2" s="81">
        <f t="shared" si="0"/>
        <v>0</v>
      </c>
      <c r="G2" s="81">
        <f t="shared" si="0"/>
        <v>0</v>
      </c>
      <c r="I2" s="82" t="e">
        <f>G2/F2*100</f>
        <v>#DIV/0!</v>
      </c>
      <c r="K2" s="83">
        <f>F2-450000</f>
        <v>-450000</v>
      </c>
    </row>
    <row r="3" spans="1:11" s="15" customFormat="1" x14ac:dyDescent="0.25">
      <c r="A3" s="59">
        <v>1</v>
      </c>
      <c r="B3" s="59" t="s">
        <v>26</v>
      </c>
      <c r="C3" s="15" t="s">
        <v>109</v>
      </c>
      <c r="E3" s="66"/>
      <c r="F3" s="76"/>
      <c r="G3" s="78"/>
    </row>
    <row r="4" spans="1:11" x14ac:dyDescent="0.25">
      <c r="A4" s="59">
        <v>2</v>
      </c>
      <c r="B4" s="59" t="s">
        <v>1</v>
      </c>
      <c r="C4" s="15" t="s">
        <v>110</v>
      </c>
      <c r="E4" s="66"/>
      <c r="F4" s="76"/>
      <c r="G4" s="78"/>
    </row>
    <row r="5" spans="1:11" x14ac:dyDescent="0.25">
      <c r="A5" s="59">
        <v>3</v>
      </c>
      <c r="B5" s="59" t="s">
        <v>2</v>
      </c>
      <c r="C5" s="15" t="s">
        <v>111</v>
      </c>
      <c r="E5" s="66"/>
      <c r="F5" s="76"/>
      <c r="G5" s="78"/>
    </row>
    <row r="6" spans="1:11" x14ac:dyDescent="0.25">
      <c r="A6" s="59">
        <v>5</v>
      </c>
      <c r="B6" s="59" t="s">
        <v>31</v>
      </c>
      <c r="C6" s="15" t="s">
        <v>113</v>
      </c>
      <c r="E6" s="66"/>
      <c r="F6" s="76"/>
      <c r="G6" s="78"/>
    </row>
    <row r="7" spans="1:11" x14ac:dyDescent="0.25">
      <c r="A7" s="59">
        <v>7</v>
      </c>
      <c r="B7" s="59" t="s">
        <v>27</v>
      </c>
      <c r="C7" s="15" t="s">
        <v>115</v>
      </c>
      <c r="E7" s="66"/>
      <c r="F7" s="76"/>
      <c r="G7" s="78"/>
    </row>
    <row r="8" spans="1:11" x14ac:dyDescent="0.25">
      <c r="A8" s="59">
        <v>8</v>
      </c>
      <c r="B8" s="59" t="s">
        <v>62</v>
      </c>
      <c r="C8" s="15" t="s">
        <v>116</v>
      </c>
      <c r="E8" s="66"/>
      <c r="F8" s="76"/>
      <c r="G8" s="78"/>
    </row>
    <row r="9" spans="1:11" x14ac:dyDescent="0.25">
      <c r="A9" s="59">
        <v>9</v>
      </c>
      <c r="B9" s="59" t="s">
        <v>32</v>
      </c>
      <c r="C9" s="15" t="s">
        <v>117</v>
      </c>
      <c r="E9" s="66"/>
      <c r="F9" s="76"/>
      <c r="G9" s="78"/>
    </row>
    <row r="10" spans="1:11" x14ac:dyDescent="0.25">
      <c r="A10" s="59">
        <v>10</v>
      </c>
      <c r="B10" s="59" t="s">
        <v>6</v>
      </c>
      <c r="C10" s="15" t="s">
        <v>70</v>
      </c>
      <c r="E10" s="66"/>
      <c r="F10" s="76"/>
      <c r="G10" s="78"/>
    </row>
    <row r="11" spans="1:11" x14ac:dyDescent="0.25">
      <c r="A11" s="59">
        <v>11</v>
      </c>
      <c r="B11" s="59" t="s">
        <v>59</v>
      </c>
      <c r="C11" s="15" t="s">
        <v>71</v>
      </c>
      <c r="E11" s="66"/>
      <c r="F11" s="76"/>
      <c r="G11" s="78"/>
    </row>
    <row r="12" spans="1:11" x14ac:dyDescent="0.25">
      <c r="A12" s="59">
        <v>16</v>
      </c>
      <c r="B12" s="59" t="s">
        <v>5</v>
      </c>
      <c r="C12" s="15" t="s">
        <v>76</v>
      </c>
      <c r="E12" s="66"/>
      <c r="F12" s="76"/>
      <c r="G12" s="78"/>
    </row>
    <row r="13" spans="1:11" x14ac:dyDescent="0.25">
      <c r="A13" s="59">
        <v>17</v>
      </c>
      <c r="B13" s="59" t="s">
        <v>4</v>
      </c>
      <c r="C13" s="15" t="s">
        <v>77</v>
      </c>
      <c r="E13" s="66"/>
      <c r="F13" s="76"/>
      <c r="G13" s="78"/>
    </row>
    <row r="14" spans="1:11" x14ac:dyDescent="0.25">
      <c r="A14" s="59">
        <v>18</v>
      </c>
      <c r="B14" s="59" t="s">
        <v>9</v>
      </c>
      <c r="C14" s="15" t="s">
        <v>78</v>
      </c>
      <c r="E14" s="66"/>
      <c r="F14" s="76"/>
      <c r="G14" s="78"/>
    </row>
    <row r="15" spans="1:11" x14ac:dyDescent="0.25">
      <c r="A15" s="59">
        <v>19</v>
      </c>
      <c r="B15" s="59" t="s">
        <v>13</v>
      </c>
      <c r="C15" s="15" t="s">
        <v>79</v>
      </c>
      <c r="E15" s="66"/>
      <c r="F15" s="76"/>
      <c r="G15" s="78"/>
    </row>
    <row r="16" spans="1:11" x14ac:dyDescent="0.25">
      <c r="A16" s="59">
        <v>20</v>
      </c>
      <c r="B16" s="59" t="s">
        <v>12</v>
      </c>
      <c r="C16" s="15" t="s">
        <v>80</v>
      </c>
      <c r="E16" s="66"/>
      <c r="F16" s="76"/>
      <c r="G16" s="78"/>
    </row>
    <row r="17" spans="1:7" x14ac:dyDescent="0.25">
      <c r="A17" s="59">
        <v>21</v>
      </c>
      <c r="B17" s="59" t="s">
        <v>14</v>
      </c>
      <c r="C17" s="15" t="s">
        <v>81</v>
      </c>
      <c r="E17" s="66"/>
      <c r="F17" s="76"/>
      <c r="G17" s="78"/>
    </row>
    <row r="18" spans="1:7" x14ac:dyDescent="0.25">
      <c r="A18" s="59">
        <v>22</v>
      </c>
      <c r="B18" s="59" t="s">
        <v>7</v>
      </c>
      <c r="C18" s="15" t="s">
        <v>82</v>
      </c>
      <c r="E18" s="66"/>
      <c r="F18" s="76"/>
      <c r="G18" s="78"/>
    </row>
    <row r="19" spans="1:7" x14ac:dyDescent="0.25">
      <c r="A19" s="59">
        <v>23</v>
      </c>
      <c r="B19" s="59" t="s">
        <v>8</v>
      </c>
      <c r="C19" s="15" t="s">
        <v>83</v>
      </c>
      <c r="E19" s="66"/>
      <c r="F19" s="76"/>
      <c r="G19" s="78"/>
    </row>
    <row r="20" spans="1:7" x14ac:dyDescent="0.25">
      <c r="A20" s="59">
        <v>24</v>
      </c>
      <c r="B20" s="59" t="s">
        <v>28</v>
      </c>
      <c r="C20" s="15" t="s">
        <v>84</v>
      </c>
      <c r="E20" s="66"/>
      <c r="F20" s="76"/>
      <c r="G20" s="78"/>
    </row>
    <row r="21" spans="1:7" x14ac:dyDescent="0.25">
      <c r="A21" s="59">
        <v>26</v>
      </c>
      <c r="B21" s="59" t="s">
        <v>30</v>
      </c>
      <c r="C21" s="15" t="s">
        <v>86</v>
      </c>
      <c r="E21" s="66"/>
      <c r="F21" s="76"/>
      <c r="G21" s="78"/>
    </row>
    <row r="22" spans="1:7" x14ac:dyDescent="0.25">
      <c r="A22" s="59">
        <v>29</v>
      </c>
      <c r="B22" s="59" t="s">
        <v>39</v>
      </c>
      <c r="C22" s="15" t="s">
        <v>89</v>
      </c>
      <c r="E22" s="66"/>
      <c r="F22" s="76"/>
      <c r="G22" s="78"/>
    </row>
    <row r="23" spans="1:7" x14ac:dyDescent="0.25">
      <c r="A23" s="59">
        <v>30</v>
      </c>
      <c r="B23" s="59" t="s">
        <v>40</v>
      </c>
      <c r="C23" s="15" t="s">
        <v>90</v>
      </c>
      <c r="E23" s="66"/>
      <c r="F23" s="76"/>
      <c r="G23" s="78"/>
    </row>
    <row r="24" spans="1:7" x14ac:dyDescent="0.25">
      <c r="A24" s="59">
        <v>31</v>
      </c>
      <c r="B24" s="59" t="s">
        <v>68</v>
      </c>
      <c r="C24" s="15" t="s">
        <v>91</v>
      </c>
      <c r="E24" s="66"/>
      <c r="F24" s="76"/>
      <c r="G24" s="78"/>
    </row>
    <row r="25" spans="1:7" x14ac:dyDescent="0.25">
      <c r="A25" s="59">
        <v>32</v>
      </c>
      <c r="B25" s="59" t="s">
        <v>41</v>
      </c>
      <c r="C25" s="15" t="s">
        <v>92</v>
      </c>
      <c r="E25" s="66"/>
      <c r="F25" s="76"/>
      <c r="G25" s="78"/>
    </row>
    <row r="26" spans="1:7" x14ac:dyDescent="0.25">
      <c r="A26" s="59">
        <v>33</v>
      </c>
      <c r="B26" s="59" t="s">
        <v>42</v>
      </c>
      <c r="C26" s="15" t="s">
        <v>93</v>
      </c>
      <c r="E26" s="66"/>
      <c r="F26" s="76"/>
      <c r="G26" s="78"/>
    </row>
    <row r="27" spans="1:7" x14ac:dyDescent="0.25">
      <c r="A27" s="59">
        <v>34</v>
      </c>
      <c r="B27" s="59" t="s">
        <v>43</v>
      </c>
      <c r="C27" s="15" t="s">
        <v>94</v>
      </c>
      <c r="E27" s="66"/>
      <c r="F27" s="76"/>
      <c r="G27" s="78"/>
    </row>
    <row r="28" spans="1:7" x14ac:dyDescent="0.25">
      <c r="A28" s="59">
        <v>35</v>
      </c>
      <c r="B28" s="59" t="s">
        <v>44</v>
      </c>
      <c r="C28" s="15" t="s">
        <v>95</v>
      </c>
      <c r="E28" s="66"/>
      <c r="F28" s="76"/>
      <c r="G28" s="78"/>
    </row>
    <row r="29" spans="1:7" x14ac:dyDescent="0.25">
      <c r="A29" s="59">
        <v>37</v>
      </c>
      <c r="B29" s="59" t="s">
        <v>50</v>
      </c>
      <c r="C29" s="15" t="s">
        <v>97</v>
      </c>
      <c r="E29" s="66"/>
      <c r="F29" s="76"/>
      <c r="G29" s="78"/>
    </row>
    <row r="30" spans="1:7" x14ac:dyDescent="0.25">
      <c r="A30" s="59">
        <v>38</v>
      </c>
      <c r="B30" s="59" t="s">
        <v>46</v>
      </c>
      <c r="C30" s="15" t="s">
        <v>98</v>
      </c>
      <c r="E30" s="66"/>
      <c r="F30" s="76"/>
      <c r="G30" s="78"/>
    </row>
    <row r="31" spans="1:7" x14ac:dyDescent="0.25">
      <c r="A31" s="59">
        <v>40</v>
      </c>
      <c r="B31" s="59" t="s">
        <v>48</v>
      </c>
      <c r="C31" s="15" t="s">
        <v>100</v>
      </c>
      <c r="E31" s="66"/>
      <c r="F31" s="76"/>
      <c r="G31" s="78"/>
    </row>
    <row r="32" spans="1:7" x14ac:dyDescent="0.25">
      <c r="A32" s="59">
        <v>41</v>
      </c>
      <c r="B32" s="59" t="s">
        <v>38</v>
      </c>
      <c r="C32" s="15" t="s">
        <v>101</v>
      </c>
      <c r="E32" s="66"/>
      <c r="F32" s="76"/>
      <c r="G32" s="78"/>
    </row>
    <row r="33" spans="1:7" x14ac:dyDescent="0.25">
      <c r="A33" s="59">
        <v>42</v>
      </c>
      <c r="B33" s="59" t="s">
        <v>51</v>
      </c>
      <c r="C33" s="15" t="s">
        <v>102</v>
      </c>
      <c r="E33" s="66"/>
      <c r="F33" s="76"/>
      <c r="G33" s="78"/>
    </row>
    <row r="34" spans="1:7" x14ac:dyDescent="0.25">
      <c r="A34" s="59">
        <v>43</v>
      </c>
      <c r="B34" s="59" t="s">
        <v>37</v>
      </c>
      <c r="C34" s="15" t="s">
        <v>103</v>
      </c>
      <c r="E34" s="66"/>
      <c r="F34" s="76"/>
      <c r="G34" s="78"/>
    </row>
    <row r="35" spans="1:7" x14ac:dyDescent="0.25">
      <c r="A35" s="59">
        <v>46</v>
      </c>
      <c r="B35" s="59" t="s">
        <v>47</v>
      </c>
      <c r="C35" s="15" t="s">
        <v>106</v>
      </c>
      <c r="E35" s="66"/>
      <c r="F35" s="76"/>
      <c r="G35" s="78"/>
    </row>
    <row r="36" spans="1:7" x14ac:dyDescent="0.25">
      <c r="A36" s="59">
        <v>47</v>
      </c>
      <c r="B36" s="59" t="s">
        <v>126</v>
      </c>
      <c r="C36" s="15" t="s">
        <v>127</v>
      </c>
    </row>
  </sheetData>
  <autoFilter ref="A2:G35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TVP</vt:lpstr>
      <vt:lpstr>La Cusina</vt:lpstr>
      <vt:lpstr>Quốc Nhân</vt:lpstr>
      <vt:lpstr>Sheet3</vt:lpstr>
      <vt:lpstr>Giá TVP</vt:lpstr>
      <vt:lpstr>Chi phí</vt:lpstr>
      <vt:lpstr>Sheet1</vt:lpstr>
      <vt:lpstr>Tổng Đơn</vt:lpstr>
      <vt:lpstr>Thanh Toán (12)</vt:lpstr>
      <vt:lpstr>Thanh Toán (11)</vt:lpstr>
      <vt:lpstr>Thanh Toán</vt:lpstr>
      <vt:lpstr>Thanh Toán (10)</vt:lpstr>
      <vt:lpstr>Thanh Toán (9)</vt:lpstr>
      <vt:lpstr>Thanh Toán (8)</vt:lpstr>
      <vt:lpstr>Thanh Toán (7)</vt:lpstr>
      <vt:lpstr>Thanh Toán (6)</vt:lpstr>
      <vt:lpstr>Thanh Toán (5)</vt:lpstr>
      <vt:lpstr>Thanh Toán (4)</vt:lpstr>
      <vt:lpstr>Thanh Toán (3)</vt:lpstr>
      <vt:lpstr>Thanh Toán (2)</vt:lpstr>
      <vt:lpstr>DS KHÁCH HÀNG KM (2)</vt:lpstr>
      <vt:lpstr>'Giá TVP'!Print_Area</vt:lpstr>
      <vt:lpstr>Sheet3!Print_Area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2021-12-21T16:41:02Z</cp:lastPrinted>
  <dcterms:created xsi:type="dcterms:W3CDTF">2021-12-17T01:18:08Z</dcterms:created>
  <dcterms:modified xsi:type="dcterms:W3CDTF">2021-12-25T00:22:46Z</dcterms:modified>
</cp:coreProperties>
</file>