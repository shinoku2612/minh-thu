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activeTab="8"/>
  </bookViews>
  <sheets>
    <sheet name="Hàng tặng TVP" sheetId="120" r:id="rId1"/>
    <sheet name="TVP" sheetId="5" r:id="rId2"/>
    <sheet name="La Cusina" sheetId="4" r:id="rId3"/>
    <sheet name="Quốc Nhân" sheetId="1" r:id="rId4"/>
    <sheet name="Sheet3" sheetId="3" state="hidden" r:id="rId5"/>
    <sheet name="Giá TVP" sheetId="7" state="hidden" r:id="rId6"/>
    <sheet name="Chi phí" sheetId="95" r:id="rId7"/>
    <sheet name="Sheet1" sheetId="8" r:id="rId8"/>
    <sheet name="Tổng Đơn" sheetId="50" r:id="rId9"/>
    <sheet name="Thanh Toán" sheetId="9" r:id="rId10"/>
    <sheet name="Thanh Toán (15)" sheetId="134" r:id="rId11"/>
    <sheet name="Thanh Toán (14)" sheetId="133" r:id="rId12"/>
    <sheet name="Thanh Toán (13)" sheetId="132" r:id="rId13"/>
    <sheet name="Thanh Toán (12)" sheetId="131" r:id="rId14"/>
    <sheet name="Thanh Toán (11)" sheetId="130" r:id="rId15"/>
    <sheet name="Thanh Toán (10)" sheetId="129" r:id="rId16"/>
    <sheet name="Thanh Toán (9)" sheetId="128" r:id="rId17"/>
    <sheet name="Thanh Toán (8)" sheetId="127" r:id="rId18"/>
    <sheet name="Thanh Toán (7)" sheetId="126" r:id="rId19"/>
    <sheet name="Thanh Toán (6)" sheetId="125" r:id="rId20"/>
    <sheet name="Thanh Toán (5)" sheetId="124" r:id="rId21"/>
    <sheet name="Thanh Toán (4)" sheetId="123" r:id="rId22"/>
    <sheet name="Thanh Toán (3)" sheetId="122" r:id="rId23"/>
    <sheet name="Thanh Toán (2)" sheetId="121" r:id="rId24"/>
    <sheet name="DS KHÁCH HÀNG KM (2)" sheetId="76" state="hidden" r:id="rId25"/>
  </sheets>
  <definedNames>
    <definedName name="_xlnm._FilterDatabase" localSheetId="24" hidden="1">'DS KHÁCH HÀNG KM (2)'!$A$2:$G$35</definedName>
    <definedName name="_xlnm._FilterDatabase" localSheetId="5" hidden="1">'Giá TVP'!$A$2:$C$2</definedName>
    <definedName name="_xlnm._FilterDatabase" localSheetId="2" hidden="1">'La Cusina'!$B$4:$M$4</definedName>
    <definedName name="_xlnm._FilterDatabase" localSheetId="3" hidden="1">'Quốc Nhân'!$B$4:$M$25</definedName>
    <definedName name="_xlnm._FilterDatabase" localSheetId="7" hidden="1">Sheet1!$B$2:$D$52</definedName>
    <definedName name="_xlnm._FilterDatabase" localSheetId="4" hidden="1">Sheet3!$A$2:$C$2</definedName>
    <definedName name="_xlnm._FilterDatabase" localSheetId="8" hidden="1">'Tổng Đơn'!$A$4:$AO$63</definedName>
    <definedName name="_xlnm._FilterDatabase" localSheetId="1" hidden="1">TVP!$B$4:$L$4</definedName>
    <definedName name="_xlnm.Print_Area" localSheetId="5">'Giá TVP'!$A$1:$G$27</definedName>
    <definedName name="_xlnm.Print_Area" localSheetId="4">Sheet3!$A$2:$G$23</definedName>
  </definedNames>
  <calcPr calcId="145621"/>
</workbook>
</file>

<file path=xl/calcChain.xml><?xml version="1.0" encoding="utf-8"?>
<calcChain xmlns="http://schemas.openxmlformats.org/spreadsheetml/2006/main">
  <c r="I1" i="50" l="1"/>
  <c r="K4" i="1"/>
  <c r="C24" i="134"/>
  <c r="H24" i="134" s="1"/>
  <c r="B24" i="134"/>
  <c r="C23" i="134"/>
  <c r="H23" i="134" s="1"/>
  <c r="B23" i="134"/>
  <c r="H22" i="134"/>
  <c r="C22" i="134"/>
  <c r="B22" i="134"/>
  <c r="H21" i="134"/>
  <c r="C21" i="134"/>
  <c r="B21" i="134"/>
  <c r="K20" i="134"/>
  <c r="C20" i="134"/>
  <c r="H20" i="134" s="1"/>
  <c r="B20" i="134"/>
  <c r="K19" i="134"/>
  <c r="H19" i="134"/>
  <c r="C19" i="134"/>
  <c r="B19" i="134"/>
  <c r="K18" i="134"/>
  <c r="C18" i="134"/>
  <c r="H18" i="134" s="1"/>
  <c r="B18" i="134"/>
  <c r="K17" i="134"/>
  <c r="H17" i="134"/>
  <c r="C17" i="134"/>
  <c r="B17" i="134"/>
  <c r="K16" i="134"/>
  <c r="C16" i="134"/>
  <c r="H16" i="134" s="1"/>
  <c r="B16" i="134"/>
  <c r="K15" i="134"/>
  <c r="H15" i="134"/>
  <c r="C15" i="134"/>
  <c r="B15" i="134"/>
  <c r="K14" i="134"/>
  <c r="C14" i="134"/>
  <c r="H14" i="134" s="1"/>
  <c r="B14" i="134"/>
  <c r="K13" i="134"/>
  <c r="H13" i="134"/>
  <c r="C13" i="134"/>
  <c r="B13" i="134"/>
  <c r="K12" i="134"/>
  <c r="C12" i="134"/>
  <c r="H12" i="134" s="1"/>
  <c r="B12" i="134"/>
  <c r="K11" i="134"/>
  <c r="H11" i="134"/>
  <c r="C11" i="134"/>
  <c r="B11" i="134"/>
  <c r="K10" i="134"/>
  <c r="C10" i="134"/>
  <c r="H10" i="134" s="1"/>
  <c r="B10" i="134"/>
  <c r="K9" i="134"/>
  <c r="H9" i="134"/>
  <c r="C9" i="134"/>
  <c r="B9" i="134"/>
  <c r="K8" i="134"/>
  <c r="C8" i="134"/>
  <c r="H8" i="134" s="1"/>
  <c r="B8" i="134"/>
  <c r="K7" i="134"/>
  <c r="H7" i="134"/>
  <c r="C7" i="134"/>
  <c r="B7" i="134"/>
  <c r="K6" i="134"/>
  <c r="C6" i="134"/>
  <c r="H6" i="134" s="1"/>
  <c r="B6" i="134"/>
  <c r="K5" i="134"/>
  <c r="H5" i="134"/>
  <c r="C5" i="134"/>
  <c r="B5" i="134"/>
  <c r="K4" i="134"/>
  <c r="C4" i="134"/>
  <c r="H4" i="134" s="1"/>
  <c r="B4" i="134"/>
  <c r="K3" i="134"/>
  <c r="H3" i="134"/>
  <c r="C3" i="134"/>
  <c r="B3" i="134"/>
  <c r="K2" i="134"/>
  <c r="I2" i="134" s="1"/>
  <c r="H2" i="134"/>
  <c r="F2" i="134"/>
  <c r="G2" i="134" s="1"/>
  <c r="C2" i="134"/>
  <c r="B2" i="134"/>
  <c r="A2" i="134"/>
  <c r="A3" i="134" l="1"/>
  <c r="H24" i="133"/>
  <c r="C24" i="133"/>
  <c r="B24" i="133"/>
  <c r="H23" i="133"/>
  <c r="C23" i="133"/>
  <c r="B23" i="133"/>
  <c r="H22" i="133"/>
  <c r="C22" i="133"/>
  <c r="B22" i="133"/>
  <c r="H21" i="133"/>
  <c r="C21" i="133"/>
  <c r="B21" i="133"/>
  <c r="K20" i="133"/>
  <c r="C20" i="133"/>
  <c r="H20" i="133" s="1"/>
  <c r="B20" i="133"/>
  <c r="K19" i="133"/>
  <c r="H19" i="133"/>
  <c r="C19" i="133"/>
  <c r="B19" i="133"/>
  <c r="K18" i="133"/>
  <c r="C18" i="133"/>
  <c r="H18" i="133" s="1"/>
  <c r="B18" i="133"/>
  <c r="K17" i="133"/>
  <c r="H17" i="133"/>
  <c r="C17" i="133"/>
  <c r="B17" i="133"/>
  <c r="K16" i="133"/>
  <c r="C16" i="133"/>
  <c r="H16" i="133" s="1"/>
  <c r="B16" i="133"/>
  <c r="K15" i="133"/>
  <c r="H15" i="133"/>
  <c r="C15" i="133"/>
  <c r="B15" i="133"/>
  <c r="K14" i="133"/>
  <c r="C14" i="133"/>
  <c r="H14" i="133" s="1"/>
  <c r="B14" i="133"/>
  <c r="K13" i="133"/>
  <c r="H13" i="133"/>
  <c r="C13" i="133"/>
  <c r="B13" i="133"/>
  <c r="K12" i="133"/>
  <c r="C12" i="133"/>
  <c r="H12" i="133" s="1"/>
  <c r="B12" i="133"/>
  <c r="K11" i="133"/>
  <c r="H11" i="133"/>
  <c r="C11" i="133"/>
  <c r="B11" i="133"/>
  <c r="K10" i="133"/>
  <c r="C10" i="133"/>
  <c r="H10" i="133" s="1"/>
  <c r="B10" i="133"/>
  <c r="K9" i="133"/>
  <c r="H9" i="133"/>
  <c r="C9" i="133"/>
  <c r="B9" i="133"/>
  <c r="K8" i="133"/>
  <c r="C8" i="133"/>
  <c r="H8" i="133" s="1"/>
  <c r="B8" i="133"/>
  <c r="K7" i="133"/>
  <c r="H7" i="133"/>
  <c r="C7" i="133"/>
  <c r="B7" i="133"/>
  <c r="K6" i="133"/>
  <c r="C6" i="133"/>
  <c r="H6" i="133" s="1"/>
  <c r="B6" i="133"/>
  <c r="K5" i="133"/>
  <c r="H5" i="133"/>
  <c r="C5" i="133"/>
  <c r="B5" i="133"/>
  <c r="K4" i="133"/>
  <c r="C4" i="133"/>
  <c r="H4" i="133" s="1"/>
  <c r="B4" i="133"/>
  <c r="K3" i="133"/>
  <c r="H3" i="133"/>
  <c r="C3" i="133"/>
  <c r="B3" i="133"/>
  <c r="K2" i="133"/>
  <c r="I2" i="133" s="1"/>
  <c r="H2" i="133"/>
  <c r="F2" i="133"/>
  <c r="G2" i="133" s="1"/>
  <c r="C2" i="133"/>
  <c r="B2" i="133"/>
  <c r="A2" i="133"/>
  <c r="H24" i="132"/>
  <c r="C24" i="132"/>
  <c r="B24" i="132"/>
  <c r="H23" i="132"/>
  <c r="C23" i="132"/>
  <c r="B23" i="132"/>
  <c r="H22" i="132"/>
  <c r="C22" i="132"/>
  <c r="B22" i="132"/>
  <c r="H21" i="132"/>
  <c r="C21" i="132"/>
  <c r="B21" i="132"/>
  <c r="K20" i="132"/>
  <c r="C20" i="132"/>
  <c r="H20" i="132" s="1"/>
  <c r="B20" i="132"/>
  <c r="K19" i="132"/>
  <c r="H19" i="132"/>
  <c r="C19" i="132"/>
  <c r="B19" i="132"/>
  <c r="K18" i="132"/>
  <c r="C18" i="132"/>
  <c r="H18" i="132" s="1"/>
  <c r="B18" i="132"/>
  <c r="K17" i="132"/>
  <c r="H17" i="132"/>
  <c r="C17" i="132"/>
  <c r="B17" i="132"/>
  <c r="K16" i="132"/>
  <c r="C16" i="132"/>
  <c r="H16" i="132" s="1"/>
  <c r="B16" i="132"/>
  <c r="K15" i="132"/>
  <c r="H15" i="132"/>
  <c r="C15" i="132"/>
  <c r="B15" i="132"/>
  <c r="K14" i="132"/>
  <c r="C14" i="132"/>
  <c r="H14" i="132" s="1"/>
  <c r="B14" i="132"/>
  <c r="K13" i="132"/>
  <c r="H13" i="132"/>
  <c r="C13" i="132"/>
  <c r="B13" i="132"/>
  <c r="K12" i="132"/>
  <c r="C12" i="132"/>
  <c r="H12" i="132" s="1"/>
  <c r="B12" i="132"/>
  <c r="K11" i="132"/>
  <c r="H11" i="132"/>
  <c r="C11" i="132"/>
  <c r="B11" i="132"/>
  <c r="K10" i="132"/>
  <c r="C10" i="132"/>
  <c r="H10" i="132" s="1"/>
  <c r="B10" i="132"/>
  <c r="K9" i="132"/>
  <c r="H9" i="132"/>
  <c r="C9" i="132"/>
  <c r="B9" i="132"/>
  <c r="K8" i="132"/>
  <c r="C8" i="132"/>
  <c r="H8" i="132" s="1"/>
  <c r="B8" i="132"/>
  <c r="K7" i="132"/>
  <c r="H7" i="132"/>
  <c r="C7" i="132"/>
  <c r="B7" i="132"/>
  <c r="K6" i="132"/>
  <c r="C6" i="132"/>
  <c r="H6" i="132" s="1"/>
  <c r="B6" i="132"/>
  <c r="K5" i="132"/>
  <c r="H5" i="132"/>
  <c r="C5" i="132"/>
  <c r="B5" i="132"/>
  <c r="K4" i="132"/>
  <c r="C4" i="132"/>
  <c r="H4" i="132" s="1"/>
  <c r="B4" i="132"/>
  <c r="K3" i="132"/>
  <c r="H3" i="132"/>
  <c r="C3" i="132"/>
  <c r="B3" i="132"/>
  <c r="K2" i="132"/>
  <c r="I2" i="132" s="1"/>
  <c r="H2" i="132"/>
  <c r="F2" i="132"/>
  <c r="G2" i="132" s="1"/>
  <c r="C2" i="132"/>
  <c r="B2" i="132"/>
  <c r="A2" i="132"/>
  <c r="K45" i="8"/>
  <c r="H52" i="8"/>
  <c r="H51" i="8"/>
  <c r="H50" i="8"/>
  <c r="H49" i="8"/>
  <c r="H48" i="8"/>
  <c r="H24" i="131"/>
  <c r="C24" i="131"/>
  <c r="B24" i="131"/>
  <c r="H23" i="131"/>
  <c r="C23" i="131"/>
  <c r="B23" i="131"/>
  <c r="H22" i="131"/>
  <c r="C22" i="131"/>
  <c r="B22" i="131"/>
  <c r="H21" i="131"/>
  <c r="C21" i="131"/>
  <c r="B21" i="131"/>
  <c r="K20" i="131"/>
  <c r="C20" i="131"/>
  <c r="H20" i="131" s="1"/>
  <c r="B20" i="131"/>
  <c r="K19" i="131"/>
  <c r="H19" i="131"/>
  <c r="C19" i="131"/>
  <c r="B19" i="131"/>
  <c r="K18" i="131"/>
  <c r="C18" i="131"/>
  <c r="H18" i="131" s="1"/>
  <c r="B18" i="131"/>
  <c r="K17" i="131"/>
  <c r="H17" i="131"/>
  <c r="C17" i="131"/>
  <c r="B17" i="131"/>
  <c r="K16" i="131"/>
  <c r="C16" i="131"/>
  <c r="H16" i="131" s="1"/>
  <c r="B16" i="131"/>
  <c r="K15" i="131"/>
  <c r="H15" i="131"/>
  <c r="C15" i="131"/>
  <c r="B15" i="131"/>
  <c r="K14" i="131"/>
  <c r="C14" i="131"/>
  <c r="H14" i="131" s="1"/>
  <c r="B14" i="131"/>
  <c r="K13" i="131"/>
  <c r="H13" i="131"/>
  <c r="C13" i="131"/>
  <c r="B13" i="131"/>
  <c r="K12" i="131"/>
  <c r="C12" i="131"/>
  <c r="H12" i="131" s="1"/>
  <c r="B12" i="131"/>
  <c r="K11" i="131"/>
  <c r="H11" i="131"/>
  <c r="C11" i="131"/>
  <c r="B11" i="131"/>
  <c r="K10" i="131"/>
  <c r="C10" i="131"/>
  <c r="H10" i="131" s="1"/>
  <c r="B10" i="131"/>
  <c r="K9" i="131"/>
  <c r="H9" i="131"/>
  <c r="C9" i="131"/>
  <c r="B9" i="131"/>
  <c r="K8" i="131"/>
  <c r="C8" i="131"/>
  <c r="H8" i="131" s="1"/>
  <c r="B8" i="131"/>
  <c r="K7" i="131"/>
  <c r="H7" i="131"/>
  <c r="C7" i="131"/>
  <c r="B7" i="131"/>
  <c r="K6" i="131"/>
  <c r="C6" i="131"/>
  <c r="H6" i="131" s="1"/>
  <c r="B6" i="131"/>
  <c r="K5" i="131"/>
  <c r="H5" i="131"/>
  <c r="C5" i="131"/>
  <c r="B5" i="131"/>
  <c r="K4" i="131"/>
  <c r="C4" i="131"/>
  <c r="H4" i="131" s="1"/>
  <c r="B4" i="131"/>
  <c r="K3" i="131"/>
  <c r="H3" i="131"/>
  <c r="C3" i="131"/>
  <c r="B3" i="131"/>
  <c r="K2" i="131"/>
  <c r="I2" i="131" s="1"/>
  <c r="H2" i="131"/>
  <c r="F2" i="131"/>
  <c r="G2" i="131" s="1"/>
  <c r="C2" i="131"/>
  <c r="B2" i="131"/>
  <c r="A2" i="131"/>
  <c r="H24" i="130"/>
  <c r="C24" i="130"/>
  <c r="B24" i="130"/>
  <c r="H23" i="130"/>
  <c r="C23" i="130"/>
  <c r="B23" i="130"/>
  <c r="H22" i="130"/>
  <c r="C22" i="130"/>
  <c r="B22" i="130"/>
  <c r="H21" i="130"/>
  <c r="C21" i="130"/>
  <c r="B21" i="130"/>
  <c r="K20" i="130"/>
  <c r="C20" i="130"/>
  <c r="H20" i="130" s="1"/>
  <c r="B20" i="130"/>
  <c r="K19" i="130"/>
  <c r="H19" i="130"/>
  <c r="C19" i="130"/>
  <c r="B19" i="130"/>
  <c r="K18" i="130"/>
  <c r="C18" i="130"/>
  <c r="H18" i="130" s="1"/>
  <c r="B18" i="130"/>
  <c r="K17" i="130"/>
  <c r="H17" i="130"/>
  <c r="C17" i="130"/>
  <c r="B17" i="130"/>
  <c r="K16" i="130"/>
  <c r="C16" i="130"/>
  <c r="H16" i="130" s="1"/>
  <c r="B16" i="130"/>
  <c r="K15" i="130"/>
  <c r="H15" i="130"/>
  <c r="C15" i="130"/>
  <c r="B15" i="130"/>
  <c r="K14" i="130"/>
  <c r="C14" i="130"/>
  <c r="H14" i="130" s="1"/>
  <c r="B14" i="130"/>
  <c r="K13" i="130"/>
  <c r="H13" i="130"/>
  <c r="C13" i="130"/>
  <c r="B13" i="130"/>
  <c r="K12" i="130"/>
  <c r="C12" i="130"/>
  <c r="H12" i="130" s="1"/>
  <c r="B12" i="130"/>
  <c r="K11" i="130"/>
  <c r="H11" i="130"/>
  <c r="C11" i="130"/>
  <c r="B11" i="130"/>
  <c r="K10" i="130"/>
  <c r="C10" i="130"/>
  <c r="H10" i="130" s="1"/>
  <c r="B10" i="130"/>
  <c r="K9" i="130"/>
  <c r="H9" i="130"/>
  <c r="C9" i="130"/>
  <c r="B9" i="130"/>
  <c r="K8" i="130"/>
  <c r="C8" i="130"/>
  <c r="H8" i="130" s="1"/>
  <c r="B8" i="130"/>
  <c r="K7" i="130"/>
  <c r="H7" i="130"/>
  <c r="C7" i="130"/>
  <c r="B7" i="130"/>
  <c r="K6" i="130"/>
  <c r="C6" i="130"/>
  <c r="H6" i="130" s="1"/>
  <c r="B6" i="130"/>
  <c r="K5" i="130"/>
  <c r="H5" i="130"/>
  <c r="C5" i="130"/>
  <c r="B5" i="130"/>
  <c r="K4" i="130"/>
  <c r="C4" i="130"/>
  <c r="H4" i="130" s="1"/>
  <c r="B4" i="130"/>
  <c r="K3" i="130"/>
  <c r="H3" i="130"/>
  <c r="C3" i="130"/>
  <c r="B3" i="130"/>
  <c r="K2" i="130"/>
  <c r="I2" i="130" s="1"/>
  <c r="H2" i="130"/>
  <c r="F2" i="130"/>
  <c r="G2" i="130" s="1"/>
  <c r="C2" i="130"/>
  <c r="B2" i="130"/>
  <c r="A2" i="130"/>
  <c r="G1" i="50"/>
  <c r="A4" i="134" l="1"/>
  <c r="F3" i="134"/>
  <c r="A3" i="133"/>
  <c r="A3" i="132"/>
  <c r="A3" i="131"/>
  <c r="A3" i="130"/>
  <c r="D1" i="95"/>
  <c r="H24" i="129"/>
  <c r="C24" i="129"/>
  <c r="B24" i="129"/>
  <c r="H23" i="129"/>
  <c r="C23" i="129"/>
  <c r="B23" i="129"/>
  <c r="H22" i="129"/>
  <c r="C22" i="129"/>
  <c r="B22" i="129"/>
  <c r="H21" i="129"/>
  <c r="C21" i="129"/>
  <c r="B21" i="129"/>
  <c r="K20" i="129"/>
  <c r="C20" i="129"/>
  <c r="H20" i="129" s="1"/>
  <c r="B20" i="129"/>
  <c r="K19" i="129"/>
  <c r="H19" i="129"/>
  <c r="C19" i="129"/>
  <c r="B19" i="129"/>
  <c r="K18" i="129"/>
  <c r="C18" i="129"/>
  <c r="H18" i="129" s="1"/>
  <c r="B18" i="129"/>
  <c r="K17" i="129"/>
  <c r="H17" i="129"/>
  <c r="C17" i="129"/>
  <c r="B17" i="129"/>
  <c r="K16" i="129"/>
  <c r="C16" i="129"/>
  <c r="H16" i="129" s="1"/>
  <c r="B16" i="129"/>
  <c r="K15" i="129"/>
  <c r="H15" i="129"/>
  <c r="C15" i="129"/>
  <c r="B15" i="129"/>
  <c r="K14" i="129"/>
  <c r="C14" i="129"/>
  <c r="H14" i="129" s="1"/>
  <c r="B14" i="129"/>
  <c r="K13" i="129"/>
  <c r="H13" i="129"/>
  <c r="C13" i="129"/>
  <c r="B13" i="129"/>
  <c r="K12" i="129"/>
  <c r="C12" i="129"/>
  <c r="H12" i="129" s="1"/>
  <c r="B12" i="129"/>
  <c r="K11" i="129"/>
  <c r="H11" i="129"/>
  <c r="C11" i="129"/>
  <c r="B11" i="129"/>
  <c r="K10" i="129"/>
  <c r="C10" i="129"/>
  <c r="H10" i="129" s="1"/>
  <c r="B10" i="129"/>
  <c r="K9" i="129"/>
  <c r="H9" i="129"/>
  <c r="C9" i="129"/>
  <c r="B9" i="129"/>
  <c r="K8" i="129"/>
  <c r="C8" i="129"/>
  <c r="H8" i="129" s="1"/>
  <c r="B8" i="129"/>
  <c r="K7" i="129"/>
  <c r="H7" i="129"/>
  <c r="C7" i="129"/>
  <c r="B7" i="129"/>
  <c r="K6" i="129"/>
  <c r="C6" i="129"/>
  <c r="H6" i="129" s="1"/>
  <c r="B6" i="129"/>
  <c r="K5" i="129"/>
  <c r="H5" i="129"/>
  <c r="C5" i="129"/>
  <c r="B5" i="129"/>
  <c r="K4" i="129"/>
  <c r="C4" i="129"/>
  <c r="H4" i="129" s="1"/>
  <c r="B4" i="129"/>
  <c r="K3" i="129"/>
  <c r="H3" i="129"/>
  <c r="C3" i="129"/>
  <c r="B3" i="129"/>
  <c r="K2" i="129"/>
  <c r="I2" i="129" s="1"/>
  <c r="H2" i="129"/>
  <c r="F2" i="129"/>
  <c r="G2" i="129" s="1"/>
  <c r="C2" i="129"/>
  <c r="B2" i="129"/>
  <c r="A2" i="129"/>
  <c r="H24" i="128"/>
  <c r="C24" i="128"/>
  <c r="B24" i="128"/>
  <c r="H23" i="128"/>
  <c r="C23" i="128"/>
  <c r="B23" i="128"/>
  <c r="H22" i="128"/>
  <c r="C22" i="128"/>
  <c r="B22" i="128"/>
  <c r="H21" i="128"/>
  <c r="C21" i="128"/>
  <c r="B21" i="128"/>
  <c r="K20" i="128"/>
  <c r="C20" i="128"/>
  <c r="H20" i="128" s="1"/>
  <c r="B20" i="128"/>
  <c r="K19" i="128"/>
  <c r="H19" i="128"/>
  <c r="C19" i="128"/>
  <c r="B19" i="128"/>
  <c r="K18" i="128"/>
  <c r="C18" i="128"/>
  <c r="H18" i="128" s="1"/>
  <c r="B18" i="128"/>
  <c r="K17" i="128"/>
  <c r="H17" i="128"/>
  <c r="C17" i="128"/>
  <c r="B17" i="128"/>
  <c r="K16" i="128"/>
  <c r="C16" i="128"/>
  <c r="H16" i="128" s="1"/>
  <c r="B16" i="128"/>
  <c r="K15" i="128"/>
  <c r="H15" i="128"/>
  <c r="C15" i="128"/>
  <c r="B15" i="128"/>
  <c r="K14" i="128"/>
  <c r="C14" i="128"/>
  <c r="H14" i="128" s="1"/>
  <c r="B14" i="128"/>
  <c r="K13" i="128"/>
  <c r="H13" i="128"/>
  <c r="C13" i="128"/>
  <c r="B13" i="128"/>
  <c r="K12" i="128"/>
  <c r="C12" i="128"/>
  <c r="H12" i="128" s="1"/>
  <c r="B12" i="128"/>
  <c r="K11" i="128"/>
  <c r="H11" i="128"/>
  <c r="C11" i="128"/>
  <c r="B11" i="128"/>
  <c r="K10" i="128"/>
  <c r="C10" i="128"/>
  <c r="H10" i="128" s="1"/>
  <c r="B10" i="128"/>
  <c r="K9" i="128"/>
  <c r="H9" i="128"/>
  <c r="C9" i="128"/>
  <c r="B9" i="128"/>
  <c r="K8" i="128"/>
  <c r="C8" i="128"/>
  <c r="H8" i="128" s="1"/>
  <c r="B8" i="128"/>
  <c r="K7" i="128"/>
  <c r="H7" i="128"/>
  <c r="C7" i="128"/>
  <c r="B7" i="128"/>
  <c r="K6" i="128"/>
  <c r="C6" i="128"/>
  <c r="H6" i="128" s="1"/>
  <c r="B6" i="128"/>
  <c r="K5" i="128"/>
  <c r="H5" i="128"/>
  <c r="C5" i="128"/>
  <c r="B5" i="128"/>
  <c r="K4" i="128"/>
  <c r="C4" i="128"/>
  <c r="H4" i="128" s="1"/>
  <c r="B4" i="128"/>
  <c r="K3" i="128"/>
  <c r="H3" i="128"/>
  <c r="C3" i="128"/>
  <c r="B3" i="128"/>
  <c r="K2" i="128"/>
  <c r="I2" i="128" s="1"/>
  <c r="H2" i="128"/>
  <c r="F2" i="128"/>
  <c r="G2" i="128" s="1"/>
  <c r="C2" i="128"/>
  <c r="B2" i="128"/>
  <c r="A2" i="128"/>
  <c r="H24" i="127"/>
  <c r="C24" i="127"/>
  <c r="B24" i="127"/>
  <c r="H23" i="127"/>
  <c r="C23" i="127"/>
  <c r="B23" i="127"/>
  <c r="H22" i="127"/>
  <c r="C22" i="127"/>
  <c r="B22" i="127"/>
  <c r="H21" i="127"/>
  <c r="C21" i="127"/>
  <c r="B21" i="127"/>
  <c r="K20" i="127"/>
  <c r="C20" i="127"/>
  <c r="H20" i="127" s="1"/>
  <c r="B20" i="127"/>
  <c r="K19" i="127"/>
  <c r="H19" i="127"/>
  <c r="C19" i="127"/>
  <c r="B19" i="127"/>
  <c r="K18" i="127"/>
  <c r="C18" i="127"/>
  <c r="H18" i="127" s="1"/>
  <c r="B18" i="127"/>
  <c r="K17" i="127"/>
  <c r="H17" i="127"/>
  <c r="C17" i="127"/>
  <c r="B17" i="127"/>
  <c r="K16" i="127"/>
  <c r="C16" i="127"/>
  <c r="H16" i="127" s="1"/>
  <c r="B16" i="127"/>
  <c r="K15" i="127"/>
  <c r="H15" i="127"/>
  <c r="C15" i="127"/>
  <c r="B15" i="127"/>
  <c r="K14" i="127"/>
  <c r="C14" i="127"/>
  <c r="H14" i="127" s="1"/>
  <c r="B14" i="127"/>
  <c r="K13" i="127"/>
  <c r="H13" i="127"/>
  <c r="C13" i="127"/>
  <c r="B13" i="127"/>
  <c r="K12" i="127"/>
  <c r="C12" i="127"/>
  <c r="H12" i="127" s="1"/>
  <c r="B12" i="127"/>
  <c r="K11" i="127"/>
  <c r="H11" i="127"/>
  <c r="C11" i="127"/>
  <c r="B11" i="127"/>
  <c r="K10" i="127"/>
  <c r="C10" i="127"/>
  <c r="H10" i="127" s="1"/>
  <c r="B10" i="127"/>
  <c r="K9" i="127"/>
  <c r="H9" i="127"/>
  <c r="C9" i="127"/>
  <c r="B9" i="127"/>
  <c r="K8" i="127"/>
  <c r="C8" i="127"/>
  <c r="H8" i="127" s="1"/>
  <c r="B8" i="127"/>
  <c r="K7" i="127"/>
  <c r="H7" i="127"/>
  <c r="C7" i="127"/>
  <c r="B7" i="127"/>
  <c r="K6" i="127"/>
  <c r="C6" i="127"/>
  <c r="H6" i="127" s="1"/>
  <c r="B6" i="127"/>
  <c r="K5" i="127"/>
  <c r="H5" i="127"/>
  <c r="C5" i="127"/>
  <c r="B5" i="127"/>
  <c r="K4" i="127"/>
  <c r="C4" i="127"/>
  <c r="H4" i="127" s="1"/>
  <c r="B4" i="127"/>
  <c r="K3" i="127"/>
  <c r="H3" i="127"/>
  <c r="C3" i="127"/>
  <c r="B3" i="127"/>
  <c r="K2" i="127"/>
  <c r="I2" i="127" s="1"/>
  <c r="H2" i="127"/>
  <c r="F2" i="127"/>
  <c r="G2" i="127" s="1"/>
  <c r="C2" i="127"/>
  <c r="B2" i="127"/>
  <c r="A2" i="127"/>
  <c r="H24" i="126"/>
  <c r="C24" i="126"/>
  <c r="B24" i="126"/>
  <c r="H23" i="126"/>
  <c r="C23" i="126"/>
  <c r="B23" i="126"/>
  <c r="H22" i="126"/>
  <c r="C22" i="126"/>
  <c r="B22" i="126"/>
  <c r="H21" i="126"/>
  <c r="C21" i="126"/>
  <c r="B21" i="126"/>
  <c r="K20" i="126"/>
  <c r="C20" i="126"/>
  <c r="H20" i="126" s="1"/>
  <c r="B20" i="126"/>
  <c r="K19" i="126"/>
  <c r="H19" i="126"/>
  <c r="C19" i="126"/>
  <c r="B19" i="126"/>
  <c r="K18" i="126"/>
  <c r="C18" i="126"/>
  <c r="H18" i="126" s="1"/>
  <c r="B18" i="126"/>
  <c r="K17" i="126"/>
  <c r="H17" i="126"/>
  <c r="C17" i="126"/>
  <c r="B17" i="126"/>
  <c r="K16" i="126"/>
  <c r="C16" i="126"/>
  <c r="H16" i="126" s="1"/>
  <c r="B16" i="126"/>
  <c r="K15" i="126"/>
  <c r="H15" i="126"/>
  <c r="C15" i="126"/>
  <c r="B15" i="126"/>
  <c r="K14" i="126"/>
  <c r="C14" i="126"/>
  <c r="H14" i="126" s="1"/>
  <c r="B14" i="126"/>
  <c r="K13" i="126"/>
  <c r="H13" i="126"/>
  <c r="C13" i="126"/>
  <c r="B13" i="126"/>
  <c r="K12" i="126"/>
  <c r="C12" i="126"/>
  <c r="H12" i="126" s="1"/>
  <c r="B12" i="126"/>
  <c r="K11" i="126"/>
  <c r="H11" i="126"/>
  <c r="C11" i="126"/>
  <c r="B11" i="126"/>
  <c r="K10" i="126"/>
  <c r="C10" i="126"/>
  <c r="H10" i="126" s="1"/>
  <c r="B10" i="126"/>
  <c r="K9" i="126"/>
  <c r="H9" i="126"/>
  <c r="C9" i="126"/>
  <c r="B9" i="126"/>
  <c r="K8" i="126"/>
  <c r="C8" i="126"/>
  <c r="H8" i="126" s="1"/>
  <c r="B8" i="126"/>
  <c r="K7" i="126"/>
  <c r="H7" i="126"/>
  <c r="C7" i="126"/>
  <c r="B7" i="126"/>
  <c r="K6" i="126"/>
  <c r="C6" i="126"/>
  <c r="H6" i="126" s="1"/>
  <c r="B6" i="126"/>
  <c r="K5" i="126"/>
  <c r="H5" i="126"/>
  <c r="C5" i="126"/>
  <c r="B5" i="126"/>
  <c r="K4" i="126"/>
  <c r="C4" i="126"/>
  <c r="H4" i="126" s="1"/>
  <c r="B4" i="126"/>
  <c r="K3" i="126"/>
  <c r="H3" i="126"/>
  <c r="C3" i="126"/>
  <c r="B3" i="126"/>
  <c r="K2" i="126"/>
  <c r="I2" i="126" s="1"/>
  <c r="H2" i="126"/>
  <c r="F2" i="126"/>
  <c r="G2" i="126" s="1"/>
  <c r="C2" i="126"/>
  <c r="B2" i="126"/>
  <c r="A2" i="126"/>
  <c r="H24" i="125"/>
  <c r="C24" i="125"/>
  <c r="B24" i="125"/>
  <c r="H23" i="125"/>
  <c r="C23" i="125"/>
  <c r="B23" i="125"/>
  <c r="H22" i="125"/>
  <c r="C22" i="125"/>
  <c r="B22" i="125"/>
  <c r="H21" i="125"/>
  <c r="C21" i="125"/>
  <c r="B21" i="125"/>
  <c r="K20" i="125"/>
  <c r="C20" i="125"/>
  <c r="H20" i="125" s="1"/>
  <c r="B20" i="125"/>
  <c r="K19" i="125"/>
  <c r="H19" i="125"/>
  <c r="C19" i="125"/>
  <c r="B19" i="125"/>
  <c r="K18" i="125"/>
  <c r="C18" i="125"/>
  <c r="H18" i="125" s="1"/>
  <c r="B18" i="125"/>
  <c r="K17" i="125"/>
  <c r="H17" i="125"/>
  <c r="C17" i="125"/>
  <c r="B17" i="125"/>
  <c r="K16" i="125"/>
  <c r="C16" i="125"/>
  <c r="H16" i="125" s="1"/>
  <c r="B16" i="125"/>
  <c r="K15" i="125"/>
  <c r="H15" i="125"/>
  <c r="C15" i="125"/>
  <c r="B15" i="125"/>
  <c r="K14" i="125"/>
  <c r="C14" i="125"/>
  <c r="H14" i="125" s="1"/>
  <c r="B14" i="125"/>
  <c r="K13" i="125"/>
  <c r="H13" i="125"/>
  <c r="C13" i="125"/>
  <c r="B13" i="125"/>
  <c r="K12" i="125"/>
  <c r="C12" i="125"/>
  <c r="H12" i="125" s="1"/>
  <c r="B12" i="125"/>
  <c r="K11" i="125"/>
  <c r="H11" i="125"/>
  <c r="C11" i="125"/>
  <c r="B11" i="125"/>
  <c r="K10" i="125"/>
  <c r="C10" i="125"/>
  <c r="H10" i="125" s="1"/>
  <c r="B10" i="125"/>
  <c r="K9" i="125"/>
  <c r="H9" i="125"/>
  <c r="C9" i="125"/>
  <c r="B9" i="125"/>
  <c r="K8" i="125"/>
  <c r="C8" i="125"/>
  <c r="H8" i="125" s="1"/>
  <c r="B8" i="125"/>
  <c r="K7" i="125"/>
  <c r="H7" i="125"/>
  <c r="C7" i="125"/>
  <c r="B7" i="125"/>
  <c r="K6" i="125"/>
  <c r="C6" i="125"/>
  <c r="H6" i="125" s="1"/>
  <c r="B6" i="125"/>
  <c r="K5" i="125"/>
  <c r="H5" i="125"/>
  <c r="C5" i="125"/>
  <c r="B5" i="125"/>
  <c r="K4" i="125"/>
  <c r="C4" i="125"/>
  <c r="H4" i="125" s="1"/>
  <c r="B4" i="125"/>
  <c r="K3" i="125"/>
  <c r="H3" i="125"/>
  <c r="C3" i="125"/>
  <c r="B3" i="125"/>
  <c r="K2" i="125"/>
  <c r="I2" i="125" s="1"/>
  <c r="H2" i="125"/>
  <c r="F2" i="125"/>
  <c r="G2" i="125" s="1"/>
  <c r="C2" i="125"/>
  <c r="B2" i="125"/>
  <c r="A2" i="125"/>
  <c r="C24" i="124"/>
  <c r="H24" i="124" s="1"/>
  <c r="B24" i="124"/>
  <c r="H23" i="124"/>
  <c r="C23" i="124"/>
  <c r="B23" i="124"/>
  <c r="H22" i="124"/>
  <c r="C22" i="124"/>
  <c r="B22" i="124"/>
  <c r="H21" i="124"/>
  <c r="C21" i="124"/>
  <c r="B21" i="124"/>
  <c r="K20" i="124"/>
  <c r="C20" i="124"/>
  <c r="H20" i="124" s="1"/>
  <c r="B20" i="124"/>
  <c r="K19" i="124"/>
  <c r="H19" i="124"/>
  <c r="C19" i="124"/>
  <c r="B19" i="124"/>
  <c r="K18" i="124"/>
  <c r="C18" i="124"/>
  <c r="H18" i="124" s="1"/>
  <c r="B18" i="124"/>
  <c r="K17" i="124"/>
  <c r="H17" i="124"/>
  <c r="C17" i="124"/>
  <c r="B17" i="124"/>
  <c r="K16" i="124"/>
  <c r="C16" i="124"/>
  <c r="H16" i="124" s="1"/>
  <c r="B16" i="124"/>
  <c r="K15" i="124"/>
  <c r="H15" i="124"/>
  <c r="C15" i="124"/>
  <c r="B15" i="124"/>
  <c r="K14" i="124"/>
  <c r="C14" i="124"/>
  <c r="H14" i="124" s="1"/>
  <c r="B14" i="124"/>
  <c r="K13" i="124"/>
  <c r="H13" i="124"/>
  <c r="C13" i="124"/>
  <c r="B13" i="124"/>
  <c r="K12" i="124"/>
  <c r="C12" i="124"/>
  <c r="H12" i="124" s="1"/>
  <c r="B12" i="124"/>
  <c r="K11" i="124"/>
  <c r="H11" i="124"/>
  <c r="C11" i="124"/>
  <c r="B11" i="124"/>
  <c r="K10" i="124"/>
  <c r="C10" i="124"/>
  <c r="H10" i="124" s="1"/>
  <c r="B10" i="124"/>
  <c r="K9" i="124"/>
  <c r="H9" i="124"/>
  <c r="C9" i="124"/>
  <c r="B9" i="124"/>
  <c r="K8" i="124"/>
  <c r="C8" i="124"/>
  <c r="H8" i="124" s="1"/>
  <c r="B8" i="124"/>
  <c r="K7" i="124"/>
  <c r="H7" i="124"/>
  <c r="C7" i="124"/>
  <c r="B7" i="124"/>
  <c r="K6" i="124"/>
  <c r="C6" i="124"/>
  <c r="H6" i="124" s="1"/>
  <c r="B6" i="124"/>
  <c r="K5" i="124"/>
  <c r="H5" i="124"/>
  <c r="C5" i="124"/>
  <c r="B5" i="124"/>
  <c r="K4" i="124"/>
  <c r="C4" i="124"/>
  <c r="H4" i="124" s="1"/>
  <c r="B4" i="124"/>
  <c r="K3" i="124"/>
  <c r="H3" i="124"/>
  <c r="C3" i="124"/>
  <c r="B3" i="124"/>
  <c r="K2" i="124"/>
  <c r="I2" i="124" s="1"/>
  <c r="H2" i="124"/>
  <c r="F2" i="124"/>
  <c r="G2" i="124" s="1"/>
  <c r="C2" i="124"/>
  <c r="B2" i="124"/>
  <c r="A2" i="124"/>
  <c r="H24" i="123"/>
  <c r="C24" i="123"/>
  <c r="B24" i="123"/>
  <c r="H23" i="123"/>
  <c r="C23" i="123"/>
  <c r="B23" i="123"/>
  <c r="H22" i="123"/>
  <c r="C22" i="123"/>
  <c r="B22" i="123"/>
  <c r="H21" i="123"/>
  <c r="C21" i="123"/>
  <c r="B21" i="123"/>
  <c r="K20" i="123"/>
  <c r="C20" i="123"/>
  <c r="H20" i="123" s="1"/>
  <c r="B20" i="123"/>
  <c r="K19" i="123"/>
  <c r="H19" i="123"/>
  <c r="C19" i="123"/>
  <c r="B19" i="123"/>
  <c r="K18" i="123"/>
  <c r="C18" i="123"/>
  <c r="H18" i="123" s="1"/>
  <c r="B18" i="123"/>
  <c r="K17" i="123"/>
  <c r="H17" i="123"/>
  <c r="C17" i="123"/>
  <c r="B17" i="123"/>
  <c r="K16" i="123"/>
  <c r="C16" i="123"/>
  <c r="H16" i="123" s="1"/>
  <c r="B16" i="123"/>
  <c r="K15" i="123"/>
  <c r="H15" i="123"/>
  <c r="C15" i="123"/>
  <c r="B15" i="123"/>
  <c r="K14" i="123"/>
  <c r="C14" i="123"/>
  <c r="H14" i="123" s="1"/>
  <c r="B14" i="123"/>
  <c r="K13" i="123"/>
  <c r="H13" i="123"/>
  <c r="C13" i="123"/>
  <c r="B13" i="123"/>
  <c r="K12" i="123"/>
  <c r="C12" i="123"/>
  <c r="H12" i="123" s="1"/>
  <c r="B12" i="123"/>
  <c r="K11" i="123"/>
  <c r="H11" i="123"/>
  <c r="C11" i="123"/>
  <c r="B11" i="123"/>
  <c r="K10" i="123"/>
  <c r="C10" i="123"/>
  <c r="H10" i="123" s="1"/>
  <c r="B10" i="123"/>
  <c r="K9" i="123"/>
  <c r="H9" i="123"/>
  <c r="C9" i="123"/>
  <c r="B9" i="123"/>
  <c r="K8" i="123"/>
  <c r="C8" i="123"/>
  <c r="H8" i="123" s="1"/>
  <c r="B8" i="123"/>
  <c r="K7" i="123"/>
  <c r="H7" i="123"/>
  <c r="C7" i="123"/>
  <c r="B7" i="123"/>
  <c r="K6" i="123"/>
  <c r="C6" i="123"/>
  <c r="H6" i="123" s="1"/>
  <c r="B6" i="123"/>
  <c r="K5" i="123"/>
  <c r="H5" i="123"/>
  <c r="C5" i="123"/>
  <c r="B5" i="123"/>
  <c r="K4" i="123"/>
  <c r="C4" i="123"/>
  <c r="H4" i="123" s="1"/>
  <c r="B4" i="123"/>
  <c r="K3" i="123"/>
  <c r="H3" i="123"/>
  <c r="C3" i="123"/>
  <c r="B3" i="123"/>
  <c r="K2" i="123"/>
  <c r="I2" i="123" s="1"/>
  <c r="H2" i="123"/>
  <c r="F2" i="123"/>
  <c r="G2" i="123" s="1"/>
  <c r="C2" i="123"/>
  <c r="B2" i="123"/>
  <c r="A2" i="123"/>
  <c r="C24" i="122"/>
  <c r="H24" i="122" s="1"/>
  <c r="B24" i="122"/>
  <c r="C23" i="122"/>
  <c r="H23" i="122" s="1"/>
  <c r="B23" i="122"/>
  <c r="H22" i="122"/>
  <c r="C22" i="122"/>
  <c r="B22" i="122"/>
  <c r="H21" i="122"/>
  <c r="C21" i="122"/>
  <c r="B21" i="122"/>
  <c r="K20" i="122"/>
  <c r="C20" i="122"/>
  <c r="H20" i="122" s="1"/>
  <c r="B20" i="122"/>
  <c r="K19" i="122"/>
  <c r="H19" i="122"/>
  <c r="C19" i="122"/>
  <c r="B19" i="122"/>
  <c r="K18" i="122"/>
  <c r="C18" i="122"/>
  <c r="H18" i="122" s="1"/>
  <c r="B18" i="122"/>
  <c r="K17" i="122"/>
  <c r="H17" i="122"/>
  <c r="C17" i="122"/>
  <c r="B17" i="122"/>
  <c r="K16" i="122"/>
  <c r="C16" i="122"/>
  <c r="H16" i="122" s="1"/>
  <c r="B16" i="122"/>
  <c r="K15" i="122"/>
  <c r="H15" i="122"/>
  <c r="C15" i="122"/>
  <c r="B15" i="122"/>
  <c r="K14" i="122"/>
  <c r="C14" i="122"/>
  <c r="H14" i="122" s="1"/>
  <c r="B14" i="122"/>
  <c r="K13" i="122"/>
  <c r="H13" i="122"/>
  <c r="C13" i="122"/>
  <c r="B13" i="122"/>
  <c r="K12" i="122"/>
  <c r="C12" i="122"/>
  <c r="H12" i="122" s="1"/>
  <c r="B12" i="122"/>
  <c r="K11" i="122"/>
  <c r="H11" i="122"/>
  <c r="C11" i="122"/>
  <c r="B11" i="122"/>
  <c r="K10" i="122"/>
  <c r="C10" i="122"/>
  <c r="H10" i="122" s="1"/>
  <c r="B10" i="122"/>
  <c r="K9" i="122"/>
  <c r="H9" i="122"/>
  <c r="C9" i="122"/>
  <c r="B9" i="122"/>
  <c r="K8" i="122"/>
  <c r="C8" i="122"/>
  <c r="H8" i="122" s="1"/>
  <c r="B8" i="122"/>
  <c r="K7" i="122"/>
  <c r="H7" i="122"/>
  <c r="C7" i="122"/>
  <c r="B7" i="122"/>
  <c r="K6" i="122"/>
  <c r="C6" i="122"/>
  <c r="H6" i="122" s="1"/>
  <c r="B6" i="122"/>
  <c r="K5" i="122"/>
  <c r="H5" i="122"/>
  <c r="C5" i="122"/>
  <c r="B5" i="122"/>
  <c r="K4" i="122"/>
  <c r="C4" i="122"/>
  <c r="H4" i="122" s="1"/>
  <c r="B4" i="122"/>
  <c r="K3" i="122"/>
  <c r="H3" i="122"/>
  <c r="C3" i="122"/>
  <c r="B3" i="122"/>
  <c r="K2" i="122"/>
  <c r="I2" i="122" s="1"/>
  <c r="H2" i="122"/>
  <c r="F2" i="122"/>
  <c r="G2" i="122" s="1"/>
  <c r="C2" i="122"/>
  <c r="B2" i="122"/>
  <c r="A2" i="122"/>
  <c r="H24" i="121"/>
  <c r="C24" i="121"/>
  <c r="B24" i="121"/>
  <c r="H23" i="121"/>
  <c r="C23" i="121"/>
  <c r="B23" i="121"/>
  <c r="H22" i="121"/>
  <c r="C22" i="121"/>
  <c r="B22" i="121"/>
  <c r="H21" i="121"/>
  <c r="C21" i="121"/>
  <c r="B21" i="121"/>
  <c r="K20" i="121"/>
  <c r="C20" i="121"/>
  <c r="H20" i="121" s="1"/>
  <c r="B20" i="121"/>
  <c r="K19" i="121"/>
  <c r="H19" i="121"/>
  <c r="C19" i="121"/>
  <c r="B19" i="121"/>
  <c r="K18" i="121"/>
  <c r="C18" i="121"/>
  <c r="H18" i="121" s="1"/>
  <c r="B18" i="121"/>
  <c r="K17" i="121"/>
  <c r="H17" i="121"/>
  <c r="C17" i="121"/>
  <c r="B17" i="121"/>
  <c r="K16" i="121"/>
  <c r="C16" i="121"/>
  <c r="H16" i="121" s="1"/>
  <c r="B16" i="121"/>
  <c r="K15" i="121"/>
  <c r="H15" i="121"/>
  <c r="C15" i="121"/>
  <c r="B15" i="121"/>
  <c r="K14" i="121"/>
  <c r="C14" i="121"/>
  <c r="H14" i="121" s="1"/>
  <c r="B14" i="121"/>
  <c r="K13" i="121"/>
  <c r="H13" i="121"/>
  <c r="C13" i="121"/>
  <c r="B13" i="121"/>
  <c r="K12" i="121"/>
  <c r="C12" i="121"/>
  <c r="H12" i="121" s="1"/>
  <c r="B12" i="121"/>
  <c r="K11" i="121"/>
  <c r="H11" i="121"/>
  <c r="C11" i="121"/>
  <c r="B11" i="121"/>
  <c r="K10" i="121"/>
  <c r="C10" i="121"/>
  <c r="H10" i="121" s="1"/>
  <c r="B10" i="121"/>
  <c r="K9" i="121"/>
  <c r="H9" i="121"/>
  <c r="C9" i="121"/>
  <c r="B9" i="121"/>
  <c r="K8" i="121"/>
  <c r="C8" i="121"/>
  <c r="H8" i="121" s="1"/>
  <c r="B8" i="121"/>
  <c r="K7" i="121"/>
  <c r="H7" i="121"/>
  <c r="C7" i="121"/>
  <c r="B7" i="121"/>
  <c r="K6" i="121"/>
  <c r="C6" i="121"/>
  <c r="H6" i="121" s="1"/>
  <c r="B6" i="121"/>
  <c r="K5" i="121"/>
  <c r="H5" i="121"/>
  <c r="C5" i="121"/>
  <c r="B5" i="121"/>
  <c r="K4" i="121"/>
  <c r="C4" i="121"/>
  <c r="H4" i="121" s="1"/>
  <c r="B4" i="121"/>
  <c r="K3" i="121"/>
  <c r="H3" i="121"/>
  <c r="C3" i="121"/>
  <c r="B3" i="121"/>
  <c r="K2" i="121"/>
  <c r="I2" i="121" s="1"/>
  <c r="H2" i="121"/>
  <c r="F2" i="121"/>
  <c r="G2" i="121" s="1"/>
  <c r="C2" i="121"/>
  <c r="B2" i="121"/>
  <c r="A2" i="121"/>
  <c r="AH2" i="4"/>
  <c r="AG6" i="4"/>
  <c r="AG7" i="4"/>
  <c r="AG8" i="4"/>
  <c r="AG9" i="4"/>
  <c r="AG10" i="4"/>
  <c r="AG13" i="4"/>
  <c r="AG14" i="4"/>
  <c r="AG15" i="4"/>
  <c r="AG16" i="4"/>
  <c r="AG17" i="4"/>
  <c r="AG5" i="4"/>
  <c r="AG25" i="1"/>
  <c r="AG26" i="1"/>
  <c r="AG27" i="1"/>
  <c r="AG28" i="1"/>
  <c r="A5" i="134" l="1"/>
  <c r="F4" i="134"/>
  <c r="A4" i="133"/>
  <c r="F3" i="133"/>
  <c r="A4" i="132"/>
  <c r="F3" i="132"/>
  <c r="F3" i="131"/>
  <c r="A4" i="131"/>
  <c r="A4" i="130"/>
  <c r="F3" i="130"/>
  <c r="A3" i="129"/>
  <c r="A3" i="128"/>
  <c r="A3" i="127"/>
  <c r="A3" i="126"/>
  <c r="A3" i="125"/>
  <c r="A3" i="124"/>
  <c r="A3" i="123"/>
  <c r="A3" i="122"/>
  <c r="A3" i="121"/>
  <c r="B4" i="50"/>
  <c r="A6" i="134" l="1"/>
  <c r="F5" i="134"/>
  <c r="A5" i="133"/>
  <c r="F4" i="133"/>
  <c r="A5" i="132"/>
  <c r="F4" i="132"/>
  <c r="A5" i="131"/>
  <c r="F4" i="131"/>
  <c r="A5" i="130"/>
  <c r="F4" i="130"/>
  <c r="A4" i="129"/>
  <c r="F3" i="129"/>
  <c r="A4" i="128"/>
  <c r="F3" i="128"/>
  <c r="A4" i="127"/>
  <c r="F3" i="127"/>
  <c r="A4" i="126"/>
  <c r="F3" i="126"/>
  <c r="A4" i="125"/>
  <c r="F3" i="125"/>
  <c r="A4" i="124"/>
  <c r="F3" i="124"/>
  <c r="A4" i="123"/>
  <c r="F3" i="123"/>
  <c r="A4" i="122"/>
  <c r="F3" i="122"/>
  <c r="F3" i="121"/>
  <c r="A4" i="121"/>
  <c r="F2" i="9"/>
  <c r="A7" i="134" l="1"/>
  <c r="F6" i="134"/>
  <c r="F5" i="133"/>
  <c r="A6" i="133"/>
  <c r="F5" i="132"/>
  <c r="A6" i="132"/>
  <c r="A6" i="131"/>
  <c r="F5" i="131"/>
  <c r="F5" i="130"/>
  <c r="A6" i="130"/>
  <c r="A5" i="129"/>
  <c r="F4" i="129"/>
  <c r="A5" i="128"/>
  <c r="F4" i="128"/>
  <c r="A5" i="127"/>
  <c r="F4" i="127"/>
  <c r="A5" i="126"/>
  <c r="F4" i="126"/>
  <c r="A5" i="125"/>
  <c r="F4" i="125"/>
  <c r="A5" i="124"/>
  <c r="F4" i="124"/>
  <c r="A5" i="123"/>
  <c r="F4" i="123"/>
  <c r="A5" i="122"/>
  <c r="F4" i="122"/>
  <c r="A5" i="121"/>
  <c r="F4" i="121"/>
  <c r="A2" i="4"/>
  <c r="G18" i="4"/>
  <c r="AG18" i="4" s="1"/>
  <c r="G12" i="4"/>
  <c r="AG12" i="4" s="1"/>
  <c r="G11" i="4"/>
  <c r="AG11" i="4" s="1"/>
  <c r="AG4" i="4" s="1"/>
  <c r="A2" i="1"/>
  <c r="F7" i="134" l="1"/>
  <c r="A8" i="134"/>
  <c r="A7" i="133"/>
  <c r="F6" i="133"/>
  <c r="A7" i="132"/>
  <c r="F6" i="132"/>
  <c r="A7" i="131"/>
  <c r="F6" i="131"/>
  <c r="A7" i="130"/>
  <c r="F6" i="130"/>
  <c r="A6" i="129"/>
  <c r="F5" i="129"/>
  <c r="A6" i="128"/>
  <c r="F5" i="128"/>
  <c r="A6" i="127"/>
  <c r="F5" i="127"/>
  <c r="A6" i="126"/>
  <c r="F5" i="126"/>
  <c r="A6" i="125"/>
  <c r="F5" i="125"/>
  <c r="A6" i="124"/>
  <c r="F5" i="124"/>
  <c r="A6" i="123"/>
  <c r="F5" i="123"/>
  <c r="A6" i="122"/>
  <c r="F5" i="122"/>
  <c r="A6" i="121"/>
  <c r="F5" i="121"/>
  <c r="M27" i="1"/>
  <c r="M28" i="1"/>
  <c r="G27" i="1"/>
  <c r="H27" i="1" s="1"/>
  <c r="G28" i="1"/>
  <c r="H28" i="1" s="1"/>
  <c r="B2" i="9"/>
  <c r="M26" i="1"/>
  <c r="G26" i="1"/>
  <c r="H26" i="1" s="1"/>
  <c r="E4" i="4"/>
  <c r="E4" i="1"/>
  <c r="M25" i="1"/>
  <c r="M2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H24" i="1" s="1"/>
  <c r="G25" i="1"/>
  <c r="H25" i="1" s="1"/>
  <c r="G5" i="1"/>
  <c r="M23" i="1"/>
  <c r="H23" i="1"/>
  <c r="AG23" i="1"/>
  <c r="B2" i="8"/>
  <c r="H2" i="95"/>
  <c r="AJ60" i="50"/>
  <c r="L63" i="50"/>
  <c r="AM59" i="50"/>
  <c r="L62" i="50"/>
  <c r="W58" i="50"/>
  <c r="AE58" i="50"/>
  <c r="AO62" i="50"/>
  <c r="Y62" i="50"/>
  <c r="N63" i="50"/>
  <c r="AO59" i="50"/>
  <c r="AA63" i="50"/>
  <c r="AB60" i="50"/>
  <c r="AG60" i="50"/>
  <c r="AI59" i="50"/>
  <c r="Z61" i="50"/>
  <c r="T61" i="50"/>
  <c r="AA60" i="50"/>
  <c r="AO58" i="50"/>
  <c r="AH61" i="50"/>
  <c r="N60" i="50"/>
  <c r="W60" i="50"/>
  <c r="O59" i="50"/>
  <c r="AC61" i="50"/>
  <c r="R62" i="50"/>
  <c r="AD62" i="50"/>
  <c r="W62" i="50"/>
  <c r="AE60" i="50"/>
  <c r="AG59" i="50"/>
  <c r="AK59" i="50"/>
  <c r="AC58" i="50"/>
  <c r="S59" i="50"/>
  <c r="AL59" i="50"/>
  <c r="AA59" i="50"/>
  <c r="P60" i="50"/>
  <c r="Y60" i="50"/>
  <c r="AL62" i="50"/>
  <c r="M63" i="50"/>
  <c r="S62" i="50"/>
  <c r="AB62" i="50"/>
  <c r="AO60" i="50"/>
  <c r="X61" i="50"/>
  <c r="V58" i="50"/>
  <c r="AK58" i="50"/>
  <c r="O58" i="50"/>
  <c r="Z59" i="50"/>
  <c r="AH59" i="50"/>
  <c r="T62" i="50"/>
  <c r="AA62" i="50"/>
  <c r="AM58" i="50"/>
  <c r="AK61" i="50"/>
  <c r="AA58" i="50"/>
  <c r="S63" i="50"/>
  <c r="AF61" i="50"/>
  <c r="P61" i="50"/>
  <c r="T59" i="50"/>
  <c r="AM61" i="50"/>
  <c r="S60" i="50"/>
  <c r="Z63" i="50"/>
  <c r="W59" i="50"/>
  <c r="V59" i="50"/>
  <c r="AJ61" i="50"/>
  <c r="AN59" i="50"/>
  <c r="AG61" i="50"/>
  <c r="P58" i="50"/>
  <c r="AB61" i="50"/>
  <c r="U58" i="50"/>
  <c r="AA61" i="50"/>
  <c r="N61" i="50"/>
  <c r="AL61" i="50"/>
  <c r="AI63" i="50"/>
  <c r="AE61" i="50"/>
  <c r="AG58" i="50"/>
  <c r="AJ63" i="50"/>
  <c r="Q63" i="50"/>
  <c r="AE62" i="50"/>
  <c r="AD60" i="50"/>
  <c r="AD61" i="50"/>
  <c r="AG63" i="50"/>
  <c r="Y58" i="50"/>
  <c r="AK60" i="50"/>
  <c r="Z58" i="50"/>
  <c r="V62" i="50"/>
  <c r="N62" i="50"/>
  <c r="AO61" i="50"/>
  <c r="AB63" i="50"/>
  <c r="V60" i="50"/>
  <c r="N59" i="50"/>
  <c r="U60" i="50"/>
  <c r="AH58" i="50"/>
  <c r="AF62" i="50"/>
  <c r="P59" i="50"/>
  <c r="AG62" i="50"/>
  <c r="AN62" i="50"/>
  <c r="AL60" i="50"/>
  <c r="Y63" i="50"/>
  <c r="O62" i="50"/>
  <c r="U63" i="50"/>
  <c r="T63" i="50"/>
  <c r="AL58" i="50"/>
  <c r="AN58" i="50"/>
  <c r="AO63" i="50"/>
  <c r="W63" i="50"/>
  <c r="T58" i="50"/>
  <c r="R63" i="50"/>
  <c r="AJ62" i="50"/>
  <c r="AN60" i="50"/>
  <c r="X59" i="50"/>
  <c r="R61" i="50"/>
  <c r="AH62" i="50"/>
  <c r="AN61" i="50"/>
  <c r="X63" i="50"/>
  <c r="Z60" i="50"/>
  <c r="AF63" i="50"/>
  <c r="AC63" i="50"/>
  <c r="AF60" i="50"/>
  <c r="U61" i="50"/>
  <c r="O60" i="50"/>
  <c r="AC62" i="50"/>
  <c r="AJ58" i="50"/>
  <c r="AE63" i="50"/>
  <c r="AD63" i="50"/>
  <c r="N58" i="50"/>
  <c r="W61" i="50"/>
  <c r="U62" i="50"/>
  <c r="S58" i="50"/>
  <c r="R58" i="50"/>
  <c r="AE59" i="50"/>
  <c r="P63" i="50"/>
  <c r="AD59" i="50"/>
  <c r="Q60" i="50"/>
  <c r="AM62" i="50"/>
  <c r="AI61" i="50"/>
  <c r="Y59" i="50"/>
  <c r="Q62" i="50"/>
  <c r="X62" i="50"/>
  <c r="AI58" i="50"/>
  <c r="U59" i="50"/>
  <c r="AJ59" i="50"/>
  <c r="X60" i="50"/>
  <c r="P62" i="50"/>
  <c r="V63" i="50"/>
  <c r="T60" i="50"/>
  <c r="M62" i="50"/>
  <c r="AF58" i="50"/>
  <c r="X58" i="50"/>
  <c r="AC60" i="50"/>
  <c r="Z62" i="50"/>
  <c r="AM60" i="50"/>
  <c r="Q61" i="50"/>
  <c r="AN63" i="50"/>
  <c r="R59" i="50"/>
  <c r="O63" i="50"/>
  <c r="AB59" i="50"/>
  <c r="Y61" i="50"/>
  <c r="AH63" i="50"/>
  <c r="AI62" i="50"/>
  <c r="AL63" i="50"/>
  <c r="AB58" i="50"/>
  <c r="AC59" i="50"/>
  <c r="R60" i="50"/>
  <c r="AF59" i="50"/>
  <c r="AI60" i="50"/>
  <c r="V61" i="50"/>
  <c r="Q58" i="50"/>
  <c r="AD58" i="50"/>
  <c r="Q59" i="50"/>
  <c r="AK63" i="50"/>
  <c r="S61" i="50"/>
  <c r="AK62" i="50"/>
  <c r="AH60" i="50"/>
  <c r="O61" i="50"/>
  <c r="AM63" i="50"/>
  <c r="A9" i="134" l="1"/>
  <c r="F8" i="134"/>
  <c r="A8" i="133"/>
  <c r="F7" i="133"/>
  <c r="F7" i="132"/>
  <c r="A8" i="132"/>
  <c r="F7" i="131"/>
  <c r="A8" i="131"/>
  <c r="A8" i="130"/>
  <c r="F7" i="130"/>
  <c r="A7" i="129"/>
  <c r="F6" i="129"/>
  <c r="A7" i="128"/>
  <c r="F6" i="128"/>
  <c r="A7" i="127"/>
  <c r="F6" i="127"/>
  <c r="A7" i="126"/>
  <c r="F6" i="126"/>
  <c r="A7" i="125"/>
  <c r="F6" i="125"/>
  <c r="A7" i="124"/>
  <c r="F6" i="124"/>
  <c r="A7" i="123"/>
  <c r="F6" i="123"/>
  <c r="A7" i="122"/>
  <c r="F6" i="122"/>
  <c r="A7" i="121"/>
  <c r="F6" i="121"/>
  <c r="F63" i="50"/>
  <c r="F62" i="50"/>
  <c r="AG24" i="1"/>
  <c r="L58" i="50"/>
  <c r="M61" i="50"/>
  <c r="M59" i="50"/>
  <c r="M60" i="50"/>
  <c r="M58" i="50"/>
  <c r="L60" i="50"/>
  <c r="L61" i="50"/>
  <c r="L59" i="50"/>
  <c r="A10" i="134" l="1"/>
  <c r="F9" i="134"/>
  <c r="A9" i="133"/>
  <c r="F8" i="133"/>
  <c r="A9" i="132"/>
  <c r="F8" i="132"/>
  <c r="A9" i="131"/>
  <c r="F8" i="131"/>
  <c r="A9" i="130"/>
  <c r="F8" i="130"/>
  <c r="F7" i="129"/>
  <c r="A8" i="129"/>
  <c r="A8" i="128"/>
  <c r="F7" i="128"/>
  <c r="A8" i="127"/>
  <c r="F7" i="127"/>
  <c r="A8" i="126"/>
  <c r="F7" i="126"/>
  <c r="A8" i="125"/>
  <c r="F7" i="125"/>
  <c r="A8" i="124"/>
  <c r="F7" i="124"/>
  <c r="A8" i="123"/>
  <c r="F7" i="123"/>
  <c r="F7" i="122"/>
  <c r="A8" i="122"/>
  <c r="A8" i="121"/>
  <c r="F7" i="121"/>
  <c r="J62" i="50"/>
  <c r="J63" i="50"/>
  <c r="H63" i="50"/>
  <c r="H62" i="50"/>
  <c r="F61" i="50"/>
  <c r="F59" i="50"/>
  <c r="F60" i="50"/>
  <c r="F58" i="50"/>
  <c r="A11" i="134" l="1"/>
  <c r="F10" i="134"/>
  <c r="A10" i="133"/>
  <c r="F9" i="133"/>
  <c r="A10" i="132"/>
  <c r="F9" i="132"/>
  <c r="A10" i="131"/>
  <c r="F9" i="131"/>
  <c r="A10" i="130"/>
  <c r="F9" i="130"/>
  <c r="A9" i="129"/>
  <c r="F8" i="129"/>
  <c r="A9" i="128"/>
  <c r="F8" i="128"/>
  <c r="A9" i="127"/>
  <c r="F8" i="127"/>
  <c r="A9" i="126"/>
  <c r="F8" i="126"/>
  <c r="A9" i="125"/>
  <c r="F8" i="125"/>
  <c r="A9" i="124"/>
  <c r="F8" i="124"/>
  <c r="A9" i="123"/>
  <c r="F8" i="123"/>
  <c r="A9" i="122"/>
  <c r="F8" i="122"/>
  <c r="A9" i="121"/>
  <c r="F8" i="121"/>
  <c r="J60" i="50"/>
  <c r="J59" i="50"/>
  <c r="J61" i="50"/>
  <c r="J58" i="50"/>
  <c r="H58" i="50"/>
  <c r="H60" i="50"/>
  <c r="H59" i="50"/>
  <c r="H61" i="50"/>
  <c r="G2" i="120"/>
  <c r="D2" i="120"/>
  <c r="E4" i="120"/>
  <c r="F4" i="120" s="1"/>
  <c r="H4" i="120" s="1"/>
  <c r="E5" i="120"/>
  <c r="F5" i="120" s="1"/>
  <c r="H5" i="120" s="1"/>
  <c r="E6" i="120"/>
  <c r="F6" i="120" s="1"/>
  <c r="H6" i="120" s="1"/>
  <c r="E7" i="120"/>
  <c r="F7" i="120" s="1"/>
  <c r="H7" i="120" s="1"/>
  <c r="E8" i="120"/>
  <c r="F8" i="120" s="1"/>
  <c r="H8" i="120" s="1"/>
  <c r="E9" i="120"/>
  <c r="F9" i="120" s="1"/>
  <c r="H9" i="120" s="1"/>
  <c r="E10" i="120"/>
  <c r="F10" i="120" s="1"/>
  <c r="H10" i="120" s="1"/>
  <c r="E11" i="120"/>
  <c r="F11" i="120" s="1"/>
  <c r="H11" i="120" s="1"/>
  <c r="E12" i="120"/>
  <c r="F12" i="120" s="1"/>
  <c r="H12" i="120" s="1"/>
  <c r="E13" i="120"/>
  <c r="F13" i="120" s="1"/>
  <c r="H13" i="120" s="1"/>
  <c r="E14" i="120"/>
  <c r="F14" i="120" s="1"/>
  <c r="H14" i="120" s="1"/>
  <c r="E15" i="120"/>
  <c r="F15" i="120" s="1"/>
  <c r="H15" i="120" s="1"/>
  <c r="E16" i="120"/>
  <c r="F16" i="120" s="1"/>
  <c r="H16" i="120" s="1"/>
  <c r="E17" i="120"/>
  <c r="F17" i="120" s="1"/>
  <c r="H17" i="120" s="1"/>
  <c r="E18" i="120"/>
  <c r="F18" i="120" s="1"/>
  <c r="H18" i="120" s="1"/>
  <c r="E19" i="120"/>
  <c r="F19" i="120" s="1"/>
  <c r="H19" i="120" s="1"/>
  <c r="E20" i="120"/>
  <c r="F20" i="120" s="1"/>
  <c r="H20" i="120" s="1"/>
  <c r="E3" i="120"/>
  <c r="F3" i="120" s="1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17" i="120"/>
  <c r="C18" i="120"/>
  <c r="C19" i="120"/>
  <c r="C20" i="120"/>
  <c r="C3" i="120"/>
  <c r="A12" i="134" l="1"/>
  <c r="F11" i="134"/>
  <c r="A11" i="133"/>
  <c r="F10" i="133"/>
  <c r="A11" i="132"/>
  <c r="F10" i="132"/>
  <c r="A11" i="131"/>
  <c r="F10" i="131"/>
  <c r="A11" i="130"/>
  <c r="F10" i="130"/>
  <c r="A10" i="129"/>
  <c r="F9" i="129"/>
  <c r="A10" i="128"/>
  <c r="F9" i="128"/>
  <c r="A10" i="127"/>
  <c r="F9" i="127"/>
  <c r="A10" i="126"/>
  <c r="F9" i="126"/>
  <c r="A10" i="125"/>
  <c r="F9" i="125"/>
  <c r="A10" i="124"/>
  <c r="F9" i="124"/>
  <c r="A10" i="123"/>
  <c r="F9" i="123"/>
  <c r="F9" i="122"/>
  <c r="A10" i="122"/>
  <c r="A10" i="121"/>
  <c r="F9" i="121"/>
  <c r="C2" i="120"/>
  <c r="H3" i="120"/>
  <c r="F2" i="120"/>
  <c r="H2" i="120"/>
  <c r="L24" i="5"/>
  <c r="D56" i="50"/>
  <c r="L23" i="5"/>
  <c r="G23" i="5"/>
  <c r="C4" i="9"/>
  <c r="C5" i="9"/>
  <c r="W56" i="50"/>
  <c r="AJ56" i="50"/>
  <c r="AL56" i="50"/>
  <c r="T57" i="50"/>
  <c r="O56" i="50"/>
  <c r="AG56" i="50"/>
  <c r="AE56" i="50"/>
  <c r="V57" i="50"/>
  <c r="Q56" i="50"/>
  <c r="M57" i="50"/>
  <c r="AD56" i="50"/>
  <c r="AG57" i="50"/>
  <c r="L57" i="50"/>
  <c r="M56" i="50"/>
  <c r="V56" i="50"/>
  <c r="U57" i="50"/>
  <c r="X57" i="50"/>
  <c r="AK56" i="50"/>
  <c r="AC57" i="50"/>
  <c r="AA57" i="50"/>
  <c r="Y56" i="50"/>
  <c r="AM56" i="50"/>
  <c r="S57" i="50"/>
  <c r="AH56" i="50"/>
  <c r="X56" i="50"/>
  <c r="AD57" i="50"/>
  <c r="Q57" i="50"/>
  <c r="Z56" i="50"/>
  <c r="P57" i="50"/>
  <c r="AN57" i="50"/>
  <c r="W57" i="50"/>
  <c r="T56" i="50"/>
  <c r="N56" i="50"/>
  <c r="AA56" i="50"/>
  <c r="N57" i="50"/>
  <c r="AE57" i="50"/>
  <c r="AF57" i="50"/>
  <c r="R57" i="50"/>
  <c r="AI57" i="50"/>
  <c r="R56" i="50"/>
  <c r="AB56" i="50"/>
  <c r="AO56" i="50"/>
  <c r="S56" i="50"/>
  <c r="AF56" i="50"/>
  <c r="AH57" i="50"/>
  <c r="U56" i="50"/>
  <c r="AK57" i="50"/>
  <c r="AI56" i="50"/>
  <c r="AC56" i="50"/>
  <c r="AL57" i="50"/>
  <c r="AO57" i="50"/>
  <c r="Z57" i="50"/>
  <c r="P56" i="50"/>
  <c r="O57" i="50"/>
  <c r="AB57" i="50"/>
  <c r="AM57" i="50"/>
  <c r="AN56" i="50"/>
  <c r="AJ57" i="50"/>
  <c r="Y57" i="50"/>
  <c r="A13" i="134" l="1"/>
  <c r="F12" i="134"/>
  <c r="A12" i="133"/>
  <c r="F11" i="133"/>
  <c r="A12" i="132"/>
  <c r="F11" i="132"/>
  <c r="A12" i="131"/>
  <c r="F11" i="131"/>
  <c r="A12" i="130"/>
  <c r="F11" i="130"/>
  <c r="A11" i="129"/>
  <c r="F10" i="129"/>
  <c r="A11" i="128"/>
  <c r="F10" i="128"/>
  <c r="A11" i="127"/>
  <c r="F10" i="127"/>
  <c r="A11" i="126"/>
  <c r="F10" i="126"/>
  <c r="A11" i="125"/>
  <c r="F10" i="125"/>
  <c r="A11" i="124"/>
  <c r="F10" i="124"/>
  <c r="A11" i="123"/>
  <c r="F10" i="123"/>
  <c r="A11" i="122"/>
  <c r="F10" i="122"/>
  <c r="A11" i="121"/>
  <c r="F10" i="121"/>
  <c r="G24" i="5"/>
  <c r="F57" i="50"/>
  <c r="L56" i="50"/>
  <c r="A14" i="134" l="1"/>
  <c r="F13" i="134"/>
  <c r="A13" i="133"/>
  <c r="F12" i="133"/>
  <c r="A13" i="132"/>
  <c r="F12" i="132"/>
  <c r="A13" i="131"/>
  <c r="F12" i="131"/>
  <c r="A13" i="130"/>
  <c r="F12" i="130"/>
  <c r="A12" i="129"/>
  <c r="F11" i="129"/>
  <c r="A12" i="128"/>
  <c r="F11" i="128"/>
  <c r="A12" i="127"/>
  <c r="F11" i="127"/>
  <c r="A12" i="126"/>
  <c r="F11" i="126"/>
  <c r="A12" i="125"/>
  <c r="F11" i="125"/>
  <c r="A12" i="124"/>
  <c r="F11" i="124"/>
  <c r="A12" i="123"/>
  <c r="F11" i="123"/>
  <c r="A12" i="122"/>
  <c r="F11" i="122"/>
  <c r="F11" i="121"/>
  <c r="A12" i="121"/>
  <c r="J57" i="50"/>
  <c r="H57" i="50"/>
  <c r="F56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" i="50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" i="4"/>
  <c r="M18" i="4"/>
  <c r="H18" i="4"/>
  <c r="M21" i="1"/>
  <c r="M22" i="1"/>
  <c r="P55" i="50"/>
  <c r="AB55" i="50"/>
  <c r="Q55" i="50"/>
  <c r="AK55" i="50"/>
  <c r="AF55" i="50"/>
  <c r="AC55" i="50"/>
  <c r="T55" i="50"/>
  <c r="M55" i="50"/>
  <c r="AL55" i="50"/>
  <c r="AD55" i="50"/>
  <c r="S55" i="50"/>
  <c r="AE55" i="50"/>
  <c r="Z55" i="50"/>
  <c r="AH55" i="50"/>
  <c r="AJ55" i="50"/>
  <c r="W55" i="50"/>
  <c r="AM55" i="50"/>
  <c r="X55" i="50"/>
  <c r="AA55" i="50"/>
  <c r="AG55" i="50"/>
  <c r="V55" i="50"/>
  <c r="AI55" i="50"/>
  <c r="U55" i="50"/>
  <c r="Y55" i="50"/>
  <c r="O55" i="50"/>
  <c r="R55" i="50"/>
  <c r="L55" i="50"/>
  <c r="AN55" i="50"/>
  <c r="N55" i="50"/>
  <c r="AO55" i="50"/>
  <c r="A15" i="134" l="1"/>
  <c r="F14" i="134"/>
  <c r="A14" i="133"/>
  <c r="F13" i="133"/>
  <c r="A14" i="132"/>
  <c r="F13" i="132"/>
  <c r="A14" i="131"/>
  <c r="F13" i="131"/>
  <c r="A14" i="130"/>
  <c r="F13" i="130"/>
  <c r="A13" i="129"/>
  <c r="F12" i="129"/>
  <c r="A13" i="128"/>
  <c r="F12" i="128"/>
  <c r="A13" i="127"/>
  <c r="F12" i="127"/>
  <c r="A13" i="126"/>
  <c r="F12" i="126"/>
  <c r="A13" i="125"/>
  <c r="F12" i="125"/>
  <c r="A13" i="124"/>
  <c r="F12" i="124"/>
  <c r="A13" i="123"/>
  <c r="F12" i="123"/>
  <c r="A13" i="122"/>
  <c r="F12" i="122"/>
  <c r="A13" i="121"/>
  <c r="F12" i="121"/>
  <c r="J56" i="50"/>
  <c r="H56" i="50"/>
  <c r="F55" i="50"/>
  <c r="R1" i="50"/>
  <c r="P1" i="50"/>
  <c r="A16" i="134" l="1"/>
  <c r="F15" i="134"/>
  <c r="A15" i="133"/>
  <c r="F14" i="133"/>
  <c r="A15" i="132"/>
  <c r="F14" i="132"/>
  <c r="A15" i="131"/>
  <c r="F14" i="131"/>
  <c r="A15" i="130"/>
  <c r="F14" i="130"/>
  <c r="A14" i="129"/>
  <c r="F13" i="129"/>
  <c r="A14" i="128"/>
  <c r="F13" i="128"/>
  <c r="A14" i="127"/>
  <c r="F13" i="127"/>
  <c r="A14" i="126"/>
  <c r="F13" i="126"/>
  <c r="A14" i="125"/>
  <c r="F13" i="125"/>
  <c r="A14" i="124"/>
  <c r="F13" i="124"/>
  <c r="A14" i="123"/>
  <c r="F13" i="123"/>
  <c r="A14" i="122"/>
  <c r="F13" i="122"/>
  <c r="F13" i="121"/>
  <c r="A14" i="121"/>
  <c r="J55" i="50"/>
  <c r="H55" i="50"/>
  <c r="A17" i="134" l="1"/>
  <c r="F16" i="134"/>
  <c r="A16" i="133"/>
  <c r="F15" i="133"/>
  <c r="A16" i="132"/>
  <c r="F15" i="132"/>
  <c r="A16" i="131"/>
  <c r="F15" i="131"/>
  <c r="A16" i="130"/>
  <c r="F15" i="130"/>
  <c r="A15" i="129"/>
  <c r="F14" i="129"/>
  <c r="A15" i="128"/>
  <c r="F14" i="128"/>
  <c r="A15" i="127"/>
  <c r="F14" i="127"/>
  <c r="A15" i="126"/>
  <c r="F14" i="126"/>
  <c r="A15" i="125"/>
  <c r="F14" i="125"/>
  <c r="A15" i="124"/>
  <c r="F14" i="124"/>
  <c r="A15" i="123"/>
  <c r="F14" i="123"/>
  <c r="A15" i="122"/>
  <c r="F14" i="122"/>
  <c r="A15" i="121"/>
  <c r="F14" i="12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5" i="1"/>
  <c r="A18" i="134" l="1"/>
  <c r="F17" i="134"/>
  <c r="A17" i="133"/>
  <c r="F16" i="133"/>
  <c r="A17" i="132"/>
  <c r="F16" i="132"/>
  <c r="A17" i="131"/>
  <c r="F16" i="131"/>
  <c r="A17" i="130"/>
  <c r="F16" i="130"/>
  <c r="A16" i="129"/>
  <c r="F15" i="129"/>
  <c r="A16" i="128"/>
  <c r="F15" i="128"/>
  <c r="A16" i="127"/>
  <c r="F15" i="127"/>
  <c r="A16" i="126"/>
  <c r="F15" i="126"/>
  <c r="A16" i="125"/>
  <c r="F15" i="125"/>
  <c r="A16" i="124"/>
  <c r="F15" i="124"/>
  <c r="A16" i="123"/>
  <c r="F15" i="123"/>
  <c r="A16" i="122"/>
  <c r="F15" i="122"/>
  <c r="A16" i="121"/>
  <c r="F15" i="121"/>
  <c r="AG4" i="1"/>
  <c r="P4" i="1"/>
  <c r="R4" i="4"/>
  <c r="S4" i="4"/>
  <c r="T4" i="4"/>
  <c r="AB4" i="4"/>
  <c r="AC4" i="4"/>
  <c r="AD4" i="4"/>
  <c r="AE4" i="4"/>
  <c r="Q4" i="4"/>
  <c r="F4" i="4"/>
  <c r="P4" i="4"/>
  <c r="Q4" i="5"/>
  <c r="R4" i="5"/>
  <c r="S4" i="5"/>
  <c r="AA4" i="5"/>
  <c r="AB4" i="5"/>
  <c r="AC4" i="5"/>
  <c r="AD4" i="5"/>
  <c r="P4" i="5"/>
  <c r="O4" i="5"/>
  <c r="E4" i="5"/>
  <c r="A19" i="134" l="1"/>
  <c r="F18" i="134"/>
  <c r="A18" i="133"/>
  <c r="F17" i="133"/>
  <c r="A18" i="132"/>
  <c r="F17" i="132"/>
  <c r="A18" i="131"/>
  <c r="F17" i="131"/>
  <c r="A18" i="130"/>
  <c r="F17" i="130"/>
  <c r="A17" i="129"/>
  <c r="F16" i="129"/>
  <c r="A17" i="128"/>
  <c r="F16" i="128"/>
  <c r="A17" i="127"/>
  <c r="F16" i="127"/>
  <c r="A17" i="126"/>
  <c r="F16" i="126"/>
  <c r="A17" i="125"/>
  <c r="F16" i="125"/>
  <c r="A17" i="124"/>
  <c r="F16" i="124"/>
  <c r="A17" i="123"/>
  <c r="F16" i="123"/>
  <c r="A17" i="122"/>
  <c r="F16" i="122"/>
  <c r="A17" i="121"/>
  <c r="F16" i="121"/>
  <c r="AE4" i="1"/>
  <c r="AD4" i="1"/>
  <c r="AC4" i="1"/>
  <c r="AB4" i="1"/>
  <c r="T4" i="1"/>
  <c r="S4" i="1"/>
  <c r="R4" i="1"/>
  <c r="Q4" i="1"/>
  <c r="F4" i="1"/>
  <c r="H5" i="1"/>
  <c r="H22" i="1"/>
  <c r="H21" i="1"/>
  <c r="AG51" i="50"/>
  <c r="T53" i="50"/>
  <c r="AN4" i="50"/>
  <c r="O53" i="50"/>
  <c r="AK54" i="50"/>
  <c r="AE52" i="50"/>
  <c r="AO52" i="50"/>
  <c r="AC52" i="50"/>
  <c r="AJ51" i="50"/>
  <c r="M52" i="50"/>
  <c r="Z51" i="50"/>
  <c r="Q52" i="50"/>
  <c r="Y53" i="50"/>
  <c r="U53" i="50"/>
  <c r="N53" i="50"/>
  <c r="V52" i="50"/>
  <c r="AJ52" i="50"/>
  <c r="AC53" i="50"/>
  <c r="M51" i="50"/>
  <c r="Y52" i="50"/>
  <c r="AO4" i="50"/>
  <c r="AL51" i="50"/>
  <c r="AI4" i="50"/>
  <c r="W53" i="50"/>
  <c r="AH54" i="50"/>
  <c r="AM52" i="50"/>
  <c r="P52" i="50"/>
  <c r="Y51" i="50"/>
  <c r="M54" i="50"/>
  <c r="AF52" i="50"/>
  <c r="AI53" i="50"/>
  <c r="AK51" i="50"/>
  <c r="AD51" i="50"/>
  <c r="AA53" i="50"/>
  <c r="AK53" i="50"/>
  <c r="V54" i="50"/>
  <c r="AB51" i="50"/>
  <c r="AN53" i="50"/>
  <c r="O51" i="50"/>
  <c r="AL54" i="50"/>
  <c r="AA52" i="50"/>
  <c r="AJ4" i="50"/>
  <c r="AI51" i="50"/>
  <c r="W52" i="50"/>
  <c r="Z53" i="50"/>
  <c r="N54" i="50"/>
  <c r="AO53" i="50"/>
  <c r="AD53" i="50"/>
  <c r="AB54" i="50"/>
  <c r="AE51" i="50"/>
  <c r="AH52" i="50"/>
  <c r="AO51" i="50"/>
  <c r="AG53" i="50"/>
  <c r="U51" i="50"/>
  <c r="AF54" i="50"/>
  <c r="AB53" i="50"/>
  <c r="T54" i="50"/>
  <c r="U52" i="50"/>
  <c r="P51" i="50"/>
  <c r="AN51" i="50"/>
  <c r="R51" i="50"/>
  <c r="Q54" i="50"/>
  <c r="AM54" i="50"/>
  <c r="AN52" i="50"/>
  <c r="S51" i="50"/>
  <c r="AM53" i="50"/>
  <c r="O52" i="50"/>
  <c r="Q53" i="50"/>
  <c r="T52" i="50"/>
  <c r="AA51" i="50"/>
  <c r="S54" i="50"/>
  <c r="AH53" i="50"/>
  <c r="Z54" i="50"/>
  <c r="Z52" i="50"/>
  <c r="W54" i="50"/>
  <c r="N52" i="50"/>
  <c r="T51" i="50"/>
  <c r="P53" i="50"/>
  <c r="AJ53" i="50"/>
  <c r="AK52" i="50"/>
  <c r="AH4" i="50"/>
  <c r="AG54" i="50"/>
  <c r="AN54" i="50"/>
  <c r="AF51" i="50"/>
  <c r="AL52" i="50"/>
  <c r="AG52" i="50"/>
  <c r="X52" i="50"/>
  <c r="X54" i="50"/>
  <c r="AE53" i="50"/>
  <c r="AL53" i="50"/>
  <c r="U54" i="50"/>
  <c r="S53" i="50"/>
  <c r="AF53" i="50"/>
  <c r="AK4" i="50"/>
  <c r="AL4" i="50"/>
  <c r="R54" i="50"/>
  <c r="AM51" i="50"/>
  <c r="M53" i="50"/>
  <c r="AA54" i="50"/>
  <c r="AD52" i="50"/>
  <c r="Y54" i="50"/>
  <c r="AJ54" i="50"/>
  <c r="AO54" i="50"/>
  <c r="P54" i="50"/>
  <c r="V51" i="50"/>
  <c r="AE54" i="50"/>
  <c r="Q51" i="50"/>
  <c r="R52" i="50"/>
  <c r="V53" i="50"/>
  <c r="AD54" i="50"/>
  <c r="S52" i="50"/>
  <c r="AC54" i="50"/>
  <c r="O54" i="50"/>
  <c r="X51" i="50"/>
  <c r="AI54" i="50"/>
  <c r="W51" i="50"/>
  <c r="AM4" i="50"/>
  <c r="AH51" i="50"/>
  <c r="X53" i="50"/>
  <c r="AI52" i="50"/>
  <c r="R53" i="50"/>
  <c r="N51" i="50"/>
  <c r="AC51" i="50"/>
  <c r="AB52" i="50"/>
  <c r="A20" i="134" l="1"/>
  <c r="F19" i="134"/>
  <c r="A19" i="133"/>
  <c r="F18" i="133"/>
  <c r="A19" i="132"/>
  <c r="F18" i="132"/>
  <c r="A19" i="131"/>
  <c r="F18" i="131"/>
  <c r="A19" i="130"/>
  <c r="F18" i="130"/>
  <c r="A18" i="129"/>
  <c r="F17" i="129"/>
  <c r="A18" i="128"/>
  <c r="F17" i="128"/>
  <c r="A18" i="127"/>
  <c r="F17" i="127"/>
  <c r="A18" i="126"/>
  <c r="F17" i="126"/>
  <c r="A18" i="125"/>
  <c r="F17" i="125"/>
  <c r="A18" i="124"/>
  <c r="F17" i="124"/>
  <c r="A18" i="123"/>
  <c r="F17" i="123"/>
  <c r="A18" i="122"/>
  <c r="F17" i="122"/>
  <c r="A18" i="121"/>
  <c r="F17" i="121"/>
  <c r="C2" i="9"/>
  <c r="H2" i="9" s="1"/>
  <c r="C3" i="9"/>
  <c r="H3" i="9" s="1"/>
  <c r="H4" i="9"/>
  <c r="H5" i="9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A21" i="134" l="1"/>
  <c r="F20" i="134"/>
  <c r="A20" i="133"/>
  <c r="F19" i="133"/>
  <c r="A20" i="132"/>
  <c r="F19" i="132"/>
  <c r="A20" i="131"/>
  <c r="F19" i="131"/>
  <c r="A20" i="130"/>
  <c r="F19" i="130"/>
  <c r="A19" i="129"/>
  <c r="F18" i="129"/>
  <c r="A19" i="128"/>
  <c r="F18" i="128"/>
  <c r="A19" i="127"/>
  <c r="F18" i="127"/>
  <c r="A19" i="126"/>
  <c r="F18" i="126"/>
  <c r="A19" i="125"/>
  <c r="F18" i="125"/>
  <c r="A19" i="124"/>
  <c r="F18" i="124"/>
  <c r="A19" i="123"/>
  <c r="F18" i="123"/>
  <c r="A19" i="122"/>
  <c r="F18" i="122"/>
  <c r="A19" i="121"/>
  <c r="F18" i="121"/>
  <c r="H1" i="95"/>
  <c r="F21" i="134" l="1"/>
  <c r="A22" i="134"/>
  <c r="A21" i="133"/>
  <c r="F20" i="133"/>
  <c r="A21" i="132"/>
  <c r="F20" i="132"/>
  <c r="A21" i="131"/>
  <c r="F20" i="131"/>
  <c r="A21" i="130"/>
  <c r="F20" i="130"/>
  <c r="A20" i="129"/>
  <c r="F19" i="129"/>
  <c r="A20" i="128"/>
  <c r="F19" i="128"/>
  <c r="A20" i="127"/>
  <c r="F19" i="127"/>
  <c r="A20" i="126"/>
  <c r="F19" i="126"/>
  <c r="A20" i="125"/>
  <c r="F19" i="125"/>
  <c r="A20" i="124"/>
  <c r="F19" i="124"/>
  <c r="A20" i="123"/>
  <c r="F19" i="123"/>
  <c r="A20" i="122"/>
  <c r="F19" i="122"/>
  <c r="A20" i="121"/>
  <c r="F19" i="121"/>
  <c r="H20" i="1"/>
  <c r="M20" i="1"/>
  <c r="F22" i="134" l="1"/>
  <c r="A23" i="134"/>
  <c r="F21" i="133"/>
  <c r="A22" i="133"/>
  <c r="F21" i="132"/>
  <c r="A22" i="132"/>
  <c r="F21" i="131"/>
  <c r="A22" i="131"/>
  <c r="F21" i="130"/>
  <c r="A22" i="130"/>
  <c r="A21" i="129"/>
  <c r="F20" i="129"/>
  <c r="A21" i="128"/>
  <c r="F20" i="128"/>
  <c r="A21" i="127"/>
  <c r="F20" i="127"/>
  <c r="A21" i="126"/>
  <c r="F20" i="126"/>
  <c r="A21" i="125"/>
  <c r="F20" i="125"/>
  <c r="A21" i="124"/>
  <c r="F20" i="124"/>
  <c r="A21" i="123"/>
  <c r="F20" i="123"/>
  <c r="A21" i="122"/>
  <c r="F20" i="122"/>
  <c r="A21" i="121"/>
  <c r="F20" i="121"/>
  <c r="F2" i="76"/>
  <c r="K2" i="76" s="1"/>
  <c r="D2" i="76"/>
  <c r="F23" i="134" l="1"/>
  <c r="A24" i="134"/>
  <c r="G19" i="134" s="1"/>
  <c r="G21" i="134"/>
  <c r="G20" i="134"/>
  <c r="G22" i="134"/>
  <c r="F22" i="133"/>
  <c r="A23" i="133"/>
  <c r="F22" i="132"/>
  <c r="A23" i="132"/>
  <c r="F22" i="131"/>
  <c r="A23" i="131"/>
  <c r="F22" i="130"/>
  <c r="A23" i="130"/>
  <c r="F21" i="129"/>
  <c r="A22" i="129"/>
  <c r="F21" i="128"/>
  <c r="A22" i="128"/>
  <c r="F21" i="127"/>
  <c r="A22" i="127"/>
  <c r="F21" i="126"/>
  <c r="A22" i="126"/>
  <c r="F21" i="125"/>
  <c r="A22" i="125"/>
  <c r="F21" i="124"/>
  <c r="A22" i="124"/>
  <c r="F21" i="123"/>
  <c r="A22" i="123"/>
  <c r="F21" i="122"/>
  <c r="A22" i="122"/>
  <c r="F21" i="121"/>
  <c r="A22" i="121"/>
  <c r="G2" i="76"/>
  <c r="I2" i="76" s="1"/>
  <c r="E2" i="76"/>
  <c r="G23" i="134" l="1"/>
  <c r="F24" i="134"/>
  <c r="G3" i="134"/>
  <c r="G4" i="134"/>
  <c r="G6" i="134"/>
  <c r="G5" i="134"/>
  <c r="G10" i="134"/>
  <c r="G7" i="134"/>
  <c r="G9" i="134"/>
  <c r="G8" i="134"/>
  <c r="G11" i="134"/>
  <c r="G12" i="134"/>
  <c r="G13" i="134"/>
  <c r="G14" i="134"/>
  <c r="G15" i="134"/>
  <c r="G16" i="134"/>
  <c r="G18" i="134"/>
  <c r="G17" i="134"/>
  <c r="G24" i="134"/>
  <c r="F23" i="133"/>
  <c r="A24" i="133"/>
  <c r="G21" i="133"/>
  <c r="F23" i="132"/>
  <c r="A24" i="132"/>
  <c r="G21" i="132" s="1"/>
  <c r="G20" i="132"/>
  <c r="F23" i="131"/>
  <c r="A24" i="131"/>
  <c r="G22" i="131" s="1"/>
  <c r="F23" i="130"/>
  <c r="A24" i="130"/>
  <c r="G23" i="130" s="1"/>
  <c r="F22" i="129"/>
  <c r="A23" i="129"/>
  <c r="F22" i="128"/>
  <c r="A23" i="128"/>
  <c r="F22" i="127"/>
  <c r="A23" i="127"/>
  <c r="F22" i="126"/>
  <c r="A23" i="126"/>
  <c r="F22" i="125"/>
  <c r="A23" i="125"/>
  <c r="F22" i="124"/>
  <c r="A23" i="124"/>
  <c r="F22" i="123"/>
  <c r="A23" i="123"/>
  <c r="F22" i="122"/>
  <c r="A23" i="122"/>
  <c r="F22" i="121"/>
  <c r="A23" i="121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F24" i="133" l="1"/>
  <c r="G3" i="133"/>
  <c r="G4" i="133"/>
  <c r="G8" i="133" s="1"/>
  <c r="G5" i="133"/>
  <c r="G7" i="133"/>
  <c r="G6" i="133"/>
  <c r="G10" i="133"/>
  <c r="G11" i="133"/>
  <c r="G9" i="133"/>
  <c r="G12" i="133"/>
  <c r="G15" i="133"/>
  <c r="G14" i="133"/>
  <c r="G13" i="133"/>
  <c r="G16" i="133"/>
  <c r="G20" i="133"/>
  <c r="G19" i="133"/>
  <c r="G18" i="133"/>
  <c r="G17" i="133"/>
  <c r="G24" i="133"/>
  <c r="G23" i="133"/>
  <c r="G22" i="133"/>
  <c r="F24" i="132"/>
  <c r="G3" i="132"/>
  <c r="G4" i="132"/>
  <c r="G5" i="132"/>
  <c r="G7" i="132"/>
  <c r="G6" i="132"/>
  <c r="G11" i="132"/>
  <c r="G8" i="132"/>
  <c r="G9" i="132"/>
  <c r="G12" i="132"/>
  <c r="G10" i="132"/>
  <c r="G13" i="132"/>
  <c r="G15" i="132"/>
  <c r="G14" i="132"/>
  <c r="G17" i="132"/>
  <c r="G19" i="132"/>
  <c r="G16" i="132"/>
  <c r="G18" i="132"/>
  <c r="G22" i="132"/>
  <c r="G23" i="132"/>
  <c r="G24" i="132"/>
  <c r="G23" i="131"/>
  <c r="F24" i="131"/>
  <c r="G3" i="131"/>
  <c r="G5" i="131"/>
  <c r="G6" i="131"/>
  <c r="G4" i="131"/>
  <c r="G8" i="131" s="1"/>
  <c r="G7" i="131"/>
  <c r="G12" i="131"/>
  <c r="G10" i="131"/>
  <c r="G11" i="131"/>
  <c r="G14" i="131"/>
  <c r="G9" i="131"/>
  <c r="G13" i="131"/>
  <c r="G17" i="131"/>
  <c r="G15" i="131"/>
  <c r="G20" i="131"/>
  <c r="G16" i="131"/>
  <c r="G19" i="131"/>
  <c r="G18" i="131"/>
  <c r="G21" i="131"/>
  <c r="G24" i="131"/>
  <c r="F24" i="130"/>
  <c r="G3" i="130"/>
  <c r="G5" i="130"/>
  <c r="G6" i="130"/>
  <c r="G4" i="130"/>
  <c r="G8" i="130"/>
  <c r="G7" i="130"/>
  <c r="G9" i="130"/>
  <c r="G10" i="130"/>
  <c r="G12" i="130"/>
  <c r="G11" i="130"/>
  <c r="G13" i="130"/>
  <c r="G14" i="130"/>
  <c r="G15" i="130"/>
  <c r="G16" i="130"/>
  <c r="G18" i="130"/>
  <c r="G17" i="130"/>
  <c r="G21" i="130"/>
  <c r="G22" i="130"/>
  <c r="G20" i="130"/>
  <c r="G24" i="130"/>
  <c r="G19" i="130"/>
  <c r="G20" i="129"/>
  <c r="F23" i="129"/>
  <c r="A24" i="129"/>
  <c r="G18" i="129"/>
  <c r="G22" i="129"/>
  <c r="G21" i="129"/>
  <c r="G23" i="129"/>
  <c r="F23" i="128"/>
  <c r="A24" i="128"/>
  <c r="G20" i="128" s="1"/>
  <c r="G22" i="127"/>
  <c r="F23" i="127"/>
  <c r="A24" i="127"/>
  <c r="G23" i="127"/>
  <c r="F23" i="126"/>
  <c r="A24" i="126"/>
  <c r="G23" i="126"/>
  <c r="F23" i="125"/>
  <c r="A24" i="125"/>
  <c r="G20" i="125"/>
  <c r="G21" i="125"/>
  <c r="G22" i="125"/>
  <c r="G23" i="125"/>
  <c r="F23" i="124"/>
  <c r="A24" i="124"/>
  <c r="G20" i="124" s="1"/>
  <c r="G22" i="124"/>
  <c r="G18" i="124"/>
  <c r="F23" i="123"/>
  <c r="A24" i="123"/>
  <c r="F23" i="122"/>
  <c r="A24" i="122"/>
  <c r="G23" i="122" s="1"/>
  <c r="F23" i="121"/>
  <c r="A24" i="121"/>
  <c r="G19" i="121" s="1"/>
  <c r="B3" i="9"/>
  <c r="K12" i="9"/>
  <c r="K13" i="9"/>
  <c r="K14" i="9"/>
  <c r="K15" i="9"/>
  <c r="K16" i="9"/>
  <c r="K17" i="9"/>
  <c r="K18" i="9"/>
  <c r="K19" i="9"/>
  <c r="K20" i="9"/>
  <c r="F24" i="129" l="1"/>
  <c r="G24" i="129" s="1"/>
  <c r="G3" i="129"/>
  <c r="G5" i="129"/>
  <c r="G4" i="129"/>
  <c r="G6" i="129"/>
  <c r="G7" i="129"/>
  <c r="G9" i="129"/>
  <c r="G8" i="129"/>
  <c r="G10" i="129"/>
  <c r="G11" i="129"/>
  <c r="G12" i="129"/>
  <c r="G13" i="129"/>
  <c r="G14" i="129"/>
  <c r="G15" i="129"/>
  <c r="G17" i="129"/>
  <c r="G16" i="129"/>
  <c r="G19" i="129"/>
  <c r="G19" i="128"/>
  <c r="F24" i="128"/>
  <c r="G3" i="128"/>
  <c r="G6" i="128" s="1"/>
  <c r="G4" i="128"/>
  <c r="G5" i="128"/>
  <c r="G8" i="128"/>
  <c r="G7" i="128"/>
  <c r="G9" i="128"/>
  <c r="G10" i="128"/>
  <c r="G12" i="128"/>
  <c r="G11" i="128"/>
  <c r="G13" i="128"/>
  <c r="G16" i="128"/>
  <c r="G14" i="128"/>
  <c r="G15" i="128"/>
  <c r="G17" i="128"/>
  <c r="G18" i="128"/>
  <c r="G22" i="128"/>
  <c r="G21" i="128"/>
  <c r="G23" i="128"/>
  <c r="G24" i="128"/>
  <c r="F24" i="127"/>
  <c r="G24" i="127" s="1"/>
  <c r="G3" i="127"/>
  <c r="G4" i="127"/>
  <c r="G7" i="127"/>
  <c r="G5" i="127"/>
  <c r="G8" i="127"/>
  <c r="G6" i="127"/>
  <c r="G10" i="127"/>
  <c r="G9" i="127"/>
  <c r="G12" i="127"/>
  <c r="G11" i="127"/>
  <c r="G16" i="127"/>
  <c r="G13" i="127"/>
  <c r="G15" i="127"/>
  <c r="G14" i="127"/>
  <c r="G18" i="127"/>
  <c r="G17" i="127"/>
  <c r="G19" i="127"/>
  <c r="G21" i="127"/>
  <c r="G20" i="127"/>
  <c r="F24" i="126"/>
  <c r="G3" i="126"/>
  <c r="G4" i="126"/>
  <c r="G6" i="126"/>
  <c r="G5" i="126"/>
  <c r="G8" i="126"/>
  <c r="G9" i="126"/>
  <c r="G7" i="126"/>
  <c r="G11" i="126"/>
  <c r="G10" i="126"/>
  <c r="G12" i="126"/>
  <c r="G13" i="126"/>
  <c r="G15" i="126"/>
  <c r="G14" i="126"/>
  <c r="G16" i="126"/>
  <c r="G17" i="126"/>
  <c r="G19" i="126"/>
  <c r="G21" i="126"/>
  <c r="G20" i="126"/>
  <c r="G24" i="126"/>
  <c r="G18" i="126"/>
  <c r="G22" i="126"/>
  <c r="F24" i="125"/>
  <c r="G3" i="125"/>
  <c r="G4" i="125"/>
  <c r="G6" i="125"/>
  <c r="G7" i="125"/>
  <c r="G5" i="125"/>
  <c r="G10" i="125"/>
  <c r="G9" i="125"/>
  <c r="G8" i="125"/>
  <c r="G11" i="125"/>
  <c r="G13" i="125"/>
  <c r="G15" i="125"/>
  <c r="G12" i="125"/>
  <c r="G14" i="125"/>
  <c r="G17" i="125"/>
  <c r="G16" i="125"/>
  <c r="G19" i="125"/>
  <c r="G18" i="125"/>
  <c r="G24" i="125"/>
  <c r="G21" i="124"/>
  <c r="F24" i="124"/>
  <c r="G3" i="124"/>
  <c r="G5" i="124"/>
  <c r="G4" i="124"/>
  <c r="G6" i="124" s="1"/>
  <c r="G7" i="124"/>
  <c r="G10" i="124"/>
  <c r="G8" i="124"/>
  <c r="G9" i="124"/>
  <c r="G11" i="124"/>
  <c r="G12" i="124"/>
  <c r="G14" i="124"/>
  <c r="G13" i="124"/>
  <c r="G16" i="124"/>
  <c r="G17" i="124"/>
  <c r="G15" i="124"/>
  <c r="G19" i="124"/>
  <c r="G23" i="124"/>
  <c r="G24" i="124"/>
  <c r="F24" i="123"/>
  <c r="G3" i="123"/>
  <c r="G6" i="123"/>
  <c r="G4" i="123"/>
  <c r="G5" i="123"/>
  <c r="G7" i="123" s="1"/>
  <c r="G9" i="123"/>
  <c r="G8" i="123"/>
  <c r="G10" i="123"/>
  <c r="G12" i="123"/>
  <c r="G13" i="123"/>
  <c r="G11" i="123"/>
  <c r="G14" i="123"/>
  <c r="G17" i="123"/>
  <c r="G15" i="123"/>
  <c r="G16" i="123"/>
  <c r="G23" i="123"/>
  <c r="G18" i="123"/>
  <c r="G19" i="123"/>
  <c r="G21" i="123"/>
  <c r="G24" i="123"/>
  <c r="G20" i="123"/>
  <c r="G22" i="123"/>
  <c r="G21" i="122"/>
  <c r="F24" i="122"/>
  <c r="G3" i="122"/>
  <c r="G5" i="122" s="1"/>
  <c r="G4" i="122"/>
  <c r="G7" i="122"/>
  <c r="G8" i="122"/>
  <c r="G6" i="122"/>
  <c r="G10" i="122"/>
  <c r="G9" i="122"/>
  <c r="G11" i="122"/>
  <c r="G12" i="122"/>
  <c r="G13" i="122"/>
  <c r="G14" i="122"/>
  <c r="G15" i="122"/>
  <c r="G16" i="122"/>
  <c r="G17" i="122"/>
  <c r="G19" i="122"/>
  <c r="G18" i="122"/>
  <c r="G20" i="122"/>
  <c r="G24" i="122"/>
  <c r="G22" i="122"/>
  <c r="F24" i="121"/>
  <c r="G3" i="121"/>
  <c r="G4" i="121"/>
  <c r="G5" i="121"/>
  <c r="G6" i="121"/>
  <c r="G8" i="121"/>
  <c r="G7" i="121"/>
  <c r="G10" i="121"/>
  <c r="G11" i="121"/>
  <c r="G9" i="121"/>
  <c r="G12" i="121"/>
  <c r="G15" i="121"/>
  <c r="G14" i="121"/>
  <c r="G16" i="121"/>
  <c r="G13" i="121"/>
  <c r="G17" i="121"/>
  <c r="G21" i="121"/>
  <c r="G23" i="121"/>
  <c r="G22" i="121"/>
  <c r="G20" i="121"/>
  <c r="G18" i="121"/>
  <c r="G24" i="121"/>
  <c r="K3" i="9"/>
  <c r="G2" i="9"/>
  <c r="K5" i="9"/>
  <c r="K6" i="9"/>
  <c r="K7" i="9"/>
  <c r="K8" i="9"/>
  <c r="K9" i="9"/>
  <c r="K10" i="9"/>
  <c r="K11" i="9"/>
  <c r="K4" i="9"/>
  <c r="K2" i="9"/>
  <c r="A2" i="9"/>
  <c r="A3" i="9" l="1"/>
  <c r="F3" i="9" s="1"/>
  <c r="I2" i="9"/>
  <c r="D12" i="4"/>
  <c r="A4" i="9" l="1"/>
  <c r="F4" i="9" s="1"/>
  <c r="A5" i="9" l="1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H6" i="1"/>
  <c r="H4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I28" i="1" l="1"/>
  <c r="J28" i="1" s="1"/>
  <c r="K28" i="1" s="1"/>
  <c r="I27" i="1"/>
  <c r="J27" i="1" s="1"/>
  <c r="K27" i="1" s="1"/>
  <c r="I25" i="1"/>
  <c r="J25" i="1" s="1"/>
  <c r="K25" i="1" s="1"/>
  <c r="I26" i="1"/>
  <c r="J26" i="1" s="1"/>
  <c r="K26" i="1" s="1"/>
  <c r="I23" i="1"/>
  <c r="J23" i="1" s="1"/>
  <c r="I24" i="1"/>
  <c r="J24" i="1" s="1"/>
  <c r="M4" i="1"/>
  <c r="A6" i="9"/>
  <c r="F6" i="9" s="1"/>
  <c r="G9" i="5"/>
  <c r="G6" i="5"/>
  <c r="G20" i="5"/>
  <c r="L20" i="5"/>
  <c r="G21" i="5"/>
  <c r="L21" i="5"/>
  <c r="G22" i="5"/>
  <c r="L22" i="5"/>
  <c r="G19" i="5"/>
  <c r="G18" i="5"/>
  <c r="G17" i="5"/>
  <c r="G16" i="5"/>
  <c r="G15" i="5"/>
  <c r="G14" i="5"/>
  <c r="G13" i="5"/>
  <c r="G12" i="5"/>
  <c r="G11" i="5"/>
  <c r="G10" i="5"/>
  <c r="G8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1"/>
  <c r="M4" i="4" l="1"/>
  <c r="K23" i="1"/>
  <c r="K24" i="1"/>
  <c r="A7" i="9"/>
  <c r="F7" i="9" s="1"/>
  <c r="L4" i="5"/>
  <c r="G4" i="5"/>
  <c r="H24" i="5" s="1"/>
  <c r="I24" i="5" s="1"/>
  <c r="J24" i="5" s="1"/>
  <c r="I5" i="1"/>
  <c r="H16" i="5" l="1"/>
  <c r="I16" i="5" s="1"/>
  <c r="J16" i="5" s="1"/>
  <c r="H23" i="5"/>
  <c r="I23" i="5" s="1"/>
  <c r="J23" i="5" s="1"/>
  <c r="A8" i="9"/>
  <c r="F8" i="9" s="1"/>
  <c r="J5" i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K5" i="1" l="1"/>
  <c r="A9" i="9"/>
  <c r="F9" i="9" s="1"/>
  <c r="J4" i="5"/>
  <c r="A10" i="9" l="1"/>
  <c r="F10" i="9" s="1"/>
  <c r="L2" i="1"/>
  <c r="L2" i="5"/>
  <c r="M2" i="1"/>
  <c r="K2" i="5"/>
  <c r="A11" i="9" l="1"/>
  <c r="F11" i="9" s="1"/>
  <c r="H12" i="4"/>
  <c r="H4" i="4" l="1"/>
  <c r="A12" i="9"/>
  <c r="F12" i="9" s="1"/>
  <c r="I10" i="4" l="1"/>
  <c r="J10" i="4" s="1"/>
  <c r="K10" i="4" s="1"/>
  <c r="I17" i="4"/>
  <c r="J17" i="4" s="1"/>
  <c r="K17" i="4" s="1"/>
  <c r="I11" i="4"/>
  <c r="J11" i="4" s="1"/>
  <c r="K11" i="4" s="1"/>
  <c r="I6" i="4"/>
  <c r="J6" i="4" s="1"/>
  <c r="K6" i="4" s="1"/>
  <c r="I16" i="4"/>
  <c r="J16" i="4" s="1"/>
  <c r="K16" i="4" s="1"/>
  <c r="I5" i="4"/>
  <c r="J5" i="4" s="1"/>
  <c r="K5" i="4" s="1"/>
  <c r="I12" i="4"/>
  <c r="J12" i="4" s="1"/>
  <c r="K12" i="4" s="1"/>
  <c r="I9" i="4"/>
  <c r="J9" i="4" s="1"/>
  <c r="K9" i="4" s="1"/>
  <c r="I7" i="4"/>
  <c r="J7" i="4" s="1"/>
  <c r="K7" i="4" s="1"/>
  <c r="I13" i="4"/>
  <c r="J13" i="4" s="1"/>
  <c r="K13" i="4" s="1"/>
  <c r="I8" i="4"/>
  <c r="J8" i="4" s="1"/>
  <c r="K8" i="4" s="1"/>
  <c r="I15" i="4"/>
  <c r="J15" i="4" s="1"/>
  <c r="K15" i="4" s="1"/>
  <c r="I18" i="4"/>
  <c r="J18" i="4" s="1"/>
  <c r="I14" i="4"/>
  <c r="J14" i="4" s="1"/>
  <c r="K14" i="4" s="1"/>
  <c r="A13" i="9"/>
  <c r="F13" i="9" s="1"/>
  <c r="K18" i="4" l="1"/>
  <c r="K4" i="4" s="1"/>
  <c r="A14" i="9"/>
  <c r="F14" i="9" s="1"/>
  <c r="B1" i="50" l="1"/>
  <c r="L2" i="4"/>
  <c r="H3" i="95"/>
  <c r="I1" i="95" s="1"/>
  <c r="I3" i="95" s="1"/>
  <c r="M2" i="4"/>
  <c r="V4" i="1"/>
  <c r="U4" i="5"/>
  <c r="V4" i="4"/>
  <c r="A15" i="9"/>
  <c r="F15" i="9" s="1"/>
  <c r="AA27" i="1" l="1"/>
  <c r="O27" i="1" s="1"/>
  <c r="A27" i="1" s="1"/>
  <c r="AA28" i="1"/>
  <c r="AA26" i="1"/>
  <c r="N26" i="1" s="1"/>
  <c r="AA25" i="1"/>
  <c r="N25" i="1" s="1"/>
  <c r="AA23" i="1"/>
  <c r="O23" i="1" s="1"/>
  <c r="A23" i="1" s="1"/>
  <c r="AA24" i="1"/>
  <c r="O24" i="1" s="1"/>
  <c r="A24" i="1" s="1"/>
  <c r="Z24" i="5"/>
  <c r="Z23" i="5"/>
  <c r="AA18" i="4"/>
  <c r="O18" i="4" s="1"/>
  <c r="A18" i="4" s="1"/>
  <c r="O28" i="1"/>
  <c r="A28" i="1" s="1"/>
  <c r="X4" i="4"/>
  <c r="W4" i="5"/>
  <c r="X4" i="1"/>
  <c r="V4" i="5"/>
  <c r="W4" i="4"/>
  <c r="W4" i="1"/>
  <c r="A16" i="9"/>
  <c r="F16" i="9" s="1"/>
  <c r="N27" i="1" l="1"/>
  <c r="O26" i="1"/>
  <c r="A26" i="1" s="1"/>
  <c r="O25" i="1"/>
  <c r="A25" i="1" s="1"/>
  <c r="N28" i="1"/>
  <c r="Y4" i="1"/>
  <c r="N23" i="1"/>
  <c r="N24" i="1"/>
  <c r="N24" i="5"/>
  <c r="A24" i="5" s="1"/>
  <c r="N23" i="5"/>
  <c r="A23" i="5" s="1"/>
  <c r="N18" i="4"/>
  <c r="Y4" i="4"/>
  <c r="A17" i="9"/>
  <c r="F17" i="9" s="1"/>
  <c r="U4" i="4"/>
  <c r="T4" i="5"/>
  <c r="U4" i="1"/>
  <c r="X4" i="5" l="1"/>
  <c r="A18" i="9"/>
  <c r="F18" i="9" s="1"/>
  <c r="A19" i="9" l="1"/>
  <c r="F19" i="9" s="1"/>
  <c r="A20" i="9" l="1"/>
  <c r="F20" i="9" s="1"/>
  <c r="A21" i="9" l="1"/>
  <c r="F21" i="9" s="1"/>
  <c r="Y4" i="5" l="1"/>
  <c r="Z4" i="4"/>
  <c r="Z4" i="1"/>
  <c r="A22" i="9"/>
  <c r="F22" i="9" s="1"/>
  <c r="R13" i="50"/>
  <c r="M26" i="50"/>
  <c r="R41" i="50"/>
  <c r="L36" i="50"/>
  <c r="AG8" i="50"/>
  <c r="AK26" i="50"/>
  <c r="T11" i="50"/>
  <c r="AH42" i="50"/>
  <c r="AI36" i="50"/>
  <c r="AN24" i="50"/>
  <c r="AF42" i="50"/>
  <c r="AA20" i="50"/>
  <c r="AB9" i="50"/>
  <c r="AL49" i="50"/>
  <c r="T38" i="50"/>
  <c r="O46" i="50"/>
  <c r="T18" i="50"/>
  <c r="AL32" i="50"/>
  <c r="AI10" i="50"/>
  <c r="AK20" i="50"/>
  <c r="R4" i="50"/>
  <c r="AO34" i="50"/>
  <c r="AE42" i="50"/>
  <c r="Q27" i="50"/>
  <c r="AE32" i="50"/>
  <c r="P22" i="50"/>
  <c r="AN34" i="50"/>
  <c r="AJ34" i="50"/>
  <c r="P27" i="50"/>
  <c r="AD46" i="50"/>
  <c r="Q45" i="50"/>
  <c r="R20" i="50"/>
  <c r="P48" i="50"/>
  <c r="T49" i="50"/>
  <c r="AF10" i="50"/>
  <c r="U48" i="50"/>
  <c r="Y19" i="50"/>
  <c r="AC7" i="50"/>
  <c r="AF34" i="50"/>
  <c r="AK47" i="50"/>
  <c r="AG27" i="50"/>
  <c r="AO14" i="50"/>
  <c r="R29" i="50"/>
  <c r="AB10" i="50"/>
  <c r="AB35" i="50"/>
  <c r="T19" i="50"/>
  <c r="AN39" i="50"/>
  <c r="M15" i="50"/>
  <c r="AD34" i="50"/>
  <c r="W37" i="50"/>
  <c r="AH13" i="50"/>
  <c r="AH38" i="50"/>
  <c r="T28" i="50"/>
  <c r="X12" i="50"/>
  <c r="AG48" i="50"/>
  <c r="AN6" i="50"/>
  <c r="M37" i="50"/>
  <c r="AC43" i="50"/>
  <c r="X21" i="50"/>
  <c r="O38" i="50"/>
  <c r="AL9" i="50"/>
  <c r="AE27" i="50"/>
  <c r="AG39" i="50"/>
  <c r="AO47" i="50"/>
  <c r="P18" i="50"/>
  <c r="AH17" i="50"/>
  <c r="N44" i="50"/>
  <c r="AD20" i="50"/>
  <c r="X34" i="50"/>
  <c r="AD27" i="50"/>
  <c r="N40" i="50"/>
  <c r="AK24" i="50"/>
  <c r="L30" i="50"/>
  <c r="AM8" i="50"/>
  <c r="V17" i="50"/>
  <c r="AH48" i="50"/>
  <c r="Z18" i="50"/>
  <c r="N4" i="50"/>
  <c r="Q5" i="50"/>
  <c r="O37" i="50"/>
  <c r="N24" i="50"/>
  <c r="N28" i="50"/>
  <c r="L45" i="50"/>
  <c r="N31" i="50"/>
  <c r="AN11" i="50"/>
  <c r="AH20" i="50"/>
  <c r="O47" i="50"/>
  <c r="U47" i="50"/>
  <c r="U12" i="50"/>
  <c r="P10" i="50"/>
  <c r="AJ18" i="50"/>
  <c r="AM9" i="50"/>
  <c r="AN25" i="50"/>
  <c r="AB11" i="50"/>
  <c r="AN49" i="50"/>
  <c r="Z42" i="50"/>
  <c r="AO18" i="50"/>
  <c r="AF11" i="50"/>
  <c r="Q40" i="50"/>
  <c r="AK11" i="50"/>
  <c r="M9" i="50"/>
  <c r="AA41" i="50"/>
  <c r="AJ30" i="50"/>
  <c r="AF17" i="50"/>
  <c r="Z12" i="50"/>
  <c r="AL20" i="50"/>
  <c r="Y39" i="50"/>
  <c r="AF5" i="50"/>
  <c r="AK12" i="50"/>
  <c r="AH10" i="50"/>
  <c r="AB44" i="50"/>
  <c r="M10" i="50"/>
  <c r="AK6" i="50"/>
  <c r="AC6" i="50"/>
  <c r="S42" i="50"/>
  <c r="AE29" i="50"/>
  <c r="P33" i="50"/>
  <c r="T26" i="50"/>
  <c r="L10" i="50"/>
  <c r="V4" i="50"/>
  <c r="AF37" i="50"/>
  <c r="T5" i="50"/>
  <c r="T4" i="50"/>
  <c r="Q37" i="50"/>
  <c r="AM12" i="50"/>
  <c r="AN5" i="50"/>
  <c r="Y9" i="50"/>
  <c r="AH47" i="50"/>
  <c r="AO16" i="50"/>
  <c r="R23" i="50"/>
  <c r="X19" i="50"/>
  <c r="X38" i="50"/>
  <c r="AB34" i="50"/>
  <c r="AL38" i="50"/>
  <c r="AA15" i="50"/>
  <c r="AO41" i="50"/>
  <c r="O40" i="50"/>
  <c r="U35" i="50"/>
  <c r="Z36" i="50"/>
  <c r="Z45" i="50"/>
  <c r="AD23" i="50"/>
  <c r="Y33" i="50"/>
  <c r="Z50" i="50"/>
  <c r="P20" i="50"/>
  <c r="S44" i="50"/>
  <c r="Y23" i="50"/>
  <c r="AE30" i="50"/>
  <c r="U7" i="50"/>
  <c r="L38" i="50"/>
  <c r="AH9" i="50"/>
  <c r="P41" i="50"/>
  <c r="L48" i="50"/>
  <c r="Q47" i="50"/>
  <c r="AD21" i="50"/>
  <c r="AJ50" i="50"/>
  <c r="L50" i="50"/>
  <c r="AO29" i="50"/>
  <c r="R48" i="50"/>
  <c r="P49" i="50"/>
  <c r="V10" i="50"/>
  <c r="AN20" i="50"/>
  <c r="AG21" i="50"/>
  <c r="Y48" i="50"/>
  <c r="V29" i="50"/>
  <c r="AF27" i="50"/>
  <c r="M28" i="50"/>
  <c r="Y40" i="50"/>
  <c r="AE13" i="50"/>
  <c r="T32" i="50"/>
  <c r="AB47" i="50"/>
  <c r="T8" i="50"/>
  <c r="AA19" i="50"/>
  <c r="Z17" i="50"/>
  <c r="U17" i="50"/>
  <c r="AF6" i="50"/>
  <c r="P45" i="50"/>
  <c r="AH31" i="50"/>
  <c r="AJ24" i="50"/>
  <c r="AF46" i="50"/>
  <c r="AO7" i="50"/>
  <c r="U22" i="50"/>
  <c r="T39" i="50"/>
  <c r="AD28" i="50"/>
  <c r="Z32" i="50"/>
  <c r="M16" i="50"/>
  <c r="L9" i="50"/>
  <c r="AG18" i="50"/>
  <c r="Q22" i="50"/>
  <c r="Y13" i="50"/>
  <c r="V48" i="50"/>
  <c r="AB18" i="50"/>
  <c r="R7" i="50"/>
  <c r="W13" i="50"/>
  <c r="W17" i="50"/>
  <c r="M38" i="50"/>
  <c r="N34" i="50"/>
  <c r="M42" i="50"/>
  <c r="X8" i="50"/>
  <c r="S4" i="50"/>
  <c r="M12" i="50"/>
  <c r="AF23" i="50"/>
  <c r="AE48" i="50"/>
  <c r="AM19" i="50"/>
  <c r="AL45" i="50"/>
  <c r="AC20" i="50"/>
  <c r="N27" i="50"/>
  <c r="U25" i="50"/>
  <c r="AH19" i="50"/>
  <c r="AE6" i="50"/>
  <c r="Y43" i="50"/>
  <c r="Z30" i="50"/>
  <c r="O6" i="50"/>
  <c r="S6" i="50"/>
  <c r="M6" i="50"/>
  <c r="AM33" i="50"/>
  <c r="T25" i="50"/>
  <c r="AK25" i="50"/>
  <c r="AB7" i="50"/>
  <c r="S22" i="50"/>
  <c r="W18" i="50"/>
  <c r="AC45" i="50"/>
  <c r="X17" i="50"/>
  <c r="AG12" i="50"/>
  <c r="Y32" i="50"/>
  <c r="R24" i="50"/>
  <c r="AE43" i="50"/>
  <c r="AH8" i="50"/>
  <c r="AM32" i="50"/>
  <c r="AE23" i="50"/>
  <c r="M30" i="50"/>
  <c r="O12" i="50"/>
  <c r="AK35" i="50"/>
  <c r="V30" i="50"/>
  <c r="AJ9" i="50"/>
  <c r="AF45" i="50"/>
  <c r="AF40" i="50"/>
  <c r="P40" i="50"/>
  <c r="AI34" i="50"/>
  <c r="Z43" i="50"/>
  <c r="L16" i="50"/>
  <c r="AN17" i="50"/>
  <c r="AN33" i="50"/>
  <c r="L19" i="50"/>
  <c r="AJ47" i="50"/>
  <c r="U9" i="50"/>
  <c r="W11" i="50"/>
  <c r="U39" i="50"/>
  <c r="AI48" i="50"/>
  <c r="L25" i="50"/>
  <c r="V19" i="50"/>
  <c r="AG23" i="50"/>
  <c r="AK34" i="50"/>
  <c r="N5" i="50"/>
  <c r="N35" i="50"/>
  <c r="AI8" i="50"/>
  <c r="AE15" i="50"/>
  <c r="AA11" i="50"/>
  <c r="AC28" i="50"/>
  <c r="AG47" i="50"/>
  <c r="AG31" i="50"/>
  <c r="W39" i="50"/>
  <c r="T27" i="50"/>
  <c r="AO50" i="50"/>
  <c r="S32" i="50"/>
  <c r="M18" i="50"/>
  <c r="AE19" i="50"/>
  <c r="AM29" i="50"/>
  <c r="Q25" i="50"/>
  <c r="Q24" i="50"/>
  <c r="AF12" i="50"/>
  <c r="R12" i="50"/>
  <c r="Q44" i="50"/>
  <c r="P44" i="50"/>
  <c r="O29" i="50"/>
  <c r="AH29" i="50"/>
  <c r="Z38" i="50"/>
  <c r="AM39" i="50"/>
  <c r="S49" i="50"/>
  <c r="AM26" i="50"/>
  <c r="W49" i="50"/>
  <c r="AD45" i="50"/>
  <c r="AN29" i="50"/>
  <c r="L4" i="50"/>
  <c r="Y15" i="50"/>
  <c r="V21" i="50"/>
  <c r="W7" i="50"/>
  <c r="S36" i="50"/>
  <c r="AG46" i="50"/>
  <c r="AI7" i="50"/>
  <c r="AO6" i="50"/>
  <c r="V37" i="50"/>
  <c r="AA16" i="50"/>
  <c r="AL19" i="50"/>
  <c r="L53" i="50"/>
  <c r="AG34" i="50"/>
  <c r="V12" i="50"/>
  <c r="AA21" i="50"/>
  <c r="Y31" i="50"/>
  <c r="AC17" i="50"/>
  <c r="P21" i="50"/>
  <c r="Q36" i="50"/>
  <c r="AI45" i="50"/>
  <c r="O26" i="50"/>
  <c r="AN37" i="50"/>
  <c r="T37" i="50"/>
  <c r="O34" i="50"/>
  <c r="AA23" i="50"/>
  <c r="AL35" i="50"/>
  <c r="AG30" i="50"/>
  <c r="Q7" i="50"/>
  <c r="Z22" i="50"/>
  <c r="AF48" i="50"/>
  <c r="AI21" i="50"/>
  <c r="AB32" i="50"/>
  <c r="W5" i="50"/>
  <c r="L46" i="50"/>
  <c r="AB39" i="50"/>
  <c r="W38" i="50"/>
  <c r="AF32" i="50"/>
  <c r="AF44" i="50"/>
  <c r="AE44" i="50"/>
  <c r="W27" i="50"/>
  <c r="V9" i="50"/>
  <c r="AG26" i="50"/>
  <c r="Z10" i="50"/>
  <c r="Y14" i="50"/>
  <c r="AC39" i="50"/>
  <c r="O11" i="50"/>
  <c r="AN30" i="50"/>
  <c r="Y38" i="50"/>
  <c r="L18" i="50"/>
  <c r="AI42" i="50"/>
  <c r="Q43" i="50"/>
  <c r="L54" i="50"/>
  <c r="AA45" i="50"/>
  <c r="AB16" i="50"/>
  <c r="U27" i="50"/>
  <c r="AI24" i="50"/>
  <c r="T16" i="50"/>
  <c r="AE46" i="50"/>
  <c r="AE39" i="50"/>
  <c r="S28" i="50"/>
  <c r="Z19" i="50"/>
  <c r="AC32" i="50"/>
  <c r="X6" i="50"/>
  <c r="X49" i="50"/>
  <c r="AA25" i="50"/>
  <c r="AO35" i="50"/>
  <c r="AL30" i="50"/>
  <c r="AI40" i="50"/>
  <c r="AB37" i="50"/>
  <c r="O28" i="50"/>
  <c r="AA46" i="50"/>
  <c r="AJ17" i="50"/>
  <c r="Z47" i="50"/>
  <c r="AM15" i="50"/>
  <c r="AJ8" i="50"/>
  <c r="AL12" i="50"/>
  <c r="L32" i="50"/>
  <c r="L12" i="50"/>
  <c r="P28" i="50"/>
  <c r="O33" i="50"/>
  <c r="S5" i="50"/>
  <c r="AM35" i="50"/>
  <c r="M34" i="50"/>
  <c r="AC18" i="50"/>
  <c r="AF35" i="50"/>
  <c r="U20" i="50"/>
  <c r="AJ48" i="50"/>
  <c r="V6" i="50"/>
  <c r="AB38" i="50"/>
  <c r="AA14" i="50"/>
  <c r="Y11" i="50"/>
  <c r="AE34" i="50"/>
  <c r="W19" i="50"/>
  <c r="AJ12" i="50"/>
  <c r="AA8" i="50"/>
  <c r="AI27" i="50"/>
  <c r="AG29" i="50"/>
  <c r="Z33" i="50"/>
  <c r="AJ29" i="50"/>
  <c r="AI41" i="50"/>
  <c r="AD5" i="50"/>
  <c r="R15" i="50"/>
  <c r="AI6" i="50"/>
  <c r="AO44" i="50"/>
  <c r="W16" i="50"/>
  <c r="AJ36" i="50"/>
  <c r="AE8" i="50"/>
  <c r="N6" i="50"/>
  <c r="AN50" i="50"/>
  <c r="AF4" i="50"/>
  <c r="AF24" i="50"/>
  <c r="AB26" i="50"/>
  <c r="N12" i="50"/>
  <c r="AA38" i="50"/>
  <c r="V40" i="50"/>
  <c r="AF41" i="50"/>
  <c r="Y30" i="50"/>
  <c r="AL33" i="50"/>
  <c r="P5" i="50"/>
  <c r="AO46" i="50"/>
  <c r="AE36" i="50"/>
  <c r="L33" i="50"/>
  <c r="U5" i="50"/>
  <c r="AO19" i="50"/>
  <c r="Y20" i="50"/>
  <c r="T24" i="50"/>
  <c r="AH23" i="50"/>
  <c r="AC40" i="50"/>
  <c r="P13" i="50"/>
  <c r="Y49" i="50"/>
  <c r="M24" i="50"/>
  <c r="S46" i="50"/>
  <c r="AK9" i="50"/>
  <c r="AC41" i="50"/>
  <c r="AO33" i="50"/>
  <c r="AG45" i="50"/>
  <c r="AK43" i="50"/>
  <c r="T44" i="50"/>
  <c r="T12" i="50"/>
  <c r="AF16" i="50"/>
  <c r="AA22" i="50"/>
  <c r="AC13" i="50"/>
  <c r="Z48" i="50"/>
  <c r="M45" i="50"/>
  <c r="W8" i="50"/>
  <c r="AI46" i="50"/>
  <c r="L42" i="50"/>
  <c r="AL29" i="50"/>
  <c r="AA4" i="50"/>
  <c r="AE50" i="50"/>
  <c r="O23" i="50"/>
  <c r="O49" i="50"/>
  <c r="AB21" i="50"/>
  <c r="AF38" i="50"/>
  <c r="AM31" i="50"/>
  <c r="Y7" i="50"/>
  <c r="V46" i="50"/>
  <c r="T31" i="50"/>
  <c r="M29" i="50"/>
  <c r="N42" i="50"/>
  <c r="AF15" i="50"/>
  <c r="AC34" i="50"/>
  <c r="AH44" i="50"/>
  <c r="Z14" i="50"/>
  <c r="AN16" i="50"/>
  <c r="AC16" i="50"/>
  <c r="L24" i="50"/>
  <c r="P4" i="50"/>
  <c r="AJ35" i="50"/>
  <c r="R36" i="50"/>
  <c r="S34" i="50"/>
  <c r="AJ6" i="50"/>
  <c r="AL25" i="50"/>
  <c r="W35" i="50"/>
  <c r="AC21" i="50"/>
  <c r="Z23" i="50"/>
  <c r="AN8" i="50"/>
  <c r="P32" i="50"/>
  <c r="AO24" i="50"/>
  <c r="AF22" i="50"/>
  <c r="AM11" i="50"/>
  <c r="T9" i="50"/>
  <c r="AD38" i="50"/>
  <c r="N23" i="50"/>
  <c r="V44" i="50"/>
  <c r="AJ32" i="50"/>
  <c r="AI49" i="50"/>
  <c r="AG17" i="50"/>
  <c r="Z26" i="50"/>
  <c r="AO43" i="50"/>
  <c r="AB12" i="50"/>
  <c r="AG37" i="50"/>
  <c r="U21" i="50"/>
  <c r="T15" i="50"/>
  <c r="Q38" i="50"/>
  <c r="AE10" i="50"/>
  <c r="AL31" i="50"/>
  <c r="Q49" i="50"/>
  <c r="AD12" i="50"/>
  <c r="AO9" i="50"/>
  <c r="L47" i="50"/>
  <c r="AJ28" i="50"/>
  <c r="S24" i="50"/>
  <c r="O18" i="50"/>
  <c r="AD49" i="50"/>
  <c r="AE47" i="50"/>
  <c r="AJ10" i="50"/>
  <c r="AI28" i="50"/>
  <c r="AG6" i="50"/>
  <c r="AO20" i="50"/>
  <c r="AI37" i="50"/>
  <c r="AB27" i="50"/>
  <c r="U18" i="50"/>
  <c r="AL27" i="50"/>
  <c r="AD18" i="50"/>
  <c r="AG25" i="50"/>
  <c r="M44" i="50"/>
  <c r="U29" i="50"/>
  <c r="AB28" i="50"/>
  <c r="AF33" i="50"/>
  <c r="AA10" i="50"/>
  <c r="R10" i="50"/>
  <c r="L39" i="50"/>
  <c r="AI25" i="50"/>
  <c r="U8" i="50"/>
  <c r="O42" i="50"/>
  <c r="AL47" i="50"/>
  <c r="AA13" i="50"/>
  <c r="P11" i="50"/>
  <c r="AD16" i="50"/>
  <c r="AO32" i="50"/>
  <c r="U6" i="50"/>
  <c r="AK27" i="50"/>
  <c r="M8" i="50"/>
  <c r="Z5" i="50"/>
  <c r="AA43" i="50"/>
  <c r="AC29" i="50"/>
  <c r="P38" i="50"/>
  <c r="Q16" i="50"/>
  <c r="X10" i="50"/>
  <c r="O13" i="50"/>
  <c r="AM37" i="50"/>
  <c r="AF14" i="50"/>
  <c r="R25" i="50"/>
  <c r="T42" i="50"/>
  <c r="AA47" i="50"/>
  <c r="AK39" i="50"/>
  <c r="AN46" i="50"/>
  <c r="U43" i="50"/>
  <c r="AC5" i="50"/>
  <c r="S20" i="50"/>
  <c r="L29" i="50"/>
  <c r="N16" i="50"/>
  <c r="Y12" i="50"/>
  <c r="V23" i="50"/>
  <c r="AM27" i="50"/>
  <c r="W48" i="50"/>
  <c r="AH5" i="50"/>
  <c r="AM45" i="50"/>
  <c r="AC30" i="50"/>
  <c r="S26" i="50"/>
  <c r="AA24" i="50"/>
  <c r="AH39" i="50"/>
  <c r="AB41" i="50"/>
  <c r="R44" i="50"/>
  <c r="AC48" i="50"/>
  <c r="O15" i="50"/>
  <c r="T50" i="50"/>
  <c r="P17" i="50"/>
  <c r="S10" i="50"/>
  <c r="W47" i="50"/>
  <c r="X22" i="50"/>
  <c r="O17" i="50"/>
  <c r="X36" i="50"/>
  <c r="AI15" i="50"/>
  <c r="AI31" i="50"/>
  <c r="Y26" i="50"/>
  <c r="U32" i="50"/>
  <c r="R22" i="50"/>
  <c r="AG40" i="50"/>
  <c r="AA42" i="50"/>
  <c r="AI5" i="50"/>
  <c r="AJ11" i="50"/>
  <c r="AH49" i="50"/>
  <c r="P24" i="50"/>
  <c r="S29" i="50"/>
  <c r="X16" i="50"/>
  <c r="O22" i="50"/>
  <c r="AK15" i="50"/>
  <c r="X43" i="50"/>
  <c r="AI35" i="50"/>
  <c r="X32" i="50"/>
  <c r="AN18" i="50"/>
  <c r="AM41" i="50"/>
  <c r="AN13" i="50"/>
  <c r="AG38" i="50"/>
  <c r="AC12" i="50"/>
  <c r="AD26" i="50"/>
  <c r="AB25" i="50"/>
  <c r="AK32" i="50"/>
  <c r="N25" i="50"/>
  <c r="V28" i="50"/>
  <c r="AE45" i="50"/>
  <c r="W50" i="50"/>
  <c r="AB43" i="50"/>
  <c r="AF49" i="50"/>
  <c r="AD33" i="50"/>
  <c r="T10" i="50"/>
  <c r="S38" i="50"/>
  <c r="N17" i="50"/>
  <c r="AE11" i="50"/>
  <c r="AK46" i="50"/>
  <c r="L7" i="50"/>
  <c r="AC10" i="50"/>
  <c r="AJ13" i="50"/>
  <c r="AD17" i="50"/>
  <c r="AL15" i="50"/>
  <c r="Q42" i="50"/>
  <c r="R16" i="50"/>
  <c r="P7" i="50"/>
  <c r="Z49" i="50"/>
  <c r="AH32" i="50"/>
  <c r="W22" i="50"/>
  <c r="AG7" i="50"/>
  <c r="AG44" i="50"/>
  <c r="AG50" i="50"/>
  <c r="O21" i="50"/>
  <c r="AJ16" i="50"/>
  <c r="AB46" i="50"/>
  <c r="V42" i="50"/>
  <c r="Q19" i="50"/>
  <c r="AB5" i="50"/>
  <c r="AK31" i="50"/>
  <c r="O36" i="50"/>
  <c r="T36" i="50"/>
  <c r="S40" i="50"/>
  <c r="S45" i="50"/>
  <c r="AA35" i="50"/>
  <c r="M36" i="50"/>
  <c r="AE18" i="50"/>
  <c r="Z25" i="50"/>
  <c r="R28" i="50"/>
  <c r="AD14" i="50"/>
  <c r="AL24" i="50"/>
  <c r="O32" i="50"/>
  <c r="N48" i="50"/>
  <c r="AD8" i="50"/>
  <c r="U42" i="50"/>
  <c r="AD22" i="50"/>
  <c r="V49" i="50"/>
  <c r="AA34" i="50"/>
  <c r="W36" i="50"/>
  <c r="Z7" i="50"/>
  <c r="AC24" i="50"/>
  <c r="AI29" i="50"/>
  <c r="Q46" i="50"/>
  <c r="AL6" i="50"/>
  <c r="AI38" i="50"/>
  <c r="U33" i="50"/>
  <c r="X40" i="50"/>
  <c r="AM49" i="50"/>
  <c r="AB23" i="50"/>
  <c r="AF43" i="50"/>
  <c r="L37" i="50"/>
  <c r="AB42" i="50"/>
  <c r="AD44" i="50"/>
  <c r="X23" i="50"/>
  <c r="L6" i="50"/>
  <c r="Y21" i="50"/>
  <c r="S16" i="50"/>
  <c r="V47" i="50"/>
  <c r="AC8" i="50"/>
  <c r="AA9" i="50"/>
  <c r="Q10" i="50"/>
  <c r="AG43" i="50"/>
  <c r="N37" i="50"/>
  <c r="N30" i="50"/>
  <c r="AM21" i="50"/>
  <c r="AL16" i="50"/>
  <c r="AE49" i="50"/>
  <c r="Z11" i="50"/>
  <c r="AM36" i="50"/>
  <c r="L14" i="50"/>
  <c r="U40" i="50"/>
  <c r="AJ25" i="50"/>
  <c r="Z41" i="50"/>
  <c r="AE14" i="50"/>
  <c r="M35" i="50"/>
  <c r="AA17" i="50"/>
  <c r="O10" i="50"/>
  <c r="Y16" i="50"/>
  <c r="R40" i="50"/>
  <c r="AJ27" i="50"/>
  <c r="V43" i="50"/>
  <c r="T45" i="50"/>
  <c r="N45" i="50"/>
  <c r="AA33" i="50"/>
  <c r="V15" i="50"/>
  <c r="AJ31" i="50"/>
  <c r="M32" i="50"/>
  <c r="N38" i="50"/>
  <c r="V24" i="50"/>
  <c r="R30" i="50"/>
  <c r="AK14" i="50"/>
  <c r="X24" i="50"/>
  <c r="Q39" i="50"/>
  <c r="O5" i="50"/>
  <c r="AF29" i="50"/>
  <c r="M33" i="50"/>
  <c r="AJ49" i="50"/>
  <c r="AG42" i="50"/>
  <c r="AM5" i="50"/>
  <c r="Z39" i="50"/>
  <c r="P29" i="50"/>
  <c r="X7" i="50"/>
  <c r="Z44" i="50"/>
  <c r="AH18" i="50"/>
  <c r="AE24" i="50"/>
  <c r="V5" i="50"/>
  <c r="AJ19" i="50"/>
  <c r="S25" i="50"/>
  <c r="X14" i="50"/>
  <c r="T23" i="50"/>
  <c r="P8" i="50"/>
  <c r="O31" i="50"/>
  <c r="Y25" i="50"/>
  <c r="W34" i="50"/>
  <c r="AA50" i="50"/>
  <c r="V13" i="50"/>
  <c r="AJ37" i="50"/>
  <c r="AO37" i="50"/>
  <c r="AL43" i="50"/>
  <c r="AL11" i="50"/>
  <c r="AE5" i="50"/>
  <c r="Q48" i="50"/>
  <c r="N14" i="50"/>
  <c r="V25" i="50"/>
  <c r="V35" i="50"/>
  <c r="T20" i="50"/>
  <c r="AA28" i="50"/>
  <c r="M41" i="50"/>
  <c r="N10" i="50"/>
  <c r="P36" i="50"/>
  <c r="AN47" i="50"/>
  <c r="AB30" i="50"/>
  <c r="Q20" i="50"/>
  <c r="AH25" i="50"/>
  <c r="N29" i="50"/>
  <c r="O4" i="50"/>
  <c r="AC9" i="50"/>
  <c r="W20" i="50"/>
  <c r="AF30" i="50"/>
  <c r="N18" i="50"/>
  <c r="L8" i="50"/>
  <c r="AD32" i="50"/>
  <c r="AI19" i="50"/>
  <c r="AB45" i="50"/>
  <c r="AD29" i="50"/>
  <c r="V38" i="50"/>
  <c r="Y44" i="50"/>
  <c r="X27" i="50"/>
  <c r="R27" i="50"/>
  <c r="AM17" i="50"/>
  <c r="AF39" i="50"/>
  <c r="M39" i="50"/>
  <c r="AC22" i="50"/>
  <c r="R9" i="50"/>
  <c r="AD11" i="50"/>
  <c r="AL26" i="50"/>
  <c r="AG10" i="50"/>
  <c r="X4" i="50"/>
  <c r="Y18" i="50"/>
  <c r="P39" i="50"/>
  <c r="S35" i="50"/>
  <c r="Q28" i="50"/>
  <c r="M17" i="50"/>
  <c r="U30" i="50"/>
  <c r="O24" i="50"/>
  <c r="O44" i="50"/>
  <c r="AN26" i="50"/>
  <c r="O27" i="50"/>
  <c r="AL28" i="50"/>
  <c r="AH28" i="50"/>
  <c r="W29" i="50"/>
  <c r="AG16" i="50"/>
  <c r="R35" i="50"/>
  <c r="AC4" i="50"/>
  <c r="AO27" i="50"/>
  <c r="L52" i="50"/>
  <c r="N32" i="50"/>
  <c r="AA27" i="50"/>
  <c r="X50" i="50"/>
  <c r="AH21" i="50"/>
  <c r="Z29" i="50"/>
  <c r="Q31" i="50"/>
  <c r="AM25" i="50"/>
  <c r="Z4" i="50"/>
  <c r="X41" i="50"/>
  <c r="R50" i="50"/>
  <c r="Y46" i="50"/>
  <c r="AA18" i="50"/>
  <c r="AC44" i="50"/>
  <c r="AI16" i="50"/>
  <c r="Z46" i="50"/>
  <c r="AJ39" i="50"/>
  <c r="P6" i="50"/>
  <c r="U14" i="50"/>
  <c r="AK22" i="50"/>
  <c r="AK42" i="50"/>
  <c r="AM6" i="50"/>
  <c r="W24" i="50"/>
  <c r="T13" i="50"/>
  <c r="M40" i="50"/>
  <c r="AO48" i="50"/>
  <c r="AM22" i="50"/>
  <c r="L21" i="50"/>
  <c r="V39" i="50"/>
  <c r="AJ22" i="50"/>
  <c r="AD31" i="50"/>
  <c r="AD15" i="50"/>
  <c r="M46" i="50"/>
  <c r="O39" i="50"/>
  <c r="S39" i="50"/>
  <c r="W9" i="50"/>
  <c r="R21" i="50"/>
  <c r="Z9" i="50"/>
  <c r="X29" i="50"/>
  <c r="AE40" i="50"/>
  <c r="Y5" i="50"/>
  <c r="AG33" i="50"/>
  <c r="AL48" i="50"/>
  <c r="AF36" i="50"/>
  <c r="Z27" i="50"/>
  <c r="X11" i="50"/>
  <c r="AH14" i="50"/>
  <c r="M5" i="50"/>
  <c r="R37" i="50"/>
  <c r="S48" i="50"/>
  <c r="AD7" i="50"/>
  <c r="U45" i="50"/>
  <c r="AL8" i="50"/>
  <c r="Y17" i="50"/>
  <c r="AN48" i="50"/>
  <c r="R32" i="50"/>
  <c r="S15" i="50"/>
  <c r="R38" i="50"/>
  <c r="AM10" i="50"/>
  <c r="AN40" i="50"/>
  <c r="AC25" i="50"/>
  <c r="AK8" i="50"/>
  <c r="O50" i="50"/>
  <c r="AJ23" i="50"/>
  <c r="Z8" i="50"/>
  <c r="Y22" i="50"/>
  <c r="L15" i="50"/>
  <c r="Q50" i="50"/>
  <c r="T30" i="50"/>
  <c r="V7" i="50"/>
  <c r="AH37" i="50"/>
  <c r="AK38" i="50"/>
  <c r="T7" i="50"/>
  <c r="AI26" i="50"/>
  <c r="AM23" i="50"/>
  <c r="S11" i="50"/>
  <c r="M22" i="50"/>
  <c r="AB31" i="50"/>
  <c r="AH15" i="50"/>
  <c r="Z28" i="50"/>
  <c r="P12" i="50"/>
  <c r="L31" i="50"/>
  <c r="AI44" i="50"/>
  <c r="AF25" i="50"/>
  <c r="W14" i="50"/>
  <c r="U24" i="50"/>
  <c r="M27" i="50"/>
  <c r="R34" i="50"/>
  <c r="V27" i="50"/>
  <c r="AB48" i="50"/>
  <c r="Y8" i="50"/>
  <c r="Q14" i="50"/>
  <c r="Q11" i="50"/>
  <c r="T6" i="50"/>
  <c r="AE33" i="50"/>
  <c r="AE7" i="50"/>
  <c r="W42" i="50"/>
  <c r="AD24" i="50"/>
  <c r="AH50" i="50"/>
  <c r="AC15" i="50"/>
  <c r="S8" i="50"/>
  <c r="AA32" i="50"/>
  <c r="Y29" i="50"/>
  <c r="N7" i="50"/>
  <c r="AE41" i="50"/>
  <c r="AC35" i="50"/>
  <c r="S47" i="50"/>
  <c r="N50" i="50"/>
  <c r="AE22" i="50"/>
  <c r="AM30" i="50"/>
  <c r="AG19" i="50"/>
  <c r="Q41" i="50"/>
  <c r="P23" i="50"/>
  <c r="AO23" i="50"/>
  <c r="Q4" i="50"/>
  <c r="U49" i="50"/>
  <c r="R5" i="50"/>
  <c r="AH6" i="50"/>
  <c r="AH24" i="50"/>
  <c r="AM24" i="50"/>
  <c r="AN44" i="50"/>
  <c r="X37" i="50"/>
  <c r="AL18" i="50"/>
  <c r="AG5" i="50"/>
  <c r="U36" i="50"/>
  <c r="M4" i="50"/>
  <c r="AL44" i="50"/>
  <c r="AI32" i="50"/>
  <c r="L11" i="50"/>
  <c r="Q8" i="50"/>
  <c r="AO30" i="50"/>
  <c r="S27" i="50"/>
  <c r="P31" i="50"/>
  <c r="AJ14" i="50"/>
  <c r="AG4" i="50"/>
  <c r="AJ5" i="50"/>
  <c r="AD30" i="50"/>
  <c r="N9" i="50"/>
  <c r="AA31" i="50"/>
  <c r="R6" i="50"/>
  <c r="AO21" i="50"/>
  <c r="AG49" i="50"/>
  <c r="N33" i="50"/>
  <c r="AK40" i="50"/>
  <c r="AB40" i="50"/>
  <c r="T40" i="50"/>
  <c r="V33" i="50"/>
  <c r="T46" i="50"/>
  <c r="AB4" i="50"/>
  <c r="AD50" i="50"/>
  <c r="X39" i="50"/>
  <c r="AK19" i="50"/>
  <c r="AH46" i="50"/>
  <c r="AG13" i="50"/>
  <c r="T14" i="50"/>
  <c r="AO40" i="50"/>
  <c r="Y24" i="50"/>
  <c r="L44" i="50"/>
  <c r="X35" i="50"/>
  <c r="V26" i="50"/>
  <c r="U23" i="50"/>
  <c r="AE21" i="50"/>
  <c r="AC27" i="50"/>
  <c r="Q33" i="50"/>
  <c r="U15" i="50"/>
  <c r="AN9" i="50"/>
  <c r="AK21" i="50"/>
  <c r="AG41" i="50"/>
  <c r="AK16" i="50"/>
  <c r="X48" i="50"/>
  <c r="R43" i="50"/>
  <c r="AN31" i="50"/>
  <c r="AC26" i="50"/>
  <c r="AK29" i="50"/>
  <c r="AA12" i="50"/>
  <c r="S12" i="50"/>
  <c r="O35" i="50"/>
  <c r="T43" i="50"/>
  <c r="AL50" i="50"/>
  <c r="X42" i="50"/>
  <c r="Z35" i="50"/>
  <c r="V32" i="50"/>
  <c r="T48" i="50"/>
  <c r="AN27" i="50"/>
  <c r="Q21" i="50"/>
  <c r="AD42" i="50"/>
  <c r="AH41" i="50"/>
  <c r="Z34" i="50"/>
  <c r="AL5" i="50"/>
  <c r="AI23" i="50"/>
  <c r="AE25" i="50"/>
  <c r="P35" i="50"/>
  <c r="AL23" i="50"/>
  <c r="AE12" i="50"/>
  <c r="AF26" i="50"/>
  <c r="AC19" i="50"/>
  <c r="V41" i="50"/>
  <c r="AL40" i="50"/>
  <c r="L23" i="50"/>
  <c r="AN38" i="50"/>
  <c r="O25" i="50"/>
  <c r="AA36" i="50"/>
  <c r="P9" i="50"/>
  <c r="N41" i="50"/>
  <c r="AB20" i="50"/>
  <c r="W32" i="50"/>
  <c r="W6" i="50"/>
  <c r="AE16" i="50"/>
  <c r="T47" i="50"/>
  <c r="R8" i="50"/>
  <c r="AN21" i="50"/>
  <c r="O14" i="50"/>
  <c r="W4" i="50"/>
  <c r="W45" i="50"/>
  <c r="L22" i="50"/>
  <c r="Q35" i="50"/>
  <c r="V31" i="50"/>
  <c r="T34" i="50"/>
  <c r="M19" i="50"/>
  <c r="AA6" i="50"/>
  <c r="P46" i="50"/>
  <c r="R14" i="50"/>
  <c r="AB22" i="50"/>
  <c r="S33" i="50"/>
  <c r="AC47" i="50"/>
  <c r="N46" i="50"/>
  <c r="AB33" i="50"/>
  <c r="Z31" i="50"/>
  <c r="AK48" i="50"/>
  <c r="Y10" i="50"/>
  <c r="AC14" i="50"/>
  <c r="Y36" i="50"/>
  <c r="V16" i="50"/>
  <c r="N13" i="50"/>
  <c r="V20" i="50"/>
  <c r="AL41" i="50"/>
  <c r="AO15" i="50"/>
  <c r="V45" i="50"/>
  <c r="AG9" i="50"/>
  <c r="AC46" i="50"/>
  <c r="W44" i="50"/>
  <c r="AD47" i="50"/>
  <c r="AO12" i="50"/>
  <c r="M50" i="50"/>
  <c r="AJ45" i="50"/>
  <c r="Z24" i="50"/>
  <c r="U41" i="50"/>
  <c r="AI22" i="50"/>
  <c r="AG11" i="50"/>
  <c r="AK30" i="50"/>
  <c r="O20" i="50"/>
  <c r="M20" i="50"/>
  <c r="AJ38" i="50"/>
  <c r="Y6" i="50"/>
  <c r="N11" i="50"/>
  <c r="AJ7" i="50"/>
  <c r="R39" i="50"/>
  <c r="Z16" i="50"/>
  <c r="U50" i="50"/>
  <c r="AK5" i="50"/>
  <c r="AJ20" i="50"/>
  <c r="P14" i="50"/>
  <c r="T29" i="50"/>
  <c r="R17" i="50"/>
  <c r="AK37" i="50"/>
  <c r="L27" i="50"/>
  <c r="U26" i="50"/>
  <c r="T22" i="50"/>
  <c r="P26" i="50"/>
  <c r="AD19" i="50"/>
  <c r="M31" i="50"/>
  <c r="P16" i="50"/>
  <c r="AJ42" i="50"/>
  <c r="U28" i="50"/>
  <c r="AF47" i="50"/>
  <c r="AO10" i="50"/>
  <c r="AF13" i="50"/>
  <c r="Y37" i="50"/>
  <c r="AI12" i="50"/>
  <c r="AB14" i="50"/>
  <c r="AJ40" i="50"/>
  <c r="AJ41" i="50"/>
  <c r="T21" i="50"/>
  <c r="AO26" i="50"/>
  <c r="AC42" i="50"/>
  <c r="Z13" i="50"/>
  <c r="AN41" i="50"/>
  <c r="AL13" i="50"/>
  <c r="R26" i="50"/>
  <c r="AB6" i="50"/>
  <c r="AI11" i="50"/>
  <c r="AL42" i="50"/>
  <c r="P37" i="50"/>
  <c r="AO28" i="50"/>
  <c r="AO5" i="50"/>
  <c r="W23" i="50"/>
  <c r="AK7" i="50"/>
  <c r="AF19" i="50"/>
  <c r="R46" i="50"/>
  <c r="AI39" i="50"/>
  <c r="AC36" i="50"/>
  <c r="AN42" i="50"/>
  <c r="O16" i="50"/>
  <c r="AL36" i="50"/>
  <c r="AH22" i="50"/>
  <c r="AO31" i="50"/>
  <c r="R11" i="50"/>
  <c r="AK18" i="50"/>
  <c r="AE20" i="50"/>
  <c r="AC11" i="50"/>
  <c r="S31" i="50"/>
  <c r="X30" i="50"/>
  <c r="S50" i="50"/>
  <c r="AE26" i="50"/>
  <c r="AC50" i="50"/>
  <c r="X15" i="50"/>
  <c r="AL22" i="50"/>
  <c r="AH26" i="50"/>
  <c r="R45" i="50"/>
  <c r="X44" i="50"/>
  <c r="AM34" i="50"/>
  <c r="AD10" i="50"/>
  <c r="AO36" i="50"/>
  <c r="L26" i="50"/>
  <c r="AH40" i="50"/>
  <c r="R49" i="50"/>
  <c r="AA48" i="50"/>
  <c r="V18" i="50"/>
  <c r="S7" i="50"/>
  <c r="AM13" i="50"/>
  <c r="Z37" i="50"/>
  <c r="AN35" i="50"/>
  <c r="L41" i="50"/>
  <c r="AB13" i="50"/>
  <c r="L35" i="50"/>
  <c r="S41" i="50"/>
  <c r="AA5" i="50"/>
  <c r="AK49" i="50"/>
  <c r="U13" i="50"/>
  <c r="AA37" i="50"/>
  <c r="AG36" i="50"/>
  <c r="M48" i="50"/>
  <c r="O41" i="50"/>
  <c r="X18" i="50"/>
  <c r="Y45" i="50"/>
  <c r="AF9" i="50"/>
  <c r="AF28" i="50"/>
  <c r="AH27" i="50"/>
  <c r="AA40" i="50"/>
  <c r="O48" i="50"/>
  <c r="AM38" i="50"/>
  <c r="T35" i="50"/>
  <c r="R19" i="50"/>
  <c r="AL14" i="50"/>
  <c r="Q15" i="50"/>
  <c r="AK17" i="50"/>
  <c r="AA7" i="50"/>
  <c r="AE9" i="50"/>
  <c r="Q34" i="50"/>
  <c r="AO38" i="50"/>
  <c r="AL34" i="50"/>
  <c r="AI18" i="50"/>
  <c r="AO25" i="50"/>
  <c r="AA44" i="50"/>
  <c r="AB24" i="50"/>
  <c r="AJ26" i="50"/>
  <c r="N8" i="50"/>
  <c r="AD6" i="50"/>
  <c r="AA49" i="50"/>
  <c r="U11" i="50"/>
  <c r="O30" i="50"/>
  <c r="X28" i="50"/>
  <c r="AM20" i="50"/>
  <c r="AD4" i="50"/>
  <c r="Q12" i="50"/>
  <c r="AB49" i="50"/>
  <c r="U37" i="50"/>
  <c r="U38" i="50"/>
  <c r="L17" i="50"/>
  <c r="S37" i="50"/>
  <c r="AN19" i="50"/>
  <c r="U46" i="50"/>
  <c r="AH16" i="50"/>
  <c r="X26" i="50"/>
  <c r="AH43" i="50"/>
  <c r="Y27" i="50"/>
  <c r="AG14" i="50"/>
  <c r="L13" i="50"/>
  <c r="Z6" i="50"/>
  <c r="AD35" i="50"/>
  <c r="AE38" i="50"/>
  <c r="AK45" i="50"/>
  <c r="AB8" i="50"/>
  <c r="AH45" i="50"/>
  <c r="AD39" i="50"/>
  <c r="AM14" i="50"/>
  <c r="AB17" i="50"/>
  <c r="N22" i="50"/>
  <c r="N49" i="50"/>
  <c r="AE35" i="50"/>
  <c r="AG15" i="50"/>
  <c r="R18" i="50"/>
  <c r="L5" i="50"/>
  <c r="AF8" i="50"/>
  <c r="AA26" i="50"/>
  <c r="N20" i="50"/>
  <c r="W15" i="50"/>
  <c r="AO45" i="50"/>
  <c r="AO49" i="50"/>
  <c r="AM50" i="50"/>
  <c r="AM46" i="50"/>
  <c r="W21" i="50"/>
  <c r="R33" i="50"/>
  <c r="AF20" i="50"/>
  <c r="AN36" i="50"/>
  <c r="R31" i="50"/>
  <c r="AD48" i="50"/>
  <c r="W41" i="50"/>
  <c r="L20" i="50"/>
  <c r="S13" i="50"/>
  <c r="M21" i="50"/>
  <c r="W30" i="50"/>
  <c r="AF31" i="50"/>
  <c r="AH12" i="50"/>
  <c r="AO8" i="50"/>
  <c r="M25" i="50"/>
  <c r="P19" i="50"/>
  <c r="O43" i="50"/>
  <c r="Z15" i="50"/>
  <c r="Y47" i="50"/>
  <c r="AL17" i="50"/>
  <c r="AB50" i="50"/>
  <c r="Y50" i="50"/>
  <c r="Q23" i="50"/>
  <c r="W12" i="50"/>
  <c r="S43" i="50"/>
  <c r="T17" i="50"/>
  <c r="M49" i="50"/>
  <c r="Y28" i="50"/>
  <c r="X20" i="50"/>
  <c r="AM43" i="50"/>
  <c r="S21" i="50"/>
  <c r="W26" i="50"/>
  <c r="P42" i="50"/>
  <c r="AN23" i="50"/>
  <c r="M47" i="50"/>
  <c r="AL21" i="50"/>
  <c r="AJ21" i="50"/>
  <c r="AJ43" i="50"/>
  <c r="X31" i="50"/>
  <c r="S17" i="50"/>
  <c r="Q13" i="50"/>
  <c r="AA30" i="50"/>
  <c r="V50" i="50"/>
  <c r="AF50" i="50"/>
  <c r="R42" i="50"/>
  <c r="Y41" i="50"/>
  <c r="Y42" i="50"/>
  <c r="AM16" i="50"/>
  <c r="W33" i="50"/>
  <c r="AG32" i="50"/>
  <c r="AK41" i="50"/>
  <c r="S23" i="50"/>
  <c r="O8" i="50"/>
  <c r="AM7" i="50"/>
  <c r="V34" i="50"/>
  <c r="X5" i="50"/>
  <c r="AH30" i="50"/>
  <c r="AD41" i="50"/>
  <c r="AI50" i="50"/>
  <c r="Z20" i="50"/>
  <c r="Q18" i="50"/>
  <c r="T33" i="50"/>
  <c r="Q30" i="50"/>
  <c r="AO11" i="50"/>
  <c r="AM47" i="50"/>
  <c r="W40" i="50"/>
  <c r="X46" i="50"/>
  <c r="AK44" i="50"/>
  <c r="AC33" i="50"/>
  <c r="W46" i="50"/>
  <c r="P25" i="50"/>
  <c r="U10" i="50"/>
  <c r="T41" i="50"/>
  <c r="AI13" i="50"/>
  <c r="L49" i="50"/>
  <c r="AD25" i="50"/>
  <c r="AG22" i="50"/>
  <c r="U44" i="50"/>
  <c r="AN45" i="50"/>
  <c r="AN22" i="50"/>
  <c r="AB19" i="50"/>
  <c r="AE4" i="50"/>
  <c r="AB29" i="50"/>
  <c r="AC31" i="50"/>
  <c r="AN14" i="50"/>
  <c r="W31" i="50"/>
  <c r="AF18" i="50"/>
  <c r="P30" i="50"/>
  <c r="S18" i="50"/>
  <c r="AJ15" i="50"/>
  <c r="N19" i="50"/>
  <c r="X9" i="50"/>
  <c r="AN12" i="50"/>
  <c r="O7" i="50"/>
  <c r="Q26" i="50"/>
  <c r="U34" i="50"/>
  <c r="P34" i="50"/>
  <c r="AI14" i="50"/>
  <c r="AJ44" i="50"/>
  <c r="AD37" i="50"/>
  <c r="AC37" i="50"/>
  <c r="L51" i="50"/>
  <c r="AI30" i="50"/>
  <c r="X45" i="50"/>
  <c r="AN43" i="50"/>
  <c r="AK28" i="50"/>
  <c r="L34" i="50"/>
  <c r="W10" i="50"/>
  <c r="N39" i="50"/>
  <c r="O19" i="50"/>
  <c r="Q6" i="50"/>
  <c r="M23" i="50"/>
  <c r="AL7" i="50"/>
  <c r="X25" i="50"/>
  <c r="AK13" i="50"/>
  <c r="AB15" i="50"/>
  <c r="AM18" i="50"/>
  <c r="M13" i="50"/>
  <c r="AE17" i="50"/>
  <c r="N26" i="50"/>
  <c r="AO13" i="50"/>
  <c r="M14" i="50"/>
  <c r="AL46" i="50"/>
  <c r="AN28" i="50"/>
  <c r="AH33" i="50"/>
  <c r="AD36" i="50"/>
  <c r="AH34" i="50"/>
  <c r="AG35" i="50"/>
  <c r="Q17" i="50"/>
  <c r="AL10" i="50"/>
  <c r="AL39" i="50"/>
  <c r="AG24" i="50"/>
  <c r="AK23" i="50"/>
  <c r="AI20" i="50"/>
  <c r="AM42" i="50"/>
  <c r="AO17" i="50"/>
  <c r="X13" i="50"/>
  <c r="W25" i="50"/>
  <c r="V8" i="50"/>
  <c r="AO42" i="50"/>
  <c r="AK36" i="50"/>
  <c r="AN10" i="50"/>
  <c r="W43" i="50"/>
  <c r="Q32" i="50"/>
  <c r="AH11" i="50"/>
  <c r="AK50" i="50"/>
  <c r="U16" i="50"/>
  <c r="AA39" i="50"/>
  <c r="N15" i="50"/>
  <c r="AJ33" i="50"/>
  <c r="AI9" i="50"/>
  <c r="L43" i="50"/>
  <c r="AG20" i="50"/>
  <c r="AC23" i="50"/>
  <c r="AD40" i="50"/>
  <c r="AG28" i="50"/>
  <c r="M43" i="50"/>
  <c r="AK10" i="50"/>
  <c r="N47" i="50"/>
  <c r="N43" i="50"/>
  <c r="V14" i="50"/>
  <c r="Y4" i="50"/>
  <c r="O45" i="50"/>
  <c r="AN32" i="50"/>
  <c r="U19" i="50"/>
  <c r="AA29" i="50"/>
  <c r="AE28" i="50"/>
  <c r="P43" i="50"/>
  <c r="AH7" i="50"/>
  <c r="Z40" i="50"/>
  <c r="AN15" i="50"/>
  <c r="V36" i="50"/>
  <c r="X33" i="50"/>
  <c r="Q9" i="50"/>
  <c r="AD43" i="50"/>
  <c r="S9" i="50"/>
  <c r="AO39" i="50"/>
  <c r="V22" i="50"/>
  <c r="AM44" i="50"/>
  <c r="S19" i="50"/>
  <c r="AE31" i="50"/>
  <c r="AC49" i="50"/>
  <c r="L40" i="50"/>
  <c r="AC38" i="50"/>
  <c r="R47" i="50"/>
  <c r="Z21" i="50"/>
  <c r="V11" i="50"/>
  <c r="AB36" i="50"/>
  <c r="AD9" i="50"/>
  <c r="AL37" i="50"/>
  <c r="AJ46" i="50"/>
  <c r="AN7" i="50"/>
  <c r="AI17" i="50"/>
  <c r="N21" i="50"/>
  <c r="AH36" i="50"/>
  <c r="Y34" i="50"/>
  <c r="U4" i="50"/>
  <c r="M7" i="50"/>
  <c r="S14" i="50"/>
  <c r="AD13" i="50"/>
  <c r="AI47" i="50"/>
  <c r="AE37" i="50"/>
  <c r="AM40" i="50"/>
  <c r="AK33" i="50"/>
  <c r="Y35" i="50"/>
  <c r="AM48" i="50"/>
  <c r="P50" i="50"/>
  <c r="O9" i="50"/>
  <c r="Q29" i="50"/>
  <c r="AI33" i="50"/>
  <c r="M11" i="50"/>
  <c r="U31" i="50"/>
  <c r="AF21" i="50"/>
  <c r="AH35" i="50"/>
  <c r="N36" i="50"/>
  <c r="S30" i="50"/>
  <c r="P47" i="50"/>
  <c r="AF7" i="50"/>
  <c r="L28" i="50"/>
  <c r="W28" i="50"/>
  <c r="AO22" i="50"/>
  <c r="AI43" i="50"/>
  <c r="X47" i="50"/>
  <c r="AM28" i="50"/>
  <c r="P15" i="50"/>
  <c r="F28" i="50" l="1"/>
  <c r="F40" i="50"/>
  <c r="F43" i="50"/>
  <c r="J43" i="50" s="1"/>
  <c r="F34" i="50"/>
  <c r="Z11" i="5" s="1"/>
  <c r="N11" i="5" s="1"/>
  <c r="A11" i="5" s="1"/>
  <c r="F51" i="50"/>
  <c r="AA21" i="1" s="1"/>
  <c r="F49" i="50"/>
  <c r="F20" i="50"/>
  <c r="H20" i="50" s="1"/>
  <c r="F5" i="50"/>
  <c r="H5" i="50" s="1"/>
  <c r="F13" i="50"/>
  <c r="F17" i="50"/>
  <c r="F35" i="50"/>
  <c r="F41" i="50"/>
  <c r="J41" i="50" s="1"/>
  <c r="F26" i="50"/>
  <c r="AA11" i="1" s="1"/>
  <c r="F27" i="50"/>
  <c r="F22" i="50"/>
  <c r="H22" i="50" s="1"/>
  <c r="F23" i="50"/>
  <c r="AA17" i="1" s="1"/>
  <c r="F44" i="50"/>
  <c r="J44" i="50" s="1"/>
  <c r="F11" i="50"/>
  <c r="F31" i="50"/>
  <c r="AA19" i="1" s="1"/>
  <c r="N19" i="1" s="1"/>
  <c r="F15" i="50"/>
  <c r="AA17" i="4" s="1"/>
  <c r="N17" i="4" s="1"/>
  <c r="F21" i="50"/>
  <c r="H21" i="50" s="1"/>
  <c r="F52" i="50"/>
  <c r="F8" i="50"/>
  <c r="AA7" i="1" s="1"/>
  <c r="F14" i="50"/>
  <c r="H14" i="50" s="1"/>
  <c r="F6" i="50"/>
  <c r="J6" i="50" s="1"/>
  <c r="F37" i="50"/>
  <c r="H37" i="50" s="1"/>
  <c r="F7" i="50"/>
  <c r="F29" i="50"/>
  <c r="J29" i="50" s="1"/>
  <c r="F39" i="50"/>
  <c r="J39" i="50" s="1"/>
  <c r="F47" i="50"/>
  <c r="F24" i="50"/>
  <c r="H24" i="50" s="1"/>
  <c r="F42" i="50"/>
  <c r="Z20" i="5" s="1"/>
  <c r="N20" i="5" s="1"/>
  <c r="A20" i="5" s="1"/>
  <c r="F33" i="50"/>
  <c r="Z10" i="5" s="1"/>
  <c r="F12" i="50"/>
  <c r="F32" i="50"/>
  <c r="J32" i="50" s="1"/>
  <c r="F54" i="50"/>
  <c r="H54" i="50" s="1"/>
  <c r="F18" i="50"/>
  <c r="H18" i="50" s="1"/>
  <c r="F46" i="50"/>
  <c r="J46" i="50" s="1"/>
  <c r="F53" i="50"/>
  <c r="AA20" i="1" s="1"/>
  <c r="N20" i="1" s="1"/>
  <c r="K4" i="50"/>
  <c r="F25" i="50"/>
  <c r="AA18" i="1" s="1"/>
  <c r="F19" i="50"/>
  <c r="F16" i="50"/>
  <c r="J16" i="50" s="1"/>
  <c r="F9" i="50"/>
  <c r="AA7" i="4" s="1"/>
  <c r="O7" i="4" s="1"/>
  <c r="A7" i="4" s="1"/>
  <c r="F50" i="50"/>
  <c r="J50" i="50" s="1"/>
  <c r="F48" i="50"/>
  <c r="F38" i="50"/>
  <c r="H38" i="50" s="1"/>
  <c r="F10" i="50"/>
  <c r="J10" i="50" s="1"/>
  <c r="F45" i="50"/>
  <c r="J45" i="50" s="1"/>
  <c r="F30" i="50"/>
  <c r="F36" i="50"/>
  <c r="J36" i="50" s="1"/>
  <c r="H43" i="50"/>
  <c r="Z17" i="5"/>
  <c r="N17" i="5" s="1"/>
  <c r="A17" i="5" s="1"/>
  <c r="J34" i="50"/>
  <c r="H51" i="50"/>
  <c r="J37" i="50"/>
  <c r="Z13" i="5"/>
  <c r="N13" i="5" s="1"/>
  <c r="A13" i="5" s="1"/>
  <c r="AA13" i="1"/>
  <c r="J22" i="50"/>
  <c r="AA12" i="4"/>
  <c r="H11" i="50"/>
  <c r="J11" i="50"/>
  <c r="AA6" i="4"/>
  <c r="AA9" i="1"/>
  <c r="J20" i="50"/>
  <c r="AA12" i="1"/>
  <c r="J27" i="50"/>
  <c r="H27" i="50"/>
  <c r="J31" i="50"/>
  <c r="Z9" i="5"/>
  <c r="H46" i="50"/>
  <c r="Z7" i="5"/>
  <c r="J47" i="50"/>
  <c r="H47" i="50"/>
  <c r="Z5" i="5"/>
  <c r="J49" i="50"/>
  <c r="H49" i="50"/>
  <c r="Z19" i="5"/>
  <c r="AA11" i="4"/>
  <c r="H28" i="50"/>
  <c r="J28" i="50"/>
  <c r="H29" i="50"/>
  <c r="H23" i="50"/>
  <c r="Z16" i="5"/>
  <c r="H35" i="50"/>
  <c r="J35" i="50"/>
  <c r="H32" i="50"/>
  <c r="Z6" i="5"/>
  <c r="J48" i="50"/>
  <c r="H48" i="50"/>
  <c r="Z15" i="5"/>
  <c r="H39" i="50"/>
  <c r="J25" i="50"/>
  <c r="O19" i="1"/>
  <c r="A19" i="1" s="1"/>
  <c r="J12" i="50"/>
  <c r="H12" i="50"/>
  <c r="AA10" i="4"/>
  <c r="AA8" i="4"/>
  <c r="J30" i="50"/>
  <c r="H30" i="50"/>
  <c r="H7" i="50"/>
  <c r="J7" i="50"/>
  <c r="AA6" i="1"/>
  <c r="AA15" i="4"/>
  <c r="J19" i="50"/>
  <c r="H19" i="50"/>
  <c r="Z18" i="5"/>
  <c r="J40" i="50"/>
  <c r="H40" i="50"/>
  <c r="AA10" i="1"/>
  <c r="O21" i="1"/>
  <c r="A21" i="1" s="1"/>
  <c r="N21" i="1"/>
  <c r="AA22" i="1"/>
  <c r="J52" i="50"/>
  <c r="H52" i="50"/>
  <c r="AA5" i="4"/>
  <c r="J13" i="50"/>
  <c r="H13" i="50"/>
  <c r="AA16" i="4"/>
  <c r="H17" i="50"/>
  <c r="J17" i="50"/>
  <c r="M20" i="5"/>
  <c r="A23" i="9"/>
  <c r="F23" i="9" s="1"/>
  <c r="AA14" i="1" l="1"/>
  <c r="J33" i="50"/>
  <c r="Z22" i="5"/>
  <c r="AA14" i="4"/>
  <c r="N14" i="4" s="1"/>
  <c r="H25" i="50"/>
  <c r="H15" i="50"/>
  <c r="H36" i="50"/>
  <c r="H53" i="50"/>
  <c r="J54" i="50"/>
  <c r="H44" i="50"/>
  <c r="H26" i="50"/>
  <c r="J51" i="50"/>
  <c r="N7" i="4"/>
  <c r="O17" i="4"/>
  <c r="A17" i="4" s="1"/>
  <c r="J23" i="50"/>
  <c r="AA15" i="1"/>
  <c r="N15" i="1" s="1"/>
  <c r="M11" i="5"/>
  <c r="J14" i="50"/>
  <c r="H41" i="50"/>
  <c r="H34" i="50"/>
  <c r="J9" i="50"/>
  <c r="J5" i="50"/>
  <c r="AA13" i="4"/>
  <c r="H50" i="50"/>
  <c r="H45" i="50"/>
  <c r="Z21" i="5"/>
  <c r="N21" i="5" s="1"/>
  <c r="A21" i="5" s="1"/>
  <c r="M17" i="5"/>
  <c r="H33" i="50"/>
  <c r="H6" i="50"/>
  <c r="Z8" i="5"/>
  <c r="M8" i="5" s="1"/>
  <c r="H16" i="50"/>
  <c r="AA5" i="1"/>
  <c r="N5" i="1" s="1"/>
  <c r="H9" i="50"/>
  <c r="H10" i="50"/>
  <c r="J53" i="50"/>
  <c r="J15" i="50"/>
  <c r="J26" i="50"/>
  <c r="J38" i="50"/>
  <c r="H31" i="50"/>
  <c r="Z12" i="5"/>
  <c r="N12" i="5" s="1"/>
  <c r="A12" i="5" s="1"/>
  <c r="AA9" i="4"/>
  <c r="O9" i="4" s="1"/>
  <c r="A9" i="4" s="1"/>
  <c r="J8" i="50"/>
  <c r="J18" i="50"/>
  <c r="J42" i="50"/>
  <c r="H8" i="50"/>
  <c r="Z14" i="5"/>
  <c r="J21" i="50"/>
  <c r="H42" i="50"/>
  <c r="F4" i="50"/>
  <c r="AA16" i="1"/>
  <c r="J24" i="50"/>
  <c r="AA8" i="1"/>
  <c r="M13" i="5"/>
  <c r="O18" i="1"/>
  <c r="A18" i="1" s="1"/>
  <c r="N18" i="1"/>
  <c r="N7" i="5"/>
  <c r="A7" i="5" s="1"/>
  <c r="M7" i="5"/>
  <c r="O15" i="4"/>
  <c r="A15" i="4" s="1"/>
  <c r="N15" i="4"/>
  <c r="M5" i="5"/>
  <c r="N5" i="5"/>
  <c r="M21" i="5"/>
  <c r="O6" i="4"/>
  <c r="A6" i="4" s="1"/>
  <c r="N6" i="4"/>
  <c r="O13" i="1"/>
  <c r="A13" i="1" s="1"/>
  <c r="N13" i="1"/>
  <c r="N16" i="4"/>
  <c r="O16" i="4"/>
  <c r="A16" i="4" s="1"/>
  <c r="O22" i="1"/>
  <c r="A22" i="1" s="1"/>
  <c r="N22" i="1"/>
  <c r="N18" i="5"/>
  <c r="A18" i="5" s="1"/>
  <c r="M18" i="5"/>
  <c r="N6" i="1"/>
  <c r="O6" i="1"/>
  <c r="A6" i="1" s="1"/>
  <c r="N14" i="1"/>
  <c r="O14" i="1"/>
  <c r="A14" i="1" s="1"/>
  <c r="N17" i="1"/>
  <c r="O17" i="1"/>
  <c r="A17" i="1" s="1"/>
  <c r="N19" i="5"/>
  <c r="A19" i="5" s="1"/>
  <c r="M19" i="5"/>
  <c r="N13" i="4"/>
  <c r="O13" i="4"/>
  <c r="A13" i="4" s="1"/>
  <c r="N9" i="5"/>
  <c r="A9" i="5" s="1"/>
  <c r="M9" i="5"/>
  <c r="N9" i="4"/>
  <c r="N9" i="1"/>
  <c r="O9" i="1"/>
  <c r="A9" i="1" s="1"/>
  <c r="O7" i="1"/>
  <c r="A7" i="1" s="1"/>
  <c r="N7" i="1"/>
  <c r="O10" i="4"/>
  <c r="A10" i="4" s="1"/>
  <c r="N10" i="4"/>
  <c r="N6" i="5"/>
  <c r="A6" i="5" s="1"/>
  <c r="M6" i="5"/>
  <c r="O11" i="1"/>
  <c r="A11" i="1" s="1"/>
  <c r="N11" i="1"/>
  <c r="N5" i="4"/>
  <c r="O5" i="4"/>
  <c r="O10" i="1"/>
  <c r="A10" i="1" s="1"/>
  <c r="N10" i="1"/>
  <c r="N8" i="4"/>
  <c r="O8" i="4"/>
  <c r="A8" i="4" s="1"/>
  <c r="N15" i="5"/>
  <c r="A15" i="5" s="1"/>
  <c r="M15" i="5"/>
  <c r="N16" i="5"/>
  <c r="A16" i="5" s="1"/>
  <c r="M16" i="5"/>
  <c r="O20" i="1"/>
  <c r="A20" i="1" s="1"/>
  <c r="O11" i="4"/>
  <c r="A11" i="4" s="1"/>
  <c r="N11" i="4"/>
  <c r="N10" i="5"/>
  <c r="A10" i="5" s="1"/>
  <c r="M10" i="5"/>
  <c r="M22" i="5"/>
  <c r="N22" i="5"/>
  <c r="A22" i="5" s="1"/>
  <c r="N12" i="1"/>
  <c r="O12" i="1"/>
  <c r="A12" i="1" s="1"/>
  <c r="N12" i="4"/>
  <c r="O12" i="4"/>
  <c r="A12" i="4" s="1"/>
  <c r="N14" i="5"/>
  <c r="A14" i="5" s="1"/>
  <c r="M14" i="5"/>
  <c r="A24" i="9"/>
  <c r="F24" i="9" s="1"/>
  <c r="G24" i="9" s="1"/>
  <c r="O14" i="4" l="1"/>
  <c r="A14" i="4" s="1"/>
  <c r="O5" i="1"/>
  <c r="A5" i="1" s="1"/>
  <c r="O15" i="1"/>
  <c r="A15" i="1" s="1"/>
  <c r="N8" i="5"/>
  <c r="A8" i="5" s="1"/>
  <c r="Z4" i="5"/>
  <c r="AA4" i="4"/>
  <c r="J4" i="50"/>
  <c r="M12" i="5"/>
  <c r="M4" i="5" s="1"/>
  <c r="H4" i="50"/>
  <c r="I4" i="50" s="1"/>
  <c r="N8" i="1"/>
  <c r="O8" i="1"/>
  <c r="A8" i="1" s="1"/>
  <c r="AA4" i="1"/>
  <c r="N16" i="1"/>
  <c r="O16" i="1"/>
  <c r="A16" i="1" s="1"/>
  <c r="N4" i="4"/>
  <c r="A5" i="4"/>
  <c r="O4" i="4"/>
  <c r="A5" i="5"/>
  <c r="G22" i="9"/>
  <c r="G23" i="9"/>
  <c r="A4" i="4" l="1"/>
  <c r="N4" i="5"/>
  <c r="A4" i="5"/>
  <c r="N4" i="1"/>
  <c r="E1" i="50" s="1"/>
  <c r="K8" i="50"/>
  <c r="A4" i="1"/>
  <c r="O4" i="1"/>
  <c r="G21" i="9"/>
  <c r="G3" i="9"/>
  <c r="A1" i="50" l="1"/>
  <c r="D1" i="50"/>
  <c r="C1" i="50"/>
  <c r="I4" i="95"/>
  <c r="I5" i="95" s="1"/>
  <c r="G4" i="9"/>
  <c r="G5" i="9" s="1"/>
  <c r="G6" i="9" s="1"/>
  <c r="G7" i="9" l="1"/>
  <c r="G8" i="9" s="1"/>
  <c r="G9" i="9" s="1"/>
  <c r="G10" i="9" l="1"/>
  <c r="G11" i="9" s="1"/>
  <c r="G12" i="9" l="1"/>
  <c r="G13" i="9" l="1"/>
  <c r="G14" i="9" s="1"/>
  <c r="G15" i="9"/>
  <c r="G16" i="9" s="1"/>
  <c r="G17" i="9" s="1"/>
  <c r="G18" i="9" s="1"/>
  <c r="G19" i="9" s="1"/>
  <c r="G20" i="9" s="1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Ba lấy ăn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Thư Ngọng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</commentList>
</comments>
</file>

<file path=xl/sharedStrings.xml><?xml version="1.0" encoding="utf-8"?>
<sst xmlns="http://schemas.openxmlformats.org/spreadsheetml/2006/main" count="744" uniqueCount="201">
  <si>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</si>
  <si>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</si>
  <si>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</si>
  <si>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</si>
  <si>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</si>
  <si>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</si>
  <si>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</si>
  <si>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</si>
  <si>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</si>
  <si>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</si>
  <si>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</si>
  <si>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</si>
  <si>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</si>
  <si>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</si>
  <si>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</si>
  <si>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</si>
  <si>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</si>
  <si>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</si>
  <si>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</si>
  <si>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</si>
  <si>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</si>
  <si>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</si>
  <si>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</si>
  <si>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</si>
  <si>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</si>
  <si>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</si>
  <si>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</si>
  <si>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</si>
  <si>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</si>
  <si>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</si>
  <si>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</si>
  <si>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</si>
  <si>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</si>
  <si>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</si>
  <si>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</si>
  <si>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</si>
  <si>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</si>
  <si>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</si>
  <si>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</si>
  <si>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</si>
  <si>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</si>
  <si>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</si>
  <si>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</si>
  <si>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</si>
  <si>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</si>
  <si>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</si>
  <si>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</si>
  <si>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</si>
  <si>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</si>
  <si>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</si>
  <si>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</si>
  <si>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</si>
  <si>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</si>
  <si>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</si>
  <si>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</si>
  <si>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</si>
  <si>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</si>
  <si>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</si>
  <si>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</si>
  <si>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</si>
  <si>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</si>
  <si>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</si>
  <si>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</si>
  <si>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</si>
  <si>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</si>
  <si>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</si>
  <si>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</si>
  <si>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</si>
  <si>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</si>
  <si>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</si>
  <si>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</si>
  <si>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</si>
  <si>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</si>
  <si>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</si>
  <si>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</si>
  <si>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</si>
  <si>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</si>
  <si>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</si>
  <si>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</si>
  <si>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</si>
  <si>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</si>
  <si>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</si>
  <si>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</si>
  <si>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</si>
  <si>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</si>
  <si>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</si>
  <si>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</si>
  <si>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</si>
  <si>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</si>
  <si>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</si>
  <si>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</si>
  <si>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</si>
  <si>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</si>
  <si>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</si>
  <si>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</si>
  <si>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</si>
  <si>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</si>
  <si>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</si>
  <si>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</si>
  <si>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</si>
  <si>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</si>
  <si>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</si>
  <si>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</si>
  <si>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</si>
  <si>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</si>
  <si>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</si>
  <si>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</si>
  <si>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</si>
  <si>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</si>
  <si>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</si>
  <si>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</si>
  <si>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</si>
  <si>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</si>
  <si>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</si>
  <si>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</si>
  <si>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</si>
  <si>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</si>
  <si>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</si>
  <si>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</si>
  <si>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</si>
  <si>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</si>
  <si>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</si>
  <si>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</si>
  <si>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</si>
  <si>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</si>
  <si>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</si>
  <si>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</si>
  <si>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</si>
  <si>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</si>
  <si>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</si>
  <si>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</si>
  <si>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</si>
  <si>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</si>
  <si>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</si>
  <si>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</si>
  <si>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</si>
  <si>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</si>
  <si>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</si>
  <si>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</si>
  <si>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</si>
  <si>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</si>
  <si>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</si>
  <si>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</si>
  <si>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</si>
  <si>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</si>
  <si>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</si>
  <si>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</si>
  <si>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</si>
  <si>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</si>
  <si>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</si>
  <si>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</si>
  <si>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</si>
  <si>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</si>
  <si>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</si>
  <si>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</si>
  <si>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</si>
  <si>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</si>
  <si>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</si>
  <si>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Poster Menu lần 2</t>
  </si>
  <si>
    <t>Số lượng nhập</t>
  </si>
  <si>
    <t>Trọng lượng (kg)</t>
  </si>
  <si>
    <t>MT51</t>
  </si>
  <si>
    <t>Tổng Giá Trị Hàng đã xuất</t>
  </si>
  <si>
    <t>Tổng Tiền Thực</t>
  </si>
  <si>
    <t>Hải sản sốt cam LC</t>
  </si>
  <si>
    <t>Hải sản sốt MAYONNAISE (35 viên)</t>
  </si>
  <si>
    <t>Chả lụa bì Ớt xiêm xanh</t>
  </si>
  <si>
    <t>MT52</t>
  </si>
  <si>
    <t>Bò viên phở TVP</t>
  </si>
  <si>
    <t>MT53</t>
  </si>
  <si>
    <t>Trọng lượng</t>
  </si>
  <si>
    <t>Xuất mẫu</t>
  </si>
  <si>
    <t>Giá trị còn lại</t>
  </si>
  <si>
    <t>Mua bị</t>
  </si>
  <si>
    <t>Đậu hủ phô mai EB</t>
  </si>
  <si>
    <t>MT54</t>
  </si>
  <si>
    <t>Khoai tây Simplot</t>
  </si>
  <si>
    <t>MT55</t>
  </si>
  <si>
    <t>Bò viên HM</t>
  </si>
  <si>
    <t>MT56</t>
  </si>
  <si>
    <t>Hồ lô HM</t>
  </si>
  <si>
    <t>MT57</t>
  </si>
  <si>
    <t>Há cảo Lớn</t>
  </si>
  <si>
    <t>Há cảo Mini</t>
  </si>
  <si>
    <t>MT58</t>
  </si>
  <si>
    <t>MT59</t>
  </si>
  <si>
    <t>Tủ Lạnh mới</t>
  </si>
  <si>
    <t>In Poster</t>
  </si>
  <si>
    <t>KH lẻ</t>
  </si>
  <si>
    <t>Hồng Nga</t>
  </si>
  <si>
    <t>Dì Bến</t>
  </si>
  <si>
    <t>Vãng</t>
  </si>
  <si>
    <t>Dì Bé</t>
  </si>
  <si>
    <t>Thím Liên</t>
  </si>
  <si>
    <t>Dì Cẩm</t>
  </si>
  <si>
    <t>Ms Phương (Ship)</t>
  </si>
  <si>
    <t>Dì Luận</t>
  </si>
  <si>
    <t>Chị Thanh</t>
  </si>
  <si>
    <t>KH Lẻ</t>
  </si>
  <si>
    <t>Cô Phượng
-135k</t>
  </si>
  <si>
    <t>Mẹ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</si>
</sst>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rgb="FFFFFF00"/>
      <name val="Times New Roman"/>
      <family val="1"/>
    </font>
    <font>
      <b/>
      <sz val="20"/>
      <color rgb="FFFFFF00"/>
      <name val="Times New Roman"/>
      <family val="1"/>
    </font>
    <font>
      <sz val="18"/>
      <color rgb="FFFF000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5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3" fillId="0" borderId="0" xfId="0" applyNumberFormat="1" applyFont="1" applyAlignment="1" applyProtection="1">
      <alignment vertical="center"/>
      <protection locked="0"/>
    </xf>
    <xf numFmtId="41" fontId="17" fillId="0" borderId="1" xfId="1" applyFont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/>
    </xf>
    <xf numFmtId="41" fontId="21" fillId="16" borderId="1" xfId="0" applyNumberFormat="1" applyFont="1" applyFill="1" applyBorder="1" applyAlignment="1">
      <alignment vertical="center"/>
    </xf>
    <xf numFmtId="41" fontId="21" fillId="14" borderId="1" xfId="0" applyNumberFormat="1" applyFont="1" applyFill="1" applyBorder="1" applyAlignment="1">
      <alignment vertical="center"/>
    </xf>
    <xf numFmtId="0" fontId="21" fillId="17" borderId="1" xfId="0" applyFont="1" applyFill="1" applyBorder="1" applyAlignment="1">
      <alignment vertical="center"/>
    </xf>
    <xf numFmtId="0" fontId="21" fillId="15" borderId="1" xfId="0" applyFont="1" applyFill="1" applyBorder="1" applyAlignment="1">
      <alignment vertical="center"/>
    </xf>
    <xf numFmtId="41" fontId="21" fillId="18" borderId="1" xfId="0" applyNumberFormat="1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41" fontId="21" fillId="19" borderId="1" xfId="0" applyNumberFormat="1" applyFont="1" applyFill="1" applyBorder="1" applyAlignment="1">
      <alignment vertical="center"/>
    </xf>
    <xf numFmtId="0" fontId="21" fillId="16" borderId="1" xfId="0" applyFont="1" applyFill="1" applyBorder="1" applyAlignment="1">
      <alignment vertical="center"/>
    </xf>
    <xf numFmtId="0" fontId="21" fillId="18" borderId="1" xfId="0" applyFont="1" applyFill="1" applyBorder="1" applyAlignment="1">
      <alignment vertical="center"/>
    </xf>
    <xf numFmtId="0" fontId="21" fillId="19" borderId="1" xfId="0" applyFont="1" applyFill="1" applyBorder="1" applyAlignment="1">
      <alignment vertical="center"/>
    </xf>
    <xf numFmtId="0" fontId="21" fillId="14" borderId="1" xfId="0" applyFont="1" applyFill="1" applyBorder="1" applyAlignment="1">
      <alignment vertical="center"/>
    </xf>
    <xf numFmtId="41" fontId="22" fillId="8" borderId="1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41" fontId="0" fillId="0" borderId="0" xfId="0" applyNumberFormat="1"/>
    <xf numFmtId="0" fontId="3" fillId="0" borderId="0" xfId="1" applyNumberFormat="1" applyFont="1" applyAlignment="1">
      <alignment vertical="center"/>
    </xf>
    <xf numFmtId="41" fontId="21" fillId="15" borderId="1" xfId="0" applyNumberFormat="1" applyFont="1" applyFill="1" applyBorder="1" applyAlignment="1">
      <alignment vertical="center"/>
    </xf>
    <xf numFmtId="0" fontId="2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41" fontId="2" fillId="4" borderId="1" xfId="1" applyFont="1" applyFill="1" applyBorder="1" applyAlignment="1">
      <alignment horizontal="center" vertical="top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5" fillId="6" borderId="1" xfId="0" applyFont="1" applyFill="1" applyBorder="1"/>
    <xf numFmtId="0" fontId="5" fillId="5" borderId="1" xfId="0" applyFont="1" applyFill="1" applyBorder="1"/>
    <xf numFmtId="41" fontId="17" fillId="10" borderId="1" xfId="1" applyFont="1" applyFill="1" applyBorder="1" applyAlignment="1">
      <alignment horizontal="center" vertical="center" wrapText="1"/>
    </xf>
    <xf numFmtId="41" fontId="5" fillId="10" borderId="1" xfId="1" applyFont="1" applyFill="1" applyBorder="1" applyAlignment="1">
      <alignment horizontal="center" vertical="center" wrapText="1"/>
    </xf>
    <xf numFmtId="0" fontId="0" fillId="7" borderId="0" xfId="0" applyFill="1"/>
    <xf numFmtId="0" fontId="24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  <xf numFmtId="12" fontId="3" fillId="0" borderId="0" xfId="1" applyNumberFormat="1" applyFont="1" applyAlignment="1">
      <alignment vertical="center"/>
    </xf>
  </cellXfs>
  <cellStyles count="3">
    <cellStyle name="Comma [0]" xfId="1" builtinId="6"/>
    <cellStyle name="Normal" xfId="0" builtinId="0"/>
    <cellStyle name="Percent" xfId="2" builtinId="5"/>
  </cellStyles>
  <dxfs count="1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0"/>
  <sheetViews>
    <sheetView workbookViewId="0">
      <selection activeCell="K20" sqref="K20"/>
    </sheetView>
  </sheetViews>
  <sheetFormatPr defaultRowHeight="15" x14ac:dyDescent="0.25"/>
  <cols>
    <col min="1" max="1" width="9.140625" style="152"/>
    <col min="2" max="2" width="25.42578125" style="14" customWidth="1"/>
    <col min="3" max="4" width="12.5703125" style="14" customWidth="1"/>
    <col min="5" max="6" width="11.7109375" style="14" customWidth="1"/>
    <col min="7" max="7" width="10.7109375" style="14" customWidth="1"/>
    <col min="8" max="8" width="16.5703125" style="14" customWidth="1"/>
    <col min="9" max="16384" width="9.140625" style="14"/>
  </cols>
  <sheetData>
    <row r="1" spans="1:8" s="58" customFormat="1" ht="30" customHeight="1" x14ac:dyDescent="0.25">
      <c r="A1" s="145" t="s">
        <v>0</v>
      </c>
      <c r="B1" s="145" t="s">
        <v>17</v>
      </c>
      <c r="C1" s="145" t="s">
        <v>170</v>
      </c>
      <c r="D1" s="145" t="s">
        <v>16</v>
      </c>
      <c r="E1" s="145" t="s">
        <v>18</v>
      </c>
      <c r="F1" s="145" t="s">
        <v>19</v>
      </c>
      <c r="G1" s="145" t="s">
        <v>171</v>
      </c>
      <c r="H1" s="155" t="s">
        <v>172</v>
      </c>
    </row>
    <row r="2" spans="1:8" s="144" customFormat="1" ht="24" customHeight="1" x14ac:dyDescent="0.2">
      <c r="A2" s="150"/>
      <c r="B2" s="146"/>
      <c r="C2" s="153">
        <f>SUBTOTAL(9,C3:C20)</f>
        <v>8.6000000000000014</v>
      </c>
      <c r="D2" s="153">
        <f>SUBTOTAL(9,$D$3:$D$20)</f>
        <v>36</v>
      </c>
      <c r="E2" s="153"/>
      <c r="F2" s="147">
        <f>SUBTOTAL(9,$F$3:$F$20)</f>
        <v>1509.4</v>
      </c>
      <c r="G2" s="147">
        <f t="shared" ref="G2:H2" si="0">SUBTOTAL(9,G3:G20)</f>
        <v>0</v>
      </c>
      <c r="H2" s="147">
        <f t="shared" si="0"/>
        <v>1509.4</v>
      </c>
    </row>
    <row r="3" spans="1:8" x14ac:dyDescent="0.25">
      <c r="A3" s="151">
        <v>1</v>
      </c>
      <c r="B3" s="148" t="s">
        <v>52</v>
      </c>
      <c r="C3" s="149">
        <f>VLOOKUP($B3,TVP!$C$5:$F$24,2,0)</f>
        <v>0.5</v>
      </c>
      <c r="D3" s="149">
        <v>2</v>
      </c>
      <c r="E3" s="149">
        <f>VLOOKUP($B3,TVP!$C$5:$F$24,4,0)</f>
        <v>45</v>
      </c>
      <c r="F3" s="154">
        <f>D3*E3</f>
        <v>90</v>
      </c>
      <c r="G3" s="41">
        <v>0</v>
      </c>
      <c r="H3" s="154">
        <f>F3-(G3*E3)</f>
        <v>90</v>
      </c>
    </row>
    <row r="4" spans="1:8" x14ac:dyDescent="0.25">
      <c r="A4" s="151">
        <v>2</v>
      </c>
      <c r="B4" s="148" t="s">
        <v>51</v>
      </c>
      <c r="C4" s="149">
        <f>VLOOKUP($B4,TVP!$C$5:$F$24,2,0)</f>
        <v>0.5</v>
      </c>
      <c r="D4" s="149">
        <v>2</v>
      </c>
      <c r="E4" s="149">
        <f>VLOOKUP($B4,TVP!$C$5:$F$24,4,0)</f>
        <v>54</v>
      </c>
      <c r="F4" s="154">
        <f t="shared" ref="F4:F20" si="1">D4*E4</f>
        <v>108</v>
      </c>
      <c r="G4" s="41">
        <v>0</v>
      </c>
      <c r="H4" s="154">
        <f t="shared" ref="H4:H20" si="2">F4-(G4*E4)</f>
        <v>108</v>
      </c>
    </row>
    <row r="5" spans="1:8" x14ac:dyDescent="0.25">
      <c r="A5" s="151">
        <v>3</v>
      </c>
      <c r="B5" s="148" t="s">
        <v>36</v>
      </c>
      <c r="C5" s="149">
        <f>VLOOKUP($B5,TVP!$C$5:$F$24,2,0)</f>
        <v>0.5</v>
      </c>
      <c r="D5" s="149">
        <v>2</v>
      </c>
      <c r="E5" s="149">
        <f>VLOOKUP($B5,TVP!$C$5:$F$24,4,0)</f>
        <v>55.5</v>
      </c>
      <c r="F5" s="154">
        <f t="shared" si="1"/>
        <v>111</v>
      </c>
      <c r="G5" s="41">
        <v>0</v>
      </c>
      <c r="H5" s="154">
        <f t="shared" si="2"/>
        <v>111</v>
      </c>
    </row>
    <row r="6" spans="1:8" x14ac:dyDescent="0.25">
      <c r="A6" s="151">
        <v>4</v>
      </c>
      <c r="B6" s="148" t="s">
        <v>37</v>
      </c>
      <c r="C6" s="149">
        <f>VLOOKUP($B6,TVP!$C$5:$F$24,2,0)</f>
        <v>0.5</v>
      </c>
      <c r="D6" s="149">
        <v>2</v>
      </c>
      <c r="E6" s="149">
        <f>VLOOKUP($B6,TVP!$C$5:$F$24,4,0)</f>
        <v>55.5</v>
      </c>
      <c r="F6" s="154">
        <f t="shared" si="1"/>
        <v>111</v>
      </c>
      <c r="G6" s="41">
        <v>0</v>
      </c>
      <c r="H6" s="154">
        <f t="shared" si="2"/>
        <v>111</v>
      </c>
    </row>
    <row r="7" spans="1:8" x14ac:dyDescent="0.25">
      <c r="A7" s="151">
        <v>5</v>
      </c>
      <c r="B7" s="148" t="s">
        <v>50</v>
      </c>
      <c r="C7" s="149">
        <f>VLOOKUP($B7,TVP!$C$5:$F$24,2,0)</f>
        <v>1</v>
      </c>
      <c r="D7" s="149">
        <v>2</v>
      </c>
      <c r="E7" s="149">
        <f>VLOOKUP($B7,TVP!$C$5:$F$24,4,0)</f>
        <v>102</v>
      </c>
      <c r="F7" s="154">
        <f t="shared" si="1"/>
        <v>204</v>
      </c>
      <c r="G7" s="41">
        <v>0</v>
      </c>
      <c r="H7" s="154">
        <f t="shared" si="2"/>
        <v>204</v>
      </c>
    </row>
    <row r="8" spans="1:8" x14ac:dyDescent="0.25">
      <c r="A8" s="151">
        <v>6</v>
      </c>
      <c r="B8" s="148" t="s">
        <v>38</v>
      </c>
      <c r="C8" s="149">
        <f>VLOOKUP($B8,TVP!$C$5:$F$24,2,0)</f>
        <v>0.5</v>
      </c>
      <c r="D8" s="149">
        <v>2</v>
      </c>
      <c r="E8" s="149">
        <f>VLOOKUP($B8,TVP!$C$5:$F$24,4,0)</f>
        <v>26.5</v>
      </c>
      <c r="F8" s="154">
        <f t="shared" si="1"/>
        <v>53</v>
      </c>
      <c r="G8" s="41">
        <v>0</v>
      </c>
      <c r="H8" s="154">
        <f t="shared" si="2"/>
        <v>53</v>
      </c>
    </row>
    <row r="9" spans="1:8" x14ac:dyDescent="0.25">
      <c r="A9" s="151">
        <v>7</v>
      </c>
      <c r="B9" s="148" t="s">
        <v>39</v>
      </c>
      <c r="C9" s="149">
        <f>VLOOKUP($B9,TVP!$C$5:$F$24,2,0)</f>
        <v>0.2</v>
      </c>
      <c r="D9" s="149">
        <v>2</v>
      </c>
      <c r="E9" s="149">
        <f>VLOOKUP($B9,TVP!$C$5:$F$24,4,0)</f>
        <v>11.2</v>
      </c>
      <c r="F9" s="154">
        <f t="shared" si="1"/>
        <v>22.4</v>
      </c>
      <c r="G9" s="41">
        <v>0</v>
      </c>
      <c r="H9" s="154">
        <f t="shared" si="2"/>
        <v>22.4</v>
      </c>
    </row>
    <row r="10" spans="1:8" x14ac:dyDescent="0.25">
      <c r="A10" s="151">
        <v>8</v>
      </c>
      <c r="B10" s="148" t="s">
        <v>40</v>
      </c>
      <c r="C10" s="149">
        <f>VLOOKUP($B10,TVP!$C$5:$F$24,2,0)</f>
        <v>0.5</v>
      </c>
      <c r="D10" s="149">
        <v>2</v>
      </c>
      <c r="E10" s="149">
        <f>VLOOKUP($B10,TVP!$C$5:$F$24,4,0)</f>
        <v>28.5</v>
      </c>
      <c r="F10" s="154">
        <f t="shared" si="1"/>
        <v>57</v>
      </c>
      <c r="G10" s="41">
        <v>0</v>
      </c>
      <c r="H10" s="154">
        <f t="shared" si="2"/>
        <v>57</v>
      </c>
    </row>
    <row r="11" spans="1:8" x14ac:dyDescent="0.25">
      <c r="A11" s="151">
        <v>9</v>
      </c>
      <c r="B11" s="148" t="s">
        <v>41</v>
      </c>
      <c r="C11" s="149">
        <f>VLOOKUP($B11,TVP!$C$5:$F$24,2,0)</f>
        <v>0.2</v>
      </c>
      <c r="D11" s="149">
        <v>2</v>
      </c>
      <c r="E11" s="149">
        <f>VLOOKUP($B11,TVP!$C$5:$F$24,4,0)</f>
        <v>12</v>
      </c>
      <c r="F11" s="154">
        <f t="shared" si="1"/>
        <v>24</v>
      </c>
      <c r="G11" s="41">
        <v>0</v>
      </c>
      <c r="H11" s="154">
        <f t="shared" si="2"/>
        <v>24</v>
      </c>
    </row>
    <row r="12" spans="1:8" x14ac:dyDescent="0.25">
      <c r="A12" s="151">
        <v>10</v>
      </c>
      <c r="B12" s="148" t="s">
        <v>42</v>
      </c>
      <c r="C12" s="149">
        <f>VLOOKUP($B12,TVP!$C$5:$F$24,2,0)</f>
        <v>0.5</v>
      </c>
      <c r="D12" s="149">
        <v>2</v>
      </c>
      <c r="E12" s="149">
        <f>VLOOKUP($B12,TVP!$C$5:$F$24,4,0)</f>
        <v>28.5</v>
      </c>
      <c r="F12" s="154">
        <f t="shared" si="1"/>
        <v>57</v>
      </c>
      <c r="G12" s="41">
        <v>0</v>
      </c>
      <c r="H12" s="154">
        <f t="shared" si="2"/>
        <v>57</v>
      </c>
    </row>
    <row r="13" spans="1:8" x14ac:dyDescent="0.25">
      <c r="A13" s="151">
        <v>11</v>
      </c>
      <c r="B13" s="148" t="s">
        <v>43</v>
      </c>
      <c r="C13" s="149">
        <f>VLOOKUP($B13,TVP!$C$5:$F$24,2,0)</f>
        <v>0.2</v>
      </c>
      <c r="D13" s="149">
        <v>2</v>
      </c>
      <c r="E13" s="149">
        <f>VLOOKUP($B13,TVP!$C$5:$F$24,4,0)</f>
        <v>12</v>
      </c>
      <c r="F13" s="154">
        <f t="shared" si="1"/>
        <v>24</v>
      </c>
      <c r="G13" s="41">
        <v>0</v>
      </c>
      <c r="H13" s="154">
        <f t="shared" si="2"/>
        <v>24</v>
      </c>
    </row>
    <row r="14" spans="1:8" x14ac:dyDescent="0.25">
      <c r="A14" s="151">
        <v>12</v>
      </c>
      <c r="B14" s="148" t="s">
        <v>67</v>
      </c>
      <c r="C14" s="149">
        <f>VLOOKUP($B14,TVP!$C$5:$F$24,2,0)</f>
        <v>0.5</v>
      </c>
      <c r="D14" s="149">
        <v>2</v>
      </c>
      <c r="E14" s="149">
        <f>VLOOKUP($B14,TVP!$C$5:$F$24,4,0)</f>
        <v>26.5</v>
      </c>
      <c r="F14" s="154">
        <f t="shared" si="1"/>
        <v>53</v>
      </c>
      <c r="G14" s="41">
        <v>0</v>
      </c>
      <c r="H14" s="154">
        <f t="shared" si="2"/>
        <v>53</v>
      </c>
    </row>
    <row r="15" spans="1:8" x14ac:dyDescent="0.25">
      <c r="A15" s="151">
        <v>13</v>
      </c>
      <c r="B15" s="148" t="s">
        <v>44</v>
      </c>
      <c r="C15" s="149">
        <f>VLOOKUP($B15,TVP!$C$5:$F$24,2,0)</f>
        <v>0.5</v>
      </c>
      <c r="D15" s="149">
        <v>2</v>
      </c>
      <c r="E15" s="149">
        <f>VLOOKUP($B15,TVP!$C$5:$F$24,4,0)</f>
        <v>36.5</v>
      </c>
      <c r="F15" s="154">
        <f t="shared" si="1"/>
        <v>73</v>
      </c>
      <c r="G15" s="41">
        <v>0</v>
      </c>
      <c r="H15" s="154">
        <f t="shared" si="2"/>
        <v>73</v>
      </c>
    </row>
    <row r="16" spans="1:8" x14ac:dyDescent="0.25">
      <c r="A16" s="151">
        <v>14</v>
      </c>
      <c r="B16" s="148" t="s">
        <v>48</v>
      </c>
      <c r="C16" s="149">
        <f>VLOOKUP($B16,TVP!$C$5:$F$24,2,0)</f>
        <v>0.5</v>
      </c>
      <c r="D16" s="149">
        <v>2</v>
      </c>
      <c r="E16" s="149">
        <f>VLOOKUP($B16,TVP!$C$5:$F$24,4,0)</f>
        <v>49</v>
      </c>
      <c r="F16" s="154">
        <f t="shared" si="1"/>
        <v>98</v>
      </c>
      <c r="G16" s="41">
        <v>0</v>
      </c>
      <c r="H16" s="154">
        <f t="shared" si="2"/>
        <v>98</v>
      </c>
    </row>
    <row r="17" spans="1:8" x14ac:dyDescent="0.25">
      <c r="A17" s="151">
        <v>15</v>
      </c>
      <c r="B17" s="148" t="s">
        <v>49</v>
      </c>
      <c r="C17" s="149">
        <f>VLOOKUP($B17,TVP!$C$5:$F$24,2,0)</f>
        <v>0.5</v>
      </c>
      <c r="D17" s="149">
        <v>2</v>
      </c>
      <c r="E17" s="149">
        <f>VLOOKUP($B17,TVP!$C$5:$F$24,4,0)</f>
        <v>43</v>
      </c>
      <c r="F17" s="154">
        <f t="shared" si="1"/>
        <v>86</v>
      </c>
      <c r="G17" s="41">
        <v>0</v>
      </c>
      <c r="H17" s="154">
        <f t="shared" si="2"/>
        <v>86</v>
      </c>
    </row>
    <row r="18" spans="1:8" x14ac:dyDescent="0.25">
      <c r="A18" s="151">
        <v>16</v>
      </c>
      <c r="B18" s="148" t="s">
        <v>45</v>
      </c>
      <c r="C18" s="149">
        <f>VLOOKUP($B18,TVP!$C$5:$F$24,2,0)</f>
        <v>0.5</v>
      </c>
      <c r="D18" s="149">
        <v>2</v>
      </c>
      <c r="E18" s="149">
        <f>VLOOKUP($B18,TVP!$C$5:$F$24,4,0)</f>
        <v>54</v>
      </c>
      <c r="F18" s="154">
        <f t="shared" si="1"/>
        <v>108</v>
      </c>
      <c r="G18" s="41">
        <v>0</v>
      </c>
      <c r="H18" s="154">
        <f t="shared" si="2"/>
        <v>108</v>
      </c>
    </row>
    <row r="19" spans="1:8" x14ac:dyDescent="0.25">
      <c r="A19" s="151">
        <v>17</v>
      </c>
      <c r="B19" s="148" t="s">
        <v>46</v>
      </c>
      <c r="C19" s="149">
        <f>VLOOKUP($B19,TVP!$C$5:$F$24,2,0)</f>
        <v>0.5</v>
      </c>
      <c r="D19" s="149">
        <v>2</v>
      </c>
      <c r="E19" s="149">
        <f>VLOOKUP($B19,TVP!$C$5:$F$24,4,0)</f>
        <v>49</v>
      </c>
      <c r="F19" s="154">
        <f t="shared" si="1"/>
        <v>98</v>
      </c>
      <c r="G19" s="41">
        <v>0</v>
      </c>
      <c r="H19" s="154">
        <f t="shared" si="2"/>
        <v>98</v>
      </c>
    </row>
    <row r="20" spans="1:8" x14ac:dyDescent="0.25">
      <c r="A20" s="151">
        <v>18</v>
      </c>
      <c r="B20" s="148" t="s">
        <v>47</v>
      </c>
      <c r="C20" s="149">
        <f>VLOOKUP($B20,TVP!$C$5:$F$24,2,0)</f>
        <v>0.5</v>
      </c>
      <c r="D20" s="149">
        <v>2</v>
      </c>
      <c r="E20" s="149">
        <f>VLOOKUP($B20,TVP!$C$5:$F$24,4,0)</f>
        <v>66</v>
      </c>
      <c r="F20" s="154">
        <f t="shared" si="1"/>
        <v>132</v>
      </c>
      <c r="G20" s="41">
        <v>0</v>
      </c>
      <c r="H20" s="154">
        <f t="shared" si="2"/>
        <v>132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A1:AF31"/>
  <sheetViews>
    <sheetView workbookViewId="0">
      <pane xSplit="3" ySplit="4" topLeftCell="K5" activePane="bottomRight" state="frozen"/>
      <selection pane="topRight" activeCell="D1" sqref="D1"/>
      <selection pane="bottomLeft" activeCell="A5" sqref="A5"/>
      <selection pane="bottomRight" activeCell="AF3" sqref="AF3:AF4"/>
    </sheetView>
  </sheetViews>
  <sheetFormatPr defaultRowHeight="15" x14ac:dyDescent="0.25"/>
  <cols>
    <col min="1" max="1" width="16.28515625" style="101" customWidth="1"/>
    <col min="2" max="2" width="7" style="101" customWidth="1"/>
    <col min="3" max="3" width="26.5703125" style="101" bestFit="1" customWidth="1"/>
    <col min="4" max="5" width="10" style="101" customWidth="1"/>
    <col min="6" max="6" width="11.85546875" style="101" customWidth="1"/>
    <col min="7" max="7" width="16.28515625" style="101" customWidth="1"/>
    <col min="8" max="8" width="14.85546875" style="101" customWidth="1"/>
    <col min="9" max="9" width="13.42578125" style="101" customWidth="1"/>
    <col min="10" max="10" width="16.85546875" style="101" hidden="1" customWidth="1"/>
    <col min="11" max="11" width="11.42578125" style="101" customWidth="1"/>
    <col min="12" max="13" width="16.28515625" style="101" hidden="1" customWidth="1"/>
    <col min="14" max="14" width="10.140625" style="101" bestFit="1" customWidth="1"/>
    <col min="15" max="15" width="12.5703125" style="101" customWidth="1"/>
    <col min="16" max="17" width="5.140625" style="101" customWidth="1"/>
    <col min="18" max="18" width="4.7109375" style="101" bestFit="1" customWidth="1"/>
    <col min="19" max="30" width="5.140625" style="101" customWidth="1"/>
    <col min="31" max="16384" width="9.140625" style="101"/>
  </cols>
  <sheetData>
    <row r="1" spans="1:32" hidden="1" x14ac:dyDescent="0.25">
      <c r="B1" s="165" t="s">
        <v>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02"/>
    </row>
    <row r="2" spans="1:32" ht="18.75" customHeight="1" x14ac:dyDescent="0.25">
      <c r="A2" s="1">
        <v>210</v>
      </c>
      <c r="J2" s="13">
        <f>SUMPRODUCT((D5:D19)*(E5:E19))</f>
        <v>191.5</v>
      </c>
      <c r="K2" s="13">
        <f>L4-J4</f>
        <v>3899.5</v>
      </c>
      <c r="L2" s="8">
        <f>L4/J4-1</f>
        <v>0.18856838898425976</v>
      </c>
      <c r="M2" s="8"/>
      <c r="P2" s="68"/>
    </row>
    <row r="3" spans="1:32" ht="31.5" customHeight="1" x14ac:dyDescent="0.25">
      <c r="A3" s="86" t="s">
        <v>127</v>
      </c>
      <c r="B3" s="3" t="s">
        <v>0</v>
      </c>
      <c r="C3" s="3" t="s">
        <v>17</v>
      </c>
      <c r="D3" s="126" t="s">
        <v>160</v>
      </c>
      <c r="E3" s="160" t="s">
        <v>159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122</v>
      </c>
      <c r="N3" s="35" t="s">
        <v>60</v>
      </c>
      <c r="O3" s="98" t="s">
        <v>149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  <c r="AF3" s="174"/>
    </row>
    <row r="4" spans="1:32" s="72" customFormat="1" ht="27" customHeight="1" x14ac:dyDescent="0.25">
      <c r="A4" s="81">
        <f ca="1">SUBTOTAL(9,A5:A220)</f>
        <v>13565.659056156719</v>
      </c>
      <c r="B4" s="19"/>
      <c r="C4" s="19"/>
      <c r="D4" s="19"/>
      <c r="E4" s="19">
        <f>SUBTOTAL(9,E5:E220)</f>
        <v>600</v>
      </c>
      <c r="F4" s="7"/>
      <c r="G4" s="7">
        <f>SUBTOTAL(9,G5:G181)</f>
        <v>20469.5</v>
      </c>
      <c r="H4" s="12"/>
      <c r="I4" s="12"/>
      <c r="J4" s="12">
        <f>SUBTOTAL(9,J5:J181)</f>
        <v>20679.5</v>
      </c>
      <c r="K4" s="119"/>
      <c r="L4" s="7">
        <f>SUBTOTAL(9,L5:L181)</f>
        <v>24579</v>
      </c>
      <c r="M4" s="7">
        <f ca="1">SUBTOTAL(9,M5:M181)</f>
        <v>6277</v>
      </c>
      <c r="N4" s="39">
        <f ca="1">SUBTOTAL(9,N5:N220)</f>
        <v>430</v>
      </c>
      <c r="O4" s="118">
        <f>SUBTOTAL(9,O5:O220)</f>
        <v>3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si="0"/>
        <v>7</v>
      </c>
      <c r="V4" s="40">
        <f t="shared" si="0"/>
        <v>3</v>
      </c>
      <c r="W4" s="40">
        <f t="shared" si="0"/>
        <v>17</v>
      </c>
      <c r="X4" s="40">
        <f t="shared" si="0"/>
        <v>24</v>
      </c>
      <c r="Y4" s="40">
        <f t="shared" si="0"/>
        <v>9</v>
      </c>
      <c r="Z4" s="40">
        <f t="shared" ca="1" si="0"/>
        <v>11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2" ht="18.75" x14ac:dyDescent="0.25">
      <c r="A5" s="101">
        <f ca="1">I5*N5</f>
        <v>363.69329978748868</v>
      </c>
      <c r="B5" s="6">
        <v>1</v>
      </c>
      <c r="C5" s="103" t="s">
        <v>52</v>
      </c>
      <c r="D5" s="104">
        <v>0.5</v>
      </c>
      <c r="E5" s="24">
        <v>16</v>
      </c>
      <c r="F5" s="105">
        <v>45</v>
      </c>
      <c r="G5" s="106">
        <f t="shared" ref="G5:G19" si="1">F5*E5</f>
        <v>720</v>
      </c>
      <c r="H5" s="107">
        <f t="shared" ref="H5:H24" si="2">((G5/$G$4)*$A$2)/E5</f>
        <v>0.46166247343608785</v>
      </c>
      <c r="I5" s="108">
        <f t="shared" ref="I5:I19" si="3">F5+H5</f>
        <v>45.461662473436085</v>
      </c>
      <c r="J5" s="108">
        <f>I5*E5</f>
        <v>727.38659957497737</v>
      </c>
      <c r="K5" s="109">
        <v>54</v>
      </c>
      <c r="L5" s="106">
        <f t="shared" ref="L5" si="4">K5*E5</f>
        <v>864</v>
      </c>
      <c r="M5" s="106">
        <f ca="1">SUMPRODUCT($K5*($P5:$AD5))</f>
        <v>432</v>
      </c>
      <c r="N5" s="110">
        <f ca="1">E5-SUM(P5:AD5)-O5</f>
        <v>8</v>
      </c>
      <c r="O5" s="100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v>2</v>
      </c>
      <c r="V5" s="41">
        <v>0</v>
      </c>
      <c r="W5" s="41">
        <v>1</v>
      </c>
      <c r="X5" s="41">
        <v>0</v>
      </c>
      <c r="Y5" s="41">
        <v>0</v>
      </c>
      <c r="Z5" s="41">
        <f ca="1">SUMIFS('Tổng Đơn'!$F:$F,'Tổng Đơn'!$B:$B,TVP!$C5)</f>
        <v>1</v>
      </c>
      <c r="AA5" s="41">
        <v>0</v>
      </c>
      <c r="AB5" s="41">
        <v>0</v>
      </c>
      <c r="AC5" s="41">
        <v>0</v>
      </c>
      <c r="AD5" s="41">
        <v>0</v>
      </c>
    </row>
    <row r="6" spans="1:32" ht="18.75" x14ac:dyDescent="0.25">
      <c r="A6" s="101">
        <f t="shared" ref="A6:A24" ca="1" si="5">I6*N6</f>
        <v>0</v>
      </c>
      <c r="B6" s="6">
        <v>2</v>
      </c>
      <c r="C6" s="103" t="s">
        <v>51</v>
      </c>
      <c r="D6" s="104">
        <v>0.5</v>
      </c>
      <c r="E6" s="24">
        <v>6</v>
      </c>
      <c r="F6" s="105">
        <v>54</v>
      </c>
      <c r="G6" s="106">
        <f t="shared" si="1"/>
        <v>324</v>
      </c>
      <c r="H6" s="107">
        <f t="shared" si="2"/>
        <v>0.5539949681233054</v>
      </c>
      <c r="I6" s="108">
        <f t="shared" si="3"/>
        <v>54.553994968123305</v>
      </c>
      <c r="J6" s="108">
        <f>I6*E6</f>
        <v>327.32396980873983</v>
      </c>
      <c r="K6" s="109">
        <v>65</v>
      </c>
      <c r="L6" s="106">
        <f t="shared" ref="L6:L24" si="6">K6*E6</f>
        <v>390</v>
      </c>
      <c r="M6" s="106">
        <f t="shared" ref="M6:M22" ca="1" si="7">SUMPRODUCT($K6*($P6:$AD6))</f>
        <v>390</v>
      </c>
      <c r="N6" s="110">
        <f t="shared" ref="N6:N24" ca="1" si="8">E6-SUM(P6:AD6)-O6</f>
        <v>0</v>
      </c>
      <c r="O6" s="100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v>1</v>
      </c>
      <c r="V6" s="41">
        <v>1</v>
      </c>
      <c r="W6" s="41">
        <v>0</v>
      </c>
      <c r="X6" s="41">
        <v>0</v>
      </c>
      <c r="Y6" s="41">
        <v>0</v>
      </c>
      <c r="Z6" s="41">
        <f ca="1">SUMIFS('Tổng Đơn'!$F:$F,'Tổng Đơn'!$B:$B,TVP!$C6)</f>
        <v>1</v>
      </c>
      <c r="AA6" s="41">
        <v>0</v>
      </c>
      <c r="AB6" s="41">
        <v>0</v>
      </c>
      <c r="AC6" s="41">
        <v>0</v>
      </c>
      <c r="AD6" s="41">
        <v>0</v>
      </c>
    </row>
    <row r="7" spans="1:32" ht="18.75" x14ac:dyDescent="0.25">
      <c r="A7" s="101">
        <f t="shared" ca="1" si="5"/>
        <v>224.27753486895136</v>
      </c>
      <c r="B7" s="6">
        <v>3</v>
      </c>
      <c r="C7" s="103" t="s">
        <v>36</v>
      </c>
      <c r="D7" s="104">
        <v>0.5</v>
      </c>
      <c r="E7" s="24">
        <v>6</v>
      </c>
      <c r="F7" s="105">
        <v>55.5</v>
      </c>
      <c r="G7" s="106">
        <f t="shared" si="1"/>
        <v>333</v>
      </c>
      <c r="H7" s="107">
        <f t="shared" si="2"/>
        <v>0.56938371723784165</v>
      </c>
      <c r="I7" s="108">
        <f t="shared" si="3"/>
        <v>56.069383717237841</v>
      </c>
      <c r="J7" s="108">
        <f t="shared" ref="J7:J19" si="9">I7*E7</f>
        <v>336.41630230342707</v>
      </c>
      <c r="K7" s="109">
        <v>66</v>
      </c>
      <c r="L7" s="106">
        <f t="shared" si="6"/>
        <v>396</v>
      </c>
      <c r="M7" s="106">
        <f t="shared" ca="1" si="7"/>
        <v>132</v>
      </c>
      <c r="N7" s="110">
        <f t="shared" ca="1" si="8"/>
        <v>4</v>
      </c>
      <c r="O7" s="100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v>0</v>
      </c>
      <c r="V7" s="41">
        <v>0</v>
      </c>
      <c r="W7" s="41">
        <v>0</v>
      </c>
      <c r="X7" s="41">
        <v>0</v>
      </c>
      <c r="Y7" s="41">
        <v>0</v>
      </c>
      <c r="Z7" s="41">
        <f ca="1">SUMIFS('Tổng Đơn'!$F:$F,'Tổng Đơn'!$B:$B,TVP!$C7)</f>
        <v>0</v>
      </c>
      <c r="AA7" s="41">
        <v>0</v>
      </c>
      <c r="AB7" s="41">
        <v>0</v>
      </c>
      <c r="AC7" s="41">
        <v>0</v>
      </c>
      <c r="AD7" s="41">
        <v>0</v>
      </c>
    </row>
    <row r="8" spans="1:32" ht="18.75" x14ac:dyDescent="0.25">
      <c r="A8" s="101">
        <f t="shared" ca="1" si="5"/>
        <v>841.04075575856757</v>
      </c>
      <c r="B8" s="6">
        <v>4</v>
      </c>
      <c r="C8" s="103" t="s">
        <v>37</v>
      </c>
      <c r="D8" s="104">
        <v>0.5</v>
      </c>
      <c r="E8" s="24">
        <v>30</v>
      </c>
      <c r="F8" s="105">
        <v>55.5</v>
      </c>
      <c r="G8" s="106">
        <f t="shared" si="1"/>
        <v>1665</v>
      </c>
      <c r="H8" s="107">
        <f t="shared" si="2"/>
        <v>0.56938371723784165</v>
      </c>
      <c r="I8" s="108">
        <f t="shared" si="3"/>
        <v>56.069383717237841</v>
      </c>
      <c r="J8" s="108">
        <f t="shared" si="9"/>
        <v>1682.0815115171351</v>
      </c>
      <c r="K8" s="109">
        <v>66</v>
      </c>
      <c r="L8" s="106">
        <f t="shared" si="6"/>
        <v>1980</v>
      </c>
      <c r="M8" s="106">
        <f t="shared" ca="1" si="7"/>
        <v>924</v>
      </c>
      <c r="N8" s="110">
        <f t="shared" ca="1" si="8"/>
        <v>15</v>
      </c>
      <c r="O8" s="100">
        <v>1</v>
      </c>
      <c r="P8" s="99">
        <v>0</v>
      </c>
      <c r="Q8" s="41">
        <v>1</v>
      </c>
      <c r="R8" s="41">
        <v>4</v>
      </c>
      <c r="S8" s="41">
        <v>3</v>
      </c>
      <c r="T8" s="41">
        <v>4</v>
      </c>
      <c r="U8" s="41">
        <v>0</v>
      </c>
      <c r="V8" s="41">
        <v>0</v>
      </c>
      <c r="W8" s="41">
        <v>0</v>
      </c>
      <c r="X8" s="41">
        <v>1</v>
      </c>
      <c r="Y8" s="41">
        <v>0</v>
      </c>
      <c r="Z8" s="41">
        <f ca="1">SUMIFS('Tổng Đơn'!$F:$F,'Tổng Đơn'!$B:$B,TVP!$C8)</f>
        <v>1</v>
      </c>
      <c r="AA8" s="41">
        <v>0</v>
      </c>
      <c r="AB8" s="41">
        <v>0</v>
      </c>
      <c r="AC8" s="41">
        <v>0</v>
      </c>
      <c r="AD8" s="41">
        <v>0</v>
      </c>
    </row>
    <row r="9" spans="1:32" ht="18.75" x14ac:dyDescent="0.25">
      <c r="A9" s="101">
        <f t="shared" ca="1" si="5"/>
        <v>1442.6500891570386</v>
      </c>
      <c r="B9" s="6">
        <v>5</v>
      </c>
      <c r="C9" s="103" t="s">
        <v>50</v>
      </c>
      <c r="D9" s="104">
        <v>1</v>
      </c>
      <c r="E9" s="24">
        <v>15</v>
      </c>
      <c r="F9" s="105">
        <v>102</v>
      </c>
      <c r="G9" s="106">
        <f t="shared" si="1"/>
        <v>1530</v>
      </c>
      <c r="H9" s="107">
        <f t="shared" si="2"/>
        <v>1.0464349397884658</v>
      </c>
      <c r="I9" s="108">
        <f t="shared" si="3"/>
        <v>103.04643493978847</v>
      </c>
      <c r="J9" s="108">
        <f>I9*E9</f>
        <v>1545.696524096827</v>
      </c>
      <c r="K9" s="109">
        <v>122</v>
      </c>
      <c r="L9" s="106">
        <f t="shared" si="6"/>
        <v>1830</v>
      </c>
      <c r="M9" s="106">
        <f t="shared" ca="1" si="7"/>
        <v>122</v>
      </c>
      <c r="N9" s="110">
        <f t="shared" ca="1" si="8"/>
        <v>14</v>
      </c>
      <c r="O9" s="100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f ca="1">SUMIFS('Tổng Đơn'!$F:$F,'Tổng Đơn'!$B:$B,TVP!$C9)</f>
        <v>0</v>
      </c>
      <c r="AA9" s="41">
        <v>0</v>
      </c>
      <c r="AB9" s="41">
        <v>0</v>
      </c>
      <c r="AC9" s="41">
        <v>0</v>
      </c>
      <c r="AD9" s="41">
        <v>0</v>
      </c>
    </row>
    <row r="10" spans="1:32" ht="18.75" x14ac:dyDescent="0.25">
      <c r="A10" s="101">
        <f t="shared" ca="1" si="5"/>
        <v>588.98109382251641</v>
      </c>
      <c r="B10" s="6">
        <v>6</v>
      </c>
      <c r="C10" s="103" t="s">
        <v>38</v>
      </c>
      <c r="D10" s="104">
        <v>0.5</v>
      </c>
      <c r="E10" s="24">
        <v>40</v>
      </c>
      <c r="F10" s="105">
        <v>26.5</v>
      </c>
      <c r="G10" s="106">
        <f t="shared" si="1"/>
        <v>1060</v>
      </c>
      <c r="H10" s="107">
        <f t="shared" si="2"/>
        <v>0.27186790102347397</v>
      </c>
      <c r="I10" s="108">
        <f t="shared" si="3"/>
        <v>26.771867901023473</v>
      </c>
      <c r="J10" s="108">
        <f t="shared" si="9"/>
        <v>1070.8747160409389</v>
      </c>
      <c r="K10" s="109">
        <v>32</v>
      </c>
      <c r="L10" s="106">
        <f t="shared" si="6"/>
        <v>1280</v>
      </c>
      <c r="M10" s="106">
        <f t="shared" ca="1" si="7"/>
        <v>576</v>
      </c>
      <c r="N10" s="110">
        <f t="shared" ca="1" si="8"/>
        <v>22</v>
      </c>
      <c r="O10" s="100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v>0</v>
      </c>
      <c r="V10" s="41">
        <v>0</v>
      </c>
      <c r="W10" s="41">
        <v>2</v>
      </c>
      <c r="X10" s="41">
        <v>5</v>
      </c>
      <c r="Y10" s="41">
        <v>1</v>
      </c>
      <c r="Z10" s="41">
        <f ca="1">SUMIFS('Tổng Đơn'!$F:$F,'Tổng Đơn'!$B:$B,TVP!$C10)</f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2" ht="18.75" x14ac:dyDescent="0.25">
      <c r="A11" s="101">
        <f t="shared" ca="1" si="5"/>
        <v>927.82201812452672</v>
      </c>
      <c r="B11" s="6">
        <v>7</v>
      </c>
      <c r="C11" s="103" t="s">
        <v>39</v>
      </c>
      <c r="D11" s="104">
        <v>0.2</v>
      </c>
      <c r="E11" s="24">
        <v>90</v>
      </c>
      <c r="F11" s="105">
        <v>11.2</v>
      </c>
      <c r="G11" s="106">
        <f t="shared" si="1"/>
        <v>1007.9999999999999</v>
      </c>
      <c r="H11" s="107">
        <f t="shared" si="2"/>
        <v>0.11490266005520407</v>
      </c>
      <c r="I11" s="108">
        <f t="shared" si="3"/>
        <v>11.314902660055203</v>
      </c>
      <c r="J11" s="108">
        <f t="shared" si="9"/>
        <v>1018.3412394049683</v>
      </c>
      <c r="K11" s="109">
        <v>14</v>
      </c>
      <c r="L11" s="106">
        <f t="shared" si="6"/>
        <v>1260</v>
      </c>
      <c r="M11" s="106">
        <f t="shared" ca="1" si="7"/>
        <v>112</v>
      </c>
      <c r="N11" s="110">
        <f t="shared" ca="1" si="8"/>
        <v>82</v>
      </c>
      <c r="O11" s="100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v>1</v>
      </c>
      <c r="V11" s="41">
        <v>0</v>
      </c>
      <c r="W11" s="41">
        <v>0</v>
      </c>
      <c r="X11" s="41">
        <v>0</v>
      </c>
      <c r="Y11" s="41">
        <v>0</v>
      </c>
      <c r="Z11" s="41">
        <f ca="1">SUMIFS('Tổng Đơn'!$F:$F,'Tổng Đơn'!$B:$B,TVP!$C11)</f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2" ht="18.75" x14ac:dyDescent="0.25">
      <c r="A12" s="101">
        <f t="shared" ca="1" si="5"/>
        <v>777.39442829575705</v>
      </c>
      <c r="B12" s="6">
        <v>8</v>
      </c>
      <c r="C12" s="103" t="s">
        <v>40</v>
      </c>
      <c r="D12" s="104">
        <v>0.5</v>
      </c>
      <c r="E12" s="24">
        <v>36</v>
      </c>
      <c r="F12" s="105">
        <v>28.5</v>
      </c>
      <c r="G12" s="106">
        <f t="shared" si="1"/>
        <v>1026</v>
      </c>
      <c r="H12" s="107">
        <f t="shared" si="2"/>
        <v>0.29238623317618895</v>
      </c>
      <c r="I12" s="108">
        <f t="shared" si="3"/>
        <v>28.792386233176188</v>
      </c>
      <c r="J12" s="108">
        <f t="shared" si="9"/>
        <v>1036.5259043943429</v>
      </c>
      <c r="K12" s="109">
        <v>34.5</v>
      </c>
      <c r="L12" s="106">
        <f t="shared" si="6"/>
        <v>1242</v>
      </c>
      <c r="M12" s="106">
        <f t="shared" ca="1" si="7"/>
        <v>310.5</v>
      </c>
      <c r="N12" s="110">
        <f t="shared" ca="1" si="8"/>
        <v>27</v>
      </c>
      <c r="O12" s="100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v>0</v>
      </c>
      <c r="V12" s="41">
        <v>1</v>
      </c>
      <c r="W12" s="41">
        <v>1</v>
      </c>
      <c r="X12" s="41">
        <v>1</v>
      </c>
      <c r="Y12" s="41">
        <v>0</v>
      </c>
      <c r="Z12" s="41">
        <f ca="1">SUMIFS('Tổng Đơn'!$F:$F,'Tổng Đơn'!$B:$B,TVP!$C12)</f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2" ht="18.75" x14ac:dyDescent="0.25">
      <c r="A13" s="101">
        <f t="shared" ca="1" si="5"/>
        <v>1054.7105693837173</v>
      </c>
      <c r="B13" s="6">
        <v>9</v>
      </c>
      <c r="C13" s="103" t="s">
        <v>41</v>
      </c>
      <c r="D13" s="104">
        <v>0.2</v>
      </c>
      <c r="E13" s="24">
        <v>90</v>
      </c>
      <c r="F13" s="105">
        <v>12</v>
      </c>
      <c r="G13" s="106">
        <f t="shared" si="1"/>
        <v>1080</v>
      </c>
      <c r="H13" s="107">
        <f t="shared" si="2"/>
        <v>0.12310999291629009</v>
      </c>
      <c r="I13" s="108">
        <f t="shared" si="3"/>
        <v>12.123109992916291</v>
      </c>
      <c r="J13" s="108">
        <f t="shared" si="9"/>
        <v>1091.0798993624662</v>
      </c>
      <c r="K13" s="109">
        <v>14</v>
      </c>
      <c r="L13" s="106">
        <f t="shared" si="6"/>
        <v>1260</v>
      </c>
      <c r="M13" s="106">
        <f t="shared" ca="1" si="7"/>
        <v>42</v>
      </c>
      <c r="N13" s="110">
        <f t="shared" ca="1" si="8"/>
        <v>87</v>
      </c>
      <c r="O13" s="100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f ca="1">SUMIFS('Tổng Đơn'!$F:$F,'Tổng Đơn'!$B:$B,TVP!$C13)</f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2" ht="18.75" x14ac:dyDescent="0.25">
      <c r="A14" s="101">
        <f t="shared" ca="1" si="5"/>
        <v>316.71624856493804</v>
      </c>
      <c r="B14" s="6">
        <v>10</v>
      </c>
      <c r="C14" s="103" t="s">
        <v>42</v>
      </c>
      <c r="D14" s="104">
        <v>0.5</v>
      </c>
      <c r="E14" s="24">
        <v>26</v>
      </c>
      <c r="F14" s="105">
        <v>28.5</v>
      </c>
      <c r="G14" s="106">
        <f t="shared" si="1"/>
        <v>741</v>
      </c>
      <c r="H14" s="107">
        <f t="shared" si="2"/>
        <v>0.29238623317618895</v>
      </c>
      <c r="I14" s="108">
        <f t="shared" si="3"/>
        <v>28.792386233176188</v>
      </c>
      <c r="J14" s="108">
        <f t="shared" si="9"/>
        <v>748.60204206258095</v>
      </c>
      <c r="K14" s="109">
        <v>34.5</v>
      </c>
      <c r="L14" s="106">
        <f t="shared" si="6"/>
        <v>897</v>
      </c>
      <c r="M14" s="106">
        <f t="shared" ca="1" si="7"/>
        <v>517.5</v>
      </c>
      <c r="N14" s="110">
        <f t="shared" ca="1" si="8"/>
        <v>11</v>
      </c>
      <c r="O14" s="100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v>3</v>
      </c>
      <c r="V14" s="41">
        <v>0</v>
      </c>
      <c r="W14" s="41">
        <v>1</v>
      </c>
      <c r="X14" s="41">
        <v>4</v>
      </c>
      <c r="Y14" s="41">
        <v>0</v>
      </c>
      <c r="Z14" s="41">
        <f ca="1">SUMIFS('Tổng Đơn'!$F:$F,'Tổng Đơn'!$B:$B,TVP!$C14)</f>
        <v>1</v>
      </c>
      <c r="AA14" s="41">
        <v>0</v>
      </c>
      <c r="AB14" s="41">
        <v>0</v>
      </c>
      <c r="AC14" s="41">
        <v>0</v>
      </c>
      <c r="AD14" s="41">
        <v>0</v>
      </c>
    </row>
    <row r="15" spans="1:32" ht="18.75" x14ac:dyDescent="0.25">
      <c r="A15" s="101">
        <f t="shared" ca="1" si="5"/>
        <v>121.23109992916291</v>
      </c>
      <c r="B15" s="6">
        <v>11</v>
      </c>
      <c r="C15" s="103" t="s">
        <v>43</v>
      </c>
      <c r="D15" s="104">
        <v>0.2</v>
      </c>
      <c r="E15" s="24">
        <v>15</v>
      </c>
      <c r="F15" s="105">
        <v>12</v>
      </c>
      <c r="G15" s="106">
        <f t="shared" si="1"/>
        <v>180</v>
      </c>
      <c r="H15" s="107">
        <f t="shared" si="2"/>
        <v>0.12310999291629009</v>
      </c>
      <c r="I15" s="108">
        <f t="shared" si="3"/>
        <v>12.123109992916291</v>
      </c>
      <c r="J15" s="108">
        <f t="shared" si="9"/>
        <v>181.84664989374437</v>
      </c>
      <c r="K15" s="109">
        <v>14</v>
      </c>
      <c r="L15" s="106">
        <f t="shared" si="6"/>
        <v>210</v>
      </c>
      <c r="M15" s="106">
        <f t="shared" ca="1" si="7"/>
        <v>56</v>
      </c>
      <c r="N15" s="110">
        <f t="shared" ca="1" si="8"/>
        <v>10</v>
      </c>
      <c r="O15" s="100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f ca="1">SUMIFS('Tổng Đơn'!$F:$F,'Tổng Đơn'!$B:$B,TVP!$C15)</f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2" ht="18.75" x14ac:dyDescent="0.25">
      <c r="A16" s="101">
        <f t="shared" ca="1" si="5"/>
        <v>776.38416912968069</v>
      </c>
      <c r="B16" s="6">
        <v>12</v>
      </c>
      <c r="C16" s="103" t="s">
        <v>67</v>
      </c>
      <c r="D16" s="104">
        <v>0.5</v>
      </c>
      <c r="E16" s="24">
        <v>40</v>
      </c>
      <c r="F16" s="105">
        <v>26.5</v>
      </c>
      <c r="G16" s="106">
        <f t="shared" si="1"/>
        <v>1060</v>
      </c>
      <c r="H16" s="107">
        <f t="shared" si="2"/>
        <v>0.27186790102347397</v>
      </c>
      <c r="I16" s="108">
        <f t="shared" si="3"/>
        <v>26.771867901023473</v>
      </c>
      <c r="J16" s="108">
        <f t="shared" si="9"/>
        <v>1070.8747160409389</v>
      </c>
      <c r="K16" s="109">
        <v>32</v>
      </c>
      <c r="L16" s="106">
        <f t="shared" si="6"/>
        <v>1280</v>
      </c>
      <c r="M16" s="106">
        <f t="shared" ca="1" si="7"/>
        <v>352</v>
      </c>
      <c r="N16" s="110">
        <f t="shared" ca="1" si="8"/>
        <v>29</v>
      </c>
      <c r="O16" s="100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v>0</v>
      </c>
      <c r="V16" s="41">
        <v>0</v>
      </c>
      <c r="W16" s="41">
        <v>0</v>
      </c>
      <c r="X16" s="41">
        <v>1</v>
      </c>
      <c r="Y16" s="41">
        <v>0</v>
      </c>
      <c r="Z16" s="41">
        <f ca="1">SUMIFS('Tổng Đơn'!$F:$F,'Tổng Đơn'!$B:$B,TVP!$C16)</f>
        <v>1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1">
        <f t="shared" ca="1" si="5"/>
        <v>848.11256992110214</v>
      </c>
      <c r="B17" s="6">
        <v>13</v>
      </c>
      <c r="C17" s="103" t="s">
        <v>44</v>
      </c>
      <c r="D17" s="104">
        <v>0.5</v>
      </c>
      <c r="E17" s="24">
        <v>25</v>
      </c>
      <c r="F17" s="105">
        <v>36.5</v>
      </c>
      <c r="G17" s="106">
        <f t="shared" si="1"/>
        <v>912.5</v>
      </c>
      <c r="H17" s="107">
        <f t="shared" si="2"/>
        <v>0.37445956178704903</v>
      </c>
      <c r="I17" s="108">
        <f t="shared" si="3"/>
        <v>36.874459561787049</v>
      </c>
      <c r="J17" s="108">
        <f t="shared" si="9"/>
        <v>921.8614890446762</v>
      </c>
      <c r="K17" s="109">
        <v>44</v>
      </c>
      <c r="L17" s="106">
        <f t="shared" si="6"/>
        <v>1100</v>
      </c>
      <c r="M17" s="106">
        <f t="shared" ca="1" si="7"/>
        <v>88</v>
      </c>
      <c r="N17" s="110">
        <f t="shared" ca="1" si="8"/>
        <v>23</v>
      </c>
      <c r="O17" s="100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v>0</v>
      </c>
      <c r="V17" s="41">
        <v>0</v>
      </c>
      <c r="W17" s="41">
        <v>0</v>
      </c>
      <c r="X17" s="41">
        <v>0</v>
      </c>
      <c r="Y17" s="41">
        <v>0</v>
      </c>
      <c r="Z17" s="41">
        <f ca="1">SUMIFS('Tổng Đơn'!$F:$F,'Tổng Đơn'!$B:$B,TVP!$C17)</f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1">
        <f t="shared" ca="1" si="5"/>
        <v>1039.5566818925718</v>
      </c>
      <c r="B18" s="6">
        <v>14</v>
      </c>
      <c r="C18" s="103" t="s">
        <v>48</v>
      </c>
      <c r="D18" s="104">
        <v>0.5</v>
      </c>
      <c r="E18" s="24">
        <v>25</v>
      </c>
      <c r="F18" s="105">
        <v>49</v>
      </c>
      <c r="G18" s="106">
        <f t="shared" si="1"/>
        <v>1225</v>
      </c>
      <c r="H18" s="107">
        <f t="shared" si="2"/>
        <v>0.50269913774151787</v>
      </c>
      <c r="I18" s="108">
        <f t="shared" si="3"/>
        <v>49.502699137741516</v>
      </c>
      <c r="J18" s="108">
        <f t="shared" si="9"/>
        <v>1237.567478443538</v>
      </c>
      <c r="K18" s="109">
        <v>59</v>
      </c>
      <c r="L18" s="106">
        <f t="shared" si="6"/>
        <v>1475</v>
      </c>
      <c r="M18" s="106">
        <f t="shared" ca="1" si="7"/>
        <v>236</v>
      </c>
      <c r="N18" s="110">
        <f t="shared" ca="1" si="8"/>
        <v>21</v>
      </c>
      <c r="O18" s="100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f ca="1">SUMIFS('Tổng Đơn'!$F:$F,'Tổng Đơn'!$B:$B,TVP!$C18)</f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1">
        <f t="shared" ca="1" si="5"/>
        <v>651.61716211925057</v>
      </c>
      <c r="B19" s="6">
        <v>15</v>
      </c>
      <c r="C19" s="103" t="s">
        <v>49</v>
      </c>
      <c r="D19" s="104">
        <v>0.5</v>
      </c>
      <c r="E19" s="24">
        <v>25</v>
      </c>
      <c r="F19" s="105">
        <v>43</v>
      </c>
      <c r="G19" s="106">
        <f t="shared" si="1"/>
        <v>1075</v>
      </c>
      <c r="H19" s="107">
        <f t="shared" si="2"/>
        <v>0.44114414128337287</v>
      </c>
      <c r="I19" s="108">
        <f t="shared" si="3"/>
        <v>43.441144141283374</v>
      </c>
      <c r="J19" s="108">
        <f t="shared" si="9"/>
        <v>1086.0286035320844</v>
      </c>
      <c r="K19" s="109">
        <v>52</v>
      </c>
      <c r="L19" s="106">
        <f t="shared" si="6"/>
        <v>1300</v>
      </c>
      <c r="M19" s="106">
        <f t="shared" ca="1" si="7"/>
        <v>520</v>
      </c>
      <c r="N19" s="110">
        <f t="shared" ca="1" si="8"/>
        <v>15</v>
      </c>
      <c r="O19" s="100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v>0</v>
      </c>
      <c r="V19" s="41">
        <v>1</v>
      </c>
      <c r="W19" s="41">
        <v>1</v>
      </c>
      <c r="X19" s="41">
        <v>1</v>
      </c>
      <c r="Y19" s="41">
        <v>0</v>
      </c>
      <c r="Z19" s="41">
        <f ca="1">SUMIFS('Tổng Đơn'!$F:$F,'Tổng Đơn'!$B:$B,TVP!$C19)</f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1">
        <f t="shared" ca="1" si="5"/>
        <v>272.76997484061656</v>
      </c>
      <c r="B20" s="6">
        <v>16</v>
      </c>
      <c r="C20" s="103" t="s">
        <v>45</v>
      </c>
      <c r="D20" s="104">
        <v>0.5</v>
      </c>
      <c r="E20" s="24">
        <v>10</v>
      </c>
      <c r="F20" s="105">
        <v>54</v>
      </c>
      <c r="G20" s="106">
        <f>F20*E20</f>
        <v>540</v>
      </c>
      <c r="H20" s="107">
        <f t="shared" si="2"/>
        <v>0.5539949681233054</v>
      </c>
      <c r="I20" s="108">
        <f>F20+H20</f>
        <v>54.553994968123305</v>
      </c>
      <c r="J20" s="108">
        <f>I20*E20</f>
        <v>545.53994968123311</v>
      </c>
      <c r="K20" s="109">
        <v>65</v>
      </c>
      <c r="L20" s="106">
        <f t="shared" si="6"/>
        <v>650</v>
      </c>
      <c r="M20" s="106">
        <f t="shared" ca="1" si="7"/>
        <v>325</v>
      </c>
      <c r="N20" s="110">
        <f t="shared" ca="1" si="8"/>
        <v>5</v>
      </c>
      <c r="O20" s="100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v>0</v>
      </c>
      <c r="V20" s="41">
        <v>0</v>
      </c>
      <c r="W20" s="41">
        <v>0</v>
      </c>
      <c r="X20" s="41">
        <v>0</v>
      </c>
      <c r="Y20" s="41">
        <v>0</v>
      </c>
      <c r="Z20" s="41">
        <f ca="1">SUMIFS('Tổng Đơn'!$F:$F,'Tổng Đơn'!$B:$B,TVP!$C20)</f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1">
        <f t="shared" ca="1" si="5"/>
        <v>792.04318620386425</v>
      </c>
      <c r="B21" s="6">
        <v>17</v>
      </c>
      <c r="C21" s="103" t="s">
        <v>46</v>
      </c>
      <c r="D21" s="104">
        <v>0.5</v>
      </c>
      <c r="E21" s="24">
        <v>30</v>
      </c>
      <c r="F21" s="105">
        <v>49</v>
      </c>
      <c r="G21" s="106">
        <f>F21*E21</f>
        <v>1470</v>
      </c>
      <c r="H21" s="107">
        <f t="shared" si="2"/>
        <v>0.50269913774151787</v>
      </c>
      <c r="I21" s="108">
        <f>F21+H21</f>
        <v>49.502699137741516</v>
      </c>
      <c r="J21" s="108">
        <f>I21*E21</f>
        <v>1485.0809741322455</v>
      </c>
      <c r="K21" s="109">
        <v>59</v>
      </c>
      <c r="L21" s="106">
        <f t="shared" si="6"/>
        <v>1770</v>
      </c>
      <c r="M21" s="106">
        <f t="shared" ca="1" si="7"/>
        <v>826</v>
      </c>
      <c r="N21" s="110">
        <f t="shared" ca="1" si="8"/>
        <v>16</v>
      </c>
      <c r="O21" s="100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v>0</v>
      </c>
      <c r="V21" s="41">
        <v>0</v>
      </c>
      <c r="W21" s="41">
        <v>1</v>
      </c>
      <c r="X21" s="41">
        <v>2</v>
      </c>
      <c r="Y21" s="41">
        <v>2</v>
      </c>
      <c r="Z21" s="41">
        <f ca="1">SUMIFS('Tổng Đơn'!$F:$F,'Tổng Đơn'!$B:$B,TVP!$C21)</f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8.75" x14ac:dyDescent="0.25">
      <c r="A22" s="101">
        <f t="shared" ca="1" si="5"/>
        <v>733.44815457143545</v>
      </c>
      <c r="B22" s="6">
        <v>18</v>
      </c>
      <c r="C22" s="103" t="s">
        <v>47</v>
      </c>
      <c r="D22" s="104">
        <v>0.5</v>
      </c>
      <c r="E22" s="24">
        <v>15</v>
      </c>
      <c r="F22" s="105">
        <v>66</v>
      </c>
      <c r="G22" s="106">
        <f>F22*E22</f>
        <v>990</v>
      </c>
      <c r="H22" s="107">
        <f t="shared" si="2"/>
        <v>0.67710496103959561</v>
      </c>
      <c r="I22" s="108">
        <f>F22+H22</f>
        <v>66.677104961039589</v>
      </c>
      <c r="J22" s="108">
        <f>I22*E22</f>
        <v>1000.1565744155938</v>
      </c>
      <c r="K22" s="109">
        <v>79</v>
      </c>
      <c r="L22" s="106">
        <f t="shared" si="6"/>
        <v>1185</v>
      </c>
      <c r="M22" s="106">
        <f t="shared" ca="1" si="7"/>
        <v>316</v>
      </c>
      <c r="N22" s="110">
        <f t="shared" ca="1" si="8"/>
        <v>11</v>
      </c>
      <c r="O22" s="100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v>0</v>
      </c>
      <c r="V22" s="41">
        <v>0</v>
      </c>
      <c r="W22" s="41">
        <v>0</v>
      </c>
      <c r="X22" s="41">
        <v>2</v>
      </c>
      <c r="Y22" s="41">
        <v>0</v>
      </c>
      <c r="Z22" s="41">
        <f ca="1">SUMIFS('Tổng Đơn'!$F:$F,'Tổng Đơn'!$B:$B,TVP!$C22)</f>
        <v>0</v>
      </c>
      <c r="AA22" s="41">
        <v>0</v>
      </c>
      <c r="AB22" s="41">
        <v>0</v>
      </c>
      <c r="AC22" s="41">
        <v>0</v>
      </c>
      <c r="AD22" s="41">
        <v>0</v>
      </c>
    </row>
    <row r="23" spans="1:30" ht="18.75" x14ac:dyDescent="0.25">
      <c r="A23" s="101">
        <f t="shared" ca="1" si="5"/>
        <v>1347.685727545861</v>
      </c>
      <c r="B23" s="6">
        <v>19</v>
      </c>
      <c r="C23" s="103" t="s">
        <v>166</v>
      </c>
      <c r="D23" s="104">
        <v>0.5</v>
      </c>
      <c r="E23" s="24">
        <v>50</v>
      </c>
      <c r="F23" s="105">
        <v>58</v>
      </c>
      <c r="G23" s="106">
        <f>F23*E23</f>
        <v>2900</v>
      </c>
      <c r="H23" s="107">
        <f t="shared" si="2"/>
        <v>0.59503163242873547</v>
      </c>
      <c r="I23" s="108">
        <f>F23+H23</f>
        <v>58.595031632428736</v>
      </c>
      <c r="J23" s="108">
        <f>I23*E23</f>
        <v>2929.7515816214368</v>
      </c>
      <c r="K23" s="109">
        <v>69</v>
      </c>
      <c r="L23" s="106">
        <f t="shared" si="6"/>
        <v>3450</v>
      </c>
      <c r="M23" s="106"/>
      <c r="N23" s="110">
        <f t="shared" ca="1" si="8"/>
        <v>23</v>
      </c>
      <c r="O23" s="100">
        <v>1</v>
      </c>
      <c r="P23" s="41"/>
      <c r="Q23" s="41"/>
      <c r="R23" s="41"/>
      <c r="S23" s="41"/>
      <c r="T23" s="41"/>
      <c r="U23" s="41"/>
      <c r="V23" s="41"/>
      <c r="W23" s="41">
        <v>10</v>
      </c>
      <c r="X23" s="41">
        <v>7</v>
      </c>
      <c r="Y23" s="41">
        <v>6</v>
      </c>
      <c r="Z23" s="41">
        <f ca="1">SUMIFS('Tổng Đơn'!$F:$F,'Tổng Đơn'!$B:$B,TVP!$C23)</f>
        <v>3</v>
      </c>
      <c r="AA23" s="41">
        <v>0</v>
      </c>
      <c r="AB23" s="41">
        <v>0</v>
      </c>
      <c r="AC23" s="41">
        <v>0</v>
      </c>
      <c r="AD23" s="41">
        <v>0</v>
      </c>
    </row>
    <row r="24" spans="1:30" ht="18.75" x14ac:dyDescent="0.25">
      <c r="A24" s="101">
        <f t="shared" ca="1" si="5"/>
        <v>445.52429223967368</v>
      </c>
      <c r="B24" s="6">
        <v>20</v>
      </c>
      <c r="C24" s="103" t="s">
        <v>168</v>
      </c>
      <c r="D24" s="104">
        <v>0.5</v>
      </c>
      <c r="E24" s="24">
        <v>10</v>
      </c>
      <c r="F24" s="105">
        <v>63</v>
      </c>
      <c r="G24" s="106">
        <f>F24*E24</f>
        <v>630</v>
      </c>
      <c r="H24" s="107">
        <f t="shared" si="2"/>
        <v>0.64632746281052289</v>
      </c>
      <c r="I24" s="108">
        <f>F24+H24</f>
        <v>63.646327462810525</v>
      </c>
      <c r="J24" s="108">
        <f>I24*E24</f>
        <v>636.4632746281053</v>
      </c>
      <c r="K24" s="109">
        <v>76</v>
      </c>
      <c r="L24" s="106">
        <f t="shared" si="6"/>
        <v>760</v>
      </c>
      <c r="M24" s="106"/>
      <c r="N24" s="110">
        <f t="shared" ca="1" si="8"/>
        <v>7</v>
      </c>
      <c r="O24" s="100"/>
      <c r="P24" s="41"/>
      <c r="Q24" s="41"/>
      <c r="R24" s="41"/>
      <c r="S24" s="41"/>
      <c r="T24" s="41"/>
      <c r="U24" s="41"/>
      <c r="V24" s="41"/>
      <c r="W24" s="41">
        <v>0</v>
      </c>
      <c r="X24" s="41">
        <v>0</v>
      </c>
      <c r="Y24" s="41">
        <v>0</v>
      </c>
      <c r="Z24" s="41">
        <f ca="1">SUMIFS('Tổng Đơn'!$F:$F,'Tổng Đơn'!$B:$B,TVP!$C24)</f>
        <v>3</v>
      </c>
      <c r="AA24" s="41">
        <v>0</v>
      </c>
      <c r="AB24" s="41">
        <v>0</v>
      </c>
      <c r="AC24" s="41">
        <v>0</v>
      </c>
      <c r="AD24" s="41">
        <v>0</v>
      </c>
    </row>
    <row r="31" spans="1:30" x14ac:dyDescent="0.25">
      <c r="O31" s="142"/>
    </row>
  </sheetData>
  <autoFilter ref="B4:L4"/>
  <mergeCells count="1">
    <mergeCell ref="B1:L1"/>
  </mergeCells>
  <conditionalFormatting sqref="C5:C21">
    <cfRule type="expression" dxfId="110" priority="5">
      <formula>($N5/$E5)&lt;=1/4</formula>
    </cfRule>
  </conditionalFormatting>
  <conditionalFormatting sqref="C22:C24">
    <cfRule type="expression" dxfId="109" priority="1">
      <formula>($N22/$E22)&lt;=1/4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H18"/>
  <sheetViews>
    <sheetView topLeftCell="A2" workbookViewId="0">
      <pane xSplit="15" ySplit="3" topLeftCell="AE5" activePane="bottomRight" state="frozen"/>
      <selection activeCell="A2" sqref="A2"/>
      <selection pane="topRight" activeCell="P2" sqref="P2"/>
      <selection pane="bottomLeft" activeCell="A5" sqref="A5"/>
      <selection pane="bottomRight" activeCell="O5" sqref="O5"/>
    </sheetView>
  </sheetViews>
  <sheetFormatPr defaultRowHeight="15" x14ac:dyDescent="0.25"/>
  <cols>
    <col min="1" max="1" width="16.28515625" style="101" customWidth="1"/>
    <col min="2" max="2" width="9.140625" style="101"/>
    <col min="3" max="3" width="38.7109375" style="101" customWidth="1"/>
    <col min="4" max="4" width="9" style="101" customWidth="1"/>
    <col min="5" max="5" width="7.140625" style="101" customWidth="1"/>
    <col min="6" max="6" width="9.85546875" style="101" customWidth="1"/>
    <col min="7" max="8" width="12.85546875" style="101" hidden="1" customWidth="1"/>
    <col min="9" max="9" width="14.85546875" style="101" customWidth="1"/>
    <col min="10" max="10" width="12.7109375" style="101" customWidth="1"/>
    <col min="11" max="11" width="14.85546875" style="101" hidden="1" customWidth="1"/>
    <col min="12" max="12" width="12" style="101" customWidth="1"/>
    <col min="13" max="14" width="16.28515625" style="101" hidden="1" customWidth="1"/>
    <col min="15" max="15" width="9.140625" style="101"/>
    <col min="16" max="16" width="13.140625" style="101" customWidth="1"/>
    <col min="17" max="18" width="4.5703125" style="101" customWidth="1"/>
    <col min="19" max="19" width="4.7109375" style="101" bestFit="1" customWidth="1"/>
    <col min="20" max="31" width="4.5703125" style="101" customWidth="1"/>
    <col min="32" max="32" width="9.140625" style="101"/>
    <col min="33" max="33" width="10.28515625" style="101" bestFit="1" customWidth="1"/>
    <col min="34" max="16384" width="9.140625" style="101"/>
  </cols>
  <sheetData>
    <row r="1" spans="1:34" hidden="1" x14ac:dyDescent="0.25">
      <c r="B1" s="165" t="s">
        <v>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02"/>
    </row>
    <row r="2" spans="1:34" ht="34.5" customHeight="1" x14ac:dyDescent="0.25">
      <c r="A2" s="1">
        <f>370+100+80</f>
        <v>550</v>
      </c>
      <c r="K2" s="13">
        <f>SUMPRODUCT((E5:E18)*(F5:F18))</f>
        <v>288</v>
      </c>
      <c r="L2" s="13">
        <f>M4-K4</f>
        <v>3203.5</v>
      </c>
      <c r="M2" s="8">
        <f>M4/K4-1</f>
        <v>0.15441158749668626</v>
      </c>
      <c r="N2" s="8"/>
      <c r="AH2" s="101">
        <f>AG4+5920</f>
        <v>13452</v>
      </c>
    </row>
    <row r="3" spans="1:34" ht="31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5" t="s">
        <v>160</v>
      </c>
      <c r="F3" s="161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8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4" s="72" customFormat="1" ht="27" customHeight="1" x14ac:dyDescent="0.25">
      <c r="A4" s="81">
        <f ca="1">SUBTOTAL(9,A5:A218)</f>
        <v>13289.98235399698</v>
      </c>
      <c r="B4" s="19"/>
      <c r="C4" s="19"/>
      <c r="D4" s="73"/>
      <c r="E4" s="19">
        <f>SUMPRODUCT((E5:E178)*(F5:F178))</f>
        <v>288</v>
      </c>
      <c r="F4" s="19">
        <f>SUBTOTAL(9,F5:F168)</f>
        <v>594</v>
      </c>
      <c r="G4" s="7"/>
      <c r="H4" s="7">
        <f>SUBTOTAL(9,H5:H168)</f>
        <v>20196.5</v>
      </c>
      <c r="I4" s="12"/>
      <c r="J4" s="12"/>
      <c r="K4" s="12">
        <f>SUBTOTAL(9,K5:K168)</f>
        <v>20746.5</v>
      </c>
      <c r="L4" s="74"/>
      <c r="M4" s="7">
        <f>SUBTOTAL(9,M5:M168)</f>
        <v>23950</v>
      </c>
      <c r="N4" s="7">
        <f ca="1">SUBTOTAL(9,N5:N168)+SUM(Q2:AE2)</f>
        <v>8827</v>
      </c>
      <c r="O4" s="75">
        <f ca="1">SUBTOTAL(9,O5:O168)</f>
        <v>364</v>
      </c>
      <c r="P4" s="118">
        <f>SUBTOTAL(9,P5:P218)</f>
        <v>2</v>
      </c>
      <c r="Q4" s="40">
        <f t="shared" ref="Q4:AE4" si="0">SUBTOTAL(9,Q5:Q168)</f>
        <v>0</v>
      </c>
      <c r="R4" s="40">
        <f t="shared" si="0"/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si="0"/>
        <v>13</v>
      </c>
      <c r="W4" s="40">
        <f t="shared" si="0"/>
        <v>19</v>
      </c>
      <c r="X4" s="40">
        <f t="shared" si="0"/>
        <v>25</v>
      </c>
      <c r="Y4" s="40">
        <f t="shared" si="0"/>
        <v>24</v>
      </c>
      <c r="Z4" s="40">
        <f t="shared" si="0"/>
        <v>22</v>
      </c>
      <c r="AA4" s="40">
        <f t="shared" ca="1" si="0"/>
        <v>6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2">
        <f>SUBTOTAL(9,AG5:AG178)</f>
        <v>7532</v>
      </c>
    </row>
    <row r="5" spans="1:34" ht="18.75" x14ac:dyDescent="0.25">
      <c r="A5" s="101">
        <f ca="1">J5*O5</f>
        <v>64.715643799668257</v>
      </c>
      <c r="B5" s="6">
        <v>1</v>
      </c>
      <c r="C5" s="103" t="s">
        <v>164</v>
      </c>
      <c r="D5" s="111">
        <f>G5*2</f>
        <v>63</v>
      </c>
      <c r="E5" s="104">
        <v>0.5</v>
      </c>
      <c r="F5" s="103">
        <v>40</v>
      </c>
      <c r="G5" s="105">
        <v>31.5</v>
      </c>
      <c r="H5" s="106">
        <f t="shared" ref="H5:H18" si="1">G5*F5</f>
        <v>1260</v>
      </c>
      <c r="I5" s="107">
        <f t="shared" ref="I5:I18" si="2">((H5/$H$4)*$A$2)/F5</f>
        <v>0.85782189983412971</v>
      </c>
      <c r="J5" s="108">
        <f t="shared" ref="J5:J17" si="3">G5+I5</f>
        <v>32.357821899834128</v>
      </c>
      <c r="K5" s="108">
        <f>J5*F5</f>
        <v>1294.3128759933652</v>
      </c>
      <c r="L5" s="112">
        <v>45</v>
      </c>
      <c r="M5" s="106">
        <f t="shared" ref="M5:M18" si="4">L5*F5</f>
        <v>1800</v>
      </c>
      <c r="N5" s="106">
        <f ca="1">SUMPRODUCT(($Q5:$AE5)*$L5)</f>
        <v>1665</v>
      </c>
      <c r="O5" s="113">
        <f ca="1">F5-SUM(Q5:AE5)-P5</f>
        <v>2</v>
      </c>
      <c r="P5" s="100">
        <v>1</v>
      </c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v>1</v>
      </c>
      <c r="W5" s="41">
        <v>1</v>
      </c>
      <c r="X5" s="41">
        <v>4</v>
      </c>
      <c r="Y5" s="41">
        <v>6</v>
      </c>
      <c r="Z5" s="41">
        <v>8</v>
      </c>
      <c r="AA5" s="41">
        <f ca="1">SUMIFS('Tổng Đơn'!$F:$F,'Tổng Đơn'!$B:$B,'La Cusina'!$C5)</f>
        <v>2</v>
      </c>
      <c r="AB5" s="41">
        <v>0</v>
      </c>
      <c r="AC5" s="41">
        <v>0</v>
      </c>
      <c r="AD5" s="41">
        <v>0</v>
      </c>
      <c r="AE5" s="41">
        <v>0</v>
      </c>
      <c r="AF5" s="101">
        <v>100</v>
      </c>
      <c r="AG5" s="101">
        <f>AF5*G5</f>
        <v>3150</v>
      </c>
    </row>
    <row r="6" spans="1:34" ht="18.75" x14ac:dyDescent="0.25">
      <c r="A6" s="101">
        <f t="shared" ref="A6:A18" ca="1" si="5">J6*O6</f>
        <v>361.58581932513061</v>
      </c>
      <c r="B6" s="6">
        <v>2</v>
      </c>
      <c r="C6" s="103" t="s">
        <v>25</v>
      </c>
      <c r="D6" s="111">
        <f t="shared" ref="D6:D17" si="6">G6*2</f>
        <v>44</v>
      </c>
      <c r="E6" s="104">
        <v>0.5</v>
      </c>
      <c r="F6" s="103">
        <v>40</v>
      </c>
      <c r="G6" s="105">
        <v>22</v>
      </c>
      <c r="H6" s="106">
        <f t="shared" si="1"/>
        <v>880</v>
      </c>
      <c r="I6" s="107">
        <f t="shared" si="2"/>
        <v>0.59911370782066198</v>
      </c>
      <c r="J6" s="108">
        <f t="shared" si="3"/>
        <v>22.599113707820663</v>
      </c>
      <c r="K6" s="108">
        <f t="shared" ref="K6:K17" si="7">J6*F6</f>
        <v>903.96454831282654</v>
      </c>
      <c r="L6" s="112">
        <v>27</v>
      </c>
      <c r="M6" s="106">
        <f t="shared" si="4"/>
        <v>1080</v>
      </c>
      <c r="N6" s="106">
        <f t="shared" ref="N6:N18" ca="1" si="8">SUMPRODUCT(($Q6:$AE6)*$L6)</f>
        <v>648</v>
      </c>
      <c r="O6" s="113">
        <f t="shared" ref="O6:O18" ca="1" si="9">F6-SUM(Q6:AE6)-P6</f>
        <v>16</v>
      </c>
      <c r="P6" s="100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v>2</v>
      </c>
      <c r="W6" s="41">
        <v>3</v>
      </c>
      <c r="X6" s="41">
        <v>1</v>
      </c>
      <c r="Y6" s="41">
        <v>1</v>
      </c>
      <c r="Z6" s="41">
        <v>0</v>
      </c>
      <c r="AA6" s="41">
        <f ca="1">SUMIFS('Tổng Đơn'!$F:$F,'Tổng Đơn'!$B:$B,'La Cusina'!$C6)</f>
        <v>0</v>
      </c>
      <c r="AB6" s="41">
        <v>0</v>
      </c>
      <c r="AC6" s="41">
        <v>0</v>
      </c>
      <c r="AD6" s="41">
        <v>0</v>
      </c>
      <c r="AE6" s="41">
        <v>0</v>
      </c>
      <c r="AG6" s="101">
        <f t="shared" ref="AG6:AG18" si="10">AF6*G6</f>
        <v>0</v>
      </c>
    </row>
    <row r="7" spans="1:34" ht="18.75" x14ac:dyDescent="0.25">
      <c r="A7" s="101">
        <f t="shared" ca="1" si="5"/>
        <v>1775.0576585051865</v>
      </c>
      <c r="B7" s="6">
        <v>3</v>
      </c>
      <c r="C7" s="103" t="s">
        <v>30</v>
      </c>
      <c r="D7" s="111">
        <f t="shared" si="6"/>
        <v>64</v>
      </c>
      <c r="E7" s="104">
        <v>0.5</v>
      </c>
      <c r="F7" s="103">
        <v>80</v>
      </c>
      <c r="G7" s="105">
        <v>32</v>
      </c>
      <c r="H7" s="106">
        <f t="shared" si="1"/>
        <v>2560</v>
      </c>
      <c r="I7" s="107">
        <f t="shared" si="2"/>
        <v>0.87143812046641744</v>
      </c>
      <c r="J7" s="108">
        <f t="shared" si="3"/>
        <v>32.871438120466415</v>
      </c>
      <c r="K7" s="108">
        <f t="shared" si="7"/>
        <v>2629.7150496373133</v>
      </c>
      <c r="L7" s="112">
        <v>38</v>
      </c>
      <c r="M7" s="106">
        <f t="shared" si="4"/>
        <v>3040</v>
      </c>
      <c r="N7" s="106">
        <f t="shared" ca="1" si="8"/>
        <v>950</v>
      </c>
      <c r="O7" s="113">
        <f t="shared" ca="1" si="9"/>
        <v>54</v>
      </c>
      <c r="P7" s="100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v>1</v>
      </c>
      <c r="W7" s="41">
        <v>1</v>
      </c>
      <c r="X7" s="41">
        <v>1</v>
      </c>
      <c r="Y7" s="41">
        <v>1</v>
      </c>
      <c r="Z7" s="41">
        <v>2</v>
      </c>
      <c r="AA7" s="41">
        <f ca="1">SUMIFS('Tổng Đơn'!$F:$F,'Tổng Đơn'!$B:$B,'La Cusina'!$C7)</f>
        <v>1</v>
      </c>
      <c r="AB7" s="41">
        <v>0</v>
      </c>
      <c r="AC7" s="41">
        <v>0</v>
      </c>
      <c r="AD7" s="41">
        <v>0</v>
      </c>
      <c r="AE7" s="41">
        <v>0</v>
      </c>
      <c r="AG7" s="101">
        <f t="shared" si="10"/>
        <v>0</v>
      </c>
    </row>
    <row r="8" spans="1:34" ht="18.75" x14ac:dyDescent="0.25">
      <c r="A8" s="101">
        <f t="shared" ca="1" si="5"/>
        <v>657.42876240932833</v>
      </c>
      <c r="B8" s="6">
        <v>4</v>
      </c>
      <c r="C8" s="103" t="s">
        <v>29</v>
      </c>
      <c r="D8" s="111">
        <f t="shared" si="6"/>
        <v>80</v>
      </c>
      <c r="E8" s="104">
        <v>0.5</v>
      </c>
      <c r="F8" s="103">
        <v>30</v>
      </c>
      <c r="G8" s="105">
        <v>40</v>
      </c>
      <c r="H8" s="106">
        <f t="shared" si="1"/>
        <v>1200</v>
      </c>
      <c r="I8" s="107">
        <f t="shared" si="2"/>
        <v>1.0892976505830216</v>
      </c>
      <c r="J8" s="108">
        <f t="shared" si="3"/>
        <v>41.089297650583021</v>
      </c>
      <c r="K8" s="108">
        <f t="shared" si="7"/>
        <v>1232.6789295174906</v>
      </c>
      <c r="L8" s="112">
        <v>45</v>
      </c>
      <c r="M8" s="106">
        <f t="shared" si="4"/>
        <v>1350</v>
      </c>
      <c r="N8" s="106">
        <f t="shared" ca="1" si="8"/>
        <v>675</v>
      </c>
      <c r="O8" s="113">
        <f ca="1">F8-SUM(Q8:AE8)-P8</f>
        <v>16</v>
      </c>
      <c r="P8" s="100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v>0</v>
      </c>
      <c r="W8" s="41">
        <v>3</v>
      </c>
      <c r="X8" s="41">
        <v>3</v>
      </c>
      <c r="Y8" s="41">
        <v>0</v>
      </c>
      <c r="Z8" s="41">
        <v>0</v>
      </c>
      <c r="AA8" s="41">
        <f ca="1">SUMIFS('Tổng Đơn'!$F:$F,'Tổng Đơn'!$B:$B,'La Cusina'!$C8)</f>
        <v>1</v>
      </c>
      <c r="AB8" s="41">
        <v>0</v>
      </c>
      <c r="AC8" s="41">
        <v>0</v>
      </c>
      <c r="AD8" s="41">
        <v>0</v>
      </c>
      <c r="AE8" s="41">
        <v>0</v>
      </c>
      <c r="AG8" s="101">
        <f t="shared" si="10"/>
        <v>0</v>
      </c>
    </row>
    <row r="9" spans="1:34" ht="18.75" x14ac:dyDescent="0.25">
      <c r="A9" s="101">
        <f t="shared" ca="1" si="5"/>
        <v>599.90374569851213</v>
      </c>
      <c r="B9" s="6">
        <v>5</v>
      </c>
      <c r="C9" s="103" t="s">
        <v>28</v>
      </c>
      <c r="D9" s="111">
        <f t="shared" si="6"/>
        <v>73</v>
      </c>
      <c r="E9" s="104">
        <v>0.5</v>
      </c>
      <c r="F9" s="103">
        <v>48</v>
      </c>
      <c r="G9" s="105">
        <v>36.5</v>
      </c>
      <c r="H9" s="106">
        <f t="shared" si="1"/>
        <v>1752</v>
      </c>
      <c r="I9" s="107">
        <f t="shared" si="2"/>
        <v>0.9939841061570075</v>
      </c>
      <c r="J9" s="108">
        <f t="shared" si="3"/>
        <v>37.493984106157008</v>
      </c>
      <c r="K9" s="108">
        <f t="shared" si="7"/>
        <v>1799.7112370955365</v>
      </c>
      <c r="L9" s="112">
        <v>42</v>
      </c>
      <c r="M9" s="106">
        <f t="shared" si="4"/>
        <v>2016</v>
      </c>
      <c r="N9" s="106">
        <f t="shared" ca="1" si="8"/>
        <v>1302</v>
      </c>
      <c r="O9" s="113">
        <f t="shared" ca="1" si="9"/>
        <v>16</v>
      </c>
      <c r="P9" s="100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v>2</v>
      </c>
      <c r="W9" s="41">
        <v>1</v>
      </c>
      <c r="X9" s="41">
        <v>4</v>
      </c>
      <c r="Y9" s="41">
        <v>6</v>
      </c>
      <c r="Z9" s="41">
        <v>3</v>
      </c>
      <c r="AA9" s="41">
        <f ca="1">SUMIFS('Tổng Đơn'!$F:$F,'Tổng Đơn'!$B:$B,'La Cusina'!$C9)</f>
        <v>0</v>
      </c>
      <c r="AB9" s="41">
        <v>0</v>
      </c>
      <c r="AC9" s="41">
        <v>0</v>
      </c>
      <c r="AD9" s="41">
        <v>0</v>
      </c>
      <c r="AE9" s="41">
        <v>0</v>
      </c>
      <c r="AF9" s="101">
        <v>48</v>
      </c>
      <c r="AG9" s="101">
        <f t="shared" si="10"/>
        <v>1752</v>
      </c>
    </row>
    <row r="10" spans="1:34" ht="18.75" x14ac:dyDescent="0.25">
      <c r="A10" s="101">
        <f t="shared" ca="1" si="5"/>
        <v>636.37049736340452</v>
      </c>
      <c r="B10" s="6">
        <v>6</v>
      </c>
      <c r="C10" s="103" t="s">
        <v>61</v>
      </c>
      <c r="D10" s="111">
        <f t="shared" si="6"/>
        <v>59</v>
      </c>
      <c r="E10" s="104">
        <v>0.5</v>
      </c>
      <c r="F10" s="103">
        <v>40</v>
      </c>
      <c r="G10" s="105">
        <v>29.5</v>
      </c>
      <c r="H10" s="106">
        <f t="shared" si="1"/>
        <v>1180</v>
      </c>
      <c r="I10" s="107">
        <f t="shared" si="2"/>
        <v>0.80335701730497855</v>
      </c>
      <c r="J10" s="108">
        <f t="shared" si="3"/>
        <v>30.303357017304979</v>
      </c>
      <c r="K10" s="108">
        <f t="shared" si="7"/>
        <v>1212.1342806921991</v>
      </c>
      <c r="L10" s="112">
        <v>35</v>
      </c>
      <c r="M10" s="106">
        <f t="shared" si="4"/>
        <v>1400</v>
      </c>
      <c r="N10" s="106">
        <f t="shared" ca="1" si="8"/>
        <v>665</v>
      </c>
      <c r="O10" s="113">
        <f t="shared" ca="1" si="9"/>
        <v>21</v>
      </c>
      <c r="P10" s="100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v>2</v>
      </c>
      <c r="W10" s="41">
        <v>2</v>
      </c>
      <c r="X10" s="41">
        <v>2</v>
      </c>
      <c r="Y10" s="41">
        <v>2</v>
      </c>
      <c r="Z10" s="41">
        <v>2</v>
      </c>
      <c r="AA10" s="41">
        <f ca="1">SUMIFS('Tổng Đơn'!$F:$F,'Tổng Đơn'!$B:$B,'La Cusina'!$C10)</f>
        <v>0</v>
      </c>
      <c r="AB10" s="41">
        <v>0</v>
      </c>
      <c r="AC10" s="41">
        <v>0</v>
      </c>
      <c r="AD10" s="41">
        <v>0</v>
      </c>
      <c r="AE10" s="41">
        <v>0</v>
      </c>
      <c r="AF10" s="101">
        <v>20</v>
      </c>
      <c r="AG10" s="101">
        <f t="shared" si="10"/>
        <v>590</v>
      </c>
    </row>
    <row r="11" spans="1:34" ht="18.75" x14ac:dyDescent="0.25">
      <c r="A11" s="101">
        <f t="shared" ca="1" si="5"/>
        <v>740.68595177382224</v>
      </c>
      <c r="B11" s="6">
        <v>7</v>
      </c>
      <c r="C11" s="103" t="s">
        <v>27</v>
      </c>
      <c r="D11" s="111">
        <f t="shared" si="6"/>
        <v>65.55</v>
      </c>
      <c r="E11" s="104">
        <v>0.5</v>
      </c>
      <c r="F11" s="103">
        <v>40</v>
      </c>
      <c r="G11" s="105">
        <f>1311/40</f>
        <v>32.774999999999999</v>
      </c>
      <c r="H11" s="106">
        <f t="shared" si="1"/>
        <v>1311</v>
      </c>
      <c r="I11" s="107">
        <f t="shared" si="2"/>
        <v>0.89254326244646331</v>
      </c>
      <c r="J11" s="108">
        <f t="shared" si="3"/>
        <v>33.667543262446465</v>
      </c>
      <c r="K11" s="108">
        <f t="shared" si="7"/>
        <v>1346.7017304978585</v>
      </c>
      <c r="L11" s="112">
        <v>38</v>
      </c>
      <c r="M11" s="106">
        <f t="shared" si="4"/>
        <v>1520</v>
      </c>
      <c r="N11" s="106">
        <f t="shared" ca="1" si="8"/>
        <v>684</v>
      </c>
      <c r="O11" s="113">
        <f t="shared" ca="1" si="9"/>
        <v>22</v>
      </c>
      <c r="P11" s="100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v>1</v>
      </c>
      <c r="W11" s="41">
        <v>0</v>
      </c>
      <c r="X11" s="41">
        <v>2</v>
      </c>
      <c r="Y11" s="41">
        <v>0</v>
      </c>
      <c r="Z11" s="41">
        <v>1</v>
      </c>
      <c r="AA11" s="41">
        <f ca="1">SUMIFS('Tổng Đơn'!$F:$F,'Tổng Đơn'!$B:$B,'La Cusina'!$C11)</f>
        <v>1</v>
      </c>
      <c r="AB11" s="41">
        <v>0</v>
      </c>
      <c r="AC11" s="41">
        <v>0</v>
      </c>
      <c r="AD11" s="41">
        <v>0</v>
      </c>
      <c r="AE11" s="41">
        <v>0</v>
      </c>
      <c r="AG11" s="101">
        <f t="shared" si="10"/>
        <v>0</v>
      </c>
    </row>
    <row r="12" spans="1:34" ht="18.75" x14ac:dyDescent="0.25">
      <c r="A12" s="101">
        <f t="shared" ca="1" si="5"/>
        <v>203.73443418414081</v>
      </c>
      <c r="B12" s="6">
        <v>8</v>
      </c>
      <c r="C12" s="103" t="s">
        <v>26</v>
      </c>
      <c r="D12" s="111">
        <f>G12*4</f>
        <v>113.33333333333333</v>
      </c>
      <c r="E12" s="104">
        <v>0.25</v>
      </c>
      <c r="F12" s="103">
        <v>36</v>
      </c>
      <c r="G12" s="105">
        <f>1020/36</f>
        <v>28.333333333333332</v>
      </c>
      <c r="H12" s="106">
        <f t="shared" si="1"/>
        <v>1020</v>
      </c>
      <c r="I12" s="107">
        <f t="shared" si="2"/>
        <v>0.77158583582964047</v>
      </c>
      <c r="J12" s="108">
        <f t="shared" si="3"/>
        <v>29.104919169162972</v>
      </c>
      <c r="K12" s="108">
        <f t="shared" si="7"/>
        <v>1047.777090089867</v>
      </c>
      <c r="L12" s="112">
        <v>34</v>
      </c>
      <c r="M12" s="106">
        <f t="shared" si="4"/>
        <v>1224</v>
      </c>
      <c r="N12" s="106">
        <f t="shared" ca="1" si="8"/>
        <v>986</v>
      </c>
      <c r="O12" s="113">
        <f t="shared" ca="1" si="9"/>
        <v>7</v>
      </c>
      <c r="P12" s="100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v>3</v>
      </c>
      <c r="W12" s="41">
        <v>5</v>
      </c>
      <c r="X12" s="41">
        <v>2</v>
      </c>
      <c r="Y12" s="41">
        <v>3</v>
      </c>
      <c r="Z12" s="41">
        <v>2</v>
      </c>
      <c r="AA12" s="41">
        <f ca="1">SUMIFS('Tổng Đơn'!$F:$F,'Tổng Đơn'!$B:$B,'La Cusina'!$C12)</f>
        <v>1</v>
      </c>
      <c r="AB12" s="41">
        <v>0</v>
      </c>
      <c r="AC12" s="41">
        <v>0</v>
      </c>
      <c r="AD12" s="41">
        <v>0</v>
      </c>
      <c r="AE12" s="41">
        <v>0</v>
      </c>
      <c r="AF12" s="101">
        <v>72</v>
      </c>
      <c r="AG12" s="101">
        <f t="shared" si="10"/>
        <v>2040</v>
      </c>
    </row>
    <row r="13" spans="1:34" ht="18.75" x14ac:dyDescent="0.25">
      <c r="A13" s="101">
        <f t="shared" ca="1" si="5"/>
        <v>1561.3933107221549</v>
      </c>
      <c r="B13" s="6">
        <v>9</v>
      </c>
      <c r="C13" s="103" t="s">
        <v>35</v>
      </c>
      <c r="D13" s="111">
        <f t="shared" si="6"/>
        <v>80</v>
      </c>
      <c r="E13" s="104">
        <v>0.5</v>
      </c>
      <c r="F13" s="103">
        <v>40</v>
      </c>
      <c r="G13" s="105">
        <v>40</v>
      </c>
      <c r="H13" s="106">
        <f t="shared" si="1"/>
        <v>1600</v>
      </c>
      <c r="I13" s="107">
        <f t="shared" si="2"/>
        <v>1.0892976505830219</v>
      </c>
      <c r="J13" s="108">
        <f t="shared" si="3"/>
        <v>41.089297650583021</v>
      </c>
      <c r="K13" s="108">
        <f t="shared" si="7"/>
        <v>1643.5719060233209</v>
      </c>
      <c r="L13" s="112">
        <v>45</v>
      </c>
      <c r="M13" s="106">
        <f t="shared" si="4"/>
        <v>1800</v>
      </c>
      <c r="N13" s="106">
        <f t="shared" ca="1" si="8"/>
        <v>90</v>
      </c>
      <c r="O13" s="113">
        <f t="shared" ca="1" si="9"/>
        <v>38</v>
      </c>
      <c r="P13" s="100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f ca="1">SUMIFS('Tổng Đơn'!$F:$F,'Tổng Đơn'!$B:$B,'La Cusina'!$C13)</f>
        <v>0</v>
      </c>
      <c r="AB13" s="41">
        <v>0</v>
      </c>
      <c r="AC13" s="41">
        <v>0</v>
      </c>
      <c r="AD13" s="41">
        <v>0</v>
      </c>
      <c r="AE13" s="41">
        <v>0</v>
      </c>
      <c r="AG13" s="101">
        <f t="shared" si="10"/>
        <v>0</v>
      </c>
    </row>
    <row r="14" spans="1:34" ht="18.75" x14ac:dyDescent="0.25">
      <c r="A14" s="101">
        <f t="shared" ca="1" si="5"/>
        <v>1602.4826083727378</v>
      </c>
      <c r="B14" s="6">
        <v>10</v>
      </c>
      <c r="C14" s="103" t="s">
        <v>34</v>
      </c>
      <c r="D14" s="111">
        <f t="shared" si="6"/>
        <v>80</v>
      </c>
      <c r="E14" s="104">
        <v>0.5</v>
      </c>
      <c r="F14" s="103">
        <v>40</v>
      </c>
      <c r="G14" s="105">
        <v>40</v>
      </c>
      <c r="H14" s="106">
        <f t="shared" si="1"/>
        <v>1600</v>
      </c>
      <c r="I14" s="107">
        <f t="shared" si="2"/>
        <v>1.0892976505830219</v>
      </c>
      <c r="J14" s="108">
        <f t="shared" si="3"/>
        <v>41.089297650583021</v>
      </c>
      <c r="K14" s="108">
        <f t="shared" si="7"/>
        <v>1643.5719060233209</v>
      </c>
      <c r="L14" s="112">
        <v>45</v>
      </c>
      <c r="M14" s="106">
        <f t="shared" si="4"/>
        <v>1800</v>
      </c>
      <c r="N14" s="106">
        <f t="shared" ca="1" si="8"/>
        <v>45</v>
      </c>
      <c r="O14" s="113">
        <f t="shared" ca="1" si="9"/>
        <v>39</v>
      </c>
      <c r="P14" s="100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v>0</v>
      </c>
      <c r="W14" s="41">
        <v>0</v>
      </c>
      <c r="X14" s="41">
        <v>0</v>
      </c>
      <c r="Y14" s="41">
        <v>0</v>
      </c>
      <c r="Z14" s="41">
        <v>0</v>
      </c>
      <c r="AA14" s="41">
        <f ca="1">SUMIFS('Tổng Đơn'!$F:$F,'Tổng Đơn'!$B:$B,'La Cusina'!$C14)</f>
        <v>0</v>
      </c>
      <c r="AB14" s="41">
        <v>0</v>
      </c>
      <c r="AC14" s="41">
        <v>0</v>
      </c>
      <c r="AD14" s="41">
        <v>0</v>
      </c>
      <c r="AE14" s="41">
        <v>0</v>
      </c>
      <c r="AG14" s="101">
        <f t="shared" si="10"/>
        <v>0</v>
      </c>
    </row>
    <row r="15" spans="1:34" ht="18.75" x14ac:dyDescent="0.25">
      <c r="A15" s="101">
        <f t="shared" ca="1" si="5"/>
        <v>1520.3040130715717</v>
      </c>
      <c r="B15" s="6">
        <v>11</v>
      </c>
      <c r="C15" s="103" t="s">
        <v>33</v>
      </c>
      <c r="D15" s="111">
        <f t="shared" si="6"/>
        <v>80</v>
      </c>
      <c r="E15" s="104">
        <v>0.5</v>
      </c>
      <c r="F15" s="103">
        <v>40</v>
      </c>
      <c r="G15" s="105">
        <v>40</v>
      </c>
      <c r="H15" s="106">
        <f t="shared" si="1"/>
        <v>1600</v>
      </c>
      <c r="I15" s="107">
        <f t="shared" si="2"/>
        <v>1.0892976505830219</v>
      </c>
      <c r="J15" s="108">
        <f t="shared" si="3"/>
        <v>41.089297650583021</v>
      </c>
      <c r="K15" s="108">
        <f t="shared" si="7"/>
        <v>1643.5719060233209</v>
      </c>
      <c r="L15" s="112">
        <v>45</v>
      </c>
      <c r="M15" s="106">
        <f t="shared" si="4"/>
        <v>1800</v>
      </c>
      <c r="N15" s="106">
        <f t="shared" ca="1" si="8"/>
        <v>135</v>
      </c>
      <c r="O15" s="113">
        <f t="shared" ca="1" si="9"/>
        <v>37</v>
      </c>
      <c r="P15" s="100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v>1</v>
      </c>
      <c r="W15" s="41">
        <v>0</v>
      </c>
      <c r="X15" s="41">
        <v>0</v>
      </c>
      <c r="Y15" s="41">
        <v>0</v>
      </c>
      <c r="Z15" s="41">
        <v>0</v>
      </c>
      <c r="AA15" s="41">
        <f ca="1">SUMIFS('Tổng Đơn'!$F:$F,'Tổng Đơn'!$B:$B,'La Cusina'!$C15)</f>
        <v>0</v>
      </c>
      <c r="AB15" s="41">
        <v>0</v>
      </c>
      <c r="AC15" s="41">
        <v>0</v>
      </c>
      <c r="AD15" s="41">
        <v>0</v>
      </c>
      <c r="AE15" s="41">
        <v>0</v>
      </c>
      <c r="AG15" s="101">
        <f t="shared" si="10"/>
        <v>0</v>
      </c>
    </row>
    <row r="16" spans="1:34" ht="18.75" x14ac:dyDescent="0.25">
      <c r="A16" s="101">
        <f t="shared" ca="1" si="5"/>
        <v>1561.3933107221549</v>
      </c>
      <c r="B16" s="6">
        <v>12</v>
      </c>
      <c r="C16" s="103" t="s">
        <v>32</v>
      </c>
      <c r="D16" s="111">
        <f t="shared" si="6"/>
        <v>80</v>
      </c>
      <c r="E16" s="104">
        <v>0.5</v>
      </c>
      <c r="F16" s="103">
        <v>40</v>
      </c>
      <c r="G16" s="105">
        <v>40</v>
      </c>
      <c r="H16" s="106">
        <f t="shared" si="1"/>
        <v>1600</v>
      </c>
      <c r="I16" s="107">
        <f t="shared" si="2"/>
        <v>1.0892976505830219</v>
      </c>
      <c r="J16" s="108">
        <f t="shared" si="3"/>
        <v>41.089297650583021</v>
      </c>
      <c r="K16" s="108">
        <f t="shared" si="7"/>
        <v>1643.5719060233209</v>
      </c>
      <c r="L16" s="112">
        <v>45</v>
      </c>
      <c r="M16" s="106">
        <f t="shared" si="4"/>
        <v>1800</v>
      </c>
      <c r="N16" s="106">
        <f t="shared" ca="1" si="8"/>
        <v>90</v>
      </c>
      <c r="O16" s="113">
        <f t="shared" ca="1" si="9"/>
        <v>38</v>
      </c>
      <c r="P16" s="100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v>0</v>
      </c>
      <c r="W16" s="41">
        <v>0</v>
      </c>
      <c r="X16" s="41">
        <v>0</v>
      </c>
      <c r="Y16" s="41">
        <v>0</v>
      </c>
      <c r="Z16" s="41">
        <v>0</v>
      </c>
      <c r="AA16" s="41">
        <f ca="1">SUMIFS('Tổng Đơn'!$F:$F,'Tổng Đơn'!$B:$B,'La Cusina'!$C16)</f>
        <v>0</v>
      </c>
      <c r="AB16" s="41">
        <v>0</v>
      </c>
      <c r="AC16" s="41">
        <v>0</v>
      </c>
      <c r="AD16" s="41">
        <v>0</v>
      </c>
      <c r="AE16" s="41">
        <v>0</v>
      </c>
      <c r="AG16" s="101">
        <f t="shared" si="10"/>
        <v>0</v>
      </c>
    </row>
    <row r="17" spans="1:33" ht="18.75" x14ac:dyDescent="0.25">
      <c r="A17" s="101">
        <f t="shared" ca="1" si="5"/>
        <v>1314.8575248186567</v>
      </c>
      <c r="B17" s="6">
        <v>13</v>
      </c>
      <c r="C17" s="103" t="s">
        <v>58</v>
      </c>
      <c r="D17" s="111">
        <f t="shared" si="6"/>
        <v>80</v>
      </c>
      <c r="E17" s="104">
        <v>0.5</v>
      </c>
      <c r="F17" s="103">
        <v>40</v>
      </c>
      <c r="G17" s="105">
        <v>40</v>
      </c>
      <c r="H17" s="106">
        <f t="shared" si="1"/>
        <v>1600</v>
      </c>
      <c r="I17" s="107">
        <f t="shared" si="2"/>
        <v>1.0892976505830219</v>
      </c>
      <c r="J17" s="108">
        <f t="shared" si="3"/>
        <v>41.089297650583021</v>
      </c>
      <c r="K17" s="108">
        <f t="shared" si="7"/>
        <v>1643.5719060233209</v>
      </c>
      <c r="L17" s="112">
        <v>45</v>
      </c>
      <c r="M17" s="106">
        <f t="shared" si="4"/>
        <v>1800</v>
      </c>
      <c r="N17" s="106">
        <f t="shared" ca="1" si="8"/>
        <v>360</v>
      </c>
      <c r="O17" s="113">
        <f t="shared" ca="1" si="9"/>
        <v>32</v>
      </c>
      <c r="P17" s="100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v>0</v>
      </c>
      <c r="W17" s="41">
        <v>2</v>
      </c>
      <c r="X17" s="41">
        <v>0</v>
      </c>
      <c r="Y17" s="41">
        <v>1</v>
      </c>
      <c r="Z17" s="41">
        <v>1</v>
      </c>
      <c r="AA17" s="41">
        <f ca="1">SUMIFS('Tổng Đơn'!$F:$F,'Tổng Đơn'!$B:$B,'La Cusina'!$C17)</f>
        <v>0</v>
      </c>
      <c r="AB17" s="41">
        <v>0</v>
      </c>
      <c r="AC17" s="41">
        <v>0</v>
      </c>
      <c r="AD17" s="41">
        <v>0</v>
      </c>
      <c r="AE17" s="41">
        <v>0</v>
      </c>
      <c r="AG17" s="101">
        <f t="shared" si="10"/>
        <v>0</v>
      </c>
    </row>
    <row r="18" spans="1:33" ht="18.75" x14ac:dyDescent="0.25">
      <c r="A18" s="101">
        <f t="shared" ca="1" si="5"/>
        <v>690.06907323051018</v>
      </c>
      <c r="B18" s="6">
        <v>14</v>
      </c>
      <c r="C18" s="103" t="s">
        <v>150</v>
      </c>
      <c r="D18" s="111">
        <v>53</v>
      </c>
      <c r="E18" s="104">
        <v>0.5</v>
      </c>
      <c r="F18" s="103">
        <v>40</v>
      </c>
      <c r="G18" s="105">
        <f>1033.5/40</f>
        <v>25.837499999999999</v>
      </c>
      <c r="H18" s="106">
        <f t="shared" si="1"/>
        <v>1033.5</v>
      </c>
      <c r="I18" s="107">
        <f t="shared" si="2"/>
        <v>0.70361820117347063</v>
      </c>
      <c r="J18" s="108">
        <f t="shared" ref="J18" si="11">G18+I18</f>
        <v>26.541118201173468</v>
      </c>
      <c r="K18" s="108">
        <f t="shared" ref="K18" si="12">J18*F18</f>
        <v>1061.6447280469388</v>
      </c>
      <c r="L18" s="112">
        <v>38</v>
      </c>
      <c r="M18" s="106">
        <f t="shared" si="4"/>
        <v>1520</v>
      </c>
      <c r="N18" s="106">
        <f t="shared" ca="1" si="8"/>
        <v>532</v>
      </c>
      <c r="O18" s="113">
        <f t="shared" ca="1" si="9"/>
        <v>26</v>
      </c>
      <c r="P18" s="100"/>
      <c r="Q18" s="37"/>
      <c r="R18" s="37"/>
      <c r="S18" s="41"/>
      <c r="T18" s="41"/>
      <c r="U18" s="41"/>
      <c r="V18" s="41"/>
      <c r="W18" s="41">
        <v>1</v>
      </c>
      <c r="X18" s="41">
        <v>6</v>
      </c>
      <c r="Y18" s="41">
        <v>4</v>
      </c>
      <c r="Z18" s="41">
        <v>3</v>
      </c>
      <c r="AA18" s="41">
        <f ca="1">SUMIFS('Tổng Đơn'!$F:$F,'Tổng Đơn'!$B:$B,'La Cusina'!$C18)</f>
        <v>0</v>
      </c>
      <c r="AB18" s="41">
        <v>0</v>
      </c>
      <c r="AC18" s="41">
        <v>0</v>
      </c>
      <c r="AD18" s="41">
        <v>0</v>
      </c>
      <c r="AE18" s="41">
        <v>0</v>
      </c>
      <c r="AG18" s="101">
        <f t="shared" si="10"/>
        <v>0</v>
      </c>
    </row>
  </sheetData>
  <autoFilter ref="B4:M4"/>
  <mergeCells count="1">
    <mergeCell ref="B1:M1"/>
  </mergeCells>
  <conditionalFormatting sqref="C6:C17">
    <cfRule type="expression" dxfId="108" priority="9">
      <formula>($O6/$O6)&lt;=1/4</formula>
    </cfRule>
  </conditionalFormatting>
  <conditionalFormatting sqref="C5:C17">
    <cfRule type="expression" dxfId="107" priority="7">
      <formula>($O5/$F5)&lt;=1/4</formula>
    </cfRule>
  </conditionalFormatting>
  <conditionalFormatting sqref="C18">
    <cfRule type="expression" dxfId="106" priority="6">
      <formula>($O18/$O18)&lt;=1/4</formula>
    </cfRule>
  </conditionalFormatting>
  <conditionalFormatting sqref="C18">
    <cfRule type="expression" dxfId="105" priority="5">
      <formula>($O18/$F18)&lt;=1/4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8"/>
  <sheetViews>
    <sheetView topLeftCell="A2" workbookViewId="0">
      <selection activeCell="O10" sqref="O10"/>
    </sheetView>
  </sheetViews>
  <sheetFormatPr defaultRowHeight="15" x14ac:dyDescent="0.25"/>
  <cols>
    <col min="1" max="1" width="16.28515625" style="101" customWidth="1"/>
    <col min="2" max="2" width="6.85546875" style="101" customWidth="1"/>
    <col min="3" max="3" width="35.85546875" style="101" customWidth="1"/>
    <col min="4" max="4" width="9.7109375" style="101" customWidth="1"/>
    <col min="5" max="6" width="8.7109375" style="101" customWidth="1"/>
    <col min="7" max="8" width="11.140625" style="101" hidden="1" customWidth="1"/>
    <col min="9" max="9" width="13.28515625" style="101" hidden="1" customWidth="1"/>
    <col min="10" max="10" width="12.140625" style="101" customWidth="1"/>
    <col min="11" max="11" width="13.28515625" style="101" hidden="1" customWidth="1"/>
    <col min="12" max="12" width="12.7109375" style="101" customWidth="1"/>
    <col min="13" max="14" width="11.42578125" style="101" hidden="1" customWidth="1"/>
    <col min="15" max="15" width="9.140625" style="101"/>
    <col min="16" max="16" width="12.42578125" style="101" customWidth="1"/>
    <col min="17" max="31" width="5.28515625" style="101" customWidth="1"/>
    <col min="32" max="32" width="9.140625" style="101"/>
    <col min="33" max="33" width="10.28515625" style="101" bestFit="1" customWidth="1"/>
    <col min="34" max="16384" width="9.140625" style="101"/>
  </cols>
  <sheetData>
    <row r="1" spans="1:33" hidden="1" x14ac:dyDescent="0.25">
      <c r="B1" s="165" t="s">
        <v>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02"/>
    </row>
    <row r="2" spans="1:33" ht="24" customHeight="1" x14ac:dyDescent="0.25">
      <c r="A2" s="1">
        <f>150+160+120+70+30</f>
        <v>530</v>
      </c>
      <c r="K2" s="13">
        <f>SUMPRODUCT((E5:E19)*(F5:F19))</f>
        <v>297</v>
      </c>
      <c r="L2" s="13">
        <f>M4-K4</f>
        <v>3961.5</v>
      </c>
      <c r="M2" s="8">
        <f>M4/K4-1</f>
        <v>0.1850692579010067</v>
      </c>
      <c r="N2" s="8"/>
      <c r="R2" s="67"/>
    </row>
    <row r="3" spans="1:33" ht="55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126" t="s">
        <v>160</v>
      </c>
      <c r="F3" s="160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8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8690.6811932648307</v>
      </c>
      <c r="B4" s="19"/>
      <c r="C4" s="19"/>
      <c r="D4" s="73"/>
      <c r="E4" s="19">
        <f>SUMPRODUCT((E5:E25)*(F5:F25))</f>
        <v>340</v>
      </c>
      <c r="F4" s="19">
        <f>SUBTOTAL(9,F5:F190)</f>
        <v>700</v>
      </c>
      <c r="G4" s="7"/>
      <c r="H4" s="7">
        <f>SUBTOTAL(9,H5:H100)</f>
        <v>20875.5</v>
      </c>
      <c r="I4" s="12"/>
      <c r="J4" s="12"/>
      <c r="K4" s="12">
        <f>SUBTOTAL(9,K5:K190)</f>
        <v>21405.5</v>
      </c>
      <c r="L4" s="74"/>
      <c r="M4" s="7">
        <f>SUBTOTAL(9,M5:M190)</f>
        <v>25367</v>
      </c>
      <c r="N4" s="7">
        <f ca="1">SUBTOTAL(9,N5:N190)+SUM(Q2:AE20)</f>
        <v>16213</v>
      </c>
      <c r="O4" s="39">
        <f ca="1">SUBTOTAL(9,O5:O190)</f>
        <v>260</v>
      </c>
      <c r="P4" s="118">
        <f>SUBTOTAL(9,P5:P220)</f>
        <v>3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si="0"/>
        <v>10</v>
      </c>
      <c r="W4" s="40">
        <f t="shared" si="0"/>
        <v>22</v>
      </c>
      <c r="X4" s="40">
        <f t="shared" si="0"/>
        <v>30</v>
      </c>
      <c r="Y4" s="40">
        <f t="shared" si="0"/>
        <v>70</v>
      </c>
      <c r="Z4" s="40">
        <f t="shared" si="0"/>
        <v>61</v>
      </c>
      <c r="AA4" s="40">
        <f t="shared" ca="1" si="0"/>
        <v>46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2">
        <f t="shared" si="0"/>
        <v>5920</v>
      </c>
    </row>
    <row r="5" spans="1:33" ht="18.75" x14ac:dyDescent="0.25">
      <c r="A5" s="101">
        <f ca="1">IFERROR(J5*O5,"")</f>
        <v>174.31606428588537</v>
      </c>
      <c r="B5" s="6">
        <v>1</v>
      </c>
      <c r="C5" s="103" t="s">
        <v>1</v>
      </c>
      <c r="D5" s="111">
        <v>42.5</v>
      </c>
      <c r="E5" s="6">
        <v>0.5</v>
      </c>
      <c r="F5" s="6">
        <v>110</v>
      </c>
      <c r="G5" s="114">
        <f t="shared" ref="G5:G28" si="1">D5/(1/E5)</f>
        <v>21.25</v>
      </c>
      <c r="H5" s="106">
        <f>G5*F5</f>
        <v>2337.5</v>
      </c>
      <c r="I5" s="107">
        <f t="shared" ref="I5:I28" si="2">((H5/$H$4)*$A$2)/F5</f>
        <v>0.53950803573567097</v>
      </c>
      <c r="J5" s="108">
        <f t="shared" ref="J5:J19" si="3">G5+I5</f>
        <v>21.789508035735672</v>
      </c>
      <c r="K5" s="108">
        <f>J5*F5</f>
        <v>2396.8458839309237</v>
      </c>
      <c r="L5" s="115">
        <v>25</v>
      </c>
      <c r="M5" s="106">
        <f>L5*F5</f>
        <v>2750</v>
      </c>
      <c r="N5" s="106">
        <f ca="1">SUMPRODUCT($L5*($Q5:$AE5))</f>
        <v>2525</v>
      </c>
      <c r="O5" s="110">
        <f ca="1">F5-SUM(Q5:AE5)-P5</f>
        <v>8</v>
      </c>
      <c r="P5" s="100">
        <v>1</v>
      </c>
      <c r="Q5" s="103">
        <v>0</v>
      </c>
      <c r="R5" s="116">
        <v>1</v>
      </c>
      <c r="S5" s="116">
        <v>6</v>
      </c>
      <c r="T5" s="116">
        <v>8</v>
      </c>
      <c r="U5" s="116">
        <v>32</v>
      </c>
      <c r="V5" s="116">
        <v>2</v>
      </c>
      <c r="W5" s="116">
        <v>5</v>
      </c>
      <c r="X5" s="116">
        <v>9</v>
      </c>
      <c r="Y5" s="116">
        <v>16</v>
      </c>
      <c r="Z5" s="116">
        <v>11</v>
      </c>
      <c r="AA5" s="116">
        <f ca="1">SUMIFS('Tổng Đơn'!$F:$F,'Tổng Đơn'!$B:$B,'Quốc Nhân'!$C5)</f>
        <v>11</v>
      </c>
      <c r="AB5" s="116">
        <v>0</v>
      </c>
      <c r="AC5" s="116">
        <v>0</v>
      </c>
      <c r="AD5" s="116">
        <v>0</v>
      </c>
      <c r="AE5" s="116">
        <v>0</v>
      </c>
      <c r="AF5" s="101">
        <v>100</v>
      </c>
      <c r="AG5" s="101">
        <f>AF5*G5</f>
        <v>2125</v>
      </c>
    </row>
    <row r="6" spans="1:33" ht="18.75" x14ac:dyDescent="0.25">
      <c r="A6" s="101">
        <f t="shared" ref="A6:A28" ca="1" si="4">IFERROR(J6*O6,"")</f>
        <v>157.90984647074322</v>
      </c>
      <c r="B6" s="6">
        <v>2</v>
      </c>
      <c r="C6" s="103" t="s">
        <v>2</v>
      </c>
      <c r="D6" s="111">
        <v>44</v>
      </c>
      <c r="E6" s="6">
        <v>0.5</v>
      </c>
      <c r="F6" s="6">
        <v>40</v>
      </c>
      <c r="G6" s="114">
        <f t="shared" si="1"/>
        <v>22</v>
      </c>
      <c r="H6" s="106">
        <f t="shared" ref="H6:H19" si="5">G6*F6</f>
        <v>880</v>
      </c>
      <c r="I6" s="107">
        <f t="shared" si="2"/>
        <v>0.55854949582045932</v>
      </c>
      <c r="J6" s="108">
        <f t="shared" si="3"/>
        <v>22.558549495820458</v>
      </c>
      <c r="K6" s="108">
        <f t="shared" ref="K6:K19" si="6">J6*F6</f>
        <v>902.34197983281831</v>
      </c>
      <c r="L6" s="115">
        <v>28</v>
      </c>
      <c r="M6" s="106">
        <f t="shared" ref="M6:M19" si="7">L6*F6</f>
        <v>1120</v>
      </c>
      <c r="N6" s="106">
        <f t="shared" ref="N6:N28" ca="1" si="8">SUMPRODUCT($L6*($Q6:$AE6))</f>
        <v>924</v>
      </c>
      <c r="O6" s="110">
        <f t="shared" ref="O6:O23" ca="1" si="9">F6-SUM(Q6:AE6)-P6</f>
        <v>7</v>
      </c>
      <c r="P6" s="100"/>
      <c r="Q6" s="103">
        <v>0</v>
      </c>
      <c r="R6" s="103">
        <v>0</v>
      </c>
      <c r="S6" s="116">
        <v>5</v>
      </c>
      <c r="T6" s="116">
        <v>4</v>
      </c>
      <c r="U6" s="116">
        <v>5</v>
      </c>
      <c r="V6" s="116">
        <v>0</v>
      </c>
      <c r="W6" s="116">
        <v>1</v>
      </c>
      <c r="X6" s="116">
        <v>1</v>
      </c>
      <c r="Y6" s="116">
        <v>5</v>
      </c>
      <c r="Z6" s="116">
        <v>7</v>
      </c>
      <c r="AA6" s="116">
        <f ca="1">SUMIFS('Tổng Đơn'!$F:$F,'Tổng Đơn'!$B:$B,'Quốc Nhân'!$C6)</f>
        <v>5</v>
      </c>
      <c r="AB6" s="116">
        <v>0</v>
      </c>
      <c r="AC6" s="116">
        <v>0</v>
      </c>
      <c r="AD6" s="116">
        <v>0</v>
      </c>
      <c r="AE6" s="116">
        <v>0</v>
      </c>
      <c r="AG6" s="101">
        <f t="shared" ref="AG6:AG28" si="10">AF6*G6</f>
        <v>0</v>
      </c>
    </row>
    <row r="7" spans="1:33" ht="18.75" x14ac:dyDescent="0.25">
      <c r="A7" s="101">
        <f t="shared" ca="1" si="4"/>
        <v>89.20880936983545</v>
      </c>
      <c r="B7" s="6">
        <v>3</v>
      </c>
      <c r="C7" s="103" t="s">
        <v>3</v>
      </c>
      <c r="D7" s="111">
        <v>43.5</v>
      </c>
      <c r="E7" s="6">
        <v>0.5</v>
      </c>
      <c r="F7" s="6">
        <v>20</v>
      </c>
      <c r="G7" s="114">
        <f t="shared" si="1"/>
        <v>21.75</v>
      </c>
      <c r="H7" s="106">
        <f t="shared" si="5"/>
        <v>435</v>
      </c>
      <c r="I7" s="107">
        <f t="shared" si="2"/>
        <v>0.55220234245886324</v>
      </c>
      <c r="J7" s="108">
        <f t="shared" si="3"/>
        <v>22.302202342458862</v>
      </c>
      <c r="K7" s="108">
        <f t="shared" si="6"/>
        <v>446.04404684917722</v>
      </c>
      <c r="L7" s="115">
        <v>30</v>
      </c>
      <c r="M7" s="106">
        <f t="shared" si="7"/>
        <v>600</v>
      </c>
      <c r="N7" s="106">
        <f t="shared" ca="1" si="8"/>
        <v>480</v>
      </c>
      <c r="O7" s="110">
        <f t="shared" ca="1" si="9"/>
        <v>4</v>
      </c>
      <c r="P7" s="100"/>
      <c r="Q7" s="103">
        <v>0</v>
      </c>
      <c r="R7" s="116">
        <v>1</v>
      </c>
      <c r="S7" s="116">
        <v>0</v>
      </c>
      <c r="T7" s="116">
        <v>2</v>
      </c>
      <c r="U7" s="116">
        <v>0</v>
      </c>
      <c r="V7" s="116">
        <v>0</v>
      </c>
      <c r="W7" s="116">
        <v>1</v>
      </c>
      <c r="X7" s="116">
        <v>0</v>
      </c>
      <c r="Y7" s="116">
        <v>5</v>
      </c>
      <c r="Z7" s="116">
        <v>7</v>
      </c>
      <c r="AA7" s="116">
        <f ca="1">SUMIFS('Tổng Đơn'!$F:$F,'Tổng Đơn'!$B:$B,'Quốc Nhân'!$C7)</f>
        <v>0</v>
      </c>
      <c r="AB7" s="116">
        <v>0</v>
      </c>
      <c r="AC7" s="116">
        <v>0</v>
      </c>
      <c r="AD7" s="116">
        <v>0</v>
      </c>
      <c r="AE7" s="116">
        <v>0</v>
      </c>
      <c r="AF7" s="101">
        <v>30</v>
      </c>
      <c r="AG7" s="101">
        <f t="shared" si="10"/>
        <v>652.5</v>
      </c>
    </row>
    <row r="8" spans="1:33" ht="18.75" x14ac:dyDescent="0.25">
      <c r="A8" s="101">
        <f t="shared" ca="1" si="4"/>
        <v>584.47150966443917</v>
      </c>
      <c r="B8" s="6">
        <v>4</v>
      </c>
      <c r="C8" s="103" t="s">
        <v>4</v>
      </c>
      <c r="D8" s="111">
        <v>60</v>
      </c>
      <c r="E8" s="6">
        <v>0.5</v>
      </c>
      <c r="F8" s="6">
        <v>50</v>
      </c>
      <c r="G8" s="114">
        <f t="shared" si="1"/>
        <v>30</v>
      </c>
      <c r="H8" s="117">
        <f t="shared" si="5"/>
        <v>1500</v>
      </c>
      <c r="I8" s="107">
        <f t="shared" si="2"/>
        <v>0.76165840339153557</v>
      </c>
      <c r="J8" s="108">
        <f t="shared" si="3"/>
        <v>30.761658403391536</v>
      </c>
      <c r="K8" s="108">
        <f t="shared" si="6"/>
        <v>1538.0829201695767</v>
      </c>
      <c r="L8" s="115">
        <v>40</v>
      </c>
      <c r="M8" s="106">
        <f t="shared" si="7"/>
        <v>2000</v>
      </c>
      <c r="N8" s="106">
        <f t="shared" ca="1" si="8"/>
        <v>1240</v>
      </c>
      <c r="O8" s="110">
        <f t="shared" ca="1" si="9"/>
        <v>19</v>
      </c>
      <c r="P8" s="100"/>
      <c r="Q8" s="103">
        <v>0</v>
      </c>
      <c r="R8" s="103">
        <v>1</v>
      </c>
      <c r="S8" s="116">
        <v>4</v>
      </c>
      <c r="T8" s="116">
        <v>5</v>
      </c>
      <c r="U8" s="116">
        <v>5</v>
      </c>
      <c r="V8" s="116">
        <v>1</v>
      </c>
      <c r="W8" s="116">
        <v>1</v>
      </c>
      <c r="X8" s="116">
        <v>3</v>
      </c>
      <c r="Y8" s="116">
        <v>3</v>
      </c>
      <c r="Z8" s="116">
        <v>7</v>
      </c>
      <c r="AA8" s="116">
        <f ca="1">SUMIFS('Tổng Đơn'!$F:$F,'Tổng Đơn'!$B:$B,'Quốc Nhân'!$C8)</f>
        <v>1</v>
      </c>
      <c r="AB8" s="116">
        <v>0</v>
      </c>
      <c r="AC8" s="116">
        <v>0</v>
      </c>
      <c r="AD8" s="116">
        <v>0</v>
      </c>
      <c r="AE8" s="116">
        <v>0</v>
      </c>
      <c r="AF8" s="101">
        <v>20</v>
      </c>
      <c r="AG8" s="101">
        <f t="shared" si="10"/>
        <v>600</v>
      </c>
    </row>
    <row r="9" spans="1:33" ht="18.75" x14ac:dyDescent="0.25">
      <c r="A9" s="101">
        <f t="shared" ca="1" si="4"/>
        <v>732.12747000071863</v>
      </c>
      <c r="B9" s="6">
        <v>5</v>
      </c>
      <c r="C9" s="103" t="s">
        <v>5</v>
      </c>
      <c r="D9" s="111">
        <v>68</v>
      </c>
      <c r="E9" s="6">
        <v>0.5</v>
      </c>
      <c r="F9" s="6">
        <v>70</v>
      </c>
      <c r="G9" s="114">
        <f t="shared" si="1"/>
        <v>34</v>
      </c>
      <c r="H9" s="117">
        <f t="shared" si="5"/>
        <v>2380</v>
      </c>
      <c r="I9" s="107">
        <f t="shared" si="2"/>
        <v>0.86321285717707352</v>
      </c>
      <c r="J9" s="108">
        <f t="shared" si="3"/>
        <v>34.863212857177075</v>
      </c>
      <c r="K9" s="108">
        <f t="shared" si="6"/>
        <v>2440.4249000023951</v>
      </c>
      <c r="L9" s="115">
        <v>40</v>
      </c>
      <c r="M9" s="106">
        <f t="shared" si="7"/>
        <v>2800</v>
      </c>
      <c r="N9" s="106">
        <f t="shared" ca="1" si="8"/>
        <v>1960</v>
      </c>
      <c r="O9" s="110">
        <f t="shared" ca="1" si="9"/>
        <v>21</v>
      </c>
      <c r="P9" s="100"/>
      <c r="Q9" s="103">
        <v>0</v>
      </c>
      <c r="R9" s="103">
        <v>0</v>
      </c>
      <c r="S9" s="116">
        <v>13</v>
      </c>
      <c r="T9" s="116">
        <v>7</v>
      </c>
      <c r="U9" s="116">
        <v>10</v>
      </c>
      <c r="V9" s="116">
        <v>1</v>
      </c>
      <c r="W9" s="116">
        <v>2</v>
      </c>
      <c r="X9" s="116">
        <v>3</v>
      </c>
      <c r="Y9" s="116">
        <v>5</v>
      </c>
      <c r="Z9" s="116">
        <v>3</v>
      </c>
      <c r="AA9" s="116">
        <f ca="1">SUMIFS('Tổng Đơn'!$F:$F,'Tổng Đơn'!$B:$B,'Quốc Nhân'!$C9)</f>
        <v>5</v>
      </c>
      <c r="AB9" s="116">
        <v>0</v>
      </c>
      <c r="AC9" s="116">
        <v>0</v>
      </c>
      <c r="AD9" s="116">
        <v>0</v>
      </c>
      <c r="AE9" s="116">
        <v>0</v>
      </c>
      <c r="AF9" s="101">
        <v>20</v>
      </c>
      <c r="AG9" s="101">
        <f t="shared" si="10"/>
        <v>680</v>
      </c>
    </row>
    <row r="10" spans="1:33" ht="18.75" x14ac:dyDescent="0.25">
      <c r="A10" s="101">
        <f t="shared" ca="1" si="4"/>
        <v>749.55907642930708</v>
      </c>
      <c r="B10" s="6">
        <v>6</v>
      </c>
      <c r="C10" s="103" t="s">
        <v>6</v>
      </c>
      <c r="D10" s="111">
        <v>86</v>
      </c>
      <c r="E10" s="6">
        <v>0.5</v>
      </c>
      <c r="F10" s="6">
        <v>36</v>
      </c>
      <c r="G10" s="114">
        <f t="shared" si="1"/>
        <v>43</v>
      </c>
      <c r="H10" s="117">
        <f t="shared" si="5"/>
        <v>1548</v>
      </c>
      <c r="I10" s="107">
        <f t="shared" si="2"/>
        <v>1.0917103781945343</v>
      </c>
      <c r="J10" s="108">
        <f t="shared" si="3"/>
        <v>44.091710378194534</v>
      </c>
      <c r="K10" s="108">
        <f t="shared" si="6"/>
        <v>1587.3015736150032</v>
      </c>
      <c r="L10" s="115">
        <v>50</v>
      </c>
      <c r="M10" s="106">
        <f t="shared" si="7"/>
        <v>1800</v>
      </c>
      <c r="N10" s="106">
        <f ca="1">SUMPRODUCT($L10*($Q10:$AE10))</f>
        <v>900</v>
      </c>
      <c r="O10" s="110">
        <f t="shared" ca="1" si="9"/>
        <v>17</v>
      </c>
      <c r="P10" s="100">
        <v>1</v>
      </c>
      <c r="Q10" s="103">
        <v>0</v>
      </c>
      <c r="R10" s="103">
        <v>0</v>
      </c>
      <c r="S10" s="116">
        <v>1</v>
      </c>
      <c r="T10" s="116">
        <v>6</v>
      </c>
      <c r="U10" s="116">
        <v>2</v>
      </c>
      <c r="V10" s="116">
        <v>0</v>
      </c>
      <c r="W10" s="116">
        <v>1</v>
      </c>
      <c r="X10" s="116">
        <v>2</v>
      </c>
      <c r="Y10" s="116">
        <v>2</v>
      </c>
      <c r="Z10" s="116">
        <v>4</v>
      </c>
      <c r="AA10" s="116">
        <f ca="1">SUMIFS('Tổng Đơn'!$F:$F,'Tổng Đơn'!$B:$B,'Quốc Nhân'!$C10)</f>
        <v>0</v>
      </c>
      <c r="AB10" s="116">
        <v>0</v>
      </c>
      <c r="AC10" s="116">
        <v>0</v>
      </c>
      <c r="AD10" s="116">
        <v>0</v>
      </c>
      <c r="AE10" s="116">
        <v>0</v>
      </c>
      <c r="AG10" s="101">
        <f t="shared" si="10"/>
        <v>0</v>
      </c>
    </row>
    <row r="11" spans="1:33" ht="18.75" x14ac:dyDescent="0.25">
      <c r="A11" s="101">
        <f t="shared" ca="1" si="4"/>
        <v>281.98186869775577</v>
      </c>
      <c r="B11" s="6">
        <v>7</v>
      </c>
      <c r="C11" s="103" t="s">
        <v>7</v>
      </c>
      <c r="D11" s="111">
        <v>55</v>
      </c>
      <c r="E11" s="6">
        <v>0.5</v>
      </c>
      <c r="F11" s="6">
        <v>20</v>
      </c>
      <c r="G11" s="114">
        <f t="shared" si="1"/>
        <v>27.5</v>
      </c>
      <c r="H11" s="117">
        <f t="shared" si="5"/>
        <v>550</v>
      </c>
      <c r="I11" s="107">
        <f t="shared" si="2"/>
        <v>0.6981868697755742</v>
      </c>
      <c r="J11" s="108">
        <f t="shared" si="3"/>
        <v>28.198186869775576</v>
      </c>
      <c r="K11" s="108">
        <f t="shared" si="6"/>
        <v>563.96373739551154</v>
      </c>
      <c r="L11" s="115">
        <v>34</v>
      </c>
      <c r="M11" s="106">
        <f t="shared" si="7"/>
        <v>680</v>
      </c>
      <c r="N11" s="106">
        <f t="shared" ca="1" si="8"/>
        <v>340</v>
      </c>
      <c r="O11" s="110">
        <f t="shared" ca="1" si="9"/>
        <v>10</v>
      </c>
      <c r="P11" s="100"/>
      <c r="Q11" s="103">
        <v>0</v>
      </c>
      <c r="R11" s="103">
        <v>0</v>
      </c>
      <c r="S11" s="116">
        <v>3</v>
      </c>
      <c r="T11" s="116">
        <v>3</v>
      </c>
      <c r="U11" s="116">
        <v>0</v>
      </c>
      <c r="V11" s="116">
        <v>0</v>
      </c>
      <c r="W11" s="116">
        <v>0</v>
      </c>
      <c r="X11" s="116">
        <v>1</v>
      </c>
      <c r="Y11" s="116">
        <v>1</v>
      </c>
      <c r="Z11" s="116">
        <v>1</v>
      </c>
      <c r="AA11" s="116">
        <f ca="1">SUMIFS('Tổng Đơn'!$F:$F,'Tổng Đơn'!$B:$B,'Quốc Nhân'!$C11)</f>
        <v>1</v>
      </c>
      <c r="AB11" s="116">
        <v>0</v>
      </c>
      <c r="AC11" s="116">
        <v>0</v>
      </c>
      <c r="AD11" s="116">
        <v>0</v>
      </c>
      <c r="AE11" s="116">
        <v>0</v>
      </c>
      <c r="AG11" s="101">
        <f t="shared" si="10"/>
        <v>0</v>
      </c>
    </row>
    <row r="12" spans="1:33" ht="18.75" x14ac:dyDescent="0.25">
      <c r="A12" s="101">
        <f t="shared" ca="1" si="4"/>
        <v>471.67876218533689</v>
      </c>
      <c r="B12" s="6">
        <v>8</v>
      </c>
      <c r="C12" s="103" t="s">
        <v>8</v>
      </c>
      <c r="D12" s="111">
        <v>115</v>
      </c>
      <c r="E12" s="6">
        <v>0.5</v>
      </c>
      <c r="F12" s="6">
        <v>18</v>
      </c>
      <c r="G12" s="114">
        <f t="shared" si="1"/>
        <v>57.5</v>
      </c>
      <c r="H12" s="117">
        <f t="shared" si="5"/>
        <v>1035</v>
      </c>
      <c r="I12" s="107">
        <f t="shared" si="2"/>
        <v>1.4598452731671099</v>
      </c>
      <c r="J12" s="108">
        <f t="shared" si="3"/>
        <v>58.959845273167112</v>
      </c>
      <c r="K12" s="108">
        <f t="shared" si="6"/>
        <v>1061.277214917008</v>
      </c>
      <c r="L12" s="115">
        <v>64</v>
      </c>
      <c r="M12" s="106">
        <f t="shared" si="7"/>
        <v>1152</v>
      </c>
      <c r="N12" s="106">
        <f t="shared" ca="1" si="8"/>
        <v>576</v>
      </c>
      <c r="O12" s="110">
        <f t="shared" ca="1" si="9"/>
        <v>8</v>
      </c>
      <c r="P12" s="100">
        <v>1</v>
      </c>
      <c r="Q12" s="103">
        <v>0</v>
      </c>
      <c r="R12" s="103">
        <v>0</v>
      </c>
      <c r="S12" s="116">
        <v>1</v>
      </c>
      <c r="T12" s="116">
        <v>4</v>
      </c>
      <c r="U12" s="116">
        <v>2</v>
      </c>
      <c r="V12" s="116">
        <v>1</v>
      </c>
      <c r="W12" s="116">
        <v>0</v>
      </c>
      <c r="X12" s="116">
        <v>0</v>
      </c>
      <c r="Y12" s="116">
        <v>0</v>
      </c>
      <c r="Z12" s="116">
        <v>0</v>
      </c>
      <c r="AA12" s="116">
        <f ca="1">SUMIFS('Tổng Đơn'!$F:$F,'Tổng Đơn'!$B:$B,'Quốc Nhân'!$C12)</f>
        <v>1</v>
      </c>
      <c r="AB12" s="116">
        <v>0</v>
      </c>
      <c r="AC12" s="116">
        <v>0</v>
      </c>
      <c r="AD12" s="116">
        <v>0</v>
      </c>
      <c r="AE12" s="116">
        <v>0</v>
      </c>
      <c r="AG12" s="101">
        <f t="shared" si="10"/>
        <v>0</v>
      </c>
    </row>
    <row r="13" spans="1:33" ht="18.75" x14ac:dyDescent="0.25">
      <c r="A13" s="101">
        <f t="shared" ca="1" si="4"/>
        <v>915.15933750089823</v>
      </c>
      <c r="B13" s="6">
        <v>9</v>
      </c>
      <c r="C13" s="103" t="s">
        <v>9</v>
      </c>
      <c r="D13" s="111">
        <v>85</v>
      </c>
      <c r="E13" s="6">
        <v>0.5</v>
      </c>
      <c r="F13" s="6">
        <v>40</v>
      </c>
      <c r="G13" s="114">
        <f t="shared" si="1"/>
        <v>42.5</v>
      </c>
      <c r="H13" s="117">
        <f t="shared" si="5"/>
        <v>1700</v>
      </c>
      <c r="I13" s="107">
        <f t="shared" si="2"/>
        <v>1.0790160714713422</v>
      </c>
      <c r="J13" s="108">
        <f t="shared" si="3"/>
        <v>43.579016071471344</v>
      </c>
      <c r="K13" s="108">
        <f t="shared" si="6"/>
        <v>1743.1606428588539</v>
      </c>
      <c r="L13" s="115">
        <v>49</v>
      </c>
      <c r="M13" s="106">
        <f t="shared" si="7"/>
        <v>1960</v>
      </c>
      <c r="N13" s="106">
        <f t="shared" ca="1" si="8"/>
        <v>931</v>
      </c>
      <c r="O13" s="110">
        <f t="shared" ca="1" si="9"/>
        <v>21</v>
      </c>
      <c r="P13" s="100"/>
      <c r="Q13" s="103">
        <v>0</v>
      </c>
      <c r="R13" s="103">
        <v>0</v>
      </c>
      <c r="S13" s="116">
        <v>4</v>
      </c>
      <c r="T13" s="116">
        <v>1</v>
      </c>
      <c r="U13" s="116">
        <v>7</v>
      </c>
      <c r="V13" s="116">
        <v>2</v>
      </c>
      <c r="W13" s="116">
        <v>0</v>
      </c>
      <c r="X13" s="116">
        <v>3</v>
      </c>
      <c r="Y13" s="116">
        <v>2</v>
      </c>
      <c r="Z13" s="116">
        <v>0</v>
      </c>
      <c r="AA13" s="116">
        <f ca="1">SUMIFS('Tổng Đơn'!$F:$F,'Tổng Đơn'!$B:$B,'Quốc Nhân'!$C13)</f>
        <v>0</v>
      </c>
      <c r="AB13" s="116">
        <v>0</v>
      </c>
      <c r="AC13" s="116">
        <v>0</v>
      </c>
      <c r="AD13" s="116">
        <v>0</v>
      </c>
      <c r="AE13" s="116">
        <v>0</v>
      </c>
      <c r="AG13" s="101">
        <f t="shared" si="10"/>
        <v>0</v>
      </c>
    </row>
    <row r="14" spans="1:33" ht="18.75" x14ac:dyDescent="0.25">
      <c r="A14" s="101">
        <f t="shared" ca="1" si="4"/>
        <v>249.16943306747143</v>
      </c>
      <c r="B14" s="6">
        <v>10</v>
      </c>
      <c r="C14" s="103" t="s">
        <v>10</v>
      </c>
      <c r="D14" s="111">
        <v>54</v>
      </c>
      <c r="E14" s="6">
        <v>0.5</v>
      </c>
      <c r="F14" s="6">
        <v>10</v>
      </c>
      <c r="G14" s="114">
        <f t="shared" si="1"/>
        <v>27</v>
      </c>
      <c r="H14" s="117">
        <f t="shared" si="5"/>
        <v>270</v>
      </c>
      <c r="I14" s="107">
        <f t="shared" si="2"/>
        <v>0.68549256305238193</v>
      </c>
      <c r="J14" s="108">
        <f t="shared" si="3"/>
        <v>27.685492563052382</v>
      </c>
      <c r="K14" s="108">
        <f t="shared" si="6"/>
        <v>276.85492563052384</v>
      </c>
      <c r="L14" s="115">
        <v>32</v>
      </c>
      <c r="M14" s="106">
        <f t="shared" si="7"/>
        <v>320</v>
      </c>
      <c r="N14" s="106">
        <f t="shared" ca="1" si="8"/>
        <v>32</v>
      </c>
      <c r="O14" s="110">
        <f t="shared" ca="1" si="9"/>
        <v>9</v>
      </c>
      <c r="P14" s="100"/>
      <c r="Q14" s="103">
        <v>0</v>
      </c>
      <c r="R14" s="103">
        <v>0</v>
      </c>
      <c r="S14" s="116">
        <v>0</v>
      </c>
      <c r="T14" s="116">
        <v>1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f ca="1">SUMIFS('Tổng Đơn'!$F:$F,'Tổng Đơn'!$B:$B,'Quốc Nhân'!$C14)</f>
        <v>0</v>
      </c>
      <c r="AB14" s="116">
        <v>0</v>
      </c>
      <c r="AC14" s="116">
        <v>0</v>
      </c>
      <c r="AD14" s="116">
        <v>0</v>
      </c>
      <c r="AE14" s="116">
        <v>0</v>
      </c>
      <c r="AG14" s="101">
        <f t="shared" si="10"/>
        <v>0</v>
      </c>
    </row>
    <row r="15" spans="1:33" ht="18.75" x14ac:dyDescent="0.25">
      <c r="A15" s="101">
        <f t="shared" ca="1" si="4"/>
        <v>276.85492563052384</v>
      </c>
      <c r="B15" s="6">
        <v>11</v>
      </c>
      <c r="C15" s="103" t="s">
        <v>11</v>
      </c>
      <c r="D15" s="111">
        <v>54</v>
      </c>
      <c r="E15" s="6">
        <v>0.5</v>
      </c>
      <c r="F15" s="6">
        <v>10</v>
      </c>
      <c r="G15" s="114">
        <f t="shared" si="1"/>
        <v>27</v>
      </c>
      <c r="H15" s="117">
        <f t="shared" si="5"/>
        <v>270</v>
      </c>
      <c r="I15" s="107">
        <f t="shared" si="2"/>
        <v>0.68549256305238193</v>
      </c>
      <c r="J15" s="108">
        <f t="shared" si="3"/>
        <v>27.685492563052382</v>
      </c>
      <c r="K15" s="108">
        <f t="shared" si="6"/>
        <v>276.85492563052384</v>
      </c>
      <c r="L15" s="115">
        <v>35</v>
      </c>
      <c r="M15" s="106">
        <f t="shared" si="7"/>
        <v>350</v>
      </c>
      <c r="N15" s="106">
        <f t="shared" ca="1" si="8"/>
        <v>0</v>
      </c>
      <c r="O15" s="110">
        <f t="shared" ca="1" si="9"/>
        <v>10</v>
      </c>
      <c r="P15" s="100"/>
      <c r="Q15" s="103">
        <v>0</v>
      </c>
      <c r="R15" s="103">
        <v>0</v>
      </c>
      <c r="S15" s="116">
        <v>0</v>
      </c>
      <c r="T15" s="116">
        <v>0</v>
      </c>
      <c r="U15" s="116">
        <v>0</v>
      </c>
      <c r="V15" s="116">
        <v>0</v>
      </c>
      <c r="W15" s="116">
        <v>0</v>
      </c>
      <c r="X15" s="116">
        <v>0</v>
      </c>
      <c r="Y15" s="116">
        <v>0</v>
      </c>
      <c r="Z15" s="116">
        <v>0</v>
      </c>
      <c r="AA15" s="116">
        <f ca="1">SUMIFS('Tổng Đơn'!$F:$F,'Tổng Đơn'!$B:$B,'Quốc Nhân'!$C15)</f>
        <v>0</v>
      </c>
      <c r="AB15" s="116">
        <v>0</v>
      </c>
      <c r="AC15" s="116">
        <v>0</v>
      </c>
      <c r="AD15" s="116">
        <v>0</v>
      </c>
      <c r="AE15" s="116">
        <v>0</v>
      </c>
      <c r="AG15" s="101">
        <f t="shared" si="10"/>
        <v>0</v>
      </c>
    </row>
    <row r="16" spans="1:33" ht="18.75" x14ac:dyDescent="0.25">
      <c r="A16" s="101">
        <f t="shared" ca="1" si="4"/>
        <v>714.69586357212995</v>
      </c>
      <c r="B16" s="6">
        <v>12</v>
      </c>
      <c r="C16" s="103" t="s">
        <v>12</v>
      </c>
      <c r="D16" s="111">
        <v>41</v>
      </c>
      <c r="E16" s="6">
        <v>0.5</v>
      </c>
      <c r="F16" s="6">
        <v>70</v>
      </c>
      <c r="G16" s="114">
        <f t="shared" si="1"/>
        <v>20.5</v>
      </c>
      <c r="H16" s="117">
        <f t="shared" si="5"/>
        <v>1435</v>
      </c>
      <c r="I16" s="107">
        <f t="shared" si="2"/>
        <v>0.52046657565088261</v>
      </c>
      <c r="J16" s="108">
        <f t="shared" si="3"/>
        <v>21.020466575650882</v>
      </c>
      <c r="K16" s="108">
        <f t="shared" si="6"/>
        <v>1471.4326602955618</v>
      </c>
      <c r="L16" s="115">
        <v>26</v>
      </c>
      <c r="M16" s="106">
        <f t="shared" si="7"/>
        <v>1820</v>
      </c>
      <c r="N16" s="106">
        <f t="shared" ca="1" si="8"/>
        <v>936</v>
      </c>
      <c r="O16" s="110">
        <f t="shared" ca="1" si="9"/>
        <v>34</v>
      </c>
      <c r="P16" s="100"/>
      <c r="Q16" s="103">
        <v>0</v>
      </c>
      <c r="R16" s="103">
        <v>0</v>
      </c>
      <c r="S16" s="116">
        <v>4</v>
      </c>
      <c r="T16" s="116">
        <v>2</v>
      </c>
      <c r="U16" s="116">
        <v>12</v>
      </c>
      <c r="V16" s="116">
        <v>0</v>
      </c>
      <c r="W16" s="116">
        <v>4</v>
      </c>
      <c r="X16" s="116">
        <v>0</v>
      </c>
      <c r="Y16" s="116">
        <v>4</v>
      </c>
      <c r="Z16" s="116">
        <v>5</v>
      </c>
      <c r="AA16" s="116">
        <f ca="1">SUMIFS('Tổng Đơn'!$F:$F,'Tổng Đơn'!$B:$B,'Quốc Nhân'!$C16)</f>
        <v>5</v>
      </c>
      <c r="AB16" s="116">
        <v>0</v>
      </c>
      <c r="AC16" s="116">
        <v>0</v>
      </c>
      <c r="AD16" s="116">
        <v>0</v>
      </c>
      <c r="AE16" s="116">
        <v>0</v>
      </c>
      <c r="AG16" s="101">
        <f t="shared" si="10"/>
        <v>0</v>
      </c>
    </row>
    <row r="17" spans="1:33" ht="18.75" x14ac:dyDescent="0.25">
      <c r="A17" s="101">
        <f t="shared" ca="1" si="4"/>
        <v>168.16373260520706</v>
      </c>
      <c r="B17" s="6">
        <v>13</v>
      </c>
      <c r="C17" s="103" t="s">
        <v>13</v>
      </c>
      <c r="D17" s="111">
        <v>41</v>
      </c>
      <c r="E17" s="6">
        <v>0.5</v>
      </c>
      <c r="F17" s="6">
        <v>20</v>
      </c>
      <c r="G17" s="114">
        <f t="shared" si="1"/>
        <v>20.5</v>
      </c>
      <c r="H17" s="117">
        <f t="shared" si="5"/>
        <v>410</v>
      </c>
      <c r="I17" s="107">
        <f t="shared" si="2"/>
        <v>0.52046657565088261</v>
      </c>
      <c r="J17" s="108">
        <f t="shared" si="3"/>
        <v>21.020466575650882</v>
      </c>
      <c r="K17" s="108">
        <f t="shared" si="6"/>
        <v>420.40933151301766</v>
      </c>
      <c r="L17" s="115">
        <v>28</v>
      </c>
      <c r="M17" s="106">
        <f t="shared" si="7"/>
        <v>560</v>
      </c>
      <c r="N17" s="106">
        <f t="shared" ca="1" si="8"/>
        <v>336</v>
      </c>
      <c r="O17" s="110">
        <f t="shared" ca="1" si="9"/>
        <v>8</v>
      </c>
      <c r="P17" s="100"/>
      <c r="Q17" s="103">
        <v>0</v>
      </c>
      <c r="R17" s="103">
        <v>0</v>
      </c>
      <c r="S17" s="116">
        <v>3</v>
      </c>
      <c r="T17" s="116">
        <v>2</v>
      </c>
      <c r="U17" s="116">
        <v>1</v>
      </c>
      <c r="V17" s="116">
        <v>0</v>
      </c>
      <c r="W17" s="116">
        <v>0</v>
      </c>
      <c r="X17" s="116">
        <v>3</v>
      </c>
      <c r="Y17" s="116">
        <v>2</v>
      </c>
      <c r="Z17" s="116">
        <v>1</v>
      </c>
      <c r="AA17" s="116">
        <f ca="1">SUMIFS('Tổng Đơn'!$F:$F,'Tổng Đơn'!$B:$B,'Quốc Nhân'!$C17)</f>
        <v>0</v>
      </c>
      <c r="AB17" s="116">
        <v>0</v>
      </c>
      <c r="AC17" s="116">
        <v>0</v>
      </c>
      <c r="AD17" s="116">
        <v>0</v>
      </c>
      <c r="AE17" s="116">
        <v>0</v>
      </c>
      <c r="AF17" s="101">
        <v>20</v>
      </c>
      <c r="AG17" s="101">
        <f t="shared" si="10"/>
        <v>410</v>
      </c>
    </row>
    <row r="18" spans="1:33" ht="18.75" x14ac:dyDescent="0.25">
      <c r="A18" s="101">
        <f t="shared" ca="1" si="4"/>
        <v>563.96373739551154</v>
      </c>
      <c r="B18" s="6">
        <v>14</v>
      </c>
      <c r="C18" s="103" t="s">
        <v>14</v>
      </c>
      <c r="D18" s="111">
        <v>55</v>
      </c>
      <c r="E18" s="6">
        <v>0.5</v>
      </c>
      <c r="F18" s="6">
        <v>70</v>
      </c>
      <c r="G18" s="114">
        <f t="shared" si="1"/>
        <v>27.5</v>
      </c>
      <c r="H18" s="117">
        <f t="shared" si="5"/>
        <v>1925</v>
      </c>
      <c r="I18" s="107">
        <f t="shared" si="2"/>
        <v>0.6981868697755742</v>
      </c>
      <c r="J18" s="108">
        <f t="shared" si="3"/>
        <v>28.198186869775576</v>
      </c>
      <c r="K18" s="108">
        <f t="shared" si="6"/>
        <v>1973.8730808842904</v>
      </c>
      <c r="L18" s="115">
        <v>33</v>
      </c>
      <c r="M18" s="106">
        <f t="shared" si="7"/>
        <v>2310</v>
      </c>
      <c r="N18" s="106">
        <f t="shared" ca="1" si="8"/>
        <v>1650</v>
      </c>
      <c r="O18" s="110">
        <f t="shared" ca="1" si="9"/>
        <v>20</v>
      </c>
      <c r="P18" s="100"/>
      <c r="Q18" s="103">
        <v>0</v>
      </c>
      <c r="R18" s="103">
        <v>0</v>
      </c>
      <c r="S18" s="116">
        <v>12</v>
      </c>
      <c r="T18" s="116">
        <v>6</v>
      </c>
      <c r="U18" s="116">
        <v>6</v>
      </c>
      <c r="V18" s="116">
        <v>2</v>
      </c>
      <c r="W18" s="116">
        <v>3</v>
      </c>
      <c r="X18" s="116">
        <v>3</v>
      </c>
      <c r="Y18" s="116">
        <v>4</v>
      </c>
      <c r="Z18" s="116">
        <v>4</v>
      </c>
      <c r="AA18" s="116">
        <f ca="1">SUMIFS('Tổng Đơn'!$F:$F,'Tổng Đơn'!$B:$B,'Quốc Nhân'!$C18)</f>
        <v>10</v>
      </c>
      <c r="AB18" s="116">
        <v>0</v>
      </c>
      <c r="AC18" s="116">
        <v>0</v>
      </c>
      <c r="AD18" s="116">
        <v>0</v>
      </c>
      <c r="AE18" s="116">
        <v>0</v>
      </c>
      <c r="AG18" s="101">
        <f t="shared" si="10"/>
        <v>0</v>
      </c>
    </row>
    <row r="19" spans="1:33" ht="18.75" x14ac:dyDescent="0.25">
      <c r="A19" s="101">
        <f t="shared" ca="1" si="4"/>
        <v>246.09326722713229</v>
      </c>
      <c r="B19" s="6">
        <v>15</v>
      </c>
      <c r="C19" s="103" t="s">
        <v>15</v>
      </c>
      <c r="D19" s="111">
        <v>60</v>
      </c>
      <c r="E19" s="6">
        <v>0.5</v>
      </c>
      <c r="F19" s="6">
        <v>10</v>
      </c>
      <c r="G19" s="114">
        <f t="shared" si="1"/>
        <v>30</v>
      </c>
      <c r="H19" s="117">
        <f t="shared" si="5"/>
        <v>300</v>
      </c>
      <c r="I19" s="107">
        <f t="shared" si="2"/>
        <v>0.76165840339153557</v>
      </c>
      <c r="J19" s="108">
        <f t="shared" si="3"/>
        <v>30.761658403391536</v>
      </c>
      <c r="K19" s="108">
        <f t="shared" si="6"/>
        <v>307.61658403391539</v>
      </c>
      <c r="L19" s="115">
        <v>35</v>
      </c>
      <c r="M19" s="106">
        <f t="shared" si="7"/>
        <v>350</v>
      </c>
      <c r="N19" s="106">
        <f t="shared" ca="1" si="8"/>
        <v>70</v>
      </c>
      <c r="O19" s="110">
        <f t="shared" ca="1" si="9"/>
        <v>8</v>
      </c>
      <c r="P19" s="100"/>
      <c r="Q19" s="103">
        <v>0</v>
      </c>
      <c r="R19" s="103">
        <v>1</v>
      </c>
      <c r="S19" s="116">
        <v>0</v>
      </c>
      <c r="T19" s="116">
        <v>0</v>
      </c>
      <c r="U19" s="116">
        <v>0</v>
      </c>
      <c r="V19" s="116">
        <v>0</v>
      </c>
      <c r="W19" s="116">
        <v>0</v>
      </c>
      <c r="X19" s="116">
        <v>0</v>
      </c>
      <c r="Y19" s="116">
        <v>0</v>
      </c>
      <c r="Z19" s="116">
        <v>1</v>
      </c>
      <c r="AA19" s="116">
        <f ca="1">SUMIFS('Tổng Đơn'!$F:$F,'Tổng Đơn'!$B:$B,'Quốc Nhân'!$C19)</f>
        <v>0</v>
      </c>
      <c r="AB19" s="116">
        <v>0</v>
      </c>
      <c r="AC19" s="116">
        <v>0</v>
      </c>
      <c r="AD19" s="116">
        <v>0</v>
      </c>
      <c r="AE19" s="116">
        <v>0</v>
      </c>
      <c r="AG19" s="101">
        <f t="shared" si="10"/>
        <v>0</v>
      </c>
    </row>
    <row r="20" spans="1:33" ht="18.75" x14ac:dyDescent="0.25">
      <c r="A20" s="101">
        <f t="shared" ca="1" si="4"/>
        <v>55.370985126104763</v>
      </c>
      <c r="B20" s="6">
        <v>16</v>
      </c>
      <c r="C20" s="103" t="s">
        <v>165</v>
      </c>
      <c r="D20" s="111">
        <v>54</v>
      </c>
      <c r="E20" s="6">
        <v>0.5</v>
      </c>
      <c r="F20" s="6">
        <v>10</v>
      </c>
      <c r="G20" s="114">
        <f t="shared" si="1"/>
        <v>27</v>
      </c>
      <c r="H20" s="117">
        <f t="shared" ref="H20:H25" si="11">G20*F20</f>
        <v>270</v>
      </c>
      <c r="I20" s="107">
        <f t="shared" si="2"/>
        <v>0.68549256305238193</v>
      </c>
      <c r="J20" s="108">
        <f t="shared" ref="J20:J25" si="12">G20+I20</f>
        <v>27.685492563052382</v>
      </c>
      <c r="K20" s="108">
        <f t="shared" ref="K20:K25" si="13">J20*F20</f>
        <v>276.85492563052384</v>
      </c>
      <c r="L20" s="115">
        <v>35</v>
      </c>
      <c r="M20" s="106">
        <f t="shared" ref="M20:M25" si="14">L20*F20</f>
        <v>350</v>
      </c>
      <c r="N20" s="106">
        <f t="shared" ca="1" si="8"/>
        <v>315</v>
      </c>
      <c r="O20" s="110">
        <f t="shared" ca="1" si="9"/>
        <v>2</v>
      </c>
      <c r="P20" s="100">
        <v>-1</v>
      </c>
      <c r="Q20" s="103">
        <v>0</v>
      </c>
      <c r="R20" s="103">
        <v>0</v>
      </c>
      <c r="S20" s="116">
        <v>0</v>
      </c>
      <c r="T20" s="116">
        <v>0</v>
      </c>
      <c r="U20" s="116">
        <v>2</v>
      </c>
      <c r="V20" s="116">
        <v>0</v>
      </c>
      <c r="W20" s="116">
        <v>3</v>
      </c>
      <c r="X20" s="116">
        <v>0</v>
      </c>
      <c r="Y20" s="116">
        <v>3</v>
      </c>
      <c r="Z20" s="116">
        <v>1</v>
      </c>
      <c r="AA20" s="116">
        <f ca="1">SUMIFS('Tổng Đơn'!$F:$F,'Tổng Đơn'!$B:$B,'Quốc Nhân'!$C20)</f>
        <v>0</v>
      </c>
      <c r="AB20" s="116">
        <v>0</v>
      </c>
      <c r="AC20" s="116">
        <v>0</v>
      </c>
      <c r="AD20" s="116">
        <v>0</v>
      </c>
      <c r="AE20" s="116">
        <v>0</v>
      </c>
      <c r="AG20" s="101">
        <f t="shared" si="10"/>
        <v>0</v>
      </c>
    </row>
    <row r="21" spans="1:33" ht="18.75" x14ac:dyDescent="0.25">
      <c r="A21" s="101">
        <f t="shared" ca="1" si="4"/>
        <v>381.44456420205506</v>
      </c>
      <c r="B21" s="6">
        <v>17</v>
      </c>
      <c r="C21" s="103" t="s">
        <v>142</v>
      </c>
      <c r="D21" s="111">
        <v>62</v>
      </c>
      <c r="E21" s="6">
        <v>0.5</v>
      </c>
      <c r="F21" s="6">
        <v>25</v>
      </c>
      <c r="G21" s="114">
        <f t="shared" si="1"/>
        <v>31</v>
      </c>
      <c r="H21" s="117">
        <f t="shared" si="11"/>
        <v>775</v>
      </c>
      <c r="I21" s="107">
        <f t="shared" si="2"/>
        <v>0.78704701683792011</v>
      </c>
      <c r="J21" s="108">
        <f t="shared" si="12"/>
        <v>31.787047016837921</v>
      </c>
      <c r="K21" s="108">
        <f t="shared" si="13"/>
        <v>794.67617542094797</v>
      </c>
      <c r="L21" s="115">
        <v>40</v>
      </c>
      <c r="M21" s="106">
        <f t="shared" si="14"/>
        <v>1000</v>
      </c>
      <c r="N21" s="106">
        <f t="shared" ca="1" si="8"/>
        <v>520</v>
      </c>
      <c r="O21" s="110">
        <f t="shared" ca="1" si="9"/>
        <v>12</v>
      </c>
      <c r="P21" s="100"/>
      <c r="Q21" s="103">
        <v>0</v>
      </c>
      <c r="R21" s="103">
        <v>0</v>
      </c>
      <c r="S21" s="116">
        <v>0</v>
      </c>
      <c r="T21" s="116">
        <v>0</v>
      </c>
      <c r="U21" s="116">
        <v>2</v>
      </c>
      <c r="V21" s="116">
        <v>0</v>
      </c>
      <c r="W21" s="116">
        <v>1</v>
      </c>
      <c r="X21" s="116">
        <v>2</v>
      </c>
      <c r="Y21" s="116">
        <v>2</v>
      </c>
      <c r="Z21" s="116">
        <v>1</v>
      </c>
      <c r="AA21" s="116">
        <f ca="1">SUMIFS('Tổng Đơn'!$F:$F,'Tổng Đơn'!$B:$B,'Quốc Nhân'!$C21)</f>
        <v>5</v>
      </c>
      <c r="AB21" s="116">
        <v>0</v>
      </c>
      <c r="AC21" s="116">
        <v>0</v>
      </c>
      <c r="AD21" s="116">
        <v>0</v>
      </c>
      <c r="AE21" s="116">
        <v>0</v>
      </c>
      <c r="AG21" s="101">
        <f t="shared" si="10"/>
        <v>0</v>
      </c>
    </row>
    <row r="22" spans="1:33" ht="18.75" x14ac:dyDescent="0.25">
      <c r="A22" s="101">
        <f t="shared" ca="1" si="4"/>
        <v>0</v>
      </c>
      <c r="B22" s="6">
        <v>18</v>
      </c>
      <c r="C22" s="103" t="s">
        <v>143</v>
      </c>
      <c r="D22" s="111">
        <v>43</v>
      </c>
      <c r="E22" s="6">
        <v>0.5</v>
      </c>
      <c r="F22" s="6">
        <v>5</v>
      </c>
      <c r="G22" s="114">
        <f t="shared" si="1"/>
        <v>21.5</v>
      </c>
      <c r="H22" s="117">
        <f t="shared" si="11"/>
        <v>107.5</v>
      </c>
      <c r="I22" s="107">
        <f t="shared" si="2"/>
        <v>0.54585518909726716</v>
      </c>
      <c r="J22" s="108">
        <f t="shared" si="12"/>
        <v>22.045855189097267</v>
      </c>
      <c r="K22" s="108">
        <f t="shared" si="13"/>
        <v>110.22927594548634</v>
      </c>
      <c r="L22" s="115">
        <v>45</v>
      </c>
      <c r="M22" s="106">
        <f t="shared" si="14"/>
        <v>225</v>
      </c>
      <c r="N22" s="106">
        <f t="shared" ca="1" si="8"/>
        <v>225</v>
      </c>
      <c r="O22" s="110">
        <f t="shared" ca="1" si="9"/>
        <v>0</v>
      </c>
      <c r="P22" s="100"/>
      <c r="Q22" s="103"/>
      <c r="R22" s="103"/>
      <c r="S22" s="116"/>
      <c r="T22" s="116"/>
      <c r="U22" s="116">
        <v>1</v>
      </c>
      <c r="V22" s="116">
        <v>1</v>
      </c>
      <c r="W22" s="116">
        <v>0</v>
      </c>
      <c r="X22" s="116">
        <v>0</v>
      </c>
      <c r="Y22" s="116">
        <v>2</v>
      </c>
      <c r="Z22" s="116">
        <v>1</v>
      </c>
      <c r="AA22" s="116">
        <f ca="1">SUMIFS('Tổng Đơn'!$F:$F,'Tổng Đơn'!$B:$B,'Quốc Nhân'!$C22)</f>
        <v>0</v>
      </c>
      <c r="AB22" s="116">
        <v>0</v>
      </c>
      <c r="AC22" s="116">
        <v>0</v>
      </c>
      <c r="AD22" s="116">
        <v>0</v>
      </c>
      <c r="AE22" s="116">
        <v>0</v>
      </c>
      <c r="AF22" s="101">
        <v>20</v>
      </c>
      <c r="AG22" s="101">
        <f t="shared" si="10"/>
        <v>430</v>
      </c>
    </row>
    <row r="23" spans="1:33" ht="18.75" x14ac:dyDescent="0.25">
      <c r="A23" s="101">
        <f t="shared" ca="1" si="4"/>
        <v>0</v>
      </c>
      <c r="B23" s="6">
        <v>19</v>
      </c>
      <c r="C23" s="103" t="s">
        <v>178</v>
      </c>
      <c r="D23" s="111">
        <v>43.5</v>
      </c>
      <c r="E23" s="6">
        <v>0.5</v>
      </c>
      <c r="F23" s="6">
        <v>10</v>
      </c>
      <c r="G23" s="114">
        <f t="shared" si="1"/>
        <v>21.75</v>
      </c>
      <c r="H23" s="117">
        <f t="shared" si="11"/>
        <v>217.5</v>
      </c>
      <c r="I23" s="107">
        <f t="shared" si="2"/>
        <v>0.55220234245886324</v>
      </c>
      <c r="J23" s="108">
        <f t="shared" si="12"/>
        <v>22.302202342458862</v>
      </c>
      <c r="K23" s="108">
        <f t="shared" si="13"/>
        <v>223.02202342458861</v>
      </c>
      <c r="L23" s="115">
        <v>30</v>
      </c>
      <c r="M23" s="106">
        <f t="shared" si="14"/>
        <v>300</v>
      </c>
      <c r="N23" s="106">
        <f t="shared" ca="1" si="8"/>
        <v>300</v>
      </c>
      <c r="O23" s="110">
        <f t="shared" ca="1" si="9"/>
        <v>0</v>
      </c>
      <c r="P23" s="100"/>
      <c r="Q23" s="103"/>
      <c r="R23" s="103"/>
      <c r="S23" s="116"/>
      <c r="T23" s="116"/>
      <c r="U23" s="116"/>
      <c r="V23" s="116"/>
      <c r="W23" s="116"/>
      <c r="X23" s="116"/>
      <c r="Y23" s="116">
        <v>9</v>
      </c>
      <c r="Z23" s="116">
        <v>1</v>
      </c>
      <c r="AA23" s="116">
        <f ca="1">SUMIFS('Tổng Đơn'!$F:$F,'Tổng Đơn'!$B:$B,'Quốc Nhân'!$C23)</f>
        <v>0</v>
      </c>
      <c r="AB23" s="116">
        <v>0</v>
      </c>
      <c r="AC23" s="116">
        <v>0</v>
      </c>
      <c r="AD23" s="116">
        <v>0</v>
      </c>
      <c r="AE23" s="116">
        <v>0</v>
      </c>
      <c r="AF23" s="101">
        <v>30</v>
      </c>
      <c r="AG23" s="101">
        <f t="shared" si="10"/>
        <v>652.5</v>
      </c>
    </row>
    <row r="24" spans="1:33" ht="18.75" x14ac:dyDescent="0.25">
      <c r="A24" s="101">
        <f t="shared" ca="1" si="4"/>
        <v>239.94093554645397</v>
      </c>
      <c r="B24" s="6">
        <v>20</v>
      </c>
      <c r="C24" s="103" t="s">
        <v>176</v>
      </c>
      <c r="D24" s="111">
        <v>39</v>
      </c>
      <c r="E24" s="6">
        <v>1</v>
      </c>
      <c r="F24" s="6">
        <v>10</v>
      </c>
      <c r="G24" s="114">
        <f t="shared" si="1"/>
        <v>39</v>
      </c>
      <c r="H24" s="117">
        <f t="shared" si="11"/>
        <v>390</v>
      </c>
      <c r="I24" s="107">
        <f t="shared" si="2"/>
        <v>0.99015592440899636</v>
      </c>
      <c r="J24" s="108">
        <f t="shared" si="12"/>
        <v>39.990155924408995</v>
      </c>
      <c r="K24" s="108">
        <f t="shared" si="13"/>
        <v>399.90155924408998</v>
      </c>
      <c r="L24" s="115">
        <v>49</v>
      </c>
      <c r="M24" s="106">
        <f t="shared" si="14"/>
        <v>490</v>
      </c>
      <c r="N24" s="106">
        <f t="shared" ca="1" si="8"/>
        <v>196</v>
      </c>
      <c r="O24" s="110">
        <f t="shared" ref="O24:O25" ca="1" si="15">F24-SUM(Q24:AE24)-P24</f>
        <v>6</v>
      </c>
      <c r="P24" s="100"/>
      <c r="Q24" s="103"/>
      <c r="R24" s="103"/>
      <c r="S24" s="116"/>
      <c r="T24" s="116"/>
      <c r="U24" s="116"/>
      <c r="V24" s="116"/>
      <c r="W24" s="116"/>
      <c r="X24" s="116"/>
      <c r="Y24" s="116">
        <v>2</v>
      </c>
      <c r="Z24" s="116">
        <v>2</v>
      </c>
      <c r="AA24" s="116">
        <f ca="1">SUMIFS('Tổng Đơn'!$F:$F,'Tổng Đơn'!$B:$B,'Quốc Nhân'!$C24)</f>
        <v>0</v>
      </c>
      <c r="AB24" s="116">
        <v>0</v>
      </c>
      <c r="AC24" s="116">
        <v>0</v>
      </c>
      <c r="AD24" s="116">
        <v>0</v>
      </c>
      <c r="AE24" s="116">
        <v>0</v>
      </c>
      <c r="AG24" s="101">
        <f t="shared" si="10"/>
        <v>0</v>
      </c>
    </row>
    <row r="25" spans="1:33" ht="18.75" x14ac:dyDescent="0.25">
      <c r="A25" s="101">
        <f t="shared" ca="1" si="4"/>
        <v>817.74741922349165</v>
      </c>
      <c r="B25" s="6">
        <v>21</v>
      </c>
      <c r="C25" s="103" t="s">
        <v>174</v>
      </c>
      <c r="D25" s="111">
        <v>145</v>
      </c>
      <c r="E25" s="6">
        <v>0.5</v>
      </c>
      <c r="F25" s="6">
        <v>16</v>
      </c>
      <c r="G25" s="114">
        <f t="shared" si="1"/>
        <v>72.5</v>
      </c>
      <c r="H25" s="117">
        <f t="shared" si="11"/>
        <v>1160</v>
      </c>
      <c r="I25" s="107">
        <f t="shared" si="2"/>
        <v>1.8406744748628774</v>
      </c>
      <c r="J25" s="108">
        <f t="shared" si="12"/>
        <v>74.34067447486288</v>
      </c>
      <c r="K25" s="108">
        <f t="shared" si="13"/>
        <v>1189.4507915978061</v>
      </c>
      <c r="L25" s="115">
        <v>80</v>
      </c>
      <c r="M25" s="106">
        <f t="shared" si="14"/>
        <v>1280</v>
      </c>
      <c r="N25" s="106">
        <f t="shared" ca="1" si="8"/>
        <v>400</v>
      </c>
      <c r="O25" s="110">
        <f t="shared" ca="1" si="15"/>
        <v>11</v>
      </c>
      <c r="P25" s="100"/>
      <c r="Q25" s="103"/>
      <c r="R25" s="103"/>
      <c r="S25" s="116"/>
      <c r="T25" s="116"/>
      <c r="U25" s="116"/>
      <c r="V25" s="116"/>
      <c r="W25" s="116"/>
      <c r="X25" s="116"/>
      <c r="Y25" s="116">
        <v>2</v>
      </c>
      <c r="Z25" s="116">
        <v>2</v>
      </c>
      <c r="AA25" s="116">
        <f ca="1">SUMIFS('Tổng Đơn'!$F:$F,'Tổng Đơn'!$B:$B,'Quốc Nhân'!$C25)</f>
        <v>1</v>
      </c>
      <c r="AB25" s="116">
        <v>0</v>
      </c>
      <c r="AC25" s="116">
        <v>0</v>
      </c>
      <c r="AD25" s="116">
        <v>0</v>
      </c>
      <c r="AE25" s="116">
        <v>0</v>
      </c>
      <c r="AG25" s="101">
        <f t="shared" si="10"/>
        <v>0</v>
      </c>
    </row>
    <row r="26" spans="1:33" ht="18.75" x14ac:dyDescent="0.25">
      <c r="A26" s="101">
        <f t="shared" ca="1" si="4"/>
        <v>227.63627218509737</v>
      </c>
      <c r="B26" s="6">
        <v>22</v>
      </c>
      <c r="C26" s="103" t="s">
        <v>180</v>
      </c>
      <c r="D26" s="111">
        <v>74</v>
      </c>
      <c r="E26" s="6">
        <v>0.5</v>
      </c>
      <c r="F26" s="6">
        <v>10</v>
      </c>
      <c r="G26" s="114">
        <f t="shared" si="1"/>
        <v>37</v>
      </c>
      <c r="H26" s="117">
        <f t="shared" ref="H26" si="16">G26*F26</f>
        <v>370</v>
      </c>
      <c r="I26" s="107">
        <f t="shared" si="2"/>
        <v>0.93937869751622727</v>
      </c>
      <c r="J26" s="108">
        <f t="shared" ref="J26" si="17">G26+I26</f>
        <v>37.939378697516226</v>
      </c>
      <c r="K26" s="108">
        <f t="shared" ref="K26" si="18">J26*F26</f>
        <v>379.39378697516224</v>
      </c>
      <c r="L26" s="115">
        <v>42</v>
      </c>
      <c r="M26" s="106">
        <f t="shared" ref="M26" si="19">L26*F26</f>
        <v>420</v>
      </c>
      <c r="N26" s="106">
        <f t="shared" ca="1" si="8"/>
        <v>126</v>
      </c>
      <c r="O26" s="110">
        <f t="shared" ref="O26" ca="1" si="20">F26-SUM(Q26:AE26)-P26</f>
        <v>6</v>
      </c>
      <c r="P26" s="100">
        <v>1</v>
      </c>
      <c r="Q26" s="103"/>
      <c r="R26" s="103"/>
      <c r="S26" s="116"/>
      <c r="T26" s="116"/>
      <c r="U26" s="116"/>
      <c r="V26" s="116"/>
      <c r="W26" s="116"/>
      <c r="X26" s="116"/>
      <c r="Y26" s="116">
        <v>1</v>
      </c>
      <c r="Z26" s="116">
        <v>1</v>
      </c>
      <c r="AA26" s="116">
        <f ca="1">SUMIFS('Tổng Đơn'!$F:$F,'Tổng Đơn'!$B:$B,'Quốc Nhân'!$C26)</f>
        <v>1</v>
      </c>
      <c r="AB26" s="116">
        <v>0</v>
      </c>
      <c r="AC26" s="116">
        <v>0</v>
      </c>
      <c r="AD26" s="116">
        <v>0</v>
      </c>
      <c r="AE26" s="116">
        <v>0</v>
      </c>
      <c r="AF26" s="101">
        <v>10</v>
      </c>
      <c r="AG26" s="101">
        <f t="shared" si="10"/>
        <v>370</v>
      </c>
    </row>
    <row r="27" spans="1:33" ht="18.75" x14ac:dyDescent="0.25">
      <c r="A27" s="101">
        <f t="shared" ca="1" si="4"/>
        <v>302.4896409666834</v>
      </c>
      <c r="B27" s="6">
        <v>23</v>
      </c>
      <c r="C27" s="103" t="s">
        <v>182</v>
      </c>
      <c r="D27" s="111">
        <v>59</v>
      </c>
      <c r="E27" s="6">
        <v>0.5</v>
      </c>
      <c r="F27" s="6">
        <v>10</v>
      </c>
      <c r="G27" s="114">
        <f t="shared" si="1"/>
        <v>29.5</v>
      </c>
      <c r="H27" s="117">
        <f t="shared" ref="H27:H28" si="21">G27*F27</f>
        <v>295</v>
      </c>
      <c r="I27" s="107">
        <f t="shared" si="2"/>
        <v>0.74896409666834329</v>
      </c>
      <c r="J27" s="108">
        <f t="shared" ref="J27:J28" si="22">G27+I27</f>
        <v>30.248964096668342</v>
      </c>
      <c r="K27" s="108">
        <f t="shared" ref="K27:K28" si="23">J27*F27</f>
        <v>302.4896409666834</v>
      </c>
      <c r="L27" s="115">
        <v>35</v>
      </c>
      <c r="M27" s="106">
        <f t="shared" ref="M27:M28" si="24">L27*F27</f>
        <v>350</v>
      </c>
      <c r="N27" s="106">
        <f t="shared" ca="1" si="8"/>
        <v>0</v>
      </c>
      <c r="O27" s="110">
        <f t="shared" ref="O27:O28" ca="1" si="25">F27-SUM(Q27:AE27)-P27</f>
        <v>10</v>
      </c>
      <c r="P27" s="100"/>
      <c r="Q27" s="103"/>
      <c r="R27" s="103"/>
      <c r="S27" s="116"/>
      <c r="T27" s="116"/>
      <c r="U27" s="116"/>
      <c r="V27" s="116"/>
      <c r="W27" s="116"/>
      <c r="X27" s="116"/>
      <c r="Y27" s="116">
        <v>0</v>
      </c>
      <c r="Z27" s="116">
        <v>0</v>
      </c>
      <c r="AA27" s="116">
        <f ca="1">SUMIFS('Tổng Đơn'!$F:$F,'Tổng Đơn'!$B:$B,'Quốc Nhân'!$C27)</f>
        <v>0</v>
      </c>
      <c r="AB27" s="116">
        <v>0</v>
      </c>
      <c r="AC27" s="116">
        <v>0</v>
      </c>
      <c r="AD27" s="116">
        <v>0</v>
      </c>
      <c r="AE27" s="116">
        <v>0</v>
      </c>
      <c r="AG27" s="101">
        <f t="shared" si="10"/>
        <v>0</v>
      </c>
    </row>
    <row r="28" spans="1:33" ht="18.75" x14ac:dyDescent="0.25">
      <c r="A28" s="101">
        <f t="shared" ca="1" si="4"/>
        <v>290.69767191205005</v>
      </c>
      <c r="B28" s="6">
        <v>24</v>
      </c>
      <c r="C28" s="103" t="s">
        <v>183</v>
      </c>
      <c r="D28" s="111">
        <v>63</v>
      </c>
      <c r="E28" s="6">
        <v>0.5</v>
      </c>
      <c r="F28" s="6">
        <v>10</v>
      </c>
      <c r="G28" s="114">
        <f t="shared" si="1"/>
        <v>31.5</v>
      </c>
      <c r="H28" s="117">
        <f t="shared" si="21"/>
        <v>315</v>
      </c>
      <c r="I28" s="107">
        <f t="shared" si="2"/>
        <v>0.79974132356111238</v>
      </c>
      <c r="J28" s="108">
        <f t="shared" si="22"/>
        <v>32.299741323561115</v>
      </c>
      <c r="K28" s="108">
        <f t="shared" si="23"/>
        <v>322.99741323561113</v>
      </c>
      <c r="L28" s="115">
        <v>38</v>
      </c>
      <c r="M28" s="106">
        <f t="shared" si="24"/>
        <v>380</v>
      </c>
      <c r="N28" s="106">
        <f t="shared" ca="1" si="8"/>
        <v>38</v>
      </c>
      <c r="O28" s="110">
        <f t="shared" ca="1" si="25"/>
        <v>9</v>
      </c>
      <c r="P28" s="100"/>
      <c r="Q28" s="103"/>
      <c r="R28" s="103"/>
      <c r="S28" s="116"/>
      <c r="T28" s="116"/>
      <c r="U28" s="116"/>
      <c r="V28" s="116"/>
      <c r="W28" s="116"/>
      <c r="X28" s="116"/>
      <c r="Y28" s="116">
        <v>0</v>
      </c>
      <c r="Z28" s="116">
        <v>1</v>
      </c>
      <c r="AA28" s="116">
        <f ca="1">SUMIFS('Tổng Đơn'!$F:$F,'Tổng Đơn'!$B:$B,'Quốc Nhân'!$C28)</f>
        <v>0</v>
      </c>
      <c r="AB28" s="116">
        <v>0</v>
      </c>
      <c r="AC28" s="116">
        <v>0</v>
      </c>
      <c r="AD28" s="116">
        <v>0</v>
      </c>
      <c r="AE28" s="116">
        <v>0</v>
      </c>
      <c r="AG28" s="101">
        <f t="shared" si="10"/>
        <v>0</v>
      </c>
    </row>
  </sheetData>
  <autoFilter ref="B4:M25"/>
  <mergeCells count="1">
    <mergeCell ref="B1:M1"/>
  </mergeCells>
  <conditionalFormatting sqref="C6:C19">
    <cfRule type="expression" dxfId="104" priority="15">
      <formula>($O6/$O6)&lt;=1/4</formula>
    </cfRule>
  </conditionalFormatting>
  <conditionalFormatting sqref="C20">
    <cfRule type="expression" dxfId="103" priority="14">
      <formula>($O20/$O20)&lt;=1/4</formula>
    </cfRule>
  </conditionalFormatting>
  <conditionalFormatting sqref="C5:C20">
    <cfRule type="expression" dxfId="102" priority="13">
      <formula>($O5/$F5)&lt;=1/4</formula>
    </cfRule>
  </conditionalFormatting>
  <conditionalFormatting sqref="C21">
    <cfRule type="expression" dxfId="101" priority="12">
      <formula>($O21/$O21)&lt;=1/4</formula>
    </cfRule>
  </conditionalFormatting>
  <conditionalFormatting sqref="C21">
    <cfRule type="expression" dxfId="100" priority="11">
      <formula>($O21/$F21)&lt;=1/4</formula>
    </cfRule>
  </conditionalFormatting>
  <conditionalFormatting sqref="C22">
    <cfRule type="expression" dxfId="99" priority="10">
      <formula>($O22/$O22)&lt;=1/4</formula>
    </cfRule>
  </conditionalFormatting>
  <conditionalFormatting sqref="C22">
    <cfRule type="expression" dxfId="98" priority="9">
      <formula>($O22/$F22)&lt;=1/4</formula>
    </cfRule>
  </conditionalFormatting>
  <conditionalFormatting sqref="C23">
    <cfRule type="expression" dxfId="97" priority="8">
      <formula>($O23/$O23)&lt;=1/4</formula>
    </cfRule>
  </conditionalFormatting>
  <conditionalFormatting sqref="C23">
    <cfRule type="expression" dxfId="96" priority="7">
      <formula>($O23/$F23)&lt;=1/4</formula>
    </cfRule>
  </conditionalFormatting>
  <conditionalFormatting sqref="C24:C25">
    <cfRule type="expression" dxfId="95" priority="6">
      <formula>($O24/$O24)&lt;=1/4</formula>
    </cfRule>
  </conditionalFormatting>
  <conditionalFormatting sqref="C24:C25">
    <cfRule type="expression" dxfId="94" priority="5">
      <formula>($O24/$F24)&lt;=1/4</formula>
    </cfRule>
  </conditionalFormatting>
  <conditionalFormatting sqref="C26">
    <cfRule type="expression" dxfId="93" priority="4">
      <formula>($O26/$O26)&lt;=1/4</formula>
    </cfRule>
  </conditionalFormatting>
  <conditionalFormatting sqref="C26">
    <cfRule type="expression" dxfId="92" priority="3">
      <formula>($O26/$F26)&lt;=1/4</formula>
    </cfRule>
  </conditionalFormatting>
  <conditionalFormatting sqref="C27:C28">
    <cfRule type="expression" dxfId="91" priority="2">
      <formula>($O27/$O27)&lt;=1/4</formula>
    </cfRule>
  </conditionalFormatting>
  <conditionalFormatting sqref="C27:C28">
    <cfRule type="expression" dxfId="90" priority="1">
      <formula>($O27/$F27)&lt;=1/4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2" t="s">
        <v>25</v>
      </c>
      <c r="B3" s="23" t="s">
        <v>56</v>
      </c>
      <c r="C3" s="24">
        <v>27000</v>
      </c>
      <c r="E3" s="22" t="s">
        <v>142</v>
      </c>
      <c r="F3" s="23" t="s">
        <v>56</v>
      </c>
      <c r="G3" s="24">
        <v>42000</v>
      </c>
    </row>
    <row r="4" spans="1:7" ht="23.25" customHeight="1" x14ac:dyDescent="0.25">
      <c r="A4" s="22" t="s">
        <v>1</v>
      </c>
      <c r="B4" s="23" t="s">
        <v>56</v>
      </c>
      <c r="C4" s="24">
        <v>25000</v>
      </c>
      <c r="E4" s="22" t="s">
        <v>143</v>
      </c>
      <c r="F4" s="23" t="s">
        <v>56</v>
      </c>
      <c r="G4" s="24">
        <v>35000</v>
      </c>
    </row>
    <row r="5" spans="1:7" ht="23.25" customHeight="1" x14ac:dyDescent="0.25">
      <c r="A5" s="22" t="s">
        <v>2</v>
      </c>
      <c r="B5" s="23" t="s">
        <v>56</v>
      </c>
      <c r="C5" s="24">
        <v>28000</v>
      </c>
      <c r="E5" s="22" t="s">
        <v>145</v>
      </c>
      <c r="F5" s="23" t="s">
        <v>56</v>
      </c>
      <c r="G5" s="24">
        <v>45000</v>
      </c>
    </row>
    <row r="6" spans="1:7" ht="23.25" customHeight="1" x14ac:dyDescent="0.25">
      <c r="A6" s="25" t="s">
        <v>3</v>
      </c>
      <c r="B6" s="29" t="s">
        <v>56</v>
      </c>
      <c r="C6" s="30">
        <v>30000</v>
      </c>
      <c r="E6" s="26" t="s">
        <v>147</v>
      </c>
      <c r="F6" s="23" t="s">
        <v>56</v>
      </c>
      <c r="G6" s="24">
        <v>45000</v>
      </c>
    </row>
    <row r="7" spans="1:7" ht="23.25" customHeight="1" x14ac:dyDescent="0.25">
      <c r="A7" s="26" t="s">
        <v>30</v>
      </c>
      <c r="B7" s="27" t="s">
        <v>56</v>
      </c>
      <c r="C7" s="28">
        <v>38000</v>
      </c>
      <c r="E7" s="26" t="s">
        <v>150</v>
      </c>
      <c r="F7" s="23" t="s">
        <v>56</v>
      </c>
      <c r="G7" s="24">
        <v>35000</v>
      </c>
    </row>
    <row r="8" spans="1:7" ht="23.25" customHeight="1" x14ac:dyDescent="0.25">
      <c r="A8" s="26" t="s">
        <v>28</v>
      </c>
      <c r="B8" s="23" t="s">
        <v>56</v>
      </c>
      <c r="C8" s="24">
        <v>42000</v>
      </c>
    </row>
    <row r="9" spans="1:7" ht="23.25" customHeight="1" x14ac:dyDescent="0.25">
      <c r="A9" s="25" t="s">
        <v>26</v>
      </c>
      <c r="B9" s="29" t="s">
        <v>63</v>
      </c>
      <c r="C9" s="30">
        <v>34000</v>
      </c>
    </row>
    <row r="10" spans="1:7" ht="23.25" customHeight="1" x14ac:dyDescent="0.25">
      <c r="A10" s="26" t="s">
        <v>151</v>
      </c>
      <c r="B10" s="27" t="s">
        <v>56</v>
      </c>
      <c r="C10" s="28">
        <v>35000</v>
      </c>
    </row>
    <row r="11" spans="1:7" ht="23.25" customHeight="1" x14ac:dyDescent="0.25">
      <c r="A11" s="25" t="s">
        <v>31</v>
      </c>
      <c r="B11" s="29" t="s">
        <v>56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55</v>
      </c>
      <c r="C13" s="21" t="s">
        <v>57</v>
      </c>
      <c r="E13" s="21" t="s">
        <v>17</v>
      </c>
      <c r="F13" s="21" t="s">
        <v>55</v>
      </c>
      <c r="G13" s="21" t="s">
        <v>57</v>
      </c>
    </row>
    <row r="14" spans="1:7" ht="23.25" customHeight="1" x14ac:dyDescent="0.25">
      <c r="A14" s="26" t="s">
        <v>6</v>
      </c>
      <c r="B14" s="27" t="s">
        <v>56</v>
      </c>
      <c r="C14" s="28">
        <v>50000</v>
      </c>
      <c r="E14" s="22" t="s">
        <v>13</v>
      </c>
      <c r="F14" s="23" t="s">
        <v>56</v>
      </c>
      <c r="G14" s="24">
        <v>28000</v>
      </c>
    </row>
    <row r="15" spans="1:7" ht="23.25" customHeight="1" x14ac:dyDescent="0.25">
      <c r="A15" s="26" t="s">
        <v>58</v>
      </c>
      <c r="B15" s="27" t="s">
        <v>56</v>
      </c>
      <c r="C15" s="28">
        <v>45000</v>
      </c>
      <c r="E15" s="22" t="s">
        <v>12</v>
      </c>
      <c r="F15" s="23" t="s">
        <v>56</v>
      </c>
      <c r="G15" s="24">
        <v>26000</v>
      </c>
    </row>
    <row r="16" spans="1:7" ht="23.25" customHeight="1" x14ac:dyDescent="0.25">
      <c r="A16" s="26" t="s">
        <v>35</v>
      </c>
      <c r="B16" s="27" t="s">
        <v>56</v>
      </c>
      <c r="C16" s="28">
        <v>45000</v>
      </c>
      <c r="D16" s="33"/>
      <c r="E16" s="22" t="s">
        <v>14</v>
      </c>
      <c r="F16" s="23" t="s">
        <v>56</v>
      </c>
      <c r="G16" s="24">
        <v>33000</v>
      </c>
    </row>
    <row r="17" spans="1:7" ht="23.25" customHeight="1" x14ac:dyDescent="0.25">
      <c r="A17" s="26" t="s">
        <v>32</v>
      </c>
      <c r="B17" s="27" t="s">
        <v>56</v>
      </c>
      <c r="C17" s="28">
        <v>45000</v>
      </c>
      <c r="D17" s="33"/>
      <c r="E17" s="22" t="s">
        <v>7</v>
      </c>
      <c r="F17" s="23" t="s">
        <v>56</v>
      </c>
      <c r="G17" s="24">
        <v>34000</v>
      </c>
    </row>
    <row r="18" spans="1:7" ht="23.25" customHeight="1" x14ac:dyDescent="0.25">
      <c r="A18" s="26" t="s">
        <v>34</v>
      </c>
      <c r="B18" s="27" t="s">
        <v>56</v>
      </c>
      <c r="C18" s="28">
        <v>45000</v>
      </c>
      <c r="D18" s="33"/>
      <c r="E18" s="26" t="s">
        <v>8</v>
      </c>
      <c r="F18" s="27" t="s">
        <v>56</v>
      </c>
      <c r="G18" s="28">
        <v>69000</v>
      </c>
    </row>
    <row r="19" spans="1:7" ht="23.25" customHeight="1" x14ac:dyDescent="0.25">
      <c r="A19" s="26" t="s">
        <v>33</v>
      </c>
      <c r="B19" s="27" t="s">
        <v>56</v>
      </c>
      <c r="C19" s="28">
        <v>45000</v>
      </c>
      <c r="E19" s="26" t="s">
        <v>27</v>
      </c>
      <c r="F19" s="23" t="s">
        <v>56</v>
      </c>
      <c r="G19" s="24">
        <v>38000</v>
      </c>
    </row>
    <row r="20" spans="1:7" ht="23.25" customHeight="1" x14ac:dyDescent="0.25">
      <c r="A20" s="25" t="s">
        <v>5</v>
      </c>
      <c r="B20" s="29" t="s">
        <v>54</v>
      </c>
      <c r="C20" s="30">
        <v>40000</v>
      </c>
      <c r="E20" s="25" t="s">
        <v>68</v>
      </c>
      <c r="F20" s="29" t="s">
        <v>53</v>
      </c>
      <c r="G20" s="30">
        <v>35000</v>
      </c>
    </row>
    <row r="21" spans="1:7" ht="23.25" customHeight="1" x14ac:dyDescent="0.25">
      <c r="A21" s="25" t="s">
        <v>4</v>
      </c>
      <c r="B21" s="29" t="s">
        <v>54</v>
      </c>
      <c r="C21" s="30">
        <v>40000</v>
      </c>
      <c r="E21" s="25" t="s">
        <v>29</v>
      </c>
      <c r="F21" s="29" t="s">
        <v>53</v>
      </c>
      <c r="G21" s="30">
        <v>45000</v>
      </c>
    </row>
    <row r="22" spans="1:7" ht="24.95" customHeight="1" x14ac:dyDescent="0.25">
      <c r="A22" s="26" t="s">
        <v>9</v>
      </c>
      <c r="B22" s="27" t="s">
        <v>56</v>
      </c>
      <c r="C22" s="28">
        <v>55000</v>
      </c>
      <c r="E22" s="26" t="s">
        <v>15</v>
      </c>
      <c r="F22" s="27" t="s">
        <v>53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53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66" t="s">
        <v>66</v>
      </c>
      <c r="B1" s="166"/>
      <c r="C1" s="166"/>
      <c r="E1" s="166" t="s">
        <v>66</v>
      </c>
      <c r="F1" s="166"/>
      <c r="G1" s="166"/>
    </row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6" t="s">
        <v>38</v>
      </c>
      <c r="B3" s="31" t="s">
        <v>56</v>
      </c>
      <c r="C3" s="16">
        <v>32000</v>
      </c>
      <c r="E3" s="26" t="s">
        <v>47</v>
      </c>
      <c r="F3" s="31" t="s">
        <v>56</v>
      </c>
      <c r="G3" s="16">
        <v>79000</v>
      </c>
    </row>
    <row r="4" spans="1:7" ht="23.25" customHeight="1" x14ac:dyDescent="0.25">
      <c r="A4" s="26" t="s">
        <v>39</v>
      </c>
      <c r="B4" s="31" t="s">
        <v>65</v>
      </c>
      <c r="C4" s="16">
        <v>14000</v>
      </c>
      <c r="E4" s="25" t="s">
        <v>37</v>
      </c>
      <c r="F4" s="32" t="s">
        <v>56</v>
      </c>
      <c r="G4" s="17">
        <v>66000</v>
      </c>
    </row>
    <row r="5" spans="1:7" ht="23.25" customHeight="1" x14ac:dyDescent="0.25">
      <c r="A5" s="25" t="s">
        <v>67</v>
      </c>
      <c r="B5" s="32" t="s">
        <v>56</v>
      </c>
      <c r="C5" s="17">
        <v>32000</v>
      </c>
      <c r="E5" s="25" t="s">
        <v>50</v>
      </c>
      <c r="F5" s="32" t="s">
        <v>64</v>
      </c>
      <c r="G5" s="17">
        <v>122000</v>
      </c>
    </row>
    <row r="6" spans="1:7" ht="23.25" customHeight="1" x14ac:dyDescent="0.25">
      <c r="A6" s="26" t="s">
        <v>40</v>
      </c>
      <c r="B6" s="31" t="s">
        <v>56</v>
      </c>
      <c r="C6" s="16">
        <v>34500</v>
      </c>
      <c r="E6" s="25" t="s">
        <v>36</v>
      </c>
      <c r="F6" s="32" t="s">
        <v>56</v>
      </c>
      <c r="G6" s="17">
        <v>66000</v>
      </c>
    </row>
    <row r="7" spans="1:7" ht="23.25" customHeight="1" x14ac:dyDescent="0.25">
      <c r="A7" s="26" t="s">
        <v>41</v>
      </c>
      <c r="B7" s="31" t="s">
        <v>65</v>
      </c>
      <c r="C7" s="16">
        <v>14000</v>
      </c>
      <c r="E7" s="26" t="s">
        <v>51</v>
      </c>
      <c r="F7" s="34" t="s">
        <v>56</v>
      </c>
      <c r="G7" s="18">
        <v>65000</v>
      </c>
    </row>
    <row r="8" spans="1:7" ht="23.25" customHeight="1" x14ac:dyDescent="0.25">
      <c r="A8" s="25" t="s">
        <v>42</v>
      </c>
      <c r="B8" s="32" t="s">
        <v>56</v>
      </c>
      <c r="C8" s="17">
        <v>34500</v>
      </c>
      <c r="E8" s="26" t="s">
        <v>52</v>
      </c>
      <c r="F8" s="34" t="s">
        <v>56</v>
      </c>
      <c r="G8" s="18">
        <v>54000</v>
      </c>
    </row>
    <row r="9" spans="1:7" ht="23.25" customHeight="1" x14ac:dyDescent="0.25">
      <c r="A9" s="25" t="s">
        <v>43</v>
      </c>
      <c r="B9" s="32" t="s">
        <v>65</v>
      </c>
      <c r="C9" s="17">
        <v>14000</v>
      </c>
      <c r="E9" s="26" t="s">
        <v>46</v>
      </c>
      <c r="F9" s="34" t="s">
        <v>56</v>
      </c>
      <c r="G9" s="18">
        <v>59000</v>
      </c>
    </row>
    <row r="10" spans="1:7" ht="23.25" customHeight="1" x14ac:dyDescent="0.25">
      <c r="A10" s="26" t="s">
        <v>48</v>
      </c>
      <c r="B10" s="31" t="s">
        <v>56</v>
      </c>
      <c r="C10" s="16">
        <v>59000</v>
      </c>
      <c r="F10" s="14"/>
    </row>
    <row r="11" spans="1:7" ht="23.25" customHeight="1" x14ac:dyDescent="0.25">
      <c r="A11" s="26" t="s">
        <v>49</v>
      </c>
      <c r="B11" s="31" t="s">
        <v>56</v>
      </c>
      <c r="C11" s="16">
        <v>52000</v>
      </c>
      <c r="F11" s="14"/>
    </row>
    <row r="12" spans="1:7" ht="23.25" customHeight="1" x14ac:dyDescent="0.25">
      <c r="A12" s="26" t="s">
        <v>45</v>
      </c>
      <c r="B12" s="31" t="s">
        <v>56</v>
      </c>
      <c r="C12" s="16">
        <v>65000</v>
      </c>
      <c r="F12" s="14"/>
    </row>
    <row r="13" spans="1:7" ht="23.25" customHeight="1" x14ac:dyDescent="0.25">
      <c r="A13" s="26" t="s">
        <v>44</v>
      </c>
      <c r="B13" s="31" t="s">
        <v>56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J16"/>
  <sheetViews>
    <sheetView topLeftCell="B1" workbookViewId="0">
      <selection activeCell="J9" sqref="I9:J15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6.5703125" bestFit="1" customWidth="1"/>
    <col min="9" max="9" width="17.7109375" customWidth="1"/>
    <col min="10" max="10" width="49.85546875" customWidth="1"/>
  </cols>
  <sheetData>
    <row r="1" spans="1:10" ht="27.75" customHeight="1" x14ac:dyDescent="0.25">
      <c r="D1" s="84">
        <f>SUBTOTAL(9,D2:D180)</f>
        <v>11787</v>
      </c>
      <c r="G1" s="127" t="s">
        <v>156</v>
      </c>
      <c r="H1" s="127">
        <f>60000+6217</f>
        <v>66217</v>
      </c>
      <c r="I1" s="128">
        <f>H1-H2-H3</f>
        <v>-8401</v>
      </c>
      <c r="J1" s="135" t="s">
        <v>154</v>
      </c>
    </row>
    <row r="2" spans="1:10" ht="27.75" customHeight="1" x14ac:dyDescent="0.25">
      <c r="G2" s="138" t="s">
        <v>153</v>
      </c>
      <c r="H2" s="129">
        <f>D1</f>
        <v>11787</v>
      </c>
      <c r="I2" s="130">
        <v>-13815</v>
      </c>
      <c r="J2" s="130" t="s">
        <v>157</v>
      </c>
    </row>
    <row r="3" spans="1:10" ht="27.75" customHeight="1" x14ac:dyDescent="0.25">
      <c r="G3" s="131" t="s">
        <v>155</v>
      </c>
      <c r="H3" s="143">
        <f>INT('Quốc Nhân'!K4+'La Cusina'!K4+TVP!J4)</f>
        <v>62831</v>
      </c>
      <c r="I3" s="132">
        <f>I1+I2</f>
        <v>-22216</v>
      </c>
      <c r="J3" s="136" t="s">
        <v>152</v>
      </c>
    </row>
    <row r="4" spans="1:10" ht="27.75" customHeight="1" x14ac:dyDescent="0.25">
      <c r="G4" s="133"/>
      <c r="H4" s="133"/>
      <c r="I4" s="134">
        <f ca="1">INT('Quốc Nhân'!K4+'La Cusina'!K4+TVP!J4-('Quốc Nhân'!A4+'La Cusina'!A4+TVP!A4))</f>
        <v>27285</v>
      </c>
      <c r="J4" s="137" t="s">
        <v>162</v>
      </c>
    </row>
    <row r="5" spans="1:10" ht="27.75" customHeight="1" x14ac:dyDescent="0.25">
      <c r="G5" s="133"/>
      <c r="H5" s="133"/>
      <c r="I5" s="139">
        <f ca="1">I4+I3</f>
        <v>5069</v>
      </c>
      <c r="J5" s="140" t="s">
        <v>163</v>
      </c>
    </row>
    <row r="6" spans="1:10" x14ac:dyDescent="0.25">
      <c r="C6" t="s">
        <v>128</v>
      </c>
      <c r="D6">
        <v>400</v>
      </c>
      <c r="E6" t="s">
        <v>129</v>
      </c>
    </row>
    <row r="7" spans="1:10" x14ac:dyDescent="0.25">
      <c r="C7" t="s">
        <v>130</v>
      </c>
      <c r="D7">
        <v>1000</v>
      </c>
      <c r="E7" t="s">
        <v>129</v>
      </c>
      <c r="J7" s="141"/>
    </row>
    <row r="8" spans="1:10" x14ac:dyDescent="0.25">
      <c r="C8" t="s">
        <v>131</v>
      </c>
      <c r="D8">
        <v>80</v>
      </c>
      <c r="E8" t="s">
        <v>129</v>
      </c>
      <c r="H8" s="141"/>
      <c r="I8" s="141"/>
      <c r="J8" s="141"/>
    </row>
    <row r="9" spans="1:10" x14ac:dyDescent="0.25">
      <c r="C9" t="s">
        <v>132</v>
      </c>
      <c r="D9">
        <v>145</v>
      </c>
      <c r="E9" t="s">
        <v>133</v>
      </c>
      <c r="G9" s="141"/>
      <c r="H9" s="141"/>
      <c r="J9" s="141"/>
    </row>
    <row r="10" spans="1:10" x14ac:dyDescent="0.25">
      <c r="C10" t="s">
        <v>134</v>
      </c>
      <c r="D10">
        <v>800</v>
      </c>
      <c r="E10" t="s">
        <v>133</v>
      </c>
      <c r="I10" s="141"/>
      <c r="J10" s="141"/>
    </row>
    <row r="11" spans="1:10" x14ac:dyDescent="0.25">
      <c r="C11" t="s">
        <v>135</v>
      </c>
      <c r="D11">
        <v>1500</v>
      </c>
      <c r="E11" t="s">
        <v>133</v>
      </c>
      <c r="I11" s="141"/>
      <c r="J11" s="141"/>
    </row>
    <row r="12" spans="1:10" x14ac:dyDescent="0.25">
      <c r="C12" t="s">
        <v>158</v>
      </c>
      <c r="D12">
        <v>160</v>
      </c>
      <c r="E12" t="s">
        <v>133</v>
      </c>
      <c r="I12" s="141"/>
    </row>
    <row r="13" spans="1:10" x14ac:dyDescent="0.25">
      <c r="C13" t="s">
        <v>173</v>
      </c>
      <c r="D13">
        <v>42</v>
      </c>
      <c r="E13" t="s">
        <v>133</v>
      </c>
    </row>
    <row r="14" spans="1:10" x14ac:dyDescent="0.25">
      <c r="A14" t="s">
        <v>136</v>
      </c>
      <c r="B14">
        <v>40</v>
      </c>
      <c r="C14" s="162" t="s">
        <v>186</v>
      </c>
      <c r="D14" s="162">
        <v>7500</v>
      </c>
      <c r="E14" s="162" t="s">
        <v>133</v>
      </c>
      <c r="I14" s="141"/>
      <c r="J14" s="141"/>
    </row>
    <row r="15" spans="1:10" x14ac:dyDescent="0.25">
      <c r="A15" t="s">
        <v>137</v>
      </c>
      <c r="B15">
        <v>150</v>
      </c>
      <c r="C15" t="s">
        <v>187</v>
      </c>
      <c r="D15">
        <v>160</v>
      </c>
      <c r="E15" t="s">
        <v>133</v>
      </c>
      <c r="H15" s="141"/>
      <c r="I15" s="141"/>
    </row>
    <row r="16" spans="1:10" x14ac:dyDescent="0.25">
      <c r="A16" t="s">
        <v>138</v>
      </c>
      <c r="B16">
        <v>55</v>
      </c>
      <c r="I16" s="14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61"/>
  <sheetViews>
    <sheetView workbookViewId="0">
      <pane ySplit="2" topLeftCell="A33" activePane="bottomLeft" state="frozen"/>
      <selection activeCell="A4" sqref="A4"/>
      <selection pane="bottomLeft" activeCell="K46" sqref="K46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106</v>
      </c>
      <c r="B1" s="32" t="s">
        <v>17</v>
      </c>
      <c r="C1" s="32" t="s">
        <v>107</v>
      </c>
      <c r="D1" s="32" t="s">
        <v>117</v>
      </c>
    </row>
    <row r="2" spans="1:4" s="43" customFormat="1" ht="16.5" customHeight="1" x14ac:dyDescent="0.25">
      <c r="A2" s="32"/>
      <c r="B2" s="32">
        <f>SUBTOTAL(3,B3:B480)</f>
        <v>59</v>
      </c>
      <c r="C2" s="32"/>
      <c r="D2" s="32"/>
    </row>
    <row r="3" spans="1:4" x14ac:dyDescent="0.25">
      <c r="A3" s="23">
        <v>1</v>
      </c>
      <c r="B3" s="44" t="s">
        <v>25</v>
      </c>
      <c r="C3" s="23" t="s">
        <v>108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109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110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111</v>
      </c>
      <c r="D6" s="45">
        <v>30000</v>
      </c>
    </row>
    <row r="7" spans="1:4" x14ac:dyDescent="0.25">
      <c r="A7" s="23">
        <v>5</v>
      </c>
      <c r="B7" s="44" t="s">
        <v>30</v>
      </c>
      <c r="C7" s="23" t="s">
        <v>112</v>
      </c>
      <c r="D7" s="45">
        <v>38000</v>
      </c>
    </row>
    <row r="8" spans="1:4" x14ac:dyDescent="0.25">
      <c r="A8" s="23">
        <v>6</v>
      </c>
      <c r="B8" s="44" t="s">
        <v>28</v>
      </c>
      <c r="C8" s="23" t="s">
        <v>113</v>
      </c>
      <c r="D8" s="45">
        <v>42000</v>
      </c>
    </row>
    <row r="9" spans="1:4" x14ac:dyDescent="0.25">
      <c r="A9" s="23">
        <v>7</v>
      </c>
      <c r="B9" s="44" t="s">
        <v>26</v>
      </c>
      <c r="C9" s="23" t="s">
        <v>114</v>
      </c>
      <c r="D9" s="45">
        <v>34000</v>
      </c>
    </row>
    <row r="10" spans="1:4" x14ac:dyDescent="0.25">
      <c r="A10" s="23">
        <v>8</v>
      </c>
      <c r="B10" s="44" t="s">
        <v>61</v>
      </c>
      <c r="C10" s="23" t="s">
        <v>115</v>
      </c>
      <c r="D10" s="45">
        <v>35000</v>
      </c>
    </row>
    <row r="11" spans="1:4" x14ac:dyDescent="0.25">
      <c r="A11" s="23">
        <v>9</v>
      </c>
      <c r="B11" s="44" t="s">
        <v>164</v>
      </c>
      <c r="C11" s="23" t="s">
        <v>116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69</v>
      </c>
      <c r="D12" s="45">
        <v>50000</v>
      </c>
    </row>
    <row r="13" spans="1:4" x14ac:dyDescent="0.25">
      <c r="A13" s="23">
        <v>11</v>
      </c>
      <c r="B13" s="44" t="s">
        <v>58</v>
      </c>
      <c r="C13" s="23" t="s">
        <v>70</v>
      </c>
      <c r="D13" s="45">
        <v>45000</v>
      </c>
    </row>
    <row r="14" spans="1:4" x14ac:dyDescent="0.25">
      <c r="A14" s="23">
        <v>12</v>
      </c>
      <c r="B14" s="44" t="s">
        <v>35</v>
      </c>
      <c r="C14" s="23" t="s">
        <v>71</v>
      </c>
      <c r="D14" s="45">
        <v>45000</v>
      </c>
    </row>
    <row r="15" spans="1:4" x14ac:dyDescent="0.25">
      <c r="A15" s="23">
        <v>13</v>
      </c>
      <c r="B15" s="44" t="s">
        <v>32</v>
      </c>
      <c r="C15" s="23" t="s">
        <v>72</v>
      </c>
      <c r="D15" s="45">
        <v>45000</v>
      </c>
    </row>
    <row r="16" spans="1:4" x14ac:dyDescent="0.25">
      <c r="A16" s="23">
        <v>14</v>
      </c>
      <c r="B16" s="44" t="s">
        <v>34</v>
      </c>
      <c r="C16" s="23" t="s">
        <v>73</v>
      </c>
      <c r="D16" s="45">
        <v>45000</v>
      </c>
    </row>
    <row r="17" spans="1:4" x14ac:dyDescent="0.25">
      <c r="A17" s="23">
        <v>15</v>
      </c>
      <c r="B17" s="44" t="s">
        <v>33</v>
      </c>
      <c r="C17" s="23" t="s">
        <v>74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75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76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77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78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79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80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81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82</v>
      </c>
      <c r="D25" s="45">
        <v>69000</v>
      </c>
    </row>
    <row r="26" spans="1:4" x14ac:dyDescent="0.25">
      <c r="A26" s="23">
        <v>24</v>
      </c>
      <c r="B26" s="44" t="s">
        <v>27</v>
      </c>
      <c r="C26" s="23" t="s">
        <v>83</v>
      </c>
      <c r="D26" s="45">
        <v>38000</v>
      </c>
    </row>
    <row r="27" spans="1:4" x14ac:dyDescent="0.25">
      <c r="A27" s="23">
        <v>25</v>
      </c>
      <c r="B27" s="44" t="s">
        <v>68</v>
      </c>
      <c r="C27" s="23" t="s">
        <v>84</v>
      </c>
      <c r="D27" s="45">
        <v>35000</v>
      </c>
    </row>
    <row r="28" spans="1:4" x14ac:dyDescent="0.25">
      <c r="A28" s="23">
        <v>26</v>
      </c>
      <c r="B28" s="44" t="s">
        <v>29</v>
      </c>
      <c r="C28" s="23" t="s">
        <v>85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86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87</v>
      </c>
      <c r="D30" s="45">
        <v>32000</v>
      </c>
    </row>
    <row r="31" spans="1:4" x14ac:dyDescent="0.25">
      <c r="A31" s="23">
        <v>29</v>
      </c>
      <c r="B31" s="44" t="s">
        <v>38</v>
      </c>
      <c r="C31" s="23" t="s">
        <v>88</v>
      </c>
      <c r="D31" s="45">
        <v>32000</v>
      </c>
    </row>
    <row r="32" spans="1:4" x14ac:dyDescent="0.25">
      <c r="A32" s="23">
        <v>30</v>
      </c>
      <c r="B32" s="44" t="s">
        <v>39</v>
      </c>
      <c r="C32" s="23" t="s">
        <v>89</v>
      </c>
      <c r="D32" s="45">
        <v>14000</v>
      </c>
    </row>
    <row r="33" spans="1:11" x14ac:dyDescent="0.25">
      <c r="A33" s="23">
        <v>31</v>
      </c>
      <c r="B33" s="44" t="s">
        <v>67</v>
      </c>
      <c r="C33" s="23" t="s">
        <v>90</v>
      </c>
      <c r="D33" s="45">
        <v>32000</v>
      </c>
    </row>
    <row r="34" spans="1:11" x14ac:dyDescent="0.25">
      <c r="A34" s="23">
        <v>32</v>
      </c>
      <c r="B34" s="44" t="s">
        <v>40</v>
      </c>
      <c r="C34" s="23" t="s">
        <v>91</v>
      </c>
      <c r="D34" s="45">
        <v>34500</v>
      </c>
    </row>
    <row r="35" spans="1:11" x14ac:dyDescent="0.25">
      <c r="A35" s="23">
        <v>33</v>
      </c>
      <c r="B35" s="44" t="s">
        <v>41</v>
      </c>
      <c r="C35" s="23" t="s">
        <v>92</v>
      </c>
      <c r="D35" s="45">
        <v>14000</v>
      </c>
    </row>
    <row r="36" spans="1:11" x14ac:dyDescent="0.25">
      <c r="A36" s="23">
        <v>34</v>
      </c>
      <c r="B36" s="44" t="s">
        <v>42</v>
      </c>
      <c r="C36" s="23" t="s">
        <v>93</v>
      </c>
      <c r="D36" s="45">
        <v>34500</v>
      </c>
    </row>
    <row r="37" spans="1:11" x14ac:dyDescent="0.25">
      <c r="A37" s="23">
        <v>35</v>
      </c>
      <c r="B37" s="44" t="s">
        <v>43</v>
      </c>
      <c r="C37" s="23" t="s">
        <v>94</v>
      </c>
      <c r="D37" s="45">
        <v>14000</v>
      </c>
    </row>
    <row r="38" spans="1:11" x14ac:dyDescent="0.25">
      <c r="A38" s="23">
        <v>36</v>
      </c>
      <c r="B38" s="44" t="s">
        <v>48</v>
      </c>
      <c r="C38" s="23" t="s">
        <v>95</v>
      </c>
      <c r="D38" s="45">
        <v>59000</v>
      </c>
    </row>
    <row r="39" spans="1:11" x14ac:dyDescent="0.25">
      <c r="A39" s="23">
        <v>37</v>
      </c>
      <c r="B39" s="44" t="s">
        <v>49</v>
      </c>
      <c r="C39" s="23" t="s">
        <v>96</v>
      </c>
      <c r="D39" s="45">
        <v>52000</v>
      </c>
    </row>
    <row r="40" spans="1:11" x14ac:dyDescent="0.25">
      <c r="A40" s="23">
        <v>38</v>
      </c>
      <c r="B40" s="44" t="s">
        <v>45</v>
      </c>
      <c r="C40" s="23" t="s">
        <v>97</v>
      </c>
      <c r="D40" s="45">
        <v>65000</v>
      </c>
    </row>
    <row r="41" spans="1:11" x14ac:dyDescent="0.25">
      <c r="A41" s="23">
        <v>39</v>
      </c>
      <c r="B41" s="44" t="s">
        <v>44</v>
      </c>
      <c r="C41" s="23" t="s">
        <v>98</v>
      </c>
      <c r="D41" s="45">
        <v>44000</v>
      </c>
    </row>
    <row r="42" spans="1:11" x14ac:dyDescent="0.25">
      <c r="A42" s="23">
        <v>40</v>
      </c>
      <c r="B42" s="44" t="s">
        <v>47</v>
      </c>
      <c r="C42" s="23" t="s">
        <v>99</v>
      </c>
      <c r="D42" s="45">
        <v>79000</v>
      </c>
    </row>
    <row r="43" spans="1:11" x14ac:dyDescent="0.25">
      <c r="A43" s="23">
        <v>41</v>
      </c>
      <c r="B43" s="44" t="s">
        <v>37</v>
      </c>
      <c r="C43" s="23" t="s">
        <v>100</v>
      </c>
      <c r="D43" s="45">
        <v>66000</v>
      </c>
    </row>
    <row r="44" spans="1:11" x14ac:dyDescent="0.25">
      <c r="A44" s="23">
        <v>42</v>
      </c>
      <c r="B44" s="44" t="s">
        <v>50</v>
      </c>
      <c r="C44" s="23" t="s">
        <v>101</v>
      </c>
      <c r="D44" s="45">
        <v>122000</v>
      </c>
    </row>
    <row r="45" spans="1:11" x14ac:dyDescent="0.25">
      <c r="A45" s="23">
        <v>43</v>
      </c>
      <c r="B45" s="44" t="s">
        <v>36</v>
      </c>
      <c r="C45" s="23" t="s">
        <v>102</v>
      </c>
      <c r="D45" s="45">
        <v>66000</v>
      </c>
      <c r="K45" s="42">
        <f>80+55</f>
        <v>135</v>
      </c>
    </row>
    <row r="46" spans="1:11" x14ac:dyDescent="0.25">
      <c r="A46" s="23">
        <v>44</v>
      </c>
      <c r="B46" s="44" t="s">
        <v>51</v>
      </c>
      <c r="C46" s="23" t="s">
        <v>103</v>
      </c>
      <c r="D46" s="45">
        <v>65000</v>
      </c>
    </row>
    <row r="47" spans="1:11" x14ac:dyDescent="0.25">
      <c r="A47" s="23">
        <v>45</v>
      </c>
      <c r="B47" s="44" t="s">
        <v>52</v>
      </c>
      <c r="C47" s="23" t="s">
        <v>104</v>
      </c>
      <c r="D47" s="45">
        <v>54000</v>
      </c>
    </row>
    <row r="48" spans="1:11" x14ac:dyDescent="0.25">
      <c r="A48" s="23">
        <v>46</v>
      </c>
      <c r="B48" s="44" t="s">
        <v>46</v>
      </c>
      <c r="C48" s="23" t="s">
        <v>105</v>
      </c>
      <c r="D48" s="45">
        <v>59000</v>
      </c>
      <c r="H48" s="42">
        <f>28*4</f>
        <v>112</v>
      </c>
    </row>
    <row r="49" spans="1:8" x14ac:dyDescent="0.25">
      <c r="A49" s="23">
        <v>47</v>
      </c>
      <c r="B49" s="44" t="s">
        <v>142</v>
      </c>
      <c r="C49" s="23" t="s">
        <v>126</v>
      </c>
      <c r="D49" s="45">
        <v>40000</v>
      </c>
      <c r="H49" s="42">
        <f>33*4</f>
        <v>132</v>
      </c>
    </row>
    <row r="50" spans="1:8" x14ac:dyDescent="0.25">
      <c r="A50" s="23">
        <v>48</v>
      </c>
      <c r="B50" s="44" t="s">
        <v>143</v>
      </c>
      <c r="C50" s="23" t="s">
        <v>144</v>
      </c>
      <c r="D50" s="45">
        <v>35000</v>
      </c>
      <c r="H50" s="42">
        <f>26*4</f>
        <v>104</v>
      </c>
    </row>
    <row r="51" spans="1:8" x14ac:dyDescent="0.25">
      <c r="A51" s="23">
        <v>49</v>
      </c>
      <c r="B51" s="44" t="s">
        <v>165</v>
      </c>
      <c r="C51" s="23" t="s">
        <v>146</v>
      </c>
      <c r="D51" s="45">
        <v>45000</v>
      </c>
      <c r="H51" s="42">
        <f>100+112+132+80+160+104</f>
        <v>688</v>
      </c>
    </row>
    <row r="52" spans="1:8" x14ac:dyDescent="0.25">
      <c r="A52" s="23">
        <v>50</v>
      </c>
      <c r="B52" s="44" t="s">
        <v>147</v>
      </c>
      <c r="C52" s="23" t="s">
        <v>148</v>
      </c>
      <c r="D52" s="45">
        <v>40000</v>
      </c>
      <c r="H52" s="42">
        <f>H51-135</f>
        <v>553</v>
      </c>
    </row>
    <row r="53" spans="1:8" x14ac:dyDescent="0.25">
      <c r="A53" s="23">
        <v>51</v>
      </c>
      <c r="B53" s="44" t="s">
        <v>150</v>
      </c>
      <c r="C53" s="23" t="s">
        <v>161</v>
      </c>
      <c r="D53" s="45">
        <v>38000</v>
      </c>
    </row>
    <row r="54" spans="1:8" x14ac:dyDescent="0.25">
      <c r="A54" s="23">
        <v>52</v>
      </c>
      <c r="B54" s="44" t="s">
        <v>166</v>
      </c>
      <c r="C54" s="23" t="s">
        <v>167</v>
      </c>
      <c r="D54" s="45">
        <v>69000</v>
      </c>
    </row>
    <row r="55" spans="1:8" x14ac:dyDescent="0.25">
      <c r="A55" s="23">
        <v>53</v>
      </c>
      <c r="B55" s="44" t="s">
        <v>168</v>
      </c>
      <c r="C55" s="23" t="s">
        <v>169</v>
      </c>
      <c r="D55" s="45">
        <v>76000</v>
      </c>
    </row>
    <row r="56" spans="1:8" x14ac:dyDescent="0.25">
      <c r="A56" s="23">
        <v>54</v>
      </c>
      <c r="B56" s="44" t="s">
        <v>178</v>
      </c>
      <c r="C56" s="23" t="s">
        <v>175</v>
      </c>
      <c r="D56" s="45">
        <v>30000</v>
      </c>
    </row>
    <row r="57" spans="1:8" x14ac:dyDescent="0.25">
      <c r="A57" s="23">
        <v>55</v>
      </c>
      <c r="B57" s="44" t="s">
        <v>176</v>
      </c>
      <c r="C57" s="23" t="s">
        <v>177</v>
      </c>
      <c r="D57" s="45">
        <v>49000</v>
      </c>
    </row>
    <row r="58" spans="1:8" x14ac:dyDescent="0.25">
      <c r="A58" s="23">
        <v>56</v>
      </c>
      <c r="B58" s="44" t="s">
        <v>174</v>
      </c>
      <c r="C58" s="23" t="s">
        <v>179</v>
      </c>
      <c r="D58" s="45">
        <v>80000</v>
      </c>
    </row>
    <row r="59" spans="1:8" x14ac:dyDescent="0.25">
      <c r="A59" s="23">
        <v>57</v>
      </c>
      <c r="B59" s="44" t="s">
        <v>180</v>
      </c>
      <c r="C59" s="23" t="s">
        <v>181</v>
      </c>
      <c r="D59" s="45">
        <v>42000</v>
      </c>
    </row>
    <row r="60" spans="1:8" x14ac:dyDescent="0.25">
      <c r="A60" s="23">
        <v>58</v>
      </c>
      <c r="B60" s="44" t="s">
        <v>182</v>
      </c>
      <c r="C60" s="23" t="s">
        <v>184</v>
      </c>
      <c r="D60" s="45">
        <v>35000</v>
      </c>
    </row>
    <row r="61" spans="1:8" x14ac:dyDescent="0.25">
      <c r="A61" s="23">
        <v>59</v>
      </c>
      <c r="B61" s="44" t="s">
        <v>183</v>
      </c>
      <c r="C61" s="23" t="s">
        <v>185</v>
      </c>
      <c r="D61" s="45">
        <v>38000</v>
      </c>
    </row>
  </sheetData>
  <autoFilter ref="B2:D52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63"/>
  <sheetViews>
    <sheetView tabSelected="1" zoomScale="85" zoomScaleNormal="85" workbookViewId="0">
      <pane ySplit="4" topLeftCell="A5" activePane="bottomLeft" state="frozen"/>
      <selection activeCell="Q5" sqref="Q5:Q22"/>
      <selection pane="bottomLeft" activeCell="I2" sqref="I2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67">
        <f ca="1">'Quốc Nhân'!N4+'La Cusina'!N4+TVP!M4-('Quốc Nhân'!K4+'La Cusina'!K4+TVP!J4-('Quốc Nhân'!A4+'La Cusina'!A4+TVP!A4))</f>
        <v>4031.8226034185282</v>
      </c>
      <c r="B1" s="173" t="str">
        <f>"Tiền Hàng: "&amp;INT('Quốc Nhân'!K4+'La Cusina'!K4+TVP!J4)</f>
        <v>Tiền Hàng: 62831</v>
      </c>
      <c r="C1" s="172" t="str">
        <f ca="1">"Giá trị hàng Tồn: "&amp;INT('Quốc Nhân'!A4+'La Cusina'!A4+TVP!A4)</f>
        <v>Giá trị hàng Tồn: 35546</v>
      </c>
      <c r="D1" s="171" t="str">
        <f ca="1">"Giá trị Hàng xuất: "&amp;CHAR(10)&amp;INT('Quốc Nhân'!K4+'La Cusina'!K4+TVP!J4-('Quốc Nhân'!A4+'La Cusina'!A4+TVP!A4))</f>
        <v>Giá trị Hàng xuất: 
27285</v>
      </c>
      <c r="E1" s="171" t="str">
        <f ca="1">"Doanh Thu Tích Lũy: "&amp;INT('Quốc Nhân'!N4+'La Cusina'!N4+TVP!M4)</f>
        <v>Doanh Thu Tích Lũy: 31317</v>
      </c>
      <c r="F1" s="169"/>
      <c r="G1" s="123">
        <f>1265-160-135</f>
        <v>970</v>
      </c>
      <c r="H1" s="43"/>
      <c r="I1" s="85">
        <f>2959+110</f>
        <v>3069</v>
      </c>
      <c r="J1" s="124"/>
      <c r="K1" s="124"/>
      <c r="L1" s="124"/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68"/>
      <c r="B2" s="173"/>
      <c r="C2" s="172"/>
      <c r="D2" s="171"/>
      <c r="E2" s="171"/>
      <c r="F2" s="170"/>
      <c r="G2" s="87"/>
      <c r="H2" s="87"/>
      <c r="I2" s="87"/>
      <c r="J2" s="124"/>
      <c r="K2" s="85"/>
      <c r="N2" s="42">
        <v>520</v>
      </c>
    </row>
    <row r="3" spans="1:41" s="43" customFormat="1" ht="30" customHeight="1" x14ac:dyDescent="0.25">
      <c r="A3" s="32" t="s">
        <v>106</v>
      </c>
      <c r="B3" s="32" t="s">
        <v>17</v>
      </c>
      <c r="C3" s="32" t="s">
        <v>107</v>
      </c>
      <c r="D3" s="32" t="s">
        <v>117</v>
      </c>
      <c r="E3" s="62" t="s">
        <v>55</v>
      </c>
      <c r="F3" s="62" t="s">
        <v>119</v>
      </c>
      <c r="G3" s="32" t="s">
        <v>139</v>
      </c>
      <c r="H3" s="62" t="s">
        <v>141</v>
      </c>
      <c r="I3" s="89" t="s">
        <v>140</v>
      </c>
      <c r="J3" s="62" t="s">
        <v>120</v>
      </c>
      <c r="K3" s="65" t="s">
        <v>121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35.25" customHeight="1" x14ac:dyDescent="0.25">
      <c r="A4" s="64"/>
      <c r="B4" s="64">
        <f>SUBTOTAL(3,B5:B100)</f>
        <v>59</v>
      </c>
      <c r="C4" s="64"/>
      <c r="D4" s="64"/>
      <c r="E4" s="64"/>
      <c r="F4" s="64">
        <f ca="1">SUMPRODUCT(($E$5:$E$50)*($F$5:$F$50))</f>
        <v>24.75</v>
      </c>
      <c r="G4" s="64"/>
      <c r="H4" s="88">
        <f ca="1">SUBTOTAL(9,H5:H500)</f>
        <v>483499.08381553867</v>
      </c>
      <c r="I4" s="88">
        <f ca="1">H4-K2</f>
        <v>483499.08381553867</v>
      </c>
      <c r="J4" s="40">
        <f ca="1">SUBTOTAL(9,J5:J500)</f>
        <v>1988000.9161844614</v>
      </c>
      <c r="K4" s="70">
        <f ca="1">SUM(L4:AN4)</f>
        <v>2471500</v>
      </c>
      <c r="L4" s="96">
        <f ca="1">IFERROR(INDIRECT("'Thanh Toán ("&amp;L$3&amp;")'!$g"&amp;SUBTOTAL(3,INDIRECT("'Thanh Toán ("&amp;L$3&amp;")'!$g$1:$g$24"))-COUNTBLANK(INDIRECT("'Thanh Toán ("&amp;L$3&amp;")'!$g$1:$g$24"))),"")</f>
        <v>33000</v>
      </c>
      <c r="M4" s="96">
        <f t="shared" ref="M4:AO4" ca="1" si="0">IFERROR(INDIRECT("'Thanh Toán ("&amp;M$3&amp;")'!$g"&amp;SUBTOTAL(3,INDIRECT("'Thanh Toán ("&amp;M$3&amp;")'!$g$1:$g$24"))-COUNTBLANK(INDIRECT("'Thanh Toán ("&amp;M$3&amp;")'!$g$1:$g$24"))),"")</f>
        <v>301000</v>
      </c>
      <c r="N4" s="96">
        <f t="shared" ca="1" si="0"/>
        <v>308000</v>
      </c>
      <c r="O4" s="96">
        <f t="shared" ca="1" si="0"/>
        <v>234000</v>
      </c>
      <c r="P4" s="96">
        <f t="shared" ca="1" si="0"/>
        <v>76000</v>
      </c>
      <c r="Q4" s="96">
        <f t="shared" ca="1" si="0"/>
        <v>32000</v>
      </c>
      <c r="R4" s="96">
        <f t="shared" ca="1" si="0"/>
        <v>172000</v>
      </c>
      <c r="S4" s="96">
        <f t="shared" ca="1" si="0"/>
        <v>142000</v>
      </c>
      <c r="T4" s="96">
        <f t="shared" ca="1" si="0"/>
        <v>119000</v>
      </c>
      <c r="U4" s="96">
        <f t="shared" ca="1" si="0"/>
        <v>40000</v>
      </c>
      <c r="V4" s="96">
        <f t="shared" ca="1" si="0"/>
        <v>225500</v>
      </c>
      <c r="W4" s="96">
        <f t="shared" ca="1" si="0"/>
        <v>25000</v>
      </c>
      <c r="X4" s="96">
        <f t="shared" ca="1" si="0"/>
        <v>688000</v>
      </c>
      <c r="Y4" s="96">
        <f t="shared" ca="1" si="0"/>
        <v>76000</v>
      </c>
      <c r="Z4" s="96" t="str">
        <f t="shared" ca="1" si="0"/>
        <v/>
      </c>
      <c r="AA4" s="96" t="str">
        <f t="shared" ca="1" si="0"/>
        <v/>
      </c>
      <c r="AB4" s="96" t="str">
        <f t="shared" ca="1" si="0"/>
        <v/>
      </c>
      <c r="AC4" s="96" t="str">
        <f t="shared" ca="1" si="0"/>
        <v/>
      </c>
      <c r="AD4" s="96" t="str">
        <f t="shared" ca="1" si="0"/>
        <v/>
      </c>
      <c r="AE4" s="96" t="str">
        <f t="shared" ca="1" si="0"/>
        <v/>
      </c>
      <c r="AF4" s="96" t="str">
        <f t="shared" ca="1" si="0"/>
        <v/>
      </c>
      <c r="AG4" s="96" t="str">
        <f t="shared" ca="1" si="0"/>
        <v/>
      </c>
      <c r="AH4" s="96" t="str">
        <f t="shared" ca="1" si="0"/>
        <v/>
      </c>
      <c r="AI4" s="96" t="str">
        <f t="shared" ca="1" si="0"/>
        <v/>
      </c>
      <c r="AJ4" s="96" t="str">
        <f t="shared" ca="1" si="0"/>
        <v/>
      </c>
      <c r="AK4" s="96" t="str">
        <f t="shared" ca="1" si="0"/>
        <v/>
      </c>
      <c r="AL4" s="96" t="str">
        <f t="shared" ca="1" si="0"/>
        <v/>
      </c>
      <c r="AM4" s="96" t="str">
        <f t="shared" ca="1" si="0"/>
        <v/>
      </c>
      <c r="AN4" s="96" t="str">
        <f t="shared" ca="1" si="0"/>
        <v/>
      </c>
      <c r="AO4" s="96" t="str">
        <f t="shared" ca="1" si="0"/>
        <v/>
      </c>
    </row>
    <row r="5" spans="1:41" x14ac:dyDescent="0.25">
      <c r="A5" s="23">
        <v>1</v>
      </c>
      <c r="B5" s="157" t="s">
        <v>25</v>
      </c>
      <c r="C5" s="23" t="s">
        <v>108</v>
      </c>
      <c r="D5" s="45">
        <f>VLOOKUP($C5,Sheet1!$C$3:$D$100,2,0)</f>
        <v>27000</v>
      </c>
      <c r="E5" s="63">
        <v>0.5</v>
      </c>
      <c r="F5" s="61">
        <f ca="1">SUM(L5:BW5)</f>
        <v>0</v>
      </c>
      <c r="G5" s="61">
        <v>22.507288469539144</v>
      </c>
      <c r="H5" s="61">
        <f t="shared" ref="H5:H36" ca="1" si="1">(D5-G5*1000)*$F5</f>
        <v>0</v>
      </c>
      <c r="I5" s="61"/>
      <c r="J5" s="61">
        <f ca="1">F5*G5*1000</f>
        <v>0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0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1" customFormat="1" x14ac:dyDescent="0.25">
      <c r="A6" s="27">
        <v>2</v>
      </c>
      <c r="B6" s="158" t="s">
        <v>1</v>
      </c>
      <c r="C6" s="27" t="s">
        <v>109</v>
      </c>
      <c r="D6" s="45">
        <f>VLOOKUP($C6,Sheet1!$C$3:$D$100,2,0)</f>
        <v>25000</v>
      </c>
      <c r="E6" s="63">
        <v>0.5</v>
      </c>
      <c r="F6" s="61">
        <f t="shared" ref="F6:F54" ca="1" si="2">SUM(L6:BW6)</f>
        <v>11</v>
      </c>
      <c r="G6" s="61">
        <v>21.779779860886041</v>
      </c>
      <c r="H6" s="61">
        <f t="shared" ca="1" si="1"/>
        <v>35422.421530253567</v>
      </c>
      <c r="I6" s="61"/>
      <c r="J6" s="61">
        <f t="shared" ref="J6:J63" ca="1" si="3">F6*G6*1000</f>
        <v>239577.57846974646</v>
      </c>
      <c r="K6" s="61"/>
      <c r="L6" s="120">
        <f ca="1">IFERROR(SUMIFS(INDIRECT("'Thanh Toán ("&amp;L$3&amp;")'!$e:$e"),INDIRECT("'Thanh Toán ("&amp;L$3&amp;")'!$B:$B"),'Tổng Đơn'!$B6),0)</f>
        <v>0</v>
      </c>
      <c r="M6" s="120">
        <f ca="1">IFERROR(SUMIFS(INDIRECT("'Thanh Toán ("&amp;M$3&amp;")'!$e:$e"),INDIRECT("'Thanh Toán ("&amp;M$3&amp;")'!$B:$B"),'Tổng Đơn'!$B6),0)</f>
        <v>4</v>
      </c>
      <c r="N6" s="120">
        <f ca="1">IFERROR(SUMIFS(INDIRECT("'Thanh Toán ("&amp;N$3&amp;")'!$e:$e"),INDIRECT("'Thanh Toán ("&amp;N$3&amp;")'!$B:$B"),'Tổng Đơn'!$B6),0)</f>
        <v>0</v>
      </c>
      <c r="O6" s="120">
        <f ca="1">IFERROR(SUMIFS(INDIRECT("'Thanh Toán ("&amp;O$3&amp;")'!$e:$e"),INDIRECT("'Thanh Toán ("&amp;O$3&amp;")'!$B:$B"),'Tổng Đơn'!$B6),0)</f>
        <v>0</v>
      </c>
      <c r="P6" s="120">
        <f ca="1">IFERROR(SUMIFS(INDIRECT("'Thanh Toán ("&amp;P$3&amp;")'!$e:$e"),INDIRECT("'Thanh Toán ("&amp;P$3&amp;")'!$B:$B"),'Tổng Đơn'!$B6),0)</f>
        <v>0</v>
      </c>
      <c r="Q6" s="120">
        <f ca="1">IFERROR(SUMIFS(INDIRECT("'Thanh Toán ("&amp;Q$3&amp;")'!$e:$e"),INDIRECT("'Thanh Toán ("&amp;Q$3&amp;")'!$B:$B"),'Tổng Đơn'!$B6),0)</f>
        <v>0</v>
      </c>
      <c r="R6" s="120">
        <f ca="1">IFERROR(SUMIFS(INDIRECT("'Thanh Toán ("&amp;R$3&amp;")'!$e:$e"),INDIRECT("'Thanh Toán ("&amp;R$3&amp;")'!$B:$B"),'Tổng Đơn'!$B6),0)</f>
        <v>0</v>
      </c>
      <c r="S6" s="120">
        <f ca="1">IFERROR(SUMIFS(INDIRECT("'Thanh Toán ("&amp;S$3&amp;")'!$e:$e"),INDIRECT("'Thanh Toán ("&amp;S$3&amp;")'!$B:$B"),'Tổng Đơn'!$B6),0)</f>
        <v>0</v>
      </c>
      <c r="T6" s="120">
        <f ca="1">IFERROR(SUMIFS(INDIRECT("'Thanh Toán ("&amp;T$3&amp;")'!$e:$e"),INDIRECT("'Thanh Toán ("&amp;T$3&amp;")'!$B:$B"),'Tổng Đơn'!$B6),0)</f>
        <v>0</v>
      </c>
      <c r="U6" s="120">
        <f ca="1">IFERROR(SUMIFS(INDIRECT("'Thanh Toán ("&amp;U$3&amp;")'!$e:$e"),INDIRECT("'Thanh Toán ("&amp;U$3&amp;")'!$B:$B"),'Tổng Đơn'!$B6),0)</f>
        <v>0</v>
      </c>
      <c r="V6" s="120">
        <f ca="1">IFERROR(SUMIFS(INDIRECT("'Thanh Toán ("&amp;V$3&amp;")'!$e:$e"),INDIRECT("'Thanh Toán ("&amp;V$3&amp;")'!$B:$B"),'Tổng Đơn'!$B6),0)</f>
        <v>2</v>
      </c>
      <c r="W6" s="120">
        <f ca="1">IFERROR(SUMIFS(INDIRECT("'Thanh Toán ("&amp;W$3&amp;")'!$e:$e"),INDIRECT("'Thanh Toán ("&amp;W$3&amp;")'!$B:$B"),'Tổng Đơn'!$B6),0)</f>
        <v>1</v>
      </c>
      <c r="X6" s="120">
        <f ca="1">IFERROR(SUMIFS(INDIRECT("'Thanh Toán ("&amp;X$3&amp;")'!$e:$e"),INDIRECT("'Thanh Toán ("&amp;X$3&amp;")'!$B:$B"),'Tổng Đơn'!$B6),0)</f>
        <v>4</v>
      </c>
      <c r="Y6" s="120">
        <f ca="1">IFERROR(SUMIFS(INDIRECT("'Thanh Toán ("&amp;Y$3&amp;")'!$e:$e"),INDIRECT("'Thanh Toán ("&amp;Y$3&amp;")'!$B:$B"),'Tổng Đơn'!$B6),0)</f>
        <v>0</v>
      </c>
      <c r="Z6" s="120">
        <f ca="1">IFERROR(SUMIFS(INDIRECT("'Thanh Toán ("&amp;Z$3&amp;")'!$e:$e"),INDIRECT("'Thanh Toán ("&amp;Z$3&amp;")'!$B:$B"),'Tổng Đơn'!$B6),0)</f>
        <v>0</v>
      </c>
      <c r="AA6" s="120">
        <f ca="1">IFERROR(SUMIFS(INDIRECT("'Thanh Toán ("&amp;AA$3&amp;")'!$e:$e"),INDIRECT("'Thanh Toán ("&amp;AA$3&amp;")'!$B:$B"),'Tổng Đơn'!$B6),0)</f>
        <v>0</v>
      </c>
      <c r="AB6" s="120">
        <f ca="1">IFERROR(SUMIFS(INDIRECT("'Thanh Toán ("&amp;AB$3&amp;")'!$e:$e"),INDIRECT("'Thanh Toán ("&amp;AB$3&amp;")'!$B:$B"),'Tổng Đơn'!$B6),0)</f>
        <v>0</v>
      </c>
      <c r="AC6" s="120">
        <f ca="1">IFERROR(SUMIFS(INDIRECT("'Thanh Toán ("&amp;AC$3&amp;")'!$e:$e"),INDIRECT("'Thanh Toán ("&amp;AC$3&amp;")'!$B:$B"),'Tổng Đơn'!$B6),0)</f>
        <v>0</v>
      </c>
      <c r="AD6" s="120">
        <f ca="1">IFERROR(SUMIFS(INDIRECT("'Thanh Toán ("&amp;AD$3&amp;")'!$e:$e"),INDIRECT("'Thanh Toán ("&amp;AD$3&amp;")'!$B:$B"),'Tổng Đơn'!$B6),0)</f>
        <v>0</v>
      </c>
      <c r="AE6" s="120">
        <f ca="1">IFERROR(SUMIFS(INDIRECT("'Thanh Toán ("&amp;AE$3&amp;")'!$e:$e"),INDIRECT("'Thanh Toán ("&amp;AE$3&amp;")'!$B:$B"),'Tổng Đơn'!$B6),0)</f>
        <v>0</v>
      </c>
      <c r="AF6" s="120">
        <f ca="1">IFERROR(SUMIFS(INDIRECT("'Thanh Toán ("&amp;AF$3&amp;")'!$e:$e"),INDIRECT("'Thanh Toán ("&amp;AF$3&amp;")'!$B:$B"),'Tổng Đơn'!$B6),0)</f>
        <v>0</v>
      </c>
      <c r="AG6" s="120">
        <f ca="1">IFERROR(SUMIFS(INDIRECT("'Thanh Toán ("&amp;AG$3&amp;")'!$e:$e"),INDIRECT("'Thanh Toán ("&amp;AG$3&amp;")'!$B:$B"),'Tổng Đơn'!$B6),0)</f>
        <v>0</v>
      </c>
      <c r="AH6" s="120">
        <f ca="1">IFERROR(SUMIFS(INDIRECT("'Thanh Toán ("&amp;AH$3&amp;")'!$e:$e"),INDIRECT("'Thanh Toán ("&amp;AH$3&amp;")'!$B:$B"),'Tổng Đơn'!$B6),0)</f>
        <v>0</v>
      </c>
      <c r="AI6" s="120">
        <f ca="1">IFERROR(SUMIFS(INDIRECT("'Thanh Toán ("&amp;AI$3&amp;")'!$e:$e"),INDIRECT("'Thanh Toán ("&amp;AI$3&amp;")'!$B:$B"),'Tổng Đơn'!$B6),0)</f>
        <v>0</v>
      </c>
      <c r="AJ6" s="120">
        <f ca="1">IFERROR(SUMIFS(INDIRECT("'Thanh Toán ("&amp;AJ$3&amp;")'!$e:$e"),INDIRECT("'Thanh Toán ("&amp;AJ$3&amp;")'!$B:$B"),'Tổng Đơn'!$B6),0)</f>
        <v>0</v>
      </c>
      <c r="AK6" s="120">
        <f ca="1">IFERROR(SUMIFS(INDIRECT("'Thanh Toán ("&amp;AK$3&amp;")'!$e:$e"),INDIRECT("'Thanh Toán ("&amp;AK$3&amp;")'!$B:$B"),'Tổng Đơn'!$B6),0)</f>
        <v>0</v>
      </c>
      <c r="AL6" s="120">
        <f ca="1">IFERROR(SUMIFS(INDIRECT("'Thanh Toán ("&amp;AL$3&amp;")'!$e:$e"),INDIRECT("'Thanh Toán ("&amp;AL$3&amp;")'!$B:$B"),'Tổng Đơn'!$B6),0)</f>
        <v>0</v>
      </c>
      <c r="AM6" s="120">
        <f ca="1">IFERROR(SUMIFS(INDIRECT("'Thanh Toán ("&amp;AM$3&amp;")'!$e:$e"),INDIRECT("'Thanh Toán ("&amp;AM$3&amp;")'!$B:$B"),'Tổng Đơn'!$B6),0)</f>
        <v>0</v>
      </c>
      <c r="AN6" s="120">
        <f ca="1">IFERROR(SUMIFS(INDIRECT("'Thanh Toán ("&amp;AN$3&amp;")'!$e:$e"),INDIRECT("'Thanh Toán ("&amp;AN$3&amp;")'!$B:$B"),'Tổng Đơn'!$B6),0)</f>
        <v>0</v>
      </c>
      <c r="AO6" s="120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157" t="s">
        <v>2</v>
      </c>
      <c r="C7" s="23" t="s">
        <v>110</v>
      </c>
      <c r="D7" s="45">
        <f>VLOOKUP($C7,Sheet1!$C$3:$D$100,2,0)</f>
        <v>28000</v>
      </c>
      <c r="E7" s="63">
        <v>0.5</v>
      </c>
      <c r="F7" s="61">
        <f t="shared" ca="1" si="2"/>
        <v>5</v>
      </c>
      <c r="G7" s="61">
        <v>22.548477973623196</v>
      </c>
      <c r="H7" s="61">
        <f t="shared" ca="1" si="1"/>
        <v>27257.610131884012</v>
      </c>
      <c r="I7" s="61"/>
      <c r="J7" s="61">
        <f t="shared" ca="1" si="3"/>
        <v>112742.38986811598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0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1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4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157" t="s">
        <v>3</v>
      </c>
      <c r="C8" s="23" t="s">
        <v>111</v>
      </c>
      <c r="D8" s="45">
        <f>VLOOKUP($C8,Sheet1!$C$3:$D$100,2,0)</f>
        <v>30000</v>
      </c>
      <c r="E8" s="63">
        <v>0.5</v>
      </c>
      <c r="F8" s="61">
        <f t="shared" ca="1" si="2"/>
        <v>0</v>
      </c>
      <c r="G8" s="61">
        <v>22.292245269377478</v>
      </c>
      <c r="H8" s="61">
        <f t="shared" ca="1" si="1"/>
        <v>0</v>
      </c>
      <c r="I8" s="61"/>
      <c r="J8" s="61">
        <f t="shared" ca="1" si="3"/>
        <v>0</v>
      </c>
      <c r="K8" s="61">
        <f ca="1">H4/J4</f>
        <v>0.24320868259130926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0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0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157" t="s">
        <v>30</v>
      </c>
      <c r="C9" s="23" t="s">
        <v>112</v>
      </c>
      <c r="D9" s="45">
        <f>VLOOKUP($C9,Sheet1!$C$3:$D$100,2,0)</f>
        <v>38000</v>
      </c>
      <c r="E9" s="63">
        <v>0.5</v>
      </c>
      <c r="F9" s="61">
        <f t="shared" ca="1" si="2"/>
        <v>1</v>
      </c>
      <c r="G9" s="61">
        <v>34.783991271105947</v>
      </c>
      <c r="H9" s="61">
        <f t="shared" ca="1" si="1"/>
        <v>3216.0087288940558</v>
      </c>
      <c r="I9" s="61"/>
      <c r="J9" s="61">
        <f t="shared" ca="1" si="3"/>
        <v>34783.991271105944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1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0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157" t="s">
        <v>28</v>
      </c>
      <c r="C10" s="23" t="s">
        <v>113</v>
      </c>
      <c r="D10" s="45">
        <f>VLOOKUP($C10,Sheet1!$C$3:$D$100,2,0)</f>
        <v>42000</v>
      </c>
      <c r="E10" s="63">
        <v>0.5</v>
      </c>
      <c r="F10" s="61">
        <f t="shared" ca="1" si="2"/>
        <v>0</v>
      </c>
      <c r="G10" s="61">
        <v>37.341637688099034</v>
      </c>
      <c r="H10" s="61">
        <f t="shared" ca="1" si="1"/>
        <v>0</v>
      </c>
      <c r="I10" s="61"/>
      <c r="J10" s="61">
        <f t="shared" ca="1" si="3"/>
        <v>0</v>
      </c>
      <c r="K10" s="61"/>
      <c r="L10" s="2">
        <f ca="1">IFERROR(SUMIFS(INDIRECT("'Thanh Toán ("&amp;L$3&amp;")'!$e:$e"),INDIRECT("'Thanh Toán ("&amp;L$3&amp;")'!$B:$B"),'Tổng Đơn'!$B10),0)</f>
        <v>0</v>
      </c>
      <c r="M10" s="2">
        <f ca="1">IFERROR(SUMIFS(INDIRECT("'Thanh Toán ("&amp;M$3&amp;")'!$e:$e"),INDIRECT("'Thanh Toán ("&amp;M$3&amp;")'!$B:$B"),'Tổng Đơn'!$B10),0)</f>
        <v>0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0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0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157" t="s">
        <v>26</v>
      </c>
      <c r="C11" s="23" t="s">
        <v>114</v>
      </c>
      <c r="D11" s="45">
        <f>VLOOKUP($C11,Sheet1!$C$3:$D$100,2,0)</f>
        <v>34000</v>
      </c>
      <c r="E11" s="63">
        <v>0.25</v>
      </c>
      <c r="F11" s="61">
        <f t="shared" ca="1" si="2"/>
        <v>1</v>
      </c>
      <c r="G11" s="61">
        <v>28.98324919736563</v>
      </c>
      <c r="H11" s="61">
        <f t="shared" ca="1" si="1"/>
        <v>5016.7508026343712</v>
      </c>
      <c r="I11" s="61"/>
      <c r="J11" s="61">
        <f t="shared" ca="1" si="3"/>
        <v>28983.249197365629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0</v>
      </c>
      <c r="N11" s="2">
        <f ca="1">IFERROR(SUMIFS(INDIRECT("'Thanh Toán ("&amp;N$3&amp;")'!$e:$e"),INDIRECT("'Thanh Toán ("&amp;N$3&amp;")'!$B:$B"),'Tổng Đơn'!$B11),0)</f>
        <v>0</v>
      </c>
      <c r="O11" s="2">
        <f ca="1">IFERROR(SUMIFS(INDIRECT("'Thanh Toán ("&amp;O$3&amp;")'!$e:$e"),INDIRECT("'Thanh Toán ("&amp;O$3&amp;")'!$B:$B"),'Tổng Đơn'!$B11),0)</f>
        <v>0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1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157" t="s">
        <v>61</v>
      </c>
      <c r="C12" s="23" t="s">
        <v>115</v>
      </c>
      <c r="D12" s="45">
        <f>VLOOKUP($C12,Sheet1!$C$3:$D$100,2,0)</f>
        <v>35000</v>
      </c>
      <c r="E12" s="63">
        <v>0.5</v>
      </c>
      <c r="F12" s="61">
        <f t="shared" ca="1" si="2"/>
        <v>0</v>
      </c>
      <c r="G12" s="61">
        <v>30.180227720518396</v>
      </c>
      <c r="H12" s="61">
        <f t="shared" ca="1" si="1"/>
        <v>0</v>
      </c>
      <c r="I12" s="61"/>
      <c r="J12" s="61">
        <f t="shared" ca="1" si="3"/>
        <v>0</v>
      </c>
      <c r="K12" s="61"/>
      <c r="L12" s="2">
        <f ca="1">IFERROR(SUMIFS(INDIRECT("'Thanh Toán ("&amp;L$3&amp;")'!$e:$e"),INDIRECT("'Thanh Toán ("&amp;L$3&amp;")'!$B:$B"),'Tổng Đơn'!$B12),0)</f>
        <v>0</v>
      </c>
      <c r="M12" s="2">
        <f ca="1">IFERROR(SUMIFS(INDIRECT("'Thanh Toán ("&amp;M$3&amp;")'!$e:$e"),INDIRECT("'Thanh Toán ("&amp;M$3&amp;")'!$B:$B"),'Tổng Đơn'!$B12),0)</f>
        <v>0</v>
      </c>
      <c r="N12" s="2">
        <f ca="1">IFERROR(SUMIFS(INDIRECT("'Thanh Toán ("&amp;N$3&amp;")'!$e:$e"),INDIRECT("'Thanh Toán ("&amp;N$3&amp;")'!$B:$B"),'Tổng Đơn'!$B12),0)</f>
        <v>0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0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157" t="s">
        <v>164</v>
      </c>
      <c r="C13" s="23" t="s">
        <v>116</v>
      </c>
      <c r="D13" s="45">
        <f>VLOOKUP($C13,Sheet1!$C$3:$D$100,2,0)</f>
        <v>45000</v>
      </c>
      <c r="E13" s="63">
        <v>0.5</v>
      </c>
      <c r="F13" s="61">
        <f t="shared" ca="1" si="2"/>
        <v>2</v>
      </c>
      <c r="G13" s="61">
        <v>32.226344854112867</v>
      </c>
      <c r="H13" s="61">
        <f t="shared" ca="1" si="1"/>
        <v>25547.310291774265</v>
      </c>
      <c r="I13" s="61"/>
      <c r="J13" s="61">
        <f t="shared" ca="1" si="3"/>
        <v>64452.689708225735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0</v>
      </c>
      <c r="O13" s="2">
        <f ca="1">IFERROR(SUMIFS(INDIRECT("'Thanh Toán ("&amp;O$3&amp;")'!$e:$e"),INDIRECT("'Thanh Toán ("&amp;O$3&amp;")'!$B:$B"),'Tổng Đơn'!$B13),0)</f>
        <v>1</v>
      </c>
      <c r="P13" s="2">
        <f ca="1">IFERROR(SUMIFS(INDIRECT("'Thanh Toán ("&amp;P$3&amp;")'!$e:$e"),INDIRECT("'Thanh Toán ("&amp;P$3&amp;")'!$B:$B"),'Tổng Đơn'!$B13),0)</f>
        <v>0</v>
      </c>
      <c r="Q13" s="2">
        <f ca="1">IFERROR(SUMIFS(INDIRECT("'Thanh Toán ("&amp;Q$3&amp;")'!$e:$e"),INDIRECT("'Thanh Toán ("&amp;Q$3&amp;")'!$B:$B"),'Tổng Đơn'!$B13),0)</f>
        <v>0</v>
      </c>
      <c r="R13" s="2">
        <f ca="1">IFERROR(SUMIFS(INDIRECT("'Thanh Toán ("&amp;R$3&amp;")'!$e:$e"),INDIRECT("'Thanh Toán ("&amp;R$3&amp;")'!$B:$B"),'Tổng Đơn'!$B13),0)</f>
        <v>0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1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157" t="s">
        <v>6</v>
      </c>
      <c r="C14" s="23" t="s">
        <v>69</v>
      </c>
      <c r="D14" s="45">
        <f>VLOOKUP($C14,Sheet1!$C$3:$D$100,2,0)</f>
        <v>50000</v>
      </c>
      <c r="E14" s="63">
        <v>0.5</v>
      </c>
      <c r="F14" s="61">
        <f t="shared" ca="1" si="2"/>
        <v>0</v>
      </c>
      <c r="G14" s="61">
        <v>44.072025130263519</v>
      </c>
      <c r="H14" s="61">
        <f t="shared" ca="1" si="1"/>
        <v>0</v>
      </c>
      <c r="I14" s="61"/>
      <c r="J14" s="61">
        <f t="shared" ca="1" si="3"/>
        <v>0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0</v>
      </c>
      <c r="N14" s="2">
        <f ca="1">IFERROR(SUMIFS(INDIRECT("'Thanh Toán ("&amp;N$3&amp;")'!$e:$e"),INDIRECT("'Thanh Toán ("&amp;N$3&amp;")'!$B:$B"),'Tổng Đơn'!$B14),0)</f>
        <v>0</v>
      </c>
      <c r="O14" s="2">
        <f ca="1">IFERROR(SUMIFS(INDIRECT("'Thanh Toán ("&amp;O$3&amp;")'!$e:$e"),INDIRECT("'Thanh Toán ("&amp;O$3&amp;")'!$B:$B"),'Tổng Đơn'!$B14),0)</f>
        <v>0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0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157" t="s">
        <v>58</v>
      </c>
      <c r="C15" s="23" t="s">
        <v>70</v>
      </c>
      <c r="D15" s="45">
        <f>VLOOKUP($C15,Sheet1!$C$3:$D$100,2,0)</f>
        <v>45000</v>
      </c>
      <c r="E15" s="63">
        <v>0.5</v>
      </c>
      <c r="F15" s="61">
        <f t="shared" ca="1" si="2"/>
        <v>0</v>
      </c>
      <c r="G15" s="61">
        <v>40.922342671889353</v>
      </c>
      <c r="H15" s="61">
        <f t="shared" ca="1" si="1"/>
        <v>0</v>
      </c>
      <c r="I15" s="61"/>
      <c r="J15" s="61">
        <f t="shared" ca="1" si="3"/>
        <v>0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0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0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157" t="s">
        <v>35</v>
      </c>
      <c r="C16" s="23" t="s">
        <v>71</v>
      </c>
      <c r="D16" s="45">
        <f>VLOOKUP($C16,Sheet1!$C$3:$D$100,2,0)</f>
        <v>45000</v>
      </c>
      <c r="E16" s="63">
        <v>0.5</v>
      </c>
      <c r="F16" s="61">
        <f t="shared" ca="1" si="2"/>
        <v>0</v>
      </c>
      <c r="G16" s="61">
        <v>40.922342671889353</v>
      </c>
      <c r="H16" s="61">
        <f t="shared" ca="1" si="1"/>
        <v>0</v>
      </c>
      <c r="I16" s="61"/>
      <c r="J16" s="61">
        <f t="shared" ca="1" si="3"/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157" t="s">
        <v>32</v>
      </c>
      <c r="C17" s="23" t="s">
        <v>72</v>
      </c>
      <c r="D17" s="45">
        <f>VLOOKUP($C17,Sheet1!$C$3:$D$100,2,0)</f>
        <v>45000</v>
      </c>
      <c r="E17" s="63">
        <v>0.5</v>
      </c>
      <c r="F17" s="61">
        <f t="shared" ca="1" si="2"/>
        <v>0</v>
      </c>
      <c r="G17" s="61">
        <v>40.922342671889353</v>
      </c>
      <c r="H17" s="61">
        <f t="shared" ca="1" si="1"/>
        <v>0</v>
      </c>
      <c r="I17" s="61"/>
      <c r="J17" s="61">
        <f t="shared" ca="1" si="3"/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157" t="s">
        <v>34</v>
      </c>
      <c r="C18" s="23" t="s">
        <v>73</v>
      </c>
      <c r="D18" s="45">
        <f>VLOOKUP($C18,Sheet1!$C$3:$D$100,2,0)</f>
        <v>45000</v>
      </c>
      <c r="E18" s="63">
        <v>0.5</v>
      </c>
      <c r="F18" s="61">
        <f t="shared" ca="1" si="2"/>
        <v>0</v>
      </c>
      <c r="G18" s="61">
        <v>40.922342671889353</v>
      </c>
      <c r="H18" s="61">
        <f t="shared" ca="1" si="1"/>
        <v>0</v>
      </c>
      <c r="I18" s="61"/>
      <c r="J18" s="61">
        <f t="shared" ca="1" si="3"/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157" t="s">
        <v>33</v>
      </c>
      <c r="C19" s="23" t="s">
        <v>74</v>
      </c>
      <c r="D19" s="45">
        <f>VLOOKUP($C19,Sheet1!$C$3:$D$100,2,0)</f>
        <v>45000</v>
      </c>
      <c r="E19" s="63">
        <v>0.5</v>
      </c>
      <c r="F19" s="61">
        <f t="shared" ca="1" si="2"/>
        <v>0</v>
      </c>
      <c r="G19" s="61">
        <v>40.922342671889353</v>
      </c>
      <c r="H19" s="61">
        <f t="shared" ca="1" si="1"/>
        <v>0</v>
      </c>
      <c r="I19" s="61"/>
      <c r="J19" s="61">
        <f t="shared" ca="1" si="3"/>
        <v>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157" t="s">
        <v>5</v>
      </c>
      <c r="C20" s="23" t="s">
        <v>75</v>
      </c>
      <c r="D20" s="45">
        <f>VLOOKUP($C20,Sheet1!$C$3:$D$100,2,0)</f>
        <v>40000</v>
      </c>
      <c r="E20" s="63">
        <v>0.5</v>
      </c>
      <c r="F20" s="61">
        <f t="shared" ca="1" si="2"/>
        <v>5</v>
      </c>
      <c r="G20" s="61">
        <v>34.847647777417663</v>
      </c>
      <c r="H20" s="61">
        <f t="shared" ca="1" si="1"/>
        <v>25761.761112911699</v>
      </c>
      <c r="I20" s="61"/>
      <c r="J20" s="61">
        <f t="shared" ca="1" si="3"/>
        <v>174238.23888708832</v>
      </c>
      <c r="K20" s="61"/>
      <c r="L20" s="2">
        <f ca="1">IFERROR(SUMIFS(INDIRECT("'Thanh Toán ("&amp;L$3&amp;")'!$e:$e"),INDIRECT("'Thanh Toán ("&amp;L$3&amp;")'!$B:$B"),'Tổng Đơn'!$B20),0)</f>
        <v>0</v>
      </c>
      <c r="M20" s="2">
        <f ca="1">IFERROR(SUMIFS(INDIRECT("'Thanh Toán ("&amp;M$3&amp;")'!$e:$e"),INDIRECT("'Thanh Toán ("&amp;M$3&amp;")'!$B:$B"),'Tổng Đơn'!$B20),0)</f>
        <v>0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0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0</v>
      </c>
      <c r="R20" s="2">
        <f ca="1">IFERROR(SUMIFS(INDIRECT("'Thanh Toán ("&amp;R$3&amp;")'!$e:$e"),INDIRECT("'Thanh Toán ("&amp;R$3&amp;")'!$B:$B"),'Tổng Đơn'!$B20),0)</f>
        <v>0</v>
      </c>
      <c r="S20" s="2">
        <f ca="1">IFERROR(SUMIFS(INDIRECT("'Thanh Toán ("&amp;S$3&amp;")'!$e:$e"),INDIRECT("'Thanh Toán ("&amp;S$3&amp;")'!$B:$B"),'Tổng Đơn'!$B20),0)</f>
        <v>1</v>
      </c>
      <c r="T20" s="2">
        <f ca="1">IFERROR(SUMIFS(INDIRECT("'Thanh Toán ("&amp;T$3&amp;")'!$e:$e"),INDIRECT("'Thanh Toán ("&amp;T$3&amp;")'!$B:$B"),'Tổng Đơn'!$B20),0)</f>
        <v>1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1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2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157" t="s">
        <v>4</v>
      </c>
      <c r="C21" s="23" t="s">
        <v>76</v>
      </c>
      <c r="D21" s="45">
        <f>VLOOKUP($C21,Sheet1!$C$3:$D$100,2,0)</f>
        <v>40000</v>
      </c>
      <c r="E21" s="63">
        <v>0.5</v>
      </c>
      <c r="F21" s="61">
        <f t="shared" ca="1" si="2"/>
        <v>1</v>
      </c>
      <c r="G21" s="61">
        <v>30.747924509486175</v>
      </c>
      <c r="H21" s="61">
        <f t="shared" ca="1" si="1"/>
        <v>9252.0754905138238</v>
      </c>
      <c r="I21" s="61"/>
      <c r="J21" s="61">
        <f t="shared" ca="1" si="3"/>
        <v>30747.924509486176</v>
      </c>
      <c r="K21" s="61"/>
      <c r="L21" s="2">
        <f ca="1">IFERROR(SUMIFS(INDIRECT("'Thanh Toán ("&amp;L$3&amp;")'!$e:$e"),INDIRECT("'Thanh Toán ("&amp;L$3&amp;")'!$B:$B"),'Tổng Đơn'!$B21),0)</f>
        <v>0</v>
      </c>
      <c r="M21" s="2">
        <f ca="1">IFERROR(SUMIFS(INDIRECT("'Thanh Toán ("&amp;M$3&amp;")'!$e:$e"),INDIRECT("'Thanh Toán ("&amp;M$3&amp;")'!$B:$B"),'Tổng Đơn'!$B21),0)</f>
        <v>0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0</v>
      </c>
      <c r="Q21" s="2">
        <f ca="1">IFERROR(SUMIFS(INDIRECT("'Thanh Toán ("&amp;Q$3&amp;")'!$e:$e"),INDIRECT("'Thanh Toán ("&amp;Q$3&amp;")'!$B:$B"),'Tổng Đơn'!$B21),0)</f>
        <v>0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1</v>
      </c>
      <c r="T21" s="2">
        <f ca="1">IFERROR(SUMIFS(INDIRECT("'Thanh Toán ("&amp;T$3&amp;")'!$e:$e"),INDIRECT("'Thanh Toán ("&amp;T$3&amp;")'!$B:$B"),'Tổng Đơn'!$B21),0)</f>
        <v>0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157" t="s">
        <v>9</v>
      </c>
      <c r="C22" s="23" t="s">
        <v>77</v>
      </c>
      <c r="D22" s="45">
        <f>VLOOKUP($C22,Sheet1!$C$3:$D$100,2,0)</f>
        <v>55000</v>
      </c>
      <c r="E22" s="63">
        <v>0.5</v>
      </c>
      <c r="F22" s="61">
        <f t="shared" ca="1" si="2"/>
        <v>0</v>
      </c>
      <c r="G22" s="61">
        <v>43.559559721772082</v>
      </c>
      <c r="H22" s="61">
        <f t="shared" ca="1" si="1"/>
        <v>0</v>
      </c>
      <c r="I22" s="61"/>
      <c r="J22" s="61">
        <f t="shared" ca="1" si="3"/>
        <v>0</v>
      </c>
      <c r="K22" s="61"/>
      <c r="L22" s="2">
        <f ca="1">IFERROR(SUMIFS(INDIRECT("'Thanh Toán ("&amp;L$3&amp;")'!$e:$e"),INDIRECT("'Thanh Toán ("&amp;L$3&amp;")'!$B:$B"),'Tổng Đơn'!$B22),0)</f>
        <v>0</v>
      </c>
      <c r="M22" s="2">
        <f ca="1">IFERROR(SUMIFS(INDIRECT("'Thanh Toán ("&amp;M$3&amp;")'!$e:$e"),INDIRECT("'Thanh Toán ("&amp;M$3&amp;")'!$B:$B"),'Tổng Đơn'!$B22),0)</f>
        <v>0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0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157" t="s">
        <v>13</v>
      </c>
      <c r="C23" s="23" t="s">
        <v>78</v>
      </c>
      <c r="D23" s="45">
        <f>VLOOKUP($C23,Sheet1!$C$3:$D$100,2,0)</f>
        <v>28000</v>
      </c>
      <c r="E23" s="63">
        <v>0.5</v>
      </c>
      <c r="F23" s="61">
        <f t="shared" ca="1" si="2"/>
        <v>0</v>
      </c>
      <c r="G23" s="61">
        <v>21.011081748148886</v>
      </c>
      <c r="H23" s="61">
        <f t="shared" ca="1" si="1"/>
        <v>0</v>
      </c>
      <c r="I23" s="61"/>
      <c r="J23" s="61">
        <f t="shared" ca="1" si="3"/>
        <v>0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0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157" t="s">
        <v>12</v>
      </c>
      <c r="C24" s="23" t="s">
        <v>79</v>
      </c>
      <c r="D24" s="45">
        <f>VLOOKUP($C24,Sheet1!$C$3:$D$100,2,0)</f>
        <v>26000</v>
      </c>
      <c r="E24" s="63">
        <v>0.5</v>
      </c>
      <c r="F24" s="61">
        <f t="shared" ca="1" si="2"/>
        <v>5</v>
      </c>
      <c r="G24" s="61">
        <v>21.011081748148886</v>
      </c>
      <c r="H24" s="61">
        <f t="shared" ca="1" si="1"/>
        <v>24944.591259255576</v>
      </c>
      <c r="I24" s="61"/>
      <c r="J24" s="61">
        <f t="shared" ca="1" si="3"/>
        <v>105055.40874074443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0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0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1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4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157" t="s">
        <v>14</v>
      </c>
      <c r="C25" s="23" t="s">
        <v>80</v>
      </c>
      <c r="D25" s="45">
        <f>VLOOKUP($C25,Sheet1!$C$3:$D$100,2,0)</f>
        <v>33000</v>
      </c>
      <c r="E25" s="63">
        <v>0.5</v>
      </c>
      <c r="F25" s="61">
        <f t="shared" ca="1" si="2"/>
        <v>10</v>
      </c>
      <c r="G25" s="61">
        <v>28.185597467028995</v>
      </c>
      <c r="H25" s="61">
        <f t="shared" ca="1" si="1"/>
        <v>48144.025329710057</v>
      </c>
      <c r="I25" s="61"/>
      <c r="J25" s="61">
        <f t="shared" ca="1" si="3"/>
        <v>281855.9746702899</v>
      </c>
      <c r="K25" s="61"/>
      <c r="L25" s="2">
        <f ca="1">IFERROR(SUMIFS(INDIRECT("'Thanh Toán ("&amp;L$3&amp;")'!$e:$e"),INDIRECT("'Thanh Toán ("&amp;L$3&amp;")'!$B:$B"),'Tổng Đơn'!$B25),0)</f>
        <v>1</v>
      </c>
      <c r="M25" s="2">
        <f ca="1">IFERROR(SUMIFS(INDIRECT("'Thanh Toán ("&amp;M$3&amp;")'!$e:$e"),INDIRECT("'Thanh Toán ("&amp;M$3&amp;")'!$B:$B"),'Tổng Đơn'!$B25),0)</f>
        <v>4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0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0</v>
      </c>
      <c r="T25" s="2">
        <f ca="1">IFERROR(SUMIFS(INDIRECT("'Thanh Toán ("&amp;T$3&amp;")'!$e:$e"),INDIRECT("'Thanh Toán ("&amp;T$3&amp;")'!$B:$B"),'Tổng Đơn'!$B25),0)</f>
        <v>0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1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4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157" t="s">
        <v>7</v>
      </c>
      <c r="C26" s="23" t="s">
        <v>81</v>
      </c>
      <c r="D26" s="45">
        <f>VLOOKUP($C26,Sheet1!$C$3:$D$100,2,0)</f>
        <v>34000</v>
      </c>
      <c r="E26" s="63">
        <v>0.5</v>
      </c>
      <c r="F26" s="61">
        <f t="shared" ca="1" si="2"/>
        <v>1</v>
      </c>
      <c r="G26" s="61">
        <v>28.185597467028995</v>
      </c>
      <c r="H26" s="61">
        <f t="shared" ca="1" si="1"/>
        <v>5814.4025329710057</v>
      </c>
      <c r="I26" s="61"/>
      <c r="J26" s="61">
        <f t="shared" ca="1" si="3"/>
        <v>28185.597467028994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0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1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157" t="s">
        <v>8</v>
      </c>
      <c r="C27" s="23" t="s">
        <v>82</v>
      </c>
      <c r="D27" s="45">
        <f>VLOOKUP($C27,Sheet1!$C$3:$D$100,2,0)</f>
        <v>69000</v>
      </c>
      <c r="E27" s="63">
        <v>0.5</v>
      </c>
      <c r="F27" s="61">
        <f t="shared" ca="1" si="2"/>
        <v>1</v>
      </c>
      <c r="G27" s="61">
        <v>58.933521976515173</v>
      </c>
      <c r="H27" s="61">
        <f t="shared" ca="1" si="1"/>
        <v>10066.478023484829</v>
      </c>
      <c r="I27" s="61"/>
      <c r="J27" s="61">
        <f t="shared" ca="1" si="3"/>
        <v>58933.521976515171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1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157" t="s">
        <v>27</v>
      </c>
      <c r="C28" s="23" t="s">
        <v>83</v>
      </c>
      <c r="D28" s="45">
        <f>VLOOKUP($C28,Sheet1!$C$3:$D$100,2,0)</f>
        <v>38000</v>
      </c>
      <c r="E28" s="63">
        <v>0.5</v>
      </c>
      <c r="F28" s="61">
        <f t="shared" ca="1" si="2"/>
        <v>1</v>
      </c>
      <c r="G28" s="61">
        <v>33.530744526779337</v>
      </c>
      <c r="H28" s="61">
        <f t="shared" ca="1" si="1"/>
        <v>4469.2554732206627</v>
      </c>
      <c r="I28" s="61"/>
      <c r="J28" s="61">
        <f t="shared" ca="1" si="3"/>
        <v>33530.744526779337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1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157" t="s">
        <v>68</v>
      </c>
      <c r="C29" s="23" t="s">
        <v>84</v>
      </c>
      <c r="D29" s="45">
        <f>VLOOKUP($C29,Sheet1!$C$3:$D$100,2,0)</f>
        <v>35000</v>
      </c>
      <c r="E29" s="63">
        <v>0.5</v>
      </c>
      <c r="F29" s="61">
        <f t="shared" ca="1" si="2"/>
        <v>0</v>
      </c>
      <c r="G29" s="61">
        <v>27.673132058537558</v>
      </c>
      <c r="H29" s="61">
        <f t="shared" ca="1" si="1"/>
        <v>0</v>
      </c>
      <c r="I29" s="61"/>
      <c r="J29" s="61">
        <f t="shared" ca="1" si="3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157" t="s">
        <v>29</v>
      </c>
      <c r="C30" s="23" t="s">
        <v>85</v>
      </c>
      <c r="D30" s="45">
        <f>VLOOKUP($C30,Sheet1!$C$3:$D$100,2,0)</f>
        <v>45000</v>
      </c>
      <c r="E30" s="63">
        <v>0.5</v>
      </c>
      <c r="F30" s="61">
        <f t="shared" ca="1" si="2"/>
        <v>1</v>
      </c>
      <c r="G30" s="61">
        <v>40.922342671889353</v>
      </c>
      <c r="H30" s="61">
        <f t="shared" ca="1" si="1"/>
        <v>4077.6573281106466</v>
      </c>
      <c r="I30" s="61"/>
      <c r="J30" s="61">
        <f t="shared" ca="1" si="3"/>
        <v>40922.342671889353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1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157" t="s">
        <v>15</v>
      </c>
      <c r="C31" s="23" t="s">
        <v>86</v>
      </c>
      <c r="D31" s="45">
        <f>VLOOKUP($C31,Sheet1!$C$3:$D$100,2,0)</f>
        <v>35000</v>
      </c>
      <c r="E31" s="63">
        <v>0.5</v>
      </c>
      <c r="F31" s="61">
        <f t="shared" ca="1" si="2"/>
        <v>0</v>
      </c>
      <c r="G31" s="61">
        <v>30.747924509486175</v>
      </c>
      <c r="H31" s="61">
        <f t="shared" ca="1" si="1"/>
        <v>0</v>
      </c>
      <c r="I31" s="61"/>
      <c r="J31" s="61">
        <f t="shared" ca="1" si="3"/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157" t="s">
        <v>10</v>
      </c>
      <c r="C32" s="23" t="s">
        <v>87</v>
      </c>
      <c r="D32" s="45">
        <f>VLOOKUP($C32,Sheet1!$C$3:$D$100,2,0)</f>
        <v>32000</v>
      </c>
      <c r="E32" s="63">
        <v>0.5</v>
      </c>
      <c r="F32" s="61">
        <f t="shared" ca="1" si="2"/>
        <v>0</v>
      </c>
      <c r="G32" s="61">
        <v>27.673132058537558</v>
      </c>
      <c r="H32" s="61">
        <f t="shared" ca="1" si="1"/>
        <v>0</v>
      </c>
      <c r="I32" s="61"/>
      <c r="J32" s="61">
        <f t="shared" ca="1" si="3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157" t="s">
        <v>38</v>
      </c>
      <c r="C33" s="23" t="s">
        <v>88</v>
      </c>
      <c r="D33" s="45">
        <f>VLOOKUP($C33,Sheet1!$C$3:$D$100,2,0)</f>
        <v>32000</v>
      </c>
      <c r="E33" s="63">
        <v>0.5</v>
      </c>
      <c r="F33" s="61">
        <f t="shared" ca="1" si="2"/>
        <v>0</v>
      </c>
      <c r="G33" s="61">
        <v>26.771489901453801</v>
      </c>
      <c r="H33" s="61">
        <f t="shared" ca="1" si="1"/>
        <v>0</v>
      </c>
      <c r="I33" s="61"/>
      <c r="J33" s="61">
        <f t="shared" ca="1" si="3"/>
        <v>0</v>
      </c>
      <c r="K33" s="61"/>
      <c r="L33" s="2">
        <f ca="1">IFERROR(SUMIFS(INDIRECT("'Thanh Toán ("&amp;L$3&amp;")'!$e:$e"),INDIRECT("'Thanh Toán ("&amp;L$3&amp;")'!$B:$B"),'Tổng Đơn'!$B33),0)</f>
        <v>0</v>
      </c>
      <c r="M33" s="2">
        <f ca="1">IFERROR(SUMIFS(INDIRECT("'Thanh Toán ("&amp;M$3&amp;")'!$e:$e"),INDIRECT("'Thanh Toán ("&amp;M$3&amp;")'!$B:$B"),'Tổng Đơn'!$B33),0)</f>
        <v>0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0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0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157" t="s">
        <v>39</v>
      </c>
      <c r="C34" s="23" t="s">
        <v>89</v>
      </c>
      <c r="D34" s="45">
        <f>VLOOKUP($C34,Sheet1!$C$3:$D$100,2,0)</f>
        <v>14000</v>
      </c>
      <c r="E34" s="63">
        <v>0.2</v>
      </c>
      <c r="F34" s="61">
        <f t="shared" ca="1" si="2"/>
        <v>0</v>
      </c>
      <c r="G34" s="61">
        <v>11.314742901746511</v>
      </c>
      <c r="H34" s="61">
        <f t="shared" ca="1" si="1"/>
        <v>0</v>
      </c>
      <c r="I34" s="61"/>
      <c r="J34" s="61">
        <f t="shared" ca="1" si="3"/>
        <v>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157" t="s">
        <v>67</v>
      </c>
      <c r="C35" s="23" t="s">
        <v>90</v>
      </c>
      <c r="D35" s="45">
        <f>VLOOKUP($C35,Sheet1!$C$3:$D$100,2,0)</f>
        <v>32000</v>
      </c>
      <c r="E35" s="63">
        <v>0.5</v>
      </c>
      <c r="F35" s="61">
        <f t="shared" ca="1" si="2"/>
        <v>1</v>
      </c>
      <c r="G35" s="61">
        <v>26.771489901453801</v>
      </c>
      <c r="H35" s="61">
        <f t="shared" ca="1" si="1"/>
        <v>5228.5100985461977</v>
      </c>
      <c r="I35" s="61"/>
      <c r="J35" s="61">
        <f t="shared" ca="1" si="3"/>
        <v>26771.489901453802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0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1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157" t="s">
        <v>40</v>
      </c>
      <c r="C36" s="23" t="s">
        <v>91</v>
      </c>
      <c r="D36" s="45">
        <f>VLOOKUP($C36,Sheet1!$C$3:$D$100,2,0)</f>
        <v>34500</v>
      </c>
      <c r="E36" s="63">
        <v>0.5</v>
      </c>
      <c r="F36" s="61">
        <f t="shared" ca="1" si="2"/>
        <v>0</v>
      </c>
      <c r="G36" s="61">
        <v>28.791979705337106</v>
      </c>
      <c r="H36" s="61">
        <f t="shared" ca="1" si="1"/>
        <v>0</v>
      </c>
      <c r="I36" s="61"/>
      <c r="J36" s="61">
        <f t="shared" ca="1" si="3"/>
        <v>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0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157" t="s">
        <v>41</v>
      </c>
      <c r="C37" s="23" t="s">
        <v>92</v>
      </c>
      <c r="D37" s="45">
        <f>VLOOKUP($C37,Sheet1!$C$3:$D$100,2,0)</f>
        <v>14000</v>
      </c>
      <c r="E37" s="63">
        <v>0.2</v>
      </c>
      <c r="F37" s="61">
        <f t="shared" ca="1" si="2"/>
        <v>0</v>
      </c>
      <c r="G37" s="61">
        <v>12.122938823299835</v>
      </c>
      <c r="H37" s="61">
        <f t="shared" ref="H37:H63" ca="1" si="4">(D37-G37*1000)*$F37</f>
        <v>0</v>
      </c>
      <c r="I37" s="61"/>
      <c r="J37" s="61">
        <f t="shared" ca="1" si="3"/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157" t="s">
        <v>42</v>
      </c>
      <c r="C38" s="23" t="s">
        <v>93</v>
      </c>
      <c r="D38" s="45">
        <f>VLOOKUP($C38,Sheet1!$C$3:$D$100,2,0)</f>
        <v>34500</v>
      </c>
      <c r="E38" s="63">
        <v>0.5</v>
      </c>
      <c r="F38" s="61">
        <f t="shared" ca="1" si="2"/>
        <v>1</v>
      </c>
      <c r="G38" s="61">
        <v>28.791979705337106</v>
      </c>
      <c r="H38" s="61">
        <f t="shared" ca="1" si="4"/>
        <v>5708.020294662896</v>
      </c>
      <c r="I38" s="61"/>
      <c r="J38" s="61">
        <f t="shared" ca="1" si="3"/>
        <v>28791.979705337104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0</v>
      </c>
      <c r="N38" s="2">
        <f ca="1">IFERROR(SUMIFS(INDIRECT("'Thanh Toán ("&amp;N$3&amp;")'!$e:$e"),INDIRECT("'Thanh Toán ("&amp;N$3&amp;")'!$B:$B"),'Tổng Đơn'!$B38),0)</f>
        <v>0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0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1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157" t="s">
        <v>43</v>
      </c>
      <c r="C39" s="23" t="s">
        <v>94</v>
      </c>
      <c r="D39" s="45">
        <f>VLOOKUP($C39,Sheet1!$C$3:$D$100,2,0)</f>
        <v>14000</v>
      </c>
      <c r="E39" s="63">
        <v>0.2</v>
      </c>
      <c r="F39" s="61">
        <f t="shared" ca="1" si="2"/>
        <v>0</v>
      </c>
      <c r="G39" s="61">
        <v>12.122938823299835</v>
      </c>
      <c r="H39" s="61">
        <f t="shared" ca="1" si="4"/>
        <v>0</v>
      </c>
      <c r="I39" s="61"/>
      <c r="J39" s="61">
        <f t="shared" ca="1" si="3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157" t="s">
        <v>48</v>
      </c>
      <c r="C40" s="23" t="s">
        <v>95</v>
      </c>
      <c r="D40" s="45">
        <f>VLOOKUP($C40,Sheet1!$C$3:$D$100,2,0)</f>
        <v>59000</v>
      </c>
      <c r="E40" s="63">
        <v>0.5</v>
      </c>
      <c r="F40" s="61">
        <f t="shared" ca="1" si="2"/>
        <v>0</v>
      </c>
      <c r="G40" s="61">
        <v>49.502000195140987</v>
      </c>
      <c r="H40" s="61">
        <f t="shared" ca="1" si="4"/>
        <v>0</v>
      </c>
      <c r="I40" s="61"/>
      <c r="J40" s="61">
        <f t="shared" ca="1" si="3"/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157" t="s">
        <v>49</v>
      </c>
      <c r="C41" s="23" t="s">
        <v>96</v>
      </c>
      <c r="D41" s="45">
        <f>VLOOKUP($C41,Sheet1!$C$3:$D$100,2,0)</f>
        <v>52000</v>
      </c>
      <c r="E41" s="63">
        <v>0.5</v>
      </c>
      <c r="F41" s="61">
        <f t="shared" ca="1" si="2"/>
        <v>0</v>
      </c>
      <c r="G41" s="61">
        <v>43.44053078349107</v>
      </c>
      <c r="H41" s="61">
        <f t="shared" ca="1" si="4"/>
        <v>0</v>
      </c>
      <c r="I41" s="61"/>
      <c r="J41" s="61">
        <f t="shared" ca="1" si="3"/>
        <v>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0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0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157" t="s">
        <v>45</v>
      </c>
      <c r="C42" s="23" t="s">
        <v>97</v>
      </c>
      <c r="D42" s="45">
        <f>VLOOKUP($C42,Sheet1!$C$3:$D$100,2,0)</f>
        <v>65000</v>
      </c>
      <c r="E42" s="63">
        <v>0.5</v>
      </c>
      <c r="F42" s="61">
        <f t="shared" ca="1" si="2"/>
        <v>0</v>
      </c>
      <c r="G42" s="61">
        <v>54.553224704849256</v>
      </c>
      <c r="H42" s="61">
        <f t="shared" ca="1" si="4"/>
        <v>0</v>
      </c>
      <c r="I42" s="61"/>
      <c r="J42" s="61">
        <f t="shared" ca="1" si="3"/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157" t="s">
        <v>44</v>
      </c>
      <c r="C43" s="23" t="s">
        <v>98</v>
      </c>
      <c r="D43" s="45">
        <f>VLOOKUP($C43,Sheet1!$C$3:$D$100,2,0)</f>
        <v>44000</v>
      </c>
      <c r="E43" s="63">
        <v>0.5</v>
      </c>
      <c r="F43" s="61">
        <f t="shared" ca="1" si="2"/>
        <v>0</v>
      </c>
      <c r="G43" s="61">
        <v>36.87393892087033</v>
      </c>
      <c r="H43" s="61">
        <f t="shared" ca="1" si="4"/>
        <v>0</v>
      </c>
      <c r="I43" s="61"/>
      <c r="J43" s="61">
        <f t="shared" ca="1" si="3"/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157" t="s">
        <v>47</v>
      </c>
      <c r="C44" s="23" t="s">
        <v>99</v>
      </c>
      <c r="D44" s="45">
        <f>VLOOKUP($C44,Sheet1!$C$3:$D$100,2,0)</f>
        <v>79000</v>
      </c>
      <c r="E44" s="63">
        <v>0.5</v>
      </c>
      <c r="F44" s="61">
        <f t="shared" ca="1" si="2"/>
        <v>0</v>
      </c>
      <c r="G44" s="61">
        <v>66.67616352814909</v>
      </c>
      <c r="H44" s="61">
        <f t="shared" ca="1" si="4"/>
        <v>0</v>
      </c>
      <c r="I44" s="61"/>
      <c r="J44" s="61">
        <f t="shared" ca="1" si="3"/>
        <v>0</v>
      </c>
      <c r="K44" s="61"/>
      <c r="L44" s="2">
        <f ca="1">IFERROR(SUMIFS(INDIRECT("'Thanh Toán ("&amp;L$3&amp;")'!$e:$e"),INDIRECT("'Thanh Toán ("&amp;L$3&amp;")'!$B:$B"),'Tổng Đơn'!$B44),0)</f>
        <v>0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0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157" t="s">
        <v>37</v>
      </c>
      <c r="C45" s="23" t="s">
        <v>100</v>
      </c>
      <c r="D45" s="45">
        <f>VLOOKUP($C45,Sheet1!$C$3:$D$100,2,0)</f>
        <v>66000</v>
      </c>
      <c r="E45" s="63">
        <v>0.5</v>
      </c>
      <c r="F45" s="61">
        <f t="shared" ca="1" si="2"/>
        <v>1</v>
      </c>
      <c r="G45" s="61">
        <v>56.068592057761734</v>
      </c>
      <c r="H45" s="61">
        <f t="shared" ca="1" si="4"/>
        <v>9931.4079422382638</v>
      </c>
      <c r="I45" s="61"/>
      <c r="J45" s="61">
        <f t="shared" ca="1" si="3"/>
        <v>56068.592057761736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1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0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157" t="s">
        <v>50</v>
      </c>
      <c r="C46" s="23" t="s">
        <v>101</v>
      </c>
      <c r="D46" s="45">
        <f>VLOOKUP($C46,Sheet1!$C$3:$D$100,2,0)</f>
        <v>122000</v>
      </c>
      <c r="E46" s="63">
        <v>1</v>
      </c>
      <c r="F46" s="61">
        <f t="shared" ca="1" si="2"/>
        <v>0</v>
      </c>
      <c r="G46" s="61">
        <v>103.04497999804859</v>
      </c>
      <c r="H46" s="61">
        <f t="shared" ca="1" si="4"/>
        <v>0</v>
      </c>
      <c r="I46" s="61"/>
      <c r="J46" s="61">
        <f t="shared" ca="1" si="3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157" t="s">
        <v>36</v>
      </c>
      <c r="C47" s="23" t="s">
        <v>102</v>
      </c>
      <c r="D47" s="45">
        <f>VLOOKUP($C47,Sheet1!$C$3:$D$100,2,0)</f>
        <v>66000</v>
      </c>
      <c r="E47" s="63">
        <v>0.5</v>
      </c>
      <c r="F47" s="61">
        <f t="shared" ca="1" si="2"/>
        <v>0</v>
      </c>
      <c r="G47" s="61">
        <v>56.068592057761734</v>
      </c>
      <c r="H47" s="61">
        <f t="shared" ca="1" si="4"/>
        <v>0</v>
      </c>
      <c r="I47" s="61"/>
      <c r="J47" s="61">
        <f t="shared" ca="1" si="3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157" t="s">
        <v>51</v>
      </c>
      <c r="C48" s="23" t="s">
        <v>103</v>
      </c>
      <c r="D48" s="45">
        <f>VLOOKUP($C48,Sheet1!$C$3:$D$100,2,0)</f>
        <v>65000</v>
      </c>
      <c r="E48" s="63">
        <v>0.5</v>
      </c>
      <c r="F48" s="61">
        <f t="shared" ca="1" si="2"/>
        <v>1</v>
      </c>
      <c r="G48" s="61">
        <v>54.553224704849256</v>
      </c>
      <c r="H48" s="61">
        <f t="shared" ca="1" si="4"/>
        <v>10446.775295150743</v>
      </c>
      <c r="I48" s="61"/>
      <c r="J48" s="61">
        <f t="shared" ca="1" si="3"/>
        <v>54553.224704849257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1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157" t="s">
        <v>52</v>
      </c>
      <c r="C49" s="23" t="s">
        <v>104</v>
      </c>
      <c r="D49" s="45">
        <f>VLOOKUP($C49,Sheet1!$C$3:$D$100,2,0)</f>
        <v>54000</v>
      </c>
      <c r="E49" s="63">
        <v>0.5</v>
      </c>
      <c r="F49" s="61">
        <f t="shared" ca="1" si="2"/>
        <v>1</v>
      </c>
      <c r="G49" s="61">
        <v>45.461020587374378</v>
      </c>
      <c r="H49" s="61">
        <f t="shared" ca="1" si="4"/>
        <v>8538.9794126256238</v>
      </c>
      <c r="I49" s="61"/>
      <c r="J49" s="61">
        <f t="shared" ca="1" si="3"/>
        <v>45461.020587374376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1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157" t="s">
        <v>46</v>
      </c>
      <c r="C50" s="23" t="s">
        <v>105</v>
      </c>
      <c r="D50" s="45">
        <f>VLOOKUP($C50,Sheet1!$C$3:$D$100,2,0)</f>
        <v>59000</v>
      </c>
      <c r="E50" s="63">
        <v>0.5</v>
      </c>
      <c r="F50" s="61">
        <f t="shared" ca="1" si="2"/>
        <v>0</v>
      </c>
      <c r="G50" s="61">
        <v>49.502000195140987</v>
      </c>
      <c r="H50" s="61">
        <f t="shared" ca="1" si="4"/>
        <v>0</v>
      </c>
      <c r="I50" s="61"/>
      <c r="J50" s="61">
        <f t="shared" ca="1" si="3"/>
        <v>0</v>
      </c>
      <c r="K50" s="61"/>
      <c r="L50" s="2">
        <f ca="1">IFERROR(SUMIFS(INDIRECT("'Thanh Toán ("&amp;L$3&amp;")'!$e:$e"),INDIRECT("'Thanh Toán ("&amp;L$3&amp;")'!$B:$B"),'Tổng Đơn'!$B50),0)</f>
        <v>0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0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156">
        <v>47</v>
      </c>
      <c r="B51" s="159" t="s">
        <v>142</v>
      </c>
      <c r="C51" s="23" t="s">
        <v>126</v>
      </c>
      <c r="D51" s="45">
        <f>VLOOKUP($C51,Sheet1!$C$3:$D$100,2,0)</f>
        <v>40000</v>
      </c>
      <c r="E51" s="63">
        <v>0.5</v>
      </c>
      <c r="F51" s="61">
        <f t="shared" ca="1" si="2"/>
        <v>5</v>
      </c>
      <c r="G51" s="61">
        <v>31.772855326469049</v>
      </c>
      <c r="H51" s="61">
        <f t="shared" ca="1" si="4"/>
        <v>41135.723367654755</v>
      </c>
      <c r="I51" s="61"/>
      <c r="J51" s="61">
        <f t="shared" ca="1" si="3"/>
        <v>158864.27663234525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0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0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0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1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4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156">
        <v>48</v>
      </c>
      <c r="B52" s="159" t="s">
        <v>143</v>
      </c>
      <c r="C52" s="23" t="s">
        <v>144</v>
      </c>
      <c r="D52" s="45">
        <f>VLOOKUP($C52,Sheet1!$C$3:$D$100,2,0)</f>
        <v>35000</v>
      </c>
      <c r="E52" s="63">
        <v>0.5</v>
      </c>
      <c r="F52" s="61">
        <f t="shared" ca="1" si="2"/>
        <v>0</v>
      </c>
      <c r="G52" s="61">
        <v>22.03601256513176</v>
      </c>
      <c r="H52" s="61">
        <f t="shared" ca="1" si="4"/>
        <v>0</v>
      </c>
      <c r="I52" s="61"/>
      <c r="J52" s="61">
        <f t="shared" ca="1" si="3"/>
        <v>0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0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156">
        <v>49</v>
      </c>
      <c r="B53" s="159" t="s">
        <v>165</v>
      </c>
      <c r="C53" s="23" t="s">
        <v>146</v>
      </c>
      <c r="D53" s="45">
        <f>VLOOKUP($C53,Sheet1!$C$3:$D$100,2,0)</f>
        <v>45000</v>
      </c>
      <c r="E53" s="63">
        <v>0.5</v>
      </c>
      <c r="F53" s="61">
        <f t="shared" ca="1" si="2"/>
        <v>0</v>
      </c>
      <c r="G53" s="61">
        <v>27.673132058537558</v>
      </c>
      <c r="H53" s="61">
        <f t="shared" ca="1" si="4"/>
        <v>0</v>
      </c>
      <c r="I53" s="61"/>
      <c r="J53" s="61">
        <f t="shared" ca="1" si="3"/>
        <v>0</v>
      </c>
      <c r="K53" s="61"/>
      <c r="L53" s="2">
        <f ca="1">IFERROR(SUMIFS(INDIRECT("'Thanh Toán ("&amp;L$3&amp;")'!$e:$e"),INDIRECT("'Thanh Toán ("&amp;L$3&amp;")'!$B:$B"),'Tổng Đơn'!$B53),0)</f>
        <v>0</v>
      </c>
      <c r="M53" s="2">
        <f ca="1">IFERROR(SUMIFS(INDIRECT("'Thanh Toán ("&amp;M$3&amp;")'!$e:$e"),INDIRECT("'Thanh Toán ("&amp;M$3&amp;")'!$B:$B"),'Tổng Đơn'!$B53),0)</f>
        <v>0</v>
      </c>
      <c r="N53" s="2">
        <f ca="1">IFERROR(SUMIFS(INDIRECT("'Thanh Toán ("&amp;N$3&amp;")'!$e:$e"),INDIRECT("'Thanh Toán ("&amp;N$3&amp;")'!$B:$B"),'Tổng Đơn'!$B53),0)</f>
        <v>0</v>
      </c>
      <c r="O53" s="2">
        <f ca="1">IFERROR(SUMIFS(INDIRECT("'Thanh Toán ("&amp;O$3&amp;")'!$e:$e"),INDIRECT("'Thanh Toán ("&amp;O$3&amp;")'!$B:$B"),'Tổng Đơn'!$B53),0)</f>
        <v>0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156">
        <v>50</v>
      </c>
      <c r="B54" s="159" t="s">
        <v>147</v>
      </c>
      <c r="C54" s="23" t="s">
        <v>148</v>
      </c>
      <c r="D54" s="45">
        <f>VLOOKUP($C54,Sheet1!$C$3:$D$100,2,0)</f>
        <v>40000</v>
      </c>
      <c r="E54" s="63">
        <v>0.5</v>
      </c>
      <c r="F54" s="61">
        <f t="shared" ca="1" si="2"/>
        <v>0</v>
      </c>
      <c r="G54" s="61">
        <v>37</v>
      </c>
      <c r="H54" s="61">
        <f t="shared" ca="1" si="4"/>
        <v>0</v>
      </c>
      <c r="I54" s="61"/>
      <c r="J54" s="61">
        <f t="shared" ca="1" si="3"/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  <row r="55" spans="1:41" x14ac:dyDescent="0.25">
      <c r="A55" s="156">
        <v>51</v>
      </c>
      <c r="B55" s="159" t="s">
        <v>150</v>
      </c>
      <c r="C55" s="23" t="s">
        <v>161</v>
      </c>
      <c r="D55" s="45">
        <f>VLOOKUP($C55,Sheet1!$C$3:$D$100,2,0)</f>
        <v>38000</v>
      </c>
      <c r="E55" s="63">
        <v>0.5</v>
      </c>
      <c r="F55" s="61">
        <f t="shared" ref="F55:F57" ca="1" si="5">SUM(L55:BW55)</f>
        <v>0</v>
      </c>
      <c r="G55" s="61">
        <v>27.111052020126696</v>
      </c>
      <c r="H55" s="61">
        <f t="shared" ca="1" si="4"/>
        <v>0</v>
      </c>
      <c r="I55" s="61"/>
      <c r="J55" s="61">
        <f t="shared" ca="1" si="3"/>
        <v>0</v>
      </c>
      <c r="K55" s="61"/>
      <c r="L55" s="2">
        <f ca="1">IFERROR(SUMIFS(INDIRECT("'Thanh Toán ("&amp;L$3&amp;")'!$e:$e"),INDIRECT("'Thanh Toán ("&amp;L$3&amp;")'!$B:$B"),'Tổng Đơn'!$B55),0)</f>
        <v>0</v>
      </c>
      <c r="M55" s="2">
        <f ca="1">IFERROR(SUMIFS(INDIRECT("'Thanh Toán ("&amp;M$3&amp;")'!$e:$e"),INDIRECT("'Thanh Toán ("&amp;M$3&amp;")'!$B:$B"),'Tổng Đơn'!$B55),0)</f>
        <v>0</v>
      </c>
      <c r="N55" s="2">
        <f ca="1">IFERROR(SUMIFS(INDIRECT("'Thanh Toán ("&amp;N$3&amp;")'!$e:$e"),INDIRECT("'Thanh Toán ("&amp;N$3&amp;")'!$B:$B"),'Tổng Đơn'!$B55),0)</f>
        <v>0</v>
      </c>
      <c r="O55" s="2">
        <f ca="1">IFERROR(SUMIFS(INDIRECT("'Thanh Toán ("&amp;O$3&amp;")'!$e:$e"),INDIRECT("'Thanh Toán ("&amp;O$3&amp;")'!$B:$B"),'Tổng Đơn'!$B55),0)</f>
        <v>0</v>
      </c>
      <c r="P55" s="2">
        <f ca="1">IFERROR(SUMIFS(INDIRECT("'Thanh Toán ("&amp;P$3&amp;")'!$e:$e"),INDIRECT("'Thanh Toán ("&amp;P$3&amp;")'!$B:$B"),'Tổng Đơn'!$B55),0)</f>
        <v>0</v>
      </c>
      <c r="Q55" s="2">
        <f ca="1">IFERROR(SUMIFS(INDIRECT("'Thanh Toán ("&amp;Q$3&amp;")'!$e:$e"),INDIRECT("'Thanh Toán ("&amp;Q$3&amp;")'!$B:$B"),'Tổng Đơn'!$B55),0)</f>
        <v>0</v>
      </c>
      <c r="R55" s="2">
        <f ca="1">IFERROR(SUMIFS(INDIRECT("'Thanh Toán ("&amp;R$3&amp;")'!$e:$e"),INDIRECT("'Thanh Toán ("&amp;R$3&amp;")'!$B:$B"),'Tổng Đơn'!$B55),0)</f>
        <v>0</v>
      </c>
      <c r="S55" s="2">
        <f ca="1">IFERROR(SUMIFS(INDIRECT("'Thanh Toán ("&amp;S$3&amp;")'!$e:$e"),INDIRECT("'Thanh Toán ("&amp;S$3&amp;")'!$B:$B"),'Tổng Đơn'!$B55),0)</f>
        <v>0</v>
      </c>
      <c r="T55" s="2">
        <f ca="1">IFERROR(SUMIFS(INDIRECT("'Thanh Toán ("&amp;T$3&amp;")'!$e:$e"),INDIRECT("'Thanh Toán ("&amp;T$3&amp;")'!$B:$B"),'Tổng Đơn'!$B55),0)</f>
        <v>0</v>
      </c>
      <c r="U55" s="2">
        <f ca="1">IFERROR(SUMIFS(INDIRECT("'Thanh Toán ("&amp;U$3&amp;")'!$e:$e"),INDIRECT("'Thanh Toán ("&amp;U$3&amp;")'!$B:$B"),'Tổng Đơn'!$B55),0)</f>
        <v>0</v>
      </c>
      <c r="V55" s="2">
        <f ca="1">IFERROR(SUMIFS(INDIRECT("'Thanh Toán ("&amp;V$3&amp;")'!$e:$e"),INDIRECT("'Thanh Toán ("&amp;V$3&amp;")'!$B:$B"),'Tổng Đơn'!$B55),0)</f>
        <v>0</v>
      </c>
      <c r="W55" s="2">
        <f ca="1">IFERROR(SUMIFS(INDIRECT("'Thanh Toán ("&amp;W$3&amp;")'!$e:$e"),INDIRECT("'Thanh Toán ("&amp;W$3&amp;")'!$B:$B"),'Tổng Đơn'!$B55),0)</f>
        <v>0</v>
      </c>
      <c r="X55" s="2">
        <f ca="1">IFERROR(SUMIFS(INDIRECT("'Thanh Toán ("&amp;X$3&amp;")'!$e:$e"),INDIRECT("'Thanh Toán ("&amp;X$3&amp;")'!$B:$B"),'Tổng Đơn'!$B55),0)</f>
        <v>0</v>
      </c>
      <c r="Y55" s="2">
        <f ca="1">IFERROR(SUMIFS(INDIRECT("'Thanh Toán ("&amp;Y$3&amp;")'!$e:$e"),INDIRECT("'Thanh Toán ("&amp;Y$3&amp;")'!$B:$B"),'Tổng Đơn'!$B55),0)</f>
        <v>0</v>
      </c>
      <c r="Z55" s="2">
        <f ca="1">IFERROR(SUMIFS(INDIRECT("'Thanh Toán ("&amp;Z$3&amp;")'!$e:$e"),INDIRECT("'Thanh Toán ("&amp;Z$3&amp;")'!$B:$B"),'Tổng Đơn'!$B55),0)</f>
        <v>0</v>
      </c>
      <c r="AA55" s="2">
        <f ca="1">IFERROR(SUMIFS(INDIRECT("'Thanh Toán ("&amp;AA$3&amp;")'!$e:$e"),INDIRECT("'Thanh Toán ("&amp;AA$3&amp;")'!$B:$B"),'Tổng Đơn'!$B55),0)</f>
        <v>0</v>
      </c>
      <c r="AB55" s="2">
        <f ca="1">IFERROR(SUMIFS(INDIRECT("'Thanh Toán ("&amp;AB$3&amp;")'!$e:$e"),INDIRECT("'Thanh Toán ("&amp;AB$3&amp;")'!$B:$B"),'Tổng Đơn'!$B55),0)</f>
        <v>0</v>
      </c>
      <c r="AC55" s="2">
        <f ca="1">IFERROR(SUMIFS(INDIRECT("'Thanh Toán ("&amp;AC$3&amp;")'!$e:$e"),INDIRECT("'Thanh Toán ("&amp;AC$3&amp;")'!$B:$B"),'Tổng Đơn'!$B55),0)</f>
        <v>0</v>
      </c>
      <c r="AD55" s="2">
        <f ca="1">IFERROR(SUMIFS(INDIRECT("'Thanh Toán ("&amp;AD$3&amp;")'!$e:$e"),INDIRECT("'Thanh Toán ("&amp;AD$3&amp;")'!$B:$B"),'Tổng Đơn'!$B55),0)</f>
        <v>0</v>
      </c>
      <c r="AE55" s="2">
        <f ca="1">IFERROR(SUMIFS(INDIRECT("'Thanh Toán ("&amp;AE$3&amp;")'!$e:$e"),INDIRECT("'Thanh Toán ("&amp;AE$3&amp;")'!$B:$B"),'Tổng Đơn'!$B55),0)</f>
        <v>0</v>
      </c>
      <c r="AF55" s="2">
        <f ca="1">IFERROR(SUMIFS(INDIRECT("'Thanh Toán ("&amp;AF$3&amp;")'!$e:$e"),INDIRECT("'Thanh Toán ("&amp;AF$3&amp;")'!$B:$B"),'Tổng Đơn'!$B55),0)</f>
        <v>0</v>
      </c>
      <c r="AG55" s="2">
        <f ca="1">IFERROR(SUMIFS(INDIRECT("'Thanh Toán ("&amp;AG$3&amp;")'!$e:$e"),INDIRECT("'Thanh Toán ("&amp;AG$3&amp;")'!$B:$B"),'Tổng Đơn'!$B55),0)</f>
        <v>0</v>
      </c>
      <c r="AH55" s="2">
        <f ca="1">IFERROR(SUMIFS(INDIRECT("'Thanh Toán ("&amp;AH$3&amp;")'!$e:$e"),INDIRECT("'Thanh Toán ("&amp;AH$3&amp;")'!$B:$B"),'Tổng Đơn'!$B55),0)</f>
        <v>0</v>
      </c>
      <c r="AI55" s="2">
        <f ca="1">IFERROR(SUMIFS(INDIRECT("'Thanh Toán ("&amp;AI$3&amp;")'!$e:$e"),INDIRECT("'Thanh Toán ("&amp;AI$3&amp;")'!$B:$B"),'Tổng Đơn'!$B55),0)</f>
        <v>0</v>
      </c>
      <c r="AJ55" s="2">
        <f ca="1">IFERROR(SUMIFS(INDIRECT("'Thanh Toán ("&amp;AJ$3&amp;")'!$e:$e"),INDIRECT("'Thanh Toán ("&amp;AJ$3&amp;")'!$B:$B"),'Tổng Đơn'!$B55),0)</f>
        <v>0</v>
      </c>
      <c r="AK55" s="2">
        <f ca="1">IFERROR(SUMIFS(INDIRECT("'Thanh Toán ("&amp;AK$3&amp;")'!$e:$e"),INDIRECT("'Thanh Toán ("&amp;AK$3&amp;")'!$B:$B"),'Tổng Đơn'!$B55),0)</f>
        <v>0</v>
      </c>
      <c r="AL55" s="2">
        <f ca="1">IFERROR(SUMIFS(INDIRECT("'Thanh Toán ("&amp;AL$3&amp;")'!$e:$e"),INDIRECT("'Thanh Toán ("&amp;AL$3&amp;")'!$B:$B"),'Tổng Đơn'!$B55),0)</f>
        <v>0</v>
      </c>
      <c r="AM55" s="2">
        <f ca="1">IFERROR(SUMIFS(INDIRECT("'Thanh Toán ("&amp;AM$3&amp;")'!$e:$e"),INDIRECT("'Thanh Toán ("&amp;AM$3&amp;")'!$B:$B"),'Tổng Đơn'!$B55),0)</f>
        <v>0</v>
      </c>
      <c r="AN55" s="2">
        <f ca="1">IFERROR(SUMIFS(INDIRECT("'Thanh Toán ("&amp;AN$3&amp;")'!$e:$e"),INDIRECT("'Thanh Toán ("&amp;AN$3&amp;")'!$B:$B"),'Tổng Đơn'!$B55),0)</f>
        <v>0</v>
      </c>
      <c r="AO55" s="2">
        <f ca="1">IFERROR(SUMIFS(INDIRECT("'Thanh Toán ("&amp;AO$3&amp;")'!$e:$e"),INDIRECT("'Thanh Toán ("&amp;AO$3&amp;")'!$B:$B"),'Tổng Đơn'!$B55),0)</f>
        <v>0</v>
      </c>
    </row>
    <row r="56" spans="1:41" x14ac:dyDescent="0.25">
      <c r="A56" s="156">
        <v>52</v>
      </c>
      <c r="B56" s="159" t="s">
        <v>166</v>
      </c>
      <c r="C56" s="23" t="s">
        <v>167</v>
      </c>
      <c r="D56" s="45">
        <f>VLOOKUP($C56,Sheet1!$C$3:$D$100,2,0)</f>
        <v>69000</v>
      </c>
      <c r="E56" s="63">
        <v>0.5</v>
      </c>
      <c r="F56" s="61">
        <f t="shared" ca="1" si="5"/>
        <v>3</v>
      </c>
      <c r="G56" s="61">
        <v>58.594204312615865</v>
      </c>
      <c r="H56" s="61">
        <f ca="1">(D56-G56*1000)*$F56</f>
        <v>31217.387062152397</v>
      </c>
      <c r="I56" s="61"/>
      <c r="J56" s="61">
        <f t="shared" ca="1" si="3"/>
        <v>175782.61293784759</v>
      </c>
      <c r="K56" s="61"/>
      <c r="L56" s="2">
        <f ca="1">IFERROR(SUMIFS(INDIRECT("'Thanh Toán ("&amp;L$3&amp;")'!$e:$e"),INDIRECT("'Thanh Toán ("&amp;L$3&amp;")'!$B:$B"),'Tổng Đơn'!$B56),0)</f>
        <v>0</v>
      </c>
      <c r="M56" s="2">
        <f ca="1">IFERROR(SUMIFS(INDIRECT("'Thanh Toán ("&amp;M$3&amp;")'!$e:$e"),INDIRECT("'Thanh Toán ("&amp;M$3&amp;")'!$B:$B"),'Tổng Đơn'!$B56),0)</f>
        <v>0</v>
      </c>
      <c r="N56" s="2">
        <f ca="1">IFERROR(SUMIFS(INDIRECT("'Thanh Toán ("&amp;N$3&amp;")'!$e:$e"),INDIRECT("'Thanh Toán ("&amp;N$3&amp;")'!$B:$B"),'Tổng Đơn'!$B56),0)</f>
        <v>1</v>
      </c>
      <c r="O56" s="2">
        <f ca="1">IFERROR(SUMIFS(INDIRECT("'Thanh Toán ("&amp;O$3&amp;")'!$e:$e"),INDIRECT("'Thanh Toán ("&amp;O$3&amp;")'!$B:$B"),'Tổng Đơn'!$B56),0)</f>
        <v>1</v>
      </c>
      <c r="P56" s="2">
        <f ca="1">IFERROR(SUMIFS(INDIRECT("'Thanh Toán ("&amp;P$3&amp;")'!$e:$e"),INDIRECT("'Thanh Toán ("&amp;P$3&amp;")'!$B:$B"),'Tổng Đơn'!$B56),0)</f>
        <v>0</v>
      </c>
      <c r="Q56" s="2">
        <f ca="1">IFERROR(SUMIFS(INDIRECT("'Thanh Toán ("&amp;Q$3&amp;")'!$e:$e"),INDIRECT("'Thanh Toán ("&amp;Q$3&amp;")'!$B:$B"),'Tổng Đơn'!$B56),0)</f>
        <v>0</v>
      </c>
      <c r="R56" s="2">
        <f ca="1">IFERROR(SUMIFS(INDIRECT("'Thanh Toán ("&amp;R$3&amp;")'!$e:$e"),INDIRECT("'Thanh Toán ("&amp;R$3&amp;")'!$B:$B"),'Tổng Đơn'!$B56),0)</f>
        <v>1</v>
      </c>
      <c r="S56" s="2">
        <f ca="1">IFERROR(SUMIFS(INDIRECT("'Thanh Toán ("&amp;S$3&amp;")'!$e:$e"),INDIRECT("'Thanh Toán ("&amp;S$3&amp;")'!$B:$B"),'Tổng Đơn'!$B56),0)</f>
        <v>0</v>
      </c>
      <c r="T56" s="2">
        <f ca="1">IFERROR(SUMIFS(INDIRECT("'Thanh Toán ("&amp;T$3&amp;")'!$e:$e"),INDIRECT("'Thanh Toán ("&amp;T$3&amp;")'!$B:$B"),'Tổng Đơn'!$B56),0)</f>
        <v>0</v>
      </c>
      <c r="U56" s="2">
        <f ca="1">IFERROR(SUMIFS(INDIRECT("'Thanh Toán ("&amp;U$3&amp;")'!$e:$e"),INDIRECT("'Thanh Toán ("&amp;U$3&amp;")'!$B:$B"),'Tổng Đơn'!$B56),0)</f>
        <v>0</v>
      </c>
      <c r="V56" s="2">
        <f ca="1">IFERROR(SUMIFS(INDIRECT("'Thanh Toán ("&amp;V$3&amp;")'!$e:$e"),INDIRECT("'Thanh Toán ("&amp;V$3&amp;")'!$B:$B"),'Tổng Đơn'!$B56),0)</f>
        <v>0</v>
      </c>
      <c r="W56" s="2">
        <f ca="1">IFERROR(SUMIFS(INDIRECT("'Thanh Toán ("&amp;W$3&amp;")'!$e:$e"),INDIRECT("'Thanh Toán ("&amp;W$3&amp;")'!$B:$B"),'Tổng Đơn'!$B56),0)</f>
        <v>0</v>
      </c>
      <c r="X56" s="2">
        <f ca="1">IFERROR(SUMIFS(INDIRECT("'Thanh Toán ("&amp;X$3&amp;")'!$e:$e"),INDIRECT("'Thanh Toán ("&amp;X$3&amp;")'!$B:$B"),'Tổng Đơn'!$B56),0)</f>
        <v>0</v>
      </c>
      <c r="Y56" s="2">
        <f ca="1">IFERROR(SUMIFS(INDIRECT("'Thanh Toán ("&amp;Y$3&amp;")'!$e:$e"),INDIRECT("'Thanh Toán ("&amp;Y$3&amp;")'!$B:$B"),'Tổng Đơn'!$B56),0)</f>
        <v>0</v>
      </c>
      <c r="Z56" s="2">
        <f ca="1">IFERROR(SUMIFS(INDIRECT("'Thanh Toán ("&amp;Z$3&amp;")'!$e:$e"),INDIRECT("'Thanh Toán ("&amp;Z$3&amp;")'!$B:$B"),'Tổng Đơn'!$B56),0)</f>
        <v>0</v>
      </c>
      <c r="AA56" s="2">
        <f ca="1">IFERROR(SUMIFS(INDIRECT("'Thanh Toán ("&amp;AA$3&amp;")'!$e:$e"),INDIRECT("'Thanh Toán ("&amp;AA$3&amp;")'!$B:$B"),'Tổng Đơn'!$B56),0)</f>
        <v>0</v>
      </c>
      <c r="AB56" s="2">
        <f ca="1">IFERROR(SUMIFS(INDIRECT("'Thanh Toán ("&amp;AB$3&amp;")'!$e:$e"),INDIRECT("'Thanh Toán ("&amp;AB$3&amp;")'!$B:$B"),'Tổng Đơn'!$B56),0)</f>
        <v>0</v>
      </c>
      <c r="AC56" s="2">
        <f ca="1">IFERROR(SUMIFS(INDIRECT("'Thanh Toán ("&amp;AC$3&amp;")'!$e:$e"),INDIRECT("'Thanh Toán ("&amp;AC$3&amp;")'!$B:$B"),'Tổng Đơn'!$B56),0)</f>
        <v>0</v>
      </c>
      <c r="AD56" s="2">
        <f ca="1">IFERROR(SUMIFS(INDIRECT("'Thanh Toán ("&amp;AD$3&amp;")'!$e:$e"),INDIRECT("'Thanh Toán ("&amp;AD$3&amp;")'!$B:$B"),'Tổng Đơn'!$B56),0)</f>
        <v>0</v>
      </c>
      <c r="AE56" s="2">
        <f ca="1">IFERROR(SUMIFS(INDIRECT("'Thanh Toán ("&amp;AE$3&amp;")'!$e:$e"),INDIRECT("'Thanh Toán ("&amp;AE$3&amp;")'!$B:$B"),'Tổng Đơn'!$B56),0)</f>
        <v>0</v>
      </c>
      <c r="AF56" s="2">
        <f ca="1">IFERROR(SUMIFS(INDIRECT("'Thanh Toán ("&amp;AF$3&amp;")'!$e:$e"),INDIRECT("'Thanh Toán ("&amp;AF$3&amp;")'!$B:$B"),'Tổng Đơn'!$B56),0)</f>
        <v>0</v>
      </c>
      <c r="AG56" s="2">
        <f ca="1">IFERROR(SUMIFS(INDIRECT("'Thanh Toán ("&amp;AG$3&amp;")'!$e:$e"),INDIRECT("'Thanh Toán ("&amp;AG$3&amp;")'!$B:$B"),'Tổng Đơn'!$B56),0)</f>
        <v>0</v>
      </c>
      <c r="AH56" s="2">
        <f ca="1">IFERROR(SUMIFS(INDIRECT("'Thanh Toán ("&amp;AH$3&amp;")'!$e:$e"),INDIRECT("'Thanh Toán ("&amp;AH$3&amp;")'!$B:$B"),'Tổng Đơn'!$B56),0)</f>
        <v>0</v>
      </c>
      <c r="AI56" s="2">
        <f ca="1">IFERROR(SUMIFS(INDIRECT("'Thanh Toán ("&amp;AI$3&amp;")'!$e:$e"),INDIRECT("'Thanh Toán ("&amp;AI$3&amp;")'!$B:$B"),'Tổng Đơn'!$B56),0)</f>
        <v>0</v>
      </c>
      <c r="AJ56" s="2">
        <f ca="1">IFERROR(SUMIFS(INDIRECT("'Thanh Toán ("&amp;AJ$3&amp;")'!$e:$e"),INDIRECT("'Thanh Toán ("&amp;AJ$3&amp;")'!$B:$B"),'Tổng Đơn'!$B56),0)</f>
        <v>0</v>
      </c>
      <c r="AK56" s="2">
        <f ca="1">IFERROR(SUMIFS(INDIRECT("'Thanh Toán ("&amp;AK$3&amp;")'!$e:$e"),INDIRECT("'Thanh Toán ("&amp;AK$3&amp;")'!$B:$B"),'Tổng Đơn'!$B56),0)</f>
        <v>0</v>
      </c>
      <c r="AL56" s="2">
        <f ca="1">IFERROR(SUMIFS(INDIRECT("'Thanh Toán ("&amp;AL$3&amp;")'!$e:$e"),INDIRECT("'Thanh Toán ("&amp;AL$3&amp;")'!$B:$B"),'Tổng Đơn'!$B56),0)</f>
        <v>0</v>
      </c>
      <c r="AM56" s="2">
        <f ca="1">IFERROR(SUMIFS(INDIRECT("'Thanh Toán ("&amp;AM$3&amp;")'!$e:$e"),INDIRECT("'Thanh Toán ("&amp;AM$3&amp;")'!$B:$B"),'Tổng Đơn'!$B56),0)</f>
        <v>0</v>
      </c>
      <c r="AN56" s="2">
        <f ca="1">IFERROR(SUMIFS(INDIRECT("'Thanh Toán ("&amp;AN$3&amp;")'!$e:$e"),INDIRECT("'Thanh Toán ("&amp;AN$3&amp;")'!$B:$B"),'Tổng Đơn'!$B56),0)</f>
        <v>0</v>
      </c>
      <c r="AO56" s="2">
        <f ca="1">IFERROR(SUMIFS(INDIRECT("'Thanh Toán ("&amp;AO$3&amp;")'!$e:$e"),INDIRECT("'Thanh Toán ("&amp;AO$3&amp;")'!$B:$B"),'Tổng Đơn'!$B56),0)</f>
        <v>0</v>
      </c>
    </row>
    <row r="57" spans="1:41" x14ac:dyDescent="0.25">
      <c r="A57" s="156">
        <v>53</v>
      </c>
      <c r="B57" s="159" t="s">
        <v>168</v>
      </c>
      <c r="C57" s="23" t="s">
        <v>169</v>
      </c>
      <c r="D57" s="45">
        <v>76000</v>
      </c>
      <c r="E57" s="63">
        <v>0.5</v>
      </c>
      <c r="F57" s="61">
        <f t="shared" ca="1" si="5"/>
        <v>3</v>
      </c>
      <c r="G57" s="61">
        <v>31.822714411162064</v>
      </c>
      <c r="H57" s="61">
        <f t="shared" ca="1" si="4"/>
        <v>132531.85676651381</v>
      </c>
      <c r="I57" s="61"/>
      <c r="J57" s="61">
        <f t="shared" ca="1" si="3"/>
        <v>95468.143233486189</v>
      </c>
      <c r="K57" s="61"/>
      <c r="L57" s="2">
        <f ca="1">IFERROR(SUMIFS(INDIRECT("'Thanh Toán ("&amp;L$3&amp;")'!$e:$e"),INDIRECT("'Thanh Toán ("&amp;L$3&amp;")'!$B:$B"),'Tổng Đơn'!$B57),0)</f>
        <v>0</v>
      </c>
      <c r="M57" s="2">
        <f ca="1">IFERROR(SUMIFS(INDIRECT("'Thanh Toán ("&amp;M$3&amp;")'!$e:$e"),INDIRECT("'Thanh Toán ("&amp;M$3&amp;")'!$B:$B"),'Tổng Đơn'!$B57),0)</f>
        <v>0</v>
      </c>
      <c r="N57" s="2">
        <f ca="1">IFERROR(SUMIFS(INDIRECT("'Thanh Toán ("&amp;N$3&amp;")'!$e:$e"),INDIRECT("'Thanh Toán ("&amp;N$3&amp;")'!$B:$B"),'Tổng Đơn'!$B57),0)</f>
        <v>1</v>
      </c>
      <c r="O57" s="2">
        <f ca="1">IFERROR(SUMIFS(INDIRECT("'Thanh Toán ("&amp;O$3&amp;")'!$e:$e"),INDIRECT("'Thanh Toán ("&amp;O$3&amp;")'!$B:$B"),'Tổng Đơn'!$B57),0)</f>
        <v>0</v>
      </c>
      <c r="P57" s="2">
        <f ca="1">IFERROR(SUMIFS(INDIRECT("'Thanh Toán ("&amp;P$3&amp;")'!$e:$e"),INDIRECT("'Thanh Toán ("&amp;P$3&amp;")'!$B:$B"),'Tổng Đơn'!$B57),0)</f>
        <v>1</v>
      </c>
      <c r="Q57" s="2">
        <f ca="1">IFERROR(SUMIFS(INDIRECT("'Thanh Toán ("&amp;Q$3&amp;")'!$e:$e"),INDIRECT("'Thanh Toán ("&amp;Q$3&amp;")'!$B:$B"),'Tổng Đơn'!$B57),0)</f>
        <v>0</v>
      </c>
      <c r="R57" s="2">
        <f ca="1">IFERROR(SUMIFS(INDIRECT("'Thanh Toán ("&amp;R$3&amp;")'!$e:$e"),INDIRECT("'Thanh Toán ("&amp;R$3&amp;")'!$B:$B"),'Tổng Đơn'!$B57),0)</f>
        <v>0</v>
      </c>
      <c r="S57" s="2">
        <f ca="1">IFERROR(SUMIFS(INDIRECT("'Thanh Toán ("&amp;S$3&amp;")'!$e:$e"),INDIRECT("'Thanh Toán ("&amp;S$3&amp;")'!$B:$B"),'Tổng Đơn'!$B57),0)</f>
        <v>0</v>
      </c>
      <c r="T57" s="2">
        <f ca="1">IFERROR(SUMIFS(INDIRECT("'Thanh Toán ("&amp;T$3&amp;")'!$e:$e"),INDIRECT("'Thanh Toán ("&amp;T$3&amp;")'!$B:$B"),'Tổng Đơn'!$B57),0)</f>
        <v>0</v>
      </c>
      <c r="U57" s="2">
        <f ca="1">IFERROR(SUMIFS(INDIRECT("'Thanh Toán ("&amp;U$3&amp;")'!$e:$e"),INDIRECT("'Thanh Toán ("&amp;U$3&amp;")'!$B:$B"),'Tổng Đơn'!$B57),0)</f>
        <v>0</v>
      </c>
      <c r="V57" s="2">
        <f ca="1">IFERROR(SUMIFS(INDIRECT("'Thanh Toán ("&amp;V$3&amp;")'!$e:$e"),INDIRECT("'Thanh Toán ("&amp;V$3&amp;")'!$B:$B"),'Tổng Đơn'!$B57),0)</f>
        <v>0</v>
      </c>
      <c r="W57" s="2">
        <f ca="1">IFERROR(SUMIFS(INDIRECT("'Thanh Toán ("&amp;W$3&amp;")'!$e:$e"),INDIRECT("'Thanh Toán ("&amp;W$3&amp;")'!$B:$B"),'Tổng Đơn'!$B57),0)</f>
        <v>0</v>
      </c>
      <c r="X57" s="2">
        <f ca="1">IFERROR(SUMIFS(INDIRECT("'Thanh Toán ("&amp;X$3&amp;")'!$e:$e"),INDIRECT("'Thanh Toán ("&amp;X$3&amp;")'!$B:$B"),'Tổng Đơn'!$B57),0)</f>
        <v>0</v>
      </c>
      <c r="Y57" s="2">
        <f ca="1">IFERROR(SUMIFS(INDIRECT("'Thanh Toán ("&amp;Y$3&amp;")'!$e:$e"),INDIRECT("'Thanh Toán ("&amp;Y$3&amp;")'!$B:$B"),'Tổng Đơn'!$B57),0)</f>
        <v>1</v>
      </c>
      <c r="Z57" s="2">
        <f ca="1">IFERROR(SUMIFS(INDIRECT("'Thanh Toán ("&amp;Z$3&amp;")'!$e:$e"),INDIRECT("'Thanh Toán ("&amp;Z$3&amp;")'!$B:$B"),'Tổng Đơn'!$B57),0)</f>
        <v>0</v>
      </c>
      <c r="AA57" s="2">
        <f ca="1">IFERROR(SUMIFS(INDIRECT("'Thanh Toán ("&amp;AA$3&amp;")'!$e:$e"),INDIRECT("'Thanh Toán ("&amp;AA$3&amp;")'!$B:$B"),'Tổng Đơn'!$B57),0)</f>
        <v>0</v>
      </c>
      <c r="AB57" s="2">
        <f ca="1">IFERROR(SUMIFS(INDIRECT("'Thanh Toán ("&amp;AB$3&amp;")'!$e:$e"),INDIRECT("'Thanh Toán ("&amp;AB$3&amp;")'!$B:$B"),'Tổng Đơn'!$B57),0)</f>
        <v>0</v>
      </c>
      <c r="AC57" s="2">
        <f ca="1">IFERROR(SUMIFS(INDIRECT("'Thanh Toán ("&amp;AC$3&amp;")'!$e:$e"),INDIRECT("'Thanh Toán ("&amp;AC$3&amp;")'!$B:$B"),'Tổng Đơn'!$B57),0)</f>
        <v>0</v>
      </c>
      <c r="AD57" s="2">
        <f ca="1">IFERROR(SUMIFS(INDIRECT("'Thanh Toán ("&amp;AD$3&amp;")'!$e:$e"),INDIRECT("'Thanh Toán ("&amp;AD$3&amp;")'!$B:$B"),'Tổng Đơn'!$B57),0)</f>
        <v>0</v>
      </c>
      <c r="AE57" s="2">
        <f ca="1">IFERROR(SUMIFS(INDIRECT("'Thanh Toán ("&amp;AE$3&amp;")'!$e:$e"),INDIRECT("'Thanh Toán ("&amp;AE$3&amp;")'!$B:$B"),'Tổng Đơn'!$B57),0)</f>
        <v>0</v>
      </c>
      <c r="AF57" s="2">
        <f ca="1">IFERROR(SUMIFS(INDIRECT("'Thanh Toán ("&amp;AF$3&amp;")'!$e:$e"),INDIRECT("'Thanh Toán ("&amp;AF$3&amp;")'!$B:$B"),'Tổng Đơn'!$B57),0)</f>
        <v>0</v>
      </c>
      <c r="AG57" s="2">
        <f ca="1">IFERROR(SUMIFS(INDIRECT("'Thanh Toán ("&amp;AG$3&amp;")'!$e:$e"),INDIRECT("'Thanh Toán ("&amp;AG$3&amp;")'!$B:$B"),'Tổng Đơn'!$B57),0)</f>
        <v>0</v>
      </c>
      <c r="AH57" s="2">
        <f ca="1">IFERROR(SUMIFS(INDIRECT("'Thanh Toán ("&amp;AH$3&amp;")'!$e:$e"),INDIRECT("'Thanh Toán ("&amp;AH$3&amp;")'!$B:$B"),'Tổng Đơn'!$B57),0)</f>
        <v>0</v>
      </c>
      <c r="AI57" s="2">
        <f ca="1">IFERROR(SUMIFS(INDIRECT("'Thanh Toán ("&amp;AI$3&amp;")'!$e:$e"),INDIRECT("'Thanh Toán ("&amp;AI$3&amp;")'!$B:$B"),'Tổng Đơn'!$B57),0)</f>
        <v>0</v>
      </c>
      <c r="AJ57" s="2">
        <f ca="1">IFERROR(SUMIFS(INDIRECT("'Thanh Toán ("&amp;AJ$3&amp;")'!$e:$e"),INDIRECT("'Thanh Toán ("&amp;AJ$3&amp;")'!$B:$B"),'Tổng Đơn'!$B57),0)</f>
        <v>0</v>
      </c>
      <c r="AK57" s="2">
        <f ca="1">IFERROR(SUMIFS(INDIRECT("'Thanh Toán ("&amp;AK$3&amp;")'!$e:$e"),INDIRECT("'Thanh Toán ("&amp;AK$3&amp;")'!$B:$B"),'Tổng Đơn'!$B57),0)</f>
        <v>0</v>
      </c>
      <c r="AL57" s="2">
        <f ca="1">IFERROR(SUMIFS(INDIRECT("'Thanh Toán ("&amp;AL$3&amp;")'!$e:$e"),INDIRECT("'Thanh Toán ("&amp;AL$3&amp;")'!$B:$B"),'Tổng Đơn'!$B57),0)</f>
        <v>0</v>
      </c>
      <c r="AM57" s="2">
        <f ca="1">IFERROR(SUMIFS(INDIRECT("'Thanh Toán ("&amp;AM$3&amp;")'!$e:$e"),INDIRECT("'Thanh Toán ("&amp;AM$3&amp;")'!$B:$B"),'Tổng Đơn'!$B57),0)</f>
        <v>0</v>
      </c>
      <c r="AN57" s="2">
        <f ca="1">IFERROR(SUMIFS(INDIRECT("'Thanh Toán ("&amp;AN$3&amp;")'!$e:$e"),INDIRECT("'Thanh Toán ("&amp;AN$3&amp;")'!$B:$B"),'Tổng Đơn'!$B57),0)</f>
        <v>0</v>
      </c>
      <c r="AO57" s="2">
        <f ca="1">IFERROR(SUMIFS(INDIRECT("'Thanh Toán ("&amp;AO$3&amp;")'!$e:$e"),INDIRECT("'Thanh Toán ("&amp;AO$3&amp;")'!$B:$B"),'Tổng Đơn'!$B57),0)</f>
        <v>0</v>
      </c>
    </row>
    <row r="58" spans="1:41" x14ac:dyDescent="0.25">
      <c r="A58" s="156">
        <v>54</v>
      </c>
      <c r="B58" s="159" t="s">
        <v>178</v>
      </c>
      <c r="C58" s="23" t="s">
        <v>175</v>
      </c>
      <c r="D58" s="45">
        <v>30000</v>
      </c>
      <c r="E58" s="63">
        <v>0.5</v>
      </c>
      <c r="F58" s="61">
        <f t="shared" ref="F58:F60" ca="1" si="6">SUM(L58:BW58)</f>
        <v>0</v>
      </c>
      <c r="G58" s="61">
        <v>22.292245269377478</v>
      </c>
      <c r="H58" s="61">
        <f t="shared" ca="1" si="4"/>
        <v>0</v>
      </c>
      <c r="I58" s="61"/>
      <c r="J58" s="61">
        <f t="shared" ca="1" si="3"/>
        <v>0</v>
      </c>
      <c r="K58" s="61"/>
      <c r="L58" s="2">
        <f ca="1">IFERROR(SUMIFS(INDIRECT("'Thanh Toán ("&amp;L$3&amp;")'!$e:$e"),INDIRECT("'Thanh Toán ("&amp;L$3&amp;")'!$B:$B"),'Tổng Đơn'!$B58),0)</f>
        <v>0</v>
      </c>
      <c r="M58" s="2">
        <f ca="1">IFERROR(SUMIFS(INDIRECT("'Thanh Toán ("&amp;M$3&amp;")'!$e:$e"),INDIRECT("'Thanh Toán ("&amp;M$3&amp;")'!$B:$B"),'Tổng Đơn'!$B58),0)</f>
        <v>0</v>
      </c>
      <c r="N58" s="2">
        <f ca="1">IFERROR(SUMIFS(INDIRECT("'Thanh Toán ("&amp;N$3&amp;")'!$e:$e"),INDIRECT("'Thanh Toán ("&amp;N$3&amp;")'!$B:$B"),'Tổng Đơn'!$B58),0)</f>
        <v>0</v>
      </c>
      <c r="O58" s="2">
        <f ca="1">IFERROR(SUMIFS(INDIRECT("'Thanh Toán ("&amp;O$3&amp;")'!$e:$e"),INDIRECT("'Thanh Toán ("&amp;O$3&amp;")'!$B:$B"),'Tổng Đơn'!$B58),0)</f>
        <v>0</v>
      </c>
      <c r="P58" s="2">
        <f ca="1">IFERROR(SUMIFS(INDIRECT("'Thanh Toán ("&amp;P$3&amp;")'!$e:$e"),INDIRECT("'Thanh Toán ("&amp;P$3&amp;")'!$B:$B"),'Tổng Đơn'!$B58),0)</f>
        <v>0</v>
      </c>
      <c r="Q58" s="2">
        <f ca="1">IFERROR(SUMIFS(INDIRECT("'Thanh Toán ("&amp;Q$3&amp;")'!$e:$e"),INDIRECT("'Thanh Toán ("&amp;Q$3&amp;")'!$B:$B"),'Tổng Đơn'!$B58),0)</f>
        <v>0</v>
      </c>
      <c r="R58" s="2">
        <f ca="1">IFERROR(SUMIFS(INDIRECT("'Thanh Toán ("&amp;R$3&amp;")'!$e:$e"),INDIRECT("'Thanh Toán ("&amp;R$3&amp;")'!$B:$B"),'Tổng Đơn'!$B58),0)</f>
        <v>0</v>
      </c>
      <c r="S58" s="2">
        <f ca="1">IFERROR(SUMIFS(INDIRECT("'Thanh Toán ("&amp;S$3&amp;")'!$e:$e"),INDIRECT("'Thanh Toán ("&amp;S$3&amp;")'!$B:$B"),'Tổng Đơn'!$B58),0)</f>
        <v>0</v>
      </c>
      <c r="T58" s="2">
        <f ca="1">IFERROR(SUMIFS(INDIRECT("'Thanh Toán ("&amp;T$3&amp;")'!$e:$e"),INDIRECT("'Thanh Toán ("&amp;T$3&amp;")'!$B:$B"),'Tổng Đơn'!$B58),0)</f>
        <v>0</v>
      </c>
      <c r="U58" s="2">
        <f ca="1">IFERROR(SUMIFS(INDIRECT("'Thanh Toán ("&amp;U$3&amp;")'!$e:$e"),INDIRECT("'Thanh Toán ("&amp;U$3&amp;")'!$B:$B"),'Tổng Đơn'!$B58),0)</f>
        <v>0</v>
      </c>
      <c r="V58" s="2">
        <f ca="1">IFERROR(SUMIFS(INDIRECT("'Thanh Toán ("&amp;V$3&amp;")'!$e:$e"),INDIRECT("'Thanh Toán ("&amp;V$3&amp;")'!$B:$B"),'Tổng Đơn'!$B58),0)</f>
        <v>0</v>
      </c>
      <c r="W58" s="2">
        <f ca="1">IFERROR(SUMIFS(INDIRECT("'Thanh Toán ("&amp;W$3&amp;")'!$e:$e"),INDIRECT("'Thanh Toán ("&amp;W$3&amp;")'!$B:$B"),'Tổng Đơn'!$B58),0)</f>
        <v>0</v>
      </c>
      <c r="X58" s="2">
        <f ca="1">IFERROR(SUMIFS(INDIRECT("'Thanh Toán ("&amp;X$3&amp;")'!$e:$e"),INDIRECT("'Thanh Toán ("&amp;X$3&amp;")'!$B:$B"),'Tổng Đơn'!$B58),0)</f>
        <v>0</v>
      </c>
      <c r="Y58" s="2">
        <f ca="1">IFERROR(SUMIFS(INDIRECT("'Thanh Toán ("&amp;Y$3&amp;")'!$e:$e"),INDIRECT("'Thanh Toán ("&amp;Y$3&amp;")'!$B:$B"),'Tổng Đơn'!$B58),0)</f>
        <v>0</v>
      </c>
      <c r="Z58" s="2">
        <f ca="1">IFERROR(SUMIFS(INDIRECT("'Thanh Toán ("&amp;Z$3&amp;")'!$e:$e"),INDIRECT("'Thanh Toán ("&amp;Z$3&amp;")'!$B:$B"),'Tổng Đơn'!$B58),0)</f>
        <v>0</v>
      </c>
      <c r="AA58" s="2">
        <f ca="1">IFERROR(SUMIFS(INDIRECT("'Thanh Toán ("&amp;AA$3&amp;")'!$e:$e"),INDIRECT("'Thanh Toán ("&amp;AA$3&amp;")'!$B:$B"),'Tổng Đơn'!$B58),0)</f>
        <v>0</v>
      </c>
      <c r="AB58" s="2">
        <f ca="1">IFERROR(SUMIFS(INDIRECT("'Thanh Toán ("&amp;AB$3&amp;")'!$e:$e"),INDIRECT("'Thanh Toán ("&amp;AB$3&amp;")'!$B:$B"),'Tổng Đơn'!$B58),0)</f>
        <v>0</v>
      </c>
      <c r="AC58" s="2">
        <f ca="1">IFERROR(SUMIFS(INDIRECT("'Thanh Toán ("&amp;AC$3&amp;")'!$e:$e"),INDIRECT("'Thanh Toán ("&amp;AC$3&amp;")'!$B:$B"),'Tổng Đơn'!$B58),0)</f>
        <v>0</v>
      </c>
      <c r="AD58" s="2">
        <f ca="1">IFERROR(SUMIFS(INDIRECT("'Thanh Toán ("&amp;AD$3&amp;")'!$e:$e"),INDIRECT("'Thanh Toán ("&amp;AD$3&amp;")'!$B:$B"),'Tổng Đơn'!$B58),0)</f>
        <v>0</v>
      </c>
      <c r="AE58" s="2">
        <f ca="1">IFERROR(SUMIFS(INDIRECT("'Thanh Toán ("&amp;AE$3&amp;")'!$e:$e"),INDIRECT("'Thanh Toán ("&amp;AE$3&amp;")'!$B:$B"),'Tổng Đơn'!$B58),0)</f>
        <v>0</v>
      </c>
      <c r="AF58" s="2">
        <f ca="1">IFERROR(SUMIFS(INDIRECT("'Thanh Toán ("&amp;AF$3&amp;")'!$e:$e"),INDIRECT("'Thanh Toán ("&amp;AF$3&amp;")'!$B:$B"),'Tổng Đơn'!$B58),0)</f>
        <v>0</v>
      </c>
      <c r="AG58" s="2">
        <f ca="1">IFERROR(SUMIFS(INDIRECT("'Thanh Toán ("&amp;AG$3&amp;")'!$e:$e"),INDIRECT("'Thanh Toán ("&amp;AG$3&amp;")'!$B:$B"),'Tổng Đơn'!$B58),0)</f>
        <v>0</v>
      </c>
      <c r="AH58" s="2">
        <f ca="1">IFERROR(SUMIFS(INDIRECT("'Thanh Toán ("&amp;AH$3&amp;")'!$e:$e"),INDIRECT("'Thanh Toán ("&amp;AH$3&amp;")'!$B:$B"),'Tổng Đơn'!$B58),0)</f>
        <v>0</v>
      </c>
      <c r="AI58" s="2">
        <f ca="1">IFERROR(SUMIFS(INDIRECT("'Thanh Toán ("&amp;AI$3&amp;")'!$e:$e"),INDIRECT("'Thanh Toán ("&amp;AI$3&amp;")'!$B:$B"),'Tổng Đơn'!$B58),0)</f>
        <v>0</v>
      </c>
      <c r="AJ58" s="2">
        <f ca="1">IFERROR(SUMIFS(INDIRECT("'Thanh Toán ("&amp;AJ$3&amp;")'!$e:$e"),INDIRECT("'Thanh Toán ("&amp;AJ$3&amp;")'!$B:$B"),'Tổng Đơn'!$B58),0)</f>
        <v>0</v>
      </c>
      <c r="AK58" s="2">
        <f ca="1">IFERROR(SUMIFS(INDIRECT("'Thanh Toán ("&amp;AK$3&amp;")'!$e:$e"),INDIRECT("'Thanh Toán ("&amp;AK$3&amp;")'!$B:$B"),'Tổng Đơn'!$B58),0)</f>
        <v>0</v>
      </c>
      <c r="AL58" s="2">
        <f ca="1">IFERROR(SUMIFS(INDIRECT("'Thanh Toán ("&amp;AL$3&amp;")'!$e:$e"),INDIRECT("'Thanh Toán ("&amp;AL$3&amp;")'!$B:$B"),'Tổng Đơn'!$B58),0)</f>
        <v>0</v>
      </c>
      <c r="AM58" s="2">
        <f ca="1">IFERROR(SUMIFS(INDIRECT("'Thanh Toán ("&amp;AM$3&amp;")'!$e:$e"),INDIRECT("'Thanh Toán ("&amp;AM$3&amp;")'!$B:$B"),'Tổng Đơn'!$B58),0)</f>
        <v>0</v>
      </c>
      <c r="AN58" s="2">
        <f ca="1">IFERROR(SUMIFS(INDIRECT("'Thanh Toán ("&amp;AN$3&amp;")'!$e:$e"),INDIRECT("'Thanh Toán ("&amp;AN$3&amp;")'!$B:$B"),'Tổng Đơn'!$B58),0)</f>
        <v>0</v>
      </c>
      <c r="AO58" s="2">
        <f ca="1">IFERROR(SUMIFS(INDIRECT("'Thanh Toán ("&amp;AO$3&amp;")'!$e:$e"),INDIRECT("'Thanh Toán ("&amp;AO$3&amp;")'!$B:$B"),'Tổng Đơn'!$B58),0)</f>
        <v>0</v>
      </c>
    </row>
    <row r="59" spans="1:41" x14ac:dyDescent="0.25">
      <c r="A59" s="156">
        <v>55</v>
      </c>
      <c r="B59" s="159" t="s">
        <v>176</v>
      </c>
      <c r="C59" s="23" t="s">
        <v>177</v>
      </c>
      <c r="D59" s="45">
        <v>49000</v>
      </c>
      <c r="E59" s="63">
        <v>1</v>
      </c>
      <c r="F59" s="61">
        <f t="shared" ca="1" si="6"/>
        <v>0</v>
      </c>
      <c r="G59" s="61">
        <v>39.972301862332031</v>
      </c>
      <c r="H59" s="61">
        <f t="shared" ca="1" si="4"/>
        <v>0</v>
      </c>
      <c r="I59" s="61"/>
      <c r="J59" s="61">
        <f t="shared" ca="1" si="3"/>
        <v>0</v>
      </c>
      <c r="K59" s="61"/>
      <c r="L59" s="2">
        <f ca="1">IFERROR(SUMIFS(INDIRECT("'Thanh Toán ("&amp;L$3&amp;")'!$e:$e"),INDIRECT("'Thanh Toán ("&amp;L$3&amp;")'!$B:$B"),'Tổng Đơn'!$B59),0)</f>
        <v>0</v>
      </c>
      <c r="M59" s="2">
        <f ca="1">IFERROR(SUMIFS(INDIRECT("'Thanh Toán ("&amp;M$3&amp;")'!$e:$e"),INDIRECT("'Thanh Toán ("&amp;M$3&amp;")'!$B:$B"),'Tổng Đơn'!$B59),0)</f>
        <v>0</v>
      </c>
      <c r="N59" s="2">
        <f ca="1">IFERROR(SUMIFS(INDIRECT("'Thanh Toán ("&amp;N$3&amp;")'!$e:$e"),INDIRECT("'Thanh Toán ("&amp;N$3&amp;")'!$B:$B"),'Tổng Đơn'!$B59),0)</f>
        <v>0</v>
      </c>
      <c r="O59" s="2">
        <f ca="1">IFERROR(SUMIFS(INDIRECT("'Thanh Toán ("&amp;O$3&amp;")'!$e:$e"),INDIRECT("'Thanh Toán ("&amp;O$3&amp;")'!$B:$B"),'Tổng Đơn'!$B59),0)</f>
        <v>0</v>
      </c>
      <c r="P59" s="2">
        <f ca="1">IFERROR(SUMIFS(INDIRECT("'Thanh Toán ("&amp;P$3&amp;")'!$e:$e"),INDIRECT("'Thanh Toán ("&amp;P$3&amp;")'!$B:$B"),'Tổng Đơn'!$B59),0)</f>
        <v>0</v>
      </c>
      <c r="Q59" s="2">
        <f ca="1">IFERROR(SUMIFS(INDIRECT("'Thanh Toán ("&amp;Q$3&amp;")'!$e:$e"),INDIRECT("'Thanh Toán ("&amp;Q$3&amp;")'!$B:$B"),'Tổng Đơn'!$B59),0)</f>
        <v>0</v>
      </c>
      <c r="R59" s="2">
        <f ca="1">IFERROR(SUMIFS(INDIRECT("'Thanh Toán ("&amp;R$3&amp;")'!$e:$e"),INDIRECT("'Thanh Toán ("&amp;R$3&amp;")'!$B:$B"),'Tổng Đơn'!$B59),0)</f>
        <v>0</v>
      </c>
      <c r="S59" s="2">
        <f ca="1">IFERROR(SUMIFS(INDIRECT("'Thanh Toán ("&amp;S$3&amp;")'!$e:$e"),INDIRECT("'Thanh Toán ("&amp;S$3&amp;")'!$B:$B"),'Tổng Đơn'!$B59),0)</f>
        <v>0</v>
      </c>
      <c r="T59" s="2">
        <f ca="1">IFERROR(SUMIFS(INDIRECT("'Thanh Toán ("&amp;T$3&amp;")'!$e:$e"),INDIRECT("'Thanh Toán ("&amp;T$3&amp;")'!$B:$B"),'Tổng Đơn'!$B59),0)</f>
        <v>0</v>
      </c>
      <c r="U59" s="2">
        <f ca="1">IFERROR(SUMIFS(INDIRECT("'Thanh Toán ("&amp;U$3&amp;")'!$e:$e"),INDIRECT("'Thanh Toán ("&amp;U$3&amp;")'!$B:$B"),'Tổng Đơn'!$B59),0)</f>
        <v>0</v>
      </c>
      <c r="V59" s="2">
        <f ca="1">IFERROR(SUMIFS(INDIRECT("'Thanh Toán ("&amp;V$3&amp;")'!$e:$e"),INDIRECT("'Thanh Toán ("&amp;V$3&amp;")'!$B:$B"),'Tổng Đơn'!$B59),0)</f>
        <v>0</v>
      </c>
      <c r="W59" s="2">
        <f ca="1">IFERROR(SUMIFS(INDIRECT("'Thanh Toán ("&amp;W$3&amp;")'!$e:$e"),INDIRECT("'Thanh Toán ("&amp;W$3&amp;")'!$B:$B"),'Tổng Đơn'!$B59),0)</f>
        <v>0</v>
      </c>
      <c r="X59" s="2">
        <f ca="1">IFERROR(SUMIFS(INDIRECT("'Thanh Toán ("&amp;X$3&amp;")'!$e:$e"),INDIRECT("'Thanh Toán ("&amp;X$3&amp;")'!$B:$B"),'Tổng Đơn'!$B59),0)</f>
        <v>0</v>
      </c>
      <c r="Y59" s="2">
        <f ca="1">IFERROR(SUMIFS(INDIRECT("'Thanh Toán ("&amp;Y$3&amp;")'!$e:$e"),INDIRECT("'Thanh Toán ("&amp;Y$3&amp;")'!$B:$B"),'Tổng Đơn'!$B59),0)</f>
        <v>0</v>
      </c>
      <c r="Z59" s="2">
        <f ca="1">IFERROR(SUMIFS(INDIRECT("'Thanh Toán ("&amp;Z$3&amp;")'!$e:$e"),INDIRECT("'Thanh Toán ("&amp;Z$3&amp;")'!$B:$B"),'Tổng Đơn'!$B59),0)</f>
        <v>0</v>
      </c>
      <c r="AA59" s="2">
        <f ca="1">IFERROR(SUMIFS(INDIRECT("'Thanh Toán ("&amp;AA$3&amp;")'!$e:$e"),INDIRECT("'Thanh Toán ("&amp;AA$3&amp;")'!$B:$B"),'Tổng Đơn'!$B59),0)</f>
        <v>0</v>
      </c>
      <c r="AB59" s="2">
        <f ca="1">IFERROR(SUMIFS(INDIRECT("'Thanh Toán ("&amp;AB$3&amp;")'!$e:$e"),INDIRECT("'Thanh Toán ("&amp;AB$3&amp;")'!$B:$B"),'Tổng Đơn'!$B59),0)</f>
        <v>0</v>
      </c>
      <c r="AC59" s="2">
        <f ca="1">IFERROR(SUMIFS(INDIRECT("'Thanh Toán ("&amp;AC$3&amp;")'!$e:$e"),INDIRECT("'Thanh Toán ("&amp;AC$3&amp;")'!$B:$B"),'Tổng Đơn'!$B59),0)</f>
        <v>0</v>
      </c>
      <c r="AD59" s="2">
        <f ca="1">IFERROR(SUMIFS(INDIRECT("'Thanh Toán ("&amp;AD$3&amp;")'!$e:$e"),INDIRECT("'Thanh Toán ("&amp;AD$3&amp;")'!$B:$B"),'Tổng Đơn'!$B59),0)</f>
        <v>0</v>
      </c>
      <c r="AE59" s="2">
        <f ca="1">IFERROR(SUMIFS(INDIRECT("'Thanh Toán ("&amp;AE$3&amp;")'!$e:$e"),INDIRECT("'Thanh Toán ("&amp;AE$3&amp;")'!$B:$B"),'Tổng Đơn'!$B59),0)</f>
        <v>0</v>
      </c>
      <c r="AF59" s="2">
        <f ca="1">IFERROR(SUMIFS(INDIRECT("'Thanh Toán ("&amp;AF$3&amp;")'!$e:$e"),INDIRECT("'Thanh Toán ("&amp;AF$3&amp;")'!$B:$B"),'Tổng Đơn'!$B59),0)</f>
        <v>0</v>
      </c>
      <c r="AG59" s="2">
        <f ca="1">IFERROR(SUMIFS(INDIRECT("'Thanh Toán ("&amp;AG$3&amp;")'!$e:$e"),INDIRECT("'Thanh Toán ("&amp;AG$3&amp;")'!$B:$B"),'Tổng Đơn'!$B59),0)</f>
        <v>0</v>
      </c>
      <c r="AH59" s="2">
        <f ca="1">IFERROR(SUMIFS(INDIRECT("'Thanh Toán ("&amp;AH$3&amp;")'!$e:$e"),INDIRECT("'Thanh Toán ("&amp;AH$3&amp;")'!$B:$B"),'Tổng Đơn'!$B59),0)</f>
        <v>0</v>
      </c>
      <c r="AI59" s="2">
        <f ca="1">IFERROR(SUMIFS(INDIRECT("'Thanh Toán ("&amp;AI$3&amp;")'!$e:$e"),INDIRECT("'Thanh Toán ("&amp;AI$3&amp;")'!$B:$B"),'Tổng Đơn'!$B59),0)</f>
        <v>0</v>
      </c>
      <c r="AJ59" s="2">
        <f ca="1">IFERROR(SUMIFS(INDIRECT("'Thanh Toán ("&amp;AJ$3&amp;")'!$e:$e"),INDIRECT("'Thanh Toán ("&amp;AJ$3&amp;")'!$B:$B"),'Tổng Đơn'!$B59),0)</f>
        <v>0</v>
      </c>
      <c r="AK59" s="2">
        <f ca="1">IFERROR(SUMIFS(INDIRECT("'Thanh Toán ("&amp;AK$3&amp;")'!$e:$e"),INDIRECT("'Thanh Toán ("&amp;AK$3&amp;")'!$B:$B"),'Tổng Đơn'!$B59),0)</f>
        <v>0</v>
      </c>
      <c r="AL59" s="2">
        <f ca="1">IFERROR(SUMIFS(INDIRECT("'Thanh Toán ("&amp;AL$3&amp;")'!$e:$e"),INDIRECT("'Thanh Toán ("&amp;AL$3&amp;")'!$B:$B"),'Tổng Đơn'!$B59),0)</f>
        <v>0</v>
      </c>
      <c r="AM59" s="2">
        <f ca="1">IFERROR(SUMIFS(INDIRECT("'Thanh Toán ("&amp;AM$3&amp;")'!$e:$e"),INDIRECT("'Thanh Toán ("&amp;AM$3&amp;")'!$B:$B"),'Tổng Đơn'!$B59),0)</f>
        <v>0</v>
      </c>
      <c r="AN59" s="2">
        <f ca="1">IFERROR(SUMIFS(INDIRECT("'Thanh Toán ("&amp;AN$3&amp;")'!$e:$e"),INDIRECT("'Thanh Toán ("&amp;AN$3&amp;")'!$B:$B"),'Tổng Đơn'!$B59),0)</f>
        <v>0</v>
      </c>
      <c r="AO59" s="2">
        <f ca="1">IFERROR(SUMIFS(INDIRECT("'Thanh Toán ("&amp;AO$3&amp;")'!$e:$e"),INDIRECT("'Thanh Toán ("&amp;AO$3&amp;")'!$B:$B"),'Tổng Đơn'!$B59),0)</f>
        <v>0</v>
      </c>
    </row>
    <row r="60" spans="1:41" x14ac:dyDescent="0.25">
      <c r="A60" s="156">
        <v>56</v>
      </c>
      <c r="B60" s="159" t="s">
        <v>174</v>
      </c>
      <c r="C60" s="23" t="s">
        <v>179</v>
      </c>
      <c r="D60" s="45">
        <v>80000</v>
      </c>
      <c r="E60" s="63">
        <v>0.5</v>
      </c>
      <c r="F60" s="61">
        <f t="shared" ca="1" si="6"/>
        <v>1</v>
      </c>
      <c r="G60" s="61">
        <v>74.307484231258258</v>
      </c>
      <c r="H60" s="61">
        <f t="shared" ca="1" si="4"/>
        <v>5692.5157687417377</v>
      </c>
      <c r="I60" s="61"/>
      <c r="J60" s="61">
        <f t="shared" ca="1" si="3"/>
        <v>74307.484231258262</v>
      </c>
      <c r="K60" s="61"/>
      <c r="L60" s="2">
        <f ca="1">IFERROR(SUMIFS(INDIRECT("'Thanh Toán ("&amp;L$3&amp;")'!$e:$e"),INDIRECT("'Thanh Toán ("&amp;L$3&amp;")'!$B:$B"),'Tổng Đơn'!$B60),0)</f>
        <v>0</v>
      </c>
      <c r="M60" s="2">
        <f ca="1">IFERROR(SUMIFS(INDIRECT("'Thanh Toán ("&amp;M$3&amp;")'!$e:$e"),INDIRECT("'Thanh Toán ("&amp;M$3&amp;")'!$B:$B"),'Tổng Đơn'!$B60),0)</f>
        <v>0</v>
      </c>
      <c r="N60" s="2">
        <f ca="1">IFERROR(SUMIFS(INDIRECT("'Thanh Toán ("&amp;N$3&amp;")'!$e:$e"),INDIRECT("'Thanh Toán ("&amp;N$3&amp;")'!$B:$B"),'Tổng Đơn'!$B60),0)</f>
        <v>1</v>
      </c>
      <c r="O60" s="2">
        <f ca="1">IFERROR(SUMIFS(INDIRECT("'Thanh Toán ("&amp;O$3&amp;")'!$e:$e"),INDIRECT("'Thanh Toán ("&amp;O$3&amp;")'!$B:$B"),'Tổng Đơn'!$B60),0)</f>
        <v>0</v>
      </c>
      <c r="P60" s="2">
        <f ca="1">IFERROR(SUMIFS(INDIRECT("'Thanh Toán ("&amp;P$3&amp;")'!$e:$e"),INDIRECT("'Thanh Toán ("&amp;P$3&amp;")'!$B:$B"),'Tổng Đơn'!$B60),0)</f>
        <v>0</v>
      </c>
      <c r="Q60" s="2">
        <f ca="1">IFERROR(SUMIFS(INDIRECT("'Thanh Toán ("&amp;Q$3&amp;")'!$e:$e"),INDIRECT("'Thanh Toán ("&amp;Q$3&amp;")'!$B:$B"),'Tổng Đơn'!$B60),0)</f>
        <v>0</v>
      </c>
      <c r="R60" s="2">
        <f ca="1">IFERROR(SUMIFS(INDIRECT("'Thanh Toán ("&amp;R$3&amp;")'!$e:$e"),INDIRECT("'Thanh Toán ("&amp;R$3&amp;")'!$B:$B"),'Tổng Đơn'!$B60),0)</f>
        <v>0</v>
      </c>
      <c r="S60" s="2">
        <f ca="1">IFERROR(SUMIFS(INDIRECT("'Thanh Toán ("&amp;S$3&amp;")'!$e:$e"),INDIRECT("'Thanh Toán ("&amp;S$3&amp;")'!$B:$B"),'Tổng Đơn'!$B60),0)</f>
        <v>0</v>
      </c>
      <c r="T60" s="2">
        <f ca="1">IFERROR(SUMIFS(INDIRECT("'Thanh Toán ("&amp;T$3&amp;")'!$e:$e"),INDIRECT("'Thanh Toán ("&amp;T$3&amp;")'!$B:$B"),'Tổng Đơn'!$B60),0)</f>
        <v>0</v>
      </c>
      <c r="U60" s="2">
        <f ca="1">IFERROR(SUMIFS(INDIRECT("'Thanh Toán ("&amp;U$3&amp;")'!$e:$e"),INDIRECT("'Thanh Toán ("&amp;U$3&amp;")'!$B:$B"),'Tổng Đơn'!$B60),0)</f>
        <v>0</v>
      </c>
      <c r="V60" s="2">
        <f ca="1">IFERROR(SUMIFS(INDIRECT("'Thanh Toán ("&amp;V$3&amp;")'!$e:$e"),INDIRECT("'Thanh Toán ("&amp;V$3&amp;")'!$B:$B"),'Tổng Đơn'!$B60),0)</f>
        <v>0</v>
      </c>
      <c r="W60" s="2">
        <f ca="1">IFERROR(SUMIFS(INDIRECT("'Thanh Toán ("&amp;W$3&amp;")'!$e:$e"),INDIRECT("'Thanh Toán ("&amp;W$3&amp;")'!$B:$B"),'Tổng Đơn'!$B60),0)</f>
        <v>0</v>
      </c>
      <c r="X60" s="2">
        <f ca="1">IFERROR(SUMIFS(INDIRECT("'Thanh Toán ("&amp;X$3&amp;")'!$e:$e"),INDIRECT("'Thanh Toán ("&amp;X$3&amp;")'!$B:$B"),'Tổng Đơn'!$B60),0)</f>
        <v>0</v>
      </c>
      <c r="Y60" s="2">
        <f ca="1">IFERROR(SUMIFS(INDIRECT("'Thanh Toán ("&amp;Y$3&amp;")'!$e:$e"),INDIRECT("'Thanh Toán ("&amp;Y$3&amp;")'!$B:$B"),'Tổng Đơn'!$B60),0)</f>
        <v>0</v>
      </c>
      <c r="Z60" s="2">
        <f ca="1">IFERROR(SUMIFS(INDIRECT("'Thanh Toán ("&amp;Z$3&amp;")'!$e:$e"),INDIRECT("'Thanh Toán ("&amp;Z$3&amp;")'!$B:$B"),'Tổng Đơn'!$B60),0)</f>
        <v>0</v>
      </c>
      <c r="AA60" s="2">
        <f ca="1">IFERROR(SUMIFS(INDIRECT("'Thanh Toán ("&amp;AA$3&amp;")'!$e:$e"),INDIRECT("'Thanh Toán ("&amp;AA$3&amp;")'!$B:$B"),'Tổng Đơn'!$B60),0)</f>
        <v>0</v>
      </c>
      <c r="AB60" s="2">
        <f ca="1">IFERROR(SUMIFS(INDIRECT("'Thanh Toán ("&amp;AB$3&amp;")'!$e:$e"),INDIRECT("'Thanh Toán ("&amp;AB$3&amp;")'!$B:$B"),'Tổng Đơn'!$B60),0)</f>
        <v>0</v>
      </c>
      <c r="AC60" s="2">
        <f ca="1">IFERROR(SUMIFS(INDIRECT("'Thanh Toán ("&amp;AC$3&amp;")'!$e:$e"),INDIRECT("'Thanh Toán ("&amp;AC$3&amp;")'!$B:$B"),'Tổng Đơn'!$B60),0)</f>
        <v>0</v>
      </c>
      <c r="AD60" s="2">
        <f ca="1">IFERROR(SUMIFS(INDIRECT("'Thanh Toán ("&amp;AD$3&amp;")'!$e:$e"),INDIRECT("'Thanh Toán ("&amp;AD$3&amp;")'!$B:$B"),'Tổng Đơn'!$B60),0)</f>
        <v>0</v>
      </c>
      <c r="AE60" s="2">
        <f ca="1">IFERROR(SUMIFS(INDIRECT("'Thanh Toán ("&amp;AE$3&amp;")'!$e:$e"),INDIRECT("'Thanh Toán ("&amp;AE$3&amp;")'!$B:$B"),'Tổng Đơn'!$B60),0)</f>
        <v>0</v>
      </c>
      <c r="AF60" s="2">
        <f ca="1">IFERROR(SUMIFS(INDIRECT("'Thanh Toán ("&amp;AF$3&amp;")'!$e:$e"),INDIRECT("'Thanh Toán ("&amp;AF$3&amp;")'!$B:$B"),'Tổng Đơn'!$B60),0)</f>
        <v>0</v>
      </c>
      <c r="AG60" s="2">
        <f ca="1">IFERROR(SUMIFS(INDIRECT("'Thanh Toán ("&amp;AG$3&amp;")'!$e:$e"),INDIRECT("'Thanh Toán ("&amp;AG$3&amp;")'!$B:$B"),'Tổng Đơn'!$B60),0)</f>
        <v>0</v>
      </c>
      <c r="AH60" s="2">
        <f ca="1">IFERROR(SUMIFS(INDIRECT("'Thanh Toán ("&amp;AH$3&amp;")'!$e:$e"),INDIRECT("'Thanh Toán ("&amp;AH$3&amp;")'!$B:$B"),'Tổng Đơn'!$B60),0)</f>
        <v>0</v>
      </c>
      <c r="AI60" s="2">
        <f ca="1">IFERROR(SUMIFS(INDIRECT("'Thanh Toán ("&amp;AI$3&amp;")'!$e:$e"),INDIRECT("'Thanh Toán ("&amp;AI$3&amp;")'!$B:$B"),'Tổng Đơn'!$B60),0)</f>
        <v>0</v>
      </c>
      <c r="AJ60" s="2">
        <f ca="1">IFERROR(SUMIFS(INDIRECT("'Thanh Toán ("&amp;AJ$3&amp;")'!$e:$e"),INDIRECT("'Thanh Toán ("&amp;AJ$3&amp;")'!$B:$B"),'Tổng Đơn'!$B60),0)</f>
        <v>0</v>
      </c>
      <c r="AK60" s="2">
        <f ca="1">IFERROR(SUMIFS(INDIRECT("'Thanh Toán ("&amp;AK$3&amp;")'!$e:$e"),INDIRECT("'Thanh Toán ("&amp;AK$3&amp;")'!$B:$B"),'Tổng Đơn'!$B60),0)</f>
        <v>0</v>
      </c>
      <c r="AL60" s="2">
        <f ca="1">IFERROR(SUMIFS(INDIRECT("'Thanh Toán ("&amp;AL$3&amp;")'!$e:$e"),INDIRECT("'Thanh Toán ("&amp;AL$3&amp;")'!$B:$B"),'Tổng Đơn'!$B60),0)</f>
        <v>0</v>
      </c>
      <c r="AM60" s="2">
        <f ca="1">IFERROR(SUMIFS(INDIRECT("'Thanh Toán ("&amp;AM$3&amp;")'!$e:$e"),INDIRECT("'Thanh Toán ("&amp;AM$3&amp;")'!$B:$B"),'Tổng Đơn'!$B60),0)</f>
        <v>0</v>
      </c>
      <c r="AN60" s="2">
        <f ca="1">IFERROR(SUMIFS(INDIRECT("'Thanh Toán ("&amp;AN$3&amp;")'!$e:$e"),INDIRECT("'Thanh Toán ("&amp;AN$3&amp;")'!$B:$B"),'Tổng Đơn'!$B60),0)</f>
        <v>0</v>
      </c>
      <c r="AO60" s="2">
        <f ca="1">IFERROR(SUMIFS(INDIRECT("'Thanh Toán ("&amp;AO$3&amp;")'!$e:$e"),INDIRECT("'Thanh Toán ("&amp;AO$3&amp;")'!$B:$B"),'Tổng Đơn'!$B60),0)</f>
        <v>0</v>
      </c>
    </row>
    <row r="61" spans="1:41" x14ac:dyDescent="0.25">
      <c r="A61" s="156">
        <v>57</v>
      </c>
      <c r="B61" s="159" t="s">
        <v>180</v>
      </c>
      <c r="C61" s="23" t="s">
        <v>181</v>
      </c>
      <c r="D61" s="45">
        <v>42000</v>
      </c>
      <c r="E61" s="63">
        <v>0.5</v>
      </c>
      <c r="F61" s="61">
        <f t="shared" ref="F61:F63" ca="1" si="7">SUM(L61:BW61)</f>
        <v>1</v>
      </c>
      <c r="G61" s="61">
        <v>37.922440228366284</v>
      </c>
      <c r="H61" s="61">
        <f t="shared" ca="1" si="4"/>
        <v>4077.5597716337143</v>
      </c>
      <c r="I61" s="61"/>
      <c r="J61" s="61">
        <f t="shared" ca="1" si="3"/>
        <v>37922.440228366286</v>
      </c>
      <c r="K61" s="61"/>
      <c r="L61" s="2">
        <f ca="1">IFERROR(SUMIFS(INDIRECT("'Thanh Toán ("&amp;L$3&amp;")'!$e:$e"),INDIRECT("'Thanh Toán ("&amp;L$3&amp;")'!$B:$B"),'Tổng Đơn'!$B61),0)</f>
        <v>0</v>
      </c>
      <c r="M61" s="2">
        <f ca="1">IFERROR(SUMIFS(INDIRECT("'Thanh Toán ("&amp;M$3&amp;")'!$e:$e"),INDIRECT("'Thanh Toán ("&amp;M$3&amp;")'!$B:$B"),'Tổng Đơn'!$B61),0)</f>
        <v>0</v>
      </c>
      <c r="N61" s="2">
        <f ca="1">IFERROR(SUMIFS(INDIRECT("'Thanh Toán ("&amp;N$3&amp;")'!$e:$e"),INDIRECT("'Thanh Toán ("&amp;N$3&amp;")'!$B:$B"),'Tổng Đơn'!$B61),0)</f>
        <v>0</v>
      </c>
      <c r="O61" s="2">
        <f ca="1">IFERROR(SUMIFS(INDIRECT("'Thanh Toán ("&amp;O$3&amp;")'!$e:$e"),INDIRECT("'Thanh Toán ("&amp;O$3&amp;")'!$B:$B"),'Tổng Đơn'!$B61),0)</f>
        <v>0</v>
      </c>
      <c r="P61" s="2">
        <f ca="1">IFERROR(SUMIFS(INDIRECT("'Thanh Toán ("&amp;P$3&amp;")'!$e:$e"),INDIRECT("'Thanh Toán ("&amp;P$3&amp;")'!$B:$B"),'Tổng Đơn'!$B61),0)</f>
        <v>0</v>
      </c>
      <c r="Q61" s="2">
        <f ca="1">IFERROR(SUMIFS(INDIRECT("'Thanh Toán ("&amp;Q$3&amp;")'!$e:$e"),INDIRECT("'Thanh Toán ("&amp;Q$3&amp;")'!$B:$B"),'Tổng Đơn'!$B61),0)</f>
        <v>0</v>
      </c>
      <c r="R61" s="2">
        <f ca="1">IFERROR(SUMIFS(INDIRECT("'Thanh Toán ("&amp;R$3&amp;")'!$e:$e"),INDIRECT("'Thanh Toán ("&amp;R$3&amp;")'!$B:$B"),'Tổng Đơn'!$B61),0)</f>
        <v>0</v>
      </c>
      <c r="S61" s="2">
        <f ca="1">IFERROR(SUMIFS(INDIRECT("'Thanh Toán ("&amp;S$3&amp;")'!$e:$e"),INDIRECT("'Thanh Toán ("&amp;S$3&amp;")'!$B:$B"),'Tổng Đơn'!$B61),0)</f>
        <v>0</v>
      </c>
      <c r="T61" s="2">
        <f ca="1">IFERROR(SUMIFS(INDIRECT("'Thanh Toán ("&amp;T$3&amp;")'!$e:$e"),INDIRECT("'Thanh Toán ("&amp;T$3&amp;")'!$B:$B"),'Tổng Đơn'!$B61),0)</f>
        <v>0</v>
      </c>
      <c r="U61" s="2">
        <f ca="1">IFERROR(SUMIFS(INDIRECT("'Thanh Toán ("&amp;U$3&amp;")'!$e:$e"),INDIRECT("'Thanh Toán ("&amp;U$3&amp;")'!$B:$B"),'Tổng Đơn'!$B61),0)</f>
        <v>0</v>
      </c>
      <c r="V61" s="2">
        <f ca="1">IFERROR(SUMIFS(INDIRECT("'Thanh Toán ("&amp;V$3&amp;")'!$e:$e"),INDIRECT("'Thanh Toán ("&amp;V$3&amp;")'!$B:$B"),'Tổng Đơn'!$B61),0)</f>
        <v>1</v>
      </c>
      <c r="W61" s="2">
        <f ca="1">IFERROR(SUMIFS(INDIRECT("'Thanh Toán ("&amp;W$3&amp;")'!$e:$e"),INDIRECT("'Thanh Toán ("&amp;W$3&amp;")'!$B:$B"),'Tổng Đơn'!$B61),0)</f>
        <v>0</v>
      </c>
      <c r="X61" s="2">
        <f ca="1">IFERROR(SUMIFS(INDIRECT("'Thanh Toán ("&amp;X$3&amp;")'!$e:$e"),INDIRECT("'Thanh Toán ("&amp;X$3&amp;")'!$B:$B"),'Tổng Đơn'!$B61),0)</f>
        <v>0</v>
      </c>
      <c r="Y61" s="2">
        <f ca="1">IFERROR(SUMIFS(INDIRECT("'Thanh Toán ("&amp;Y$3&amp;")'!$e:$e"),INDIRECT("'Thanh Toán ("&amp;Y$3&amp;")'!$B:$B"),'Tổng Đơn'!$B61),0)</f>
        <v>0</v>
      </c>
      <c r="Z61" s="2">
        <f ca="1">IFERROR(SUMIFS(INDIRECT("'Thanh Toán ("&amp;Z$3&amp;")'!$e:$e"),INDIRECT("'Thanh Toán ("&amp;Z$3&amp;")'!$B:$B"),'Tổng Đơn'!$B61),0)</f>
        <v>0</v>
      </c>
      <c r="AA61" s="2">
        <f ca="1">IFERROR(SUMIFS(INDIRECT("'Thanh Toán ("&amp;AA$3&amp;")'!$e:$e"),INDIRECT("'Thanh Toán ("&amp;AA$3&amp;")'!$B:$B"),'Tổng Đơn'!$B61),0)</f>
        <v>0</v>
      </c>
      <c r="AB61" s="2">
        <f ca="1">IFERROR(SUMIFS(INDIRECT("'Thanh Toán ("&amp;AB$3&amp;")'!$e:$e"),INDIRECT("'Thanh Toán ("&amp;AB$3&amp;")'!$B:$B"),'Tổng Đơn'!$B61),0)</f>
        <v>0</v>
      </c>
      <c r="AC61" s="2">
        <f ca="1">IFERROR(SUMIFS(INDIRECT("'Thanh Toán ("&amp;AC$3&amp;")'!$e:$e"),INDIRECT("'Thanh Toán ("&amp;AC$3&amp;")'!$B:$B"),'Tổng Đơn'!$B61),0)</f>
        <v>0</v>
      </c>
      <c r="AD61" s="2">
        <f ca="1">IFERROR(SUMIFS(INDIRECT("'Thanh Toán ("&amp;AD$3&amp;")'!$e:$e"),INDIRECT("'Thanh Toán ("&amp;AD$3&amp;")'!$B:$B"),'Tổng Đơn'!$B61),0)</f>
        <v>0</v>
      </c>
      <c r="AE61" s="2">
        <f ca="1">IFERROR(SUMIFS(INDIRECT("'Thanh Toán ("&amp;AE$3&amp;")'!$e:$e"),INDIRECT("'Thanh Toán ("&amp;AE$3&amp;")'!$B:$B"),'Tổng Đơn'!$B61),0)</f>
        <v>0</v>
      </c>
      <c r="AF61" s="2">
        <f ca="1">IFERROR(SUMIFS(INDIRECT("'Thanh Toán ("&amp;AF$3&amp;")'!$e:$e"),INDIRECT("'Thanh Toán ("&amp;AF$3&amp;")'!$B:$B"),'Tổng Đơn'!$B61),0)</f>
        <v>0</v>
      </c>
      <c r="AG61" s="2">
        <f ca="1">IFERROR(SUMIFS(INDIRECT("'Thanh Toán ("&amp;AG$3&amp;")'!$e:$e"),INDIRECT("'Thanh Toán ("&amp;AG$3&amp;")'!$B:$B"),'Tổng Đơn'!$B61),0)</f>
        <v>0</v>
      </c>
      <c r="AH61" s="2">
        <f ca="1">IFERROR(SUMIFS(INDIRECT("'Thanh Toán ("&amp;AH$3&amp;")'!$e:$e"),INDIRECT("'Thanh Toán ("&amp;AH$3&amp;")'!$B:$B"),'Tổng Đơn'!$B61),0)</f>
        <v>0</v>
      </c>
      <c r="AI61" s="2">
        <f ca="1">IFERROR(SUMIFS(INDIRECT("'Thanh Toán ("&amp;AI$3&amp;")'!$e:$e"),INDIRECT("'Thanh Toán ("&amp;AI$3&amp;")'!$B:$B"),'Tổng Đơn'!$B61),0)</f>
        <v>0</v>
      </c>
      <c r="AJ61" s="2">
        <f ca="1">IFERROR(SUMIFS(INDIRECT("'Thanh Toán ("&amp;AJ$3&amp;")'!$e:$e"),INDIRECT("'Thanh Toán ("&amp;AJ$3&amp;")'!$B:$B"),'Tổng Đơn'!$B61),0)</f>
        <v>0</v>
      </c>
      <c r="AK61" s="2">
        <f ca="1">IFERROR(SUMIFS(INDIRECT("'Thanh Toán ("&amp;AK$3&amp;")'!$e:$e"),INDIRECT("'Thanh Toán ("&amp;AK$3&amp;")'!$B:$B"),'Tổng Đơn'!$B61),0)</f>
        <v>0</v>
      </c>
      <c r="AL61" s="2">
        <f ca="1">IFERROR(SUMIFS(INDIRECT("'Thanh Toán ("&amp;AL$3&amp;")'!$e:$e"),INDIRECT("'Thanh Toán ("&amp;AL$3&amp;")'!$B:$B"),'Tổng Đơn'!$B61),0)</f>
        <v>0</v>
      </c>
      <c r="AM61" s="2">
        <f ca="1">IFERROR(SUMIFS(INDIRECT("'Thanh Toán ("&amp;AM$3&amp;")'!$e:$e"),INDIRECT("'Thanh Toán ("&amp;AM$3&amp;")'!$B:$B"),'Tổng Đơn'!$B61),0)</f>
        <v>0</v>
      </c>
      <c r="AN61" s="2">
        <f ca="1">IFERROR(SUMIFS(INDIRECT("'Thanh Toán ("&amp;AN$3&amp;")'!$e:$e"),INDIRECT("'Thanh Toán ("&amp;AN$3&amp;")'!$B:$B"),'Tổng Đơn'!$B61),0)</f>
        <v>0</v>
      </c>
      <c r="AO61" s="2">
        <f ca="1">IFERROR(SUMIFS(INDIRECT("'Thanh Toán ("&amp;AO$3&amp;")'!$e:$e"),INDIRECT("'Thanh Toán ("&amp;AO$3&amp;")'!$B:$B"),'Tổng Đơn'!$B61),0)</f>
        <v>0</v>
      </c>
    </row>
    <row r="62" spans="1:41" x14ac:dyDescent="0.25">
      <c r="A62" s="156">
        <v>58</v>
      </c>
      <c r="B62" s="159" t="s">
        <v>182</v>
      </c>
      <c r="C62" s="23" t="s">
        <v>184</v>
      </c>
      <c r="D62" s="45">
        <v>35000</v>
      </c>
      <c r="E62" s="63">
        <v>0.5</v>
      </c>
      <c r="F62" s="61">
        <f t="shared" ca="1" si="7"/>
        <v>0</v>
      </c>
      <c r="G62" s="61">
        <v>30.235459100994738</v>
      </c>
      <c r="H62" s="61">
        <f t="shared" ca="1" si="4"/>
        <v>0</v>
      </c>
      <c r="I62" s="61"/>
      <c r="J62" s="61">
        <f t="shared" ca="1" si="3"/>
        <v>0</v>
      </c>
      <c r="K62" s="61"/>
      <c r="L62" s="2">
        <f ca="1">IFERROR(SUMIFS(INDIRECT("'Thanh Toán ("&amp;L$3&amp;")'!$e:$e"),INDIRECT("'Thanh Toán ("&amp;L$3&amp;")'!$B:$B"),'Tổng Đơn'!$B62),0)</f>
        <v>0</v>
      </c>
      <c r="M62" s="2">
        <f ca="1">IFERROR(SUMIFS(INDIRECT("'Thanh Toán ("&amp;M$3&amp;")'!$e:$e"),INDIRECT("'Thanh Toán ("&amp;M$3&amp;")'!$B:$B"),'Tổng Đơn'!$B62),0)</f>
        <v>0</v>
      </c>
      <c r="N62" s="2">
        <f ca="1">IFERROR(SUMIFS(INDIRECT("'Thanh Toán ("&amp;N$3&amp;")'!$e:$e"),INDIRECT("'Thanh Toán ("&amp;N$3&amp;")'!$B:$B"),'Tổng Đơn'!$B62),0)</f>
        <v>0</v>
      </c>
      <c r="O62" s="2">
        <f ca="1">IFERROR(SUMIFS(INDIRECT("'Thanh Toán ("&amp;O$3&amp;")'!$e:$e"),INDIRECT("'Thanh Toán ("&amp;O$3&amp;")'!$B:$B"),'Tổng Đơn'!$B62),0)</f>
        <v>0</v>
      </c>
      <c r="P62" s="2">
        <f ca="1">IFERROR(SUMIFS(INDIRECT("'Thanh Toán ("&amp;P$3&amp;")'!$e:$e"),INDIRECT("'Thanh Toán ("&amp;P$3&amp;")'!$B:$B"),'Tổng Đơn'!$B62),0)</f>
        <v>0</v>
      </c>
      <c r="Q62" s="2">
        <f ca="1">IFERROR(SUMIFS(INDIRECT("'Thanh Toán ("&amp;Q$3&amp;")'!$e:$e"),INDIRECT("'Thanh Toán ("&amp;Q$3&amp;")'!$B:$B"),'Tổng Đơn'!$B62),0)</f>
        <v>0</v>
      </c>
      <c r="R62" s="2">
        <f ca="1">IFERROR(SUMIFS(INDIRECT("'Thanh Toán ("&amp;R$3&amp;")'!$e:$e"),INDIRECT("'Thanh Toán ("&amp;R$3&amp;")'!$B:$B"),'Tổng Đơn'!$B62),0)</f>
        <v>0</v>
      </c>
      <c r="S62" s="2">
        <f ca="1">IFERROR(SUMIFS(INDIRECT("'Thanh Toán ("&amp;S$3&amp;")'!$e:$e"),INDIRECT("'Thanh Toán ("&amp;S$3&amp;")'!$B:$B"),'Tổng Đơn'!$B62),0)</f>
        <v>0</v>
      </c>
      <c r="T62" s="2">
        <f ca="1">IFERROR(SUMIFS(INDIRECT("'Thanh Toán ("&amp;T$3&amp;")'!$e:$e"),INDIRECT("'Thanh Toán ("&amp;T$3&amp;")'!$B:$B"),'Tổng Đơn'!$B62),0)</f>
        <v>0</v>
      </c>
      <c r="U62" s="2">
        <f ca="1">IFERROR(SUMIFS(INDIRECT("'Thanh Toán ("&amp;U$3&amp;")'!$e:$e"),INDIRECT("'Thanh Toán ("&amp;U$3&amp;")'!$B:$B"),'Tổng Đơn'!$B62),0)</f>
        <v>0</v>
      </c>
      <c r="V62" s="2">
        <f ca="1">IFERROR(SUMIFS(INDIRECT("'Thanh Toán ("&amp;V$3&amp;")'!$e:$e"),INDIRECT("'Thanh Toán ("&amp;V$3&amp;")'!$B:$B"),'Tổng Đơn'!$B62),0)</f>
        <v>0</v>
      </c>
      <c r="W62" s="2">
        <f ca="1">IFERROR(SUMIFS(INDIRECT("'Thanh Toán ("&amp;W$3&amp;")'!$e:$e"),INDIRECT("'Thanh Toán ("&amp;W$3&amp;")'!$B:$B"),'Tổng Đơn'!$B62),0)</f>
        <v>0</v>
      </c>
      <c r="X62" s="2">
        <f ca="1">IFERROR(SUMIFS(INDIRECT("'Thanh Toán ("&amp;X$3&amp;")'!$e:$e"),INDIRECT("'Thanh Toán ("&amp;X$3&amp;")'!$B:$B"),'Tổng Đơn'!$B62),0)</f>
        <v>0</v>
      </c>
      <c r="Y62" s="2">
        <f ca="1">IFERROR(SUMIFS(INDIRECT("'Thanh Toán ("&amp;Y$3&amp;")'!$e:$e"),INDIRECT("'Thanh Toán ("&amp;Y$3&amp;")'!$B:$B"),'Tổng Đơn'!$B62),0)</f>
        <v>0</v>
      </c>
      <c r="Z62" s="2">
        <f ca="1">IFERROR(SUMIFS(INDIRECT("'Thanh Toán ("&amp;Z$3&amp;")'!$e:$e"),INDIRECT("'Thanh Toán ("&amp;Z$3&amp;")'!$B:$B"),'Tổng Đơn'!$B62),0)</f>
        <v>0</v>
      </c>
      <c r="AA62" s="2">
        <f ca="1">IFERROR(SUMIFS(INDIRECT("'Thanh Toán ("&amp;AA$3&amp;")'!$e:$e"),INDIRECT("'Thanh Toán ("&amp;AA$3&amp;")'!$B:$B"),'Tổng Đơn'!$B62),0)</f>
        <v>0</v>
      </c>
      <c r="AB62" s="2">
        <f ca="1">IFERROR(SUMIFS(INDIRECT("'Thanh Toán ("&amp;AB$3&amp;")'!$e:$e"),INDIRECT("'Thanh Toán ("&amp;AB$3&amp;")'!$B:$B"),'Tổng Đơn'!$B62),0)</f>
        <v>0</v>
      </c>
      <c r="AC62" s="2">
        <f ca="1">IFERROR(SUMIFS(INDIRECT("'Thanh Toán ("&amp;AC$3&amp;")'!$e:$e"),INDIRECT("'Thanh Toán ("&amp;AC$3&amp;")'!$B:$B"),'Tổng Đơn'!$B62),0)</f>
        <v>0</v>
      </c>
      <c r="AD62" s="2">
        <f ca="1">IFERROR(SUMIFS(INDIRECT("'Thanh Toán ("&amp;AD$3&amp;")'!$e:$e"),INDIRECT("'Thanh Toán ("&amp;AD$3&amp;")'!$B:$B"),'Tổng Đơn'!$B62),0)</f>
        <v>0</v>
      </c>
      <c r="AE62" s="2">
        <f ca="1">IFERROR(SUMIFS(INDIRECT("'Thanh Toán ("&amp;AE$3&amp;")'!$e:$e"),INDIRECT("'Thanh Toán ("&amp;AE$3&amp;")'!$B:$B"),'Tổng Đơn'!$B62),0)</f>
        <v>0</v>
      </c>
      <c r="AF62" s="2">
        <f ca="1">IFERROR(SUMIFS(INDIRECT("'Thanh Toán ("&amp;AF$3&amp;")'!$e:$e"),INDIRECT("'Thanh Toán ("&amp;AF$3&amp;")'!$B:$B"),'Tổng Đơn'!$B62),0)</f>
        <v>0</v>
      </c>
      <c r="AG62" s="2">
        <f ca="1">IFERROR(SUMIFS(INDIRECT("'Thanh Toán ("&amp;AG$3&amp;")'!$e:$e"),INDIRECT("'Thanh Toán ("&amp;AG$3&amp;")'!$B:$B"),'Tổng Đơn'!$B62),0)</f>
        <v>0</v>
      </c>
      <c r="AH62" s="2">
        <f ca="1">IFERROR(SUMIFS(INDIRECT("'Thanh Toán ("&amp;AH$3&amp;")'!$e:$e"),INDIRECT("'Thanh Toán ("&amp;AH$3&amp;")'!$B:$B"),'Tổng Đơn'!$B62),0)</f>
        <v>0</v>
      </c>
      <c r="AI62" s="2">
        <f ca="1">IFERROR(SUMIFS(INDIRECT("'Thanh Toán ("&amp;AI$3&amp;")'!$e:$e"),INDIRECT("'Thanh Toán ("&amp;AI$3&amp;")'!$B:$B"),'Tổng Đơn'!$B62),0)</f>
        <v>0</v>
      </c>
      <c r="AJ62" s="2">
        <f ca="1">IFERROR(SUMIFS(INDIRECT("'Thanh Toán ("&amp;AJ$3&amp;")'!$e:$e"),INDIRECT("'Thanh Toán ("&amp;AJ$3&amp;")'!$B:$B"),'Tổng Đơn'!$B62),0)</f>
        <v>0</v>
      </c>
      <c r="AK62" s="2">
        <f ca="1">IFERROR(SUMIFS(INDIRECT("'Thanh Toán ("&amp;AK$3&amp;")'!$e:$e"),INDIRECT("'Thanh Toán ("&amp;AK$3&amp;")'!$B:$B"),'Tổng Đơn'!$B62),0)</f>
        <v>0</v>
      </c>
      <c r="AL62" s="2">
        <f ca="1">IFERROR(SUMIFS(INDIRECT("'Thanh Toán ("&amp;AL$3&amp;")'!$e:$e"),INDIRECT("'Thanh Toán ("&amp;AL$3&amp;")'!$B:$B"),'Tổng Đơn'!$B62),0)</f>
        <v>0</v>
      </c>
      <c r="AM62" s="2">
        <f ca="1">IFERROR(SUMIFS(INDIRECT("'Thanh Toán ("&amp;AM$3&amp;")'!$e:$e"),INDIRECT("'Thanh Toán ("&amp;AM$3&amp;")'!$B:$B"),'Tổng Đơn'!$B62),0)</f>
        <v>0</v>
      </c>
      <c r="AN62" s="2">
        <f ca="1">IFERROR(SUMIFS(INDIRECT("'Thanh Toán ("&amp;AN$3&amp;")'!$e:$e"),INDIRECT("'Thanh Toán ("&amp;AN$3&amp;")'!$B:$B"),'Tổng Đơn'!$B62),0)</f>
        <v>0</v>
      </c>
      <c r="AO62" s="2">
        <f ca="1">IFERROR(SUMIFS(INDIRECT("'Thanh Toán ("&amp;AO$3&amp;")'!$e:$e"),INDIRECT("'Thanh Toán ("&amp;AO$3&amp;")'!$B:$B"),'Tổng Đơn'!$B62),0)</f>
        <v>0</v>
      </c>
    </row>
    <row r="63" spans="1:41" x14ac:dyDescent="0.25">
      <c r="A63" s="156">
        <v>59</v>
      </c>
      <c r="B63" s="159" t="s">
        <v>183</v>
      </c>
      <c r="C63" s="23" t="s">
        <v>185</v>
      </c>
      <c r="D63" s="45">
        <v>38000</v>
      </c>
      <c r="E63" s="63">
        <v>0.5</v>
      </c>
      <c r="F63" s="61">
        <f t="shared" ca="1" si="7"/>
        <v>0</v>
      </c>
      <c r="G63" s="61">
        <v>32.285320734960486</v>
      </c>
      <c r="H63" s="61">
        <f t="shared" ca="1" si="4"/>
        <v>0</v>
      </c>
      <c r="I63" s="61"/>
      <c r="J63" s="61">
        <f t="shared" ca="1" si="3"/>
        <v>0</v>
      </c>
      <c r="K63" s="61"/>
      <c r="L63" s="2">
        <f ca="1">IFERROR(SUMIFS(INDIRECT("'Thanh Toán ("&amp;L$3&amp;")'!$e:$e"),INDIRECT("'Thanh Toán ("&amp;L$3&amp;")'!$B:$B"),'Tổng Đơn'!$B63),0)</f>
        <v>0</v>
      </c>
      <c r="M63" s="2">
        <f ca="1">IFERROR(SUMIFS(INDIRECT("'Thanh Toán ("&amp;M$3&amp;")'!$e:$e"),INDIRECT("'Thanh Toán ("&amp;M$3&amp;")'!$B:$B"),'Tổng Đơn'!$B63),0)</f>
        <v>0</v>
      </c>
      <c r="N63" s="2">
        <f ca="1">IFERROR(SUMIFS(INDIRECT("'Thanh Toán ("&amp;N$3&amp;")'!$e:$e"),INDIRECT("'Thanh Toán ("&amp;N$3&amp;")'!$B:$B"),'Tổng Đơn'!$B63),0)</f>
        <v>0</v>
      </c>
      <c r="O63" s="2">
        <f ca="1">IFERROR(SUMIFS(INDIRECT("'Thanh Toán ("&amp;O$3&amp;")'!$e:$e"),INDIRECT("'Thanh Toán ("&amp;O$3&amp;")'!$B:$B"),'Tổng Đơn'!$B63),0)</f>
        <v>0</v>
      </c>
      <c r="P63" s="2">
        <f ca="1">IFERROR(SUMIFS(INDIRECT("'Thanh Toán ("&amp;P$3&amp;")'!$e:$e"),INDIRECT("'Thanh Toán ("&amp;P$3&amp;")'!$B:$B"),'Tổng Đơn'!$B63),0)</f>
        <v>0</v>
      </c>
      <c r="Q63" s="2">
        <f ca="1">IFERROR(SUMIFS(INDIRECT("'Thanh Toán ("&amp;Q$3&amp;")'!$e:$e"),INDIRECT("'Thanh Toán ("&amp;Q$3&amp;")'!$B:$B"),'Tổng Đơn'!$B63),0)</f>
        <v>0</v>
      </c>
      <c r="R63" s="2">
        <f ca="1">IFERROR(SUMIFS(INDIRECT("'Thanh Toán ("&amp;R$3&amp;")'!$e:$e"),INDIRECT("'Thanh Toán ("&amp;R$3&amp;")'!$B:$B"),'Tổng Đơn'!$B63),0)</f>
        <v>0</v>
      </c>
      <c r="S63" s="2">
        <f ca="1">IFERROR(SUMIFS(INDIRECT("'Thanh Toán ("&amp;S$3&amp;")'!$e:$e"),INDIRECT("'Thanh Toán ("&amp;S$3&amp;")'!$B:$B"),'Tổng Đơn'!$B63),0)</f>
        <v>0</v>
      </c>
      <c r="T63" s="2">
        <f ca="1">IFERROR(SUMIFS(INDIRECT("'Thanh Toán ("&amp;T$3&amp;")'!$e:$e"),INDIRECT("'Thanh Toán ("&amp;T$3&amp;")'!$B:$B"),'Tổng Đơn'!$B63),0)</f>
        <v>0</v>
      </c>
      <c r="U63" s="2">
        <f ca="1">IFERROR(SUMIFS(INDIRECT("'Thanh Toán ("&amp;U$3&amp;")'!$e:$e"),INDIRECT("'Thanh Toán ("&amp;U$3&amp;")'!$B:$B"),'Tổng Đơn'!$B63),0)</f>
        <v>0</v>
      </c>
      <c r="V63" s="2">
        <f ca="1">IFERROR(SUMIFS(INDIRECT("'Thanh Toán ("&amp;V$3&amp;")'!$e:$e"),INDIRECT("'Thanh Toán ("&amp;V$3&amp;")'!$B:$B"),'Tổng Đơn'!$B63),0)</f>
        <v>0</v>
      </c>
      <c r="W63" s="2">
        <f ca="1">IFERROR(SUMIFS(INDIRECT("'Thanh Toán ("&amp;W$3&amp;")'!$e:$e"),INDIRECT("'Thanh Toán ("&amp;W$3&amp;")'!$B:$B"),'Tổng Đơn'!$B63),0)</f>
        <v>0</v>
      </c>
      <c r="X63" s="2">
        <f ca="1">IFERROR(SUMIFS(INDIRECT("'Thanh Toán ("&amp;X$3&amp;")'!$e:$e"),INDIRECT("'Thanh Toán ("&amp;X$3&amp;")'!$B:$B"),'Tổng Đơn'!$B63),0)</f>
        <v>0</v>
      </c>
      <c r="Y63" s="2">
        <f ca="1">IFERROR(SUMIFS(INDIRECT("'Thanh Toán ("&amp;Y$3&amp;")'!$e:$e"),INDIRECT("'Thanh Toán ("&amp;Y$3&amp;")'!$B:$B"),'Tổng Đơn'!$B63),0)</f>
        <v>0</v>
      </c>
      <c r="Z63" s="2">
        <f ca="1">IFERROR(SUMIFS(INDIRECT("'Thanh Toán ("&amp;Z$3&amp;")'!$e:$e"),INDIRECT("'Thanh Toán ("&amp;Z$3&amp;")'!$B:$B"),'Tổng Đơn'!$B63),0)</f>
        <v>0</v>
      </c>
      <c r="AA63" s="2">
        <f ca="1">IFERROR(SUMIFS(INDIRECT("'Thanh Toán ("&amp;AA$3&amp;")'!$e:$e"),INDIRECT("'Thanh Toán ("&amp;AA$3&amp;")'!$B:$B"),'Tổng Đơn'!$B63),0)</f>
        <v>0</v>
      </c>
      <c r="AB63" s="2">
        <f ca="1">IFERROR(SUMIFS(INDIRECT("'Thanh Toán ("&amp;AB$3&amp;")'!$e:$e"),INDIRECT("'Thanh Toán ("&amp;AB$3&amp;")'!$B:$B"),'Tổng Đơn'!$B63),0)</f>
        <v>0</v>
      </c>
      <c r="AC63" s="2">
        <f ca="1">IFERROR(SUMIFS(INDIRECT("'Thanh Toán ("&amp;AC$3&amp;")'!$e:$e"),INDIRECT("'Thanh Toán ("&amp;AC$3&amp;")'!$B:$B"),'Tổng Đơn'!$B63),0)</f>
        <v>0</v>
      </c>
      <c r="AD63" s="2">
        <f ca="1">IFERROR(SUMIFS(INDIRECT("'Thanh Toán ("&amp;AD$3&amp;")'!$e:$e"),INDIRECT("'Thanh Toán ("&amp;AD$3&amp;")'!$B:$B"),'Tổng Đơn'!$B63),0)</f>
        <v>0</v>
      </c>
      <c r="AE63" s="2">
        <f ca="1">IFERROR(SUMIFS(INDIRECT("'Thanh Toán ("&amp;AE$3&amp;")'!$e:$e"),INDIRECT("'Thanh Toán ("&amp;AE$3&amp;")'!$B:$B"),'Tổng Đơn'!$B63),0)</f>
        <v>0</v>
      </c>
      <c r="AF63" s="2">
        <f ca="1">IFERROR(SUMIFS(INDIRECT("'Thanh Toán ("&amp;AF$3&amp;")'!$e:$e"),INDIRECT("'Thanh Toán ("&amp;AF$3&amp;")'!$B:$B"),'Tổng Đơn'!$B63),0)</f>
        <v>0</v>
      </c>
      <c r="AG63" s="2">
        <f ca="1">IFERROR(SUMIFS(INDIRECT("'Thanh Toán ("&amp;AG$3&amp;")'!$e:$e"),INDIRECT("'Thanh Toán ("&amp;AG$3&amp;")'!$B:$B"),'Tổng Đơn'!$B63),0)</f>
        <v>0</v>
      </c>
      <c r="AH63" s="2">
        <f ca="1">IFERROR(SUMIFS(INDIRECT("'Thanh Toán ("&amp;AH$3&amp;")'!$e:$e"),INDIRECT("'Thanh Toán ("&amp;AH$3&amp;")'!$B:$B"),'Tổng Đơn'!$B63),0)</f>
        <v>0</v>
      </c>
      <c r="AI63" s="2">
        <f ca="1">IFERROR(SUMIFS(INDIRECT("'Thanh Toán ("&amp;AI$3&amp;")'!$e:$e"),INDIRECT("'Thanh Toán ("&amp;AI$3&amp;")'!$B:$B"),'Tổng Đơn'!$B63),0)</f>
        <v>0</v>
      </c>
      <c r="AJ63" s="2">
        <f ca="1">IFERROR(SUMIFS(INDIRECT("'Thanh Toán ("&amp;AJ$3&amp;")'!$e:$e"),INDIRECT("'Thanh Toán ("&amp;AJ$3&amp;")'!$B:$B"),'Tổng Đơn'!$B63),0)</f>
        <v>0</v>
      </c>
      <c r="AK63" s="2">
        <f ca="1">IFERROR(SUMIFS(INDIRECT("'Thanh Toán ("&amp;AK$3&amp;")'!$e:$e"),INDIRECT("'Thanh Toán ("&amp;AK$3&amp;")'!$B:$B"),'Tổng Đơn'!$B63),0)</f>
        <v>0</v>
      </c>
      <c r="AL63" s="2">
        <f ca="1">IFERROR(SUMIFS(INDIRECT("'Thanh Toán ("&amp;AL$3&amp;")'!$e:$e"),INDIRECT("'Thanh Toán ("&amp;AL$3&amp;")'!$B:$B"),'Tổng Đơn'!$B63),0)</f>
        <v>0</v>
      </c>
      <c r="AM63" s="2">
        <f ca="1">IFERROR(SUMIFS(INDIRECT("'Thanh Toán ("&amp;AM$3&amp;")'!$e:$e"),INDIRECT("'Thanh Toán ("&amp;AM$3&amp;")'!$B:$B"),'Tổng Đơn'!$B63),0)</f>
        <v>0</v>
      </c>
      <c r="AN63" s="2">
        <f ca="1">IFERROR(SUMIFS(INDIRECT("'Thanh Toán ("&amp;AN$3&amp;")'!$e:$e"),INDIRECT("'Thanh Toán ("&amp;AN$3&amp;")'!$B:$B"),'Tổng Đơn'!$B63),0)</f>
        <v>0</v>
      </c>
      <c r="AO63" s="2">
        <f ca="1">IFERROR(SUMIFS(INDIRECT("'Thanh Toán ("&amp;AO$3&amp;")'!$e:$e"),INDIRECT("'Thanh Toán ("&amp;AO$3&amp;")'!$B:$B"),'Tổng Đơn'!$B63),0)</f>
        <v>0</v>
      </c>
    </row>
  </sheetData>
  <autoFilter ref="A4:AO63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2" sqref="D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9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164"/>
      <c r="I1" s="57"/>
      <c r="K1" s="48" t="s">
        <v>18</v>
      </c>
    </row>
    <row r="2" spans="1:13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1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5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/>
      </c>
      <c r="G3" s="56" t="str">
        <f>IF($A2=MAX($A$2:$A$50),SUM($G$2:$G2),IFERROR($F3*$E3,""))</f>
        <v/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9" priority="7">
      <formula>$A2=MAX($A$2:$A$21)</formula>
    </cfRule>
  </conditionalFormatting>
  <conditionalFormatting sqref="F4:G4 G5:G21">
    <cfRule type="expression" dxfId="88" priority="6">
      <formula>LEFT($F4,2)="KM"</formula>
    </cfRule>
  </conditionalFormatting>
  <conditionalFormatting sqref="F5:G21">
    <cfRule type="expression" dxfId="87" priority="5">
      <formula>LEFT($F5,2)="KM"</formula>
    </cfRule>
  </conditionalFormatting>
  <conditionalFormatting sqref="D2:D24">
    <cfRule type="expression" dxfId="86" priority="4">
      <formula>AND($D2="",$E2&lt;&gt;"")</formula>
    </cfRule>
  </conditionalFormatting>
  <conditionalFormatting sqref="E2:E24">
    <cfRule type="expression" dxfId="85" priority="3">
      <formula>AND($E2="",$D2&lt;&gt;"")</formula>
    </cfRule>
  </conditionalFormatting>
  <conditionalFormatting sqref="C2:C24">
    <cfRule type="expression" dxfId="8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5" sqref="I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9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164" t="s">
        <v>200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Bò viên phở TVP</v>
      </c>
      <c r="C2" s="91">
        <f>IFERROR(VLOOKUP($D2,'Tổng Đơn'!$A$5:$E$101,5,0),"")</f>
        <v>0.5</v>
      </c>
      <c r="D2" s="49">
        <v>53</v>
      </c>
      <c r="E2" s="49">
        <v>1</v>
      </c>
      <c r="F2" s="55">
        <f>IFERROR(VLOOKUP($D2,Sheet1!$A$3:$D$100,4,0),"")</f>
        <v>76000</v>
      </c>
      <c r="G2" s="56">
        <f>IFERROR($F2*$E2,"")</f>
        <v>76000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76000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76000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12" sqref="I1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9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164" t="s">
        <v>199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1">
        <f>IFERROR(VLOOKUP($D2,'Tổng Đơn'!$A$5:$E$101,5,0),"")</f>
        <v>0.5</v>
      </c>
      <c r="D2" s="49">
        <v>2</v>
      </c>
      <c r="E2" s="49">
        <v>4</v>
      </c>
      <c r="F2" s="55">
        <f>IFERROR(VLOOKUP($D2,Sheet1!$A$3:$D$100,4,0),"")</f>
        <v>25000</v>
      </c>
      <c r="G2" s="56">
        <f>IFERROR($F2*$E2,"")</f>
        <v>100000</v>
      </c>
      <c r="H2" s="95">
        <f>IFERROR(E2*C2,"")</f>
        <v>2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rau củ HM</v>
      </c>
      <c r="C3" s="92">
        <f>IFERROR(VLOOKUP($D3,'Tổng Đơn'!$A$5:$E$101,5,0),"")</f>
        <v>0.5</v>
      </c>
      <c r="D3" s="49">
        <v>3</v>
      </c>
      <c r="E3" s="49">
        <v>4</v>
      </c>
      <c r="F3" s="55">
        <f>IF(AND($A3="",$A2&lt;&gt;""),"Tổng Cộng",IFERROR(VLOOKUP($D3,Sheet1!$A$3:$D$100,4,0),""))</f>
        <v>28000</v>
      </c>
      <c r="G3" s="56">
        <f>IF($A2=MAX($A$2:$A$50),SUM($G$2:$G2),IFERROR($F3*$E3,""))</f>
        <v>112000</v>
      </c>
      <c r="H3" s="95">
        <f t="shared" ref="H3:H24" si="1">IFERROR(E3*C3,"")</f>
        <v>2</v>
      </c>
      <c r="K3" s="50">
        <f>IFERROR(VLOOKUP($D3,Sheet1!$A$3:$D$100,4,0),"")</f>
        <v>28000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Đức HS ĐNA</v>
      </c>
      <c r="C4" s="92">
        <f>IFERROR(VLOOKUP($D4,'Tổng Đơn'!$A$5:$E$101,5,0),"")</f>
        <v>0.5</v>
      </c>
      <c r="D4" s="49">
        <v>21</v>
      </c>
      <c r="E4" s="49">
        <v>4</v>
      </c>
      <c r="F4" s="55">
        <f>IF(AND($A4="",$A3&lt;&gt;""),"Tổng Cộng",IFERROR(VLOOKUP($D4,Sheet1!$A$3:$D$100,4,0),""))</f>
        <v>33000</v>
      </c>
      <c r="G4" s="56">
        <f>IF($A3=MAX($A$2:$A$50),SUM($G$2:$G3),IFERROR($F4*$E4,""))</f>
        <v>132000</v>
      </c>
      <c r="H4" s="95">
        <f t="shared" si="1"/>
        <v>2</v>
      </c>
      <c r="I4" s="52"/>
      <c r="K4" s="50">
        <f>IFERROR(VLOOKUP($D4,Sheet1!$A$3:$D$100,4,0),"")</f>
        <v>33000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Phô mai que (13 que)</v>
      </c>
      <c r="C5" s="92">
        <f>IFERROR(VLOOKUP($D5,'Tổng Đơn'!$A$5:$E$101,5,0),"")</f>
        <v>0.5</v>
      </c>
      <c r="D5" s="49">
        <v>16</v>
      </c>
      <c r="E5" s="49">
        <v>2</v>
      </c>
      <c r="F5" s="55">
        <f>IF(AND($A5="",$A4&lt;&gt;""),"Tổng Cộng",IFERROR(VLOOKUP($D5,Sheet1!$A$3:$D$100,4,0),""))</f>
        <v>40000</v>
      </c>
      <c r="G5" s="56">
        <f>IF($A4=MAX($A$2:$A$50),SUM($G$2:$G4),IFERROR($F5*$E5,""))</f>
        <v>80000</v>
      </c>
      <c r="H5" s="95">
        <f t="shared" si="1"/>
        <v>1</v>
      </c>
      <c r="K5" s="50">
        <f>IFERROR(VLOOKUP($D5,Sheet1!$A$3:$D$100,4,0),"")</f>
        <v>40000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XX Đỏ ĐNA (bao xanh)</v>
      </c>
      <c r="C6" s="92">
        <f>IFERROR(VLOOKUP($D6,'Tổng Đơn'!$A$5:$E$101,5,0),"")</f>
        <v>0.5</v>
      </c>
      <c r="D6" s="49">
        <v>20</v>
      </c>
      <c r="E6" s="49">
        <v>4</v>
      </c>
      <c r="F6" s="55">
        <f>IF(AND($A6="",$A5&lt;&gt;""),"Tổng Cộng",IFERROR(VLOOKUP($D6,Sheet1!$A$3:$D$100,4,0),""))</f>
        <v>26000</v>
      </c>
      <c r="G6" s="56">
        <f>IF($A5=MAX($A$2:$A$50),SUM($G$2:$G5),IFERROR($F6*$E6,""))</f>
        <v>104000</v>
      </c>
      <c r="H6" s="95">
        <f t="shared" si="1"/>
        <v>2</v>
      </c>
      <c r="I6" s="60"/>
      <c r="K6" s="50">
        <f>IFERROR(VLOOKUP($D6,Sheet1!$A$3:$D$100,4,0),"")</f>
        <v>26000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XX nhân Phô Mai</v>
      </c>
      <c r="C7" s="92">
        <f>IFERROR(VLOOKUP($D7,'Tổng Đơn'!$A$5:$E$101,5,0),"")</f>
        <v>0.5</v>
      </c>
      <c r="D7" s="49">
        <v>47</v>
      </c>
      <c r="E7" s="49">
        <v>4</v>
      </c>
      <c r="F7" s="55">
        <f>IF(AND($A7="",$A6&lt;&gt;""),"Tổng Cộng",IFERROR(VLOOKUP($D7,Sheet1!$A$3:$D$100,4,0),""))</f>
        <v>40000</v>
      </c>
      <c r="G7" s="56">
        <f>IF($A6=MAX($A$2:$A$50),SUM($G$2:$G6),IFERROR($F7*$E7,""))</f>
        <v>160000</v>
      </c>
      <c r="H7" s="95">
        <f t="shared" si="1"/>
        <v>2</v>
      </c>
      <c r="K7" s="50">
        <f>IFERROR(VLOOKUP($D7,Sheet1!$A$3:$D$100,4,0),"")</f>
        <v>40000</v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>Tổng Cộng</v>
      </c>
      <c r="G8" s="56">
        <f>IF($A7=MAX($A$2:$A$50),SUM($G$2:$G7),IFERROR($F8*$E8,""))</f>
        <v>688000</v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3" priority="6">
      <formula>$A2=MAX($A$2:$A$21)</formula>
    </cfRule>
  </conditionalFormatting>
  <conditionalFormatting sqref="F4:G4 G5:G21">
    <cfRule type="expression" dxfId="82" priority="5">
      <formula>LEFT($F4,2)="KM"</formula>
    </cfRule>
  </conditionalFormatting>
  <conditionalFormatting sqref="F5:G21">
    <cfRule type="expression" dxfId="81" priority="4">
      <formula>LEFT($F5,2)="KM"</formula>
    </cfRule>
  </conditionalFormatting>
  <conditionalFormatting sqref="D2:D24">
    <cfRule type="expression" dxfId="80" priority="3">
      <formula>AND($D2="",$E2&lt;&gt;"")</formula>
    </cfRule>
  </conditionalFormatting>
  <conditionalFormatting sqref="E2:E24">
    <cfRule type="expression" dxfId="79" priority="2">
      <formula>AND($E2="",$D2&lt;&gt;"")</formula>
    </cfRule>
  </conditionalFormatting>
  <conditionalFormatting sqref="C2:C24">
    <cfRule type="expression" dxfId="7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1">
        <f>IFERROR(VLOOKUP($D2,'Tổng Đơn'!$A$5:$E$101,5,0),"")</f>
        <v>0.5</v>
      </c>
      <c r="D2" s="49">
        <v>2</v>
      </c>
      <c r="E2" s="49">
        <v>1</v>
      </c>
      <c r="F2" s="55">
        <f>IFERROR(VLOOKUP($D2,Sheet1!$A$3:$D$100,4,0),"")</f>
        <v>25000</v>
      </c>
      <c r="G2" s="56">
        <f>IFERROR($F2*$E2,"")</f>
        <v>25000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25000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25000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7" priority="6">
      <formula>$A2=MAX($A$2:$A$21)</formula>
    </cfRule>
  </conditionalFormatting>
  <conditionalFormatting sqref="F4:G4 G5:G21">
    <cfRule type="expression" dxfId="76" priority="5">
      <formula>LEFT($F4,2)="KM"</formula>
    </cfRule>
  </conditionalFormatting>
  <conditionalFormatting sqref="F5:G21">
    <cfRule type="expression" dxfId="75" priority="4">
      <formula>LEFT($F5,2)="KM"</formula>
    </cfRule>
  </conditionalFormatting>
  <conditionalFormatting sqref="D2:D24">
    <cfRule type="expression" dxfId="74" priority="3">
      <formula>AND($D2="",$E2&lt;&gt;"")</formula>
    </cfRule>
  </conditionalFormatting>
  <conditionalFormatting sqref="E2:E24">
    <cfRule type="expression" dxfId="73" priority="2">
      <formula>AND($E2="",$D2&lt;&gt;"")</formula>
    </cfRule>
  </conditionalFormatting>
  <conditionalFormatting sqref="C2:C24">
    <cfRule type="expression" dxfId="7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1">
        <f>IFERROR(VLOOKUP($D2,'Tổng Đơn'!$A$5:$E$101,5,0),"")</f>
        <v>0.5</v>
      </c>
      <c r="D2" s="49">
        <v>2</v>
      </c>
      <c r="E2" s="49">
        <v>2</v>
      </c>
      <c r="F2" s="55">
        <f>IFERROR(VLOOKUP($D2,Sheet1!$A$3:$D$100,4,0),"")</f>
        <v>25000</v>
      </c>
      <c r="G2" s="56">
        <f>IFERROR($F2*$E2,"")</f>
        <v>50000</v>
      </c>
      <c r="H2" s="95">
        <f>IFERROR(E2*C2,"")</f>
        <v>1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Hồ lô HM</v>
      </c>
      <c r="C3" s="92">
        <f>IFERROR(VLOOKUP($D3,'Tổng Đơn'!$A$5:$E$101,5,0),"")</f>
        <v>0.5</v>
      </c>
      <c r="D3" s="49">
        <v>57</v>
      </c>
      <c r="E3" s="49">
        <v>1</v>
      </c>
      <c r="F3" s="55">
        <f>IF(AND($A3="",$A2&lt;&gt;""),"Tổng Cộng",IFERROR(VLOOKUP($D3,Sheet1!$A$3:$D$100,4,0),""))</f>
        <v>42000</v>
      </c>
      <c r="G3" s="56">
        <f>IF($A2=MAX($A$2:$A$50),SUM($G$2:$G2),IFERROR($F3*$E3,""))</f>
        <v>42000</v>
      </c>
      <c r="H3" s="95">
        <f t="shared" ref="H3:H24" si="1">IFERROR(E3*C3,"")</f>
        <v>0.5</v>
      </c>
      <c r="K3" s="50">
        <f>IFERROR(VLOOKUP($D3,Sheet1!$A$3:$D$100,4,0),"")</f>
        <v>42000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Đức HS ĐNA</v>
      </c>
      <c r="C4" s="92">
        <f>IFERROR(VLOOKUP($D4,'Tổng Đơn'!$A$5:$E$101,5,0),"")</f>
        <v>0.5</v>
      </c>
      <c r="D4" s="49">
        <v>21</v>
      </c>
      <c r="E4" s="49">
        <v>1</v>
      </c>
      <c r="F4" s="55">
        <f>IF(AND($A4="",$A3&lt;&gt;""),"Tổng Cộng",IFERROR(VLOOKUP($D4,Sheet1!$A$3:$D$100,4,0),""))</f>
        <v>33000</v>
      </c>
      <c r="G4" s="56">
        <f>IF($A3=MAX($A$2:$A$50),SUM($G$2:$G3),IFERROR($F4*$E4,""))</f>
        <v>33000</v>
      </c>
      <c r="H4" s="95">
        <f t="shared" si="1"/>
        <v>0.5</v>
      </c>
      <c r="I4" s="52"/>
      <c r="K4" s="50">
        <f>IFERROR(VLOOKUP($D4,Sheet1!$A$3:$D$100,4,0),"")</f>
        <v>33000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XX Đỏ ĐNA (bao xanh)</v>
      </c>
      <c r="C5" s="92">
        <f>IFERROR(VLOOKUP($D5,'Tổng Đơn'!$A$5:$E$101,5,0),"")</f>
        <v>0.5</v>
      </c>
      <c r="D5" s="49">
        <v>20</v>
      </c>
      <c r="E5" s="49">
        <v>1</v>
      </c>
      <c r="F5" s="55">
        <f>IF(AND($A5="",$A4&lt;&gt;""),"Tổng Cộng",IFERROR(VLOOKUP($D5,Sheet1!$A$3:$D$100,4,0),""))</f>
        <v>26000</v>
      </c>
      <c r="G5" s="56">
        <f>IF($A4=MAX($A$2:$A$50),SUM($G$2:$G4),IFERROR($F5*$E5,""))</f>
        <v>26000</v>
      </c>
      <c r="H5" s="95">
        <f t="shared" si="1"/>
        <v>0.5</v>
      </c>
      <c r="K5" s="50">
        <f>IFERROR(VLOOKUP($D5,Sheet1!$A$3:$D$100,4,0),"")</f>
        <v>26000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Phô mai que (13 que)</v>
      </c>
      <c r="C6" s="92">
        <f>IFERROR(VLOOKUP($D6,'Tổng Đơn'!$A$5:$E$101,5,0),"")</f>
        <v>0.5</v>
      </c>
      <c r="D6" s="49">
        <v>16</v>
      </c>
      <c r="E6" s="49">
        <v>1</v>
      </c>
      <c r="F6" s="55">
        <f>IF(AND($A6="",$A5&lt;&gt;""),"Tổng Cộng",IFERROR(VLOOKUP($D6,Sheet1!$A$3:$D$100,4,0),""))</f>
        <v>40000</v>
      </c>
      <c r="G6" s="56">
        <f>IF($A5=MAX($A$2:$A$50),SUM($G$2:$G5),IFERROR($F6*$E6,""))</f>
        <v>40000</v>
      </c>
      <c r="H6" s="95">
        <f t="shared" si="1"/>
        <v>0.5</v>
      </c>
      <c r="I6" s="60"/>
      <c r="K6" s="50">
        <f>IFERROR(VLOOKUP($D6,Sheet1!$A$3:$D$100,4,0),"")</f>
        <v>40000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Bò viên TVP</v>
      </c>
      <c r="C7" s="92">
        <f>IFERROR(VLOOKUP($D7,'Tổng Đơn'!$A$5:$E$101,5,0),"")</f>
        <v>0.5</v>
      </c>
      <c r="D7" s="49">
        <v>34</v>
      </c>
      <c r="E7" s="49">
        <v>1</v>
      </c>
      <c r="F7" s="55">
        <f>IF(AND($A7="",$A6&lt;&gt;""),"Tổng Cộng",IFERROR(VLOOKUP($D7,Sheet1!$A$3:$D$100,4,0),""))</f>
        <v>34500</v>
      </c>
      <c r="G7" s="56">
        <f>IF($A6=MAX($A$2:$A$50),SUM($G$2:$G6),IFERROR($F7*$E7,""))</f>
        <v>34500</v>
      </c>
      <c r="H7" s="95">
        <f t="shared" si="1"/>
        <v>0.5</v>
      </c>
      <c r="K7" s="50">
        <f>IFERROR(VLOOKUP($D7,Sheet1!$A$3:$D$100,4,0),"")</f>
        <v>34500</v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>Tổng Cộng</v>
      </c>
      <c r="G8" s="56">
        <f>IF($A7=MAX($A$2:$A$50),SUM($G$2:$G7),IFERROR($F8*$E8,""))</f>
        <v>225500</v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6">
      <formula>$A2=MAX($A$2:$A$21)</formula>
    </cfRule>
  </conditionalFormatting>
  <conditionalFormatting sqref="F4:G4 G5:G21">
    <cfRule type="expression" dxfId="70" priority="5">
      <formula>LEFT($F4,2)="KM"</formula>
    </cfRule>
  </conditionalFormatting>
  <conditionalFormatting sqref="F5:G21">
    <cfRule type="expression" dxfId="69" priority="4">
      <formula>LEFT($F5,2)="KM"</formula>
    </cfRule>
  </conditionalFormatting>
  <conditionalFormatting sqref="D2:D24">
    <cfRule type="expression" dxfId="68" priority="3">
      <formula>AND($D2="",$E2&lt;&gt;"")</formula>
    </cfRule>
  </conditionalFormatting>
  <conditionalFormatting sqref="E2:E24">
    <cfRule type="expression" dxfId="67" priority="2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188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nhân Phô Mai</v>
      </c>
      <c r="C2" s="91">
        <f>IFERROR(VLOOKUP($D2,'Tổng Đơn'!$A$5:$E$101,5,0),"")</f>
        <v>0.5</v>
      </c>
      <c r="D2" s="49">
        <v>47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40000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40000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G10" sqref="G10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196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1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2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5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 xml:space="preserve">XX Hotdog DNA </v>
      </c>
      <c r="C4" s="92">
        <f>IFERROR(VLOOKUP($D4,'Tổng Đơn'!$A$5:$E$101,5,0),"")</f>
        <v>0.5</v>
      </c>
      <c r="D4" s="49">
        <v>22</v>
      </c>
      <c r="E4" s="49">
        <v>1</v>
      </c>
      <c r="F4" s="55">
        <f>IF(AND($A4="",$A3&lt;&gt;""),"Tổng Cộng",IFERROR(VLOOKUP($D4,Sheet1!$A$3:$D$100,4,0),""))</f>
        <v>34000</v>
      </c>
      <c r="G4" s="56">
        <f>IF($A3=MAX($A$2:$A$50),SUM($G$2:$G3),IFERROR($F4*$E4,""))</f>
        <v>34000</v>
      </c>
      <c r="H4" s="95">
        <f t="shared" si="1"/>
        <v>0.5</v>
      </c>
      <c r="I4" s="52"/>
      <c r="K4" s="50">
        <f>IFERROR(VLOOKUP($D4,Sheet1!$A$3:$D$100,4,0),"")</f>
        <v>34000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119000</v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11" sqref="I1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195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1">
        <f>IFERROR(VLOOKUP($D2,'Tổng Đơn'!$A$5:$E$101,5,0),"")</f>
        <v>0.5</v>
      </c>
      <c r="D2" s="49">
        <v>16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40000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2">
        <f>IFERROR(VLOOKUP($D3,'Tổng Đơn'!$A$5:$E$101,5,0),"")</f>
        <v>0.5</v>
      </c>
      <c r="D3" s="49">
        <v>17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5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Cá viên rau củ HM</v>
      </c>
      <c r="C4" s="92">
        <f>IFERROR(VLOOKUP($D4,'Tổng Đơn'!$A$5:$E$101,5,0),"")</f>
        <v>0.5</v>
      </c>
      <c r="D4" s="49">
        <v>3</v>
      </c>
      <c r="E4" s="49">
        <v>1</v>
      </c>
      <c r="F4" s="55">
        <f>IF(AND($A4="",$A3&lt;&gt;""),"Tổng Cộng",IFERROR(VLOOKUP($D4,Sheet1!$A$3:$D$100,4,0),""))</f>
        <v>28000</v>
      </c>
      <c r="G4" s="56">
        <f>IF($A3=MAX($A$2:$A$50),SUM($G$2:$G3),IFERROR($F4*$E4,""))</f>
        <v>28000</v>
      </c>
      <c r="H4" s="95">
        <f t="shared" si="1"/>
        <v>0.5</v>
      </c>
      <c r="I4" s="52"/>
      <c r="K4" s="50">
        <f>IFERROR(VLOOKUP($D4,Sheet1!$A$3:$D$100,4,0),"")</f>
        <v>28000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Thanh cua LC</v>
      </c>
      <c r="C5" s="92">
        <f>IFERROR(VLOOKUP($D5,'Tổng Đơn'!$A$5:$E$101,5,0),"")</f>
        <v>0.25</v>
      </c>
      <c r="D5" s="49">
        <v>7</v>
      </c>
      <c r="E5" s="49">
        <v>1</v>
      </c>
      <c r="F5" s="55">
        <f>IF(AND($A5="",$A4&lt;&gt;""),"Tổng Cộng",IFERROR(VLOOKUP($D5,Sheet1!$A$3:$D$100,4,0),""))</f>
        <v>34000</v>
      </c>
      <c r="G5" s="56">
        <f>IF($A4=MAX($A$2:$A$50),SUM($G$2:$G4),IFERROR($F5*$E5,""))</f>
        <v>34000</v>
      </c>
      <c r="H5" s="95">
        <f t="shared" si="1"/>
        <v>0.25</v>
      </c>
      <c r="K5" s="50">
        <f>IFERROR(VLOOKUP($D5,Sheet1!$A$3:$D$100,4,0),"")</f>
        <v>34000</v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>Tổng Cộng</v>
      </c>
      <c r="G6" s="56">
        <f>IF($A5=MAX($A$2:$A$50),SUM($G$2:$G5),IFERROR($F6*$E6,""))</f>
        <v>142000</v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3" sqref="H1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Giò lụa Bò</v>
      </c>
      <c r="C2" s="91">
        <f>IFERROR(VLOOKUP($D2,'Tổng Đơn'!$A$5:$E$101,5,0),"")</f>
        <v>0.5</v>
      </c>
      <c r="D2" s="49">
        <v>44</v>
      </c>
      <c r="E2" s="49">
        <v>1</v>
      </c>
      <c r="F2" s="55">
        <f>IFERROR(VLOOKUP($D2,Sheet1!$A$3:$D$100,4,0),"")</f>
        <v>65000</v>
      </c>
      <c r="G2" s="56">
        <f>IFERROR($F2*$E2,"")</f>
        <v>65000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65000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Chả lụa bì Ớt xiêm xanh</v>
      </c>
      <c r="C3" s="92">
        <f>IFERROR(VLOOKUP($D3,'Tổng Đơn'!$A$5:$E$101,5,0),"")</f>
        <v>0.5</v>
      </c>
      <c r="D3" s="49">
        <v>52</v>
      </c>
      <c r="E3" s="49">
        <v>1</v>
      </c>
      <c r="F3" s="55">
        <f>IF(AND($A3="",$A2&lt;&gt;""),"Tổng Cộng",IFERROR(VLOOKUP($D3,Sheet1!$A$3:$D$100,4,0),""))</f>
        <v>69000</v>
      </c>
      <c r="G3" s="56">
        <f>IF($A2=MAX($A$2:$A$50),SUM($G$2:$G2),IFERROR($F3*$E3,""))</f>
        <v>69000</v>
      </c>
      <c r="H3" s="95">
        <f t="shared" ref="H3:H24" si="1">IFERROR(E3*C3,"")</f>
        <v>0.5</v>
      </c>
      <c r="K3" s="50">
        <f>IFERROR(VLOOKUP($D3,Sheet1!$A$3:$D$100,4,0),"")</f>
        <v>69000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Yummy LC</v>
      </c>
      <c r="C4" s="92">
        <f>IFERROR(VLOOKUP($D4,'Tổng Đơn'!$A$5:$E$101,5,0),"")</f>
        <v>0.5</v>
      </c>
      <c r="D4" s="49">
        <v>24</v>
      </c>
      <c r="E4" s="49">
        <v>1</v>
      </c>
      <c r="F4" s="55">
        <f>IF(AND($A4="",$A3&lt;&gt;""),"Tổng Cộng",IFERROR(VLOOKUP($D4,Sheet1!$A$3:$D$100,4,0),""))</f>
        <v>38000</v>
      </c>
      <c r="G4" s="56">
        <f>IF($A3=MAX($A$2:$A$50),SUM($G$2:$G3),IFERROR($F4*$E4,""))</f>
        <v>38000</v>
      </c>
      <c r="H4" s="95">
        <f t="shared" si="1"/>
        <v>0.5</v>
      </c>
      <c r="I4" s="52"/>
      <c r="K4" s="50">
        <f>IFERROR(VLOOKUP($D4,Sheet1!$A$3:$D$100,4,0),"")</f>
        <v>38000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172000</v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193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rau củ TVP</v>
      </c>
      <c r="C2" s="91">
        <f>IFERROR(VLOOKUP($D2,'Tổng Đơn'!$A$5:$E$101,5,0),"")</f>
        <v>0.5</v>
      </c>
      <c r="D2" s="49">
        <v>31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32000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32000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192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Bò viên phở TVP</v>
      </c>
      <c r="C2" s="91">
        <f>IFERROR(VLOOKUP($D2,'Tổng Đơn'!$A$5:$E$101,5,0),"")</f>
        <v>0.5</v>
      </c>
      <c r="D2" s="49">
        <v>53</v>
      </c>
      <c r="E2" s="49">
        <v>1</v>
      </c>
      <c r="F2" s="55">
        <f>IFERROR(VLOOKUP($D2,Sheet1!$A$3:$D$100,4,0),"")</f>
        <v>76000</v>
      </c>
      <c r="G2" s="56">
        <f>IFERROR($F2*$E2,"")</f>
        <v>76000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76000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76000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191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1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69000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Giò lụa lá</v>
      </c>
      <c r="C3" s="92">
        <f>IFERROR(VLOOKUP($D3,'Tổng Đơn'!$A$5:$E$101,5,0),"")</f>
        <v>0.5</v>
      </c>
      <c r="D3" s="49">
        <v>45</v>
      </c>
      <c r="E3" s="49">
        <v>1</v>
      </c>
      <c r="F3" s="55">
        <f>IF(AND($A3="",$A2&lt;&gt;""),"Tổng Cộng",IFERROR(VLOOKUP($D3,Sheet1!$A$3:$D$100,4,0),""))</f>
        <v>54000</v>
      </c>
      <c r="G3" s="56">
        <f>IF($A2=MAX($A$2:$A$50),SUM($G$2:$G2),IFERROR($F3*$E3,""))</f>
        <v>54000</v>
      </c>
      <c r="H3" s="95">
        <f t="shared" ref="H3:H24" si="1">IFERROR(E3*C3,"")</f>
        <v>0.5</v>
      </c>
      <c r="K3" s="50">
        <f>IFERROR(VLOOKUP($D3,Sheet1!$A$3:$D$100,4,0),"")</f>
        <v>54000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Jambon Đỏ</v>
      </c>
      <c r="C4" s="92">
        <f>IFERROR(VLOOKUP($D4,'Tổng Đơn'!$A$5:$E$101,5,0),"")</f>
        <v>0.5</v>
      </c>
      <c r="D4" s="49">
        <v>41</v>
      </c>
      <c r="E4" s="49">
        <v>1</v>
      </c>
      <c r="F4" s="55">
        <f>IF(AND($A4="",$A3&lt;&gt;""),"Tổng Cộng",IFERROR(VLOOKUP($D4,Sheet1!$A$3:$D$100,4,0),""))</f>
        <v>66000</v>
      </c>
      <c r="G4" s="56">
        <f>IF($A3=MAX($A$2:$A$50),SUM($G$2:$G3),IFERROR($F4*$E4,""))</f>
        <v>66000</v>
      </c>
      <c r="H4" s="95">
        <f t="shared" si="1"/>
        <v>0.5</v>
      </c>
      <c r="I4" s="52"/>
      <c r="K4" s="50">
        <f>IFERROR(VLOOKUP($D4,Sheet1!$A$3:$D$100,4,0),"")</f>
        <v>66000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Hải sản sốt cam LC</v>
      </c>
      <c r="C5" s="92">
        <f>IFERROR(VLOOKUP($D5,'Tổng Đơn'!$A$5:$E$101,5,0),"")</f>
        <v>0.5</v>
      </c>
      <c r="D5" s="49">
        <v>9</v>
      </c>
      <c r="E5" s="49">
        <v>1</v>
      </c>
      <c r="F5" s="55">
        <f>IF(AND($A5="",$A4&lt;&gt;""),"Tổng Cộng",IFERROR(VLOOKUP($D5,Sheet1!$A$3:$D$100,4,0),""))</f>
        <v>45000</v>
      </c>
      <c r="G5" s="56">
        <f>IF($A4=MAX($A$2:$A$50),SUM($G$2:$G4),IFERROR($F5*$E5,""))</f>
        <v>45000</v>
      </c>
      <c r="H5" s="95">
        <f t="shared" si="1"/>
        <v>0.5</v>
      </c>
      <c r="K5" s="50">
        <f>IFERROR(VLOOKUP($D5,Sheet1!$A$3:$D$100,4,0),"")</f>
        <v>45000</v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>Tổng Cộng</v>
      </c>
      <c r="G6" s="56">
        <f>IF($A5=MAX($A$2:$A$50),SUM($G$2:$G5),IFERROR($F6*$E6,""))</f>
        <v>234000</v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2" sqref="H1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190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1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69000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Chả tôm hình Surimi LC</v>
      </c>
      <c r="C3" s="92">
        <f>IFERROR(VLOOKUP($D3,'Tổng Đơn'!$A$5:$E$101,5,0),"")</f>
        <v>0.5</v>
      </c>
      <c r="D3" s="49">
        <v>5</v>
      </c>
      <c r="E3" s="49">
        <v>1</v>
      </c>
      <c r="F3" s="55">
        <f>IF(AND($A3="",$A2&lt;&gt;""),"Tổng Cộng",IFERROR(VLOOKUP($D3,Sheet1!$A$3:$D$100,4,0),""))</f>
        <v>38000</v>
      </c>
      <c r="G3" s="56">
        <f>IF($A2=MAX($A$2:$A$50),SUM($G$2:$G2),IFERROR($F3*$E3,""))</f>
        <v>38000</v>
      </c>
      <c r="H3" s="95">
        <f t="shared" ref="H3:H24" si="1">IFERROR(E3*C3,"")</f>
        <v>0.5</v>
      </c>
      <c r="K3" s="50">
        <f>IFERROR(VLOOKUP($D3,Sheet1!$A$3:$D$100,4,0),"")</f>
        <v>38000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Đậu hủ phô mai EB</v>
      </c>
      <c r="C4" s="92">
        <f>IFERROR(VLOOKUP($D4,'Tổng Đơn'!$A$5:$E$101,5,0),"")</f>
        <v>0.5</v>
      </c>
      <c r="D4" s="49">
        <v>56</v>
      </c>
      <c r="E4" s="49">
        <v>1</v>
      </c>
      <c r="F4" s="55">
        <f>IF(AND($A4="",$A3&lt;&gt;""),"Tổng Cộng",IFERROR(VLOOKUP($D4,Sheet1!$A$3:$D$100,4,0),""))</f>
        <v>80000</v>
      </c>
      <c r="G4" s="56">
        <f>IF($A3=MAX($A$2:$A$50),SUM($G$2:$G3),IFERROR($F4*$E4,""))</f>
        <v>80000</v>
      </c>
      <c r="H4" s="95">
        <f t="shared" si="1"/>
        <v>0.5</v>
      </c>
      <c r="I4" s="52"/>
      <c r="K4" s="50">
        <f>IFERROR(VLOOKUP($D4,Sheet1!$A$3:$D$100,4,0),"")</f>
        <v>80000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Bò viên phở TVP</v>
      </c>
      <c r="C5" s="92">
        <f>IFERROR(VLOOKUP($D5,'Tổng Đơn'!$A$5:$E$101,5,0),"")</f>
        <v>0.5</v>
      </c>
      <c r="D5" s="49">
        <v>53</v>
      </c>
      <c r="E5" s="49">
        <v>1</v>
      </c>
      <c r="F5" s="55">
        <f>IF(AND($A5="",$A4&lt;&gt;""),"Tổng Cộng",IFERROR(VLOOKUP($D5,Sheet1!$A$3:$D$100,4,0),""))</f>
        <v>76000</v>
      </c>
      <c r="G5" s="56">
        <f>IF($A4=MAX($A$2:$A$50),SUM($G$2:$G4),IFERROR($F5*$E5,""))</f>
        <v>76000</v>
      </c>
      <c r="H5" s="95">
        <f t="shared" si="1"/>
        <v>0.5</v>
      </c>
      <c r="K5" s="50">
        <f>IFERROR(VLOOKUP($D5,Sheet1!$A$3:$D$100,4,0),"")</f>
        <v>76000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Chả giò Rế tôm mực LC</v>
      </c>
      <c r="C6" s="92">
        <f>IFERROR(VLOOKUP($D6,'Tổng Đơn'!$A$5:$E$101,5,0),"")</f>
        <v>0.5</v>
      </c>
      <c r="D6" s="49">
        <v>26</v>
      </c>
      <c r="E6" s="49">
        <v>1</v>
      </c>
      <c r="F6" s="55">
        <f>IF(AND($A6="",$A5&lt;&gt;""),"Tổng Cộng",IFERROR(VLOOKUP($D6,Sheet1!$A$3:$D$100,4,0),""))</f>
        <v>45000</v>
      </c>
      <c r="G6" s="56">
        <f>IF($A5=MAX($A$2:$A$50),SUM($G$2:$G5),IFERROR($F6*$E6,""))</f>
        <v>45000</v>
      </c>
      <c r="H6" s="95">
        <f t="shared" si="1"/>
        <v>0.5</v>
      </c>
      <c r="I6" s="60"/>
      <c r="K6" s="50">
        <f>IFERROR(VLOOKUP($D6,Sheet1!$A$3:$D$100,4,0),"")</f>
        <v>45000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308000</v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M5" sqref="M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189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Đức HS ĐNA</v>
      </c>
      <c r="C2" s="91">
        <f>IFERROR(VLOOKUP($D2,'Tổng Đơn'!$A$5:$E$101,5,0),"")</f>
        <v>0.5</v>
      </c>
      <c r="D2" s="49">
        <v>21</v>
      </c>
      <c r="E2" s="49">
        <v>4</v>
      </c>
      <c r="F2" s="55">
        <f>IFERROR(VLOOKUP($D2,Sheet1!$A$3:$D$100,4,0),"")</f>
        <v>33000</v>
      </c>
      <c r="G2" s="56">
        <f>IFERROR($F2*$E2,"")</f>
        <v>132000</v>
      </c>
      <c r="H2" s="95">
        <f>IFERROR(E2*C2,"")</f>
        <v>2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33000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HM</v>
      </c>
      <c r="C3" s="92">
        <f>IFERROR(VLOOKUP($D3,'Tổng Đơn'!$A$5:$E$101,5,0),"")</f>
        <v>0.5</v>
      </c>
      <c r="D3" s="49">
        <v>2</v>
      </c>
      <c r="E3" s="49">
        <v>4</v>
      </c>
      <c r="F3" s="55">
        <f>IF(AND($A3="",$A2&lt;&gt;""),"Tổng Cộng",IFERROR(VLOOKUP($D3,Sheet1!$A$3:$D$100,4,0),""))</f>
        <v>25000</v>
      </c>
      <c r="G3" s="56">
        <f>IF($A2=MAX($A$2:$A$50),SUM($G$2:$G2),IFERROR($F3*$E3,""))</f>
        <v>100000</v>
      </c>
      <c r="H3" s="95">
        <f t="shared" ref="H3:H24" si="1">IFERROR(E3*C3,"")</f>
        <v>2</v>
      </c>
      <c r="K3" s="50">
        <f>IFERROR(VLOOKUP($D3,Sheet1!$A$3:$D$100,4,0),"")</f>
        <v>25000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Phô mai</v>
      </c>
      <c r="C4" s="92">
        <f>IFERROR(VLOOKUP($D4,'Tổng Đơn'!$A$5:$E$101,5,0),"")</f>
        <v>0.5</v>
      </c>
      <c r="D4" s="49">
        <v>23</v>
      </c>
      <c r="E4" s="49">
        <v>1</v>
      </c>
      <c r="F4" s="55">
        <f>IF(AND($A4="",$A3&lt;&gt;""),"Tổng Cộng",IFERROR(VLOOKUP($D4,Sheet1!$A$3:$D$100,4,0),""))</f>
        <v>69000</v>
      </c>
      <c r="G4" s="56">
        <f>IF($A3=MAX($A$2:$A$50),SUM($G$2:$G3),IFERROR($F4*$E4,""))</f>
        <v>69000</v>
      </c>
      <c r="H4" s="95">
        <f t="shared" si="1"/>
        <v>0.5</v>
      </c>
      <c r="I4" s="52"/>
      <c r="K4" s="50">
        <f>IFERROR(VLOOKUP($D4,Sheet1!$A$3:$D$100,4,0),"")</f>
        <v>69000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301000</v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3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0" t="s">
        <v>55</v>
      </c>
      <c r="D1" s="94" t="s">
        <v>118</v>
      </c>
      <c r="E1" s="94" t="s">
        <v>16</v>
      </c>
      <c r="F1" s="48" t="s">
        <v>18</v>
      </c>
      <c r="G1" s="48" t="s">
        <v>19</v>
      </c>
      <c r="H1" s="97" t="s">
        <v>188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Đức HS ĐNA</v>
      </c>
      <c r="C2" s="91">
        <f>IFERROR(VLOOKUP($D2,'Tổng Đơn'!$A$5:$E$101,5,0),"")</f>
        <v>0.5</v>
      </c>
      <c r="D2" s="49">
        <v>21</v>
      </c>
      <c r="E2" s="49">
        <v>1</v>
      </c>
      <c r="F2" s="55">
        <f>IFERROR(VLOOKUP($D2,Sheet1!$A$3:$D$100,4,0),"")</f>
        <v>33000</v>
      </c>
      <c r="G2" s="56">
        <f>IFERROR($F2*$E2,"")</f>
        <v>33000</v>
      </c>
      <c r="H2" s="95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33000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2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33000</v>
      </c>
      <c r="H3" s="95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2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5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2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5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2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5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2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5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2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5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2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5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2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5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2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5" t="str">
        <f t="shared" si="1"/>
        <v/>
      </c>
      <c r="K11" s="50" t="str">
        <f>IFERROR(VLOOKUP($D11,Sheet1!$A$3:$D$100,4,0),"")</f>
        <v/>
      </c>
      <c r="M11" s="125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2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5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2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5" t="str">
        <f t="shared" si="1"/>
        <v/>
      </c>
      <c r="I13" s="163"/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2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5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2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5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2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5" t="str">
        <f t="shared" si="1"/>
        <v/>
      </c>
      <c r="K16" s="50" t="str">
        <f>IFERROR(VLOOKUP($D16,Sheet1!$A$3:$D$100,4,0),"")</f>
        <v/>
      </c>
    </row>
    <row r="17" spans="1:12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2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5" t="str">
        <f t="shared" si="1"/>
        <v/>
      </c>
      <c r="K17" s="50" t="str">
        <f>IFERROR(VLOOKUP($D17,Sheet1!$A$3:$D$100,4,0),"")</f>
        <v/>
      </c>
    </row>
    <row r="18" spans="1:12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2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5" t="str">
        <f t="shared" si="1"/>
        <v/>
      </c>
      <c r="K18" s="50" t="str">
        <f>IFERROR(VLOOKUP($D18,Sheet1!$A$3:$D$100,4,0),"")</f>
        <v/>
      </c>
    </row>
    <row r="19" spans="1:12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2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5" t="str">
        <f t="shared" si="1"/>
        <v/>
      </c>
      <c r="K19" s="50" t="str">
        <f>IFERROR(VLOOKUP($D19,Sheet1!$A$3:$D$100,4,0),"")</f>
        <v/>
      </c>
      <c r="L19" s="125"/>
    </row>
    <row r="20" spans="1:12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2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5" t="str">
        <f t="shared" si="1"/>
        <v/>
      </c>
      <c r="K20" s="50" t="str">
        <f>IFERROR(VLOOKUP($D20,Sheet1!$A$3:$D$100,4,0),"")</f>
        <v/>
      </c>
    </row>
    <row r="21" spans="1:12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2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5" t="str">
        <f t="shared" si="1"/>
        <v/>
      </c>
    </row>
    <row r="22" spans="1:12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2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5" t="str">
        <f t="shared" si="1"/>
        <v/>
      </c>
    </row>
    <row r="23" spans="1:12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2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5" t="str">
        <f t="shared" si="1"/>
        <v/>
      </c>
    </row>
    <row r="24" spans="1:12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2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5" t="str">
        <f t="shared" si="1"/>
        <v/>
      </c>
    </row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119</v>
      </c>
      <c r="E1" s="58" t="s">
        <v>123</v>
      </c>
      <c r="F1" s="77" t="s">
        <v>120</v>
      </c>
      <c r="G1" s="77" t="s">
        <v>124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25</v>
      </c>
      <c r="C3" s="15" t="s">
        <v>108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109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110</v>
      </c>
      <c r="E5" s="66"/>
      <c r="F5" s="76"/>
      <c r="G5" s="78"/>
    </row>
    <row r="6" spans="1:11" x14ac:dyDescent="0.25">
      <c r="A6" s="59">
        <v>5</v>
      </c>
      <c r="B6" s="59" t="s">
        <v>30</v>
      </c>
      <c r="C6" s="15" t="s">
        <v>112</v>
      </c>
      <c r="E6" s="66"/>
      <c r="F6" s="76"/>
      <c r="G6" s="78"/>
    </row>
    <row r="7" spans="1:11" x14ac:dyDescent="0.25">
      <c r="A7" s="59">
        <v>7</v>
      </c>
      <c r="B7" s="59" t="s">
        <v>26</v>
      </c>
      <c r="C7" s="15" t="s">
        <v>114</v>
      </c>
      <c r="E7" s="66"/>
      <c r="F7" s="76"/>
      <c r="G7" s="78"/>
    </row>
    <row r="8" spans="1:11" x14ac:dyDescent="0.25">
      <c r="A8" s="59">
        <v>8</v>
      </c>
      <c r="B8" s="59" t="s">
        <v>61</v>
      </c>
      <c r="C8" s="15" t="s">
        <v>115</v>
      </c>
      <c r="E8" s="66"/>
      <c r="F8" s="76"/>
      <c r="G8" s="78"/>
    </row>
    <row r="9" spans="1:11" x14ac:dyDescent="0.25">
      <c r="A9" s="59">
        <v>9</v>
      </c>
      <c r="B9" s="59" t="s">
        <v>31</v>
      </c>
      <c r="C9" s="15" t="s">
        <v>116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69</v>
      </c>
      <c r="E10" s="66"/>
      <c r="F10" s="76"/>
      <c r="G10" s="78"/>
    </row>
    <row r="11" spans="1:11" x14ac:dyDescent="0.25">
      <c r="A11" s="59">
        <v>11</v>
      </c>
      <c r="B11" s="59" t="s">
        <v>58</v>
      </c>
      <c r="C11" s="15" t="s">
        <v>70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75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76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77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78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79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80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81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82</v>
      </c>
      <c r="E19" s="66"/>
      <c r="F19" s="76"/>
      <c r="G19" s="78"/>
    </row>
    <row r="20" spans="1:7" x14ac:dyDescent="0.25">
      <c r="A20" s="59">
        <v>24</v>
      </c>
      <c r="B20" s="59" t="s">
        <v>27</v>
      </c>
      <c r="C20" s="15" t="s">
        <v>83</v>
      </c>
      <c r="E20" s="66"/>
      <c r="F20" s="76"/>
      <c r="G20" s="78"/>
    </row>
    <row r="21" spans="1:7" x14ac:dyDescent="0.25">
      <c r="A21" s="59">
        <v>26</v>
      </c>
      <c r="B21" s="59" t="s">
        <v>29</v>
      </c>
      <c r="C21" s="15" t="s">
        <v>85</v>
      </c>
      <c r="E21" s="66"/>
      <c r="F21" s="76"/>
      <c r="G21" s="78"/>
    </row>
    <row r="22" spans="1:7" x14ac:dyDescent="0.25">
      <c r="A22" s="59">
        <v>29</v>
      </c>
      <c r="B22" s="59" t="s">
        <v>38</v>
      </c>
      <c r="C22" s="15" t="s">
        <v>88</v>
      </c>
      <c r="E22" s="66"/>
      <c r="F22" s="76"/>
      <c r="G22" s="78"/>
    </row>
    <row r="23" spans="1:7" x14ac:dyDescent="0.25">
      <c r="A23" s="59">
        <v>30</v>
      </c>
      <c r="B23" s="59" t="s">
        <v>39</v>
      </c>
      <c r="C23" s="15" t="s">
        <v>89</v>
      </c>
      <c r="E23" s="66"/>
      <c r="F23" s="76"/>
      <c r="G23" s="78"/>
    </row>
    <row r="24" spans="1:7" x14ac:dyDescent="0.25">
      <c r="A24" s="59">
        <v>31</v>
      </c>
      <c r="B24" s="59" t="s">
        <v>67</v>
      </c>
      <c r="C24" s="15" t="s">
        <v>90</v>
      </c>
      <c r="E24" s="66"/>
      <c r="F24" s="76"/>
      <c r="G24" s="78"/>
    </row>
    <row r="25" spans="1:7" x14ac:dyDescent="0.25">
      <c r="A25" s="59">
        <v>32</v>
      </c>
      <c r="B25" s="59" t="s">
        <v>40</v>
      </c>
      <c r="C25" s="15" t="s">
        <v>91</v>
      </c>
      <c r="E25" s="66"/>
      <c r="F25" s="76"/>
      <c r="G25" s="78"/>
    </row>
    <row r="26" spans="1:7" x14ac:dyDescent="0.25">
      <c r="A26" s="59">
        <v>33</v>
      </c>
      <c r="B26" s="59" t="s">
        <v>41</v>
      </c>
      <c r="C26" s="15" t="s">
        <v>92</v>
      </c>
      <c r="E26" s="66"/>
      <c r="F26" s="76"/>
      <c r="G26" s="78"/>
    </row>
    <row r="27" spans="1:7" x14ac:dyDescent="0.25">
      <c r="A27" s="59">
        <v>34</v>
      </c>
      <c r="B27" s="59" t="s">
        <v>42</v>
      </c>
      <c r="C27" s="15" t="s">
        <v>93</v>
      </c>
      <c r="E27" s="66"/>
      <c r="F27" s="76"/>
      <c r="G27" s="78"/>
    </row>
    <row r="28" spans="1:7" x14ac:dyDescent="0.25">
      <c r="A28" s="59">
        <v>35</v>
      </c>
      <c r="B28" s="59" t="s">
        <v>43</v>
      </c>
      <c r="C28" s="15" t="s">
        <v>94</v>
      </c>
      <c r="E28" s="66"/>
      <c r="F28" s="76"/>
      <c r="G28" s="78"/>
    </row>
    <row r="29" spans="1:7" x14ac:dyDescent="0.25">
      <c r="A29" s="59">
        <v>37</v>
      </c>
      <c r="B29" s="59" t="s">
        <v>49</v>
      </c>
      <c r="C29" s="15" t="s">
        <v>96</v>
      </c>
      <c r="E29" s="66"/>
      <c r="F29" s="76"/>
      <c r="G29" s="78"/>
    </row>
    <row r="30" spans="1:7" x14ac:dyDescent="0.25">
      <c r="A30" s="59">
        <v>38</v>
      </c>
      <c r="B30" s="59" t="s">
        <v>45</v>
      </c>
      <c r="C30" s="15" t="s">
        <v>97</v>
      </c>
      <c r="E30" s="66"/>
      <c r="F30" s="76"/>
      <c r="G30" s="78"/>
    </row>
    <row r="31" spans="1:7" x14ac:dyDescent="0.25">
      <c r="A31" s="59">
        <v>40</v>
      </c>
      <c r="B31" s="59" t="s">
        <v>47</v>
      </c>
      <c r="C31" s="15" t="s">
        <v>99</v>
      </c>
      <c r="E31" s="66"/>
      <c r="F31" s="76"/>
      <c r="G31" s="78"/>
    </row>
    <row r="32" spans="1:7" x14ac:dyDescent="0.25">
      <c r="A32" s="59">
        <v>41</v>
      </c>
      <c r="B32" s="59" t="s">
        <v>37</v>
      </c>
      <c r="C32" s="15" t="s">
        <v>100</v>
      </c>
      <c r="E32" s="66"/>
      <c r="F32" s="76"/>
      <c r="G32" s="78"/>
    </row>
    <row r="33" spans="1:7" x14ac:dyDescent="0.25">
      <c r="A33" s="59">
        <v>42</v>
      </c>
      <c r="B33" s="59" t="s">
        <v>50</v>
      </c>
      <c r="C33" s="15" t="s">
        <v>101</v>
      </c>
      <c r="E33" s="66"/>
      <c r="F33" s="76"/>
      <c r="G33" s="78"/>
    </row>
    <row r="34" spans="1:7" x14ac:dyDescent="0.25">
      <c r="A34" s="59">
        <v>43</v>
      </c>
      <c r="B34" s="59" t="s">
        <v>36</v>
      </c>
      <c r="C34" s="15" t="s">
        <v>102</v>
      </c>
      <c r="E34" s="66"/>
      <c r="F34" s="76"/>
      <c r="G34" s="78"/>
    </row>
    <row r="35" spans="1:7" x14ac:dyDescent="0.25">
      <c r="A35" s="59">
        <v>46</v>
      </c>
      <c r="B35" s="59" t="s">
        <v>46</v>
      </c>
      <c r="C35" s="15" t="s">
        <v>105</v>
      </c>
      <c r="E35" s="66"/>
      <c r="F35" s="76"/>
      <c r="G35" s="78"/>
    </row>
    <row r="36" spans="1:7" x14ac:dyDescent="0.25">
      <c r="A36" s="59">
        <v>47</v>
      </c>
      <c r="B36" s="59" t="s">
        <v>125</v>
      </c>
      <c r="C36" s="15" t="s">
        <v>126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</vt:i4>
      </vt:variant>
    </vt:vector>
  </HeadingPairs>
  <TitlesOfParts>
    <vt:vector size="27" baseType="lpstr">
      <vt:lpstr>Hàng tặng TVP</vt:lpstr>
      <vt:lpstr>TVP</vt:lpstr>
      <vt:lpstr>La Cusina</vt:lpstr>
      <vt:lpstr>Quốc Nhân</vt:lpstr>
      <vt:lpstr>Sheet3</vt:lpstr>
      <vt:lpstr>Giá TVP</vt:lpstr>
      <vt:lpstr>Chi phí</vt:lpstr>
      <vt:lpstr>Sheet1</vt:lpstr>
      <vt:lpstr>Tổng Đơn</vt:lpstr>
      <vt:lpstr>Thanh Toán</vt:lpstr>
      <vt:lpstr>Thanh Toán (15)</vt:lpstr>
      <vt:lpstr>Thanh Toán (14)</vt:lpstr>
      <vt:lpstr>Thanh Toán (13)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2021-12-23T04:45:56Z</cp:lastPrinted>
  <dcterms:created xsi:type="dcterms:W3CDTF">2021-12-17T01:18:08Z</dcterms:created>
  <dcterms:modified xsi:type="dcterms:W3CDTF">2021-12-27T12:13:06Z</dcterms:modified>
</cp:coreProperties>
</file>