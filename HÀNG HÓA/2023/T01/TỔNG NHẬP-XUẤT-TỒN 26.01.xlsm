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7EA968D0-87B4-467C-96CA-2E5D2A89938C}" xr6:coauthVersionLast="47" xr6:coauthVersionMax="47" xr10:uidLastSave="{00000000-0000-0000-0000-000000000000}"/>
  <bookViews>
    <workbookView xWindow="-108" yWindow="-108" windowWidth="23256" windowHeight="12576" tabRatio="925" firstSheet="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8)" sheetId="456" r:id="rId11"/>
    <sheet name="Thanh Toán (17)" sheetId="455" r:id="rId12"/>
    <sheet name="Thanh Toán (16)" sheetId="454" r:id="rId13"/>
    <sheet name="Thanh Toán (15)" sheetId="453" r:id="rId14"/>
    <sheet name="Thanh Toán (14)" sheetId="452" r:id="rId15"/>
    <sheet name="Thanh Toán (13)" sheetId="451" r:id="rId16"/>
    <sheet name="Thanh Toán (12)" sheetId="450" r:id="rId17"/>
    <sheet name="Thanh Toán (11)" sheetId="449" r:id="rId18"/>
    <sheet name="Thanh Toán (10)" sheetId="448" r:id="rId19"/>
    <sheet name="Thanh Toán (9)" sheetId="447" r:id="rId20"/>
    <sheet name="Thanh Toán (8)" sheetId="446" r:id="rId21"/>
    <sheet name="Thanh Toán (7)" sheetId="445" r:id="rId22"/>
    <sheet name="Thanh Toán (6)" sheetId="444" r:id="rId23"/>
    <sheet name="Thanh Toán (5)" sheetId="443" r:id="rId24"/>
    <sheet name="Thanh Toán (4)" sheetId="442" r:id="rId25"/>
    <sheet name="Thanh Toán (3)" sheetId="441" r:id="rId26"/>
    <sheet name="Thanh Toán (2)" sheetId="440" r:id="rId27"/>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11">'Thanh Toán (17)'!$C$1:$H$38</definedName>
    <definedName name="_xlnm.Print_Area" localSheetId="10">'Thanh Toán (18)'!$C$1:$H$38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91029"/>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456" l="1"/>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I7" i="456" s="1"/>
  <c r="F9" i="456"/>
  <c r="E9" i="456"/>
  <c r="D9" i="456"/>
  <c r="C9" i="456"/>
  <c r="I8" i="456"/>
  <c r="G8" i="456"/>
  <c r="F8" i="456"/>
  <c r="E8" i="456"/>
  <c r="D8" i="456"/>
  <c r="C8" i="456"/>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I9" i="455"/>
  <c r="G8" i="455"/>
  <c r="F8" i="455"/>
  <c r="E8" i="455"/>
  <c r="I8" i="455" s="1"/>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F9" i="454"/>
  <c r="I9" i="454" s="1"/>
  <c r="E9" i="454"/>
  <c r="D9" i="454"/>
  <c r="I8" i="454"/>
  <c r="I7" i="454" s="1"/>
  <c r="G8" i="454"/>
  <c r="F8" i="454"/>
  <c r="E8" i="454"/>
  <c r="D8" i="454"/>
  <c r="C8" i="454"/>
  <c r="C9" i="454" s="1"/>
  <c r="E7" i="454"/>
  <c r="G6" i="454"/>
  <c r="H9" i="453"/>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I8" i="453"/>
  <c r="G8" i="453"/>
  <c r="F8" i="453"/>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I10" i="452"/>
  <c r="F10" i="452"/>
  <c r="E10" i="452"/>
  <c r="D10" i="452"/>
  <c r="I9" i="452"/>
  <c r="F9" i="452"/>
  <c r="E9" i="452"/>
  <c r="D9" i="452"/>
  <c r="I8" i="452"/>
  <c r="I7" i="452" s="1"/>
  <c r="G8" i="452"/>
  <c r="F8" i="452"/>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I11" i="451"/>
  <c r="F11" i="451"/>
  <c r="E11" i="451"/>
  <c r="D11" i="451"/>
  <c r="I10" i="451"/>
  <c r="F10" i="451"/>
  <c r="E10" i="451"/>
  <c r="D10" i="451"/>
  <c r="I9" i="451"/>
  <c r="F9" i="451"/>
  <c r="E9" i="451"/>
  <c r="D9" i="451"/>
  <c r="I8" i="451"/>
  <c r="G8" i="451"/>
  <c r="F8" i="45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9" i="450"/>
  <c r="E9" i="450"/>
  <c r="I9" i="450" s="1"/>
  <c r="D9" i="450"/>
  <c r="G8" i="450"/>
  <c r="F8" i="450"/>
  <c r="I8" i="450" s="1"/>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I10" i="449"/>
  <c r="F10" i="449"/>
  <c r="E10" i="449"/>
  <c r="D10" i="449"/>
  <c r="F9" i="449"/>
  <c r="I9" i="449" s="1"/>
  <c r="E9" i="449"/>
  <c r="D9" i="449"/>
  <c r="G8" i="449"/>
  <c r="F8" i="449"/>
  <c r="I8" i="449" s="1"/>
  <c r="I7"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F9" i="448"/>
  <c r="E9" i="448"/>
  <c r="D9" i="448"/>
  <c r="C9" i="448"/>
  <c r="G8" i="448"/>
  <c r="F8" i="448"/>
  <c r="E8" i="448"/>
  <c r="I8" i="448" s="1"/>
  <c r="I7" i="448" s="1"/>
  <c r="D8" i="448"/>
  <c r="C8" i="448"/>
  <c r="E7" i="448"/>
  <c r="G6" i="448"/>
  <c r="H13" i="447"/>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2" i="447"/>
  <c r="I12" i="447" s="1"/>
  <c r="E12" i="447"/>
  <c r="D12" i="447"/>
  <c r="F11" i="447"/>
  <c r="I11" i="447" s="1"/>
  <c r="E11" i="447"/>
  <c r="D11" i="447"/>
  <c r="F10" i="447"/>
  <c r="I10" i="447" s="1"/>
  <c r="E10" i="447"/>
  <c r="D10" i="447"/>
  <c r="F9" i="447"/>
  <c r="E9" i="447"/>
  <c r="I9" i="447" s="1"/>
  <c r="D9" i="447"/>
  <c r="G8" i="447"/>
  <c r="F8" i="447"/>
  <c r="I8"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9" i="446"/>
  <c r="E9" i="446"/>
  <c r="I9" i="446" s="1"/>
  <c r="D9" i="446"/>
  <c r="I8" i="446"/>
  <c r="G8" i="446"/>
  <c r="F8" i="446"/>
  <c r="E8" i="446"/>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C9" i="445"/>
  <c r="I8" i="445"/>
  <c r="G8" i="445"/>
  <c r="F8" i="445"/>
  <c r="E8" i="445"/>
  <c r="D8" i="445"/>
  <c r="C8" i="445"/>
  <c r="I7" i="445"/>
  <c r="E7" i="445"/>
  <c r="G6" i="445"/>
  <c r="H13" i="444"/>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I12" i="444"/>
  <c r="F12" i="444"/>
  <c r="E12" i="444"/>
  <c r="D12" i="444"/>
  <c r="F11" i="444"/>
  <c r="I11" i="444" s="1"/>
  <c r="E11" i="444"/>
  <c r="D11" i="444"/>
  <c r="I10" i="444"/>
  <c r="F10" i="444"/>
  <c r="E10" i="444"/>
  <c r="D10" i="444"/>
  <c r="I9" i="444"/>
  <c r="F9" i="444"/>
  <c r="E9" i="444"/>
  <c r="D9" i="444"/>
  <c r="I8" i="444"/>
  <c r="G8" i="444"/>
  <c r="F8" i="444"/>
  <c r="E8" i="444"/>
  <c r="D8" i="444"/>
  <c r="C8" i="444"/>
  <c r="C9" i="444" s="1"/>
  <c r="E7" i="444"/>
  <c r="G6" i="444"/>
  <c r="H19" i="443"/>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8" i="443"/>
  <c r="I18" i="443" s="1"/>
  <c r="E18" i="443"/>
  <c r="D18" i="443"/>
  <c r="F17" i="443"/>
  <c r="I17" i="443" s="1"/>
  <c r="E17" i="443"/>
  <c r="D17" i="443"/>
  <c r="F16" i="443"/>
  <c r="E16" i="443"/>
  <c r="I16" i="443" s="1"/>
  <c r="D16" i="443"/>
  <c r="F15" i="443"/>
  <c r="I15" i="443" s="1"/>
  <c r="E15" i="443"/>
  <c r="D15" i="443"/>
  <c r="F14" i="443"/>
  <c r="I14" i="443" s="1"/>
  <c r="E14" i="443"/>
  <c r="D14" i="443"/>
  <c r="F13" i="443"/>
  <c r="I13" i="443" s="1"/>
  <c r="E13" i="443"/>
  <c r="D13" i="443"/>
  <c r="I12" i="443"/>
  <c r="F12" i="443"/>
  <c r="E12" i="443"/>
  <c r="D12" i="443"/>
  <c r="F11" i="443"/>
  <c r="I11" i="443" s="1"/>
  <c r="E11" i="443"/>
  <c r="D11" i="443"/>
  <c r="F10" i="443"/>
  <c r="I10" i="443" s="1"/>
  <c r="E10" i="443"/>
  <c r="D10" i="443"/>
  <c r="F9" i="443"/>
  <c r="I9" i="443" s="1"/>
  <c r="E9" i="443"/>
  <c r="D9" i="443"/>
  <c r="G8" i="443"/>
  <c r="F8" i="443"/>
  <c r="E8" i="443"/>
  <c r="I8" i="443" s="1"/>
  <c r="D8" i="443"/>
  <c r="C8" i="443"/>
  <c r="C9" i="443" s="1"/>
  <c r="E7" i="443"/>
  <c r="G6" i="443"/>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I10" i="442"/>
  <c r="F10" i="442"/>
  <c r="E10" i="442"/>
  <c r="D10" i="442"/>
  <c r="I9" i="442"/>
  <c r="F9" i="442"/>
  <c r="E9" i="442"/>
  <c r="D9" i="442"/>
  <c r="I8" i="442"/>
  <c r="G8" i="442"/>
  <c r="F8" i="442"/>
  <c r="E8" i="442"/>
  <c r="D8" i="442"/>
  <c r="C8" i="442"/>
  <c r="C9" i="442" s="1"/>
  <c r="E7" i="442"/>
  <c r="G6" i="442"/>
  <c r="H9" i="441"/>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I10" i="441"/>
  <c r="F10" i="441"/>
  <c r="E10" i="441"/>
  <c r="D10" i="441"/>
  <c r="G8" i="441"/>
  <c r="F8" i="441"/>
  <c r="E8" i="441"/>
  <c r="I8" i="441" s="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I11" i="440"/>
  <c r="F11" i="440"/>
  <c r="E11" i="440"/>
  <c r="D11" i="440"/>
  <c r="F10" i="440"/>
  <c r="I10" i="440" s="1"/>
  <c r="E10" i="440"/>
  <c r="D10" i="440"/>
  <c r="I9" i="440"/>
  <c r="F9" i="440"/>
  <c r="E9" i="440"/>
  <c r="D9" i="440"/>
  <c r="I8" i="440"/>
  <c r="G8" i="440"/>
  <c r="F8" i="440"/>
  <c r="E8" i="440"/>
  <c r="D8" i="440"/>
  <c r="C8" i="440"/>
  <c r="C9" i="440" s="1"/>
  <c r="E7" i="440"/>
  <c r="G6" i="440"/>
  <c r="H5" i="95"/>
  <c r="K5" i="95"/>
  <c r="I7" i="95"/>
  <c r="I8" i="95"/>
  <c r="I11" i="95"/>
  <c r="I2" i="95"/>
  <c r="A2" i="1"/>
  <c r="A2" i="150"/>
  <c r="A2" i="4"/>
  <c r="C10" i="456" l="1"/>
  <c r="G9" i="456"/>
  <c r="I7" i="455"/>
  <c r="C10" i="455"/>
  <c r="G9" i="454"/>
  <c r="C10" i="454"/>
  <c r="I7" i="453"/>
  <c r="C10" i="453"/>
  <c r="G9" i="452"/>
  <c r="C10" i="452"/>
  <c r="I7" i="451"/>
  <c r="G9" i="451"/>
  <c r="C10" i="451"/>
  <c r="G9" i="450"/>
  <c r="C10" i="450"/>
  <c r="I7" i="450"/>
  <c r="G9" i="449"/>
  <c r="C10" i="449"/>
  <c r="C10" i="448"/>
  <c r="G9" i="448"/>
  <c r="C10" i="447"/>
  <c r="G9" i="447"/>
  <c r="I7" i="447"/>
  <c r="I7" i="446"/>
  <c r="G9" i="446"/>
  <c r="C10" i="446"/>
  <c r="C10" i="445"/>
  <c r="G9" i="445"/>
  <c r="I7" i="444"/>
  <c r="G9" i="444"/>
  <c r="C10" i="444"/>
  <c r="I7" i="443"/>
  <c r="G9" i="443"/>
  <c r="C10" i="443"/>
  <c r="I7" i="442"/>
  <c r="G9" i="442"/>
  <c r="C10" i="442"/>
  <c r="I9" i="441"/>
  <c r="I7" i="441" s="1"/>
  <c r="C10" i="441"/>
  <c r="I7" i="440"/>
  <c r="G9" i="440"/>
  <c r="C10" i="440"/>
  <c r="F18" i="1"/>
  <c r="F13" i="150"/>
  <c r="F20" i="4"/>
  <c r="F24" i="1"/>
  <c r="F21" i="1"/>
  <c r="F9" i="1"/>
  <c r="G10" i="456" l="1"/>
  <c r="C11" i="456"/>
  <c r="G10" i="455"/>
  <c r="C11" i="455"/>
  <c r="G10" i="454"/>
  <c r="C11" i="454"/>
  <c r="G10" i="453"/>
  <c r="C11" i="453"/>
  <c r="G10" i="452"/>
  <c r="C11" i="452"/>
  <c r="G10" i="451"/>
  <c r="C11" i="451"/>
  <c r="C11" i="450"/>
  <c r="G10" i="449"/>
  <c r="C11" i="449"/>
  <c r="G10" i="448"/>
  <c r="C11" i="448"/>
  <c r="G10" i="447"/>
  <c r="C11" i="447"/>
  <c r="C11" i="446"/>
  <c r="G10" i="445"/>
  <c r="C11" i="445"/>
  <c r="G10" i="444"/>
  <c r="C11" i="444"/>
  <c r="C11" i="443"/>
  <c r="G10" i="443"/>
  <c r="G10" i="442"/>
  <c r="C11" i="442"/>
  <c r="G10" i="441"/>
  <c r="C11" i="441"/>
  <c r="C11" i="440"/>
  <c r="G10" i="440"/>
  <c r="P2" i="8"/>
  <c r="AW5" i="150"/>
  <c r="AW10" i="150"/>
  <c r="AW9"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F5" i="150"/>
  <c r="G11" i="456" l="1"/>
  <c r="C12" i="456"/>
  <c r="G11" i="455"/>
  <c r="C12" i="455"/>
  <c r="G11" i="454"/>
  <c r="C12" i="454"/>
  <c r="G11" i="453"/>
  <c r="C12" i="453"/>
  <c r="G11" i="452"/>
  <c r="C12" i="452"/>
  <c r="G11" i="451"/>
  <c r="C12" i="451"/>
  <c r="G11" i="450"/>
  <c r="C12" i="450"/>
  <c r="G11" i="449"/>
  <c r="C12" i="449"/>
  <c r="G11" i="448"/>
  <c r="C12" i="448"/>
  <c r="G11" i="447"/>
  <c r="C12" i="447"/>
  <c r="G11" i="446"/>
  <c r="C12" i="446"/>
  <c r="G11" i="445"/>
  <c r="C12" i="445"/>
  <c r="C12" i="444"/>
  <c r="G11" i="444"/>
  <c r="G11" i="443"/>
  <c r="C12" i="443"/>
  <c r="C12" i="442"/>
  <c r="G11" i="441"/>
  <c r="C12" i="441"/>
  <c r="G11" i="440"/>
  <c r="C12" i="440"/>
  <c r="F8" i="1"/>
  <c r="A2" i="137"/>
  <c r="F26" i="1"/>
  <c r="F10" i="137"/>
  <c r="F8" i="137"/>
  <c r="F6" i="137"/>
  <c r="AH10" i="150"/>
  <c r="AH18" i="1"/>
  <c r="F12" i="439"/>
  <c r="F11" i="439"/>
  <c r="F10" i="439"/>
  <c r="F9" i="439"/>
  <c r="G8" i="439"/>
  <c r="F8" i="439"/>
  <c r="C8" i="439"/>
  <c r="C9" i="439" s="1"/>
  <c r="B2" i="137"/>
  <c r="F15" i="137"/>
  <c r="F30" i="1"/>
  <c r="F27" i="1"/>
  <c r="AW2" i="137"/>
  <c r="AX3" i="137"/>
  <c r="C13" i="456" l="1"/>
  <c r="G12" i="456"/>
  <c r="C13" i="455"/>
  <c r="G12" i="455"/>
  <c r="C13" i="454"/>
  <c r="G12" i="454"/>
  <c r="C13" i="453"/>
  <c r="G12" i="453"/>
  <c r="C13" i="452"/>
  <c r="G12" i="452"/>
  <c r="C13" i="451"/>
  <c r="G12" i="450"/>
  <c r="C13" i="450"/>
  <c r="C13" i="449"/>
  <c r="G12" i="449"/>
  <c r="C13" i="448"/>
  <c r="G12" i="448"/>
  <c r="G12" i="447"/>
  <c r="C13" i="447"/>
  <c r="C13" i="446"/>
  <c r="G12" i="446"/>
  <c r="C13" i="445"/>
  <c r="G12" i="445"/>
  <c r="C13" i="444"/>
  <c r="G12" i="444"/>
  <c r="C13" i="443"/>
  <c r="G12" i="443"/>
  <c r="C13" i="442"/>
  <c r="G12" i="442"/>
  <c r="C13" i="441"/>
  <c r="G12" i="441"/>
  <c r="C13" i="440"/>
  <c r="C10" i="439"/>
  <c r="G9" i="439"/>
  <c r="C14" i="456" l="1"/>
  <c r="G13" i="456"/>
  <c r="C14" i="455"/>
  <c r="G13" i="455"/>
  <c r="C14" i="454"/>
  <c r="G13" i="454"/>
  <c r="C14" i="453"/>
  <c r="G13" i="453"/>
  <c r="C14" i="452"/>
  <c r="G13" i="452"/>
  <c r="C14" i="451"/>
  <c r="G13" i="451"/>
  <c r="C14" i="450"/>
  <c r="G13" i="450"/>
  <c r="C14" i="449"/>
  <c r="G13" i="449"/>
  <c r="C14" i="448"/>
  <c r="G13" i="448"/>
  <c r="C14" i="447"/>
  <c r="C14" i="446"/>
  <c r="G13" i="446"/>
  <c r="C14" i="445"/>
  <c r="G13" i="445"/>
  <c r="C14" i="444"/>
  <c r="C14" i="443"/>
  <c r="G13" i="443"/>
  <c r="C14" i="442"/>
  <c r="G13" i="442"/>
  <c r="C14" i="441"/>
  <c r="G13" i="441"/>
  <c r="G13" i="440"/>
  <c r="C14" i="440"/>
  <c r="G10" i="439"/>
  <c r="C11" i="439"/>
  <c r="C12" i="439" s="1"/>
  <c r="G12" i="439" s="1"/>
  <c r="F12" i="150"/>
  <c r="F10" i="150"/>
  <c r="F9" i="150"/>
  <c r="F8" i="150"/>
  <c r="F7" i="150"/>
  <c r="F8" i="4"/>
  <c r="F5" i="4"/>
  <c r="C15" i="456" l="1"/>
  <c r="G14" i="456"/>
  <c r="C15" i="455"/>
  <c r="G14" i="455"/>
  <c r="C15" i="454"/>
  <c r="G14" i="454"/>
  <c r="C15" i="453"/>
  <c r="G14" i="453"/>
  <c r="C15" i="452"/>
  <c r="G14" i="452"/>
  <c r="C15" i="451"/>
  <c r="G14" i="451"/>
  <c r="C15" i="450"/>
  <c r="G14" i="450"/>
  <c r="C15" i="449"/>
  <c r="G14" i="449"/>
  <c r="C15" i="448"/>
  <c r="G14" i="448"/>
  <c r="C15" i="447"/>
  <c r="G14" i="447"/>
  <c r="C15" i="446"/>
  <c r="G14" i="446"/>
  <c r="C15" i="445"/>
  <c r="G14" i="445"/>
  <c r="C15" i="444"/>
  <c r="G14" i="444"/>
  <c r="C15" i="443"/>
  <c r="G14" i="443"/>
  <c r="C15" i="442"/>
  <c r="G14" i="442"/>
  <c r="C15" i="441"/>
  <c r="G14" i="441"/>
  <c r="C15" i="440"/>
  <c r="G14" i="440"/>
  <c r="G11" i="439"/>
  <c r="F12" i="137"/>
  <c r="C16" i="456" l="1"/>
  <c r="G15" i="456"/>
  <c r="C16" i="455"/>
  <c r="G15" i="455"/>
  <c r="C16" i="454"/>
  <c r="G15" i="454"/>
  <c r="C16" i="453"/>
  <c r="G15" i="453"/>
  <c r="C16" i="452"/>
  <c r="G15" i="452"/>
  <c r="C16" i="451"/>
  <c r="G15" i="451"/>
  <c r="C16" i="450"/>
  <c r="G15" i="450"/>
  <c r="C16" i="449"/>
  <c r="G15" i="449"/>
  <c r="C16" i="448"/>
  <c r="G15" i="448"/>
  <c r="C16" i="447"/>
  <c r="G15" i="447"/>
  <c r="C16" i="446"/>
  <c r="G15" i="446"/>
  <c r="C16" i="445"/>
  <c r="G15" i="445"/>
  <c r="C16" i="444"/>
  <c r="G15" i="444"/>
  <c r="C16" i="443"/>
  <c r="G15" i="443"/>
  <c r="C16" i="442"/>
  <c r="G15" i="442"/>
  <c r="C16" i="441"/>
  <c r="G15" i="441"/>
  <c r="C16" i="440"/>
  <c r="G15" i="440"/>
  <c r="F28" i="1"/>
  <c r="C17" i="456" l="1"/>
  <c r="G16" i="456"/>
  <c r="C17" i="455"/>
  <c r="G16" i="455"/>
  <c r="C17" i="454"/>
  <c r="G16" i="454"/>
  <c r="C17" i="453"/>
  <c r="G16" i="453"/>
  <c r="C17" i="452"/>
  <c r="G16" i="452"/>
  <c r="C17" i="451"/>
  <c r="G16" i="451"/>
  <c r="C17" i="450"/>
  <c r="G16" i="450"/>
  <c r="C17" i="449"/>
  <c r="G16" i="449"/>
  <c r="C17" i="448"/>
  <c r="G16" i="448"/>
  <c r="C17" i="447"/>
  <c r="G16" i="447"/>
  <c r="C17" i="446"/>
  <c r="G16" i="446"/>
  <c r="C17" i="445"/>
  <c r="G16" i="445"/>
  <c r="C17" i="444"/>
  <c r="G16" i="444"/>
  <c r="C17" i="443"/>
  <c r="G16" i="443"/>
  <c r="G16" i="442"/>
  <c r="C17" i="442"/>
  <c r="C17" i="441"/>
  <c r="G16" i="441"/>
  <c r="C17" i="440"/>
  <c r="G16" i="440"/>
  <c r="F11" i="137"/>
  <c r="F19" i="4"/>
  <c r="F7" i="4"/>
  <c r="F6" i="4"/>
  <c r="F11" i="150"/>
  <c r="G17" i="456" l="1"/>
  <c r="C18" i="456"/>
  <c r="G17" i="455"/>
  <c r="C18" i="455"/>
  <c r="G17" i="454"/>
  <c r="C18" i="454"/>
  <c r="G17" i="453"/>
  <c r="C18" i="453"/>
  <c r="G17" i="452"/>
  <c r="C18" i="452"/>
  <c r="G17" i="451"/>
  <c r="C18" i="451"/>
  <c r="G17" i="450"/>
  <c r="C18" i="450"/>
  <c r="G17" i="449"/>
  <c r="C18" i="449"/>
  <c r="G17" i="448"/>
  <c r="C18" i="448"/>
  <c r="C18" i="447"/>
  <c r="G17" i="447"/>
  <c r="G17" i="446"/>
  <c r="C18" i="446"/>
  <c r="G17" i="445"/>
  <c r="C18" i="445"/>
  <c r="G17" i="444"/>
  <c r="C18" i="444"/>
  <c r="G17" i="443"/>
  <c r="C18" i="443"/>
  <c r="G17" i="442"/>
  <c r="C18" i="442"/>
  <c r="G17" i="441"/>
  <c r="C18" i="441"/>
  <c r="G17" i="440"/>
  <c r="C18" i="440"/>
  <c r="S10" i="150"/>
  <c r="S5" i="150"/>
  <c r="S9" i="150"/>
  <c r="S18" i="1"/>
  <c r="G18" i="456" l="1"/>
  <c r="C19" i="456"/>
  <c r="G18" i="455"/>
  <c r="C19" i="455"/>
  <c r="G18" i="454"/>
  <c r="C19" i="454"/>
  <c r="G18" i="453"/>
  <c r="C19" i="453"/>
  <c r="G18" i="452"/>
  <c r="C19" i="452"/>
  <c r="G18" i="451"/>
  <c r="C19" i="451"/>
  <c r="G18" i="450"/>
  <c r="C19" i="450"/>
  <c r="G18" i="449"/>
  <c r="C19" i="449"/>
  <c r="G18" i="448"/>
  <c r="C19" i="448"/>
  <c r="G18" i="447"/>
  <c r="C19" i="447"/>
  <c r="G18" i="446"/>
  <c r="C19" i="446"/>
  <c r="G18" i="445"/>
  <c r="C19" i="445"/>
  <c r="G18" i="444"/>
  <c r="C19" i="444"/>
  <c r="G18" i="443"/>
  <c r="C19" i="443"/>
  <c r="G18" i="442"/>
  <c r="C19" i="442"/>
  <c r="G18" i="441"/>
  <c r="C19" i="441"/>
  <c r="G18" i="440"/>
  <c r="C19" i="440"/>
  <c r="F25" i="439"/>
  <c r="Q2" i="150"/>
  <c r="G19" i="456" l="1"/>
  <c r="C20" i="456"/>
  <c r="G19" i="455"/>
  <c r="C20" i="455"/>
  <c r="G19" i="454"/>
  <c r="C20" i="454"/>
  <c r="G19" i="453"/>
  <c r="C20" i="453"/>
  <c r="G19" i="452"/>
  <c r="C20" i="452"/>
  <c r="G19" i="451"/>
  <c r="C20" i="451"/>
  <c r="G19" i="450"/>
  <c r="C20" i="450"/>
  <c r="G19" i="449"/>
  <c r="C20" i="449"/>
  <c r="G19" i="448"/>
  <c r="C20" i="448"/>
  <c r="G19" i="447"/>
  <c r="C20" i="447"/>
  <c r="G19" i="446"/>
  <c r="C20" i="446"/>
  <c r="G19" i="445"/>
  <c r="C20" i="445"/>
  <c r="G19" i="444"/>
  <c r="C20" i="444"/>
  <c r="C20" i="443"/>
  <c r="G19" i="442"/>
  <c r="C20" i="442"/>
  <c r="G19" i="441"/>
  <c r="C20" i="441"/>
  <c r="C20" i="440"/>
  <c r="G19" i="440"/>
  <c r="F23" i="4"/>
  <c r="F9" i="4"/>
  <c r="F6" i="150"/>
  <c r="C21" i="456" l="1"/>
  <c r="G20" i="456"/>
  <c r="C21" i="455"/>
  <c r="G20" i="455"/>
  <c r="C21" i="454"/>
  <c r="G20" i="454"/>
  <c r="C21" i="453"/>
  <c r="G20" i="453"/>
  <c r="C21" i="452"/>
  <c r="G20" i="452"/>
  <c r="C21" i="451"/>
  <c r="G20" i="451"/>
  <c r="G20" i="450"/>
  <c r="C21" i="450"/>
  <c r="C21" i="449"/>
  <c r="G20" i="449"/>
  <c r="C21" i="448"/>
  <c r="G20" i="448"/>
  <c r="G20" i="447"/>
  <c r="C21" i="447"/>
  <c r="C21" i="446"/>
  <c r="G20" i="446"/>
  <c r="C21" i="445"/>
  <c r="G20" i="445"/>
  <c r="C21" i="444"/>
  <c r="G20" i="444"/>
  <c r="C21" i="443"/>
  <c r="G20" i="443"/>
  <c r="C21" i="442"/>
  <c r="G20" i="442"/>
  <c r="C21" i="441"/>
  <c r="G20" i="441"/>
  <c r="C21" i="440"/>
  <c r="G20" i="440"/>
  <c r="BA3" i="150"/>
  <c r="C22" i="456" l="1"/>
  <c r="G21" i="456"/>
  <c r="C22" i="455"/>
  <c r="G21" i="455"/>
  <c r="C22" i="454"/>
  <c r="G21" i="454"/>
  <c r="C22" i="453"/>
  <c r="G21" i="453"/>
  <c r="C22" i="452"/>
  <c r="G21" i="452"/>
  <c r="C22" i="451"/>
  <c r="G21" i="451"/>
  <c r="C22" i="450"/>
  <c r="G21" i="450"/>
  <c r="C22" i="449"/>
  <c r="G21" i="449"/>
  <c r="C22" i="448"/>
  <c r="G21" i="448"/>
  <c r="C22" i="447"/>
  <c r="G21" i="447"/>
  <c r="C22" i="446"/>
  <c r="G21" i="446"/>
  <c r="C22" i="445"/>
  <c r="G21" i="445"/>
  <c r="C22" i="444"/>
  <c r="G21" i="444"/>
  <c r="C22" i="443"/>
  <c r="G21" i="443"/>
  <c r="C22" i="442"/>
  <c r="G21" i="442"/>
  <c r="C22" i="441"/>
  <c r="G21" i="441"/>
  <c r="C22" i="440"/>
  <c r="G21" i="440"/>
  <c r="BA5" i="150"/>
  <c r="BA6" i="150" s="1"/>
  <c r="BA7" i="150" s="1"/>
  <c r="BA8" i="150" s="1"/>
  <c r="BA9" i="150" s="1"/>
  <c r="BA10" i="150" s="1"/>
  <c r="BA11" i="150" s="1"/>
  <c r="BA12" i="150" s="1"/>
  <c r="BA13" i="150" s="1"/>
  <c r="C23" i="456" l="1"/>
  <c r="G22" i="456"/>
  <c r="C23" i="455"/>
  <c r="G22" i="455"/>
  <c r="C23" i="454"/>
  <c r="G22" i="454"/>
  <c r="C23" i="453"/>
  <c r="G22" i="453"/>
  <c r="C23" i="452"/>
  <c r="G22" i="452"/>
  <c r="C23" i="451"/>
  <c r="G22" i="451"/>
  <c r="C23" i="450"/>
  <c r="G22" i="450"/>
  <c r="C23" i="449"/>
  <c r="G22" i="449"/>
  <c r="C23" i="448"/>
  <c r="G22" i="448"/>
  <c r="C23" i="447"/>
  <c r="G22" i="447"/>
  <c r="C23" i="446"/>
  <c r="G22" i="446"/>
  <c r="C23" i="445"/>
  <c r="G22" i="445"/>
  <c r="C23" i="444"/>
  <c r="G22" i="444"/>
  <c r="C23" i="443"/>
  <c r="G22" i="443"/>
  <c r="C23" i="442"/>
  <c r="G22" i="442"/>
  <c r="C23" i="441"/>
  <c r="G22" i="441"/>
  <c r="G22" i="440"/>
  <c r="C23" i="440"/>
  <c r="D8" i="150"/>
  <c r="D9" i="150"/>
  <c r="D7" i="150"/>
  <c r="D6" i="150"/>
  <c r="D5" i="150"/>
  <c r="AY5" i="150"/>
  <c r="AY13" i="150"/>
  <c r="AX13" i="150" s="1"/>
  <c r="M13" i="150"/>
  <c r="D13" i="150"/>
  <c r="G13" i="150" s="1"/>
  <c r="H13" i="150" s="1"/>
  <c r="C24" i="456" l="1"/>
  <c r="G23" i="456"/>
  <c r="C24" i="455"/>
  <c r="G23" i="455"/>
  <c r="C24" i="454"/>
  <c r="G23" i="454"/>
  <c r="C24" i="453"/>
  <c r="G23" i="453"/>
  <c r="C24" i="452"/>
  <c r="G23" i="452"/>
  <c r="C24" i="451"/>
  <c r="G23" i="451"/>
  <c r="C24" i="450"/>
  <c r="G23" i="450"/>
  <c r="C24" i="449"/>
  <c r="G23" i="449"/>
  <c r="C24" i="448"/>
  <c r="G23" i="448"/>
  <c r="C24" i="447"/>
  <c r="G23" i="447"/>
  <c r="C24" i="446"/>
  <c r="G23" i="446"/>
  <c r="C24" i="445"/>
  <c r="G23" i="445"/>
  <c r="C24" i="444"/>
  <c r="G23" i="444"/>
  <c r="C24" i="443"/>
  <c r="G23" i="443"/>
  <c r="C24" i="442"/>
  <c r="G23" i="442"/>
  <c r="C24" i="441"/>
  <c r="G23" i="441"/>
  <c r="C24" i="440"/>
  <c r="G23" i="440"/>
  <c r="D11" i="150"/>
  <c r="G11" i="150" s="1"/>
  <c r="C25" i="456" l="1"/>
  <c r="G24" i="456"/>
  <c r="C25" i="455"/>
  <c r="G24" i="455"/>
  <c r="C25" i="454"/>
  <c r="G24" i="454"/>
  <c r="C25" i="453"/>
  <c r="G24" i="453"/>
  <c r="C25" i="452"/>
  <c r="G24" i="452"/>
  <c r="C25" i="451"/>
  <c r="G24" i="451"/>
  <c r="C25" i="450"/>
  <c r="G24" i="450"/>
  <c r="C25" i="449"/>
  <c r="G24" i="449"/>
  <c r="C25" i="448"/>
  <c r="G24" i="448"/>
  <c r="C25" i="447"/>
  <c r="G24" i="447"/>
  <c r="C25" i="446"/>
  <c r="G24" i="446"/>
  <c r="C25" i="445"/>
  <c r="G24" i="445"/>
  <c r="G24" i="444"/>
  <c r="C25" i="444"/>
  <c r="C25" i="443"/>
  <c r="G24" i="443"/>
  <c r="G24" i="442"/>
  <c r="C25" i="442"/>
  <c r="C25" i="441"/>
  <c r="G24" i="441"/>
  <c r="C25" i="440"/>
  <c r="G24" i="440"/>
  <c r="P3" i="8"/>
  <c r="P4" i="8"/>
  <c r="P5" i="8"/>
  <c r="P6" i="8"/>
  <c r="P7" i="8"/>
  <c r="G25" i="456" l="1"/>
  <c r="C26" i="456"/>
  <c r="G25" i="455"/>
  <c r="C26" i="455"/>
  <c r="G25" i="454"/>
  <c r="C26" i="454"/>
  <c r="G25" i="453"/>
  <c r="C26" i="453"/>
  <c r="G25" i="452"/>
  <c r="C26" i="452"/>
  <c r="G25" i="451"/>
  <c r="C26" i="451"/>
  <c r="C26" i="450"/>
  <c r="G25" i="450"/>
  <c r="G25" i="449"/>
  <c r="C26" i="449"/>
  <c r="G25" i="448"/>
  <c r="C26" i="448"/>
  <c r="C26" i="447"/>
  <c r="G25" i="447"/>
  <c r="G25" i="446"/>
  <c r="C26" i="446"/>
  <c r="G25" i="445"/>
  <c r="C26" i="445"/>
  <c r="G25" i="444"/>
  <c r="C26" i="444"/>
  <c r="G25" i="443"/>
  <c r="C26" i="443"/>
  <c r="G25" i="442"/>
  <c r="C26" i="442"/>
  <c r="G25" i="441"/>
  <c r="C26" i="441"/>
  <c r="G25" i="440"/>
  <c r="C26" i="440"/>
  <c r="P2" i="4"/>
  <c r="G26" i="456" l="1"/>
  <c r="C27" i="456"/>
  <c r="G26" i="455"/>
  <c r="C27" i="455"/>
  <c r="G26" i="454"/>
  <c r="C27" i="454"/>
  <c r="G26" i="453"/>
  <c r="C27" i="453"/>
  <c r="G26" i="452"/>
  <c r="C27" i="452"/>
  <c r="G26" i="451"/>
  <c r="C27" i="451"/>
  <c r="G26" i="450"/>
  <c r="C27" i="450"/>
  <c r="G26" i="449"/>
  <c r="C27" i="449"/>
  <c r="G26" i="448"/>
  <c r="C27" i="448"/>
  <c r="G26" i="447"/>
  <c r="C27" i="447"/>
  <c r="G26" i="446"/>
  <c r="C27" i="446"/>
  <c r="G26" i="445"/>
  <c r="C27" i="445"/>
  <c r="G26" i="444"/>
  <c r="C27" i="444"/>
  <c r="G26" i="443"/>
  <c r="C27" i="443"/>
  <c r="G26" i="442"/>
  <c r="C27" i="442"/>
  <c r="G26" i="441"/>
  <c r="C27" i="441"/>
  <c r="G26" i="440"/>
  <c r="C27" i="440"/>
  <c r="G8" i="150"/>
  <c r="G27" i="456" l="1"/>
  <c r="C28" i="456"/>
  <c r="G27" i="455"/>
  <c r="C28" i="455"/>
  <c r="G27" i="454"/>
  <c r="C28" i="454"/>
  <c r="G27" i="453"/>
  <c r="C28" i="453"/>
  <c r="G27" i="452"/>
  <c r="C28" i="452"/>
  <c r="G27" i="451"/>
  <c r="C28" i="451"/>
  <c r="G27" i="450"/>
  <c r="C28" i="450"/>
  <c r="G27" i="449"/>
  <c r="C28" i="449"/>
  <c r="G27" i="448"/>
  <c r="C28" i="448"/>
  <c r="G27" i="447"/>
  <c r="C28" i="447"/>
  <c r="G27" i="446"/>
  <c r="C28" i="446"/>
  <c r="G27" i="445"/>
  <c r="C28" i="445"/>
  <c r="G27" i="444"/>
  <c r="C28" i="444"/>
  <c r="G27" i="443"/>
  <c r="C28" i="443"/>
  <c r="C28" i="442"/>
  <c r="G27" i="442"/>
  <c r="G27" i="441"/>
  <c r="C28" i="441"/>
  <c r="G27" i="440"/>
  <c r="C28" i="440"/>
  <c r="Q15" i="150"/>
  <c r="C29" i="456" l="1"/>
  <c r="G28" i="456"/>
  <c r="C29" i="455"/>
  <c r="G28" i="455"/>
  <c r="C29" i="454"/>
  <c r="G28" i="454"/>
  <c r="C29" i="453"/>
  <c r="G28" i="453"/>
  <c r="C29" i="452"/>
  <c r="G28" i="452"/>
  <c r="C29" i="451"/>
  <c r="G28" i="451"/>
  <c r="G28" i="450"/>
  <c r="C29" i="450"/>
  <c r="C29" i="449"/>
  <c r="G28" i="449"/>
  <c r="C29" i="448"/>
  <c r="G28" i="448"/>
  <c r="G28" i="447"/>
  <c r="C29" i="447"/>
  <c r="C29" i="446"/>
  <c r="G28" i="446"/>
  <c r="C29" i="445"/>
  <c r="G28" i="445"/>
  <c r="C29" i="444"/>
  <c r="G28" i="444"/>
  <c r="C29" i="443"/>
  <c r="G28" i="443"/>
  <c r="C29" i="442"/>
  <c r="G28" i="442"/>
  <c r="C29" i="441"/>
  <c r="G28" i="441"/>
  <c r="C29" i="440"/>
  <c r="G28" i="440"/>
  <c r="F9" i="137"/>
  <c r="C30" i="456" l="1"/>
  <c r="G29" i="456"/>
  <c r="C30" i="455"/>
  <c r="G29" i="455"/>
  <c r="C30" i="454"/>
  <c r="G29" i="454"/>
  <c r="C30" i="453"/>
  <c r="G29" i="453"/>
  <c r="C30" i="452"/>
  <c r="G29" i="452"/>
  <c r="C30" i="451"/>
  <c r="G29" i="451"/>
  <c r="C30" i="450"/>
  <c r="G29" i="450"/>
  <c r="C30" i="449"/>
  <c r="G29" i="449"/>
  <c r="C30" i="448"/>
  <c r="G29" i="448"/>
  <c r="C30" i="447"/>
  <c r="G29" i="447"/>
  <c r="C30" i="446"/>
  <c r="G29" i="446"/>
  <c r="C30" i="445"/>
  <c r="G29" i="445"/>
  <c r="C30" i="444"/>
  <c r="G29" i="444"/>
  <c r="C30" i="443"/>
  <c r="G29" i="443"/>
  <c r="C30" i="442"/>
  <c r="G29" i="442"/>
  <c r="C30" i="441"/>
  <c r="G29" i="441"/>
  <c r="C30" i="440"/>
  <c r="G29" i="440"/>
  <c r="AX6" i="137"/>
  <c r="C31" i="456" l="1"/>
  <c r="G30" i="456"/>
  <c r="C31" i="455"/>
  <c r="G30" i="455"/>
  <c r="C31" i="454"/>
  <c r="G30" i="454"/>
  <c r="C31" i="453"/>
  <c r="G30" i="453"/>
  <c r="C31" i="452"/>
  <c r="G30" i="452"/>
  <c r="C31" i="451"/>
  <c r="G30" i="451"/>
  <c r="C31" i="450"/>
  <c r="G30" i="450"/>
  <c r="C31" i="449"/>
  <c r="G30" i="449"/>
  <c r="C31" i="448"/>
  <c r="G30" i="448"/>
  <c r="C31" i="447"/>
  <c r="G30" i="447"/>
  <c r="C31" i="446"/>
  <c r="G30" i="446"/>
  <c r="C31" i="445"/>
  <c r="G30" i="445"/>
  <c r="C31" i="444"/>
  <c r="G30" i="444"/>
  <c r="C31" i="443"/>
  <c r="G30" i="443"/>
  <c r="C31" i="442"/>
  <c r="G30" i="442"/>
  <c r="C31" i="441"/>
  <c r="G30" i="441"/>
  <c r="C31" i="440"/>
  <c r="G30" i="440"/>
  <c r="G21" i="1"/>
  <c r="H21" i="1" s="1"/>
  <c r="G22" i="1"/>
  <c r="C32" i="456" l="1"/>
  <c r="G31" i="456"/>
  <c r="C32" i="455"/>
  <c r="G31" i="455"/>
  <c r="C32" i="454"/>
  <c r="G31" i="454"/>
  <c r="C32" i="453"/>
  <c r="G31" i="453"/>
  <c r="C32" i="452"/>
  <c r="G31" i="452"/>
  <c r="C32" i="451"/>
  <c r="G31" i="451"/>
  <c r="C32" i="450"/>
  <c r="G31" i="450"/>
  <c r="C32" i="449"/>
  <c r="G31" i="449"/>
  <c r="C32" i="448"/>
  <c r="G31" i="448"/>
  <c r="C32" i="447"/>
  <c r="G31" i="447"/>
  <c r="C32" i="446"/>
  <c r="G31" i="446"/>
  <c r="C32" i="445"/>
  <c r="G31" i="445"/>
  <c r="C32" i="444"/>
  <c r="G31" i="444"/>
  <c r="C32" i="443"/>
  <c r="G31" i="443"/>
  <c r="C32" i="442"/>
  <c r="G31" i="442"/>
  <c r="C32" i="441"/>
  <c r="G31" i="441"/>
  <c r="C32" i="440"/>
  <c r="G31" i="440"/>
  <c r="M21" i="1"/>
  <c r="C33" i="456" l="1"/>
  <c r="G32" i="456"/>
  <c r="C33" i="455"/>
  <c r="G32" i="455"/>
  <c r="C33" i="454"/>
  <c r="G32" i="454"/>
  <c r="C33" i="453"/>
  <c r="G32" i="453"/>
  <c r="C33" i="452"/>
  <c r="G32" i="452"/>
  <c r="G32" i="451"/>
  <c r="C33" i="451"/>
  <c r="C33" i="450"/>
  <c r="G32" i="450"/>
  <c r="C33" i="449"/>
  <c r="G32" i="449"/>
  <c r="C33" i="448"/>
  <c r="G32" i="448"/>
  <c r="C33" i="447"/>
  <c r="G32" i="447"/>
  <c r="C33" i="446"/>
  <c r="G32" i="446"/>
  <c r="C33" i="445"/>
  <c r="G32" i="445"/>
  <c r="G32" i="444"/>
  <c r="C33" i="444"/>
  <c r="C33" i="443"/>
  <c r="G32" i="443"/>
  <c r="G32" i="442"/>
  <c r="C33" i="442"/>
  <c r="C33" i="441"/>
  <c r="G32" i="441"/>
  <c r="C33" i="440"/>
  <c r="G32" i="44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3" i="456" l="1"/>
  <c r="C34" i="456"/>
  <c r="G33" i="455"/>
  <c r="C34" i="455"/>
  <c r="G33" i="454"/>
  <c r="C34" i="454"/>
  <c r="G33" i="453"/>
  <c r="C34" i="453"/>
  <c r="G33" i="452"/>
  <c r="C34" i="452"/>
  <c r="G33" i="451"/>
  <c r="C34" i="451"/>
  <c r="G33" i="450"/>
  <c r="C34" i="450"/>
  <c r="G33" i="449"/>
  <c r="C34" i="449"/>
  <c r="G33" i="448"/>
  <c r="C34" i="448"/>
  <c r="C34" i="447"/>
  <c r="G33" i="447"/>
  <c r="G33" i="446"/>
  <c r="C34" i="446"/>
  <c r="G33" i="445"/>
  <c r="C34" i="445"/>
  <c r="G33" i="444"/>
  <c r="C34" i="444"/>
  <c r="G33" i="443"/>
  <c r="C34" i="443"/>
  <c r="G33" i="442"/>
  <c r="C34" i="442"/>
  <c r="G33" i="441"/>
  <c r="C34" i="441"/>
  <c r="G33" i="440"/>
  <c r="C34" i="440"/>
  <c r="M12" i="137"/>
  <c r="AX12" i="137"/>
  <c r="H12" i="137"/>
  <c r="G34" i="456" l="1"/>
  <c r="C35" i="456"/>
  <c r="G34" i="455"/>
  <c r="C35" i="455"/>
  <c r="G34" i="454"/>
  <c r="C35" i="454"/>
  <c r="G34" i="453"/>
  <c r="C35" i="453"/>
  <c r="G34" i="452"/>
  <c r="C35" i="452"/>
  <c r="G34" i="451"/>
  <c r="C35" i="451"/>
  <c r="G34" i="450"/>
  <c r="C35" i="450"/>
  <c r="G34" i="449"/>
  <c r="C35" i="449"/>
  <c r="G34" i="448"/>
  <c r="C35" i="448"/>
  <c r="G34" i="447"/>
  <c r="C35" i="447"/>
  <c r="G34" i="446"/>
  <c r="C35" i="446"/>
  <c r="G34" i="445"/>
  <c r="C35" i="445"/>
  <c r="G34" i="444"/>
  <c r="C35" i="444"/>
  <c r="G34" i="443"/>
  <c r="C35" i="443"/>
  <c r="G34" i="442"/>
  <c r="C35" i="442"/>
  <c r="G34" i="441"/>
  <c r="C35" i="441"/>
  <c r="G34" i="440"/>
  <c r="C35" i="440"/>
  <c r="D10" i="150"/>
  <c r="U13" i="120"/>
  <c r="G20" i="4"/>
  <c r="G35" i="456" l="1"/>
  <c r="C36" i="456"/>
  <c r="G35" i="455"/>
  <c r="C36" i="455"/>
  <c r="G35" i="454"/>
  <c r="C36" i="454"/>
  <c r="G35" i="453"/>
  <c r="C36" i="453"/>
  <c r="G35" i="452"/>
  <c r="C36" i="452"/>
  <c r="G35" i="451"/>
  <c r="C36" i="451"/>
  <c r="G35" i="450"/>
  <c r="C36" i="450"/>
  <c r="G35" i="449"/>
  <c r="C36" i="449"/>
  <c r="G35" i="448"/>
  <c r="C36" i="448"/>
  <c r="G35" i="447"/>
  <c r="C36" i="447"/>
  <c r="G35" i="446"/>
  <c r="C36" i="446"/>
  <c r="G35" i="445"/>
  <c r="C36" i="445"/>
  <c r="G35" i="444"/>
  <c r="C36" i="444"/>
  <c r="G35" i="443"/>
  <c r="C36" i="443"/>
  <c r="G35" i="442"/>
  <c r="C36" i="442"/>
  <c r="G35" i="441"/>
  <c r="C36" i="441"/>
  <c r="G35" i="440"/>
  <c r="C36" i="440"/>
  <c r="G9" i="4"/>
  <c r="G18" i="4"/>
  <c r="G5" i="4"/>
  <c r="C37" i="456" l="1"/>
  <c r="G36" i="456"/>
  <c r="H36" i="456" s="1"/>
  <c r="H34" i="456"/>
  <c r="H33" i="456"/>
  <c r="H35" i="456"/>
  <c r="C37" i="455"/>
  <c r="G36" i="455"/>
  <c r="H33" i="455"/>
  <c r="H34" i="455"/>
  <c r="H36" i="455"/>
  <c r="C37" i="454"/>
  <c r="G36" i="454"/>
  <c r="C37" i="453"/>
  <c r="G36" i="453"/>
  <c r="H36" i="453" s="1"/>
  <c r="H32" i="453"/>
  <c r="H34" i="453"/>
  <c r="H35" i="453"/>
  <c r="C37" i="452"/>
  <c r="G36" i="452"/>
  <c r="H29" i="452"/>
  <c r="H34" i="452"/>
  <c r="H35" i="452"/>
  <c r="H36" i="452"/>
  <c r="C37" i="451"/>
  <c r="H34" i="451" s="1"/>
  <c r="G36" i="451"/>
  <c r="H36" i="451" s="1"/>
  <c r="G36" i="450"/>
  <c r="C37" i="450"/>
  <c r="H33" i="450" s="1"/>
  <c r="C37" i="449"/>
  <c r="G36" i="449"/>
  <c r="H36" i="449" s="1"/>
  <c r="H30" i="449"/>
  <c r="H33" i="449"/>
  <c r="H34" i="449"/>
  <c r="C37" i="448"/>
  <c r="G36" i="448"/>
  <c r="H36" i="448" s="1"/>
  <c r="H35" i="448"/>
  <c r="G36" i="447"/>
  <c r="C37" i="447"/>
  <c r="H36" i="447" s="1"/>
  <c r="C37" i="446"/>
  <c r="G36" i="446"/>
  <c r="H35" i="446"/>
  <c r="C37" i="445"/>
  <c r="G36" i="445"/>
  <c r="H36" i="445" s="1"/>
  <c r="H34" i="445"/>
  <c r="H30" i="445"/>
  <c r="C37" i="444"/>
  <c r="G36" i="444"/>
  <c r="C37" i="443"/>
  <c r="G36" i="443"/>
  <c r="H36" i="443" s="1"/>
  <c r="H30" i="443"/>
  <c r="H29" i="443"/>
  <c r="H31" i="443"/>
  <c r="H34" i="443"/>
  <c r="C37" i="442"/>
  <c r="G36" i="442"/>
  <c r="H36" i="442" s="1"/>
  <c r="H34" i="442"/>
  <c r="H31" i="442"/>
  <c r="H32" i="442"/>
  <c r="C37" i="441"/>
  <c r="G36" i="441"/>
  <c r="H36" i="441" s="1"/>
  <c r="H35" i="441"/>
  <c r="H31" i="441"/>
  <c r="C37" i="440"/>
  <c r="H34" i="440" s="1"/>
  <c r="G36" i="440"/>
  <c r="H36" i="440" s="1"/>
  <c r="A23" i="150"/>
  <c r="A26" i="4"/>
  <c r="G38" i="456" l="1"/>
  <c r="H38" i="456" s="1"/>
  <c r="G37" i="456"/>
  <c r="H37" i="456" s="1"/>
  <c r="H10" i="456"/>
  <c r="H11" i="456"/>
  <c r="H13" i="456"/>
  <c r="H14" i="456"/>
  <c r="H12" i="456"/>
  <c r="H8" i="456"/>
  <c r="H9" i="456" s="1"/>
  <c r="H16" i="456"/>
  <c r="H17" i="456"/>
  <c r="H15" i="456"/>
  <c r="H19" i="456"/>
  <c r="H18" i="456"/>
  <c r="H20" i="456"/>
  <c r="H21" i="456"/>
  <c r="H23" i="456"/>
  <c r="H24" i="456"/>
  <c r="H22" i="456"/>
  <c r="H25" i="456"/>
  <c r="H27" i="456"/>
  <c r="H26" i="456"/>
  <c r="H29" i="456"/>
  <c r="H30" i="456"/>
  <c r="H31" i="456"/>
  <c r="H28" i="456"/>
  <c r="H32" i="456"/>
  <c r="G38" i="455"/>
  <c r="H38" i="455" s="1"/>
  <c r="G37" i="455"/>
  <c r="H37" i="455" s="1"/>
  <c r="H8" i="455"/>
  <c r="H10" i="455" s="1"/>
  <c r="H11" i="455"/>
  <c r="H13" i="455"/>
  <c r="H15" i="455"/>
  <c r="H12" i="455"/>
  <c r="H16" i="455"/>
  <c r="H14" i="455"/>
  <c r="H18" i="455"/>
  <c r="H17" i="455"/>
  <c r="H19" i="455"/>
  <c r="H21" i="455"/>
  <c r="H23" i="455"/>
  <c r="H20" i="455"/>
  <c r="H25" i="455"/>
  <c r="H22" i="455"/>
  <c r="H24" i="455"/>
  <c r="H26" i="455"/>
  <c r="H29" i="455"/>
  <c r="H28" i="455"/>
  <c r="H27" i="455"/>
  <c r="H30" i="455"/>
  <c r="H31" i="455"/>
  <c r="H35" i="455"/>
  <c r="H32" i="455"/>
  <c r="H38" i="454"/>
  <c r="G38" i="454"/>
  <c r="G37" i="454"/>
  <c r="H10" i="454"/>
  <c r="H9" i="454"/>
  <c r="H11" i="454" s="1"/>
  <c r="H8" i="454"/>
  <c r="H13" i="454"/>
  <c r="H14" i="454"/>
  <c r="H15" i="454"/>
  <c r="H12" i="454"/>
  <c r="H16" i="454"/>
  <c r="H17" i="454"/>
  <c r="H18" i="454"/>
  <c r="H21" i="454"/>
  <c r="H22" i="454"/>
  <c r="H19" i="454"/>
  <c r="H20" i="454"/>
  <c r="H23" i="454"/>
  <c r="H24" i="454"/>
  <c r="H25" i="454"/>
  <c r="H26" i="454"/>
  <c r="H27" i="454"/>
  <c r="H29" i="454"/>
  <c r="H28" i="454"/>
  <c r="H30" i="454"/>
  <c r="H31" i="454"/>
  <c r="H35" i="454"/>
  <c r="H33" i="454"/>
  <c r="H36" i="454"/>
  <c r="H32" i="454"/>
  <c r="H34" i="454"/>
  <c r="H37" i="454"/>
  <c r="G38" i="453"/>
  <c r="H38" i="453" s="1"/>
  <c r="G37" i="453"/>
  <c r="H37" i="453" s="1"/>
  <c r="H8" i="453"/>
  <c r="H14" i="453"/>
  <c r="H11" i="453"/>
  <c r="H12" i="453"/>
  <c r="H13" i="453"/>
  <c r="H15" i="453"/>
  <c r="H16" i="453"/>
  <c r="H17" i="453"/>
  <c r="H18" i="453"/>
  <c r="H19" i="453"/>
  <c r="H20" i="453"/>
  <c r="H21" i="453"/>
  <c r="H24" i="453"/>
  <c r="H22" i="453"/>
  <c r="H25" i="453"/>
  <c r="H23" i="453"/>
  <c r="H26" i="453"/>
  <c r="H28" i="453"/>
  <c r="H29" i="453"/>
  <c r="H27" i="453"/>
  <c r="H31" i="453"/>
  <c r="H30" i="453"/>
  <c r="H33" i="453"/>
  <c r="G38" i="452"/>
  <c r="H38" i="452" s="1"/>
  <c r="G37" i="452"/>
  <c r="H37" i="452" s="1"/>
  <c r="H8" i="452"/>
  <c r="H9" i="452"/>
  <c r="H10" i="452"/>
  <c r="H11" i="452"/>
  <c r="H13" i="452"/>
  <c r="H12" i="452"/>
  <c r="H14" i="452"/>
  <c r="H15" i="452"/>
  <c r="H17" i="452"/>
  <c r="H16" i="452"/>
  <c r="H21" i="452"/>
  <c r="H19" i="452"/>
  <c r="H18" i="452"/>
  <c r="H22" i="452"/>
  <c r="H23" i="452"/>
  <c r="H24" i="452"/>
  <c r="H20" i="452"/>
  <c r="H25" i="452"/>
  <c r="H27" i="452"/>
  <c r="H26" i="452"/>
  <c r="H30" i="452"/>
  <c r="H32" i="452"/>
  <c r="H28" i="452"/>
  <c r="H31" i="452"/>
  <c r="H33" i="452"/>
  <c r="G38" i="451"/>
  <c r="H38" i="451" s="1"/>
  <c r="G37" i="451"/>
  <c r="H37" i="451" s="1"/>
  <c r="H8" i="451"/>
  <c r="H10" i="451"/>
  <c r="H11" i="451"/>
  <c r="H9" i="451"/>
  <c r="H16" i="451"/>
  <c r="H14" i="451"/>
  <c r="H15" i="451"/>
  <c r="H18" i="451"/>
  <c r="H17" i="451"/>
  <c r="H19" i="451"/>
  <c r="H22" i="451"/>
  <c r="H21" i="451"/>
  <c r="H23" i="451"/>
  <c r="H20" i="451"/>
  <c r="H24" i="451"/>
  <c r="H25" i="451"/>
  <c r="H26" i="451"/>
  <c r="H27" i="451"/>
  <c r="H28" i="451"/>
  <c r="H30" i="451"/>
  <c r="H29" i="451"/>
  <c r="H31" i="451"/>
  <c r="H32" i="451"/>
  <c r="H33" i="451"/>
  <c r="H35" i="451"/>
  <c r="H36" i="450"/>
  <c r="H35" i="450"/>
  <c r="G38" i="450"/>
  <c r="H38" i="450" s="1"/>
  <c r="G37" i="450"/>
  <c r="H12" i="450"/>
  <c r="H9" i="450"/>
  <c r="H8" i="450"/>
  <c r="H15" i="450"/>
  <c r="H14" i="450"/>
  <c r="H13" i="450"/>
  <c r="H16" i="450"/>
  <c r="H19" i="450"/>
  <c r="H18" i="450"/>
  <c r="H17" i="450"/>
  <c r="H20" i="450"/>
  <c r="H23" i="450"/>
  <c r="H21" i="450"/>
  <c r="H25" i="450"/>
  <c r="H24" i="450"/>
  <c r="H22" i="450"/>
  <c r="H26" i="450"/>
  <c r="H27" i="450"/>
  <c r="H28" i="450"/>
  <c r="H30" i="450"/>
  <c r="H31" i="450"/>
  <c r="H32" i="450"/>
  <c r="H34" i="450"/>
  <c r="H29" i="450"/>
  <c r="H37" i="450"/>
  <c r="G38" i="449"/>
  <c r="H38" i="449" s="1"/>
  <c r="G37" i="449"/>
  <c r="H37" i="449" s="1"/>
  <c r="H8" i="449"/>
  <c r="H12" i="449"/>
  <c r="H9" i="449"/>
  <c r="H10" i="449" s="1"/>
  <c r="H11" i="449"/>
  <c r="H14" i="449"/>
  <c r="H13" i="449"/>
  <c r="H16" i="449"/>
  <c r="H15" i="449"/>
  <c r="H17" i="449"/>
  <c r="H21" i="449"/>
  <c r="H18" i="449"/>
  <c r="H19" i="449"/>
  <c r="H20" i="449"/>
  <c r="H23" i="449"/>
  <c r="H25" i="449"/>
  <c r="H22" i="449"/>
  <c r="H24" i="449"/>
  <c r="H26" i="449"/>
  <c r="H27" i="449"/>
  <c r="H28" i="449"/>
  <c r="H32" i="449"/>
  <c r="H31" i="449"/>
  <c r="H29" i="449"/>
  <c r="H35" i="449"/>
  <c r="G38" i="448"/>
  <c r="H38" i="448" s="1"/>
  <c r="G37" i="448"/>
  <c r="H37" i="448" s="1"/>
  <c r="H8" i="448"/>
  <c r="H10" i="448" s="1"/>
  <c r="H9" i="448"/>
  <c r="H11" i="448"/>
  <c r="H12" i="448"/>
  <c r="H14" i="448"/>
  <c r="H13" i="448"/>
  <c r="H16" i="448"/>
  <c r="H17" i="448"/>
  <c r="H15" i="448"/>
  <c r="H18" i="448"/>
  <c r="H21" i="448"/>
  <c r="H19" i="448"/>
  <c r="H22" i="448"/>
  <c r="H20" i="448"/>
  <c r="H24" i="448"/>
  <c r="H23" i="448"/>
  <c r="H25" i="448"/>
  <c r="H28" i="448"/>
  <c r="H27" i="448"/>
  <c r="H26" i="448"/>
  <c r="H29" i="448"/>
  <c r="H30" i="448"/>
  <c r="H33" i="448"/>
  <c r="H32" i="448"/>
  <c r="H31" i="448"/>
  <c r="H34" i="448"/>
  <c r="G38" i="447"/>
  <c r="H38" i="447" s="1"/>
  <c r="G37" i="447"/>
  <c r="H10" i="447"/>
  <c r="H8" i="447"/>
  <c r="H12" i="447"/>
  <c r="H9" i="447"/>
  <c r="H11" i="447"/>
  <c r="H14" i="447"/>
  <c r="H15" i="447"/>
  <c r="H17" i="447"/>
  <c r="H16" i="447"/>
  <c r="H18" i="447"/>
  <c r="H19" i="447"/>
  <c r="H21" i="447"/>
  <c r="H22" i="447"/>
  <c r="H20" i="447"/>
  <c r="H23" i="447"/>
  <c r="H24" i="447"/>
  <c r="H25" i="447"/>
  <c r="H27" i="447"/>
  <c r="H26" i="447"/>
  <c r="H29" i="447"/>
  <c r="H28" i="447"/>
  <c r="H30" i="447"/>
  <c r="H31" i="447"/>
  <c r="H35" i="447"/>
  <c r="H34" i="447"/>
  <c r="H32" i="447"/>
  <c r="H33" i="447"/>
  <c r="H37" i="447"/>
  <c r="G38" i="446"/>
  <c r="H38" i="446" s="1"/>
  <c r="G37" i="446"/>
  <c r="H37" i="446" s="1"/>
  <c r="H8" i="446"/>
  <c r="H12" i="446"/>
  <c r="H9" i="446"/>
  <c r="H14" i="446"/>
  <c r="H15" i="446"/>
  <c r="H13" i="446"/>
  <c r="H16" i="446"/>
  <c r="H18" i="446"/>
  <c r="H17" i="446"/>
  <c r="H19" i="446"/>
  <c r="H20" i="446"/>
  <c r="H21" i="446"/>
  <c r="H23" i="446"/>
  <c r="H24" i="446"/>
  <c r="H22" i="446"/>
  <c r="H25" i="446"/>
  <c r="H26" i="446"/>
  <c r="H27" i="446"/>
  <c r="H29" i="446"/>
  <c r="H32" i="446"/>
  <c r="H28" i="446"/>
  <c r="H31" i="446"/>
  <c r="H34" i="446"/>
  <c r="H30" i="446"/>
  <c r="H33" i="446"/>
  <c r="H36" i="446"/>
  <c r="G38" i="445"/>
  <c r="H38" i="445" s="1"/>
  <c r="G37" i="445"/>
  <c r="H37" i="445" s="1"/>
  <c r="H10" i="445"/>
  <c r="H8" i="445"/>
  <c r="H9" i="445"/>
  <c r="H11" i="445"/>
  <c r="H12" i="445"/>
  <c r="H15" i="445"/>
  <c r="H16" i="445"/>
  <c r="H17" i="445"/>
  <c r="H13" i="445"/>
  <c r="H14" i="445"/>
  <c r="H18" i="445"/>
  <c r="H19" i="445"/>
  <c r="H20" i="445"/>
  <c r="H21" i="445"/>
  <c r="H25" i="445"/>
  <c r="H22" i="445"/>
  <c r="H23" i="445"/>
  <c r="H26" i="445"/>
  <c r="H24" i="445"/>
  <c r="H27" i="445"/>
  <c r="H28" i="445"/>
  <c r="H31" i="445"/>
  <c r="H29" i="445"/>
  <c r="H35" i="445"/>
  <c r="H33" i="445"/>
  <c r="H32" i="445"/>
  <c r="H36" i="444"/>
  <c r="H33" i="444"/>
  <c r="H34" i="444"/>
  <c r="G38" i="444"/>
  <c r="H38" i="444" s="1"/>
  <c r="G37" i="444"/>
  <c r="H37" i="444" s="1"/>
  <c r="H9" i="444"/>
  <c r="H10" i="444"/>
  <c r="H8" i="444"/>
  <c r="H11" i="444"/>
  <c r="H12" i="444"/>
  <c r="H15" i="444"/>
  <c r="H16" i="444"/>
  <c r="H17" i="444"/>
  <c r="H18" i="444"/>
  <c r="H19" i="444"/>
  <c r="H21" i="444"/>
  <c r="H22" i="444"/>
  <c r="H20" i="444"/>
  <c r="H23" i="444"/>
  <c r="H24" i="444"/>
  <c r="H25" i="444"/>
  <c r="H28" i="444"/>
  <c r="H26" i="444"/>
  <c r="H30" i="444"/>
  <c r="H29" i="444"/>
  <c r="H27" i="444"/>
  <c r="H32" i="444"/>
  <c r="H31" i="444"/>
  <c r="H35" i="444"/>
  <c r="G38" i="443"/>
  <c r="H38" i="443" s="1"/>
  <c r="G37" i="443"/>
  <c r="H37" i="443" s="1"/>
  <c r="H11" i="443"/>
  <c r="H10" i="443"/>
  <c r="H13" i="443"/>
  <c r="H8" i="443"/>
  <c r="H9" i="443"/>
  <c r="H12" i="443"/>
  <c r="H14" i="443"/>
  <c r="H15" i="443"/>
  <c r="H17" i="443"/>
  <c r="H16" i="443"/>
  <c r="H18" i="443"/>
  <c r="H21" i="443"/>
  <c r="H23" i="443"/>
  <c r="H22" i="443"/>
  <c r="H24" i="443"/>
  <c r="H25" i="443"/>
  <c r="H26" i="443"/>
  <c r="H27" i="443"/>
  <c r="H28" i="443"/>
  <c r="H32" i="443"/>
  <c r="H35" i="443"/>
  <c r="H33" i="443"/>
  <c r="G38" i="442"/>
  <c r="H38" i="442" s="1"/>
  <c r="G37" i="442"/>
  <c r="H37" i="442" s="1"/>
  <c r="H9" i="442"/>
  <c r="H8" i="442"/>
  <c r="H10" i="442"/>
  <c r="H13" i="442"/>
  <c r="H14" i="442"/>
  <c r="H16" i="442"/>
  <c r="H15" i="442"/>
  <c r="H17" i="442"/>
  <c r="H18" i="442"/>
  <c r="H19" i="442"/>
  <c r="H23" i="442"/>
  <c r="H20" i="442"/>
  <c r="H21" i="442"/>
  <c r="H24" i="442"/>
  <c r="H22" i="442"/>
  <c r="H25" i="442"/>
  <c r="H26" i="442"/>
  <c r="H30" i="442"/>
  <c r="H27" i="442"/>
  <c r="H29" i="442"/>
  <c r="H28" i="442"/>
  <c r="H33" i="442"/>
  <c r="H35" i="442"/>
  <c r="G38" i="441"/>
  <c r="H38" i="441" s="1"/>
  <c r="G37" i="441"/>
  <c r="H37" i="441" s="1"/>
  <c r="H11" i="441"/>
  <c r="H13" i="441"/>
  <c r="H8" i="441"/>
  <c r="H12" i="441"/>
  <c r="H15" i="441"/>
  <c r="H14" i="441"/>
  <c r="H16" i="441"/>
  <c r="H17" i="441"/>
  <c r="H18" i="441"/>
  <c r="H19" i="441"/>
  <c r="H20" i="441"/>
  <c r="H21" i="441"/>
  <c r="H24" i="441"/>
  <c r="H23" i="441"/>
  <c r="H25" i="441"/>
  <c r="H22" i="441"/>
  <c r="H26" i="441"/>
  <c r="H29" i="441"/>
  <c r="H27" i="441"/>
  <c r="H32" i="441"/>
  <c r="H28" i="441"/>
  <c r="H30" i="441"/>
  <c r="H34" i="441"/>
  <c r="H33" i="441"/>
  <c r="H32" i="440"/>
  <c r="G38" i="440"/>
  <c r="H38" i="440" s="1"/>
  <c r="G37" i="440"/>
  <c r="H37" i="440" s="1"/>
  <c r="H8" i="440"/>
  <c r="H9" i="440"/>
  <c r="H10" i="440"/>
  <c r="H11" i="440"/>
  <c r="H14" i="440"/>
  <c r="H15" i="440"/>
  <c r="H16" i="440"/>
  <c r="H17" i="440"/>
  <c r="H18" i="440"/>
  <c r="H19" i="440"/>
  <c r="H22" i="440"/>
  <c r="H21" i="440"/>
  <c r="H20" i="440"/>
  <c r="H24" i="440"/>
  <c r="H23" i="440"/>
  <c r="H25" i="440"/>
  <c r="H26" i="440"/>
  <c r="H28" i="440"/>
  <c r="H27" i="440"/>
  <c r="H31" i="440"/>
  <c r="H29" i="440"/>
  <c r="H30" i="440"/>
  <c r="H33" i="440"/>
  <c r="H35" i="440"/>
  <c r="A28" i="4"/>
  <c r="H5" i="4"/>
  <c r="M5" i="4"/>
  <c r="H10" i="453" l="1"/>
  <c r="H13" i="451"/>
  <c r="H11" i="450"/>
  <c r="H11" i="446"/>
  <c r="H14" i="444"/>
  <c r="H20" i="443"/>
  <c r="H12" i="442"/>
  <c r="H10" i="441"/>
  <c r="H13" i="440"/>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H7" i="50"/>
  <c r="AN7" i="50"/>
  <c r="AC10" i="50"/>
  <c r="AQ9" i="50"/>
  <c r="AD11" i="50"/>
  <c r="BC7" i="50"/>
  <c r="N9" i="50"/>
  <c r="S7" i="50"/>
  <c r="AZ10" i="50"/>
  <c r="X6" i="50"/>
  <c r="BA6" i="50"/>
  <c r="O10" i="50"/>
  <c r="T8" i="50"/>
  <c r="R11" i="50"/>
  <c r="AY9" i="50"/>
  <c r="AV11" i="50"/>
  <c r="Q8" i="50"/>
  <c r="BA10" i="50"/>
  <c r="P10" i="50"/>
  <c r="BA9" i="50"/>
  <c r="V6" i="50"/>
  <c r="AR8" i="50"/>
  <c r="S8" i="50"/>
  <c r="AZ6" i="50"/>
  <c r="AI7" i="50"/>
  <c r="BC9" i="50"/>
  <c r="Z8" i="50"/>
  <c r="AN9" i="50"/>
  <c r="BB8" i="50"/>
  <c r="AR11" i="50"/>
  <c r="AC11" i="50"/>
  <c r="AK8" i="50"/>
  <c r="R8" i="50"/>
  <c r="L9" i="50"/>
  <c r="AP10" i="50"/>
  <c r="AN8" i="50"/>
  <c r="AW10" i="50"/>
  <c r="Y10" i="50"/>
  <c r="AP11" i="50"/>
  <c r="AU11" i="50"/>
  <c r="W10" i="50"/>
  <c r="AA6" i="50"/>
  <c r="AR9" i="50"/>
  <c r="AV9" i="50"/>
  <c r="AE11" i="50"/>
  <c r="AU7" i="50"/>
  <c r="AT10" i="50"/>
  <c r="Z7" i="50"/>
  <c r="U6" i="50"/>
  <c r="W8" i="50"/>
  <c r="AJ7" i="50"/>
  <c r="R6" i="50"/>
  <c r="BB11" i="50"/>
  <c r="AL6" i="50"/>
  <c r="AG10" i="50"/>
  <c r="BC11" i="50"/>
  <c r="AS8" i="50"/>
  <c r="AI9" i="50"/>
  <c r="AX7" i="50"/>
  <c r="S10" i="50"/>
  <c r="V9" i="50"/>
  <c r="M6" i="50"/>
  <c r="Z11" i="50"/>
  <c r="AL7" i="50"/>
  <c r="BB9" i="50"/>
  <c r="O6" i="50"/>
  <c r="AG9" i="50"/>
  <c r="AI10" i="50"/>
  <c r="AU6" i="50"/>
  <c r="AP9" i="50"/>
  <c r="AT6" i="50"/>
  <c r="AC7" i="50"/>
  <c r="AF6" i="50"/>
  <c r="L8" i="50"/>
  <c r="AN10" i="50"/>
  <c r="AY8" i="50"/>
  <c r="AQ6" i="50"/>
  <c r="AY10" i="50"/>
  <c r="AL10" i="50"/>
  <c r="P7" i="50"/>
  <c r="AK11" i="50"/>
  <c r="X7" i="50"/>
  <c r="AM8" i="50"/>
  <c r="U10" i="50"/>
  <c r="BA7" i="50"/>
  <c r="AK9" i="50"/>
  <c r="AG8" i="50"/>
  <c r="AA7" i="50"/>
  <c r="AS6" i="50"/>
  <c r="AA11" i="50"/>
  <c r="BB10" i="50"/>
  <c r="S11" i="50"/>
  <c r="AB8" i="50"/>
  <c r="U9" i="50"/>
  <c r="AE6" i="50"/>
  <c r="AR6" i="50"/>
  <c r="X11" i="50"/>
  <c r="AH10" i="50"/>
  <c r="U11" i="50"/>
  <c r="Q7" i="50"/>
  <c r="T9" i="50"/>
  <c r="AO8" i="50"/>
  <c r="AC6" i="50"/>
  <c r="BC6" i="50"/>
  <c r="AW11" i="50"/>
  <c r="Q10" i="50"/>
  <c r="AF7" i="50"/>
  <c r="R10" i="50"/>
  <c r="AM9" i="50"/>
  <c r="N7" i="50"/>
  <c r="AE8" i="50"/>
  <c r="M10" i="50"/>
  <c r="AF11" i="50"/>
  <c r="AB7" i="50"/>
  <c r="BC8" i="50"/>
  <c r="AP6" i="50"/>
  <c r="Y9" i="50"/>
  <c r="AQ10" i="50"/>
  <c r="AN11" i="50"/>
  <c r="L10" i="50"/>
  <c r="AE7" i="50"/>
  <c r="S6" i="50"/>
  <c r="T6" i="50"/>
  <c r="AL9" i="50"/>
  <c r="AO11" i="50"/>
  <c r="X8" i="50"/>
  <c r="AH9" i="50"/>
  <c r="P11" i="50"/>
  <c r="N6" i="50"/>
  <c r="Q9" i="50"/>
  <c r="AM10" i="50"/>
  <c r="AZ9" i="50"/>
  <c r="Y8" i="50"/>
  <c r="AS10" i="50"/>
  <c r="O7" i="50"/>
  <c r="Q11" i="50"/>
  <c r="AC8" i="50"/>
  <c r="AA8" i="50"/>
  <c r="V11" i="50"/>
  <c r="AO10" i="50"/>
  <c r="AP8" i="50"/>
  <c r="BA11" i="50"/>
  <c r="Z9" i="50"/>
  <c r="AI11" i="50"/>
  <c r="AD10" i="50"/>
  <c r="AE9" i="50"/>
  <c r="N11" i="50"/>
  <c r="W9" i="50"/>
  <c r="AU8" i="50"/>
  <c r="AS11" i="50"/>
  <c r="W6" i="50"/>
  <c r="AY11" i="50"/>
  <c r="AW6" i="50"/>
  <c r="AC9" i="50"/>
  <c r="AX10" i="50"/>
  <c r="BC10" i="50"/>
  <c r="Y7" i="50"/>
  <c r="AF9" i="50"/>
  <c r="AO9" i="50"/>
  <c r="AJ11" i="50"/>
  <c r="AB11" i="50"/>
  <c r="AR7" i="50"/>
  <c r="AG11" i="50"/>
  <c r="AX6" i="50"/>
  <c r="AJ8" i="50"/>
  <c r="AR10" i="50"/>
  <c r="AF8" i="50"/>
  <c r="V7" i="50"/>
  <c r="Z10" i="50"/>
  <c r="R9" i="50"/>
  <c r="AI8" i="50"/>
  <c r="U7" i="50"/>
  <c r="BB6" i="50"/>
  <c r="AL8" i="50"/>
  <c r="M8" i="50"/>
  <c r="AP7" i="50"/>
  <c r="AX8" i="50"/>
  <c r="V10" i="50"/>
  <c r="X10" i="50"/>
  <c r="AS9" i="50"/>
  <c r="AK7" i="50"/>
  <c r="AD9" i="50"/>
  <c r="AV6" i="50"/>
  <c r="AB6" i="50"/>
  <c r="AH11" i="50"/>
  <c r="AT11" i="50"/>
  <c r="AV10" i="50"/>
  <c r="P9" i="50"/>
  <c r="L7" i="50"/>
  <c r="AA10" i="50"/>
  <c r="BA8" i="50"/>
  <c r="Q6" i="50"/>
  <c r="AN6" i="50"/>
  <c r="T11" i="50"/>
  <c r="S9" i="50"/>
  <c r="AE10" i="50"/>
  <c r="AF10" i="50"/>
  <c r="AL11" i="50"/>
  <c r="M9" i="50"/>
  <c r="AZ8" i="50"/>
  <c r="AO7" i="50"/>
  <c r="AX9" i="50"/>
  <c r="AX11" i="50"/>
  <c r="AG6" i="50"/>
  <c r="AD7" i="50"/>
  <c r="Z6" i="50"/>
  <c r="U8" i="50"/>
  <c r="AB9" i="50"/>
  <c r="R7" i="50"/>
  <c r="AW7" i="50"/>
  <c r="AY6" i="50"/>
  <c r="AV7" i="50"/>
  <c r="AM7" i="50"/>
  <c r="AU10" i="50"/>
  <c r="AV8" i="50"/>
  <c r="P8" i="50"/>
  <c r="AI6" i="50"/>
  <c r="X9" i="50"/>
  <c r="AW8" i="50"/>
  <c r="AD6" i="50"/>
  <c r="AM11" i="50"/>
  <c r="AS7" i="50"/>
  <c r="N8" i="50"/>
  <c r="AB10" i="50"/>
  <c r="T7" i="50"/>
  <c r="O8" i="50"/>
  <c r="AD8" i="50"/>
  <c r="AH8" i="50"/>
  <c r="P6" i="50"/>
  <c r="AK10" i="50"/>
  <c r="AJ6" i="50"/>
  <c r="AH6" i="50"/>
  <c r="AJ9" i="50"/>
  <c r="AW9" i="50"/>
  <c r="AM6" i="50"/>
  <c r="AJ10" i="50"/>
  <c r="AO6" i="50"/>
  <c r="AQ8" i="50"/>
  <c r="AA9" i="50"/>
  <c r="AK6" i="50"/>
  <c r="AG7" i="50"/>
  <c r="V8" i="50"/>
  <c r="O9" i="50"/>
  <c r="Y6" i="50"/>
  <c r="AQ11" i="50"/>
  <c r="AZ7" i="50"/>
  <c r="L11" i="50"/>
  <c r="W11" i="50"/>
  <c r="N10" i="50"/>
  <c r="M7" i="50"/>
  <c r="BB7" i="50"/>
  <c r="AY7" i="50"/>
  <c r="AT9" i="50"/>
  <c r="M11" i="50"/>
  <c r="AQ7" i="50"/>
  <c r="AU9" i="50"/>
  <c r="L6" i="50"/>
  <c r="T10" i="50"/>
  <c r="AT8" i="50"/>
  <c r="Y11" i="50"/>
  <c r="W7" i="50"/>
  <c r="O11" i="50"/>
  <c r="AZ11" i="50"/>
  <c r="AT7"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Q15" i="1" l="1"/>
  <c r="AQ16" i="1"/>
  <c r="O16" i="1" s="1"/>
  <c r="A16" i="1" s="1"/>
  <c r="AQ23" i="1"/>
  <c r="AQ10" i="4"/>
  <c r="AQ12" i="1"/>
  <c r="AQ12" i="4"/>
  <c r="AQ17" i="1"/>
  <c r="AQ20" i="1"/>
  <c r="N20" i="1" s="1"/>
  <c r="AQ22" i="1"/>
  <c r="AQ14" i="1"/>
  <c r="O14" i="1" s="1"/>
  <c r="A14" i="1" s="1"/>
  <c r="AQ22" i="4"/>
  <c r="AQ19" i="1"/>
  <c r="AQ10" i="1"/>
  <c r="AQ11" i="1"/>
  <c r="AQ9" i="137"/>
  <c r="AQ10" i="137"/>
  <c r="AQ6" i="137"/>
  <c r="AQ8" i="137"/>
  <c r="AQ7" i="137"/>
  <c r="AQ6" i="4"/>
  <c r="N23" i="1"/>
  <c r="O11" i="1"/>
  <c r="A11" i="1" s="1"/>
  <c r="N17" i="1"/>
  <c r="N19" i="1"/>
  <c r="N12" i="4"/>
  <c r="O15" i="1"/>
  <c r="A15"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U4" i="150"/>
  <c r="AT4" i="150"/>
  <c r="AR4" i="150"/>
  <c r="AS4" i="4"/>
  <c r="AU4" i="4"/>
  <c r="AT4" i="4"/>
  <c r="AR4" i="4"/>
  <c r="AS4" i="1"/>
  <c r="AU4" i="1"/>
  <c r="AT4" i="1"/>
  <c r="AR4" i="1"/>
  <c r="AT4" i="137"/>
  <c r="AU4" i="137"/>
  <c r="AR4" i="137"/>
  <c r="AS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AP4" i="4" l="1"/>
  <c r="AP4" i="1"/>
  <c r="AP4" i="137"/>
  <c r="AP4" i="150"/>
  <c r="AN4" i="150"/>
  <c r="AN4" i="4"/>
  <c r="AN4" i="137"/>
  <c r="AN4" i="1"/>
  <c r="BB28" i="50"/>
  <c r="BA45" i="50"/>
  <c r="BB15" i="50"/>
  <c r="AA12" i="50"/>
  <c r="AS22" i="50"/>
  <c r="AB32" i="50"/>
  <c r="Z14" i="50"/>
  <c r="AE19" i="50"/>
  <c r="AH36" i="50"/>
  <c r="BC31" i="50"/>
  <c r="AM27" i="50"/>
  <c r="X5" i="50"/>
  <c r="AT46" i="50"/>
  <c r="AK24" i="50"/>
  <c r="P29" i="50"/>
  <c r="P24" i="50"/>
  <c r="BB22" i="50"/>
  <c r="AZ42" i="50"/>
  <c r="AW40" i="50"/>
  <c r="AB28" i="50"/>
  <c r="AS34" i="50"/>
  <c r="AX5" i="50"/>
  <c r="N5" i="50"/>
  <c r="BC37" i="50"/>
  <c r="AG12" i="50"/>
  <c r="AB14" i="50"/>
  <c r="Q38" i="50"/>
  <c r="Q36" i="50"/>
  <c r="BB4" i="50"/>
  <c r="AM47" i="50"/>
  <c r="N4" i="50"/>
  <c r="V30" i="50"/>
  <c r="N23" i="50"/>
  <c r="W43" i="50"/>
  <c r="AH38" i="50"/>
  <c r="S15" i="50"/>
  <c r="BC15" i="50"/>
  <c r="O39" i="50"/>
  <c r="Z48" i="50"/>
  <c r="AD30" i="50"/>
  <c r="AX25" i="50"/>
  <c r="AP15" i="50"/>
  <c r="AI15" i="50"/>
  <c r="O28" i="50"/>
  <c r="AE51" i="50"/>
  <c r="AI52" i="50"/>
  <c r="O43" i="50"/>
  <c r="AQ42" i="50"/>
  <c r="X16" i="50"/>
  <c r="BC19" i="50"/>
  <c r="AW46" i="50"/>
  <c r="AY20" i="50"/>
  <c r="AE47" i="50"/>
  <c r="BC49" i="50"/>
  <c r="AU5" i="50"/>
  <c r="S45" i="50"/>
  <c r="AR26" i="50"/>
  <c r="AZ32" i="50"/>
  <c r="AD29" i="50"/>
  <c r="AL46" i="50"/>
  <c r="AB21" i="50"/>
  <c r="AZ38" i="50"/>
  <c r="Y39" i="50"/>
  <c r="AC51" i="50"/>
  <c r="L30" i="50"/>
  <c r="AX16" i="50"/>
  <c r="AW12" i="50"/>
  <c r="AE22" i="50"/>
  <c r="S35" i="50"/>
  <c r="W31" i="50"/>
  <c r="AJ47" i="50"/>
  <c r="AY29" i="50"/>
  <c r="Q51" i="50"/>
  <c r="N20" i="50"/>
  <c r="AC36" i="50"/>
  <c r="L25" i="50"/>
  <c r="AI45" i="50"/>
  <c r="AC27" i="50"/>
  <c r="P47" i="50"/>
  <c r="AF45" i="50"/>
  <c r="M45" i="50"/>
  <c r="N33" i="50"/>
  <c r="BB32" i="50"/>
  <c r="AN21" i="50"/>
  <c r="W5" i="50"/>
  <c r="Q16" i="50"/>
  <c r="Q48" i="50"/>
  <c r="AU23" i="50"/>
  <c r="AC50" i="50"/>
  <c r="V21" i="50"/>
  <c r="U24" i="50"/>
  <c r="AY34" i="50"/>
  <c r="AP21" i="50"/>
  <c r="AZ4" i="50"/>
  <c r="N48" i="50"/>
  <c r="AA41" i="50"/>
  <c r="AK41" i="50"/>
  <c r="AW34" i="50"/>
  <c r="AT36" i="50"/>
  <c r="AN48" i="50"/>
  <c r="AF19" i="50"/>
  <c r="AB18" i="50"/>
  <c r="X49" i="50"/>
  <c r="AH43" i="50"/>
  <c r="AP28" i="50"/>
  <c r="AY27" i="50"/>
  <c r="AJ31" i="50"/>
  <c r="AP35" i="50"/>
  <c r="AJ48" i="50"/>
  <c r="Y32" i="50"/>
  <c r="BC13" i="50"/>
  <c r="AB44" i="50"/>
  <c r="BA15" i="50"/>
  <c r="Z36" i="50"/>
  <c r="M25" i="50"/>
  <c r="AD22" i="50"/>
  <c r="BC35" i="50"/>
  <c r="AK12" i="50"/>
  <c r="AV35" i="50"/>
  <c r="AN33" i="50"/>
  <c r="M42" i="50"/>
  <c r="AH30" i="50"/>
  <c r="S25" i="50"/>
  <c r="R52" i="50"/>
  <c r="AN15" i="50"/>
  <c r="AH45" i="50"/>
  <c r="AB22" i="50"/>
  <c r="AD52" i="50"/>
  <c r="AN23" i="50"/>
  <c r="AY23" i="50"/>
  <c r="AM23" i="50"/>
  <c r="AH20" i="50"/>
  <c r="AE50" i="50"/>
  <c r="AR42" i="50"/>
  <c r="AI42" i="50"/>
  <c r="Y18" i="50"/>
  <c r="AQ29" i="50"/>
  <c r="X33" i="50"/>
  <c r="AS18" i="50"/>
  <c r="Z18" i="50"/>
  <c r="AT42" i="50"/>
  <c r="AF51" i="50"/>
  <c r="AX46" i="50"/>
  <c r="AP32" i="50"/>
  <c r="AW19" i="50"/>
  <c r="AL39" i="50"/>
  <c r="AA35" i="50"/>
  <c r="L33" i="50"/>
  <c r="Y22" i="50"/>
  <c r="Y43" i="50"/>
  <c r="AM51" i="50"/>
  <c r="AB20" i="50"/>
  <c r="M34" i="50"/>
  <c r="AY47" i="50"/>
  <c r="AW30" i="50"/>
  <c r="AI13" i="50"/>
  <c r="W42" i="50"/>
  <c r="U17" i="50"/>
  <c r="P19" i="50"/>
  <c r="L46" i="50"/>
  <c r="N40" i="50"/>
  <c r="AW44" i="50"/>
  <c r="AK45" i="50"/>
  <c r="AN20" i="50"/>
  <c r="AS50" i="50"/>
  <c r="Z34" i="50"/>
  <c r="AE25" i="50"/>
  <c r="U39" i="50"/>
  <c r="AI46" i="50"/>
  <c r="W32" i="50"/>
  <c r="AD32" i="50"/>
  <c r="X4" i="50"/>
  <c r="AU32" i="50"/>
  <c r="AG22" i="50"/>
  <c r="AM48" i="50"/>
  <c r="AN31" i="50"/>
  <c r="AL51" i="50"/>
  <c r="AM29" i="50"/>
  <c r="AE46" i="50"/>
  <c r="BB49" i="50"/>
  <c r="T34" i="50"/>
  <c r="AS24" i="50"/>
  <c r="L40" i="50"/>
  <c r="S51" i="50"/>
  <c r="AC17" i="50"/>
  <c r="Q34" i="50"/>
  <c r="AY51" i="50"/>
  <c r="AO49" i="50"/>
  <c r="AP47" i="50"/>
  <c r="V50" i="50"/>
  <c r="P25" i="50"/>
  <c r="AI5" i="50"/>
  <c r="M47" i="50"/>
  <c r="O14" i="50"/>
  <c r="BA21" i="50"/>
  <c r="T13" i="50"/>
  <c r="AH5" i="50"/>
  <c r="AI27" i="50"/>
  <c r="BB24" i="50"/>
  <c r="AQ30" i="50"/>
  <c r="AE14" i="50"/>
  <c r="AS42" i="50"/>
  <c r="O20" i="50"/>
  <c r="AL40" i="50"/>
  <c r="AV38" i="50"/>
  <c r="AX31" i="50"/>
  <c r="Q49" i="50"/>
  <c r="M12" i="50"/>
  <c r="Q33" i="50"/>
  <c r="AR39" i="50"/>
  <c r="AW41" i="50"/>
  <c r="Y17" i="50"/>
  <c r="AO39" i="50"/>
  <c r="AB4" i="50"/>
  <c r="AT33" i="50"/>
  <c r="BC4" i="50"/>
  <c r="AB38" i="50"/>
  <c r="U32" i="50"/>
  <c r="AR40" i="50"/>
  <c r="S27" i="50"/>
  <c r="BB50" i="50"/>
  <c r="AS36" i="50"/>
  <c r="R29" i="50"/>
  <c r="M41" i="50"/>
  <c r="AO50" i="50"/>
  <c r="AP16" i="50"/>
  <c r="AT4" i="50"/>
  <c r="AW43" i="50"/>
  <c r="V4" i="50"/>
  <c r="AY21" i="50"/>
  <c r="AZ46" i="50"/>
  <c r="AH21" i="50"/>
  <c r="AX35" i="50"/>
  <c r="AJ35" i="50"/>
  <c r="BA5" i="50"/>
  <c r="AV49" i="50"/>
  <c r="AN28" i="50"/>
  <c r="AZ45" i="50"/>
  <c r="AS41" i="50"/>
  <c r="L24" i="50"/>
  <c r="AM30" i="50"/>
  <c r="AD47" i="50"/>
  <c r="L43" i="50"/>
  <c r="U5" i="50"/>
  <c r="AB35" i="50"/>
  <c r="AV29" i="50"/>
  <c r="BC5" i="50"/>
  <c r="BB46" i="50"/>
  <c r="T36" i="50"/>
  <c r="T23" i="50"/>
  <c r="AV21" i="50"/>
  <c r="AD46" i="50"/>
  <c r="AM39" i="50"/>
  <c r="R34" i="50"/>
  <c r="AR33" i="50"/>
  <c r="AA20" i="50"/>
  <c r="AV46" i="50"/>
  <c r="AJ22" i="50"/>
  <c r="Z31" i="50"/>
  <c r="AG23" i="50"/>
  <c r="U4" i="50"/>
  <c r="AQ28" i="50"/>
  <c r="X27" i="50"/>
  <c r="R27" i="50"/>
  <c r="AB47" i="50"/>
  <c r="AA46" i="50"/>
  <c r="AY31" i="50"/>
  <c r="AO34" i="50"/>
  <c r="BB42" i="50"/>
  <c r="BB39" i="50"/>
  <c r="L16" i="50"/>
  <c r="AV14" i="50"/>
  <c r="AD20" i="50"/>
  <c r="BB31" i="50"/>
  <c r="AN27" i="50"/>
  <c r="AF44" i="50"/>
  <c r="P50" i="50"/>
  <c r="W20" i="50"/>
  <c r="AG19" i="50"/>
  <c r="AX44" i="50"/>
  <c r="AK50" i="50"/>
  <c r="V17" i="50"/>
  <c r="Q18" i="50"/>
  <c r="AW4" i="50"/>
  <c r="AT20" i="50"/>
  <c r="AG15" i="50"/>
  <c r="V31" i="50"/>
  <c r="N17" i="50"/>
  <c r="L18" i="50"/>
  <c r="M52" i="50"/>
  <c r="AJ49" i="50"/>
  <c r="AD51" i="50"/>
  <c r="V12" i="50"/>
  <c r="AP37" i="50"/>
  <c r="AB15" i="50"/>
  <c r="L21" i="50"/>
  <c r="AY43" i="50"/>
  <c r="Y29" i="50"/>
  <c r="R20" i="50"/>
  <c r="AU48" i="50"/>
  <c r="AU33" i="50"/>
  <c r="W23" i="50"/>
  <c r="AE5" i="50"/>
  <c r="AQ20" i="50"/>
  <c r="AA16" i="50"/>
  <c r="AA22" i="50"/>
  <c r="AP38" i="50"/>
  <c r="AO16" i="50"/>
  <c r="AT23" i="50"/>
  <c r="V16" i="50"/>
  <c r="AV44" i="50"/>
  <c r="U52" i="50"/>
  <c r="AD28" i="50"/>
  <c r="R21" i="50"/>
  <c r="U40" i="50"/>
  <c r="AG16" i="50"/>
  <c r="AF14" i="50"/>
  <c r="AU43" i="50"/>
  <c r="AC16" i="50"/>
  <c r="L39" i="50"/>
  <c r="AK29" i="50"/>
  <c r="AF34" i="50"/>
  <c r="AO42" i="50"/>
  <c r="AG52" i="50"/>
  <c r="U14" i="50"/>
  <c r="AV37" i="50"/>
  <c r="AE26" i="50"/>
  <c r="AW22" i="50"/>
  <c r="X45" i="50"/>
  <c r="AE34" i="50"/>
  <c r="AI37" i="50"/>
  <c r="T28" i="50"/>
  <c r="AH4" i="50"/>
  <c r="AA47" i="50"/>
  <c r="AZ24" i="50"/>
  <c r="O46" i="50"/>
  <c r="P44" i="50"/>
  <c r="AN4" i="50"/>
  <c r="AP51" i="50"/>
  <c r="W52" i="50"/>
  <c r="BC44" i="50"/>
  <c r="AZ43" i="50"/>
  <c r="BC48" i="50"/>
  <c r="AE45" i="50"/>
  <c r="AD41" i="50"/>
  <c r="AA34" i="50"/>
  <c r="AT16" i="50"/>
  <c r="AQ22" i="50"/>
  <c r="AR23" i="50"/>
  <c r="P40" i="50"/>
  <c r="AW49" i="50"/>
  <c r="W37" i="50"/>
  <c r="W21" i="50"/>
  <c r="AF24" i="50"/>
  <c r="AL48" i="50"/>
  <c r="X52" i="50"/>
  <c r="O22" i="50"/>
  <c r="V15" i="50"/>
  <c r="AC28" i="50"/>
  <c r="AD45" i="50"/>
  <c r="U27" i="50"/>
  <c r="U29" i="50"/>
  <c r="AX28" i="50"/>
  <c r="BC27" i="50"/>
  <c r="T31" i="50"/>
  <c r="AG40" i="50"/>
  <c r="P33" i="50"/>
  <c r="AJ52" i="50"/>
  <c r="V22" i="50"/>
  <c r="AE21" i="50"/>
  <c r="AT5" i="50"/>
  <c r="AQ14" i="50"/>
  <c r="L29" i="50"/>
  <c r="AE23" i="50"/>
  <c r="AQ21" i="50"/>
  <c r="W40" i="50"/>
  <c r="AY24" i="50"/>
  <c r="AP45" i="50"/>
  <c r="V14" i="50"/>
  <c r="AC44" i="50"/>
  <c r="L13" i="50"/>
  <c r="AF18" i="50"/>
  <c r="AU16" i="50"/>
  <c r="BA4" i="50"/>
  <c r="AR31" i="50"/>
  <c r="AF40" i="50"/>
  <c r="R42" i="50"/>
  <c r="AH22" i="50"/>
  <c r="AE40" i="50"/>
  <c r="AN25" i="50"/>
  <c r="AR47" i="50"/>
  <c r="O27" i="50"/>
  <c r="AI38" i="50"/>
  <c r="AV31" i="50"/>
  <c r="AX42" i="50"/>
  <c r="AU42" i="50"/>
  <c r="BB30" i="50"/>
  <c r="AX32" i="50"/>
  <c r="AQ51" i="50"/>
  <c r="T32" i="50"/>
  <c r="Y52" i="50"/>
  <c r="AP34" i="50"/>
  <c r="V45" i="50"/>
  <c r="AY25" i="50"/>
  <c r="AX13" i="50"/>
  <c r="V44" i="50"/>
  <c r="AG51" i="50"/>
  <c r="BA25" i="50"/>
  <c r="AW24" i="50"/>
  <c r="AO33" i="50"/>
  <c r="Y37" i="50"/>
  <c r="AC23" i="50"/>
  <c r="BC14" i="50"/>
  <c r="W19" i="50"/>
  <c r="R4" i="50"/>
  <c r="AA4" i="50"/>
  <c r="AS35" i="50"/>
  <c r="AF22" i="50"/>
  <c r="AA15" i="50"/>
  <c r="AT13" i="50"/>
  <c r="Z43" i="50"/>
  <c r="AM31" i="50"/>
  <c r="AW21" i="50"/>
  <c r="AL37" i="50"/>
  <c r="AW45" i="50"/>
  <c r="AZ30" i="50"/>
  <c r="AT25" i="50"/>
  <c r="AV50" i="50"/>
  <c r="AD31" i="50"/>
  <c r="V19" i="50"/>
  <c r="AB34" i="50"/>
  <c r="AK49" i="50"/>
  <c r="AU4" i="50"/>
  <c r="U49" i="50"/>
  <c r="BB29" i="50"/>
  <c r="AY41" i="50"/>
  <c r="R37" i="50"/>
  <c r="AE37" i="50"/>
  <c r="AH47" i="50"/>
  <c r="AE35" i="50"/>
  <c r="AF15" i="50"/>
  <c r="P39" i="50"/>
  <c r="AW47" i="50"/>
  <c r="AB23" i="50"/>
  <c r="S40" i="50"/>
  <c r="AD5" i="50"/>
  <c r="BA47" i="50"/>
  <c r="AO25" i="50"/>
  <c r="AR20" i="50"/>
  <c r="AB45" i="50"/>
  <c r="BA37" i="50"/>
  <c r="AO31" i="50"/>
  <c r="AF21" i="50"/>
  <c r="X14" i="50"/>
  <c r="AB30" i="50"/>
  <c r="AP33" i="50"/>
  <c r="AJ32" i="50"/>
  <c r="P52" i="50"/>
  <c r="AG13" i="50"/>
  <c r="Q19" i="50"/>
  <c r="AL42" i="50"/>
  <c r="S43" i="50"/>
  <c r="AK23" i="50"/>
  <c r="AF38" i="50"/>
  <c r="T21" i="50"/>
  <c r="U50" i="50"/>
  <c r="X38" i="50"/>
  <c r="AF52" i="50"/>
  <c r="AS17" i="50"/>
  <c r="AX30" i="50"/>
  <c r="AS51" i="50"/>
  <c r="AS44" i="50"/>
  <c r="U44" i="50"/>
  <c r="T30" i="50"/>
  <c r="AE42" i="50"/>
  <c r="AG25" i="50"/>
  <c r="AY28" i="50"/>
  <c r="V13" i="50"/>
  <c r="AB5" i="50"/>
  <c r="Y47" i="50"/>
  <c r="X51" i="50"/>
  <c r="Z19" i="50"/>
  <c r="AK35" i="50"/>
  <c r="AK39" i="50"/>
  <c r="AC38" i="50"/>
  <c r="P16" i="50"/>
  <c r="V52" i="50"/>
  <c r="AL5" i="50"/>
  <c r="Y44" i="50"/>
  <c r="AR12" i="50"/>
  <c r="X32" i="50"/>
  <c r="AH19" i="50"/>
  <c r="AA48" i="50"/>
  <c r="AD27" i="50"/>
  <c r="AK31" i="50"/>
  <c r="AJ29" i="50"/>
  <c r="AX27" i="50"/>
  <c r="AN34" i="50"/>
  <c r="AD34" i="50"/>
  <c r="AH37" i="50"/>
  <c r="AQ17" i="50"/>
  <c r="AY33" i="50"/>
  <c r="AS52" i="50"/>
  <c r="AE33" i="50"/>
  <c r="S21" i="50"/>
  <c r="O32" i="50"/>
  <c r="AZ29" i="50"/>
  <c r="AL21" i="50"/>
  <c r="AH32" i="50"/>
  <c r="AE32" i="50"/>
  <c r="AK38" i="50"/>
  <c r="AO19" i="50"/>
  <c r="U13" i="50"/>
  <c r="AU40" i="50"/>
  <c r="N24" i="50"/>
  <c r="R23" i="50"/>
  <c r="R38" i="50"/>
  <c r="AR49" i="50"/>
  <c r="AY17" i="50"/>
  <c r="AI41" i="50"/>
  <c r="AS45" i="50"/>
  <c r="AV5" i="50"/>
  <c r="AR13" i="50"/>
  <c r="AF41" i="50"/>
  <c r="AM45" i="50"/>
  <c r="AY26" i="50"/>
  <c r="AQ24" i="50"/>
  <c r="BA49" i="50"/>
  <c r="AT31" i="50"/>
  <c r="U45" i="50"/>
  <c r="AQ37" i="50"/>
  <c r="AD37" i="50"/>
  <c r="AD38" i="50"/>
  <c r="AS40" i="50"/>
  <c r="AG48" i="50"/>
  <c r="AQ39" i="50"/>
  <c r="AZ25" i="50"/>
  <c r="O36" i="50"/>
  <c r="L52" i="50"/>
  <c r="W46" i="50"/>
  <c r="AN43" i="50"/>
  <c r="AE12" i="50"/>
  <c r="AV48" i="50"/>
  <c r="AR4" i="50"/>
  <c r="AQ19" i="50"/>
  <c r="AC32" i="50"/>
  <c r="W22" i="50"/>
  <c r="AU44" i="50"/>
  <c r="AQ38" i="50"/>
  <c r="AB46" i="50"/>
  <c r="R50" i="50"/>
  <c r="AH35" i="50"/>
  <c r="AU39" i="50"/>
  <c r="R30" i="50"/>
  <c r="U22" i="50"/>
  <c r="V36" i="50"/>
  <c r="W39" i="50"/>
  <c r="AU26" i="50"/>
  <c r="AO44" i="50"/>
  <c r="R31" i="50"/>
  <c r="AQ16" i="50"/>
  <c r="AC41" i="50"/>
  <c r="AI25" i="50"/>
  <c r="AZ19" i="50"/>
  <c r="AV43" i="50"/>
  <c r="AU47" i="50"/>
  <c r="AJ40" i="50"/>
  <c r="X43" i="50"/>
  <c r="AM52" i="50"/>
  <c r="AE27" i="50"/>
  <c r="AS46" i="50"/>
  <c r="AX34" i="50"/>
  <c r="AJ4" i="50"/>
  <c r="AQ41" i="50"/>
  <c r="AF20" i="50"/>
  <c r="L50" i="50"/>
  <c r="AU35" i="50"/>
  <c r="Y13" i="50"/>
  <c r="O35" i="50"/>
  <c r="AA50" i="50"/>
  <c r="AF4" i="50"/>
  <c r="AG28" i="50"/>
  <c r="Q40" i="50"/>
  <c r="AB43" i="50"/>
  <c r="R46" i="50"/>
  <c r="AF33" i="50"/>
  <c r="S42" i="50"/>
  <c r="AS48" i="50"/>
  <c r="BC26" i="50"/>
  <c r="AP43" i="50"/>
  <c r="AS21" i="50"/>
  <c r="AX19" i="50"/>
  <c r="AP4" i="50"/>
  <c r="T12" i="50"/>
  <c r="AZ35" i="50"/>
  <c r="S23" i="50"/>
  <c r="AP25" i="50"/>
  <c r="BC46" i="50"/>
  <c r="BA34" i="50"/>
  <c r="S28" i="50"/>
  <c r="AT21" i="50"/>
  <c r="AJ16" i="50"/>
  <c r="AX14" i="50"/>
  <c r="AW42" i="50"/>
  <c r="AT17" i="50"/>
  <c r="BB16" i="50"/>
  <c r="X30" i="50"/>
  <c r="AJ43" i="50"/>
  <c r="V38" i="50"/>
  <c r="AE49" i="50"/>
  <c r="AL27" i="50"/>
  <c r="AO38" i="50"/>
  <c r="M39" i="50"/>
  <c r="T44" i="50"/>
  <c r="BA33" i="50"/>
  <c r="AT40" i="50"/>
  <c r="AU22" i="50"/>
  <c r="AT37" i="50"/>
  <c r="AH48" i="50"/>
  <c r="AA33" i="50"/>
  <c r="AR29" i="50"/>
  <c r="AF12" i="50"/>
  <c r="AH15" i="50"/>
  <c r="P15" i="50"/>
  <c r="Q39" i="50"/>
  <c r="V39" i="50"/>
  <c r="P34" i="50"/>
  <c r="AG43" i="50"/>
  <c r="L20" i="50"/>
  <c r="AC4" i="50"/>
  <c r="AM15" i="50"/>
  <c r="AF5" i="50"/>
  <c r="Y33" i="50"/>
  <c r="AS28" i="50"/>
  <c r="AC49" i="50"/>
  <c r="Y5" i="50"/>
  <c r="BC28" i="50"/>
  <c r="AK44" i="50"/>
  <c r="AX47" i="50"/>
  <c r="Y42" i="50"/>
  <c r="U23" i="50"/>
  <c r="AN17" i="50"/>
  <c r="BB25" i="50"/>
  <c r="AD16" i="50"/>
  <c r="AT24" i="50"/>
  <c r="Q23" i="50"/>
  <c r="O50" i="50"/>
  <c r="AP41" i="50"/>
  <c r="BA18" i="50"/>
  <c r="AU37" i="50"/>
  <c r="Z5" i="50"/>
  <c r="T29" i="50"/>
  <c r="S37" i="50"/>
  <c r="Q17" i="50"/>
  <c r="AV16" i="50"/>
  <c r="AH44" i="50"/>
  <c r="T43" i="50"/>
  <c r="Z49" i="50"/>
  <c r="AO18" i="50"/>
  <c r="AM33" i="50"/>
  <c r="AJ33" i="50"/>
  <c r="AE31" i="50"/>
  <c r="AG5" i="50"/>
  <c r="AZ16" i="50"/>
  <c r="Z30" i="50"/>
  <c r="V24" i="50"/>
  <c r="L34" i="50"/>
  <c r="AE39" i="50"/>
  <c r="AZ39" i="50"/>
  <c r="AD15" i="50"/>
  <c r="BC42" i="50"/>
  <c r="AI47" i="50"/>
  <c r="AR18" i="50"/>
  <c r="AM34" i="50"/>
  <c r="M15" i="50"/>
  <c r="M32" i="50"/>
  <c r="AN47" i="50"/>
  <c r="P4" i="50"/>
  <c r="AI43" i="50"/>
  <c r="AO26" i="50"/>
  <c r="R44" i="50"/>
  <c r="X12" i="50"/>
  <c r="AD44" i="50"/>
  <c r="BA29" i="50"/>
  <c r="X22" i="50"/>
  <c r="AP5" i="50"/>
  <c r="S46" i="50"/>
  <c r="AR38" i="50"/>
  <c r="AH13" i="50"/>
  <c r="AV42" i="50"/>
  <c r="AA36" i="50"/>
  <c r="AI36" i="50"/>
  <c r="R18" i="50"/>
  <c r="T46" i="50"/>
  <c r="AB31" i="50"/>
  <c r="AI21" i="50"/>
  <c r="AZ14" i="50"/>
  <c r="BB36" i="50"/>
  <c r="AG31" i="50"/>
  <c r="AD42" i="50"/>
  <c r="N18" i="50"/>
  <c r="M40" i="50"/>
  <c r="BC21" i="50"/>
  <c r="N16" i="50"/>
  <c r="W50" i="50"/>
  <c r="M51" i="50"/>
  <c r="AI28" i="50"/>
  <c r="T37" i="50"/>
  <c r="AQ13" i="50"/>
  <c r="AP12" i="50"/>
  <c r="AL41" i="50"/>
  <c r="L38" i="50"/>
  <c r="X20" i="50"/>
  <c r="AK21" i="50"/>
  <c r="AB48" i="50"/>
  <c r="AG21" i="50"/>
  <c r="S16" i="50"/>
  <c r="Z39" i="50"/>
  <c r="AZ33" i="50"/>
  <c r="O15" i="50"/>
  <c r="L51" i="50"/>
  <c r="AM36" i="50"/>
  <c r="AI31" i="50"/>
  <c r="R15" i="50"/>
  <c r="U51" i="50"/>
  <c r="AJ38" i="50"/>
  <c r="V49" i="50"/>
  <c r="AU51" i="50"/>
  <c r="AG36" i="50"/>
  <c r="AS49" i="50"/>
  <c r="P31" i="50"/>
  <c r="AA32" i="50"/>
  <c r="BC22" i="50"/>
  <c r="Z33" i="50"/>
  <c r="T49" i="50"/>
  <c r="N35" i="50"/>
  <c r="AJ13" i="50"/>
  <c r="P30" i="50"/>
  <c r="O12" i="50"/>
  <c r="AQ12" i="50"/>
  <c r="AS5" i="50"/>
  <c r="Y23" i="50"/>
  <c r="AJ42" i="50"/>
  <c r="N45" i="50"/>
  <c r="AV30" i="50"/>
  <c r="AC5" i="50"/>
  <c r="BC51" i="50"/>
  <c r="AO4" i="50"/>
  <c r="AX50" i="50"/>
  <c r="AZ21" i="50"/>
  <c r="AK28" i="50"/>
  <c r="AT51" i="50"/>
  <c r="AL52" i="50"/>
  <c r="AH46" i="50"/>
  <c r="V28" i="50"/>
  <c r="AS33" i="50"/>
  <c r="AK33" i="50"/>
  <c r="AZ17" i="50"/>
  <c r="AJ23" i="50"/>
  <c r="AI48" i="50"/>
  <c r="AF49" i="50"/>
  <c r="AN50" i="50"/>
  <c r="X15" i="50"/>
  <c r="AF27" i="50"/>
  <c r="BC12" i="50"/>
  <c r="U16" i="50"/>
  <c r="AH49" i="50"/>
  <c r="O30" i="50"/>
  <c r="AL49" i="50"/>
  <c r="AC20" i="50"/>
  <c r="BB34" i="50"/>
  <c r="AH51" i="50"/>
  <c r="AJ46" i="50"/>
  <c r="BA38" i="50"/>
  <c r="T40" i="50"/>
  <c r="AG27" i="50"/>
  <c r="P38" i="50"/>
  <c r="AC14" i="50"/>
  <c r="Z29" i="50"/>
  <c r="W36" i="50"/>
  <c r="AP44" i="50"/>
  <c r="AK52" i="50"/>
  <c r="AL15" i="50"/>
  <c r="BB43" i="50"/>
  <c r="AS38" i="50"/>
  <c r="AT19" i="50"/>
  <c r="N19" i="50"/>
  <c r="AK42" i="50"/>
  <c r="O52" i="50"/>
  <c r="V34" i="50"/>
  <c r="O19" i="50"/>
  <c r="O41" i="50"/>
  <c r="AX17" i="50"/>
  <c r="AQ47" i="50"/>
  <c r="AP20" i="50"/>
  <c r="AU30" i="50"/>
  <c r="AG17" i="50"/>
  <c r="L19" i="50"/>
  <c r="M30" i="50"/>
  <c r="W45" i="50"/>
  <c r="AP17" i="50"/>
  <c r="AD25" i="50"/>
  <c r="AX36" i="50"/>
  <c r="Q32" i="50"/>
  <c r="AG29" i="50"/>
  <c r="Z40" i="50"/>
  <c r="V43" i="50"/>
  <c r="AP42" i="50"/>
  <c r="AY45" i="50"/>
  <c r="AC15" i="50"/>
  <c r="AL38" i="50"/>
  <c r="M4" i="50"/>
  <c r="AP26" i="50"/>
  <c r="Y50" i="50"/>
  <c r="R51" i="50"/>
  <c r="AV17" i="50"/>
  <c r="Q20" i="50"/>
  <c r="AK17" i="50"/>
  <c r="T20" i="50"/>
  <c r="M31" i="50"/>
  <c r="O21" i="50"/>
  <c r="AO32" i="50"/>
  <c r="T41" i="50"/>
  <c r="L41" i="50"/>
  <c r="U35" i="50"/>
  <c r="AJ21" i="50"/>
  <c r="Y25" i="50"/>
  <c r="AJ25" i="50"/>
  <c r="BC52" i="50"/>
  <c r="V51" i="50"/>
  <c r="AW39" i="50"/>
  <c r="AW37" i="50"/>
  <c r="V48" i="50"/>
  <c r="AL36" i="50"/>
  <c r="AK36" i="50"/>
  <c r="AE15" i="50"/>
  <c r="N42" i="50"/>
  <c r="AN52" i="50"/>
  <c r="AT39" i="50"/>
  <c r="N41" i="50"/>
  <c r="AT22" i="50"/>
  <c r="S32" i="50"/>
  <c r="Q25" i="50"/>
  <c r="Y4" i="50"/>
  <c r="AY49" i="50"/>
  <c r="AD13" i="50"/>
  <c r="O17" i="50"/>
  <c r="Y49" i="50"/>
  <c r="AT29" i="50"/>
  <c r="Z27" i="50"/>
  <c r="AQ34" i="50"/>
  <c r="X42" i="50"/>
  <c r="AS13" i="50"/>
  <c r="AV51" i="50"/>
  <c r="R17" i="50"/>
  <c r="U15" i="50"/>
  <c r="AF46" i="50"/>
  <c r="AB50" i="50"/>
  <c r="AT32" i="50"/>
  <c r="AN13" i="50"/>
  <c r="AG45" i="50"/>
  <c r="AV12" i="50"/>
  <c r="O23" i="50"/>
  <c r="AD14" i="50"/>
  <c r="Y45" i="50"/>
  <c r="AS14" i="50"/>
  <c r="BC17" i="50"/>
  <c r="AD12" i="50"/>
  <c r="N37" i="50"/>
  <c r="AU50" i="50"/>
  <c r="AL16" i="50"/>
  <c r="AM40" i="50"/>
  <c r="AR5" i="50"/>
  <c r="Q15" i="50"/>
  <c r="P5" i="50"/>
  <c r="AV24" i="50"/>
  <c r="AJ34" i="50"/>
  <c r="P14" i="50"/>
  <c r="W14" i="50"/>
  <c r="AX48" i="50"/>
  <c r="AK37" i="50"/>
  <c r="AM35" i="50"/>
  <c r="AR19" i="50"/>
  <c r="BC20" i="50"/>
  <c r="AM4" i="50"/>
  <c r="AE43" i="50"/>
  <c r="AZ50" i="50"/>
  <c r="S12" i="50"/>
  <c r="AS37" i="50"/>
  <c r="O26" i="50"/>
  <c r="AG39" i="50"/>
  <c r="AY4" i="50"/>
  <c r="AZ27" i="50"/>
  <c r="AE30" i="50"/>
  <c r="AN30" i="50"/>
  <c r="Z44" i="50"/>
  <c r="Q52" i="50"/>
  <c r="U12" i="50"/>
  <c r="AZ23" i="50"/>
  <c r="AQ49" i="50"/>
  <c r="M33" i="50"/>
  <c r="AE48" i="50"/>
  <c r="AP14" i="50"/>
  <c r="X31" i="50"/>
  <c r="AY37" i="50"/>
  <c r="S4" i="50"/>
  <c r="BA24" i="50"/>
  <c r="AM25" i="50"/>
  <c r="BC16" i="50"/>
  <c r="T27" i="50"/>
  <c r="AQ40" i="50"/>
  <c r="N29" i="50"/>
  <c r="O31" i="50"/>
  <c r="T47" i="50"/>
  <c r="AM13" i="50"/>
  <c r="L17" i="50"/>
  <c r="AK43" i="50"/>
  <c r="AH26" i="50"/>
  <c r="AP52" i="50"/>
  <c r="AC30" i="50"/>
  <c r="N46" i="50"/>
  <c r="S13" i="50"/>
  <c r="AK51" i="50"/>
  <c r="AY46" i="50"/>
  <c r="AZ20" i="50"/>
  <c r="AI26" i="50"/>
  <c r="M13" i="50"/>
  <c r="AB12" i="50"/>
  <c r="AU46" i="50"/>
  <c r="AO45" i="50"/>
  <c r="AX43" i="50"/>
  <c r="AV47" i="50"/>
  <c r="X48" i="50"/>
  <c r="Z16" i="50"/>
  <c r="AZ31" i="50"/>
  <c r="P35" i="50"/>
  <c r="AJ36" i="50"/>
  <c r="AA27" i="50"/>
  <c r="AI44" i="50"/>
  <c r="AI16" i="50"/>
  <c r="AY15" i="50"/>
  <c r="AK5" i="50"/>
  <c r="AX26" i="50"/>
  <c r="N15" i="50"/>
  <c r="AA5" i="50"/>
  <c r="AY48" i="50"/>
  <c r="N52" i="50"/>
  <c r="AV34" i="50"/>
  <c r="BA42" i="50"/>
  <c r="BA46" i="50"/>
  <c r="O40" i="50"/>
  <c r="AJ12" i="50"/>
  <c r="AR30" i="50"/>
  <c r="AQ23" i="50"/>
  <c r="S50" i="50"/>
  <c r="AE18" i="50"/>
  <c r="AA52" i="50"/>
  <c r="M19" i="50"/>
  <c r="AD26" i="50"/>
  <c r="M16" i="50"/>
  <c r="AQ18" i="50"/>
  <c r="AI49" i="50"/>
  <c r="AY39" i="50"/>
  <c r="O16" i="50"/>
  <c r="V46" i="50"/>
  <c r="AJ26" i="50"/>
  <c r="U46" i="50"/>
  <c r="L26" i="50"/>
  <c r="AP40" i="50"/>
  <c r="AM26" i="50"/>
  <c r="BA50" i="50"/>
  <c r="AL44" i="50"/>
  <c r="P42" i="50"/>
  <c r="AQ35" i="50"/>
  <c r="AX18" i="50"/>
  <c r="AT15" i="50"/>
  <c r="AM41" i="50"/>
  <c r="AL13" i="50"/>
  <c r="AG44" i="50"/>
  <c r="V27" i="50"/>
  <c r="V29" i="50"/>
  <c r="M50" i="50"/>
  <c r="AX29" i="50"/>
  <c r="AL17" i="50"/>
  <c r="P45" i="50"/>
  <c r="AG32" i="50"/>
  <c r="AG26" i="50"/>
  <c r="AM50" i="50"/>
  <c r="Y41" i="50"/>
  <c r="AK46" i="50"/>
  <c r="P49" i="50"/>
  <c r="S31" i="50"/>
  <c r="AL14" i="50"/>
  <c r="AC33" i="50"/>
  <c r="AU13" i="50"/>
  <c r="O38" i="50"/>
  <c r="M24" i="50"/>
  <c r="R12" i="50"/>
  <c r="AJ28" i="50"/>
  <c r="S38" i="50"/>
  <c r="AZ18" i="50"/>
  <c r="AT38" i="50"/>
  <c r="AC39" i="50"/>
  <c r="R32" i="50"/>
  <c r="AJ17" i="50"/>
  <c r="AS32" i="50"/>
  <c r="AI4" i="50"/>
  <c r="AW27" i="50"/>
  <c r="AO46" i="50"/>
  <c r="AE41" i="50"/>
  <c r="M48" i="50"/>
  <c r="R36" i="50"/>
  <c r="M14" i="50"/>
  <c r="BB17" i="50"/>
  <c r="AH12" i="50"/>
  <c r="AC25" i="50"/>
  <c r="AO30" i="50"/>
  <c r="AR22" i="50"/>
  <c r="Q24" i="50"/>
  <c r="AJ37" i="50"/>
  <c r="X19" i="50"/>
  <c r="AW13" i="50"/>
  <c r="AQ44" i="50"/>
  <c r="AA45" i="50"/>
  <c r="AN36" i="50"/>
  <c r="AM5" i="50"/>
  <c r="Q29" i="50"/>
  <c r="M26" i="50"/>
  <c r="AO23" i="50"/>
  <c r="AY42" i="50"/>
  <c r="AC21" i="50"/>
  <c r="AU28" i="50"/>
  <c r="W47" i="50"/>
  <c r="AV28" i="50"/>
  <c r="AV36" i="50"/>
  <c r="T38" i="50"/>
  <c r="X37" i="50"/>
  <c r="AO22" i="50"/>
  <c r="T4" i="50"/>
  <c r="AL33" i="50"/>
  <c r="AD17" i="50"/>
  <c r="AR17" i="50"/>
  <c r="W12" i="50"/>
  <c r="N51" i="50"/>
  <c r="R48" i="50"/>
  <c r="BA51" i="50"/>
  <c r="AK18" i="50"/>
  <c r="T35" i="50"/>
  <c r="AV18" i="50"/>
  <c r="W13" i="50"/>
  <c r="AP46" i="50"/>
  <c r="O49" i="50"/>
  <c r="Y24" i="50"/>
  <c r="N43" i="50"/>
  <c r="W4" i="50"/>
  <c r="AS47" i="50"/>
  <c r="AF17" i="50"/>
  <c r="AB24" i="50"/>
  <c r="BA23" i="50"/>
  <c r="Z23" i="50"/>
  <c r="AT14" i="50"/>
  <c r="BB18" i="50"/>
  <c r="Z52" i="50"/>
  <c r="M18" i="50"/>
  <c r="AX20" i="50"/>
  <c r="AJ51" i="50"/>
  <c r="AW18" i="50"/>
  <c r="Z47" i="50"/>
  <c r="AO37" i="50"/>
  <c r="S47" i="50"/>
  <c r="N38" i="50"/>
  <c r="AP48" i="50"/>
  <c r="Y21" i="50"/>
  <c r="AP31" i="50"/>
  <c r="AB36" i="50"/>
  <c r="AB40" i="50"/>
  <c r="AM43" i="50"/>
  <c r="AY36" i="50"/>
  <c r="AI40" i="50"/>
  <c r="Q46" i="50"/>
  <c r="AE13" i="50"/>
  <c r="AN12" i="50"/>
  <c r="AR37" i="50"/>
  <c r="AK34" i="50"/>
  <c r="L36" i="50"/>
  <c r="Z51" i="50"/>
  <c r="Q22" i="50"/>
  <c r="AY44" i="50"/>
  <c r="AC18" i="50"/>
  <c r="AH33" i="50"/>
  <c r="AE4" i="50"/>
  <c r="AT45" i="50"/>
  <c r="T48" i="50"/>
  <c r="Q37" i="50"/>
  <c r="AN35" i="50"/>
  <c r="N31" i="50"/>
  <c r="AX23" i="50"/>
  <c r="AV52" i="50"/>
  <c r="Q45" i="50"/>
  <c r="AW48" i="50"/>
  <c r="AV4" i="50"/>
  <c r="AW23" i="50"/>
  <c r="L12" i="50"/>
  <c r="BA16" i="50"/>
  <c r="AV22" i="50"/>
  <c r="AQ46" i="50"/>
  <c r="L23" i="50"/>
  <c r="Y34" i="50"/>
  <c r="X34" i="50"/>
  <c r="AW51" i="50"/>
  <c r="AC45" i="50"/>
  <c r="R16" i="50"/>
  <c r="AW35" i="50"/>
  <c r="L45" i="50"/>
  <c r="AU19" i="50"/>
  <c r="U47" i="50"/>
  <c r="N32" i="50"/>
  <c r="AC43" i="50"/>
  <c r="AX38" i="50"/>
  <c r="AU18" i="50"/>
  <c r="R45" i="50"/>
  <c r="AP24" i="50"/>
  <c r="AZ40" i="50"/>
  <c r="AO14" i="50"/>
  <c r="S41" i="50"/>
  <c r="AU36" i="50"/>
  <c r="AM28" i="50"/>
  <c r="BB26" i="50"/>
  <c r="S34" i="50"/>
  <c r="AA25" i="50"/>
  <c r="BB21" i="50"/>
  <c r="S49" i="50"/>
  <c r="AR36" i="50"/>
  <c r="AY35" i="50"/>
  <c r="V26" i="50"/>
  <c r="BB47" i="50"/>
  <c r="BA40" i="50"/>
  <c r="AA23" i="50"/>
  <c r="M35" i="50"/>
  <c r="X36" i="50"/>
  <c r="L14" i="50"/>
  <c r="M20" i="50"/>
  <c r="S36" i="50"/>
  <c r="P28" i="50"/>
  <c r="BB51" i="50"/>
  <c r="S18" i="50"/>
  <c r="L5" i="50"/>
  <c r="AN41" i="50"/>
  <c r="AL32" i="50"/>
  <c r="AF37" i="50"/>
  <c r="AA30" i="50"/>
  <c r="AO13" i="50"/>
  <c r="AB26" i="50"/>
  <c r="P13" i="50"/>
  <c r="AY38" i="50"/>
  <c r="L32" i="50"/>
  <c r="BB27" i="50"/>
  <c r="BC34" i="50"/>
  <c r="BA48" i="50"/>
  <c r="AJ20" i="50"/>
  <c r="AI19" i="50"/>
  <c r="AQ45" i="50"/>
  <c r="AC35" i="50"/>
  <c r="AQ26" i="50"/>
  <c r="AE44" i="50"/>
  <c r="AG49" i="50"/>
  <c r="T45" i="50"/>
  <c r="AY12" i="50"/>
  <c r="BA30" i="50"/>
  <c r="AD43" i="50"/>
  <c r="AV40" i="50"/>
  <c r="AZ13" i="50"/>
  <c r="L44" i="50"/>
  <c r="AA40" i="50"/>
  <c r="AV19" i="50"/>
  <c r="AZ47" i="50"/>
  <c r="V41" i="50"/>
  <c r="W34" i="50"/>
  <c r="Y15" i="50"/>
  <c r="AM22" i="50"/>
  <c r="AH34" i="50"/>
  <c r="AP36" i="50"/>
  <c r="S24" i="50"/>
  <c r="P32" i="50"/>
  <c r="AU25" i="50"/>
  <c r="AM46" i="50"/>
  <c r="AG46" i="50"/>
  <c r="AP39" i="50"/>
  <c r="AI17" i="50"/>
  <c r="BA44" i="50"/>
  <c r="AE38" i="50"/>
  <c r="P20" i="50"/>
  <c r="P17" i="50"/>
  <c r="L42" i="50"/>
  <c r="Q47" i="50"/>
  <c r="AR44" i="50"/>
  <c r="AX40" i="50"/>
  <c r="BC29" i="50"/>
  <c r="AH29" i="50"/>
  <c r="AI50" i="50"/>
  <c r="AD21" i="50"/>
  <c r="W35" i="50"/>
  <c r="AA17" i="50"/>
  <c r="AX22" i="50"/>
  <c r="AM44" i="50"/>
  <c r="M43" i="50"/>
  <c r="W28" i="50"/>
  <c r="O34" i="50"/>
  <c r="AQ52" i="50"/>
  <c r="V5" i="50"/>
  <c r="AT28" i="50"/>
  <c r="AV23" i="50"/>
  <c r="AU38" i="50"/>
  <c r="AZ15" i="50"/>
  <c r="AQ43" i="50"/>
  <c r="W51" i="50"/>
  <c r="AM24" i="50"/>
  <c r="M28" i="50"/>
  <c r="BC39" i="50"/>
  <c r="AL24" i="50"/>
  <c r="AF23" i="50"/>
  <c r="AC13" i="50"/>
  <c r="BB37" i="50"/>
  <c r="AE20" i="50"/>
  <c r="AQ32" i="50"/>
  <c r="AA31" i="50"/>
  <c r="AT52" i="50"/>
  <c r="AV33" i="50"/>
  <c r="AN51" i="50"/>
  <c r="AR14" i="50"/>
  <c r="AD40" i="50"/>
  <c r="V32" i="50"/>
  <c r="V37" i="50"/>
  <c r="AF43" i="50"/>
  <c r="T33" i="50"/>
  <c r="Z24" i="50"/>
  <c r="AI14" i="50"/>
  <c r="AA43" i="50"/>
  <c r="N21" i="50"/>
  <c r="T5" i="50"/>
  <c r="BC30" i="50"/>
  <c r="AV25" i="50"/>
  <c r="AE36" i="50"/>
  <c r="AY30" i="50"/>
  <c r="Y14" i="50"/>
  <c r="AW52" i="50"/>
  <c r="X29" i="50"/>
  <c r="AH27" i="50"/>
  <c r="X18" i="50"/>
  <c r="AW16" i="50"/>
  <c r="N13" i="50"/>
  <c r="BC32" i="50"/>
  <c r="AW20" i="50"/>
  <c r="M21" i="50"/>
  <c r="Y51" i="50"/>
  <c r="AW17" i="50"/>
  <c r="T14" i="50"/>
  <c r="AT12" i="50"/>
  <c r="Z35" i="50"/>
  <c r="AM14" i="50"/>
  <c r="U20" i="50"/>
  <c r="AL19" i="50"/>
  <c r="M29" i="50"/>
  <c r="AU14" i="50"/>
  <c r="AW14" i="50"/>
  <c r="AR46" i="50"/>
  <c r="N14" i="50"/>
  <c r="BA14" i="50"/>
  <c r="N25" i="50"/>
  <c r="AA42" i="50"/>
  <c r="O29" i="50"/>
  <c r="AI18" i="50"/>
  <c r="AQ50" i="50"/>
  <c r="Y38" i="50"/>
  <c r="AM12" i="50"/>
  <c r="AO47" i="50"/>
  <c r="AL18" i="50"/>
  <c r="AT49" i="50"/>
  <c r="AU21" i="50"/>
  <c r="AE52" i="50"/>
  <c r="AM32" i="50"/>
  <c r="AX24" i="50"/>
  <c r="AI30" i="50"/>
  <c r="AY50" i="50"/>
  <c r="AY22" i="50"/>
  <c r="BC38" i="50"/>
  <c r="AS27" i="50"/>
  <c r="AV45" i="50"/>
  <c r="AD24" i="50"/>
  <c r="AH50" i="50"/>
  <c r="AZ41" i="50"/>
  <c r="AS26" i="50"/>
  <c r="AD19" i="50"/>
  <c r="AG47" i="50"/>
  <c r="AL4" i="50"/>
  <c r="S22" i="50"/>
  <c r="AK25" i="50"/>
  <c r="AH52" i="50"/>
  <c r="AW5" i="50"/>
  <c r="M49" i="50"/>
  <c r="Q41" i="50"/>
  <c r="O37" i="50"/>
  <c r="AS15" i="50"/>
  <c r="AX15" i="50"/>
  <c r="AB52" i="50"/>
  <c r="BC25" i="50"/>
  <c r="AS19" i="50"/>
  <c r="BA32" i="50"/>
  <c r="AZ44" i="50"/>
  <c r="AZ12" i="50"/>
  <c r="AV27" i="50"/>
  <c r="W48" i="50"/>
  <c r="L35" i="50"/>
  <c r="AG42" i="50"/>
  <c r="P12" i="50"/>
  <c r="O44" i="50"/>
  <c r="Q14" i="50"/>
  <c r="AU29" i="50"/>
  <c r="T26" i="50"/>
  <c r="AV39" i="50"/>
  <c r="T22" i="50"/>
  <c r="AG35" i="50"/>
  <c r="Y26" i="50"/>
  <c r="AO17" i="50"/>
  <c r="AL43" i="50"/>
  <c r="AD18" i="50"/>
  <c r="AH40" i="50"/>
  <c r="X46" i="50"/>
  <c r="AR41" i="50"/>
  <c r="AO52" i="50"/>
  <c r="AN16" i="50"/>
  <c r="Z13" i="50"/>
  <c r="AD50" i="50"/>
  <c r="L28" i="50"/>
  <c r="AY13" i="50"/>
  <c r="AS30" i="50"/>
  <c r="AR24" i="50"/>
  <c r="L49" i="50"/>
  <c r="Z17" i="50"/>
  <c r="AA29" i="50"/>
  <c r="T15" i="50"/>
  <c r="AS43" i="50"/>
  <c r="AK4" i="50"/>
  <c r="AR27" i="50"/>
  <c r="N49" i="50"/>
  <c r="Z28" i="50"/>
  <c r="O24" i="50"/>
  <c r="BA36" i="50"/>
  <c r="BA22" i="50"/>
  <c r="AF32" i="50"/>
  <c r="AP29" i="50"/>
  <c r="AL45" i="50"/>
  <c r="AK40" i="50"/>
  <c r="AK30" i="50"/>
  <c r="AV41" i="50"/>
  <c r="AW26" i="50"/>
  <c r="L15" i="50"/>
  <c r="Q50" i="50"/>
  <c r="AF35" i="50"/>
  <c r="AH41" i="50"/>
  <c r="AA49" i="50"/>
  <c r="Z22" i="50"/>
  <c r="AA18" i="50"/>
  <c r="BB19" i="50"/>
  <c r="Y20" i="50"/>
  <c r="AY40" i="50"/>
  <c r="W33" i="50"/>
  <c r="AW25" i="50"/>
  <c r="S17" i="50"/>
  <c r="X28" i="50"/>
  <c r="AB41" i="50"/>
  <c r="AA26" i="50"/>
  <c r="AW29" i="50"/>
  <c r="AF36" i="50"/>
  <c r="AE24" i="50"/>
  <c r="T19" i="50"/>
  <c r="AU34" i="50"/>
  <c r="M46" i="50"/>
  <c r="S48" i="50"/>
  <c r="BB41" i="50"/>
  <c r="AK47" i="50"/>
  <c r="AF47" i="50"/>
  <c r="N44" i="50"/>
  <c r="P23" i="50"/>
  <c r="AX49" i="50"/>
  <c r="T17" i="50"/>
  <c r="AU31" i="50"/>
  <c r="AR21" i="50"/>
  <c r="AG30" i="50"/>
  <c r="BB5" i="50"/>
  <c r="P18" i="50"/>
  <c r="AO41" i="50"/>
  <c r="AA39" i="50"/>
  <c r="AH31" i="50"/>
  <c r="AG24" i="50"/>
  <c r="Z37" i="50"/>
  <c r="AP27" i="50"/>
  <c r="S29" i="50"/>
  <c r="AC29" i="50"/>
  <c r="AN45" i="50"/>
  <c r="AE16" i="50"/>
  <c r="BB20" i="50"/>
  <c r="AI34" i="50"/>
  <c r="M17" i="50"/>
  <c r="AA51" i="50"/>
  <c r="P21" i="50"/>
  <c r="AI39" i="50"/>
  <c r="BC43" i="50"/>
  <c r="O25" i="50"/>
  <c r="O18" i="50"/>
  <c r="Z50" i="50"/>
  <c r="AA19" i="50"/>
  <c r="AG34" i="50"/>
  <c r="AK22" i="50"/>
  <c r="AS4" i="50"/>
  <c r="BC41" i="50"/>
  <c r="AW50" i="50"/>
  <c r="AG37" i="50"/>
  <c r="W38" i="50"/>
  <c r="BC24" i="50"/>
  <c r="AH42" i="50"/>
  <c r="AZ37" i="50"/>
  <c r="Q43" i="50"/>
  <c r="AY18" i="50"/>
  <c r="AR16" i="50"/>
  <c r="AP18" i="50"/>
  <c r="W16" i="50"/>
  <c r="AO40" i="50"/>
  <c r="X21" i="50"/>
  <c r="W41" i="50"/>
  <c r="AT47" i="50"/>
  <c r="AU20" i="50"/>
  <c r="U18" i="50"/>
  <c r="BB33" i="50"/>
  <c r="P36" i="50"/>
  <c r="N27" i="50"/>
  <c r="AH28" i="50"/>
  <c r="AB33" i="50"/>
  <c r="BB40" i="50"/>
  <c r="AW33" i="50"/>
  <c r="AT44" i="50"/>
  <c r="R43" i="50"/>
  <c r="X39" i="50"/>
  <c r="AX51" i="50"/>
  <c r="AI51" i="50"/>
  <c r="AH17" i="50"/>
  <c r="AR52" i="50"/>
  <c r="AC42" i="50"/>
  <c r="AN5" i="50"/>
  <c r="AQ15" i="50"/>
  <c r="AF25" i="50"/>
  <c r="AX45" i="50"/>
  <c r="AZ51" i="50"/>
  <c r="O4" i="50"/>
  <c r="AG20" i="50"/>
  <c r="AO48" i="50"/>
  <c r="W26" i="50"/>
  <c r="X13" i="50"/>
  <c r="AG18" i="50"/>
  <c r="R41" i="50"/>
  <c r="AP23" i="50"/>
  <c r="V20" i="50"/>
  <c r="W49" i="50"/>
  <c r="AU17" i="50"/>
  <c r="Q13" i="50"/>
  <c r="AF42" i="50"/>
  <c r="AC12" i="50"/>
  <c r="N30" i="50"/>
  <c r="AN39" i="50"/>
  <c r="AV13" i="50"/>
  <c r="Z32" i="50"/>
  <c r="AP49" i="50"/>
  <c r="AX37" i="50"/>
  <c r="AC24" i="50"/>
  <c r="AP22" i="50"/>
  <c r="AJ18" i="50"/>
  <c r="AB39" i="50"/>
  <c r="Y12" i="50"/>
  <c r="S26" i="50"/>
  <c r="AO15" i="50"/>
  <c r="O48" i="50"/>
  <c r="AA44" i="50"/>
  <c r="T18" i="50"/>
  <c r="AF31" i="50"/>
  <c r="AQ4" i="50"/>
  <c r="AQ31" i="50"/>
  <c r="AM19" i="50"/>
  <c r="Q12" i="50"/>
  <c r="AF28" i="50"/>
  <c r="AC19" i="50"/>
  <c r="AL28" i="50"/>
  <c r="AL50" i="50"/>
  <c r="V42" i="50"/>
  <c r="AC52" i="50"/>
  <c r="Z4" i="50"/>
  <c r="AC31" i="50"/>
  <c r="BB48" i="50"/>
  <c r="AJ41" i="50"/>
  <c r="T51" i="50"/>
  <c r="BA13" i="50"/>
  <c r="AN37" i="50"/>
  <c r="AM18" i="50"/>
  <c r="N34" i="50"/>
  <c r="AK16" i="50"/>
  <c r="AO24" i="50"/>
  <c r="AT18" i="50"/>
  <c r="AY32" i="50"/>
  <c r="N50" i="50"/>
  <c r="W44" i="50"/>
  <c r="W25" i="50"/>
  <c r="AJ30" i="50"/>
  <c r="AO21" i="50"/>
  <c r="BC50" i="50"/>
  <c r="BB23" i="50"/>
  <c r="AD33" i="50"/>
  <c r="AR48" i="50"/>
  <c r="AH18" i="50"/>
  <c r="AJ15" i="50"/>
  <c r="AC34" i="50"/>
  <c r="M5" i="50"/>
  <c r="AM16" i="50"/>
  <c r="R49" i="50"/>
  <c r="AX12" i="50"/>
  <c r="AQ27" i="50"/>
  <c r="AL31" i="50"/>
  <c r="AD39" i="50"/>
  <c r="AJ39" i="50"/>
  <c r="N28" i="50"/>
  <c r="Q5" i="50"/>
  <c r="Z15" i="50"/>
  <c r="AP30" i="50"/>
  <c r="V40" i="50"/>
  <c r="T39" i="50"/>
  <c r="AI33" i="50"/>
  <c r="AM49" i="50"/>
  <c r="U30" i="50"/>
  <c r="T16" i="50"/>
  <c r="AU49" i="50"/>
  <c r="R22" i="50"/>
  <c r="AH39" i="50"/>
  <c r="AN14" i="50"/>
  <c r="AN49" i="50"/>
  <c r="AD4" i="50"/>
  <c r="P48" i="50"/>
  <c r="AF13" i="50"/>
  <c r="AU15" i="50"/>
  <c r="Y48" i="50"/>
  <c r="AQ5" i="50"/>
  <c r="U36" i="50"/>
  <c r="X40" i="50"/>
  <c r="BA39" i="50"/>
  <c r="V35" i="50"/>
  <c r="M27" i="50"/>
  <c r="BC40" i="50"/>
  <c r="V23" i="50"/>
  <c r="AN44" i="50"/>
  <c r="AN40" i="50"/>
  <c r="AY19" i="50"/>
  <c r="Q35" i="50"/>
  <c r="AT43" i="50"/>
  <c r="AB29" i="50"/>
  <c r="T50" i="50"/>
  <c r="AZ49" i="50"/>
  <c r="AC40" i="50"/>
  <c r="U33" i="50"/>
  <c r="M36" i="50"/>
  <c r="AH23" i="50"/>
  <c r="AR25" i="50"/>
  <c r="R19" i="50"/>
  <c r="AK27" i="50"/>
  <c r="AL29" i="50"/>
  <c r="BA26" i="50"/>
  <c r="P46" i="50"/>
  <c r="AC47" i="50"/>
  <c r="BC36" i="50"/>
  <c r="AF29" i="50"/>
  <c r="U28" i="50"/>
  <c r="AB49" i="50"/>
  <c r="L31" i="50"/>
  <c r="AR35" i="50"/>
  <c r="AA38" i="50"/>
  <c r="AV32" i="50"/>
  <c r="N47" i="50"/>
  <c r="W24" i="50"/>
  <c r="Z42" i="50"/>
  <c r="AG14" i="50"/>
  <c r="AO29" i="50"/>
  <c r="AF50" i="50"/>
  <c r="R35" i="50"/>
  <c r="AV20" i="50"/>
  <c r="AX39" i="50"/>
  <c r="AS23" i="50"/>
  <c r="Y40" i="50"/>
  <c r="R5" i="50"/>
  <c r="O47" i="50"/>
  <c r="BB12" i="50"/>
  <c r="P41" i="50"/>
  <c r="AN24" i="50"/>
  <c r="O13" i="50"/>
  <c r="AA21" i="50"/>
  <c r="AN38" i="50"/>
  <c r="AF30" i="50"/>
  <c r="X24" i="50"/>
  <c r="AG4" i="50"/>
  <c r="Z20" i="50"/>
  <c r="U38" i="50"/>
  <c r="BB13" i="50"/>
  <c r="BB44" i="50"/>
  <c r="Q42" i="50"/>
  <c r="AI22" i="50"/>
  <c r="P43" i="50"/>
  <c r="AM42" i="50"/>
  <c r="AM21" i="50"/>
  <c r="AB19" i="50"/>
  <c r="AS29" i="50"/>
  <c r="AR50" i="50"/>
  <c r="Y27" i="50"/>
  <c r="M23" i="50"/>
  <c r="AT35" i="50"/>
  <c r="AT27" i="50"/>
  <c r="BC23" i="50"/>
  <c r="AA37" i="50"/>
  <c r="AN18" i="50"/>
  <c r="BC47" i="50"/>
  <c r="AK15" i="50"/>
  <c r="AJ50" i="50"/>
  <c r="AM20" i="50"/>
  <c r="BC33" i="50"/>
  <c r="S52" i="50"/>
  <c r="R33" i="50"/>
  <c r="T52" i="50"/>
  <c r="AC48" i="50"/>
  <c r="AR45" i="50"/>
  <c r="T42" i="50"/>
  <c r="AZ22" i="50"/>
  <c r="Y19" i="50"/>
  <c r="L48" i="50"/>
  <c r="BC18" i="50"/>
  <c r="AY52" i="50"/>
  <c r="AG50" i="50"/>
  <c r="AL26" i="50"/>
  <c r="AO51" i="50"/>
  <c r="AZ48" i="50"/>
  <c r="AF26" i="50"/>
  <c r="S5" i="50"/>
  <c r="N36" i="50"/>
  <c r="AS31" i="50"/>
  <c r="AD35" i="50"/>
  <c r="AK32" i="50"/>
  <c r="P26" i="50"/>
  <c r="N12" i="50"/>
  <c r="AX52" i="50"/>
  <c r="Z41" i="50"/>
  <c r="AV15" i="50"/>
  <c r="R25" i="50"/>
  <c r="AT41" i="50"/>
  <c r="AO12" i="50"/>
  <c r="AP50" i="50"/>
  <c r="AU52" i="50"/>
  <c r="O33" i="50"/>
  <c r="S39" i="50"/>
  <c r="Z25" i="50"/>
  <c r="AB27" i="50"/>
  <c r="Y35" i="50"/>
  <c r="AC37" i="50"/>
  <c r="O5" i="50"/>
  <c r="L37" i="50"/>
  <c r="U21" i="50"/>
  <c r="AJ24" i="50"/>
  <c r="AJ14" i="50"/>
  <c r="U41" i="50"/>
  <c r="AK20" i="50"/>
  <c r="Y36" i="50"/>
  <c r="AL12" i="50"/>
  <c r="BA35" i="50"/>
  <c r="O51" i="50"/>
  <c r="M22" i="50"/>
  <c r="N22" i="50"/>
  <c r="M37" i="50"/>
  <c r="AY5" i="50"/>
  <c r="AP13" i="50"/>
  <c r="AI29" i="50"/>
  <c r="Q27" i="50"/>
  <c r="BA19" i="50"/>
  <c r="P27" i="50"/>
  <c r="AB51" i="50"/>
  <c r="AL47" i="50"/>
  <c r="AI35" i="50"/>
  <c r="AQ25" i="50"/>
  <c r="BA12" i="50"/>
  <c r="AQ48" i="50"/>
  <c r="AG41" i="50"/>
  <c r="BB35" i="50"/>
  <c r="AH16" i="50"/>
  <c r="L27" i="50"/>
  <c r="BA17" i="50"/>
  <c r="AC46" i="50"/>
  <c r="S30" i="50"/>
  <c r="R13" i="50"/>
  <c r="R39" i="50"/>
  <c r="N26" i="50"/>
  <c r="AR28" i="50"/>
  <c r="Q28" i="50"/>
  <c r="L22" i="50"/>
  <c r="X44" i="50"/>
  <c r="AA28" i="50"/>
  <c r="AZ52" i="50"/>
  <c r="BB45" i="50"/>
  <c r="AW32" i="50"/>
  <c r="Q30" i="50"/>
  <c r="AC26" i="50"/>
  <c r="T25" i="50"/>
  <c r="AL20" i="50"/>
  <c r="AT50" i="50"/>
  <c r="AE28" i="50"/>
  <c r="AT26" i="50"/>
  <c r="AB13" i="50"/>
  <c r="AY14" i="50"/>
  <c r="W15" i="50"/>
  <c r="AL25" i="50"/>
  <c r="M44" i="50"/>
  <c r="BC45" i="50"/>
  <c r="AM17" i="50"/>
  <c r="AX4" i="50"/>
  <c r="U42" i="50"/>
  <c r="U43" i="50"/>
  <c r="AP19" i="50"/>
  <c r="O45" i="50"/>
  <c r="AG33" i="50"/>
  <c r="AW36" i="50"/>
  <c r="BB52" i="50"/>
  <c r="AS39" i="50"/>
  <c r="L47" i="50"/>
  <c r="U19" i="50"/>
  <c r="BB14" i="50"/>
  <c r="V47" i="50"/>
  <c r="AN22" i="50"/>
  <c r="O42" i="50"/>
  <c r="N39" i="50"/>
  <c r="T24" i="50"/>
  <c r="AQ33" i="50"/>
  <c r="AB16" i="50"/>
  <c r="X35" i="50"/>
  <c r="AZ34" i="50"/>
  <c r="AO35" i="50"/>
  <c r="Z45" i="50"/>
  <c r="BA41" i="50"/>
  <c r="R40" i="50"/>
  <c r="R28" i="50"/>
  <c r="X41" i="50"/>
  <c r="V18" i="50"/>
  <c r="AL30" i="50"/>
  <c r="AR15" i="50"/>
  <c r="AU27" i="50"/>
  <c r="AZ26" i="50"/>
  <c r="AD48" i="50"/>
  <c r="AN42" i="50"/>
  <c r="W18" i="50"/>
  <c r="R14" i="50"/>
  <c r="V25" i="50"/>
  <c r="AJ5" i="50"/>
  <c r="AW31" i="50"/>
  <c r="AV26" i="50"/>
  <c r="AE17" i="50"/>
  <c r="AQ36" i="50"/>
  <c r="AZ36" i="50"/>
  <c r="AX41" i="50"/>
  <c r="Y30" i="50"/>
  <c r="AF48" i="50"/>
  <c r="X23" i="50"/>
  <c r="AW28" i="50"/>
  <c r="AR51" i="50"/>
  <c r="R24" i="50"/>
  <c r="R26" i="50"/>
  <c r="Q26" i="50"/>
  <c r="W30" i="50"/>
  <c r="Q21" i="50"/>
  <c r="Z12" i="50"/>
  <c r="AN29" i="50"/>
  <c r="AU41" i="50"/>
  <c r="W29" i="50"/>
  <c r="BA27" i="50"/>
  <c r="AR43" i="50"/>
  <c r="AA14" i="50"/>
  <c r="X17" i="50"/>
  <c r="U26" i="50"/>
  <c r="AI20" i="50"/>
  <c r="AK14" i="50"/>
  <c r="Z21" i="50"/>
  <c r="AU12" i="50"/>
  <c r="AJ19" i="50"/>
  <c r="AI32" i="50"/>
  <c r="AB37" i="50"/>
  <c r="AG38" i="50"/>
  <c r="AO36" i="50"/>
  <c r="AD23" i="50"/>
  <c r="AN19" i="50"/>
  <c r="AS25" i="50"/>
  <c r="AN46" i="50"/>
  <c r="Z46" i="50"/>
  <c r="AU24" i="50"/>
  <c r="AT34" i="50"/>
  <c r="AH14" i="50"/>
  <c r="U48" i="50"/>
  <c r="X26" i="50"/>
  <c r="S14" i="50"/>
  <c r="BA52" i="50"/>
  <c r="AO27" i="50"/>
  <c r="AA13" i="50"/>
  <c r="AF16" i="50"/>
  <c r="AA24" i="50"/>
  <c r="Z38" i="50"/>
  <c r="AW38" i="50"/>
  <c r="Q31" i="50"/>
  <c r="AL34" i="50"/>
  <c r="Y28" i="50"/>
  <c r="BB38" i="50"/>
  <c r="AJ44" i="50"/>
  <c r="X50" i="50"/>
  <c r="Q44" i="50"/>
  <c r="AX21" i="50"/>
  <c r="AN32" i="50"/>
  <c r="AH25" i="50"/>
  <c r="S33" i="50"/>
  <c r="AR32" i="50"/>
  <c r="Y16" i="50"/>
  <c r="AJ27" i="50"/>
  <c r="Y31" i="50"/>
  <c r="AI12" i="50"/>
  <c r="P37" i="50"/>
  <c r="W17" i="50"/>
  <c r="AK19" i="50"/>
  <c r="BA20" i="50"/>
  <c r="AZ5" i="50"/>
  <c r="AD49" i="50"/>
  <c r="BA31" i="50"/>
  <c r="AO5" i="50"/>
  <c r="AK13" i="50"/>
  <c r="Q4" i="50"/>
  <c r="S44" i="50"/>
  <c r="AK48" i="50"/>
  <c r="AN26" i="50"/>
  <c r="AY16" i="50"/>
  <c r="AS20" i="50"/>
  <c r="AE29" i="50"/>
  <c r="AL23" i="50"/>
  <c r="M38" i="50"/>
  <c r="AF39" i="50"/>
  <c r="P51" i="50"/>
  <c r="AH24" i="50"/>
  <c r="BA43" i="50"/>
  <c r="AW15" i="50"/>
  <c r="S20" i="50"/>
  <c r="W27" i="50"/>
  <c r="AU45" i="50"/>
  <c r="R47" i="50"/>
  <c r="AL22" i="50"/>
  <c r="AT30" i="50"/>
  <c r="AK26" i="50"/>
  <c r="S19" i="50"/>
  <c r="AJ45" i="50"/>
  <c r="U34" i="50"/>
  <c r="AI23" i="50"/>
  <c r="AB17" i="50"/>
  <c r="AS16" i="50"/>
  <c r="AT48" i="50"/>
  <c r="X47" i="50"/>
  <c r="U25" i="50"/>
  <c r="AL35" i="50"/>
  <c r="U31" i="50"/>
  <c r="AO43" i="50"/>
  <c r="AO20" i="50"/>
  <c r="X25" i="50"/>
  <c r="AZ28" i="50"/>
  <c r="AS12" i="50"/>
  <c r="AB42" i="50"/>
  <c r="AX33" i="50"/>
  <c r="U37" i="50"/>
  <c r="Y46" i="50"/>
  <c r="AO28" i="50"/>
  <c r="AM37" i="50"/>
  <c r="BA28" i="50"/>
  <c r="P22" i="50"/>
  <c r="AD36" i="50"/>
  <c r="V33" i="50"/>
  <c r="AM38" i="50"/>
  <c r="AR34" i="50"/>
  <c r="AC22" i="50"/>
  <c r="Z26" i="50"/>
  <c r="AI24" i="50"/>
  <c r="AB25" i="50"/>
  <c r="F47" i="50" l="1"/>
  <c r="F22" i="50"/>
  <c r="F27" i="50"/>
  <c r="F37" i="50"/>
  <c r="F48" i="50"/>
  <c r="F31" i="50"/>
  <c r="F15" i="50"/>
  <c r="F49" i="50"/>
  <c r="F28" i="50"/>
  <c r="F35" i="50"/>
  <c r="F42" i="50"/>
  <c r="F44" i="50"/>
  <c r="F32" i="50"/>
  <c r="F5" i="50"/>
  <c r="F14" i="50"/>
  <c r="F45" i="50"/>
  <c r="F23" i="50"/>
  <c r="F12" i="50"/>
  <c r="F36" i="50"/>
  <c r="F26" i="50"/>
  <c r="F17" i="50"/>
  <c r="F41" i="50"/>
  <c r="K4" i="50"/>
  <c r="F1" i="50" s="1"/>
  <c r="F19" i="50"/>
  <c r="F51" i="50"/>
  <c r="F38" i="50"/>
  <c r="F34" i="50"/>
  <c r="F20" i="50"/>
  <c r="F50" i="50"/>
  <c r="F52" i="50"/>
  <c r="F13" i="50"/>
  <c r="F29" i="50"/>
  <c r="F39" i="50"/>
  <c r="F21" i="50"/>
  <c r="F18" i="50"/>
  <c r="F16" i="50"/>
  <c r="F43" i="50"/>
  <c r="F24" i="50"/>
  <c r="F40" i="50"/>
  <c r="F46" i="50"/>
  <c r="F33" i="50"/>
  <c r="F25" i="50"/>
  <c r="F30" i="50"/>
  <c r="AO4" i="150"/>
  <c r="AO4" i="4"/>
  <c r="AO4" i="1"/>
  <c r="AO4" i="137"/>
  <c r="AM4" i="4"/>
  <c r="AM4" i="137"/>
  <c r="AM4" i="1"/>
  <c r="AM4" i="150"/>
  <c r="J46" i="50" l="1"/>
  <c r="H46" i="50"/>
  <c r="AQ7" i="150"/>
  <c r="J29" i="50"/>
  <c r="AQ21" i="1"/>
  <c r="H29" i="50"/>
  <c r="H19" i="50"/>
  <c r="J19" i="50"/>
  <c r="AQ13" i="4"/>
  <c r="AQ6" i="150"/>
  <c r="J45" i="50"/>
  <c r="H45" i="50"/>
  <c r="AQ10" i="150"/>
  <c r="J49" i="50"/>
  <c r="H49" i="50"/>
  <c r="AQ21" i="4"/>
  <c r="J40" i="50"/>
  <c r="H40" i="50"/>
  <c r="H13" i="50"/>
  <c r="AQ14" i="137"/>
  <c r="J13" i="50"/>
  <c r="AQ12" i="137"/>
  <c r="H14" i="50"/>
  <c r="J14" i="50"/>
  <c r="AQ7" i="4"/>
  <c r="H15" i="50"/>
  <c r="J15" i="50"/>
  <c r="AQ8" i="1"/>
  <c r="H24" i="50"/>
  <c r="J24" i="50"/>
  <c r="AQ13" i="150"/>
  <c r="J52" i="50"/>
  <c r="H52" i="50"/>
  <c r="J41" i="50"/>
  <c r="AQ28" i="1"/>
  <c r="H41" i="50"/>
  <c r="J5" i="50"/>
  <c r="F4" i="50"/>
  <c r="H5" i="50"/>
  <c r="AQ5" i="137"/>
  <c r="J31" i="50"/>
  <c r="AQ20" i="4"/>
  <c r="H31" i="50"/>
  <c r="H43" i="50"/>
  <c r="AQ23" i="4"/>
  <c r="J43" i="50"/>
  <c r="J50" i="50"/>
  <c r="H50" i="50"/>
  <c r="AQ11" i="150"/>
  <c r="AQ5" i="4"/>
  <c r="J17" i="50"/>
  <c r="H17" i="50"/>
  <c r="H32" i="50"/>
  <c r="AQ18" i="4"/>
  <c r="J32" i="50"/>
  <c r="AQ9" i="150"/>
  <c r="J48" i="50"/>
  <c r="H48" i="50"/>
  <c r="AQ9" i="4"/>
  <c r="H16" i="50"/>
  <c r="J16" i="50"/>
  <c r="J20" i="50"/>
  <c r="H20" i="50"/>
  <c r="AQ16" i="4"/>
  <c r="H26" i="50"/>
  <c r="J26" i="50"/>
  <c r="AQ18" i="1"/>
  <c r="H44" i="50"/>
  <c r="J44" i="50"/>
  <c r="AQ5" i="150"/>
  <c r="J37" i="50"/>
  <c r="H37" i="50"/>
  <c r="AQ26" i="1"/>
  <c r="AQ15" i="137"/>
  <c r="H30" i="50"/>
  <c r="J30" i="50"/>
  <c r="H18" i="50"/>
  <c r="J18" i="50"/>
  <c r="AQ17" i="4"/>
  <c r="H34" i="50"/>
  <c r="J34" i="50"/>
  <c r="AQ11" i="137"/>
  <c r="J36" i="50"/>
  <c r="AQ25" i="1"/>
  <c r="H36" i="50"/>
  <c r="J42" i="50"/>
  <c r="AQ29" i="1"/>
  <c r="H42" i="50"/>
  <c r="J27" i="50"/>
  <c r="H27" i="50"/>
  <c r="AQ11" i="4"/>
  <c r="H25" i="50"/>
  <c r="AQ13" i="1"/>
  <c r="J25" i="50"/>
  <c r="H21" i="50"/>
  <c r="J21" i="50"/>
  <c r="AQ14" i="4"/>
  <c r="J38" i="50"/>
  <c r="H38" i="50"/>
  <c r="AQ27" i="1"/>
  <c r="AQ13" i="137"/>
  <c r="J12" i="50"/>
  <c r="H12" i="50"/>
  <c r="AQ24" i="1"/>
  <c r="H35" i="50"/>
  <c r="J35" i="50"/>
  <c r="J22" i="50"/>
  <c r="H22" i="50"/>
  <c r="AQ15" i="4"/>
  <c r="J33" i="50"/>
  <c r="H33" i="50"/>
  <c r="AQ30" i="1"/>
  <c r="J39" i="50"/>
  <c r="AQ19" i="4"/>
  <c r="H39" i="50"/>
  <c r="AQ12" i="150"/>
  <c r="H51" i="50"/>
  <c r="J51" i="50"/>
  <c r="H23" i="50"/>
  <c r="J23" i="50"/>
  <c r="AQ9" i="1"/>
  <c r="J28" i="50"/>
  <c r="H28" i="50"/>
  <c r="AQ8" i="4"/>
  <c r="AQ8" i="150"/>
  <c r="J47" i="50"/>
  <c r="H47" i="50"/>
  <c r="N13" i="150" l="1"/>
  <c r="O13" i="150"/>
  <c r="A13" i="150" s="1"/>
  <c r="O24" i="1"/>
  <c r="A24" i="1" s="1"/>
  <c r="N24" i="1"/>
  <c r="O29" i="1"/>
  <c r="A29" i="1" s="1"/>
  <c r="N29" i="1"/>
  <c r="H4" i="50"/>
  <c r="O5" i="150"/>
  <c r="AQ4" i="150"/>
  <c r="N5" i="150"/>
  <c r="N18" i="4"/>
  <c r="O18" i="4"/>
  <c r="A18" i="4" s="1"/>
  <c r="N12" i="137"/>
  <c r="O12" i="137"/>
  <c r="A12" i="137" s="1"/>
  <c r="N9" i="150"/>
  <c r="O9" i="150"/>
  <c r="A9" i="150" s="1"/>
  <c r="N15" i="4"/>
  <c r="O15" i="4"/>
  <c r="A15" i="4" s="1"/>
  <c r="O13" i="137"/>
  <c r="A13" i="137" s="1"/>
  <c r="N13" i="137"/>
  <c r="O13" i="1"/>
  <c r="A13" i="1" s="1"/>
  <c r="N13" i="1"/>
  <c r="O23" i="4"/>
  <c r="A23" i="4" s="1"/>
  <c r="N23" i="4"/>
  <c r="J4" i="50"/>
  <c r="I4" i="50" s="1"/>
  <c r="K14" i="50" s="1"/>
  <c r="O10" i="150"/>
  <c r="A10" i="150" s="1"/>
  <c r="N10" i="150"/>
  <c r="N21" i="1"/>
  <c r="O21" i="1"/>
  <c r="A21" i="1" s="1"/>
  <c r="N5" i="137"/>
  <c r="AQ4" i="137"/>
  <c r="O5" i="137"/>
  <c r="N12" i="150"/>
  <c r="O12" i="150"/>
  <c r="A12" i="150" s="1"/>
  <c r="N27" i="1"/>
  <c r="O27" i="1"/>
  <c r="A27" i="1" s="1"/>
  <c r="O25" i="1"/>
  <c r="A25" i="1" s="1"/>
  <c r="N25" i="1"/>
  <c r="O8" i="1"/>
  <c r="N8" i="1"/>
  <c r="AQ4" i="1"/>
  <c r="N14" i="137"/>
  <c r="O14" i="137"/>
  <c r="A14" i="137" s="1"/>
  <c r="N30" i="1"/>
  <c r="O30" i="1"/>
  <c r="A30" i="1" s="1"/>
  <c r="N17" i="4"/>
  <c r="O17" i="4"/>
  <c r="A17" i="4" s="1"/>
  <c r="N8" i="4"/>
  <c r="O8" i="4"/>
  <c r="A8" i="4" s="1"/>
  <c r="O11" i="4"/>
  <c r="A11" i="4" s="1"/>
  <c r="N11" i="4"/>
  <c r="O18" i="1"/>
  <c r="A18" i="1" s="1"/>
  <c r="N18" i="1"/>
  <c r="N9" i="4"/>
  <c r="O9" i="4"/>
  <c r="A9" i="4" s="1"/>
  <c r="O28" i="1"/>
  <c r="A28" i="1" s="1"/>
  <c r="N28" i="1"/>
  <c r="O7" i="150"/>
  <c r="A7" i="150" s="1"/>
  <c r="N7" i="150"/>
  <c r="O21" i="4"/>
  <c r="A21" i="4" s="1"/>
  <c r="N21" i="4"/>
  <c r="N19" i="4"/>
  <c r="O19" i="4"/>
  <c r="A19" i="4" s="1"/>
  <c r="O11" i="137"/>
  <c r="A11" i="137" s="1"/>
  <c r="N11" i="137"/>
  <c r="N15" i="137"/>
  <c r="O15" i="137"/>
  <c r="A15" i="137" s="1"/>
  <c r="O5" i="4"/>
  <c r="AQ4" i="4"/>
  <c r="N5" i="4"/>
  <c r="O20" i="4"/>
  <c r="A20" i="4" s="1"/>
  <c r="N20" i="4"/>
  <c r="N6" i="150"/>
  <c r="O6" i="150"/>
  <c r="A6" i="150" s="1"/>
  <c r="O16" i="4"/>
  <c r="A16" i="4" s="1"/>
  <c r="N16" i="4"/>
  <c r="O8" i="150"/>
  <c r="A8" i="150" s="1"/>
  <c r="N8" i="150"/>
  <c r="N9" i="1"/>
  <c r="O9" i="1"/>
  <c r="A9" i="1" s="1"/>
  <c r="O14" i="4"/>
  <c r="A14" i="4" s="1"/>
  <c r="N14" i="4"/>
  <c r="O26" i="1"/>
  <c r="A26" i="1" s="1"/>
  <c r="N26" i="1"/>
  <c r="O11" i="150"/>
  <c r="A11" i="150" s="1"/>
  <c r="N11" i="150"/>
  <c r="N7" i="4"/>
  <c r="O7" i="4"/>
  <c r="A7" i="4" s="1"/>
  <c r="O13" i="4"/>
  <c r="A13" i="4" s="1"/>
  <c r="N13" i="4"/>
  <c r="N4" i="1" l="1"/>
  <c r="N4" i="137"/>
  <c r="A5" i="137"/>
  <c r="A4" i="137" s="1"/>
  <c r="O4" i="137"/>
  <c r="A5" i="150"/>
  <c r="A4" i="150" s="1"/>
  <c r="O4" i="150"/>
  <c r="A8" i="1"/>
  <c r="A4" i="1" s="1"/>
  <c r="O4" i="1"/>
  <c r="O4" i="4"/>
  <c r="A5" i="4"/>
  <c r="A4" i="4" s="1"/>
  <c r="N4" i="4"/>
  <c r="N4" i="150"/>
  <c r="E1" i="50" l="1"/>
  <c r="A1" i="50"/>
  <c r="I4" i="95"/>
  <c r="I5" i="95" s="1"/>
  <c r="C1" i="50"/>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<sst xmlns="http://schemas.openxmlformats.org/spreadsheetml/2006/main" count="1511" uniqueCount="322">
  <si>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</si>
  <si>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</si>
  <si>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</si>
  <si>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</si>
  <si>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</si>
  <si>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</si>
  <si>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</si>
  <si>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</si>
  <si>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</si>
  <si>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</si>
  <si>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</si>
  <si>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</si>
  <si>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</si>
  <si>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</si>
  <si>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</si>
  <si>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</si>
  <si>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</si>
  <si>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</si>
  <si>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</si>
  <si>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</si>
  <si>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</si>
  <si>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</si>
  <si>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</si>
  <si>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</si>
  <si>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</si>
  <si>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</si>
  <si>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</si>
  <si>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</si>
  <si>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</si>
  <si>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</si>
  <si>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</si>
  <si>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</si>
  <si>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</si>
  <si>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</si>
  <si>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</si>
  <si>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</si>
  <si>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</si>
  <si>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</si>
  <si>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</si>
  <si>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</si>
  <si>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</si>
  <si>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</si>
  <si>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</si>
  <si>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</si>
  <si>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</si>
  <si>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</si>
  <si>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</si>
  <si>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</si>
  <si>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</si>
  <si>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</si>
  <si>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</si>
  <si>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</si>
  <si>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</si>
  <si>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</si>
  <si>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</si>
  <si>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</si>
  <si>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</si>
  <si>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</si>
  <si>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</si>
  <si>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</si>
  <si>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</si>
  <si>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</si>
  <si>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</si>
  <si>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</si>
  <si>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</si>
  <si>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</si>
  <si>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</si>
  <si>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</si>
  <si>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</si>
  <si>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</si>
  <si>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</si>
  <si>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</si>
  <si>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</si>
  <si>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</si>
  <si>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</si>
  <si>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</si>
  <si>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</si>
  <si>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</si>
  <si>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</si>
  <si>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</si>
  <si>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</si>
  <si>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</si>
  <si>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</si>
  <si>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</si>
  <si>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</si>
  <si>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</si>
  <si>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</si>
  <si>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</si>
  <si>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</si>
  <si>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</si>
  <si>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</si>
  <si>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</si>
  <si>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</si>
  <si>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</si>
  <si>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</si>
  <si>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</si>
  <si>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</si>
  <si>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</si>
  <si>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</si>
  <si>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</si>
  <si>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</si>
  <si>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</si>
  <si>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</si>
  <si>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</si>
  <si>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</si>
  <si>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</si>
  <si>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</si>
  <si>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</si>
  <si>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</si>
  <si>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</si>
  <si>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</si>
  <si>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</si>
  <si>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</si>
  <si>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</si>
  <si>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</si>
  <si>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</si>
  <si>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</si>
  <si>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</si>
  <si>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</si>
  <si>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</si>
  <si>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</si>
  <si>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</si>
  <si>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</si>
  <si>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</si>
  <si>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</si>
  <si>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</si>
  <si>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</si>
  <si>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</si>
  <si>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</si>
  <si>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</si>
  <si>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</si>
  <si>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</si>
  <si>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</si>
  <si>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</si>
  <si>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</si>
  <si>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</si>
  <si>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</si>
  <si>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</si>
  <si>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</si>
  <si>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</si>
  <si>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</si>
  <si>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</si>
  <si>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</si>
  <si>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</si>
  <si>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</si>
  <si>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</si>
  <si>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</si>
  <si>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</si>
  <si>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</si>
  <si>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</si>
  <si>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</si>
  <si>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</si>
  <si>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</si>
  <si>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</si>
  <si>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</si>
  <si>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</si>
  <si>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</si>
  <si>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</si>
  <si>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</si>
  <si>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</si>
  <si>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</si>
  <si>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</si>
  <si>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</si>
  <si>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</si>
  <si>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</si>
  <si>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</si>
  <si>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</si>
  <si>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</si>
  <si>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</si>
  <si>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</si>
  <si>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</si>
  <si>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</si>
  <si>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</si>
  <si>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</si>
  <si>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</si>
  <si>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</si>
  <si>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</si>
  <si>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</si>
  <si>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</si>
  <si>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</si>
  <si>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</si>
  <si>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</si>
  <si>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</si>
  <si>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</si>
  <si>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</si>
  <si>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</si>
  <si>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</si>
  <si>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</si>
  <si>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</si>
  <si>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</si>
  <si>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</si>
  <si>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</si>
  <si>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</si>
  <si>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</si>
  <si>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</si>
  <si>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</si>
  <si>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</si>
  <si>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</si>
  <si>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</si>
  <si>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</si>
  <si>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</si>
  <si>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</si>
  <si>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</si>
  <si>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</si>
  <si>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</si>
  <si>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</si>
  <si>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</si>
  <si>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</si>
  <si>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</si>
  <si>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</si>
  <si>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</si>
  <si>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</si>
  <si>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</si>
  <si>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</si>
  <si>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</si>
  <si>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</si>
  <si>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</si>
  <si>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</si>
  <si>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</si>
  <si>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</si>
  <si>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</si>
  <si>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</si>
  <si>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</si>
  <si>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</si>
  <si>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</si>
  <si>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</si>
  <si>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</si>
  <si>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</si>
  <si>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</si>
  <si>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</si>
  <si>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</si>
  <si>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</si>
  <si>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</si>
  <si>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</si>
  <si>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</si>
  <si>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</si>
  <si>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</si>
  <si>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</si>
  <si>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</si>
  <si>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</si>
  <si>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</si>
  <si>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</si>
  <si>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</si>
  <si>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</si>
  <si>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</si>
  <si>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</si>
  <si>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</si>
  <si>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</si>
  <si>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</si>
  <si>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</si>
  <si>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</si>
  <si>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</si>
  <si>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</si>
  <si>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</si>
  <si>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</si>
  <si>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</si>
  <si>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</si>
  <si>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</si>
  <si>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</si>
  <si>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</si>
  <si>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</si>
  <si>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</si>
  <si>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</si>
  <si>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</si>
  <si>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</si>
  <si>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</si>
  <si>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</si>
  <si>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</si>
  <si>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</si>
  <si>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</si>
  <si>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</si>
  <si>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</si>
  <si>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</si>
  <si>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</si>
  <si>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</si>
  <si>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</si>
  <si>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</si>
  <si>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</si>
  <si>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</si>
  <si>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</si>
  <si>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</si>
  <si>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</si>
  <si>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</si>
  <si>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</si>
  <si>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</si>
  <si>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</si>
  <si>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</si>
  <si>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</si>
  <si>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</si>
  <si>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</si>
  <si>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</si>
  <si>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</si>
  <si>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</si>
  <si>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</si>
  <si>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</si>
  <si>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</si>
  <si>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</si>
  <si>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</si>
  <si>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</si>
  <si>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</si>
  <si>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</si>
  <si>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</si>
  <si>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</si>
  <si>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</si>
  <si>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</si>
  <si>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</si>
  <si>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</si>
  <si>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</si>
  <si>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</si>
  <si>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Dì Luận</t>
  </si>
  <si>
    <t>Tiền xe 27/01</t>
  </si>
  <si>
    <t/>
  </si>
  <si>
    <t>Chị Vân VH</t>
  </si>
  <si>
    <t>Chênh lệch giá</t>
  </si>
  <si>
    <t>Chị Nga Hồng</t>
  </si>
  <si>
    <t>Cô Bé</t>
  </si>
  <si>
    <t>Ms Ngà</t>
  </si>
  <si>
    <t>KH lẻ</t>
  </si>
  <si>
    <t>Chị 5</t>
  </si>
  <si>
    <t>Chị Hiếu</t>
  </si>
  <si>
    <t>Dương Tuyền</t>
  </si>
  <si>
    <t>TH Tịnh 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</si>
</sst>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0" fillId="7" borderId="0" xfId="0" applyFill="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613">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vertical="top" readingOrder="0"/>
    </dxf>
    <dxf>
      <alignment vertical="top" readingOrder="0"/>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612"/>
      <tableStyleElement type="headerRow" dxfId="61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4737" name="Button 1" hidden="1">
              <a:extLst>
                <a:ext uri="{63B3BB69-23CF-44E3-9099-C40C66FF867C}">
                  <a14:compatExt spid="_x0000_s1524737"/>
                </a:ext>
                <a:ext uri="{FF2B5EF4-FFF2-40B4-BE49-F238E27FC236}">
                  <a16:creationId xmlns:a16="http://schemas.microsoft.com/office/drawing/2014/main" id="{3AF344C1-4E7B-487E-A8FA-87DA5793B89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3713" name="Button 1" hidden="1">
              <a:extLst>
                <a:ext uri="{63B3BB69-23CF-44E3-9099-C40C66FF867C}">
                  <a14:compatExt spid="_x0000_s1523713"/>
                </a:ext>
                <a:ext uri="{FF2B5EF4-FFF2-40B4-BE49-F238E27FC236}">
                  <a16:creationId xmlns:a16="http://schemas.microsoft.com/office/drawing/2014/main" id="{A9E5AE83-D194-4745-B1D4-BF0251B7D9F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9617" name="Button 1" hidden="1">
              <a:extLst>
                <a:ext uri="{63B3BB69-23CF-44E3-9099-C40C66FF867C}">
                  <a14:compatExt spid="_x0000_s1519617"/>
                </a:ext>
                <a:ext uri="{FF2B5EF4-FFF2-40B4-BE49-F238E27FC236}">
                  <a16:creationId xmlns:a16="http://schemas.microsoft.com/office/drawing/2014/main" id="{E5826C3C-F844-48E2-B65F-E942850F87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8593" name="Button 1" hidden="1">
              <a:extLst>
                <a:ext uri="{63B3BB69-23CF-44E3-9099-C40C66FF867C}">
                  <a14:compatExt spid="_x0000_s1518593"/>
                </a:ext>
                <a:ext uri="{FF2B5EF4-FFF2-40B4-BE49-F238E27FC236}">
                  <a16:creationId xmlns:a16="http://schemas.microsoft.com/office/drawing/2014/main" id="{7B1ED429-005C-4090-9662-467294534A8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7569" name="Button 1" hidden="1">
              <a:extLst>
                <a:ext uri="{63B3BB69-23CF-44E3-9099-C40C66FF867C}">
                  <a14:compatExt spid="_x0000_s1517569"/>
                </a:ext>
                <a:ext uri="{FF2B5EF4-FFF2-40B4-BE49-F238E27FC236}">
                  <a16:creationId xmlns:a16="http://schemas.microsoft.com/office/drawing/2014/main" id="{E0425808-7E21-4FC9-9E33-4206E56384B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6545" name="Button 1" hidden="1">
              <a:extLst>
                <a:ext uri="{63B3BB69-23CF-44E3-9099-C40C66FF867C}">
                  <a14:compatExt spid="_x0000_s1516545"/>
                </a:ext>
                <a:ext uri="{FF2B5EF4-FFF2-40B4-BE49-F238E27FC236}">
                  <a16:creationId xmlns:a16="http://schemas.microsoft.com/office/drawing/2014/main" id="{DB8CD63D-9DD3-4BB6-9CD3-EC304736F7D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5521" name="Button 1" hidden="1">
              <a:extLst>
                <a:ext uri="{63B3BB69-23CF-44E3-9099-C40C66FF867C}">
                  <a14:compatExt spid="_x0000_s1515521"/>
                </a:ext>
                <a:ext uri="{FF2B5EF4-FFF2-40B4-BE49-F238E27FC236}">
                  <a16:creationId xmlns:a16="http://schemas.microsoft.com/office/drawing/2014/main" id="{82703368-C111-4AD3-9A65-2949897CFF1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4497" name="Button 1" hidden="1">
              <a:extLst>
                <a:ext uri="{63B3BB69-23CF-44E3-9099-C40C66FF867C}">
                  <a14:compatExt spid="_x0000_s1514497"/>
                </a:ext>
                <a:ext uri="{FF2B5EF4-FFF2-40B4-BE49-F238E27FC236}">
                  <a16:creationId xmlns:a16="http://schemas.microsoft.com/office/drawing/2014/main" id="{2F46C852-F779-417C-A6A7-FED54F596A0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3473" name="Button 1" hidden="1">
              <a:extLst>
                <a:ext uri="{63B3BB69-23CF-44E3-9099-C40C66FF867C}">
                  <a14:compatExt spid="_x0000_s1513473"/>
                </a:ext>
                <a:ext uri="{FF2B5EF4-FFF2-40B4-BE49-F238E27FC236}">
                  <a16:creationId xmlns:a16="http://schemas.microsoft.com/office/drawing/2014/main" id="{A3A1C8DD-C534-4843-A220-7A4F74A696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76070DFE-5A5E-4B67-8E0A-930CBDE164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1425" name="Button 1" hidden="1">
              <a:extLst>
                <a:ext uri="{63B3BB69-23CF-44E3-9099-C40C66FF867C}">
                  <a14:compatExt spid="_x0000_s1511425"/>
                </a:ext>
                <a:ext uri="{FF2B5EF4-FFF2-40B4-BE49-F238E27FC236}">
                  <a16:creationId xmlns:a16="http://schemas.microsoft.com/office/drawing/2014/main" id="{2595F6AF-3176-41D6-8052-0BE1B53EF89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0401" name="Button 1" hidden="1">
              <a:extLst>
                <a:ext uri="{63B3BB69-23CF-44E3-9099-C40C66FF867C}">
                  <a14:compatExt spid="_x0000_s1510401"/>
                </a:ext>
                <a:ext uri="{FF2B5EF4-FFF2-40B4-BE49-F238E27FC236}">
                  <a16:creationId xmlns:a16="http://schemas.microsoft.com/office/drawing/2014/main" id="{3C827048-7907-408F-9326-30D4FED7B29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9377" name="Button 1" hidden="1">
              <a:extLst>
                <a:ext uri="{63B3BB69-23CF-44E3-9099-C40C66FF867C}">
                  <a14:compatExt spid="_x0000_s1509377"/>
                </a:ext>
                <a:ext uri="{FF2B5EF4-FFF2-40B4-BE49-F238E27FC236}">
                  <a16:creationId xmlns:a16="http://schemas.microsoft.com/office/drawing/2014/main" id="{797DCED7-7095-483D-B39A-2C114E1B4C2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8353" name="Button 1" hidden="1">
              <a:extLst>
                <a:ext uri="{63B3BB69-23CF-44E3-9099-C40C66FF867C}">
                  <a14:compatExt spid="_x0000_s1508353"/>
                </a:ext>
                <a:ext uri="{FF2B5EF4-FFF2-40B4-BE49-F238E27FC236}">
                  <a16:creationId xmlns:a16="http://schemas.microsoft.com/office/drawing/2014/main" id="{E1E44D0C-B702-4AC8-8F4F-824FEF28626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7329" name="Button 1" hidden="1">
              <a:extLst>
                <a:ext uri="{63B3BB69-23CF-44E3-9099-C40C66FF867C}">
                  <a14:compatExt spid="_x0000_s1507329"/>
                </a:ext>
                <a:ext uri="{FF2B5EF4-FFF2-40B4-BE49-F238E27FC236}">
                  <a16:creationId xmlns:a16="http://schemas.microsoft.com/office/drawing/2014/main" id="{28EBAFEC-135F-4DDB-8E4E-E04E4A82142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6305" name="Button 1" hidden="1">
              <a:extLst>
                <a:ext uri="{63B3BB69-23CF-44E3-9099-C40C66FF867C}">
                  <a14:compatExt spid="_x0000_s1506305"/>
                </a:ext>
                <a:ext uri="{FF2B5EF4-FFF2-40B4-BE49-F238E27FC236}">
                  <a16:creationId xmlns:a16="http://schemas.microsoft.com/office/drawing/2014/main" id="{81E81A5D-C8AB-4F40-B6C7-DE86C949644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5281" name="Button 1" hidden="1">
              <a:extLst>
                <a:ext uri="{63B3BB69-23CF-44E3-9099-C40C66FF867C}">
                  <a14:compatExt spid="_x0000_s1505281"/>
                </a:ext>
                <a:ext uri="{FF2B5EF4-FFF2-40B4-BE49-F238E27FC236}">
                  <a16:creationId xmlns:a16="http://schemas.microsoft.com/office/drawing/2014/main" id="{83E5C917-DC9D-43AF-9AD9-6FC7900CCB0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36">
      <pivotArea field="3" type="button" dataOnly="0" labelOnly="1" outline="0" axis="axisRow" fieldPosition="3"/>
    </format>
    <format dxfId="33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1">
      <pivotArea field="1" type="button" dataOnly="0" labelOnly="1" outline="0" axis="axisRow" fieldPosition="2"/>
    </format>
    <format dxfId="362">
      <pivotArea dataOnly="0" labelOnly="1" outline="0" fieldPosition="0">
        <references count="1">
          <reference field="1" count="0"/>
        </references>
      </pivotArea>
    </format>
    <format dxfId="363">
      <pivotArea field="0" type="button" dataOnly="0" labelOnly="1" outline="0" axis="axisRow" fieldPosition="0"/>
    </format>
    <format dxfId="36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grandRow="1" outline="0" fieldPosition="0"/>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7">
      <pivotArea dataOnly="0" labelOnly="1" grandRow="1" outline="0" fieldPosition="0"/>
    </format>
    <format dxfId="368">
      <pivotArea field="2" type="button" dataOnly="0" labelOnly="1" outline="0" axis="axisRow" fieldPosition="1"/>
    </format>
    <format dxfId="369">
      <pivotArea type="all" dataOnly="0" outline="0" fieldPosition="0"/>
    </format>
    <format dxfId="370">
      <pivotArea field="0" type="button" dataOnly="0" labelOnly="1" outline="0" axis="axisRow" fieldPosition="0"/>
    </format>
    <format dxfId="371">
      <pivotArea field="2" type="button" dataOnly="0" labelOnly="1" outline="0" axis="axisRow" fieldPosition="1"/>
    </format>
    <format dxfId="372">
      <pivotArea field="1" type="button" dataOnly="0" labelOnly="1" outline="0" axis="axisRow" fieldPosition="2"/>
    </format>
    <format dxfId="373">
      <pivotArea field="3" type="button" dataOnly="0" labelOnly="1" outline="0" axis="axisRow" fieldPosition="3"/>
    </format>
    <format dxfId="374">
      <pivotArea field="0" type="button" dataOnly="0" labelOnly="1" outline="0" axis="axisRow" fieldPosition="0"/>
    </format>
    <format dxfId="375">
      <pivotArea field="2" type="button" dataOnly="0" labelOnly="1" outline="0" axis="axisRow" fieldPosition="1"/>
    </format>
    <format dxfId="376">
      <pivotArea field="1" type="button" dataOnly="0" labelOnly="1" outline="0" axis="axisRow" fieldPosition="2"/>
    </format>
    <format dxfId="377">
      <pivotArea field="3" type="button" dataOnly="0" labelOnly="1" outline="0" axis="axisRow" fieldPosition="3"/>
    </format>
    <format dxfId="378">
      <pivotArea field="0" type="button" dataOnly="0" labelOnly="1" outline="0" axis="axisRow" fieldPosition="0"/>
    </format>
    <format dxfId="379">
      <pivotArea field="2" type="button" dataOnly="0" labelOnly="1" outline="0" axis="axisRow" fieldPosition="1"/>
    </format>
    <format dxfId="380">
      <pivotArea dataOnly="0" labelOnly="1" outline="0" fieldPosition="0">
        <references count="3">
          <reference field="0" count="1" selected="0">
            <x v="4"/>
          </reference>
          <reference field="1" count="1">
            <x v="2"/>
          </reference>
          <reference field="2" count="1" selected="0">
            <x v="4"/>
          </reference>
        </references>
      </pivotArea>
    </format>
    <format dxfId="381">
      <pivotArea dataOnly="0" labelOnly="1" outline="0" fieldPosition="0">
        <references count="3">
          <reference field="0" count="1" selected="0">
            <x v="5"/>
          </reference>
          <reference field="1" count="1">
            <x v="8"/>
          </reference>
          <reference field="2" count="1" selected="0">
            <x v="5"/>
          </reference>
        </references>
      </pivotArea>
    </format>
    <format dxfId="382">
      <pivotArea dataOnly="0" labelOnly="1" outline="0" fieldPosition="0">
        <references count="3">
          <reference field="0" count="1" selected="0">
            <x v="8"/>
          </reference>
          <reference field="1" count="1">
            <x v="7"/>
          </reference>
          <reference field="2" count="1" selected="0">
            <x v="8"/>
          </reference>
        </references>
      </pivotArea>
    </format>
    <format dxfId="383">
      <pivotArea dataOnly="0" labelOnly="1" outline="0" fieldPosition="0">
        <references count="3">
          <reference field="0" count="1" selected="0">
            <x v="10"/>
          </reference>
          <reference field="1" count="1">
            <x v="13"/>
          </reference>
          <reference field="2" count="1" selected="0">
            <x v="10"/>
          </reference>
        </references>
      </pivotArea>
    </format>
    <format dxfId="384">
      <pivotArea dataOnly="0" labelOnly="1" outline="0" fieldPosition="0">
        <references count="3">
          <reference field="0" count="1" selected="0">
            <x v="11"/>
          </reference>
          <reference field="1" count="1">
            <x v="14"/>
          </reference>
          <reference field="2" count="1" selected="0">
            <x v="11"/>
          </reference>
        </references>
      </pivotArea>
    </format>
    <format dxfId="385">
      <pivotArea dataOnly="0" labelOnly="1" outline="0" fieldPosition="0">
        <references count="3">
          <reference field="0" count="1" selected="0">
            <x v="12"/>
          </reference>
          <reference field="1" count="1">
            <x v="15"/>
          </reference>
          <reference field="2" count="1" selected="0">
            <x v="12"/>
          </reference>
        </references>
      </pivotArea>
    </format>
    <format dxfId="386">
      <pivotArea dataOnly="0" labelOnly="1" outline="0" fieldPosition="0">
        <references count="3">
          <reference field="0" count="1" selected="0">
            <x v="13"/>
          </reference>
          <reference field="1" count="1">
            <x v="16"/>
          </reference>
          <reference field="2" count="1" selected="0">
            <x v="13"/>
          </reference>
        </references>
      </pivotArea>
    </format>
    <format dxfId="387">
      <pivotArea dataOnly="0" labelOnly="1" outline="0" fieldPosition="0">
        <references count="3">
          <reference field="0" count="1" selected="0">
            <x v="14"/>
          </reference>
          <reference field="1" count="1">
            <x v="17"/>
          </reference>
          <reference field="2" count="1" selected="0">
            <x v="14"/>
          </reference>
        </references>
      </pivotArea>
    </format>
    <format dxfId="388">
      <pivotArea dataOnly="0" labelOnly="1" outline="0" fieldPosition="0">
        <references count="3">
          <reference field="0" count="1" selected="0">
            <x v="15"/>
          </reference>
          <reference field="1" count="1">
            <x v="10"/>
          </reference>
          <reference field="2" count="1" selected="0">
            <x v="15"/>
          </reference>
        </references>
      </pivotArea>
    </format>
    <format dxfId="389">
      <pivotArea dataOnly="0" labelOnly="1" outline="0" fieldPosition="0">
        <references count="3">
          <reference field="0" count="1" selected="0">
            <x v="16"/>
          </reference>
          <reference field="1" count="1">
            <x v="11"/>
          </reference>
          <reference field="2" count="1" selected="0">
            <x v="16"/>
          </reference>
        </references>
      </pivotArea>
    </format>
    <format dxfId="390">
      <pivotArea dataOnly="0" labelOnly="1" outline="0" fieldPosition="0">
        <references count="3">
          <reference field="0" count="1" selected="0">
            <x v="17"/>
          </reference>
          <reference field="1" count="1">
            <x v="3"/>
          </reference>
          <reference field="2" count="1" selected="0">
            <x v="17"/>
          </reference>
        </references>
      </pivotArea>
    </format>
    <format dxfId="391">
      <pivotArea dataOnly="0" labelOnly="1" outline="0" fieldPosition="0">
        <references count="3">
          <reference field="0" count="1" selected="0">
            <x v="20"/>
          </reference>
          <reference field="1" count="1">
            <x v="18"/>
          </reference>
          <reference field="2" count="1" selected="0">
            <x v="20"/>
          </reference>
        </references>
      </pivotArea>
    </format>
    <format dxfId="392">
      <pivotArea dataOnly="0" labelOnly="1" outline="0" fieldPosition="0">
        <references count="3">
          <reference field="0" count="1" selected="0">
            <x v="25"/>
          </reference>
          <reference field="1" count="1">
            <x v="1"/>
          </reference>
          <reference field="2" count="1" selected="0">
            <x v="25"/>
          </reference>
        </references>
      </pivotArea>
    </format>
    <format dxfId="39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9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outline="0" fieldPosition="0">
        <references count="2">
          <reference field="0" count="1" selected="0">
            <x v="0"/>
          </reference>
          <reference field="2" count="1">
            <x v="0"/>
          </reference>
        </references>
      </pivotArea>
    </format>
    <format dxfId="407">
      <pivotArea dataOnly="0" labelOnly="1" outline="0" fieldPosition="0">
        <references count="2">
          <reference field="0" count="1" selected="0">
            <x v="1"/>
          </reference>
          <reference field="2" count="1">
            <x v="1"/>
          </reference>
        </references>
      </pivotArea>
    </format>
    <format dxfId="408">
      <pivotArea dataOnly="0" labelOnly="1" outline="0" fieldPosition="0">
        <references count="2">
          <reference field="0" count="1" selected="0">
            <x v="2"/>
          </reference>
          <reference field="2" count="1">
            <x v="2"/>
          </reference>
        </references>
      </pivotArea>
    </format>
    <format dxfId="409">
      <pivotArea dataOnly="0" labelOnly="1" outline="0" fieldPosition="0">
        <references count="2">
          <reference field="0" count="1" selected="0">
            <x v="3"/>
          </reference>
          <reference field="2" count="1">
            <x v="3"/>
          </reference>
        </references>
      </pivotArea>
    </format>
    <format dxfId="410">
      <pivotArea dataOnly="0" labelOnly="1" outline="0" fieldPosition="0">
        <references count="2">
          <reference field="0" count="1" selected="0">
            <x v="4"/>
          </reference>
          <reference field="2" count="1">
            <x v="4"/>
          </reference>
        </references>
      </pivotArea>
    </format>
    <format dxfId="411">
      <pivotArea dataOnly="0" labelOnly="1" outline="0" fieldPosition="0">
        <references count="2">
          <reference field="0" count="1" selected="0">
            <x v="5"/>
          </reference>
          <reference field="2" count="1">
            <x v="5"/>
          </reference>
        </references>
      </pivotArea>
    </format>
    <format dxfId="412">
      <pivotArea dataOnly="0" labelOnly="1" outline="0" fieldPosition="0">
        <references count="2">
          <reference field="0" count="1" selected="0">
            <x v="6"/>
          </reference>
          <reference field="2" count="1">
            <x v="6"/>
          </reference>
        </references>
      </pivotArea>
    </format>
    <format dxfId="413">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5">
      <pivotArea dataOnly="0" labelOnly="1" outline="0" fieldPosition="0">
        <references count="2">
          <reference field="0" count="1" selected="0">
            <x v="9"/>
          </reference>
          <reference field="2" count="1">
            <x v="9"/>
          </reference>
        </references>
      </pivotArea>
    </format>
    <format dxfId="416">
      <pivotArea dataOnly="0" labelOnly="1" outline="0" fieldPosition="0">
        <references count="2">
          <reference field="0" count="1" selected="0">
            <x v="10"/>
          </reference>
          <reference field="2" count="1">
            <x v="10"/>
          </reference>
        </references>
      </pivotArea>
    </format>
    <format dxfId="417">
      <pivotArea dataOnly="0" labelOnly="1" outline="0" fieldPosition="0">
        <references count="2">
          <reference field="0" count="1" selected="0">
            <x v="11"/>
          </reference>
          <reference field="2" count="1">
            <x v="11"/>
          </reference>
        </references>
      </pivotArea>
    </format>
    <format dxfId="418">
      <pivotArea dataOnly="0" labelOnly="1" outline="0" fieldPosition="0">
        <references count="2">
          <reference field="0" count="1" selected="0">
            <x v="12"/>
          </reference>
          <reference field="2" count="1">
            <x v="12"/>
          </reference>
        </references>
      </pivotArea>
    </format>
    <format dxfId="419">
      <pivotArea dataOnly="0" labelOnly="1" outline="0" fieldPosition="0">
        <references count="2">
          <reference field="0" count="1" selected="0">
            <x v="13"/>
          </reference>
          <reference field="2" count="1">
            <x v="13"/>
          </reference>
        </references>
      </pivotArea>
    </format>
    <format dxfId="420">
      <pivotArea dataOnly="0" labelOnly="1" outline="0" fieldPosition="0">
        <references count="2">
          <reference field="0" count="1" selected="0">
            <x v="14"/>
          </reference>
          <reference field="2" count="1">
            <x v="14"/>
          </reference>
        </references>
      </pivotArea>
    </format>
    <format dxfId="421">
      <pivotArea dataOnly="0" labelOnly="1" outline="0" fieldPosition="0">
        <references count="2">
          <reference field="0" count="1" selected="0">
            <x v="15"/>
          </reference>
          <reference field="2" count="1">
            <x v="15"/>
          </reference>
        </references>
      </pivotArea>
    </format>
    <format dxfId="422">
      <pivotArea dataOnly="0" labelOnly="1" outline="0" fieldPosition="0">
        <references count="2">
          <reference field="0" count="1" selected="0">
            <x v="16"/>
          </reference>
          <reference field="2" count="1">
            <x v="16"/>
          </reference>
        </references>
      </pivotArea>
    </format>
    <format dxfId="423">
      <pivotArea dataOnly="0" labelOnly="1" outline="0" fieldPosition="0">
        <references count="2">
          <reference field="0" count="1" selected="0">
            <x v="17"/>
          </reference>
          <reference field="2" count="1">
            <x v="17"/>
          </reference>
        </references>
      </pivotArea>
    </format>
    <format dxfId="424">
      <pivotArea dataOnly="0" labelOnly="1" outline="0" fieldPosition="0">
        <references count="2">
          <reference field="0" count="1" selected="0">
            <x v="18"/>
          </reference>
          <reference field="2" count="1">
            <x v="18"/>
          </reference>
        </references>
      </pivotArea>
    </format>
    <format dxfId="425">
      <pivotArea dataOnly="0" labelOnly="1" outline="0" fieldPosition="0">
        <references count="2">
          <reference field="0" count="1" selected="0">
            <x v="19"/>
          </reference>
          <reference field="2" count="1">
            <x v="19"/>
          </reference>
        </references>
      </pivotArea>
    </format>
    <format dxfId="426">
      <pivotArea dataOnly="0" labelOnly="1" outline="0" fieldPosition="0">
        <references count="2">
          <reference field="0" count="1" selected="0">
            <x v="20"/>
          </reference>
          <reference field="2" count="1">
            <x v="20"/>
          </reference>
        </references>
      </pivotArea>
    </format>
    <format dxfId="427">
      <pivotArea dataOnly="0" labelOnly="1" outline="0" fieldPosition="0">
        <references count="2">
          <reference field="0" count="1" selected="0">
            <x v="21"/>
          </reference>
          <reference field="2" count="1">
            <x v="21"/>
          </reference>
        </references>
      </pivotArea>
    </format>
    <format dxfId="428">
      <pivotArea dataOnly="0" labelOnly="1" outline="0" fieldPosition="0">
        <references count="2">
          <reference field="0" count="1" selected="0">
            <x v="22"/>
          </reference>
          <reference field="2" count="1">
            <x v="22"/>
          </reference>
        </references>
      </pivotArea>
    </format>
    <format dxfId="429">
      <pivotArea dataOnly="0" labelOnly="1" outline="0" fieldPosition="0">
        <references count="2">
          <reference field="0" count="1" selected="0">
            <x v="23"/>
          </reference>
          <reference field="2" count="1">
            <x v="23"/>
          </reference>
        </references>
      </pivotArea>
    </format>
    <format dxfId="430">
      <pivotArea dataOnly="0" labelOnly="1" outline="0" fieldPosition="0">
        <references count="2">
          <reference field="0" count="1" selected="0">
            <x v="24"/>
          </reference>
          <reference field="2" count="1">
            <x v="24"/>
          </reference>
        </references>
      </pivotArea>
    </format>
    <format dxfId="431">
      <pivotArea dataOnly="0" labelOnly="1" outline="0" fieldPosition="0">
        <references count="2">
          <reference field="0" count="1" selected="0">
            <x v="25"/>
          </reference>
          <reference field="2" count="1">
            <x v="25"/>
          </reference>
        </references>
      </pivotArea>
    </format>
    <format dxfId="432">
      <pivotArea dataOnly="0" labelOnly="1" outline="0" fieldPosition="0">
        <references count="2">
          <reference field="0" count="1" selected="0">
            <x v="26"/>
          </reference>
          <reference field="2" count="1">
            <x v="26"/>
          </reference>
        </references>
      </pivotArea>
    </format>
    <format dxfId="433">
      <pivotArea dataOnly="0" labelOnly="1" outline="0" fieldPosition="0">
        <references count="2">
          <reference field="0" count="1" selected="0">
            <x v="27"/>
          </reference>
          <reference field="2" count="1">
            <x v="27"/>
          </reference>
        </references>
      </pivotArea>
    </format>
    <format dxfId="434">
      <pivotArea dataOnly="0" labelOnly="1" outline="0" fieldPosition="0">
        <references count="2">
          <reference field="0" count="1" selected="0">
            <x v="28"/>
          </reference>
          <reference field="2" count="1">
            <x v="28"/>
          </reference>
        </references>
      </pivotArea>
    </format>
    <format dxfId="435">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7">
      <pivotArea dataOnly="0" labelOnly="1" outline="0" fieldPosition="0">
        <references count="2">
          <reference field="0" count="1" selected="0">
            <x v="31"/>
          </reference>
          <reference field="2" count="1">
            <x v="31"/>
          </reference>
        </references>
      </pivotArea>
    </format>
    <format dxfId="438">
      <pivotArea dataOnly="0" labelOnly="1" outline="0" fieldPosition="0">
        <references count="2">
          <reference field="0" count="1" selected="0">
            <x v="32"/>
          </reference>
          <reference field="2" count="1">
            <x v="32"/>
          </reference>
        </references>
      </pivotArea>
    </format>
    <format dxfId="439">
      <pivotArea dataOnly="0" labelOnly="1" outline="0" fieldPosition="0">
        <references count="2">
          <reference field="0" count="1" selected="0">
            <x v="33"/>
          </reference>
          <reference field="2" count="1">
            <x v="33"/>
          </reference>
        </references>
      </pivotArea>
    </format>
    <format dxfId="440">
      <pivotArea dataOnly="0" labelOnly="1" outline="0" fieldPosition="0">
        <references count="2">
          <reference field="0" count="1" selected="0">
            <x v="34"/>
          </reference>
          <reference field="2" count="1">
            <x v="34"/>
          </reference>
        </references>
      </pivotArea>
    </format>
    <format dxfId="441">
      <pivotArea dataOnly="0" labelOnly="1" outline="0" fieldPosition="0">
        <references count="2">
          <reference field="0" count="1" selected="0">
            <x v="35"/>
          </reference>
          <reference field="2" count="1">
            <x v="35"/>
          </reference>
        </references>
      </pivotArea>
    </format>
    <format dxfId="442">
      <pivotArea dataOnly="0" labelOnly="1" outline="0" fieldPosition="0">
        <references count="2">
          <reference field="0" count="1" selected="0">
            <x v="36"/>
          </reference>
          <reference field="2" count="1">
            <x v="36"/>
          </reference>
        </references>
      </pivotArea>
    </format>
    <format dxfId="443">
      <pivotArea dataOnly="0" labelOnly="1" outline="0" fieldPosition="0">
        <references count="2">
          <reference field="0" count="1" selected="0">
            <x v="37"/>
          </reference>
          <reference field="2" count="1">
            <x v="37"/>
          </reference>
        </references>
      </pivotArea>
    </format>
    <format dxfId="444">
      <pivotArea dataOnly="0" labelOnly="1" outline="0" fieldPosition="0">
        <references count="2">
          <reference field="0" count="1" selected="0">
            <x v="38"/>
          </reference>
          <reference field="2" count="1">
            <x v="38"/>
          </reference>
        </references>
      </pivotArea>
    </format>
    <format dxfId="445">
      <pivotArea dataOnly="0" labelOnly="1" outline="0" fieldPosition="0">
        <references count="2">
          <reference field="0" count="1" selected="0">
            <x v="39"/>
          </reference>
          <reference field="2" count="1">
            <x v="39"/>
          </reference>
        </references>
      </pivotArea>
    </format>
    <format dxfId="446">
      <pivotArea dataOnly="0" labelOnly="1" outline="0" fieldPosition="0">
        <references count="2">
          <reference field="0" count="1" selected="0">
            <x v="40"/>
          </reference>
          <reference field="2" count="1">
            <x v="40"/>
          </reference>
        </references>
      </pivotArea>
    </format>
    <format dxfId="447">
      <pivotArea dataOnly="0" labelOnly="1" outline="0" fieldPosition="0">
        <references count="3">
          <reference field="0" count="1" selected="0">
            <x v="4"/>
          </reference>
          <reference field="1" count="1">
            <x v="2"/>
          </reference>
          <reference field="2" count="1" selected="0">
            <x v="4"/>
          </reference>
        </references>
      </pivotArea>
    </format>
    <format dxfId="448">
      <pivotArea dataOnly="0" labelOnly="1" outline="0" fieldPosition="0">
        <references count="3">
          <reference field="0" count="1" selected="0">
            <x v="5"/>
          </reference>
          <reference field="1" count="1">
            <x v="8"/>
          </reference>
          <reference field="2" count="1" selected="0">
            <x v="5"/>
          </reference>
        </references>
      </pivotArea>
    </format>
    <format dxfId="449">
      <pivotArea dataOnly="0" labelOnly="1" outline="0" fieldPosition="0">
        <references count="3">
          <reference field="0" count="1" selected="0">
            <x v="8"/>
          </reference>
          <reference field="1" count="1">
            <x v="7"/>
          </reference>
          <reference field="2" count="1" selected="0">
            <x v="8"/>
          </reference>
        </references>
      </pivotArea>
    </format>
    <format dxfId="450">
      <pivotArea dataOnly="0" labelOnly="1" outline="0" fieldPosition="0">
        <references count="3">
          <reference field="0" count="1" selected="0">
            <x v="10"/>
          </reference>
          <reference field="1" count="1">
            <x v="13"/>
          </reference>
          <reference field="2" count="1" selected="0">
            <x v="10"/>
          </reference>
        </references>
      </pivotArea>
    </format>
    <format dxfId="451">
      <pivotArea dataOnly="0" labelOnly="1" outline="0" fieldPosition="0">
        <references count="3">
          <reference field="0" count="1" selected="0">
            <x v="11"/>
          </reference>
          <reference field="1" count="1">
            <x v="14"/>
          </reference>
          <reference field="2" count="1" selected="0">
            <x v="11"/>
          </reference>
        </references>
      </pivotArea>
    </format>
    <format dxfId="452">
      <pivotArea dataOnly="0" labelOnly="1" outline="0" fieldPosition="0">
        <references count="3">
          <reference field="0" count="1" selected="0">
            <x v="12"/>
          </reference>
          <reference field="1" count="1">
            <x v="15"/>
          </reference>
          <reference field="2" count="1" selected="0">
            <x v="12"/>
          </reference>
        </references>
      </pivotArea>
    </format>
    <format dxfId="453">
      <pivotArea dataOnly="0" labelOnly="1" outline="0" fieldPosition="0">
        <references count="3">
          <reference field="0" count="1" selected="0">
            <x v="13"/>
          </reference>
          <reference field="1" count="1">
            <x v="16"/>
          </reference>
          <reference field="2" count="1" selected="0">
            <x v="13"/>
          </reference>
        </references>
      </pivotArea>
    </format>
    <format dxfId="454">
      <pivotArea dataOnly="0" labelOnly="1" outline="0" fieldPosition="0">
        <references count="3">
          <reference field="0" count="1" selected="0">
            <x v="14"/>
          </reference>
          <reference field="1" count="1">
            <x v="17"/>
          </reference>
          <reference field="2" count="1" selected="0">
            <x v="14"/>
          </reference>
        </references>
      </pivotArea>
    </format>
    <format dxfId="455">
      <pivotArea dataOnly="0" labelOnly="1" outline="0" fieldPosition="0">
        <references count="3">
          <reference field="0" count="1" selected="0">
            <x v="15"/>
          </reference>
          <reference field="1" count="1">
            <x v="10"/>
          </reference>
          <reference field="2" count="1" selected="0">
            <x v="15"/>
          </reference>
        </references>
      </pivotArea>
    </format>
    <format dxfId="456">
      <pivotArea dataOnly="0" labelOnly="1" outline="0" fieldPosition="0">
        <references count="3">
          <reference field="0" count="1" selected="0">
            <x v="16"/>
          </reference>
          <reference field="1" count="1">
            <x v="11"/>
          </reference>
          <reference field="2" count="1" selected="0">
            <x v="16"/>
          </reference>
        </references>
      </pivotArea>
    </format>
    <format dxfId="457">
      <pivotArea dataOnly="0" labelOnly="1" outline="0" fieldPosition="0">
        <references count="3">
          <reference field="0" count="1" selected="0">
            <x v="17"/>
          </reference>
          <reference field="1" count="1">
            <x v="3"/>
          </reference>
          <reference field="2" count="1" selected="0">
            <x v="17"/>
          </reference>
        </references>
      </pivotArea>
    </format>
    <format dxfId="458">
      <pivotArea dataOnly="0" labelOnly="1" outline="0" fieldPosition="0">
        <references count="3">
          <reference field="0" count="1" selected="0">
            <x v="20"/>
          </reference>
          <reference field="1" count="1">
            <x v="18"/>
          </reference>
          <reference field="2" count="1" selected="0">
            <x v="20"/>
          </reference>
        </references>
      </pivotArea>
    </format>
    <format dxfId="459">
      <pivotArea dataOnly="0" labelOnly="1" outline="0" fieldPosition="0">
        <references count="3">
          <reference field="0" count="1" selected="0">
            <x v="25"/>
          </reference>
          <reference field="1" count="1">
            <x v="1"/>
          </reference>
          <reference field="2" count="1" selected="0">
            <x v="25"/>
          </reference>
        </references>
      </pivotArea>
    </format>
    <format dxfId="4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6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6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6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6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6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6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7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7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72">
      <pivotArea type="all" dataOnly="0" outline="0" fieldPosition="0"/>
    </format>
    <format dxfId="473">
      <pivotArea type="all" dataOnly="0" outline="0" fieldPosition="0"/>
    </format>
    <format dxfId="474">
      <pivotArea type="all" dataOnly="0" outline="0" fieldPosition="0"/>
    </format>
    <format dxfId="475">
      <pivotArea dataOnly="0" labelOnly="1" outline="0" fieldPosition="0">
        <references count="1">
          <reference field="0" count="3">
            <x v="0"/>
            <x v="1"/>
            <x v="2"/>
          </reference>
        </references>
      </pivotArea>
    </format>
    <format dxfId="476">
      <pivotArea dataOnly="0" labelOnly="1" outline="0" fieldPosition="0">
        <references count="2">
          <reference field="0" count="1" selected="0">
            <x v="0"/>
          </reference>
          <reference field="2" count="1">
            <x v="0"/>
          </reference>
        </references>
      </pivotArea>
    </format>
    <format dxfId="477">
      <pivotArea dataOnly="0" labelOnly="1" outline="0" fieldPosition="0">
        <references count="2">
          <reference field="0" count="1" selected="0">
            <x v="1"/>
          </reference>
          <reference field="2" count="1">
            <x v="1"/>
          </reference>
        </references>
      </pivotArea>
    </format>
    <format dxfId="478">
      <pivotArea dataOnly="0" labelOnly="1" outline="0" fieldPosition="0">
        <references count="2">
          <reference field="0" count="1" selected="0">
            <x v="2"/>
          </reference>
          <reference field="2" count="1">
            <x v="2"/>
          </reference>
        </references>
      </pivotArea>
    </format>
    <format dxfId="479">
      <pivotArea dataOnly="0" labelOnly="1" outline="0" fieldPosition="0">
        <references count="1">
          <reference field="1" count="0"/>
        </references>
      </pivotArea>
    </format>
    <format dxfId="480">
      <pivotArea dataOnly="0" labelOnly="1" outline="0" fieldPosition="0">
        <references count="1">
          <reference field="0" count="1">
            <x v="42"/>
          </reference>
        </references>
      </pivotArea>
    </format>
    <format dxfId="481">
      <pivotArea dataOnly="0" labelOnly="1" outline="0" fieldPosition="0">
        <references count="1">
          <reference field="0" count="1">
            <x v="41"/>
          </reference>
        </references>
      </pivotArea>
    </format>
    <format dxfId="482">
      <pivotArea dataOnly="0" labelOnly="1" outline="0" fieldPosition="0">
        <references count="1">
          <reference field="0" count="1">
            <x v="1"/>
          </reference>
        </references>
      </pivotArea>
    </format>
    <format dxfId="483">
      <pivotArea dataOnly="0" labelOnly="1" outline="0" fieldPosition="0">
        <references count="2">
          <reference field="0" count="1" selected="0">
            <x v="1"/>
          </reference>
          <reference field="2" count="1">
            <x v="1"/>
          </reference>
        </references>
      </pivotArea>
    </format>
    <format dxfId="484">
      <pivotArea field="1" type="button" dataOnly="0" labelOnly="1" outline="0" axis="axisRow" fieldPosition="2"/>
    </format>
    <format dxfId="48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4" t="s">
        <v>269</v>
      </c>
      <c r="W1" s="151">
        <f>SUM(X1:BB1)</f>
        <v>4920</v>
      </c>
      <c r="X1" s="218">
        <v>250</v>
      </c>
      <c r="Y1" s="250">
        <f>COUNTIF(Y4:AA4,"&gt;0")*1000-SUM(Y4:AA4)</f>
        <v>670</v>
      </c>
      <c r="Z1" s="251"/>
      <c r="AA1" s="251"/>
      <c r="AB1" s="250">
        <f t="shared" ref="AB1" si="0">COUNTIF(AB4:AD4,"&gt;0")*1000-SUM(AB4:AD4)</f>
        <v>950</v>
      </c>
      <c r="AC1" s="251"/>
      <c r="AD1" s="251"/>
      <c r="AE1" s="250">
        <f t="shared" ref="AE1" si="1">COUNTIF(AE4:AG4,"&gt;0")*1000-SUM(AE4:AG4)</f>
        <v>700</v>
      </c>
      <c r="AF1" s="251"/>
      <c r="AG1" s="251"/>
      <c r="AH1" s="250">
        <f t="shared" ref="AH1" si="2">COUNTIF(AH4:AJ4,"&gt;0")*1000-SUM(AH4:AJ4)</f>
        <v>650</v>
      </c>
      <c r="AI1" s="251"/>
      <c r="AJ1" s="251"/>
      <c r="AK1" s="250">
        <f t="shared" ref="AK1" si="3">COUNTIF(AK4:AM4,"&gt;0")*1000-SUM(AK4:AM4)</f>
        <v>1000</v>
      </c>
      <c r="AL1" s="251"/>
      <c r="AM1" s="251"/>
      <c r="AN1" s="250">
        <f t="shared" ref="AN1" si="4">COUNTIF(AN4:AP4,"&gt;0")*1000-SUM(AN4:AP4)</f>
        <v>700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4"/>
      <c r="W2" s="151"/>
      <c r="X2" s="106" t="s">
        <v>214</v>
      </c>
      <c r="Y2" s="253" t="s">
        <v>215</v>
      </c>
      <c r="Z2" s="253"/>
      <c r="AA2" s="253"/>
      <c r="AB2" s="252" t="s">
        <v>216</v>
      </c>
      <c r="AC2" s="252"/>
      <c r="AD2" s="252"/>
      <c r="AE2" s="253" t="s">
        <v>217</v>
      </c>
      <c r="AF2" s="253"/>
      <c r="AG2" s="253"/>
      <c r="AH2" s="252" t="s">
        <v>218</v>
      </c>
      <c r="AI2" s="252"/>
      <c r="AJ2" s="252"/>
      <c r="AK2" s="253" t="s">
        <v>219</v>
      </c>
      <c r="AL2" s="253"/>
      <c r="AM2" s="253"/>
      <c r="AN2" s="252" t="s">
        <v>220</v>
      </c>
      <c r="AO2" s="252"/>
      <c r="AP2" s="252"/>
      <c r="AQ2" s="253" t="s">
        <v>268</v>
      </c>
      <c r="AR2" s="253"/>
      <c r="AS2" s="253"/>
      <c r="AT2" s="252" t="s">
        <v>210</v>
      </c>
      <c r="AU2" s="252"/>
      <c r="AV2" s="252"/>
      <c r="AW2" s="253" t="s">
        <v>211</v>
      </c>
      <c r="AX2" s="253"/>
      <c r="AY2" s="253"/>
      <c r="AZ2" s="252" t="s">
        <v>212</v>
      </c>
      <c r="BA2" s="252"/>
      <c r="BB2" s="252"/>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5">
        <v>4200</v>
      </c>
      <c r="Z6" s="255"/>
      <c r="AA6" s="255"/>
      <c r="AB6" s="255">
        <v>4100</v>
      </c>
      <c r="AC6" s="255"/>
      <c r="AD6" s="255"/>
      <c r="AE6" s="255">
        <v>4200</v>
      </c>
      <c r="AF6" s="255"/>
      <c r="AG6" s="255"/>
      <c r="AH6" s="255">
        <v>4100</v>
      </c>
      <c r="AI6" s="255"/>
      <c r="AJ6" s="255"/>
      <c r="AK6" s="255">
        <v>4100</v>
      </c>
      <c r="AL6" s="255"/>
      <c r="AM6" s="255"/>
      <c r="AN6" s="255">
        <v>4000</v>
      </c>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5">
        <f>COUNTIF(Y6,"&gt;0")*5000-Y6</f>
        <v>800</v>
      </c>
      <c r="Z8" s="255"/>
      <c r="AA8" s="255"/>
      <c r="AB8" s="255">
        <f t="shared" ref="AB8" si="12">COUNTIF(AB6,"&gt;0")*5000-AB6</f>
        <v>900</v>
      </c>
      <c r="AC8" s="255"/>
      <c r="AD8" s="255"/>
      <c r="AE8" s="255">
        <f t="shared" ref="AE8" si="13">COUNTIF(AE6,"&gt;0")*5000-AE6</f>
        <v>800</v>
      </c>
      <c r="AF8" s="255"/>
      <c r="AG8" s="255"/>
      <c r="AH8" s="255">
        <f t="shared" ref="AH8" si="14">COUNTIF(AH6,"&gt;0")*5000-AH6</f>
        <v>900</v>
      </c>
      <c r="AI8" s="255"/>
      <c r="AJ8" s="255"/>
      <c r="AK8" s="255">
        <f t="shared" ref="AK8" si="15">COUNTIF(AK6,"&gt;0")*5000-AK6</f>
        <v>900</v>
      </c>
      <c r="AL8" s="255"/>
      <c r="AM8" s="255"/>
      <c r="AN8" s="255">
        <f t="shared" ref="AN8" si="16">COUNTIF(AN6,"&gt;0")*5000-AN6</f>
        <v>1000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61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N13" sqref="AN13"/>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5929.6281673885996</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145487</v>
      </c>
      <c r="O4" s="48">
        <f ca="1">SUBTOTAL(9,O5:O15)</f>
        <v>78.5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28</v>
      </c>
      <c r="AO4" s="25">
        <f t="shared" si="0"/>
        <v>6</v>
      </c>
      <c r="AP4" s="25">
        <f t="shared" si="0"/>
        <v>64</v>
      </c>
      <c r="AQ4" s="25">
        <f t="shared" ca="1" si="0"/>
        <v>27</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f ca="1">SUMIFS('Tổng Đơn'!$F:$F,'Tổng Đơn'!$B:$B,$C5)</f>
        <v>0</v>
      </c>
      <c r="AR5" s="223">
        <v>0</v>
      </c>
      <c r="AS5" s="223">
        <v>0</v>
      </c>
      <c r="AT5" s="223">
        <v>0</v>
      </c>
      <c r="AU5" s="223">
        <v>0</v>
      </c>
      <c r="AV5" s="223">
        <v>0</v>
      </c>
      <c r="AW5" s="58">
        <v>0</v>
      </c>
      <c r="AX5" s="58">
        <f t="shared" ref="AX5:AX15" si="5">AW5*G5</f>
        <v>0</v>
      </c>
    </row>
    <row r="6" spans="1:50" ht="25.5" customHeight="1" x14ac:dyDescent="0.25">
      <c r="A6" s="58">
        <f t="shared" ref="A6:A15" ca="1" si="6">J6*O6</f>
        <v>2051.6552106596323</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32574</v>
      </c>
      <c r="O6" s="70">
        <f t="shared" ca="1" si="4"/>
        <v>18</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v>35</v>
      </c>
      <c r="AQ6" s="223">
        <f ca="1">SUMIFS('Tổng Đơn'!$F:$F,'Tổng Đơn'!$B:$B,$C6)</f>
        <v>11</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f ca="1">SUMIFS('Tổng Đơn'!$F:$F,'Tổng Đơn'!$B:$B,$C7)</f>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v>0</v>
      </c>
      <c r="AQ8" s="223">
        <f ca="1">SUMIFS('Tổng Đơn'!$F:$F,'Tổng Đơn'!$B:$B,$C8)</f>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v>0</v>
      </c>
      <c r="AQ9" s="223">
        <f ca="1">SUMIFS('Tổng Đơn'!$F:$F,'Tổng Đơn'!$B:$B,$C9)</f>
        <v>0</v>
      </c>
      <c r="AR9" s="223">
        <v>0</v>
      </c>
      <c r="AS9" s="223">
        <v>0</v>
      </c>
      <c r="AT9" s="223">
        <v>0</v>
      </c>
      <c r="AU9" s="223">
        <v>0</v>
      </c>
      <c r="AV9" s="223">
        <v>0</v>
      </c>
      <c r="AW9" s="58">
        <v>0</v>
      </c>
      <c r="AX9" s="58">
        <f t="shared" si="5"/>
        <v>0</v>
      </c>
    </row>
    <row r="10" spans="1:50" ht="25.5" customHeight="1" x14ac:dyDescent="0.25">
      <c r="A10" s="58">
        <f t="shared" ca="1" si="6"/>
        <v>415.21593549063988</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v>0</v>
      </c>
      <c r="AQ10" s="223">
        <f ca="1">SUMIFS('Tổng Đơn'!$F:$F,'Tổng Đơn'!$B:$B,$C10)</f>
        <v>0</v>
      </c>
      <c r="AR10" s="223">
        <v>0</v>
      </c>
      <c r="AS10" s="223">
        <v>0</v>
      </c>
      <c r="AT10" s="223">
        <v>0</v>
      </c>
      <c r="AU10" s="223">
        <v>0</v>
      </c>
      <c r="AV10" s="223">
        <v>0</v>
      </c>
      <c r="AW10" s="58">
        <v>15</v>
      </c>
      <c r="AX10" s="58">
        <f t="shared" si="5"/>
        <v>510</v>
      </c>
    </row>
    <row r="11" spans="1:50" ht="25.5" customHeight="1" x14ac:dyDescent="0.25">
      <c r="A11" s="58">
        <f t="shared" ca="1" si="6"/>
        <v>-118.05158950224074</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17680</v>
      </c>
      <c r="O11" s="70">
        <f t="shared" ca="1" si="4"/>
        <v>-2</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v>10</v>
      </c>
      <c r="AQ11" s="223">
        <f ca="1">SUMIFS('Tổng Đơn'!$F:$F,'Tổng Đơn'!$B:$B,$C11)</f>
        <v>6</v>
      </c>
      <c r="AR11" s="223">
        <v>0</v>
      </c>
      <c r="AS11" s="223">
        <v>0</v>
      </c>
      <c r="AT11" s="223">
        <v>0</v>
      </c>
      <c r="AU11" s="223">
        <v>0</v>
      </c>
      <c r="AV11" s="223">
        <v>0</v>
      </c>
      <c r="AW11" s="58">
        <v>0</v>
      </c>
      <c r="AX11" s="58">
        <f t="shared" si="5"/>
        <v>0</v>
      </c>
    </row>
    <row r="12" spans="1:50" ht="25.5" customHeight="1" x14ac:dyDescent="0.25">
      <c r="A12" s="58">
        <f t="shared" ca="1" si="6"/>
        <v>0</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1800</v>
      </c>
      <c r="O12" s="70">
        <f t="shared" ca="1" si="4"/>
        <v>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5</v>
      </c>
      <c r="AO12" s="223">
        <v>0</v>
      </c>
      <c r="AP12" s="223">
        <v>5</v>
      </c>
      <c r="AQ12" s="223">
        <f ca="1">SUMIFS('Tổng Đơn'!$F:$F,'Tổng Đơn'!$B:$B,$C12)</f>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v>0</v>
      </c>
      <c r="AQ13" s="223">
        <f ca="1">SUMIFS('Tổng Đơn'!$F:$F,'Tổng Đơn'!$B:$B,$C13)</f>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v>0</v>
      </c>
      <c r="AQ14" s="223">
        <f ca="1">SUMIFS('Tổng Đơn'!$F:$F,'Tổng Đơn'!$B:$B,$C14)</f>
        <v>0</v>
      </c>
      <c r="AR14" s="223">
        <v>0</v>
      </c>
      <c r="AS14" s="223">
        <v>0</v>
      </c>
      <c r="AT14" s="223">
        <v>0</v>
      </c>
      <c r="AU14" s="223">
        <v>0</v>
      </c>
      <c r="AV14" s="223">
        <v>0</v>
      </c>
      <c r="AW14" s="58">
        <v>0</v>
      </c>
      <c r="AX14" s="58">
        <f t="shared" si="5"/>
        <v>0</v>
      </c>
    </row>
    <row r="15" spans="1:50" ht="25.5" customHeight="1" x14ac:dyDescent="0.25">
      <c r="A15" s="58">
        <f t="shared" ca="1" si="6"/>
        <v>444.3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30922.5</v>
      </c>
      <c r="O15" s="70">
        <f t="shared" ca="1" si="4"/>
        <v>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v>14</v>
      </c>
      <c r="AQ15" s="223">
        <f ca="1">SUMIFS('Tổng Đơn'!$F:$F,'Tổng Đơn'!$B:$B,$C15)</f>
        <v>10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609" priority="12">
      <formula>($O15/$O15)&lt;=1/4</formula>
    </cfRule>
  </conditionalFormatting>
  <conditionalFormatting sqref="C5:C16">
    <cfRule type="expression" dxfId="608"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N8" activePane="bottomRight" state="frozen"/>
      <selection activeCell="A2" sqref="A2"/>
      <selection pane="topRight" activeCell="R2" sqref="R2"/>
      <selection pane="bottomLeft" activeCell="A5" sqref="A5"/>
      <selection pane="bottomRight" activeCell="AW3" sqref="AW3"/>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+40+130</f>
        <v>8165</v>
      </c>
      <c r="K2" s="13"/>
      <c r="L2" s="13">
        <f>M4-K4</f>
        <v>47716.014352728089</v>
      </c>
      <c r="M2" s="8">
        <f>M4/K4-1</f>
        <v>0.1480819933714701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7123.5228640575724</v>
      </c>
      <c r="B4" s="16"/>
      <c r="C4" s="16"/>
      <c r="D4" s="46"/>
      <c r="E4" s="16">
        <f>SUMPRODUCT((E5:E35)*(F5:F35))</f>
        <v>4765.5</v>
      </c>
      <c r="F4" s="16">
        <f>SUBTOTAL(9,F5:F103)</f>
        <v>9256</v>
      </c>
      <c r="G4" s="7"/>
      <c r="H4" s="7">
        <f>SUBTOTAL(9,H5:H103)</f>
        <v>314030</v>
      </c>
      <c r="I4" s="12"/>
      <c r="J4" s="12"/>
      <c r="K4" s="12">
        <f>SUBTOTAL(9,K5:K103)</f>
        <v>322226.98564727191</v>
      </c>
      <c r="L4" s="47"/>
      <c r="M4" s="7">
        <f>SUBTOTAL(9,M5:M103)</f>
        <v>369943</v>
      </c>
      <c r="N4" s="7">
        <f ca="1">SUBTOTAL(9,N5:N103)</f>
        <v>359940</v>
      </c>
      <c r="O4" s="24">
        <f ca="1">SUBTOTAL(9,O5:O103)</f>
        <v>216</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si="0"/>
        <v>60</v>
      </c>
      <c r="AQ4" s="25">
        <f t="shared" ca="1" si="0"/>
        <v>77</v>
      </c>
      <c r="AR4" s="25">
        <f t="shared" si="0"/>
        <v>0</v>
      </c>
      <c r="AS4" s="25">
        <f t="shared" si="0"/>
        <v>0</v>
      </c>
      <c r="AT4" s="25">
        <f t="shared" si="0"/>
        <v>0</v>
      </c>
      <c r="AU4" s="25">
        <f t="shared" si="0"/>
        <v>0</v>
      </c>
      <c r="AV4" s="25">
        <f t="shared" si="0"/>
        <v>0</v>
      </c>
      <c r="AW4" s="130" t="str">
        <f>SUMPRODUCT(($AW$5:$AW$53)*($E$5:$E$53))&amp;" Kg"</f>
        <v>0 Kg</v>
      </c>
      <c r="AX4" s="49">
        <f>SUBTOTAL(9,AX5:AX35)</f>
        <v>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0.55251488711269636</v>
      </c>
      <c r="J5" s="134">
        <f t="shared" ref="J5:J19" si="5">G5+I5</f>
        <v>21.802514887112697</v>
      </c>
      <c r="K5" s="65">
        <f t="shared" ref="K5:K24" si="6">J5*F5</f>
        <v>10901.257443556347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0.57201541254020316</v>
      </c>
      <c r="J6" s="134">
        <f t="shared" si="5"/>
        <v>22.572015412540203</v>
      </c>
      <c r="K6" s="65">
        <f t="shared" si="6"/>
        <v>1805.7612330032161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0.56551523739770082</v>
      </c>
      <c r="J7" s="134">
        <f t="shared" si="5"/>
        <v>22.315515237397701</v>
      </c>
      <c r="K7" s="65">
        <f t="shared" si="6"/>
        <v>1562.0860666178392</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1385.1009457695125</v>
      </c>
      <c r="B8" s="6">
        <v>4</v>
      </c>
      <c r="C8" s="60" t="s">
        <v>4</v>
      </c>
      <c r="D8" s="68">
        <v>60</v>
      </c>
      <c r="E8" s="6">
        <v>0.5</v>
      </c>
      <c r="F8" s="6">
        <f>160+22+12+30+10+26+10+10+18+10+10+10+10+26+20+20+40</f>
        <v>444</v>
      </c>
      <c r="G8" s="71">
        <f t="shared" si="2"/>
        <v>30</v>
      </c>
      <c r="H8" s="73">
        <f t="shared" si="3"/>
        <v>13320</v>
      </c>
      <c r="I8" s="64">
        <f t="shared" si="4"/>
        <v>0.78002101710027705</v>
      </c>
      <c r="J8" s="134">
        <f t="shared" si="5"/>
        <v>30.780021017100278</v>
      </c>
      <c r="K8" s="65">
        <f t="shared" si="6"/>
        <v>13666.329331592524</v>
      </c>
      <c r="L8" s="72">
        <v>40</v>
      </c>
      <c r="M8" s="63">
        <f t="shared" si="7"/>
        <v>17760</v>
      </c>
      <c r="N8" s="63">
        <f t="shared" ca="1" si="8"/>
        <v>15920</v>
      </c>
      <c r="O8" s="67">
        <f t="shared" ca="1" si="9"/>
        <v>45</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v>16</v>
      </c>
      <c r="AQ8" s="60">
        <f ca="1">SUMIFS('Tổng Đơn'!$F:$F,'Tổng Đơn'!$B:$B,$C8)</f>
        <v>2</v>
      </c>
      <c r="AR8" s="60">
        <v>0</v>
      </c>
      <c r="AS8" s="60">
        <v>0</v>
      </c>
      <c r="AT8" s="60">
        <v>0</v>
      </c>
      <c r="AU8" s="60">
        <v>0</v>
      </c>
      <c r="AV8" s="60">
        <v>0</v>
      </c>
      <c r="AW8" s="58">
        <v>0</v>
      </c>
      <c r="AX8" s="58">
        <f t="shared" si="10"/>
        <v>0</v>
      </c>
    </row>
    <row r="9" spans="1:50" ht="18" x14ac:dyDescent="0.25">
      <c r="A9" s="58">
        <f t="shared" ca="1" si="1"/>
        <v>1325.5929051364521</v>
      </c>
      <c r="B9" s="6">
        <v>5</v>
      </c>
      <c r="C9" s="60" t="s">
        <v>5</v>
      </c>
      <c r="D9" s="68">
        <v>68</v>
      </c>
      <c r="E9" s="6">
        <v>0.5</v>
      </c>
      <c r="F9" s="6">
        <f>285+40+50+20+50+50+40+60+92+36+30+50+20+50+40+30+50+30+20+60+5+40+30+30+20+40+80+20+59+85+50+35+10+60+20+30+40+60+30</f>
        <v>1847</v>
      </c>
      <c r="G9" s="71">
        <f t="shared" si="2"/>
        <v>34</v>
      </c>
      <c r="H9" s="73">
        <f t="shared" si="3"/>
        <v>62798</v>
      </c>
      <c r="I9" s="64">
        <f t="shared" si="4"/>
        <v>0.88402381938031394</v>
      </c>
      <c r="J9" s="134">
        <f t="shared" si="5"/>
        <v>34.884023819380317</v>
      </c>
      <c r="K9" s="65">
        <f t="shared" si="6"/>
        <v>64430.791994395448</v>
      </c>
      <c r="L9" s="72">
        <v>40</v>
      </c>
      <c r="M9" s="63">
        <f t="shared" si="7"/>
        <v>73880</v>
      </c>
      <c r="N9" s="63">
        <f t="shared" ca="1" si="8"/>
        <v>72400</v>
      </c>
      <c r="O9" s="67">
        <f t="shared" ca="1" si="9"/>
        <v>38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v>20</v>
      </c>
      <c r="AQ9" s="60">
        <f ca="1">SUMIFS('Tổng Đơn'!$F:$F,'Tổng Đơn'!$B:$B,$C9)</f>
        <v>20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1.1180301245103972</v>
      </c>
      <c r="J10" s="134">
        <f t="shared" si="5"/>
        <v>44.118030124510398</v>
      </c>
      <c r="K10" s="65">
        <f t="shared" si="6"/>
        <v>3794.150590707894</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f>SUMIFS('Tổng Đơn'!$F:$F,'Tổng Đơn'!$B:$B,$C10)</f>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0.71501926567525387</v>
      </c>
      <c r="J11" s="134">
        <f t="shared" si="5"/>
        <v>28.215019265675252</v>
      </c>
      <c r="K11" s="65">
        <f t="shared" si="6"/>
        <v>564.3003853135051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f>SUMIFS('Tổng Đơn'!$F:$F,'Tổng Đơn'!$B:$B,$C11)</f>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1.4950402827755311</v>
      </c>
      <c r="J12" s="134">
        <f t="shared" si="5"/>
        <v>58.995040282775534</v>
      </c>
      <c r="K12" s="65">
        <f t="shared" si="6"/>
        <v>2241.8115307454705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f>SUMIFS('Tổng Đơn'!$F:$F,'Tổng Đơn'!$B:$B,$C12)</f>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1.1050297742253925</v>
      </c>
      <c r="J13" s="134">
        <f t="shared" si="5"/>
        <v>43.605029774225393</v>
      </c>
      <c r="K13" s="65">
        <f t="shared" si="6"/>
        <v>9593.1065503295868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f ca="1">SUMIFS('Tổng Đơn'!$F:$F,'Tổng Đơn'!$B:$B,$C13)</f>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0.70201891539024941</v>
      </c>
      <c r="J14" s="134">
        <f t="shared" si="5"/>
        <v>27.702018915390248</v>
      </c>
      <c r="K14" s="65">
        <f t="shared" si="6"/>
        <v>831.06056746170748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f>SUMIFS('Tổng Đơn'!$F:$F,'Tổng Đơn'!$B:$B,$C14)</f>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0.70201891539024941</v>
      </c>
      <c r="J15" s="134">
        <f t="shared" si="5"/>
        <v>27.702018915390248</v>
      </c>
      <c r="K15" s="65">
        <f t="shared" si="6"/>
        <v>277.02018915390249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f>SUMIFS('Tổng Đơn'!$F:$F,'Tổng Đơn'!$B:$B,$C15)</f>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0.53301436168518923</v>
      </c>
      <c r="J16" s="134">
        <f t="shared" si="5"/>
        <v>21.03301436168519</v>
      </c>
      <c r="K16" s="65">
        <f t="shared" si="6"/>
        <v>3365.2822978696304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f>SUMIFS('Tổng Đơn'!$F:$F,'Tổng Đơn'!$B:$B,$C16)</f>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0.53301436168518934</v>
      </c>
      <c r="J17" s="134">
        <f t="shared" si="5"/>
        <v>21.03301436168519</v>
      </c>
      <c r="K17" s="65">
        <f t="shared" si="6"/>
        <v>2313.6315797853708</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f>SUMIFS('Tổng Đơn'!$F:$F,'Tổng Đơn'!$B:$B,$C17)</f>
        <v>0</v>
      </c>
      <c r="AR17" s="60">
        <v>0</v>
      </c>
      <c r="AS17" s="60">
        <v>0</v>
      </c>
      <c r="AT17" s="60">
        <v>0</v>
      </c>
      <c r="AU17" s="60">
        <v>0</v>
      </c>
      <c r="AV17" s="60">
        <v>0</v>
      </c>
      <c r="AW17" s="239">
        <v>0</v>
      </c>
      <c r="AX17" s="58">
        <f t="shared" si="10"/>
        <v>0</v>
      </c>
    </row>
    <row r="18" spans="1:50" ht="18" x14ac:dyDescent="0.25">
      <c r="A18" s="58">
        <f t="shared" ca="1" si="1"/>
        <v>2193.0764974683948</v>
      </c>
      <c r="B18" s="6">
        <v>14</v>
      </c>
      <c r="C18" s="60" t="s">
        <v>13</v>
      </c>
      <c r="D18" s="68">
        <v>57</v>
      </c>
      <c r="E18" s="6">
        <v>0.5</v>
      </c>
      <c r="F18" s="6">
        <f>30+46+100+40+60+50+40+100+100+70+80+100+50+60+100+100+60+40+100+70+110+61+30+60+100+120+80+80+80+100+80+50+80+80+100+50+100+100</f>
        <v>2857</v>
      </c>
      <c r="G18" s="71">
        <f>D18/2</f>
        <v>28.5</v>
      </c>
      <c r="H18" s="73">
        <f t="shared" ref="H18" si="11">G18*F18</f>
        <v>81424.5</v>
      </c>
      <c r="I18" s="64">
        <f t="shared" si="4"/>
        <v>0.74101996624526323</v>
      </c>
      <c r="J18" s="134">
        <f t="shared" si="5"/>
        <v>29.241019966245265</v>
      </c>
      <c r="K18" s="65">
        <f t="shared" si="6"/>
        <v>83541.594043562727</v>
      </c>
      <c r="L18" s="72">
        <v>33</v>
      </c>
      <c r="M18" s="63">
        <f t="shared" ref="M18" si="12">L18*F18</f>
        <v>94281</v>
      </c>
      <c r="N18" s="63">
        <f t="shared" ca="1" si="8"/>
        <v>91806</v>
      </c>
      <c r="O18" s="67">
        <f t="shared" ca="1" si="9"/>
        <v>75</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v>12</v>
      </c>
      <c r="AQ18" s="60">
        <f ca="1">SUMIFS('Tổng Đơn'!$F:$F,'Tổng Đơn'!$B:$B,$C18)</f>
        <v>27</v>
      </c>
      <c r="AR18" s="60">
        <v>0</v>
      </c>
      <c r="AS18" s="60">
        <v>0</v>
      </c>
      <c r="AT18" s="60">
        <v>0</v>
      </c>
      <c r="AU18" s="60">
        <v>0</v>
      </c>
      <c r="AV18" s="60">
        <v>0</v>
      </c>
      <c r="AW18" s="239">
        <v>0</v>
      </c>
      <c r="AX18" s="58">
        <f t="shared" si="10"/>
        <v>0</v>
      </c>
    </row>
    <row r="19" spans="1:50" ht="18" hidden="1" x14ac:dyDescent="0.25">
      <c r="A19" s="58">
        <f t="shared" si="1"/>
        <v>0</v>
      </c>
      <c r="B19" s="6">
        <v>15</v>
      </c>
      <c r="C19" s="60" t="s">
        <v>14</v>
      </c>
      <c r="D19" s="68">
        <v>60</v>
      </c>
      <c r="E19" s="6">
        <v>0.5</v>
      </c>
      <c r="F19" s="6">
        <v>10</v>
      </c>
      <c r="G19" s="71">
        <f t="shared" si="2"/>
        <v>30</v>
      </c>
      <c r="H19" s="73">
        <f t="shared" si="3"/>
        <v>300</v>
      </c>
      <c r="I19" s="64">
        <f t="shared" si="4"/>
        <v>0.78002101710027705</v>
      </c>
      <c r="J19" s="134">
        <f t="shared" si="5"/>
        <v>30.780021017100278</v>
      </c>
      <c r="K19" s="65">
        <f t="shared" si="6"/>
        <v>307.80021017100279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f>SUMIFS('Tổng Đơn'!$F:$F,'Tổng Đơn'!$B:$B,$C19)</f>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0.70201891539024941</v>
      </c>
      <c r="J20" s="134">
        <f t="shared" ref="J20:J23" si="13">G20+I20</f>
        <v>27.702018915390248</v>
      </c>
      <c r="K20" s="65">
        <f t="shared" si="6"/>
        <v>277.02018915390249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f>SUMIFS('Tổng Đơn'!$F:$F,'Tổng Đơn'!$B:$B,$C20)</f>
        <v>0</v>
      </c>
      <c r="AR20" s="60">
        <v>0</v>
      </c>
      <c r="AS20" s="60">
        <v>0</v>
      </c>
      <c r="AT20" s="60">
        <v>0</v>
      </c>
      <c r="AU20" s="60">
        <v>0</v>
      </c>
      <c r="AV20" s="60">
        <v>0</v>
      </c>
      <c r="AW20" s="239">
        <v>0</v>
      </c>
      <c r="AX20" s="58">
        <f t="shared" si="10"/>
        <v>0</v>
      </c>
    </row>
    <row r="21" spans="1:50" ht="18" x14ac:dyDescent="0.25">
      <c r="A21" s="58">
        <f t="shared" ca="1" si="1"/>
        <v>31.806021717670287</v>
      </c>
      <c r="B21" s="6">
        <v>17</v>
      </c>
      <c r="C21" s="60" t="s">
        <v>223</v>
      </c>
      <c r="D21" s="68">
        <v>62</v>
      </c>
      <c r="E21" s="6">
        <v>0.5</v>
      </c>
      <c r="F21" s="6">
        <f>135+80+20+10+20+10+10+10+30+20+20+20+10+15+25+10+10+40+20</f>
        <v>515</v>
      </c>
      <c r="G21" s="71">
        <f t="shared" si="2"/>
        <v>31</v>
      </c>
      <c r="H21" s="73">
        <f t="shared" si="3"/>
        <v>15965</v>
      </c>
      <c r="I21" s="64">
        <f t="shared" si="4"/>
        <v>0.8060217176702863</v>
      </c>
      <c r="J21" s="134">
        <f t="shared" si="13"/>
        <v>31.806021717670287</v>
      </c>
      <c r="K21" s="65">
        <f t="shared" si="6"/>
        <v>16380.101184600198</v>
      </c>
      <c r="L21" s="72">
        <v>40</v>
      </c>
      <c r="M21" s="63">
        <f t="shared" si="7"/>
        <v>20600</v>
      </c>
      <c r="N21" s="63">
        <f t="shared" ca="1" si="8"/>
        <v>20560</v>
      </c>
      <c r="O21" s="67">
        <f t="shared" ca="1" si="9"/>
        <v>1</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v>2</v>
      </c>
      <c r="AQ21" s="60">
        <f ca="1">SUMIFS('Tổng Đơn'!$F:$F,'Tổng Đơn'!$B:$B,$C21)</f>
        <v>16</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0.55901506225519859</v>
      </c>
      <c r="J22" s="134">
        <f t="shared" si="13"/>
        <v>22.059015062255199</v>
      </c>
      <c r="K22" s="65">
        <f t="shared" si="6"/>
        <v>551.47537655637996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f>SUMIFS('Tổng Đơn'!$F:$F,'Tổng Đơn'!$B:$B,$C22)</f>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0.56551523739770082</v>
      </c>
      <c r="J23" s="134">
        <f t="shared" si="13"/>
        <v>22.315515237397701</v>
      </c>
      <c r="K23" s="65">
        <f t="shared" si="6"/>
        <v>1562.0860666178392</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f>SUMIFS('Tổng Đơn'!$F:$F,'Tổng Đơn'!$B:$B,$C23)</f>
        <v>0</v>
      </c>
      <c r="AR23" s="60">
        <v>0</v>
      </c>
      <c r="AS23" s="60">
        <v>0</v>
      </c>
      <c r="AT23" s="60">
        <v>0</v>
      </c>
      <c r="AU23" s="60">
        <v>0</v>
      </c>
      <c r="AV23" s="60">
        <v>0</v>
      </c>
      <c r="AW23" s="239">
        <v>0</v>
      </c>
      <c r="AX23" s="58">
        <f t="shared" si="10"/>
        <v>0</v>
      </c>
    </row>
    <row r="24" spans="1:50" ht="18" x14ac:dyDescent="0.25">
      <c r="A24" s="58">
        <f t="shared" ca="1" si="1"/>
        <v>520.69535553927972</v>
      </c>
      <c r="B24" s="6">
        <v>20</v>
      </c>
      <c r="C24" s="60" t="s">
        <v>136</v>
      </c>
      <c r="D24" s="68">
        <v>145</v>
      </c>
      <c r="E24" s="6">
        <v>0.5</v>
      </c>
      <c r="F24" s="6">
        <f>76+40+40+20+20+40+20+20+40+30+30+40+30+40+20+20+30+50+50+30+20</f>
        <v>706</v>
      </c>
      <c r="G24" s="71">
        <f t="shared" si="2"/>
        <v>72.5</v>
      </c>
      <c r="H24" s="73">
        <f t="shared" si="3"/>
        <v>51185</v>
      </c>
      <c r="I24" s="64">
        <f t="shared" si="4"/>
        <v>1.8850507913256696</v>
      </c>
      <c r="J24" s="134">
        <f>G24+I24</f>
        <v>74.385050791325668</v>
      </c>
      <c r="K24" s="65">
        <f t="shared" si="6"/>
        <v>52515.845858675922</v>
      </c>
      <c r="L24" s="72">
        <v>80</v>
      </c>
      <c r="M24" s="63">
        <f t="shared" si="7"/>
        <v>56480</v>
      </c>
      <c r="N24" s="63">
        <f t="shared" ca="1" si="8"/>
        <v>55920</v>
      </c>
      <c r="O24" s="67">
        <f t="shared" ca="1" si="9"/>
        <v>7</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v>5</v>
      </c>
      <c r="AQ24" s="60">
        <f ca="1">SUMIFS('Tổng Đơn'!$F:$F,'Tổng Đơn'!$B:$B,$C24)</f>
        <v>11</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1.0140273222303602</v>
      </c>
      <c r="J25" s="134">
        <f t="shared" ref="J25:J29" si="15">G25+I25</f>
        <v>40.014027322230362</v>
      </c>
      <c r="K25" s="65">
        <f t="shared" ref="K25:K29" si="16">J25*F25</f>
        <v>2280.7995573671305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f ca="1">SUMIFS('Tổng Đơn'!$F:$F,'Tổng Đơn'!$B:$B,$C25)</f>
        <v>0</v>
      </c>
      <c r="AR25" s="60">
        <v>0</v>
      </c>
      <c r="AS25" s="60">
        <v>0</v>
      </c>
      <c r="AT25" s="60">
        <v>0</v>
      </c>
      <c r="AU25" s="60">
        <v>0</v>
      </c>
      <c r="AV25" s="60">
        <v>0</v>
      </c>
      <c r="AW25" s="239">
        <v>0</v>
      </c>
      <c r="AX25" s="58">
        <f t="shared" si="10"/>
        <v>0</v>
      </c>
    </row>
    <row r="26" spans="1:50" ht="18" x14ac:dyDescent="0.25">
      <c r="A26" s="58">
        <f t="shared" ca="1" si="1"/>
        <v>514.53935133585969</v>
      </c>
      <c r="B26" s="6">
        <v>22</v>
      </c>
      <c r="C26" s="60" t="s">
        <v>138</v>
      </c>
      <c r="D26" s="68">
        <v>59</v>
      </c>
      <c r="E26" s="6">
        <v>0.5</v>
      </c>
      <c r="F26" s="6">
        <f>10+10+20+20</f>
        <v>60</v>
      </c>
      <c r="G26" s="71">
        <f t="shared" si="2"/>
        <v>29.5</v>
      </c>
      <c r="H26" s="73">
        <f t="shared" si="3"/>
        <v>1770</v>
      </c>
      <c r="I26" s="64">
        <f t="shared" si="14"/>
        <v>0.76702066681527237</v>
      </c>
      <c r="J26" s="134">
        <f t="shared" si="15"/>
        <v>30.267020666815274</v>
      </c>
      <c r="K26" s="65">
        <f t="shared" si="16"/>
        <v>1816.0212400089165</v>
      </c>
      <c r="L26" s="72">
        <v>35</v>
      </c>
      <c r="M26" s="63">
        <f t="shared" si="7"/>
        <v>2100</v>
      </c>
      <c r="N26" s="63">
        <f t="shared" ca="1" si="8"/>
        <v>1295</v>
      </c>
      <c r="O26" s="67">
        <f t="shared" ca="1" si="9"/>
        <v>17</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v>0</v>
      </c>
      <c r="AQ26" s="60">
        <f ca="1">SUMIFS('Tổng Đơn'!$F:$F,'Tổng Đơn'!$B:$B,$C26)</f>
        <v>0</v>
      </c>
      <c r="AR26" s="60">
        <v>0</v>
      </c>
      <c r="AS26" s="60">
        <v>0</v>
      </c>
      <c r="AT26" s="60">
        <v>0</v>
      </c>
      <c r="AU26" s="60">
        <v>0</v>
      </c>
      <c r="AV26" s="60">
        <v>0</v>
      </c>
      <c r="AW26" s="239">
        <v>0</v>
      </c>
      <c r="AX26" s="58">
        <f t="shared" si="10"/>
        <v>0</v>
      </c>
    </row>
    <row r="27" spans="1:50" ht="18" x14ac:dyDescent="0.25">
      <c r="A27" s="58">
        <f t="shared" ca="1" si="1"/>
        <v>420.14728688341876</v>
      </c>
      <c r="B27" s="6">
        <v>23</v>
      </c>
      <c r="C27" s="60" t="s">
        <v>139</v>
      </c>
      <c r="D27" s="68">
        <v>63</v>
      </c>
      <c r="E27" s="6">
        <v>0.5</v>
      </c>
      <c r="F27" s="6">
        <f>30+20+20+13+10+10+20+15</f>
        <v>138</v>
      </c>
      <c r="G27" s="71">
        <f t="shared" si="2"/>
        <v>31.5</v>
      </c>
      <c r="H27" s="73">
        <f t="shared" si="3"/>
        <v>4347</v>
      </c>
      <c r="I27" s="64">
        <f t="shared" si="14"/>
        <v>0.81902206795529087</v>
      </c>
      <c r="J27" s="134">
        <f t="shared" si="15"/>
        <v>32.319022067955288</v>
      </c>
      <c r="K27" s="65">
        <f t="shared" si="16"/>
        <v>4460.0250453778299</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v>0</v>
      </c>
      <c r="AQ27" s="60">
        <f ca="1">SUMIFS('Tổng Đơn'!$F:$F,'Tổng Đơn'!$B:$B,$C27)</f>
        <v>0</v>
      </c>
      <c r="AR27" s="60">
        <v>0</v>
      </c>
      <c r="AS27" s="60">
        <v>0</v>
      </c>
      <c r="AT27" s="60">
        <v>0</v>
      </c>
      <c r="AU27" s="60">
        <v>0</v>
      </c>
      <c r="AV27" s="60">
        <v>0</v>
      </c>
      <c r="AW27" s="239">
        <v>0</v>
      </c>
      <c r="AX27" s="58">
        <f t="shared" si="10"/>
        <v>0</v>
      </c>
    </row>
    <row r="28" spans="1:50" ht="18" x14ac:dyDescent="0.25">
      <c r="A28" s="58">
        <f t="shared" ca="1" si="1"/>
        <v>357.04824379836322</v>
      </c>
      <c r="B28" s="6">
        <v>24</v>
      </c>
      <c r="C28" s="60" t="s">
        <v>157</v>
      </c>
      <c r="D28" s="68">
        <v>87</v>
      </c>
      <c r="E28" s="6">
        <v>0.5</v>
      </c>
      <c r="F28" s="6">
        <f>1+20+20+30+20</f>
        <v>91</v>
      </c>
      <c r="G28" s="208">
        <f>D28/(1/E28)</f>
        <v>43.5</v>
      </c>
      <c r="H28" s="73">
        <f t="shared" si="3"/>
        <v>3958.5</v>
      </c>
      <c r="I28" s="64">
        <f t="shared" si="14"/>
        <v>1.1310304747954016</v>
      </c>
      <c r="J28" s="134">
        <f t="shared" si="15"/>
        <v>44.631030474795402</v>
      </c>
      <c r="K28" s="65">
        <f t="shared" si="16"/>
        <v>4061.4237732063816</v>
      </c>
      <c r="L28" s="72">
        <v>47</v>
      </c>
      <c r="M28" s="63">
        <f t="shared" si="7"/>
        <v>4277</v>
      </c>
      <c r="N28" s="63">
        <f t="shared" ca="1" si="8"/>
        <v>3901</v>
      </c>
      <c r="O28" s="67">
        <f t="shared" ca="1" si="9"/>
        <v>8</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v>5</v>
      </c>
      <c r="AQ28" s="60">
        <f ca="1">SUMIFS('Tổng Đơn'!$F:$F,'Tổng Đơn'!$B:$B,$C28)</f>
        <v>1</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1.1310304747954016</v>
      </c>
      <c r="J29" s="134">
        <f t="shared" si="15"/>
        <v>44.631030474795402</v>
      </c>
      <c r="K29" s="65">
        <f t="shared" si="16"/>
        <v>892.62060949590807</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f ca="1">SUMIFS('Tổng Đơn'!$F:$F,'Tổng Đơn'!$B:$B,$C29)</f>
        <v>0</v>
      </c>
      <c r="AR29" s="60">
        <v>0</v>
      </c>
      <c r="AS29" s="60">
        <v>0</v>
      </c>
      <c r="AT29" s="60">
        <v>0</v>
      </c>
      <c r="AU29" s="60">
        <v>0</v>
      </c>
      <c r="AV29" s="60">
        <v>0</v>
      </c>
      <c r="AW29" s="239">
        <v>0</v>
      </c>
      <c r="AX29" s="58">
        <f t="shared" si="10"/>
        <v>0</v>
      </c>
    </row>
    <row r="30" spans="1:50" ht="18" x14ac:dyDescent="0.25">
      <c r="A30" s="58">
        <f t="shared" ca="1" si="1"/>
        <v>375.51625640862341</v>
      </c>
      <c r="B30" s="6">
        <v>26</v>
      </c>
      <c r="C30" s="60" t="s">
        <v>253</v>
      </c>
      <c r="D30" s="68">
        <v>61</v>
      </c>
      <c r="E30" s="6">
        <v>0.5</v>
      </c>
      <c r="F30" s="6">
        <f>20+40+20+20+20+15</f>
        <v>135</v>
      </c>
      <c r="G30" s="71">
        <f>D30/2</f>
        <v>30.5</v>
      </c>
      <c r="H30" s="73">
        <f t="shared" ref="H30" si="17">G30*F30</f>
        <v>4117.5</v>
      </c>
      <c r="I30" s="64">
        <f t="shared" ref="I30" si="18">((H30/$H$4)*$A$2)/F30</f>
        <v>0.79302136738528173</v>
      </c>
      <c r="J30" s="134">
        <f t="shared" ref="J30" si="19">G30+I30</f>
        <v>31.293021367385283</v>
      </c>
      <c r="K30" s="65">
        <f t="shared" ref="K30" si="20">J30*F30</f>
        <v>4224.5578845970131</v>
      </c>
      <c r="L30" s="72">
        <v>35</v>
      </c>
      <c r="M30" s="63">
        <f t="shared" si="7"/>
        <v>4725</v>
      </c>
      <c r="N30" s="63">
        <f t="shared" ca="1" si="8"/>
        <v>4305</v>
      </c>
      <c r="O30" s="67">
        <f t="shared" ca="1" si="9"/>
        <v>12</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v>0</v>
      </c>
      <c r="AQ30" s="60">
        <f ca="1">SUMIFS('Tổng Đơn'!$F:$F,'Tổng Đơn'!$B:$B,$C30)</f>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E22 G22">
    <cfRule type="expression" dxfId="604" priority="20">
      <formula>($O22/$O22)&lt;=1/4</formula>
    </cfRule>
  </conditionalFormatting>
  <conditionalFormatting sqref="C23">
    <cfRule type="expression" dxfId="603" priority="18">
      <formula>($O23/$O23)&lt;=1/4</formula>
    </cfRule>
  </conditionalFormatting>
  <conditionalFormatting sqref="C25">
    <cfRule type="expression" dxfId="602" priority="14">
      <formula>($O25/$O25)&lt;=1/4</formula>
    </cfRule>
  </conditionalFormatting>
  <conditionalFormatting sqref="C26:C27">
    <cfRule type="expression" dxfId="601" priority="12">
      <formula>($O26/$O26)&lt;=1/4</formula>
    </cfRule>
  </conditionalFormatting>
  <conditionalFormatting sqref="C28">
    <cfRule type="expression" dxfId="600" priority="9">
      <formula>($O28/$O28)&lt;=1/4</formula>
    </cfRule>
  </conditionalFormatting>
  <conditionalFormatting sqref="C29:C31">
    <cfRule type="expression" dxfId="599" priority="7">
      <formula>($O29/$O29)&lt;=1/4</formula>
    </cfRule>
  </conditionalFormatting>
  <conditionalFormatting sqref="C5:C31">
    <cfRule type="expression" dxfId="5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N7" sqref="AN7"/>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370+100+80+150+170+60+300+200+40+180+50+100+30+60+30+160+60+70+70+30+50+60+40+20+90+40+30+70+40+20+60+50+60+20+20+40+60+60+60+140+40+80+40+40+60+50+80+20+160+30+20+20+20+160+40+120+40+20+200+180+20+100+80+10</f>
        <v>4970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2226.1911440692616</v>
      </c>
      <c r="B4" s="16"/>
      <c r="C4" s="16"/>
      <c r="D4" s="46"/>
      <c r="E4" s="16">
        <f>SUMPRODUCT((E5:E32)*(F5:F32))</f>
        <v>3021.2</v>
      </c>
      <c r="F4" s="16">
        <f>SUBTOTAL(9,F5:F32)</f>
        <v>6554</v>
      </c>
      <c r="G4" s="7"/>
      <c r="H4" s="7">
        <f>SUBTOTAL(9,H5:H32)+H2</f>
        <v>217688.78947368421</v>
      </c>
      <c r="I4" s="12"/>
      <c r="J4" s="12"/>
      <c r="K4" s="12">
        <f>SUBTOTAL(9,K5:K32)+K2</f>
        <v>222651.82620410324</v>
      </c>
      <c r="L4" s="47"/>
      <c r="M4" s="7">
        <f>SUBTOTAL(9,M5:M32)+M2</f>
        <v>263506</v>
      </c>
      <c r="N4" s="7">
        <f ca="1">SUBTOTAL(9,N5:N32)+N2</f>
        <v>253205</v>
      </c>
      <c r="O4" s="48">
        <f ca="1">SUBTOTAL(9,O5:O32)</f>
        <v>58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22</v>
      </c>
      <c r="AO4" s="25">
        <f t="shared" si="1"/>
        <v>12</v>
      </c>
      <c r="AP4" s="25">
        <f t="shared" si="1"/>
        <v>18</v>
      </c>
      <c r="AQ4" s="25">
        <f t="shared" ca="1" si="1"/>
        <v>11</v>
      </c>
      <c r="AR4" s="25">
        <f t="shared" si="1"/>
        <v>0</v>
      </c>
      <c r="AS4" s="25">
        <f t="shared" si="1"/>
        <v>0</v>
      </c>
      <c r="AT4" s="25">
        <f t="shared" si="1"/>
        <v>0</v>
      </c>
      <c r="AU4" s="25">
        <f t="shared" si="1"/>
        <v>0</v>
      </c>
      <c r="AV4" s="25">
        <f t="shared" si="1"/>
        <v>0</v>
      </c>
      <c r="AW4" s="41" t="str">
        <f>SUMPRODUCT(($AW$5:$AW$32)*($E$5:$E$32))&amp;" Kg"</f>
        <v>112 Kg</v>
      </c>
      <c r="AX4" s="77">
        <f>SUBTOTAL(9,AX5:AX32)</f>
        <v>7670</v>
      </c>
    </row>
    <row r="5" spans="1:50" ht="18" x14ac:dyDescent="0.25">
      <c r="A5" s="58">
        <f t="shared" ref="A5:A28" ca="1" si="2">J5*O5</f>
        <v>32.730584245447446</v>
      </c>
      <c r="B5" s="6">
        <v>1</v>
      </c>
      <c r="C5" s="60" t="s">
        <v>128</v>
      </c>
      <c r="D5" s="68">
        <v>64</v>
      </c>
      <c r="E5" s="61">
        <v>0.5</v>
      </c>
      <c r="F5" s="60">
        <f>80+100+80+100+100+40+40</f>
        <v>540</v>
      </c>
      <c r="G5" s="62">
        <f>D5/2</f>
        <v>32</v>
      </c>
      <c r="H5" s="63">
        <f t="shared" ref="H5:H19" si="3">G5*F5</f>
        <v>17280</v>
      </c>
      <c r="I5" s="64">
        <f t="shared" ref="I5:I19" si="4">((H5/$H$4)*$A$2)/F5</f>
        <v>0.73058424544744827</v>
      </c>
      <c r="J5" s="134">
        <f t="shared" ref="J5:J17" si="5">G5+I5</f>
        <v>32.730584245447446</v>
      </c>
      <c r="K5" s="65">
        <f>J5*F5</f>
        <v>17674.515492541621</v>
      </c>
      <c r="L5" s="69">
        <v>45</v>
      </c>
      <c r="M5" s="63">
        <f t="shared" ref="M5:M18" si="6">L5*F5</f>
        <v>24300</v>
      </c>
      <c r="N5" s="63">
        <f t="shared" ref="N5:N25" ca="1" si="7">SUMPRODUCT(($Q5:$AV5)*$L5)</f>
        <v>24255</v>
      </c>
      <c r="O5" s="70">
        <f t="shared" ref="O5:O25" ca="1" si="8">F5-SUM(Q5:AV5)-P5</f>
        <v>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v>10</v>
      </c>
      <c r="AQ5" s="22">
        <f ca="1">SUMIFS('Tổng Đơn'!$F:$F,'Tổng Đơn'!$B:$B,$C5)</f>
        <v>3</v>
      </c>
      <c r="AR5" s="22">
        <v>0</v>
      </c>
      <c r="AS5" s="22">
        <v>0</v>
      </c>
      <c r="AT5" s="22">
        <v>0</v>
      </c>
      <c r="AU5" s="22">
        <v>0</v>
      </c>
      <c r="AV5" s="22">
        <v>0</v>
      </c>
      <c r="AW5" s="58">
        <v>100</v>
      </c>
      <c r="AX5" s="58">
        <f t="shared" ref="AX5:AX25" si="9">AW5*G5</f>
        <v>3200</v>
      </c>
    </row>
    <row r="6" spans="1:50" ht="18" x14ac:dyDescent="0.25">
      <c r="A6" s="58">
        <f t="shared" ca="1" si="2"/>
        <v>0</v>
      </c>
      <c r="B6" s="6">
        <v>2</v>
      </c>
      <c r="C6" s="60" t="s">
        <v>224</v>
      </c>
      <c r="D6" s="68">
        <f t="shared" ref="D6:D11" si="10">G6*2</f>
        <v>81</v>
      </c>
      <c r="E6" s="61">
        <v>0.5</v>
      </c>
      <c r="F6" s="60">
        <f>20+60+20+20+20+20+20+20+20+40+20</f>
        <v>280</v>
      </c>
      <c r="G6" s="62">
        <v>40.5</v>
      </c>
      <c r="H6" s="63">
        <f t="shared" si="3"/>
        <v>11340</v>
      </c>
      <c r="I6" s="64">
        <f t="shared" si="4"/>
        <v>0.92464568564442662</v>
      </c>
      <c r="J6" s="134">
        <f t="shared" si="5"/>
        <v>41.424645685644428</v>
      </c>
      <c r="K6" s="65">
        <f t="shared" ref="K6:K17" si="11">J6*F6</f>
        <v>11598.900791980441</v>
      </c>
      <c r="L6" s="69">
        <v>46</v>
      </c>
      <c r="M6" s="63">
        <f t="shared" si="6"/>
        <v>12880</v>
      </c>
      <c r="N6" s="63">
        <f t="shared" ca="1" si="7"/>
        <v>12834</v>
      </c>
      <c r="O6" s="70">
        <f t="shared" ca="1" si="8"/>
        <v>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2</v>
      </c>
      <c r="AO6" s="22">
        <v>2</v>
      </c>
      <c r="AP6" s="22">
        <v>0</v>
      </c>
      <c r="AQ6" s="22">
        <f ca="1">SUMIFS('Tổng Đơn'!$F:$F,'Tổng Đơn'!$B:$B,$C6)</f>
        <v>0</v>
      </c>
      <c r="AR6" s="22">
        <v>0</v>
      </c>
      <c r="AS6" s="22">
        <v>0</v>
      </c>
      <c r="AT6" s="22">
        <v>0</v>
      </c>
      <c r="AU6" s="22">
        <v>0</v>
      </c>
      <c r="AV6" s="22">
        <v>0</v>
      </c>
      <c r="AW6" s="58">
        <v>20</v>
      </c>
      <c r="AX6" s="58">
        <f t="shared" si="9"/>
        <v>810</v>
      </c>
    </row>
    <row r="7" spans="1:50" ht="19.5" customHeight="1" x14ac:dyDescent="0.25">
      <c r="A7" s="58">
        <f t="shared" ca="1" si="2"/>
        <v>897.53398985562922</v>
      </c>
      <c r="B7" s="6">
        <v>3</v>
      </c>
      <c r="C7" s="60" t="s">
        <v>27</v>
      </c>
      <c r="D7" s="68">
        <f t="shared" si="10"/>
        <v>65</v>
      </c>
      <c r="E7" s="61">
        <v>0.5</v>
      </c>
      <c r="F7" s="60">
        <f>120+40+40+40+40+40</f>
        <v>320</v>
      </c>
      <c r="G7" s="62">
        <v>32.5</v>
      </c>
      <c r="H7" s="63">
        <f t="shared" si="3"/>
        <v>10400</v>
      </c>
      <c r="I7" s="64">
        <f t="shared" si="4"/>
        <v>0.74199962428256472</v>
      </c>
      <c r="J7" s="134">
        <f t="shared" si="5"/>
        <v>33.241999624282563</v>
      </c>
      <c r="K7" s="65">
        <f t="shared" si="11"/>
        <v>10637.43987977042</v>
      </c>
      <c r="L7" s="69">
        <v>38</v>
      </c>
      <c r="M7" s="63">
        <f t="shared" si="6"/>
        <v>12160</v>
      </c>
      <c r="N7" s="63">
        <f t="shared" ca="1" si="7"/>
        <v>11058</v>
      </c>
      <c r="O7" s="70">
        <f t="shared" ca="1" si="8"/>
        <v>27</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v>1</v>
      </c>
      <c r="AQ7" s="22">
        <f ca="1">SUMIFS('Tổng Đơn'!$F:$F,'Tổng Đơn'!$B:$B,$C7)</f>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0.91323030680931028</v>
      </c>
      <c r="J8" s="134">
        <f t="shared" si="5"/>
        <v>40.913230306809311</v>
      </c>
      <c r="K8" s="65">
        <f t="shared" si="11"/>
        <v>29048.393517834611</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v>0</v>
      </c>
      <c r="AQ8" s="22">
        <f ca="1">SUMIFS('Tổng Đơn'!$F:$F,'Tổng Đơn'!$B:$B,$C8)</f>
        <v>0</v>
      </c>
      <c r="AR8" s="22">
        <v>0</v>
      </c>
      <c r="AS8" s="22">
        <v>0</v>
      </c>
      <c r="AT8" s="22">
        <v>0</v>
      </c>
      <c r="AU8" s="22">
        <v>0</v>
      </c>
      <c r="AV8" s="22">
        <v>0</v>
      </c>
      <c r="AW8" s="58">
        <v>40</v>
      </c>
      <c r="AX8" s="58">
        <f t="shared" si="9"/>
        <v>1600</v>
      </c>
    </row>
    <row r="9" spans="1:50" ht="18" x14ac:dyDescent="0.25">
      <c r="A9" s="58">
        <f t="shared" ca="1" si="2"/>
        <v>0</v>
      </c>
      <c r="B9" s="6">
        <v>5</v>
      </c>
      <c r="C9" s="60" t="s">
        <v>25</v>
      </c>
      <c r="D9" s="68">
        <v>77</v>
      </c>
      <c r="E9" s="61">
        <v>0.5</v>
      </c>
      <c r="F9" s="60">
        <f>30+40+24+48+48+50</f>
        <v>240</v>
      </c>
      <c r="G9" s="62">
        <f>D9/2</f>
        <v>38.5</v>
      </c>
      <c r="H9" s="63">
        <f>G9*F9</f>
        <v>9240</v>
      </c>
      <c r="I9" s="64">
        <f>((H9/$H$4)*$A$2)/F9</f>
        <v>0.87898417030396137</v>
      </c>
      <c r="J9" s="134">
        <f t="shared" si="5"/>
        <v>39.378984170303958</v>
      </c>
      <c r="K9" s="65">
        <f t="shared" si="11"/>
        <v>9450.9562008729499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f ca="1">SUMIFS('Tổng Đơn'!$F:$F,'Tổng Đơn'!$B:$B,$C9)</f>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0.67350735127186634</v>
      </c>
      <c r="J10" s="134">
        <f t="shared" si="5"/>
        <v>30.173507351271866</v>
      </c>
      <c r="K10" s="65">
        <f t="shared" si="11"/>
        <v>3620.8208821526241</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SUMIFS('Tổng Đơn'!$F:$F,'Tổng Đơn'!$B:$B,$C10)</f>
        <v>0</v>
      </c>
      <c r="AR10" s="22">
        <v>0</v>
      </c>
      <c r="AS10" s="22">
        <v>0</v>
      </c>
      <c r="AT10" s="22">
        <v>0</v>
      </c>
      <c r="AU10" s="22">
        <v>0</v>
      </c>
      <c r="AV10" s="22">
        <v>0</v>
      </c>
      <c r="AW10" s="58">
        <v>0</v>
      </c>
      <c r="AX10" s="58">
        <f t="shared" si="9"/>
        <v>0</v>
      </c>
    </row>
    <row r="11" spans="1:50" ht="18" x14ac:dyDescent="0.25">
      <c r="A11" s="58">
        <f t="shared" ca="1" si="2"/>
        <v>236.27390502182377</v>
      </c>
      <c r="B11" s="6">
        <v>7</v>
      </c>
      <c r="C11" s="60" t="s">
        <v>225</v>
      </c>
      <c r="D11" s="68">
        <f t="shared" si="10"/>
        <v>66</v>
      </c>
      <c r="E11" s="61">
        <v>0.5</v>
      </c>
      <c r="F11" s="60">
        <f>10+10</f>
        <v>20</v>
      </c>
      <c r="G11" s="62">
        <v>33</v>
      </c>
      <c r="H11" s="63">
        <f t="shared" si="3"/>
        <v>660</v>
      </c>
      <c r="I11" s="64">
        <f t="shared" si="4"/>
        <v>0.75341500311768095</v>
      </c>
      <c r="J11" s="134">
        <f t="shared" si="5"/>
        <v>33.753415003117681</v>
      </c>
      <c r="K11" s="65">
        <f t="shared" si="11"/>
        <v>675.06830006235361</v>
      </c>
      <c r="L11" s="69">
        <v>40</v>
      </c>
      <c r="M11" s="63">
        <f t="shared" si="6"/>
        <v>800</v>
      </c>
      <c r="N11" s="63">
        <f t="shared" ca="1" si="7"/>
        <v>520</v>
      </c>
      <c r="O11" s="70">
        <f t="shared" ca="1" si="8"/>
        <v>7</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1</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0.64687146732326151</v>
      </c>
      <c r="J12" s="134">
        <f t="shared" si="5"/>
        <v>28.980204800656594</v>
      </c>
      <c r="K12" s="65">
        <f t="shared" si="11"/>
        <v>1043.2873728236373</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0.91323030680931028</v>
      </c>
      <c r="J13" s="134">
        <f t="shared" si="5"/>
        <v>40.913230306809311</v>
      </c>
      <c r="K13" s="65">
        <f t="shared" si="11"/>
        <v>1636.5292122723724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0.91323030680931028</v>
      </c>
      <c r="J14" s="134">
        <f t="shared" si="5"/>
        <v>40.913230306809311</v>
      </c>
      <c r="K14" s="65">
        <f t="shared" si="11"/>
        <v>1636.5292122723724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0.91323030680931028</v>
      </c>
      <c r="J15" s="134">
        <f t="shared" si="5"/>
        <v>40.913230306809311</v>
      </c>
      <c r="K15" s="65">
        <f t="shared" si="11"/>
        <v>1636.5292122723724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0.91323030680931028</v>
      </c>
      <c r="J16" s="134">
        <f t="shared" si="5"/>
        <v>40.913230306809311</v>
      </c>
      <c r="K16" s="65">
        <f t="shared" si="11"/>
        <v>1636.5292122723724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0.91323030680931028</v>
      </c>
      <c r="J17" s="134">
        <f t="shared" si="5"/>
        <v>40.913230306809311</v>
      </c>
      <c r="K17" s="65">
        <f t="shared" si="11"/>
        <v>1636.5292122723724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0.62093652768909346</v>
      </c>
      <c r="J18" s="134">
        <f t="shared" ref="J18" si="13">G18+I18</f>
        <v>27.818304948741723</v>
      </c>
      <c r="K18" s="65">
        <f t="shared" ref="K18" si="14">J18*F18</f>
        <v>2225.4643958993379</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f ca="1">SUMIFS('Tổng Đơn'!$F:$F,'Tổng Đơn'!$B:$B,$C18)</f>
        <v>0</v>
      </c>
      <c r="AR18" s="22">
        <v>0</v>
      </c>
      <c r="AS18" s="22">
        <v>0</v>
      </c>
      <c r="AT18" s="22">
        <v>0</v>
      </c>
      <c r="AU18" s="22">
        <v>0</v>
      </c>
      <c r="AV18" s="22">
        <v>0</v>
      </c>
      <c r="AW18" s="58">
        <v>0</v>
      </c>
      <c r="AX18" s="58">
        <f t="shared" si="9"/>
        <v>0</v>
      </c>
    </row>
    <row r="19" spans="1:50" ht="18" x14ac:dyDescent="0.25">
      <c r="A19" s="58">
        <f t="shared" ca="1" si="2"/>
        <v>429.58891822149775</v>
      </c>
      <c r="B19" s="6">
        <v>15</v>
      </c>
      <c r="C19" s="60" t="s">
        <v>143</v>
      </c>
      <c r="D19" s="68">
        <f t="shared" si="12"/>
        <v>120</v>
      </c>
      <c r="E19" s="61">
        <v>0.5</v>
      </c>
      <c r="F19" s="60">
        <f>60+20+20+20+20+20+20+20+60+40+40+40+40</f>
        <v>420</v>
      </c>
      <c r="G19" s="62">
        <v>60</v>
      </c>
      <c r="H19" s="63">
        <f t="shared" si="3"/>
        <v>25200</v>
      </c>
      <c r="I19" s="64">
        <f t="shared" si="4"/>
        <v>1.3698454602139656</v>
      </c>
      <c r="J19" s="134">
        <f t="shared" ref="J19" si="15">G19+I19</f>
        <v>61.369845460213966</v>
      </c>
      <c r="K19" s="65">
        <f t="shared" ref="K19" si="16">J19*F19</f>
        <v>25775.335093289865</v>
      </c>
      <c r="L19" s="69">
        <v>70</v>
      </c>
      <c r="M19" s="63">
        <f t="shared" ref="M19" si="17">L19*F19</f>
        <v>29400</v>
      </c>
      <c r="N19" s="63">
        <f t="shared" ca="1" si="7"/>
        <v>28840</v>
      </c>
      <c r="O19" s="70">
        <f t="shared" ca="1" si="8"/>
        <v>7</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v>2</v>
      </c>
      <c r="AQ19" s="22">
        <f ca="1">SUMIFS('Tổng Đơn'!$F:$F,'Tổng Đơn'!$B:$B,$C19)</f>
        <v>3</v>
      </c>
      <c r="AR19" s="22">
        <v>0</v>
      </c>
      <c r="AS19" s="22">
        <v>0</v>
      </c>
      <c r="AT19" s="22">
        <v>0</v>
      </c>
      <c r="AU19" s="22">
        <v>0</v>
      </c>
      <c r="AV19" s="22">
        <v>0</v>
      </c>
      <c r="AW19" s="58">
        <v>0</v>
      </c>
      <c r="AX19" s="58">
        <f t="shared" si="9"/>
        <v>0</v>
      </c>
    </row>
    <row r="20" spans="1:50" ht="18" x14ac:dyDescent="0.25">
      <c r="A20" s="58">
        <f t="shared" ca="1" si="2"/>
        <v>630.06374672486334</v>
      </c>
      <c r="B20" s="6">
        <v>16</v>
      </c>
      <c r="C20" s="60" t="s">
        <v>114</v>
      </c>
      <c r="D20" s="68">
        <v>77</v>
      </c>
      <c r="E20" s="61">
        <v>0.5</v>
      </c>
      <c r="F20" s="60">
        <f>40+40+40+40+40+20</f>
        <v>220</v>
      </c>
      <c r="G20" s="62">
        <f>D20/2</f>
        <v>38.5</v>
      </c>
      <c r="H20" s="63">
        <f t="shared" ref="H20:H25" si="18">G20*F20</f>
        <v>8470</v>
      </c>
      <c r="I20" s="64">
        <f t="shared" ref="I20:I21" si="19">((H20/$H$4)*$A$2)/F20</f>
        <v>0.87898417030396114</v>
      </c>
      <c r="J20" s="134">
        <f t="shared" ref="J20:J21" si="20">G20+I20</f>
        <v>39.378984170303958</v>
      </c>
      <c r="K20" s="65">
        <f t="shared" ref="K20:K21" si="21">J20*F20</f>
        <v>8663.3765174668715</v>
      </c>
      <c r="L20" s="69">
        <v>42</v>
      </c>
      <c r="M20" s="63">
        <f t="shared" ref="M20:M21" si="22">L20*F20</f>
        <v>9240</v>
      </c>
      <c r="N20" s="63">
        <f t="shared" ca="1" si="7"/>
        <v>8568</v>
      </c>
      <c r="O20" s="70">
        <f t="shared" ca="1" si="8"/>
        <v>16</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v>2</v>
      </c>
      <c r="AQ20" s="22">
        <f ca="1">SUMIFS('Tổng Đơn'!$F:$F,'Tổng Đơn'!$B:$B,$C20)</f>
        <v>4</v>
      </c>
      <c r="AR20" s="22">
        <v>0</v>
      </c>
      <c r="AS20" s="22">
        <v>0</v>
      </c>
      <c r="AT20" s="22">
        <v>0</v>
      </c>
      <c r="AU20" s="22">
        <v>0</v>
      </c>
      <c r="AV20" s="22">
        <v>0</v>
      </c>
      <c r="AW20" s="58">
        <v>40</v>
      </c>
      <c r="AX20" s="58">
        <f t="shared" si="9"/>
        <v>1540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1.0045533374902413</v>
      </c>
      <c r="J21" s="134">
        <f t="shared" si="20"/>
        <v>45.004553337490243</v>
      </c>
      <c r="K21" s="65">
        <f t="shared" si="21"/>
        <v>3600.3642669992196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f ca="1">SUMIFS('Tổng Đơn'!$F:$F,'Tổng Đơn'!$B:$B,$C21)</f>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0.83332265496349556</v>
      </c>
      <c r="J22" s="134">
        <f t="shared" ref="J22:J23" si="24">G22+I22</f>
        <v>37.333322654963496</v>
      </c>
      <c r="K22" s="65">
        <f t="shared" ref="K22:K23" si="25">J22*F22</f>
        <v>1493.3329061985398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SUMIFS('Tổng Đơn'!$F:$F,'Tổng Đơn'!$B:$B,$C22)</f>
        <v>0</v>
      </c>
      <c r="AR22" s="22">
        <v>0</v>
      </c>
      <c r="AS22" s="22">
        <v>0</v>
      </c>
      <c r="AT22" s="22">
        <v>0</v>
      </c>
      <c r="AU22" s="22">
        <v>0</v>
      </c>
      <c r="AV22" s="22">
        <v>0</v>
      </c>
      <c r="AW22" s="58">
        <v>0</v>
      </c>
      <c r="AX22" s="58">
        <f t="shared" si="9"/>
        <v>0</v>
      </c>
    </row>
    <row r="23" spans="1:50" ht="18" x14ac:dyDescent="0.25">
      <c r="A23" s="58">
        <f t="shared" ca="1" si="2"/>
        <v>0</v>
      </c>
      <c r="B23" s="6">
        <v>19</v>
      </c>
      <c r="C23" s="60" t="s">
        <v>182</v>
      </c>
      <c r="D23" s="68">
        <v>26</v>
      </c>
      <c r="E23" s="61">
        <v>0.3</v>
      </c>
      <c r="F23" s="60">
        <f>60+40+20+40+20</f>
        <v>180</v>
      </c>
      <c r="G23" s="62">
        <f>D23/2</f>
        <v>13</v>
      </c>
      <c r="H23" s="63">
        <f t="shared" si="18"/>
        <v>2340</v>
      </c>
      <c r="I23" s="64">
        <f t="shared" si="23"/>
        <v>0.29679984971302587</v>
      </c>
      <c r="J23" s="134">
        <f t="shared" si="24"/>
        <v>13.296799849713025</v>
      </c>
      <c r="K23" s="65">
        <f t="shared" si="25"/>
        <v>2393.4239729483447</v>
      </c>
      <c r="L23" s="69">
        <v>16</v>
      </c>
      <c r="M23" s="63">
        <f t="shared" si="26"/>
        <v>2880</v>
      </c>
      <c r="N23" s="63">
        <f t="shared" ca="1" si="7"/>
        <v>2880</v>
      </c>
      <c r="O23" s="70">
        <f t="shared" ca="1" si="8"/>
        <v>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v>3</v>
      </c>
      <c r="AQ23" s="22">
        <f ca="1">SUMIFS('Tổng Đơn'!$F:$F,'Tổng Đơn'!$B:$B,$C23)</f>
        <v>0</v>
      </c>
      <c r="AR23" s="22">
        <v>0</v>
      </c>
      <c r="AS23" s="22">
        <v>0</v>
      </c>
      <c r="AT23" s="22">
        <v>0</v>
      </c>
      <c r="AU23" s="22">
        <v>0</v>
      </c>
      <c r="AV23" s="22">
        <v>0</v>
      </c>
      <c r="AW23" s="58">
        <v>40</v>
      </c>
      <c r="AX23" s="58">
        <f t="shared" si="9"/>
        <v>520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0.77624576078791374</v>
      </c>
      <c r="J24" s="134">
        <f t="shared" ref="J24" si="28">G24+I24</f>
        <v>34.776245760787916</v>
      </c>
      <c r="K24" s="65">
        <f t="shared" ref="K24" si="29">J24*F24</f>
        <v>347.76245760787913</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0.73743347274851812</v>
      </c>
      <c r="J25" s="134">
        <f t="shared" ref="J25" si="32">G25+I25</f>
        <v>33.037433472748518</v>
      </c>
      <c r="K25" s="65">
        <f t="shared" ref="K25" si="33">J25*F25</f>
        <v>1321.4973389099407</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597" priority="21">
      <formula>($O6/$O6)&lt;=1/4</formula>
    </cfRule>
  </conditionalFormatting>
  <conditionalFormatting sqref="C18">
    <cfRule type="expression" dxfId="596" priority="18">
      <formula>($O18/$O18)&lt;=1/4</formula>
    </cfRule>
  </conditionalFormatting>
  <conditionalFormatting sqref="C5:C18 C25:C27">
    <cfRule type="expression" dxfId="595" priority="29">
      <formula>($O5/$F5)&lt;=1/4</formula>
    </cfRule>
  </conditionalFormatting>
  <conditionalFormatting sqref="C19">
    <cfRule type="expression" dxfId="594" priority="9">
      <formula>($O19/$O19)&lt;=1/4</formula>
    </cfRule>
  </conditionalFormatting>
  <conditionalFormatting sqref="C19">
    <cfRule type="expression" dxfId="593" priority="10">
      <formula>($O19/$F19)&lt;=1/4</formula>
    </cfRule>
  </conditionalFormatting>
  <conditionalFormatting sqref="C20:C21">
    <cfRule type="expression" dxfId="592" priority="7">
      <formula>($O20/$O20)&lt;=1/4</formula>
    </cfRule>
  </conditionalFormatting>
  <conditionalFormatting sqref="C20:C21">
    <cfRule type="expression" dxfId="591" priority="8">
      <formula>($O20/$F20)&lt;=1/4</formula>
    </cfRule>
  </conditionalFormatting>
  <conditionalFormatting sqref="C22:C23">
    <cfRule type="expression" dxfId="590" priority="5">
      <formula>($O22/$O22)&lt;=1/4</formula>
    </cfRule>
  </conditionalFormatting>
  <conditionalFormatting sqref="C22:C23">
    <cfRule type="expression" dxfId="589" priority="6">
      <formula>($O22/$F22)&lt;=1/4</formula>
    </cfRule>
  </conditionalFormatting>
  <conditionalFormatting sqref="C24">
    <cfRule type="expression" dxfId="588" priority="3">
      <formula>($O24/$O24)&lt;=1/4</formula>
    </cfRule>
  </conditionalFormatting>
  <conditionalFormatting sqref="C24">
    <cfRule type="expression" dxfId="58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F13" sqref="F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300+200+120+200+200+200+140+190+120+60+100+95+145+70+100+165+70+80+320+100+270+80+100+140+50+170+140+170+110+140+200+60+100+140+180+80+160+100+240+120+120+300+280+120+240+200+280+200+100+200+280+140+220+80+180+300+240+60+200+280+280+160+230+340+160+300+10</f>
        <v>11225</v>
      </c>
      <c r="K2" s="13"/>
      <c r="L2" s="13"/>
      <c r="M2" s="8">
        <f>M4/K4-1</f>
        <v>0.18632209598317595</v>
      </c>
      <c r="N2" s="8"/>
      <c r="O2" s="13">
        <f>M4-K4</f>
        <v>93905.812369028572</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2266.4397020498209</v>
      </c>
      <c r="B4" s="16"/>
      <c r="C4" s="16"/>
      <c r="D4" s="46"/>
      <c r="E4" s="16">
        <f>SUMPRODUCT((E5:E23)*(F5:F23))</f>
        <v>11182</v>
      </c>
      <c r="F4" s="16">
        <f>SUBTOTAL(9,F5:F23)</f>
        <v>22424</v>
      </c>
      <c r="G4" s="7"/>
      <c r="H4" s="7">
        <f>SUBTOTAL(9,H5:H23)</f>
        <v>492762.63490259741</v>
      </c>
      <c r="I4" s="12"/>
      <c r="J4" s="12"/>
      <c r="K4" s="12">
        <f>SUBTOTAL(9,K5:K23)</f>
        <v>503997.18763097143</v>
      </c>
      <c r="L4" s="47"/>
      <c r="M4" s="7">
        <f>SUBTOTAL(9,M5:M23)</f>
        <v>597903</v>
      </c>
      <c r="N4" s="7">
        <f ca="1">SUBTOTAL(9,N5:N23)</f>
        <v>594686</v>
      </c>
      <c r="O4" s="48">
        <f ca="1">SUBTOTAL(9,O5:O23)</f>
        <v>80</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si="0"/>
        <v>61</v>
      </c>
      <c r="AQ4" s="25">
        <f t="shared" ca="1" si="0"/>
        <v>22</v>
      </c>
      <c r="AR4" s="25">
        <f t="shared" si="0"/>
        <v>0</v>
      </c>
      <c r="AS4" s="25">
        <f t="shared" si="0"/>
        <v>0</v>
      </c>
      <c r="AT4" s="25">
        <f t="shared" si="0"/>
        <v>0</v>
      </c>
      <c r="AU4" s="25">
        <f t="shared" si="0"/>
        <v>0</v>
      </c>
      <c r="AV4" s="25">
        <f t="shared" si="0"/>
        <v>0</v>
      </c>
      <c r="AW4" s="41" t="str">
        <f>SUMPRODUCT(($AW$5:$AW$23)*($E$5:$E$23))&amp;" Kg"</f>
        <v>325 Kg</v>
      </c>
      <c r="AX4" s="77">
        <f>SUBTOTAL(9,AX5:AX23)</f>
        <v>16327</v>
      </c>
    </row>
    <row r="5" spans="1:53" ht="18" x14ac:dyDescent="0.25">
      <c r="A5" s="58">
        <f t="shared" ref="A5:A23" ca="1" si="1">J5*O5</f>
        <v>81.871082232864694</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0.45586579631140961</v>
      </c>
      <c r="J5" s="134">
        <f t="shared" ref="J5:J12" si="4">G5+I5</f>
        <v>20.467770558216174</v>
      </c>
      <c r="K5" s="65">
        <f>J5*F5</f>
        <v>58312.678320357882</v>
      </c>
      <c r="L5" s="69">
        <v>25</v>
      </c>
      <c r="M5" s="63">
        <f t="shared" ref="M5:M12" si="5">L5*F5</f>
        <v>71225</v>
      </c>
      <c r="N5" s="63">
        <f t="shared" ref="N5:N13" ca="1" si="6">SUMPRODUCT(($Q5:$AV5)*$L5)</f>
        <v>71125</v>
      </c>
      <c r="O5" s="70">
        <f t="shared" ref="O5:O13" ca="1" si="7">F5-SUM(Q5:AV5)-P5</f>
        <v>4</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v>20</v>
      </c>
      <c r="AQ5" s="22">
        <f ca="1">SUMIFS('Tổng Đơn'!$F:$F,'Tổng Đơn'!$B:$B,$C5)</f>
        <v>11</v>
      </c>
      <c r="AR5" s="22">
        <v>0</v>
      </c>
      <c r="AS5" s="22">
        <v>0</v>
      </c>
      <c r="AT5" s="22">
        <v>0</v>
      </c>
      <c r="AU5" s="22">
        <v>0</v>
      </c>
      <c r="AV5" s="22">
        <v>0</v>
      </c>
      <c r="AW5" s="58">
        <f>5*42</f>
        <v>210</v>
      </c>
      <c r="AX5" s="58">
        <f>AW5*AY5/2</f>
        <v>4202.5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0.53304569258162204</v>
      </c>
      <c r="J6" s="134">
        <f t="shared" si="4"/>
        <v>23.933045692581622</v>
      </c>
      <c r="K6" s="65">
        <f>J6*F6</f>
        <v>2082.1749752546011</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v>0</v>
      </c>
      <c r="AQ6" s="22">
        <f ca="1">SUMIFS('Tổng Đơn'!$F:$F,'Tổng Đơn'!$B:$B,$C6)</f>
        <v>0</v>
      </c>
      <c r="AR6" s="22">
        <v>0</v>
      </c>
      <c r="AS6" s="22">
        <v>0</v>
      </c>
      <c r="AT6" s="22">
        <v>0</v>
      </c>
      <c r="AU6" s="22">
        <v>0</v>
      </c>
      <c r="AV6" s="22">
        <v>0</v>
      </c>
      <c r="AW6" s="58">
        <v>40</v>
      </c>
      <c r="AX6" s="58">
        <f t="shared" ref="AX6:AX12" si="8">AW6*AY6/2</f>
        <v>936</v>
      </c>
      <c r="AY6" s="240">
        <v>46.8</v>
      </c>
      <c r="BA6" s="58">
        <f>SUM(BA5,COUNTIF($C$5:C6,$C6)=1)</f>
        <v>2</v>
      </c>
    </row>
    <row r="7" spans="1:53" ht="18" x14ac:dyDescent="0.25">
      <c r="A7" s="58">
        <f t="shared" ca="1" si="1"/>
        <v>-22.464626222432383</v>
      </c>
      <c r="B7" s="237">
        <v>3</v>
      </c>
      <c r="C7" s="60" t="s">
        <v>176</v>
      </c>
      <c r="D7" s="241">
        <f>45*20.5/21</f>
        <v>43.928571428571431</v>
      </c>
      <c r="E7" s="6">
        <v>0.5</v>
      </c>
      <c r="F7" s="6">
        <f>54+42+42</f>
        <v>138</v>
      </c>
      <c r="G7" s="228">
        <v>21.964285714285715</v>
      </c>
      <c r="H7" s="63">
        <f t="shared" si="2"/>
        <v>3031.0714285714289</v>
      </c>
      <c r="I7" s="64">
        <f t="shared" si="3"/>
        <v>0.50034050814666908</v>
      </c>
      <c r="J7" s="134">
        <f t="shared" si="4"/>
        <v>22.464626222432383</v>
      </c>
      <c r="K7" s="65">
        <f t="shared" ref="K7:K12" si="9">J7*F7</f>
        <v>3100.1184186956689</v>
      </c>
      <c r="L7" s="69">
        <v>28</v>
      </c>
      <c r="M7" s="63">
        <f t="shared" si="5"/>
        <v>3864</v>
      </c>
      <c r="N7" s="63">
        <f t="shared" ca="1" si="6"/>
        <v>3892</v>
      </c>
      <c r="O7" s="70">
        <f t="shared" ca="1" si="7"/>
        <v>-1</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v>6</v>
      </c>
      <c r="AQ7" s="22">
        <f ca="1">SUMIFS('Tổng Đơn'!$F:$F,'Tổng Đơn'!$B:$B,$C7)</f>
        <v>0</v>
      </c>
      <c r="AR7" s="22">
        <v>0</v>
      </c>
      <c r="AS7" s="22">
        <v>0</v>
      </c>
      <c r="AT7" s="22">
        <v>0</v>
      </c>
      <c r="AU7" s="22">
        <v>0</v>
      </c>
      <c r="AV7" s="22">
        <v>0</v>
      </c>
      <c r="AW7" s="58">
        <v>42</v>
      </c>
      <c r="AX7" s="58">
        <f t="shared" si="8"/>
        <v>922.5</v>
      </c>
      <c r="AY7" s="240">
        <v>43.928571428571431</v>
      </c>
      <c r="BA7" s="58">
        <f>SUM(BA6,COUNTIF($C$5:C7,$C7)=1)</f>
        <v>3</v>
      </c>
    </row>
    <row r="8" spans="1:53" ht="18" x14ac:dyDescent="0.25">
      <c r="A8" s="58">
        <f t="shared" ca="1" si="1"/>
        <v>85.864793561297105</v>
      </c>
      <c r="B8" s="6">
        <v>4</v>
      </c>
      <c r="C8" s="60" t="s">
        <v>177</v>
      </c>
      <c r="D8" s="241">
        <f>43*20.5/21</f>
        <v>41.976190476190474</v>
      </c>
      <c r="E8" s="6">
        <v>0.5</v>
      </c>
      <c r="F8" s="6">
        <f>8+42+42</f>
        <v>92</v>
      </c>
      <c r="G8" s="228">
        <f>D8/(1/E8)</f>
        <v>20.988095238095237</v>
      </c>
      <c r="H8" s="63">
        <f t="shared" si="2"/>
        <v>1930.9047619047619</v>
      </c>
      <c r="I8" s="64">
        <f t="shared" si="3"/>
        <v>0.47810315222903932</v>
      </c>
      <c r="J8" s="134">
        <f>G8+I8</f>
        <v>21.466198390324276</v>
      </c>
      <c r="K8" s="65">
        <f t="shared" si="9"/>
        <v>1974.8902519098335</v>
      </c>
      <c r="L8" s="69">
        <v>28</v>
      </c>
      <c r="M8" s="63">
        <f t="shared" si="5"/>
        <v>2576</v>
      </c>
      <c r="N8" s="63">
        <f t="shared" ca="1" si="6"/>
        <v>2464</v>
      </c>
      <c r="O8" s="70">
        <f t="shared" ca="1" si="7"/>
        <v>4</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v>6</v>
      </c>
      <c r="AQ8" s="22">
        <f ca="1">SUMIFS('Tổng Đơn'!$F:$F,'Tổng Đơn'!$B:$B,$C8)</f>
        <v>1</v>
      </c>
      <c r="AR8" s="22">
        <v>0</v>
      </c>
      <c r="AS8" s="22">
        <v>0</v>
      </c>
      <c r="AT8" s="22">
        <v>0</v>
      </c>
      <c r="AU8" s="22">
        <v>0</v>
      </c>
      <c r="AV8" s="22">
        <v>0</v>
      </c>
      <c r="AW8" s="58">
        <v>42</v>
      </c>
      <c r="AX8" s="58">
        <f t="shared" si="8"/>
        <v>881.5</v>
      </c>
      <c r="AY8" s="240">
        <v>41.976190476190474</v>
      </c>
      <c r="BA8" s="58">
        <f>SUM(BA7,COUNTIF($C$5:C8,$C8)=1)</f>
        <v>4</v>
      </c>
    </row>
    <row r="9" spans="1:53" ht="18" x14ac:dyDescent="0.25">
      <c r="A9" s="58">
        <f t="shared" ca="1" si="1"/>
        <v>609.29545492364048</v>
      </c>
      <c r="B9" s="237">
        <v>5</v>
      </c>
      <c r="C9" s="60" t="s">
        <v>178</v>
      </c>
      <c r="D9" s="241">
        <f>47*19.5/20</f>
        <v>45.825000000000003</v>
      </c>
      <c r="E9" s="6">
        <v>0.5</v>
      </c>
      <c r="F9" s="6">
        <f>171+40+120+80+120+40</f>
        <v>571</v>
      </c>
      <c r="G9" s="228">
        <v>22.912500000000001</v>
      </c>
      <c r="H9" s="63">
        <f t="shared" si="2"/>
        <v>13083.0375</v>
      </c>
      <c r="I9" s="64">
        <f t="shared" si="3"/>
        <v>0.52194057398617166</v>
      </c>
      <c r="J9" s="134">
        <f t="shared" si="4"/>
        <v>23.434440573986173</v>
      </c>
      <c r="K9" s="65">
        <f t="shared" si="9"/>
        <v>13381.065567746105</v>
      </c>
      <c r="L9" s="69">
        <v>26</v>
      </c>
      <c r="M9" s="63">
        <f t="shared" si="5"/>
        <v>14846</v>
      </c>
      <c r="N9" s="63">
        <f t="shared" ca="1" si="6"/>
        <v>14170</v>
      </c>
      <c r="O9" s="70">
        <f t="shared" ca="1" si="7"/>
        <v>26</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v>6</v>
      </c>
      <c r="AQ9" s="22">
        <f ca="1">SUMIFS('Tổng Đơn'!$F:$F,'Tổng Đơn'!$B:$B,$C9)</f>
        <v>1</v>
      </c>
      <c r="AR9" s="22">
        <v>0</v>
      </c>
      <c r="AS9" s="22">
        <v>0</v>
      </c>
      <c r="AT9" s="22">
        <v>0</v>
      </c>
      <c r="AU9" s="22">
        <v>0</v>
      </c>
      <c r="AV9" s="22">
        <v>0</v>
      </c>
      <c r="AW9" s="58">
        <f>3*40</f>
        <v>120</v>
      </c>
      <c r="AX9" s="58">
        <f t="shared" si="8"/>
        <v>2749.5</v>
      </c>
      <c r="AY9" s="240">
        <v>45.825000000000003</v>
      </c>
      <c r="BA9" s="58">
        <f>SUM(BA8,COUNTIF($C$5:C9,$C9)=1)</f>
        <v>5</v>
      </c>
    </row>
    <row r="10" spans="1:53" ht="18" x14ac:dyDescent="0.25">
      <c r="A10" s="58">
        <f ca="1">J10*O10</f>
        <v>462.50099411048757</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0.735785293606256</v>
      </c>
      <c r="J10" s="134">
        <f t="shared" ref="J10" si="13">G10+I10</f>
        <v>33.035785293606253</v>
      </c>
      <c r="K10" s="65">
        <f t="shared" ref="K10" si="14">J10*F10</f>
        <v>30392.922470117752</v>
      </c>
      <c r="L10" s="69">
        <v>37</v>
      </c>
      <c r="M10" s="63">
        <f t="shared" ref="M10" si="15">L10*F10</f>
        <v>34040</v>
      </c>
      <c r="N10" s="63">
        <f t="shared" ca="1" si="6"/>
        <v>33522</v>
      </c>
      <c r="O10" s="70">
        <f t="shared" ca="1" si="7"/>
        <v>14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v>16</v>
      </c>
      <c r="AQ10" s="22">
        <f ca="1">SUMIFS('Tổng Đơn'!$F:$F,'Tổng Đơn'!$B:$B,$C10)</f>
        <v>6</v>
      </c>
      <c r="AR10" s="22">
        <v>0</v>
      </c>
      <c r="AS10" s="22">
        <v>0</v>
      </c>
      <c r="AT10" s="22">
        <v>0</v>
      </c>
      <c r="AU10" s="22">
        <v>0</v>
      </c>
      <c r="AV10" s="22">
        <v>0</v>
      </c>
      <c r="AW10" s="58">
        <f>3*40</f>
        <v>120</v>
      </c>
      <c r="AX10" s="58">
        <f t="shared" ref="AX10" si="16">AW10*AY10/2</f>
        <v>3875.9999999999995</v>
      </c>
      <c r="AY10" s="240">
        <v>64.599999999999994</v>
      </c>
      <c r="BA10" s="58">
        <f>SUM(BA9,COUNTIF($C$5:C10,$C10)=1)</f>
        <v>6</v>
      </c>
    </row>
    <row r="11" spans="1:53" ht="18" x14ac:dyDescent="0.25">
      <c r="A11" s="58">
        <f t="shared" ca="1" si="1"/>
        <v>0</v>
      </c>
      <c r="B11" s="6">
        <v>7</v>
      </c>
      <c r="C11" s="60" t="s">
        <v>180</v>
      </c>
      <c r="D11" s="241">
        <f>77*19/20</f>
        <v>73.150000000000006</v>
      </c>
      <c r="E11" s="6">
        <v>0.5</v>
      </c>
      <c r="F11" s="6">
        <f>40+6+40</f>
        <v>86</v>
      </c>
      <c r="G11" s="228">
        <f t="shared" ref="G11" si="17">D11/2</f>
        <v>36.575000000000003</v>
      </c>
      <c r="H11" s="63">
        <f t="shared" si="2"/>
        <v>3145.4500000000003</v>
      </c>
      <c r="I11" s="64">
        <f t="shared" si="3"/>
        <v>0.83316864128943713</v>
      </c>
      <c r="J11" s="134">
        <f t="shared" si="4"/>
        <v>37.408168641289443</v>
      </c>
      <c r="K11" s="65">
        <f t="shared" si="9"/>
        <v>3217.1025031508921</v>
      </c>
      <c r="L11" s="69">
        <v>42</v>
      </c>
      <c r="M11" s="63">
        <f t="shared" si="5"/>
        <v>3612</v>
      </c>
      <c r="N11" s="63">
        <f t="shared" ca="1" si="6"/>
        <v>3612</v>
      </c>
      <c r="O11" s="70">
        <f t="shared" ca="1" si="7"/>
        <v>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v>2</v>
      </c>
      <c r="AQ11" s="22">
        <f ca="1">SUMIFS('Tổng Đơn'!$F:$F,'Tổng Đơn'!$B:$B,$C11)</f>
        <v>1</v>
      </c>
      <c r="AR11" s="22">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717.99137077744876</v>
      </c>
      <c r="B12" s="6">
        <v>8</v>
      </c>
      <c r="C12" s="60" t="s">
        <v>181</v>
      </c>
      <c r="D12" s="241">
        <v>78</v>
      </c>
      <c r="E12" s="6">
        <v>0.5</v>
      </c>
      <c r="F12" s="6">
        <f>43+40</f>
        <v>83</v>
      </c>
      <c r="G12" s="228">
        <v>39</v>
      </c>
      <c r="H12" s="63">
        <f t="shared" si="2"/>
        <v>3237</v>
      </c>
      <c r="I12" s="64">
        <f t="shared" si="3"/>
        <v>0.88840948763603678</v>
      </c>
      <c r="J12" s="134">
        <f t="shared" si="4"/>
        <v>39.888409487636039</v>
      </c>
      <c r="K12" s="65">
        <f t="shared" si="9"/>
        <v>3310.7379874737912</v>
      </c>
      <c r="L12" s="69">
        <v>45</v>
      </c>
      <c r="M12" s="63">
        <f t="shared" si="5"/>
        <v>3735</v>
      </c>
      <c r="N12" s="63">
        <f t="shared" ca="1" si="6"/>
        <v>2925</v>
      </c>
      <c r="O12" s="70">
        <f t="shared" ca="1" si="7"/>
        <v>18</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v>5</v>
      </c>
      <c r="AQ12" s="22">
        <f ca="1">SUMIFS('Tổng Đơn'!$F:$F,'Tổng Đơn'!$B:$B,$C12)</f>
        <v>2</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331.38063266651483</v>
      </c>
      <c r="B13" s="6">
        <v>9</v>
      </c>
      <c r="C13" s="60" t="s">
        <v>307</v>
      </c>
      <c r="D13" s="241">
        <f>(27*16/20)*(1/0.3)</f>
        <v>72.000000000000014</v>
      </c>
      <c r="E13" s="6">
        <v>0.3</v>
      </c>
      <c r="F13" s="6">
        <f>20+100+30</f>
        <v>150</v>
      </c>
      <c r="G13" s="228">
        <f>D13/(1/0.3)</f>
        <v>21.600000000000005</v>
      </c>
      <c r="H13" s="63">
        <f t="shared" ref="H13" si="18">G13*F13</f>
        <v>3240.0000000000009</v>
      </c>
      <c r="I13" s="64">
        <f t="shared" ref="I13" si="19">((H13/$H$4)*$A$2)/F13</f>
        <v>0.4920421777676513</v>
      </c>
      <c r="J13" s="134">
        <f t="shared" ref="J13" si="20">G13+I13</f>
        <v>22.092042177767656</v>
      </c>
      <c r="K13" s="65">
        <f t="shared" ref="K13" si="21">J13*F13</f>
        <v>3313.8063266651484</v>
      </c>
      <c r="L13" s="69">
        <v>26</v>
      </c>
      <c r="M13" s="63">
        <f t="shared" ref="M13" si="22">L13*F13</f>
        <v>3900</v>
      </c>
      <c r="N13" s="63">
        <f t="shared" ca="1" si="6"/>
        <v>3510</v>
      </c>
      <c r="O13" s="70">
        <f t="shared" ca="1" si="7"/>
        <v>15</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v>3</v>
      </c>
      <c r="AQ13" s="22">
        <f ca="1">SUMIFS('Tổng Đơn'!$F:$F,'Tổng Đơn'!$B:$B,$C13)</f>
        <v>14</v>
      </c>
      <c r="AR13" s="22">
        <v>0</v>
      </c>
      <c r="AS13" s="22">
        <v>0</v>
      </c>
      <c r="AT13" s="22">
        <v>0</v>
      </c>
      <c r="AU13" s="22">
        <v>0</v>
      </c>
      <c r="AV13" s="22">
        <v>0</v>
      </c>
      <c r="AW13" s="58">
        <v>60</v>
      </c>
      <c r="AX13" s="58">
        <f>AW13*AY13</f>
        <v>1296</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586" priority="10">
      <formula>($O6/$O6)&lt;=1/4</formula>
    </cfRule>
  </conditionalFormatting>
  <conditionalFormatting sqref="C5:C10 C12:C13">
    <cfRule type="expression" dxfId="585" priority="11">
      <formula>($O5/$F5)&lt;=1/4</formula>
    </cfRule>
  </conditionalFormatting>
  <conditionalFormatting sqref="C11">
    <cfRule type="expression" dxfId="584" priority="1">
      <formula>($O11/$O11)&lt;=1/4</formula>
    </cfRule>
  </conditionalFormatting>
  <conditionalFormatting sqref="C11">
    <cfRule type="expression" dxfId="583"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183620.5162144315</v>
      </c>
      <c r="B1" s="263" t="str">
        <f>"Tiền Hàng: "&amp;INT('Quốc Nhân'!K4+'La Cusina'!K4+TVP!J4+Gà!K4+Kitkool!K4)</f>
        <v>Tiền Hàng: 1234570</v>
      </c>
      <c r="C1" s="262" t="str">
        <f ca="1">"Giá trị hàng Tồn: "&amp;INT('Quốc Nhân'!A4+'La Cusina'!A4+TVP!A4+Gà!A4+Kitkool!A4)</f>
        <v>Giá trị hàng Tồn: 17545</v>
      </c>
      <c r="D1" s="261" t="str">
        <f ca="1">"Giá trị Hàng xuất: "&amp;CHAR(10)&amp;INT('Quốc Nhân'!K4+'La Cusina'!K4+TVP!J4+Gà!K4+Kitkool!K4-('Quốc Nhân'!A4+'La Cusina'!A4+TVP!A4+Gà!A4+Kitkool!A4))</f>
        <v>Giá trị Hàng xuất: 
1217024</v>
      </c>
      <c r="E1" s="264" t="str">
        <f ca="1">"Doanh Thu Tích Lũy: "&amp;INT('Quốc Nhân'!N4+'La Cusina'!N4+TVP!M4+Gà!N4+Kitkool!N4)</f>
        <v>Doanh Thu Tích Lũy: 1400645</v>
      </c>
      <c r="F1" s="259">
        <f ca="1">K4/1000-610-240</f>
        <v>6811</v>
      </c>
      <c r="G1" s="169">
        <f>-774-503+13</f>
        <v>-1264</v>
      </c>
      <c r="H1" s="170" t="s">
        <v>207</v>
      </c>
      <c r="I1" s="171">
        <v>-176</v>
      </c>
      <c r="J1" s="172" t="s">
        <v>208</v>
      </c>
      <c r="K1" s="187">
        <v>1403</v>
      </c>
      <c r="L1" s="187" t="s">
        <v>252</v>
      </c>
      <c r="M1" s="187"/>
      <c r="N1" s="187"/>
      <c r="O1" s="173"/>
      <c r="P1" s="173"/>
      <c r="Q1" s="173"/>
    </row>
    <row r="2" spans="1:55" s="174" customFormat="1" ht="20.25" customHeight="1" x14ac:dyDescent="0.3">
      <c r="A2" s="258"/>
      <c r="B2" s="263"/>
      <c r="C2" s="262"/>
      <c r="D2" s="261"/>
      <c r="E2" s="264"/>
      <c r="F2" s="260"/>
      <c r="G2" s="175">
        <v>0</v>
      </c>
      <c r="H2" s="176" t="s">
        <v>246</v>
      </c>
      <c r="I2" s="242"/>
      <c r="J2" s="224"/>
      <c r="K2" s="187"/>
      <c r="L2" s="187"/>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86.7</v>
      </c>
      <c r="G4" s="40"/>
      <c r="H4" s="51">
        <f ca="1">SUBTOTAL(9,H5:H71)</f>
        <v>889906.56281135208</v>
      </c>
      <c r="I4" s="51">
        <f ca="1">K4-J4</f>
        <v>776906.56281135231</v>
      </c>
      <c r="J4" s="25">
        <f ca="1">SUBTOTAL(9,J5:J71)</f>
        <v>6884093.4371886477</v>
      </c>
      <c r="K4" s="25">
        <f ca="1">SUM(L4:BC4)</f>
        <v>7661000</v>
      </c>
      <c r="L4" s="55">
        <f ca="1">IFERROR(INDIRECT("'Thanh Toán ("&amp;L$3&amp;")'!$H"&amp;SUBTOTAL(3,INDIRECT("'Thanh Toán ("&amp;L$3&amp;")'!$H$8:$H$50"))+7-COUNTIF(INDIRECT("'Thanh Toán ("&amp;L$3&amp;")'!$H$8:$H$50"),""&amp;"*")),"")</f>
        <v>930000</v>
      </c>
      <c r="M4" s="55">
        <f t="shared" ref="M4:AN4" ca="1" si="0">IFERROR(INDIRECT("'Thanh Toán ("&amp;M$3&amp;")'!$H"&amp;SUBTOTAL(3,INDIRECT("'Thanh Toán ("&amp;M$3&amp;")'!$H$8:$H$50"))+7-COUNTIF(INDIRECT("'Thanh Toán ("&amp;M$3&amp;")'!$H$8:$H$50"),""&amp;"*")),"")</f>
        <v>620000</v>
      </c>
      <c r="N4" s="55">
        <f t="shared" ca="1" si="0"/>
        <v>510000</v>
      </c>
      <c r="O4" s="55">
        <f t="shared" ca="1" si="0"/>
        <v>1190000</v>
      </c>
      <c r="P4" s="55">
        <f t="shared" ca="1" si="0"/>
        <v>765000</v>
      </c>
      <c r="Q4" s="55">
        <f t="shared" ca="1" si="0"/>
        <v>40000</v>
      </c>
      <c r="R4" s="55">
        <f t="shared" ca="1" si="0"/>
        <v>205000</v>
      </c>
      <c r="S4" s="55">
        <f t="shared" ca="1" si="0"/>
        <v>1424000</v>
      </c>
      <c r="T4" s="55">
        <f t="shared" ca="1" si="0"/>
        <v>280000</v>
      </c>
      <c r="U4" s="55">
        <f t="shared" ca="1" si="0"/>
        <v>360000</v>
      </c>
      <c r="V4" s="55">
        <f t="shared" ca="1" si="0"/>
        <v>70000</v>
      </c>
      <c r="W4" s="55">
        <f t="shared" ca="1" si="0"/>
        <v>275000</v>
      </c>
      <c r="X4" s="55">
        <f t="shared" ca="1" si="0"/>
        <v>65000</v>
      </c>
      <c r="Y4" s="55">
        <f t="shared" ca="1" si="0"/>
        <v>240000</v>
      </c>
      <c r="Z4" s="55">
        <f t="shared" ca="1" si="0"/>
        <v>610000</v>
      </c>
      <c r="AA4" s="55">
        <f t="shared" ca="1" si="0"/>
        <v>40000</v>
      </c>
      <c r="AB4" s="55">
        <f t="shared" ca="1" si="0"/>
        <v>37000</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11</v>
      </c>
      <c r="G6" s="165">
        <f>IFERROR(VLOOKUP($B6,Gà!C:J,8,0),IFERROR(VLOOKUP($B6,TVP!C:J,7,0),IFERROR(VLOOKUP($B6,Kitkool!C:J,8,0),IFERROR(VLOOKUP($B6,'La Cusina'!C:J,8,0),VLOOKUP($B6,'Quốc Nhân'!C:J,8,0)))))</f>
        <v>113.98084503664623</v>
      </c>
      <c r="H6" s="166">
        <f ca="1">(D6-G6*1000)*$F6</f>
        <v>88210.704596891417</v>
      </c>
      <c r="I6" s="186">
        <f t="shared" ref="I6:I9" si="3">D6/(G6*1000)-1</f>
        <v>7.0355286107727233E-2</v>
      </c>
      <c r="J6" s="166">
        <f t="shared" ref="J6:J9" ca="1" si="4">F6*G6*1000</f>
        <v>1253789.2954031085</v>
      </c>
      <c r="K6" s="38"/>
      <c r="L6" s="2">
        <f ca="1">IFERROR(SUMIFS(INDIRECT("'Thanh Toán ("&amp;L$3&amp;")'!$F:$F"),INDIRECT("'Thanh Toán ("&amp;L$3&amp;")'!$D:$D"),'Tổng Đơn'!$B6),0)</f>
        <v>5</v>
      </c>
      <c r="M6" s="2">
        <f ca="1">IFERROR(SUMIFS(INDIRECT("'Thanh Toán ("&amp;M$3&amp;")'!$F:$F"),INDIRECT("'Thanh Toán ("&amp;M$3&amp;")'!$D:$D"),'Tổng Đơn'!$B6),0)</f>
        <v>0</v>
      </c>
      <c r="N6" s="2">
        <f ca="1">IFERROR(SUMIFS(INDIRECT("'Thanh Toán ("&amp;N$3&amp;")'!$F:$F"),INDIRECT("'Thanh Toán ("&amp;N$3&amp;")'!$D:$D"),'Tổng Đơn'!$B6),0)</f>
        <v>3</v>
      </c>
      <c r="O6" s="2">
        <f ca="1">IFERROR(SUMIFS(INDIRECT("'Thanh Toán ("&amp;O$3&amp;")'!$F:$F"),INDIRECT("'Thanh Toán ("&amp;O$3&amp;")'!$D:$D"),'Tổng Đơn'!$B6),0)</f>
        <v>0</v>
      </c>
      <c r="P6" s="2">
        <f ca="1">IFERROR(SUMIFS(INDIRECT("'Thanh Toán ("&amp;P$3&amp;")'!$F:$F"),INDIRECT("'Thanh Toán ("&amp;P$3&amp;")'!$D:$D"),'Tổng Đơn'!$B6),0)</f>
        <v>2</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1</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34.601327957553323</v>
      </c>
      <c r="H10" s="166">
        <f t="shared" ref="H10" ca="1" si="7">(D10-G10*1000)*$F10</f>
        <v>0</v>
      </c>
      <c r="I10" s="186">
        <f t="shared" ref="I10" si="8">D10/(G10*1000)-1</f>
        <v>0.24272687027358097</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41.424645685644428</v>
      </c>
      <c r="H11" s="166">
        <f t="shared" ref="H11:H52" ca="1" si="10">(D11-G11*1000)*$F11</f>
        <v>0</v>
      </c>
      <c r="I11" s="186">
        <f t="shared" ref="I11:I52" si="11">D11/(G11*1000)-1</f>
        <v>0.15873049015924923</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0.11285531928059192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33.241999624282563</v>
      </c>
      <c r="H15" s="166">
        <f t="shared" ca="1" si="10"/>
        <v>0</v>
      </c>
      <c r="I15" s="186">
        <f t="shared" si="11"/>
        <v>0.14313219509941333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39.378984170303958</v>
      </c>
      <c r="H16" s="166">
        <f t="shared" ca="1" si="10"/>
        <v>0</v>
      </c>
      <c r="I16" s="186">
        <f t="shared" si="11"/>
        <v>6.6558746623854637E-2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3</v>
      </c>
      <c r="G17" s="165">
        <f>IFERROR(VLOOKUP($B17,Gà!C:J,8,0),IFERROR(VLOOKUP($B17,TVP!C:J,7,0),IFERROR(VLOOKUP($B17,Kitkool!C:J,8,0),IFERROR(VLOOKUP($B17,'La Cusina'!C:J,8,0),VLOOKUP($B17,'Quốc Nhân'!C:J,8,0)))))</f>
        <v>32.730584245447446</v>
      </c>
      <c r="H17" s="166">
        <f t="shared" ca="1" si="10"/>
        <v>36808.247263657671</v>
      </c>
      <c r="I17" s="186">
        <f t="shared" si="11"/>
        <v>0.37486088431981268</v>
      </c>
      <c r="J17" s="166">
        <f t="shared" ca="1" si="12"/>
        <v>98191.752736342343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3</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40.913230306809311</v>
      </c>
      <c r="H18" s="166">
        <f t="shared" ca="1" si="10"/>
        <v>0</v>
      </c>
      <c r="I18" s="186">
        <f t="shared" si="11"/>
        <v>9.9888707455849879E-2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40.913230306809311</v>
      </c>
      <c r="H19" s="166">
        <f t="shared" ca="1" si="10"/>
        <v>0</v>
      </c>
      <c r="I19" s="186">
        <f t="shared" si="11"/>
        <v>9.9888707455849879E-2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40.913230306809311</v>
      </c>
      <c r="H20" s="166">
        <f t="shared" ca="1" si="10"/>
        <v>0</v>
      </c>
      <c r="I20" s="186">
        <f t="shared" si="11"/>
        <v>9.9888707455849879E-2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40.913230306809311</v>
      </c>
      <c r="H21" s="166">
        <f t="shared" ca="1" si="10"/>
        <v>0</v>
      </c>
      <c r="I21" s="186">
        <f t="shared" si="11"/>
        <v>9.9888707455849879E-2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40.913230306809311</v>
      </c>
      <c r="H22" s="166">
        <f t="shared" ca="1" si="10"/>
        <v>0</v>
      </c>
      <c r="I22" s="186">
        <f t="shared" si="11"/>
        <v>9.9888707455849879E-2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20</v>
      </c>
      <c r="G23" s="165">
        <f>IFERROR(VLOOKUP($B23,Gà!C:J,8,0),IFERROR(VLOOKUP($B23,TVP!C:J,7,0),IFERROR(VLOOKUP($B23,Kitkool!C:J,8,0),IFERROR(VLOOKUP($B23,'La Cusina'!C:J,8,0),VLOOKUP($B23,'Quốc Nhân'!C:J,8,0)))))</f>
        <v>34.884023819380317</v>
      </c>
      <c r="H23" s="166">
        <f t="shared" ca="1" si="10"/>
        <v>102319.52361239368</v>
      </c>
      <c r="I23" s="186">
        <f t="shared" si="11"/>
        <v>0.1466567104502845</v>
      </c>
      <c r="J23" s="166">
        <f t="shared" ca="1" si="12"/>
        <v>697680.47638760635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3</v>
      </c>
      <c r="Q23" s="2">
        <f ca="1">IFERROR(SUMIFS(INDIRECT("'Thanh Toán ("&amp;Q$3&amp;")'!$F:$F"),INDIRECT("'Thanh Toán ("&amp;Q$3&amp;")'!$D:$D"),'Tổng Đơn'!$B23),0)</f>
        <v>1</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2</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2</v>
      </c>
      <c r="G24" s="165">
        <f>IFERROR(VLOOKUP($B24,Gà!C:J,8,0),IFERROR(VLOOKUP($B24,TVP!C:J,7,0),IFERROR(VLOOKUP($B24,Kitkool!C:J,8,0),IFERROR(VLOOKUP($B24,'La Cusina'!C:J,8,0),VLOOKUP($B24,'Quốc Nhân'!C:J,8,0)))))</f>
        <v>30.780021017100278</v>
      </c>
      <c r="H24" s="166">
        <f t="shared" ca="1" si="10"/>
        <v>18439.957965799447</v>
      </c>
      <c r="I24" s="186">
        <f t="shared" si="11"/>
        <v>0.29954427184365584</v>
      </c>
      <c r="J24" s="166">
        <f t="shared" ca="1" si="12"/>
        <v>61560.042034200553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1</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43.605029774225393</v>
      </c>
      <c r="H25" s="166">
        <f t="shared" ca="1" si="10"/>
        <v>0</v>
      </c>
      <c r="I25" s="186">
        <f t="shared" si="11"/>
        <v>0.26132238149531295</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27</v>
      </c>
      <c r="G26" s="165">
        <f>IFERROR(VLOOKUP($B26,Gà!C:J,8,0),IFERROR(VLOOKUP($B26,TVP!C:J,7,0),IFERROR(VLOOKUP($B26,Kitkool!C:J,8,0),IFERROR(VLOOKUP($B26,'La Cusina'!C:J,8,0),VLOOKUP($B26,'Quốc Nhân'!C:J,8,0)))))</f>
        <v>29.241019966245265</v>
      </c>
      <c r="H26" s="166">
        <f t="shared" ca="1" si="10"/>
        <v>155492.46091137786</v>
      </c>
      <c r="I26" s="186">
        <f t="shared" si="11"/>
        <v>0.19694867143494599</v>
      </c>
      <c r="J26" s="166">
        <f t="shared" ca="1" si="12"/>
        <v>789507.53908862208</v>
      </c>
      <c r="K26" s="38"/>
      <c r="L26" s="2">
        <f ca="1">IFERROR(SUMIFS(INDIRECT("'Thanh Toán ("&amp;L$3&amp;")'!$F:$F"),INDIRECT("'Thanh Toán ("&amp;L$3&amp;")'!$D:$D"),'Tổng Đơn'!$B26),0)</f>
        <v>0</v>
      </c>
      <c r="M26" s="2">
        <f ca="1">IFERROR(SUMIFS(INDIRECT("'Thanh Toán ("&amp;M$3&amp;")'!$F:$F"),INDIRECT("'Thanh Toán ("&amp;M$3&amp;")'!$D:$D"),'Tổng Đơn'!$B26),0)</f>
        <v>20</v>
      </c>
      <c r="N26" s="2">
        <f ca="1">IFERROR(SUMIFS(INDIRECT("'Thanh Toán ("&amp;N$3&amp;")'!$F:$F"),INDIRECT("'Thanh Toán ("&amp;N$3&amp;")'!$D:$D"),'Tổng Đơn'!$B26),0)</f>
        <v>0</v>
      </c>
      <c r="O26" s="2">
        <f ca="1">IFERROR(SUMIFS(INDIRECT("'Thanh Toán ("&amp;O$3&amp;")'!$F:$F"),INDIRECT("'Thanh Toán ("&amp;O$3&amp;")'!$D:$D"),'Tổng Đơn'!$B26),0)</f>
        <v>4</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1</v>
      </c>
      <c r="G27" s="165">
        <f>IFERROR(VLOOKUP($B27,Gà!C:J,8,0),IFERROR(VLOOKUP($B27,TVP!C:J,7,0),IFERROR(VLOOKUP($B27,Kitkool!C:J,8,0),IFERROR(VLOOKUP($B27,'La Cusina'!C:J,8,0),VLOOKUP($B27,'Quốc Nhân'!C:J,8,0)))))</f>
        <v>33.753415003117681</v>
      </c>
      <c r="H27" s="166">
        <f t="shared" ca="1" si="10"/>
        <v>6246.5849968823168</v>
      </c>
      <c r="I27" s="186">
        <f t="shared" si="11"/>
        <v>0.18506527402650486</v>
      </c>
      <c r="J27" s="166">
        <f t="shared" ca="1" si="12"/>
        <v>33753.415003117683</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1</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40.913230306809311</v>
      </c>
      <c r="H28" s="166">
        <f t="shared" ca="1" si="10"/>
        <v>0</v>
      </c>
      <c r="I28" s="186">
        <f t="shared" si="11"/>
        <v>0.2220985638398334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16</v>
      </c>
      <c r="G29" s="165">
        <f>IFERROR(VLOOKUP($B29,Gà!C:J,8,0),IFERROR(VLOOKUP($B29,TVP!C:J,7,0),IFERROR(VLOOKUP($B29,Kitkool!C:J,8,0),IFERROR(VLOOKUP($B29,'La Cusina'!C:J,8,0),VLOOKUP($B29,'Quốc Nhân'!C:J,8,0)))))</f>
        <v>31.806021717670287</v>
      </c>
      <c r="H29" s="166">
        <f t="shared" ca="1" si="10"/>
        <v>131103.65251727542</v>
      </c>
      <c r="I29" s="186">
        <f t="shared" si="11"/>
        <v>0.25762348888095721</v>
      </c>
      <c r="J29" s="166">
        <f t="shared" ca="1" si="12"/>
        <v>508896.34748272458</v>
      </c>
      <c r="K29" s="38"/>
      <c r="L29" s="2">
        <f ca="1">IFERROR(SUMIFS(INDIRECT("'Thanh Toán ("&amp;L$3&amp;")'!$F:$F"),INDIRECT("'Thanh Toán ("&amp;L$3&amp;")'!$D:$D"),'Tổng Đơn'!$B29),0)</f>
        <v>3</v>
      </c>
      <c r="M29" s="2">
        <f ca="1">IFERROR(SUMIFS(INDIRECT("'Thanh Toán ("&amp;M$3&amp;")'!$F:$F"),INDIRECT("'Thanh Toán ("&amp;M$3&amp;")'!$D:$D"),'Tổng Đơn'!$B29),0)</f>
        <v>0</v>
      </c>
      <c r="N29" s="2">
        <f ca="1">IFERROR(SUMIFS(INDIRECT("'Thanh Toán ("&amp;N$3&amp;")'!$F:$F"),INDIRECT("'Thanh Toán ("&amp;N$3&amp;")'!$D:$D"),'Tổng Đơn'!$B29),0)</f>
        <v>2</v>
      </c>
      <c r="O29" s="2">
        <f ca="1">IFERROR(SUMIFS(INDIRECT("'Thanh Toán ("&amp;O$3&amp;")'!$F:$F"),INDIRECT("'Thanh Toán ("&amp;O$3&amp;")'!$D:$D"),'Tổng Đơn'!$B29),0)</f>
        <v>0</v>
      </c>
      <c r="P29" s="2">
        <f ca="1">IFERROR(SUMIFS(INDIRECT("'Thanh Toán ("&amp;P$3&amp;")'!$F:$F"),INDIRECT("'Thanh Toán ("&amp;P$3&amp;")'!$D:$D"),'Tổng Đơn'!$B29),0)</f>
        <v>5</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2</v>
      </c>
      <c r="U29" s="2">
        <f ca="1">IFERROR(SUMIFS(INDIRECT("'Thanh Toán ("&amp;U$3&amp;")'!$F:$F"),INDIRECT("'Thanh Toán ("&amp;U$3&amp;")'!$D:$D"),'Tổng Đơn'!$B29),0)</f>
        <v>4</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10</v>
      </c>
      <c r="G30" s="165">
        <f>IFERROR(VLOOKUP($B30,Gà!C:J,8,0),IFERROR(VLOOKUP($B30,TVP!C:J,7,0),IFERROR(VLOOKUP($B30,Kitkool!C:J,8,0),IFERROR(VLOOKUP($B30,'La Cusina'!C:J,8,0),VLOOKUP($B30,'Quốc Nhân'!C:J,8,0)))))</f>
        <v>98.733333333333334</v>
      </c>
      <c r="H30" s="166">
        <f t="shared" ca="1" si="10"/>
        <v>62666.666666666715</v>
      </c>
      <c r="I30" s="186">
        <f t="shared" si="11"/>
        <v>6.347062795408509E-2</v>
      </c>
      <c r="J30" s="166">
        <f t="shared" ca="1" si="12"/>
        <v>987333.33333333337</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10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4</v>
      </c>
      <c r="G31" s="165">
        <f>IFERROR(VLOOKUP($B31,Gà!C:J,8,0),IFERROR(VLOOKUP($B31,TVP!C:J,7,0),IFERROR(VLOOKUP($B31,Kitkool!C:J,8,0),IFERROR(VLOOKUP($B31,'La Cusina'!C:J,8,0),VLOOKUP($B31,'Quốc Nhân'!C:J,8,0)))))</f>
        <v>39.378984170303958</v>
      </c>
      <c r="H31" s="166">
        <f t="shared" ca="1" si="10"/>
        <v>10484.063318784174</v>
      </c>
      <c r="I31" s="186">
        <f t="shared" si="11"/>
        <v>6.6558746623854637E-2</v>
      </c>
      <c r="J31" s="166">
        <f t="shared" ca="1" si="12"/>
        <v>157515.93668121583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1</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3</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27.818304948741723</v>
      </c>
      <c r="H32" s="166">
        <f t="shared" ca="1" si="10"/>
        <v>0</v>
      </c>
      <c r="I32" s="186">
        <f t="shared" si="11"/>
        <v>0.25816436567545509</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31.293021367385283</v>
      </c>
      <c r="H33" s="166">
        <f t="shared" ca="1" si="10"/>
        <v>0</v>
      </c>
      <c r="I33" s="186">
        <f t="shared" si="11"/>
        <v>0.11846023396380212</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6</v>
      </c>
      <c r="G34" s="165">
        <f>IFERROR(VLOOKUP($B34,Gà!C:J,8,0),IFERROR(VLOOKUP($B34,TVP!C:J,7,0),IFERROR(VLOOKUP($B34,Kitkool!C:J,8,0),IFERROR(VLOOKUP($B34,'La Cusina'!C:J,8,0),VLOOKUP($B34,'Quốc Nhân'!C:J,8,0)))))</f>
        <v>59.025794751120372</v>
      </c>
      <c r="H34" s="166">
        <f t="shared" ca="1" si="10"/>
        <v>35845.231493277752</v>
      </c>
      <c r="I34" s="186">
        <f t="shared" si="11"/>
        <v>0.10121346563938016</v>
      </c>
      <c r="J34" s="166">
        <f t="shared" ca="1" si="12"/>
        <v>354154.76850672223</v>
      </c>
      <c r="K34" s="38"/>
      <c r="L34" s="2">
        <f ca="1">IFERROR(SUMIFS(INDIRECT("'Thanh Toán ("&amp;L$3&amp;")'!$F:$F"),INDIRECT("'Thanh Toán ("&amp;L$3&amp;")'!$D:$D"),'Tổng Đơn'!$B34),0)</f>
        <v>2</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1</v>
      </c>
      <c r="Y34" s="2">
        <f ca="1">IFERROR(SUMIFS(INDIRECT("'Thanh Toán ("&amp;Y$3&amp;")'!$F:$F"),INDIRECT("'Thanh Toán ("&amp;Y$3&amp;")'!$D:$D"),'Tổng Đơn'!$B34),0)</f>
        <v>0</v>
      </c>
      <c r="Z34" s="2">
        <f ca="1">IFERROR(SUMIFS(INDIRECT("'Thanh Toán ("&amp;Z$3&amp;")'!$F:$F"),INDIRECT("'Thanh Toán ("&amp;Z$3&amp;")'!$D:$D"),'Tổng Đơn'!$B34),0)</f>
        <v>2</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11</v>
      </c>
      <c r="G35" s="165">
        <f>IFERROR(VLOOKUP($B35,Gà!C:J,8,0),IFERROR(VLOOKUP($B35,TVP!C:J,7,0),IFERROR(VLOOKUP($B35,Kitkool!C:J,8,0),IFERROR(VLOOKUP($B35,'La Cusina'!C:J,8,0),VLOOKUP($B35,'Quốc Nhân'!C:J,8,0)))))</f>
        <v>74.385050791325668</v>
      </c>
      <c r="H35" s="166">
        <f t="shared" ca="1" si="10"/>
        <v>61764.441295417593</v>
      </c>
      <c r="I35" s="186">
        <f t="shared" si="11"/>
        <v>7.5484914629232236E-2</v>
      </c>
      <c r="J35" s="166">
        <f t="shared" ca="1" si="12"/>
        <v>818235.55870458228</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4</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5</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40.014027322230362</v>
      </c>
      <c r="H36" s="166">
        <f t="shared" ca="1" si="10"/>
        <v>0</v>
      </c>
      <c r="I36" s="186">
        <f t="shared" si="11"/>
        <v>9.9614383867708822E-2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30.267020666815274</v>
      </c>
      <c r="H37" s="166">
        <f t="shared" ca="1" si="10"/>
        <v>0</v>
      </c>
      <c r="I37" s="186">
        <f t="shared" si="11"/>
        <v>0.15637414019986307</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32.319022067955288</v>
      </c>
      <c r="H38" s="166">
        <f t="shared" ca="1" si="10"/>
        <v>0</v>
      </c>
      <c r="I38" s="186">
        <f t="shared" si="11"/>
        <v>0.17577815071568859</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3</v>
      </c>
      <c r="G39" s="165">
        <f>IFERROR(VLOOKUP($B39,Gà!C:J,8,0),IFERROR(VLOOKUP($B39,TVP!C:J,7,0),IFERROR(VLOOKUP($B39,Kitkool!C:J,8,0),IFERROR(VLOOKUP($B39,'La Cusina'!C:J,8,0),VLOOKUP($B39,'Quốc Nhân'!C:J,8,0)))))</f>
        <v>61.369845460213966</v>
      </c>
      <c r="H39" s="166">
        <f t="shared" ca="1" si="10"/>
        <v>25890.463619358095</v>
      </c>
      <c r="I39" s="186">
        <f t="shared" si="11"/>
        <v>0.14062532625051105</v>
      </c>
      <c r="J39" s="166">
        <f t="shared" ca="1" si="12"/>
        <v>184109.53638064189</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2</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1</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45.004553337490243</v>
      </c>
      <c r="H40" s="166">
        <f t="shared" ca="1" si="10"/>
        <v>0</v>
      </c>
      <c r="I40" s="186">
        <f t="shared" si="11"/>
        <v>0.19987858995183627</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1</v>
      </c>
      <c r="G41" s="165">
        <f>IFERROR(VLOOKUP($B41,Gà!C:J,8,0),IFERROR(VLOOKUP($B41,TVP!C:J,7,0),IFERROR(VLOOKUP($B41,Kitkool!C:J,8,0),IFERROR(VLOOKUP($B41,'La Cusina'!C:J,8,0),VLOOKUP($B41,'Quốc Nhân'!C:J,8,0)))))</f>
        <v>44.631030474795402</v>
      </c>
      <c r="H41" s="166">
        <f t="shared" ca="1" si="10"/>
        <v>2368.9695252046004</v>
      </c>
      <c r="I41" s="186">
        <f t="shared" si="11"/>
        <v>5.307897890779012E-2</v>
      </c>
      <c r="J41" s="166">
        <f t="shared" ca="1" si="12"/>
        <v>44631.0304747954</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44.631030474795402</v>
      </c>
      <c r="H42" s="166">
        <f t="shared" ca="1" si="10"/>
        <v>0</v>
      </c>
      <c r="I42" s="186">
        <f t="shared" si="11"/>
        <v>0.12029678607211713</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13.296799849713025</v>
      </c>
      <c r="H43" s="166">
        <f t="shared" ca="1" si="10"/>
        <v>0</v>
      </c>
      <c r="I43" s="186">
        <f t="shared" si="11"/>
        <v>0.35370917840719995</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11</v>
      </c>
      <c r="G44" s="165">
        <f>IFERROR(VLOOKUP($B44,Gà!C:J,8,0),IFERROR(VLOOKUP($B44,TVP!C:J,7,0),IFERROR(VLOOKUP($B44,Kitkool!C:J,8,0),IFERROR(VLOOKUP($B44,'La Cusina'!C:J,8,0),VLOOKUP($B44,'Quốc Nhân'!C:J,8,0)))))</f>
        <v>20.467770558216174</v>
      </c>
      <c r="H44" s="166">
        <f t="shared" ca="1" si="10"/>
        <v>49854.523859622102</v>
      </c>
      <c r="I44" s="186">
        <f t="shared" si="11"/>
        <v>0.22143249206809679</v>
      </c>
      <c r="J44" s="166">
        <f t="shared" ca="1" si="12"/>
        <v>225145.47614037793</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5</v>
      </c>
      <c r="P44" s="2">
        <f ca="1">IFERROR(SUMIFS(INDIRECT("'Thanh Toán ("&amp;P$3&amp;")'!$F:$F"),INDIRECT("'Thanh Toán ("&amp;P$3&amp;")'!$D:$D"),'Tổng Đơn'!$B44),0)</f>
        <v>4</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23.933045692581622</v>
      </c>
      <c r="H45" s="166">
        <f t="shared" ca="1" si="10"/>
        <v>0</v>
      </c>
      <c r="I45" s="186">
        <f t="shared" si="11"/>
        <v>0.16993049525155035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22.464626222432383</v>
      </c>
      <c r="H46" s="166">
        <f t="shared" ca="1" si="10"/>
        <v>0</v>
      </c>
      <c r="I46" s="186">
        <f t="shared" si="11"/>
        <v>0.24640400079482228</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1</v>
      </c>
      <c r="G47" s="165">
        <f>IFERROR(VLOOKUP($B47,Gà!C:J,8,0),IFERROR(VLOOKUP($B47,TVP!C:J,7,0),IFERROR(VLOOKUP($B47,Kitkool!C:J,8,0),IFERROR(VLOOKUP($B47,'La Cusina'!C:J,8,0),VLOOKUP($B47,'Quốc Nhân'!C:J,8,0)))))</f>
        <v>21.466198390324276</v>
      </c>
      <c r="H47" s="166">
        <f t="shared" ca="1" si="10"/>
        <v>6533.8016096757237</v>
      </c>
      <c r="I47" s="186">
        <f t="shared" si="11"/>
        <v>0.30437627990155836</v>
      </c>
      <c r="J47" s="166">
        <f t="shared" ca="1" si="12"/>
        <v>21466.198390324276</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1</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1</v>
      </c>
      <c r="G48" s="165">
        <f>IFERROR(VLOOKUP($B48,Gà!C:J,8,0),IFERROR(VLOOKUP($B48,TVP!C:J,7,0),IFERROR(VLOOKUP($B48,Kitkool!C:J,8,0),IFERROR(VLOOKUP($B48,'La Cusina'!C:J,8,0),VLOOKUP($B48,'Quốc Nhân'!C:J,8,0)))))</f>
        <v>23.434440573986173</v>
      </c>
      <c r="H48" s="166">
        <f t="shared" ca="1" si="10"/>
        <v>2565.5594260138278</v>
      </c>
      <c r="I48" s="186">
        <f t="shared" si="11"/>
        <v>0.10947815963064955</v>
      </c>
      <c r="J48" s="166">
        <f t="shared" ca="1" si="12"/>
        <v>23434.440573986172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6</v>
      </c>
      <c r="G49" s="165">
        <f>IFERROR(VLOOKUP($B49,Gà!C:J,8,0),IFERROR(VLOOKUP($B49,TVP!C:J,7,0),IFERROR(VLOOKUP($B49,Kitkool!C:J,8,0),IFERROR(VLOOKUP($B49,'La Cusina'!C:J,8,0),VLOOKUP($B49,'Quốc Nhân'!C:J,8,0)))))</f>
        <v>33.035785293606253</v>
      </c>
      <c r="H49" s="166">
        <f t="shared" ca="1" si="10"/>
        <v>23785.288238362467</v>
      </c>
      <c r="I49" s="186">
        <f t="shared" si="11"/>
        <v>0.11999759264572352</v>
      </c>
      <c r="J49" s="166">
        <f t="shared" ca="1" si="12"/>
        <v>198214.7117616375</v>
      </c>
      <c r="K49" s="38"/>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3</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1</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1</v>
      </c>
      <c r="G50" s="165">
        <f>IFERROR(VLOOKUP($B50,Gà!C:J,8,0),IFERROR(VLOOKUP($B50,TVP!C:J,7,0),IFERROR(VLOOKUP($B50,Kitkool!C:J,8,0),IFERROR(VLOOKUP($B50,'La Cusina'!C:J,8,0),VLOOKUP($B50,'Quốc Nhân'!C:J,8,0)))))</f>
        <v>37.408168641289443</v>
      </c>
      <c r="H50" s="166">
        <f t="shared" ca="1" si="10"/>
        <v>4591.8313587105586</v>
      </c>
      <c r="I50" s="186">
        <f t="shared" si="11"/>
        <v>0.12274942948269074</v>
      </c>
      <c r="J50" s="166">
        <f t="shared" ca="1" si="12"/>
        <v>37408.168641289441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39.888409487636039</v>
      </c>
      <c r="H51" s="166">
        <f t="shared" ca="1" si="10"/>
        <v>10223.181024727921</v>
      </c>
      <c r="I51" s="186">
        <f t="shared" si="11"/>
        <v>0.12814726327828052</v>
      </c>
      <c r="J51" s="166">
        <f t="shared" ca="1" si="12"/>
        <v>79776.818975272079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14</v>
      </c>
      <c r="G52" s="165">
        <f>IFERROR(VLOOKUP($B52,Gà!C:J,8,0),IFERROR(VLOOKUP($B52,TVP!C:J,7,0),IFERROR(VLOOKUP($B52,Kitkool!C:J,8,0),IFERROR(VLOOKUP($B52,'La Cusina'!C:J,8,0),VLOOKUP($B52,'Quốc Nhân'!C:J,8,0)))))</f>
        <v>22.092042177767656</v>
      </c>
      <c r="H52" s="166">
        <f t="shared" ca="1" si="10"/>
        <v>54711.409511252808</v>
      </c>
      <c r="I52" s="186">
        <f t="shared" si="11"/>
        <v>0.17689436724709506</v>
      </c>
      <c r="J52" s="166">
        <f t="shared" ca="1" si="12"/>
        <v>309288.59048874717</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4</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10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58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23" sqref="I23"/>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110518</v>
      </c>
      <c r="I1" s="80">
        <f>H1-H2-H3</f>
        <v>-1174052</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-7313-25700-3000+11681-2348-200+10853+913-320-320-1180-990-3862-5000+80+2062+44+50+4435+5850+25+3440+9300+25-12000-70-1000+50+725+7500</f>
        <v>-6270</v>
      </c>
      <c r="J2" s="82" t="s">
        <v>122</v>
      </c>
      <c r="K2" s="265">
        <v>235000</v>
      </c>
      <c r="L2" s="266"/>
      <c r="M2" s="212" t="s">
        <v>255</v>
      </c>
      <c r="N2" s="213">
        <v>80000</v>
      </c>
    </row>
    <row r="3" spans="1:18" ht="28.5" customHeight="1" x14ac:dyDescent="0.25">
      <c r="G3" s="83" t="s">
        <v>120</v>
      </c>
      <c r="H3" s="95">
        <f>INT('Quốc Nhân'!K4+'La Cusina'!K4+TVP!J4+Gà!K4+Kitkool!K4)</f>
        <v>1234570</v>
      </c>
      <c r="I3" s="84">
        <f>I1+I2</f>
        <v>-1180322</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1217024</v>
      </c>
      <c r="J4" s="89" t="s">
        <v>126</v>
      </c>
      <c r="M4" s="212" t="s">
        <v>259</v>
      </c>
      <c r="N4" s="213">
        <v>10000</v>
      </c>
    </row>
    <row r="5" spans="1:18" ht="28.5" customHeight="1" x14ac:dyDescent="0.25">
      <c r="A5" s="110" t="s">
        <v>171</v>
      </c>
      <c r="B5">
        <v>200</v>
      </c>
      <c r="G5" s="85" t="s">
        <v>261</v>
      </c>
      <c r="H5" s="124">
        <f>7400+5000+2400+10000+5000-2000-1000-1000-150-6349+30000-10000-30000</f>
        <v>9301</v>
      </c>
      <c r="I5" s="91">
        <f ca="1">I4+I3</f>
        <v>36702</v>
      </c>
      <c r="J5" s="92" t="s">
        <v>127</v>
      </c>
      <c r="K5" s="249">
        <f>818-738</f>
        <v>80</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6500+5800+8500+1650</f>
        <v>22450</v>
      </c>
      <c r="J7" s="238"/>
      <c r="K7" s="93"/>
      <c r="L7" s="93"/>
      <c r="M7" s="14"/>
      <c r="N7" s="14"/>
      <c r="O7" s="14"/>
      <c r="P7" s="14"/>
      <c r="Q7" s="14"/>
      <c r="R7" s="14"/>
    </row>
    <row r="8" spans="1:18" x14ac:dyDescent="0.25">
      <c r="A8" t="s">
        <v>189</v>
      </c>
      <c r="B8">
        <v>250</v>
      </c>
      <c r="C8" t="s">
        <v>108</v>
      </c>
      <c r="D8">
        <v>80</v>
      </c>
      <c r="E8" t="s">
        <v>106</v>
      </c>
      <c r="H8" s="93"/>
      <c r="I8" s="93">
        <f>1000+330</f>
        <v>1330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210</v>
      </c>
      <c r="J10" s="238"/>
      <c r="N10" s="14"/>
    </row>
    <row r="11" spans="1:18" x14ac:dyDescent="0.25">
      <c r="A11" t="s">
        <v>184</v>
      </c>
      <c r="B11">
        <f>45+56</f>
        <v>101</v>
      </c>
      <c r="C11" t="s">
        <v>112</v>
      </c>
      <c r="D11">
        <v>1500</v>
      </c>
      <c r="E11" t="s">
        <v>110</v>
      </c>
      <c r="H11" s="93"/>
      <c r="I11" s="93">
        <f>38+34</f>
        <v>72</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v>300</v>
      </c>
      <c r="J18" s="93" t="s">
        <v>309</v>
      </c>
    </row>
    <row r="19" spans="1:10" x14ac:dyDescent="0.25">
      <c r="A19" s="154"/>
      <c r="I19" s="93"/>
      <c r="J19" s="93"/>
    </row>
    <row r="20" spans="1:10" x14ac:dyDescent="0.25">
      <c r="A20" s="154"/>
      <c r="I20" s="93">
        <v>3653</v>
      </c>
      <c r="J20" s="93" t="s">
        <v>308</v>
      </c>
    </row>
    <row r="21" spans="1:10" x14ac:dyDescent="0.25">
      <c r="A21" s="154"/>
      <c r="I21" s="93"/>
      <c r="J21" s="93"/>
    </row>
    <row r="22" spans="1:10" x14ac:dyDescent="0.25">
      <c r="A22" t="s">
        <v>194</v>
      </c>
      <c r="B22">
        <v>59</v>
      </c>
      <c r="C22" t="s">
        <v>135</v>
      </c>
      <c r="D22">
        <f>45+65+130+25+60+25+78+84+65+25+43+43+44+88+45+45+46+44+90+37+88</f>
        <v>1215</v>
      </c>
      <c r="E22" t="s">
        <v>110</v>
      </c>
      <c r="I22" s="93">
        <v>610</v>
      </c>
      <c r="J22" s="93" t="s">
        <v>319</v>
      </c>
    </row>
    <row r="23" spans="1:10" x14ac:dyDescent="0.25">
      <c r="A23" t="s">
        <v>195</v>
      </c>
      <c r="B23">
        <v>920</v>
      </c>
      <c r="C23" s="110" t="s">
        <v>160</v>
      </c>
      <c r="D23" s="110">
        <v>15300</v>
      </c>
      <c r="E23" t="s">
        <v>156</v>
      </c>
      <c r="I23" s="93">
        <v>240</v>
      </c>
      <c r="J23" s="93" t="s">
        <v>310</v>
      </c>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81" priority="86">
      <formula>$C22=MAX($C$8:$C$37)</formula>
    </cfRule>
  </conditionalFormatting>
  <conditionalFormatting sqref="C23:C37">
    <cfRule type="expression" dxfId="580" priority="85">
      <formula>$C22=MAX($C$8:$C$37)</formula>
    </cfRule>
  </conditionalFormatting>
  <conditionalFormatting sqref="E23:E38">
    <cfRule type="expression" dxfId="579" priority="87">
      <formula>AND($A23="",$F23&lt;&gt;"")</formula>
    </cfRule>
  </conditionalFormatting>
  <conditionalFormatting sqref="F23:F38">
    <cfRule type="expression" dxfId="578" priority="88">
      <formula>AND($F23="",$A23&lt;&gt;"")</formula>
    </cfRule>
  </conditionalFormatting>
  <conditionalFormatting sqref="D20:H22">
    <cfRule type="expression" dxfId="577" priority="34">
      <formula>$C19=MAX($C$8:$C$37)</formula>
    </cfRule>
  </conditionalFormatting>
  <conditionalFormatting sqref="C20:C22">
    <cfRule type="expression" dxfId="576" priority="33">
      <formula>$C19=MAX($C$8:$C$37)</formula>
    </cfRule>
  </conditionalFormatting>
  <conditionalFormatting sqref="E20:E22">
    <cfRule type="expression" dxfId="575" priority="35">
      <formula>AND($A20="",$F20&lt;&gt;"")</formula>
    </cfRule>
  </conditionalFormatting>
  <conditionalFormatting sqref="F20:F22">
    <cfRule type="expression" dxfId="574" priority="36">
      <formula>AND($F20="",$A20&lt;&gt;"")</formula>
    </cfRule>
  </conditionalFormatting>
  <conditionalFormatting sqref="D15:H19 D12:F14 H12:H14">
    <cfRule type="expression" dxfId="573" priority="30">
      <formula>$C11=MAX($C$8:$C$37)</formula>
    </cfRule>
  </conditionalFormatting>
  <conditionalFormatting sqref="C12:C19">
    <cfRule type="expression" dxfId="572" priority="29">
      <formula>$C11=MAX($C$8:$C$37)</formula>
    </cfRule>
  </conditionalFormatting>
  <conditionalFormatting sqref="E12:E19">
    <cfRule type="expression" dxfId="571" priority="31">
      <formula>AND($A12="",$F12&lt;&gt;"")</formula>
    </cfRule>
  </conditionalFormatting>
  <conditionalFormatting sqref="F12:F19">
    <cfRule type="expression" dxfId="570" priority="32">
      <formula>AND($F12="",$A12&lt;&gt;"")</formula>
    </cfRule>
  </conditionalFormatting>
  <conditionalFormatting sqref="G12:G14">
    <cfRule type="expression" dxfId="569" priority="13">
      <formula>$C11=MAX($C$8:$C$37)</formula>
    </cfRule>
  </conditionalFormatting>
  <conditionalFormatting sqref="D9:F11 H9:H11">
    <cfRule type="expression" dxfId="568" priority="9">
      <formula>$C8=MAX($C$8:$C$37)</formula>
    </cfRule>
  </conditionalFormatting>
  <conditionalFormatting sqref="C9:C11">
    <cfRule type="expression" dxfId="567" priority="8">
      <formula>$C8=MAX($C$8:$C$37)</formula>
    </cfRule>
  </conditionalFormatting>
  <conditionalFormatting sqref="E9:E11">
    <cfRule type="expression" dxfId="566" priority="10">
      <formula>AND($A9="",$F9&lt;&gt;"")</formula>
    </cfRule>
  </conditionalFormatting>
  <conditionalFormatting sqref="F9:F11">
    <cfRule type="expression" dxfId="565" priority="11">
      <formula>AND($F9="",$A9&lt;&gt;"")</formula>
    </cfRule>
  </conditionalFormatting>
  <conditionalFormatting sqref="D8:F8">
    <cfRule type="expression" dxfId="564" priority="5">
      <formula>$C7=MAX($C$8:$C$37)</formula>
    </cfRule>
  </conditionalFormatting>
  <conditionalFormatting sqref="C8">
    <cfRule type="expression" dxfId="563" priority="4">
      <formula>$C7=MAX($C$8:$C$37)</formula>
    </cfRule>
  </conditionalFormatting>
  <conditionalFormatting sqref="E8">
    <cfRule type="expression" dxfId="562" priority="6">
      <formula>AND($A8="",$F8&lt;&gt;"")</formula>
    </cfRule>
  </conditionalFormatting>
  <conditionalFormatting sqref="F8">
    <cfRule type="expression" dxfId="561" priority="7">
      <formula>AND($F8="",$A8&lt;&gt;"")</formula>
    </cfRule>
  </conditionalFormatting>
  <conditionalFormatting sqref="H8">
    <cfRule type="expression" dxfId="560" priority="3">
      <formula>$C7=MAX($C$8:$C$37)</formula>
    </cfRule>
  </conditionalFormatting>
  <conditionalFormatting sqref="G9:G11">
    <cfRule type="expression" dxfId="559" priority="2">
      <formula>$C8=MAX($C$8:$C$37)</formula>
    </cfRule>
  </conditionalFormatting>
  <conditionalFormatting sqref="G8">
    <cfRule type="expression" dxfId="55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4438B-7D2C-4765-8AF4-8FAE572699F3}">
  <sheetPr codeName="Sheet5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309</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311</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47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67686-33CF-4A53-ABBF-58CB4624E9BB}">
  <sheetPr codeName="Sheet4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16</v>
      </c>
      <c r="B8" s="150">
        <v>1</v>
      </c>
      <c r="C8" s="30">
        <f t="shared" ref="C8:C37" si="0">IF(OR(SUM($C7,$A8&lt;&gt;"")=0,$A8=""),"",SUM($C7,$A8&lt;&gt;""))</f>
        <v>1</v>
      </c>
      <c r="D8" s="147" t="str">
        <f>IFERROR(VLOOKUP($A8,Sheet1!$A$1:$B$80,2,0),"")</f>
        <v>XX Đức HS ĐNA</v>
      </c>
      <c r="E8" s="30">
        <f>IFERROR(VLOOKUP($A8,'Tổng Đơn'!$A$5:$E$52,5,0),"")</f>
        <v>0.5</v>
      </c>
      <c r="F8" s="30">
        <f t="shared" ref="F8:F37" si="1">IF($B8="","",B8)</f>
        <v>1</v>
      </c>
      <c r="G8" s="155">
        <f>IFERROR(VLOOKUP($A8,Sheet1!$A1:$D$80,4,0),"")</f>
        <v>35000</v>
      </c>
      <c r="H8" s="148">
        <f>IF($C7=MAX($C$8:$C$56),SUM($H7:$H$8),IFERROR($G8*$F8,""))</f>
        <v>35000</v>
      </c>
      <c r="I8" s="54">
        <f t="shared" ref="I8:I37" si="2">IF(TYPE($A8)&lt;&gt;1,"",IFERROR(F8*E8,""))</f>
        <v>0.5</v>
      </c>
      <c r="L8" s="32"/>
    </row>
    <row r="9" spans="1:14" s="29" customFormat="1" ht="14.25" customHeight="1" x14ac:dyDescent="0.25">
      <c r="A9" s="150">
        <v>1</v>
      </c>
      <c r="B9" s="150">
        <v>1</v>
      </c>
      <c r="C9" s="30">
        <f t="shared" si="0"/>
        <v>2</v>
      </c>
      <c r="D9" s="147" t="s">
        <v>313</v>
      </c>
      <c r="E9" s="30" t="s">
        <v>234</v>
      </c>
      <c r="F9" s="30" t="s">
        <v>234</v>
      </c>
      <c r="G9" s="155" t="s">
        <v>234</v>
      </c>
      <c r="H9" s="148">
        <v>5000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40000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37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E657-1B13-4721-A453-86617BB2B2A4}">
  <sheetPr codeName="Sheet4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13</v>
      </c>
      <c r="B8" s="150">
        <v>2</v>
      </c>
      <c r="C8" s="30">
        <f t="shared" ref="C8:C37" si="0">IF(OR(SUM($C7,$A8&lt;&gt;"")=0,$A8=""),"",SUM($C7,$A8&lt;&gt;""))</f>
        <v>1</v>
      </c>
      <c r="D8" s="147" t="str">
        <f>IFERROR(VLOOKUP($A8,Sheet1!$A$1:$B$80,2,0),"")</f>
        <v>Phô mai que (13 que)</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24</v>
      </c>
      <c r="B9" s="150">
        <v>2</v>
      </c>
      <c r="C9" s="30">
        <f t="shared" si="0"/>
        <v>2</v>
      </c>
      <c r="D9" s="147" t="str">
        <f>IFERROR(VLOOKUP($A9,Sheet1!$A$1:$B$80,2,0),"")</f>
        <v>Khoai tây</v>
      </c>
      <c r="E9" s="30">
        <f>IFERROR(VLOOKUP($A9,'Tổng Đơn'!$A$5:$E$52,5,0),"")</f>
        <v>1</v>
      </c>
      <c r="F9" s="30">
        <f t="shared" si="1"/>
        <v>2</v>
      </c>
      <c r="G9" s="155">
        <f>IF(AND($C9="",$C8&lt;&gt;""),"Tổng Cộng",IFERROR(VLOOKUP($A9,Sheet1!$A$1:$D$80,4,0),""))</f>
        <v>65000</v>
      </c>
      <c r="H9" s="148">
        <f>IF($C8=MAX($C$8:$C$56),SUM($H$8:$H8),IFERROR($G9*$F9,""))</f>
        <v>130000</v>
      </c>
      <c r="I9" s="54">
        <f t="shared" si="2"/>
        <v>2</v>
      </c>
      <c r="L9" s="31"/>
    </row>
    <row r="10" spans="1:14" s="29" customFormat="1" ht="14.25" customHeight="1" x14ac:dyDescent="0.25">
      <c r="A10" s="150">
        <v>25</v>
      </c>
      <c r="B10" s="150">
        <v>5</v>
      </c>
      <c r="C10" s="30">
        <f t="shared" si="0"/>
        <v>3</v>
      </c>
      <c r="D10" s="147" t="str">
        <f>IFERROR(VLOOKUP($A10,Sheet1!$A$1:$B$80,2,0),"")</f>
        <v>Đậu hủ phô mai EB</v>
      </c>
      <c r="E10" s="30">
        <f>IFERROR(VLOOKUP($A10,'Tổng Đơn'!$A$5:$E$52,5,0),"")</f>
        <v>0.5</v>
      </c>
      <c r="F10" s="30">
        <f t="shared" si="1"/>
        <v>5</v>
      </c>
      <c r="G10" s="155">
        <f>IF(AND($C10="",$C9&lt;&gt;""),"Tổng Cộng",IFERROR(VLOOKUP($A10,Sheet1!$A$1:$D$80,4,0),""))</f>
        <v>80000</v>
      </c>
      <c r="H10" s="148">
        <f>IF($C9=MAX($C$8:$C$56),SUM($H$8:$H9),IFERROR($G10*$F10,""))</f>
        <v>400000</v>
      </c>
      <c r="I10" s="54">
        <f t="shared" si="2"/>
        <v>2.5</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610000</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96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986D0-00D5-47D6-955E-C430C48DD738}">
  <sheetPr codeName="Sheet4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42</v>
      </c>
      <c r="B8" s="150">
        <v>10</v>
      </c>
      <c r="C8" s="30">
        <f t="shared" ref="C8:C37" si="0">IF(OR(SUM($C7,$A8&lt;&gt;"")=0,$A8=""),"",SUM($C7,$A8&lt;&gt;""))</f>
        <v>1</v>
      </c>
      <c r="D8" s="147" t="str">
        <f>IFERROR(VLOOKUP($A8,Sheet1!$A$1:$B$80,2,0),"")</f>
        <v>Mực khoanh KK</v>
      </c>
      <c r="E8" s="30">
        <f>IFERROR(VLOOKUP($A8,'Tổng Đơn'!$A$5:$E$52,5,0),"")</f>
        <v>0.3</v>
      </c>
      <c r="F8" s="30">
        <f t="shared" ref="F8:F37" si="1">IF($B8="","",B8)</f>
        <v>10</v>
      </c>
      <c r="G8" s="155">
        <f>IFERROR(VLOOKUP($A8,Sheet1!$A1:$D$80,4,0),"")</f>
        <v>26000</v>
      </c>
      <c r="H8" s="148">
        <f>IF($C7=MAX($C$8:$C$56),SUM($H7:$H$8),IFERROR($G8*$F8,""))</f>
        <v>260000</v>
      </c>
      <c r="I8" s="54">
        <f t="shared" ref="I8:I37" si="2">IF(TYPE($A8)&lt;&gt;1,"",IFERROR(F8*E8,""))</f>
        <v>3</v>
      </c>
      <c r="L8" s="32"/>
    </row>
    <row r="9" spans="1:14" s="29" customFormat="1" ht="14.25" customHeight="1" x14ac:dyDescent="0.25">
      <c r="A9" s="150">
        <v>1</v>
      </c>
      <c r="B9" s="150">
        <v>1</v>
      </c>
      <c r="C9" s="30">
        <f t="shared" si="0"/>
        <v>2</v>
      </c>
      <c r="D9" s="147" t="s">
        <v>313</v>
      </c>
      <c r="E9" s="30" t="s">
        <v>234</v>
      </c>
      <c r="F9" s="30" t="s">
        <v>234</v>
      </c>
      <c r="G9" s="155" t="s">
        <v>234</v>
      </c>
      <c r="H9" s="148">
        <f>-10*2000</f>
        <v>-20000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240000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85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B1D44-0865-4BD0-AB81-01A43EE8FB46}">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t="s">
        <v>311</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65000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75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02940-5373-492B-A699-40BB338AF6FC}">
  <sheetPr codeName="Sheet4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17</v>
      </c>
      <c r="B9" s="150">
        <v>1</v>
      </c>
      <c r="C9" s="30">
        <f t="shared" si="0"/>
        <v>2</v>
      </c>
      <c r="D9" s="147" t="str">
        <f>IFERROR(VLOOKUP($A9,Sheet1!$A$1:$B$80,2,0),"")</f>
        <v>Chả giò HS trái cây sốt Mayo</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29</v>
      </c>
      <c r="B10" s="150">
        <v>1</v>
      </c>
      <c r="C10" s="30">
        <f t="shared" si="0"/>
        <v>3</v>
      </c>
      <c r="D10" s="147" t="str">
        <f>IFERROR(VLOOKUP($A10,Sheet1!$A$1:$B$80,2,0),"")</f>
        <v>Thanh cua dài Liên Anh</v>
      </c>
      <c r="E10" s="30">
        <f>IFERROR(VLOOKUP($A10,'Tổng Đơn'!$A$5:$E$52,5,0),"")</f>
        <v>0.5</v>
      </c>
      <c r="F10" s="30">
        <f t="shared" si="1"/>
        <v>1</v>
      </c>
      <c r="G10" s="155">
        <f>IF(AND($C10="",$C9&lt;&gt;""),"Tổng Cộng",IFERROR(VLOOKUP($A10,Sheet1!$A$1:$D$80,4,0),""))</f>
        <v>70000</v>
      </c>
      <c r="H10" s="148">
        <f>IF($C9=MAX($C$8:$C$56),SUM($H$8:$H9),IFERROR($G10*$F10,""))</f>
        <v>70000</v>
      </c>
      <c r="I10" s="54">
        <f t="shared" si="2"/>
        <v>0.5</v>
      </c>
      <c r="L10" s="31"/>
    </row>
    <row r="11" spans="1:14" s="29" customFormat="1" ht="14.25" customHeight="1" x14ac:dyDescent="0.25">
      <c r="A11" s="150" t="s">
        <v>277</v>
      </c>
      <c r="B11" s="150">
        <v>1</v>
      </c>
      <c r="C11" s="30">
        <f t="shared" si="0"/>
        <v>4</v>
      </c>
      <c r="D11" s="147" t="str">
        <f>IFERROR(VLOOKUP($A11,Sheet1!$A$1:$B$80,2,0),"")</f>
        <v>0-Đùi gà Rán 10C lớn</v>
      </c>
      <c r="E11" s="30">
        <f>IFERROR(VLOOKUP($A11,'Tổng Đơn'!$A$5:$E$52,5,0),"")</f>
        <v>1.5</v>
      </c>
      <c r="F11" s="30">
        <f t="shared" si="1"/>
        <v>1</v>
      </c>
      <c r="G11" s="155">
        <f>IF(AND($C11="",$C10&lt;&gt;""),"Tổng Cộng",IFERROR(VLOOKUP($A11,Sheet1!$A$1:$D$80,4,0),""))</f>
        <v>122000</v>
      </c>
      <c r="H11" s="148">
        <f>IF($C10=MAX($C$8:$C$56),SUM($H$8:$H10),IFERROR($G11*$F11,""))</f>
        <v>122000</v>
      </c>
      <c r="I11" s="54" t="str">
        <f t="shared" si="2"/>
        <v/>
      </c>
      <c r="L11" s="31"/>
    </row>
    <row r="12" spans="1:14" s="29" customFormat="1" ht="14.25" customHeight="1" x14ac:dyDescent="0.25">
      <c r="A12" s="150">
        <v>1</v>
      </c>
      <c r="B12" s="150">
        <v>1</v>
      </c>
      <c r="C12" s="30">
        <f t="shared" si="0"/>
        <v>5</v>
      </c>
      <c r="D12" s="147" t="s">
        <v>313</v>
      </c>
      <c r="E12" s="30" t="s">
        <v>234</v>
      </c>
      <c r="F12" s="30" t="s">
        <v>234</v>
      </c>
      <c r="G12" s="155" t="s">
        <v>234</v>
      </c>
      <c r="H12" s="148">
        <v>3000</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275000</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65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86AD0-3236-4F0C-A01D-3E9AB583DFF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37</v>
      </c>
      <c r="B9" s="150">
        <v>1</v>
      </c>
      <c r="C9" s="30">
        <f t="shared" si="0"/>
        <v>2</v>
      </c>
      <c r="D9" s="147" t="str">
        <f>IFERROR(VLOOKUP($A9,Sheet1!$A$1:$B$80,2,0),"")</f>
        <v>Tôm viên KK</v>
      </c>
      <c r="E9" s="30">
        <f>IFERROR(VLOOKUP($A9,'Tổng Đơn'!$A$5:$E$52,5,0),"")</f>
        <v>0.5</v>
      </c>
      <c r="F9" s="30">
        <f t="shared" si="1"/>
        <v>1</v>
      </c>
      <c r="G9" s="155">
        <f>IF(AND($C9="",$C8&lt;&gt;""),"Tổng Cộng",IFERROR(VLOOKUP($A9,Sheet1!$A$1:$D$80,4,0),""))</f>
        <v>28000</v>
      </c>
      <c r="H9" s="148">
        <f>IF($C8=MAX($C$8:$C$56),SUM($H$8:$H8),IFERROR($G9*$F9,""))</f>
        <v>28000</v>
      </c>
      <c r="I9" s="54">
        <f t="shared" si="2"/>
        <v>0.5</v>
      </c>
      <c r="L9" s="31"/>
    </row>
    <row r="10" spans="1:14" s="29" customFormat="1" ht="14.25" customHeight="1" x14ac:dyDescent="0.25">
      <c r="A10" s="150">
        <v>1</v>
      </c>
      <c r="B10" s="150">
        <v>1</v>
      </c>
      <c r="C10" s="30">
        <f t="shared" si="0"/>
        <v>3</v>
      </c>
      <c r="D10" s="147" t="s">
        <v>313</v>
      </c>
      <c r="E10" s="30" t="s">
        <v>234</v>
      </c>
      <c r="F10" s="30" t="s">
        <v>234</v>
      </c>
      <c r="G10" s="155" t="s">
        <v>234</v>
      </c>
      <c r="H10" s="148">
        <v>2000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70000</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A25A-8D80-4089-B4BE-417E05AA4368}">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v>19</v>
      </c>
      <c r="B9" s="150">
        <v>4</v>
      </c>
      <c r="C9" s="30">
        <f t="shared" si="0"/>
        <v>2</v>
      </c>
      <c r="D9" s="147" t="str">
        <f>IFERROR(VLOOKUP($A9,Sheet1!$A$1:$B$80,2,0),"")</f>
        <v>XX Hotdog Phô mai</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360000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44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68F43-0B94-4F0A-A3A1-ABC6C1DEDBAB}">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v>19</v>
      </c>
      <c r="B9" s="150">
        <v>2</v>
      </c>
      <c r="C9" s="30">
        <f t="shared" si="0"/>
        <v>2</v>
      </c>
      <c r="D9" s="147" t="str">
        <f>IFERROR(VLOOKUP($A9,Sheet1!$A$1:$B$80,2,0),"")</f>
        <v>XX Hotdog Phô mai</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280000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34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B29EE-974E-47F5-8E0F-3EF0A0F350A3}">
  <sheetPr codeName="Sheet41">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16</v>
      </c>
      <c r="B8" s="150">
        <v>2</v>
      </c>
      <c r="C8" s="30">
        <f t="shared" ref="C8:C37" si="0">IF(OR(SUM($C7,$A8&lt;&gt;"")=0,$A8=""),"",SUM($C7,$A8&lt;&gt;""))</f>
        <v>1</v>
      </c>
      <c r="D8" s="147" t="str">
        <f>IFERROR(VLOOKUP($A8,Sheet1!$A$1:$B$80,2,0),"")</f>
        <v>XX Đức HS ĐNA</v>
      </c>
      <c r="E8" s="30">
        <f>IFERROR(VLOOKUP($A8,'Tổng Đơn'!$A$5:$E$52,5,0),"")</f>
        <v>0.5</v>
      </c>
      <c r="F8" s="30">
        <f t="shared" ref="F8:F37" si="1">IF($B8="","",B8)</f>
        <v>2</v>
      </c>
      <c r="G8" s="155">
        <f>IFERROR(VLOOKUP($A8,Sheet1!$A1:$D$80,4,0),"")</f>
        <v>35000</v>
      </c>
      <c r="H8" s="148">
        <f>IF($C7=MAX($C$8:$C$56),SUM($H7:$H$8),IFERROR($G8*$F8,""))</f>
        <v>70000</v>
      </c>
      <c r="I8" s="54">
        <f t="shared" ref="I8:I37" si="2">IF(TYPE($A8)&lt;&gt;1,"",IFERROR(F8*E8,""))</f>
        <v>1</v>
      </c>
      <c r="L8" s="32"/>
    </row>
    <row r="9" spans="1:14" s="29" customFormat="1" ht="14.25" customHeight="1" x14ac:dyDescent="0.25">
      <c r="A9" s="150">
        <v>20</v>
      </c>
      <c r="B9" s="150">
        <v>10</v>
      </c>
      <c r="C9" s="30">
        <f t="shared" si="0"/>
        <v>2</v>
      </c>
      <c r="D9" s="147" t="str">
        <f>IFERROR(VLOOKUP($A9,Sheet1!$A$1:$B$80,2,0),"")</f>
        <v>0-Bò cuộn Excel Canada</v>
      </c>
      <c r="E9" s="30">
        <f>IFERROR(VLOOKUP($A9,'Tổng Đơn'!$A$5:$E$52,5,0),"")</f>
        <v>0.5</v>
      </c>
      <c r="F9" s="30">
        <f t="shared" si="1"/>
        <v>10</v>
      </c>
      <c r="G9" s="155">
        <f>IF(AND($C9="",$C8&lt;&gt;""),"Tổng Cộng",IFERROR(VLOOKUP($A9,Sheet1!$A$1:$D$80,4,0),""))</f>
        <v>105000</v>
      </c>
      <c r="H9" s="148">
        <f>IF($C8=MAX($C$8:$C$56),SUM($H$8:$H8),IFERROR($G9*$F9,""))</f>
        <v>1050000</v>
      </c>
      <c r="I9" s="54">
        <f t="shared" si="2"/>
        <v>5</v>
      </c>
      <c r="L9" s="31"/>
    </row>
    <row r="10" spans="1:14" s="29" customFormat="1" ht="14.25" customHeight="1" x14ac:dyDescent="0.25">
      <c r="A10" s="150">
        <v>25</v>
      </c>
      <c r="B10" s="150">
        <v>2</v>
      </c>
      <c r="C10" s="30">
        <f t="shared" si="0"/>
        <v>3</v>
      </c>
      <c r="D10" s="147" t="str">
        <f>IFERROR(VLOOKUP($A10,Sheet1!$A$1:$B$80,2,0),"")</f>
        <v>Đậu hủ phô mai EB</v>
      </c>
      <c r="E10" s="30">
        <f>IFERROR(VLOOKUP($A10,'Tổng Đơn'!$A$5:$E$52,5,0),"")</f>
        <v>0.5</v>
      </c>
      <c r="F10" s="30">
        <f t="shared" si="1"/>
        <v>2</v>
      </c>
      <c r="G10" s="155">
        <f>IF(AND($C10="",$C9&lt;&gt;""),"Tổng Cộng",IFERROR(VLOOKUP($A10,Sheet1!$A$1:$D$80,4,0),""))</f>
        <v>80000</v>
      </c>
      <c r="H10" s="148">
        <f>IF($C9=MAX($C$8:$C$56),SUM($H$8:$H9),IFERROR($G10*$F10,""))</f>
        <v>160000</v>
      </c>
      <c r="I10" s="54">
        <f t="shared" si="2"/>
        <v>1</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41</v>
      </c>
      <c r="B12" s="150">
        <v>2</v>
      </c>
      <c r="C12" s="30">
        <f t="shared" si="0"/>
        <v>5</v>
      </c>
      <c r="D12" s="147" t="str">
        <f>IFERROR(VLOOKUP($A12,Sheet1!$A$1:$B$80,2,0),"")</f>
        <v>Bánh bao thả lẩu Trứng cá KK</v>
      </c>
      <c r="E12" s="30">
        <f>IFERROR(VLOOKUP($A12,'Tổng Đơn'!$A$5:$E$52,5,0),"")</f>
        <v>0.5</v>
      </c>
      <c r="F12" s="30">
        <f t="shared" si="1"/>
        <v>2</v>
      </c>
      <c r="G12" s="155">
        <f>IF(AND($C12="",$C11&lt;&gt;""),"Tổng Cộng",IFERROR(VLOOKUP($A12,Sheet1!$A$1:$D$80,4,0),""))</f>
        <v>45000</v>
      </c>
      <c r="H12" s="148">
        <f>IF($C11=MAX($C$8:$C$56),SUM($H$8:$H11),IFERROR($G12*$F12,""))</f>
        <v>90000</v>
      </c>
      <c r="I12" s="54">
        <f t="shared" si="2"/>
        <v>1</v>
      </c>
      <c r="J12" s="125"/>
      <c r="L12" s="31"/>
      <c r="N12" s="126"/>
    </row>
    <row r="13" spans="1:14" s="29" customFormat="1" ht="14.25" customHeight="1" x14ac:dyDescent="0.25">
      <c r="A13" s="150">
        <v>1</v>
      </c>
      <c r="B13" s="150">
        <v>1</v>
      </c>
      <c r="C13" s="30">
        <f t="shared" si="0"/>
        <v>6</v>
      </c>
      <c r="D13" s="147" t="s">
        <v>313</v>
      </c>
      <c r="E13" s="30" t="s">
        <v>234</v>
      </c>
      <c r="F13" s="30" t="s">
        <v>234</v>
      </c>
      <c r="G13" s="155" t="s">
        <v>234</v>
      </c>
      <c r="H13" s="148">
        <f>2*2000</f>
        <v>4000</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1424000</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D432F-18BD-4ACC-8B99-15380B06351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2</v>
      </c>
      <c r="C8" s="30">
        <f t="shared" ref="C8:C37" si="0">IF(OR(SUM($C7,$A8&lt;&gt;"")=0,$A8=""),"",SUM($C7,$A8&lt;&gt;""))</f>
        <v>1</v>
      </c>
      <c r="D8" s="147" t="str">
        <f>IFERROR(VLOOKUP($A8,Sheet1!$A$1:$B$80,2,0),"")</f>
        <v>Phô mai que (13 que)</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21</v>
      </c>
      <c r="B9" s="150">
        <v>3</v>
      </c>
      <c r="C9" s="30">
        <f t="shared" si="0"/>
        <v>2</v>
      </c>
      <c r="D9" s="147" t="str">
        <f>IFERROR(VLOOKUP($A9,Sheet1!$A$1:$B$80,2,0),"")</f>
        <v>Bò lá lốt</v>
      </c>
      <c r="E9" s="30">
        <f>IFERROR(VLOOKUP($A9,'Tổng Đơn'!$A$5:$E$52,5,0),"")</f>
        <v>0.5</v>
      </c>
      <c r="F9" s="30">
        <f t="shared" si="1"/>
        <v>3</v>
      </c>
      <c r="G9" s="155">
        <f>IF(AND($C9="",$C8&lt;&gt;""),"Tổng Cộng",IFERROR(VLOOKUP($A9,Sheet1!$A$1:$D$80,4,0),""))</f>
        <v>42000</v>
      </c>
      <c r="H9" s="148">
        <f>IF($C8=MAX($C$8:$C$56),SUM($H$8:$H8),IFERROR($G9*$F9,""))</f>
        <v>126000</v>
      </c>
      <c r="I9" s="54">
        <f t="shared" si="2"/>
        <v>1.5</v>
      </c>
      <c r="L9" s="31"/>
    </row>
    <row r="10" spans="1:14" s="29" customFormat="1" ht="14.25" customHeight="1" x14ac:dyDescent="0.25">
      <c r="A10" s="150">
        <v>1</v>
      </c>
      <c r="B10" s="150">
        <v>1</v>
      </c>
      <c r="C10" s="30">
        <f t="shared" si="0"/>
        <v>3</v>
      </c>
      <c r="D10" s="147" t="s">
        <v>313</v>
      </c>
      <c r="E10" s="30" t="s">
        <v>234</v>
      </c>
      <c r="F10" s="30" t="s">
        <v>234</v>
      </c>
      <c r="G10" s="155" t="s">
        <v>234</v>
      </c>
      <c r="H10" s="148">
        <v>-1000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205000</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14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DEB89-EAE9-48EA-8BC4-91FCD2BD963F}">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13</v>
      </c>
      <c r="B8" s="150">
        <v>1</v>
      </c>
      <c r="C8" s="30">
        <f t="shared" ref="C8:C37" si="0">IF(OR(SUM($C7,$A8&lt;&gt;"")=0,$A8=""),"",SUM($C7,$A8&lt;&gt;""))</f>
        <v>1</v>
      </c>
      <c r="D8" s="147" t="str">
        <f>IFERROR(VLOOKUP($A8,Sheet1!$A$1:$B$80,2,0),"")</f>
        <v>Phô mai que (13 que)</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t="s">
        <v>311</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40000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04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2BE1B-43A4-4B57-8CDD-C718C4A120C0}">
  <sheetPr codeName="Sheet38">
    <tabColor theme="1"/>
    <pageSetUpPr fitToPage="1"/>
  </sheetPr>
  <dimension ref="A1:N53"/>
  <sheetViews>
    <sheetView zoomScaleNormal="100" workbookViewId="0">
      <pane ySplit="7" topLeftCell="A8" activePane="bottomLeft" state="frozen"/>
      <selection activeCell="Q2" sqref="Q2"/>
      <selection pane="bottomLeft" activeCell="D29" sqref="D2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7.5</v>
      </c>
      <c r="L7" s="140"/>
    </row>
    <row r="8" spans="1:14" s="29" customFormat="1" ht="14.25" customHeight="1" x14ac:dyDescent="0.25">
      <c r="A8" s="150">
        <v>13</v>
      </c>
      <c r="B8" s="150">
        <v>3</v>
      </c>
      <c r="C8" s="30">
        <f t="shared" ref="C8:C37" si="0">IF(OR(SUM($C7,$A8&lt;&gt;"")=0,$A8=""),"",SUM($C7,$A8&lt;&gt;""))</f>
        <v>1</v>
      </c>
      <c r="D8" s="147" t="str">
        <f>IFERROR(VLOOKUP($A8,Sheet1!$A$1:$B$80,2,0),"")</f>
        <v>Phô mai que (13 que)</v>
      </c>
      <c r="E8" s="30">
        <f>IFERROR(VLOOKUP($A8,'Tổng Đơn'!$A$5:$E$52,5,0),"")</f>
        <v>0.5</v>
      </c>
      <c r="F8" s="30">
        <f t="shared" ref="F8:F37" si="1">IF($B8="","",B8)</f>
        <v>3</v>
      </c>
      <c r="G8" s="155">
        <f>IFERROR(VLOOKUP($A8,Sheet1!$A1:$D$80,4,0),"")</f>
        <v>40000</v>
      </c>
      <c r="H8" s="148">
        <f>IF($C7=MAX($C$8:$C$56),SUM($H7:$H$8),IFERROR($G8*$F8,""))</f>
        <v>120000</v>
      </c>
      <c r="I8" s="54">
        <f t="shared" ref="I8:I37" si="2">IF(TYPE($A8)&lt;&gt;1,"",IFERROR(F8*E8,""))</f>
        <v>1.5</v>
      </c>
      <c r="L8" s="32"/>
    </row>
    <row r="9" spans="1:14" s="29" customFormat="1" ht="14.25" customHeight="1" x14ac:dyDescent="0.25">
      <c r="A9" s="150">
        <v>19</v>
      </c>
      <c r="B9" s="150">
        <v>5</v>
      </c>
      <c r="C9" s="30">
        <f t="shared" si="0"/>
        <v>2</v>
      </c>
      <c r="D9" s="147" t="str">
        <f>IFERROR(VLOOKUP($A9,Sheet1!$A$1:$B$80,2,0),"")</f>
        <v>XX Hotdog Phô mai</v>
      </c>
      <c r="E9" s="30">
        <f>IFERROR(VLOOKUP($A9,'Tổng Đơn'!$A$5:$E$52,5,0),"")</f>
        <v>0.5</v>
      </c>
      <c r="F9" s="30">
        <f t="shared" si="1"/>
        <v>5</v>
      </c>
      <c r="G9" s="155">
        <f>IF(AND($C9="",$C8&lt;&gt;""),"Tổng Cộng",IFERROR(VLOOKUP($A9,Sheet1!$A$1:$D$80,4,0),""))</f>
        <v>40000</v>
      </c>
      <c r="H9" s="148">
        <f>IF($C8=MAX($C$8:$C$56),SUM($H$8:$H8),IFERROR($G9*$F9,""))</f>
        <v>200000</v>
      </c>
      <c r="I9" s="54">
        <f t="shared" si="2"/>
        <v>2.5</v>
      </c>
      <c r="L9" s="31"/>
    </row>
    <row r="10" spans="1:14" s="29" customFormat="1" ht="14.25" customHeight="1" x14ac:dyDescent="0.25">
      <c r="A10" s="150">
        <v>34</v>
      </c>
      <c r="B10" s="150">
        <v>4</v>
      </c>
      <c r="C10" s="30">
        <f t="shared" si="0"/>
        <v>3</v>
      </c>
      <c r="D10" s="147" t="str">
        <f>IFERROR(VLOOKUP($A10,Sheet1!$A$1:$B$80,2,0),"")</f>
        <v>Cá viên KK</v>
      </c>
      <c r="E10" s="30">
        <f>IFERROR(VLOOKUP($A10,'Tổng Đơn'!$A$5:$E$52,5,0),"")</f>
        <v>0.5</v>
      </c>
      <c r="F10" s="30">
        <f t="shared" si="1"/>
        <v>4</v>
      </c>
      <c r="G10" s="155">
        <f>IF(AND($C10="",$C9&lt;&gt;""),"Tổng Cộng",IFERROR(VLOOKUP($A10,Sheet1!$A$1:$D$80,4,0),""))</f>
        <v>25000</v>
      </c>
      <c r="H10" s="148">
        <f>IF($C9=MAX($C$8:$C$56),SUM($H$8:$H9),IFERROR($G10*$F10,""))</f>
        <v>100000</v>
      </c>
      <c r="I10" s="54">
        <f t="shared" si="2"/>
        <v>2</v>
      </c>
      <c r="L10" s="31"/>
    </row>
    <row r="11" spans="1:14" s="29" customFormat="1" ht="14.25" customHeight="1" x14ac:dyDescent="0.25">
      <c r="A11" s="150">
        <v>39</v>
      </c>
      <c r="B11" s="150">
        <v>3</v>
      </c>
      <c r="C11" s="30">
        <f t="shared" si="0"/>
        <v>4</v>
      </c>
      <c r="D11" s="147" t="str">
        <f>IFERROR(VLOOKUP($A11,Sheet1!$A$1:$B$80,2,0),"")</f>
        <v>XX Đức KK</v>
      </c>
      <c r="E11" s="30">
        <f>IFERROR(VLOOKUP($A11,'Tổng Đơn'!$A$5:$E$52,5,0),"")</f>
        <v>0.5</v>
      </c>
      <c r="F11" s="30">
        <f t="shared" si="1"/>
        <v>3</v>
      </c>
      <c r="G11" s="155">
        <f>IF(AND($C11="",$C10&lt;&gt;""),"Tổng Cộng",IFERROR(VLOOKUP($A11,Sheet1!$A$1:$D$80,4,0),""))</f>
        <v>37000</v>
      </c>
      <c r="H11" s="148">
        <f>IF($C10=MAX($C$8:$C$56),SUM($H$8:$H10),IFERROR($G11*$F11,""))</f>
        <v>111000</v>
      </c>
      <c r="I11" s="54">
        <f t="shared" si="2"/>
        <v>1.5</v>
      </c>
      <c r="L11" s="31"/>
    </row>
    <row r="12" spans="1:14" s="29" customFormat="1" ht="14.25" customHeight="1" x14ac:dyDescent="0.25">
      <c r="A12" s="150" t="s">
        <v>277</v>
      </c>
      <c r="B12" s="150">
        <v>2</v>
      </c>
      <c r="C12" s="30">
        <f t="shared" si="0"/>
        <v>5</v>
      </c>
      <c r="D12" s="147" t="str">
        <f>IFERROR(VLOOKUP($A12,Sheet1!$A$1:$B$80,2,0),"")</f>
        <v>0-Đùi gà Rán 10C lớn</v>
      </c>
      <c r="E12" s="30">
        <f>IFERROR(VLOOKUP($A12,'Tổng Đơn'!$A$5:$E$52,5,0),"")</f>
        <v>1.5</v>
      </c>
      <c r="F12" s="30">
        <f t="shared" si="1"/>
        <v>2</v>
      </c>
      <c r="G12" s="155">
        <f>IF(AND($C12="",$C11&lt;&gt;""),"Tổng Cộng",IFERROR(VLOOKUP($A12,Sheet1!$A$1:$D$80,4,0),""))</f>
        <v>122000</v>
      </c>
      <c r="H12" s="148">
        <f>IF($C11=MAX($C$8:$C$56),SUM($H$8:$H11),IFERROR($G12*$F12,""))</f>
        <v>244000</v>
      </c>
      <c r="I12" s="54" t="str">
        <f t="shared" si="2"/>
        <v/>
      </c>
      <c r="J12" s="125"/>
      <c r="L12" s="31"/>
      <c r="N12" s="126"/>
    </row>
    <row r="13" spans="1:14" s="29" customFormat="1" ht="14.25" customHeight="1" x14ac:dyDescent="0.25">
      <c r="A13" s="150">
        <v>1</v>
      </c>
      <c r="B13" s="150">
        <v>1</v>
      </c>
      <c r="C13" s="30">
        <f t="shared" si="0"/>
        <v>6</v>
      </c>
      <c r="D13" s="147" t="s">
        <v>313</v>
      </c>
      <c r="E13" s="30" t="s">
        <v>234</v>
      </c>
      <c r="F13" s="30" t="s">
        <v>234</v>
      </c>
      <c r="G13" s="155" t="s">
        <v>234</v>
      </c>
      <c r="H13" s="148">
        <f>-4*2000-2000</f>
        <v>-10000</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765000</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93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33F09-AF26-4908-A1B2-BE282EB62AA3}">
  <sheetPr codeName="Sheet37">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13.2</v>
      </c>
      <c r="L7" s="140"/>
    </row>
    <row r="8" spans="1:14" s="29" customFormat="1" ht="14.25" customHeight="1" x14ac:dyDescent="0.25">
      <c r="A8" s="150">
        <v>7</v>
      </c>
      <c r="B8" s="150">
        <v>3</v>
      </c>
      <c r="C8" s="30">
        <f t="shared" ref="C8:C37" si="0">IF(OR(SUM($C7,$A8&lt;&gt;"")=0,$A8=""),"",SUM($C7,$A8&lt;&gt;""))</f>
        <v>1</v>
      </c>
      <c r="D8" s="147" t="str">
        <f>IFERROR(VLOOKUP($A8,Sheet1!$A$1:$B$80,2,0),"")</f>
        <v>Hải sản sốt cam LC</v>
      </c>
      <c r="E8" s="30">
        <f>IFERROR(VLOOKUP($A8,'Tổng Đơn'!$A$5:$E$52,5,0),"")</f>
        <v>0.5</v>
      </c>
      <c r="F8" s="30">
        <f t="shared" ref="F8:F37" si="1">IF($B8="","",B8)</f>
        <v>3</v>
      </c>
      <c r="G8" s="155">
        <f>IFERROR(VLOOKUP($A8,Sheet1!$A1:$D$80,4,0),"")</f>
        <v>45000</v>
      </c>
      <c r="H8" s="148">
        <f>IF($C7=MAX($C$8:$C$56),SUM($H7:$H$8),IFERROR($G8*$F8,""))</f>
        <v>135000</v>
      </c>
      <c r="I8" s="54">
        <f t="shared" ref="I8:I37" si="2">IF(TYPE($A8)&lt;&gt;1,"",IFERROR(F8*E8,""))</f>
        <v>1.5</v>
      </c>
      <c r="L8" s="32"/>
    </row>
    <row r="9" spans="1:14" s="29" customFormat="1" ht="14.25" customHeight="1" x14ac:dyDescent="0.25">
      <c r="A9" s="150">
        <v>13</v>
      </c>
      <c r="B9" s="150">
        <v>2</v>
      </c>
      <c r="C9" s="30">
        <f t="shared" si="0"/>
        <v>2</v>
      </c>
      <c r="D9" s="147" t="str">
        <f>IFERROR(VLOOKUP($A9,Sheet1!$A$1:$B$80,2,0),"")</f>
        <v>Phô mai que (13 que)</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16</v>
      </c>
      <c r="B10" s="150">
        <v>4</v>
      </c>
      <c r="C10" s="30">
        <f t="shared" si="0"/>
        <v>3</v>
      </c>
      <c r="D10" s="147" t="str">
        <f>IFERROR(VLOOKUP($A10,Sheet1!$A$1:$B$80,2,0),"")</f>
        <v>XX Đức HS ĐNA</v>
      </c>
      <c r="E10" s="30">
        <f>IFERROR(VLOOKUP($A10,'Tổng Đơn'!$A$5:$E$52,5,0),"")</f>
        <v>0.5</v>
      </c>
      <c r="F10" s="30">
        <f t="shared" si="1"/>
        <v>4</v>
      </c>
      <c r="G10" s="155">
        <f>IF(AND($C10="",$C9&lt;&gt;""),"Tổng Cộng",IFERROR(VLOOKUP($A10,Sheet1!$A$1:$D$80,4,0),""))</f>
        <v>35000</v>
      </c>
      <c r="H10" s="148">
        <f>IF($C9=MAX($C$8:$C$56),SUM($H$8:$H9),IFERROR($G10*$F10,""))</f>
        <v>140000</v>
      </c>
      <c r="I10" s="54">
        <f t="shared" si="2"/>
        <v>2</v>
      </c>
      <c r="L10" s="31"/>
    </row>
    <row r="11" spans="1:14" s="29" customFormat="1" ht="14.25" customHeight="1" x14ac:dyDescent="0.25">
      <c r="A11" s="150">
        <v>21</v>
      </c>
      <c r="B11" s="150">
        <v>1</v>
      </c>
      <c r="C11" s="30">
        <f t="shared" si="0"/>
        <v>4</v>
      </c>
      <c r="D11" s="147" t="str">
        <f>IFERROR(VLOOKUP($A11,Sheet1!$A$1:$B$80,2,0),"")</f>
        <v>Bò lá lốt</v>
      </c>
      <c r="E11" s="30">
        <f>IFERROR(VLOOKUP($A11,'Tổng Đơn'!$A$5:$E$52,5,0),"")</f>
        <v>0.5</v>
      </c>
      <c r="F11" s="30">
        <f t="shared" si="1"/>
        <v>1</v>
      </c>
      <c r="G11" s="155">
        <f>IF(AND($C11="",$C10&lt;&gt;""),"Tổng Cộng",IFERROR(VLOOKUP($A11,Sheet1!$A$1:$D$80,4,0),""))</f>
        <v>42000</v>
      </c>
      <c r="H11" s="148">
        <f>IF($C10=MAX($C$8:$C$56),SUM($H$8:$H10),IFERROR($G11*$F11,""))</f>
        <v>42000</v>
      </c>
      <c r="I11" s="54">
        <f t="shared" si="2"/>
        <v>0.5</v>
      </c>
      <c r="L11" s="31"/>
    </row>
    <row r="12" spans="1:14" s="29" customFormat="1" ht="14.25" customHeight="1" x14ac:dyDescent="0.25">
      <c r="A12" s="150">
        <v>25</v>
      </c>
      <c r="B12" s="150">
        <v>4</v>
      </c>
      <c r="C12" s="30">
        <f t="shared" si="0"/>
        <v>5</v>
      </c>
      <c r="D12" s="147" t="str">
        <f>IFERROR(VLOOKUP($A12,Sheet1!$A$1:$B$80,2,0),"")</f>
        <v>Đậu hủ phô mai EB</v>
      </c>
      <c r="E12" s="30">
        <f>IFERROR(VLOOKUP($A12,'Tổng Đơn'!$A$5:$E$52,5,0),"")</f>
        <v>0.5</v>
      </c>
      <c r="F12" s="30">
        <f t="shared" si="1"/>
        <v>4</v>
      </c>
      <c r="G12" s="155">
        <f>IF(AND($C12="",$C11&lt;&gt;""),"Tổng Cộng",IFERROR(VLOOKUP($A12,Sheet1!$A$1:$D$80,4,0),""))</f>
        <v>80000</v>
      </c>
      <c r="H12" s="148">
        <f>IF($C11=MAX($C$8:$C$56),SUM($H$8:$H11),IFERROR($G12*$F12,""))</f>
        <v>320000</v>
      </c>
      <c r="I12" s="54">
        <f t="shared" si="2"/>
        <v>2</v>
      </c>
      <c r="J12" s="125"/>
      <c r="L12" s="31"/>
      <c r="N12" s="126"/>
    </row>
    <row r="13" spans="1:14" s="29" customFormat="1" ht="14.25" customHeight="1" x14ac:dyDescent="0.25">
      <c r="A13" s="150">
        <v>29</v>
      </c>
      <c r="B13" s="150">
        <v>2</v>
      </c>
      <c r="C13" s="30">
        <f t="shared" si="0"/>
        <v>6</v>
      </c>
      <c r="D13" s="147" t="str">
        <f>IFERROR(VLOOKUP($A13,Sheet1!$A$1:$B$80,2,0),"")</f>
        <v>Thanh cua dài Liên Anh</v>
      </c>
      <c r="E13" s="30">
        <f>IFERROR(VLOOKUP($A13,'Tổng Đơn'!$A$5:$E$52,5,0),"")</f>
        <v>0.5</v>
      </c>
      <c r="F13" s="30">
        <f t="shared" si="1"/>
        <v>2</v>
      </c>
      <c r="G13" s="155">
        <f>IF(AND($C13="",$C12&lt;&gt;""),"Tổng Cộng",IFERROR(VLOOKUP($A13,Sheet1!$A$1:$D$80,4,0),""))</f>
        <v>70000</v>
      </c>
      <c r="H13" s="148">
        <f>IF($C12=MAX($C$8:$C$56),SUM($H$8:$H12),IFERROR($G13*$F13,""))</f>
        <v>140000</v>
      </c>
      <c r="I13" s="54">
        <f t="shared" si="2"/>
        <v>1</v>
      </c>
      <c r="L13" s="31"/>
    </row>
    <row r="14" spans="1:14" s="29" customFormat="1" ht="14.25" customHeight="1" x14ac:dyDescent="0.25">
      <c r="A14" s="150">
        <v>31</v>
      </c>
      <c r="B14" s="150">
        <v>1</v>
      </c>
      <c r="C14" s="30">
        <f t="shared" si="0"/>
        <v>7</v>
      </c>
      <c r="D14" s="147" t="str">
        <f>IFERROR(VLOOKUP($A14,Sheet1!$A$1:$B$80,2,0),"")</f>
        <v xml:space="preserve">Viên thả lẩu Cam-Trứng cá </v>
      </c>
      <c r="E14" s="30">
        <f>IFERROR(VLOOKUP($A14,'Tổng Đơn'!$A$5:$E$52,5,0),"")</f>
        <v>0.5</v>
      </c>
      <c r="F14" s="30">
        <f t="shared" si="1"/>
        <v>1</v>
      </c>
      <c r="G14" s="155">
        <f>IF(AND($C14="",$C13&lt;&gt;""),"Tổng Cộng",IFERROR(VLOOKUP($A14,Sheet1!$A$1:$D$80,4,0),""))</f>
        <v>47000</v>
      </c>
      <c r="H14" s="148">
        <f>IF($C13=MAX($C$8:$C$56),SUM($H$8:$H13),IFERROR($G14*$F14,""))</f>
        <v>47000</v>
      </c>
      <c r="I14" s="54">
        <f t="shared" si="2"/>
        <v>0.5</v>
      </c>
      <c r="L14" s="31"/>
      <c r="M14" s="132"/>
    </row>
    <row r="15" spans="1:14" s="29" customFormat="1" ht="14.25" customHeight="1" x14ac:dyDescent="0.25">
      <c r="A15" s="150">
        <v>34</v>
      </c>
      <c r="B15" s="150">
        <v>5</v>
      </c>
      <c r="C15" s="30">
        <f t="shared" si="0"/>
        <v>8</v>
      </c>
      <c r="D15" s="147" t="str">
        <f>IFERROR(VLOOKUP($A15,Sheet1!$A$1:$B$80,2,0),"")</f>
        <v>Cá viên KK</v>
      </c>
      <c r="E15" s="30">
        <f>IFERROR(VLOOKUP($A15,'Tổng Đơn'!$A$5:$E$52,5,0),"")</f>
        <v>0.5</v>
      </c>
      <c r="F15" s="30">
        <f t="shared" si="1"/>
        <v>5</v>
      </c>
      <c r="G15" s="155">
        <f>IF(AND($C15="",$C14&lt;&gt;""),"Tổng Cộng",IFERROR(VLOOKUP($A15,Sheet1!$A$1:$D$80,4,0),""))</f>
        <v>25000</v>
      </c>
      <c r="H15" s="148">
        <f>IF($C14=MAX($C$8:$C$56),SUM($H$8:$H14),IFERROR($G15*$F15,""))</f>
        <v>125000</v>
      </c>
      <c r="I15" s="54">
        <f t="shared" si="2"/>
        <v>2.5</v>
      </c>
      <c r="L15" s="31"/>
    </row>
    <row r="16" spans="1:14" s="29" customFormat="1" ht="14.25" customHeight="1" x14ac:dyDescent="0.25">
      <c r="A16" s="150">
        <v>38</v>
      </c>
      <c r="B16" s="150">
        <v>1</v>
      </c>
      <c r="C16" s="30">
        <f t="shared" si="0"/>
        <v>9</v>
      </c>
      <c r="D16" s="147" t="str">
        <f>IFERROR(VLOOKUP($A16,Sheet1!$A$1:$B$80,2,0),"")</f>
        <v>XX Đỏ KK</v>
      </c>
      <c r="E16" s="30">
        <f>IFERROR(VLOOKUP($A16,'Tổng Đơn'!$A$5:$E$52,5,0),"")</f>
        <v>0.5</v>
      </c>
      <c r="F16" s="30">
        <f t="shared" si="1"/>
        <v>1</v>
      </c>
      <c r="G16" s="155">
        <f>IF(AND($C16="",$C15&lt;&gt;""),"Tổng Cộng",IFERROR(VLOOKUP($A16,Sheet1!$A$1:$D$80,4,0),""))</f>
        <v>26000</v>
      </c>
      <c r="H16" s="148">
        <f>IF($C15=MAX($C$8:$C$56),SUM($H$8:$H15),IFERROR($G16*$F16,""))</f>
        <v>26000</v>
      </c>
      <c r="I16" s="54">
        <f t="shared" si="2"/>
        <v>0.5</v>
      </c>
      <c r="L16" s="31"/>
    </row>
    <row r="17" spans="1:12" s="29" customFormat="1" ht="14.25" customHeight="1" x14ac:dyDescent="0.25">
      <c r="A17" s="150">
        <v>40</v>
      </c>
      <c r="B17" s="150">
        <v>1</v>
      </c>
      <c r="C17" s="30">
        <f t="shared" si="0"/>
        <v>10</v>
      </c>
      <c r="D17" s="147" t="str">
        <f>IFERROR(VLOOKUP($A17,Sheet1!$A$1:$B$80,2,0),"")</f>
        <v>Hồ lô KK</v>
      </c>
      <c r="E17" s="30">
        <f>IFERROR(VLOOKUP($A17,'Tổng Đơn'!$A$5:$E$52,5,0),"")</f>
        <v>0.5</v>
      </c>
      <c r="F17" s="30">
        <f t="shared" si="1"/>
        <v>1</v>
      </c>
      <c r="G17" s="155">
        <f>IF(AND($C17="",$C16&lt;&gt;""),"Tổng Cộng",IFERROR(VLOOKUP($A17,Sheet1!$A$1:$D$80,4,0),""))</f>
        <v>42000</v>
      </c>
      <c r="H17" s="148">
        <f>IF($C16=MAX($C$8:$C$56),SUM($H$8:$H16),IFERROR($G17*$F17,""))</f>
        <v>42000</v>
      </c>
      <c r="I17" s="54">
        <f t="shared" si="2"/>
        <v>0.5</v>
      </c>
      <c r="L17" s="31"/>
    </row>
    <row r="18" spans="1:12" s="29" customFormat="1" ht="14.25" customHeight="1" x14ac:dyDescent="0.25">
      <c r="A18" s="150">
        <v>42</v>
      </c>
      <c r="B18" s="150">
        <v>4</v>
      </c>
      <c r="C18" s="30">
        <f t="shared" si="0"/>
        <v>11</v>
      </c>
      <c r="D18" s="147" t="str">
        <f>IFERROR(VLOOKUP($A18,Sheet1!$A$1:$B$80,2,0),"")</f>
        <v>Mực khoanh KK</v>
      </c>
      <c r="E18" s="30">
        <f>IFERROR(VLOOKUP($A18,'Tổng Đơn'!$A$5:$E$52,5,0),"")</f>
        <v>0.3</v>
      </c>
      <c r="F18" s="30">
        <f t="shared" si="1"/>
        <v>4</v>
      </c>
      <c r="G18" s="155">
        <f>IF(AND($C18="",$C17&lt;&gt;""),"Tổng Cộng",IFERROR(VLOOKUP($A18,Sheet1!$A$1:$D$80,4,0),""))</f>
        <v>26000</v>
      </c>
      <c r="H18" s="148">
        <f>IF($C17=MAX($C$8:$C$56),SUM($H$8:$H17),IFERROR($G18*$F18,""))</f>
        <v>104000</v>
      </c>
      <c r="I18" s="54">
        <f t="shared" si="2"/>
        <v>1.2</v>
      </c>
      <c r="L18" s="31"/>
    </row>
    <row r="19" spans="1:12" s="29" customFormat="1" ht="14.25" customHeight="1" x14ac:dyDescent="0.25">
      <c r="A19" s="150">
        <v>1</v>
      </c>
      <c r="B19" s="150">
        <v>1</v>
      </c>
      <c r="C19" s="30">
        <f t="shared" si="0"/>
        <v>12</v>
      </c>
      <c r="D19" s="147" t="s">
        <v>313</v>
      </c>
      <c r="E19" s="30" t="s">
        <v>234</v>
      </c>
      <c r="F19" s="30" t="s">
        <v>234</v>
      </c>
      <c r="G19" s="155" t="s">
        <v>234</v>
      </c>
      <c r="H19" s="148">
        <f>-5*2000-1000</f>
        <v>-11000</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1190000</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22">
      <formula>$C22=MAX($C$8:$C$37)</formula>
    </cfRule>
  </conditionalFormatting>
  <conditionalFormatting sqref="C23:C37">
    <cfRule type="expression" dxfId="334" priority="21">
      <formula>$C22=MAX($C$8:$C$37)</formula>
    </cfRule>
  </conditionalFormatting>
  <conditionalFormatting sqref="E23:E38">
    <cfRule type="expression" dxfId="333" priority="23">
      <formula>AND($A23="",$F23&lt;&gt;"")</formula>
    </cfRule>
  </conditionalFormatting>
  <conditionalFormatting sqref="F23:F38">
    <cfRule type="expression" dxfId="332" priority="24">
      <formula>AND($F23="",$A23&lt;&gt;"")</formula>
    </cfRule>
  </conditionalFormatting>
  <conditionalFormatting sqref="D20:H22">
    <cfRule type="expression" dxfId="331" priority="18">
      <formula>$C19=MAX($C$8:$C$37)</formula>
    </cfRule>
  </conditionalFormatting>
  <conditionalFormatting sqref="C20:C22">
    <cfRule type="expression" dxfId="330" priority="17">
      <formula>$C19=MAX($C$8:$C$37)</formula>
    </cfRule>
  </conditionalFormatting>
  <conditionalFormatting sqref="E20:E22">
    <cfRule type="expression" dxfId="329" priority="19">
      <formula>AND($A20="",$F20&lt;&gt;"")</formula>
    </cfRule>
  </conditionalFormatting>
  <conditionalFormatting sqref="F20:F22">
    <cfRule type="expression" dxfId="328" priority="20">
      <formula>AND($F20="",$A20&lt;&gt;"")</formula>
    </cfRule>
  </conditionalFormatting>
  <conditionalFormatting sqref="D15:H19 D12:F14 H12:H14">
    <cfRule type="expression" dxfId="327" priority="14">
      <formula>$C11=MAX($C$8:$C$37)</formula>
    </cfRule>
  </conditionalFormatting>
  <conditionalFormatting sqref="C12:C19">
    <cfRule type="expression" dxfId="326" priority="13">
      <formula>$C11=MAX($C$8:$C$37)</formula>
    </cfRule>
  </conditionalFormatting>
  <conditionalFormatting sqref="E12:E19">
    <cfRule type="expression" dxfId="325" priority="15">
      <formula>AND($A12="",$F12&lt;&gt;"")</formula>
    </cfRule>
  </conditionalFormatting>
  <conditionalFormatting sqref="F12:F19">
    <cfRule type="expression" dxfId="324" priority="16">
      <formula>AND($F12="",$A12&lt;&gt;"")</formula>
    </cfRule>
  </conditionalFormatting>
  <conditionalFormatting sqref="G12:G14">
    <cfRule type="expression" dxfId="323" priority="12">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83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3D64-49F3-4693-B0F3-4F4FA610623A}">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19</v>
      </c>
      <c r="B8" s="150">
        <v>2</v>
      </c>
      <c r="C8" s="30">
        <f t="shared" ref="C8:C37" si="0">IF(OR(SUM($C7,$A8&lt;&gt;"")=0,$A8=""),"",SUM($C7,$A8&lt;&gt;""))</f>
        <v>1</v>
      </c>
      <c r="D8" s="147" t="str">
        <f>IFERROR(VLOOKUP($A8,Sheet1!$A$1:$B$80,2,0),"")</f>
        <v>XX Hotdog Phô mai</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t="s">
        <v>277</v>
      </c>
      <c r="B10" s="150">
        <v>3</v>
      </c>
      <c r="C10" s="30">
        <f t="shared" si="0"/>
        <v>3</v>
      </c>
      <c r="D10" s="147" t="str">
        <f>IFERROR(VLOOKUP($A10,Sheet1!$A$1:$B$80,2,0),"")</f>
        <v>0-Đùi gà Rán 10C lớn</v>
      </c>
      <c r="E10" s="30">
        <f>IFERROR(VLOOKUP($A10,'Tổng Đơn'!$A$5:$E$52,5,0),"")</f>
        <v>1.5</v>
      </c>
      <c r="F10" s="30">
        <f t="shared" si="1"/>
        <v>3</v>
      </c>
      <c r="G10" s="155">
        <f>IF(AND($C10="",$C9&lt;&gt;""),"Tổng Cộng",IFERROR(VLOOKUP($A10,Sheet1!$A$1:$D$80,4,0),""))</f>
        <v>122000</v>
      </c>
      <c r="H10" s="148">
        <f>IF($C9=MAX($C$8:$C$56),SUM($H$8:$H9),IFERROR($G10*$F10,""))</f>
        <v>366000</v>
      </c>
      <c r="I10" s="54" t="str">
        <f t="shared" si="2"/>
        <v/>
      </c>
      <c r="L10" s="31"/>
    </row>
    <row r="11" spans="1:14" s="29" customFormat="1" ht="14.25" customHeight="1" x14ac:dyDescent="0.25">
      <c r="A11" s="150">
        <v>1</v>
      </c>
      <c r="B11" s="150">
        <v>11</v>
      </c>
      <c r="C11" s="30">
        <f t="shared" si="0"/>
        <v>4</v>
      </c>
      <c r="D11" s="147" t="s">
        <v>313</v>
      </c>
      <c r="E11" s="30" t="s">
        <v>234</v>
      </c>
      <c r="F11" s="30" t="s">
        <v>234</v>
      </c>
      <c r="G11" s="155" t="s">
        <v>234</v>
      </c>
      <c r="H11" s="148">
        <v>-1000</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510000</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9" priority="22">
      <formula>$C22=MAX($C$8:$C$37)</formula>
    </cfRule>
  </conditionalFormatting>
  <conditionalFormatting sqref="C23:C37">
    <cfRule type="expression" dxfId="508" priority="21">
      <formula>$C22=MAX($C$8:$C$37)</formula>
    </cfRule>
  </conditionalFormatting>
  <conditionalFormatting sqref="E23:E38">
    <cfRule type="expression" dxfId="507" priority="23">
      <formula>AND($A23="",$F23&lt;&gt;"")</formula>
    </cfRule>
  </conditionalFormatting>
  <conditionalFormatting sqref="F23:F38">
    <cfRule type="expression" dxfId="506" priority="24">
      <formula>AND($F23="",$A23&lt;&gt;"")</formula>
    </cfRule>
  </conditionalFormatting>
  <conditionalFormatting sqref="D20:H22">
    <cfRule type="expression" dxfId="505" priority="18">
      <formula>$C19=MAX($C$8:$C$37)</formula>
    </cfRule>
  </conditionalFormatting>
  <conditionalFormatting sqref="C20:C22">
    <cfRule type="expression" dxfId="504" priority="17">
      <formula>$C19=MAX($C$8:$C$37)</formula>
    </cfRule>
  </conditionalFormatting>
  <conditionalFormatting sqref="E20:E22">
    <cfRule type="expression" dxfId="503" priority="19">
      <formula>AND($A20="",$F20&lt;&gt;"")</formula>
    </cfRule>
  </conditionalFormatting>
  <conditionalFormatting sqref="F20:F22">
    <cfRule type="expression" dxfId="502" priority="20">
      <formula>AND($F20="",$A20&lt;&gt;"")</formula>
    </cfRule>
  </conditionalFormatting>
  <conditionalFormatting sqref="D15:H19 D12:F14 H12:H14">
    <cfRule type="expression" dxfId="501" priority="14">
      <formula>$C11=MAX($C$8:$C$37)</formula>
    </cfRule>
  </conditionalFormatting>
  <conditionalFormatting sqref="C12:C19">
    <cfRule type="expression" dxfId="500" priority="13">
      <formula>$C11=MAX($C$8:$C$37)</formula>
    </cfRule>
  </conditionalFormatting>
  <conditionalFormatting sqref="E12:E19">
    <cfRule type="expression" dxfId="499" priority="15">
      <formula>AND($A12="",$F12&lt;&gt;"")</formula>
    </cfRule>
  </conditionalFormatting>
  <conditionalFormatting sqref="F12:F19">
    <cfRule type="expression" dxfId="498" priority="16">
      <formula>AND($F12="",$A12&lt;&gt;"")</formula>
    </cfRule>
  </conditionalFormatting>
  <conditionalFormatting sqref="G12:G14">
    <cfRule type="expression" dxfId="497" priority="12">
      <formula>$C11=MAX($C$8:$C$37)</formula>
    </cfRule>
  </conditionalFormatting>
  <conditionalFormatting sqref="D9:F11 H9:H11">
    <cfRule type="expression" dxfId="496" priority="9">
      <formula>$C8=MAX($C$8:$C$37)</formula>
    </cfRule>
  </conditionalFormatting>
  <conditionalFormatting sqref="C9:C11">
    <cfRule type="expression" dxfId="495" priority="8">
      <formula>$C8=MAX($C$8:$C$37)</formula>
    </cfRule>
  </conditionalFormatting>
  <conditionalFormatting sqref="E9:E11">
    <cfRule type="expression" dxfId="494" priority="10">
      <formula>AND($A9="",$F9&lt;&gt;"")</formula>
    </cfRule>
  </conditionalFormatting>
  <conditionalFormatting sqref="F9:F11">
    <cfRule type="expression" dxfId="493" priority="11">
      <formula>AND($F9="",$A9&lt;&gt;"")</formula>
    </cfRule>
  </conditionalFormatting>
  <conditionalFormatting sqref="D8:F8">
    <cfRule type="expression" dxfId="492" priority="5">
      <formula>$C7=MAX($C$8:$C$37)</formula>
    </cfRule>
  </conditionalFormatting>
  <conditionalFormatting sqref="C8">
    <cfRule type="expression" dxfId="491" priority="4">
      <formula>$C7=MAX($C$8:$C$37)</formula>
    </cfRule>
  </conditionalFormatting>
  <conditionalFormatting sqref="E8">
    <cfRule type="expression" dxfId="490" priority="6">
      <formula>AND($A8="",$F8&lt;&gt;"")</formula>
    </cfRule>
  </conditionalFormatting>
  <conditionalFormatting sqref="F8">
    <cfRule type="expression" dxfId="489" priority="7">
      <formula>AND($F8="",$A8&lt;&gt;"")</formula>
    </cfRule>
  </conditionalFormatting>
  <conditionalFormatting sqref="H8">
    <cfRule type="expression" dxfId="488" priority="3">
      <formula>$C7=MAX($C$8:$C$37)</formula>
    </cfRule>
  </conditionalFormatting>
  <conditionalFormatting sqref="G9:G11">
    <cfRule type="expression" dxfId="487" priority="2">
      <formula>$C8=MAX($C$8:$C$37)</formula>
    </cfRule>
  </conditionalFormatting>
  <conditionalFormatting sqref="G8">
    <cfRule type="expression" dxfId="4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73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27DD1-D7A5-4B59-8FF1-25D1FF7AABAF}">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16</v>
      </c>
      <c r="B8" s="150">
        <v>20</v>
      </c>
      <c r="C8" s="30">
        <f t="shared" ref="C8:C37" si="0">IF(OR(SUM($C7,$A8&lt;&gt;"")=0,$A8=""),"",SUM($C7,$A8&lt;&gt;""))</f>
        <v>1</v>
      </c>
      <c r="D8" s="147" t="str">
        <f>IFERROR(VLOOKUP($A8,Sheet1!$A$1:$B$80,2,0),"")</f>
        <v>XX Đức HS ĐNA</v>
      </c>
      <c r="E8" s="30">
        <f>IFERROR(VLOOKUP($A8,'Tổng Đơn'!$A$5:$E$52,5,0),"")</f>
        <v>0.5</v>
      </c>
      <c r="F8" s="30">
        <f t="shared" ref="F8:F37" si="1">IF($B8="","",B8)</f>
        <v>20</v>
      </c>
      <c r="G8" s="155">
        <f>IFERROR(VLOOKUP($A8,Sheet1!$A1:$D$80,4,0),"")</f>
        <v>35000</v>
      </c>
      <c r="H8" s="148">
        <f>IF($C7=MAX($C$8:$C$56),SUM($H7:$H$8),IFERROR($G8*$F8,""))</f>
        <v>700000</v>
      </c>
      <c r="I8" s="54">
        <f t="shared" ref="I8:I37" si="2">IF(TYPE($A8)&lt;&gt;1,"",IFERROR(F8*E8,""))</f>
        <v>10</v>
      </c>
      <c r="L8" s="32"/>
    </row>
    <row r="9" spans="1:14" s="29" customFormat="1" ht="14.25" customHeight="1" x14ac:dyDescent="0.25">
      <c r="A9" s="150">
        <v>1</v>
      </c>
      <c r="B9" s="150">
        <v>1</v>
      </c>
      <c r="C9" s="30">
        <f t="shared" si="0"/>
        <v>2</v>
      </c>
      <c r="D9" s="147" t="s">
        <v>313</v>
      </c>
      <c r="E9" s="30" t="s">
        <v>234</v>
      </c>
      <c r="F9" s="30" t="s">
        <v>234</v>
      </c>
      <c r="G9" s="155" t="s">
        <v>234</v>
      </c>
      <c r="H9" s="148">
        <f>-20*4000</f>
        <v>-80000</v>
      </c>
      <c r="I9" s="54" t="str">
        <f t="shared" si="2"/>
        <v/>
      </c>
      <c r="L9" s="31"/>
    </row>
    <row r="10" spans="1:14" s="29" customFormat="1" ht="14.25" customHeight="1" x14ac:dyDescent="0.25">
      <c r="A10" s="150" t="s">
        <v>311</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620000</v>
      </c>
      <c r="I10" s="54" t="str">
        <f t="shared" si="2"/>
        <v/>
      </c>
      <c r="L10" s="31"/>
    </row>
    <row r="11" spans="1:14" s="29" customFormat="1" ht="14.25" customHeight="1" x14ac:dyDescent="0.25">
      <c r="A11" s="150" t="s">
        <v>311</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311</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33" priority="22">
      <formula>$C22=MAX($C$8:$C$37)</formula>
    </cfRule>
  </conditionalFormatting>
  <conditionalFormatting sqref="C23:C37">
    <cfRule type="expression" dxfId="532" priority="21">
      <formula>$C22=MAX($C$8:$C$37)</formula>
    </cfRule>
  </conditionalFormatting>
  <conditionalFormatting sqref="E23:E38">
    <cfRule type="expression" dxfId="531" priority="23">
      <formula>AND($A23="",$F23&lt;&gt;"")</formula>
    </cfRule>
  </conditionalFormatting>
  <conditionalFormatting sqref="F23:F38">
    <cfRule type="expression" dxfId="530" priority="24">
      <formula>AND($F23="",$A23&lt;&gt;"")</formula>
    </cfRule>
  </conditionalFormatting>
  <conditionalFormatting sqref="D20:H22">
    <cfRule type="expression" dxfId="529" priority="18">
      <formula>$C19=MAX($C$8:$C$37)</formula>
    </cfRule>
  </conditionalFormatting>
  <conditionalFormatting sqref="C20:C22">
    <cfRule type="expression" dxfId="528" priority="17">
      <formula>$C19=MAX($C$8:$C$37)</formula>
    </cfRule>
  </conditionalFormatting>
  <conditionalFormatting sqref="E20:E22">
    <cfRule type="expression" dxfId="527" priority="19">
      <formula>AND($A20="",$F20&lt;&gt;"")</formula>
    </cfRule>
  </conditionalFormatting>
  <conditionalFormatting sqref="F20:F22">
    <cfRule type="expression" dxfId="526" priority="20">
      <formula>AND($F20="",$A20&lt;&gt;"")</formula>
    </cfRule>
  </conditionalFormatting>
  <conditionalFormatting sqref="D15:H19 D12:F14 H12:H14">
    <cfRule type="expression" dxfId="525" priority="14">
      <formula>$C11=MAX($C$8:$C$37)</formula>
    </cfRule>
  </conditionalFormatting>
  <conditionalFormatting sqref="C12:C19">
    <cfRule type="expression" dxfId="524" priority="13">
      <formula>$C11=MAX($C$8:$C$37)</formula>
    </cfRule>
  </conditionalFormatting>
  <conditionalFormatting sqref="E12:E19">
    <cfRule type="expression" dxfId="523" priority="15">
      <formula>AND($A12="",$F12&lt;&gt;"")</formula>
    </cfRule>
  </conditionalFormatting>
  <conditionalFormatting sqref="F12:F19">
    <cfRule type="expression" dxfId="522" priority="16">
      <formula>AND($F12="",$A12&lt;&gt;"")</formula>
    </cfRule>
  </conditionalFormatting>
  <conditionalFormatting sqref="G12:G14">
    <cfRule type="expression" dxfId="521" priority="12">
      <formula>$C11=MAX($C$8:$C$37)</formula>
    </cfRule>
  </conditionalFormatting>
  <conditionalFormatting sqref="D9:F11 H9:H11">
    <cfRule type="expression" dxfId="520" priority="9">
      <formula>$C8=MAX($C$8:$C$37)</formula>
    </cfRule>
  </conditionalFormatting>
  <conditionalFormatting sqref="C9:C11">
    <cfRule type="expression" dxfId="519" priority="8">
      <formula>$C8=MAX($C$8:$C$37)</formula>
    </cfRule>
  </conditionalFormatting>
  <conditionalFormatting sqref="E9:E11">
    <cfRule type="expression" dxfId="518" priority="10">
      <formula>AND($A9="",$F9&lt;&gt;"")</formula>
    </cfRule>
  </conditionalFormatting>
  <conditionalFormatting sqref="F9:F11">
    <cfRule type="expression" dxfId="517" priority="11">
      <formula>AND($F9="",$A9&lt;&gt;"")</formula>
    </cfRule>
  </conditionalFormatting>
  <conditionalFormatting sqref="D8:F8">
    <cfRule type="expression" dxfId="516" priority="5">
      <formula>$C7=MAX($C$8:$C$37)</formula>
    </cfRule>
  </conditionalFormatting>
  <conditionalFormatting sqref="C8">
    <cfRule type="expression" dxfId="515" priority="4">
      <formula>$C7=MAX($C$8:$C$37)</formula>
    </cfRule>
  </conditionalFormatting>
  <conditionalFormatting sqref="E8">
    <cfRule type="expression" dxfId="514" priority="6">
      <formula>AND($A8="",$F8&lt;&gt;"")</formula>
    </cfRule>
  </conditionalFormatting>
  <conditionalFormatting sqref="F8">
    <cfRule type="expression" dxfId="513" priority="7">
      <formula>AND($F8="",$A8&lt;&gt;"")</formula>
    </cfRule>
  </conditionalFormatting>
  <conditionalFormatting sqref="H8">
    <cfRule type="expression" dxfId="512" priority="3">
      <formula>$C7=MAX($C$8:$C$37)</formula>
    </cfRule>
  </conditionalFormatting>
  <conditionalFormatting sqref="G9:G11">
    <cfRule type="expression" dxfId="511" priority="2">
      <formula>$C8=MAX($C$8:$C$37)</formula>
    </cfRule>
  </conditionalFormatting>
  <conditionalFormatting sqref="G8">
    <cfRule type="expression" dxfId="5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63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A0041-28B9-4FDE-8D0A-3EAB4FC25D35}">
  <sheetPr codeName="Sheet3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312</v>
      </c>
      <c r="E6" s="145"/>
      <c r="F6" s="145"/>
      <c r="G6" s="267" t="str">
        <f ca="1">"Ngày "&amp;DAY(TODAY())&amp;" Tháng "&amp;MONTH(TODAY())&amp;" Năm "&amp;YEAR(TODAY())</f>
        <v>Ngày 27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19</v>
      </c>
      <c r="B8" s="150">
        <v>3</v>
      </c>
      <c r="C8" s="30">
        <f t="shared" ref="C8:C37" si="0">IF(OR(SUM($C7,$A8&lt;&gt;"")=0,$A8=""),"",SUM($C7,$A8&lt;&gt;""))</f>
        <v>1</v>
      </c>
      <c r="D8" s="147" t="str">
        <f>IFERROR(VLOOKUP($A8,Sheet1!$A$1:$B$80,2,0),"")</f>
        <v>XX Hotdog Phô mai</v>
      </c>
      <c r="E8" s="30">
        <f>IFERROR(VLOOKUP($A8,'Tổng Đơn'!$A$5:$E$52,5,0),"")</f>
        <v>0.5</v>
      </c>
      <c r="F8" s="30">
        <f t="shared" ref="F8:F37" si="1">IF($B8="","",B8)</f>
        <v>3</v>
      </c>
      <c r="G8" s="155">
        <f>IFERROR(VLOOKUP($A8,Sheet1!$A1:$D$80,4,0),"")</f>
        <v>40000</v>
      </c>
      <c r="H8" s="148">
        <f>IF($C7=MAX($C$8:$C$56),SUM($H7:$H$8),IFERROR($G8*$F8,""))</f>
        <v>120000</v>
      </c>
      <c r="I8" s="54">
        <f t="shared" ref="I8:I37" si="2">IF(TYPE($A8)&lt;&gt;1,"",IFERROR(F8*E8,""))</f>
        <v>1.5</v>
      </c>
      <c r="L8" s="32"/>
    </row>
    <row r="9" spans="1:14" s="29" customFormat="1" ht="14.25" customHeight="1" x14ac:dyDescent="0.25">
      <c r="A9" s="150">
        <v>24</v>
      </c>
      <c r="B9" s="150">
        <v>2</v>
      </c>
      <c r="C9" s="30">
        <f t="shared" si="0"/>
        <v>2</v>
      </c>
      <c r="D9" s="147" t="str">
        <f>IFERROR(VLOOKUP($A9,Sheet1!$A$1:$B$80,2,0),"")</f>
        <v>Khoai tây</v>
      </c>
      <c r="E9" s="30">
        <f>IFERROR(VLOOKUP($A9,'Tổng Đơn'!$A$5:$E$52,5,0),"")</f>
        <v>1</v>
      </c>
      <c r="F9" s="30">
        <f t="shared" si="1"/>
        <v>2</v>
      </c>
      <c r="G9" s="155">
        <f>IF(AND($C9="",$C8&lt;&gt;""),"Tổng Cộng",IFERROR(VLOOKUP($A9,Sheet1!$A$1:$D$80,4,0),""))</f>
        <v>65000</v>
      </c>
      <c r="H9" s="148">
        <f>IF($C8=MAX($C$8:$C$56),SUM($H$8:$H8),IFERROR($G9*$F9,""))</f>
        <v>130000</v>
      </c>
      <c r="I9" s="54">
        <f t="shared" si="2"/>
        <v>2</v>
      </c>
      <c r="L9" s="31"/>
    </row>
    <row r="10" spans="1:14" s="29" customFormat="1" ht="14.25" customHeight="1" x14ac:dyDescent="0.25">
      <c r="A10" s="150">
        <v>39</v>
      </c>
      <c r="B10" s="150">
        <v>2</v>
      </c>
      <c r="C10" s="30">
        <f t="shared" si="0"/>
        <v>3</v>
      </c>
      <c r="D10" s="147" t="str">
        <f>IFERROR(VLOOKUP($A10,Sheet1!$A$1:$B$80,2,0),"")</f>
        <v>XX Đức KK</v>
      </c>
      <c r="E10" s="30">
        <f>IFERROR(VLOOKUP($A10,'Tổng Đơn'!$A$5:$E$52,5,0),"")</f>
        <v>0.5</v>
      </c>
      <c r="F10" s="30">
        <f t="shared" si="1"/>
        <v>2</v>
      </c>
      <c r="G10" s="155">
        <f>IF(AND($C10="",$C9&lt;&gt;""),"Tổng Cộng",IFERROR(VLOOKUP($A10,Sheet1!$A$1:$D$80,4,0),""))</f>
        <v>37000</v>
      </c>
      <c r="H10" s="148">
        <f>IF($C9=MAX($C$8:$C$56),SUM($H$8:$H9),IFERROR($G10*$F10,""))</f>
        <v>74000</v>
      </c>
      <c r="I10" s="54">
        <f t="shared" si="2"/>
        <v>1</v>
      </c>
      <c r="L10" s="31"/>
    </row>
    <row r="11" spans="1:14" s="29" customFormat="1" ht="14.25" customHeight="1" x14ac:dyDescent="0.25">
      <c r="A11" s="150" t="s">
        <v>277</v>
      </c>
      <c r="B11" s="150">
        <v>5</v>
      </c>
      <c r="C11" s="30">
        <f t="shared" si="0"/>
        <v>4</v>
      </c>
      <c r="D11" s="147" t="str">
        <f>IFERROR(VLOOKUP($A11,Sheet1!$A$1:$B$80,2,0),"")</f>
        <v>0-Đùi gà Rán 10C lớn</v>
      </c>
      <c r="E11" s="30">
        <f>IFERROR(VLOOKUP($A11,'Tổng Đơn'!$A$5:$E$52,5,0),"")</f>
        <v>1.5</v>
      </c>
      <c r="F11" s="30">
        <f t="shared" si="1"/>
        <v>5</v>
      </c>
      <c r="G11" s="155">
        <f>IF(AND($C11="",$C10&lt;&gt;""),"Tổng Cộng",IFERROR(VLOOKUP($A11,Sheet1!$A$1:$D$80,4,0),""))</f>
        <v>122000</v>
      </c>
      <c r="H11" s="148">
        <f>IF($C10=MAX($C$8:$C$56),SUM($H$8:$H10),IFERROR($G11*$F11,""))</f>
        <v>610000</v>
      </c>
      <c r="I11" s="54" t="str">
        <f t="shared" si="2"/>
        <v/>
      </c>
      <c r="L11" s="31"/>
    </row>
    <row r="12" spans="1:14" s="29" customFormat="1" ht="14.25" customHeight="1" x14ac:dyDescent="0.25">
      <c r="A12" s="150">
        <v>1</v>
      </c>
      <c r="B12" s="150">
        <v>1</v>
      </c>
      <c r="C12" s="30">
        <f t="shared" si="0"/>
        <v>5</v>
      </c>
      <c r="D12" s="147" t="s">
        <v>313</v>
      </c>
      <c r="E12" s="30" t="s">
        <v>234</v>
      </c>
      <c r="F12" s="30" t="s">
        <v>234</v>
      </c>
      <c r="G12" s="155" t="s">
        <v>234</v>
      </c>
      <c r="H12" s="148">
        <v>-4000</v>
      </c>
      <c r="I12" s="54" t="str">
        <f t="shared" si="2"/>
        <v/>
      </c>
      <c r="J12" s="125"/>
      <c r="L12" s="31"/>
      <c r="N12" s="126"/>
    </row>
    <row r="13" spans="1:14" s="29" customFormat="1" ht="14.25" customHeight="1" x14ac:dyDescent="0.25">
      <c r="A13" s="150" t="s">
        <v>311</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930000</v>
      </c>
      <c r="I13" s="54" t="str">
        <f t="shared" si="2"/>
        <v/>
      </c>
      <c r="L13" s="31"/>
    </row>
    <row r="14" spans="1:14" s="29" customFormat="1" ht="14.25" customHeight="1" x14ac:dyDescent="0.25">
      <c r="A14" s="150" t="s">
        <v>311</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311</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311</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311</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311</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311</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311</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311</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311</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311</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311</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311</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311</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311</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311</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311</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311</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311</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311</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311</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311</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311</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311</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311</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57" priority="22">
      <formula>$C22=MAX($C$8:$C$37)</formula>
    </cfRule>
  </conditionalFormatting>
  <conditionalFormatting sqref="C23:C37">
    <cfRule type="expression" dxfId="556" priority="21">
      <formula>$C22=MAX($C$8:$C$37)</formula>
    </cfRule>
  </conditionalFormatting>
  <conditionalFormatting sqref="E23:E38">
    <cfRule type="expression" dxfId="555" priority="23">
      <formula>AND($A23="",$F23&lt;&gt;"")</formula>
    </cfRule>
  </conditionalFormatting>
  <conditionalFormatting sqref="F23:F38">
    <cfRule type="expression" dxfId="554" priority="24">
      <formula>AND($F23="",$A23&lt;&gt;"")</formula>
    </cfRule>
  </conditionalFormatting>
  <conditionalFormatting sqref="D20:H22">
    <cfRule type="expression" dxfId="553" priority="18">
      <formula>$C19=MAX($C$8:$C$37)</formula>
    </cfRule>
  </conditionalFormatting>
  <conditionalFormatting sqref="C20:C22">
    <cfRule type="expression" dxfId="552" priority="17">
      <formula>$C19=MAX($C$8:$C$37)</formula>
    </cfRule>
  </conditionalFormatting>
  <conditionalFormatting sqref="E20:E22">
    <cfRule type="expression" dxfId="551" priority="19">
      <formula>AND($A20="",$F20&lt;&gt;"")</formula>
    </cfRule>
  </conditionalFormatting>
  <conditionalFormatting sqref="F20:F22">
    <cfRule type="expression" dxfId="550" priority="20">
      <formula>AND($F20="",$A20&lt;&gt;"")</formula>
    </cfRule>
  </conditionalFormatting>
  <conditionalFormatting sqref="D15:H19 D12:F14 H12:H14">
    <cfRule type="expression" dxfId="549" priority="14">
      <formula>$C11=MAX($C$8:$C$37)</formula>
    </cfRule>
  </conditionalFormatting>
  <conditionalFormatting sqref="C12:C19">
    <cfRule type="expression" dxfId="548" priority="13">
      <formula>$C11=MAX($C$8:$C$37)</formula>
    </cfRule>
  </conditionalFormatting>
  <conditionalFormatting sqref="E12:E19">
    <cfRule type="expression" dxfId="547" priority="15">
      <formula>AND($A12="",$F12&lt;&gt;"")</formula>
    </cfRule>
  </conditionalFormatting>
  <conditionalFormatting sqref="F12:F19">
    <cfRule type="expression" dxfId="546" priority="16">
      <formula>AND($F12="",$A12&lt;&gt;"")</formula>
    </cfRule>
  </conditionalFormatting>
  <conditionalFormatting sqref="G12:G14">
    <cfRule type="expression" dxfId="545" priority="12">
      <formula>$C11=MAX($C$8:$C$37)</formula>
    </cfRule>
  </conditionalFormatting>
  <conditionalFormatting sqref="D9:F11 H9:H11">
    <cfRule type="expression" dxfId="544" priority="9">
      <formula>$C8=MAX($C$8:$C$37)</formula>
    </cfRule>
  </conditionalFormatting>
  <conditionalFormatting sqref="C9:C11">
    <cfRule type="expression" dxfId="543" priority="8">
      <formula>$C8=MAX($C$8:$C$37)</formula>
    </cfRule>
  </conditionalFormatting>
  <conditionalFormatting sqref="E9:E11">
    <cfRule type="expression" dxfId="542" priority="10">
      <formula>AND($A9="",$F9&lt;&gt;"")</formula>
    </cfRule>
  </conditionalFormatting>
  <conditionalFormatting sqref="F9:F11">
    <cfRule type="expression" dxfId="541" priority="11">
      <formula>AND($F9="",$A9&lt;&gt;"")</formula>
    </cfRule>
  </conditionalFormatting>
  <conditionalFormatting sqref="D8:F8">
    <cfRule type="expression" dxfId="540" priority="5">
      <formula>$C7=MAX($C$8:$C$37)</formula>
    </cfRule>
  </conditionalFormatting>
  <conditionalFormatting sqref="C8">
    <cfRule type="expression" dxfId="539" priority="4">
      <formula>$C7=MAX($C$8:$C$37)</formula>
    </cfRule>
  </conditionalFormatting>
  <conditionalFormatting sqref="E8">
    <cfRule type="expression" dxfId="538" priority="6">
      <formula>AND($A8="",$F8&lt;&gt;"")</formula>
    </cfRule>
  </conditionalFormatting>
  <conditionalFormatting sqref="F8">
    <cfRule type="expression" dxfId="537" priority="7">
      <formula>AND($F8="",$A8&lt;&gt;"")</formula>
    </cfRule>
  </conditionalFormatting>
  <conditionalFormatting sqref="H8">
    <cfRule type="expression" dxfId="536" priority="3">
      <formula>$C7=MAX($C$8:$C$37)</formula>
    </cfRule>
  </conditionalFormatting>
  <conditionalFormatting sqref="G9:G11">
    <cfRule type="expression" dxfId="535" priority="2">
      <formula>$C8=MAX($C$8:$C$37)</formula>
    </cfRule>
  </conditionalFormatting>
  <conditionalFormatting sqref="G8">
    <cfRule type="expression" dxfId="5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18</vt:i4>
      </vt:variant>
    </vt:vector>
  </HeadingPairs>
  <TitlesOfParts>
    <vt:vector size="45"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2023-01-27T07:50:52Z</dcterms:modified>
</cp:coreProperties>
</file>