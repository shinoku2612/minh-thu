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slicerCaches/slicerCache1.xml" ContentType="application/vnd.ms-excel.slicerCache+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omments1.xml" ContentType="application/vnd.openxmlformats-officedocument.spreadsheetml.comments+xml"/>
  <Override PartName="/xl/comments2.xml" ContentType="application/vnd.openxmlformats-officedocument.spreadsheetml.comments+xml"/>
  <Override PartName="/xl/comments3.xml" ContentType="application/vnd.openxmlformats-officedocument.spreadsheetml.comments+xml"/>
  <Override PartName="/xl/comments4.xml" ContentType="application/vnd.openxmlformats-officedocument.spreadsheetml.comments+xml"/>
  <Override PartName="/xl/pivotTables/pivotTable1.xml" ContentType="application/vnd.openxmlformats-officedocument.spreadsheetml.pivotTable+xml"/>
  <Override PartName="/xl/drawings/drawing1.xml" ContentType="application/vnd.openxmlformats-officedocument.drawing+xml"/>
  <Override PartName="/xl/ctrlProps/ctrlProp1.xml" ContentType="application/vnd.ms-excel.controlproperties+xml"/>
  <Override PartName="/xl/slicers/slicer1.xml" ContentType="application/vnd.ms-excel.slicer+xml"/>
  <Override PartName="/xl/comments5.xml" ContentType="application/vnd.openxmlformats-officedocument.spreadsheetml.comments+xml"/>
  <Override PartName="/xl/drawings/drawing2.xml" ContentType="application/vnd.openxmlformats-officedocument.drawing+xml"/>
  <Override PartName="/xl/ctrlProps/ctrlProp2.xml" ContentType="application/vnd.ms-excel.controlproperties+xml"/>
  <Override PartName="/xl/drawings/drawing3.xml" ContentType="application/vnd.openxmlformats-officedocument.drawing+xml"/>
  <Override PartName="/xl/ctrlProps/ctrlProp3.xml" ContentType="application/vnd.ms-excel.controlproperties+xml"/>
  <Override PartName="/xl/drawings/drawing4.xml" ContentType="application/vnd.openxmlformats-officedocument.drawing+xml"/>
  <Override PartName="/xl/ctrlProps/ctrlProp4.xml" ContentType="application/vnd.ms-excel.controlproperties+xml"/>
  <Override PartName="/xl/drawings/drawing5.xml" ContentType="application/vnd.openxmlformats-officedocument.drawing+xml"/>
  <Override PartName="/xl/ctrlProps/ctrlProp5.xml" ContentType="application/vnd.ms-excel.controlproperties+xml"/>
  <Override PartName="/xl/drawings/drawing6.xml" ContentType="application/vnd.openxmlformats-officedocument.drawing+xml"/>
  <Override PartName="/xl/ctrlProps/ctrlProp6.xml" ContentType="application/vnd.ms-excel.controlproperties+xml"/>
  <Override PartName="/xl/drawings/drawing7.xml" ContentType="application/vnd.openxmlformats-officedocument.drawing+xml"/>
  <Override PartName="/xl/ctrlProps/ctrlProp7.xml" ContentType="application/vnd.ms-excel.controlproperties+xml"/>
  <Override PartName="/xl/drawings/drawing8.xml" ContentType="application/vnd.openxmlformats-officedocument.drawing+xml"/>
  <Override PartName="/xl/ctrlProps/ctrlProp8.xml" ContentType="application/vnd.ms-excel.controlproperties+xml"/>
  <Override PartName="/xl/drawings/drawing9.xml" ContentType="application/vnd.openxmlformats-officedocument.drawing+xml"/>
  <Override PartName="/xl/ctrlProps/ctrlProp9.xml" ContentType="application/vnd.ms-excel.controlproperties+xml"/>
  <Override PartName="/xl/drawings/drawing10.xml" ContentType="application/vnd.openxmlformats-officedocument.drawing+xml"/>
  <Override PartName="/xl/ctrlProps/ctrlProp10.xml" ContentType="application/vnd.ms-excel.controlproperties+xml"/>
  <Override PartName="/xl/drawings/drawing11.xml" ContentType="application/vnd.openxmlformats-officedocument.drawing+xml"/>
  <Override PartName="/xl/ctrlProps/ctrlProp11.xml" ContentType="application/vnd.ms-excel.controlproperties+xml"/>
  <Override PartName="/xl/drawings/drawing12.xml" ContentType="application/vnd.openxmlformats-officedocument.drawing+xml"/>
  <Override PartName="/xl/ctrlProps/ctrlProp12.xml" ContentType="application/vnd.ms-excel.controlproperties+xml"/>
  <Override PartName="/xl/drawings/drawing13.xml" ContentType="application/vnd.openxmlformats-officedocument.drawing+xml"/>
  <Override PartName="/xl/ctrlProps/ctrlProp13.xml" ContentType="application/vnd.ms-excel.controlproperties+xml"/>
  <Override PartName="/xl/drawings/drawing14.xml" ContentType="application/vnd.openxmlformats-officedocument.drawing+xml"/>
  <Override PartName="/xl/ctrlProps/ctrlProp14.xml" ContentType="application/vnd.ms-excel.controlproperties+xml"/>
  <Override PartName="/xl/drawings/drawing15.xml" ContentType="application/vnd.openxmlformats-officedocument.drawing+xml"/>
  <Override PartName="/xl/ctrlProps/ctrlProp15.xml" ContentType="application/vnd.ms-excel.controlproperties+xml"/>
  <Override PartName="/xl/drawings/drawing16.xml" ContentType="application/vnd.openxmlformats-officedocument.drawing+xml"/>
  <Override PartName="/xl/ctrlProps/ctrlProp16.xml" ContentType="application/vnd.ms-excel.controlproperties+xml"/>
  <Override PartName="/xl/drawings/drawing17.xml" ContentType="application/vnd.openxmlformats-officedocument.drawing+xml"/>
  <Override PartName="/xl/ctrlProps/ctrlProp17.xml" ContentType="application/vnd.ms-excel.controlproperties+xml"/>
  <Override PartName="/xl/drawings/drawing18.xml" ContentType="application/vnd.openxmlformats-officedocument.drawing+xml"/>
  <Override PartName="/xl/ctrlProps/ctrlProp18.xml" ContentType="application/vnd.ms-excel.controlproperties+xml"/>
  <Override PartName="/xl/drawings/drawing19.xml" ContentType="application/vnd.openxmlformats-officedocument.drawing+xml"/>
  <Override PartName="/xl/ctrlProps/ctrlProp19.xml" ContentType="application/vnd.ms-excel.controlproperties+xml"/>
  <Override PartName="/xl/drawings/drawing20.xml" ContentType="application/vnd.openxmlformats-officedocument.drawing+xml"/>
  <Override PartName="/xl/ctrlProps/ctrlProp20.xml" ContentType="application/vnd.ms-excel.controlproperties+xml"/>
  <Override PartName="/xl/drawings/drawing21.xml" ContentType="application/vnd.openxmlformats-officedocument.drawing+xml"/>
  <Override PartName="/xl/ctrlProps/ctrlProp21.xml" ContentType="application/vnd.ms-excel.controlproperties+xml"/>
  <Override PartName="/xl/drawings/drawing22.xml" ContentType="application/vnd.openxmlformats-officedocument.drawing+xml"/>
  <Override PartName="/xl/ctrlProps/ctrlProp22.xml" ContentType="application/vnd.ms-excel.controlproperties+xml"/>
  <Override PartName="/xl/drawings/drawing23.xml" ContentType="application/vnd.openxmlformats-officedocument.drawing+xml"/>
  <Override PartName="/xl/ctrlProps/ctrlProp23.xml" ContentType="application/vnd.ms-excel.controlproperties+xml"/>
  <Override PartName="/xl/drawings/drawing24.xml" ContentType="application/vnd.openxmlformats-officedocument.drawing+xml"/>
  <Override PartName="/xl/ctrlProps/ctrlProp24.xml" ContentType="application/vnd.ms-excel.controlproperties+xml"/>
  <Override PartName="/xl/drawings/drawing25.xml" ContentType="application/vnd.openxmlformats-officedocument.drawing+xml"/>
  <Override PartName="/xl/ctrlProps/ctrlProp25.xml" ContentType="application/vnd.ms-excel.controlproperties+xml"/>
  <Override PartName="/xl/drawings/drawing26.xml" ContentType="application/vnd.openxmlformats-officedocument.drawing+xml"/>
  <Override PartName="/xl/ctrlProps/ctrlProp26.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5928" codeName="{AE6600E7-7A62-396C-DE95-9942FA9DD81E}"/>
  <workbookPr codeName="ThisWorkbook" hidePivotFieldList="1" defaultThemeVersion="124226"/>
  <mc:AlternateContent xmlns:mc="http://schemas.openxmlformats.org/markup-compatibility/2006">
    <mc:Choice Requires="x15">
      <x15ac:absPath xmlns:x15ac="http://schemas.microsoft.com/office/spreadsheetml/2010/11/ac" url="C:\Users\Van Thien\Desktop\MINH THƯ\HÀNG HÓA\2023\T01\"/>
    </mc:Choice>
  </mc:AlternateContent>
  <xr:revisionPtr revIDLastSave="0" documentId="13_ncr:1_{6B09E796-05FC-4B1F-93F6-F1B506F84DB2}" xr6:coauthVersionLast="47" xr6:coauthVersionMax="47" xr10:uidLastSave="{00000000-0000-0000-0000-000000000000}"/>
  <bookViews>
    <workbookView xWindow="-108" yWindow="-108" windowWidth="23256" windowHeight="12576" tabRatio="925" activeTab="8" xr2:uid="{00000000-000D-0000-FFFF-FFFF00000000}"/>
  </bookViews>
  <sheets>
    <sheet name="Chi phí ra hàng tháng" sheetId="120" r:id="rId1"/>
    <sheet name="TVP" sheetId="5" state="hidden" r:id="rId2"/>
    <sheet name="Gà" sheetId="137" r:id="rId3"/>
    <sheet name="Quốc Nhân" sheetId="1" r:id="rId4"/>
    <sheet name="La Cusina" sheetId="4" r:id="rId5"/>
    <sheet name="Kitkool" sheetId="150" r:id="rId6"/>
    <sheet name="Sheet1" sheetId="8" r:id="rId7"/>
    <sheet name="Tổng Đơn" sheetId="50" r:id="rId8"/>
    <sheet name="Chi phí" sheetId="95" r:id="rId9"/>
    <sheet name="Thanh Toán" sheetId="439" r:id="rId10"/>
    <sheet name="Thanh Toán (25)" sheetId="484" r:id="rId11"/>
    <sheet name="Thanh Toán (24)" sheetId="483" r:id="rId12"/>
    <sheet name="Thanh Toán (23)" sheetId="482" r:id="rId13"/>
    <sheet name="Thanh Toán (22)" sheetId="481" r:id="rId14"/>
    <sheet name="Thanh Toán (21)" sheetId="480" r:id="rId15"/>
    <sheet name="Thanh Toán (20)" sheetId="479" r:id="rId16"/>
    <sheet name="Thanh Toán (19)" sheetId="478" r:id="rId17"/>
    <sheet name="Thanh Toán (18)" sheetId="477" r:id="rId18"/>
    <sheet name="Thanh Toán (17)" sheetId="476" r:id="rId19"/>
    <sheet name="Thanh Toán (16)" sheetId="475" r:id="rId20"/>
    <sheet name="Thanh Toán (15)" sheetId="474" r:id="rId21"/>
    <sheet name="Thanh Toán (14)" sheetId="473" r:id="rId22"/>
    <sheet name="Thanh Toán (13)" sheetId="472" r:id="rId23"/>
    <sheet name="Thanh Toán (12)" sheetId="471" r:id="rId24"/>
    <sheet name="Thanh Toán (11)" sheetId="470" r:id="rId25"/>
    <sheet name="Thanh Toán (10)" sheetId="469" r:id="rId26"/>
    <sheet name="Thanh Toán (9)" sheetId="468" r:id="rId27"/>
    <sheet name="Thanh Toán (8)" sheetId="467" r:id="rId28"/>
    <sheet name="Thanh Toán (7)" sheetId="466" r:id="rId29"/>
    <sheet name="Thanh Toán (6)" sheetId="465" r:id="rId30"/>
    <sheet name="Thanh Toán (5)" sheetId="464" r:id="rId31"/>
    <sheet name="Thanh Toán (4)" sheetId="463" r:id="rId32"/>
    <sheet name="Thanh Toán (3)" sheetId="462" r:id="rId33"/>
    <sheet name="Thanh Toán (2)" sheetId="461" r:id="rId34"/>
  </sheets>
  <definedNames>
    <definedName name="_xlnm._FilterDatabase" localSheetId="8" hidden="1">'Chi phí'!$A$6:$E$34</definedName>
    <definedName name="_xlnm._FilterDatabase" localSheetId="0" hidden="1">'Chi phí ra hàng tháng'!$I$2:$S$21</definedName>
    <definedName name="_xlnm._FilterDatabase" localSheetId="2" hidden="1">Gà!$B$4:$M$4</definedName>
    <definedName name="_xlnm._FilterDatabase" localSheetId="5" hidden="1">Kitkool!$B$4:$AW$12</definedName>
    <definedName name="_xlnm._FilterDatabase" localSheetId="4" hidden="1">'La Cusina'!$B$4:$M$26</definedName>
    <definedName name="_xlnm._FilterDatabase" localSheetId="3" hidden="1">'Quốc Nhân'!$B$4:$AW$35</definedName>
    <definedName name="_xlnm._FilterDatabase" localSheetId="6" hidden="1">Sheet1!$A$1:$D$49</definedName>
    <definedName name="_xlnm._FilterDatabase" localSheetId="7" hidden="1">'Tổng Đơn'!$A$4:$AO$52</definedName>
    <definedName name="_xlnm._FilterDatabase" localSheetId="1" hidden="1">TVP!$B$4:$AW$24</definedName>
    <definedName name="_xlnm.Print_Area" localSheetId="9">'Thanh Toán'!$C$1:$H$38</definedName>
    <definedName name="_xlnm.Print_Area" localSheetId="25">'Thanh Toán (10)'!$C$1:$H$38</definedName>
    <definedName name="_xlnm.Print_Area" localSheetId="24">'Thanh Toán (11)'!$C$1:$H$38</definedName>
    <definedName name="_xlnm.Print_Area" localSheetId="23">'Thanh Toán (12)'!$C$1:$H$38</definedName>
    <definedName name="_xlnm.Print_Area" localSheetId="22">'Thanh Toán (13)'!$C$1:$H$38</definedName>
    <definedName name="_xlnm.Print_Area" localSheetId="21">'Thanh Toán (14)'!$C$1:$H$38</definedName>
    <definedName name="_xlnm.Print_Area" localSheetId="20">'Thanh Toán (15)'!$C$1:$H$38</definedName>
    <definedName name="_xlnm.Print_Area" localSheetId="19">'Thanh Toán (16)'!$C$1:$H$38</definedName>
    <definedName name="_xlnm.Print_Area" localSheetId="18">'Thanh Toán (17)'!$C$1:$H$38</definedName>
    <definedName name="_xlnm.Print_Area" localSheetId="17">'Thanh Toán (18)'!$C$1:$H$38</definedName>
    <definedName name="_xlnm.Print_Area" localSheetId="16">'Thanh Toán (19)'!$C$1:$H$38</definedName>
    <definedName name="_xlnm.Print_Area" localSheetId="33">'Thanh Toán (2)'!$C$1:$H$38</definedName>
    <definedName name="_xlnm.Print_Area" localSheetId="15">'Thanh Toán (20)'!$C$1:$H$38</definedName>
    <definedName name="_xlnm.Print_Area" localSheetId="14">'Thanh Toán (21)'!$C$1:$H$38</definedName>
    <definedName name="_xlnm.Print_Area" localSheetId="13">'Thanh Toán (22)'!$C$1:$H$38</definedName>
    <definedName name="_xlnm.Print_Area" localSheetId="12">'Thanh Toán (23)'!$C$1:$H$38</definedName>
    <definedName name="_xlnm.Print_Area" localSheetId="11">'Thanh Toán (24)'!$C$1:$H$38</definedName>
    <definedName name="_xlnm.Print_Area" localSheetId="10">'Thanh Toán (25)'!$C$1:$H$38</definedName>
    <definedName name="_xlnm.Print_Area" localSheetId="32">'Thanh Toán (3)'!$C$1:$H$38</definedName>
    <definedName name="_xlnm.Print_Area" localSheetId="31">'Thanh Toán (4)'!$C$1:$H$38</definedName>
    <definedName name="_xlnm.Print_Area" localSheetId="30">'Thanh Toán (5)'!$C$1:$H$38</definedName>
    <definedName name="_xlnm.Print_Area" localSheetId="29">'Thanh Toán (6)'!$C$1:$H$38</definedName>
    <definedName name="_xlnm.Print_Area" localSheetId="28">'Thanh Toán (7)'!$C$1:$H$38</definedName>
    <definedName name="_xlnm.Print_Area" localSheetId="27">'Thanh Toán (8)'!$C$1:$H$38</definedName>
    <definedName name="_xlnm.Print_Area" localSheetId="26">'Thanh Toán (9)'!$C$1:$H$38</definedName>
    <definedName name="Slicer_Tên_hàng">#N/A</definedName>
  </definedNames>
  <calcPr calcId="191029"/>
  <pivotCaches>
    <pivotCache cacheId="0" r:id="rId35"/>
  </pivotCaches>
  <extLst>
    <ext xmlns:x14="http://schemas.microsoft.com/office/spreadsheetml/2009/9/main" uri="{BBE1A952-AA13-448e-AADC-164F8A28A991}">
      <x14:slicerCaches>
        <x14:slicerCache r:id="rId36"/>
      </x14:slicerCaches>
    </ext>
    <ext xmlns:x14="http://schemas.microsoft.com/office/spreadsheetml/2009/9/main" uri="{79F54976-1DA5-4618-B147-4CDE4B953A38}">
      <x14:workbookPr/>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I8" i="95" l="1"/>
  <c r="I7" i="95"/>
  <c r="I12" i="95"/>
  <c r="I2" i="95"/>
  <c r="H12" i="484"/>
  <c r="I37" i="484"/>
  <c r="F37" i="484"/>
  <c r="E37" i="484"/>
  <c r="D37" i="484"/>
  <c r="I36" i="484"/>
  <c r="F36" i="484"/>
  <c r="E36" i="484"/>
  <c r="D36" i="484"/>
  <c r="I35" i="484"/>
  <c r="F35" i="484"/>
  <c r="E35" i="484"/>
  <c r="D35" i="484"/>
  <c r="I34" i="484"/>
  <c r="F34" i="484"/>
  <c r="E34" i="484"/>
  <c r="D34" i="484"/>
  <c r="I33" i="484"/>
  <c r="F33" i="484"/>
  <c r="E33" i="484"/>
  <c r="D33" i="484"/>
  <c r="I32" i="484"/>
  <c r="F32" i="484"/>
  <c r="E32" i="484"/>
  <c r="D32" i="484"/>
  <c r="I31" i="484"/>
  <c r="F31" i="484"/>
  <c r="E31" i="484"/>
  <c r="D31" i="484"/>
  <c r="I30" i="484"/>
  <c r="F30" i="484"/>
  <c r="E30" i="484"/>
  <c r="D30" i="484"/>
  <c r="I29" i="484"/>
  <c r="F29" i="484"/>
  <c r="E29" i="484"/>
  <c r="D29" i="484"/>
  <c r="I28" i="484"/>
  <c r="F28" i="484"/>
  <c r="E28" i="484"/>
  <c r="D28" i="484"/>
  <c r="I27" i="484"/>
  <c r="F27" i="484"/>
  <c r="E27" i="484"/>
  <c r="D27" i="484"/>
  <c r="I26" i="484"/>
  <c r="F26" i="484"/>
  <c r="E26" i="484"/>
  <c r="D26" i="484"/>
  <c r="I25" i="484"/>
  <c r="F25" i="484"/>
  <c r="E25" i="484"/>
  <c r="D25" i="484"/>
  <c r="I24" i="484"/>
  <c r="F24" i="484"/>
  <c r="E24" i="484"/>
  <c r="D24" i="484"/>
  <c r="I23" i="484"/>
  <c r="F23" i="484"/>
  <c r="E23" i="484"/>
  <c r="D23" i="484"/>
  <c r="I22" i="484"/>
  <c r="F22" i="484"/>
  <c r="E22" i="484"/>
  <c r="D22" i="484"/>
  <c r="I21" i="484"/>
  <c r="F21" i="484"/>
  <c r="E21" i="484"/>
  <c r="D21" i="484"/>
  <c r="I20" i="484"/>
  <c r="F20" i="484"/>
  <c r="E20" i="484"/>
  <c r="D20" i="484"/>
  <c r="I19" i="484"/>
  <c r="F19" i="484"/>
  <c r="E19" i="484"/>
  <c r="D19" i="484"/>
  <c r="I18" i="484"/>
  <c r="F18" i="484"/>
  <c r="E18" i="484"/>
  <c r="D18" i="484"/>
  <c r="I17" i="484"/>
  <c r="F17" i="484"/>
  <c r="E17" i="484"/>
  <c r="D17" i="484"/>
  <c r="I16" i="484"/>
  <c r="F16" i="484"/>
  <c r="E16" i="484"/>
  <c r="D16" i="484"/>
  <c r="I15" i="484"/>
  <c r="F15" i="484"/>
  <c r="E15" i="484"/>
  <c r="D15" i="484"/>
  <c r="I14" i="484"/>
  <c r="F14" i="484"/>
  <c r="E14" i="484"/>
  <c r="D14" i="484"/>
  <c r="I13" i="484"/>
  <c r="F13" i="484"/>
  <c r="E13" i="484"/>
  <c r="D13" i="484"/>
  <c r="F11" i="484"/>
  <c r="I11" i="484" s="1"/>
  <c r="E11" i="484"/>
  <c r="D11" i="484"/>
  <c r="F10" i="484"/>
  <c r="I10" i="484" s="1"/>
  <c r="E10" i="484"/>
  <c r="D10" i="484"/>
  <c r="I9" i="484"/>
  <c r="F9" i="484"/>
  <c r="E9" i="484"/>
  <c r="D9" i="484"/>
  <c r="I8" i="484"/>
  <c r="G8" i="484"/>
  <c r="F8" i="484"/>
  <c r="E8" i="484"/>
  <c r="D8" i="484"/>
  <c r="C8" i="484"/>
  <c r="C9" i="484" s="1"/>
  <c r="E7" i="484"/>
  <c r="G6" i="484"/>
  <c r="I37" i="483"/>
  <c r="F37" i="483"/>
  <c r="E37" i="483"/>
  <c r="D37" i="483"/>
  <c r="I36" i="483"/>
  <c r="F36" i="483"/>
  <c r="E36" i="483"/>
  <c r="D36" i="483"/>
  <c r="I35" i="483"/>
  <c r="F35" i="483"/>
  <c r="E35" i="483"/>
  <c r="D35" i="483"/>
  <c r="I34" i="483"/>
  <c r="F34" i="483"/>
  <c r="E34" i="483"/>
  <c r="D34" i="483"/>
  <c r="I33" i="483"/>
  <c r="F33" i="483"/>
  <c r="E33" i="483"/>
  <c r="D33" i="483"/>
  <c r="I32" i="483"/>
  <c r="F32" i="483"/>
  <c r="E32" i="483"/>
  <c r="D32" i="483"/>
  <c r="I31" i="483"/>
  <c r="F31" i="483"/>
  <c r="E31" i="483"/>
  <c r="D31" i="483"/>
  <c r="I30" i="483"/>
  <c r="F30" i="483"/>
  <c r="E30" i="483"/>
  <c r="D30" i="483"/>
  <c r="I29" i="483"/>
  <c r="F29" i="483"/>
  <c r="E29" i="483"/>
  <c r="D29" i="483"/>
  <c r="I28" i="483"/>
  <c r="F28" i="483"/>
  <c r="E28" i="483"/>
  <c r="D28" i="483"/>
  <c r="I27" i="483"/>
  <c r="F27" i="483"/>
  <c r="E27" i="483"/>
  <c r="D27" i="483"/>
  <c r="I26" i="483"/>
  <c r="F26" i="483"/>
  <c r="E26" i="483"/>
  <c r="D26" i="483"/>
  <c r="I25" i="483"/>
  <c r="F25" i="483"/>
  <c r="E25" i="483"/>
  <c r="D25" i="483"/>
  <c r="I24" i="483"/>
  <c r="F24" i="483"/>
  <c r="E24" i="483"/>
  <c r="D24" i="483"/>
  <c r="I23" i="483"/>
  <c r="F23" i="483"/>
  <c r="E23" i="483"/>
  <c r="D23" i="483"/>
  <c r="I22" i="483"/>
  <c r="F22" i="483"/>
  <c r="E22" i="483"/>
  <c r="D22" i="483"/>
  <c r="I21" i="483"/>
  <c r="F21" i="483"/>
  <c r="E21" i="483"/>
  <c r="D21" i="483"/>
  <c r="I20" i="483"/>
  <c r="F20" i="483"/>
  <c r="E20" i="483"/>
  <c r="D20" i="483"/>
  <c r="I19" i="483"/>
  <c r="F19" i="483"/>
  <c r="E19" i="483"/>
  <c r="D19" i="483"/>
  <c r="I18" i="483"/>
  <c r="F18" i="483"/>
  <c r="E18" i="483"/>
  <c r="D18" i="483"/>
  <c r="I17" i="483"/>
  <c r="F17" i="483"/>
  <c r="E17" i="483"/>
  <c r="D17" i="483"/>
  <c r="I16" i="483"/>
  <c r="F16" i="483"/>
  <c r="E16" i="483"/>
  <c r="D16" i="483"/>
  <c r="I15" i="483"/>
  <c r="F15" i="483"/>
  <c r="E15" i="483"/>
  <c r="D15" i="483"/>
  <c r="I14" i="483"/>
  <c r="F14" i="483"/>
  <c r="E14" i="483"/>
  <c r="D14" i="483"/>
  <c r="I13" i="483"/>
  <c r="F13" i="483"/>
  <c r="E13" i="483"/>
  <c r="D13" i="483"/>
  <c r="I12" i="483"/>
  <c r="F12" i="483"/>
  <c r="E12" i="483"/>
  <c r="D12" i="483"/>
  <c r="I11" i="483"/>
  <c r="F11" i="483"/>
  <c r="E11" i="483"/>
  <c r="D11" i="483"/>
  <c r="I10" i="483"/>
  <c r="F10" i="483"/>
  <c r="E10" i="483"/>
  <c r="D10" i="483"/>
  <c r="I9" i="483"/>
  <c r="F9" i="483"/>
  <c r="E9" i="483"/>
  <c r="D9" i="483"/>
  <c r="I8" i="483"/>
  <c r="I7" i="483" s="1"/>
  <c r="G8" i="483"/>
  <c r="F8" i="483"/>
  <c r="E8" i="483"/>
  <c r="D8" i="483"/>
  <c r="C8" i="483"/>
  <c r="C9" i="483" s="1"/>
  <c r="E7" i="483"/>
  <c r="G6" i="483"/>
  <c r="H9" i="482"/>
  <c r="I37" i="482"/>
  <c r="F37" i="482"/>
  <c r="E37" i="482"/>
  <c r="D37" i="482"/>
  <c r="I36" i="482"/>
  <c r="F36" i="482"/>
  <c r="E36" i="482"/>
  <c r="D36" i="482"/>
  <c r="I35" i="482"/>
  <c r="F35" i="482"/>
  <c r="E35" i="482"/>
  <c r="D35" i="482"/>
  <c r="I34" i="482"/>
  <c r="F34" i="482"/>
  <c r="E34" i="482"/>
  <c r="D34" i="482"/>
  <c r="I33" i="482"/>
  <c r="F33" i="482"/>
  <c r="E33" i="482"/>
  <c r="D33" i="482"/>
  <c r="I32" i="482"/>
  <c r="F32" i="482"/>
  <c r="E32" i="482"/>
  <c r="D32" i="482"/>
  <c r="I31" i="482"/>
  <c r="F31" i="482"/>
  <c r="E31" i="482"/>
  <c r="D31" i="482"/>
  <c r="I30" i="482"/>
  <c r="F30" i="482"/>
  <c r="E30" i="482"/>
  <c r="D30" i="482"/>
  <c r="I29" i="482"/>
  <c r="F29" i="482"/>
  <c r="E29" i="482"/>
  <c r="D29" i="482"/>
  <c r="I28" i="482"/>
  <c r="F28" i="482"/>
  <c r="E28" i="482"/>
  <c r="D28" i="482"/>
  <c r="I27" i="482"/>
  <c r="F27" i="482"/>
  <c r="E27" i="482"/>
  <c r="D27" i="482"/>
  <c r="I26" i="482"/>
  <c r="F26" i="482"/>
  <c r="E26" i="482"/>
  <c r="D26" i="482"/>
  <c r="I25" i="482"/>
  <c r="F25" i="482"/>
  <c r="E25" i="482"/>
  <c r="D25" i="482"/>
  <c r="I24" i="482"/>
  <c r="F24" i="482"/>
  <c r="E24" i="482"/>
  <c r="D24" i="482"/>
  <c r="I23" i="482"/>
  <c r="F23" i="482"/>
  <c r="E23" i="482"/>
  <c r="D23" i="482"/>
  <c r="I22" i="482"/>
  <c r="F22" i="482"/>
  <c r="E22" i="482"/>
  <c r="D22" i="482"/>
  <c r="I21" i="482"/>
  <c r="F21" i="482"/>
  <c r="E21" i="482"/>
  <c r="D21" i="482"/>
  <c r="I20" i="482"/>
  <c r="F20" i="482"/>
  <c r="E20" i="482"/>
  <c r="D20" i="482"/>
  <c r="I19" i="482"/>
  <c r="F19" i="482"/>
  <c r="E19" i="482"/>
  <c r="D19" i="482"/>
  <c r="I18" i="482"/>
  <c r="F18" i="482"/>
  <c r="E18" i="482"/>
  <c r="D18" i="482"/>
  <c r="I17" i="482"/>
  <c r="F17" i="482"/>
  <c r="E17" i="482"/>
  <c r="D17" i="482"/>
  <c r="I16" i="482"/>
  <c r="F16" i="482"/>
  <c r="E16" i="482"/>
  <c r="D16" i="482"/>
  <c r="I15" i="482"/>
  <c r="F15" i="482"/>
  <c r="E15" i="482"/>
  <c r="D15" i="482"/>
  <c r="I14" i="482"/>
  <c r="F14" i="482"/>
  <c r="E14" i="482"/>
  <c r="D14" i="482"/>
  <c r="I13" i="482"/>
  <c r="F13" i="482"/>
  <c r="E13" i="482"/>
  <c r="D13" i="482"/>
  <c r="I12" i="482"/>
  <c r="F12" i="482"/>
  <c r="E12" i="482"/>
  <c r="D12" i="482"/>
  <c r="I11" i="482"/>
  <c r="F11" i="482"/>
  <c r="E11" i="482"/>
  <c r="D11" i="482"/>
  <c r="I10" i="482"/>
  <c r="F10" i="482"/>
  <c r="E10" i="482"/>
  <c r="D10" i="482"/>
  <c r="I9" i="482"/>
  <c r="C9" i="482"/>
  <c r="G8" i="482"/>
  <c r="F8" i="482"/>
  <c r="I8" i="482" s="1"/>
  <c r="E8" i="482"/>
  <c r="D8" i="482"/>
  <c r="C8" i="482"/>
  <c r="E7" i="482"/>
  <c r="G6" i="482"/>
  <c r="H14" i="481"/>
  <c r="I37" i="481"/>
  <c r="F37" i="481"/>
  <c r="E37" i="481"/>
  <c r="D37" i="481"/>
  <c r="I36" i="481"/>
  <c r="F36" i="481"/>
  <c r="E36" i="481"/>
  <c r="D36" i="481"/>
  <c r="I35" i="481"/>
  <c r="F35" i="481"/>
  <c r="E35" i="481"/>
  <c r="D35" i="481"/>
  <c r="I34" i="481"/>
  <c r="F34" i="481"/>
  <c r="E34" i="481"/>
  <c r="D34" i="481"/>
  <c r="I33" i="481"/>
  <c r="F33" i="481"/>
  <c r="E33" i="481"/>
  <c r="D33" i="481"/>
  <c r="I32" i="481"/>
  <c r="F32" i="481"/>
  <c r="E32" i="481"/>
  <c r="D32" i="481"/>
  <c r="I31" i="481"/>
  <c r="F31" i="481"/>
  <c r="E31" i="481"/>
  <c r="D31" i="481"/>
  <c r="I30" i="481"/>
  <c r="F30" i="481"/>
  <c r="E30" i="481"/>
  <c r="D30" i="481"/>
  <c r="I29" i="481"/>
  <c r="F29" i="481"/>
  <c r="E29" i="481"/>
  <c r="D29" i="481"/>
  <c r="I28" i="481"/>
  <c r="F28" i="481"/>
  <c r="E28" i="481"/>
  <c r="D28" i="481"/>
  <c r="I27" i="481"/>
  <c r="F27" i="481"/>
  <c r="E27" i="481"/>
  <c r="D27" i="481"/>
  <c r="I26" i="481"/>
  <c r="F26" i="481"/>
  <c r="E26" i="481"/>
  <c r="D26" i="481"/>
  <c r="I25" i="481"/>
  <c r="F25" i="481"/>
  <c r="E25" i="481"/>
  <c r="D25" i="481"/>
  <c r="I24" i="481"/>
  <c r="F24" i="481"/>
  <c r="E24" i="481"/>
  <c r="D24" i="481"/>
  <c r="I23" i="481"/>
  <c r="F23" i="481"/>
  <c r="E23" i="481"/>
  <c r="D23" i="481"/>
  <c r="I22" i="481"/>
  <c r="F22" i="481"/>
  <c r="E22" i="481"/>
  <c r="D22" i="481"/>
  <c r="I21" i="481"/>
  <c r="F21" i="481"/>
  <c r="E21" i="481"/>
  <c r="D21" i="481"/>
  <c r="I20" i="481"/>
  <c r="F20" i="481"/>
  <c r="E20" i="481"/>
  <c r="D20" i="481"/>
  <c r="I19" i="481"/>
  <c r="F19" i="481"/>
  <c r="E19" i="481"/>
  <c r="D19" i="481"/>
  <c r="I18" i="481"/>
  <c r="F18" i="481"/>
  <c r="E18" i="481"/>
  <c r="D18" i="481"/>
  <c r="I17" i="481"/>
  <c r="F17" i="481"/>
  <c r="E17" i="481"/>
  <c r="D17" i="481"/>
  <c r="I16" i="481"/>
  <c r="F16" i="481"/>
  <c r="E16" i="481"/>
  <c r="D16" i="481"/>
  <c r="I15" i="481"/>
  <c r="F15" i="481"/>
  <c r="E15" i="481"/>
  <c r="D15" i="481"/>
  <c r="I14" i="481"/>
  <c r="I13" i="481"/>
  <c r="F13" i="481"/>
  <c r="E13" i="481"/>
  <c r="D13" i="481"/>
  <c r="F12" i="481"/>
  <c r="I12" i="481" s="1"/>
  <c r="E12" i="481"/>
  <c r="D12" i="481"/>
  <c r="F11" i="481"/>
  <c r="I11" i="481" s="1"/>
  <c r="E11" i="481"/>
  <c r="D11" i="481"/>
  <c r="F10" i="481"/>
  <c r="I10" i="481" s="1"/>
  <c r="E10" i="481"/>
  <c r="D10" i="481"/>
  <c r="F9" i="481"/>
  <c r="I9" i="481" s="1"/>
  <c r="E9" i="481"/>
  <c r="D9" i="481"/>
  <c r="I8" i="481"/>
  <c r="G8" i="481"/>
  <c r="F8" i="481"/>
  <c r="E8" i="481"/>
  <c r="D8" i="481"/>
  <c r="C8" i="481"/>
  <c r="C9" i="481" s="1"/>
  <c r="E7" i="481"/>
  <c r="G6" i="481"/>
  <c r="H11" i="480"/>
  <c r="I37" i="480"/>
  <c r="F37" i="480"/>
  <c r="E37" i="480"/>
  <c r="D37" i="480"/>
  <c r="I36" i="480"/>
  <c r="F36" i="480"/>
  <c r="E36" i="480"/>
  <c r="D36" i="480"/>
  <c r="I35" i="480"/>
  <c r="F35" i="480"/>
  <c r="E35" i="480"/>
  <c r="D35" i="480"/>
  <c r="I34" i="480"/>
  <c r="F34" i="480"/>
  <c r="E34" i="480"/>
  <c r="D34" i="480"/>
  <c r="I33" i="480"/>
  <c r="F33" i="480"/>
  <c r="E33" i="480"/>
  <c r="D33" i="480"/>
  <c r="I32" i="480"/>
  <c r="F32" i="480"/>
  <c r="E32" i="480"/>
  <c r="D32" i="480"/>
  <c r="I31" i="480"/>
  <c r="F31" i="480"/>
  <c r="E31" i="480"/>
  <c r="D31" i="480"/>
  <c r="I30" i="480"/>
  <c r="F30" i="480"/>
  <c r="E30" i="480"/>
  <c r="D30" i="480"/>
  <c r="I29" i="480"/>
  <c r="F29" i="480"/>
  <c r="E29" i="480"/>
  <c r="D29" i="480"/>
  <c r="I28" i="480"/>
  <c r="F28" i="480"/>
  <c r="E28" i="480"/>
  <c r="D28" i="480"/>
  <c r="I27" i="480"/>
  <c r="F27" i="480"/>
  <c r="E27" i="480"/>
  <c r="D27" i="480"/>
  <c r="I26" i="480"/>
  <c r="F26" i="480"/>
  <c r="E26" i="480"/>
  <c r="D26" i="480"/>
  <c r="I25" i="480"/>
  <c r="F25" i="480"/>
  <c r="E25" i="480"/>
  <c r="D25" i="480"/>
  <c r="I24" i="480"/>
  <c r="F24" i="480"/>
  <c r="E24" i="480"/>
  <c r="D24" i="480"/>
  <c r="I23" i="480"/>
  <c r="F23" i="480"/>
  <c r="E23" i="480"/>
  <c r="D23" i="480"/>
  <c r="I22" i="480"/>
  <c r="F22" i="480"/>
  <c r="E22" i="480"/>
  <c r="D22" i="480"/>
  <c r="I21" i="480"/>
  <c r="F21" i="480"/>
  <c r="E21" i="480"/>
  <c r="D21" i="480"/>
  <c r="I20" i="480"/>
  <c r="F20" i="480"/>
  <c r="E20" i="480"/>
  <c r="D20" i="480"/>
  <c r="I19" i="480"/>
  <c r="F19" i="480"/>
  <c r="E19" i="480"/>
  <c r="D19" i="480"/>
  <c r="I18" i="480"/>
  <c r="F18" i="480"/>
  <c r="E18" i="480"/>
  <c r="D18" i="480"/>
  <c r="I17" i="480"/>
  <c r="F17" i="480"/>
  <c r="E17" i="480"/>
  <c r="D17" i="480"/>
  <c r="I16" i="480"/>
  <c r="F16" i="480"/>
  <c r="E16" i="480"/>
  <c r="D16" i="480"/>
  <c r="I15" i="480"/>
  <c r="F15" i="480"/>
  <c r="E15" i="480"/>
  <c r="D15" i="480"/>
  <c r="I14" i="480"/>
  <c r="F14" i="480"/>
  <c r="E14" i="480"/>
  <c r="D14" i="480"/>
  <c r="I13" i="480"/>
  <c r="F13" i="480"/>
  <c r="E13" i="480"/>
  <c r="D13" i="480"/>
  <c r="I12" i="480"/>
  <c r="F12" i="480"/>
  <c r="E12" i="480"/>
  <c r="D12" i="480"/>
  <c r="I11" i="480"/>
  <c r="I10" i="480"/>
  <c r="F10" i="480"/>
  <c r="E10" i="480"/>
  <c r="D10" i="480"/>
  <c r="I9" i="480"/>
  <c r="F9" i="480"/>
  <c r="E9" i="480"/>
  <c r="D9" i="480"/>
  <c r="I8" i="480"/>
  <c r="G8" i="480"/>
  <c r="F8" i="480"/>
  <c r="E8" i="480"/>
  <c r="D8" i="480"/>
  <c r="C8" i="480"/>
  <c r="C9" i="480" s="1"/>
  <c r="E7" i="480"/>
  <c r="G6" i="480"/>
  <c r="I37" i="479"/>
  <c r="F37" i="479"/>
  <c r="E37" i="479"/>
  <c r="D37" i="479"/>
  <c r="I36" i="479"/>
  <c r="F36" i="479"/>
  <c r="E36" i="479"/>
  <c r="D36" i="479"/>
  <c r="I35" i="479"/>
  <c r="F35" i="479"/>
  <c r="E35" i="479"/>
  <c r="D35" i="479"/>
  <c r="I34" i="479"/>
  <c r="F34" i="479"/>
  <c r="E34" i="479"/>
  <c r="D34" i="479"/>
  <c r="I33" i="479"/>
  <c r="F33" i="479"/>
  <c r="E33" i="479"/>
  <c r="D33" i="479"/>
  <c r="I32" i="479"/>
  <c r="F32" i="479"/>
  <c r="E32" i="479"/>
  <c r="D32" i="479"/>
  <c r="I31" i="479"/>
  <c r="F31" i="479"/>
  <c r="E31" i="479"/>
  <c r="D31" i="479"/>
  <c r="I30" i="479"/>
  <c r="F30" i="479"/>
  <c r="E30" i="479"/>
  <c r="D30" i="479"/>
  <c r="I29" i="479"/>
  <c r="F29" i="479"/>
  <c r="E29" i="479"/>
  <c r="D29" i="479"/>
  <c r="I28" i="479"/>
  <c r="F28" i="479"/>
  <c r="E28" i="479"/>
  <c r="D28" i="479"/>
  <c r="I27" i="479"/>
  <c r="F27" i="479"/>
  <c r="E27" i="479"/>
  <c r="D27" i="479"/>
  <c r="I26" i="479"/>
  <c r="F26" i="479"/>
  <c r="E26" i="479"/>
  <c r="D26" i="479"/>
  <c r="I25" i="479"/>
  <c r="F25" i="479"/>
  <c r="E25" i="479"/>
  <c r="D25" i="479"/>
  <c r="I24" i="479"/>
  <c r="F24" i="479"/>
  <c r="E24" i="479"/>
  <c r="D24" i="479"/>
  <c r="I23" i="479"/>
  <c r="F23" i="479"/>
  <c r="E23" i="479"/>
  <c r="D23" i="479"/>
  <c r="I22" i="479"/>
  <c r="F22" i="479"/>
  <c r="E22" i="479"/>
  <c r="D22" i="479"/>
  <c r="I21" i="479"/>
  <c r="F21" i="479"/>
  <c r="E21" i="479"/>
  <c r="D21" i="479"/>
  <c r="I20" i="479"/>
  <c r="F20" i="479"/>
  <c r="E20" i="479"/>
  <c r="D20" i="479"/>
  <c r="I19" i="479"/>
  <c r="F19" i="479"/>
  <c r="E19" i="479"/>
  <c r="D19" i="479"/>
  <c r="I18" i="479"/>
  <c r="F18" i="479"/>
  <c r="E18" i="479"/>
  <c r="D18" i="479"/>
  <c r="I17" i="479"/>
  <c r="F17" i="479"/>
  <c r="E17" i="479"/>
  <c r="D17" i="479"/>
  <c r="I16" i="479"/>
  <c r="F16" i="479"/>
  <c r="E16" i="479"/>
  <c r="D16" i="479"/>
  <c r="I15" i="479"/>
  <c r="F15" i="479"/>
  <c r="E15" i="479"/>
  <c r="D15" i="479"/>
  <c r="I14" i="479"/>
  <c r="F14" i="479"/>
  <c r="E14" i="479"/>
  <c r="D14" i="479"/>
  <c r="I13" i="479"/>
  <c r="F12" i="479"/>
  <c r="E12" i="479"/>
  <c r="I12" i="479" s="1"/>
  <c r="D12" i="479"/>
  <c r="F11" i="479"/>
  <c r="I11" i="479" s="1"/>
  <c r="E11" i="479"/>
  <c r="D11" i="479"/>
  <c r="F10" i="479"/>
  <c r="I10" i="479" s="1"/>
  <c r="E10" i="479"/>
  <c r="D10" i="479"/>
  <c r="C10" i="479"/>
  <c r="F9" i="479"/>
  <c r="I9" i="479" s="1"/>
  <c r="E9" i="479"/>
  <c r="D9" i="479"/>
  <c r="C9" i="479"/>
  <c r="I8" i="479"/>
  <c r="G8" i="479"/>
  <c r="F8" i="479"/>
  <c r="E8" i="479"/>
  <c r="D8" i="479"/>
  <c r="C8" i="479"/>
  <c r="E7" i="479"/>
  <c r="G6" i="479"/>
  <c r="H9" i="478"/>
  <c r="I37" i="478"/>
  <c r="F37" i="478"/>
  <c r="E37" i="478"/>
  <c r="D37" i="478"/>
  <c r="I36" i="478"/>
  <c r="F36" i="478"/>
  <c r="E36" i="478"/>
  <c r="D36" i="478"/>
  <c r="I35" i="478"/>
  <c r="F35" i="478"/>
  <c r="E35" i="478"/>
  <c r="D35" i="478"/>
  <c r="I34" i="478"/>
  <c r="F34" i="478"/>
  <c r="E34" i="478"/>
  <c r="D34" i="478"/>
  <c r="I33" i="478"/>
  <c r="F33" i="478"/>
  <c r="E33" i="478"/>
  <c r="D33" i="478"/>
  <c r="I32" i="478"/>
  <c r="F32" i="478"/>
  <c r="E32" i="478"/>
  <c r="D32" i="478"/>
  <c r="I31" i="478"/>
  <c r="F31" i="478"/>
  <c r="E31" i="478"/>
  <c r="D31" i="478"/>
  <c r="I30" i="478"/>
  <c r="F30" i="478"/>
  <c r="E30" i="478"/>
  <c r="D30" i="478"/>
  <c r="I29" i="478"/>
  <c r="F29" i="478"/>
  <c r="E29" i="478"/>
  <c r="D29" i="478"/>
  <c r="I28" i="478"/>
  <c r="F28" i="478"/>
  <c r="E28" i="478"/>
  <c r="D28" i="478"/>
  <c r="I27" i="478"/>
  <c r="F27" i="478"/>
  <c r="E27" i="478"/>
  <c r="D27" i="478"/>
  <c r="I26" i="478"/>
  <c r="F26" i="478"/>
  <c r="E26" i="478"/>
  <c r="D26" i="478"/>
  <c r="I25" i="478"/>
  <c r="F25" i="478"/>
  <c r="E25" i="478"/>
  <c r="D25" i="478"/>
  <c r="I24" i="478"/>
  <c r="F24" i="478"/>
  <c r="E24" i="478"/>
  <c r="D24" i="478"/>
  <c r="I23" i="478"/>
  <c r="F23" i="478"/>
  <c r="E23" i="478"/>
  <c r="D23" i="478"/>
  <c r="I22" i="478"/>
  <c r="F22" i="478"/>
  <c r="E22" i="478"/>
  <c r="D22" i="478"/>
  <c r="I21" i="478"/>
  <c r="F21" i="478"/>
  <c r="E21" i="478"/>
  <c r="D21" i="478"/>
  <c r="I20" i="478"/>
  <c r="F20" i="478"/>
  <c r="E20" i="478"/>
  <c r="D20" i="478"/>
  <c r="I19" i="478"/>
  <c r="F19" i="478"/>
  <c r="E19" i="478"/>
  <c r="D19" i="478"/>
  <c r="I18" i="478"/>
  <c r="F18" i="478"/>
  <c r="E18" i="478"/>
  <c r="D18" i="478"/>
  <c r="I17" i="478"/>
  <c r="F17" i="478"/>
  <c r="E17" i="478"/>
  <c r="D17" i="478"/>
  <c r="I16" i="478"/>
  <c r="F16" i="478"/>
  <c r="E16" i="478"/>
  <c r="D16" i="478"/>
  <c r="I15" i="478"/>
  <c r="F15" i="478"/>
  <c r="E15" i="478"/>
  <c r="D15" i="478"/>
  <c r="I14" i="478"/>
  <c r="F14" i="478"/>
  <c r="E14" i="478"/>
  <c r="D14" i="478"/>
  <c r="I13" i="478"/>
  <c r="F13" i="478"/>
  <c r="E13" i="478"/>
  <c r="D13" i="478"/>
  <c r="I12" i="478"/>
  <c r="F12" i="478"/>
  <c r="E12" i="478"/>
  <c r="D12" i="478"/>
  <c r="I11" i="478"/>
  <c r="F11" i="478"/>
  <c r="E11" i="478"/>
  <c r="D11" i="478"/>
  <c r="I10" i="478"/>
  <c r="F10" i="478"/>
  <c r="E10" i="478"/>
  <c r="D10" i="478"/>
  <c r="I9" i="478"/>
  <c r="I8" i="478"/>
  <c r="G8" i="478"/>
  <c r="F8" i="478"/>
  <c r="E8" i="478"/>
  <c r="D8" i="478"/>
  <c r="C8" i="478"/>
  <c r="C9" i="478" s="1"/>
  <c r="E7" i="478"/>
  <c r="G6" i="478"/>
  <c r="I37" i="477"/>
  <c r="F37" i="477"/>
  <c r="E37" i="477"/>
  <c r="D37" i="477"/>
  <c r="I36" i="477"/>
  <c r="F36" i="477"/>
  <c r="E36" i="477"/>
  <c r="D36" i="477"/>
  <c r="I35" i="477"/>
  <c r="F35" i="477"/>
  <c r="E35" i="477"/>
  <c r="D35" i="477"/>
  <c r="I34" i="477"/>
  <c r="F34" i="477"/>
  <c r="E34" i="477"/>
  <c r="D34" i="477"/>
  <c r="I33" i="477"/>
  <c r="F33" i="477"/>
  <c r="E33" i="477"/>
  <c r="D33" i="477"/>
  <c r="I32" i="477"/>
  <c r="F32" i="477"/>
  <c r="E32" i="477"/>
  <c r="D32" i="477"/>
  <c r="I31" i="477"/>
  <c r="F31" i="477"/>
  <c r="E31" i="477"/>
  <c r="D31" i="477"/>
  <c r="I30" i="477"/>
  <c r="F30" i="477"/>
  <c r="E30" i="477"/>
  <c r="D30" i="477"/>
  <c r="I29" i="477"/>
  <c r="F29" i="477"/>
  <c r="E29" i="477"/>
  <c r="D29" i="477"/>
  <c r="I28" i="477"/>
  <c r="F28" i="477"/>
  <c r="E28" i="477"/>
  <c r="D28" i="477"/>
  <c r="I27" i="477"/>
  <c r="F27" i="477"/>
  <c r="E27" i="477"/>
  <c r="D27" i="477"/>
  <c r="I26" i="477"/>
  <c r="F26" i="477"/>
  <c r="E26" i="477"/>
  <c r="D26" i="477"/>
  <c r="I25" i="477"/>
  <c r="F25" i="477"/>
  <c r="E25" i="477"/>
  <c r="D25" i="477"/>
  <c r="I24" i="477"/>
  <c r="F24" i="477"/>
  <c r="E24" i="477"/>
  <c r="D24" i="477"/>
  <c r="I23" i="477"/>
  <c r="F23" i="477"/>
  <c r="E23" i="477"/>
  <c r="D23" i="477"/>
  <c r="I22" i="477"/>
  <c r="F22" i="477"/>
  <c r="E22" i="477"/>
  <c r="D22" i="477"/>
  <c r="I21" i="477"/>
  <c r="F21" i="477"/>
  <c r="E21" i="477"/>
  <c r="D21" i="477"/>
  <c r="I20" i="477"/>
  <c r="F20" i="477"/>
  <c r="E20" i="477"/>
  <c r="D20" i="477"/>
  <c r="I19" i="477"/>
  <c r="F19" i="477"/>
  <c r="E19" i="477"/>
  <c r="D19" i="477"/>
  <c r="I18" i="477"/>
  <c r="F18" i="477"/>
  <c r="E18" i="477"/>
  <c r="D18" i="477"/>
  <c r="I17" i="477"/>
  <c r="F17" i="477"/>
  <c r="E17" i="477"/>
  <c r="D17" i="477"/>
  <c r="I16" i="477"/>
  <c r="F16" i="477"/>
  <c r="E16" i="477"/>
  <c r="D16" i="477"/>
  <c r="I15" i="477"/>
  <c r="F15" i="477"/>
  <c r="E15" i="477"/>
  <c r="D15" i="477"/>
  <c r="I14" i="477"/>
  <c r="F14" i="477"/>
  <c r="E14" i="477"/>
  <c r="D14" i="477"/>
  <c r="I13" i="477"/>
  <c r="F13" i="477"/>
  <c r="E13" i="477"/>
  <c r="D13" i="477"/>
  <c r="I12" i="477"/>
  <c r="F12" i="477"/>
  <c r="E12" i="477"/>
  <c r="D12" i="477"/>
  <c r="I11" i="477"/>
  <c r="F11" i="477"/>
  <c r="E11" i="477"/>
  <c r="D11" i="477"/>
  <c r="I10" i="477"/>
  <c r="F10" i="477"/>
  <c r="E10" i="477"/>
  <c r="D10" i="477"/>
  <c r="I9" i="477"/>
  <c r="F9" i="477"/>
  <c r="E9" i="477"/>
  <c r="D9" i="477"/>
  <c r="G8" i="477"/>
  <c r="F8" i="477"/>
  <c r="E8" i="477"/>
  <c r="I8" i="477" s="1"/>
  <c r="I7" i="477" s="1"/>
  <c r="D8" i="477"/>
  <c r="C8" i="477"/>
  <c r="C9" i="477" s="1"/>
  <c r="E7" i="477"/>
  <c r="G6" i="477"/>
  <c r="I37" i="476"/>
  <c r="F37" i="476"/>
  <c r="E37" i="476"/>
  <c r="D37" i="476"/>
  <c r="I36" i="476"/>
  <c r="F36" i="476"/>
  <c r="E36" i="476"/>
  <c r="D36" i="476"/>
  <c r="I35" i="476"/>
  <c r="F35" i="476"/>
  <c r="E35" i="476"/>
  <c r="D35" i="476"/>
  <c r="I34" i="476"/>
  <c r="F34" i="476"/>
  <c r="E34" i="476"/>
  <c r="D34" i="476"/>
  <c r="I33" i="476"/>
  <c r="F33" i="476"/>
  <c r="E33" i="476"/>
  <c r="D33" i="476"/>
  <c r="I32" i="476"/>
  <c r="F32" i="476"/>
  <c r="E32" i="476"/>
  <c r="D32" i="476"/>
  <c r="I31" i="476"/>
  <c r="F31" i="476"/>
  <c r="E31" i="476"/>
  <c r="D31" i="476"/>
  <c r="I30" i="476"/>
  <c r="F30" i="476"/>
  <c r="E30" i="476"/>
  <c r="D30" i="476"/>
  <c r="I29" i="476"/>
  <c r="F29" i="476"/>
  <c r="E29" i="476"/>
  <c r="D29" i="476"/>
  <c r="I28" i="476"/>
  <c r="F28" i="476"/>
  <c r="E28" i="476"/>
  <c r="D28" i="476"/>
  <c r="I27" i="476"/>
  <c r="F27" i="476"/>
  <c r="E27" i="476"/>
  <c r="D27" i="476"/>
  <c r="I26" i="476"/>
  <c r="F26" i="476"/>
  <c r="E26" i="476"/>
  <c r="D26" i="476"/>
  <c r="I25" i="476"/>
  <c r="F25" i="476"/>
  <c r="E25" i="476"/>
  <c r="D25" i="476"/>
  <c r="I24" i="476"/>
  <c r="F24" i="476"/>
  <c r="E24" i="476"/>
  <c r="D24" i="476"/>
  <c r="I23" i="476"/>
  <c r="F23" i="476"/>
  <c r="E23" i="476"/>
  <c r="D23" i="476"/>
  <c r="I22" i="476"/>
  <c r="F22" i="476"/>
  <c r="E22" i="476"/>
  <c r="D22" i="476"/>
  <c r="I21" i="476"/>
  <c r="F21" i="476"/>
  <c r="E21" i="476"/>
  <c r="D21" i="476"/>
  <c r="I20" i="476"/>
  <c r="F20" i="476"/>
  <c r="E20" i="476"/>
  <c r="D20" i="476"/>
  <c r="I19" i="476"/>
  <c r="F19" i="476"/>
  <c r="E19" i="476"/>
  <c r="D19" i="476"/>
  <c r="I18" i="476"/>
  <c r="F18" i="476"/>
  <c r="E18" i="476"/>
  <c r="D18" i="476"/>
  <c r="I17" i="476"/>
  <c r="F17" i="476"/>
  <c r="E17" i="476"/>
  <c r="D17" i="476"/>
  <c r="I16" i="476"/>
  <c r="F16" i="476"/>
  <c r="E16" i="476"/>
  <c r="D16" i="476"/>
  <c r="I15" i="476"/>
  <c r="F15" i="476"/>
  <c r="E15" i="476"/>
  <c r="D15" i="476"/>
  <c r="I14" i="476"/>
  <c r="F14" i="476"/>
  <c r="E14" i="476"/>
  <c r="D14" i="476"/>
  <c r="I13" i="476"/>
  <c r="I7" i="476" s="1"/>
  <c r="F13" i="476"/>
  <c r="E13" i="476"/>
  <c r="D13" i="476"/>
  <c r="I12" i="476"/>
  <c r="F12" i="476"/>
  <c r="E12" i="476"/>
  <c r="D12" i="476"/>
  <c r="I11" i="476"/>
  <c r="F11" i="476"/>
  <c r="E11" i="476"/>
  <c r="D11" i="476"/>
  <c r="I10" i="476"/>
  <c r="F10" i="476"/>
  <c r="E10" i="476"/>
  <c r="D10" i="476"/>
  <c r="I9" i="476"/>
  <c r="F9" i="476"/>
  <c r="E9" i="476"/>
  <c r="D9" i="476"/>
  <c r="C9" i="476"/>
  <c r="I8" i="476"/>
  <c r="G8" i="476"/>
  <c r="F8" i="476"/>
  <c r="E8" i="476"/>
  <c r="D8" i="476"/>
  <c r="C8" i="476"/>
  <c r="E7" i="476"/>
  <c r="G6" i="476"/>
  <c r="I37" i="475"/>
  <c r="F37" i="475"/>
  <c r="E37" i="475"/>
  <c r="D37" i="475"/>
  <c r="I36" i="475"/>
  <c r="F36" i="475"/>
  <c r="E36" i="475"/>
  <c r="D36" i="475"/>
  <c r="I35" i="475"/>
  <c r="F35" i="475"/>
  <c r="E35" i="475"/>
  <c r="D35" i="475"/>
  <c r="I34" i="475"/>
  <c r="F34" i="475"/>
  <c r="E34" i="475"/>
  <c r="D34" i="475"/>
  <c r="I33" i="475"/>
  <c r="F33" i="475"/>
  <c r="E33" i="475"/>
  <c r="D33" i="475"/>
  <c r="I32" i="475"/>
  <c r="F32" i="475"/>
  <c r="E32" i="475"/>
  <c r="D32" i="475"/>
  <c r="I31" i="475"/>
  <c r="F31" i="475"/>
  <c r="E31" i="475"/>
  <c r="D31" i="475"/>
  <c r="I30" i="475"/>
  <c r="F30" i="475"/>
  <c r="E30" i="475"/>
  <c r="D30" i="475"/>
  <c r="I29" i="475"/>
  <c r="F29" i="475"/>
  <c r="E29" i="475"/>
  <c r="D29" i="475"/>
  <c r="I28" i="475"/>
  <c r="F28" i="475"/>
  <c r="E28" i="475"/>
  <c r="D28" i="475"/>
  <c r="I27" i="475"/>
  <c r="F27" i="475"/>
  <c r="E27" i="475"/>
  <c r="D27" i="475"/>
  <c r="I26" i="475"/>
  <c r="F26" i="475"/>
  <c r="E26" i="475"/>
  <c r="D26" i="475"/>
  <c r="I25" i="475"/>
  <c r="F25" i="475"/>
  <c r="E25" i="475"/>
  <c r="D25" i="475"/>
  <c r="I24" i="475"/>
  <c r="F24" i="475"/>
  <c r="E24" i="475"/>
  <c r="D24" i="475"/>
  <c r="I23" i="475"/>
  <c r="F23" i="475"/>
  <c r="E23" i="475"/>
  <c r="D23" i="475"/>
  <c r="I22" i="475"/>
  <c r="F22" i="475"/>
  <c r="E22" i="475"/>
  <c r="D22" i="475"/>
  <c r="I21" i="475"/>
  <c r="F21" i="475"/>
  <c r="E21" i="475"/>
  <c r="D21" i="475"/>
  <c r="I20" i="475"/>
  <c r="F20" i="475"/>
  <c r="E20" i="475"/>
  <c r="D20" i="475"/>
  <c r="I19" i="475"/>
  <c r="F19" i="475"/>
  <c r="E19" i="475"/>
  <c r="D19" i="475"/>
  <c r="I18" i="475"/>
  <c r="F18" i="475"/>
  <c r="E18" i="475"/>
  <c r="D18" i="475"/>
  <c r="I17" i="475"/>
  <c r="F17" i="475"/>
  <c r="E17" i="475"/>
  <c r="D17" i="475"/>
  <c r="I16" i="475"/>
  <c r="F16" i="475"/>
  <c r="E16" i="475"/>
  <c r="D16" i="475"/>
  <c r="I15" i="475"/>
  <c r="F15" i="475"/>
  <c r="E15" i="475"/>
  <c r="D15" i="475"/>
  <c r="I14" i="475"/>
  <c r="F14" i="475"/>
  <c r="E14" i="475"/>
  <c r="D14" i="475"/>
  <c r="I13" i="475"/>
  <c r="F13" i="475"/>
  <c r="E13" i="475"/>
  <c r="D13" i="475"/>
  <c r="I12" i="475"/>
  <c r="F12" i="475"/>
  <c r="E12" i="475"/>
  <c r="D12" i="475"/>
  <c r="I11" i="475"/>
  <c r="I10" i="475"/>
  <c r="F10" i="475"/>
  <c r="E10" i="475"/>
  <c r="D10" i="475"/>
  <c r="F9" i="475"/>
  <c r="I9" i="475" s="1"/>
  <c r="E9" i="475"/>
  <c r="D9" i="475"/>
  <c r="C9" i="475"/>
  <c r="G8" i="475"/>
  <c r="F8" i="475"/>
  <c r="I8" i="475" s="1"/>
  <c r="E8" i="475"/>
  <c r="D8" i="475"/>
  <c r="C8" i="475"/>
  <c r="E7" i="475"/>
  <c r="G6" i="475"/>
  <c r="I37" i="474"/>
  <c r="F37" i="474"/>
  <c r="E37" i="474"/>
  <c r="D37" i="474"/>
  <c r="I36" i="474"/>
  <c r="F36" i="474"/>
  <c r="E36" i="474"/>
  <c r="D36" i="474"/>
  <c r="I35" i="474"/>
  <c r="F35" i="474"/>
  <c r="E35" i="474"/>
  <c r="D35" i="474"/>
  <c r="I34" i="474"/>
  <c r="F34" i="474"/>
  <c r="E34" i="474"/>
  <c r="D34" i="474"/>
  <c r="I33" i="474"/>
  <c r="F33" i="474"/>
  <c r="E33" i="474"/>
  <c r="D33" i="474"/>
  <c r="I32" i="474"/>
  <c r="F32" i="474"/>
  <c r="E32" i="474"/>
  <c r="D32" i="474"/>
  <c r="I31" i="474"/>
  <c r="F31" i="474"/>
  <c r="E31" i="474"/>
  <c r="D31" i="474"/>
  <c r="I30" i="474"/>
  <c r="F30" i="474"/>
  <c r="E30" i="474"/>
  <c r="D30" i="474"/>
  <c r="I29" i="474"/>
  <c r="F29" i="474"/>
  <c r="E29" i="474"/>
  <c r="D29" i="474"/>
  <c r="I28" i="474"/>
  <c r="F28" i="474"/>
  <c r="E28" i="474"/>
  <c r="D28" i="474"/>
  <c r="I27" i="474"/>
  <c r="F27" i="474"/>
  <c r="E27" i="474"/>
  <c r="D27" i="474"/>
  <c r="I26" i="474"/>
  <c r="F26" i="474"/>
  <c r="E26" i="474"/>
  <c r="D26" i="474"/>
  <c r="I25" i="474"/>
  <c r="F25" i="474"/>
  <c r="E25" i="474"/>
  <c r="D25" i="474"/>
  <c r="I24" i="474"/>
  <c r="F24" i="474"/>
  <c r="E24" i="474"/>
  <c r="D24" i="474"/>
  <c r="I23" i="474"/>
  <c r="F23" i="474"/>
  <c r="E23" i="474"/>
  <c r="D23" i="474"/>
  <c r="I22" i="474"/>
  <c r="F22" i="474"/>
  <c r="E22" i="474"/>
  <c r="D22" i="474"/>
  <c r="I21" i="474"/>
  <c r="F21" i="474"/>
  <c r="E21" i="474"/>
  <c r="D21" i="474"/>
  <c r="I20" i="474"/>
  <c r="F20" i="474"/>
  <c r="E20" i="474"/>
  <c r="D20" i="474"/>
  <c r="I19" i="474"/>
  <c r="F19" i="474"/>
  <c r="E19" i="474"/>
  <c r="D19" i="474"/>
  <c r="I18" i="474"/>
  <c r="F18" i="474"/>
  <c r="E18" i="474"/>
  <c r="D18" i="474"/>
  <c r="I17" i="474"/>
  <c r="F17" i="474"/>
  <c r="E17" i="474"/>
  <c r="D17" i="474"/>
  <c r="I16" i="474"/>
  <c r="F16" i="474"/>
  <c r="E16" i="474"/>
  <c r="D16" i="474"/>
  <c r="I15" i="474"/>
  <c r="F15" i="474"/>
  <c r="E15" i="474"/>
  <c r="D15" i="474"/>
  <c r="I14" i="474"/>
  <c r="F14" i="474"/>
  <c r="E14" i="474"/>
  <c r="D14" i="474"/>
  <c r="I13" i="474"/>
  <c r="F13" i="474"/>
  <c r="E13" i="474"/>
  <c r="D13" i="474"/>
  <c r="I12" i="474"/>
  <c r="F12" i="474"/>
  <c r="E12" i="474"/>
  <c r="D12" i="474"/>
  <c r="I11" i="474"/>
  <c r="F11" i="474"/>
  <c r="E11" i="474"/>
  <c r="D11" i="474"/>
  <c r="I10" i="474"/>
  <c r="F10" i="474"/>
  <c r="E10" i="474"/>
  <c r="D10" i="474"/>
  <c r="F9" i="474"/>
  <c r="I9" i="474" s="1"/>
  <c r="E9" i="474"/>
  <c r="D9" i="474"/>
  <c r="G8" i="474"/>
  <c r="F8" i="474"/>
  <c r="E8" i="474"/>
  <c r="I8" i="474" s="1"/>
  <c r="D8" i="474"/>
  <c r="C8" i="474"/>
  <c r="C9" i="474" s="1"/>
  <c r="E7" i="474"/>
  <c r="G6" i="474"/>
  <c r="I37" i="473"/>
  <c r="F37" i="473"/>
  <c r="E37" i="473"/>
  <c r="D37" i="473"/>
  <c r="I36" i="473"/>
  <c r="F36" i="473"/>
  <c r="E36" i="473"/>
  <c r="D36" i="473"/>
  <c r="I35" i="473"/>
  <c r="F35" i="473"/>
  <c r="E35" i="473"/>
  <c r="D35" i="473"/>
  <c r="I34" i="473"/>
  <c r="F34" i="473"/>
  <c r="E34" i="473"/>
  <c r="D34" i="473"/>
  <c r="I33" i="473"/>
  <c r="F33" i="473"/>
  <c r="E33" i="473"/>
  <c r="D33" i="473"/>
  <c r="I32" i="473"/>
  <c r="F32" i="473"/>
  <c r="E32" i="473"/>
  <c r="D32" i="473"/>
  <c r="I31" i="473"/>
  <c r="F31" i="473"/>
  <c r="E31" i="473"/>
  <c r="D31" i="473"/>
  <c r="I30" i="473"/>
  <c r="F30" i="473"/>
  <c r="E30" i="473"/>
  <c r="D30" i="473"/>
  <c r="I29" i="473"/>
  <c r="F29" i="473"/>
  <c r="E29" i="473"/>
  <c r="D29" i="473"/>
  <c r="I28" i="473"/>
  <c r="F28" i="473"/>
  <c r="E28" i="473"/>
  <c r="D28" i="473"/>
  <c r="I27" i="473"/>
  <c r="F27" i="473"/>
  <c r="E27" i="473"/>
  <c r="D27" i="473"/>
  <c r="I26" i="473"/>
  <c r="F26" i="473"/>
  <c r="E26" i="473"/>
  <c r="D26" i="473"/>
  <c r="I25" i="473"/>
  <c r="F25" i="473"/>
  <c r="E25" i="473"/>
  <c r="D25" i="473"/>
  <c r="I24" i="473"/>
  <c r="F24" i="473"/>
  <c r="E24" i="473"/>
  <c r="D24" i="473"/>
  <c r="I23" i="473"/>
  <c r="F23" i="473"/>
  <c r="E23" i="473"/>
  <c r="D23" i="473"/>
  <c r="I22" i="473"/>
  <c r="F22" i="473"/>
  <c r="E22" i="473"/>
  <c r="D22" i="473"/>
  <c r="I21" i="473"/>
  <c r="F21" i="473"/>
  <c r="E21" i="473"/>
  <c r="D21" i="473"/>
  <c r="I20" i="473"/>
  <c r="F20" i="473"/>
  <c r="E20" i="473"/>
  <c r="D20" i="473"/>
  <c r="I19" i="473"/>
  <c r="F19" i="473"/>
  <c r="E19" i="473"/>
  <c r="D19" i="473"/>
  <c r="I18" i="473"/>
  <c r="F18" i="473"/>
  <c r="E18" i="473"/>
  <c r="D18" i="473"/>
  <c r="I17" i="473"/>
  <c r="F17" i="473"/>
  <c r="E17" i="473"/>
  <c r="D17" i="473"/>
  <c r="I16" i="473"/>
  <c r="F16" i="473"/>
  <c r="E16" i="473"/>
  <c r="D16" i="473"/>
  <c r="I15" i="473"/>
  <c r="F15" i="473"/>
  <c r="E15" i="473"/>
  <c r="D15" i="473"/>
  <c r="I14" i="473"/>
  <c r="F14" i="473"/>
  <c r="E14" i="473"/>
  <c r="D14" i="473"/>
  <c r="I13" i="473"/>
  <c r="F13" i="473"/>
  <c r="E13" i="473"/>
  <c r="D13" i="473"/>
  <c r="I12" i="473"/>
  <c r="F12" i="473"/>
  <c r="E12" i="473"/>
  <c r="D12" i="473"/>
  <c r="I11" i="473"/>
  <c r="F11" i="473"/>
  <c r="E11" i="473"/>
  <c r="D11" i="473"/>
  <c r="I10" i="473"/>
  <c r="F10" i="473"/>
  <c r="E10" i="473"/>
  <c r="D10" i="473"/>
  <c r="I9" i="473"/>
  <c r="F9" i="473"/>
  <c r="E9" i="473"/>
  <c r="D9" i="473"/>
  <c r="I8" i="473"/>
  <c r="I7" i="473" s="1"/>
  <c r="G8" i="473"/>
  <c r="F8" i="473"/>
  <c r="E8" i="473"/>
  <c r="D8" i="473"/>
  <c r="C8" i="473"/>
  <c r="C9" i="473" s="1"/>
  <c r="E7" i="473"/>
  <c r="G6" i="473"/>
  <c r="H9" i="472"/>
  <c r="I37" i="472"/>
  <c r="F37" i="472"/>
  <c r="E37" i="472"/>
  <c r="D37" i="472"/>
  <c r="I36" i="472"/>
  <c r="F36" i="472"/>
  <c r="E36" i="472"/>
  <c r="D36" i="472"/>
  <c r="I35" i="472"/>
  <c r="F35" i="472"/>
  <c r="E35" i="472"/>
  <c r="D35" i="472"/>
  <c r="I34" i="472"/>
  <c r="F34" i="472"/>
  <c r="E34" i="472"/>
  <c r="D34" i="472"/>
  <c r="I33" i="472"/>
  <c r="F33" i="472"/>
  <c r="E33" i="472"/>
  <c r="D33" i="472"/>
  <c r="I32" i="472"/>
  <c r="F32" i="472"/>
  <c r="E32" i="472"/>
  <c r="D32" i="472"/>
  <c r="I31" i="472"/>
  <c r="F31" i="472"/>
  <c r="E31" i="472"/>
  <c r="D31" i="472"/>
  <c r="I30" i="472"/>
  <c r="F30" i="472"/>
  <c r="E30" i="472"/>
  <c r="D30" i="472"/>
  <c r="I29" i="472"/>
  <c r="F29" i="472"/>
  <c r="E29" i="472"/>
  <c r="D29" i="472"/>
  <c r="I28" i="472"/>
  <c r="F28" i="472"/>
  <c r="E28" i="472"/>
  <c r="D28" i="472"/>
  <c r="I27" i="472"/>
  <c r="F27" i="472"/>
  <c r="E27" i="472"/>
  <c r="D27" i="472"/>
  <c r="I26" i="472"/>
  <c r="F26" i="472"/>
  <c r="E26" i="472"/>
  <c r="D26" i="472"/>
  <c r="I25" i="472"/>
  <c r="F25" i="472"/>
  <c r="E25" i="472"/>
  <c r="D25" i="472"/>
  <c r="I24" i="472"/>
  <c r="F24" i="472"/>
  <c r="E24" i="472"/>
  <c r="D24" i="472"/>
  <c r="I23" i="472"/>
  <c r="F23" i="472"/>
  <c r="E23" i="472"/>
  <c r="D23" i="472"/>
  <c r="I22" i="472"/>
  <c r="F22" i="472"/>
  <c r="E22" i="472"/>
  <c r="D22" i="472"/>
  <c r="I21" i="472"/>
  <c r="F21" i="472"/>
  <c r="E21" i="472"/>
  <c r="D21" i="472"/>
  <c r="I20" i="472"/>
  <c r="F20" i="472"/>
  <c r="E20" i="472"/>
  <c r="D20" i="472"/>
  <c r="I19" i="472"/>
  <c r="F19" i="472"/>
  <c r="E19" i="472"/>
  <c r="D19" i="472"/>
  <c r="I18" i="472"/>
  <c r="F18" i="472"/>
  <c r="E18" i="472"/>
  <c r="D18" i="472"/>
  <c r="I17" i="472"/>
  <c r="F17" i="472"/>
  <c r="E17" i="472"/>
  <c r="D17" i="472"/>
  <c r="I16" i="472"/>
  <c r="F16" i="472"/>
  <c r="E16" i="472"/>
  <c r="D16" i="472"/>
  <c r="I15" i="472"/>
  <c r="F15" i="472"/>
  <c r="E15" i="472"/>
  <c r="D15" i="472"/>
  <c r="I14" i="472"/>
  <c r="F14" i="472"/>
  <c r="E14" i="472"/>
  <c r="D14" i="472"/>
  <c r="I13" i="472"/>
  <c r="F13" i="472"/>
  <c r="E13" i="472"/>
  <c r="D13" i="472"/>
  <c r="I12" i="472"/>
  <c r="F12" i="472"/>
  <c r="E12" i="472"/>
  <c r="D12" i="472"/>
  <c r="I11" i="472"/>
  <c r="F11" i="472"/>
  <c r="E11" i="472"/>
  <c r="D11" i="472"/>
  <c r="I10" i="472"/>
  <c r="F10" i="472"/>
  <c r="E10" i="472"/>
  <c r="D10" i="472"/>
  <c r="I9" i="472"/>
  <c r="G8" i="472"/>
  <c r="F8" i="472"/>
  <c r="I8" i="472" s="1"/>
  <c r="E8" i="472"/>
  <c r="D8" i="472"/>
  <c r="C8" i="472"/>
  <c r="C9" i="472" s="1"/>
  <c r="E7" i="472"/>
  <c r="G6" i="472"/>
  <c r="I37" i="471"/>
  <c r="F37" i="471"/>
  <c r="E37" i="471"/>
  <c r="D37" i="471"/>
  <c r="I36" i="471"/>
  <c r="F36" i="471"/>
  <c r="E36" i="471"/>
  <c r="D36" i="471"/>
  <c r="I35" i="471"/>
  <c r="F35" i="471"/>
  <c r="E35" i="471"/>
  <c r="D35" i="471"/>
  <c r="I34" i="471"/>
  <c r="F34" i="471"/>
  <c r="E34" i="471"/>
  <c r="D34" i="471"/>
  <c r="I33" i="471"/>
  <c r="F33" i="471"/>
  <c r="E33" i="471"/>
  <c r="D33" i="471"/>
  <c r="I32" i="471"/>
  <c r="F32" i="471"/>
  <c r="E32" i="471"/>
  <c r="D32" i="471"/>
  <c r="I31" i="471"/>
  <c r="F31" i="471"/>
  <c r="E31" i="471"/>
  <c r="D31" i="471"/>
  <c r="I30" i="471"/>
  <c r="F30" i="471"/>
  <c r="E30" i="471"/>
  <c r="D30" i="471"/>
  <c r="I29" i="471"/>
  <c r="F29" i="471"/>
  <c r="E29" i="471"/>
  <c r="D29" i="471"/>
  <c r="I28" i="471"/>
  <c r="F28" i="471"/>
  <c r="E28" i="471"/>
  <c r="D28" i="471"/>
  <c r="I27" i="471"/>
  <c r="F27" i="471"/>
  <c r="E27" i="471"/>
  <c r="D27" i="471"/>
  <c r="I26" i="471"/>
  <c r="F26" i="471"/>
  <c r="E26" i="471"/>
  <c r="D26" i="471"/>
  <c r="I25" i="471"/>
  <c r="F25" i="471"/>
  <c r="E25" i="471"/>
  <c r="D25" i="471"/>
  <c r="I24" i="471"/>
  <c r="F24" i="471"/>
  <c r="E24" i="471"/>
  <c r="D24" i="471"/>
  <c r="I23" i="471"/>
  <c r="F23" i="471"/>
  <c r="E23" i="471"/>
  <c r="D23" i="471"/>
  <c r="I22" i="471"/>
  <c r="F22" i="471"/>
  <c r="E22" i="471"/>
  <c r="D22" i="471"/>
  <c r="I21" i="471"/>
  <c r="F21" i="471"/>
  <c r="E21" i="471"/>
  <c r="D21" i="471"/>
  <c r="I20" i="471"/>
  <c r="F20" i="471"/>
  <c r="E20" i="471"/>
  <c r="D20" i="471"/>
  <c r="I19" i="471"/>
  <c r="F19" i="471"/>
  <c r="E19" i="471"/>
  <c r="D19" i="471"/>
  <c r="I18" i="471"/>
  <c r="F18" i="471"/>
  <c r="E18" i="471"/>
  <c r="D18" i="471"/>
  <c r="I17" i="471"/>
  <c r="F17" i="471"/>
  <c r="E17" i="471"/>
  <c r="D17" i="471"/>
  <c r="I16" i="471"/>
  <c r="F16" i="471"/>
  <c r="E16" i="471"/>
  <c r="D16" i="471"/>
  <c r="I15" i="471"/>
  <c r="F15" i="471"/>
  <c r="E15" i="471"/>
  <c r="D15" i="471"/>
  <c r="I14" i="471"/>
  <c r="F14" i="471"/>
  <c r="E14" i="471"/>
  <c r="D14" i="471"/>
  <c r="I13" i="471"/>
  <c r="F13" i="471"/>
  <c r="E13" i="471"/>
  <c r="D13" i="471"/>
  <c r="I12" i="471"/>
  <c r="F12" i="471"/>
  <c r="E12" i="471"/>
  <c r="D12" i="471"/>
  <c r="I11" i="471"/>
  <c r="F11" i="471"/>
  <c r="E11" i="471"/>
  <c r="D11" i="471"/>
  <c r="I10" i="471"/>
  <c r="I9" i="471"/>
  <c r="F9" i="471"/>
  <c r="E9" i="471"/>
  <c r="D9" i="471"/>
  <c r="I8" i="471"/>
  <c r="G8" i="471"/>
  <c r="F8" i="471"/>
  <c r="E8" i="471"/>
  <c r="D8" i="471"/>
  <c r="C8" i="471"/>
  <c r="C9" i="471" s="1"/>
  <c r="E7" i="471"/>
  <c r="G6" i="471"/>
  <c r="I37" i="470"/>
  <c r="F37" i="470"/>
  <c r="E37" i="470"/>
  <c r="D37" i="470"/>
  <c r="I36" i="470"/>
  <c r="F36" i="470"/>
  <c r="E36" i="470"/>
  <c r="D36" i="470"/>
  <c r="I35" i="470"/>
  <c r="F35" i="470"/>
  <c r="E35" i="470"/>
  <c r="D35" i="470"/>
  <c r="I34" i="470"/>
  <c r="F34" i="470"/>
  <c r="E34" i="470"/>
  <c r="D34" i="470"/>
  <c r="I33" i="470"/>
  <c r="F33" i="470"/>
  <c r="E33" i="470"/>
  <c r="D33" i="470"/>
  <c r="I32" i="470"/>
  <c r="F32" i="470"/>
  <c r="E32" i="470"/>
  <c r="D32" i="470"/>
  <c r="I31" i="470"/>
  <c r="F31" i="470"/>
  <c r="E31" i="470"/>
  <c r="D31" i="470"/>
  <c r="I30" i="470"/>
  <c r="F30" i="470"/>
  <c r="E30" i="470"/>
  <c r="D30" i="470"/>
  <c r="I29" i="470"/>
  <c r="F29" i="470"/>
  <c r="E29" i="470"/>
  <c r="D29" i="470"/>
  <c r="I28" i="470"/>
  <c r="F28" i="470"/>
  <c r="E28" i="470"/>
  <c r="D28" i="470"/>
  <c r="I27" i="470"/>
  <c r="F27" i="470"/>
  <c r="E27" i="470"/>
  <c r="D27" i="470"/>
  <c r="I26" i="470"/>
  <c r="F26" i="470"/>
  <c r="E26" i="470"/>
  <c r="D26" i="470"/>
  <c r="I25" i="470"/>
  <c r="F25" i="470"/>
  <c r="E25" i="470"/>
  <c r="D25" i="470"/>
  <c r="I24" i="470"/>
  <c r="F24" i="470"/>
  <c r="E24" i="470"/>
  <c r="D24" i="470"/>
  <c r="I23" i="470"/>
  <c r="F23" i="470"/>
  <c r="E23" i="470"/>
  <c r="D23" i="470"/>
  <c r="I22" i="470"/>
  <c r="F22" i="470"/>
  <c r="E22" i="470"/>
  <c r="D22" i="470"/>
  <c r="I21" i="470"/>
  <c r="F21" i="470"/>
  <c r="E21" i="470"/>
  <c r="D21" i="470"/>
  <c r="I20" i="470"/>
  <c r="F20" i="470"/>
  <c r="E20" i="470"/>
  <c r="D20" i="470"/>
  <c r="I19" i="470"/>
  <c r="F19" i="470"/>
  <c r="E19" i="470"/>
  <c r="D19" i="470"/>
  <c r="I18" i="470"/>
  <c r="F18" i="470"/>
  <c r="E18" i="470"/>
  <c r="D18" i="470"/>
  <c r="I17" i="470"/>
  <c r="F17" i="470"/>
  <c r="E17" i="470"/>
  <c r="D17" i="470"/>
  <c r="I16" i="470"/>
  <c r="F16" i="470"/>
  <c r="E16" i="470"/>
  <c r="D16" i="470"/>
  <c r="I15" i="470"/>
  <c r="F15" i="470"/>
  <c r="E15" i="470"/>
  <c r="D15" i="470"/>
  <c r="I14" i="470"/>
  <c r="F14" i="470"/>
  <c r="E14" i="470"/>
  <c r="D14" i="470"/>
  <c r="I13" i="470"/>
  <c r="F13" i="470"/>
  <c r="E13" i="470"/>
  <c r="D13" i="470"/>
  <c r="F12" i="470"/>
  <c r="E12" i="470"/>
  <c r="I12" i="470" s="1"/>
  <c r="D12" i="470"/>
  <c r="F11" i="470"/>
  <c r="I11" i="470" s="1"/>
  <c r="E11" i="470"/>
  <c r="D11" i="470"/>
  <c r="F10" i="470"/>
  <c r="I10" i="470" s="1"/>
  <c r="E10" i="470"/>
  <c r="D10" i="470"/>
  <c r="I9" i="470"/>
  <c r="F9" i="470"/>
  <c r="E9" i="470"/>
  <c r="D9" i="470"/>
  <c r="I8" i="470"/>
  <c r="I7" i="470" s="1"/>
  <c r="G8" i="470"/>
  <c r="F8" i="470"/>
  <c r="E8" i="470"/>
  <c r="D8" i="470"/>
  <c r="C8" i="470"/>
  <c r="C9" i="470" s="1"/>
  <c r="E7" i="470"/>
  <c r="G6" i="470"/>
  <c r="H11" i="469"/>
  <c r="I37" i="469"/>
  <c r="F37" i="469"/>
  <c r="E37" i="469"/>
  <c r="D37" i="469"/>
  <c r="I36" i="469"/>
  <c r="F36" i="469"/>
  <c r="E36" i="469"/>
  <c r="D36" i="469"/>
  <c r="I35" i="469"/>
  <c r="F35" i="469"/>
  <c r="E35" i="469"/>
  <c r="D35" i="469"/>
  <c r="I34" i="469"/>
  <c r="F34" i="469"/>
  <c r="E34" i="469"/>
  <c r="D34" i="469"/>
  <c r="I33" i="469"/>
  <c r="F33" i="469"/>
  <c r="E33" i="469"/>
  <c r="D33" i="469"/>
  <c r="I32" i="469"/>
  <c r="F32" i="469"/>
  <c r="E32" i="469"/>
  <c r="D32" i="469"/>
  <c r="I31" i="469"/>
  <c r="F31" i="469"/>
  <c r="E31" i="469"/>
  <c r="D31" i="469"/>
  <c r="I30" i="469"/>
  <c r="F30" i="469"/>
  <c r="E30" i="469"/>
  <c r="D30" i="469"/>
  <c r="I29" i="469"/>
  <c r="F29" i="469"/>
  <c r="E29" i="469"/>
  <c r="D29" i="469"/>
  <c r="I28" i="469"/>
  <c r="F28" i="469"/>
  <c r="E28" i="469"/>
  <c r="D28" i="469"/>
  <c r="I27" i="469"/>
  <c r="F27" i="469"/>
  <c r="E27" i="469"/>
  <c r="D27" i="469"/>
  <c r="I26" i="469"/>
  <c r="F26" i="469"/>
  <c r="E26" i="469"/>
  <c r="D26" i="469"/>
  <c r="I25" i="469"/>
  <c r="F25" i="469"/>
  <c r="E25" i="469"/>
  <c r="D25" i="469"/>
  <c r="I24" i="469"/>
  <c r="F24" i="469"/>
  <c r="E24" i="469"/>
  <c r="D24" i="469"/>
  <c r="I23" i="469"/>
  <c r="F23" i="469"/>
  <c r="E23" i="469"/>
  <c r="D23" i="469"/>
  <c r="I22" i="469"/>
  <c r="F22" i="469"/>
  <c r="E22" i="469"/>
  <c r="D22" i="469"/>
  <c r="I21" i="469"/>
  <c r="F21" i="469"/>
  <c r="E21" i="469"/>
  <c r="D21" i="469"/>
  <c r="I20" i="469"/>
  <c r="F20" i="469"/>
  <c r="E20" i="469"/>
  <c r="D20" i="469"/>
  <c r="I19" i="469"/>
  <c r="F19" i="469"/>
  <c r="E19" i="469"/>
  <c r="D19" i="469"/>
  <c r="I18" i="469"/>
  <c r="F18" i="469"/>
  <c r="E18" i="469"/>
  <c r="D18" i="469"/>
  <c r="I17" i="469"/>
  <c r="F17" i="469"/>
  <c r="E17" i="469"/>
  <c r="D17" i="469"/>
  <c r="I16" i="469"/>
  <c r="F16" i="469"/>
  <c r="E16" i="469"/>
  <c r="D16" i="469"/>
  <c r="I15" i="469"/>
  <c r="F15" i="469"/>
  <c r="E15" i="469"/>
  <c r="D15" i="469"/>
  <c r="I14" i="469"/>
  <c r="F14" i="469"/>
  <c r="E14" i="469"/>
  <c r="D14" i="469"/>
  <c r="I13" i="469"/>
  <c r="F13" i="469"/>
  <c r="E13" i="469"/>
  <c r="D13" i="469"/>
  <c r="I12" i="469"/>
  <c r="F12" i="469"/>
  <c r="E12" i="469"/>
  <c r="D12" i="469"/>
  <c r="I11" i="469"/>
  <c r="I10" i="469"/>
  <c r="F10" i="469"/>
  <c r="E10" i="469"/>
  <c r="D10" i="469"/>
  <c r="F9" i="469"/>
  <c r="I9" i="469" s="1"/>
  <c r="E9" i="469"/>
  <c r="D9" i="469"/>
  <c r="C9" i="469"/>
  <c r="G8" i="469"/>
  <c r="F8" i="469"/>
  <c r="E8" i="469"/>
  <c r="I8" i="469" s="1"/>
  <c r="D8" i="469"/>
  <c r="C8" i="469"/>
  <c r="E7" i="469"/>
  <c r="G6" i="469"/>
  <c r="H11" i="468"/>
  <c r="I37" i="468"/>
  <c r="F37" i="468"/>
  <c r="E37" i="468"/>
  <c r="D37" i="468"/>
  <c r="I36" i="468"/>
  <c r="F36" i="468"/>
  <c r="E36" i="468"/>
  <c r="D36" i="468"/>
  <c r="I35" i="468"/>
  <c r="F35" i="468"/>
  <c r="E35" i="468"/>
  <c r="D35" i="468"/>
  <c r="I34" i="468"/>
  <c r="F34" i="468"/>
  <c r="E34" i="468"/>
  <c r="D34" i="468"/>
  <c r="I33" i="468"/>
  <c r="F33" i="468"/>
  <c r="E33" i="468"/>
  <c r="D33" i="468"/>
  <c r="I32" i="468"/>
  <c r="F32" i="468"/>
  <c r="E32" i="468"/>
  <c r="D32" i="468"/>
  <c r="I31" i="468"/>
  <c r="F31" i="468"/>
  <c r="E31" i="468"/>
  <c r="D31" i="468"/>
  <c r="I30" i="468"/>
  <c r="F30" i="468"/>
  <c r="E30" i="468"/>
  <c r="D30" i="468"/>
  <c r="I29" i="468"/>
  <c r="F29" i="468"/>
  <c r="E29" i="468"/>
  <c r="D29" i="468"/>
  <c r="I28" i="468"/>
  <c r="F28" i="468"/>
  <c r="E28" i="468"/>
  <c r="D28" i="468"/>
  <c r="I27" i="468"/>
  <c r="F27" i="468"/>
  <c r="E27" i="468"/>
  <c r="D27" i="468"/>
  <c r="I26" i="468"/>
  <c r="F26" i="468"/>
  <c r="E26" i="468"/>
  <c r="D26" i="468"/>
  <c r="I25" i="468"/>
  <c r="F25" i="468"/>
  <c r="E25" i="468"/>
  <c r="D25" i="468"/>
  <c r="I24" i="468"/>
  <c r="F24" i="468"/>
  <c r="E24" i="468"/>
  <c r="D24" i="468"/>
  <c r="I23" i="468"/>
  <c r="F23" i="468"/>
  <c r="E23" i="468"/>
  <c r="D23" i="468"/>
  <c r="I22" i="468"/>
  <c r="F22" i="468"/>
  <c r="E22" i="468"/>
  <c r="D22" i="468"/>
  <c r="I21" i="468"/>
  <c r="F21" i="468"/>
  <c r="E21" i="468"/>
  <c r="D21" i="468"/>
  <c r="I20" i="468"/>
  <c r="F20" i="468"/>
  <c r="E20" i="468"/>
  <c r="D20" i="468"/>
  <c r="I19" i="468"/>
  <c r="F19" i="468"/>
  <c r="E19" i="468"/>
  <c r="D19" i="468"/>
  <c r="I18" i="468"/>
  <c r="F18" i="468"/>
  <c r="E18" i="468"/>
  <c r="D18" i="468"/>
  <c r="I17" i="468"/>
  <c r="F17" i="468"/>
  <c r="E17" i="468"/>
  <c r="D17" i="468"/>
  <c r="I16" i="468"/>
  <c r="F16" i="468"/>
  <c r="E16" i="468"/>
  <c r="D16" i="468"/>
  <c r="I15" i="468"/>
  <c r="F15" i="468"/>
  <c r="E15" i="468"/>
  <c r="D15" i="468"/>
  <c r="I14" i="468"/>
  <c r="F14" i="468"/>
  <c r="E14" i="468"/>
  <c r="D14" i="468"/>
  <c r="I13" i="468"/>
  <c r="F13" i="468"/>
  <c r="E13" i="468"/>
  <c r="D13" i="468"/>
  <c r="I12" i="468"/>
  <c r="F12" i="468"/>
  <c r="E12" i="468"/>
  <c r="D12" i="468"/>
  <c r="F10" i="468"/>
  <c r="I10" i="468" s="1"/>
  <c r="E10" i="468"/>
  <c r="D10" i="468"/>
  <c r="F9" i="468"/>
  <c r="I9" i="468" s="1"/>
  <c r="E9" i="468"/>
  <c r="D9" i="468"/>
  <c r="G8" i="468"/>
  <c r="F8" i="468"/>
  <c r="E8" i="468"/>
  <c r="I8" i="468" s="1"/>
  <c r="D8" i="468"/>
  <c r="C8" i="468"/>
  <c r="C9" i="468" s="1"/>
  <c r="E7" i="468"/>
  <c r="G6" i="468"/>
  <c r="H18" i="467"/>
  <c r="I37" i="467"/>
  <c r="F37" i="467"/>
  <c r="E37" i="467"/>
  <c r="D37" i="467"/>
  <c r="I36" i="467"/>
  <c r="F36" i="467"/>
  <c r="E36" i="467"/>
  <c r="D36" i="467"/>
  <c r="I35" i="467"/>
  <c r="F35" i="467"/>
  <c r="E35" i="467"/>
  <c r="D35" i="467"/>
  <c r="I34" i="467"/>
  <c r="F34" i="467"/>
  <c r="E34" i="467"/>
  <c r="D34" i="467"/>
  <c r="I33" i="467"/>
  <c r="F33" i="467"/>
  <c r="E33" i="467"/>
  <c r="D33" i="467"/>
  <c r="I32" i="467"/>
  <c r="F32" i="467"/>
  <c r="E32" i="467"/>
  <c r="D32" i="467"/>
  <c r="I31" i="467"/>
  <c r="F31" i="467"/>
  <c r="E31" i="467"/>
  <c r="D31" i="467"/>
  <c r="I30" i="467"/>
  <c r="F30" i="467"/>
  <c r="E30" i="467"/>
  <c r="D30" i="467"/>
  <c r="I29" i="467"/>
  <c r="F29" i="467"/>
  <c r="E29" i="467"/>
  <c r="D29" i="467"/>
  <c r="I28" i="467"/>
  <c r="F28" i="467"/>
  <c r="E28" i="467"/>
  <c r="D28" i="467"/>
  <c r="I27" i="467"/>
  <c r="F27" i="467"/>
  <c r="E27" i="467"/>
  <c r="D27" i="467"/>
  <c r="I26" i="467"/>
  <c r="F26" i="467"/>
  <c r="E26" i="467"/>
  <c r="D26" i="467"/>
  <c r="I25" i="467"/>
  <c r="F25" i="467"/>
  <c r="E25" i="467"/>
  <c r="D25" i="467"/>
  <c r="I24" i="467"/>
  <c r="F24" i="467"/>
  <c r="E24" i="467"/>
  <c r="D24" i="467"/>
  <c r="I23" i="467"/>
  <c r="F23" i="467"/>
  <c r="E23" i="467"/>
  <c r="D23" i="467"/>
  <c r="I22" i="467"/>
  <c r="F22" i="467"/>
  <c r="E22" i="467"/>
  <c r="D22" i="467"/>
  <c r="I21" i="467"/>
  <c r="F21" i="467"/>
  <c r="E21" i="467"/>
  <c r="D21" i="467"/>
  <c r="I20" i="467"/>
  <c r="F20" i="467"/>
  <c r="E20" i="467"/>
  <c r="D20" i="467"/>
  <c r="I19" i="467"/>
  <c r="F19" i="467"/>
  <c r="E19" i="467"/>
  <c r="D19" i="467"/>
  <c r="I18" i="467"/>
  <c r="F17" i="467"/>
  <c r="I17" i="467" s="1"/>
  <c r="E17" i="467"/>
  <c r="D17" i="467"/>
  <c r="I16" i="467"/>
  <c r="F16" i="467"/>
  <c r="E16" i="467"/>
  <c r="D16" i="467"/>
  <c r="I15" i="467"/>
  <c r="F15" i="467"/>
  <c r="E15" i="467"/>
  <c r="D15" i="467"/>
  <c r="F14" i="467"/>
  <c r="I14" i="467" s="1"/>
  <c r="E14" i="467"/>
  <c r="D14" i="467"/>
  <c r="I13" i="467"/>
  <c r="F13" i="467"/>
  <c r="E13" i="467"/>
  <c r="D13" i="467"/>
  <c r="F12" i="467"/>
  <c r="E12" i="467"/>
  <c r="I12" i="467" s="1"/>
  <c r="D12" i="467"/>
  <c r="F11" i="467"/>
  <c r="E11" i="467"/>
  <c r="I11" i="467" s="1"/>
  <c r="D11" i="467"/>
  <c r="F10" i="467"/>
  <c r="I10" i="467" s="1"/>
  <c r="E10" i="467"/>
  <c r="D10" i="467"/>
  <c r="C10" i="467"/>
  <c r="F9" i="467"/>
  <c r="I9" i="467" s="1"/>
  <c r="E9" i="467"/>
  <c r="D9" i="467"/>
  <c r="C9" i="467"/>
  <c r="I8" i="467"/>
  <c r="G8" i="467"/>
  <c r="F8" i="467"/>
  <c r="E8" i="467"/>
  <c r="D8" i="467"/>
  <c r="C8" i="467"/>
  <c r="E7" i="467"/>
  <c r="G6" i="467"/>
  <c r="I37" i="466"/>
  <c r="F37" i="466"/>
  <c r="E37" i="466"/>
  <c r="D37" i="466"/>
  <c r="I36" i="466"/>
  <c r="F36" i="466"/>
  <c r="E36" i="466"/>
  <c r="D36" i="466"/>
  <c r="I35" i="466"/>
  <c r="F35" i="466"/>
  <c r="E35" i="466"/>
  <c r="D35" i="466"/>
  <c r="I34" i="466"/>
  <c r="F34" i="466"/>
  <c r="E34" i="466"/>
  <c r="D34" i="466"/>
  <c r="I33" i="466"/>
  <c r="F33" i="466"/>
  <c r="E33" i="466"/>
  <c r="D33" i="466"/>
  <c r="I32" i="466"/>
  <c r="F32" i="466"/>
  <c r="E32" i="466"/>
  <c r="D32" i="466"/>
  <c r="I31" i="466"/>
  <c r="F31" i="466"/>
  <c r="E31" i="466"/>
  <c r="D31" i="466"/>
  <c r="I30" i="466"/>
  <c r="F30" i="466"/>
  <c r="E30" i="466"/>
  <c r="D30" i="466"/>
  <c r="I29" i="466"/>
  <c r="F29" i="466"/>
  <c r="E29" i="466"/>
  <c r="D29" i="466"/>
  <c r="I28" i="466"/>
  <c r="F28" i="466"/>
  <c r="E28" i="466"/>
  <c r="D28" i="466"/>
  <c r="I27" i="466"/>
  <c r="F27" i="466"/>
  <c r="E27" i="466"/>
  <c r="D27" i="466"/>
  <c r="I26" i="466"/>
  <c r="F26" i="466"/>
  <c r="E26" i="466"/>
  <c r="D26" i="466"/>
  <c r="I25" i="466"/>
  <c r="F25" i="466"/>
  <c r="E25" i="466"/>
  <c r="D25" i="466"/>
  <c r="I24" i="466"/>
  <c r="F24" i="466"/>
  <c r="E24" i="466"/>
  <c r="D24" i="466"/>
  <c r="I23" i="466"/>
  <c r="F23" i="466"/>
  <c r="E23" i="466"/>
  <c r="D23" i="466"/>
  <c r="I22" i="466"/>
  <c r="F22" i="466"/>
  <c r="E22" i="466"/>
  <c r="D22" i="466"/>
  <c r="I21" i="466"/>
  <c r="F21" i="466"/>
  <c r="E21" i="466"/>
  <c r="D21" i="466"/>
  <c r="I20" i="466"/>
  <c r="F20" i="466"/>
  <c r="E20" i="466"/>
  <c r="D20" i="466"/>
  <c r="I19" i="466"/>
  <c r="F19" i="466"/>
  <c r="E19" i="466"/>
  <c r="D19" i="466"/>
  <c r="I18" i="466"/>
  <c r="F18" i="466"/>
  <c r="E18" i="466"/>
  <c r="D18" i="466"/>
  <c r="I17" i="466"/>
  <c r="F17" i="466"/>
  <c r="E17" i="466"/>
  <c r="D17" i="466"/>
  <c r="I16" i="466"/>
  <c r="F16" i="466"/>
  <c r="E16" i="466"/>
  <c r="D16" i="466"/>
  <c r="I15" i="466"/>
  <c r="F15" i="466"/>
  <c r="E15" i="466"/>
  <c r="D15" i="466"/>
  <c r="I14" i="466"/>
  <c r="F14" i="466"/>
  <c r="E14" i="466"/>
  <c r="D14" i="466"/>
  <c r="I13" i="466"/>
  <c r="F13" i="466"/>
  <c r="E13" i="466"/>
  <c r="D13" i="466"/>
  <c r="I12" i="466"/>
  <c r="F12" i="466"/>
  <c r="E12" i="466"/>
  <c r="D12" i="466"/>
  <c r="I11" i="466"/>
  <c r="F11" i="466"/>
  <c r="E11" i="466"/>
  <c r="D11" i="466"/>
  <c r="I10" i="466"/>
  <c r="F10" i="466"/>
  <c r="E10" i="466"/>
  <c r="D10" i="466"/>
  <c r="I9" i="466"/>
  <c r="F9" i="466"/>
  <c r="E9" i="466"/>
  <c r="D9" i="466"/>
  <c r="I8" i="466"/>
  <c r="I7" i="466" s="1"/>
  <c r="G8" i="466"/>
  <c r="F8" i="466"/>
  <c r="E8" i="466"/>
  <c r="D8" i="466"/>
  <c r="C8" i="466"/>
  <c r="C9" i="466" s="1"/>
  <c r="E7" i="466"/>
  <c r="G6" i="466"/>
  <c r="H13" i="465"/>
  <c r="I37" i="465"/>
  <c r="F37" i="465"/>
  <c r="E37" i="465"/>
  <c r="D37" i="465"/>
  <c r="I36" i="465"/>
  <c r="F36" i="465"/>
  <c r="E36" i="465"/>
  <c r="D36" i="465"/>
  <c r="I35" i="465"/>
  <c r="F35" i="465"/>
  <c r="E35" i="465"/>
  <c r="D35" i="465"/>
  <c r="I34" i="465"/>
  <c r="F34" i="465"/>
  <c r="E34" i="465"/>
  <c r="D34" i="465"/>
  <c r="I33" i="465"/>
  <c r="F33" i="465"/>
  <c r="E33" i="465"/>
  <c r="D33" i="465"/>
  <c r="I32" i="465"/>
  <c r="F32" i="465"/>
  <c r="E32" i="465"/>
  <c r="D32" i="465"/>
  <c r="I31" i="465"/>
  <c r="F31" i="465"/>
  <c r="E31" i="465"/>
  <c r="D31" i="465"/>
  <c r="I30" i="465"/>
  <c r="F30" i="465"/>
  <c r="E30" i="465"/>
  <c r="D30" i="465"/>
  <c r="I29" i="465"/>
  <c r="F29" i="465"/>
  <c r="E29" i="465"/>
  <c r="D29" i="465"/>
  <c r="I28" i="465"/>
  <c r="F28" i="465"/>
  <c r="E28" i="465"/>
  <c r="D28" i="465"/>
  <c r="I27" i="465"/>
  <c r="F27" i="465"/>
  <c r="E27" i="465"/>
  <c r="D27" i="465"/>
  <c r="I26" i="465"/>
  <c r="F26" i="465"/>
  <c r="E26" i="465"/>
  <c r="D26" i="465"/>
  <c r="I25" i="465"/>
  <c r="F25" i="465"/>
  <c r="E25" i="465"/>
  <c r="D25" i="465"/>
  <c r="I24" i="465"/>
  <c r="F24" i="465"/>
  <c r="E24" i="465"/>
  <c r="D24" i="465"/>
  <c r="I23" i="465"/>
  <c r="F23" i="465"/>
  <c r="E23" i="465"/>
  <c r="D23" i="465"/>
  <c r="I22" i="465"/>
  <c r="F22" i="465"/>
  <c r="E22" i="465"/>
  <c r="D22" i="465"/>
  <c r="I21" i="465"/>
  <c r="F21" i="465"/>
  <c r="E21" i="465"/>
  <c r="D21" i="465"/>
  <c r="I20" i="465"/>
  <c r="F20" i="465"/>
  <c r="E20" i="465"/>
  <c r="D20" i="465"/>
  <c r="I19" i="465"/>
  <c r="F19" i="465"/>
  <c r="E19" i="465"/>
  <c r="D19" i="465"/>
  <c r="I18" i="465"/>
  <c r="F18" i="465"/>
  <c r="E18" i="465"/>
  <c r="D18" i="465"/>
  <c r="I17" i="465"/>
  <c r="F17" i="465"/>
  <c r="E17" i="465"/>
  <c r="D17" i="465"/>
  <c r="I16" i="465"/>
  <c r="F16" i="465"/>
  <c r="E16" i="465"/>
  <c r="D16" i="465"/>
  <c r="I15" i="465"/>
  <c r="F15" i="465"/>
  <c r="E15" i="465"/>
  <c r="D15" i="465"/>
  <c r="I14" i="465"/>
  <c r="F14" i="465"/>
  <c r="E14" i="465"/>
  <c r="D14" i="465"/>
  <c r="I13" i="465"/>
  <c r="F12" i="465"/>
  <c r="I12" i="465" s="1"/>
  <c r="E12" i="465"/>
  <c r="D12" i="465"/>
  <c r="F11" i="465"/>
  <c r="I11" i="465" s="1"/>
  <c r="E11" i="465"/>
  <c r="D11" i="465"/>
  <c r="I10" i="465"/>
  <c r="F10" i="465"/>
  <c r="E10" i="465"/>
  <c r="D10" i="465"/>
  <c r="F9" i="465"/>
  <c r="I9" i="465" s="1"/>
  <c r="E9" i="465"/>
  <c r="D9" i="465"/>
  <c r="C9" i="465"/>
  <c r="G8" i="465"/>
  <c r="F8" i="465"/>
  <c r="E8" i="465"/>
  <c r="I8" i="465" s="1"/>
  <c r="D8" i="465"/>
  <c r="C8" i="465"/>
  <c r="E7" i="465"/>
  <c r="G6" i="465"/>
  <c r="I37" i="464"/>
  <c r="F37" i="464"/>
  <c r="E37" i="464"/>
  <c r="D37" i="464"/>
  <c r="I36" i="464"/>
  <c r="F36" i="464"/>
  <c r="E36" i="464"/>
  <c r="D36" i="464"/>
  <c r="I35" i="464"/>
  <c r="F35" i="464"/>
  <c r="E35" i="464"/>
  <c r="D35" i="464"/>
  <c r="I34" i="464"/>
  <c r="F34" i="464"/>
  <c r="E34" i="464"/>
  <c r="D34" i="464"/>
  <c r="I33" i="464"/>
  <c r="F33" i="464"/>
  <c r="E33" i="464"/>
  <c r="D33" i="464"/>
  <c r="I32" i="464"/>
  <c r="F32" i="464"/>
  <c r="E32" i="464"/>
  <c r="D32" i="464"/>
  <c r="I31" i="464"/>
  <c r="F31" i="464"/>
  <c r="E31" i="464"/>
  <c r="D31" i="464"/>
  <c r="I30" i="464"/>
  <c r="F30" i="464"/>
  <c r="E30" i="464"/>
  <c r="D30" i="464"/>
  <c r="I29" i="464"/>
  <c r="F29" i="464"/>
  <c r="E29" i="464"/>
  <c r="D29" i="464"/>
  <c r="I28" i="464"/>
  <c r="F28" i="464"/>
  <c r="E28" i="464"/>
  <c r="D28" i="464"/>
  <c r="I27" i="464"/>
  <c r="F27" i="464"/>
  <c r="E27" i="464"/>
  <c r="D27" i="464"/>
  <c r="I26" i="464"/>
  <c r="F26" i="464"/>
  <c r="E26" i="464"/>
  <c r="D26" i="464"/>
  <c r="I25" i="464"/>
  <c r="F25" i="464"/>
  <c r="E25" i="464"/>
  <c r="D25" i="464"/>
  <c r="I24" i="464"/>
  <c r="F24" i="464"/>
  <c r="E24" i="464"/>
  <c r="D24" i="464"/>
  <c r="I23" i="464"/>
  <c r="F23" i="464"/>
  <c r="E23" i="464"/>
  <c r="D23" i="464"/>
  <c r="I22" i="464"/>
  <c r="F22" i="464"/>
  <c r="E22" i="464"/>
  <c r="D22" i="464"/>
  <c r="I21" i="464"/>
  <c r="F21" i="464"/>
  <c r="E21" i="464"/>
  <c r="D21" i="464"/>
  <c r="I20" i="464"/>
  <c r="F20" i="464"/>
  <c r="E20" i="464"/>
  <c r="D20" i="464"/>
  <c r="I19" i="464"/>
  <c r="F19" i="464"/>
  <c r="E19" i="464"/>
  <c r="D19" i="464"/>
  <c r="I18" i="464"/>
  <c r="F18" i="464"/>
  <c r="E18" i="464"/>
  <c r="D18" i="464"/>
  <c r="I17" i="464"/>
  <c r="F17" i="464"/>
  <c r="E17" i="464"/>
  <c r="D17" i="464"/>
  <c r="I16" i="464"/>
  <c r="F16" i="464"/>
  <c r="E16" i="464"/>
  <c r="D16" i="464"/>
  <c r="I15" i="464"/>
  <c r="F15" i="464"/>
  <c r="E15" i="464"/>
  <c r="D15" i="464"/>
  <c r="I14" i="464"/>
  <c r="F14" i="464"/>
  <c r="E14" i="464"/>
  <c r="D14" i="464"/>
  <c r="I13" i="464"/>
  <c r="F13" i="464"/>
  <c r="E13" i="464"/>
  <c r="D13" i="464"/>
  <c r="I12" i="464"/>
  <c r="F12" i="464"/>
  <c r="E12" i="464"/>
  <c r="D12" i="464"/>
  <c r="I11" i="464"/>
  <c r="F11" i="464"/>
  <c r="E11" i="464"/>
  <c r="D11" i="464"/>
  <c r="I10" i="464"/>
  <c r="F10" i="464"/>
  <c r="E10" i="464"/>
  <c r="D10" i="464"/>
  <c r="I9" i="464"/>
  <c r="F9" i="464"/>
  <c r="E9" i="464"/>
  <c r="D9" i="464"/>
  <c r="G8" i="464"/>
  <c r="F8" i="464"/>
  <c r="I8" i="464" s="1"/>
  <c r="I7" i="464" s="1"/>
  <c r="E8" i="464"/>
  <c r="D8" i="464"/>
  <c r="C8" i="464"/>
  <c r="C9" i="464" s="1"/>
  <c r="E7" i="464"/>
  <c r="G6" i="464"/>
  <c r="I37" i="463"/>
  <c r="F37" i="463"/>
  <c r="E37" i="463"/>
  <c r="D37" i="463"/>
  <c r="I36" i="463"/>
  <c r="F36" i="463"/>
  <c r="E36" i="463"/>
  <c r="D36" i="463"/>
  <c r="I35" i="463"/>
  <c r="F35" i="463"/>
  <c r="E35" i="463"/>
  <c r="D35" i="463"/>
  <c r="I34" i="463"/>
  <c r="F34" i="463"/>
  <c r="E34" i="463"/>
  <c r="D34" i="463"/>
  <c r="I33" i="463"/>
  <c r="F33" i="463"/>
  <c r="E33" i="463"/>
  <c r="D33" i="463"/>
  <c r="I32" i="463"/>
  <c r="F32" i="463"/>
  <c r="E32" i="463"/>
  <c r="D32" i="463"/>
  <c r="I31" i="463"/>
  <c r="F31" i="463"/>
  <c r="E31" i="463"/>
  <c r="D31" i="463"/>
  <c r="I30" i="463"/>
  <c r="F30" i="463"/>
  <c r="E30" i="463"/>
  <c r="D30" i="463"/>
  <c r="I29" i="463"/>
  <c r="F29" i="463"/>
  <c r="E29" i="463"/>
  <c r="D29" i="463"/>
  <c r="I28" i="463"/>
  <c r="F28" i="463"/>
  <c r="E28" i="463"/>
  <c r="D28" i="463"/>
  <c r="I27" i="463"/>
  <c r="F27" i="463"/>
  <c r="E27" i="463"/>
  <c r="D27" i="463"/>
  <c r="I26" i="463"/>
  <c r="F26" i="463"/>
  <c r="E26" i="463"/>
  <c r="D26" i="463"/>
  <c r="I25" i="463"/>
  <c r="F25" i="463"/>
  <c r="E25" i="463"/>
  <c r="D25" i="463"/>
  <c r="I24" i="463"/>
  <c r="F24" i="463"/>
  <c r="E24" i="463"/>
  <c r="D24" i="463"/>
  <c r="I23" i="463"/>
  <c r="F23" i="463"/>
  <c r="E23" i="463"/>
  <c r="D23" i="463"/>
  <c r="I22" i="463"/>
  <c r="F22" i="463"/>
  <c r="E22" i="463"/>
  <c r="D22" i="463"/>
  <c r="I21" i="463"/>
  <c r="F21" i="463"/>
  <c r="E21" i="463"/>
  <c r="D21" i="463"/>
  <c r="I20" i="463"/>
  <c r="F20" i="463"/>
  <c r="E20" i="463"/>
  <c r="D20" i="463"/>
  <c r="I19" i="463"/>
  <c r="F19" i="463"/>
  <c r="E19" i="463"/>
  <c r="D19" i="463"/>
  <c r="I18" i="463"/>
  <c r="F18" i="463"/>
  <c r="E18" i="463"/>
  <c r="D18" i="463"/>
  <c r="I17" i="463"/>
  <c r="F17" i="463"/>
  <c r="E17" i="463"/>
  <c r="D17" i="463"/>
  <c r="I16" i="463"/>
  <c r="F16" i="463"/>
  <c r="E16" i="463"/>
  <c r="D16" i="463"/>
  <c r="I15" i="463"/>
  <c r="F15" i="463"/>
  <c r="E15" i="463"/>
  <c r="D15" i="463"/>
  <c r="I14" i="463"/>
  <c r="F14" i="463"/>
  <c r="E14" i="463"/>
  <c r="D14" i="463"/>
  <c r="I13" i="463"/>
  <c r="F13" i="463"/>
  <c r="E13" i="463"/>
  <c r="D13" i="463"/>
  <c r="I12" i="463"/>
  <c r="F12" i="463"/>
  <c r="E12" i="463"/>
  <c r="D12" i="463"/>
  <c r="I11" i="463"/>
  <c r="F11" i="463"/>
  <c r="E11" i="463"/>
  <c r="D11" i="463"/>
  <c r="I10" i="463"/>
  <c r="F10" i="463"/>
  <c r="E10" i="463"/>
  <c r="D10" i="463"/>
  <c r="C10" i="463"/>
  <c r="I9" i="463"/>
  <c r="F9" i="463"/>
  <c r="E9" i="463"/>
  <c r="D9" i="463"/>
  <c r="C9" i="463"/>
  <c r="I8" i="463"/>
  <c r="I7" i="463" s="1"/>
  <c r="G8" i="463"/>
  <c r="F8" i="463"/>
  <c r="E8" i="463"/>
  <c r="D8" i="463"/>
  <c r="C8" i="463"/>
  <c r="E7" i="463"/>
  <c r="G6" i="463"/>
  <c r="H9" i="462"/>
  <c r="I37" i="462"/>
  <c r="F37" i="462"/>
  <c r="E37" i="462"/>
  <c r="D37" i="462"/>
  <c r="I36" i="462"/>
  <c r="F36" i="462"/>
  <c r="E36" i="462"/>
  <c r="D36" i="462"/>
  <c r="I35" i="462"/>
  <c r="F35" i="462"/>
  <c r="E35" i="462"/>
  <c r="D35" i="462"/>
  <c r="I34" i="462"/>
  <c r="F34" i="462"/>
  <c r="E34" i="462"/>
  <c r="D34" i="462"/>
  <c r="I33" i="462"/>
  <c r="F33" i="462"/>
  <c r="E33" i="462"/>
  <c r="D33" i="462"/>
  <c r="I32" i="462"/>
  <c r="F32" i="462"/>
  <c r="E32" i="462"/>
  <c r="D32" i="462"/>
  <c r="I31" i="462"/>
  <c r="F31" i="462"/>
  <c r="E31" i="462"/>
  <c r="D31" i="462"/>
  <c r="I30" i="462"/>
  <c r="F30" i="462"/>
  <c r="E30" i="462"/>
  <c r="D30" i="462"/>
  <c r="I29" i="462"/>
  <c r="F29" i="462"/>
  <c r="E29" i="462"/>
  <c r="D29" i="462"/>
  <c r="I28" i="462"/>
  <c r="F28" i="462"/>
  <c r="E28" i="462"/>
  <c r="D28" i="462"/>
  <c r="I27" i="462"/>
  <c r="F27" i="462"/>
  <c r="E27" i="462"/>
  <c r="D27" i="462"/>
  <c r="I26" i="462"/>
  <c r="F26" i="462"/>
  <c r="E26" i="462"/>
  <c r="D26" i="462"/>
  <c r="I25" i="462"/>
  <c r="F25" i="462"/>
  <c r="E25" i="462"/>
  <c r="D25" i="462"/>
  <c r="I24" i="462"/>
  <c r="F24" i="462"/>
  <c r="E24" i="462"/>
  <c r="D24" i="462"/>
  <c r="I23" i="462"/>
  <c r="F23" i="462"/>
  <c r="E23" i="462"/>
  <c r="D23" i="462"/>
  <c r="I22" i="462"/>
  <c r="F22" i="462"/>
  <c r="E22" i="462"/>
  <c r="D22" i="462"/>
  <c r="I21" i="462"/>
  <c r="F21" i="462"/>
  <c r="E21" i="462"/>
  <c r="D21" i="462"/>
  <c r="I20" i="462"/>
  <c r="F20" i="462"/>
  <c r="E20" i="462"/>
  <c r="D20" i="462"/>
  <c r="I19" i="462"/>
  <c r="F19" i="462"/>
  <c r="E19" i="462"/>
  <c r="D19" i="462"/>
  <c r="I18" i="462"/>
  <c r="F18" i="462"/>
  <c r="E18" i="462"/>
  <c r="D18" i="462"/>
  <c r="I17" i="462"/>
  <c r="F17" i="462"/>
  <c r="E17" i="462"/>
  <c r="D17" i="462"/>
  <c r="I16" i="462"/>
  <c r="F16" i="462"/>
  <c r="E16" i="462"/>
  <c r="D16" i="462"/>
  <c r="I15" i="462"/>
  <c r="F15" i="462"/>
  <c r="E15" i="462"/>
  <c r="D15" i="462"/>
  <c r="I14" i="462"/>
  <c r="F14" i="462"/>
  <c r="E14" i="462"/>
  <c r="D14" i="462"/>
  <c r="I13" i="462"/>
  <c r="F13" i="462"/>
  <c r="E13" i="462"/>
  <c r="D13" i="462"/>
  <c r="I12" i="462"/>
  <c r="F12" i="462"/>
  <c r="E12" i="462"/>
  <c r="D12" i="462"/>
  <c r="I11" i="462"/>
  <c r="F11" i="462"/>
  <c r="E11" i="462"/>
  <c r="D11" i="462"/>
  <c r="I10" i="462"/>
  <c r="F10" i="462"/>
  <c r="E10" i="462"/>
  <c r="D10" i="462"/>
  <c r="I9" i="462"/>
  <c r="C9" i="462"/>
  <c r="G8" i="462"/>
  <c r="F8" i="462"/>
  <c r="I8" i="462" s="1"/>
  <c r="E8" i="462"/>
  <c r="D8" i="462"/>
  <c r="C8" i="462"/>
  <c r="E7" i="462"/>
  <c r="G6" i="462"/>
  <c r="H10" i="461"/>
  <c r="I37" i="461"/>
  <c r="F37" i="461"/>
  <c r="E37" i="461"/>
  <c r="D37" i="461"/>
  <c r="I36" i="461"/>
  <c r="F36" i="461"/>
  <c r="E36" i="461"/>
  <c r="D36" i="461"/>
  <c r="I35" i="461"/>
  <c r="F35" i="461"/>
  <c r="E35" i="461"/>
  <c r="D35" i="461"/>
  <c r="I34" i="461"/>
  <c r="F34" i="461"/>
  <c r="E34" i="461"/>
  <c r="D34" i="461"/>
  <c r="I33" i="461"/>
  <c r="F33" i="461"/>
  <c r="E33" i="461"/>
  <c r="D33" i="461"/>
  <c r="I32" i="461"/>
  <c r="F32" i="461"/>
  <c r="E32" i="461"/>
  <c r="D32" i="461"/>
  <c r="I31" i="461"/>
  <c r="F31" i="461"/>
  <c r="E31" i="461"/>
  <c r="D31" i="461"/>
  <c r="I30" i="461"/>
  <c r="F30" i="461"/>
  <c r="E30" i="461"/>
  <c r="D30" i="461"/>
  <c r="I29" i="461"/>
  <c r="F29" i="461"/>
  <c r="E29" i="461"/>
  <c r="D29" i="461"/>
  <c r="I28" i="461"/>
  <c r="F28" i="461"/>
  <c r="E28" i="461"/>
  <c r="D28" i="461"/>
  <c r="I27" i="461"/>
  <c r="F27" i="461"/>
  <c r="E27" i="461"/>
  <c r="D27" i="461"/>
  <c r="I26" i="461"/>
  <c r="F26" i="461"/>
  <c r="E26" i="461"/>
  <c r="D26" i="461"/>
  <c r="I25" i="461"/>
  <c r="F25" i="461"/>
  <c r="E25" i="461"/>
  <c r="D25" i="461"/>
  <c r="I24" i="461"/>
  <c r="F24" i="461"/>
  <c r="E24" i="461"/>
  <c r="D24" i="461"/>
  <c r="I23" i="461"/>
  <c r="F23" i="461"/>
  <c r="E23" i="461"/>
  <c r="D23" i="461"/>
  <c r="I22" i="461"/>
  <c r="F22" i="461"/>
  <c r="E22" i="461"/>
  <c r="D22" i="461"/>
  <c r="I21" i="461"/>
  <c r="F21" i="461"/>
  <c r="E21" i="461"/>
  <c r="D21" i="461"/>
  <c r="I20" i="461"/>
  <c r="F20" i="461"/>
  <c r="E20" i="461"/>
  <c r="D20" i="461"/>
  <c r="I19" i="461"/>
  <c r="F19" i="461"/>
  <c r="E19" i="461"/>
  <c r="D19" i="461"/>
  <c r="I18" i="461"/>
  <c r="F18" i="461"/>
  <c r="E18" i="461"/>
  <c r="D18" i="461"/>
  <c r="I17" i="461"/>
  <c r="F17" i="461"/>
  <c r="E17" i="461"/>
  <c r="D17" i="461"/>
  <c r="I16" i="461"/>
  <c r="F16" i="461"/>
  <c r="E16" i="461"/>
  <c r="D16" i="461"/>
  <c r="I15" i="461"/>
  <c r="F15" i="461"/>
  <c r="E15" i="461"/>
  <c r="D15" i="461"/>
  <c r="I14" i="461"/>
  <c r="F14" i="461"/>
  <c r="E14" i="461"/>
  <c r="D14" i="461"/>
  <c r="I13" i="461"/>
  <c r="F13" i="461"/>
  <c r="E13" i="461"/>
  <c r="D13" i="461"/>
  <c r="I12" i="461"/>
  <c r="F12" i="461"/>
  <c r="E12" i="461"/>
  <c r="D12" i="461"/>
  <c r="I11" i="461"/>
  <c r="F11" i="461"/>
  <c r="E11" i="461"/>
  <c r="D11" i="461"/>
  <c r="F9" i="461"/>
  <c r="I9" i="461" s="1"/>
  <c r="E9" i="461"/>
  <c r="D9" i="461"/>
  <c r="G8" i="461"/>
  <c r="F8" i="461"/>
  <c r="I8" i="461" s="1"/>
  <c r="E8" i="461"/>
  <c r="D8" i="461"/>
  <c r="C8" i="461"/>
  <c r="C9" i="461" s="1"/>
  <c r="E7" i="461"/>
  <c r="G6" i="461"/>
  <c r="F5" i="150"/>
  <c r="I12" i="484" l="1"/>
  <c r="I7" i="484" s="1"/>
  <c r="G9" i="484"/>
  <c r="C10" i="484"/>
  <c r="G9" i="483"/>
  <c r="C10" i="483"/>
  <c r="I7" i="482"/>
  <c r="C10" i="482"/>
  <c r="I7" i="481"/>
  <c r="G9" i="481"/>
  <c r="C10" i="481"/>
  <c r="I7" i="480"/>
  <c r="G9" i="480"/>
  <c r="C10" i="480"/>
  <c r="I7" i="479"/>
  <c r="C11" i="479"/>
  <c r="G10" i="479"/>
  <c r="G9" i="479"/>
  <c r="I7" i="478"/>
  <c r="C10" i="478"/>
  <c r="G9" i="477"/>
  <c r="C10" i="477"/>
  <c r="C10" i="476"/>
  <c r="G9" i="476"/>
  <c r="I7" i="475"/>
  <c r="C10" i="475"/>
  <c r="G9" i="475"/>
  <c r="G9" i="474"/>
  <c r="C10" i="474"/>
  <c r="I7" i="474"/>
  <c r="G9" i="473"/>
  <c r="C10" i="473"/>
  <c r="I7" i="472"/>
  <c r="C10" i="472"/>
  <c r="I7" i="471"/>
  <c r="G9" i="471"/>
  <c r="C10" i="471"/>
  <c r="G9" i="470"/>
  <c r="C10" i="470"/>
  <c r="I7" i="469"/>
  <c r="C10" i="469"/>
  <c r="G9" i="469"/>
  <c r="I11" i="468"/>
  <c r="I7" i="468" s="1"/>
  <c r="G9" i="468"/>
  <c r="C10" i="468"/>
  <c r="I7" i="467"/>
  <c r="C11" i="467"/>
  <c r="G10" i="467"/>
  <c r="G9" i="467"/>
  <c r="G9" i="466"/>
  <c r="C10" i="466"/>
  <c r="I7" i="465"/>
  <c r="C10" i="465"/>
  <c r="G9" i="465"/>
  <c r="G9" i="464"/>
  <c r="C10" i="464"/>
  <c r="C11" i="463"/>
  <c r="G10" i="463"/>
  <c r="G9" i="463"/>
  <c r="I7" i="462"/>
  <c r="C10" i="462"/>
  <c r="I10" i="461"/>
  <c r="I7" i="461" s="1"/>
  <c r="G9" i="461"/>
  <c r="C10" i="461"/>
  <c r="F8" i="1"/>
  <c r="A2" i="137"/>
  <c r="A2" i="1"/>
  <c r="F26" i="1"/>
  <c r="F18" i="1"/>
  <c r="F10" i="137"/>
  <c r="F8" i="137"/>
  <c r="F6" i="137"/>
  <c r="AH10" i="150"/>
  <c r="AH18" i="1"/>
  <c r="F12" i="439"/>
  <c r="E12" i="439"/>
  <c r="D12" i="439"/>
  <c r="F11" i="439"/>
  <c r="E11" i="439"/>
  <c r="D11" i="439"/>
  <c r="F10" i="439"/>
  <c r="E10" i="439"/>
  <c r="D10" i="439"/>
  <c r="F9" i="439"/>
  <c r="E9" i="439"/>
  <c r="D9" i="439"/>
  <c r="G8" i="439"/>
  <c r="F8" i="439"/>
  <c r="E8" i="439"/>
  <c r="D8" i="439"/>
  <c r="C8" i="439"/>
  <c r="C9" i="439" s="1"/>
  <c r="B2" i="137"/>
  <c r="F15" i="137"/>
  <c r="F30" i="1"/>
  <c r="F27" i="1"/>
  <c r="F9" i="1"/>
  <c r="AW2" i="137"/>
  <c r="AX3" i="137"/>
  <c r="H5" i="95"/>
  <c r="G10" i="484" l="1"/>
  <c r="C11" i="484"/>
  <c r="G10" i="483"/>
  <c r="C11" i="483"/>
  <c r="G10" i="482"/>
  <c r="C11" i="482"/>
  <c r="G10" i="481"/>
  <c r="C11" i="481"/>
  <c r="G10" i="480"/>
  <c r="C11" i="480"/>
  <c r="G11" i="479"/>
  <c r="C12" i="479"/>
  <c r="G10" i="478"/>
  <c r="C11" i="478"/>
  <c r="G10" i="477"/>
  <c r="C11" i="477"/>
  <c r="G10" i="476"/>
  <c r="C11" i="476"/>
  <c r="G10" i="475"/>
  <c r="C11" i="475"/>
  <c r="G10" i="474"/>
  <c r="C11" i="474"/>
  <c r="G10" i="473"/>
  <c r="C11" i="473"/>
  <c r="G10" i="472"/>
  <c r="C11" i="472"/>
  <c r="C11" i="471"/>
  <c r="G10" i="470"/>
  <c r="C11" i="470"/>
  <c r="G10" i="469"/>
  <c r="C11" i="469"/>
  <c r="C11" i="468"/>
  <c r="G10" i="468"/>
  <c r="G11" i="467"/>
  <c r="C12" i="467"/>
  <c r="G10" i="466"/>
  <c r="C11" i="466"/>
  <c r="G10" i="465"/>
  <c r="C11" i="465"/>
  <c r="G10" i="464"/>
  <c r="C11" i="464"/>
  <c r="C12" i="463"/>
  <c r="G11" i="463"/>
  <c r="G10" i="462"/>
  <c r="C11" i="462"/>
  <c r="C11" i="461"/>
  <c r="C10" i="439"/>
  <c r="G9" i="439"/>
  <c r="A2" i="150"/>
  <c r="G11" i="484" l="1"/>
  <c r="C12" i="484"/>
  <c r="G11" i="483"/>
  <c r="C12" i="483"/>
  <c r="G11" i="482"/>
  <c r="C12" i="482"/>
  <c r="G11" i="481"/>
  <c r="C12" i="481"/>
  <c r="C12" i="480"/>
  <c r="C13" i="479"/>
  <c r="G12" i="479"/>
  <c r="G11" i="478"/>
  <c r="C12" i="478"/>
  <c r="C12" i="477"/>
  <c r="G11" i="477"/>
  <c r="G11" i="476"/>
  <c r="C12" i="476"/>
  <c r="C12" i="475"/>
  <c r="G11" i="474"/>
  <c r="C12" i="474"/>
  <c r="G11" i="473"/>
  <c r="C12" i="473"/>
  <c r="G11" i="472"/>
  <c r="C12" i="472"/>
  <c r="G11" i="471"/>
  <c r="C12" i="471"/>
  <c r="G11" i="470"/>
  <c r="C12" i="470"/>
  <c r="C12" i="469"/>
  <c r="C12" i="468"/>
  <c r="C13" i="467"/>
  <c r="G12" i="467"/>
  <c r="C12" i="466"/>
  <c r="G11" i="466"/>
  <c r="G11" i="465"/>
  <c r="C12" i="465"/>
  <c r="G11" i="464"/>
  <c r="C12" i="464"/>
  <c r="C13" i="463"/>
  <c r="G12" i="463"/>
  <c r="G11" i="462"/>
  <c r="C12" i="462"/>
  <c r="G11" i="461"/>
  <c r="C12" i="461"/>
  <c r="G10" i="439"/>
  <c r="C11" i="439"/>
  <c r="C12" i="439" s="1"/>
  <c r="G12" i="439" s="1"/>
  <c r="A2" i="4"/>
  <c r="F12" i="150"/>
  <c r="F10" i="150"/>
  <c r="F9" i="150"/>
  <c r="F8" i="150"/>
  <c r="F7" i="150"/>
  <c r="F20" i="4"/>
  <c r="F8" i="4"/>
  <c r="F5" i="4"/>
  <c r="C13" i="484" l="1"/>
  <c r="C13" i="483"/>
  <c r="G12" i="483"/>
  <c r="C13" i="482"/>
  <c r="G12" i="482"/>
  <c r="C13" i="481"/>
  <c r="G12" i="481"/>
  <c r="C13" i="480"/>
  <c r="G12" i="480"/>
  <c r="C14" i="479"/>
  <c r="C13" i="478"/>
  <c r="G12" i="478"/>
  <c r="C13" i="477"/>
  <c r="G12" i="477"/>
  <c r="C13" i="476"/>
  <c r="G12" i="476"/>
  <c r="C13" i="475"/>
  <c r="G12" i="475"/>
  <c r="C13" i="474"/>
  <c r="G12" i="474"/>
  <c r="C13" i="473"/>
  <c r="G12" i="473"/>
  <c r="C13" i="472"/>
  <c r="G12" i="472"/>
  <c r="C13" i="471"/>
  <c r="G12" i="471"/>
  <c r="C13" i="470"/>
  <c r="G12" i="470"/>
  <c r="C13" i="469"/>
  <c r="G12" i="469"/>
  <c r="C13" i="468"/>
  <c r="G12" i="468"/>
  <c r="C14" i="467"/>
  <c r="G13" i="467"/>
  <c r="C13" i="466"/>
  <c r="G12" i="466"/>
  <c r="C13" i="465"/>
  <c r="G12" i="465"/>
  <c r="C13" i="464"/>
  <c r="G12" i="464"/>
  <c r="C14" i="463"/>
  <c r="G13" i="463"/>
  <c r="C13" i="462"/>
  <c r="G12" i="462"/>
  <c r="C13" i="461"/>
  <c r="G12" i="461"/>
  <c r="G11" i="439"/>
  <c r="F24" i="1"/>
  <c r="F12" i="137"/>
  <c r="C14" i="484" l="1"/>
  <c r="G13" i="484"/>
  <c r="C14" i="483"/>
  <c r="G13" i="483"/>
  <c r="C14" i="482"/>
  <c r="G13" i="482"/>
  <c r="C14" i="481"/>
  <c r="G13" i="481"/>
  <c r="C14" i="480"/>
  <c r="G13" i="480"/>
  <c r="C15" i="479"/>
  <c r="G14" i="479"/>
  <c r="C14" i="478"/>
  <c r="G13" i="478"/>
  <c r="C14" i="477"/>
  <c r="G13" i="477"/>
  <c r="C14" i="476"/>
  <c r="G13" i="476"/>
  <c r="C14" i="475"/>
  <c r="G13" i="475"/>
  <c r="C14" i="474"/>
  <c r="G13" i="474"/>
  <c r="C14" i="473"/>
  <c r="G13" i="473"/>
  <c r="C14" i="472"/>
  <c r="G13" i="472"/>
  <c r="C14" i="471"/>
  <c r="G13" i="471"/>
  <c r="C14" i="470"/>
  <c r="G13" i="470"/>
  <c r="C14" i="469"/>
  <c r="G13" i="469"/>
  <c r="G13" i="468"/>
  <c r="C14" i="468"/>
  <c r="C15" i="467"/>
  <c r="G14" i="467"/>
  <c r="C14" i="466"/>
  <c r="G13" i="466"/>
  <c r="C14" i="465"/>
  <c r="C14" i="464"/>
  <c r="G13" i="464"/>
  <c r="C15" i="463"/>
  <c r="G14" i="463"/>
  <c r="C14" i="462"/>
  <c r="G13" i="462"/>
  <c r="C14" i="461"/>
  <c r="G13" i="461"/>
  <c r="F28" i="1"/>
  <c r="F21" i="1"/>
  <c r="C15" i="484" l="1"/>
  <c r="G14" i="484"/>
  <c r="C15" i="483"/>
  <c r="G14" i="483"/>
  <c r="C15" i="482"/>
  <c r="G14" i="482"/>
  <c r="C15" i="481"/>
  <c r="C15" i="480"/>
  <c r="G14" i="480"/>
  <c r="C16" i="479"/>
  <c r="G15" i="479"/>
  <c r="C15" i="478"/>
  <c r="G14" i="478"/>
  <c r="C15" i="477"/>
  <c r="G14" i="477"/>
  <c r="C15" i="476"/>
  <c r="G14" i="476"/>
  <c r="C15" i="475"/>
  <c r="G14" i="475"/>
  <c r="C15" i="474"/>
  <c r="G14" i="474"/>
  <c r="C15" i="473"/>
  <c r="G14" i="473"/>
  <c r="C15" i="472"/>
  <c r="G14" i="472"/>
  <c r="C15" i="471"/>
  <c r="G14" i="471"/>
  <c r="C15" i="470"/>
  <c r="G14" i="470"/>
  <c r="C15" i="469"/>
  <c r="G14" i="469"/>
  <c r="C15" i="468"/>
  <c r="G14" i="468"/>
  <c r="C16" i="467"/>
  <c r="G15" i="467"/>
  <c r="C15" i="466"/>
  <c r="G14" i="466"/>
  <c r="C15" i="465"/>
  <c r="G14" i="465"/>
  <c r="C15" i="464"/>
  <c r="G14" i="464"/>
  <c r="C16" i="463"/>
  <c r="G15" i="463"/>
  <c r="C15" i="462"/>
  <c r="G14" i="462"/>
  <c r="C15" i="461"/>
  <c r="G14" i="461"/>
  <c r="F11" i="137"/>
  <c r="F19" i="4"/>
  <c r="F7" i="4"/>
  <c r="F6" i="4"/>
  <c r="F11" i="150"/>
  <c r="C16" i="484" l="1"/>
  <c r="G15" i="484"/>
  <c r="C16" i="483"/>
  <c r="G15" i="483"/>
  <c r="C16" i="482"/>
  <c r="G15" i="482"/>
  <c r="C16" i="481"/>
  <c r="G15" i="481"/>
  <c r="C16" i="480"/>
  <c r="G15" i="480"/>
  <c r="C17" i="479"/>
  <c r="G16" i="479"/>
  <c r="C16" i="478"/>
  <c r="G15" i="478"/>
  <c r="C16" i="477"/>
  <c r="G15" i="477"/>
  <c r="C16" i="476"/>
  <c r="G15" i="476"/>
  <c r="C16" i="475"/>
  <c r="G15" i="475"/>
  <c r="C16" i="474"/>
  <c r="G15" i="474"/>
  <c r="C16" i="473"/>
  <c r="G15" i="473"/>
  <c r="C16" i="472"/>
  <c r="G15" i="472"/>
  <c r="C16" i="471"/>
  <c r="G15" i="471"/>
  <c r="C16" i="470"/>
  <c r="G15" i="470"/>
  <c r="C16" i="469"/>
  <c r="G15" i="469"/>
  <c r="C16" i="468"/>
  <c r="G15" i="468"/>
  <c r="C17" i="467"/>
  <c r="G16" i="467"/>
  <c r="C16" i="466"/>
  <c r="G15" i="466"/>
  <c r="C16" i="465"/>
  <c r="G15" i="465"/>
  <c r="C16" i="464"/>
  <c r="G15" i="464"/>
  <c r="C17" i="463"/>
  <c r="G16" i="463"/>
  <c r="C16" i="462"/>
  <c r="G15" i="462"/>
  <c r="C16" i="461"/>
  <c r="G15" i="461"/>
  <c r="S10" i="150"/>
  <c r="S5" i="150"/>
  <c r="S9" i="150"/>
  <c r="S18" i="1"/>
  <c r="C17" i="484" l="1"/>
  <c r="G16" i="484"/>
  <c r="C17" i="483"/>
  <c r="G16" i="483"/>
  <c r="C17" i="482"/>
  <c r="G16" i="482"/>
  <c r="C17" i="481"/>
  <c r="G16" i="481"/>
  <c r="C17" i="480"/>
  <c r="G16" i="480"/>
  <c r="G17" i="479"/>
  <c r="C18" i="479"/>
  <c r="C17" i="478"/>
  <c r="G16" i="478"/>
  <c r="G16" i="477"/>
  <c r="C17" i="477"/>
  <c r="C17" i="476"/>
  <c r="G16" i="476"/>
  <c r="C17" i="475"/>
  <c r="G16" i="475"/>
  <c r="G16" i="474"/>
  <c r="C17" i="474"/>
  <c r="C17" i="473"/>
  <c r="G16" i="473"/>
  <c r="C17" i="472"/>
  <c r="G16" i="472"/>
  <c r="C17" i="471"/>
  <c r="G16" i="471"/>
  <c r="C17" i="470"/>
  <c r="G16" i="470"/>
  <c r="C17" i="469"/>
  <c r="G16" i="469"/>
  <c r="C17" i="468"/>
  <c r="G16" i="468"/>
  <c r="G17" i="467"/>
  <c r="C18" i="467"/>
  <c r="G16" i="466"/>
  <c r="C17" i="466"/>
  <c r="G16" i="465"/>
  <c r="C17" i="465"/>
  <c r="C17" i="464"/>
  <c r="G16" i="464"/>
  <c r="G17" i="463"/>
  <c r="C18" i="463"/>
  <c r="C17" i="462"/>
  <c r="G16" i="462"/>
  <c r="C17" i="461"/>
  <c r="G16" i="461"/>
  <c r="F13" i="150"/>
  <c r="G17" i="484" l="1"/>
  <c r="C18" i="484"/>
  <c r="G17" i="483"/>
  <c r="C18" i="483"/>
  <c r="G17" i="482"/>
  <c r="C18" i="482"/>
  <c r="G17" i="481"/>
  <c r="C18" i="481"/>
  <c r="G17" i="480"/>
  <c r="C18" i="480"/>
  <c r="G18" i="479"/>
  <c r="C19" i="479"/>
  <c r="G17" i="478"/>
  <c r="C18" i="478"/>
  <c r="G17" i="477"/>
  <c r="C18" i="477"/>
  <c r="G17" i="476"/>
  <c r="C18" i="476"/>
  <c r="G17" i="475"/>
  <c r="C18" i="475"/>
  <c r="G17" i="474"/>
  <c r="C18" i="474"/>
  <c r="G17" i="473"/>
  <c r="C18" i="473"/>
  <c r="G17" i="472"/>
  <c r="C18" i="472"/>
  <c r="G17" i="471"/>
  <c r="C18" i="471"/>
  <c r="G17" i="470"/>
  <c r="C18" i="470"/>
  <c r="G17" i="469"/>
  <c r="C18" i="469"/>
  <c r="G17" i="468"/>
  <c r="C18" i="468"/>
  <c r="C19" i="467"/>
  <c r="G17" i="466"/>
  <c r="C18" i="466"/>
  <c r="G17" i="465"/>
  <c r="C18" i="465"/>
  <c r="G17" i="464"/>
  <c r="C18" i="464"/>
  <c r="G18" i="463"/>
  <c r="C19" i="463"/>
  <c r="G17" i="462"/>
  <c r="C18" i="462"/>
  <c r="G17" i="461"/>
  <c r="C18" i="461"/>
  <c r="D25" i="439"/>
  <c r="E25" i="439"/>
  <c r="F25" i="439"/>
  <c r="Q2" i="150"/>
  <c r="G18" i="484" l="1"/>
  <c r="C19" i="484"/>
  <c r="G18" i="483"/>
  <c r="C19" i="483"/>
  <c r="G18" i="482"/>
  <c r="C19" i="482"/>
  <c r="G18" i="481"/>
  <c r="C19" i="481"/>
  <c r="G18" i="480"/>
  <c r="C19" i="480"/>
  <c r="G19" i="479"/>
  <c r="C20" i="479"/>
  <c r="G18" i="478"/>
  <c r="C19" i="478"/>
  <c r="G18" i="477"/>
  <c r="C19" i="477"/>
  <c r="G18" i="476"/>
  <c r="C19" i="476"/>
  <c r="G18" i="475"/>
  <c r="C19" i="475"/>
  <c r="G18" i="474"/>
  <c r="C19" i="474"/>
  <c r="G18" i="473"/>
  <c r="C19" i="473"/>
  <c r="G18" i="472"/>
  <c r="C19" i="472"/>
  <c r="G18" i="471"/>
  <c r="C19" i="471"/>
  <c r="G18" i="470"/>
  <c r="C19" i="470"/>
  <c r="G18" i="469"/>
  <c r="C19" i="469"/>
  <c r="G18" i="468"/>
  <c r="C19" i="468"/>
  <c r="G19" i="467"/>
  <c r="C20" i="467"/>
  <c r="G18" i="466"/>
  <c r="C19" i="466"/>
  <c r="G18" i="465"/>
  <c r="C19" i="465"/>
  <c r="G18" i="464"/>
  <c r="C19" i="464"/>
  <c r="G19" i="463"/>
  <c r="C20" i="463"/>
  <c r="G18" i="462"/>
  <c r="C19" i="462"/>
  <c r="G18" i="461"/>
  <c r="C19" i="461"/>
  <c r="F23" i="4"/>
  <c r="F9" i="4"/>
  <c r="F6" i="150"/>
  <c r="G19" i="484" l="1"/>
  <c r="C20" i="484"/>
  <c r="G19" i="483"/>
  <c r="C20" i="483"/>
  <c r="G19" i="482"/>
  <c r="C20" i="482"/>
  <c r="G19" i="481"/>
  <c r="C20" i="481"/>
  <c r="G19" i="480"/>
  <c r="C20" i="480"/>
  <c r="C21" i="479"/>
  <c r="G20" i="479"/>
  <c r="G19" i="478"/>
  <c r="C20" i="478"/>
  <c r="G19" i="477"/>
  <c r="C20" i="477"/>
  <c r="G19" i="476"/>
  <c r="C20" i="476"/>
  <c r="G19" i="475"/>
  <c r="C20" i="475"/>
  <c r="G19" i="474"/>
  <c r="C20" i="474"/>
  <c r="G19" i="473"/>
  <c r="C20" i="473"/>
  <c r="G19" i="472"/>
  <c r="C20" i="472"/>
  <c r="G19" i="471"/>
  <c r="C20" i="471"/>
  <c r="G19" i="470"/>
  <c r="C20" i="470"/>
  <c r="G19" i="469"/>
  <c r="C20" i="469"/>
  <c r="G19" i="468"/>
  <c r="C20" i="468"/>
  <c r="C21" i="467"/>
  <c r="G20" i="467"/>
  <c r="G19" i="466"/>
  <c r="C20" i="466"/>
  <c r="G19" i="465"/>
  <c r="C20" i="465"/>
  <c r="G19" i="464"/>
  <c r="C20" i="464"/>
  <c r="C21" i="463"/>
  <c r="G20" i="463"/>
  <c r="G19" i="462"/>
  <c r="C20" i="462"/>
  <c r="G19" i="461"/>
  <c r="C20" i="461"/>
  <c r="BA3" i="150"/>
  <c r="C21" i="484" l="1"/>
  <c r="G20" i="484"/>
  <c r="C21" i="483"/>
  <c r="G20" i="483"/>
  <c r="C21" i="482"/>
  <c r="G20" i="482"/>
  <c r="C21" i="481"/>
  <c r="G20" i="481"/>
  <c r="C21" i="480"/>
  <c r="G20" i="480"/>
  <c r="G21" i="479"/>
  <c r="C22" i="479"/>
  <c r="C21" i="478"/>
  <c r="G20" i="478"/>
  <c r="C21" i="477"/>
  <c r="G20" i="477"/>
  <c r="C21" i="476"/>
  <c r="G20" i="476"/>
  <c r="C21" i="475"/>
  <c r="G20" i="475"/>
  <c r="C21" i="474"/>
  <c r="G20" i="474"/>
  <c r="C21" i="473"/>
  <c r="G20" i="473"/>
  <c r="C21" i="472"/>
  <c r="G20" i="472"/>
  <c r="C21" i="471"/>
  <c r="G20" i="471"/>
  <c r="C21" i="470"/>
  <c r="G20" i="470"/>
  <c r="C21" i="469"/>
  <c r="G20" i="469"/>
  <c r="C21" i="468"/>
  <c r="G20" i="468"/>
  <c r="C22" i="467"/>
  <c r="G21" i="467"/>
  <c r="C21" i="466"/>
  <c r="G20" i="466"/>
  <c r="C21" i="465"/>
  <c r="G20" i="465"/>
  <c r="C21" i="464"/>
  <c r="G20" i="464"/>
  <c r="C22" i="463"/>
  <c r="G21" i="463"/>
  <c r="C21" i="462"/>
  <c r="G20" i="462"/>
  <c r="C21" i="461"/>
  <c r="G20" i="461"/>
  <c r="BA5" i="150"/>
  <c r="BA6" i="150" s="1"/>
  <c r="BA7" i="150" s="1"/>
  <c r="BA8" i="150" s="1"/>
  <c r="BA9" i="150" s="1"/>
  <c r="BA10" i="150" s="1"/>
  <c r="BA11" i="150" s="1"/>
  <c r="BA12" i="150" s="1"/>
  <c r="BA13" i="150" s="1"/>
  <c r="C22" i="484" l="1"/>
  <c r="G21" i="484"/>
  <c r="C22" i="483"/>
  <c r="G21" i="483"/>
  <c r="C22" i="482"/>
  <c r="G21" i="482"/>
  <c r="C22" i="481"/>
  <c r="G21" i="481"/>
  <c r="C22" i="480"/>
  <c r="G21" i="480"/>
  <c r="C23" i="479"/>
  <c r="G22" i="479"/>
  <c r="C22" i="478"/>
  <c r="G21" i="478"/>
  <c r="C22" i="477"/>
  <c r="G21" i="477"/>
  <c r="C22" i="476"/>
  <c r="G21" i="476"/>
  <c r="C22" i="475"/>
  <c r="G21" i="475"/>
  <c r="C22" i="474"/>
  <c r="G21" i="474"/>
  <c r="C22" i="473"/>
  <c r="G21" i="473"/>
  <c r="C22" i="472"/>
  <c r="G21" i="472"/>
  <c r="C22" i="471"/>
  <c r="G21" i="471"/>
  <c r="C22" i="470"/>
  <c r="G21" i="470"/>
  <c r="C22" i="469"/>
  <c r="G21" i="469"/>
  <c r="C22" i="468"/>
  <c r="G21" i="468"/>
  <c r="C23" i="467"/>
  <c r="G22" i="467"/>
  <c r="C22" i="466"/>
  <c r="G21" i="466"/>
  <c r="C22" i="465"/>
  <c r="G21" i="465"/>
  <c r="C22" i="464"/>
  <c r="G21" i="464"/>
  <c r="G22" i="463"/>
  <c r="C23" i="463"/>
  <c r="C22" i="462"/>
  <c r="G21" i="462"/>
  <c r="C22" i="461"/>
  <c r="G21" i="461"/>
  <c r="D8" i="150"/>
  <c r="D9" i="150"/>
  <c r="D7" i="150"/>
  <c r="D6" i="150"/>
  <c r="D5" i="150"/>
  <c r="AY5" i="150"/>
  <c r="AY13" i="150"/>
  <c r="AX13" i="150" s="1"/>
  <c r="M13" i="150"/>
  <c r="D13" i="150"/>
  <c r="G13" i="150" s="1"/>
  <c r="H13" i="150" s="1"/>
  <c r="C23" i="484" l="1"/>
  <c r="G22" i="484"/>
  <c r="C23" i="483"/>
  <c r="G22" i="483"/>
  <c r="C23" i="482"/>
  <c r="G22" i="482"/>
  <c r="C23" i="481"/>
  <c r="G22" i="481"/>
  <c r="C23" i="480"/>
  <c r="G22" i="480"/>
  <c r="C24" i="479"/>
  <c r="G23" i="479"/>
  <c r="C23" i="478"/>
  <c r="G22" i="478"/>
  <c r="C23" i="477"/>
  <c r="G22" i="477"/>
  <c r="C23" i="476"/>
  <c r="G22" i="476"/>
  <c r="C23" i="475"/>
  <c r="G22" i="475"/>
  <c r="C23" i="474"/>
  <c r="G22" i="474"/>
  <c r="C23" i="473"/>
  <c r="G22" i="473"/>
  <c r="C23" i="472"/>
  <c r="G22" i="472"/>
  <c r="C23" i="471"/>
  <c r="G22" i="471"/>
  <c r="C23" i="470"/>
  <c r="G22" i="470"/>
  <c r="C23" i="469"/>
  <c r="G22" i="469"/>
  <c r="C23" i="468"/>
  <c r="G22" i="468"/>
  <c r="C24" i="467"/>
  <c r="G23" i="467"/>
  <c r="C23" i="466"/>
  <c r="G22" i="466"/>
  <c r="C23" i="465"/>
  <c r="G22" i="465"/>
  <c r="C23" i="464"/>
  <c r="G22" i="464"/>
  <c r="C24" i="463"/>
  <c r="G23" i="463"/>
  <c r="C23" i="462"/>
  <c r="G22" i="462"/>
  <c r="C23" i="461"/>
  <c r="G22" i="461"/>
  <c r="D11" i="150"/>
  <c r="G11" i="150" s="1"/>
  <c r="C24" i="484" l="1"/>
  <c r="G23" i="484"/>
  <c r="C24" i="483"/>
  <c r="G23" i="483"/>
  <c r="C24" i="482"/>
  <c r="G23" i="482"/>
  <c r="C24" i="481"/>
  <c r="G23" i="481"/>
  <c r="C24" i="480"/>
  <c r="G23" i="480"/>
  <c r="C25" i="479"/>
  <c r="G24" i="479"/>
  <c r="C24" i="478"/>
  <c r="G23" i="478"/>
  <c r="C24" i="477"/>
  <c r="G23" i="477"/>
  <c r="C24" i="476"/>
  <c r="G23" i="476"/>
  <c r="C24" i="475"/>
  <c r="G23" i="475"/>
  <c r="C24" i="474"/>
  <c r="G23" i="474"/>
  <c r="C24" i="473"/>
  <c r="G23" i="473"/>
  <c r="C24" i="472"/>
  <c r="G23" i="472"/>
  <c r="C24" i="471"/>
  <c r="G23" i="471"/>
  <c r="C24" i="470"/>
  <c r="G23" i="470"/>
  <c r="C24" i="469"/>
  <c r="G23" i="469"/>
  <c r="C24" i="468"/>
  <c r="G23" i="468"/>
  <c r="C25" i="467"/>
  <c r="G24" i="467"/>
  <c r="C24" i="466"/>
  <c r="G23" i="466"/>
  <c r="C24" i="465"/>
  <c r="G23" i="465"/>
  <c r="C24" i="464"/>
  <c r="G23" i="464"/>
  <c r="C25" i="463"/>
  <c r="G24" i="463"/>
  <c r="C24" i="462"/>
  <c r="G23" i="462"/>
  <c r="C24" i="461"/>
  <c r="G23" i="461"/>
  <c r="P2" i="8"/>
  <c r="P3" i="8"/>
  <c r="P4" i="8"/>
  <c r="P5" i="8"/>
  <c r="P6" i="8"/>
  <c r="P7" i="8"/>
  <c r="C25" i="484" l="1"/>
  <c r="G24" i="484"/>
  <c r="C25" i="483"/>
  <c r="G24" i="483"/>
  <c r="C25" i="482"/>
  <c r="G24" i="482"/>
  <c r="C25" i="481"/>
  <c r="G24" i="481"/>
  <c r="C25" i="480"/>
  <c r="G24" i="480"/>
  <c r="G25" i="479"/>
  <c r="C26" i="479"/>
  <c r="C25" i="478"/>
  <c r="G24" i="478"/>
  <c r="G24" i="477"/>
  <c r="C25" i="477"/>
  <c r="C25" i="476"/>
  <c r="G24" i="476"/>
  <c r="C25" i="475"/>
  <c r="G24" i="475"/>
  <c r="C25" i="474"/>
  <c r="G24" i="474"/>
  <c r="C25" i="473"/>
  <c r="G24" i="473"/>
  <c r="C25" i="472"/>
  <c r="G24" i="472"/>
  <c r="C25" i="471"/>
  <c r="G24" i="471"/>
  <c r="C25" i="470"/>
  <c r="G24" i="470"/>
  <c r="C25" i="469"/>
  <c r="G24" i="469"/>
  <c r="C25" i="468"/>
  <c r="G24" i="468"/>
  <c r="G25" i="467"/>
  <c r="C26" i="467"/>
  <c r="C25" i="466"/>
  <c r="G24" i="466"/>
  <c r="C25" i="465"/>
  <c r="G24" i="465"/>
  <c r="C25" i="464"/>
  <c r="G24" i="464"/>
  <c r="G25" i="463"/>
  <c r="C26" i="463"/>
  <c r="C25" i="462"/>
  <c r="G24" i="462"/>
  <c r="C25" i="461"/>
  <c r="G24" i="461"/>
  <c r="P2" i="4"/>
  <c r="E7" i="439"/>
  <c r="D13" i="439"/>
  <c r="E13" i="439"/>
  <c r="D14" i="439"/>
  <c r="E14" i="439"/>
  <c r="D15" i="439"/>
  <c r="E15" i="439"/>
  <c r="D16" i="439"/>
  <c r="E16" i="439"/>
  <c r="D17" i="439"/>
  <c r="E17" i="439"/>
  <c r="D18" i="439"/>
  <c r="E18" i="439"/>
  <c r="D19" i="439"/>
  <c r="E19" i="439"/>
  <c r="D20" i="439"/>
  <c r="E20" i="439"/>
  <c r="D21" i="439"/>
  <c r="E21" i="439"/>
  <c r="D22" i="439"/>
  <c r="E22" i="439"/>
  <c r="D23" i="439"/>
  <c r="E23" i="439"/>
  <c r="D24" i="439"/>
  <c r="E24" i="439"/>
  <c r="D26" i="439"/>
  <c r="E26" i="439"/>
  <c r="D27" i="439"/>
  <c r="E27" i="439"/>
  <c r="D28" i="439"/>
  <c r="E28" i="439"/>
  <c r="D29" i="439"/>
  <c r="E29" i="439"/>
  <c r="D30" i="439"/>
  <c r="E30" i="439"/>
  <c r="D31" i="439"/>
  <c r="E31" i="439"/>
  <c r="D32" i="439"/>
  <c r="E32" i="439"/>
  <c r="D33" i="439"/>
  <c r="E33" i="439"/>
  <c r="D34" i="439"/>
  <c r="E34" i="439"/>
  <c r="D35" i="439"/>
  <c r="E35" i="439"/>
  <c r="G25" i="484" l="1"/>
  <c r="C26" i="484"/>
  <c r="G25" i="483"/>
  <c r="C26" i="483"/>
  <c r="G25" i="482"/>
  <c r="C26" i="482"/>
  <c r="G25" i="481"/>
  <c r="C26" i="481"/>
  <c r="G25" i="480"/>
  <c r="C26" i="480"/>
  <c r="G26" i="479"/>
  <c r="C27" i="479"/>
  <c r="G25" i="478"/>
  <c r="C26" i="478"/>
  <c r="G25" i="477"/>
  <c r="C26" i="477"/>
  <c r="G25" i="476"/>
  <c r="C26" i="476"/>
  <c r="G25" i="475"/>
  <c r="C26" i="475"/>
  <c r="G25" i="474"/>
  <c r="C26" i="474"/>
  <c r="G25" i="473"/>
  <c r="C26" i="473"/>
  <c r="G25" i="472"/>
  <c r="C26" i="472"/>
  <c r="G25" i="471"/>
  <c r="C26" i="471"/>
  <c r="G25" i="470"/>
  <c r="C26" i="470"/>
  <c r="G25" i="469"/>
  <c r="C26" i="469"/>
  <c r="G25" i="468"/>
  <c r="C26" i="468"/>
  <c r="G26" i="467"/>
  <c r="C27" i="467"/>
  <c r="G25" i="466"/>
  <c r="C26" i="466"/>
  <c r="G25" i="465"/>
  <c r="C26" i="465"/>
  <c r="G25" i="464"/>
  <c r="C26" i="464"/>
  <c r="G26" i="463"/>
  <c r="C27" i="463"/>
  <c r="G25" i="462"/>
  <c r="C26" i="462"/>
  <c r="G25" i="461"/>
  <c r="C26" i="461"/>
  <c r="G8" i="150"/>
  <c r="G26" i="484" l="1"/>
  <c r="C27" i="484"/>
  <c r="G26" i="483"/>
  <c r="C27" i="483"/>
  <c r="G26" i="482"/>
  <c r="C27" i="482"/>
  <c r="G26" i="481"/>
  <c r="C27" i="481"/>
  <c r="G26" i="480"/>
  <c r="C27" i="480"/>
  <c r="G27" i="479"/>
  <c r="C28" i="479"/>
  <c r="G26" i="478"/>
  <c r="C27" i="478"/>
  <c r="G26" i="477"/>
  <c r="C27" i="477"/>
  <c r="G26" i="476"/>
  <c r="C27" i="476"/>
  <c r="G26" i="475"/>
  <c r="C27" i="475"/>
  <c r="G26" i="474"/>
  <c r="C27" i="474"/>
  <c r="G26" i="473"/>
  <c r="C27" i="473"/>
  <c r="G26" i="472"/>
  <c r="C27" i="472"/>
  <c r="G26" i="471"/>
  <c r="C27" i="471"/>
  <c r="G26" i="470"/>
  <c r="C27" i="470"/>
  <c r="G26" i="469"/>
  <c r="C27" i="469"/>
  <c r="C27" i="468"/>
  <c r="G26" i="468"/>
  <c r="G27" i="467"/>
  <c r="C28" i="467"/>
  <c r="G26" i="466"/>
  <c r="C27" i="466"/>
  <c r="G26" i="465"/>
  <c r="C27" i="465"/>
  <c r="G26" i="464"/>
  <c r="C27" i="464"/>
  <c r="G27" i="463"/>
  <c r="C28" i="463"/>
  <c r="G26" i="462"/>
  <c r="C27" i="462"/>
  <c r="G26" i="461"/>
  <c r="C27" i="461"/>
  <c r="Q15" i="150"/>
  <c r="G27" i="484" l="1"/>
  <c r="C28" i="484"/>
  <c r="G27" i="483"/>
  <c r="C28" i="483"/>
  <c r="G27" i="482"/>
  <c r="C28" i="482"/>
  <c r="G27" i="481"/>
  <c r="C28" i="481"/>
  <c r="G27" i="480"/>
  <c r="C28" i="480"/>
  <c r="C29" i="479"/>
  <c r="G28" i="479"/>
  <c r="G27" i="478"/>
  <c r="C28" i="478"/>
  <c r="G27" i="477"/>
  <c r="C28" i="477"/>
  <c r="G27" i="476"/>
  <c r="C28" i="476"/>
  <c r="G27" i="475"/>
  <c r="C28" i="475"/>
  <c r="G27" i="474"/>
  <c r="C28" i="474"/>
  <c r="G27" i="473"/>
  <c r="C28" i="473"/>
  <c r="G27" i="472"/>
  <c r="C28" i="472"/>
  <c r="G27" i="471"/>
  <c r="C28" i="471"/>
  <c r="G27" i="470"/>
  <c r="C28" i="470"/>
  <c r="G27" i="469"/>
  <c r="C28" i="469"/>
  <c r="G27" i="468"/>
  <c r="C28" i="468"/>
  <c r="C29" i="467"/>
  <c r="G28" i="467"/>
  <c r="G27" i="466"/>
  <c r="C28" i="466"/>
  <c r="G27" i="465"/>
  <c r="C28" i="465"/>
  <c r="G27" i="464"/>
  <c r="C28" i="464"/>
  <c r="C29" i="463"/>
  <c r="G28" i="463"/>
  <c r="G27" i="462"/>
  <c r="C28" i="462"/>
  <c r="G27" i="461"/>
  <c r="C28" i="461"/>
  <c r="F9" i="137"/>
  <c r="C29" i="484" l="1"/>
  <c r="G28" i="484"/>
  <c r="C29" i="483"/>
  <c r="G28" i="483"/>
  <c r="C29" i="482"/>
  <c r="G28" i="482"/>
  <c r="C29" i="481"/>
  <c r="G28" i="481"/>
  <c r="C29" i="480"/>
  <c r="G28" i="480"/>
  <c r="C30" i="479"/>
  <c r="G29" i="479"/>
  <c r="C29" i="478"/>
  <c r="G28" i="478"/>
  <c r="C29" i="477"/>
  <c r="G28" i="477"/>
  <c r="C29" i="476"/>
  <c r="G28" i="476"/>
  <c r="C29" i="475"/>
  <c r="G28" i="475"/>
  <c r="C29" i="474"/>
  <c r="G28" i="474"/>
  <c r="C29" i="473"/>
  <c r="G28" i="473"/>
  <c r="C29" i="472"/>
  <c r="G28" i="472"/>
  <c r="C29" i="471"/>
  <c r="G28" i="471"/>
  <c r="C29" i="470"/>
  <c r="G28" i="470"/>
  <c r="C29" i="469"/>
  <c r="G28" i="469"/>
  <c r="C29" i="468"/>
  <c r="G28" i="468"/>
  <c r="C30" i="467"/>
  <c r="G29" i="467"/>
  <c r="C29" i="466"/>
  <c r="G28" i="466"/>
  <c r="C29" i="465"/>
  <c r="G28" i="465"/>
  <c r="C29" i="464"/>
  <c r="G28" i="464"/>
  <c r="C30" i="463"/>
  <c r="G29" i="463"/>
  <c r="C29" i="462"/>
  <c r="G28" i="462"/>
  <c r="C29" i="461"/>
  <c r="G28" i="461"/>
  <c r="AX6" i="137"/>
  <c r="C30" i="484" l="1"/>
  <c r="G29" i="484"/>
  <c r="C30" i="483"/>
  <c r="G29" i="483"/>
  <c r="C30" i="482"/>
  <c r="G29" i="482"/>
  <c r="C30" i="481"/>
  <c r="G29" i="481"/>
  <c r="C30" i="480"/>
  <c r="G29" i="480"/>
  <c r="C31" i="479"/>
  <c r="G30" i="479"/>
  <c r="C30" i="478"/>
  <c r="G29" i="478"/>
  <c r="C30" i="477"/>
  <c r="G29" i="477"/>
  <c r="C30" i="476"/>
  <c r="G29" i="476"/>
  <c r="C30" i="475"/>
  <c r="G29" i="475"/>
  <c r="C30" i="474"/>
  <c r="G29" i="474"/>
  <c r="C30" i="473"/>
  <c r="G29" i="473"/>
  <c r="C30" i="472"/>
  <c r="G29" i="472"/>
  <c r="C30" i="471"/>
  <c r="G29" i="471"/>
  <c r="C30" i="470"/>
  <c r="G29" i="470"/>
  <c r="C30" i="469"/>
  <c r="G29" i="469"/>
  <c r="G29" i="468"/>
  <c r="C30" i="468"/>
  <c r="C31" i="467"/>
  <c r="G30" i="467"/>
  <c r="C30" i="466"/>
  <c r="G29" i="466"/>
  <c r="C30" i="465"/>
  <c r="G29" i="465"/>
  <c r="C30" i="464"/>
  <c r="G29" i="464"/>
  <c r="C31" i="463"/>
  <c r="G30" i="463"/>
  <c r="C30" i="462"/>
  <c r="G29" i="462"/>
  <c r="C30" i="461"/>
  <c r="G29" i="461"/>
  <c r="G21" i="1"/>
  <c r="H21" i="1" s="1"/>
  <c r="G22" i="1"/>
  <c r="C31" i="484" l="1"/>
  <c r="G30" i="484"/>
  <c r="C31" i="483"/>
  <c r="G30" i="483"/>
  <c r="C31" i="482"/>
  <c r="G30" i="482"/>
  <c r="C31" i="481"/>
  <c r="G30" i="481"/>
  <c r="C31" i="480"/>
  <c r="G30" i="480"/>
  <c r="C32" i="479"/>
  <c r="G31" i="479"/>
  <c r="C31" i="478"/>
  <c r="G30" i="478"/>
  <c r="C31" i="477"/>
  <c r="G30" i="477"/>
  <c r="C31" i="476"/>
  <c r="G30" i="476"/>
  <c r="C31" i="475"/>
  <c r="G30" i="475"/>
  <c r="C31" i="474"/>
  <c r="G30" i="474"/>
  <c r="C31" i="473"/>
  <c r="G30" i="473"/>
  <c r="C31" i="472"/>
  <c r="G30" i="472"/>
  <c r="C31" i="471"/>
  <c r="G30" i="471"/>
  <c r="C31" i="470"/>
  <c r="G30" i="470"/>
  <c r="C31" i="469"/>
  <c r="G30" i="469"/>
  <c r="C31" i="468"/>
  <c r="G30" i="468"/>
  <c r="C32" i="467"/>
  <c r="G31" i="467"/>
  <c r="C31" i="466"/>
  <c r="G30" i="466"/>
  <c r="C31" i="465"/>
  <c r="G30" i="465"/>
  <c r="C31" i="464"/>
  <c r="G30" i="464"/>
  <c r="C32" i="463"/>
  <c r="G31" i="463"/>
  <c r="C31" i="462"/>
  <c r="G30" i="462"/>
  <c r="C31" i="461"/>
  <c r="G30" i="461"/>
  <c r="M21" i="1"/>
  <c r="C32" i="484" l="1"/>
  <c r="G31" i="484"/>
  <c r="C32" i="483"/>
  <c r="G31" i="483"/>
  <c r="C32" i="482"/>
  <c r="G31" i="482"/>
  <c r="C32" i="481"/>
  <c r="G31" i="481"/>
  <c r="C32" i="480"/>
  <c r="G31" i="480"/>
  <c r="C33" i="479"/>
  <c r="G32" i="479"/>
  <c r="C32" i="478"/>
  <c r="G31" i="478"/>
  <c r="C32" i="477"/>
  <c r="G31" i="477"/>
  <c r="C32" i="476"/>
  <c r="G31" i="476"/>
  <c r="C32" i="475"/>
  <c r="G31" i="475"/>
  <c r="C32" i="474"/>
  <c r="G31" i="474"/>
  <c r="C32" i="473"/>
  <c r="G31" i="473"/>
  <c r="C32" i="472"/>
  <c r="G31" i="472"/>
  <c r="C32" i="471"/>
  <c r="G31" i="471"/>
  <c r="C32" i="470"/>
  <c r="G31" i="470"/>
  <c r="C32" i="469"/>
  <c r="G31" i="469"/>
  <c r="G31" i="468"/>
  <c r="C32" i="468"/>
  <c r="C33" i="467"/>
  <c r="G32" i="467"/>
  <c r="C32" i="466"/>
  <c r="G31" i="466"/>
  <c r="C32" i="465"/>
  <c r="G31" i="465"/>
  <c r="C32" i="464"/>
  <c r="G31" i="464"/>
  <c r="C33" i="463"/>
  <c r="G32" i="463"/>
  <c r="C32" i="462"/>
  <c r="G31" i="462"/>
  <c r="C32" i="461"/>
  <c r="G31" i="461"/>
  <c r="R50" i="8"/>
  <c r="R51" i="8"/>
  <c r="R52" i="8"/>
  <c r="R53" i="8"/>
  <c r="R54" i="8"/>
  <c r="R55" i="8"/>
  <c r="R56" i="8"/>
  <c r="R57" i="8"/>
  <c r="R58" i="8"/>
  <c r="R59" i="8"/>
  <c r="R60" i="8"/>
  <c r="R3" i="8"/>
  <c r="R4" i="8"/>
  <c r="R5" i="8"/>
  <c r="R6" i="8"/>
  <c r="R7" i="8"/>
  <c r="R8" i="8"/>
  <c r="R9" i="8"/>
  <c r="R10" i="8"/>
  <c r="R11" i="8"/>
  <c r="R12" i="8"/>
  <c r="R13" i="8"/>
  <c r="R14" i="8"/>
  <c r="R15" i="8"/>
  <c r="R16" i="8"/>
  <c r="R17" i="8"/>
  <c r="R18" i="8"/>
  <c r="R19" i="8"/>
  <c r="R20" i="8"/>
  <c r="R21" i="8"/>
  <c r="R22" i="8"/>
  <c r="R23" i="8"/>
  <c r="R24" i="8"/>
  <c r="R25" i="8"/>
  <c r="R26" i="8"/>
  <c r="R27" i="8"/>
  <c r="R28" i="8"/>
  <c r="R29" i="8"/>
  <c r="R30" i="8"/>
  <c r="R31" i="8"/>
  <c r="R32" i="8"/>
  <c r="R33" i="8"/>
  <c r="R34" i="8"/>
  <c r="R35" i="8"/>
  <c r="R36" i="8"/>
  <c r="R37" i="8"/>
  <c r="R38" i="8"/>
  <c r="R39" i="8"/>
  <c r="R40" i="8"/>
  <c r="R41" i="8"/>
  <c r="R42" i="8"/>
  <c r="R43" i="8"/>
  <c r="R44" i="8"/>
  <c r="R45" i="8"/>
  <c r="R46" i="8"/>
  <c r="R47" i="8"/>
  <c r="R48" i="8"/>
  <c r="R49" i="8"/>
  <c r="P8" i="8"/>
  <c r="P9" i="8"/>
  <c r="P10" i="8"/>
  <c r="P11" i="8"/>
  <c r="P12" i="8"/>
  <c r="P13" i="8"/>
  <c r="P14" i="8"/>
  <c r="P15" i="8"/>
  <c r="P16" i="8"/>
  <c r="P17" i="8"/>
  <c r="P18" i="8"/>
  <c r="P19" i="8"/>
  <c r="P20" i="8"/>
  <c r="P21" i="8"/>
  <c r="P22" i="8"/>
  <c r="P23" i="8"/>
  <c r="P24" i="8"/>
  <c r="P25" i="8"/>
  <c r="P26" i="8"/>
  <c r="P27" i="8"/>
  <c r="P28" i="8"/>
  <c r="P29" i="8"/>
  <c r="P30" i="8"/>
  <c r="P31" i="8"/>
  <c r="P32" i="8"/>
  <c r="P33" i="8"/>
  <c r="P34" i="8"/>
  <c r="P35" i="8"/>
  <c r="P36" i="8"/>
  <c r="P37" i="8"/>
  <c r="P38" i="8"/>
  <c r="P39" i="8"/>
  <c r="P40" i="8"/>
  <c r="P41" i="8"/>
  <c r="P42" i="8"/>
  <c r="P43" i="8"/>
  <c r="P44" i="8"/>
  <c r="P45" i="8"/>
  <c r="P46" i="8"/>
  <c r="P47" i="8"/>
  <c r="P48" i="8"/>
  <c r="P49" i="8"/>
  <c r="P50" i="8"/>
  <c r="P51" i="8"/>
  <c r="P52" i="8"/>
  <c r="P53" i="8"/>
  <c r="P54" i="8"/>
  <c r="P55" i="8"/>
  <c r="P56" i="8"/>
  <c r="P57" i="8"/>
  <c r="P58" i="8"/>
  <c r="P59" i="8"/>
  <c r="P60" i="8"/>
  <c r="F13" i="439"/>
  <c r="F14" i="439"/>
  <c r="F15" i="439"/>
  <c r="F16" i="439"/>
  <c r="C33" i="484" l="1"/>
  <c r="G32" i="484"/>
  <c r="C33" i="483"/>
  <c r="G32" i="483"/>
  <c r="C33" i="482"/>
  <c r="G32" i="482"/>
  <c r="C33" i="481"/>
  <c r="G32" i="481"/>
  <c r="G32" i="480"/>
  <c r="C33" i="480"/>
  <c r="G33" i="479"/>
  <c r="C34" i="479"/>
  <c r="C33" i="478"/>
  <c r="G32" i="478"/>
  <c r="G32" i="477"/>
  <c r="C33" i="477"/>
  <c r="C33" i="476"/>
  <c r="G32" i="476"/>
  <c r="C33" i="475"/>
  <c r="G32" i="475"/>
  <c r="G32" i="474"/>
  <c r="C33" i="474"/>
  <c r="C33" i="473"/>
  <c r="G32" i="473"/>
  <c r="C33" i="472"/>
  <c r="G32" i="472"/>
  <c r="C33" i="471"/>
  <c r="G32" i="471"/>
  <c r="C33" i="470"/>
  <c r="G32" i="470"/>
  <c r="C33" i="469"/>
  <c r="G32" i="469"/>
  <c r="C33" i="468"/>
  <c r="G32" i="468"/>
  <c r="G33" i="467"/>
  <c r="C34" i="467"/>
  <c r="G32" i="466"/>
  <c r="C33" i="466"/>
  <c r="C33" i="465"/>
  <c r="G32" i="465"/>
  <c r="C33" i="464"/>
  <c r="G32" i="464"/>
  <c r="G33" i="463"/>
  <c r="C34" i="463"/>
  <c r="C33" i="462"/>
  <c r="G32" i="462"/>
  <c r="C33" i="461"/>
  <c r="G32" i="461"/>
  <c r="M12" i="137"/>
  <c r="AX12" i="137"/>
  <c r="H12" i="137"/>
  <c r="G33" i="484" l="1"/>
  <c r="C34" i="484"/>
  <c r="G33" i="483"/>
  <c r="C34" i="483"/>
  <c r="G33" i="482"/>
  <c r="C34" i="482"/>
  <c r="G33" i="481"/>
  <c r="C34" i="481"/>
  <c r="G33" i="480"/>
  <c r="C34" i="480"/>
  <c r="G34" i="479"/>
  <c r="C35" i="479"/>
  <c r="G33" i="478"/>
  <c r="C34" i="478"/>
  <c r="G33" i="477"/>
  <c r="C34" i="477"/>
  <c r="G33" i="476"/>
  <c r="C34" i="476"/>
  <c r="G33" i="475"/>
  <c r="C34" i="475"/>
  <c r="G33" i="474"/>
  <c r="C34" i="474"/>
  <c r="G33" i="473"/>
  <c r="C34" i="473"/>
  <c r="G33" i="472"/>
  <c r="C34" i="472"/>
  <c r="G33" i="471"/>
  <c r="C34" i="471"/>
  <c r="G33" i="470"/>
  <c r="C34" i="470"/>
  <c r="G33" i="469"/>
  <c r="C34" i="469"/>
  <c r="G33" i="468"/>
  <c r="C34" i="468"/>
  <c r="G34" i="467"/>
  <c r="C35" i="467"/>
  <c r="G33" i="466"/>
  <c r="C34" i="466"/>
  <c r="G33" i="465"/>
  <c r="C34" i="465"/>
  <c r="G33" i="464"/>
  <c r="C34" i="464"/>
  <c r="G34" i="463"/>
  <c r="C35" i="463"/>
  <c r="G33" i="462"/>
  <c r="C34" i="462"/>
  <c r="G33" i="461"/>
  <c r="C34" i="461"/>
  <c r="D10" i="150"/>
  <c r="U13" i="120"/>
  <c r="G20" i="4"/>
  <c r="G34" i="484" l="1"/>
  <c r="C35" i="484"/>
  <c r="G34" i="483"/>
  <c r="C35" i="483"/>
  <c r="G34" i="482"/>
  <c r="C35" i="482"/>
  <c r="G34" i="481"/>
  <c r="C35" i="481"/>
  <c r="G34" i="480"/>
  <c r="C35" i="480"/>
  <c r="G35" i="479"/>
  <c r="C36" i="479"/>
  <c r="G34" i="478"/>
  <c r="C35" i="478"/>
  <c r="G34" i="477"/>
  <c r="C35" i="477"/>
  <c r="G34" i="476"/>
  <c r="C35" i="476"/>
  <c r="G34" i="475"/>
  <c r="C35" i="475"/>
  <c r="G34" i="474"/>
  <c r="C35" i="474"/>
  <c r="G34" i="473"/>
  <c r="C35" i="473"/>
  <c r="G34" i="472"/>
  <c r="C35" i="472"/>
  <c r="G34" i="471"/>
  <c r="C35" i="471"/>
  <c r="G34" i="470"/>
  <c r="C35" i="470"/>
  <c r="G34" i="469"/>
  <c r="C35" i="469"/>
  <c r="C35" i="468"/>
  <c r="G34" i="468"/>
  <c r="G35" i="467"/>
  <c r="C36" i="467"/>
  <c r="G34" i="466"/>
  <c r="C35" i="466"/>
  <c r="G34" i="465"/>
  <c r="C35" i="465"/>
  <c r="G34" i="464"/>
  <c r="C35" i="464"/>
  <c r="G35" i="463"/>
  <c r="C36" i="463"/>
  <c r="G34" i="462"/>
  <c r="C35" i="462"/>
  <c r="G34" i="461"/>
  <c r="C35" i="461"/>
  <c r="G9" i="4"/>
  <c r="G18" i="4"/>
  <c r="G5" i="4"/>
  <c r="G35" i="484" l="1"/>
  <c r="C36" i="484"/>
  <c r="G35" i="483"/>
  <c r="C36" i="483"/>
  <c r="G35" i="482"/>
  <c r="C36" i="482"/>
  <c r="G35" i="481"/>
  <c r="C36" i="481"/>
  <c r="G35" i="480"/>
  <c r="C36" i="480"/>
  <c r="C37" i="479"/>
  <c r="H33" i="479" s="1"/>
  <c r="G36" i="479"/>
  <c r="G35" i="478"/>
  <c r="C36" i="478"/>
  <c r="G35" i="477"/>
  <c r="C36" i="477"/>
  <c r="G35" i="476"/>
  <c r="C36" i="476"/>
  <c r="G35" i="475"/>
  <c r="C36" i="475"/>
  <c r="G35" i="474"/>
  <c r="C36" i="474"/>
  <c r="G35" i="473"/>
  <c r="C36" i="473"/>
  <c r="G35" i="472"/>
  <c r="C36" i="472"/>
  <c r="G35" i="471"/>
  <c r="C36" i="471"/>
  <c r="G35" i="470"/>
  <c r="C36" i="470"/>
  <c r="G35" i="469"/>
  <c r="C36" i="469"/>
  <c r="G35" i="468"/>
  <c r="C36" i="468"/>
  <c r="C37" i="467"/>
  <c r="G36" i="467"/>
  <c r="H36" i="467" s="1"/>
  <c r="H34" i="467"/>
  <c r="H32" i="467"/>
  <c r="H35" i="467"/>
  <c r="H33" i="467"/>
  <c r="G35" i="466"/>
  <c r="C36" i="466"/>
  <c r="G35" i="465"/>
  <c r="C36" i="465"/>
  <c r="G35" i="464"/>
  <c r="C36" i="464"/>
  <c r="C37" i="463"/>
  <c r="H35" i="463" s="1"/>
  <c r="G36" i="463"/>
  <c r="H34" i="463"/>
  <c r="H33" i="463"/>
  <c r="G35" i="462"/>
  <c r="C36" i="462"/>
  <c r="G35" i="461"/>
  <c r="C36" i="461"/>
  <c r="A23" i="150"/>
  <c r="A26" i="4"/>
  <c r="C37" i="484" l="1"/>
  <c r="G36" i="484"/>
  <c r="H36" i="484" s="1"/>
  <c r="H33" i="484"/>
  <c r="C37" i="483"/>
  <c r="G36" i="483"/>
  <c r="H33" i="483"/>
  <c r="H34" i="483"/>
  <c r="H36" i="483"/>
  <c r="C37" i="482"/>
  <c r="H34" i="482" s="1"/>
  <c r="G36" i="482"/>
  <c r="C37" i="481"/>
  <c r="G36" i="481"/>
  <c r="H34" i="481"/>
  <c r="H36" i="481"/>
  <c r="H33" i="481"/>
  <c r="C37" i="480"/>
  <c r="H34" i="480" s="1"/>
  <c r="G36" i="480"/>
  <c r="H36" i="480" s="1"/>
  <c r="H35" i="479"/>
  <c r="H36" i="479"/>
  <c r="H34" i="479"/>
  <c r="G38" i="479"/>
  <c r="H38" i="479" s="1"/>
  <c r="G37" i="479"/>
  <c r="H37" i="479" s="1"/>
  <c r="H11" i="479"/>
  <c r="H10" i="479"/>
  <c r="H8" i="479"/>
  <c r="H9" i="479"/>
  <c r="H12" i="479"/>
  <c r="H16" i="479"/>
  <c r="H18" i="479"/>
  <c r="H19" i="479"/>
  <c r="H15" i="479"/>
  <c r="H17" i="479"/>
  <c r="H21" i="479"/>
  <c r="H23" i="479"/>
  <c r="H20" i="479"/>
  <c r="H22" i="479"/>
  <c r="H24" i="479"/>
  <c r="H25" i="479"/>
  <c r="H26" i="479"/>
  <c r="H29" i="479"/>
  <c r="H27" i="479"/>
  <c r="H30" i="479"/>
  <c r="H31" i="479"/>
  <c r="H28" i="479"/>
  <c r="H32" i="479"/>
  <c r="C37" i="478"/>
  <c r="H34" i="478" s="1"/>
  <c r="G36" i="478"/>
  <c r="H36" i="478" s="1"/>
  <c r="C37" i="477"/>
  <c r="G36" i="477"/>
  <c r="H36" i="477" s="1"/>
  <c r="C37" i="476"/>
  <c r="G36" i="476"/>
  <c r="H33" i="476"/>
  <c r="H34" i="476"/>
  <c r="H35" i="476"/>
  <c r="H36" i="476"/>
  <c r="C37" i="475"/>
  <c r="H33" i="475" s="1"/>
  <c r="G36" i="475"/>
  <c r="H32" i="474"/>
  <c r="C37" i="474"/>
  <c r="G36" i="474"/>
  <c r="C37" i="473"/>
  <c r="G36" i="473"/>
  <c r="H36" i="473" s="1"/>
  <c r="H29" i="473"/>
  <c r="H33" i="473"/>
  <c r="H35" i="473"/>
  <c r="C37" i="472"/>
  <c r="H34" i="472" s="1"/>
  <c r="G36" i="472"/>
  <c r="C37" i="471"/>
  <c r="G36" i="471"/>
  <c r="H36" i="471" s="1"/>
  <c r="H34" i="471"/>
  <c r="H33" i="471"/>
  <c r="H32" i="471"/>
  <c r="C37" i="470"/>
  <c r="G36" i="470"/>
  <c r="H31" i="470"/>
  <c r="H33" i="470"/>
  <c r="H32" i="470"/>
  <c r="H34" i="470"/>
  <c r="H36" i="470"/>
  <c r="H35" i="469"/>
  <c r="C37" i="469"/>
  <c r="G36" i="469"/>
  <c r="H36" i="469" s="1"/>
  <c r="H30" i="469"/>
  <c r="H34" i="469"/>
  <c r="H33" i="469"/>
  <c r="C37" i="468"/>
  <c r="G36" i="468"/>
  <c r="H29" i="468"/>
  <c r="H33" i="468"/>
  <c r="H30" i="468"/>
  <c r="H34" i="468"/>
  <c r="H36" i="468"/>
  <c r="G38" i="467"/>
  <c r="H38" i="467" s="1"/>
  <c r="G37" i="467"/>
  <c r="H37" i="467" s="1"/>
  <c r="H10" i="467"/>
  <c r="H8" i="467"/>
  <c r="H9" i="467"/>
  <c r="H11" i="467"/>
  <c r="H12" i="467"/>
  <c r="H15" i="467"/>
  <c r="H13" i="467"/>
  <c r="H14" i="467"/>
  <c r="H17" i="467"/>
  <c r="H16" i="467"/>
  <c r="H20" i="467"/>
  <c r="H21" i="467"/>
  <c r="H23" i="467"/>
  <c r="H24" i="467"/>
  <c r="H22" i="467"/>
  <c r="H25" i="467"/>
  <c r="H27" i="467"/>
  <c r="H26" i="467"/>
  <c r="H28" i="467"/>
  <c r="H30" i="467"/>
  <c r="H29" i="467"/>
  <c r="H31" i="467"/>
  <c r="C37" i="466"/>
  <c r="G36" i="466"/>
  <c r="H36" i="466" s="1"/>
  <c r="H34" i="466"/>
  <c r="H31" i="466"/>
  <c r="H33" i="466"/>
  <c r="H35" i="466"/>
  <c r="C37" i="465"/>
  <c r="G36" i="465"/>
  <c r="C37" i="464"/>
  <c r="G36" i="464"/>
  <c r="H36" i="464" s="1"/>
  <c r="H34" i="464"/>
  <c r="G38" i="463"/>
  <c r="H38" i="463" s="1"/>
  <c r="G37" i="463"/>
  <c r="H37" i="463" s="1"/>
  <c r="H12" i="463"/>
  <c r="H10" i="463"/>
  <c r="H8" i="463"/>
  <c r="H9" i="463" s="1"/>
  <c r="H11" i="463"/>
  <c r="H13" i="463"/>
  <c r="H15" i="463"/>
  <c r="H16" i="463"/>
  <c r="H14" i="463"/>
  <c r="H17" i="463"/>
  <c r="H21" i="463"/>
  <c r="H18" i="463"/>
  <c r="H19" i="463"/>
  <c r="H22" i="463"/>
  <c r="H20" i="463"/>
  <c r="H23" i="463"/>
  <c r="H24" i="463"/>
  <c r="H25" i="463"/>
  <c r="H26" i="463"/>
  <c r="H30" i="463"/>
  <c r="H27" i="463"/>
  <c r="H28" i="463"/>
  <c r="H31" i="463"/>
  <c r="H29" i="463"/>
  <c r="H32" i="463"/>
  <c r="H36" i="463"/>
  <c r="C37" i="462"/>
  <c r="G36" i="462"/>
  <c r="H36" i="462" s="1"/>
  <c r="H33" i="462"/>
  <c r="C37" i="461"/>
  <c r="H35" i="461" s="1"/>
  <c r="G36" i="461"/>
  <c r="H36" i="461" s="1"/>
  <c r="H34" i="461"/>
  <c r="H33" i="461"/>
  <c r="A28" i="4"/>
  <c r="H5" i="4"/>
  <c r="M5" i="4"/>
  <c r="H34" i="484" l="1"/>
  <c r="G38" i="484"/>
  <c r="H38" i="484" s="1"/>
  <c r="G37" i="484"/>
  <c r="H37" i="484" s="1"/>
  <c r="H9" i="484"/>
  <c r="H10" i="484"/>
  <c r="H8" i="484"/>
  <c r="H11" i="484"/>
  <c r="H14" i="484"/>
  <c r="H16" i="484"/>
  <c r="H15" i="484"/>
  <c r="H19" i="484"/>
  <c r="H17" i="484"/>
  <c r="H18" i="484"/>
  <c r="H21" i="484"/>
  <c r="H23" i="484"/>
  <c r="H20" i="484"/>
  <c r="H22" i="484"/>
  <c r="H25" i="484"/>
  <c r="H24" i="484"/>
  <c r="H26" i="484"/>
  <c r="H29" i="484"/>
  <c r="H27" i="484"/>
  <c r="H30" i="484"/>
  <c r="H31" i="484"/>
  <c r="H28" i="484"/>
  <c r="H32" i="484"/>
  <c r="H35" i="484"/>
  <c r="G38" i="483"/>
  <c r="H38" i="483" s="1"/>
  <c r="G37" i="483"/>
  <c r="H37" i="483" s="1"/>
  <c r="H11" i="483"/>
  <c r="H8" i="483"/>
  <c r="H9" i="483" s="1"/>
  <c r="H12" i="483"/>
  <c r="H10" i="483"/>
  <c r="H14" i="483"/>
  <c r="H16" i="483"/>
  <c r="H13" i="483"/>
  <c r="H18" i="483"/>
  <c r="H17" i="483"/>
  <c r="H15" i="483"/>
  <c r="H21" i="483"/>
  <c r="H19" i="483"/>
  <c r="H22" i="483"/>
  <c r="H20" i="483"/>
  <c r="H23" i="483"/>
  <c r="H24" i="483"/>
  <c r="H25" i="483"/>
  <c r="H29" i="483"/>
  <c r="H27" i="483"/>
  <c r="H26" i="483"/>
  <c r="H30" i="483"/>
  <c r="H31" i="483"/>
  <c r="H28" i="483"/>
  <c r="H32" i="483"/>
  <c r="H35" i="483"/>
  <c r="H36" i="482"/>
  <c r="H35" i="482"/>
  <c r="H31" i="482"/>
  <c r="H33" i="482"/>
  <c r="G38" i="482"/>
  <c r="H38" i="482" s="1"/>
  <c r="G37" i="482"/>
  <c r="H37" i="482" s="1"/>
  <c r="H8" i="482"/>
  <c r="H10" i="482" s="1"/>
  <c r="H12" i="482"/>
  <c r="H11" i="482"/>
  <c r="H14" i="482"/>
  <c r="H13" i="482"/>
  <c r="H16" i="482"/>
  <c r="H15" i="482"/>
  <c r="H17" i="482"/>
  <c r="H19" i="482"/>
  <c r="H18" i="482"/>
  <c r="H20" i="482"/>
  <c r="H21" i="482"/>
  <c r="H22" i="482"/>
  <c r="H23" i="482"/>
  <c r="H24" i="482"/>
  <c r="H25" i="482"/>
  <c r="H27" i="482"/>
  <c r="H26" i="482"/>
  <c r="H29" i="482"/>
  <c r="H28" i="482"/>
  <c r="H30" i="482"/>
  <c r="H32" i="482"/>
  <c r="G38" i="481"/>
  <c r="H38" i="481" s="1"/>
  <c r="G37" i="481"/>
  <c r="H37" i="481" s="1"/>
  <c r="H9" i="481"/>
  <c r="H13" i="481"/>
  <c r="H10" i="481"/>
  <c r="H8" i="481"/>
  <c r="H11" i="481"/>
  <c r="H12" i="481"/>
  <c r="H16" i="481"/>
  <c r="H18" i="481"/>
  <c r="H17" i="481"/>
  <c r="H21" i="481"/>
  <c r="H22" i="481"/>
  <c r="H20" i="481"/>
  <c r="H19" i="481"/>
  <c r="H23" i="481"/>
  <c r="H24" i="481"/>
  <c r="H25" i="481"/>
  <c r="H26" i="481"/>
  <c r="H29" i="481"/>
  <c r="H28" i="481"/>
  <c r="H27" i="481"/>
  <c r="H30" i="481"/>
  <c r="H31" i="481"/>
  <c r="H32" i="481"/>
  <c r="H35" i="481"/>
  <c r="H33" i="480"/>
  <c r="G38" i="480"/>
  <c r="H38" i="480" s="1"/>
  <c r="G37" i="480"/>
  <c r="H37" i="480" s="1"/>
  <c r="H8" i="480"/>
  <c r="H10" i="480"/>
  <c r="H9" i="480"/>
  <c r="H14" i="480"/>
  <c r="H15" i="480"/>
  <c r="H16" i="480"/>
  <c r="H13" i="480"/>
  <c r="H17" i="480"/>
  <c r="H18" i="480"/>
  <c r="H19" i="480"/>
  <c r="H22" i="480"/>
  <c r="H23" i="480"/>
  <c r="H21" i="480"/>
  <c r="H20" i="480"/>
  <c r="H24" i="480"/>
  <c r="H26" i="480"/>
  <c r="H27" i="480"/>
  <c r="H25" i="480"/>
  <c r="H29" i="480"/>
  <c r="H28" i="480"/>
  <c r="H30" i="480"/>
  <c r="H32" i="480"/>
  <c r="H31" i="480"/>
  <c r="H35" i="480"/>
  <c r="H14" i="479"/>
  <c r="H33" i="478"/>
  <c r="G38" i="478"/>
  <c r="H38" i="478" s="1"/>
  <c r="G37" i="478"/>
  <c r="H37" i="478" s="1"/>
  <c r="H8" i="478"/>
  <c r="H11" i="478"/>
  <c r="H12" i="478"/>
  <c r="H15" i="478"/>
  <c r="H14" i="478"/>
  <c r="H16" i="478"/>
  <c r="H13" i="478"/>
  <c r="H18" i="478"/>
  <c r="H17" i="478"/>
  <c r="H21" i="478"/>
  <c r="H19" i="478"/>
  <c r="H22" i="478"/>
  <c r="H23" i="478"/>
  <c r="H20" i="478"/>
  <c r="H24" i="478"/>
  <c r="H25" i="478"/>
  <c r="H29" i="478"/>
  <c r="H27" i="478"/>
  <c r="H26" i="478"/>
  <c r="H30" i="478"/>
  <c r="H31" i="478"/>
  <c r="H28" i="478"/>
  <c r="H32" i="478"/>
  <c r="H35" i="478"/>
  <c r="G38" i="477"/>
  <c r="H38" i="477" s="1"/>
  <c r="G37" i="477"/>
  <c r="H37" i="477" s="1"/>
  <c r="H11" i="477"/>
  <c r="H12" i="477"/>
  <c r="H14" i="477"/>
  <c r="H13" i="477"/>
  <c r="H8" i="477"/>
  <c r="H9" i="477" s="1"/>
  <c r="H10" i="477"/>
  <c r="H16" i="477"/>
  <c r="H15" i="477"/>
  <c r="H17" i="477"/>
  <c r="H18" i="477"/>
  <c r="H19" i="477"/>
  <c r="H20" i="477"/>
  <c r="H21" i="477"/>
  <c r="H23" i="477"/>
  <c r="H22" i="477"/>
  <c r="H25" i="477"/>
  <c r="H24" i="477"/>
  <c r="H28" i="477"/>
  <c r="H27" i="477"/>
  <c r="H26" i="477"/>
  <c r="H29" i="477"/>
  <c r="H32" i="477"/>
  <c r="H31" i="477"/>
  <c r="H30" i="477"/>
  <c r="H34" i="477"/>
  <c r="H33" i="477"/>
  <c r="H35" i="477"/>
  <c r="G38" i="476"/>
  <c r="H38" i="476" s="1"/>
  <c r="G37" i="476"/>
  <c r="H37" i="476" s="1"/>
  <c r="H9" i="476"/>
  <c r="H8" i="476"/>
  <c r="H10" i="476"/>
  <c r="H11" i="476"/>
  <c r="H14" i="476"/>
  <c r="H12" i="476"/>
  <c r="H13" i="476"/>
  <c r="H16" i="476"/>
  <c r="H15" i="476"/>
  <c r="H17" i="476"/>
  <c r="H19" i="476"/>
  <c r="H18" i="476"/>
  <c r="H20" i="476"/>
  <c r="H21" i="476"/>
  <c r="H23" i="476"/>
  <c r="H24" i="476"/>
  <c r="H22" i="476"/>
  <c r="H29" i="476"/>
  <c r="H25" i="476"/>
  <c r="H26" i="476"/>
  <c r="H28" i="476"/>
  <c r="H30" i="476"/>
  <c r="H27" i="476"/>
  <c r="H31" i="476"/>
  <c r="H32" i="476"/>
  <c r="H36" i="475"/>
  <c r="H34" i="475"/>
  <c r="G38" i="475"/>
  <c r="H38" i="475" s="1"/>
  <c r="G37" i="475"/>
  <c r="H37" i="475" s="1"/>
  <c r="H10" i="475"/>
  <c r="H8" i="475"/>
  <c r="H9" i="475"/>
  <c r="H13" i="475"/>
  <c r="H15" i="475"/>
  <c r="H14" i="475"/>
  <c r="H17" i="475"/>
  <c r="H16" i="475"/>
  <c r="H18" i="475"/>
  <c r="H21" i="475"/>
  <c r="H20" i="475"/>
  <c r="H19" i="475"/>
  <c r="H23" i="475"/>
  <c r="H24" i="475"/>
  <c r="H22" i="475"/>
  <c r="H25" i="475"/>
  <c r="H27" i="475"/>
  <c r="H29" i="475"/>
  <c r="H26" i="475"/>
  <c r="H30" i="475"/>
  <c r="H31" i="475"/>
  <c r="H28" i="475"/>
  <c r="H35" i="475"/>
  <c r="H32" i="475"/>
  <c r="G38" i="474"/>
  <c r="H38" i="474" s="1"/>
  <c r="G37" i="474"/>
  <c r="H37" i="474" s="1"/>
  <c r="H9" i="474"/>
  <c r="H10" i="474"/>
  <c r="H8" i="474"/>
  <c r="H13" i="474"/>
  <c r="H11" i="474"/>
  <c r="H15" i="474"/>
  <c r="H12" i="474"/>
  <c r="H14" i="474"/>
  <c r="H17" i="474"/>
  <c r="H16" i="474"/>
  <c r="H18" i="474"/>
  <c r="H19" i="474"/>
  <c r="H22" i="474"/>
  <c r="H20" i="474"/>
  <c r="H21" i="474"/>
  <c r="H24" i="474"/>
  <c r="H25" i="474"/>
  <c r="H23" i="474"/>
  <c r="H26" i="474"/>
  <c r="H27" i="474"/>
  <c r="H28" i="474"/>
  <c r="H29" i="474"/>
  <c r="H30" i="474"/>
  <c r="H31" i="474"/>
  <c r="H36" i="474"/>
  <c r="H35" i="474"/>
  <c r="H33" i="474"/>
  <c r="H34" i="474"/>
  <c r="G38" i="473"/>
  <c r="H38" i="473" s="1"/>
  <c r="G37" i="473"/>
  <c r="H37" i="473" s="1"/>
  <c r="H10" i="473"/>
  <c r="H13" i="473"/>
  <c r="H8" i="473"/>
  <c r="H9" i="473" s="1"/>
  <c r="H12" i="473"/>
  <c r="H11" i="473"/>
  <c r="H14" i="473"/>
  <c r="H16" i="473"/>
  <c r="H17" i="473"/>
  <c r="H15" i="473"/>
  <c r="H18" i="473"/>
  <c r="H21" i="473"/>
  <c r="H19" i="473"/>
  <c r="H22" i="473"/>
  <c r="H23" i="473"/>
  <c r="H20" i="473"/>
  <c r="H24" i="473"/>
  <c r="H25" i="473"/>
  <c r="H27" i="473"/>
  <c r="H26" i="473"/>
  <c r="H30" i="473"/>
  <c r="H28" i="473"/>
  <c r="H31" i="473"/>
  <c r="H32" i="473"/>
  <c r="H34" i="473"/>
  <c r="H36" i="472"/>
  <c r="G38" i="472"/>
  <c r="H38" i="472" s="1"/>
  <c r="G37" i="472"/>
  <c r="H37" i="472" s="1"/>
  <c r="H12" i="472"/>
  <c r="H8" i="472"/>
  <c r="H14" i="472"/>
  <c r="H11" i="472"/>
  <c r="H13" i="472"/>
  <c r="H16" i="472"/>
  <c r="H17" i="472"/>
  <c r="H15" i="472"/>
  <c r="H19" i="472"/>
  <c r="H18" i="472"/>
  <c r="H22" i="472"/>
  <c r="H23" i="472"/>
  <c r="H20" i="472"/>
  <c r="H24" i="472"/>
  <c r="H21" i="472"/>
  <c r="H25" i="472"/>
  <c r="H26" i="472"/>
  <c r="H27" i="472"/>
  <c r="H28" i="472"/>
  <c r="H31" i="472"/>
  <c r="H29" i="472"/>
  <c r="H32" i="472"/>
  <c r="H30" i="472"/>
  <c r="H35" i="472"/>
  <c r="H33" i="472"/>
  <c r="G38" i="471"/>
  <c r="H38" i="471" s="1"/>
  <c r="G37" i="471"/>
  <c r="H37" i="471" s="1"/>
  <c r="H8" i="471"/>
  <c r="H9" i="471"/>
  <c r="H11" i="471" s="1"/>
  <c r="H13" i="471"/>
  <c r="H12" i="471"/>
  <c r="H14" i="471"/>
  <c r="H15" i="471"/>
  <c r="H16" i="471"/>
  <c r="H18" i="471"/>
  <c r="H17" i="471"/>
  <c r="H21" i="471"/>
  <c r="H22" i="471"/>
  <c r="H24" i="471"/>
  <c r="H20" i="471"/>
  <c r="H19" i="471"/>
  <c r="H25" i="471"/>
  <c r="H26" i="471"/>
  <c r="H23" i="471"/>
  <c r="H27" i="471"/>
  <c r="H29" i="471"/>
  <c r="H30" i="471"/>
  <c r="H28" i="471"/>
  <c r="H31" i="471"/>
  <c r="H35" i="471"/>
  <c r="G38" i="470"/>
  <c r="H38" i="470" s="1"/>
  <c r="G37" i="470"/>
  <c r="H37" i="470" s="1"/>
  <c r="H8" i="470"/>
  <c r="H11" i="470"/>
  <c r="H10" i="470"/>
  <c r="H13" i="470" s="1"/>
  <c r="H9" i="470"/>
  <c r="H14" i="470"/>
  <c r="H12" i="470"/>
  <c r="H15" i="470"/>
  <c r="H19" i="470"/>
  <c r="H18" i="470"/>
  <c r="H16" i="470"/>
  <c r="H17" i="470"/>
  <c r="H22" i="470"/>
  <c r="H23" i="470"/>
  <c r="H20" i="470"/>
  <c r="H24" i="470"/>
  <c r="H21" i="470"/>
  <c r="H25" i="470"/>
  <c r="H29" i="470"/>
  <c r="H26" i="470"/>
  <c r="H27" i="470"/>
  <c r="H30" i="470"/>
  <c r="H28" i="470"/>
  <c r="H35" i="470"/>
  <c r="G38" i="469"/>
  <c r="H38" i="469" s="1"/>
  <c r="G37" i="469"/>
  <c r="H37" i="469" s="1"/>
  <c r="H9" i="469"/>
  <c r="H8" i="469"/>
  <c r="H10" i="469"/>
  <c r="H13" i="469"/>
  <c r="H12" i="469"/>
  <c r="H15" i="469"/>
  <c r="H16" i="469"/>
  <c r="H18" i="469"/>
  <c r="H14" i="469"/>
  <c r="H17" i="469"/>
  <c r="H21" i="469"/>
  <c r="H19" i="469"/>
  <c r="H20" i="469"/>
  <c r="H24" i="469"/>
  <c r="H22" i="469"/>
  <c r="H23" i="469"/>
  <c r="H25" i="469"/>
  <c r="H26" i="469"/>
  <c r="H27" i="469"/>
  <c r="H28" i="469"/>
  <c r="H29" i="469"/>
  <c r="H32" i="469"/>
  <c r="H31" i="469"/>
  <c r="G37" i="468"/>
  <c r="H37" i="468" s="1"/>
  <c r="G38" i="468"/>
  <c r="H38" i="468" s="1"/>
  <c r="H9" i="468"/>
  <c r="H8" i="468"/>
  <c r="H10" i="468"/>
  <c r="H12" i="468" s="1"/>
  <c r="H13" i="468"/>
  <c r="H14" i="468"/>
  <c r="H16" i="468"/>
  <c r="H17" i="468"/>
  <c r="H18" i="468"/>
  <c r="H15" i="468"/>
  <c r="H21" i="468"/>
  <c r="H19" i="468"/>
  <c r="H20" i="468"/>
  <c r="H22" i="468"/>
  <c r="H23" i="468"/>
  <c r="H24" i="468"/>
  <c r="H27" i="468"/>
  <c r="H25" i="468"/>
  <c r="H26" i="468"/>
  <c r="H32" i="468"/>
  <c r="H28" i="468"/>
  <c r="H31" i="468"/>
  <c r="H35" i="468"/>
  <c r="H19" i="467"/>
  <c r="G38" i="466"/>
  <c r="H38" i="466" s="1"/>
  <c r="G37" i="466"/>
  <c r="H37" i="466" s="1"/>
  <c r="H8" i="466"/>
  <c r="H9" i="466"/>
  <c r="H12" i="466"/>
  <c r="H10" i="466"/>
  <c r="H14" i="466"/>
  <c r="H11" i="466"/>
  <c r="H13" i="466"/>
  <c r="H17" i="466"/>
  <c r="H15" i="466"/>
  <c r="H19" i="466"/>
  <c r="H18" i="466"/>
  <c r="H16" i="466"/>
  <c r="H20" i="466"/>
  <c r="H22" i="466"/>
  <c r="H21" i="466"/>
  <c r="H23" i="466"/>
  <c r="H24" i="466"/>
  <c r="H25" i="466"/>
  <c r="H27" i="466"/>
  <c r="H28" i="466"/>
  <c r="H26" i="466"/>
  <c r="H30" i="466"/>
  <c r="H29" i="466"/>
  <c r="H32" i="466"/>
  <c r="H36" i="465"/>
  <c r="G38" i="465"/>
  <c r="H38" i="465" s="1"/>
  <c r="G37" i="465"/>
  <c r="H37" i="465" s="1"/>
  <c r="H10" i="465"/>
  <c r="H8" i="465"/>
  <c r="H11" i="465"/>
  <c r="H15" i="465"/>
  <c r="H12" i="465"/>
  <c r="H9" i="465"/>
  <c r="H16" i="465"/>
  <c r="H17" i="465"/>
  <c r="H18" i="465"/>
  <c r="H21" i="465"/>
  <c r="H19" i="465"/>
  <c r="H20" i="465"/>
  <c r="H22" i="465"/>
  <c r="H24" i="465"/>
  <c r="H23" i="465"/>
  <c r="H29" i="465"/>
  <c r="H26" i="465"/>
  <c r="H25" i="465"/>
  <c r="H28" i="465"/>
  <c r="H27" i="465"/>
  <c r="H31" i="465"/>
  <c r="H32" i="465"/>
  <c r="H30" i="465"/>
  <c r="H33" i="465"/>
  <c r="H35" i="465"/>
  <c r="H34" i="465"/>
  <c r="G38" i="464"/>
  <c r="H38" i="464" s="1"/>
  <c r="G37" i="464"/>
  <c r="H37" i="464" s="1"/>
  <c r="H8" i="464"/>
  <c r="H9" i="464"/>
  <c r="H11" i="464"/>
  <c r="H10" i="464"/>
  <c r="H12" i="464"/>
  <c r="H15" i="464"/>
  <c r="H13" i="464"/>
  <c r="H14" i="464"/>
  <c r="H18" i="464"/>
  <c r="H16" i="464"/>
  <c r="H19" i="464"/>
  <c r="H17" i="464"/>
  <c r="H21" i="464"/>
  <c r="H20" i="464"/>
  <c r="H22" i="464"/>
  <c r="H23" i="464"/>
  <c r="H24" i="464"/>
  <c r="H27" i="464"/>
  <c r="H25" i="464"/>
  <c r="H26" i="464"/>
  <c r="H30" i="464"/>
  <c r="H28" i="464"/>
  <c r="H29" i="464"/>
  <c r="H32" i="464"/>
  <c r="H31" i="464"/>
  <c r="H33" i="464"/>
  <c r="H35" i="464"/>
  <c r="G38" i="462"/>
  <c r="H38" i="462" s="1"/>
  <c r="G37" i="462"/>
  <c r="H37" i="462" s="1"/>
  <c r="H8" i="462"/>
  <c r="H10" i="462" s="1"/>
  <c r="H11" i="462"/>
  <c r="H12" i="462"/>
  <c r="H13" i="462"/>
  <c r="H15" i="462"/>
  <c r="H17" i="462"/>
  <c r="H14" i="462"/>
  <c r="H16" i="462"/>
  <c r="H18" i="462"/>
  <c r="H19" i="462"/>
  <c r="H20" i="462"/>
  <c r="H21" i="462"/>
  <c r="H23" i="462"/>
  <c r="H22" i="462"/>
  <c r="H25" i="462"/>
  <c r="H24" i="462"/>
  <c r="H26" i="462"/>
  <c r="H29" i="462"/>
  <c r="H30" i="462"/>
  <c r="H27" i="462"/>
  <c r="H31" i="462"/>
  <c r="H28" i="462"/>
  <c r="H32" i="462"/>
  <c r="H35" i="462"/>
  <c r="H34" i="462"/>
  <c r="G38" i="461"/>
  <c r="H38" i="461" s="1"/>
  <c r="G37" i="461"/>
  <c r="H37" i="461" s="1"/>
  <c r="H9" i="461"/>
  <c r="H8" i="461"/>
  <c r="H11" i="461" s="1"/>
  <c r="H13" i="461"/>
  <c r="H12" i="461"/>
  <c r="H16" i="461"/>
  <c r="H14" i="461"/>
  <c r="H15" i="461"/>
  <c r="H17" i="461"/>
  <c r="H18" i="461"/>
  <c r="H21" i="461"/>
  <c r="H19" i="461"/>
  <c r="H22" i="461"/>
  <c r="H20" i="461"/>
  <c r="H23" i="461"/>
  <c r="H24" i="461"/>
  <c r="H25" i="461"/>
  <c r="H26" i="461"/>
  <c r="H27" i="461"/>
  <c r="H30" i="461"/>
  <c r="H28" i="461"/>
  <c r="H31" i="461"/>
  <c r="H29" i="461"/>
  <c r="H32" i="461"/>
  <c r="AW4" i="4"/>
  <c r="L4" i="50"/>
  <c r="H13" i="484" l="1"/>
  <c r="H15" i="481"/>
  <c r="H12" i="480"/>
  <c r="H10" i="478"/>
  <c r="H12" i="475"/>
  <c r="H10" i="472"/>
  <c r="H14" i="465"/>
  <c r="AW4" i="150"/>
  <c r="A32" i="1" l="1"/>
  <c r="M11" i="120" l="1"/>
  <c r="G10" i="150" l="1"/>
  <c r="H10" i="150" s="1"/>
  <c r="M10" i="150"/>
  <c r="AX10" i="150"/>
  <c r="P27" i="1" l="1"/>
  <c r="F14" i="137"/>
  <c r="N11" i="120" l="1"/>
  <c r="F17" i="439" l="1"/>
  <c r="E4" i="150" l="1"/>
  <c r="F4" i="150"/>
  <c r="J10" i="120" l="1"/>
  <c r="F13" i="137" l="1"/>
  <c r="N10" i="120" l="1"/>
  <c r="F7" i="137"/>
  <c r="C13" i="439" l="1"/>
  <c r="A31" i="1"/>
  <c r="A33" i="1"/>
  <c r="A34" i="1"/>
  <c r="A35" i="1"/>
  <c r="G13" i="439" l="1"/>
  <c r="C14" i="439"/>
  <c r="G14" i="439" s="1"/>
  <c r="AW4" i="137"/>
  <c r="AW4" i="1"/>
  <c r="D10" i="50"/>
  <c r="AX8" i="137"/>
  <c r="AX9" i="137"/>
  <c r="AX10" i="137"/>
  <c r="AX11" i="137"/>
  <c r="AX13" i="137"/>
  <c r="AX14" i="137"/>
  <c r="M7" i="137"/>
  <c r="M8" i="137"/>
  <c r="M9" i="137"/>
  <c r="M10" i="137"/>
  <c r="M13" i="137"/>
  <c r="M14" i="137"/>
  <c r="H8" i="137"/>
  <c r="F5" i="137"/>
  <c r="D6" i="50"/>
  <c r="D7" i="50"/>
  <c r="D8" i="50"/>
  <c r="D9" i="50"/>
  <c r="D5" i="50"/>
  <c r="AX7" i="137"/>
  <c r="M6" i="137"/>
  <c r="H6" i="137"/>
  <c r="H7" i="137"/>
  <c r="H9" i="137"/>
  <c r="H10" i="137"/>
  <c r="H13" i="137"/>
  <c r="H14" i="137"/>
  <c r="C15" i="439" l="1"/>
  <c r="M11" i="137"/>
  <c r="H11" i="137"/>
  <c r="M10" i="120"/>
  <c r="F11" i="4"/>
  <c r="G15" i="439" l="1"/>
  <c r="C16" i="439"/>
  <c r="G16" i="439" s="1"/>
  <c r="C17" i="439" l="1"/>
  <c r="G17" i="439" s="1"/>
  <c r="F25" i="1" l="1"/>
  <c r="AB8" i="120" l="1"/>
  <c r="AE8" i="120"/>
  <c r="AH8" i="120"/>
  <c r="AK8" i="120"/>
  <c r="AN8" i="120"/>
  <c r="AQ8" i="120"/>
  <c r="AT8" i="120"/>
  <c r="AW8" i="120"/>
  <c r="AZ8" i="120"/>
  <c r="BC8" i="120"/>
  <c r="BF8" i="120"/>
  <c r="Y1" i="120"/>
  <c r="Y8" i="120"/>
  <c r="W6" i="120"/>
  <c r="W8" i="120" l="1"/>
  <c r="J9" i="120"/>
  <c r="M9" i="120"/>
  <c r="J8" i="120" l="1"/>
  <c r="AB1" i="120" l="1"/>
  <c r="AE1" i="120"/>
  <c r="AH1" i="120"/>
  <c r="AK1" i="120"/>
  <c r="AN1" i="120"/>
  <c r="AQ1" i="120"/>
  <c r="AT1" i="120"/>
  <c r="AW1" i="120"/>
  <c r="AZ1" i="120"/>
  <c r="W4" i="120"/>
  <c r="W1" i="120" l="1"/>
  <c r="F22" i="439"/>
  <c r="F21" i="439"/>
  <c r="F20" i="439"/>
  <c r="F19" i="439"/>
  <c r="F18" i="439"/>
  <c r="M30" i="1" l="1"/>
  <c r="G30" i="1" l="1"/>
  <c r="H30" i="1" s="1"/>
  <c r="K1" i="50" l="1"/>
  <c r="R2" i="8" l="1"/>
  <c r="R1" i="8" s="1"/>
  <c r="C18" i="439" l="1"/>
  <c r="P4" i="150"/>
  <c r="G18" i="439" l="1"/>
  <c r="C19" i="439"/>
  <c r="C20" i="439" l="1"/>
  <c r="G19" i="439"/>
  <c r="G20" i="439" l="1"/>
  <c r="C21" i="439"/>
  <c r="N8" i="120"/>
  <c r="C22" i="439" l="1"/>
  <c r="G21" i="439"/>
  <c r="M8" i="120"/>
  <c r="M15" i="137"/>
  <c r="G22" i="439" l="1"/>
  <c r="S8" i="120" l="1"/>
  <c r="L35" i="4" l="1"/>
  <c r="AX30" i="1" l="1"/>
  <c r="AX31" i="1"/>
  <c r="AX34" i="1"/>
  <c r="AX35" i="1"/>
  <c r="D27" i="95" l="1"/>
  <c r="M7" i="120" l="1"/>
  <c r="N7" i="120" l="1"/>
  <c r="G28" i="1" l="1"/>
  <c r="D22" i="95" l="1"/>
  <c r="X8" i="50"/>
  <c r="AZ9" i="50"/>
  <c r="AN7" i="50"/>
  <c r="O10" i="50"/>
  <c r="BA9" i="50"/>
  <c r="S8" i="50"/>
  <c r="L10" i="50"/>
  <c r="AV7" i="50"/>
  <c r="AY9" i="50"/>
  <c r="AP7" i="50"/>
  <c r="AK6" i="50"/>
  <c r="AS6" i="50"/>
  <c r="AC8" i="50"/>
  <c r="BB7" i="50"/>
  <c r="AC9" i="50"/>
  <c r="AY11" i="50"/>
  <c r="AL10" i="50"/>
  <c r="AZ7" i="50"/>
  <c r="Z10" i="50"/>
  <c r="AS7" i="50"/>
  <c r="AN10" i="50"/>
  <c r="T8" i="50"/>
  <c r="Y10" i="50"/>
  <c r="AY8" i="50"/>
  <c r="M9" i="50"/>
  <c r="Y11" i="50"/>
  <c r="X7" i="50"/>
  <c r="AA10" i="50"/>
  <c r="AP10" i="50"/>
  <c r="AT6" i="50"/>
  <c r="AY10" i="50"/>
  <c r="V6" i="50"/>
  <c r="AO9" i="50"/>
  <c r="AZ11" i="50"/>
  <c r="AB9" i="50"/>
  <c r="O8" i="50"/>
  <c r="N7" i="50"/>
  <c r="AR8" i="50"/>
  <c r="AI9" i="50"/>
  <c r="AR10" i="50"/>
  <c r="AB8" i="50"/>
  <c r="AM8" i="50"/>
  <c r="AN9" i="50"/>
  <c r="V11" i="50"/>
  <c r="BA6" i="50"/>
  <c r="AF7" i="50"/>
  <c r="W6" i="50"/>
  <c r="Y6" i="50"/>
  <c r="T9" i="50"/>
  <c r="AD11" i="50"/>
  <c r="AT11" i="50"/>
  <c r="AD7" i="50"/>
  <c r="AR6" i="50"/>
  <c r="BA11" i="50"/>
  <c r="AH7" i="50"/>
  <c r="N6" i="50"/>
  <c r="BC9" i="50"/>
  <c r="L6" i="50"/>
  <c r="AP11" i="50"/>
  <c r="X11" i="50"/>
  <c r="AP9" i="50"/>
  <c r="AH10" i="50"/>
  <c r="W7" i="50"/>
  <c r="AU11" i="50"/>
  <c r="AW9" i="50"/>
  <c r="AR11" i="50"/>
  <c r="AL8" i="50"/>
  <c r="AE10" i="50"/>
  <c r="T7" i="50"/>
  <c r="O7" i="50"/>
  <c r="AD10" i="50"/>
  <c r="U8" i="50"/>
  <c r="AB6" i="50"/>
  <c r="P11" i="50"/>
  <c r="AT10" i="50"/>
  <c r="AQ10" i="50"/>
  <c r="BA8" i="50"/>
  <c r="AS11" i="50"/>
  <c r="AK7" i="50"/>
  <c r="BC11" i="50"/>
  <c r="AF11" i="50"/>
  <c r="AX7" i="50"/>
  <c r="AL6" i="50"/>
  <c r="AF8" i="50"/>
  <c r="AG9" i="50"/>
  <c r="V8" i="50"/>
  <c r="AB10" i="50"/>
  <c r="AO7" i="50"/>
  <c r="P7" i="50"/>
  <c r="AC10" i="50"/>
  <c r="BB10" i="50"/>
  <c r="AV6" i="50"/>
  <c r="V10" i="50"/>
  <c r="AY6" i="50"/>
  <c r="AN8" i="50"/>
  <c r="AE9" i="50"/>
  <c r="AA7" i="50"/>
  <c r="AA11" i="50"/>
  <c r="R7" i="50"/>
  <c r="Q9" i="50"/>
  <c r="AM10" i="50"/>
  <c r="AM6" i="50"/>
  <c r="U9" i="50"/>
  <c r="S6" i="50"/>
  <c r="BB8" i="50"/>
  <c r="BC8" i="50"/>
  <c r="M8" i="50"/>
  <c r="AK11" i="50"/>
  <c r="X6" i="50"/>
  <c r="AV8" i="50"/>
  <c r="S9" i="50"/>
  <c r="AV11" i="50"/>
  <c r="AO8" i="50"/>
  <c r="BB9" i="50"/>
  <c r="X9" i="50"/>
  <c r="AQ6" i="50"/>
  <c r="O11" i="50"/>
  <c r="AV10" i="50"/>
  <c r="N9" i="50"/>
  <c r="Z9" i="50"/>
  <c r="W9" i="50"/>
  <c r="Q11" i="50"/>
  <c r="M10" i="50"/>
  <c r="AJ10" i="50"/>
  <c r="AJ9" i="50"/>
  <c r="Q10" i="50"/>
  <c r="BC7" i="50"/>
  <c r="AC7" i="50"/>
  <c r="N10" i="50"/>
  <c r="AL11" i="50"/>
  <c r="L7" i="50"/>
  <c r="P6" i="50"/>
  <c r="AD6" i="50"/>
  <c r="V9" i="50"/>
  <c r="BA10" i="50"/>
  <c r="AX11" i="50"/>
  <c r="W8" i="50"/>
  <c r="AG6" i="50"/>
  <c r="AO6" i="50"/>
  <c r="AP6" i="50"/>
  <c r="M11" i="50"/>
  <c r="AX9" i="50"/>
  <c r="O9" i="50"/>
  <c r="AQ9" i="50"/>
  <c r="R10" i="50"/>
  <c r="AD9" i="50"/>
  <c r="AE6" i="50"/>
  <c r="T10" i="50"/>
  <c r="AE7" i="50"/>
  <c r="S7" i="50"/>
  <c r="AU9" i="50"/>
  <c r="AN11" i="50"/>
  <c r="Y9" i="50"/>
  <c r="AH6" i="50"/>
  <c r="AK8" i="50"/>
  <c r="Q7" i="50"/>
  <c r="U6" i="50"/>
  <c r="AH9" i="50"/>
  <c r="Z11" i="50"/>
  <c r="Z7" i="50"/>
  <c r="AR9" i="50"/>
  <c r="P8" i="50"/>
  <c r="AK10" i="50"/>
  <c r="AB11" i="50"/>
  <c r="AA9" i="50"/>
  <c r="AG10" i="50"/>
  <c r="Y7" i="50"/>
  <c r="AY7" i="50"/>
  <c r="AW10" i="50"/>
  <c r="AC11" i="50"/>
  <c r="M6" i="50"/>
  <c r="AX10" i="50"/>
  <c r="AV9" i="50"/>
  <c r="X10" i="50"/>
  <c r="AJ11" i="50"/>
  <c r="S11" i="50"/>
  <c r="L9" i="50"/>
  <c r="AW7" i="50"/>
  <c r="T11" i="50"/>
  <c r="AG7" i="50"/>
  <c r="AH8" i="50"/>
  <c r="W10" i="50"/>
  <c r="Z6" i="50"/>
  <c r="BC6" i="50"/>
  <c r="BB11" i="50"/>
  <c r="AH11" i="50"/>
  <c r="AU8" i="50"/>
  <c r="AQ8" i="50"/>
  <c r="Q8" i="50"/>
  <c r="AX8" i="50"/>
  <c r="AF9" i="50"/>
  <c r="T6" i="50"/>
  <c r="BB6" i="50"/>
  <c r="AX6" i="50"/>
  <c r="AU6" i="50"/>
  <c r="AN6" i="50"/>
  <c r="L11" i="50"/>
  <c r="L8" i="50"/>
  <c r="AE8" i="50"/>
  <c r="BC10" i="50"/>
  <c r="Q6" i="50"/>
  <c r="U7" i="50"/>
  <c r="Z8" i="50"/>
  <c r="AZ10" i="50"/>
  <c r="R6" i="50"/>
  <c r="AF6" i="50"/>
  <c r="AI7" i="50"/>
  <c r="S10" i="50"/>
  <c r="AM9" i="50"/>
  <c r="M7" i="50"/>
  <c r="AT8" i="50"/>
  <c r="AJ8" i="50"/>
  <c r="W11" i="50"/>
  <c r="AZ6" i="50"/>
  <c r="AL9" i="50"/>
  <c r="AW8" i="50"/>
  <c r="AW11" i="50"/>
  <c r="AI6" i="50"/>
  <c r="U11" i="50"/>
  <c r="AG11" i="50"/>
  <c r="AS10" i="50"/>
  <c r="BA7" i="50"/>
  <c r="AE11" i="50"/>
  <c r="AM11" i="50"/>
  <c r="AT9" i="50"/>
  <c r="P9" i="50"/>
  <c r="AJ6" i="50"/>
  <c r="AQ7" i="50"/>
  <c r="AJ7" i="50"/>
  <c r="U10" i="50"/>
  <c r="AQ11" i="50"/>
  <c r="AU10" i="50"/>
  <c r="AD8" i="50"/>
  <c r="AZ8" i="50"/>
  <c r="Y8" i="50"/>
  <c r="AS9" i="50"/>
  <c r="AC6" i="50"/>
  <c r="AA8" i="50"/>
  <c r="R11" i="50"/>
  <c r="AM7" i="50"/>
  <c r="P10" i="50"/>
  <c r="AS8" i="50"/>
  <c r="AI8" i="50"/>
  <c r="AR7" i="50"/>
  <c r="AP8" i="50"/>
  <c r="R9" i="50"/>
  <c r="N8" i="50"/>
  <c r="AI10" i="50"/>
  <c r="O6" i="50"/>
  <c r="AO10" i="50"/>
  <c r="AB7" i="50"/>
  <c r="N11" i="50"/>
  <c r="AK9" i="50"/>
  <c r="AW6" i="50"/>
  <c r="AL7" i="50"/>
  <c r="AI11" i="50"/>
  <c r="AA6" i="50"/>
  <c r="V7" i="50"/>
  <c r="AF10" i="50"/>
  <c r="AO11" i="50"/>
  <c r="R8" i="50"/>
  <c r="AU7" i="50"/>
  <c r="AG8" i="50"/>
  <c r="AT7" i="50"/>
  <c r="F8" i="50" l="1"/>
  <c r="F6" i="50"/>
  <c r="F10" i="50"/>
  <c r="F7" i="50"/>
  <c r="F9" i="50"/>
  <c r="H4" i="95"/>
  <c r="H1" i="95" s="1"/>
  <c r="J6" i="120" l="1"/>
  <c r="M6" i="120" l="1"/>
  <c r="N6" i="120" l="1"/>
  <c r="F37" i="439" l="1"/>
  <c r="E37" i="439"/>
  <c r="D37" i="439"/>
  <c r="F36" i="439"/>
  <c r="E36" i="439"/>
  <c r="D36" i="439"/>
  <c r="F35" i="439"/>
  <c r="F34" i="439"/>
  <c r="F33" i="439"/>
  <c r="F32" i="439"/>
  <c r="F31" i="439"/>
  <c r="F30" i="439"/>
  <c r="F29" i="439"/>
  <c r="F28" i="439"/>
  <c r="F27" i="439"/>
  <c r="F26" i="439"/>
  <c r="F24" i="439"/>
  <c r="F23" i="439"/>
  <c r="G6" i="439"/>
  <c r="I13" i="439" l="1"/>
  <c r="I17" i="439"/>
  <c r="I21" i="439"/>
  <c r="I25" i="439"/>
  <c r="I29" i="439"/>
  <c r="I20" i="439"/>
  <c r="I24" i="439"/>
  <c r="I28" i="439"/>
  <c r="I32" i="439"/>
  <c r="I36" i="439"/>
  <c r="I11" i="439"/>
  <c r="I15" i="439"/>
  <c r="I19" i="439"/>
  <c r="I23" i="439"/>
  <c r="I27" i="439"/>
  <c r="I31" i="439"/>
  <c r="I35" i="439"/>
  <c r="I18" i="439"/>
  <c r="I22" i="439"/>
  <c r="I26" i="439"/>
  <c r="I30" i="439"/>
  <c r="I34" i="439"/>
  <c r="I8" i="439"/>
  <c r="I33" i="439"/>
  <c r="I37" i="439"/>
  <c r="I9" i="439"/>
  <c r="I12" i="439"/>
  <c r="I16" i="439"/>
  <c r="I10" i="439"/>
  <c r="I14" i="439"/>
  <c r="I7" i="439" l="1"/>
  <c r="O5" i="120" l="1"/>
  <c r="N2" i="120" l="1"/>
  <c r="O2" i="120"/>
  <c r="C23" i="439" l="1"/>
  <c r="C24" i="439" l="1"/>
  <c r="G23" i="439"/>
  <c r="C25" i="439" l="1"/>
  <c r="G24" i="439"/>
  <c r="G25" i="439" l="1"/>
  <c r="C26" i="439"/>
  <c r="M25" i="4"/>
  <c r="G26" i="439" l="1"/>
  <c r="C27" i="439"/>
  <c r="M5" i="120"/>
  <c r="G27" i="439" l="1"/>
  <c r="C28" i="439"/>
  <c r="C29" i="439" l="1"/>
  <c r="G28" i="439"/>
  <c r="G29" i="439" l="1"/>
  <c r="C30" i="439"/>
  <c r="B6" i="95"/>
  <c r="G30" i="439" l="1"/>
  <c r="C31" i="439"/>
  <c r="L2" i="120"/>
  <c r="M2" i="120"/>
  <c r="P2" i="120"/>
  <c r="Q2" i="120"/>
  <c r="R2" i="120"/>
  <c r="P8" i="4"/>
  <c r="S5" i="120"/>
  <c r="K5" i="120" s="1"/>
  <c r="S6" i="120"/>
  <c r="K6" i="120" s="1"/>
  <c r="S7" i="120"/>
  <c r="K7" i="120" s="1"/>
  <c r="K8" i="120"/>
  <c r="S9" i="120"/>
  <c r="K9" i="120" s="1"/>
  <c r="S10" i="120"/>
  <c r="K10" i="120" s="1"/>
  <c r="S11" i="120"/>
  <c r="S12" i="120"/>
  <c r="K12" i="120" s="1"/>
  <c r="S13" i="120"/>
  <c r="K13" i="120" s="1"/>
  <c r="S14" i="120"/>
  <c r="K14" i="120" s="1"/>
  <c r="K11" i="120"/>
  <c r="S4" i="120"/>
  <c r="K4" i="120" s="1"/>
  <c r="S3" i="120"/>
  <c r="K3" i="120" s="1"/>
  <c r="G31" i="439" l="1"/>
  <c r="C32" i="439"/>
  <c r="S2" i="120"/>
  <c r="K2" i="120"/>
  <c r="G32" i="439" l="1"/>
  <c r="C33" i="439"/>
  <c r="G33" i="439" l="1"/>
  <c r="C34" i="439"/>
  <c r="G1" i="50"/>
  <c r="D26" i="95"/>
  <c r="G34" i="439" l="1"/>
  <c r="C35" i="439"/>
  <c r="Q4" i="4"/>
  <c r="H9" i="4"/>
  <c r="G35" i="439" l="1"/>
  <c r="C36" i="439"/>
  <c r="C37" i="439" l="1"/>
  <c r="G36" i="439"/>
  <c r="E4" i="137"/>
  <c r="F4" i="137"/>
  <c r="H8" i="439" l="1"/>
  <c r="H28" i="439"/>
  <c r="H34" i="439"/>
  <c r="H27" i="439"/>
  <c r="H32" i="439"/>
  <c r="H29" i="439"/>
  <c r="H30" i="439"/>
  <c r="H33" i="439"/>
  <c r="H31" i="439"/>
  <c r="H24" i="439"/>
  <c r="H35" i="439"/>
  <c r="H23" i="439"/>
  <c r="H36" i="439"/>
  <c r="G37" i="439"/>
  <c r="H37" i="439" s="1"/>
  <c r="G38" i="439"/>
  <c r="H38" i="439" s="1"/>
  <c r="H9" i="439" l="1"/>
  <c r="H10" i="439" s="1"/>
  <c r="H11" i="439" s="1"/>
  <c r="M18" i="1"/>
  <c r="G18" i="1"/>
  <c r="H12" i="439" l="1"/>
  <c r="H18" i="1"/>
  <c r="H13" i="439" l="1"/>
  <c r="H14" i="439" s="1"/>
  <c r="D12" i="50"/>
  <c r="D13" i="50"/>
  <c r="D14" i="50"/>
  <c r="D15" i="50"/>
  <c r="D16" i="50"/>
  <c r="D17" i="50"/>
  <c r="D18" i="50"/>
  <c r="D19" i="50"/>
  <c r="D20" i="50"/>
  <c r="D21" i="50"/>
  <c r="D22" i="50"/>
  <c r="D23" i="50"/>
  <c r="D24" i="50"/>
  <c r="D25" i="50"/>
  <c r="D26" i="50"/>
  <c r="D27" i="50"/>
  <c r="D28" i="50"/>
  <c r="D29" i="50"/>
  <c r="D30" i="50"/>
  <c r="D31" i="50"/>
  <c r="D32" i="50"/>
  <c r="D33" i="50"/>
  <c r="D34" i="50"/>
  <c r="D35" i="50"/>
  <c r="D36" i="50"/>
  <c r="D37" i="50"/>
  <c r="D38" i="50"/>
  <c r="D39" i="50"/>
  <c r="D40" i="50"/>
  <c r="D41" i="50"/>
  <c r="D42" i="50"/>
  <c r="D43" i="50"/>
  <c r="D44" i="50"/>
  <c r="D45" i="50"/>
  <c r="D46" i="50"/>
  <c r="D47" i="50"/>
  <c r="D48" i="50"/>
  <c r="D49" i="50"/>
  <c r="D50" i="50"/>
  <c r="D51" i="50"/>
  <c r="D52" i="50"/>
  <c r="D11" i="50"/>
  <c r="H15" i="439" l="1"/>
  <c r="H16" i="439" s="1"/>
  <c r="F10" i="1"/>
  <c r="F10" i="4"/>
  <c r="M5" i="137" l="1"/>
  <c r="H17" i="439" l="1"/>
  <c r="H18" i="439" s="1"/>
  <c r="H19" i="439" s="1"/>
  <c r="AX11" i="150"/>
  <c r="H20" i="439" l="1"/>
  <c r="P4" i="1"/>
  <c r="H22" i="439" l="1"/>
  <c r="H21" i="439"/>
  <c r="H26" i="439"/>
  <c r="H25" i="439"/>
  <c r="F5" i="1"/>
  <c r="F13" i="1" l="1"/>
  <c r="F4" i="1" l="1"/>
  <c r="E4" i="1"/>
  <c r="F22" i="4" l="1"/>
  <c r="F21" i="4"/>
  <c r="F18" i="4"/>
  <c r="F12" i="4"/>
  <c r="E4" i="4" l="1"/>
  <c r="F4" i="4"/>
  <c r="B4" i="50"/>
  <c r="M24" i="4"/>
  <c r="N2" i="4"/>
  <c r="M2" i="4"/>
  <c r="K2" i="4"/>
  <c r="H2" i="4"/>
  <c r="AX5" i="150" l="1"/>
  <c r="B30" i="95" l="1"/>
  <c r="AX6" i="150" l="1"/>
  <c r="AX7" i="150"/>
  <c r="AX8" i="150"/>
  <c r="AX9" i="150"/>
  <c r="AX12" i="150"/>
  <c r="AX4" i="150" l="1"/>
  <c r="G15" i="137"/>
  <c r="AX15" i="137" s="1"/>
  <c r="H15" i="137" l="1"/>
  <c r="H2" i="137" s="1"/>
  <c r="I15" i="137" l="1"/>
  <c r="J15" i="137" s="1"/>
  <c r="K15" i="137" l="1"/>
  <c r="B11" i="95"/>
  <c r="B1" i="95" s="1"/>
  <c r="K2" i="137" l="1"/>
  <c r="M23" i="4" l="1"/>
  <c r="H9" i="150" l="1"/>
  <c r="H6" i="150"/>
  <c r="H7" i="150"/>
  <c r="M12" i="150"/>
  <c r="M11" i="150"/>
  <c r="M9" i="150"/>
  <c r="M8" i="150"/>
  <c r="M7" i="150"/>
  <c r="M6" i="150"/>
  <c r="M5" i="150"/>
  <c r="M4" i="150" s="1"/>
  <c r="H8" i="150" l="1"/>
  <c r="H11" i="150"/>
  <c r="H12" i="150"/>
  <c r="AX5" i="137" l="1"/>
  <c r="H5" i="137"/>
  <c r="H4" i="137" s="1"/>
  <c r="I12" i="137" s="1"/>
  <c r="J12" i="137" l="1"/>
  <c r="K12" i="137" s="1"/>
  <c r="I7" i="137"/>
  <c r="J7" i="137" s="1"/>
  <c r="K7" i="137" s="1"/>
  <c r="I11" i="137"/>
  <c r="J11" i="137" s="1"/>
  <c r="K11" i="137" s="1"/>
  <c r="I10" i="137"/>
  <c r="J10" i="137" s="1"/>
  <c r="I13" i="137"/>
  <c r="J13" i="137" s="1"/>
  <c r="K13" i="137" s="1"/>
  <c r="I9" i="137"/>
  <c r="J9" i="137" s="1"/>
  <c r="K9" i="137" s="1"/>
  <c r="I14" i="137"/>
  <c r="J14" i="137" s="1"/>
  <c r="K14" i="137" s="1"/>
  <c r="I6" i="137"/>
  <c r="J6" i="137" s="1"/>
  <c r="K6" i="137" s="1"/>
  <c r="I8" i="137"/>
  <c r="J8" i="137" s="1"/>
  <c r="K8" i="137" s="1"/>
  <c r="M4" i="137"/>
  <c r="AX4" i="137"/>
  <c r="G10" i="50" l="1"/>
  <c r="K10" i="137"/>
  <c r="G8" i="50"/>
  <c r="G6" i="50"/>
  <c r="H6" i="50" s="1"/>
  <c r="G9" i="50"/>
  <c r="G7" i="50"/>
  <c r="I5" i="137"/>
  <c r="J5" i="137" s="1"/>
  <c r="I10" i="50" l="1"/>
  <c r="H10" i="50"/>
  <c r="J10" i="50"/>
  <c r="I9" i="50"/>
  <c r="H9" i="50"/>
  <c r="J9" i="50"/>
  <c r="I7" i="50"/>
  <c r="J7" i="50"/>
  <c r="H7" i="50"/>
  <c r="I6" i="50"/>
  <c r="J6" i="50"/>
  <c r="I8" i="50"/>
  <c r="J8" i="50"/>
  <c r="H8" i="50"/>
  <c r="G5" i="50"/>
  <c r="I5" i="50" s="1"/>
  <c r="K5" i="137"/>
  <c r="K4" i="137" l="1"/>
  <c r="M2" i="137" s="1"/>
  <c r="M22" i="4"/>
  <c r="M29" i="1"/>
  <c r="L2" i="137" l="1"/>
  <c r="AX6" i="5"/>
  <c r="AX7" i="5"/>
  <c r="AX8" i="5"/>
  <c r="AX9" i="5"/>
  <c r="AX10" i="5"/>
  <c r="AX11" i="5"/>
  <c r="AX12" i="5"/>
  <c r="AX13" i="5"/>
  <c r="AX14" i="5"/>
  <c r="AX15" i="5"/>
  <c r="AX16" i="5"/>
  <c r="AX17" i="5"/>
  <c r="AX18" i="5"/>
  <c r="AX19" i="5"/>
  <c r="AX20" i="5"/>
  <c r="AX21" i="5"/>
  <c r="AX22" i="5"/>
  <c r="AX23" i="5"/>
  <c r="AX24" i="5"/>
  <c r="AX5" i="5"/>
  <c r="AX4" i="5" l="1"/>
  <c r="G29" i="1" l="1"/>
  <c r="AX29" i="1" l="1"/>
  <c r="H29" i="1"/>
  <c r="M28" i="1"/>
  <c r="AX28" i="1"/>
  <c r="H28" i="1" l="1"/>
  <c r="D4" i="5" l="1"/>
  <c r="M20" i="4" l="1"/>
  <c r="M21" i="4"/>
  <c r="Q4" i="5" l="1"/>
  <c r="M19" i="4" l="1"/>
  <c r="D1" i="95" l="1"/>
  <c r="AX9" i="4"/>
  <c r="G12" i="4" l="1"/>
  <c r="AX12" i="4" l="1"/>
  <c r="D12" i="4"/>
  <c r="M26" i="1"/>
  <c r="M27" i="1"/>
  <c r="G26" i="1"/>
  <c r="G27" i="1"/>
  <c r="M25" i="1"/>
  <c r="G25" i="1"/>
  <c r="H25" i="1" s="1"/>
  <c r="M24" i="1"/>
  <c r="G6" i="1"/>
  <c r="G7" i="1"/>
  <c r="G8" i="1"/>
  <c r="G9" i="1"/>
  <c r="G10" i="1"/>
  <c r="G11" i="1"/>
  <c r="G12" i="1"/>
  <c r="G13" i="1"/>
  <c r="G14" i="1"/>
  <c r="G15" i="1"/>
  <c r="G16" i="1"/>
  <c r="G17" i="1"/>
  <c r="G19" i="1"/>
  <c r="G20" i="1"/>
  <c r="G23" i="1"/>
  <c r="AX23" i="1" s="1"/>
  <c r="G24" i="1"/>
  <c r="G5" i="1"/>
  <c r="M23" i="1"/>
  <c r="H2" i="95"/>
  <c r="H23" i="1" l="1"/>
  <c r="H27" i="1"/>
  <c r="AX27" i="1"/>
  <c r="H24" i="1"/>
  <c r="AX24" i="1"/>
  <c r="AX25" i="1"/>
  <c r="H26" i="1"/>
  <c r="AX26" i="1"/>
  <c r="L24" i="5" l="1"/>
  <c r="L23" i="5"/>
  <c r="G23" i="5"/>
  <c r="G24" i="5" l="1"/>
  <c r="L19" i="5" l="1"/>
  <c r="L18" i="5"/>
  <c r="L17" i="5"/>
  <c r="L16" i="5"/>
  <c r="L15" i="5"/>
  <c r="L14" i="5"/>
  <c r="L13" i="5"/>
  <c r="L12" i="5"/>
  <c r="L11" i="5"/>
  <c r="L10" i="5"/>
  <c r="L9" i="5"/>
  <c r="L8" i="5"/>
  <c r="L7" i="5"/>
  <c r="L6" i="5"/>
  <c r="M18" i="4"/>
  <c r="M22" i="1"/>
  <c r="AX6" i="1" l="1"/>
  <c r="AX7" i="1"/>
  <c r="AX8" i="1"/>
  <c r="AX9" i="1"/>
  <c r="AX10" i="1"/>
  <c r="AX11" i="1"/>
  <c r="AX12" i="1"/>
  <c r="AX13" i="1"/>
  <c r="AX14" i="1"/>
  <c r="AX15" i="1"/>
  <c r="AX16" i="1"/>
  <c r="AX17" i="1"/>
  <c r="AX18" i="1"/>
  <c r="AX19" i="1"/>
  <c r="AX20" i="1"/>
  <c r="AX21" i="1"/>
  <c r="AX22" i="1"/>
  <c r="AX5" i="1"/>
  <c r="AX4" i="1" l="1"/>
  <c r="P4" i="4"/>
  <c r="P4" i="5"/>
  <c r="E4" i="5"/>
  <c r="H5" i="1" l="1"/>
  <c r="H22" i="1"/>
  <c r="H20" i="1" l="1"/>
  <c r="M20" i="1"/>
  <c r="M6" i="1" l="1"/>
  <c r="M7" i="1"/>
  <c r="M8" i="1"/>
  <c r="M9" i="1"/>
  <c r="M10" i="1"/>
  <c r="M11" i="1"/>
  <c r="M12" i="1"/>
  <c r="M13" i="1"/>
  <c r="M14" i="1"/>
  <c r="M15" i="1"/>
  <c r="M16" i="1"/>
  <c r="M17" i="1"/>
  <c r="M19" i="1"/>
  <c r="M5" i="1"/>
  <c r="H6" i="1"/>
  <c r="H7" i="1"/>
  <c r="H8" i="1"/>
  <c r="H9" i="1"/>
  <c r="H10" i="1"/>
  <c r="H11" i="1"/>
  <c r="H12" i="1"/>
  <c r="H13" i="1"/>
  <c r="H14" i="1"/>
  <c r="H15" i="1"/>
  <c r="H16" i="1"/>
  <c r="H17" i="1"/>
  <c r="H19" i="1"/>
  <c r="H4" i="1" l="1"/>
  <c r="M4" i="1"/>
  <c r="G9" i="5"/>
  <c r="G6" i="5"/>
  <c r="G20" i="5"/>
  <c r="L20" i="5"/>
  <c r="G21" i="5"/>
  <c r="L21" i="5"/>
  <c r="G22" i="5"/>
  <c r="L22" i="5"/>
  <c r="G19" i="5"/>
  <c r="G18" i="5"/>
  <c r="G17" i="5"/>
  <c r="G16" i="5"/>
  <c r="G15" i="5"/>
  <c r="G14" i="5"/>
  <c r="G13" i="5"/>
  <c r="G12" i="5"/>
  <c r="G11" i="5"/>
  <c r="G10" i="5"/>
  <c r="G8" i="5"/>
  <c r="G7" i="5"/>
  <c r="L5" i="5"/>
  <c r="G5" i="5"/>
  <c r="J2" i="5"/>
  <c r="M17" i="4"/>
  <c r="M16" i="4"/>
  <c r="M15" i="4"/>
  <c r="M14" i="4"/>
  <c r="M13" i="4"/>
  <c r="M12" i="4"/>
  <c r="M11" i="4"/>
  <c r="M10" i="4"/>
  <c r="M9" i="4"/>
  <c r="M8" i="4"/>
  <c r="M7" i="4"/>
  <c r="M6" i="4"/>
  <c r="I30" i="1" l="1"/>
  <c r="J30" i="1" s="1"/>
  <c r="K30" i="1" s="1"/>
  <c r="I21" i="1"/>
  <c r="J21" i="1" s="1"/>
  <c r="K21" i="1" s="1"/>
  <c r="M4" i="4"/>
  <c r="I18" i="1"/>
  <c r="J18" i="1" s="1"/>
  <c r="K18" i="1" s="1"/>
  <c r="I26" i="1"/>
  <c r="J26" i="1" s="1"/>
  <c r="I27" i="1"/>
  <c r="J27" i="1" s="1"/>
  <c r="I28" i="1"/>
  <c r="J28" i="1" s="1"/>
  <c r="I29" i="1"/>
  <c r="J29" i="1" s="1"/>
  <c r="I25" i="1"/>
  <c r="J25" i="1" s="1"/>
  <c r="I24" i="1"/>
  <c r="I23" i="1"/>
  <c r="J23" i="1" s="1"/>
  <c r="L4" i="5"/>
  <c r="G4" i="5"/>
  <c r="H24" i="5" s="1"/>
  <c r="I5" i="1"/>
  <c r="K28" i="1" l="1"/>
  <c r="K27" i="1"/>
  <c r="K25" i="1"/>
  <c r="K26" i="1"/>
  <c r="K29" i="1"/>
  <c r="J24" i="1"/>
  <c r="I24" i="5"/>
  <c r="K23" i="1"/>
  <c r="H16" i="5"/>
  <c r="H23" i="5"/>
  <c r="J5" i="1"/>
  <c r="G12" i="50" s="1"/>
  <c r="I12" i="50" s="1"/>
  <c r="I22" i="1"/>
  <c r="J22" i="1" s="1"/>
  <c r="I20" i="1"/>
  <c r="J20" i="1" s="1"/>
  <c r="K20" i="1" s="1"/>
  <c r="H9" i="5"/>
  <c r="H6" i="5"/>
  <c r="H20" i="5"/>
  <c r="H22" i="5"/>
  <c r="H21" i="5"/>
  <c r="H17" i="5"/>
  <c r="H13" i="5"/>
  <c r="H8" i="5"/>
  <c r="H14" i="5"/>
  <c r="H10" i="5"/>
  <c r="H18" i="5"/>
  <c r="H7" i="5"/>
  <c r="H5" i="5"/>
  <c r="H19" i="5"/>
  <c r="H15" i="5"/>
  <c r="H11" i="5"/>
  <c r="H12" i="5"/>
  <c r="I16" i="1"/>
  <c r="J16" i="1" s="1"/>
  <c r="I8" i="1"/>
  <c r="J8" i="1" s="1"/>
  <c r="G26" i="50" s="1"/>
  <c r="I26" i="50" s="1"/>
  <c r="I14" i="1"/>
  <c r="J14" i="1" s="1"/>
  <c r="I13" i="1"/>
  <c r="J13" i="1" s="1"/>
  <c r="I17" i="1"/>
  <c r="J17" i="1" s="1"/>
  <c r="I10" i="1"/>
  <c r="J10" i="1" s="1"/>
  <c r="I12" i="1"/>
  <c r="J12" i="1" s="1"/>
  <c r="G29" i="50" s="1"/>
  <c r="I29" i="50" s="1"/>
  <c r="I15" i="1"/>
  <c r="J15" i="1" s="1"/>
  <c r="I11" i="1"/>
  <c r="J11" i="1" s="1"/>
  <c r="I6" i="1"/>
  <c r="J6" i="1" s="1"/>
  <c r="G13" i="50" s="1"/>
  <c r="I13" i="50" s="1"/>
  <c r="I9" i="1"/>
  <c r="J9" i="1" s="1"/>
  <c r="I7" i="1"/>
  <c r="J7" i="1" s="1"/>
  <c r="G14" i="50" s="1"/>
  <c r="I14" i="50" s="1"/>
  <c r="I19" i="1"/>
  <c r="J19" i="1" s="1"/>
  <c r="G25" i="50" l="1"/>
  <c r="I25" i="50" s="1"/>
  <c r="K24" i="1"/>
  <c r="J24" i="5"/>
  <c r="I12" i="5"/>
  <c r="G35" i="50" s="1"/>
  <c r="I35" i="50" s="1"/>
  <c r="I11" i="5"/>
  <c r="G33" i="50" s="1"/>
  <c r="I33" i="50" s="1"/>
  <c r="I15" i="5"/>
  <c r="G38" i="50" s="1"/>
  <c r="I38" i="50" s="1"/>
  <c r="I19" i="5"/>
  <c r="I5" i="5"/>
  <c r="I7" i="5"/>
  <c r="I18" i="5"/>
  <c r="I10" i="5"/>
  <c r="I14" i="5"/>
  <c r="G37" i="50" s="1"/>
  <c r="I37" i="50" s="1"/>
  <c r="I8" i="5"/>
  <c r="I13" i="5"/>
  <c r="G36" i="50" s="1"/>
  <c r="I36" i="50" s="1"/>
  <c r="I17" i="5"/>
  <c r="G42" i="50" s="1"/>
  <c r="I42" i="50" s="1"/>
  <c r="I21" i="5"/>
  <c r="I22" i="5"/>
  <c r="I20" i="5"/>
  <c r="G41" i="50" s="1"/>
  <c r="I41" i="50" s="1"/>
  <c r="I6" i="5"/>
  <c r="I9" i="5"/>
  <c r="J9" i="5" s="1"/>
  <c r="I23" i="5"/>
  <c r="I16" i="5"/>
  <c r="G34" i="50" s="1"/>
  <c r="I34" i="50" s="1"/>
  <c r="K15" i="1"/>
  <c r="K22" i="1"/>
  <c r="K7" i="1"/>
  <c r="K17" i="1"/>
  <c r="K16" i="1"/>
  <c r="K6" i="1"/>
  <c r="K14" i="1"/>
  <c r="K19" i="1"/>
  <c r="K11" i="1"/>
  <c r="K10" i="1"/>
  <c r="K8" i="1"/>
  <c r="K9" i="1"/>
  <c r="K12" i="1"/>
  <c r="K13" i="1"/>
  <c r="K5" i="1"/>
  <c r="K4" i="1" l="1"/>
  <c r="M2" i="1" s="1"/>
  <c r="J17" i="5"/>
  <c r="J20" i="5"/>
  <c r="J13" i="5"/>
  <c r="J18" i="5"/>
  <c r="J23" i="5"/>
  <c r="J22" i="5"/>
  <c r="J8" i="5"/>
  <c r="J7" i="5"/>
  <c r="J11" i="5"/>
  <c r="J21" i="5"/>
  <c r="J14" i="5"/>
  <c r="J5" i="5"/>
  <c r="J12" i="5"/>
  <c r="J6" i="5"/>
  <c r="J10" i="5"/>
  <c r="J19" i="5"/>
  <c r="J16" i="5"/>
  <c r="J15" i="5"/>
  <c r="J4" i="5" l="1"/>
  <c r="K2" i="5" s="1"/>
  <c r="L2" i="1"/>
  <c r="H12" i="4"/>
  <c r="L2" i="5" l="1"/>
  <c r="H5" i="150" l="1"/>
  <c r="H4" i="150" l="1"/>
  <c r="I13" i="150" l="1"/>
  <c r="J13" i="150" s="1"/>
  <c r="K13" i="150" s="1"/>
  <c r="I10" i="150"/>
  <c r="J10" i="150" s="1"/>
  <c r="K10" i="150" s="1"/>
  <c r="I5" i="150"/>
  <c r="I7" i="150"/>
  <c r="J7" i="150" s="1"/>
  <c r="G46" i="50" s="1"/>
  <c r="I46" i="50" s="1"/>
  <c r="I9" i="150"/>
  <c r="J9" i="150" s="1"/>
  <c r="I8" i="150"/>
  <c r="I12" i="150"/>
  <c r="J12" i="150" s="1"/>
  <c r="G51" i="50" s="1"/>
  <c r="I51" i="50" s="1"/>
  <c r="I6" i="150"/>
  <c r="J6" i="150" s="1"/>
  <c r="G45" i="50" s="1"/>
  <c r="I45" i="50" s="1"/>
  <c r="I11" i="150"/>
  <c r="J11" i="150" s="1"/>
  <c r="G50" i="50" s="1"/>
  <c r="I50" i="50" s="1"/>
  <c r="J8" i="150" l="1"/>
  <c r="K8" i="150" s="1"/>
  <c r="K9" i="150"/>
  <c r="K7" i="150"/>
  <c r="K6" i="150"/>
  <c r="K11" i="150"/>
  <c r="K12" i="150"/>
  <c r="G47" i="50" l="1"/>
  <c r="I47" i="50" s="1"/>
  <c r="P4" i="137"/>
  <c r="J5" i="150" l="1"/>
  <c r="G44" i="50" s="1"/>
  <c r="I44" i="50" s="1"/>
  <c r="K5" i="150" l="1"/>
  <c r="K4" i="150" s="1"/>
  <c r="O2" i="150" l="1"/>
  <c r="M2" i="150" l="1"/>
  <c r="Q4" i="1"/>
  <c r="AX5" i="4" l="1"/>
  <c r="G23" i="4"/>
  <c r="H23" i="4" l="1"/>
  <c r="AX23" i="4"/>
  <c r="N9" i="5" l="1"/>
  <c r="A9" i="5" s="1"/>
  <c r="N7" i="5"/>
  <c r="A7" i="5" s="1"/>
  <c r="M7" i="5" l="1"/>
  <c r="M9" i="5"/>
  <c r="J2" i="120" l="1"/>
  <c r="AN4" i="5" l="1"/>
  <c r="AM4" i="5"/>
  <c r="AL4" i="5"/>
  <c r="AS4" i="5"/>
  <c r="AK4" i="5"/>
  <c r="AJ4" i="5"/>
  <c r="AU4" i="5"/>
  <c r="AT4" i="5"/>
  <c r="AO4" i="5"/>
  <c r="AR4" i="5"/>
  <c r="AQ4" i="5"/>
  <c r="AP4" i="5"/>
  <c r="AV4" i="5"/>
  <c r="S4" i="5" l="1"/>
  <c r="R4" i="5" l="1"/>
  <c r="T4" i="5" l="1"/>
  <c r="U4" i="5" l="1"/>
  <c r="V4" i="5" l="1"/>
  <c r="W4" i="5" l="1"/>
  <c r="X4" i="5" l="1"/>
  <c r="Y4" i="5" l="1"/>
  <c r="Z4" i="5" l="1"/>
  <c r="AB4" i="5" l="1"/>
  <c r="AA4" i="5"/>
  <c r="AC4" i="5" l="1"/>
  <c r="AD4" i="5" l="1"/>
  <c r="AE4" i="5" l="1"/>
  <c r="AF4" i="5" l="1"/>
  <c r="AG4" i="5" l="1"/>
  <c r="AH4" i="5" l="1"/>
  <c r="N17" i="5" l="1"/>
  <c r="A17" i="5" s="1"/>
  <c r="M17" i="5"/>
  <c r="AI4" i="5"/>
  <c r="M5" i="5"/>
  <c r="N5" i="5"/>
  <c r="N21" i="5"/>
  <c r="A21" i="5" s="1"/>
  <c r="M21" i="5"/>
  <c r="M16" i="5"/>
  <c r="N16" i="5"/>
  <c r="A16" i="5" s="1"/>
  <c r="N22" i="5"/>
  <c r="A22" i="5" s="1"/>
  <c r="M22" i="5"/>
  <c r="N18" i="5"/>
  <c r="A18" i="5" s="1"/>
  <c r="M18" i="5"/>
  <c r="N20" i="5"/>
  <c r="A20" i="5" s="1"/>
  <c r="M20" i="5"/>
  <c r="M19" i="5"/>
  <c r="N19" i="5"/>
  <c r="A19" i="5" s="1"/>
  <c r="M10" i="5"/>
  <c r="N10" i="5"/>
  <c r="A10" i="5" s="1"/>
  <c r="N11" i="5"/>
  <c r="A11" i="5" s="1"/>
  <c r="M11" i="5"/>
  <c r="N13" i="5"/>
  <c r="A13" i="5" s="1"/>
  <c r="M13" i="5"/>
  <c r="M15" i="5"/>
  <c r="N15" i="5"/>
  <c r="A15" i="5" s="1"/>
  <c r="M23" i="5"/>
  <c r="N23" i="5"/>
  <c r="A23" i="5" s="1"/>
  <c r="M12" i="5"/>
  <c r="N12" i="5"/>
  <c r="A12" i="5" s="1"/>
  <c r="N8" i="5"/>
  <c r="A8" i="5" s="1"/>
  <c r="M8" i="5"/>
  <c r="M24" i="5"/>
  <c r="N24" i="5"/>
  <c r="A24" i="5" s="1"/>
  <c r="M14" i="5"/>
  <c r="N14" i="5"/>
  <c r="A14" i="5" s="1"/>
  <c r="M6" i="5"/>
  <c r="N6" i="5"/>
  <c r="A6" i="5" s="1"/>
  <c r="A5" i="5" l="1"/>
  <c r="A4" i="5" s="1"/>
  <c r="N4" i="5"/>
  <c r="M4" i="5"/>
  <c r="F11" i="50" l="1"/>
  <c r="AX25" i="4" l="1"/>
  <c r="AX7" i="4"/>
  <c r="AX16" i="4"/>
  <c r="AX14" i="4"/>
  <c r="AX13" i="4"/>
  <c r="H16" i="4"/>
  <c r="AX22" i="4"/>
  <c r="AX10" i="4"/>
  <c r="H10" i="4"/>
  <c r="AX11" i="4"/>
  <c r="AX24" i="4"/>
  <c r="H13" i="4"/>
  <c r="AX19" i="4"/>
  <c r="AX20" i="4"/>
  <c r="AX8" i="4"/>
  <c r="AX17" i="4"/>
  <c r="H17" i="4"/>
  <c r="AX15" i="4"/>
  <c r="H15" i="4"/>
  <c r="H19" i="4"/>
  <c r="H22" i="4"/>
  <c r="H11" i="4"/>
  <c r="H7" i="4"/>
  <c r="H24" i="4"/>
  <c r="H14" i="4"/>
  <c r="H20" i="4"/>
  <c r="D19" i="4"/>
  <c r="H25" i="4"/>
  <c r="H21" i="4"/>
  <c r="AX21" i="4"/>
  <c r="D24" i="4"/>
  <c r="AX18" i="4"/>
  <c r="H18" i="4"/>
  <c r="H8" i="4"/>
  <c r="D15" i="4"/>
  <c r="D11" i="4"/>
  <c r="D25" i="4"/>
  <c r="D16" i="4"/>
  <c r="D22" i="4"/>
  <c r="D13" i="4"/>
  <c r="D10" i="4"/>
  <c r="D18" i="4"/>
  <c r="D14" i="4"/>
  <c r="D17" i="4"/>
  <c r="D8" i="4"/>
  <c r="D7" i="4"/>
  <c r="D21" i="4"/>
  <c r="AX6" i="4"/>
  <c r="D6" i="4"/>
  <c r="H6" i="4"/>
  <c r="H4" i="4" l="1"/>
  <c r="I21" i="4" s="1"/>
  <c r="J21" i="4" s="1"/>
  <c r="G40" i="50" s="1"/>
  <c r="I40" i="50" s="1"/>
  <c r="AX4" i="4"/>
  <c r="I5" i="4" l="1"/>
  <c r="J5" i="4" s="1"/>
  <c r="I19" i="4"/>
  <c r="J19" i="4" s="1"/>
  <c r="G39" i="50" s="1"/>
  <c r="I39" i="50" s="1"/>
  <c r="I15" i="4"/>
  <c r="J15" i="4" s="1"/>
  <c r="I18" i="4"/>
  <c r="J18" i="4" s="1"/>
  <c r="G32" i="50" s="1"/>
  <c r="I32" i="50" s="1"/>
  <c r="I22" i="4"/>
  <c r="J22" i="4" s="1"/>
  <c r="I12" i="4"/>
  <c r="J12" i="4" s="1"/>
  <c r="K12" i="4" s="1"/>
  <c r="I9" i="4"/>
  <c r="J9" i="4" s="1"/>
  <c r="I17" i="4"/>
  <c r="J17" i="4" s="1"/>
  <c r="K17" i="4" s="1"/>
  <c r="I8" i="4"/>
  <c r="J8" i="4" s="1"/>
  <c r="G28" i="50" s="1"/>
  <c r="I28" i="50" s="1"/>
  <c r="I20" i="4"/>
  <c r="J20" i="4" s="1"/>
  <c r="K20" i="4" s="1"/>
  <c r="I6" i="4"/>
  <c r="J6" i="4" s="1"/>
  <c r="I24" i="4"/>
  <c r="J24" i="4" s="1"/>
  <c r="G52" i="50" s="1"/>
  <c r="I52" i="50" s="1"/>
  <c r="I13" i="4"/>
  <c r="J13" i="4" s="1"/>
  <c r="G19" i="50" s="1"/>
  <c r="I19" i="50" s="1"/>
  <c r="I16" i="4"/>
  <c r="J16" i="4" s="1"/>
  <c r="I7" i="4"/>
  <c r="J7" i="4" s="1"/>
  <c r="K21" i="4"/>
  <c r="I10" i="4"/>
  <c r="J10" i="4" s="1"/>
  <c r="K10" i="4" s="1"/>
  <c r="I11" i="4"/>
  <c r="J11" i="4" s="1"/>
  <c r="G27" i="50" s="1"/>
  <c r="I27" i="50" s="1"/>
  <c r="I14" i="4"/>
  <c r="J14" i="4" s="1"/>
  <c r="I23" i="4"/>
  <c r="J23" i="4" s="1"/>
  <c r="G43" i="50" s="1"/>
  <c r="I43" i="50" s="1"/>
  <c r="I25" i="4"/>
  <c r="J25" i="4" s="1"/>
  <c r="G24" i="50"/>
  <c r="K15" i="4"/>
  <c r="G18" i="50"/>
  <c r="K5" i="4"/>
  <c r="G17" i="50"/>
  <c r="G48" i="50"/>
  <c r="K6" i="4"/>
  <c r="G11" i="50"/>
  <c r="K18" i="4"/>
  <c r="G49" i="50"/>
  <c r="K13" i="4"/>
  <c r="G21" i="50"/>
  <c r="K11" i="4"/>
  <c r="G30" i="50"/>
  <c r="K19" i="4"/>
  <c r="K14" i="4"/>
  <c r="G23" i="50"/>
  <c r="G22" i="50"/>
  <c r="K16" i="4"/>
  <c r="K7" i="4"/>
  <c r="G15" i="50"/>
  <c r="K22" i="4"/>
  <c r="K25" i="4"/>
  <c r="G20" i="50"/>
  <c r="G31" i="50"/>
  <c r="K8" i="4"/>
  <c r="K9" i="4"/>
  <c r="G16" i="50"/>
  <c r="K24" i="4" l="1"/>
  <c r="K23" i="4"/>
  <c r="I31" i="50"/>
  <c r="I23" i="50"/>
  <c r="I21" i="50"/>
  <c r="I48" i="50"/>
  <c r="I16" i="50"/>
  <c r="I15" i="50"/>
  <c r="I30" i="50"/>
  <c r="J11" i="50"/>
  <c r="I11" i="50"/>
  <c r="H11" i="50"/>
  <c r="I17" i="50"/>
  <c r="I20" i="50"/>
  <c r="I22" i="50"/>
  <c r="K4" i="4"/>
  <c r="I49" i="50"/>
  <c r="I18" i="50"/>
  <c r="I24" i="50"/>
  <c r="H3" i="95" l="1"/>
  <c r="I1" i="95" s="1"/>
  <c r="I3" i="95" s="1"/>
  <c r="B1" i="50"/>
  <c r="AK15" i="1" l="1"/>
  <c r="AK10" i="4"/>
  <c r="AK12" i="4"/>
  <c r="AK17" i="1"/>
  <c r="AK22" i="4"/>
  <c r="AK19" i="1"/>
  <c r="AK10" i="1"/>
  <c r="AK20" i="1"/>
  <c r="AK11" i="1"/>
  <c r="AK22" i="1"/>
  <c r="AK12" i="1"/>
  <c r="AK23" i="1"/>
  <c r="AK14" i="1"/>
  <c r="AK16" i="1"/>
  <c r="AK9" i="137"/>
  <c r="AK7" i="137"/>
  <c r="AK10" i="137"/>
  <c r="AK6" i="137"/>
  <c r="AK8" i="137"/>
  <c r="AK6" i="4"/>
  <c r="O14" i="1"/>
  <c r="A14" i="1" s="1"/>
  <c r="N23" i="1"/>
  <c r="O16" i="1"/>
  <c r="A16" i="1" s="1"/>
  <c r="O11" i="1"/>
  <c r="A11" i="1" s="1"/>
  <c r="N17" i="1"/>
  <c r="N19" i="1"/>
  <c r="N12" i="4"/>
  <c r="O15" i="1"/>
  <c r="A15" i="1" s="1"/>
  <c r="N20" i="1"/>
  <c r="AC25" i="4"/>
  <c r="AC6" i="1"/>
  <c r="O6" i="1" s="1"/>
  <c r="A6" i="1" s="1"/>
  <c r="AC7" i="1"/>
  <c r="AC5" i="1"/>
  <c r="O5" i="1" s="1"/>
  <c r="N9" i="137" l="1"/>
  <c r="O7" i="137"/>
  <c r="A7" i="137" s="1"/>
  <c r="N6" i="137"/>
  <c r="O12" i="4"/>
  <c r="A12" i="4" s="1"/>
  <c r="O23" i="1"/>
  <c r="A23" i="1" s="1"/>
  <c r="N15" i="1"/>
  <c r="N16" i="1"/>
  <c r="N6" i="1"/>
  <c r="O17" i="1"/>
  <c r="A17" i="1" s="1"/>
  <c r="O20" i="1"/>
  <c r="A20" i="1" s="1"/>
  <c r="O19" i="1"/>
  <c r="A19" i="1" s="1"/>
  <c r="N14" i="1"/>
  <c r="N11" i="1"/>
  <c r="O6" i="4"/>
  <c r="A6" i="4" s="1"/>
  <c r="N10" i="137"/>
  <c r="N8" i="137"/>
  <c r="N5" i="1"/>
  <c r="O9" i="137"/>
  <c r="A9" i="137" s="1"/>
  <c r="O8" i="137"/>
  <c r="A8" i="137" s="1"/>
  <c r="N7" i="137"/>
  <c r="O6" i="137"/>
  <c r="A6" i="137" s="1"/>
  <c r="O10" i="137"/>
  <c r="A10" i="137" s="1"/>
  <c r="N6" i="4"/>
  <c r="A5" i="1"/>
  <c r="O25" i="4" l="1"/>
  <c r="A25" i="4" s="1"/>
  <c r="N25" i="4"/>
  <c r="N22" i="1" l="1"/>
  <c r="O22" i="1"/>
  <c r="A22" i="1" s="1"/>
  <c r="N12" i="1"/>
  <c r="O12" i="1"/>
  <c r="A12" i="1" s="1"/>
  <c r="O22" i="4"/>
  <c r="A22" i="4" s="1"/>
  <c r="N22" i="4"/>
  <c r="O10" i="1"/>
  <c r="A10" i="1" s="1"/>
  <c r="N10" i="1"/>
  <c r="O7" i="1"/>
  <c r="N7" i="1"/>
  <c r="O10" i="4"/>
  <c r="A10" i="4" s="1"/>
  <c r="N10" i="4"/>
  <c r="A7" i="1" l="1"/>
  <c r="AC24" i="4" l="1"/>
  <c r="N24" i="4" l="1"/>
  <c r="O24" i="4"/>
  <c r="A24" i="4" s="1"/>
  <c r="AS4" i="150" l="1"/>
  <c r="AN4" i="150"/>
  <c r="AM4" i="150"/>
  <c r="AL4" i="150"/>
  <c r="AO4" i="150"/>
  <c r="AU4" i="150"/>
  <c r="AT4" i="150"/>
  <c r="AR4" i="150"/>
  <c r="AQ4" i="150"/>
  <c r="AP4" i="150"/>
  <c r="AN4" i="4"/>
  <c r="AM4" i="4"/>
  <c r="AL4" i="4"/>
  <c r="AS4" i="4"/>
  <c r="AU4" i="4"/>
  <c r="AT4" i="4"/>
  <c r="AO4" i="4"/>
  <c r="AR4" i="4"/>
  <c r="AQ4" i="4"/>
  <c r="AP4" i="4"/>
  <c r="AN4" i="1"/>
  <c r="AM4" i="1"/>
  <c r="AL4" i="1"/>
  <c r="AS4" i="1"/>
  <c r="AU4" i="1"/>
  <c r="AT4" i="1"/>
  <c r="AO4" i="1"/>
  <c r="AR4" i="1"/>
  <c r="AQ4" i="1"/>
  <c r="AP4" i="1"/>
  <c r="AT4" i="137"/>
  <c r="AU4" i="137"/>
  <c r="AQ4" i="137"/>
  <c r="AP4" i="137"/>
  <c r="AO4" i="137"/>
  <c r="AR4" i="137"/>
  <c r="AM4" i="137"/>
  <c r="AL4" i="137"/>
  <c r="AS4" i="137"/>
  <c r="AN4" i="137"/>
  <c r="AV4" i="137"/>
  <c r="AV4" i="4"/>
  <c r="AV4" i="150"/>
  <c r="AV4" i="1"/>
  <c r="R4" i="4" l="1"/>
  <c r="R4" i="150"/>
  <c r="R4" i="1"/>
  <c r="R4" i="137"/>
  <c r="S4" i="150" l="1"/>
  <c r="S4" i="1"/>
  <c r="S4" i="4"/>
  <c r="S4" i="137"/>
  <c r="T4" i="150" l="1"/>
  <c r="T4" i="1"/>
  <c r="T4" i="137"/>
  <c r="T4" i="4"/>
  <c r="U4" i="4" l="1"/>
  <c r="U4" i="137"/>
  <c r="U4" i="150"/>
  <c r="U4" i="1"/>
  <c r="V4" i="137" l="1"/>
  <c r="V4" i="150"/>
  <c r="V4" i="4"/>
  <c r="V4" i="1"/>
  <c r="W4" i="4" l="1"/>
  <c r="W4" i="150"/>
  <c r="W4" i="137"/>
  <c r="W4" i="1"/>
  <c r="X4" i="137" l="1"/>
  <c r="X4" i="1"/>
  <c r="X4" i="4"/>
  <c r="X4" i="150"/>
  <c r="Y4" i="1" l="1"/>
  <c r="Y4" i="137"/>
  <c r="Y4" i="150"/>
  <c r="Y4" i="4"/>
  <c r="Z4" i="1" l="1"/>
  <c r="Z4" i="4"/>
  <c r="Z4" i="150"/>
  <c r="Z4" i="137"/>
  <c r="AA4" i="150" l="1"/>
  <c r="AA4" i="137"/>
  <c r="AA4" i="1"/>
  <c r="AA4" i="4"/>
  <c r="AB4" i="150" l="1"/>
  <c r="AB4" i="1"/>
  <c r="AB4" i="137"/>
  <c r="AB4" i="4"/>
  <c r="AC4" i="1" l="1"/>
  <c r="AC4" i="4"/>
  <c r="AC4" i="137"/>
  <c r="AC4" i="150"/>
  <c r="AD4" i="137" l="1"/>
  <c r="AD4" i="4" l="1"/>
  <c r="AD4" i="1"/>
  <c r="AD4" i="150"/>
  <c r="AE4" i="4" l="1"/>
  <c r="AE4" i="1"/>
  <c r="AE4" i="137"/>
  <c r="AE4" i="150"/>
  <c r="AG4" i="137" l="1"/>
  <c r="AG4" i="150"/>
  <c r="AG4" i="4"/>
  <c r="AG4" i="1"/>
  <c r="AF4" i="1" l="1"/>
  <c r="AF4" i="137"/>
  <c r="AF4" i="4"/>
  <c r="AF4" i="150"/>
  <c r="AI4" i="150" l="1"/>
  <c r="AI4" i="4"/>
  <c r="AI4" i="1"/>
  <c r="AV21" i="50"/>
  <c r="AG52" i="50"/>
  <c r="AV15" i="50"/>
  <c r="U45" i="50"/>
  <c r="AM48" i="50"/>
  <c r="Q20" i="50"/>
  <c r="AN29" i="50"/>
  <c r="X5" i="50"/>
  <c r="AL37" i="50"/>
  <c r="R51" i="50"/>
  <c r="M45" i="50"/>
  <c r="AF18" i="50"/>
  <c r="X36" i="50"/>
  <c r="AN43" i="50"/>
  <c r="AZ16" i="50"/>
  <c r="AM51" i="50"/>
  <c r="AV42" i="50"/>
  <c r="AZ52" i="50"/>
  <c r="AJ32" i="50"/>
  <c r="U4" i="50"/>
  <c r="X29" i="50"/>
  <c r="AA45" i="50"/>
  <c r="M32" i="50"/>
  <c r="AI31" i="50"/>
  <c r="AY14" i="50"/>
  <c r="V12" i="50"/>
  <c r="Q18" i="50"/>
  <c r="AQ35" i="50"/>
  <c r="AT17" i="50"/>
  <c r="AE35" i="50"/>
  <c r="AX24" i="50"/>
  <c r="AG39" i="50"/>
  <c r="AP37" i="50"/>
  <c r="AI47" i="50"/>
  <c r="AJ47" i="50"/>
  <c r="T41" i="50"/>
  <c r="AG41" i="50"/>
  <c r="S49" i="50"/>
  <c r="AS40" i="50"/>
  <c r="N22" i="50"/>
  <c r="N51" i="50"/>
  <c r="BC12" i="50"/>
  <c r="AB45" i="50"/>
  <c r="AP27" i="50"/>
  <c r="L36" i="50"/>
  <c r="O28" i="50"/>
  <c r="Q4" i="50"/>
  <c r="AP35" i="50"/>
  <c r="AH26" i="50"/>
  <c r="AD12" i="50"/>
  <c r="N40" i="50"/>
  <c r="AH21" i="50"/>
  <c r="AV49" i="50"/>
  <c r="AE23" i="50"/>
  <c r="AX40" i="50"/>
  <c r="AU14" i="50"/>
  <c r="AT31" i="50"/>
  <c r="AD41" i="50"/>
  <c r="X44" i="50"/>
  <c r="M14" i="50"/>
  <c r="BC22" i="50"/>
  <c r="Z44" i="50"/>
  <c r="AG13" i="50"/>
  <c r="AO26" i="50"/>
  <c r="X18" i="50"/>
  <c r="R37" i="50"/>
  <c r="AW40" i="50"/>
  <c r="BB34" i="50"/>
  <c r="BC49" i="50"/>
  <c r="AN30" i="50"/>
  <c r="AC16" i="50"/>
  <c r="AO49" i="50"/>
  <c r="AP45" i="50"/>
  <c r="AH13" i="50"/>
  <c r="AJ37" i="50"/>
  <c r="AU26" i="50"/>
  <c r="M35" i="50"/>
  <c r="L14" i="50"/>
  <c r="AZ44" i="50"/>
  <c r="S31" i="50"/>
  <c r="O46" i="50"/>
  <c r="Q50" i="50"/>
  <c r="T28" i="50"/>
  <c r="AC34" i="50"/>
  <c r="AO29" i="50"/>
  <c r="AU30" i="50"/>
  <c r="AE33" i="50"/>
  <c r="Z29" i="50"/>
  <c r="W23" i="50"/>
  <c r="AM33" i="50"/>
  <c r="BB38" i="50"/>
  <c r="N46" i="50"/>
  <c r="AV27" i="50"/>
  <c r="AW41" i="50"/>
  <c r="N17" i="50"/>
  <c r="AZ32" i="50"/>
  <c r="AZ37" i="50"/>
  <c r="W22" i="50"/>
  <c r="S51" i="50"/>
  <c r="AM47" i="50"/>
  <c r="R33" i="50"/>
  <c r="AL42" i="50"/>
  <c r="AU50" i="50"/>
  <c r="AH32" i="50"/>
  <c r="AE30" i="50"/>
  <c r="L28" i="50"/>
  <c r="U14" i="50"/>
  <c r="W40" i="50"/>
  <c r="AC47" i="50"/>
  <c r="V46" i="50"/>
  <c r="AL39" i="50"/>
  <c r="R12" i="50"/>
  <c r="AX26" i="50"/>
  <c r="AU51" i="50"/>
  <c r="AX47" i="50"/>
  <c r="AZ24" i="50"/>
  <c r="L15" i="50"/>
  <c r="L25" i="50"/>
  <c r="AA50" i="50"/>
  <c r="AC18" i="50"/>
  <c r="AY25" i="50"/>
  <c r="AL19" i="50"/>
  <c r="AG51" i="50"/>
  <c r="S15" i="50"/>
  <c r="AI14" i="50"/>
  <c r="AE28" i="50"/>
  <c r="AA43" i="50"/>
  <c r="S32" i="50"/>
  <c r="AA20" i="50"/>
  <c r="S16" i="50"/>
  <c r="AI16" i="50"/>
  <c r="R36" i="50"/>
  <c r="AP20" i="50"/>
  <c r="S25" i="50"/>
  <c r="AH25" i="50"/>
  <c r="AC24" i="50"/>
  <c r="AF17" i="50"/>
  <c r="AX36" i="50"/>
  <c r="X33" i="50"/>
  <c r="AF36" i="50"/>
  <c r="AC19" i="50"/>
  <c r="BB49" i="50"/>
  <c r="AJ4" i="50"/>
  <c r="AO22" i="50"/>
  <c r="Q36" i="50"/>
  <c r="W19" i="50"/>
  <c r="AX35" i="50"/>
  <c r="AB46" i="50"/>
  <c r="S38" i="50"/>
  <c r="AS42" i="50"/>
  <c r="AT29" i="50"/>
  <c r="AX16" i="50"/>
  <c r="L32" i="50"/>
  <c r="BA20" i="50"/>
  <c r="AI5" i="50"/>
  <c r="AC21" i="50"/>
  <c r="W13" i="50"/>
  <c r="Q19" i="50"/>
  <c r="AH49" i="50"/>
  <c r="AK19" i="50"/>
  <c r="T40" i="50"/>
  <c r="AW27" i="50"/>
  <c r="BB32" i="50"/>
  <c r="AK30" i="50"/>
  <c r="AI44" i="50"/>
  <c r="O44" i="50"/>
  <c r="P24" i="50"/>
  <c r="X22" i="50"/>
  <c r="AW22" i="50"/>
  <c r="AY42" i="50"/>
  <c r="AE37" i="50"/>
  <c r="M21" i="50"/>
  <c r="AK39" i="50"/>
  <c r="AY29" i="50"/>
  <c r="AV51" i="50"/>
  <c r="S36" i="50"/>
  <c r="AM45" i="50"/>
  <c r="AT12" i="50"/>
  <c r="AU40" i="50"/>
  <c r="AS52" i="50"/>
  <c r="Q27" i="50"/>
  <c r="BB48" i="50"/>
  <c r="AK44" i="50"/>
  <c r="AH12" i="50"/>
  <c r="AD16" i="50"/>
  <c r="N41" i="50"/>
  <c r="AZ51" i="50"/>
  <c r="AL50" i="50"/>
  <c r="O4" i="50"/>
  <c r="L50" i="50"/>
  <c r="AM42" i="50"/>
  <c r="Y51" i="50"/>
  <c r="AK49" i="50"/>
  <c r="O19" i="50"/>
  <c r="BA43" i="50"/>
  <c r="AF38" i="50"/>
  <c r="AR18" i="50"/>
  <c r="AV31" i="50"/>
  <c r="AT39" i="50"/>
  <c r="AO23" i="50"/>
  <c r="AE32" i="50"/>
  <c r="AH41" i="50"/>
  <c r="R21" i="50"/>
  <c r="AS38" i="50"/>
  <c r="AU22" i="50"/>
  <c r="AU5" i="50"/>
  <c r="AG43" i="50"/>
  <c r="S33" i="50"/>
  <c r="AK40" i="50"/>
  <c r="N42" i="50"/>
  <c r="AZ4" i="50"/>
  <c r="AK15" i="50"/>
  <c r="W35" i="50"/>
  <c r="U49" i="50"/>
  <c r="X15" i="50"/>
  <c r="AK45" i="50"/>
  <c r="U20" i="50"/>
  <c r="AU27" i="50"/>
  <c r="AV36" i="50"/>
  <c r="AY47" i="50"/>
  <c r="AD24" i="50"/>
  <c r="AQ51" i="50"/>
  <c r="U23" i="50"/>
  <c r="BA15" i="50"/>
  <c r="P30" i="50"/>
  <c r="AB33" i="50"/>
  <c r="AZ25" i="50"/>
  <c r="AK52" i="50"/>
  <c r="R19" i="50"/>
  <c r="BB52" i="50"/>
  <c r="AS13" i="50"/>
  <c r="AS34" i="50"/>
  <c r="R31" i="50"/>
  <c r="AH4" i="50"/>
  <c r="AR39" i="50"/>
  <c r="AB21" i="50"/>
  <c r="AX41" i="50"/>
  <c r="AY23" i="50"/>
  <c r="W4" i="50"/>
  <c r="AH38" i="50"/>
  <c r="BC52" i="50"/>
  <c r="AU15" i="50"/>
  <c r="AC35" i="50"/>
  <c r="AS18" i="50"/>
  <c r="AB12" i="50"/>
  <c r="N38" i="50"/>
  <c r="AO12" i="50"/>
  <c r="AK50" i="50"/>
  <c r="O21" i="50"/>
  <c r="AR22" i="50"/>
  <c r="AN32" i="50"/>
  <c r="W20" i="50"/>
  <c r="AK46" i="50"/>
  <c r="BA37" i="50"/>
  <c r="V43" i="50"/>
  <c r="AJ15" i="50"/>
  <c r="BB43" i="50"/>
  <c r="AD34" i="50"/>
  <c r="AL30" i="50"/>
  <c r="AW14" i="50"/>
  <c r="AP34" i="50"/>
  <c r="AZ13" i="50"/>
  <c r="X20" i="50"/>
  <c r="AA35" i="50"/>
  <c r="AP5" i="50"/>
  <c r="AY31" i="50"/>
  <c r="S21" i="50"/>
  <c r="AH36" i="50"/>
  <c r="AC51" i="50"/>
  <c r="U39" i="50"/>
  <c r="AI45" i="50"/>
  <c r="P19" i="50"/>
  <c r="BB35" i="50"/>
  <c r="AE47" i="50"/>
  <c r="AI43" i="50"/>
  <c r="AA27" i="50"/>
  <c r="AU13" i="50"/>
  <c r="AT23" i="50"/>
  <c r="M48" i="50"/>
  <c r="O39" i="50"/>
  <c r="AW37" i="50"/>
  <c r="AD47" i="50"/>
  <c r="AL41" i="50"/>
  <c r="AV41" i="50"/>
  <c r="BC4" i="50"/>
  <c r="AQ45" i="50"/>
  <c r="V49" i="50"/>
  <c r="BB22" i="50"/>
  <c r="V36" i="50"/>
  <c r="AY46" i="50"/>
  <c r="AG34" i="50"/>
  <c r="AY37" i="50"/>
  <c r="T24" i="50"/>
  <c r="AR49" i="50"/>
  <c r="AE12" i="50"/>
  <c r="AN19" i="50"/>
  <c r="BB29" i="50"/>
  <c r="AR47" i="50"/>
  <c r="O41" i="50"/>
  <c r="AM52" i="50"/>
  <c r="AV20" i="50"/>
  <c r="AI22" i="50"/>
  <c r="AG21" i="50"/>
  <c r="U13" i="50"/>
  <c r="T19" i="50"/>
  <c r="Z41" i="50"/>
  <c r="Q32" i="50"/>
  <c r="U40" i="50"/>
  <c r="S24" i="50"/>
  <c r="M17" i="50"/>
  <c r="P16" i="50"/>
  <c r="BA5" i="50"/>
  <c r="W47" i="50"/>
  <c r="U15" i="50"/>
  <c r="AC26" i="50"/>
  <c r="AS5" i="50"/>
  <c r="AK27" i="50"/>
  <c r="AZ19" i="50"/>
  <c r="AX23" i="50"/>
  <c r="AY33" i="50"/>
  <c r="Z49" i="50"/>
  <c r="AG31" i="50"/>
  <c r="AJ33" i="50"/>
  <c r="AY4" i="50"/>
  <c r="AC39" i="50"/>
  <c r="AN31" i="50"/>
  <c r="AI39" i="50"/>
  <c r="AY34" i="50"/>
  <c r="AX5" i="50"/>
  <c r="T42" i="50"/>
  <c r="M27" i="50"/>
  <c r="AC17" i="50"/>
  <c r="AC31" i="50"/>
  <c r="T23" i="50"/>
  <c r="N26" i="50"/>
  <c r="AF4" i="50"/>
  <c r="U32" i="50"/>
  <c r="AS25" i="50"/>
  <c r="AF13" i="50"/>
  <c r="Y5" i="50"/>
  <c r="AR23" i="50"/>
  <c r="AM31" i="50"/>
  <c r="BB31" i="50"/>
  <c r="AX13" i="50"/>
  <c r="AE29" i="50"/>
  <c r="AE39" i="50"/>
  <c r="AF33" i="50"/>
  <c r="BA16" i="50"/>
  <c r="AN5" i="50"/>
  <c r="M42" i="50"/>
  <c r="AE41" i="50"/>
  <c r="L39" i="50"/>
  <c r="AF45" i="50"/>
  <c r="AO43" i="50"/>
  <c r="AD5" i="50"/>
  <c r="U44" i="50"/>
  <c r="W26" i="50"/>
  <c r="T46" i="50"/>
  <c r="AS22" i="50"/>
  <c r="Y18" i="50"/>
  <c r="AU44" i="50"/>
  <c r="AJ40" i="50"/>
  <c r="V39" i="50"/>
  <c r="AZ46" i="50"/>
  <c r="X28" i="50"/>
  <c r="AC28" i="50"/>
  <c r="O52" i="50"/>
  <c r="AH22" i="50"/>
  <c r="AP17" i="50"/>
  <c r="BB15" i="50"/>
  <c r="S26" i="50"/>
  <c r="M19" i="50"/>
  <c r="U47" i="50"/>
  <c r="Y29" i="50"/>
  <c r="R16" i="50"/>
  <c r="Y17" i="50"/>
  <c r="AQ34" i="50"/>
  <c r="AD32" i="50"/>
  <c r="R4" i="50"/>
  <c r="AJ16" i="50"/>
  <c r="AU41" i="50"/>
  <c r="AK43" i="50"/>
  <c r="AK36" i="50"/>
  <c r="N33" i="50"/>
  <c r="AS32" i="50"/>
  <c r="AC30" i="50"/>
  <c r="AQ33" i="50"/>
  <c r="M47" i="50"/>
  <c r="AE19" i="50"/>
  <c r="AO38" i="50"/>
  <c r="AU52" i="50"/>
  <c r="M24" i="50"/>
  <c r="AS20" i="50"/>
  <c r="X16" i="50"/>
  <c r="AD20" i="50"/>
  <c r="AS21" i="50"/>
  <c r="AD44" i="50"/>
  <c r="AP41" i="50"/>
  <c r="BC29" i="50"/>
  <c r="Y50" i="50"/>
  <c r="AP33" i="50"/>
  <c r="AX25" i="50"/>
  <c r="AI28" i="50"/>
  <c r="AP26" i="50"/>
  <c r="AN26" i="50"/>
  <c r="AY24" i="50"/>
  <c r="Y22" i="50"/>
  <c r="AF31" i="50"/>
  <c r="AK23" i="50"/>
  <c r="AC36" i="50"/>
  <c r="AD45" i="50"/>
  <c r="M38" i="50"/>
  <c r="AO37" i="50"/>
  <c r="AQ12" i="50"/>
  <c r="AM15" i="50"/>
  <c r="AS35" i="50"/>
  <c r="BA21" i="50"/>
  <c r="AO46" i="50"/>
  <c r="BA34" i="50"/>
  <c r="BC34" i="50"/>
  <c r="U42" i="50"/>
  <c r="AT42" i="50"/>
  <c r="AG4" i="50"/>
  <c r="U52" i="50"/>
  <c r="AO48" i="50"/>
  <c r="AG25" i="50"/>
  <c r="AD42" i="50"/>
  <c r="AB28" i="50"/>
  <c r="AB49" i="50"/>
  <c r="AP36" i="50"/>
  <c r="AR46" i="50"/>
  <c r="AP21" i="50"/>
  <c r="AB20" i="50"/>
  <c r="BC17" i="50"/>
  <c r="AW34" i="50"/>
  <c r="U25" i="50"/>
  <c r="AA39" i="50"/>
  <c r="V41" i="50"/>
  <c r="AB47" i="50"/>
  <c r="AH18" i="50"/>
  <c r="W36" i="50"/>
  <c r="AR52" i="50"/>
  <c r="AA26" i="50"/>
  <c r="AR44" i="50"/>
  <c r="R39" i="50"/>
  <c r="AE24" i="50"/>
  <c r="AW20" i="50"/>
  <c r="AG48" i="50"/>
  <c r="AD29" i="50"/>
  <c r="O20" i="50"/>
  <c r="AQ47" i="50"/>
  <c r="M52" i="50"/>
  <c r="AK13" i="50"/>
  <c r="AW39" i="50"/>
  <c r="AE51" i="50"/>
  <c r="Q33" i="50"/>
  <c r="AQ29" i="50"/>
  <c r="Q49" i="50"/>
  <c r="AR19" i="50"/>
  <c r="BA24" i="50"/>
  <c r="AC41" i="50"/>
  <c r="AQ18" i="50"/>
  <c r="AK51" i="50"/>
  <c r="AR38" i="50"/>
  <c r="AI37" i="50"/>
  <c r="R45" i="50"/>
  <c r="U16" i="50"/>
  <c r="L33" i="50"/>
  <c r="Y27" i="50"/>
  <c r="AF28" i="50"/>
  <c r="AE40" i="50"/>
  <c r="AE44" i="50"/>
  <c r="V17" i="50"/>
  <c r="AP38" i="50"/>
  <c r="BB50" i="50"/>
  <c r="AW44" i="50"/>
  <c r="AA41" i="50"/>
  <c r="AB14" i="50"/>
  <c r="AZ45" i="50"/>
  <c r="AD51" i="50"/>
  <c r="W31" i="50"/>
  <c r="X45" i="50"/>
  <c r="AK47" i="50"/>
  <c r="BA25" i="50"/>
  <c r="AU37" i="50"/>
  <c r="AI35" i="50"/>
  <c r="R17" i="50"/>
  <c r="AJ19" i="50"/>
  <c r="AT46" i="50"/>
  <c r="AS14" i="50"/>
  <c r="N13" i="50"/>
  <c r="U31" i="50"/>
  <c r="Z25" i="50"/>
  <c r="AJ46" i="50"/>
  <c r="AV50" i="50"/>
  <c r="AN47" i="50"/>
  <c r="L23" i="50"/>
  <c r="AQ49" i="50"/>
  <c r="O26" i="50"/>
  <c r="AS23" i="50"/>
  <c r="AO28" i="50"/>
  <c r="AV37" i="50"/>
  <c r="AF15" i="50"/>
  <c r="L18" i="50"/>
  <c r="AW12" i="50"/>
  <c r="BB24" i="50"/>
  <c r="AL49" i="50"/>
  <c r="AG15" i="50"/>
  <c r="AY16" i="50"/>
  <c r="AM12" i="50"/>
  <c r="AB48" i="50"/>
  <c r="U29" i="50"/>
  <c r="AJ20" i="50"/>
  <c r="AC27" i="50"/>
  <c r="AM35" i="50"/>
  <c r="AS50" i="50"/>
  <c r="V15" i="50"/>
  <c r="W50" i="50"/>
  <c r="AV52" i="50"/>
  <c r="V34" i="50"/>
  <c r="AD28" i="50"/>
  <c r="BC21" i="50"/>
  <c r="AA34" i="50"/>
  <c r="AP32" i="50"/>
  <c r="BC15" i="50"/>
  <c r="V19" i="50"/>
  <c r="R20" i="50"/>
  <c r="AD25" i="50"/>
  <c r="O35" i="50"/>
  <c r="AS45" i="50"/>
  <c r="AW31" i="50"/>
  <c r="N5" i="50"/>
  <c r="AZ31" i="50"/>
  <c r="T17" i="50"/>
  <c r="AV43" i="50"/>
  <c r="AF30" i="50"/>
  <c r="AG47" i="50"/>
  <c r="AS24" i="50"/>
  <c r="AU34" i="50"/>
  <c r="Y42" i="50"/>
  <c r="AZ43" i="50"/>
  <c r="BA33" i="50"/>
  <c r="BB28" i="50"/>
  <c r="AO18" i="50"/>
  <c r="L40" i="50"/>
  <c r="AQ16" i="50"/>
  <c r="AT22" i="50"/>
  <c r="Y41" i="50"/>
  <c r="X48" i="50"/>
  <c r="S37" i="50"/>
  <c r="AI46" i="50"/>
  <c r="AQ31" i="50"/>
  <c r="Q42" i="50"/>
  <c r="AY26" i="50"/>
  <c r="AL40" i="50"/>
  <c r="T38" i="50"/>
  <c r="AJ24" i="50"/>
  <c r="AM14" i="50"/>
  <c r="AE16" i="50"/>
  <c r="BA14" i="50"/>
  <c r="AM16" i="50"/>
  <c r="AS33" i="50"/>
  <c r="BC19" i="50"/>
  <c r="AZ34" i="50"/>
  <c r="AD40" i="50"/>
  <c r="BA4" i="50"/>
  <c r="AN45" i="50"/>
  <c r="O30" i="50"/>
  <c r="AN20" i="50"/>
  <c r="AV46" i="50"/>
  <c r="AY50" i="50"/>
  <c r="T37" i="50"/>
  <c r="BC25" i="50"/>
  <c r="Y25" i="50"/>
  <c r="AE18" i="50"/>
  <c r="AX46" i="50"/>
  <c r="L24" i="50"/>
  <c r="AY27" i="50"/>
  <c r="AZ39" i="50"/>
  <c r="AD37" i="50"/>
  <c r="AE25" i="50"/>
  <c r="T20" i="50"/>
  <c r="Q51" i="50"/>
  <c r="Y44" i="50"/>
  <c r="AM32" i="50"/>
  <c r="Y13" i="50"/>
  <c r="L17" i="50"/>
  <c r="BA47" i="50"/>
  <c r="M29" i="50"/>
  <c r="AX37" i="50"/>
  <c r="AX20" i="50"/>
  <c r="N21" i="50"/>
  <c r="AT21" i="50"/>
  <c r="Z23" i="50"/>
  <c r="AT49" i="50"/>
  <c r="X27" i="50"/>
  <c r="M13" i="50"/>
  <c r="BA29" i="50"/>
  <c r="AC29" i="50"/>
  <c r="BC14" i="50"/>
  <c r="P25" i="50"/>
  <c r="AB15" i="50"/>
  <c r="AH17" i="50"/>
  <c r="N24" i="50"/>
  <c r="Z16" i="50"/>
  <c r="AR12" i="50"/>
  <c r="AL51" i="50"/>
  <c r="AX12" i="50"/>
  <c r="AP43" i="50"/>
  <c r="AY41" i="50"/>
  <c r="V52" i="50"/>
  <c r="AY28" i="50"/>
  <c r="M18" i="50"/>
  <c r="AJ38" i="50"/>
  <c r="AZ17" i="50"/>
  <c r="L16" i="50"/>
  <c r="AL38" i="50"/>
  <c r="AX38" i="50"/>
  <c r="P47" i="50"/>
  <c r="AU21" i="50"/>
  <c r="AJ52" i="50"/>
  <c r="AU39" i="50"/>
  <c r="AG17" i="50"/>
  <c r="AN46" i="50"/>
  <c r="AV26" i="50"/>
  <c r="AT24" i="50"/>
  <c r="Y52" i="50"/>
  <c r="S28" i="50"/>
  <c r="BB5" i="50"/>
  <c r="AS48" i="50"/>
  <c r="AK21" i="50"/>
  <c r="AN17" i="50"/>
  <c r="Z48" i="50"/>
  <c r="AL33" i="50"/>
  <c r="AP15" i="50"/>
  <c r="Z35" i="50"/>
  <c r="AN39" i="50"/>
  <c r="AK48" i="50"/>
  <c r="S30" i="50"/>
  <c r="U24" i="50"/>
  <c r="AZ42" i="50"/>
  <c r="T51" i="50"/>
  <c r="AH20" i="50"/>
  <c r="N37" i="50"/>
  <c r="AE14" i="50"/>
  <c r="AU28" i="50"/>
  <c r="AM23" i="50"/>
  <c r="U22" i="50"/>
  <c r="AM41" i="50"/>
  <c r="AA36" i="50"/>
  <c r="V26" i="50"/>
  <c r="AR4" i="50"/>
  <c r="AT19" i="50"/>
  <c r="S35" i="50"/>
  <c r="AE26" i="50"/>
  <c r="AA46" i="50"/>
  <c r="P4" i="50"/>
  <c r="AE5" i="50"/>
  <c r="AH30" i="50"/>
  <c r="AH47" i="50"/>
  <c r="AV40" i="50"/>
  <c r="O12" i="50"/>
  <c r="U43" i="50"/>
  <c r="AE15" i="50"/>
  <c r="AR15" i="50"/>
  <c r="AU49" i="50"/>
  <c r="AZ23" i="50"/>
  <c r="Y46" i="50"/>
  <c r="AH29" i="50"/>
  <c r="U51" i="50"/>
  <c r="BA49" i="50"/>
  <c r="BC38" i="50"/>
  <c r="AQ39" i="50"/>
  <c r="AQ38" i="50"/>
  <c r="AQ22" i="50"/>
  <c r="R5" i="50"/>
  <c r="U36" i="50"/>
  <c r="AZ48" i="50"/>
  <c r="AT15" i="50"/>
  <c r="AQ41" i="50"/>
  <c r="AL18" i="50"/>
  <c r="U48" i="50"/>
  <c r="T44" i="50"/>
  <c r="AE31" i="50"/>
  <c r="AO51" i="50"/>
  <c r="S42" i="50"/>
  <c r="Z31" i="50"/>
  <c r="AF27" i="50"/>
  <c r="L46" i="50"/>
  <c r="AO32" i="50"/>
  <c r="AF44" i="50"/>
  <c r="S29" i="50"/>
  <c r="V50" i="50"/>
  <c r="T45" i="50"/>
  <c r="T32" i="50"/>
  <c r="S27" i="50"/>
  <c r="V44" i="50"/>
  <c r="BB27" i="50"/>
  <c r="S41" i="50"/>
  <c r="AV17" i="50"/>
  <c r="AO30" i="50"/>
  <c r="AE34" i="50"/>
  <c r="AY17" i="50"/>
  <c r="AV48" i="50"/>
  <c r="AK29" i="50"/>
  <c r="AW45" i="50"/>
  <c r="Z14" i="50"/>
  <c r="AG36" i="50"/>
  <c r="AG12" i="50"/>
  <c r="AI13" i="50"/>
  <c r="AM13" i="50"/>
  <c r="AA28" i="50"/>
  <c r="AV14" i="50"/>
  <c r="AY49" i="50"/>
  <c r="BC40" i="50"/>
  <c r="AA15" i="50"/>
  <c r="Q48" i="50"/>
  <c r="U38" i="50"/>
  <c r="AR31" i="50"/>
  <c r="AJ45" i="50"/>
  <c r="BA52" i="50"/>
  <c r="Z37" i="50"/>
  <c r="O27" i="50"/>
  <c r="Z39" i="50"/>
  <c r="AM46" i="50"/>
  <c r="AO42" i="50"/>
  <c r="AF41" i="50"/>
  <c r="AY20" i="50"/>
  <c r="AP12" i="50"/>
  <c r="AG27" i="50"/>
  <c r="AA12" i="50"/>
  <c r="AG29" i="50"/>
  <c r="L13" i="50"/>
  <c r="W43" i="50"/>
  <c r="V45" i="50"/>
  <c r="M25" i="50"/>
  <c r="AM43" i="50"/>
  <c r="BA26" i="50"/>
  <c r="X4" i="50"/>
  <c r="AA4" i="50"/>
  <c r="M28" i="50"/>
  <c r="S43" i="50"/>
  <c r="AR33" i="50"/>
  <c r="BC42" i="50"/>
  <c r="AR20" i="50"/>
  <c r="BC50" i="50"/>
  <c r="AE42" i="50"/>
  <c r="AI26" i="50"/>
  <c r="R25" i="50"/>
  <c r="AY35" i="50"/>
  <c r="AR42" i="50"/>
  <c r="AA23" i="50"/>
  <c r="AG28" i="50"/>
  <c r="AL28" i="50"/>
  <c r="R23" i="50"/>
  <c r="AW17" i="50"/>
  <c r="AB35" i="50"/>
  <c r="W51" i="50"/>
  <c r="BB20" i="50"/>
  <c r="BA40" i="50"/>
  <c r="AM49" i="50"/>
  <c r="BC20" i="50"/>
  <c r="AB22" i="50"/>
  <c r="AX52" i="50"/>
  <c r="AD18" i="50"/>
  <c r="AV38" i="50"/>
  <c r="AB31" i="50"/>
  <c r="AB32" i="50"/>
  <c r="AF22" i="50"/>
  <c r="BA19" i="50"/>
  <c r="AI34" i="50"/>
  <c r="BA13" i="50"/>
  <c r="P50" i="50"/>
  <c r="AM17" i="50"/>
  <c r="M39" i="50"/>
  <c r="L19" i="50"/>
  <c r="AF20" i="50"/>
  <c r="BB4" i="50"/>
  <c r="AF14" i="50"/>
  <c r="N19" i="50"/>
  <c r="BC5" i="50"/>
  <c r="AR26" i="50"/>
  <c r="Q25" i="50"/>
  <c r="AQ42" i="50"/>
  <c r="M51" i="50"/>
  <c r="BB41" i="50"/>
  <c r="X43" i="50"/>
  <c r="W12" i="50"/>
  <c r="L26" i="50"/>
  <c r="AI27" i="50"/>
  <c r="AJ25" i="50"/>
  <c r="AC52" i="50"/>
  <c r="R46" i="50"/>
  <c r="Q37" i="50"/>
  <c r="AP28" i="50"/>
  <c r="O47" i="50"/>
  <c r="AL24" i="50"/>
  <c r="AO19" i="50"/>
  <c r="BB25" i="50"/>
  <c r="L34" i="50"/>
  <c r="S40" i="50"/>
  <c r="AK24" i="50"/>
  <c r="AA38" i="50"/>
  <c r="Q12" i="50"/>
  <c r="T49" i="50"/>
  <c r="AX44" i="50"/>
  <c r="AB34" i="50"/>
  <c r="AC32" i="50"/>
  <c r="O29" i="50"/>
  <c r="M34" i="50"/>
  <c r="AZ30" i="50"/>
  <c r="AU12" i="50"/>
  <c r="AB4" i="50"/>
  <c r="AI30" i="50"/>
  <c r="N44" i="50"/>
  <c r="AN27" i="50"/>
  <c r="X49" i="50"/>
  <c r="AW15" i="50"/>
  <c r="AI36" i="50"/>
  <c r="AW38" i="50"/>
  <c r="R34" i="50"/>
  <c r="AM27" i="50"/>
  <c r="AQ21" i="50"/>
  <c r="R52" i="50"/>
  <c r="S45" i="50"/>
  <c r="AR36" i="50"/>
  <c r="AD52" i="50"/>
  <c r="AC4" i="50"/>
  <c r="P45" i="50"/>
  <c r="AW28" i="50"/>
  <c r="AO34" i="50"/>
  <c r="N12" i="50"/>
  <c r="V35" i="50"/>
  <c r="AF21" i="50"/>
  <c r="L21" i="50"/>
  <c r="W46" i="50"/>
  <c r="X19" i="50"/>
  <c r="L30" i="50"/>
  <c r="AS15" i="50"/>
  <c r="AG23" i="50"/>
  <c r="M16" i="50"/>
  <c r="V5" i="50"/>
  <c r="BA31" i="50"/>
  <c r="BB51" i="50"/>
  <c r="AR50" i="50"/>
  <c r="BA48" i="50"/>
  <c r="AX4" i="50"/>
  <c r="R40" i="50"/>
  <c r="AL27" i="50"/>
  <c r="V48" i="50"/>
  <c r="T4" i="50"/>
  <c r="AX32" i="50"/>
  <c r="S13" i="50"/>
  <c r="AV44" i="50"/>
  <c r="T14" i="50"/>
  <c r="AD30" i="50"/>
  <c r="AC38" i="50"/>
  <c r="W39" i="50"/>
  <c r="M12" i="50"/>
  <c r="AO50" i="50"/>
  <c r="Q16" i="50"/>
  <c r="R42" i="50"/>
  <c r="M31" i="50"/>
  <c r="N20" i="50"/>
  <c r="AY13" i="50"/>
  <c r="AT41" i="50"/>
  <c r="AQ30" i="50"/>
  <c r="AC20" i="50"/>
  <c r="AM20" i="50"/>
  <c r="Y23" i="50"/>
  <c r="AL15" i="50"/>
  <c r="AZ27" i="50"/>
  <c r="BA12" i="50"/>
  <c r="AF43" i="50"/>
  <c r="O42" i="50"/>
  <c r="AN33" i="50"/>
  <c r="AV29" i="50"/>
  <c r="BB46" i="50"/>
  <c r="AW21" i="50"/>
  <c r="Y43" i="50"/>
  <c r="AM5" i="50"/>
  <c r="AP44" i="50"/>
  <c r="P44" i="50"/>
  <c r="AT52" i="50"/>
  <c r="AQ28" i="50"/>
  <c r="AY51" i="50"/>
  <c r="Y4" i="50"/>
  <c r="T31" i="50"/>
  <c r="M15" i="50"/>
  <c r="AL46" i="50"/>
  <c r="AQ20" i="50"/>
  <c r="AI38" i="50"/>
  <c r="BC36" i="50"/>
  <c r="M5" i="50"/>
  <c r="T47" i="50"/>
  <c r="AT16" i="50"/>
  <c r="X32" i="50"/>
  <c r="AK38" i="50"/>
  <c r="AA13" i="50"/>
  <c r="BB17" i="50"/>
  <c r="AS28" i="50"/>
  <c r="AQ17" i="50"/>
  <c r="BA38" i="50"/>
  <c r="AI42" i="50"/>
  <c r="AP47" i="50"/>
  <c r="U12" i="50"/>
  <c r="BB47" i="50"/>
  <c r="AF46" i="50"/>
  <c r="L22" i="50"/>
  <c r="AO33" i="50"/>
  <c r="AR24" i="50"/>
  <c r="M40" i="50"/>
  <c r="BA46" i="50"/>
  <c r="Q52" i="50"/>
  <c r="AH43" i="50"/>
  <c r="N18" i="50"/>
  <c r="V51" i="50"/>
  <c r="AE52" i="50"/>
  <c r="W45" i="50"/>
  <c r="W29" i="50"/>
  <c r="Z20" i="50"/>
  <c r="AA47" i="50"/>
  <c r="T36" i="50"/>
  <c r="AJ17" i="50"/>
  <c r="AS47" i="50"/>
  <c r="L20" i="50"/>
  <c r="AD33" i="50"/>
  <c r="AA22" i="50"/>
  <c r="AA44" i="50"/>
  <c r="M4" i="50"/>
  <c r="AJ22" i="50"/>
  <c r="N36" i="50"/>
  <c r="M43" i="50"/>
  <c r="AH33" i="50"/>
  <c r="T43" i="50"/>
  <c r="T26" i="50"/>
  <c r="AZ49" i="50"/>
  <c r="V14" i="50"/>
  <c r="X14" i="50"/>
  <c r="AD15" i="50"/>
  <c r="O48" i="50"/>
  <c r="BC26" i="50"/>
  <c r="AE43" i="50"/>
  <c r="AN25" i="50"/>
  <c r="AL23" i="50"/>
  <c r="V28" i="50"/>
  <c r="AQ23" i="50"/>
  <c r="M37" i="50"/>
  <c r="AK33" i="50"/>
  <c r="AT40" i="50"/>
  <c r="Q38" i="50"/>
  <c r="BA45" i="50"/>
  <c r="AN48" i="50"/>
  <c r="P39" i="50"/>
  <c r="AV16" i="50"/>
  <c r="AG44" i="50"/>
  <c r="Z47" i="50"/>
  <c r="AH35" i="50"/>
  <c r="Q17" i="50"/>
  <c r="W32" i="50"/>
  <c r="W5" i="50"/>
  <c r="AP14" i="50"/>
  <c r="AX39" i="50"/>
  <c r="AE46" i="50"/>
  <c r="AM37" i="50"/>
  <c r="AB43" i="50"/>
  <c r="S48" i="50"/>
  <c r="T30" i="50"/>
  <c r="AE21" i="50"/>
  <c r="AS44" i="50"/>
  <c r="AF40" i="50"/>
  <c r="BC16" i="50"/>
  <c r="AO41" i="50"/>
  <c r="P38" i="50"/>
  <c r="AU4" i="50"/>
  <c r="AU35" i="50"/>
  <c r="BC31" i="50"/>
  <c r="M20" i="50"/>
  <c r="AQ24" i="50"/>
  <c r="M30" i="50"/>
  <c r="N27" i="50"/>
  <c r="O49" i="50"/>
  <c r="AI21" i="50"/>
  <c r="AI41" i="50"/>
  <c r="AJ51" i="50"/>
  <c r="T13" i="50"/>
  <c r="Q23" i="50"/>
  <c r="AW46" i="50"/>
  <c r="T52" i="50"/>
  <c r="AH40" i="50"/>
  <c r="AJ31" i="50"/>
  <c r="T34" i="50"/>
  <c r="BC37" i="50"/>
  <c r="AO21" i="50"/>
  <c r="R35" i="50"/>
  <c r="AI15" i="50"/>
  <c r="BA32" i="50"/>
  <c r="AT4" i="50"/>
  <c r="AR29" i="50"/>
  <c r="AA51" i="50"/>
  <c r="N35" i="50"/>
  <c r="AH46" i="50"/>
  <c r="AB23" i="50"/>
  <c r="AE50" i="50"/>
  <c r="AG18" i="50"/>
  <c r="AT26" i="50"/>
  <c r="R38" i="50"/>
  <c r="AU47" i="50"/>
  <c r="Q40" i="50"/>
  <c r="AR40" i="50"/>
  <c r="Z5" i="50"/>
  <c r="AH31" i="50"/>
  <c r="O31" i="50"/>
  <c r="AS43" i="50"/>
  <c r="AJ13" i="50"/>
  <c r="AM29" i="50"/>
  <c r="AA19" i="50"/>
  <c r="AB24" i="50"/>
  <c r="O45" i="50"/>
  <c r="AN23" i="50"/>
  <c r="AH14" i="50"/>
  <c r="S39" i="50"/>
  <c r="X50" i="50"/>
  <c r="P23" i="50"/>
  <c r="AQ40" i="50"/>
  <c r="P51" i="50"/>
  <c r="W33" i="50"/>
  <c r="AY43" i="50"/>
  <c r="AF34" i="50"/>
  <c r="AW33" i="50"/>
  <c r="Q35" i="50"/>
  <c r="U17" i="50"/>
  <c r="AL16" i="50"/>
  <c r="AF32" i="50"/>
  <c r="BB44" i="50"/>
  <c r="X37" i="50"/>
  <c r="L5" i="50"/>
  <c r="AQ4" i="50"/>
  <c r="W21" i="50"/>
  <c r="BC51" i="50"/>
  <c r="T5" i="50"/>
  <c r="AH37" i="50"/>
  <c r="U34" i="50"/>
  <c r="N16" i="50"/>
  <c r="AG19" i="50"/>
  <c r="AD49" i="50"/>
  <c r="AL22" i="50"/>
  <c r="AT30" i="50"/>
  <c r="AW47" i="50"/>
  <c r="AH27" i="50"/>
  <c r="AP46" i="50"/>
  <c r="O50" i="50"/>
  <c r="AI4" i="50"/>
  <c r="S17" i="50"/>
  <c r="AN13" i="50"/>
  <c r="AS19" i="50"/>
  <c r="AY48" i="50"/>
  <c r="AQ14" i="50"/>
  <c r="Y32" i="50"/>
  <c r="AO16" i="50"/>
  <c r="Q34" i="50"/>
  <c r="AK4" i="50"/>
  <c r="AS4" i="50"/>
  <c r="V30" i="50"/>
  <c r="AG20" i="50"/>
  <c r="AJ18" i="50"/>
  <c r="AF24" i="50"/>
  <c r="W17" i="50"/>
  <c r="R27" i="50"/>
  <c r="AP49" i="50"/>
  <c r="V4" i="50"/>
  <c r="AH15" i="50"/>
  <c r="AZ47" i="50"/>
  <c r="AY15" i="50"/>
  <c r="AO27" i="50"/>
  <c r="R18" i="50"/>
  <c r="P52" i="50"/>
  <c r="AU29" i="50"/>
  <c r="AW32" i="50"/>
  <c r="AB19" i="50"/>
  <c r="W44" i="50"/>
  <c r="AO52" i="50"/>
  <c r="AE45" i="50"/>
  <c r="AA16" i="50"/>
  <c r="AW24" i="50"/>
  <c r="AY38" i="50"/>
  <c r="S22" i="50"/>
  <c r="BB13" i="50"/>
  <c r="AL52" i="50"/>
  <c r="AT50" i="50"/>
  <c r="AC22" i="50"/>
  <c r="R47" i="50"/>
  <c r="AH5" i="50"/>
  <c r="Q44" i="50"/>
  <c r="AD36" i="50"/>
  <c r="P46" i="50"/>
  <c r="BA41" i="50"/>
  <c r="AZ50" i="50"/>
  <c r="AO17" i="50"/>
  <c r="R50" i="50"/>
  <c r="Z18" i="50"/>
  <c r="Q29" i="50"/>
  <c r="AK14" i="50"/>
  <c r="AB38" i="50"/>
  <c r="AC33" i="50"/>
  <c r="AD23" i="50"/>
  <c r="AI12" i="50"/>
  <c r="AK17" i="50"/>
  <c r="AJ35" i="50"/>
  <c r="Y35" i="50"/>
  <c r="AT14" i="50"/>
  <c r="Z45" i="50"/>
  <c r="AA49" i="50"/>
  <c r="AY19" i="50"/>
  <c r="X38" i="50"/>
  <c r="AO36" i="50"/>
  <c r="O14" i="50"/>
  <c r="AP13" i="50"/>
  <c r="S23" i="50"/>
  <c r="R32" i="50"/>
  <c r="AF50" i="50"/>
  <c r="N43" i="50"/>
  <c r="R49" i="50"/>
  <c r="Z43" i="50"/>
  <c r="AN21" i="50"/>
  <c r="AK34" i="50"/>
  <c r="AM19" i="50"/>
  <c r="AQ48" i="50"/>
  <c r="O43" i="50"/>
  <c r="AU24" i="50"/>
  <c r="L37" i="50"/>
  <c r="N15" i="50"/>
  <c r="R24" i="50"/>
  <c r="AI23" i="50"/>
  <c r="AD19" i="50"/>
  <c r="AW5" i="50"/>
  <c r="V25" i="50"/>
  <c r="AU20" i="50"/>
  <c r="AM28" i="50"/>
  <c r="AD13" i="50"/>
  <c r="W38" i="50"/>
  <c r="AX19" i="50"/>
  <c r="AU45" i="50"/>
  <c r="X23" i="50"/>
  <c r="AV35" i="50"/>
  <c r="AF23" i="50"/>
  <c r="BB26" i="50"/>
  <c r="AH44" i="50"/>
  <c r="AP39" i="50"/>
  <c r="AG14" i="50"/>
  <c r="R13" i="50"/>
  <c r="Y40" i="50"/>
  <c r="Q30" i="50"/>
  <c r="P43" i="50"/>
  <c r="AT45" i="50"/>
  <c r="BA30" i="50"/>
  <c r="V16" i="50"/>
  <c r="Q14" i="50"/>
  <c r="AI40" i="50"/>
  <c r="N25" i="50"/>
  <c r="L45" i="50"/>
  <c r="O15" i="50"/>
  <c r="AH34" i="50"/>
  <c r="AK20" i="50"/>
  <c r="U30" i="50"/>
  <c r="AO14" i="50"/>
  <c r="AH16" i="50"/>
  <c r="Y36" i="50"/>
  <c r="Q28" i="50"/>
  <c r="AU31" i="50"/>
  <c r="AF19" i="50"/>
  <c r="BB23" i="50"/>
  <c r="N48" i="50"/>
  <c r="AN22" i="50"/>
  <c r="AZ12" i="50"/>
  <c r="AS37" i="50"/>
  <c r="X34" i="50"/>
  <c r="N29" i="50"/>
  <c r="X35" i="50"/>
  <c r="AD31" i="50"/>
  <c r="AJ49" i="50"/>
  <c r="BB45" i="50"/>
  <c r="AN24" i="50"/>
  <c r="P20" i="50"/>
  <c r="AH23" i="50"/>
  <c r="AN51" i="50"/>
  <c r="V27" i="50"/>
  <c r="AM4" i="50"/>
  <c r="AW13" i="50"/>
  <c r="AI25" i="50"/>
  <c r="AM18" i="50"/>
  <c r="AL32" i="50"/>
  <c r="AW26" i="50"/>
  <c r="O40" i="50"/>
  <c r="BA44" i="50"/>
  <c r="N23" i="50"/>
  <c r="AI24" i="50"/>
  <c r="AS49" i="50"/>
  <c r="AX31" i="50"/>
  <c r="AX51" i="50"/>
  <c r="N49" i="50"/>
  <c r="AU38" i="50"/>
  <c r="AU32" i="50"/>
  <c r="U21" i="50"/>
  <c r="AQ26" i="50"/>
  <c r="AT32" i="50"/>
  <c r="Y37" i="50"/>
  <c r="AK25" i="50"/>
  <c r="BB40" i="50"/>
  <c r="Q5" i="50"/>
  <c r="AK5" i="50"/>
  <c r="AQ37" i="50"/>
  <c r="AU43" i="50"/>
  <c r="AZ33" i="50"/>
  <c r="S12" i="50"/>
  <c r="N52" i="50"/>
  <c r="AF5" i="50"/>
  <c r="P31" i="50"/>
  <c r="AW52" i="50"/>
  <c r="AU16" i="50"/>
  <c r="AH24" i="50"/>
  <c r="N47" i="50"/>
  <c r="AF51" i="50"/>
  <c r="AW43" i="50"/>
  <c r="AU36" i="50"/>
  <c r="L27" i="50"/>
  <c r="BA35" i="50"/>
  <c r="AN4" i="50"/>
  <c r="O32" i="50"/>
  <c r="AT35" i="50"/>
  <c r="AB27" i="50"/>
  <c r="AN35" i="50"/>
  <c r="X17" i="50"/>
  <c r="AJ41" i="50"/>
  <c r="V38" i="50"/>
  <c r="AW30" i="50"/>
  <c r="AL13" i="50"/>
  <c r="AA5" i="50"/>
  <c r="BA22" i="50"/>
  <c r="X31" i="50"/>
  <c r="AM25" i="50"/>
  <c r="AL4" i="50"/>
  <c r="N50" i="50"/>
  <c r="AZ20" i="50"/>
  <c r="Z34" i="50"/>
  <c r="Y14" i="50"/>
  <c r="W48" i="50"/>
  <c r="AA29" i="50"/>
  <c r="AZ14" i="50"/>
  <c r="AX28" i="50"/>
  <c r="L12" i="50"/>
  <c r="AW29" i="50"/>
  <c r="AW19" i="50"/>
  <c r="AX42" i="50"/>
  <c r="AV39" i="50"/>
  <c r="AA30" i="50"/>
  <c r="AJ44" i="50"/>
  <c r="AB13" i="50"/>
  <c r="O38" i="50"/>
  <c r="AB30" i="50"/>
  <c r="AM26" i="50"/>
  <c r="AM24" i="50"/>
  <c r="AV23" i="50"/>
  <c r="T16" i="50"/>
  <c r="AL34" i="50"/>
  <c r="W41" i="50"/>
  <c r="P37" i="50"/>
  <c r="T29" i="50"/>
  <c r="Z40" i="50"/>
  <c r="AZ35" i="50"/>
  <c r="AW35" i="50"/>
  <c r="AU48" i="50"/>
  <c r="AS31" i="50"/>
  <c r="L31" i="50"/>
  <c r="AH50" i="50"/>
  <c r="AH51" i="50"/>
  <c r="W18" i="50"/>
  <c r="AK41" i="50"/>
  <c r="R28" i="50"/>
  <c r="Q46" i="50"/>
  <c r="AS46" i="50"/>
  <c r="AF52" i="50"/>
  <c r="AL26" i="50"/>
  <c r="AO44" i="50"/>
  <c r="AG5" i="50"/>
  <c r="AG24" i="50"/>
  <c r="AH45" i="50"/>
  <c r="AY21" i="50"/>
  <c r="X47" i="50"/>
  <c r="O18" i="50"/>
  <c r="Y20" i="50"/>
  <c r="BC28" i="50"/>
  <c r="Y33" i="50"/>
  <c r="AP24" i="50"/>
  <c r="N31" i="50"/>
  <c r="AR27" i="50"/>
  <c r="Q39" i="50"/>
  <c r="Z32" i="50"/>
  <c r="AT20" i="50"/>
  <c r="N39" i="50"/>
  <c r="V31" i="50"/>
  <c r="Y16" i="50"/>
  <c r="R29" i="50"/>
  <c r="AS51" i="50"/>
  <c r="T27" i="50"/>
  <c r="AN42" i="50"/>
  <c r="AV5" i="50"/>
  <c r="AE22" i="50"/>
  <c r="AD38" i="50"/>
  <c r="AD14" i="50"/>
  <c r="AB16" i="50"/>
  <c r="AZ26" i="50"/>
  <c r="AO15" i="50"/>
  <c r="W15" i="50"/>
  <c r="AR30" i="50"/>
  <c r="W14" i="50"/>
  <c r="AO25" i="50"/>
  <c r="Z12" i="50"/>
  <c r="AB52" i="50"/>
  <c r="BC35" i="50"/>
  <c r="AF12" i="50"/>
  <c r="P17" i="50"/>
  <c r="AT44" i="50"/>
  <c r="S46" i="50"/>
  <c r="AX22" i="50"/>
  <c r="BB16" i="50"/>
  <c r="AR51" i="50"/>
  <c r="Z4" i="50"/>
  <c r="AU33" i="50"/>
  <c r="P42" i="50"/>
  <c r="N4" i="50"/>
  <c r="AP23" i="50"/>
  <c r="O16" i="50"/>
  <c r="AU19" i="50"/>
  <c r="AC49" i="50"/>
  <c r="AL14" i="50"/>
  <c r="AU18" i="50"/>
  <c r="AG49" i="50"/>
  <c r="AA40" i="50"/>
  <c r="AC15" i="50"/>
  <c r="AN52" i="50"/>
  <c r="Z27" i="50"/>
  <c r="AX30" i="50"/>
  <c r="R30" i="50"/>
  <c r="AL45" i="50"/>
  <c r="AU25" i="50"/>
  <c r="AK37" i="50"/>
  <c r="AP31" i="50"/>
  <c r="AC13" i="50"/>
  <c r="AZ40" i="50"/>
  <c r="AS41" i="50"/>
  <c r="BA51" i="50"/>
  <c r="AB26" i="50"/>
  <c r="AR45" i="50"/>
  <c r="AT28" i="50"/>
  <c r="AC46" i="50"/>
  <c r="AI50" i="50"/>
  <c r="W52" i="50"/>
  <c r="W24" i="50"/>
  <c r="U41" i="50"/>
  <c r="AP19" i="50"/>
  <c r="AD39" i="50"/>
  <c r="L42" i="50"/>
  <c r="AT48" i="50"/>
  <c r="AQ13" i="50"/>
  <c r="AB25" i="50"/>
  <c r="AV30" i="50"/>
  <c r="W28" i="50"/>
  <c r="AX48" i="50"/>
  <c r="AN15" i="50"/>
  <c r="AK31" i="50"/>
  <c r="AA37" i="50"/>
  <c r="U27" i="50"/>
  <c r="AX50" i="50"/>
  <c r="X25" i="50"/>
  <c r="AS26" i="50"/>
  <c r="Z24" i="50"/>
  <c r="P41" i="50"/>
  <c r="P21" i="50"/>
  <c r="AJ39" i="50"/>
  <c r="AQ19" i="50"/>
  <c r="AH19" i="50"/>
  <c r="W34" i="50"/>
  <c r="V33" i="50"/>
  <c r="P15" i="50"/>
  <c r="AL12" i="50"/>
  <c r="AL43" i="50"/>
  <c r="AP40" i="50"/>
  <c r="AI51" i="50"/>
  <c r="AM22" i="50"/>
  <c r="AP42" i="50"/>
  <c r="U50" i="50"/>
  <c r="AP22" i="50"/>
  <c r="AT18" i="50"/>
  <c r="AW16" i="50"/>
  <c r="BA28" i="50"/>
  <c r="AL36" i="50"/>
  <c r="T15" i="50"/>
  <c r="X51" i="50"/>
  <c r="Z17" i="50"/>
  <c r="AQ50" i="50"/>
  <c r="AP48" i="50"/>
  <c r="AL29" i="50"/>
  <c r="S44" i="50"/>
  <c r="L38" i="50"/>
  <c r="AV25" i="50"/>
  <c r="AE36" i="50"/>
  <c r="Y34" i="50"/>
  <c r="AD43" i="50"/>
  <c r="AF35" i="50"/>
  <c r="AL21" i="50"/>
  <c r="AR16" i="50"/>
  <c r="AX34" i="50"/>
  <c r="O17" i="50"/>
  <c r="R15" i="50"/>
  <c r="AI33" i="50"/>
  <c r="Z46" i="50"/>
  <c r="X39" i="50"/>
  <c r="AI48" i="50"/>
  <c r="AK26" i="50"/>
  <c r="Y49" i="50"/>
  <c r="AN44" i="50"/>
  <c r="AU42" i="50"/>
  <c r="AC23" i="50"/>
  <c r="Q21" i="50"/>
  <c r="AN49" i="50"/>
  <c r="Y48" i="50"/>
  <c r="AR21" i="50"/>
  <c r="M46" i="50"/>
  <c r="AJ12" i="50"/>
  <c r="X30" i="50"/>
  <c r="AI20" i="50"/>
  <c r="V29" i="50"/>
  <c r="AO39" i="50"/>
  <c r="AG22" i="50"/>
  <c r="AY52" i="50"/>
  <c r="AS36" i="50"/>
  <c r="AQ44" i="50"/>
  <c r="Q47" i="50"/>
  <c r="AR17" i="50"/>
  <c r="AF37" i="50"/>
  <c r="BB21" i="50"/>
  <c r="AP30" i="50"/>
  <c r="AV28" i="50"/>
  <c r="AT13" i="50"/>
  <c r="M33" i="50"/>
  <c r="U35" i="50"/>
  <c r="AJ26" i="50"/>
  <c r="N32" i="50"/>
  <c r="AF25" i="50"/>
  <c r="P28" i="50"/>
  <c r="X52" i="50"/>
  <c r="AX14" i="50"/>
  <c r="AB36" i="50"/>
  <c r="BB39" i="50"/>
  <c r="AK32" i="50"/>
  <c r="AS16" i="50"/>
  <c r="T18" i="50"/>
  <c r="AG26" i="50"/>
  <c r="R48" i="50"/>
  <c r="P34" i="50"/>
  <c r="AW18" i="50"/>
  <c r="AK35" i="50"/>
  <c r="AV24" i="50"/>
  <c r="AT34" i="50"/>
  <c r="AB5" i="50"/>
  <c r="AU17" i="50"/>
  <c r="O23" i="50"/>
  <c r="AV45" i="50"/>
  <c r="BB19" i="50"/>
  <c r="P27" i="50"/>
  <c r="X13" i="50"/>
  <c r="T48" i="50"/>
  <c r="AI29" i="50"/>
  <c r="AN18" i="50"/>
  <c r="AL44" i="50"/>
  <c r="AZ5" i="50"/>
  <c r="AW49" i="50"/>
  <c r="AS12" i="50"/>
  <c r="U18" i="50"/>
  <c r="AC42" i="50"/>
  <c r="M26" i="50"/>
  <c r="BC27" i="50"/>
  <c r="P49" i="50"/>
  <c r="BC41" i="50"/>
  <c r="AW51" i="50"/>
  <c r="AC44" i="50"/>
  <c r="AL25" i="50"/>
  <c r="AX49" i="50"/>
  <c r="V32" i="50"/>
  <c r="AG38" i="50"/>
  <c r="U37" i="50"/>
  <c r="Y21" i="50"/>
  <c r="AA52" i="50"/>
  <c r="Q41" i="50"/>
  <c r="AW50" i="50"/>
  <c r="AH52" i="50"/>
  <c r="Y24" i="50"/>
  <c r="BC32" i="50"/>
  <c r="AQ5" i="50"/>
  <c r="AB18" i="50"/>
  <c r="V40" i="50"/>
  <c r="P40" i="50"/>
  <c r="Y38" i="50"/>
  <c r="AO13" i="50"/>
  <c r="AW48" i="50"/>
  <c r="P5" i="50"/>
  <c r="Z26" i="50"/>
  <c r="AK42" i="50"/>
  <c r="BA23" i="50"/>
  <c r="BB18" i="50"/>
  <c r="AJ42" i="50"/>
  <c r="AM50" i="50"/>
  <c r="V47" i="50"/>
  <c r="AI17" i="50"/>
  <c r="P29" i="50"/>
  <c r="AM34" i="50"/>
  <c r="AA17" i="50"/>
  <c r="AE4" i="50"/>
  <c r="AG30" i="50"/>
  <c r="AJ34" i="50"/>
  <c r="AP4" i="50"/>
  <c r="BC43" i="50"/>
  <c r="X46" i="50"/>
  <c r="W37" i="50"/>
  <c r="AT43" i="50"/>
  <c r="AQ36" i="50"/>
  <c r="P14" i="50"/>
  <c r="L29" i="50"/>
  <c r="AD26" i="50"/>
  <c r="AN34" i="50"/>
  <c r="AA33" i="50"/>
  <c r="AY22" i="50"/>
  <c r="AQ25" i="50"/>
  <c r="AG32" i="50"/>
  <c r="Z36" i="50"/>
  <c r="AB40" i="50"/>
  <c r="AQ15" i="50"/>
  <c r="M23" i="50"/>
  <c r="V18" i="50"/>
  <c r="BC44" i="50"/>
  <c r="AU23" i="50"/>
  <c r="M44" i="50"/>
  <c r="AY45" i="50"/>
  <c r="AJ23" i="50"/>
  <c r="AJ27" i="50"/>
  <c r="AI19" i="50"/>
  <c r="AE20" i="50"/>
  <c r="M22" i="50"/>
  <c r="AO45" i="50"/>
  <c r="AA48" i="50"/>
  <c r="AK16" i="50"/>
  <c r="BA39" i="50"/>
  <c r="AO47" i="50"/>
  <c r="S4" i="50"/>
  <c r="AA42" i="50"/>
  <c r="T22" i="50"/>
  <c r="T12" i="50"/>
  <c r="Q31" i="50"/>
  <c r="Y19" i="50"/>
  <c r="AJ48" i="50"/>
  <c r="S14" i="50"/>
  <c r="AG16" i="50"/>
  <c r="BB36" i="50"/>
  <c r="L47" i="50"/>
  <c r="AD17" i="50"/>
  <c r="AR28" i="50"/>
  <c r="Y39" i="50"/>
  <c r="AK12" i="50"/>
  <c r="P13" i="50"/>
  <c r="M49" i="50"/>
  <c r="AP51" i="50"/>
  <c r="AL5" i="50"/>
  <c r="AB42" i="50"/>
  <c r="BC39" i="50"/>
  <c r="X12" i="50"/>
  <c r="AH28" i="50"/>
  <c r="AW23" i="50"/>
  <c r="AC45" i="50"/>
  <c r="O13" i="50"/>
  <c r="V23" i="50"/>
  <c r="AB51" i="50"/>
  <c r="P33" i="50"/>
  <c r="P18" i="50"/>
  <c r="Z28" i="50"/>
  <c r="AX18" i="50"/>
  <c r="AR5" i="50"/>
  <c r="AD48" i="50"/>
  <c r="S50" i="50"/>
  <c r="S52" i="50"/>
  <c r="P48" i="50"/>
  <c r="AD4" i="50"/>
  <c r="AH39" i="50"/>
  <c r="AZ18" i="50"/>
  <c r="AX15" i="50"/>
  <c r="AN41" i="50"/>
  <c r="W16" i="50"/>
  <c r="Y12" i="50"/>
  <c r="AO35" i="50"/>
  <c r="AD22" i="50"/>
  <c r="W25" i="50"/>
  <c r="AY30" i="50"/>
  <c r="AZ22" i="50"/>
  <c r="Z38" i="50"/>
  <c r="X21" i="50"/>
  <c r="AA18" i="50"/>
  <c r="AK18" i="50"/>
  <c r="T33" i="50"/>
  <c r="AJ21" i="50"/>
  <c r="AP50" i="50"/>
  <c r="BC18" i="50"/>
  <c r="AE38" i="50"/>
  <c r="X41" i="50"/>
  <c r="L44" i="50"/>
  <c r="AC25" i="50"/>
  <c r="Z19" i="50"/>
  <c r="BC30" i="50"/>
  <c r="AR41" i="50"/>
  <c r="AR32" i="50"/>
  <c r="U26" i="50"/>
  <c r="U28" i="50"/>
  <c r="BC23" i="50"/>
  <c r="AI49" i="50"/>
  <c r="V24" i="50"/>
  <c r="AI32" i="50"/>
  <c r="AJ50" i="50"/>
  <c r="BC33" i="50"/>
  <c r="R14" i="50"/>
  <c r="AY5" i="50"/>
  <c r="AX45" i="50"/>
  <c r="AV12" i="50"/>
  <c r="R41" i="50"/>
  <c r="AZ28" i="50"/>
  <c r="AW36" i="50"/>
  <c r="AG33" i="50"/>
  <c r="AL47" i="50"/>
  <c r="AG42" i="50"/>
  <c r="AN16" i="50"/>
  <c r="BB33" i="50"/>
  <c r="AJ28" i="50"/>
  <c r="AG50" i="50"/>
  <c r="AY40" i="50"/>
  <c r="AL20" i="50"/>
  <c r="R43" i="50"/>
  <c r="Q15" i="50"/>
  <c r="O51" i="50"/>
  <c r="V22" i="50"/>
  <c r="AT5" i="50"/>
  <c r="AF48" i="50"/>
  <c r="T21" i="50"/>
  <c r="BA50" i="50"/>
  <c r="N30" i="50"/>
  <c r="AL48" i="50"/>
  <c r="AB50" i="50"/>
  <c r="AQ46" i="50"/>
  <c r="AB17" i="50"/>
  <c r="U46" i="50"/>
  <c r="BA36" i="50"/>
  <c r="AT51" i="50"/>
  <c r="BC13" i="50"/>
  <c r="AH42" i="50"/>
  <c r="W27" i="50"/>
  <c r="Z30" i="50"/>
  <c r="V13" i="50"/>
  <c r="S47" i="50"/>
  <c r="AS27" i="50"/>
  <c r="AD21" i="50"/>
  <c r="AV22" i="50"/>
  <c r="BB37" i="50"/>
  <c r="U19" i="50"/>
  <c r="AA24" i="50"/>
  <c r="Z51" i="50"/>
  <c r="AZ36" i="50"/>
  <c r="AE48" i="50"/>
  <c r="AM21" i="50"/>
  <c r="Q43" i="50"/>
  <c r="AL31" i="50"/>
  <c r="AK22" i="50"/>
  <c r="AF16" i="50"/>
  <c r="S20" i="50"/>
  <c r="AS39" i="50"/>
  <c r="AP52" i="50"/>
  <c r="AP16" i="50"/>
  <c r="O36" i="50"/>
  <c r="V42" i="50"/>
  <c r="AQ52" i="50"/>
  <c r="AM44" i="50"/>
  <c r="L48" i="50"/>
  <c r="Z22" i="50"/>
  <c r="AB37" i="50"/>
  <c r="Y28" i="50"/>
  <c r="AF49" i="50"/>
  <c r="P32" i="50"/>
  <c r="AK28" i="50"/>
  <c r="AZ15" i="50"/>
  <c r="AR14" i="50"/>
  <c r="AE13" i="50"/>
  <c r="AC40" i="50"/>
  <c r="P22" i="50"/>
  <c r="N34" i="50"/>
  <c r="AJ43" i="50"/>
  <c r="AO31" i="50"/>
  <c r="AY18" i="50"/>
  <c r="AV34" i="50"/>
  <c r="BB12" i="50"/>
  <c r="O34" i="50"/>
  <c r="L52" i="50"/>
  <c r="BA42" i="50"/>
  <c r="AJ29" i="50"/>
  <c r="BA18" i="50"/>
  <c r="AG46" i="50"/>
  <c r="AT47" i="50"/>
  <c r="L35" i="50"/>
  <c r="AA31" i="50"/>
  <c r="AA32" i="50"/>
  <c r="BB42" i="50"/>
  <c r="Y26" i="50"/>
  <c r="AN37" i="50"/>
  <c r="AI52" i="50"/>
  <c r="AI18" i="50"/>
  <c r="S18" i="50"/>
  <c r="AO40" i="50"/>
  <c r="AV33" i="50"/>
  <c r="AF26" i="50"/>
  <c r="AC37" i="50"/>
  <c r="S5" i="50"/>
  <c r="L49" i="50"/>
  <c r="AH48" i="50"/>
  <c r="AR48" i="50"/>
  <c r="AM40" i="50"/>
  <c r="O24" i="50"/>
  <c r="AR37" i="50"/>
  <c r="AC14" i="50"/>
  <c r="Z42" i="50"/>
  <c r="BB14" i="50"/>
  <c r="AW25" i="50"/>
  <c r="AZ41" i="50"/>
  <c r="AM36" i="50"/>
  <c r="AN12" i="50"/>
  <c r="BC45" i="50"/>
  <c r="U33" i="50"/>
  <c r="W30" i="50"/>
  <c r="AO20" i="50"/>
  <c r="N28" i="50"/>
  <c r="BC24" i="50"/>
  <c r="M41" i="50"/>
  <c r="M50" i="50"/>
  <c r="AS30" i="50"/>
  <c r="X42" i="50"/>
  <c r="AS29" i="50"/>
  <c r="AQ43" i="50"/>
  <c r="AT25" i="50"/>
  <c r="AX33" i="50"/>
  <c r="AJ30" i="50"/>
  <c r="AD35" i="50"/>
  <c r="AD27" i="50"/>
  <c r="Q13" i="50"/>
  <c r="AN36" i="50"/>
  <c r="AV47" i="50"/>
  <c r="AW4" i="50"/>
  <c r="O37" i="50"/>
  <c r="AD46" i="50"/>
  <c r="AR13" i="50"/>
  <c r="AQ32" i="50"/>
  <c r="Q45" i="50"/>
  <c r="AR35" i="50"/>
  <c r="AJ14" i="50"/>
  <c r="AY32" i="50"/>
  <c r="AN38" i="50"/>
  <c r="P35" i="50"/>
  <c r="BC48" i="50"/>
  <c r="AX29" i="50"/>
  <c r="Z33" i="50"/>
  <c r="AL35" i="50"/>
  <c r="O22" i="50"/>
  <c r="O25" i="50"/>
  <c r="Q26" i="50"/>
  <c r="AV18" i="50"/>
  <c r="AM38" i="50"/>
  <c r="AT33" i="50"/>
  <c r="AP18" i="50"/>
  <c r="AG45" i="50"/>
  <c r="V20" i="50"/>
  <c r="V37" i="50"/>
  <c r="W49" i="50"/>
  <c r="X40" i="50"/>
  <c r="Q24" i="50"/>
  <c r="AA25" i="50"/>
  <c r="Z21" i="50"/>
  <c r="AN28" i="50"/>
  <c r="AO5" i="50"/>
  <c r="AG35" i="50"/>
  <c r="P26" i="50"/>
  <c r="AR25" i="50"/>
  <c r="BC46" i="50"/>
  <c r="R22" i="50"/>
  <c r="AE27" i="50"/>
  <c r="AY39" i="50"/>
  <c r="AX43" i="50"/>
  <c r="L51" i="50"/>
  <c r="X26" i="50"/>
  <c r="AB44" i="50"/>
  <c r="BA17" i="50"/>
  <c r="AL17" i="50"/>
  <c r="Y31" i="50"/>
  <c r="AF47" i="50"/>
  <c r="AR34" i="50"/>
  <c r="M36" i="50"/>
  <c r="T35" i="50"/>
  <c r="AS17" i="50"/>
  <c r="AM39" i="50"/>
  <c r="BB30" i="50"/>
  <c r="U5" i="50"/>
  <c r="R26" i="50"/>
  <c r="AV13" i="50"/>
  <c r="L41" i="50"/>
  <c r="N45" i="50"/>
  <c r="AC50" i="50"/>
  <c r="O5" i="50"/>
  <c r="AY36" i="50"/>
  <c r="AE49" i="50"/>
  <c r="S19" i="50"/>
  <c r="AZ38" i="50"/>
  <c r="AC43" i="50"/>
  <c r="AY44" i="50"/>
  <c r="Z15" i="50"/>
  <c r="AG37" i="50"/>
  <c r="AX21" i="50"/>
  <c r="AY12" i="50"/>
  <c r="W42" i="50"/>
  <c r="AT38" i="50"/>
  <c r="AQ27" i="50"/>
  <c r="S34" i="50"/>
  <c r="AC48" i="50"/>
  <c r="AX17" i="50"/>
  <c r="AR43" i="50"/>
  <c r="AW42" i="50"/>
  <c r="AC5" i="50"/>
  <c r="AP29" i="50"/>
  <c r="AB39" i="50"/>
  <c r="R44" i="50"/>
  <c r="AE17" i="50"/>
  <c r="AO4" i="50"/>
  <c r="AX27" i="50"/>
  <c r="AV4" i="50"/>
  <c r="Q22" i="50"/>
  <c r="Z50" i="50"/>
  <c r="AA14" i="50"/>
  <c r="X24" i="50"/>
  <c r="AT27" i="50"/>
  <c r="AF39" i="50"/>
  <c r="L43" i="50"/>
  <c r="Y47" i="50"/>
  <c r="AT36" i="50"/>
  <c r="AN14" i="50"/>
  <c r="AC12" i="50"/>
  <c r="AJ36" i="50"/>
  <c r="AZ29" i="50"/>
  <c r="AV32" i="50"/>
  <c r="P36" i="50"/>
  <c r="AD50" i="50"/>
  <c r="AB29" i="50"/>
  <c r="Y30" i="50"/>
  <c r="AF42" i="50"/>
  <c r="AF29" i="50"/>
  <c r="AN50" i="50"/>
  <c r="AN40" i="50"/>
  <c r="Y15" i="50"/>
  <c r="AO24" i="50"/>
  <c r="V21" i="50"/>
  <c r="AZ21" i="50"/>
  <c r="Z13" i="50"/>
  <c r="AT37" i="50"/>
  <c r="AP25" i="50"/>
  <c r="AJ5" i="50"/>
  <c r="Z52" i="50"/>
  <c r="N14" i="50"/>
  <c r="O33" i="50"/>
  <c r="T50" i="50"/>
  <c r="T39" i="50"/>
  <c r="T25" i="50"/>
  <c r="AG40" i="50"/>
  <c r="AB41" i="50"/>
  <c r="P12" i="50"/>
  <c r="AM30" i="50"/>
  <c r="Y45" i="50"/>
  <c r="AU46" i="50"/>
  <c r="AA21" i="50"/>
  <c r="AV19" i="50"/>
  <c r="BC47" i="50"/>
  <c r="BA27" i="50"/>
  <c r="F43" i="50" l="1"/>
  <c r="F41" i="50"/>
  <c r="F51" i="50"/>
  <c r="F49" i="50"/>
  <c r="J49" i="50" s="1"/>
  <c r="F35" i="50"/>
  <c r="F52" i="50"/>
  <c r="F48" i="50"/>
  <c r="F44" i="50"/>
  <c r="AK5" i="150" s="1"/>
  <c r="N5" i="150" s="1"/>
  <c r="F47" i="50"/>
  <c r="F29" i="50"/>
  <c r="F38" i="50"/>
  <c r="F42" i="50"/>
  <c r="F31" i="50"/>
  <c r="F12" i="50"/>
  <c r="F27" i="50"/>
  <c r="F45" i="50"/>
  <c r="AK6" i="150" s="1"/>
  <c r="N6" i="150" s="1"/>
  <c r="F37" i="50"/>
  <c r="F5" i="50"/>
  <c r="K4" i="50"/>
  <c r="F1" i="50" s="1"/>
  <c r="F20" i="50"/>
  <c r="F22" i="50"/>
  <c r="F30" i="50"/>
  <c r="F21" i="50"/>
  <c r="F34" i="50"/>
  <c r="AK11" i="137" s="1"/>
  <c r="O11" i="137" s="1"/>
  <c r="A11" i="137" s="1"/>
  <c r="F26" i="50"/>
  <c r="F19" i="50"/>
  <c r="F13" i="50"/>
  <c r="F46" i="50"/>
  <c r="J46" i="50" s="1"/>
  <c r="F16" i="50"/>
  <c r="F17" i="50"/>
  <c r="F24" i="50"/>
  <c r="F40" i="50"/>
  <c r="J40" i="50" s="1"/>
  <c r="F18" i="50"/>
  <c r="F23" i="50"/>
  <c r="F33" i="50"/>
  <c r="F39" i="50"/>
  <c r="F50" i="50"/>
  <c r="F32" i="50"/>
  <c r="J32" i="50" s="1"/>
  <c r="F25" i="50"/>
  <c r="F15" i="50"/>
  <c r="H15" i="50" s="1"/>
  <c r="F28" i="50"/>
  <c r="F14" i="50"/>
  <c r="F36" i="50"/>
  <c r="AK12" i="150"/>
  <c r="O12" i="150" s="1"/>
  <c r="A12" i="150" s="1"/>
  <c r="J47" i="50"/>
  <c r="AK8" i="150"/>
  <c r="N8" i="150" s="1"/>
  <c r="AK7" i="150"/>
  <c r="AK9" i="150"/>
  <c r="O9" i="150" s="1"/>
  <c r="A9" i="150" s="1"/>
  <c r="AK11" i="150"/>
  <c r="O11" i="150" s="1"/>
  <c r="A11" i="150" s="1"/>
  <c r="AK10" i="150"/>
  <c r="O10" i="150" s="1"/>
  <c r="A10" i="150" s="1"/>
  <c r="AK13" i="150"/>
  <c r="O13" i="150" s="1"/>
  <c r="A13" i="150" s="1"/>
  <c r="AK18" i="4"/>
  <c r="AK8" i="4"/>
  <c r="O8" i="4" s="1"/>
  <c r="A8" i="4" s="1"/>
  <c r="J22" i="50"/>
  <c r="AK15" i="4"/>
  <c r="N15" i="4" s="1"/>
  <c r="AK23" i="4"/>
  <c r="O23" i="4" s="1"/>
  <c r="A23" i="4" s="1"/>
  <c r="J21" i="50"/>
  <c r="AK14" i="4"/>
  <c r="N14" i="4" s="1"/>
  <c r="AK9" i="4"/>
  <c r="O9" i="4" s="1"/>
  <c r="A9" i="4" s="1"/>
  <c r="AK21" i="4"/>
  <c r="O21" i="4" s="1"/>
  <c r="A21" i="4" s="1"/>
  <c r="H17" i="50"/>
  <c r="AK5" i="4"/>
  <c r="O5" i="4" s="1"/>
  <c r="H20" i="50"/>
  <c r="AK16" i="4"/>
  <c r="O16" i="4" s="1"/>
  <c r="A16" i="4" s="1"/>
  <c r="AK19" i="4"/>
  <c r="O19" i="4" s="1"/>
  <c r="A19" i="4" s="1"/>
  <c r="J18" i="50"/>
  <c r="AK17" i="4"/>
  <c r="N17" i="4" s="1"/>
  <c r="J31" i="50"/>
  <c r="AK20" i="4"/>
  <c r="O20" i="4" s="1"/>
  <c r="A20" i="4" s="1"/>
  <c r="H27" i="50"/>
  <c r="AK11" i="4"/>
  <c r="O11" i="4" s="1"/>
  <c r="A11" i="4" s="1"/>
  <c r="J19" i="50"/>
  <c r="AK13" i="4"/>
  <c r="O13" i="4" s="1"/>
  <c r="A13" i="4" s="1"/>
  <c r="AK9" i="1"/>
  <c r="O9" i="1" s="1"/>
  <c r="A9" i="1" s="1"/>
  <c r="J29" i="50"/>
  <c r="AK21" i="1"/>
  <c r="O21" i="1" s="1"/>
  <c r="A21" i="1" s="1"/>
  <c r="H24" i="50"/>
  <c r="AK8" i="1"/>
  <c r="AK25" i="1"/>
  <c r="O25" i="1" s="1"/>
  <c r="A25" i="1" s="1"/>
  <c r="J25" i="50"/>
  <c r="AK13" i="1"/>
  <c r="AK24" i="1"/>
  <c r="O24" i="1" s="1"/>
  <c r="A24" i="1" s="1"/>
  <c r="J41" i="50"/>
  <c r="AK28" i="1"/>
  <c r="H38" i="50"/>
  <c r="AK27" i="1"/>
  <c r="N27" i="1" s="1"/>
  <c r="J42" i="50"/>
  <c r="AK29" i="1"/>
  <c r="O29" i="1" s="1"/>
  <c r="A29" i="1" s="1"/>
  <c r="J33" i="50"/>
  <c r="AK30" i="1"/>
  <c r="H37" i="50"/>
  <c r="AK26" i="1"/>
  <c r="O26" i="1" s="1"/>
  <c r="A26" i="1" s="1"/>
  <c r="H26" i="50"/>
  <c r="AK18" i="1"/>
  <c r="O18" i="1" s="1"/>
  <c r="A18" i="1" s="1"/>
  <c r="J30" i="50"/>
  <c r="AK15" i="137"/>
  <c r="J5" i="50"/>
  <c r="AK5" i="137"/>
  <c r="AK12" i="137"/>
  <c r="O12" i="137" s="1"/>
  <c r="A12" i="137" s="1"/>
  <c r="H13" i="50"/>
  <c r="AK14" i="137"/>
  <c r="H12" i="50"/>
  <c r="AK13" i="137"/>
  <c r="O13" i="137" s="1"/>
  <c r="A13" i="137" s="1"/>
  <c r="J37" i="50"/>
  <c r="H46" i="50"/>
  <c r="H49" i="50"/>
  <c r="H31" i="50"/>
  <c r="H48" i="50"/>
  <c r="H18" i="50"/>
  <c r="J48" i="50"/>
  <c r="H39" i="50"/>
  <c r="J43" i="50"/>
  <c r="H43" i="50"/>
  <c r="J39" i="50"/>
  <c r="J35" i="50"/>
  <c r="H41" i="50"/>
  <c r="H28" i="50"/>
  <c r="J51" i="50"/>
  <c r="H51" i="50"/>
  <c r="H25" i="50"/>
  <c r="H47" i="50"/>
  <c r="J23" i="50"/>
  <c r="H29" i="50"/>
  <c r="J13" i="50"/>
  <c r="H19" i="50"/>
  <c r="J14" i="50"/>
  <c r="J24" i="50"/>
  <c r="J20" i="50"/>
  <c r="H36" i="50"/>
  <c r="J17" i="50"/>
  <c r="H22" i="50"/>
  <c r="H32" i="50"/>
  <c r="J36" i="50"/>
  <c r="J50" i="50"/>
  <c r="H23" i="50"/>
  <c r="J38" i="50"/>
  <c r="H16" i="50"/>
  <c r="H30" i="50"/>
  <c r="H21" i="50"/>
  <c r="H33" i="50"/>
  <c r="H5" i="50"/>
  <c r="H42" i="50"/>
  <c r="J26" i="50"/>
  <c r="H52" i="50"/>
  <c r="J12" i="50"/>
  <c r="J16" i="50"/>
  <c r="H35" i="50"/>
  <c r="J28" i="50"/>
  <c r="H14" i="50"/>
  <c r="J27" i="50"/>
  <c r="H50" i="50"/>
  <c r="J52" i="50"/>
  <c r="AI4" i="137"/>
  <c r="AH4" i="150"/>
  <c r="AH4" i="4"/>
  <c r="AH4" i="137"/>
  <c r="AH4" i="1"/>
  <c r="H40" i="50" l="1"/>
  <c r="F4" i="50"/>
  <c r="J34" i="50"/>
  <c r="J45" i="50"/>
  <c r="J44" i="50"/>
  <c r="H45" i="50"/>
  <c r="H44" i="50"/>
  <c r="H34" i="50"/>
  <c r="H4" i="50" s="1"/>
  <c r="AK7" i="4"/>
  <c r="N7" i="4" s="1"/>
  <c r="J15" i="50"/>
  <c r="N11" i="150"/>
  <c r="N25" i="1"/>
  <c r="N13" i="150"/>
  <c r="N21" i="4"/>
  <c r="N23" i="4"/>
  <c r="N12" i="150"/>
  <c r="N9" i="4"/>
  <c r="N9" i="150"/>
  <c r="N19" i="4"/>
  <c r="N8" i="4"/>
  <c r="O6" i="150"/>
  <c r="A6" i="150" s="1"/>
  <c r="AK4" i="150"/>
  <c r="O7" i="150"/>
  <c r="A7" i="150" s="1"/>
  <c r="N7" i="150"/>
  <c r="N12" i="137"/>
  <c r="N24" i="1"/>
  <c r="N9" i="1"/>
  <c r="O13" i="1"/>
  <c r="A13" i="1" s="1"/>
  <c r="N30" i="1"/>
  <c r="O28" i="1"/>
  <c r="A28" i="1" s="1"/>
  <c r="AK4" i="1"/>
  <c r="N11" i="137"/>
  <c r="O14" i="137"/>
  <c r="A14" i="137" s="1"/>
  <c r="N5" i="137"/>
  <c r="AK4" i="137"/>
  <c r="N15" i="137"/>
  <c r="O5" i="137"/>
  <c r="A5" i="137" s="1"/>
  <c r="O8" i="150"/>
  <c r="A8" i="150" s="1"/>
  <c r="N11" i="4"/>
  <c r="N10" i="150"/>
  <c r="AJ4" i="150"/>
  <c r="N21" i="1"/>
  <c r="O17" i="4"/>
  <c r="A17" i="4" s="1"/>
  <c r="N20" i="4"/>
  <c r="O30" i="1"/>
  <c r="A30" i="1" s="1"/>
  <c r="N29" i="1"/>
  <c r="O14" i="4"/>
  <c r="A14" i="4" s="1"/>
  <c r="O7" i="4"/>
  <c r="A7" i="4" s="1"/>
  <c r="N28" i="1"/>
  <c r="N13" i="1"/>
  <c r="O27" i="1"/>
  <c r="A27" i="1" s="1"/>
  <c r="N5" i="4"/>
  <c r="O5" i="150"/>
  <c r="AJ4" i="4"/>
  <c r="O15" i="137"/>
  <c r="A15" i="137" s="1"/>
  <c r="O15" i="4"/>
  <c r="A15" i="4" s="1"/>
  <c r="N26" i="1"/>
  <c r="N16" i="4"/>
  <c r="O18" i="4"/>
  <c r="A18" i="4" s="1"/>
  <c r="AJ4" i="1"/>
  <c r="N13" i="4"/>
  <c r="N8" i="1"/>
  <c r="N14" i="137"/>
  <c r="N13" i="137"/>
  <c r="AJ4" i="137"/>
  <c r="N18" i="4"/>
  <c r="N18" i="1"/>
  <c r="O8" i="1"/>
  <c r="A8" i="1" s="1"/>
  <c r="J4" i="50"/>
  <c r="I4" i="50" s="1"/>
  <c r="K14" i="50" s="1"/>
  <c r="A5" i="4"/>
  <c r="AK4" i="4" l="1"/>
  <c r="N4" i="150"/>
  <c r="A4" i="1"/>
  <c r="O4" i="150"/>
  <c r="A5" i="150"/>
  <c r="A4" i="150" s="1"/>
  <c r="N4" i="1"/>
  <c r="O4" i="1"/>
  <c r="N4" i="4"/>
  <c r="O4" i="4"/>
  <c r="N4" i="137"/>
  <c r="A4" i="4"/>
  <c r="A4" i="137"/>
  <c r="O4" i="137"/>
  <c r="D1" i="50" l="1"/>
  <c r="E1" i="50"/>
  <c r="I4" i="95"/>
  <c r="I5" i="95" s="1"/>
  <c r="A1" i="50"/>
  <c r="C1" i="50"/>
</calcChain>
</file>

<file path=xl/comments1.xml><?xml version="1.0" encoding="utf-8"?>
<comments xmlns="http://schemas.openxmlformats.org/spreadsheetml/2006/main" xmlns:mc="http://schemas.openxmlformats.org/markup-compatibility/2006" xmlns:xr="http://schemas.microsoft.com/office/spreadsheetml/2014/revision" mc:Ignorable="xr">
  <authors>
    <author>Windows User</author>
  </authors>
  <commentList>
    <comment ref="P9" authorId="0" shapeId="0" xr:uid="{00000000-0006-0000-0200-000001000000}">
      <text>
        <r>
          <rPr>
            <b/>
            <sz val="9"/>
            <color indexed="81"/>
            <rFont val="Tahoma"/>
            <family val="2"/>
          </rPr>
          <t>Windows User:</t>
        </r>
        <r>
          <rPr>
            <sz val="9"/>
            <color indexed="81"/>
            <rFont val="Tahoma"/>
            <family val="2"/>
          </rPr>
          <t xml:space="preserve">
Quà Tết Móm 
</t>
        </r>
      </text>
    </comment>
    <comment ref="P15" authorId="0" shapeId="0" xr:uid="{00000000-0006-0000-0200-000002000000}">
      <text>
        <r>
          <rPr>
            <b/>
            <sz val="9"/>
            <color indexed="81"/>
            <rFont val="Tahoma"/>
            <family val="2"/>
          </rPr>
          <t>Windows User:</t>
        </r>
        <r>
          <rPr>
            <sz val="9"/>
            <color indexed="81"/>
            <rFont val="Tahoma"/>
            <family val="2"/>
          </rPr>
          <t xml:space="preserve">
XM Phú</t>
        </r>
      </text>
    </comment>
    <comment ref="O20" authorId="0" shapeId="0" xr:uid="{00000000-0006-0000-0200-000003000000}">
      <text>
        <r>
          <rPr>
            <b/>
            <sz val="9"/>
            <color indexed="81"/>
            <rFont val="Tahoma"/>
            <family val="2"/>
          </rPr>
          <t>Windows User:</t>
        </r>
        <r>
          <rPr>
            <sz val="9"/>
            <color indexed="81"/>
            <rFont val="Tahoma"/>
            <family val="2"/>
          </rPr>
          <t xml:space="preserve">
Xì</t>
        </r>
      </text>
    </comment>
    <comment ref="P23" authorId="0" shapeId="0" xr:uid="{00000000-0006-0000-0200-000004000000}">
      <text>
        <r>
          <rPr>
            <b/>
            <sz val="9"/>
            <color indexed="81"/>
            <rFont val="Tahoma"/>
            <family val="2"/>
          </rPr>
          <t>Windows User:</t>
        </r>
        <r>
          <rPr>
            <sz val="9"/>
            <color indexed="81"/>
            <rFont val="Tahoma"/>
            <family val="2"/>
          </rPr>
          <t xml:space="preserve">
Ba lấy ăn</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Windows User</author>
    <author>Van Thien</author>
  </authors>
  <commentList>
    <comment ref="P5" authorId="0" shapeId="0" xr:uid="{00000000-0006-0000-0300-000001000000}">
      <text>
        <r>
          <rPr>
            <b/>
            <sz val="9"/>
            <color indexed="81"/>
            <rFont val="Tahoma"/>
            <family val="2"/>
          </rPr>
          <t>Windows User:</t>
        </r>
        <r>
          <rPr>
            <sz val="9"/>
            <color indexed="81"/>
            <rFont val="Tahoma"/>
            <family val="2"/>
          </rPr>
          <t xml:space="preserve">
chưa rõ + XM 1</t>
        </r>
      </text>
    </comment>
    <comment ref="O9" authorId="1" shapeId="0" xr:uid="{CC0FCC41-740F-450A-AF56-E3D3FE4F0C87}">
      <text>
        <r>
          <rPr>
            <b/>
            <sz val="9"/>
            <color indexed="81"/>
            <rFont val="Tahoma"/>
            <family val="2"/>
          </rPr>
          <t>Van Thien:</t>
        </r>
        <r>
          <rPr>
            <sz val="9"/>
            <color indexed="81"/>
            <rFont val="Tahoma"/>
            <family val="2"/>
          </rPr>
          <t xml:space="preserve">
Chị Bơ: -2 PMQ</t>
        </r>
      </text>
    </comment>
    <comment ref="P10" authorId="0" shapeId="0" xr:uid="{00000000-0006-0000-0300-000002000000}">
      <text>
        <r>
          <rPr>
            <b/>
            <sz val="9"/>
            <color indexed="81"/>
            <rFont val="Tahoma"/>
            <family val="2"/>
          </rPr>
          <t>Windows User:</t>
        </r>
        <r>
          <rPr>
            <sz val="9"/>
            <color indexed="81"/>
            <rFont val="Tahoma"/>
            <family val="2"/>
          </rPr>
          <t xml:space="preserve">
chưa rõ</t>
        </r>
      </text>
    </comment>
    <comment ref="P12" authorId="0" shapeId="0" xr:uid="{00000000-0006-0000-0300-000003000000}">
      <text>
        <r>
          <rPr>
            <b/>
            <sz val="9"/>
            <color indexed="81"/>
            <rFont val="Tahoma"/>
            <family val="2"/>
          </rPr>
          <t>Thư Ngọng</t>
        </r>
      </text>
    </comment>
    <comment ref="P26" authorId="0" shapeId="0" xr:uid="{00000000-0006-0000-0300-000004000000}">
      <text>
        <r>
          <rPr>
            <b/>
            <sz val="9"/>
            <color indexed="81"/>
            <rFont val="Tahoma"/>
            <family val="2"/>
          </rPr>
          <t>Windows User:</t>
        </r>
        <r>
          <rPr>
            <sz val="9"/>
            <color indexed="81"/>
            <rFont val="Tahoma"/>
            <family val="2"/>
          </rPr>
          <t xml:space="preserve">
Lấy ăn</t>
        </r>
      </text>
    </comment>
    <comment ref="P35" authorId="0" shapeId="0" xr:uid="{00000000-0006-0000-0300-000005000000}">
      <text>
        <r>
          <rPr>
            <b/>
            <sz val="9"/>
            <color indexed="81"/>
            <rFont val="Tahoma"/>
            <family val="2"/>
          </rPr>
          <t>Windows User:</t>
        </r>
        <r>
          <rPr>
            <sz val="9"/>
            <color indexed="81"/>
            <rFont val="Tahoma"/>
            <family val="2"/>
          </rPr>
          <t xml:space="preserve">
Xì</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Windows User</author>
  </authors>
  <commentList>
    <comment ref="P7" authorId="0" shapeId="0" xr:uid="{00000000-0006-0000-0400-000001000000}">
      <text>
        <r>
          <rPr>
            <b/>
            <sz val="9"/>
            <color indexed="81"/>
            <rFont val="Tahoma"/>
            <family val="2"/>
          </rPr>
          <t>Windows User:</t>
        </r>
        <r>
          <rPr>
            <sz val="9"/>
            <color indexed="81"/>
            <rFont val="Tahoma"/>
            <family val="2"/>
          </rPr>
          <t xml:space="preserve">
chưa rõ</t>
        </r>
      </text>
    </comment>
    <comment ref="P8" authorId="0" shapeId="0" xr:uid="{00000000-0006-0000-0400-000002000000}">
      <text>
        <r>
          <rPr>
            <b/>
            <sz val="9"/>
            <color indexed="81"/>
            <rFont val="Tahoma"/>
            <family val="2"/>
          </rPr>
          <t>Windows User:</t>
        </r>
        <r>
          <rPr>
            <sz val="9"/>
            <color indexed="81"/>
            <rFont val="Tahoma"/>
            <family val="2"/>
          </rPr>
          <t xml:space="preserve">
chưa rõ
</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Van Thien</author>
  </authors>
  <commentList>
    <comment ref="O5" authorId="0" shapeId="0" xr:uid="{E81689F4-CE0A-4D93-AC05-0E4416143ED3}">
      <text>
        <r>
          <rPr>
            <b/>
            <sz val="9"/>
            <color indexed="81"/>
            <rFont val="Tahoma"/>
            <family val="2"/>
          </rPr>
          <t>Van Thien:</t>
        </r>
        <r>
          <rPr>
            <sz val="9"/>
            <color indexed="81"/>
            <rFont val="Tahoma"/>
            <family val="2"/>
          </rPr>
          <t xml:space="preserve">
Chị Hoàng Ti: -5 cá
Chị Vân VH: -2 Cá</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Windows User</author>
  </authors>
  <commentList>
    <comment ref="H5" authorId="0" shapeId="0" xr:uid="{00000000-0006-0000-0800-000001000000}">
      <text>
        <r>
          <rPr>
            <b/>
            <sz val="9"/>
            <color indexed="81"/>
            <rFont val="Tahoma"/>
            <family val="2"/>
            <charset val="163"/>
          </rPr>
          <t>Windows User:</t>
        </r>
        <r>
          <rPr>
            <sz val="9"/>
            <color indexed="81"/>
            <rFont val="Tahoma"/>
            <family val="2"/>
            <charset val="163"/>
          </rPr>
          <t xml:space="preserve">
Tiền hết date - 6349k :(((
Mượn bác gái 30, trả mẹ 10
</t>
        </r>
      </text>
    </comment>
  </commentList>
</comments>
</file>

<file path=xl/sharedStrings.xml><?xml version="1.0" encoding="utf-8"?>
<sst xmlns="http://schemas.openxmlformats.org/spreadsheetml/2006/main" count="1821" uniqueCount="324">
  <si>
    <t>STT</t>
  </si>
  <si>
    <t>Cá viên HM</t>
  </si>
  <si>
    <t>Cá viên rau củ HM</t>
  </si>
  <si>
    <t>Tôm viên HM</t>
  </si>
  <si>
    <t>Phô mai viên (35v)</t>
  </si>
  <si>
    <t>Phô mai que (13 que)</t>
  </si>
  <si>
    <t>Viên thả lẩu 3 màu</t>
  </si>
  <si>
    <t>XX Phô mai</t>
  </si>
  <si>
    <t>Đậu hủ phô mai</t>
  </si>
  <si>
    <t>Chả giò xốp thịt heo</t>
  </si>
  <si>
    <t>Chả giò rế thịt heo</t>
  </si>
  <si>
    <t>XX Đỏ ĐNA (bao xanh)</t>
  </si>
  <si>
    <t>XX Đỏ ĐNA (bao đỏ)</t>
  </si>
  <si>
    <t>XX Đức HS ĐNA</t>
  </si>
  <si>
    <t>Chả giò xốp hải sản</t>
  </si>
  <si>
    <t>Số lượng</t>
  </si>
  <si>
    <t>Tên hàng</t>
  </si>
  <si>
    <t>Đơn giá</t>
  </si>
  <si>
    <t>Thành tiền</t>
  </si>
  <si>
    <t>Phí vận chuyển/đơn vị</t>
  </si>
  <si>
    <t>Đơn giá sau vận chuyển</t>
  </si>
  <si>
    <t>Giá bán</t>
  </si>
  <si>
    <t>Doanh thu dự kiến</t>
  </si>
  <si>
    <t>Thành tiền sau vận chuyển</t>
  </si>
  <si>
    <t>Thanh cua LC</t>
  </si>
  <si>
    <t>Mực tẩm bột LC</t>
  </si>
  <si>
    <t>Chả giò Rế tôm mực LC</t>
  </si>
  <si>
    <t>Chả tôm hình Surimi LC</t>
  </si>
  <si>
    <t>Viên thả lẩu răng mực (Hồng)</t>
  </si>
  <si>
    <t>Viên thả lẩu trứng tôm (Vàng)</t>
  </si>
  <si>
    <t>Viên thả lẩu TOMYUM (Tím)</t>
  </si>
  <si>
    <t>Viên thả lẩu phô mai (Xanh lá)</t>
  </si>
  <si>
    <t>Jambon Trắng</t>
  </si>
  <si>
    <t>Jambon Đỏ</t>
  </si>
  <si>
    <t>Cá Viên TVP</t>
  </si>
  <si>
    <t>Cá Viên TVP nhỏ</t>
  </si>
  <si>
    <t>Tôm viên TVP</t>
  </si>
  <si>
    <t>Tôm viên TVP nhỏ</t>
  </si>
  <si>
    <t>Bò viên TVP</t>
  </si>
  <si>
    <t>Bò viên TVP nhỏ</t>
  </si>
  <si>
    <t>XX MUNICH (10 Cây)</t>
  </si>
  <si>
    <t>XX Hồ lô</t>
  </si>
  <si>
    <t>Giò Thủ bì</t>
  </si>
  <si>
    <t>Nem nướng</t>
  </si>
  <si>
    <t>XX BERLING (10 Cây)</t>
  </si>
  <si>
    <t>XX COCKTAIL (26 Cây)</t>
  </si>
  <si>
    <t>Jambon Đỏ TX</t>
  </si>
  <si>
    <t>Giò lụa Bò</t>
  </si>
  <si>
    <t>Giò lụa lá</t>
  </si>
  <si>
    <t>Quy cách</t>
  </si>
  <si>
    <t>Viên thả lẩu Gà nướng mật ong (Đỏ)</t>
  </si>
  <si>
    <t>HÀNG NHẬP 16/12</t>
  </si>
  <si>
    <t>Tồn</t>
  </si>
  <si>
    <t>Hoành thánh chiên 500gr (60 viên)</t>
  </si>
  <si>
    <t>Giá nhập/Kg</t>
  </si>
  <si>
    <t>Cá viên rau củ TVP</t>
  </si>
  <si>
    <t>MT10</t>
  </si>
  <si>
    <t>MT11</t>
  </si>
  <si>
    <t>MT12</t>
  </si>
  <si>
    <t>MT13</t>
  </si>
  <si>
    <t>MT14</t>
  </si>
  <si>
    <t>MT15</t>
  </si>
  <si>
    <t>MT16</t>
  </si>
  <si>
    <t>MT17</t>
  </si>
  <si>
    <t>MT18</t>
  </si>
  <si>
    <t>MT19</t>
  </si>
  <si>
    <t>MT20</t>
  </si>
  <si>
    <t>MT21</t>
  </si>
  <si>
    <t>MT22</t>
  </si>
  <si>
    <t>MT23</t>
  </si>
  <si>
    <t>MT24</t>
  </si>
  <si>
    <t>MT25</t>
  </si>
  <si>
    <t>MT26</t>
  </si>
  <si>
    <t>MT27</t>
  </si>
  <si>
    <t>MT28</t>
  </si>
  <si>
    <t>MT29</t>
  </si>
  <si>
    <t>MT30</t>
  </si>
  <si>
    <t>MT31</t>
  </si>
  <si>
    <t>MT32</t>
  </si>
  <si>
    <t>MT33</t>
  </si>
  <si>
    <t>MT34</t>
  </si>
  <si>
    <t>MT35</t>
  </si>
  <si>
    <t>MT36</t>
  </si>
  <si>
    <t>MT37</t>
  </si>
  <si>
    <t>MT38</t>
  </si>
  <si>
    <t>MT39</t>
  </si>
  <si>
    <t>MT40</t>
  </si>
  <si>
    <t>MT41</t>
  </si>
  <si>
    <t>MT42</t>
  </si>
  <si>
    <t>Trật tự</t>
  </si>
  <si>
    <t>Mã Hàng</t>
  </si>
  <si>
    <t>MT01</t>
  </si>
  <si>
    <t>MT02</t>
  </si>
  <si>
    <t>MT03</t>
  </si>
  <si>
    <t>MT04</t>
  </si>
  <si>
    <t>MT05</t>
  </si>
  <si>
    <t>MT06</t>
  </si>
  <si>
    <t>MT07</t>
  </si>
  <si>
    <t>MT08</t>
  </si>
  <si>
    <t>MT09</t>
  </si>
  <si>
    <t>Giá  bán</t>
  </si>
  <si>
    <t>Mã hàng</t>
  </si>
  <si>
    <t>Tiền hàng danh nghĩa</t>
  </si>
  <si>
    <t>Doanh thu tích lũy</t>
  </si>
  <si>
    <t>Giá trị hàng tồn
(Theo giá nhập)</t>
  </si>
  <si>
    <t>Poster Menu</t>
  </si>
  <si>
    <t>Mượn tiền sữa</t>
  </si>
  <si>
    <t>Bàn ghế</t>
  </si>
  <si>
    <t xml:space="preserve">Văn phòng phẩm </t>
  </si>
  <si>
    <t>Ổ khóa</t>
  </si>
  <si>
    <t>Mượn tiền hàng</t>
  </si>
  <si>
    <t>Ghế</t>
  </si>
  <si>
    <t xml:space="preserve">Biển quảng cáo trả mẹ </t>
  </si>
  <si>
    <t>Cốm xanh</t>
  </si>
  <si>
    <t>Bò lá lốt</t>
  </si>
  <si>
    <t>Hư hao
&amp; Xuất mẫu</t>
  </si>
  <si>
    <t>Ốc nhồi Hải sản</t>
  </si>
  <si>
    <t>Tiền còn lại</t>
  </si>
  <si>
    <t>Chi phí lặt vặt</t>
  </si>
  <si>
    <t>Trừ tiền hàng &amp; chi phí</t>
  </si>
  <si>
    <t>Tiền hàng</t>
  </si>
  <si>
    <t>Tổng vốn</t>
  </si>
  <si>
    <t>Tiền trong thẻ</t>
  </si>
  <si>
    <t>Poster Menu lần 2</t>
  </si>
  <si>
    <t>Số lượng nhập</t>
  </si>
  <si>
    <t>Trọng lượng (kg)</t>
  </si>
  <si>
    <t>Tổng Giá Trị Hàng đã xuất</t>
  </si>
  <si>
    <t>Tổng Tiền Thực</t>
  </si>
  <si>
    <t>Hải sản sốt cam LC</t>
  </si>
  <si>
    <t>Hải sản sốt MAYONNAISE (35 viên)</t>
  </si>
  <si>
    <t>Chả lụa bì Ớt xiêm xanh</t>
  </si>
  <si>
    <t>Bò viên phở TVP</t>
  </si>
  <si>
    <t>Trọng lượng</t>
  </si>
  <si>
    <t>Xuất mẫu</t>
  </si>
  <si>
    <t>Giá trị còn lại</t>
  </si>
  <si>
    <t>Mua bị</t>
  </si>
  <si>
    <t>Đậu hủ phô mai EB</t>
  </si>
  <si>
    <t>Bò viên HM</t>
  </si>
  <si>
    <t>Há cảo Lớn</t>
  </si>
  <si>
    <t>Há cảo Mini</t>
  </si>
  <si>
    <t>Tủ Lạnh mới</t>
  </si>
  <si>
    <t>In Poster</t>
  </si>
  <si>
    <t>Hàng C.Ty tặng</t>
  </si>
  <si>
    <t>Thanh cua dài Liên Anh</t>
  </si>
  <si>
    <t>Số Lượng</t>
  </si>
  <si>
    <t>mua đồ cúng</t>
  </si>
  <si>
    <t>01</t>
  </si>
  <si>
    <t>02</t>
  </si>
  <si>
    <t>03</t>
  </si>
  <si>
    <t>04</t>
  </si>
  <si>
    <t>05</t>
  </si>
  <si>
    <t>06</t>
  </si>
  <si>
    <t>07</t>
  </si>
  <si>
    <t>08</t>
  </si>
  <si>
    <t>09</t>
  </si>
  <si>
    <t>Gà viên phô mai</t>
  </si>
  <si>
    <t>Mượn mẹ</t>
  </si>
  <si>
    <t xml:space="preserve">Viên thả lẩu Cam-Trứng cá </t>
  </si>
  <si>
    <t>Mực xoắn ống</t>
  </si>
  <si>
    <t>Tôm hùm viên PM</t>
  </si>
  <si>
    <t>Mua tủ lạnh</t>
  </si>
  <si>
    <t>G1</t>
  </si>
  <si>
    <t>MTG1</t>
  </si>
  <si>
    <t>Mua xăng máy nổ</t>
  </si>
  <si>
    <t>MINH THƯ</t>
  </si>
  <si>
    <t>Hóa Đơn</t>
  </si>
  <si>
    <t>Đ/c: Kiot 23 Cổng Chợ Gà Liên Hương - Võ Thị Sáu.</t>
  </si>
  <si>
    <t>SĐT: 0889.487.112 - 0961.534.695.</t>
  </si>
  <si>
    <t>Chuyên cung cấp sỉ &amp; lẻ Thực phẩm đông lạnh:</t>
  </si>
  <si>
    <t>Xiên que-nướng-chiên-lẩu.</t>
  </si>
  <si>
    <t>Tên KH:</t>
  </si>
  <si>
    <t>Tiền điện nhà</t>
  </si>
  <si>
    <t>Tiền điện tiệm</t>
  </si>
  <si>
    <t>Tiền lãi nợ</t>
  </si>
  <si>
    <t>Cá viên KK</t>
  </si>
  <si>
    <t>Cá viên rau củ KK</t>
  </si>
  <si>
    <t>Bò viên KK</t>
  </si>
  <si>
    <t>Tôm viên KK</t>
  </si>
  <si>
    <t>XX Đỏ KK</t>
  </si>
  <si>
    <t>XX Đức KK</t>
  </si>
  <si>
    <t>Hồ lô KK</t>
  </si>
  <si>
    <t>Bánh bao thả lẩu Trứng cá KK</t>
  </si>
  <si>
    <t>Bánh bao ngọt không nhân</t>
  </si>
  <si>
    <t>Tiền Ưu đãi tháng 01 - Cô BÉ</t>
  </si>
  <si>
    <t>Quà Tết Chị Út</t>
  </si>
  <si>
    <t>Quà Tết Bảo Ngọc</t>
  </si>
  <si>
    <t>Tiền thuê Kiot</t>
  </si>
  <si>
    <t>Tiền Ưu đãi tháng 01 - Cô Phượng</t>
  </si>
  <si>
    <t>Quà Tết</t>
  </si>
  <si>
    <t>Đập mua tủ lạnh</t>
  </si>
  <si>
    <t>0-Bò cuộn Excel Canada</t>
  </si>
  <si>
    <t>Cho mượn tiền lò nướng</t>
  </si>
  <si>
    <t>Quà Tết Thúy Bình</t>
  </si>
  <si>
    <t>Tiền Ưu đãi tháng 02 - Hoàng Ti</t>
  </si>
  <si>
    <t>Quà Tết Hoàng Ti</t>
  </si>
  <si>
    <t>Nước Ngọt Tết</t>
  </si>
  <si>
    <t>Quà Tết Cô BÉ</t>
  </si>
  <si>
    <t>Quà Tết Sinh Thẻ</t>
  </si>
  <si>
    <t>Tiền Ưu đãi tháng 01 - Chị Trang</t>
  </si>
  <si>
    <t>Quà Tết Chị Trang</t>
  </si>
  <si>
    <t>Quà Tết Dì Út</t>
  </si>
  <si>
    <t>Quà Tết Thím Gái</t>
  </si>
  <si>
    <t>Quà Tết Dì Tư</t>
  </si>
  <si>
    <t>Quà Tết Chị Tiền</t>
  </si>
  <si>
    <t>Quà Tết Tường Vi</t>
  </si>
  <si>
    <t>Quà Tết Tuấn Phương</t>
  </si>
  <si>
    <t>Quà Tết Kim Vân</t>
  </si>
  <si>
    <t>Cô Tiền</t>
  </si>
  <si>
    <t>Dì Vọng</t>
  </si>
  <si>
    <t>T12+T01</t>
  </si>
  <si>
    <t>T02</t>
  </si>
  <si>
    <t>T03</t>
  </si>
  <si>
    <t>T04</t>
  </si>
  <si>
    <t>T05</t>
  </si>
  <si>
    <t>T06</t>
  </si>
  <si>
    <t>T07</t>
  </si>
  <si>
    <t>T08</t>
  </si>
  <si>
    <t>T09</t>
  </si>
  <si>
    <t>T10</t>
  </si>
  <si>
    <t>T11</t>
  </si>
  <si>
    <t>T12</t>
  </si>
  <si>
    <t>Hồ lô ĐNA</t>
  </si>
  <si>
    <t>XX Xông khói ĐNA</t>
  </si>
  <si>
    <t>XX Hotdog Phô mai</t>
  </si>
  <si>
    <t>Phô mai sữa que LC</t>
  </si>
  <si>
    <t>Chả giò HS trái cây sốt Mayo</t>
  </si>
  <si>
    <t>Chả giò Chay rau nấm LC</t>
  </si>
  <si>
    <t>Danh nghĩa</t>
  </si>
  <si>
    <t>Thực</t>
  </si>
  <si>
    <t>XX</t>
  </si>
  <si>
    <t>Hồ lô ĐNA (giá cũ)</t>
  </si>
  <si>
    <t>XX Đức HS ĐNA (giá cũ)</t>
  </si>
  <si>
    <t>0-Chân Gà (giá cũ)</t>
  </si>
  <si>
    <t>Lương NV</t>
  </si>
  <si>
    <t>-</t>
  </si>
  <si>
    <t>Xăng</t>
  </si>
  <si>
    <t>Tiền xăng</t>
  </si>
  <si>
    <t>Mực tẩm bột LC (giá cũ)</t>
  </si>
  <si>
    <t>Tiền điện</t>
  </si>
  <si>
    <t>Tiền lãi</t>
  </si>
  <si>
    <t>Tiền thuê</t>
  </si>
  <si>
    <t>Thu nhập thuần</t>
  </si>
  <si>
    <t>Tổng chi</t>
  </si>
  <si>
    <t>Tiền điện Nhà</t>
  </si>
  <si>
    <t>Tháng</t>
  </si>
  <si>
    <t>XX Yummy</t>
  </si>
  <si>
    <t>Bác Bình</t>
  </si>
  <si>
    <t>Hậu mãi</t>
  </si>
  <si>
    <t>???</t>
  </si>
  <si>
    <t>chi phí</t>
  </si>
  <si>
    <t>T12+T01+T02+T03+T04+T05</t>
  </si>
  <si>
    <t>Hủy tồn Gà</t>
  </si>
  <si>
    <t>Cô Linh</t>
  </si>
  <si>
    <t>Sủi cảo</t>
  </si>
  <si>
    <t xml:space="preserve">Hủy tồn Date </t>
  </si>
  <si>
    <t>Tiền Thuê Kiot</t>
  </si>
  <si>
    <t>Mua tủ + Chi phí lúc đầu</t>
  </si>
  <si>
    <t>Tổng nợ</t>
  </si>
  <si>
    <t>Mua tủ đợt 2 + Chi phí hủy hàng + Quảng cáo</t>
  </si>
  <si>
    <t>Lấy đi Đà Lạt + Chi tiêu 6 tháng</t>
  </si>
  <si>
    <t>Vòng xoay tiền hàng hiện tại</t>
  </si>
  <si>
    <t>Trích tiền lời</t>
  </si>
  <si>
    <t>Khoai tây Simplot (giã cũ)</t>
  </si>
  <si>
    <t>0-Chân Nhỏ (giá cũ)</t>
  </si>
  <si>
    <t>0-Chân To (giá cũ)</t>
  </si>
  <si>
    <t>0-Cánh Gà (giá cũ)</t>
  </si>
  <si>
    <t>0-Đùi tỏi Gà (giá cũ)</t>
  </si>
  <si>
    <t>Khoai tây</t>
  </si>
  <si>
    <t>T01</t>
  </si>
  <si>
    <t>10 Ngày 1TR</t>
  </si>
  <si>
    <t>0-Đùi gà Rán 10C nhỏ</t>
  </si>
  <si>
    <t>0-Đùi gà Rán 10C lớn</t>
  </si>
  <si>
    <t>0-Đùi gà Rán 8C lớn</t>
  </si>
  <si>
    <t>0-Gà lắc</t>
  </si>
  <si>
    <t>0-Gà viên</t>
  </si>
  <si>
    <t>Sủi tôm</t>
  </si>
  <si>
    <t>Sủi thịt</t>
  </si>
  <si>
    <t>G2</t>
  </si>
  <si>
    <t>G3</t>
  </si>
  <si>
    <t>G4</t>
  </si>
  <si>
    <t>G5</t>
  </si>
  <si>
    <t>G6</t>
  </si>
  <si>
    <t>MTG2</t>
  </si>
  <si>
    <t>MTG3</t>
  </si>
  <si>
    <t>MTG4</t>
  </si>
  <si>
    <t>MTG5</t>
  </si>
  <si>
    <t>0-Cánh gà rán</t>
  </si>
  <si>
    <t>MTG6</t>
  </si>
  <si>
    <t>Bị+Khăn+HĐ</t>
  </si>
  <si>
    <t>Tiền hàng thực</t>
  </si>
  <si>
    <t>XX Đức KK (Giá cũ)</t>
  </si>
  <si>
    <t>Bánh bao ngọt không nhân (Giá cũ)</t>
  </si>
  <si>
    <t>Mực tẩm bột LC (giá cũ L2)</t>
  </si>
  <si>
    <t>Hải sản sốt cam LC (Giá cũ)</t>
  </si>
  <si>
    <t>Viên thả lẩu Cam-Trứng cá (giá cũ)</t>
  </si>
  <si>
    <t>XX Đức KK (Giá cũ L2)</t>
  </si>
  <si>
    <t>Bò lá lốt (Giá cũ)</t>
  </si>
  <si>
    <t>Phô mai que AN</t>
  </si>
  <si>
    <t>Cá viên KK (Giá cũ)</t>
  </si>
  <si>
    <t>Cá viên rau củ KK (Giá cũ)</t>
  </si>
  <si>
    <t>Bò viên KK (Giá cũ)</t>
  </si>
  <si>
    <t>XX Đỏ KK (Giá cũ)</t>
  </si>
  <si>
    <t>T12+T01+T02+T03+T04+T05+T06+T07+T08+T09+T10+T11</t>
  </si>
  <si>
    <t>T01 (19-31) + T02 + T03+T04+T05+T06+T07+T08+T09+T10+T11</t>
  </si>
  <si>
    <t>Tôm viên KK (Giá cũ)</t>
  </si>
  <si>
    <t>Hồ lô KK (Giá cũ)</t>
  </si>
  <si>
    <t>Sản lượng bán</t>
  </si>
  <si>
    <t>Mực khoanh KK</t>
  </si>
  <si>
    <t>Chị Đào</t>
  </si>
  <si>
    <t>Chị Mến</t>
  </si>
  <si>
    <t/>
  </si>
  <si>
    <t>Cô Bé</t>
  </si>
  <si>
    <t>Chênh lệch giá</t>
  </si>
  <si>
    <t>KH lẻ</t>
  </si>
  <si>
    <t>Dì Luận</t>
  </si>
  <si>
    <t>Dì Nguyệt</t>
  </si>
  <si>
    <t>Chú An</t>
  </si>
  <si>
    <t>Chị Tuyền</t>
  </si>
  <si>
    <t>Chị Ngà</t>
  </si>
  <si>
    <t>Hà</t>
  </si>
  <si>
    <t>TH Tịnh Lan</t>
  </si>
  <si>
    <t>Chị Sương</t>
  </si>
  <si>
    <t>Dì Tư</t>
  </si>
  <si>
    <t>Bác Gái</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</si>
</sst>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10">
    <numFmt numFmtId="41" formatCode="_(* #,##0_);_(* \(#,##0\);_(* &quot;-&quot;_);_(@_)"/>
    <numFmt numFmtId="43" formatCode="_(* #,##0.00_);_(* \(#,##0.00\);_(* &quot;-&quot;??_);_(@_)"/>
    <numFmt numFmtId="164" formatCode="_(* #,##0.0_);_(* \(#,##0.0\);_(* &quot;-&quot;_);_(@_)"/>
    <numFmt numFmtId="165" formatCode="0.0%"/>
    <numFmt numFmtId="166" formatCode="_(* #,##0.00_);_(* \(#,##0.00\);_(* &quot;-&quot;_);_(@_)"/>
    <numFmt numFmtId="167" formatCode="_-* #,##0.00\ _₫_-;\-* #,##0.00\ _₫_-;_-* &quot;-&quot;??\ _₫_-;_-@_-"/>
    <numFmt numFmtId="168" formatCode="0.0"/>
    <numFmt numFmtId="169" formatCode="_-* #,##0.0\ _₫_-;\-* #,##0.0\ _₫_-;_-* &quot;-&quot;?\ _₫_-;_-@_-"/>
    <numFmt numFmtId="170" formatCode="_(* #,##0.000_);_(* \(#,##0.000\);_(* &quot;-&quot;_);_(@_)"/>
    <numFmt numFmtId="171" formatCode="0.0000"/>
  </numFmts>
  <fonts count="45" x14ac:knownFonts="1">
    <font>
      <sz val="11"/>
      <color theme="1"/>
      <name val="Arial"/>
      <family val="2"/>
      <scheme val="minor"/>
    </font>
    <font>
      <sz val="11"/>
      <color theme="1"/>
      <name val="Arial"/>
      <family val="2"/>
      <scheme val="minor"/>
    </font>
    <font>
      <b/>
      <sz val="11"/>
      <color theme="1"/>
      <name val="Times New Roman"/>
      <family val="1"/>
    </font>
    <font>
      <sz val="11"/>
      <color theme="1"/>
      <name val="Times New Roman"/>
      <family val="1"/>
    </font>
    <font>
      <sz val="12"/>
      <color theme="1"/>
      <name val="Times New Roman"/>
      <family val="1"/>
    </font>
    <font>
      <b/>
      <sz val="12"/>
      <color theme="1"/>
      <name val="Times New Roman"/>
      <family val="1"/>
    </font>
    <font>
      <b/>
      <sz val="12"/>
      <color rgb="FFFF0000"/>
      <name val="Times New Roman"/>
      <family val="1"/>
    </font>
    <font>
      <b/>
      <sz val="16"/>
      <color theme="1"/>
      <name val="Times New Roman"/>
      <family val="1"/>
    </font>
    <font>
      <sz val="12"/>
      <color rgb="FFFF0000"/>
      <name val="Times New Roman"/>
      <family val="1"/>
    </font>
    <font>
      <b/>
      <sz val="14"/>
      <color theme="1"/>
      <name val="Times New Roman"/>
      <family val="1"/>
    </font>
    <font>
      <sz val="9"/>
      <color indexed="81"/>
      <name val="Tahoma"/>
      <family val="2"/>
    </font>
    <font>
      <b/>
      <sz val="9"/>
      <color indexed="81"/>
      <name val="Tahoma"/>
      <family val="2"/>
    </font>
    <font>
      <b/>
      <i/>
      <sz val="12"/>
      <color theme="1"/>
      <name val="Times New Roman"/>
      <family val="1"/>
    </font>
    <font>
      <b/>
      <i/>
      <sz val="12"/>
      <color rgb="FFFF0000"/>
      <name val="Times New Roman"/>
      <family val="1"/>
    </font>
    <font>
      <b/>
      <sz val="18"/>
      <color theme="1"/>
      <name val="Times New Roman"/>
      <family val="1"/>
    </font>
    <font>
      <b/>
      <sz val="10"/>
      <color theme="1"/>
      <name val="Times New Roman"/>
      <family val="1"/>
    </font>
    <font>
      <b/>
      <sz val="22"/>
      <color rgb="FFFF0000"/>
      <name val="Times New Roman"/>
      <family val="1"/>
    </font>
    <font>
      <sz val="14"/>
      <color theme="1"/>
      <name val="Times New Roman"/>
      <family val="1"/>
    </font>
    <font>
      <sz val="20"/>
      <color theme="1"/>
      <name val="Times New Roman"/>
      <family val="1"/>
    </font>
    <font>
      <b/>
      <sz val="20"/>
      <color theme="1"/>
      <name val="Times New Roman"/>
      <family val="1"/>
    </font>
    <font>
      <sz val="20"/>
      <color rgb="FFFFFF00"/>
      <name val="Times New Roman"/>
      <family val="1"/>
    </font>
    <font>
      <b/>
      <sz val="20"/>
      <color rgb="FFFFFF00"/>
      <name val="Times New Roman"/>
      <family val="1"/>
    </font>
    <font>
      <b/>
      <sz val="18"/>
      <color rgb="FFFF0000"/>
      <name val="Times New Roman"/>
      <family val="1"/>
    </font>
    <font>
      <sz val="14"/>
      <color rgb="FFFF0000"/>
      <name val="Times New Roman"/>
      <family val="1"/>
    </font>
    <font>
      <b/>
      <sz val="16"/>
      <color rgb="FFFF0000"/>
      <name val="Times New Roman"/>
      <family val="1"/>
    </font>
    <font>
      <b/>
      <sz val="26"/>
      <color theme="1"/>
      <name val="Times New Roman"/>
      <family val="1"/>
    </font>
    <font>
      <b/>
      <sz val="26"/>
      <color theme="1"/>
      <name val="Palatino Linotype"/>
      <family val="1"/>
    </font>
    <font>
      <b/>
      <i/>
      <sz val="12"/>
      <color theme="0"/>
      <name val="Times New Roman"/>
      <family val="1"/>
    </font>
    <font>
      <b/>
      <sz val="14"/>
      <color rgb="FFFF0000"/>
      <name val="Times New Roman"/>
      <family val="1"/>
    </font>
    <font>
      <b/>
      <sz val="14"/>
      <color rgb="FF002060"/>
      <name val="Times New Roman"/>
      <family val="1"/>
    </font>
    <font>
      <b/>
      <sz val="12"/>
      <color rgb="FF00B050"/>
      <name val="Times New Roman"/>
      <family val="1"/>
    </font>
    <font>
      <b/>
      <sz val="11"/>
      <color rgb="FFFF0000"/>
      <name val="Times New Roman"/>
      <family val="1"/>
      <charset val="163"/>
    </font>
    <font>
      <b/>
      <sz val="11"/>
      <color rgb="FF002060"/>
      <name val="Times New Roman"/>
      <family val="1"/>
      <charset val="163"/>
    </font>
    <font>
      <b/>
      <sz val="18"/>
      <color theme="1"/>
      <name val="Times New Roman"/>
      <family val="1"/>
      <charset val="163"/>
    </font>
    <font>
      <b/>
      <sz val="20"/>
      <color rgb="FFFF0000"/>
      <name val="Arial"/>
      <family val="2"/>
      <charset val="163"/>
    </font>
    <font>
      <b/>
      <sz val="12"/>
      <color theme="1"/>
      <name val="Arial"/>
      <family val="2"/>
      <charset val="163"/>
    </font>
    <font>
      <b/>
      <sz val="11"/>
      <color theme="1"/>
      <name val="Times New Roman"/>
      <family val="1"/>
      <charset val="163"/>
    </font>
    <font>
      <b/>
      <sz val="12"/>
      <color rgb="FFFF0000"/>
      <name val="Times New Roman"/>
      <family val="1"/>
      <charset val="163"/>
    </font>
    <font>
      <sz val="9"/>
      <color theme="1"/>
      <name val="Times New Roman"/>
      <family val="1"/>
    </font>
    <font>
      <b/>
      <sz val="9"/>
      <color theme="1"/>
      <name val="Times New Roman"/>
      <family val="1"/>
    </font>
    <font>
      <b/>
      <sz val="8"/>
      <color theme="1"/>
      <name val="Times New Roman"/>
      <family val="1"/>
    </font>
    <font>
      <sz val="9"/>
      <color indexed="81"/>
      <name val="Tahoma"/>
      <family val="2"/>
      <charset val="163"/>
    </font>
    <font>
      <b/>
      <sz val="9"/>
      <color indexed="81"/>
      <name val="Tahoma"/>
      <family val="2"/>
      <charset val="163"/>
    </font>
    <font>
      <b/>
      <u/>
      <sz val="20"/>
      <color rgb="FFFF0000"/>
      <name val="Arial"/>
      <family val="2"/>
    </font>
    <font>
      <b/>
      <sz val="20"/>
      <color rgb="FFFF0000"/>
      <name val="Calibri"/>
      <family val="2"/>
    </font>
  </fonts>
  <fills count="23">
    <fill>
      <patternFill patternType="none"/>
    </fill>
    <fill>
      <patternFill patternType="gray125"/>
    </fill>
    <fill>
      <patternFill patternType="solid">
        <fgColor theme="8" tint="0.79998168889431442"/>
        <bgColor indexed="64"/>
      </patternFill>
    </fill>
    <fill>
      <patternFill patternType="solid">
        <fgColor theme="9" tint="0.59999389629810485"/>
        <bgColor indexed="64"/>
      </patternFill>
    </fill>
    <fill>
      <patternFill patternType="solid">
        <fgColor theme="0" tint="-0.14999847407452621"/>
        <bgColor indexed="64"/>
      </patternFill>
    </fill>
    <fill>
      <patternFill patternType="solid">
        <fgColor theme="9" tint="0.39997558519241921"/>
        <bgColor indexed="64"/>
      </patternFill>
    </fill>
    <fill>
      <patternFill patternType="solid">
        <fgColor theme="0"/>
        <bgColor indexed="64"/>
      </patternFill>
    </fill>
    <fill>
      <patternFill patternType="solid">
        <fgColor rgb="FFFFFF00"/>
        <bgColor indexed="64"/>
      </patternFill>
    </fill>
    <fill>
      <patternFill patternType="solid">
        <fgColor rgb="FFFF0000"/>
        <bgColor indexed="64"/>
      </patternFill>
    </fill>
    <fill>
      <patternFill patternType="solid">
        <fgColor theme="0" tint="-0.249977111117893"/>
        <bgColor indexed="64"/>
      </patternFill>
    </fill>
    <fill>
      <patternFill patternType="solid">
        <fgColor rgb="FF00B050"/>
        <bgColor indexed="64"/>
      </patternFill>
    </fill>
    <fill>
      <patternFill patternType="solid">
        <fgColor theme="8" tint="0.39997558519241921"/>
        <bgColor indexed="64"/>
      </patternFill>
    </fill>
    <fill>
      <patternFill patternType="solid">
        <fgColor rgb="FF92D050"/>
        <bgColor indexed="64"/>
      </patternFill>
    </fill>
    <fill>
      <patternFill patternType="solid">
        <fgColor theme="9" tint="-0.249977111117893"/>
        <bgColor indexed="64"/>
      </patternFill>
    </fill>
    <fill>
      <patternFill patternType="solid">
        <fgColor rgb="FF00B0F0"/>
        <bgColor indexed="64"/>
      </patternFill>
    </fill>
    <fill>
      <patternFill patternType="solid">
        <fgColor theme="5" tint="0.59999389629810485"/>
        <bgColor indexed="64"/>
      </patternFill>
    </fill>
    <fill>
      <patternFill patternType="solid">
        <fgColor theme="6" tint="-0.249977111117893"/>
        <bgColor indexed="64"/>
      </patternFill>
    </fill>
    <fill>
      <patternFill patternType="solid">
        <fgColor theme="2" tint="-0.499984740745262"/>
        <bgColor indexed="64"/>
      </patternFill>
    </fill>
    <fill>
      <patternFill patternType="solid">
        <fgColor theme="7" tint="0.39997558519241921"/>
        <bgColor indexed="64"/>
      </patternFill>
    </fill>
    <fill>
      <patternFill patternType="solid">
        <fgColor theme="4" tint="0.79998168889431442"/>
        <bgColor theme="4" tint="0.79998168889431442"/>
      </patternFill>
    </fill>
    <fill>
      <patternFill patternType="solid">
        <fgColor theme="9" tint="0.79998168889431442"/>
        <bgColor indexed="64"/>
      </patternFill>
    </fill>
    <fill>
      <patternFill patternType="solid">
        <fgColor theme="8" tint="0.59999389629810485"/>
        <bgColor indexed="64"/>
      </patternFill>
    </fill>
    <fill>
      <patternFill patternType="solid">
        <fgColor rgb="FF99FF33"/>
        <bgColor indexed="64"/>
      </patternFill>
    </fill>
  </fills>
  <borders count="5">
    <border>
      <left/>
      <right/>
      <top/>
      <bottom/>
      <diagonal/>
    </border>
    <border>
      <left style="thin">
        <color indexed="64"/>
      </left>
      <right style="thin">
        <color indexed="64"/>
      </right>
      <top style="thin">
        <color indexed="64"/>
      </top>
      <bottom style="thin">
        <color indexed="64"/>
      </bottom>
      <diagonal/>
    </border>
    <border>
      <left/>
      <right/>
      <top/>
      <bottom style="thin">
        <color indexed="64"/>
      </bottom>
      <diagonal/>
    </border>
    <border>
      <left style="thin">
        <color indexed="64"/>
      </left>
      <right/>
      <top/>
      <bottom/>
      <diagonal/>
    </border>
    <border>
      <left/>
      <right style="thin">
        <color indexed="64"/>
      </right>
      <top/>
      <bottom/>
      <diagonal/>
    </border>
  </borders>
  <cellStyleXfs count="3">
    <xf numFmtId="0" fontId="0" fillId="0" borderId="0"/>
    <xf numFmtId="41" fontId="1" fillId="0" borderId="0" applyFont="0" applyFill="0" applyBorder="0" applyAlignment="0" applyProtection="0"/>
    <xf numFmtId="9" fontId="1" fillId="0" borderId="0" applyFont="0" applyFill="0" applyBorder="0" applyAlignment="0" applyProtection="0"/>
  </cellStyleXfs>
  <cellXfs count="273">
    <xf numFmtId="0" fontId="0" fillId="0" borderId="0" xfId="0"/>
    <xf numFmtId="0" fontId="2" fillId="0" borderId="0" xfId="1" applyNumberFormat="1" applyFont="1" applyAlignment="1">
      <alignment horizontal="center" vertical="center"/>
    </xf>
    <xf numFmtId="41" fontId="4" fillId="0" borderId="0" xfId="1" applyFont="1"/>
    <xf numFmtId="41" fontId="5" fillId="0" borderId="1" xfId="1" applyFont="1" applyBorder="1" applyAlignment="1">
      <alignment horizontal="center" vertical="center"/>
    </xf>
    <xf numFmtId="41" fontId="5" fillId="2" borderId="1" xfId="1" applyFont="1" applyFill="1" applyBorder="1" applyAlignment="1">
      <alignment horizontal="center" vertical="center"/>
    </xf>
    <xf numFmtId="41" fontId="5" fillId="0" borderId="1" xfId="1" applyFont="1" applyBorder="1" applyAlignment="1">
      <alignment horizontal="center" vertical="center" wrapText="1"/>
    </xf>
    <xf numFmtId="0" fontId="4" fillId="0" borderId="1" xfId="1" applyNumberFormat="1" applyFont="1" applyBorder="1" applyAlignment="1">
      <alignment horizontal="center" vertical="center"/>
    </xf>
    <xf numFmtId="41" fontId="5" fillId="2" borderId="1" xfId="1" applyFont="1" applyFill="1" applyBorder="1" applyAlignment="1">
      <alignment horizontal="center" vertical="top"/>
    </xf>
    <xf numFmtId="9" fontId="7" fillId="0" borderId="0" xfId="2" applyFont="1" applyAlignment="1">
      <alignment horizontal="center" vertical="center"/>
    </xf>
    <xf numFmtId="41" fontId="5" fillId="3" borderId="1" xfId="1" applyFont="1" applyFill="1" applyBorder="1" applyAlignment="1">
      <alignment horizontal="center" vertical="center" wrapText="1"/>
    </xf>
    <xf numFmtId="41" fontId="6" fillId="2" borderId="1" xfId="1" applyFont="1" applyFill="1" applyBorder="1" applyAlignment="1">
      <alignment horizontal="center" vertical="center"/>
    </xf>
    <xf numFmtId="41" fontId="6" fillId="2" borderId="1" xfId="1" applyFont="1" applyFill="1" applyBorder="1" applyAlignment="1">
      <alignment horizontal="center" vertical="center" wrapText="1"/>
    </xf>
    <xf numFmtId="41" fontId="5" fillId="3" borderId="1" xfId="1" applyFont="1" applyFill="1" applyBorder="1" applyAlignment="1">
      <alignment horizontal="center" vertical="top" wrapText="1"/>
    </xf>
    <xf numFmtId="41" fontId="7" fillId="0" borderId="0" xfId="1" applyFont="1" applyAlignment="1">
      <alignment horizontal="center" vertical="center"/>
    </xf>
    <xf numFmtId="0" fontId="3" fillId="0" borderId="0" xfId="0" applyFont="1"/>
    <xf numFmtId="0" fontId="3" fillId="0" borderId="0" xfId="0" applyFont="1" applyAlignment="1">
      <alignment horizontal="center" vertical="center"/>
    </xf>
    <xf numFmtId="41" fontId="5" fillId="0" borderId="1" xfId="1" applyFont="1" applyBorder="1" applyAlignment="1">
      <alignment horizontal="center" vertical="top"/>
    </xf>
    <xf numFmtId="41" fontId="6" fillId="9" borderId="1" xfId="1" applyFont="1" applyFill="1" applyBorder="1" applyAlignment="1">
      <alignment horizontal="center" vertical="center" wrapText="1"/>
    </xf>
    <xf numFmtId="41" fontId="5" fillId="0" borderId="1" xfId="1" applyFont="1" applyBorder="1" applyAlignment="1">
      <alignment vertical="center"/>
    </xf>
    <xf numFmtId="0" fontId="5" fillId="4" borderId="1" xfId="0" applyFont="1" applyFill="1" applyBorder="1" applyAlignment="1">
      <alignment horizontal="center" vertical="center"/>
    </xf>
    <xf numFmtId="41" fontId="9" fillId="8" borderId="1" xfId="1" applyFont="1" applyFill="1" applyBorder="1" applyAlignment="1">
      <alignment horizontal="center" vertical="center"/>
    </xf>
    <xf numFmtId="41" fontId="5" fillId="0" borderId="1" xfId="1" quotePrefix="1" applyFont="1" applyBorder="1" applyAlignment="1">
      <alignment horizontal="center" vertical="center"/>
    </xf>
    <xf numFmtId="41" fontId="4" fillId="0" borderId="1" xfId="1" applyFont="1" applyBorder="1" applyAlignment="1">
      <alignment horizontal="center" vertical="center"/>
    </xf>
    <xf numFmtId="41" fontId="5" fillId="4" borderId="1" xfId="1" quotePrefix="1" applyFont="1" applyFill="1" applyBorder="1" applyAlignment="1">
      <alignment horizontal="center" vertical="center"/>
    </xf>
    <xf numFmtId="41" fontId="5" fillId="10" borderId="1" xfId="1" applyFont="1" applyFill="1" applyBorder="1" applyAlignment="1">
      <alignment horizontal="center" vertical="top"/>
    </xf>
    <xf numFmtId="41" fontId="5" fillId="4" borderId="1" xfId="1" applyFont="1" applyFill="1" applyBorder="1" applyAlignment="1">
      <alignment horizontal="center" vertical="top"/>
    </xf>
    <xf numFmtId="41" fontId="3" fillId="0" borderId="1" xfId="1" applyFont="1" applyBorder="1" applyAlignment="1">
      <alignment horizontal="center" vertical="center"/>
    </xf>
    <xf numFmtId="0" fontId="4" fillId="0" borderId="0" xfId="0" applyFont="1"/>
    <xf numFmtId="0" fontId="4" fillId="0" borderId="0" xfId="0" applyFont="1" applyAlignment="1">
      <alignment horizontal="center" vertical="center"/>
    </xf>
    <xf numFmtId="0" fontId="3" fillId="0" borderId="0" xfId="0" applyFont="1" applyAlignment="1" applyProtection="1">
      <alignment vertical="center"/>
      <protection locked="0"/>
    </xf>
    <xf numFmtId="0" fontId="12" fillId="0" borderId="0" xfId="0" applyFont="1" applyAlignment="1" applyProtection="1">
      <alignment horizontal="center" vertical="center"/>
      <protection locked="0"/>
    </xf>
    <xf numFmtId="41" fontId="12" fillId="0" borderId="0" xfId="1" applyFont="1" applyAlignment="1" applyProtection="1">
      <alignment horizontal="center" vertical="center"/>
      <protection locked="0"/>
    </xf>
    <xf numFmtId="41" fontId="12" fillId="0" borderId="0" xfId="1" applyFont="1" applyAlignment="1" applyProtection="1">
      <alignment vertical="center"/>
      <protection locked="0"/>
    </xf>
    <xf numFmtId="0" fontId="12" fillId="0" borderId="0" xfId="0" applyFont="1" applyAlignment="1">
      <alignment horizontal="center" vertical="center"/>
    </xf>
    <xf numFmtId="0" fontId="12" fillId="0" borderId="0" xfId="0" applyFont="1" applyAlignment="1">
      <alignment vertical="center"/>
    </xf>
    <xf numFmtId="41" fontId="13" fillId="0" borderId="0" xfId="0" applyNumberFormat="1" applyFont="1" applyAlignment="1">
      <alignment horizontal="center" vertical="center"/>
    </xf>
    <xf numFmtId="0" fontId="2" fillId="0" borderId="0" xfId="0" applyFont="1" applyAlignment="1">
      <alignment horizontal="center" vertical="center"/>
    </xf>
    <xf numFmtId="0" fontId="3" fillId="0" borderId="0" xfId="0" applyFont="1" applyAlignment="1">
      <alignment horizontal="left" vertical="center"/>
    </xf>
    <xf numFmtId="41" fontId="8" fillId="0" borderId="0" xfId="1" applyFont="1" applyBorder="1" applyAlignment="1">
      <alignment horizontal="center" vertical="center"/>
    </xf>
    <xf numFmtId="0" fontId="5" fillId="4" borderId="1" xfId="0" applyFont="1" applyFill="1" applyBorder="1" applyAlignment="1">
      <alignment horizontal="center" vertical="center" wrapText="1"/>
    </xf>
    <xf numFmtId="0" fontId="5" fillId="4" borderId="1" xfId="0" applyFont="1" applyFill="1" applyBorder="1" applyAlignment="1">
      <alignment horizontal="center" vertical="top"/>
    </xf>
    <xf numFmtId="41" fontId="5" fillId="0" borderId="0" xfId="1" applyFont="1" applyAlignment="1">
      <alignment horizontal="center" vertical="center"/>
    </xf>
    <xf numFmtId="41" fontId="2" fillId="0" borderId="0" xfId="1" quotePrefix="1" applyFont="1" applyAlignment="1">
      <alignment horizontal="center" vertical="center"/>
    </xf>
    <xf numFmtId="41" fontId="6" fillId="4" borderId="1" xfId="1" applyFont="1" applyFill="1" applyBorder="1" applyAlignment="1">
      <alignment horizontal="center" vertical="center"/>
    </xf>
    <xf numFmtId="0" fontId="4" fillId="0" borderId="0" xfId="0" applyFont="1" applyAlignment="1">
      <alignment horizontal="center" vertical="top"/>
    </xf>
    <xf numFmtId="41" fontId="3" fillId="0" borderId="0" xfId="1" applyFont="1" applyAlignment="1">
      <alignment vertical="top"/>
    </xf>
    <xf numFmtId="41" fontId="5" fillId="9" borderId="1" xfId="1" applyFont="1" applyFill="1" applyBorder="1" applyAlignment="1">
      <alignment horizontal="center" vertical="top"/>
    </xf>
    <xf numFmtId="41" fontId="6" fillId="2" borderId="1" xfId="1" applyFont="1" applyFill="1" applyBorder="1" applyAlignment="1">
      <alignment horizontal="center" vertical="top"/>
    </xf>
    <xf numFmtId="41" fontId="9" fillId="10" borderId="1" xfId="1" applyFont="1" applyFill="1" applyBorder="1" applyAlignment="1">
      <alignment horizontal="center" vertical="top"/>
    </xf>
    <xf numFmtId="41" fontId="2" fillId="0" borderId="0" xfId="1" applyFont="1" applyAlignment="1">
      <alignment horizontal="center" vertical="top"/>
    </xf>
    <xf numFmtId="41" fontId="2" fillId="0" borderId="0" xfId="1" applyFont="1" applyAlignment="1">
      <alignment horizontal="center" vertical="center" wrapText="1"/>
    </xf>
    <xf numFmtId="41" fontId="6" fillId="7" borderId="1" xfId="1" applyFont="1" applyFill="1" applyBorder="1" applyAlignment="1">
      <alignment horizontal="center" vertical="top"/>
    </xf>
    <xf numFmtId="0" fontId="12" fillId="0" borderId="0" xfId="0" applyFont="1" applyAlignment="1" applyProtection="1">
      <alignment horizontal="center" vertical="center"/>
      <protection hidden="1"/>
    </xf>
    <xf numFmtId="0" fontId="3" fillId="0" borderId="0" xfId="0" applyFont="1" applyProtection="1">
      <protection hidden="1"/>
    </xf>
    <xf numFmtId="0" fontId="2" fillId="0" borderId="0" xfId="0" applyFont="1" applyAlignment="1" applyProtection="1">
      <alignment horizontal="center" vertical="center"/>
      <protection locked="0"/>
    </xf>
    <xf numFmtId="41" fontId="15" fillId="0" borderId="0" xfId="0" applyNumberFormat="1" applyFont="1" applyAlignment="1">
      <alignment horizontal="center" vertical="top"/>
    </xf>
    <xf numFmtId="41" fontId="5" fillId="4" borderId="1" xfId="1" quotePrefix="1" applyFont="1" applyFill="1" applyBorder="1" applyAlignment="1">
      <alignment horizontal="center" vertical="center" wrapText="1"/>
    </xf>
    <xf numFmtId="41" fontId="17" fillId="0" borderId="1" xfId="1" applyFont="1" applyBorder="1" applyAlignment="1">
      <alignment horizontal="center" vertical="center"/>
    </xf>
    <xf numFmtId="41" fontId="3" fillId="0" borderId="0" xfId="1" applyFont="1" applyAlignment="1">
      <alignment vertical="center"/>
    </xf>
    <xf numFmtId="41" fontId="2" fillId="7" borderId="0" xfId="1" applyFont="1" applyFill="1" applyAlignment="1">
      <alignment horizontal="center" vertical="center"/>
    </xf>
    <xf numFmtId="41" fontId="4" fillId="0" borderId="1" xfId="1" applyFont="1" applyBorder="1" applyAlignment="1">
      <alignment vertical="center"/>
    </xf>
    <xf numFmtId="0" fontId="4" fillId="0" borderId="1" xfId="1" applyNumberFormat="1" applyFont="1" applyBorder="1" applyAlignment="1">
      <alignment vertical="center"/>
    </xf>
    <xf numFmtId="0" fontId="4" fillId="2" borderId="1" xfId="1" applyNumberFormat="1" applyFont="1" applyFill="1" applyBorder="1" applyAlignment="1">
      <alignment vertical="center"/>
    </xf>
    <xf numFmtId="41" fontId="5" fillId="2" borderId="1" xfId="1" applyFont="1" applyFill="1" applyBorder="1" applyAlignment="1">
      <alignment vertical="center"/>
    </xf>
    <xf numFmtId="43" fontId="4" fillId="3" borderId="1" xfId="1" applyNumberFormat="1" applyFont="1" applyFill="1" applyBorder="1" applyAlignment="1">
      <alignment vertical="center"/>
    </xf>
    <xf numFmtId="41" fontId="4" fillId="3" borderId="1" xfId="1" applyFont="1" applyFill="1" applyBorder="1" applyAlignment="1">
      <alignment vertical="center"/>
    </xf>
    <xf numFmtId="0" fontId="6" fillId="4" borderId="1" xfId="1" applyNumberFormat="1" applyFont="1" applyFill="1" applyBorder="1" applyAlignment="1">
      <alignment vertical="center"/>
    </xf>
    <xf numFmtId="41" fontId="5" fillId="10" borderId="1" xfId="1" applyFont="1" applyFill="1" applyBorder="1" applyAlignment="1">
      <alignment vertical="center"/>
    </xf>
    <xf numFmtId="0" fontId="5" fillId="9" borderId="1" xfId="1" applyNumberFormat="1" applyFont="1" applyFill="1" applyBorder="1" applyAlignment="1">
      <alignment horizontal="center" vertical="center"/>
    </xf>
    <xf numFmtId="41" fontId="6" fillId="2" borderId="1" xfId="1" applyFont="1" applyFill="1" applyBorder="1" applyAlignment="1">
      <alignment vertical="center"/>
    </xf>
    <xf numFmtId="41" fontId="9" fillId="10" borderId="1" xfId="1" applyFont="1" applyFill="1" applyBorder="1" applyAlignment="1">
      <alignment vertical="center"/>
    </xf>
    <xf numFmtId="41" fontId="4" fillId="2" borderId="1" xfId="1" applyFont="1" applyFill="1" applyBorder="1" applyAlignment="1">
      <alignment vertical="center"/>
    </xf>
    <xf numFmtId="41" fontId="8" fillId="2" borderId="1" xfId="1" applyFont="1" applyFill="1" applyBorder="1" applyAlignment="1">
      <alignment vertical="center"/>
    </xf>
    <xf numFmtId="0" fontId="5" fillId="2" borderId="1" xfId="1" applyNumberFormat="1" applyFont="1" applyFill="1" applyBorder="1" applyAlignment="1">
      <alignment vertical="center"/>
    </xf>
    <xf numFmtId="41" fontId="9" fillId="4" borderId="1" xfId="1" applyFont="1" applyFill="1" applyBorder="1" applyAlignment="1">
      <alignment horizontal="center" vertical="top"/>
    </xf>
    <xf numFmtId="41" fontId="6" fillId="4" borderId="1" xfId="1" applyFont="1" applyFill="1" applyBorder="1" applyAlignment="1">
      <alignment horizontal="center" vertical="top"/>
    </xf>
    <xf numFmtId="0" fontId="4" fillId="6" borderId="0" xfId="0" applyFont="1" applyFill="1"/>
    <xf numFmtId="41" fontId="7" fillId="0" borderId="0" xfId="1" applyFont="1" applyAlignment="1">
      <alignment vertical="top"/>
    </xf>
    <xf numFmtId="41" fontId="15" fillId="0" borderId="1" xfId="1" applyFont="1" applyBorder="1" applyAlignment="1">
      <alignment horizontal="center" vertical="center" wrapText="1"/>
    </xf>
    <xf numFmtId="0" fontId="19" fillId="7" borderId="1" xfId="0" applyFont="1" applyFill="1" applyBorder="1" applyAlignment="1">
      <alignment vertical="center"/>
    </xf>
    <xf numFmtId="41" fontId="19" fillId="15" borderId="1" xfId="0" applyNumberFormat="1" applyFont="1" applyFill="1" applyBorder="1" applyAlignment="1">
      <alignment vertical="center"/>
    </xf>
    <xf numFmtId="41" fontId="19" fillId="13" borderId="1" xfId="0" applyNumberFormat="1" applyFont="1" applyFill="1" applyBorder="1" applyAlignment="1">
      <alignment vertical="center"/>
    </xf>
    <xf numFmtId="0" fontId="19" fillId="16" borderId="1" xfId="0" applyFont="1" applyFill="1" applyBorder="1" applyAlignment="1">
      <alignment vertical="center"/>
    </xf>
    <xf numFmtId="0" fontId="19" fillId="14" borderId="1" xfId="0" applyFont="1" applyFill="1" applyBorder="1" applyAlignment="1">
      <alignment vertical="center"/>
    </xf>
    <xf numFmtId="41" fontId="19" fillId="17" borderId="1" xfId="0" applyNumberFormat="1" applyFont="1" applyFill="1" applyBorder="1" applyAlignment="1">
      <alignment vertical="center"/>
    </xf>
    <xf numFmtId="0" fontId="18" fillId="0" borderId="1" xfId="0" applyFont="1" applyBorder="1" applyAlignment="1">
      <alignment vertical="center"/>
    </xf>
    <xf numFmtId="41" fontId="19" fillId="18" borderId="1" xfId="0" applyNumberFormat="1" applyFont="1" applyFill="1" applyBorder="1" applyAlignment="1">
      <alignment vertical="center"/>
    </xf>
    <xf numFmtId="0" fontId="19" fillId="15" borderId="1" xfId="0" applyFont="1" applyFill="1" applyBorder="1" applyAlignment="1">
      <alignment vertical="center"/>
    </xf>
    <xf numFmtId="0" fontId="19" fillId="17" borderId="1" xfId="0" applyFont="1" applyFill="1" applyBorder="1" applyAlignment="1">
      <alignment vertical="center"/>
    </xf>
    <xf numFmtId="0" fontId="19" fillId="18" borderId="1" xfId="0" applyFont="1" applyFill="1" applyBorder="1" applyAlignment="1">
      <alignment vertical="center"/>
    </xf>
    <xf numFmtId="0" fontId="19" fillId="13" borderId="1" xfId="0" applyFont="1" applyFill="1" applyBorder="1" applyAlignment="1">
      <alignment vertical="center"/>
    </xf>
    <xf numFmtId="41" fontId="20" fillId="8" borderId="1" xfId="0" applyNumberFormat="1" applyFont="1" applyFill="1" applyBorder="1" applyAlignment="1">
      <alignment vertical="center"/>
    </xf>
    <xf numFmtId="0" fontId="21" fillId="8" borderId="1" xfId="0" applyFont="1" applyFill="1" applyBorder="1" applyAlignment="1">
      <alignment vertical="center"/>
    </xf>
    <xf numFmtId="41" fontId="0" fillId="0" borderId="0" xfId="0" applyNumberFormat="1"/>
    <xf numFmtId="0" fontId="3" fillId="0" borderId="0" xfId="1" applyNumberFormat="1" applyFont="1" applyAlignment="1">
      <alignment vertical="center"/>
    </xf>
    <xf numFmtId="41" fontId="19" fillId="14" borderId="1" xfId="0" applyNumberFormat="1" applyFont="1" applyFill="1" applyBorder="1" applyAlignment="1">
      <alignment vertical="center"/>
    </xf>
    <xf numFmtId="0" fontId="2" fillId="0" borderId="0" xfId="0" applyFont="1"/>
    <xf numFmtId="0" fontId="2" fillId="4" borderId="1" xfId="0" applyFont="1" applyFill="1" applyBorder="1" applyAlignment="1">
      <alignment horizontal="center" vertical="center"/>
    </xf>
    <xf numFmtId="0" fontId="2" fillId="4" borderId="1" xfId="0" applyFont="1" applyFill="1" applyBorder="1"/>
    <xf numFmtId="41" fontId="2" fillId="4" borderId="1" xfId="1" applyFont="1" applyFill="1" applyBorder="1" applyAlignment="1">
      <alignment horizontal="center" vertical="top"/>
    </xf>
    <xf numFmtId="0" fontId="3" fillId="0" borderId="1" xfId="0" applyFont="1" applyBorder="1"/>
    <xf numFmtId="0" fontId="3" fillId="0" borderId="1" xfId="0" applyFont="1" applyBorder="1" applyAlignment="1">
      <alignment horizontal="center" vertical="center"/>
    </xf>
    <xf numFmtId="0" fontId="2" fillId="4" borderId="1" xfId="0" applyFont="1" applyFill="1" applyBorder="1" applyAlignment="1">
      <alignment horizontal="center"/>
    </xf>
    <xf numFmtId="0" fontId="3" fillId="0" borderId="1" xfId="0" applyFont="1" applyBorder="1" applyAlignment="1">
      <alignment horizontal="center"/>
    </xf>
    <xf numFmtId="0" fontId="3" fillId="0" borderId="0" xfId="0" applyFont="1" applyAlignment="1">
      <alignment horizontal="center"/>
    </xf>
    <xf numFmtId="0" fontId="2" fillId="4" borderId="1" xfId="0" applyFont="1" applyFill="1" applyBorder="1" applyAlignment="1">
      <alignment horizontal="center" vertical="top"/>
    </xf>
    <xf numFmtId="0" fontId="2" fillId="0" borderId="1" xfId="0" applyFont="1" applyBorder="1" applyAlignment="1">
      <alignment horizontal="center" vertical="center"/>
    </xf>
    <xf numFmtId="0" fontId="2" fillId="8" borderId="1" xfId="0" applyFont="1" applyFill="1" applyBorder="1" applyAlignment="1">
      <alignment horizontal="center" vertical="center"/>
    </xf>
    <xf numFmtId="41" fontId="15" fillId="10" borderId="1" xfId="1" applyFont="1" applyFill="1" applyBorder="1" applyAlignment="1">
      <alignment horizontal="center" vertical="center" wrapText="1"/>
    </xf>
    <xf numFmtId="41" fontId="5" fillId="10" borderId="1" xfId="1" applyFont="1" applyFill="1" applyBorder="1" applyAlignment="1">
      <alignment horizontal="center" vertical="center" wrapText="1"/>
    </xf>
    <xf numFmtId="0" fontId="0" fillId="7" borderId="0" xfId="0" applyFill="1"/>
    <xf numFmtId="12" fontId="3" fillId="0" borderId="0" xfId="1" applyNumberFormat="1" applyFont="1" applyAlignment="1">
      <alignment vertical="center"/>
    </xf>
    <xf numFmtId="10" fontId="8" fillId="0" borderId="0" xfId="1" applyNumberFormat="1" applyFont="1" applyBorder="1" applyAlignment="1">
      <alignment horizontal="center" vertical="center"/>
    </xf>
    <xf numFmtId="0" fontId="5" fillId="4" borderId="0" xfId="0" applyFont="1" applyFill="1" applyAlignment="1">
      <alignment horizontal="center" vertical="top"/>
    </xf>
    <xf numFmtId="0" fontId="5" fillId="19" borderId="1" xfId="0" applyFont="1" applyFill="1" applyBorder="1" applyAlignment="1">
      <alignment horizontal="center" vertical="top"/>
    </xf>
    <xf numFmtId="41" fontId="22" fillId="0" borderId="0" xfId="1" applyFont="1" applyAlignment="1">
      <alignment horizontal="right" vertical="center"/>
    </xf>
    <xf numFmtId="0" fontId="17" fillId="0" borderId="1" xfId="0" applyFont="1" applyBorder="1" applyAlignment="1">
      <alignment horizontal="center" vertical="center"/>
    </xf>
    <xf numFmtId="0" fontId="17" fillId="0" borderId="1" xfId="0" applyFont="1" applyBorder="1"/>
    <xf numFmtId="41" fontId="23" fillId="0" borderId="1" xfId="1" applyFont="1" applyBorder="1" applyAlignment="1">
      <alignment horizontal="center" vertical="center"/>
    </xf>
    <xf numFmtId="41" fontId="23" fillId="0" borderId="0" xfId="1" applyFont="1" applyBorder="1" applyAlignment="1">
      <alignment horizontal="center" vertical="center"/>
    </xf>
    <xf numFmtId="0" fontId="17" fillId="0" borderId="0" xfId="0" applyFont="1"/>
    <xf numFmtId="0" fontId="9" fillId="0" borderId="0" xfId="0" applyFont="1"/>
    <xf numFmtId="41" fontId="9" fillId="0" borderId="0" xfId="0" applyNumberFormat="1" applyFont="1"/>
    <xf numFmtId="41" fontId="17" fillId="7" borderId="1" xfId="1" applyFont="1" applyFill="1" applyBorder="1" applyAlignment="1">
      <alignment horizontal="center" vertical="center"/>
    </xf>
    <xf numFmtId="41" fontId="18" fillId="0" borderId="1" xfId="1" applyFont="1" applyBorder="1" applyAlignment="1">
      <alignment vertical="center"/>
    </xf>
    <xf numFmtId="0" fontId="2" fillId="0" borderId="0" xfId="0" quotePrefix="1" applyFont="1" applyAlignment="1" applyProtection="1">
      <alignment horizontal="center" vertical="center"/>
      <protection locked="0"/>
    </xf>
    <xf numFmtId="14" fontId="3" fillId="0" borderId="0" xfId="0" applyNumberFormat="1" applyFont="1" applyAlignment="1" applyProtection="1">
      <alignment vertical="center"/>
      <protection locked="0"/>
    </xf>
    <xf numFmtId="41" fontId="0" fillId="0" borderId="0" xfId="1" applyFont="1" applyAlignment="1">
      <alignment horizontal="center" vertical="center"/>
    </xf>
    <xf numFmtId="41" fontId="19" fillId="7" borderId="1" xfId="0" applyNumberFormat="1" applyFont="1" applyFill="1" applyBorder="1" applyAlignment="1">
      <alignment vertical="center"/>
    </xf>
    <xf numFmtId="0" fontId="9" fillId="0" borderId="0" xfId="0" applyFont="1" applyAlignment="1">
      <alignment horizontal="center" vertical="center"/>
    </xf>
    <xf numFmtId="41" fontId="7" fillId="0" borderId="0" xfId="1" applyFont="1" applyAlignment="1">
      <alignment horizontal="center" vertical="top"/>
    </xf>
    <xf numFmtId="41" fontId="24" fillId="0" borderId="0" xfId="1" applyFont="1" applyAlignment="1">
      <alignment vertical="center"/>
    </xf>
    <xf numFmtId="0" fontId="3" fillId="0" borderId="0" xfId="0" applyFont="1" applyAlignment="1" applyProtection="1">
      <alignment horizontal="right" vertical="center"/>
      <protection locked="0"/>
    </xf>
    <xf numFmtId="0" fontId="9" fillId="10" borderId="1" xfId="1" applyNumberFormat="1" applyFont="1" applyFill="1" applyBorder="1" applyAlignment="1">
      <alignment vertical="center"/>
    </xf>
    <xf numFmtId="164" fontId="4" fillId="3" borderId="1" xfId="1" applyNumberFormat="1" applyFont="1" applyFill="1" applyBorder="1" applyAlignment="1">
      <alignment vertical="center"/>
    </xf>
    <xf numFmtId="41" fontId="5" fillId="0" borderId="1" xfId="1" applyFont="1" applyBorder="1" applyAlignment="1">
      <alignment horizontal="center" vertical="top" wrapText="1"/>
    </xf>
    <xf numFmtId="1" fontId="4" fillId="2" borderId="1" xfId="1" applyNumberFormat="1" applyFont="1" applyFill="1" applyBorder="1" applyAlignment="1">
      <alignment vertical="center"/>
    </xf>
    <xf numFmtId="1" fontId="5" fillId="2" borderId="1" xfId="1" applyNumberFormat="1" applyFont="1" applyFill="1" applyBorder="1" applyAlignment="1">
      <alignment vertical="center"/>
    </xf>
    <xf numFmtId="1" fontId="4" fillId="3" borderId="1" xfId="1" applyNumberFormat="1" applyFont="1" applyFill="1" applyBorder="1" applyAlignment="1">
      <alignment vertical="center"/>
    </xf>
    <xf numFmtId="0" fontId="2" fillId="0" borderId="0" xfId="0" applyFont="1" applyAlignment="1">
      <alignment horizontal="left"/>
    </xf>
    <xf numFmtId="0" fontId="3" fillId="0" borderId="0" xfId="0" applyFont="1" applyAlignment="1">
      <alignment vertical="center"/>
    </xf>
    <xf numFmtId="0" fontId="2" fillId="4" borderId="1" xfId="0" applyFont="1" applyFill="1" applyBorder="1" applyAlignment="1" applyProtection="1">
      <alignment horizontal="center" vertical="center"/>
      <protection hidden="1"/>
    </xf>
    <xf numFmtId="0" fontId="2" fillId="4" borderId="1" xfId="0" applyFont="1" applyFill="1" applyBorder="1" applyAlignment="1" applyProtection="1">
      <alignment horizontal="center" vertical="center"/>
      <protection locked="0"/>
    </xf>
    <xf numFmtId="0" fontId="14" fillId="0" borderId="0" xfId="0" applyFont="1" applyAlignment="1" applyProtection="1">
      <alignment horizontal="center" vertical="top"/>
      <protection locked="0"/>
    </xf>
    <xf numFmtId="0" fontId="3" fillId="0" borderId="0" xfId="0" applyFont="1" applyAlignment="1" applyProtection="1">
      <alignment vertical="top"/>
      <protection locked="0"/>
    </xf>
    <xf numFmtId="0" fontId="9" fillId="0" borderId="2" xfId="0" applyFont="1" applyBorder="1" applyAlignment="1" applyProtection="1">
      <alignment horizontal="center" vertical="center"/>
      <protection locked="0"/>
    </xf>
    <xf numFmtId="0" fontId="15" fillId="4" borderId="1" xfId="0" applyFont="1" applyFill="1" applyBorder="1" applyAlignment="1" applyProtection="1">
      <alignment horizontal="center" vertical="center" wrapText="1"/>
      <protection locked="0"/>
    </xf>
    <xf numFmtId="0" fontId="12" fillId="0" borderId="0" xfId="0" applyFont="1" applyAlignment="1" applyProtection="1">
      <alignment vertical="center"/>
      <protection locked="0"/>
    </xf>
    <xf numFmtId="41" fontId="13" fillId="0" borderId="0" xfId="0" applyNumberFormat="1" applyFont="1" applyAlignment="1" applyProtection="1">
      <alignment horizontal="center" vertical="center"/>
      <protection locked="0"/>
    </xf>
    <xf numFmtId="0" fontId="5" fillId="0" borderId="2" xfId="0" applyFont="1" applyBorder="1" applyAlignment="1">
      <alignment vertical="center"/>
    </xf>
    <xf numFmtId="0" fontId="27" fillId="0" borderId="0" xfId="0" applyFont="1" applyAlignment="1" applyProtection="1">
      <alignment horizontal="center" vertical="center"/>
      <protection locked="0"/>
    </xf>
    <xf numFmtId="41" fontId="2" fillId="0" borderId="0" xfId="1" applyFont="1" applyAlignment="1">
      <alignment horizontal="center" vertical="center"/>
    </xf>
    <xf numFmtId="0" fontId="28" fillId="0" borderId="2" xfId="0" applyFont="1" applyBorder="1" applyAlignment="1" applyProtection="1">
      <alignment vertical="center"/>
      <protection locked="0"/>
    </xf>
    <xf numFmtId="41" fontId="5" fillId="0" borderId="0" xfId="1" applyFont="1" applyAlignment="1">
      <alignment vertical="center"/>
    </xf>
    <xf numFmtId="0" fontId="0" fillId="8" borderId="0" xfId="0" applyFill="1"/>
    <xf numFmtId="41" fontId="12" fillId="0" borderId="0" xfId="1" applyFont="1" applyAlignment="1" applyProtection="1">
      <alignment horizontal="right" vertical="center"/>
      <protection locked="0"/>
    </xf>
    <xf numFmtId="41" fontId="12" fillId="0" borderId="0" xfId="1" applyFont="1" applyAlignment="1" applyProtection="1">
      <alignment horizontal="right" vertical="center"/>
    </xf>
    <xf numFmtId="0" fontId="9" fillId="0" borderId="1" xfId="1" applyNumberFormat="1" applyFont="1" applyBorder="1" applyAlignment="1">
      <alignment horizontal="center" vertical="center"/>
    </xf>
    <xf numFmtId="2" fontId="3" fillId="0" borderId="0" xfId="1" applyNumberFormat="1" applyFont="1" applyAlignment="1">
      <alignment vertical="center"/>
    </xf>
    <xf numFmtId="0" fontId="29" fillId="0" borderId="1" xfId="1" applyNumberFormat="1" applyFont="1" applyFill="1" applyBorder="1" applyAlignment="1">
      <alignment horizontal="center" vertical="center"/>
    </xf>
    <xf numFmtId="0" fontId="4" fillId="0" borderId="1" xfId="0" applyFont="1" applyBorder="1" applyAlignment="1" applyProtection="1">
      <alignment horizontal="center" vertical="center"/>
      <protection hidden="1"/>
    </xf>
    <xf numFmtId="0" fontId="7" fillId="0" borderId="1" xfId="0" applyFont="1" applyBorder="1" applyAlignment="1" applyProtection="1">
      <alignment vertical="center"/>
      <protection hidden="1"/>
    </xf>
    <xf numFmtId="41" fontId="24" fillId="0" borderId="1" xfId="1" applyFont="1" applyBorder="1" applyAlignment="1" applyProtection="1">
      <alignment horizontal="center" vertical="center"/>
      <protection hidden="1"/>
    </xf>
    <xf numFmtId="0" fontId="8" fillId="0" borderId="0" xfId="1" applyNumberFormat="1" applyFont="1" applyBorder="1" applyAlignment="1" applyProtection="1">
      <alignment horizontal="center" vertical="center"/>
      <protection hidden="1"/>
    </xf>
    <xf numFmtId="0" fontId="24" fillId="0" borderId="0" xfId="1" applyNumberFormat="1" applyFont="1" applyBorder="1" applyAlignment="1" applyProtection="1">
      <alignment horizontal="center" vertical="center"/>
      <protection hidden="1"/>
    </xf>
    <xf numFmtId="164" fontId="8" fillId="0" borderId="0" xfId="1" applyNumberFormat="1" applyFont="1" applyBorder="1" applyAlignment="1" applyProtection="1">
      <alignment horizontal="center" vertical="center"/>
      <protection hidden="1"/>
    </xf>
    <xf numFmtId="41" fontId="8" fillId="0" borderId="0" xfId="1" applyFont="1" applyBorder="1" applyAlignment="1" applyProtection="1">
      <alignment horizontal="center" vertical="center"/>
      <protection hidden="1"/>
    </xf>
    <xf numFmtId="0" fontId="4" fillId="6" borderId="1" xfId="0" applyFont="1" applyFill="1" applyBorder="1" applyAlignment="1" applyProtection="1">
      <alignment horizontal="center" vertical="center"/>
      <protection hidden="1"/>
    </xf>
    <xf numFmtId="0" fontId="7" fillId="6" borderId="1" xfId="0" applyFont="1" applyFill="1" applyBorder="1" applyAlignment="1" applyProtection="1">
      <alignment vertical="center"/>
      <protection hidden="1"/>
    </xf>
    <xf numFmtId="0" fontId="19" fillId="20" borderId="0" xfId="0" applyFont="1" applyFill="1" applyAlignment="1" applyProtection="1">
      <alignment horizontal="center" vertical="center"/>
      <protection locked="0"/>
    </xf>
    <xf numFmtId="41" fontId="4" fillId="20" borderId="0" xfId="0" quotePrefix="1" applyNumberFormat="1" applyFont="1" applyFill="1" applyAlignment="1" applyProtection="1">
      <alignment horizontal="center" vertical="center"/>
      <protection locked="0"/>
    </xf>
    <xf numFmtId="0" fontId="19" fillId="18" borderId="0" xfId="0" applyFont="1" applyFill="1" applyAlignment="1" applyProtection="1">
      <alignment horizontal="center" vertical="center"/>
      <protection locked="0"/>
    </xf>
    <xf numFmtId="41" fontId="4" fillId="18" borderId="0" xfId="0" quotePrefix="1" applyNumberFormat="1" applyFont="1" applyFill="1" applyAlignment="1" applyProtection="1">
      <alignment horizontal="center" vertical="center"/>
      <protection locked="0"/>
    </xf>
    <xf numFmtId="41" fontId="4" fillId="0" borderId="0" xfId="0" applyNumberFormat="1" applyFont="1" applyProtection="1">
      <protection locked="0"/>
    </xf>
    <xf numFmtId="0" fontId="4" fillId="0" borderId="0" xfId="0" applyFont="1" applyProtection="1">
      <protection locked="0"/>
    </xf>
    <xf numFmtId="0" fontId="19" fillId="5" borderId="0" xfId="0" applyFont="1" applyFill="1" applyAlignment="1" applyProtection="1">
      <alignment horizontal="center" vertical="center"/>
      <protection locked="0"/>
    </xf>
    <xf numFmtId="41" fontId="4" fillId="5" borderId="0" xfId="0" quotePrefix="1" applyNumberFormat="1" applyFont="1" applyFill="1" applyAlignment="1" applyProtection="1">
      <alignment horizontal="center" vertical="center"/>
      <protection locked="0"/>
    </xf>
    <xf numFmtId="0" fontId="6" fillId="4" borderId="1" xfId="0" applyFont="1" applyFill="1" applyBorder="1" applyAlignment="1">
      <alignment horizontal="center" vertical="center" wrapText="1"/>
    </xf>
    <xf numFmtId="41" fontId="6" fillId="4" borderId="1" xfId="0" applyNumberFormat="1" applyFont="1" applyFill="1" applyBorder="1" applyAlignment="1">
      <alignment horizontal="center" vertical="center"/>
    </xf>
    <xf numFmtId="41" fontId="4" fillId="7" borderId="1" xfId="1" applyFont="1" applyFill="1" applyBorder="1" applyAlignment="1">
      <alignment vertical="center"/>
    </xf>
    <xf numFmtId="0" fontId="4" fillId="7" borderId="1" xfId="1" applyNumberFormat="1" applyFont="1" applyFill="1" applyBorder="1" applyAlignment="1">
      <alignment horizontal="center" vertical="center"/>
    </xf>
    <xf numFmtId="0" fontId="5" fillId="7" borderId="1" xfId="1" applyNumberFormat="1" applyFont="1" applyFill="1" applyBorder="1" applyAlignment="1">
      <alignment horizontal="center" vertical="center"/>
    </xf>
    <xf numFmtId="0" fontId="5" fillId="7" borderId="1" xfId="1" applyNumberFormat="1" applyFont="1" applyFill="1" applyBorder="1" applyAlignment="1">
      <alignment vertical="center"/>
    </xf>
    <xf numFmtId="43" fontId="4" fillId="7" borderId="1" xfId="1" applyNumberFormat="1" applyFont="1" applyFill="1" applyBorder="1" applyAlignment="1">
      <alignment vertical="center"/>
    </xf>
    <xf numFmtId="41" fontId="8" fillId="7" borderId="1" xfId="1" applyFont="1" applyFill="1" applyBorder="1" applyAlignment="1">
      <alignment vertical="center"/>
    </xf>
    <xf numFmtId="41" fontId="5" fillId="7" borderId="1" xfId="1" applyFont="1" applyFill="1" applyBorder="1" applyAlignment="1">
      <alignment vertical="center"/>
    </xf>
    <xf numFmtId="165" fontId="30" fillId="0" borderId="1" xfId="2" applyNumberFormat="1" applyFont="1" applyFill="1" applyBorder="1" applyAlignment="1" applyProtection="1">
      <alignment horizontal="center" vertical="center"/>
      <protection hidden="1"/>
    </xf>
    <xf numFmtId="41" fontId="4" fillId="0" borderId="0" xfId="1" applyFont="1" applyProtection="1">
      <protection locked="0"/>
    </xf>
    <xf numFmtId="0" fontId="4" fillId="7" borderId="1" xfId="1" applyNumberFormat="1" applyFont="1" applyFill="1" applyBorder="1" applyAlignment="1">
      <alignment vertical="center"/>
    </xf>
    <xf numFmtId="1" fontId="4" fillId="7" borderId="1" xfId="1" applyNumberFormat="1" applyFont="1" applyFill="1" applyBorder="1" applyAlignment="1">
      <alignment vertical="center"/>
    </xf>
    <xf numFmtId="1" fontId="5" fillId="7" borderId="1" xfId="1" applyNumberFormat="1" applyFont="1" applyFill="1" applyBorder="1" applyAlignment="1">
      <alignment vertical="center"/>
    </xf>
    <xf numFmtId="41" fontId="6" fillId="7" borderId="1" xfId="1" applyFont="1" applyFill="1" applyBorder="1" applyAlignment="1">
      <alignment vertical="center"/>
    </xf>
    <xf numFmtId="0" fontId="9" fillId="7" borderId="1" xfId="1" applyNumberFormat="1" applyFont="1" applyFill="1" applyBorder="1" applyAlignment="1">
      <alignment vertical="center"/>
    </xf>
    <xf numFmtId="0" fontId="29" fillId="7" borderId="1" xfId="1" applyNumberFormat="1" applyFont="1" applyFill="1" applyBorder="1" applyAlignment="1">
      <alignment horizontal="center" vertical="center"/>
    </xf>
    <xf numFmtId="0" fontId="9" fillId="7" borderId="1" xfId="1" applyNumberFormat="1" applyFont="1" applyFill="1" applyBorder="1" applyAlignment="1">
      <alignment horizontal="center" vertical="center"/>
    </xf>
    <xf numFmtId="164" fontId="4" fillId="7" borderId="1" xfId="1" applyNumberFormat="1" applyFont="1" applyFill="1" applyBorder="1" applyAlignment="1">
      <alignment vertical="center"/>
    </xf>
    <xf numFmtId="41" fontId="9" fillId="7" borderId="1" xfId="1" applyFont="1" applyFill="1" applyBorder="1" applyAlignment="1">
      <alignment vertical="center"/>
    </xf>
    <xf numFmtId="41" fontId="4" fillId="7" borderId="1" xfId="1" applyFont="1" applyFill="1" applyBorder="1" applyAlignment="1">
      <alignment horizontal="center" vertical="center"/>
    </xf>
    <xf numFmtId="166" fontId="3" fillId="0" borderId="0" xfId="1" applyNumberFormat="1" applyFont="1" applyAlignment="1">
      <alignment vertical="center"/>
    </xf>
    <xf numFmtId="41" fontId="32" fillId="0" borderId="1" xfId="1" applyFont="1" applyBorder="1" applyAlignment="1">
      <alignment horizontal="center" vertical="center"/>
    </xf>
    <xf numFmtId="41" fontId="31" fillId="0" borderId="1" xfId="1" applyFont="1" applyBorder="1" applyAlignment="1">
      <alignment horizontal="center" vertical="center"/>
    </xf>
    <xf numFmtId="0" fontId="2" fillId="21" borderId="1" xfId="0" applyFont="1" applyFill="1" applyBorder="1" applyAlignment="1">
      <alignment horizontal="center" vertical="center"/>
    </xf>
    <xf numFmtId="41" fontId="2" fillId="21" borderId="1" xfId="0" applyNumberFormat="1" applyFont="1" applyFill="1" applyBorder="1" applyAlignment="1">
      <alignment horizontal="center" vertical="center" wrapText="1"/>
    </xf>
    <xf numFmtId="0" fontId="2" fillId="21" borderId="1" xfId="0" applyFont="1" applyFill="1" applyBorder="1" applyAlignment="1">
      <alignment horizontal="center" vertical="top"/>
    </xf>
    <xf numFmtId="41" fontId="2" fillId="21" borderId="1" xfId="1" applyFont="1" applyFill="1" applyBorder="1" applyAlignment="1">
      <alignment horizontal="center" vertical="top"/>
    </xf>
    <xf numFmtId="0" fontId="0" fillId="0" borderId="0" xfId="0" applyAlignment="1">
      <alignment horizontal="center" vertical="center"/>
    </xf>
    <xf numFmtId="167" fontId="3" fillId="0" borderId="0" xfId="1" applyNumberFormat="1" applyFont="1" applyAlignment="1">
      <alignment vertical="center"/>
    </xf>
    <xf numFmtId="168" fontId="4" fillId="3" borderId="1" xfId="1" applyNumberFormat="1" applyFont="1" applyFill="1" applyBorder="1" applyAlignment="1">
      <alignment vertical="center"/>
    </xf>
    <xf numFmtId="164" fontId="4" fillId="2" borderId="1" xfId="1" applyNumberFormat="1" applyFont="1" applyFill="1" applyBorder="1" applyAlignment="1">
      <alignment vertical="center"/>
    </xf>
    <xf numFmtId="164" fontId="3" fillId="0" borderId="0" xfId="1" applyNumberFormat="1" applyFont="1" applyAlignment="1">
      <alignment vertical="center"/>
    </xf>
    <xf numFmtId="0" fontId="0" fillId="10" borderId="0" xfId="0" applyFill="1"/>
    <xf numFmtId="41" fontId="3" fillId="7" borderId="1" xfId="1" applyFont="1" applyFill="1" applyBorder="1" applyAlignment="1">
      <alignment horizontal="center" vertical="center"/>
    </xf>
    <xf numFmtId="0" fontId="35" fillId="0" borderId="1" xfId="0" applyFont="1" applyBorder="1" applyAlignment="1">
      <alignment horizontal="left" vertical="center" wrapText="1"/>
    </xf>
    <xf numFmtId="0" fontId="33" fillId="12" borderId="1" xfId="1" quotePrefix="1" applyNumberFormat="1" applyFont="1" applyFill="1" applyBorder="1" applyAlignment="1">
      <alignment horizontal="center" vertical="center"/>
    </xf>
    <xf numFmtId="0" fontId="35" fillId="7" borderId="1" xfId="0" applyFont="1" applyFill="1" applyBorder="1" applyAlignment="1">
      <alignment horizontal="left" vertical="center" wrapText="1"/>
    </xf>
    <xf numFmtId="0" fontId="33" fillId="7" borderId="1" xfId="1" quotePrefix="1" applyNumberFormat="1" applyFont="1" applyFill="1" applyBorder="1" applyAlignment="1">
      <alignment horizontal="center" vertical="center"/>
    </xf>
    <xf numFmtId="41" fontId="3" fillId="0" borderId="0" xfId="0" applyNumberFormat="1" applyFont="1"/>
    <xf numFmtId="41" fontId="36" fillId="0" borderId="0" xfId="0" applyNumberFormat="1" applyFont="1" applyAlignment="1">
      <alignment horizontal="center" vertical="center"/>
    </xf>
    <xf numFmtId="0" fontId="31" fillId="7" borderId="1" xfId="1" applyNumberFormat="1" applyFont="1" applyFill="1" applyBorder="1" applyAlignment="1">
      <alignment vertical="center"/>
    </xf>
    <xf numFmtId="41" fontId="3" fillId="0" borderId="0" xfId="1" applyFont="1"/>
    <xf numFmtId="0" fontId="36" fillId="0" borderId="0" xfId="0" applyFont="1"/>
    <xf numFmtId="41" fontId="36" fillId="5" borderId="0" xfId="1" applyFont="1" applyFill="1" applyAlignment="1">
      <alignment horizontal="center" vertical="center"/>
    </xf>
    <xf numFmtId="41" fontId="2" fillId="5" borderId="0" xfId="1" applyFont="1" applyFill="1" applyAlignment="1">
      <alignment horizontal="center" vertical="center"/>
    </xf>
    <xf numFmtId="164" fontId="38" fillId="0" borderId="1" xfId="1" applyNumberFormat="1" applyFont="1" applyBorder="1" applyAlignment="1">
      <alignment horizontal="center" vertical="center"/>
    </xf>
    <xf numFmtId="164" fontId="4" fillId="0" borderId="0" xfId="1" applyNumberFormat="1" applyFont="1" applyProtection="1">
      <protection locked="0"/>
    </xf>
    <xf numFmtId="0" fontId="2" fillId="21" borderId="1" xfId="0" applyFont="1" applyFill="1" applyBorder="1" applyAlignment="1">
      <alignment horizontal="center" vertical="center" wrapText="1"/>
    </xf>
    <xf numFmtId="41" fontId="39" fillId="4" borderId="1" xfId="1" quotePrefix="1" applyFont="1" applyFill="1" applyBorder="1" applyAlignment="1">
      <alignment horizontal="center" vertical="center" wrapText="1"/>
    </xf>
    <xf numFmtId="41" fontId="40" fillId="4" borderId="1" xfId="1" quotePrefix="1" applyFont="1" applyFill="1" applyBorder="1" applyAlignment="1">
      <alignment horizontal="center" vertical="top" wrapText="1"/>
    </xf>
    <xf numFmtId="168" fontId="4" fillId="2" borderId="1" xfId="1" applyNumberFormat="1" applyFont="1" applyFill="1" applyBorder="1" applyAlignment="1">
      <alignment vertical="center"/>
    </xf>
    <xf numFmtId="41" fontId="2" fillId="4" borderId="1" xfId="1" quotePrefix="1" applyFont="1" applyFill="1" applyBorder="1" applyAlignment="1">
      <alignment horizontal="center" vertical="center" wrapText="1"/>
    </xf>
    <xf numFmtId="169" fontId="29" fillId="0" borderId="1" xfId="1" applyNumberFormat="1" applyFont="1" applyFill="1" applyBorder="1" applyAlignment="1">
      <alignment horizontal="center" vertical="center"/>
    </xf>
    <xf numFmtId="41" fontId="3" fillId="0" borderId="1" xfId="1" applyFont="1" applyBorder="1" applyAlignment="1">
      <alignment vertical="center"/>
    </xf>
    <xf numFmtId="168" fontId="4" fillId="7" borderId="1" xfId="1" applyNumberFormat="1" applyFont="1" applyFill="1" applyBorder="1" applyAlignment="1">
      <alignment vertical="center"/>
    </xf>
    <xf numFmtId="41" fontId="0" fillId="7" borderId="0" xfId="0" quotePrefix="1" applyNumberFormat="1" applyFill="1"/>
    <xf numFmtId="41" fontId="40" fillId="4" borderId="1" xfId="1" quotePrefix="1" applyFont="1" applyFill="1" applyBorder="1" applyAlignment="1">
      <alignment horizontal="center" wrapText="1"/>
    </xf>
    <xf numFmtId="0" fontId="9" fillId="19" borderId="1" xfId="0" applyFont="1" applyFill="1" applyBorder="1" applyAlignment="1">
      <alignment horizontal="center" vertical="top"/>
    </xf>
    <xf numFmtId="2" fontId="3" fillId="0" borderId="1" xfId="1" applyNumberFormat="1" applyFont="1" applyBorder="1" applyAlignment="1">
      <alignment horizontal="center" vertical="center"/>
    </xf>
    <xf numFmtId="0" fontId="4" fillId="0" borderId="1" xfId="1" applyNumberFormat="1" applyFont="1" applyFill="1" applyBorder="1" applyAlignment="1">
      <alignment horizontal="center" vertical="center"/>
    </xf>
    <xf numFmtId="41" fontId="0" fillId="0" borderId="0" xfId="0" quotePrefix="1" applyNumberFormat="1" applyAlignment="1">
      <alignment horizontal="right"/>
    </xf>
    <xf numFmtId="41" fontId="3" fillId="0" borderId="0" xfId="1" applyFont="1" applyFill="1" applyAlignment="1">
      <alignment vertical="center"/>
    </xf>
    <xf numFmtId="170" fontId="3" fillId="0" borderId="0" xfId="1" applyNumberFormat="1" applyFont="1" applyAlignment="1">
      <alignment vertical="center"/>
    </xf>
    <xf numFmtId="171" fontId="5" fillId="9" borderId="1" xfId="1" applyNumberFormat="1" applyFont="1" applyFill="1" applyBorder="1" applyAlignment="1">
      <alignment horizontal="center" vertical="center"/>
    </xf>
    <xf numFmtId="164" fontId="4" fillId="0" borderId="0" xfId="1" applyNumberFormat="1" applyFont="1" applyAlignment="1" applyProtection="1">
      <alignment horizontal="center" vertical="center"/>
      <protection locked="0"/>
    </xf>
    <xf numFmtId="0" fontId="9" fillId="0" borderId="1" xfId="0" pivotButton="1" applyFont="1" applyBorder="1" applyAlignment="1">
      <alignment horizontal="center" vertical="top"/>
    </xf>
    <xf numFmtId="0" fontId="9" fillId="0" borderId="1" xfId="0" pivotButton="1" applyFont="1" applyBorder="1" applyAlignment="1">
      <alignment horizontal="center" vertical="center"/>
    </xf>
    <xf numFmtId="0" fontId="9" fillId="0" borderId="0" xfId="0" applyFont="1" applyAlignment="1">
      <alignment vertical="center"/>
    </xf>
    <xf numFmtId="0" fontId="9" fillId="0" borderId="0" xfId="0" applyFont="1" applyAlignment="1">
      <alignment horizontal="left" vertical="center"/>
    </xf>
    <xf numFmtId="41" fontId="9" fillId="0" borderId="0" xfId="0" applyNumberFormat="1" applyFont="1" applyAlignment="1">
      <alignment vertical="center"/>
    </xf>
    <xf numFmtId="41" fontId="9" fillId="0" borderId="0" xfId="0" applyNumberFormat="1" applyFont="1" applyAlignment="1">
      <alignment horizontal="center" vertical="center"/>
    </xf>
    <xf numFmtId="41" fontId="0" fillId="22" borderId="0" xfId="0" applyNumberFormat="1" applyFill="1"/>
    <xf numFmtId="0" fontId="31" fillId="0" borderId="1" xfId="0" applyFont="1" applyBorder="1" applyAlignment="1">
      <alignment horizontal="center" vertical="center"/>
    </xf>
    <xf numFmtId="0" fontId="2" fillId="0" borderId="1" xfId="0" applyFont="1" applyBorder="1" applyAlignment="1">
      <alignment horizontal="center" vertical="center"/>
    </xf>
    <xf numFmtId="0" fontId="2" fillId="4" borderId="1" xfId="0" applyFont="1" applyFill="1" applyBorder="1" applyAlignment="1">
      <alignment horizontal="center" vertical="center"/>
    </xf>
    <xf numFmtId="0" fontId="2" fillId="10" borderId="0" xfId="0" applyFont="1" applyFill="1" applyAlignment="1">
      <alignment horizontal="center" vertical="center" wrapText="1"/>
    </xf>
    <xf numFmtId="41" fontId="37" fillId="7" borderId="1" xfId="1" applyFont="1" applyFill="1" applyBorder="1" applyAlignment="1">
      <alignment horizontal="center" vertical="center"/>
    </xf>
    <xf numFmtId="0" fontId="37" fillId="7" borderId="1" xfId="1" applyNumberFormat="1" applyFont="1" applyFill="1" applyBorder="1" applyAlignment="1">
      <alignment horizontal="center" vertical="center"/>
    </xf>
    <xf numFmtId="41" fontId="2" fillId="7" borderId="0" xfId="1" applyFont="1" applyFill="1" applyAlignment="1">
      <alignment horizontal="center" vertical="center"/>
    </xf>
    <xf numFmtId="41" fontId="16" fillId="12" borderId="0" xfId="0" applyNumberFormat="1" applyFont="1" applyFill="1" applyAlignment="1" applyProtection="1">
      <alignment horizontal="center" vertical="center"/>
      <protection locked="0"/>
    </xf>
    <xf numFmtId="0" fontId="16" fillId="12" borderId="2" xfId="0" applyFont="1" applyFill="1" applyBorder="1" applyAlignment="1" applyProtection="1">
      <alignment horizontal="center" vertical="center"/>
      <protection locked="0"/>
    </xf>
    <xf numFmtId="41" fontId="19" fillId="0" borderId="0" xfId="0" quotePrefix="1" applyNumberFormat="1" applyFont="1" applyAlignment="1" applyProtection="1">
      <alignment horizontal="center" vertical="center" wrapText="1"/>
      <protection locked="0"/>
    </xf>
    <xf numFmtId="0" fontId="19" fillId="0" borderId="2" xfId="0" applyFont="1" applyBorder="1" applyAlignment="1" applyProtection="1">
      <alignment horizontal="center" vertical="center" wrapText="1"/>
      <protection locked="0"/>
    </xf>
    <xf numFmtId="41" fontId="2" fillId="11" borderId="1" xfId="0" applyNumberFormat="1" applyFont="1" applyFill="1" applyBorder="1" applyAlignment="1" applyProtection="1">
      <alignment horizontal="center" vertical="center" wrapText="1"/>
      <protection locked="0"/>
    </xf>
    <xf numFmtId="41" fontId="7" fillId="7" borderId="1" xfId="0" applyNumberFormat="1" applyFont="1" applyFill="1" applyBorder="1" applyAlignment="1" applyProtection="1">
      <alignment horizontal="center" vertical="center" wrapText="1"/>
      <protection locked="0"/>
    </xf>
    <xf numFmtId="41" fontId="16" fillId="7" borderId="1" xfId="0" applyNumberFormat="1" applyFont="1" applyFill="1" applyBorder="1" applyAlignment="1" applyProtection="1">
      <alignment horizontal="center" vertical="center"/>
      <protection locked="0"/>
    </xf>
    <xf numFmtId="41" fontId="5" fillId="11" borderId="1" xfId="0" applyNumberFormat="1" applyFont="1" applyFill="1" applyBorder="1" applyAlignment="1" applyProtection="1">
      <alignment horizontal="center" vertical="center" wrapText="1"/>
      <protection locked="0"/>
    </xf>
    <xf numFmtId="0" fontId="34" fillId="7" borderId="3" xfId="0" applyFont="1" applyFill="1" applyBorder="1" applyAlignment="1">
      <alignment horizontal="center" vertical="center"/>
    </xf>
    <xf numFmtId="0" fontId="34" fillId="7" borderId="4" xfId="0" applyFont="1" applyFill="1" applyBorder="1" applyAlignment="1">
      <alignment horizontal="center" vertical="center"/>
    </xf>
    <xf numFmtId="0" fontId="9" fillId="0" borderId="2" xfId="0" applyFont="1" applyBorder="1" applyAlignment="1">
      <alignment horizontal="right" vertical="center"/>
    </xf>
    <xf numFmtId="0" fontId="26" fillId="0" borderId="0" xfId="0" applyFont="1" applyAlignment="1">
      <alignment horizontal="left" vertical="center"/>
    </xf>
    <xf numFmtId="0" fontId="2" fillId="0" borderId="0" xfId="0" applyFont="1" applyAlignment="1">
      <alignment horizontal="left" vertical="top"/>
    </xf>
    <xf numFmtId="0" fontId="2" fillId="0" borderId="0" xfId="0" applyFont="1" applyAlignment="1">
      <alignment horizontal="right" vertical="center" wrapText="1"/>
    </xf>
    <xf numFmtId="0" fontId="2" fillId="0" borderId="0" xfId="0" applyFont="1" applyAlignment="1">
      <alignment horizontal="center" vertical="center" wrapText="1"/>
    </xf>
    <xf numFmtId="0" fontId="25" fillId="0" borderId="0" xfId="0" applyFont="1" applyAlignment="1">
      <alignment horizontal="center" vertical="center"/>
    </xf>
  </cellXfs>
  <cellStyles count="3">
    <cellStyle name="Comma [0]" xfId="1" builtinId="6"/>
    <cellStyle name="Normal" xfId="0" builtinId="0"/>
    <cellStyle name="Percent" xfId="2" builtinId="5"/>
  </cellStyles>
  <dxfs count="781">
    <dxf>
      <border>
        <top style="thin">
          <color rgb="FF00B0F0"/>
        </top>
        <vertical/>
        <horizontal/>
      </border>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border>
        <top style="thin">
          <color rgb="FF00B0F0"/>
        </top>
        <vertical/>
        <horizontal/>
      </border>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border>
        <top style="thin">
          <color rgb="FF00B0F0"/>
        </top>
        <vertical/>
        <horizontal/>
      </border>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border>
        <top style="thin">
          <color rgb="FF00B0F0"/>
        </top>
        <vertical/>
        <horizontal/>
      </border>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border>
        <top style="thin">
          <color rgb="FF00B0F0"/>
        </top>
        <vertical/>
        <horizontal/>
      </border>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border>
        <top style="thin">
          <color rgb="FF00B0F0"/>
        </top>
        <vertical/>
        <horizontal/>
      </border>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border>
        <top style="thin">
          <color rgb="FF00B0F0"/>
        </top>
        <vertical/>
        <horizontal/>
      </border>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border>
        <top style="thin">
          <color rgb="FF00B0F0"/>
        </top>
        <vertical/>
        <horizontal/>
      </border>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border>
        <top style="thin">
          <color rgb="FF00B0F0"/>
        </top>
        <vertical/>
        <horizontal/>
      </border>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border>
        <top style="thin">
          <color rgb="FF00B0F0"/>
        </top>
        <vertical/>
        <horizontal/>
      </border>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border>
        <top style="thin">
          <color rgb="FF00B0F0"/>
        </top>
        <vertical/>
        <horizontal/>
      </border>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border>
        <top style="thin">
          <color rgb="FF00B0F0"/>
        </top>
        <vertical/>
        <horizontal/>
      </border>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border>
        <top style="thin">
          <color rgb="FF00B0F0"/>
        </top>
        <vertical/>
        <horizontal/>
      </border>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border>
        <top style="thin">
          <color rgb="FF00B0F0"/>
        </top>
        <vertical/>
        <horizontal/>
      </border>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border>
        <top style="thin">
          <color rgb="FF00B0F0"/>
        </top>
        <vertical/>
        <horizontal/>
      </border>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border>
        <top style="thin">
          <color rgb="FF00B0F0"/>
        </top>
        <vertical/>
        <horizontal/>
      </border>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border>
        <top style="thin">
          <color rgb="FF00B0F0"/>
        </top>
        <vertical/>
        <horizontal/>
      </border>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border>
        <top style="thin">
          <color rgb="FF00B0F0"/>
        </top>
        <vertical/>
        <horizontal/>
      </border>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border>
        <top style="thin">
          <color rgb="FF00B0F0"/>
        </top>
        <vertical/>
        <horizontal/>
      </border>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border>
        <top style="thin">
          <color rgb="FF00B0F0"/>
        </top>
        <vertical/>
        <horizontal/>
      </border>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border>
        <top style="thin">
          <color rgb="FF00B0F0"/>
        </top>
        <vertical/>
        <horizontal/>
      </border>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border>
        <top style="thin">
          <color rgb="FF00B0F0"/>
        </top>
        <vertical/>
        <horizontal/>
      </border>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border>
        <top style="thin">
          <color rgb="FF00B0F0"/>
        </top>
        <vertical/>
        <horizontal/>
      </border>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border>
        <top style="thin">
          <color rgb="FF00B0F0"/>
        </top>
        <vertical/>
        <horizontal/>
      </border>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border>
        <top style="thin">
          <color rgb="FF00B0F0"/>
        </top>
        <vertical/>
        <horizontal/>
      </border>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FF00"/>
        </patternFill>
      </fill>
    </dxf>
    <dxf>
      <alignment vertical="top" readingOrder="0"/>
    </dxf>
    <dxf>
      <alignment vertical="top" readingOrder="0"/>
    </dxf>
    <dxf>
      <alignment horizontal="center" vertical="center" readingOrder="0"/>
    </dxf>
    <dxf>
      <alignment horizontal="center" vertical="center" readingOrder="0"/>
    </dxf>
    <dxf>
      <alignment horizontal="center" readingOrder="0"/>
    </dxf>
    <dxf>
      <alignment horizontal="center" readingOrder="0"/>
    </dxf>
    <dxf>
      <alignment horizontal="left" readingOrder="0"/>
    </dxf>
    <dxf>
      <alignment horizontal="center" vertical="center" readingOrder="0"/>
    </dxf>
    <dxf>
      <alignment horizontal="center" vertical="center" readingOrder="0"/>
    </dxf>
    <dxf>
      <alignment horizontal="center" vertical="center" readingOrder="0"/>
    </dxf>
    <dxf>
      <alignment horizontal="center" vertical="center" readingOrder="0"/>
    </dxf>
    <dxf>
      <alignment vertical="center" readingOrder="0"/>
    </dxf>
    <dxf>
      <font>
        <b/>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sz val="18"/>
      </font>
    </dxf>
    <dxf>
      <font>
        <sz val="18"/>
      </font>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alignment vertical="top" readingOrder="0"/>
    </dxf>
    <dxf>
      <alignment vertical="top" readingOrder="0"/>
    </dxf>
    <dxf>
      <alignment vertical="top" readingOrder="0"/>
    </dxf>
    <dxf>
      <alignment vertical="top" readingOrder="0"/>
    </dxf>
    <dxf>
      <font>
        <name val="Times New Roman"/>
        <scheme val="none"/>
      </font>
    </dxf>
    <dxf>
      <alignment horizontal="center" readingOrder="0"/>
    </dxf>
    <dxf>
      <alignment vertical="center" readingOrder="0"/>
    </dxf>
    <dxf>
      <alignment vertical="center" readingOrder="0"/>
    </dxf>
    <dxf>
      <alignment horizontal="center" readingOrder="0"/>
    </dxf>
    <dxf>
      <alignment horizontal="center" readingOrder="0"/>
    </dxf>
    <dxf>
      <alignment horizontal="center" readingOrder="0"/>
    </dxf>
    <dxf>
      <alignment horizontal="left" readingOrder="0"/>
    </dxf>
    <dxf>
      <alignment horizont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b/>
        <i val="0"/>
        <sz val="14"/>
        <name val="Arial"/>
        <scheme val="none"/>
      </font>
      <fill>
        <patternFill>
          <bgColor theme="8" tint="0.39994506668294322"/>
        </patternFill>
      </fill>
      <border>
        <left style="thick">
          <color auto="1"/>
        </left>
        <right style="thick">
          <color auto="1"/>
        </right>
        <top style="thick">
          <color auto="1"/>
        </top>
        <bottom style="thick">
          <color auto="1"/>
        </bottom>
      </border>
    </dxf>
    <dxf>
      <border>
        <left style="thin">
          <color theme="1"/>
        </left>
        <right style="thin">
          <color theme="1"/>
        </right>
        <top style="thin">
          <color theme="1"/>
        </top>
        <bottom style="thin">
          <color theme="1"/>
        </bottom>
      </border>
    </dxf>
  </dxfs>
  <tableStyles count="1" defaultTableStyle="TableStyleMedium2" defaultPivotStyle="PivotStyleLight16">
    <tableStyle name="Slicer Style 1 2" pivot="0" table="0" count="6" xr9:uid="{00000000-0011-0000-FFFF-FFFF00000000}">
      <tableStyleElement type="wholeTable" dxfId="780"/>
      <tableStyleElement type="headerRow" dxfId="779"/>
    </tableStyle>
  </tableStyles>
  <colors>
    <mruColors>
      <color rgb="FF99FF33"/>
      <color rgb="FF00FF00"/>
    </mruColors>
  </colors>
  <extLst>
    <ext xmlns:x14="http://schemas.microsoft.com/office/spreadsheetml/2009/9/main" uri="{46F421CA-312F-682f-3DD2-61675219B42D}">
      <x14:dxfs count="4">
        <dxf>
          <font>
            <b/>
            <i val="0"/>
            <sz val="12"/>
            <name val="Arial"/>
            <scheme val="none"/>
          </font>
        </dxf>
        <dxf>
          <font>
            <b/>
            <i val="0"/>
            <sz val="12"/>
            <name val="Arial"/>
            <scheme val="none"/>
          </font>
        </dxf>
        <dxf>
          <font>
            <b/>
            <i val="0"/>
            <sz val="11"/>
            <name val="Arial"/>
            <scheme val="none"/>
          </font>
          <fill>
            <patternFill>
              <bgColor theme="9" tint="0.39994506668294322"/>
            </patternFill>
          </fill>
          <border>
            <left style="thin">
              <color auto="1"/>
            </left>
            <right style="thin">
              <color auto="1"/>
            </right>
            <top style="thin">
              <color auto="1"/>
            </top>
            <bottom style="thin">
              <color auto="1"/>
            </bottom>
          </border>
        </dxf>
        <dxf>
          <font>
            <b/>
            <i val="0"/>
            <sz val="11"/>
            <name val="Arial"/>
            <scheme val="none"/>
          </font>
          <fill>
            <patternFill patternType="none">
              <bgColor auto="1"/>
            </patternFill>
          </fill>
          <border>
            <left style="thin">
              <color rgb="FF00B0F0"/>
            </left>
            <right style="thin">
              <color rgb="FF00B0F0"/>
            </right>
            <top style="thin">
              <color rgb="FF00B0F0"/>
            </top>
            <bottom style="thin">
              <color rgb="FF00B0F0"/>
            </bottom>
          </border>
        </dxf>
      </x14:dxfs>
    </ext>
    <ext xmlns:x14="http://schemas.microsoft.com/office/spreadsheetml/2009/9/main" uri="{EB79DEF2-80B8-43e5-95BD-54CBDDF9020C}">
      <x14:slicerStyles defaultSlicerStyle="SlicerStyleLight1">
        <x14:slicerStyle name="Slicer Style 1 2">
          <x14:slicerStyleElements>
            <x14:slicerStyleElement type="unselectedItemWithData" dxfId="3"/>
            <x14:slicerStyleElement type="selectedItemWithData" dxfId="2"/>
            <x14:slicerStyleElement type="hoveredUnselectedItemWithData" dxfId="1"/>
            <x14:slicerStyleElement type="hoveredSelectedItemWithData" dxfId="0"/>
          </x14:slicerStyleElements>
        </x14:slicerStyle>
      </x14:slicerStyles>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sharedStrings" Target="sharedStrings.xml"/><Relationship Id="rId21" Type="http://schemas.openxmlformats.org/officeDocument/2006/relationships/worksheet" Target="worksheets/sheet21.xml"/><Relationship Id="rId34" Type="http://schemas.openxmlformats.org/officeDocument/2006/relationships/worksheet" Target="worksheets/sheet34.xml"/><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worksheet" Target="worksheets/sheet29.xml"/><Relationship Id="rId41"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theme" Target="theme/theme1.xml"/><Relationship Id="rId40" Type="http://schemas.openxmlformats.org/officeDocument/2006/relationships/calcChain" Target="calcChain.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microsoft.com/office/2007/relationships/slicerCache" Target="slicerCaches/slicerCache1.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pivotCacheDefinition" Target="pivotCache/pivotCacheDefinition1.xml"/><Relationship Id="rId8" Type="http://schemas.openxmlformats.org/officeDocument/2006/relationships/worksheet" Target="worksheets/sheet8.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styles" Target="styles.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ctrlProps/ctrlProp14.xml><?xml version="1.0" encoding="utf-8"?>
<formControlPr xmlns="http://schemas.microsoft.com/office/spreadsheetml/2009/9/main" objectType="Button" lockText="1"/>
</file>

<file path=xl/ctrlProps/ctrlProp15.xml><?xml version="1.0" encoding="utf-8"?>
<formControlPr xmlns="http://schemas.microsoft.com/office/spreadsheetml/2009/9/main" objectType="Button" lockText="1"/>
</file>

<file path=xl/ctrlProps/ctrlProp16.xml><?xml version="1.0" encoding="utf-8"?>
<formControlPr xmlns="http://schemas.microsoft.com/office/spreadsheetml/2009/9/main" objectType="Button" lockText="1"/>
</file>

<file path=xl/ctrlProps/ctrlProp17.xml><?xml version="1.0" encoding="utf-8"?>
<formControlPr xmlns="http://schemas.microsoft.com/office/spreadsheetml/2009/9/main" objectType="Button" lockText="1"/>
</file>

<file path=xl/ctrlProps/ctrlProp18.xml><?xml version="1.0" encoding="utf-8"?>
<formControlPr xmlns="http://schemas.microsoft.com/office/spreadsheetml/2009/9/main" objectType="Button" lockText="1"/>
</file>

<file path=xl/ctrlProps/ctrlProp19.xml><?xml version="1.0" encoding="utf-8"?>
<formControlPr xmlns="http://schemas.microsoft.com/office/spreadsheetml/2009/9/main" objectType="Button" lockText="1"/>
</file>

<file path=xl/ctrlProps/ctrlProp20.xml><?xml version="1.0" encoding="utf-8"?>
<formControlPr xmlns="http://schemas.microsoft.com/office/spreadsheetml/2009/9/main" objectType="Button" lockText="1"/>
</file>

<file path=xl/ctrlProps/ctrlProp21.xml><?xml version="1.0" encoding="utf-8"?>
<formControlPr xmlns="http://schemas.microsoft.com/office/spreadsheetml/2009/9/main" objectType="Button" lockText="1"/>
</file>

<file path=xl/ctrlProps/ctrlProp22.xml><?xml version="1.0" encoding="utf-8"?>
<formControlPr xmlns="http://schemas.microsoft.com/office/spreadsheetml/2009/9/main" objectType="Button" lockText="1"/>
</file>

<file path=xl/ctrlProps/ctrlProp23.xml><?xml version="1.0" encoding="utf-8"?>
<formControlPr xmlns="http://schemas.microsoft.com/office/spreadsheetml/2009/9/main" objectType="Button" lockText="1"/>
</file>

<file path=xl/ctrlProps/ctrlProp24.xml><?xml version="1.0" encoding="utf-8"?>
<formControlPr xmlns="http://schemas.microsoft.com/office/spreadsheetml/2009/9/main" objectType="Button" lockText="1"/>
</file>

<file path=xl/ctrlProps/ctrlProp25.xml><?xml version="1.0" encoding="utf-8"?>
<formControlPr xmlns="http://schemas.microsoft.com/office/spreadsheetml/2009/9/main" objectType="Button" lockText="1"/>
</file>

<file path=xl/ctrlProps/ctrlProp26.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13</xdr:col>
      <xdr:colOff>145676</xdr:colOff>
      <xdr:row>22</xdr:row>
      <xdr:rowOff>89647</xdr:rowOff>
    </xdr:to>
    <mc:AlternateContent xmlns:mc="http://schemas.openxmlformats.org/markup-compatibility/2006" xmlns:a14="http://schemas.microsoft.com/office/drawing/2010/main">
      <mc:Choice Requires="a14">
        <xdr:graphicFrame macro="">
          <xdr:nvGraphicFramePr>
            <xdr:cNvPr id="2" name="Tên hàng">
              <a:extLst>
                <a:ext uri="{FF2B5EF4-FFF2-40B4-BE49-F238E27FC236}">
                  <a16:creationId xmlns:a16="http://schemas.microsoft.com/office/drawing/2014/main" id="{00000000-0008-0000-0600-000002000000}"/>
                </a:ext>
              </a:extLst>
            </xdr:cNvPr>
            <xdr:cNvGraphicFramePr/>
          </xdr:nvGraphicFramePr>
          <xdr:xfrm>
            <a:off x="0" y="0"/>
            <a:ext cx="0" cy="0"/>
          </xdr:xfrm>
          <a:graphic>
            <a:graphicData uri="http://schemas.microsoft.com/office/drawing/2010/slicer">
              <sle:slicer xmlns:sle="http://schemas.microsoft.com/office/drawing/2010/slicer" name="Tên hàng"/>
            </a:graphicData>
          </a:graphic>
        </xdr:graphicFrame>
      </mc:Choice>
      <mc:Fallback xmlns="">
        <xdr:sp macro="" textlink="">
          <xdr:nvSpPr>
            <xdr:cNvPr id="0" name=""/>
            <xdr:cNvSpPr>
              <a:spLocks noTextEdit="1"/>
            </xdr:cNvSpPr>
          </xdr:nvSpPr>
          <xdr:spPr>
            <a:xfrm>
              <a:off x="0" y="0"/>
              <a:ext cx="8494058" cy="5322794"/>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670560</xdr:colOff>
          <xdr:row>0</xdr:row>
          <xdr:rowOff>274320</xdr:rowOff>
        </xdr:to>
        <xdr:sp macro="" textlink="">
          <xdr:nvSpPr>
            <xdr:cNvPr id="5121" name="Button 1" hidden="1">
              <a:extLst>
                <a:ext uri="{63B3BB69-23CF-44E3-9099-C40C66FF867C}">
                  <a14:compatExt spid="_x0000_s5121"/>
                </a:ext>
                <a:ext uri="{FF2B5EF4-FFF2-40B4-BE49-F238E27FC236}">
                  <a16:creationId xmlns:a16="http://schemas.microsoft.com/office/drawing/2014/main" id="{00000000-0008-0000-0600-000001140000}"/>
                </a:ext>
              </a:extLst>
            </xdr:cNvPr>
            <xdr:cNvSpPr/>
          </xdr:nvSpPr>
          <xdr:spPr bwMode="auto">
            <a:xfrm>
              <a:off x="0" y="0"/>
              <a:ext cx="0" cy="0"/>
            </a:xfrm>
            <a:prstGeom prst="rect">
              <a:avLst/>
            </a:prstGeom>
            <a:noFill/>
            <a:ln w="9525">
              <a:miter lim="800000"/>
              <a:headEnd/>
              <a:tailEnd/>
            </a:ln>
          </xdr:spPr>
          <xdr:txBody>
            <a:bodyPr vertOverflow="clip" wrap="square" lIns="54864" tIns="41148" rIns="54864" bIns="41148" anchor="ctr" upright="1"/>
            <a:lstStyle/>
            <a:p>
              <a:pPr algn="ctr" rtl="0">
                <a:defRPr sz="1000"/>
              </a:pPr>
              <a:r>
                <a:rPr lang="vi-VN" sz="2000" b="1" i="0" u="sng" strike="noStrike" baseline="0">
                  <a:solidFill>
                    <a:srgbClr val="FF0000"/>
                  </a:solidFill>
                  <a:latin typeface="Arial"/>
                  <a:cs typeface="Arial"/>
                </a:rPr>
                <a:t>Lên Đơn</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769620</xdr:colOff>
          <xdr:row>7</xdr:row>
          <xdr:rowOff>0</xdr:rowOff>
        </xdr:to>
        <xdr:sp macro="" textlink="">
          <xdr:nvSpPr>
            <xdr:cNvPr id="733185" name="Button 1" hidden="1">
              <a:extLst>
                <a:ext uri="{63B3BB69-23CF-44E3-9099-C40C66FF867C}">
                  <a14:compatExt spid="_x0000_s733185"/>
                </a:ext>
                <a:ext uri="{FF2B5EF4-FFF2-40B4-BE49-F238E27FC236}">
                  <a16:creationId xmlns:a16="http://schemas.microsoft.com/office/drawing/2014/main" id="{00000000-0008-0000-0900-000001300B00}"/>
                </a:ext>
              </a:extLst>
            </xdr:cNvPr>
            <xdr:cNvSpPr/>
          </xdr:nvSpPr>
          <xdr:spPr bwMode="auto">
            <a:xfrm>
              <a:off x="0" y="0"/>
              <a:ext cx="0" cy="0"/>
            </a:xfrm>
            <a:prstGeom prst="rect">
              <a:avLst/>
            </a:prstGeom>
            <a:noFill/>
            <a:ln w="9525">
              <a:miter lim="800000"/>
              <a:headEnd/>
              <a:tailEnd/>
            </a:ln>
          </xdr:spPr>
          <xdr:txBody>
            <a:bodyPr vertOverflow="clip" wrap="square" lIns="54864" tIns="50292" rIns="54864" bIns="50292" anchor="ctr" upright="1"/>
            <a:lstStyle/>
            <a:p>
              <a:pPr algn="ctr" rtl="0">
                <a:defRPr sz="1000"/>
              </a:pPr>
              <a:r>
                <a:rPr lang="vi-VN"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769620</xdr:colOff>
          <xdr:row>7</xdr:row>
          <xdr:rowOff>0</xdr:rowOff>
        </xdr:to>
        <xdr:sp macro="" textlink="">
          <xdr:nvSpPr>
            <xdr:cNvPr id="1553409" name="Button 1" hidden="1">
              <a:extLst>
                <a:ext uri="{63B3BB69-23CF-44E3-9099-C40C66FF867C}">
                  <a14:compatExt spid="_x0000_s1553409"/>
                </a:ext>
                <a:ext uri="{FF2B5EF4-FFF2-40B4-BE49-F238E27FC236}">
                  <a16:creationId xmlns:a16="http://schemas.microsoft.com/office/drawing/2014/main" id="{00000000-0008-0000-0A00-000001B41700}"/>
                </a:ext>
              </a:extLst>
            </xdr:cNvPr>
            <xdr:cNvSpPr/>
          </xdr:nvSpPr>
          <xdr:spPr bwMode="auto">
            <a:xfrm>
              <a:off x="0" y="0"/>
              <a:ext cx="0" cy="0"/>
            </a:xfrm>
            <a:prstGeom prst="rect">
              <a:avLst/>
            </a:prstGeom>
            <a:noFill/>
            <a:ln w="9525">
              <a:miter lim="800000"/>
              <a:headEnd/>
              <a:tailEnd/>
            </a:ln>
          </xdr:spPr>
          <xdr:txBody>
            <a:bodyPr vertOverflow="clip" wrap="square" lIns="54864" tIns="50292" rIns="54864" bIns="50292" anchor="ctr" upright="1"/>
            <a:lstStyle/>
            <a:p>
              <a:pPr algn="ctr" rtl="0">
                <a:defRPr sz="1000"/>
              </a:pPr>
              <a:r>
                <a:rPr lang="vi-VN"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769620</xdr:colOff>
          <xdr:row>7</xdr:row>
          <xdr:rowOff>0</xdr:rowOff>
        </xdr:to>
        <xdr:sp macro="" textlink="">
          <xdr:nvSpPr>
            <xdr:cNvPr id="1552385" name="Button 1" hidden="1">
              <a:extLst>
                <a:ext uri="{63B3BB69-23CF-44E3-9099-C40C66FF867C}">
                  <a14:compatExt spid="_x0000_s1552385"/>
                </a:ext>
                <a:ext uri="{FF2B5EF4-FFF2-40B4-BE49-F238E27FC236}">
                  <a16:creationId xmlns:a16="http://schemas.microsoft.com/office/drawing/2014/main" id="{00000000-0008-0000-0B00-000001B01700}"/>
                </a:ext>
              </a:extLst>
            </xdr:cNvPr>
            <xdr:cNvSpPr/>
          </xdr:nvSpPr>
          <xdr:spPr bwMode="auto">
            <a:xfrm>
              <a:off x="0" y="0"/>
              <a:ext cx="0" cy="0"/>
            </a:xfrm>
            <a:prstGeom prst="rect">
              <a:avLst/>
            </a:prstGeom>
            <a:noFill/>
            <a:ln w="9525">
              <a:miter lim="800000"/>
              <a:headEnd/>
              <a:tailEnd/>
            </a:ln>
          </xdr:spPr>
          <xdr:txBody>
            <a:bodyPr vertOverflow="clip" wrap="square" lIns="54864" tIns="50292" rIns="54864" bIns="50292" anchor="ctr" upright="1"/>
            <a:lstStyle/>
            <a:p>
              <a:pPr algn="ctr" rtl="0">
                <a:defRPr sz="1000"/>
              </a:pPr>
              <a:r>
                <a:rPr lang="vi-VN"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769620</xdr:colOff>
          <xdr:row>7</xdr:row>
          <xdr:rowOff>0</xdr:rowOff>
        </xdr:to>
        <xdr:sp macro="" textlink="">
          <xdr:nvSpPr>
            <xdr:cNvPr id="1551361" name="Button 1" hidden="1">
              <a:extLst>
                <a:ext uri="{63B3BB69-23CF-44E3-9099-C40C66FF867C}">
                  <a14:compatExt spid="_x0000_s1551361"/>
                </a:ext>
                <a:ext uri="{FF2B5EF4-FFF2-40B4-BE49-F238E27FC236}">
                  <a16:creationId xmlns:a16="http://schemas.microsoft.com/office/drawing/2014/main" id="{00000000-0008-0000-0C00-000001AC1700}"/>
                </a:ext>
              </a:extLst>
            </xdr:cNvPr>
            <xdr:cNvSpPr/>
          </xdr:nvSpPr>
          <xdr:spPr bwMode="auto">
            <a:xfrm>
              <a:off x="0" y="0"/>
              <a:ext cx="0" cy="0"/>
            </a:xfrm>
            <a:prstGeom prst="rect">
              <a:avLst/>
            </a:prstGeom>
            <a:noFill/>
            <a:ln w="9525">
              <a:miter lim="800000"/>
              <a:headEnd/>
              <a:tailEnd/>
            </a:ln>
          </xdr:spPr>
          <xdr:txBody>
            <a:bodyPr vertOverflow="clip" wrap="square" lIns="54864" tIns="50292" rIns="54864" bIns="50292" anchor="ctr" upright="1"/>
            <a:lstStyle/>
            <a:p>
              <a:pPr algn="ctr" rtl="0">
                <a:defRPr sz="1000"/>
              </a:pPr>
              <a:r>
                <a:rPr lang="vi-VN"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769620</xdr:colOff>
          <xdr:row>7</xdr:row>
          <xdr:rowOff>0</xdr:rowOff>
        </xdr:to>
        <xdr:sp macro="" textlink="">
          <xdr:nvSpPr>
            <xdr:cNvPr id="1550337" name="Button 1" hidden="1">
              <a:extLst>
                <a:ext uri="{63B3BB69-23CF-44E3-9099-C40C66FF867C}">
                  <a14:compatExt spid="_x0000_s1550337"/>
                </a:ext>
                <a:ext uri="{FF2B5EF4-FFF2-40B4-BE49-F238E27FC236}">
                  <a16:creationId xmlns:a16="http://schemas.microsoft.com/office/drawing/2014/main" id="{00000000-0008-0000-0D00-000001A81700}"/>
                </a:ext>
              </a:extLst>
            </xdr:cNvPr>
            <xdr:cNvSpPr/>
          </xdr:nvSpPr>
          <xdr:spPr bwMode="auto">
            <a:xfrm>
              <a:off x="0" y="0"/>
              <a:ext cx="0" cy="0"/>
            </a:xfrm>
            <a:prstGeom prst="rect">
              <a:avLst/>
            </a:prstGeom>
            <a:noFill/>
            <a:ln w="9525">
              <a:miter lim="800000"/>
              <a:headEnd/>
              <a:tailEnd/>
            </a:ln>
          </xdr:spPr>
          <xdr:txBody>
            <a:bodyPr vertOverflow="clip" wrap="square" lIns="54864" tIns="50292" rIns="54864" bIns="50292" anchor="ctr" upright="1"/>
            <a:lstStyle/>
            <a:p>
              <a:pPr algn="ctr" rtl="0">
                <a:defRPr sz="1000"/>
              </a:pPr>
              <a:r>
                <a:rPr lang="vi-VN"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769620</xdr:colOff>
          <xdr:row>7</xdr:row>
          <xdr:rowOff>0</xdr:rowOff>
        </xdr:to>
        <xdr:sp macro="" textlink="">
          <xdr:nvSpPr>
            <xdr:cNvPr id="1549313" name="Button 1" hidden="1">
              <a:extLst>
                <a:ext uri="{63B3BB69-23CF-44E3-9099-C40C66FF867C}">
                  <a14:compatExt spid="_x0000_s1549313"/>
                </a:ext>
                <a:ext uri="{FF2B5EF4-FFF2-40B4-BE49-F238E27FC236}">
                  <a16:creationId xmlns:a16="http://schemas.microsoft.com/office/drawing/2014/main" id="{00000000-0008-0000-0E00-000001A41700}"/>
                </a:ext>
              </a:extLst>
            </xdr:cNvPr>
            <xdr:cNvSpPr/>
          </xdr:nvSpPr>
          <xdr:spPr bwMode="auto">
            <a:xfrm>
              <a:off x="0" y="0"/>
              <a:ext cx="0" cy="0"/>
            </a:xfrm>
            <a:prstGeom prst="rect">
              <a:avLst/>
            </a:prstGeom>
            <a:noFill/>
            <a:ln w="9525">
              <a:miter lim="800000"/>
              <a:headEnd/>
              <a:tailEnd/>
            </a:ln>
          </xdr:spPr>
          <xdr:txBody>
            <a:bodyPr vertOverflow="clip" wrap="square" lIns="54864" tIns="50292" rIns="54864" bIns="50292" anchor="ctr" upright="1"/>
            <a:lstStyle/>
            <a:p>
              <a:pPr algn="ctr" rtl="0">
                <a:defRPr sz="1000"/>
              </a:pPr>
              <a:r>
                <a:rPr lang="vi-VN"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769620</xdr:colOff>
          <xdr:row>7</xdr:row>
          <xdr:rowOff>0</xdr:rowOff>
        </xdr:to>
        <xdr:sp macro="" textlink="">
          <xdr:nvSpPr>
            <xdr:cNvPr id="1548289" name="Button 1" hidden="1">
              <a:extLst>
                <a:ext uri="{63B3BB69-23CF-44E3-9099-C40C66FF867C}">
                  <a14:compatExt spid="_x0000_s1548289"/>
                </a:ext>
                <a:ext uri="{FF2B5EF4-FFF2-40B4-BE49-F238E27FC236}">
                  <a16:creationId xmlns:a16="http://schemas.microsoft.com/office/drawing/2014/main" id="{00000000-0008-0000-0F00-000001A01700}"/>
                </a:ext>
              </a:extLst>
            </xdr:cNvPr>
            <xdr:cNvSpPr/>
          </xdr:nvSpPr>
          <xdr:spPr bwMode="auto">
            <a:xfrm>
              <a:off x="0" y="0"/>
              <a:ext cx="0" cy="0"/>
            </a:xfrm>
            <a:prstGeom prst="rect">
              <a:avLst/>
            </a:prstGeom>
            <a:noFill/>
            <a:ln w="9525">
              <a:miter lim="800000"/>
              <a:headEnd/>
              <a:tailEnd/>
            </a:ln>
          </xdr:spPr>
          <xdr:txBody>
            <a:bodyPr vertOverflow="clip" wrap="square" lIns="54864" tIns="50292" rIns="54864" bIns="50292" anchor="ctr" upright="1"/>
            <a:lstStyle/>
            <a:p>
              <a:pPr algn="ctr" rtl="0">
                <a:defRPr sz="1000"/>
              </a:pPr>
              <a:r>
                <a:rPr lang="vi-VN"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769620</xdr:colOff>
          <xdr:row>7</xdr:row>
          <xdr:rowOff>0</xdr:rowOff>
        </xdr:to>
        <xdr:sp macro="" textlink="">
          <xdr:nvSpPr>
            <xdr:cNvPr id="1547265" name="Button 1" hidden="1">
              <a:extLst>
                <a:ext uri="{63B3BB69-23CF-44E3-9099-C40C66FF867C}">
                  <a14:compatExt spid="_x0000_s1547265"/>
                </a:ext>
                <a:ext uri="{FF2B5EF4-FFF2-40B4-BE49-F238E27FC236}">
                  <a16:creationId xmlns:a16="http://schemas.microsoft.com/office/drawing/2014/main" id="{00000000-0008-0000-1000-0000019C1700}"/>
                </a:ext>
              </a:extLst>
            </xdr:cNvPr>
            <xdr:cNvSpPr/>
          </xdr:nvSpPr>
          <xdr:spPr bwMode="auto">
            <a:xfrm>
              <a:off x="0" y="0"/>
              <a:ext cx="0" cy="0"/>
            </a:xfrm>
            <a:prstGeom prst="rect">
              <a:avLst/>
            </a:prstGeom>
            <a:noFill/>
            <a:ln w="9525">
              <a:miter lim="800000"/>
              <a:headEnd/>
              <a:tailEnd/>
            </a:ln>
          </xdr:spPr>
          <xdr:txBody>
            <a:bodyPr vertOverflow="clip" wrap="square" lIns="54864" tIns="50292" rIns="54864" bIns="50292" anchor="ctr" upright="1"/>
            <a:lstStyle/>
            <a:p>
              <a:pPr algn="ctr" rtl="0">
                <a:defRPr sz="1000"/>
              </a:pPr>
              <a:r>
                <a:rPr lang="vi-VN"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1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769620</xdr:colOff>
          <xdr:row>7</xdr:row>
          <xdr:rowOff>0</xdr:rowOff>
        </xdr:to>
        <xdr:sp macro="" textlink="">
          <xdr:nvSpPr>
            <xdr:cNvPr id="1546241" name="Button 1" hidden="1">
              <a:extLst>
                <a:ext uri="{63B3BB69-23CF-44E3-9099-C40C66FF867C}">
                  <a14:compatExt spid="_x0000_s1546241"/>
                </a:ext>
                <a:ext uri="{FF2B5EF4-FFF2-40B4-BE49-F238E27FC236}">
                  <a16:creationId xmlns:a16="http://schemas.microsoft.com/office/drawing/2014/main" id="{00000000-0008-0000-1100-000001981700}"/>
                </a:ext>
              </a:extLst>
            </xdr:cNvPr>
            <xdr:cNvSpPr/>
          </xdr:nvSpPr>
          <xdr:spPr bwMode="auto">
            <a:xfrm>
              <a:off x="0" y="0"/>
              <a:ext cx="0" cy="0"/>
            </a:xfrm>
            <a:prstGeom prst="rect">
              <a:avLst/>
            </a:prstGeom>
            <a:noFill/>
            <a:ln w="9525">
              <a:miter lim="800000"/>
              <a:headEnd/>
              <a:tailEnd/>
            </a:ln>
          </xdr:spPr>
          <xdr:txBody>
            <a:bodyPr vertOverflow="clip" wrap="square" lIns="54864" tIns="50292" rIns="54864" bIns="50292" anchor="ctr" upright="1"/>
            <a:lstStyle/>
            <a:p>
              <a:pPr algn="ctr" rtl="0">
                <a:defRPr sz="1000"/>
              </a:pPr>
              <a:r>
                <a:rPr lang="vi-VN"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1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769620</xdr:colOff>
          <xdr:row>7</xdr:row>
          <xdr:rowOff>0</xdr:rowOff>
        </xdr:to>
        <xdr:sp macro="" textlink="">
          <xdr:nvSpPr>
            <xdr:cNvPr id="1545217" name="Button 1" hidden="1">
              <a:extLst>
                <a:ext uri="{63B3BB69-23CF-44E3-9099-C40C66FF867C}">
                  <a14:compatExt spid="_x0000_s1545217"/>
                </a:ext>
                <a:ext uri="{FF2B5EF4-FFF2-40B4-BE49-F238E27FC236}">
                  <a16:creationId xmlns:a16="http://schemas.microsoft.com/office/drawing/2014/main" id="{00000000-0008-0000-1200-000001941700}"/>
                </a:ext>
              </a:extLst>
            </xdr:cNvPr>
            <xdr:cNvSpPr/>
          </xdr:nvSpPr>
          <xdr:spPr bwMode="auto">
            <a:xfrm>
              <a:off x="0" y="0"/>
              <a:ext cx="0" cy="0"/>
            </a:xfrm>
            <a:prstGeom prst="rect">
              <a:avLst/>
            </a:prstGeom>
            <a:noFill/>
            <a:ln w="9525">
              <a:miter lim="800000"/>
              <a:headEnd/>
              <a:tailEnd/>
            </a:ln>
          </xdr:spPr>
          <xdr:txBody>
            <a:bodyPr vertOverflow="clip" wrap="square" lIns="54864" tIns="50292" rIns="54864" bIns="50292" anchor="ctr" upright="1"/>
            <a:lstStyle/>
            <a:p>
              <a:pPr algn="ctr" rtl="0">
                <a:defRPr sz="1000"/>
              </a:pPr>
              <a:r>
                <a:rPr lang="vi-VN"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1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769620</xdr:colOff>
          <xdr:row>7</xdr:row>
          <xdr:rowOff>0</xdr:rowOff>
        </xdr:to>
        <xdr:sp macro="" textlink="">
          <xdr:nvSpPr>
            <xdr:cNvPr id="1544193" name="Button 1" hidden="1">
              <a:extLst>
                <a:ext uri="{63B3BB69-23CF-44E3-9099-C40C66FF867C}">
                  <a14:compatExt spid="_x0000_s1544193"/>
                </a:ext>
                <a:ext uri="{FF2B5EF4-FFF2-40B4-BE49-F238E27FC236}">
                  <a16:creationId xmlns:a16="http://schemas.microsoft.com/office/drawing/2014/main" id="{00000000-0008-0000-1300-000001901700}"/>
                </a:ext>
              </a:extLst>
            </xdr:cNvPr>
            <xdr:cNvSpPr/>
          </xdr:nvSpPr>
          <xdr:spPr bwMode="auto">
            <a:xfrm>
              <a:off x="0" y="0"/>
              <a:ext cx="0" cy="0"/>
            </a:xfrm>
            <a:prstGeom prst="rect">
              <a:avLst/>
            </a:prstGeom>
            <a:noFill/>
            <a:ln w="9525">
              <a:miter lim="800000"/>
              <a:headEnd/>
              <a:tailEnd/>
            </a:ln>
          </xdr:spPr>
          <xdr:txBody>
            <a:bodyPr vertOverflow="clip" wrap="square" lIns="54864" tIns="50292" rIns="54864" bIns="50292" anchor="ctr" upright="1"/>
            <a:lstStyle/>
            <a:p>
              <a:pPr algn="ctr" rtl="0">
                <a:defRPr sz="1000"/>
              </a:pPr>
              <a:r>
                <a:rPr lang="vi-VN"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1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769620</xdr:colOff>
          <xdr:row>7</xdr:row>
          <xdr:rowOff>0</xdr:rowOff>
        </xdr:to>
        <xdr:sp macro="" textlink="">
          <xdr:nvSpPr>
            <xdr:cNvPr id="1543169" name="Button 1" hidden="1">
              <a:extLst>
                <a:ext uri="{63B3BB69-23CF-44E3-9099-C40C66FF867C}">
                  <a14:compatExt spid="_x0000_s1543169"/>
                </a:ext>
                <a:ext uri="{FF2B5EF4-FFF2-40B4-BE49-F238E27FC236}">
                  <a16:creationId xmlns:a16="http://schemas.microsoft.com/office/drawing/2014/main" id="{00000000-0008-0000-1400-0000018C1700}"/>
                </a:ext>
              </a:extLst>
            </xdr:cNvPr>
            <xdr:cNvSpPr/>
          </xdr:nvSpPr>
          <xdr:spPr bwMode="auto">
            <a:xfrm>
              <a:off x="0" y="0"/>
              <a:ext cx="0" cy="0"/>
            </a:xfrm>
            <a:prstGeom prst="rect">
              <a:avLst/>
            </a:prstGeom>
            <a:noFill/>
            <a:ln w="9525">
              <a:miter lim="800000"/>
              <a:headEnd/>
              <a:tailEnd/>
            </a:ln>
          </xdr:spPr>
          <xdr:txBody>
            <a:bodyPr vertOverflow="clip" wrap="square" lIns="54864" tIns="50292" rIns="54864" bIns="50292" anchor="ctr" upright="1"/>
            <a:lstStyle/>
            <a:p>
              <a:pPr algn="ctr" rtl="0">
                <a:defRPr sz="1000"/>
              </a:pPr>
              <a:r>
                <a:rPr lang="vi-VN"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1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769620</xdr:colOff>
          <xdr:row>7</xdr:row>
          <xdr:rowOff>0</xdr:rowOff>
        </xdr:to>
        <xdr:sp macro="" textlink="">
          <xdr:nvSpPr>
            <xdr:cNvPr id="1542145" name="Button 1" hidden="1">
              <a:extLst>
                <a:ext uri="{63B3BB69-23CF-44E3-9099-C40C66FF867C}">
                  <a14:compatExt spid="_x0000_s1542145"/>
                </a:ext>
                <a:ext uri="{FF2B5EF4-FFF2-40B4-BE49-F238E27FC236}">
                  <a16:creationId xmlns:a16="http://schemas.microsoft.com/office/drawing/2014/main" id="{00000000-0008-0000-1500-000001881700}"/>
                </a:ext>
              </a:extLst>
            </xdr:cNvPr>
            <xdr:cNvSpPr/>
          </xdr:nvSpPr>
          <xdr:spPr bwMode="auto">
            <a:xfrm>
              <a:off x="0" y="0"/>
              <a:ext cx="0" cy="0"/>
            </a:xfrm>
            <a:prstGeom prst="rect">
              <a:avLst/>
            </a:prstGeom>
            <a:noFill/>
            <a:ln w="9525">
              <a:miter lim="800000"/>
              <a:headEnd/>
              <a:tailEnd/>
            </a:ln>
          </xdr:spPr>
          <xdr:txBody>
            <a:bodyPr vertOverflow="clip" wrap="square" lIns="54864" tIns="50292" rIns="54864" bIns="50292" anchor="ctr" upright="1"/>
            <a:lstStyle/>
            <a:p>
              <a:pPr algn="ctr" rtl="0">
                <a:defRPr sz="1000"/>
              </a:pPr>
              <a:r>
                <a:rPr lang="vi-VN"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1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769620</xdr:colOff>
          <xdr:row>7</xdr:row>
          <xdr:rowOff>0</xdr:rowOff>
        </xdr:to>
        <xdr:sp macro="" textlink="">
          <xdr:nvSpPr>
            <xdr:cNvPr id="1541121" name="Button 1" hidden="1">
              <a:extLst>
                <a:ext uri="{63B3BB69-23CF-44E3-9099-C40C66FF867C}">
                  <a14:compatExt spid="_x0000_s1541121"/>
                </a:ext>
                <a:ext uri="{FF2B5EF4-FFF2-40B4-BE49-F238E27FC236}">
                  <a16:creationId xmlns:a16="http://schemas.microsoft.com/office/drawing/2014/main" id="{00000000-0008-0000-1600-000001841700}"/>
                </a:ext>
              </a:extLst>
            </xdr:cNvPr>
            <xdr:cNvSpPr/>
          </xdr:nvSpPr>
          <xdr:spPr bwMode="auto">
            <a:xfrm>
              <a:off x="0" y="0"/>
              <a:ext cx="0" cy="0"/>
            </a:xfrm>
            <a:prstGeom prst="rect">
              <a:avLst/>
            </a:prstGeom>
            <a:noFill/>
            <a:ln w="9525">
              <a:miter lim="800000"/>
              <a:headEnd/>
              <a:tailEnd/>
            </a:ln>
          </xdr:spPr>
          <xdr:txBody>
            <a:bodyPr vertOverflow="clip" wrap="square" lIns="54864" tIns="50292" rIns="54864" bIns="50292" anchor="ctr" upright="1"/>
            <a:lstStyle/>
            <a:p>
              <a:pPr algn="ctr" rtl="0">
                <a:defRPr sz="1000"/>
              </a:pPr>
              <a:r>
                <a:rPr lang="vi-VN"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1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769620</xdr:colOff>
          <xdr:row>7</xdr:row>
          <xdr:rowOff>0</xdr:rowOff>
        </xdr:to>
        <xdr:sp macro="" textlink="">
          <xdr:nvSpPr>
            <xdr:cNvPr id="1540097" name="Button 1" hidden="1">
              <a:extLst>
                <a:ext uri="{63B3BB69-23CF-44E3-9099-C40C66FF867C}">
                  <a14:compatExt spid="_x0000_s1540097"/>
                </a:ext>
                <a:ext uri="{FF2B5EF4-FFF2-40B4-BE49-F238E27FC236}">
                  <a16:creationId xmlns:a16="http://schemas.microsoft.com/office/drawing/2014/main" id="{00000000-0008-0000-1700-000001801700}"/>
                </a:ext>
              </a:extLst>
            </xdr:cNvPr>
            <xdr:cNvSpPr/>
          </xdr:nvSpPr>
          <xdr:spPr bwMode="auto">
            <a:xfrm>
              <a:off x="0" y="0"/>
              <a:ext cx="0" cy="0"/>
            </a:xfrm>
            <a:prstGeom prst="rect">
              <a:avLst/>
            </a:prstGeom>
            <a:noFill/>
            <a:ln w="9525">
              <a:miter lim="800000"/>
              <a:headEnd/>
              <a:tailEnd/>
            </a:ln>
          </xdr:spPr>
          <xdr:txBody>
            <a:bodyPr vertOverflow="clip" wrap="square" lIns="54864" tIns="50292" rIns="54864" bIns="50292" anchor="ctr" upright="1"/>
            <a:lstStyle/>
            <a:p>
              <a:pPr algn="ctr" rtl="0">
                <a:defRPr sz="1000"/>
              </a:pPr>
              <a:r>
                <a:rPr lang="vi-VN"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1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769620</xdr:colOff>
          <xdr:row>7</xdr:row>
          <xdr:rowOff>0</xdr:rowOff>
        </xdr:to>
        <xdr:sp macro="" textlink="">
          <xdr:nvSpPr>
            <xdr:cNvPr id="1539073" name="Button 1" hidden="1">
              <a:extLst>
                <a:ext uri="{63B3BB69-23CF-44E3-9099-C40C66FF867C}">
                  <a14:compatExt spid="_x0000_s1539073"/>
                </a:ext>
                <a:ext uri="{FF2B5EF4-FFF2-40B4-BE49-F238E27FC236}">
                  <a16:creationId xmlns:a16="http://schemas.microsoft.com/office/drawing/2014/main" id="{00000000-0008-0000-1800-0000017C1700}"/>
                </a:ext>
              </a:extLst>
            </xdr:cNvPr>
            <xdr:cNvSpPr/>
          </xdr:nvSpPr>
          <xdr:spPr bwMode="auto">
            <a:xfrm>
              <a:off x="0" y="0"/>
              <a:ext cx="0" cy="0"/>
            </a:xfrm>
            <a:prstGeom prst="rect">
              <a:avLst/>
            </a:prstGeom>
            <a:noFill/>
            <a:ln w="9525">
              <a:miter lim="800000"/>
              <a:headEnd/>
              <a:tailEnd/>
            </a:ln>
          </xdr:spPr>
          <xdr:txBody>
            <a:bodyPr vertOverflow="clip" wrap="square" lIns="54864" tIns="50292" rIns="54864" bIns="50292" anchor="ctr" upright="1"/>
            <a:lstStyle/>
            <a:p>
              <a:pPr algn="ctr" rtl="0">
                <a:defRPr sz="1000"/>
              </a:pPr>
              <a:r>
                <a:rPr lang="vi-VN"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1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769620</xdr:colOff>
          <xdr:row>7</xdr:row>
          <xdr:rowOff>0</xdr:rowOff>
        </xdr:to>
        <xdr:sp macro="" textlink="">
          <xdr:nvSpPr>
            <xdr:cNvPr id="1538049" name="Button 1" hidden="1">
              <a:extLst>
                <a:ext uri="{63B3BB69-23CF-44E3-9099-C40C66FF867C}">
                  <a14:compatExt spid="_x0000_s1538049"/>
                </a:ext>
                <a:ext uri="{FF2B5EF4-FFF2-40B4-BE49-F238E27FC236}">
                  <a16:creationId xmlns:a16="http://schemas.microsoft.com/office/drawing/2014/main" id="{00000000-0008-0000-1900-000001781700}"/>
                </a:ext>
              </a:extLst>
            </xdr:cNvPr>
            <xdr:cNvSpPr/>
          </xdr:nvSpPr>
          <xdr:spPr bwMode="auto">
            <a:xfrm>
              <a:off x="0" y="0"/>
              <a:ext cx="0" cy="0"/>
            </a:xfrm>
            <a:prstGeom prst="rect">
              <a:avLst/>
            </a:prstGeom>
            <a:noFill/>
            <a:ln w="9525">
              <a:miter lim="800000"/>
              <a:headEnd/>
              <a:tailEnd/>
            </a:ln>
          </xdr:spPr>
          <xdr:txBody>
            <a:bodyPr vertOverflow="clip" wrap="square" lIns="54864" tIns="50292" rIns="54864" bIns="50292" anchor="ctr" upright="1"/>
            <a:lstStyle/>
            <a:p>
              <a:pPr algn="ctr" rtl="0">
                <a:defRPr sz="1000"/>
              </a:pPr>
              <a:r>
                <a:rPr lang="vi-VN"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1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769620</xdr:colOff>
          <xdr:row>7</xdr:row>
          <xdr:rowOff>0</xdr:rowOff>
        </xdr:to>
        <xdr:sp macro="" textlink="">
          <xdr:nvSpPr>
            <xdr:cNvPr id="1537025" name="Button 1" hidden="1">
              <a:extLst>
                <a:ext uri="{63B3BB69-23CF-44E3-9099-C40C66FF867C}">
                  <a14:compatExt spid="_x0000_s1537025"/>
                </a:ext>
                <a:ext uri="{FF2B5EF4-FFF2-40B4-BE49-F238E27FC236}">
                  <a16:creationId xmlns:a16="http://schemas.microsoft.com/office/drawing/2014/main" id="{00000000-0008-0000-1A00-000001741700}"/>
                </a:ext>
              </a:extLst>
            </xdr:cNvPr>
            <xdr:cNvSpPr/>
          </xdr:nvSpPr>
          <xdr:spPr bwMode="auto">
            <a:xfrm>
              <a:off x="0" y="0"/>
              <a:ext cx="0" cy="0"/>
            </a:xfrm>
            <a:prstGeom prst="rect">
              <a:avLst/>
            </a:prstGeom>
            <a:noFill/>
            <a:ln w="9525">
              <a:miter lim="800000"/>
              <a:headEnd/>
              <a:tailEnd/>
            </a:ln>
          </xdr:spPr>
          <xdr:txBody>
            <a:bodyPr vertOverflow="clip" wrap="square" lIns="54864" tIns="50292" rIns="54864" bIns="50292" anchor="ctr" upright="1"/>
            <a:lstStyle/>
            <a:p>
              <a:pPr algn="ctr" rtl="0">
                <a:defRPr sz="1000"/>
              </a:pPr>
              <a:r>
                <a:rPr lang="vi-VN"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2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769620</xdr:colOff>
          <xdr:row>7</xdr:row>
          <xdr:rowOff>0</xdr:rowOff>
        </xdr:to>
        <xdr:sp macro="" textlink="">
          <xdr:nvSpPr>
            <xdr:cNvPr id="1536001" name="Button 1" hidden="1">
              <a:extLst>
                <a:ext uri="{63B3BB69-23CF-44E3-9099-C40C66FF867C}">
                  <a14:compatExt spid="_x0000_s1536001"/>
                </a:ext>
                <a:ext uri="{FF2B5EF4-FFF2-40B4-BE49-F238E27FC236}">
                  <a16:creationId xmlns:a16="http://schemas.microsoft.com/office/drawing/2014/main" id="{00000000-0008-0000-1B00-000001701700}"/>
                </a:ext>
              </a:extLst>
            </xdr:cNvPr>
            <xdr:cNvSpPr/>
          </xdr:nvSpPr>
          <xdr:spPr bwMode="auto">
            <a:xfrm>
              <a:off x="0" y="0"/>
              <a:ext cx="0" cy="0"/>
            </a:xfrm>
            <a:prstGeom prst="rect">
              <a:avLst/>
            </a:prstGeom>
            <a:noFill/>
            <a:ln w="9525">
              <a:miter lim="800000"/>
              <a:headEnd/>
              <a:tailEnd/>
            </a:ln>
          </xdr:spPr>
          <xdr:txBody>
            <a:bodyPr vertOverflow="clip" wrap="square" lIns="54864" tIns="50292" rIns="54864" bIns="50292" anchor="ctr" upright="1"/>
            <a:lstStyle/>
            <a:p>
              <a:pPr algn="ctr" rtl="0">
                <a:defRPr sz="1000"/>
              </a:pPr>
              <a:r>
                <a:rPr lang="vi-VN"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2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769620</xdr:colOff>
          <xdr:row>7</xdr:row>
          <xdr:rowOff>0</xdr:rowOff>
        </xdr:to>
        <xdr:sp macro="" textlink="">
          <xdr:nvSpPr>
            <xdr:cNvPr id="1534977" name="Button 1" hidden="1">
              <a:extLst>
                <a:ext uri="{63B3BB69-23CF-44E3-9099-C40C66FF867C}">
                  <a14:compatExt spid="_x0000_s1534977"/>
                </a:ext>
                <a:ext uri="{FF2B5EF4-FFF2-40B4-BE49-F238E27FC236}">
                  <a16:creationId xmlns:a16="http://schemas.microsoft.com/office/drawing/2014/main" id="{00000000-0008-0000-1C00-0000016C1700}"/>
                </a:ext>
              </a:extLst>
            </xdr:cNvPr>
            <xdr:cNvSpPr/>
          </xdr:nvSpPr>
          <xdr:spPr bwMode="auto">
            <a:xfrm>
              <a:off x="0" y="0"/>
              <a:ext cx="0" cy="0"/>
            </a:xfrm>
            <a:prstGeom prst="rect">
              <a:avLst/>
            </a:prstGeom>
            <a:noFill/>
            <a:ln w="9525">
              <a:miter lim="800000"/>
              <a:headEnd/>
              <a:tailEnd/>
            </a:ln>
          </xdr:spPr>
          <xdr:txBody>
            <a:bodyPr vertOverflow="clip" wrap="square" lIns="54864" tIns="50292" rIns="54864" bIns="50292" anchor="ctr" upright="1"/>
            <a:lstStyle/>
            <a:p>
              <a:pPr algn="ctr" rtl="0">
                <a:defRPr sz="1000"/>
              </a:pPr>
              <a:r>
                <a:rPr lang="vi-VN"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2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769620</xdr:colOff>
          <xdr:row>7</xdr:row>
          <xdr:rowOff>0</xdr:rowOff>
        </xdr:to>
        <xdr:sp macro="" textlink="">
          <xdr:nvSpPr>
            <xdr:cNvPr id="1533953" name="Button 1" hidden="1">
              <a:extLst>
                <a:ext uri="{63B3BB69-23CF-44E3-9099-C40C66FF867C}">
                  <a14:compatExt spid="_x0000_s1533953"/>
                </a:ext>
                <a:ext uri="{FF2B5EF4-FFF2-40B4-BE49-F238E27FC236}">
                  <a16:creationId xmlns:a16="http://schemas.microsoft.com/office/drawing/2014/main" id="{00000000-0008-0000-1D00-000001681700}"/>
                </a:ext>
              </a:extLst>
            </xdr:cNvPr>
            <xdr:cNvSpPr/>
          </xdr:nvSpPr>
          <xdr:spPr bwMode="auto">
            <a:xfrm>
              <a:off x="0" y="0"/>
              <a:ext cx="0" cy="0"/>
            </a:xfrm>
            <a:prstGeom prst="rect">
              <a:avLst/>
            </a:prstGeom>
            <a:noFill/>
            <a:ln w="9525">
              <a:miter lim="800000"/>
              <a:headEnd/>
              <a:tailEnd/>
            </a:ln>
          </xdr:spPr>
          <xdr:txBody>
            <a:bodyPr vertOverflow="clip" wrap="square" lIns="54864" tIns="50292" rIns="54864" bIns="50292" anchor="ctr" upright="1"/>
            <a:lstStyle/>
            <a:p>
              <a:pPr algn="ctr" rtl="0">
                <a:defRPr sz="1000"/>
              </a:pPr>
              <a:r>
                <a:rPr lang="vi-VN"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2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769620</xdr:colOff>
          <xdr:row>7</xdr:row>
          <xdr:rowOff>0</xdr:rowOff>
        </xdr:to>
        <xdr:sp macro="" textlink="">
          <xdr:nvSpPr>
            <xdr:cNvPr id="1532929" name="Button 1" hidden="1">
              <a:extLst>
                <a:ext uri="{63B3BB69-23CF-44E3-9099-C40C66FF867C}">
                  <a14:compatExt spid="_x0000_s1532929"/>
                </a:ext>
                <a:ext uri="{FF2B5EF4-FFF2-40B4-BE49-F238E27FC236}">
                  <a16:creationId xmlns:a16="http://schemas.microsoft.com/office/drawing/2014/main" id="{00000000-0008-0000-1E00-000001641700}"/>
                </a:ext>
              </a:extLst>
            </xdr:cNvPr>
            <xdr:cNvSpPr/>
          </xdr:nvSpPr>
          <xdr:spPr bwMode="auto">
            <a:xfrm>
              <a:off x="0" y="0"/>
              <a:ext cx="0" cy="0"/>
            </a:xfrm>
            <a:prstGeom prst="rect">
              <a:avLst/>
            </a:prstGeom>
            <a:noFill/>
            <a:ln w="9525">
              <a:miter lim="800000"/>
              <a:headEnd/>
              <a:tailEnd/>
            </a:ln>
          </xdr:spPr>
          <xdr:txBody>
            <a:bodyPr vertOverflow="clip" wrap="square" lIns="54864" tIns="50292" rIns="54864" bIns="50292" anchor="ctr" upright="1"/>
            <a:lstStyle/>
            <a:p>
              <a:pPr algn="ctr" rtl="0">
                <a:defRPr sz="1000"/>
              </a:pPr>
              <a:r>
                <a:rPr lang="vi-VN"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2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769620</xdr:colOff>
          <xdr:row>7</xdr:row>
          <xdr:rowOff>0</xdr:rowOff>
        </xdr:to>
        <xdr:sp macro="" textlink="">
          <xdr:nvSpPr>
            <xdr:cNvPr id="1531905" name="Button 1" hidden="1">
              <a:extLst>
                <a:ext uri="{63B3BB69-23CF-44E3-9099-C40C66FF867C}">
                  <a14:compatExt spid="_x0000_s1531905"/>
                </a:ext>
                <a:ext uri="{FF2B5EF4-FFF2-40B4-BE49-F238E27FC236}">
                  <a16:creationId xmlns:a16="http://schemas.microsoft.com/office/drawing/2014/main" id="{00000000-0008-0000-1F00-000001601700}"/>
                </a:ext>
              </a:extLst>
            </xdr:cNvPr>
            <xdr:cNvSpPr/>
          </xdr:nvSpPr>
          <xdr:spPr bwMode="auto">
            <a:xfrm>
              <a:off x="0" y="0"/>
              <a:ext cx="0" cy="0"/>
            </a:xfrm>
            <a:prstGeom prst="rect">
              <a:avLst/>
            </a:prstGeom>
            <a:noFill/>
            <a:ln w="9525">
              <a:miter lim="800000"/>
              <a:headEnd/>
              <a:tailEnd/>
            </a:ln>
          </xdr:spPr>
          <xdr:txBody>
            <a:bodyPr vertOverflow="clip" wrap="square" lIns="54864" tIns="50292" rIns="54864" bIns="50292" anchor="ctr" upright="1"/>
            <a:lstStyle/>
            <a:p>
              <a:pPr algn="ctr" rtl="0">
                <a:defRPr sz="1000"/>
              </a:pPr>
              <a:r>
                <a:rPr lang="vi-VN"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2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769620</xdr:colOff>
          <xdr:row>7</xdr:row>
          <xdr:rowOff>0</xdr:rowOff>
        </xdr:to>
        <xdr:sp macro="" textlink="">
          <xdr:nvSpPr>
            <xdr:cNvPr id="1530881" name="Button 1" hidden="1">
              <a:extLst>
                <a:ext uri="{63B3BB69-23CF-44E3-9099-C40C66FF867C}">
                  <a14:compatExt spid="_x0000_s1530881"/>
                </a:ext>
                <a:ext uri="{FF2B5EF4-FFF2-40B4-BE49-F238E27FC236}">
                  <a16:creationId xmlns:a16="http://schemas.microsoft.com/office/drawing/2014/main" id="{00000000-0008-0000-2000-0000015C1700}"/>
                </a:ext>
              </a:extLst>
            </xdr:cNvPr>
            <xdr:cNvSpPr/>
          </xdr:nvSpPr>
          <xdr:spPr bwMode="auto">
            <a:xfrm>
              <a:off x="0" y="0"/>
              <a:ext cx="0" cy="0"/>
            </a:xfrm>
            <a:prstGeom prst="rect">
              <a:avLst/>
            </a:prstGeom>
            <a:noFill/>
            <a:ln w="9525">
              <a:miter lim="800000"/>
              <a:headEnd/>
              <a:tailEnd/>
            </a:ln>
          </xdr:spPr>
          <xdr:txBody>
            <a:bodyPr vertOverflow="clip" wrap="square" lIns="54864" tIns="50292" rIns="54864" bIns="50292" anchor="ctr" upright="1"/>
            <a:lstStyle/>
            <a:p>
              <a:pPr algn="ctr" rtl="0">
                <a:defRPr sz="1000"/>
              </a:pPr>
              <a:r>
                <a:rPr lang="vi-VN"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2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769620</xdr:colOff>
          <xdr:row>7</xdr:row>
          <xdr:rowOff>0</xdr:rowOff>
        </xdr:to>
        <xdr:sp macro="" textlink="">
          <xdr:nvSpPr>
            <xdr:cNvPr id="1529857" name="Button 1" hidden="1">
              <a:extLst>
                <a:ext uri="{63B3BB69-23CF-44E3-9099-C40C66FF867C}">
                  <a14:compatExt spid="_x0000_s1529857"/>
                </a:ext>
                <a:ext uri="{FF2B5EF4-FFF2-40B4-BE49-F238E27FC236}">
                  <a16:creationId xmlns:a16="http://schemas.microsoft.com/office/drawing/2014/main" id="{00000000-0008-0000-2100-000001581700}"/>
                </a:ext>
              </a:extLst>
            </xdr:cNvPr>
            <xdr:cNvSpPr/>
          </xdr:nvSpPr>
          <xdr:spPr bwMode="auto">
            <a:xfrm>
              <a:off x="0" y="0"/>
              <a:ext cx="0" cy="0"/>
            </a:xfrm>
            <a:prstGeom prst="rect">
              <a:avLst/>
            </a:prstGeom>
            <a:noFill/>
            <a:ln w="9525">
              <a:miter lim="800000"/>
              <a:headEnd/>
              <a:tailEnd/>
            </a:ln>
          </xdr:spPr>
          <xdr:txBody>
            <a:bodyPr vertOverflow="clip" wrap="square" lIns="54864" tIns="50292" rIns="54864" bIns="50292" anchor="ctr" upright="1"/>
            <a:lstStyle/>
            <a:p>
              <a:pPr algn="ctr" rtl="0">
                <a:defRPr sz="1000"/>
              </a:pPr>
              <a:r>
                <a:rPr lang="vi-VN" sz="2000" b="1" i="0" u="none" strike="noStrike" baseline="0">
                  <a:solidFill>
                    <a:srgbClr val="FF0000"/>
                  </a:solidFill>
                  <a:latin typeface="Calibri"/>
                  <a:cs typeface="Calibri"/>
                </a:rPr>
                <a:t>Lưu</a:t>
              </a:r>
            </a:p>
          </xdr:txBody>
        </xdr:sp>
        <xdr:clientData fPrintsWithSheet="0"/>
      </xdr:twoCellAnchor>
    </mc:Choice>
    <mc:Fallback/>
  </mc:AlternateContent>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Windows User" refreshedDate="44940.748335416669" createdVersion="6" refreshedVersion="6" minRefreshableVersion="3" recordCount="48" xr:uid="{00000000-000A-0000-FFFF-FFFF00000000}">
  <cacheSource type="worksheet">
    <worksheetSource ref="A1:D49" sheet="Sheet1"/>
  </cacheSource>
  <cacheFields count="4">
    <cacheField name="Trật tự" numFmtId="0">
      <sharedItems containsMixedTypes="1" containsNumber="1" containsInteger="1" minValue="1" maxValue="42" count="48">
        <s v="G1"/>
        <s v="G2"/>
        <s v="G3"/>
        <s v="G4"/>
        <s v="G5"/>
        <s v="G6"/>
        <n v="1"/>
        <n v="2"/>
        <n v="3"/>
        <n v="4"/>
        <n v="5"/>
        <n v="6"/>
        <n v="7"/>
        <n v="8"/>
        <n v="9"/>
        <n v="10"/>
        <n v="11"/>
        <n v="12"/>
        <n v="13"/>
        <n v="14"/>
        <n v="15"/>
        <n v="16"/>
        <n v="17"/>
        <n v="18"/>
        <n v="19"/>
        <n v="20"/>
        <n v="21"/>
        <n v="22"/>
        <n v="23"/>
        <n v="24"/>
        <n v="25"/>
        <n v="26"/>
        <n v="27"/>
        <n v="28"/>
        <n v="29"/>
        <n v="30"/>
        <n v="31"/>
        <n v="32"/>
        <n v="33"/>
        <n v="34"/>
        <n v="35"/>
        <n v="36"/>
        <n v="37"/>
        <n v="38"/>
        <n v="39"/>
        <n v="40"/>
        <n v="41"/>
        <n v="42"/>
      </sharedItems>
    </cacheField>
    <cacheField name="Tên hàng" numFmtId="0">
      <sharedItems count="49">
        <s v="0-Đùi gà Rán 10C nhỏ"/>
        <s v="0-Đùi gà Rán 10C lớn"/>
        <s v="0-Đùi gà Rán 8C lớn"/>
        <s v="0-Cánh gà rán"/>
        <s v="0-Gà lắc"/>
        <s v="0-Gà viên"/>
        <s v="Phô mai sữa que LC"/>
        <s v="Sủi thịt"/>
        <s v="Sủi tôm"/>
        <s v="Phô mai que AN"/>
        <s v="Chả tôm hình Surimi LC"/>
        <s v="Mực tẩm bột LC"/>
        <s v="Hải sản sốt cam LC"/>
        <s v="Viên thả lẩu Gà nướng mật ong (Đỏ)"/>
        <s v="Viên thả lẩu phô mai (Xanh lá)"/>
        <s v="Viên thả lẩu răng mực (Hồng)"/>
        <s v="Viên thả lẩu TOMYUM (Tím)"/>
        <s v="Viên thả lẩu trứng tôm (Vàng)"/>
        <s v="Phô mai que (13 que)"/>
        <s v="Phô mai viên (35v)"/>
        <s v="Đậu hủ phô mai"/>
        <s v="XX Đức HS ĐNA"/>
        <s v="Chả giò HS trái cây sốt Mayo"/>
        <s v="Chả giò Rế tôm mực LC"/>
        <s v="XX Hotdog Phô mai"/>
        <s v="0-Bò cuộn Excel Canada"/>
        <s v="Bò lá lốt"/>
        <s v="Ốc nhồi Hải sản"/>
        <s v="Sủi cảo"/>
        <s v="Khoai tây"/>
        <s v="Đậu hủ phô mai EB"/>
        <s v="Hồ lô ĐNA"/>
        <s v="Há cảo Lớn"/>
        <s v="Há cảo Mini"/>
        <s v="Thanh cua dài Liên Anh"/>
        <s v="Gà viên phô mai"/>
        <s v="Viên thả lẩu Cam-Trứng cá "/>
        <s v="Tôm hùm viên PM"/>
        <s v="Bánh bao ngọt không nhân"/>
        <s v="Cá viên KK"/>
        <s v="Cá viên rau củ KK"/>
        <s v="Bò viên KK"/>
        <s v="Tôm viên KK"/>
        <s v="XX Đỏ KK"/>
        <s v="XX Đức KK"/>
        <s v="Hồ lô KK"/>
        <s v="Bánh bao thả lẩu Trứng cá KK"/>
        <s v="Mực khoanh KK"/>
        <s v="Chả giò Chay rau nấm LC" u="1"/>
      </sharedItems>
    </cacheField>
    <cacheField name="Mã Hàng" numFmtId="0">
      <sharedItems count="48">
        <s v="MTG1"/>
        <s v="MTG2"/>
        <s v="MTG3"/>
        <s v="MTG4"/>
        <s v="MTG5"/>
        <s v="MTG6"/>
        <s v="MT01"/>
        <s v="MT02"/>
        <s v="MT03"/>
        <s v="MT04"/>
        <s v="MT05"/>
        <s v="MT06"/>
        <s v="MT07"/>
        <s v="MT08"/>
        <s v="MT09"/>
        <s v="MT10"/>
        <s v="MT11"/>
        <s v="MT12"/>
        <s v="MT13"/>
        <s v="MT14"/>
        <s v="MT15"/>
        <s v="MT16"/>
        <s v="MT17"/>
        <s v="MT18"/>
        <s v="MT19"/>
        <s v="MT20"/>
        <s v="MT21"/>
        <s v="MT22"/>
        <s v="MT23"/>
        <s v="MT24"/>
        <s v="MT25"/>
        <s v="MT26"/>
        <s v="MT27"/>
        <s v="MT28"/>
        <s v="MT29"/>
        <s v="MT30"/>
        <s v="MT31"/>
        <s v="MT32"/>
        <s v="MT33"/>
        <s v="MT34"/>
        <s v="MT35"/>
        <s v="MT36"/>
        <s v="MT37"/>
        <s v="MT38"/>
        <s v="MT39"/>
        <s v="MT40"/>
        <s v="MT41"/>
        <s v="MT42"/>
      </sharedItems>
    </cacheField>
    <cacheField name="Giá  bán" numFmtId="41">
      <sharedItems containsSemiMixedTypes="0" containsString="0" containsNumber="1" containsInteger="1" minValue="18000" maxValue="122000" count="27">
        <n v="110000"/>
        <n v="122000"/>
        <n v="95000"/>
        <n v="116000"/>
        <n v="48000"/>
        <n v="43000"/>
        <n v="40000"/>
        <n v="42000"/>
        <n v="45000"/>
        <n v="38000"/>
        <n v="55000"/>
        <n v="35000"/>
        <n v="50000"/>
        <n v="105000"/>
        <n v="65000"/>
        <n v="80000"/>
        <n v="44000"/>
        <n v="70000"/>
        <n v="54000"/>
        <n v="47000"/>
        <n v="18000"/>
        <n v="25000"/>
        <n v="28000"/>
        <n v="26000"/>
        <n v="37000"/>
        <n v="27000" u="1"/>
        <n v="30000" u="1"/>
      </sharedItems>
    </cacheField>
  </cacheFields>
  <extLst>
    <ext xmlns:x14="http://schemas.microsoft.com/office/spreadsheetml/2009/9/main" uri="{725AE2AE-9491-48be-B2B4-4EB974FC3084}">
      <x14:pivotCacheDefinition pivotCacheId="11"/>
    </ext>
  </extLst>
</pivotCacheDefinition>
</file>

<file path=xl/pivotCache/pivotCacheRecords1.xml><?xml version="1.0" encoding="utf-8"?>
<pivotCacheRecords xmlns="http://schemas.openxmlformats.org/spreadsheetml/2006/main" xmlns:r="http://schemas.openxmlformats.org/officeDocument/2006/relationships" count="48">
  <r>
    <x v="0"/>
    <x v="0"/>
    <x v="0"/>
    <x v="0"/>
  </r>
  <r>
    <x v="1"/>
    <x v="1"/>
    <x v="1"/>
    <x v="1"/>
  </r>
  <r>
    <x v="2"/>
    <x v="2"/>
    <x v="2"/>
    <x v="2"/>
  </r>
  <r>
    <x v="3"/>
    <x v="3"/>
    <x v="3"/>
    <x v="3"/>
  </r>
  <r>
    <x v="4"/>
    <x v="4"/>
    <x v="4"/>
    <x v="4"/>
  </r>
  <r>
    <x v="5"/>
    <x v="5"/>
    <x v="5"/>
    <x v="5"/>
  </r>
  <r>
    <x v="6"/>
    <x v="6"/>
    <x v="6"/>
    <x v="4"/>
  </r>
  <r>
    <x v="7"/>
    <x v="7"/>
    <x v="7"/>
    <x v="6"/>
  </r>
  <r>
    <x v="8"/>
    <x v="8"/>
    <x v="8"/>
    <x v="7"/>
  </r>
  <r>
    <x v="9"/>
    <x v="9"/>
    <x v="9"/>
    <x v="8"/>
  </r>
  <r>
    <x v="10"/>
    <x v="10"/>
    <x v="10"/>
    <x v="9"/>
  </r>
  <r>
    <x v="11"/>
    <x v="11"/>
    <x v="11"/>
    <x v="7"/>
  </r>
  <r>
    <x v="12"/>
    <x v="12"/>
    <x v="12"/>
    <x v="8"/>
  </r>
  <r>
    <x v="13"/>
    <x v="13"/>
    <x v="13"/>
    <x v="8"/>
  </r>
  <r>
    <x v="14"/>
    <x v="14"/>
    <x v="14"/>
    <x v="8"/>
  </r>
  <r>
    <x v="15"/>
    <x v="15"/>
    <x v="15"/>
    <x v="8"/>
  </r>
  <r>
    <x v="16"/>
    <x v="16"/>
    <x v="16"/>
    <x v="8"/>
  </r>
  <r>
    <x v="17"/>
    <x v="17"/>
    <x v="17"/>
    <x v="8"/>
  </r>
  <r>
    <x v="18"/>
    <x v="18"/>
    <x v="18"/>
    <x v="6"/>
  </r>
  <r>
    <x v="19"/>
    <x v="19"/>
    <x v="19"/>
    <x v="6"/>
  </r>
  <r>
    <x v="20"/>
    <x v="20"/>
    <x v="20"/>
    <x v="10"/>
  </r>
  <r>
    <x v="21"/>
    <x v="21"/>
    <x v="21"/>
    <x v="11"/>
  </r>
  <r>
    <x v="22"/>
    <x v="22"/>
    <x v="22"/>
    <x v="6"/>
  </r>
  <r>
    <x v="23"/>
    <x v="23"/>
    <x v="23"/>
    <x v="12"/>
  </r>
  <r>
    <x v="24"/>
    <x v="24"/>
    <x v="24"/>
    <x v="6"/>
  </r>
  <r>
    <x v="25"/>
    <x v="25"/>
    <x v="25"/>
    <x v="13"/>
  </r>
  <r>
    <x v="26"/>
    <x v="26"/>
    <x v="26"/>
    <x v="7"/>
  </r>
  <r>
    <x v="27"/>
    <x v="27"/>
    <x v="27"/>
    <x v="11"/>
  </r>
  <r>
    <x v="28"/>
    <x v="28"/>
    <x v="28"/>
    <x v="11"/>
  </r>
  <r>
    <x v="29"/>
    <x v="29"/>
    <x v="29"/>
    <x v="14"/>
  </r>
  <r>
    <x v="30"/>
    <x v="30"/>
    <x v="30"/>
    <x v="15"/>
  </r>
  <r>
    <x v="31"/>
    <x v="31"/>
    <x v="31"/>
    <x v="16"/>
  </r>
  <r>
    <x v="32"/>
    <x v="32"/>
    <x v="32"/>
    <x v="11"/>
  </r>
  <r>
    <x v="33"/>
    <x v="33"/>
    <x v="33"/>
    <x v="9"/>
  </r>
  <r>
    <x v="34"/>
    <x v="34"/>
    <x v="34"/>
    <x v="17"/>
  </r>
  <r>
    <x v="35"/>
    <x v="35"/>
    <x v="35"/>
    <x v="18"/>
  </r>
  <r>
    <x v="36"/>
    <x v="36"/>
    <x v="36"/>
    <x v="19"/>
  </r>
  <r>
    <x v="37"/>
    <x v="37"/>
    <x v="37"/>
    <x v="12"/>
  </r>
  <r>
    <x v="38"/>
    <x v="38"/>
    <x v="38"/>
    <x v="20"/>
  </r>
  <r>
    <x v="39"/>
    <x v="39"/>
    <x v="39"/>
    <x v="21"/>
  </r>
  <r>
    <x v="40"/>
    <x v="40"/>
    <x v="40"/>
    <x v="22"/>
  </r>
  <r>
    <x v="41"/>
    <x v="41"/>
    <x v="41"/>
    <x v="22"/>
  </r>
  <r>
    <x v="42"/>
    <x v="42"/>
    <x v="42"/>
    <x v="22"/>
  </r>
  <r>
    <x v="43"/>
    <x v="43"/>
    <x v="43"/>
    <x v="23"/>
  </r>
  <r>
    <x v="44"/>
    <x v="44"/>
    <x v="44"/>
    <x v="24"/>
  </r>
  <r>
    <x v="45"/>
    <x v="45"/>
    <x v="45"/>
    <x v="7"/>
  </r>
  <r>
    <x v="46"/>
    <x v="46"/>
    <x v="46"/>
    <x v="8"/>
  </r>
  <r>
    <x v="47"/>
    <x v="47"/>
    <x v="47"/>
    <x v="23"/>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00000000-0007-0000-0600-000000000000}" name="PivotTable5" cacheId="0" applyNumberFormats="0" applyBorderFormats="0" applyFontFormats="0" applyPatternFormats="0" applyAlignmentFormats="0" applyWidthHeightFormats="1" dataCaption="Values" updatedVersion="8" minRefreshableVersion="3" useAutoFormatting="1" rowGrandTotals="0" colGrandTotals="0" itemPrintTitles="1" createdVersion="4" indent="0" compact="0" compactData="0" multipleFieldFilters="0">
  <location ref="L1:O49" firstHeaderRow="1" firstDataRow="1" firstDataCol="4"/>
  <pivotFields count="4">
    <pivotField axis="axisRow" compact="0" outline="0" showAll="0" sortType="ascending" defaultSubtotal="0">
      <items count="48">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0"/>
        <item x="1"/>
        <item x="2"/>
        <item x="3"/>
        <item x="4"/>
        <item x="5"/>
      </items>
    </pivotField>
    <pivotField axis="axisRow" compact="0" outline="0" showAll="0" defaultSubtotal="0">
      <items count="49">
        <item x="26"/>
        <item x="23"/>
        <item x="10"/>
        <item x="20"/>
        <item x="30"/>
        <item x="32"/>
        <item x="33"/>
        <item x="12"/>
        <item x="11"/>
        <item x="27"/>
        <item x="18"/>
        <item x="19"/>
        <item x="34"/>
        <item x="13"/>
        <item x="14"/>
        <item x="15"/>
        <item x="16"/>
        <item x="17"/>
        <item x="21"/>
        <item x="35"/>
        <item x="36"/>
        <item x="37"/>
        <item x="25"/>
        <item x="31"/>
        <item x="24"/>
        <item x="6"/>
        <item x="22"/>
        <item x="38"/>
        <item x="39"/>
        <item x="40"/>
        <item x="41"/>
        <item x="42"/>
        <item x="43"/>
        <item x="44"/>
        <item x="45"/>
        <item x="46"/>
        <item m="1" x="48"/>
        <item x="28"/>
        <item x="29"/>
        <item x="0"/>
        <item x="1"/>
        <item x="2"/>
        <item x="4"/>
        <item x="5"/>
        <item x="7"/>
        <item x="8"/>
        <item x="3"/>
        <item x="9"/>
        <item x="47"/>
      </items>
    </pivotField>
    <pivotField axis="axisRow" compact="0" outline="0" showAll="0" defaultSubtotal="0">
      <items count="48">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0"/>
        <item x="1"/>
        <item x="2"/>
        <item x="47"/>
        <item x="3"/>
        <item x="4"/>
        <item x="5"/>
      </items>
    </pivotField>
    <pivotField axis="axisRow" compact="0" numFmtId="41" outline="0" showAll="0" defaultSubtotal="0">
      <items count="27">
        <item x="21"/>
        <item x="22"/>
        <item x="11"/>
        <item x="9"/>
        <item x="6"/>
        <item x="7"/>
        <item x="16"/>
        <item x="8"/>
        <item x="12"/>
        <item x="18"/>
        <item x="10"/>
        <item x="14"/>
        <item x="17"/>
        <item x="15"/>
        <item x="19"/>
        <item x="13"/>
        <item x="4"/>
        <item x="23"/>
        <item x="0"/>
        <item x="2"/>
        <item x="5"/>
        <item x="3"/>
        <item x="1"/>
        <item x="20"/>
        <item x="24"/>
        <item m="1" x="25"/>
        <item m="1" x="26"/>
      </items>
    </pivotField>
  </pivotFields>
  <rowFields count="4">
    <field x="0"/>
    <field x="2"/>
    <field x="1"/>
    <field x="3"/>
  </rowFields>
  <rowItems count="48">
    <i>
      <x/>
      <x/>
      <x v="25"/>
      <x v="16"/>
    </i>
    <i>
      <x v="1"/>
      <x v="1"/>
      <x v="44"/>
      <x v="4"/>
    </i>
    <i>
      <x v="2"/>
      <x v="2"/>
      <x v="45"/>
      <x v="5"/>
    </i>
    <i>
      <x v="3"/>
      <x v="3"/>
      <x v="47"/>
      <x v="7"/>
    </i>
    <i>
      <x v="4"/>
      <x v="4"/>
      <x v="2"/>
      <x v="3"/>
    </i>
    <i>
      <x v="5"/>
      <x v="5"/>
      <x v="8"/>
      <x v="5"/>
    </i>
    <i>
      <x v="6"/>
      <x v="6"/>
      <x v="7"/>
      <x v="7"/>
    </i>
    <i>
      <x v="7"/>
      <x v="7"/>
      <x v="13"/>
      <x v="7"/>
    </i>
    <i>
      <x v="8"/>
      <x v="8"/>
      <x v="14"/>
      <x v="7"/>
    </i>
    <i>
      <x v="9"/>
      <x v="9"/>
      <x v="15"/>
      <x v="7"/>
    </i>
    <i>
      <x v="10"/>
      <x v="10"/>
      <x v="16"/>
      <x v="7"/>
    </i>
    <i>
      <x v="11"/>
      <x v="11"/>
      <x v="17"/>
      <x v="7"/>
    </i>
    <i>
      <x v="12"/>
      <x v="12"/>
      <x v="10"/>
      <x v="4"/>
    </i>
    <i>
      <x v="13"/>
      <x v="13"/>
      <x v="11"/>
      <x v="4"/>
    </i>
    <i>
      <x v="14"/>
      <x v="14"/>
      <x v="3"/>
      <x v="10"/>
    </i>
    <i>
      <x v="15"/>
      <x v="15"/>
      <x v="18"/>
      <x v="2"/>
    </i>
    <i>
      <x v="16"/>
      <x v="16"/>
      <x v="26"/>
      <x v="4"/>
    </i>
    <i>
      <x v="17"/>
      <x v="17"/>
      <x v="1"/>
      <x v="8"/>
    </i>
    <i>
      <x v="18"/>
      <x v="18"/>
      <x v="24"/>
      <x v="4"/>
    </i>
    <i>
      <x v="19"/>
      <x v="19"/>
      <x v="22"/>
      <x v="15"/>
    </i>
    <i>
      <x v="20"/>
      <x v="20"/>
      <x/>
      <x v="5"/>
    </i>
    <i>
      <x v="21"/>
      <x v="21"/>
      <x v="9"/>
      <x v="2"/>
    </i>
    <i>
      <x v="22"/>
      <x v="22"/>
      <x v="37"/>
      <x v="2"/>
    </i>
    <i>
      <x v="23"/>
      <x v="23"/>
      <x v="38"/>
      <x v="11"/>
    </i>
    <i>
      <x v="24"/>
      <x v="24"/>
      <x v="4"/>
      <x v="13"/>
    </i>
    <i>
      <x v="25"/>
      <x v="25"/>
      <x v="23"/>
      <x v="6"/>
    </i>
    <i>
      <x v="26"/>
      <x v="26"/>
      <x v="5"/>
      <x v="2"/>
    </i>
    <i>
      <x v="27"/>
      <x v="27"/>
      <x v="6"/>
      <x v="3"/>
    </i>
    <i>
      <x v="28"/>
      <x v="28"/>
      <x v="12"/>
      <x v="12"/>
    </i>
    <i>
      <x v="29"/>
      <x v="29"/>
      <x v="19"/>
      <x v="9"/>
    </i>
    <i>
      <x v="30"/>
      <x v="30"/>
      <x v="20"/>
      <x v="14"/>
    </i>
    <i>
      <x v="31"/>
      <x v="31"/>
      <x v="21"/>
      <x v="8"/>
    </i>
    <i>
      <x v="32"/>
      <x v="32"/>
      <x v="27"/>
      <x v="23"/>
    </i>
    <i>
      <x v="33"/>
      <x v="33"/>
      <x v="28"/>
      <x/>
    </i>
    <i>
      <x v="34"/>
      <x v="34"/>
      <x v="29"/>
      <x v="1"/>
    </i>
    <i>
      <x v="35"/>
      <x v="35"/>
      <x v="30"/>
      <x v="1"/>
    </i>
    <i>
      <x v="36"/>
      <x v="36"/>
      <x v="31"/>
      <x v="1"/>
    </i>
    <i>
      <x v="37"/>
      <x v="37"/>
      <x v="32"/>
      <x v="17"/>
    </i>
    <i>
      <x v="38"/>
      <x v="38"/>
      <x v="33"/>
      <x v="24"/>
    </i>
    <i>
      <x v="39"/>
      <x v="39"/>
      <x v="34"/>
      <x v="5"/>
    </i>
    <i>
      <x v="40"/>
      <x v="40"/>
      <x v="35"/>
      <x v="7"/>
    </i>
    <i>
      <x v="41"/>
      <x v="44"/>
      <x v="48"/>
      <x v="17"/>
    </i>
    <i>
      <x v="42"/>
      <x v="41"/>
      <x v="39"/>
      <x v="18"/>
    </i>
    <i>
      <x v="43"/>
      <x v="42"/>
      <x v="40"/>
      <x v="22"/>
    </i>
    <i>
      <x v="44"/>
      <x v="43"/>
      <x v="41"/>
      <x v="19"/>
    </i>
    <i>
      <x v="45"/>
      <x v="45"/>
      <x v="46"/>
      <x v="21"/>
    </i>
    <i>
      <x v="46"/>
      <x v="46"/>
      <x v="42"/>
      <x v="16"/>
    </i>
    <i>
      <x v="47"/>
      <x v="47"/>
      <x v="43"/>
      <x v="20"/>
    </i>
  </rowItems>
  <colItems count="1">
    <i/>
  </colItems>
  <formats count="150">
    <format dxfId="750">
      <pivotArea field="3" type="button" dataOnly="0" labelOnly="1" outline="0" axis="axisRow" fieldPosition="3"/>
    </format>
    <format dxfId="749">
      <pivotArea dataOnly="0" labelOnly="1" outline="0" fieldPosition="0">
        <references count="4">
          <reference field="0" count="1" selected="0">
            <x v="4"/>
          </reference>
          <reference field="1" count="1" selected="0">
            <x v="2"/>
          </reference>
          <reference field="2" count="1" selected="0">
            <x v="4"/>
          </reference>
          <reference field="3" count="1">
            <x v="3"/>
          </reference>
        </references>
      </pivotArea>
    </format>
    <format dxfId="748">
      <pivotArea dataOnly="0" labelOnly="1" outline="0" fieldPosition="0">
        <references count="4">
          <reference field="0" count="1" selected="0">
            <x v="5"/>
          </reference>
          <reference field="1" count="1" selected="0">
            <x v="8"/>
          </reference>
          <reference field="2" count="1" selected="0">
            <x v="5"/>
          </reference>
          <reference field="3" count="1">
            <x v="5"/>
          </reference>
        </references>
      </pivotArea>
    </format>
    <format dxfId="747">
      <pivotArea dataOnly="0" labelOnly="1" outline="0" fieldPosition="0">
        <references count="4">
          <reference field="0" count="1" selected="0">
            <x v="8"/>
          </reference>
          <reference field="1" count="1" selected="0">
            <x v="7"/>
          </reference>
          <reference field="2" count="1" selected="0">
            <x v="8"/>
          </reference>
          <reference field="3" count="1">
            <x v="7"/>
          </reference>
        </references>
      </pivotArea>
    </format>
    <format dxfId="746">
      <pivotArea dataOnly="0" labelOnly="1" outline="0" fieldPosition="0">
        <references count="4">
          <reference field="0" count="1" selected="0">
            <x v="10"/>
          </reference>
          <reference field="1" count="1" selected="0">
            <x v="13"/>
          </reference>
          <reference field="2" count="1" selected="0">
            <x v="10"/>
          </reference>
          <reference field="3" count="1">
            <x v="7"/>
          </reference>
        </references>
      </pivotArea>
    </format>
    <format dxfId="745">
      <pivotArea dataOnly="0" labelOnly="1" outline="0" fieldPosition="0">
        <references count="4">
          <reference field="0" count="1" selected="0">
            <x v="11"/>
          </reference>
          <reference field="1" count="1" selected="0">
            <x v="14"/>
          </reference>
          <reference field="2" count="1" selected="0">
            <x v="11"/>
          </reference>
          <reference field="3" count="1">
            <x v="7"/>
          </reference>
        </references>
      </pivotArea>
    </format>
    <format dxfId="744">
      <pivotArea dataOnly="0" labelOnly="1" outline="0" fieldPosition="0">
        <references count="4">
          <reference field="0" count="1" selected="0">
            <x v="12"/>
          </reference>
          <reference field="1" count="1" selected="0">
            <x v="15"/>
          </reference>
          <reference field="2" count="1" selected="0">
            <x v="12"/>
          </reference>
          <reference field="3" count="1">
            <x v="7"/>
          </reference>
        </references>
      </pivotArea>
    </format>
    <format dxfId="743">
      <pivotArea dataOnly="0" labelOnly="1" outline="0" fieldPosition="0">
        <references count="4">
          <reference field="0" count="1" selected="0">
            <x v="13"/>
          </reference>
          <reference field="1" count="1" selected="0">
            <x v="16"/>
          </reference>
          <reference field="2" count="1" selected="0">
            <x v="13"/>
          </reference>
          <reference field="3" count="1">
            <x v="7"/>
          </reference>
        </references>
      </pivotArea>
    </format>
    <format dxfId="742">
      <pivotArea dataOnly="0" labelOnly="1" outline="0" fieldPosition="0">
        <references count="4">
          <reference field="0" count="1" selected="0">
            <x v="14"/>
          </reference>
          <reference field="1" count="1" selected="0">
            <x v="17"/>
          </reference>
          <reference field="2" count="1" selected="0">
            <x v="14"/>
          </reference>
          <reference field="3" count="1">
            <x v="7"/>
          </reference>
        </references>
      </pivotArea>
    </format>
    <format dxfId="741">
      <pivotArea dataOnly="0" labelOnly="1" outline="0" fieldPosition="0">
        <references count="4">
          <reference field="0" count="1" selected="0">
            <x v="15"/>
          </reference>
          <reference field="1" count="1" selected="0">
            <x v="10"/>
          </reference>
          <reference field="2" count="1" selected="0">
            <x v="15"/>
          </reference>
          <reference field="3" count="1">
            <x v="4"/>
          </reference>
        </references>
      </pivotArea>
    </format>
    <format dxfId="740">
      <pivotArea dataOnly="0" labelOnly="1" outline="0" fieldPosition="0">
        <references count="4">
          <reference field="0" count="1" selected="0">
            <x v="16"/>
          </reference>
          <reference field="1" count="1" selected="0">
            <x v="11"/>
          </reference>
          <reference field="2" count="1" selected="0">
            <x v="16"/>
          </reference>
          <reference field="3" count="1">
            <x v="4"/>
          </reference>
        </references>
      </pivotArea>
    </format>
    <format dxfId="739">
      <pivotArea dataOnly="0" labelOnly="1" outline="0" fieldPosition="0">
        <references count="4">
          <reference field="0" count="1" selected="0">
            <x v="17"/>
          </reference>
          <reference field="1" count="1" selected="0">
            <x v="3"/>
          </reference>
          <reference field="2" count="1" selected="0">
            <x v="17"/>
          </reference>
          <reference field="3" count="1">
            <x v="10"/>
          </reference>
        </references>
      </pivotArea>
    </format>
    <format dxfId="738">
      <pivotArea dataOnly="0" labelOnly="1" outline="0" fieldPosition="0">
        <references count="4">
          <reference field="0" count="1" selected="0">
            <x v="25"/>
          </reference>
          <reference field="1" count="1" selected="0">
            <x v="1"/>
          </reference>
          <reference field="2" count="1" selected="0">
            <x v="25"/>
          </reference>
          <reference field="3" count="1">
            <x v="7"/>
          </reference>
        </references>
      </pivotArea>
    </format>
    <format dxfId="737">
      <pivotArea dataOnly="0" labelOnly="1" outline="0" fieldPosition="0">
        <references count="4">
          <reference field="0" count="1" selected="0">
            <x v="4"/>
          </reference>
          <reference field="1" count="1" selected="0">
            <x v="2"/>
          </reference>
          <reference field="2" count="1" selected="0">
            <x v="4"/>
          </reference>
          <reference field="3" count="1">
            <x v="3"/>
          </reference>
        </references>
      </pivotArea>
    </format>
    <format dxfId="736">
      <pivotArea dataOnly="0" labelOnly="1" outline="0" fieldPosition="0">
        <references count="4">
          <reference field="0" count="1" selected="0">
            <x v="5"/>
          </reference>
          <reference field="1" count="1" selected="0">
            <x v="8"/>
          </reference>
          <reference field="2" count="1" selected="0">
            <x v="5"/>
          </reference>
          <reference field="3" count="1">
            <x v="5"/>
          </reference>
        </references>
      </pivotArea>
    </format>
    <format dxfId="735">
      <pivotArea dataOnly="0" labelOnly="1" outline="0" fieldPosition="0">
        <references count="4">
          <reference field="0" count="1" selected="0">
            <x v="8"/>
          </reference>
          <reference field="1" count="1" selected="0">
            <x v="7"/>
          </reference>
          <reference field="2" count="1" selected="0">
            <x v="8"/>
          </reference>
          <reference field="3" count="1">
            <x v="7"/>
          </reference>
        </references>
      </pivotArea>
    </format>
    <format dxfId="734">
      <pivotArea dataOnly="0" labelOnly="1" outline="0" fieldPosition="0">
        <references count="4">
          <reference field="0" count="1" selected="0">
            <x v="10"/>
          </reference>
          <reference field="1" count="1" selected="0">
            <x v="13"/>
          </reference>
          <reference field="2" count="1" selected="0">
            <x v="10"/>
          </reference>
          <reference field="3" count="1">
            <x v="7"/>
          </reference>
        </references>
      </pivotArea>
    </format>
    <format dxfId="733">
      <pivotArea dataOnly="0" labelOnly="1" outline="0" fieldPosition="0">
        <references count="4">
          <reference field="0" count="1" selected="0">
            <x v="11"/>
          </reference>
          <reference field="1" count="1" selected="0">
            <x v="14"/>
          </reference>
          <reference field="2" count="1" selected="0">
            <x v="11"/>
          </reference>
          <reference field="3" count="1">
            <x v="7"/>
          </reference>
        </references>
      </pivotArea>
    </format>
    <format dxfId="732">
      <pivotArea dataOnly="0" labelOnly="1" outline="0" fieldPosition="0">
        <references count="4">
          <reference field="0" count="1" selected="0">
            <x v="12"/>
          </reference>
          <reference field="1" count="1" selected="0">
            <x v="15"/>
          </reference>
          <reference field="2" count="1" selected="0">
            <x v="12"/>
          </reference>
          <reference field="3" count="1">
            <x v="7"/>
          </reference>
        </references>
      </pivotArea>
    </format>
    <format dxfId="731">
      <pivotArea dataOnly="0" labelOnly="1" outline="0" fieldPosition="0">
        <references count="4">
          <reference field="0" count="1" selected="0">
            <x v="13"/>
          </reference>
          <reference field="1" count="1" selected="0">
            <x v="16"/>
          </reference>
          <reference field="2" count="1" selected="0">
            <x v="13"/>
          </reference>
          <reference field="3" count="1">
            <x v="7"/>
          </reference>
        </references>
      </pivotArea>
    </format>
    <format dxfId="730">
      <pivotArea dataOnly="0" labelOnly="1" outline="0" fieldPosition="0">
        <references count="4">
          <reference field="0" count="1" selected="0">
            <x v="14"/>
          </reference>
          <reference field="1" count="1" selected="0">
            <x v="17"/>
          </reference>
          <reference field="2" count="1" selected="0">
            <x v="14"/>
          </reference>
          <reference field="3" count="1">
            <x v="7"/>
          </reference>
        </references>
      </pivotArea>
    </format>
    <format dxfId="729">
      <pivotArea dataOnly="0" labelOnly="1" outline="0" fieldPosition="0">
        <references count="4">
          <reference field="0" count="1" selected="0">
            <x v="15"/>
          </reference>
          <reference field="1" count="1" selected="0">
            <x v="10"/>
          </reference>
          <reference field="2" count="1" selected="0">
            <x v="15"/>
          </reference>
          <reference field="3" count="1">
            <x v="4"/>
          </reference>
        </references>
      </pivotArea>
    </format>
    <format dxfId="728">
      <pivotArea dataOnly="0" labelOnly="1" outline="0" fieldPosition="0">
        <references count="4">
          <reference field="0" count="1" selected="0">
            <x v="16"/>
          </reference>
          <reference field="1" count="1" selected="0">
            <x v="11"/>
          </reference>
          <reference field="2" count="1" selected="0">
            <x v="16"/>
          </reference>
          <reference field="3" count="1">
            <x v="4"/>
          </reference>
        </references>
      </pivotArea>
    </format>
    <format dxfId="727">
      <pivotArea dataOnly="0" labelOnly="1" outline="0" fieldPosition="0">
        <references count="4">
          <reference field="0" count="1" selected="0">
            <x v="17"/>
          </reference>
          <reference field="1" count="1" selected="0">
            <x v="3"/>
          </reference>
          <reference field="2" count="1" selected="0">
            <x v="17"/>
          </reference>
          <reference field="3" count="1">
            <x v="10"/>
          </reference>
        </references>
      </pivotArea>
    </format>
    <format dxfId="726">
      <pivotArea dataOnly="0" labelOnly="1" outline="0" fieldPosition="0">
        <references count="4">
          <reference field="0" count="1" selected="0">
            <x v="25"/>
          </reference>
          <reference field="1" count="1" selected="0">
            <x v="1"/>
          </reference>
          <reference field="2" count="1" selected="0">
            <x v="25"/>
          </reference>
          <reference field="3" count="1">
            <x v="7"/>
          </reference>
        </references>
      </pivotArea>
    </format>
    <format dxfId="725">
      <pivotArea field="1" type="button" dataOnly="0" labelOnly="1" outline="0" axis="axisRow" fieldPosition="2"/>
    </format>
    <format dxfId="724">
      <pivotArea dataOnly="0" labelOnly="1" outline="0" fieldPosition="0">
        <references count="1">
          <reference field="1" count="0"/>
        </references>
      </pivotArea>
    </format>
    <format dxfId="723">
      <pivotArea field="0" type="button" dataOnly="0" labelOnly="1" outline="0" axis="axisRow" fieldPosition="0"/>
    </format>
    <format dxfId="722">
      <pivotArea dataOnly="0" labelOnly="1" outline="0" fieldPosition="0">
        <references count="1">
          <reference field="0" count="41">
            <x v="0"/>
            <x v="1"/>
            <x v="2"/>
            <x v="3"/>
            <x v="4"/>
            <x v="5"/>
            <x v="6"/>
            <x v="7"/>
            <x v="8"/>
            <x v="9"/>
            <x v="10"/>
            <x v="11"/>
            <x v="12"/>
            <x v="13"/>
            <x v="14"/>
            <x v="15"/>
            <x v="16"/>
            <x v="17"/>
            <x v="18"/>
            <x v="19"/>
            <x v="20"/>
            <x v="21"/>
            <x v="22"/>
            <x v="23"/>
            <x v="24"/>
            <x v="25"/>
            <x v="26"/>
            <x v="27"/>
            <x v="28"/>
            <x v="29"/>
            <x v="30"/>
            <x v="31"/>
            <x v="32"/>
            <x v="33"/>
            <x v="34"/>
            <x v="35"/>
            <x v="36"/>
            <x v="37"/>
            <x v="38"/>
            <x v="39"/>
            <x v="40"/>
          </reference>
        </references>
      </pivotArea>
    </format>
    <format dxfId="721">
      <pivotArea dataOnly="0" labelOnly="1" grandRow="1" outline="0" fieldPosition="0"/>
    </format>
    <format dxfId="720">
      <pivotArea dataOnly="0" labelOnly="1" outline="0" fieldPosition="0">
        <references count="1">
          <reference field="0" count="41">
            <x v="0"/>
            <x v="1"/>
            <x v="2"/>
            <x v="3"/>
            <x v="4"/>
            <x v="5"/>
            <x v="6"/>
            <x v="7"/>
            <x v="8"/>
            <x v="9"/>
            <x v="10"/>
            <x v="11"/>
            <x v="12"/>
            <x v="13"/>
            <x v="14"/>
            <x v="15"/>
            <x v="16"/>
            <x v="17"/>
            <x v="18"/>
            <x v="19"/>
            <x v="20"/>
            <x v="21"/>
            <x v="22"/>
            <x v="23"/>
            <x v="24"/>
            <x v="25"/>
            <x v="26"/>
            <x v="27"/>
            <x v="28"/>
            <x v="29"/>
            <x v="30"/>
            <x v="31"/>
            <x v="32"/>
            <x v="33"/>
            <x v="34"/>
            <x v="35"/>
            <x v="36"/>
            <x v="37"/>
            <x v="38"/>
            <x v="39"/>
            <x v="40"/>
          </reference>
        </references>
      </pivotArea>
    </format>
    <format dxfId="719">
      <pivotArea dataOnly="0" labelOnly="1" grandRow="1" outline="0" fieldPosition="0"/>
    </format>
    <format dxfId="718">
      <pivotArea field="2" type="button" dataOnly="0" labelOnly="1" outline="0" axis="axisRow" fieldPosition="1"/>
    </format>
    <format dxfId="717">
      <pivotArea type="all" dataOnly="0" outline="0" fieldPosition="0"/>
    </format>
    <format dxfId="716">
      <pivotArea field="0" type="button" dataOnly="0" labelOnly="1" outline="0" axis="axisRow" fieldPosition="0"/>
    </format>
    <format dxfId="715">
      <pivotArea field="2" type="button" dataOnly="0" labelOnly="1" outline="0" axis="axisRow" fieldPosition="1"/>
    </format>
    <format dxfId="714">
      <pivotArea field="1" type="button" dataOnly="0" labelOnly="1" outline="0" axis="axisRow" fieldPosition="2"/>
    </format>
    <format dxfId="713">
      <pivotArea field="3" type="button" dataOnly="0" labelOnly="1" outline="0" axis="axisRow" fieldPosition="3"/>
    </format>
    <format dxfId="712">
      <pivotArea field="0" type="button" dataOnly="0" labelOnly="1" outline="0" axis="axisRow" fieldPosition="0"/>
    </format>
    <format dxfId="711">
      <pivotArea field="2" type="button" dataOnly="0" labelOnly="1" outline="0" axis="axisRow" fieldPosition="1"/>
    </format>
    <format dxfId="710">
      <pivotArea field="1" type="button" dataOnly="0" labelOnly="1" outline="0" axis="axisRow" fieldPosition="2"/>
    </format>
    <format dxfId="709">
      <pivotArea field="3" type="button" dataOnly="0" labelOnly="1" outline="0" axis="axisRow" fieldPosition="3"/>
    </format>
    <format dxfId="708">
      <pivotArea field="0" type="button" dataOnly="0" labelOnly="1" outline="0" axis="axisRow" fieldPosition="0"/>
    </format>
    <format dxfId="707">
      <pivotArea field="2" type="button" dataOnly="0" labelOnly="1" outline="0" axis="axisRow" fieldPosition="1"/>
    </format>
    <format dxfId="706">
      <pivotArea dataOnly="0" labelOnly="1" outline="0" fieldPosition="0">
        <references count="3">
          <reference field="0" count="1" selected="0">
            <x v="4"/>
          </reference>
          <reference field="1" count="1">
            <x v="2"/>
          </reference>
          <reference field="2" count="1" selected="0">
            <x v="4"/>
          </reference>
        </references>
      </pivotArea>
    </format>
    <format dxfId="705">
      <pivotArea dataOnly="0" labelOnly="1" outline="0" fieldPosition="0">
        <references count="3">
          <reference field="0" count="1" selected="0">
            <x v="5"/>
          </reference>
          <reference field="1" count="1">
            <x v="8"/>
          </reference>
          <reference field="2" count="1" selected="0">
            <x v="5"/>
          </reference>
        </references>
      </pivotArea>
    </format>
    <format dxfId="704">
      <pivotArea dataOnly="0" labelOnly="1" outline="0" fieldPosition="0">
        <references count="3">
          <reference field="0" count="1" selected="0">
            <x v="8"/>
          </reference>
          <reference field="1" count="1">
            <x v="7"/>
          </reference>
          <reference field="2" count="1" selected="0">
            <x v="8"/>
          </reference>
        </references>
      </pivotArea>
    </format>
    <format dxfId="703">
      <pivotArea dataOnly="0" labelOnly="1" outline="0" fieldPosition="0">
        <references count="3">
          <reference field="0" count="1" selected="0">
            <x v="10"/>
          </reference>
          <reference field="1" count="1">
            <x v="13"/>
          </reference>
          <reference field="2" count="1" selected="0">
            <x v="10"/>
          </reference>
        </references>
      </pivotArea>
    </format>
    <format dxfId="702">
      <pivotArea dataOnly="0" labelOnly="1" outline="0" fieldPosition="0">
        <references count="3">
          <reference field="0" count="1" selected="0">
            <x v="11"/>
          </reference>
          <reference field="1" count="1">
            <x v="14"/>
          </reference>
          <reference field="2" count="1" selected="0">
            <x v="11"/>
          </reference>
        </references>
      </pivotArea>
    </format>
    <format dxfId="701">
      <pivotArea dataOnly="0" labelOnly="1" outline="0" fieldPosition="0">
        <references count="3">
          <reference field="0" count="1" selected="0">
            <x v="12"/>
          </reference>
          <reference field="1" count="1">
            <x v="15"/>
          </reference>
          <reference field="2" count="1" selected="0">
            <x v="12"/>
          </reference>
        </references>
      </pivotArea>
    </format>
    <format dxfId="700">
      <pivotArea dataOnly="0" labelOnly="1" outline="0" fieldPosition="0">
        <references count="3">
          <reference field="0" count="1" selected="0">
            <x v="13"/>
          </reference>
          <reference field="1" count="1">
            <x v="16"/>
          </reference>
          <reference field="2" count="1" selected="0">
            <x v="13"/>
          </reference>
        </references>
      </pivotArea>
    </format>
    <format dxfId="699">
      <pivotArea dataOnly="0" labelOnly="1" outline="0" fieldPosition="0">
        <references count="3">
          <reference field="0" count="1" selected="0">
            <x v="14"/>
          </reference>
          <reference field="1" count="1">
            <x v="17"/>
          </reference>
          <reference field="2" count="1" selected="0">
            <x v="14"/>
          </reference>
        </references>
      </pivotArea>
    </format>
    <format dxfId="698">
      <pivotArea dataOnly="0" labelOnly="1" outline="0" fieldPosition="0">
        <references count="3">
          <reference field="0" count="1" selected="0">
            <x v="15"/>
          </reference>
          <reference field="1" count="1">
            <x v="10"/>
          </reference>
          <reference field="2" count="1" selected="0">
            <x v="15"/>
          </reference>
        </references>
      </pivotArea>
    </format>
    <format dxfId="697">
      <pivotArea dataOnly="0" labelOnly="1" outline="0" fieldPosition="0">
        <references count="3">
          <reference field="0" count="1" selected="0">
            <x v="16"/>
          </reference>
          <reference field="1" count="1">
            <x v="11"/>
          </reference>
          <reference field="2" count="1" selected="0">
            <x v="16"/>
          </reference>
        </references>
      </pivotArea>
    </format>
    <format dxfId="696">
      <pivotArea dataOnly="0" labelOnly="1" outline="0" fieldPosition="0">
        <references count="3">
          <reference field="0" count="1" selected="0">
            <x v="17"/>
          </reference>
          <reference field="1" count="1">
            <x v="3"/>
          </reference>
          <reference field="2" count="1" selected="0">
            <x v="17"/>
          </reference>
        </references>
      </pivotArea>
    </format>
    <format dxfId="695">
      <pivotArea dataOnly="0" labelOnly="1" outline="0" fieldPosition="0">
        <references count="3">
          <reference field="0" count="1" selected="0">
            <x v="20"/>
          </reference>
          <reference field="1" count="1">
            <x v="18"/>
          </reference>
          <reference field="2" count="1" selected="0">
            <x v="20"/>
          </reference>
        </references>
      </pivotArea>
    </format>
    <format dxfId="694">
      <pivotArea dataOnly="0" labelOnly="1" outline="0" fieldPosition="0">
        <references count="3">
          <reference field="0" count="1" selected="0">
            <x v="25"/>
          </reference>
          <reference field="1" count="1">
            <x v="1"/>
          </reference>
          <reference field="2" count="1" selected="0">
            <x v="25"/>
          </reference>
        </references>
      </pivotArea>
    </format>
    <format dxfId="693">
      <pivotArea dataOnly="0" labelOnly="1" outline="0" fieldPosition="0">
        <references count="4">
          <reference field="0" count="1" selected="0">
            <x v="4"/>
          </reference>
          <reference field="1" count="1" selected="0">
            <x v="2"/>
          </reference>
          <reference field="2" count="1" selected="0">
            <x v="4"/>
          </reference>
          <reference field="3" count="1">
            <x v="3"/>
          </reference>
        </references>
      </pivotArea>
    </format>
    <format dxfId="692">
      <pivotArea dataOnly="0" labelOnly="1" outline="0" fieldPosition="0">
        <references count="4">
          <reference field="0" count="1" selected="0">
            <x v="5"/>
          </reference>
          <reference field="1" count="1" selected="0">
            <x v="8"/>
          </reference>
          <reference field="2" count="1" selected="0">
            <x v="5"/>
          </reference>
          <reference field="3" count="1">
            <x v="5"/>
          </reference>
        </references>
      </pivotArea>
    </format>
    <format dxfId="691">
      <pivotArea dataOnly="0" labelOnly="1" outline="0" fieldPosition="0">
        <references count="4">
          <reference field="0" count="1" selected="0">
            <x v="8"/>
          </reference>
          <reference field="1" count="1" selected="0">
            <x v="7"/>
          </reference>
          <reference field="2" count="1" selected="0">
            <x v="8"/>
          </reference>
          <reference field="3" count="1">
            <x v="7"/>
          </reference>
        </references>
      </pivotArea>
    </format>
    <format dxfId="690">
      <pivotArea dataOnly="0" labelOnly="1" outline="0" fieldPosition="0">
        <references count="4">
          <reference field="0" count="1" selected="0">
            <x v="10"/>
          </reference>
          <reference field="1" count="1" selected="0">
            <x v="13"/>
          </reference>
          <reference field="2" count="1" selected="0">
            <x v="10"/>
          </reference>
          <reference field="3" count="1">
            <x v="7"/>
          </reference>
        </references>
      </pivotArea>
    </format>
    <format dxfId="689">
      <pivotArea dataOnly="0" labelOnly="1" outline="0" fieldPosition="0">
        <references count="4">
          <reference field="0" count="1" selected="0">
            <x v="11"/>
          </reference>
          <reference field="1" count="1" selected="0">
            <x v="14"/>
          </reference>
          <reference field="2" count="1" selected="0">
            <x v="11"/>
          </reference>
          <reference field="3" count="1">
            <x v="7"/>
          </reference>
        </references>
      </pivotArea>
    </format>
    <format dxfId="688">
      <pivotArea dataOnly="0" labelOnly="1" outline="0" fieldPosition="0">
        <references count="4">
          <reference field="0" count="1" selected="0">
            <x v="12"/>
          </reference>
          <reference field="1" count="1" selected="0">
            <x v="15"/>
          </reference>
          <reference field="2" count="1" selected="0">
            <x v="12"/>
          </reference>
          <reference field="3" count="1">
            <x v="7"/>
          </reference>
        </references>
      </pivotArea>
    </format>
    <format dxfId="687">
      <pivotArea dataOnly="0" labelOnly="1" outline="0" fieldPosition="0">
        <references count="4">
          <reference field="0" count="1" selected="0">
            <x v="13"/>
          </reference>
          <reference field="1" count="1" selected="0">
            <x v="16"/>
          </reference>
          <reference field="2" count="1" selected="0">
            <x v="13"/>
          </reference>
          <reference field="3" count="1">
            <x v="7"/>
          </reference>
        </references>
      </pivotArea>
    </format>
    <format dxfId="686">
      <pivotArea dataOnly="0" labelOnly="1" outline="0" fieldPosition="0">
        <references count="4">
          <reference field="0" count="1" selected="0">
            <x v="14"/>
          </reference>
          <reference field="1" count="1" selected="0">
            <x v="17"/>
          </reference>
          <reference field="2" count="1" selected="0">
            <x v="14"/>
          </reference>
          <reference field="3" count="1">
            <x v="7"/>
          </reference>
        </references>
      </pivotArea>
    </format>
    <format dxfId="685">
      <pivotArea dataOnly="0" labelOnly="1" outline="0" fieldPosition="0">
        <references count="4">
          <reference field="0" count="1" selected="0">
            <x v="15"/>
          </reference>
          <reference field="1" count="1" selected="0">
            <x v="10"/>
          </reference>
          <reference field="2" count="1" selected="0">
            <x v="15"/>
          </reference>
          <reference field="3" count="1">
            <x v="4"/>
          </reference>
        </references>
      </pivotArea>
    </format>
    <format dxfId="684">
      <pivotArea dataOnly="0" labelOnly="1" outline="0" fieldPosition="0">
        <references count="4">
          <reference field="0" count="1" selected="0">
            <x v="16"/>
          </reference>
          <reference field="1" count="1" selected="0">
            <x v="11"/>
          </reference>
          <reference field="2" count="1" selected="0">
            <x v="16"/>
          </reference>
          <reference field="3" count="1">
            <x v="4"/>
          </reference>
        </references>
      </pivotArea>
    </format>
    <format dxfId="683">
      <pivotArea dataOnly="0" labelOnly="1" outline="0" fieldPosition="0">
        <references count="4">
          <reference field="0" count="1" selected="0">
            <x v="17"/>
          </reference>
          <reference field="1" count="1" selected="0">
            <x v="3"/>
          </reference>
          <reference field="2" count="1" selected="0">
            <x v="17"/>
          </reference>
          <reference field="3" count="1">
            <x v="10"/>
          </reference>
        </references>
      </pivotArea>
    </format>
    <format dxfId="682">
      <pivotArea dataOnly="0" labelOnly="1" outline="0" fieldPosition="0">
        <references count="4">
          <reference field="0" count="1" selected="0">
            <x v="25"/>
          </reference>
          <reference field="1" count="1" selected="0">
            <x v="1"/>
          </reference>
          <reference field="2" count="1" selected="0">
            <x v="25"/>
          </reference>
          <reference field="3" count="1">
            <x v="7"/>
          </reference>
        </references>
      </pivotArea>
    </format>
    <format dxfId="681">
      <pivotArea dataOnly="0" labelOnly="1" outline="0" fieldPosition="0">
        <references count="1">
          <reference field="0" count="41">
            <x v="0"/>
            <x v="1"/>
            <x v="2"/>
            <x v="3"/>
            <x v="4"/>
            <x v="5"/>
            <x v="6"/>
            <x v="7"/>
            <x v="8"/>
            <x v="9"/>
            <x v="10"/>
            <x v="11"/>
            <x v="12"/>
            <x v="13"/>
            <x v="14"/>
            <x v="15"/>
            <x v="16"/>
            <x v="17"/>
            <x v="18"/>
            <x v="19"/>
            <x v="20"/>
            <x v="21"/>
            <x v="22"/>
            <x v="23"/>
            <x v="24"/>
            <x v="25"/>
            <x v="26"/>
            <x v="27"/>
            <x v="28"/>
            <x v="29"/>
            <x v="30"/>
            <x v="31"/>
            <x v="32"/>
            <x v="33"/>
            <x v="34"/>
            <x v="35"/>
            <x v="36"/>
            <x v="37"/>
            <x v="38"/>
            <x v="39"/>
            <x v="40"/>
          </reference>
        </references>
      </pivotArea>
    </format>
    <format dxfId="680">
      <pivotArea dataOnly="0" labelOnly="1" outline="0" fieldPosition="0">
        <references count="2">
          <reference field="0" count="1" selected="0">
            <x v="0"/>
          </reference>
          <reference field="2" count="1">
            <x v="0"/>
          </reference>
        </references>
      </pivotArea>
    </format>
    <format dxfId="679">
      <pivotArea dataOnly="0" labelOnly="1" outline="0" fieldPosition="0">
        <references count="2">
          <reference field="0" count="1" selected="0">
            <x v="1"/>
          </reference>
          <reference field="2" count="1">
            <x v="1"/>
          </reference>
        </references>
      </pivotArea>
    </format>
    <format dxfId="678">
      <pivotArea dataOnly="0" labelOnly="1" outline="0" fieldPosition="0">
        <references count="2">
          <reference field="0" count="1" selected="0">
            <x v="2"/>
          </reference>
          <reference field="2" count="1">
            <x v="2"/>
          </reference>
        </references>
      </pivotArea>
    </format>
    <format dxfId="677">
      <pivotArea dataOnly="0" labelOnly="1" outline="0" fieldPosition="0">
        <references count="2">
          <reference field="0" count="1" selected="0">
            <x v="3"/>
          </reference>
          <reference field="2" count="1">
            <x v="3"/>
          </reference>
        </references>
      </pivotArea>
    </format>
    <format dxfId="676">
      <pivotArea dataOnly="0" labelOnly="1" outline="0" fieldPosition="0">
        <references count="2">
          <reference field="0" count="1" selected="0">
            <x v="4"/>
          </reference>
          <reference field="2" count="1">
            <x v="4"/>
          </reference>
        </references>
      </pivotArea>
    </format>
    <format dxfId="675">
      <pivotArea dataOnly="0" labelOnly="1" outline="0" fieldPosition="0">
        <references count="2">
          <reference field="0" count="1" selected="0">
            <x v="5"/>
          </reference>
          <reference field="2" count="1">
            <x v="5"/>
          </reference>
        </references>
      </pivotArea>
    </format>
    <format dxfId="674">
      <pivotArea dataOnly="0" labelOnly="1" outline="0" fieldPosition="0">
        <references count="2">
          <reference field="0" count="1" selected="0">
            <x v="6"/>
          </reference>
          <reference field="2" count="1">
            <x v="6"/>
          </reference>
        </references>
      </pivotArea>
    </format>
    <format dxfId="673">
      <pivotArea dataOnly="0" labelOnly="1" outline="0" fieldPosition="0">
        <references count="2">
          <reference field="0" count="1" selected="0">
            <x v="7"/>
          </reference>
          <reference field="2" count="1">
            <x v="7"/>
          </reference>
        </references>
      </pivotArea>
    </format>
    <format dxfId="672">
      <pivotArea dataOnly="0" labelOnly="1" outline="0" fieldPosition="0">
        <references count="2">
          <reference field="0" count="1" selected="0">
            <x v="8"/>
          </reference>
          <reference field="2" count="1">
            <x v="8"/>
          </reference>
        </references>
      </pivotArea>
    </format>
    <format dxfId="671">
      <pivotArea dataOnly="0" labelOnly="1" outline="0" fieldPosition="0">
        <references count="2">
          <reference field="0" count="1" selected="0">
            <x v="9"/>
          </reference>
          <reference field="2" count="1">
            <x v="9"/>
          </reference>
        </references>
      </pivotArea>
    </format>
    <format dxfId="670">
      <pivotArea dataOnly="0" labelOnly="1" outline="0" fieldPosition="0">
        <references count="2">
          <reference field="0" count="1" selected="0">
            <x v="10"/>
          </reference>
          <reference field="2" count="1">
            <x v="10"/>
          </reference>
        </references>
      </pivotArea>
    </format>
    <format dxfId="669">
      <pivotArea dataOnly="0" labelOnly="1" outline="0" fieldPosition="0">
        <references count="2">
          <reference field="0" count="1" selected="0">
            <x v="11"/>
          </reference>
          <reference field="2" count="1">
            <x v="11"/>
          </reference>
        </references>
      </pivotArea>
    </format>
    <format dxfId="668">
      <pivotArea dataOnly="0" labelOnly="1" outline="0" fieldPosition="0">
        <references count="2">
          <reference field="0" count="1" selected="0">
            <x v="12"/>
          </reference>
          <reference field="2" count="1">
            <x v="12"/>
          </reference>
        </references>
      </pivotArea>
    </format>
    <format dxfId="667">
      <pivotArea dataOnly="0" labelOnly="1" outline="0" fieldPosition="0">
        <references count="2">
          <reference field="0" count="1" selected="0">
            <x v="13"/>
          </reference>
          <reference field="2" count="1">
            <x v="13"/>
          </reference>
        </references>
      </pivotArea>
    </format>
    <format dxfId="666">
      <pivotArea dataOnly="0" labelOnly="1" outline="0" fieldPosition="0">
        <references count="2">
          <reference field="0" count="1" selected="0">
            <x v="14"/>
          </reference>
          <reference field="2" count="1">
            <x v="14"/>
          </reference>
        </references>
      </pivotArea>
    </format>
    <format dxfId="665">
      <pivotArea dataOnly="0" labelOnly="1" outline="0" fieldPosition="0">
        <references count="2">
          <reference field="0" count="1" selected="0">
            <x v="15"/>
          </reference>
          <reference field="2" count="1">
            <x v="15"/>
          </reference>
        </references>
      </pivotArea>
    </format>
    <format dxfId="664">
      <pivotArea dataOnly="0" labelOnly="1" outline="0" fieldPosition="0">
        <references count="2">
          <reference field="0" count="1" selected="0">
            <x v="16"/>
          </reference>
          <reference field="2" count="1">
            <x v="16"/>
          </reference>
        </references>
      </pivotArea>
    </format>
    <format dxfId="663">
      <pivotArea dataOnly="0" labelOnly="1" outline="0" fieldPosition="0">
        <references count="2">
          <reference field="0" count="1" selected="0">
            <x v="17"/>
          </reference>
          <reference field="2" count="1">
            <x v="17"/>
          </reference>
        </references>
      </pivotArea>
    </format>
    <format dxfId="662">
      <pivotArea dataOnly="0" labelOnly="1" outline="0" fieldPosition="0">
        <references count="2">
          <reference field="0" count="1" selected="0">
            <x v="18"/>
          </reference>
          <reference field="2" count="1">
            <x v="18"/>
          </reference>
        </references>
      </pivotArea>
    </format>
    <format dxfId="661">
      <pivotArea dataOnly="0" labelOnly="1" outline="0" fieldPosition="0">
        <references count="2">
          <reference field="0" count="1" selected="0">
            <x v="19"/>
          </reference>
          <reference field="2" count="1">
            <x v="19"/>
          </reference>
        </references>
      </pivotArea>
    </format>
    <format dxfId="660">
      <pivotArea dataOnly="0" labelOnly="1" outline="0" fieldPosition="0">
        <references count="2">
          <reference field="0" count="1" selected="0">
            <x v="20"/>
          </reference>
          <reference field="2" count="1">
            <x v="20"/>
          </reference>
        </references>
      </pivotArea>
    </format>
    <format dxfId="659">
      <pivotArea dataOnly="0" labelOnly="1" outline="0" fieldPosition="0">
        <references count="2">
          <reference field="0" count="1" selected="0">
            <x v="21"/>
          </reference>
          <reference field="2" count="1">
            <x v="21"/>
          </reference>
        </references>
      </pivotArea>
    </format>
    <format dxfId="658">
      <pivotArea dataOnly="0" labelOnly="1" outline="0" fieldPosition="0">
        <references count="2">
          <reference field="0" count="1" selected="0">
            <x v="22"/>
          </reference>
          <reference field="2" count="1">
            <x v="22"/>
          </reference>
        </references>
      </pivotArea>
    </format>
    <format dxfId="657">
      <pivotArea dataOnly="0" labelOnly="1" outline="0" fieldPosition="0">
        <references count="2">
          <reference field="0" count="1" selected="0">
            <x v="23"/>
          </reference>
          <reference field="2" count="1">
            <x v="23"/>
          </reference>
        </references>
      </pivotArea>
    </format>
    <format dxfId="656">
      <pivotArea dataOnly="0" labelOnly="1" outline="0" fieldPosition="0">
        <references count="2">
          <reference field="0" count="1" selected="0">
            <x v="24"/>
          </reference>
          <reference field="2" count="1">
            <x v="24"/>
          </reference>
        </references>
      </pivotArea>
    </format>
    <format dxfId="655">
      <pivotArea dataOnly="0" labelOnly="1" outline="0" fieldPosition="0">
        <references count="2">
          <reference field="0" count="1" selected="0">
            <x v="25"/>
          </reference>
          <reference field="2" count="1">
            <x v="25"/>
          </reference>
        </references>
      </pivotArea>
    </format>
    <format dxfId="654">
      <pivotArea dataOnly="0" labelOnly="1" outline="0" fieldPosition="0">
        <references count="2">
          <reference field="0" count="1" selected="0">
            <x v="26"/>
          </reference>
          <reference field="2" count="1">
            <x v="26"/>
          </reference>
        </references>
      </pivotArea>
    </format>
    <format dxfId="653">
      <pivotArea dataOnly="0" labelOnly="1" outline="0" fieldPosition="0">
        <references count="2">
          <reference field="0" count="1" selected="0">
            <x v="27"/>
          </reference>
          <reference field="2" count="1">
            <x v="27"/>
          </reference>
        </references>
      </pivotArea>
    </format>
    <format dxfId="652">
      <pivotArea dataOnly="0" labelOnly="1" outline="0" fieldPosition="0">
        <references count="2">
          <reference field="0" count="1" selected="0">
            <x v="28"/>
          </reference>
          <reference field="2" count="1">
            <x v="28"/>
          </reference>
        </references>
      </pivotArea>
    </format>
    <format dxfId="651">
      <pivotArea dataOnly="0" labelOnly="1" outline="0" fieldPosition="0">
        <references count="2">
          <reference field="0" count="1" selected="0">
            <x v="29"/>
          </reference>
          <reference field="2" count="1">
            <x v="29"/>
          </reference>
        </references>
      </pivotArea>
    </format>
    <format dxfId="650">
      <pivotArea dataOnly="0" labelOnly="1" outline="0" fieldPosition="0">
        <references count="2">
          <reference field="0" count="1" selected="0">
            <x v="30"/>
          </reference>
          <reference field="2" count="1">
            <x v="30"/>
          </reference>
        </references>
      </pivotArea>
    </format>
    <format dxfId="649">
      <pivotArea dataOnly="0" labelOnly="1" outline="0" fieldPosition="0">
        <references count="2">
          <reference field="0" count="1" selected="0">
            <x v="31"/>
          </reference>
          <reference field="2" count="1">
            <x v="31"/>
          </reference>
        </references>
      </pivotArea>
    </format>
    <format dxfId="648">
      <pivotArea dataOnly="0" labelOnly="1" outline="0" fieldPosition="0">
        <references count="2">
          <reference field="0" count="1" selected="0">
            <x v="32"/>
          </reference>
          <reference field="2" count="1">
            <x v="32"/>
          </reference>
        </references>
      </pivotArea>
    </format>
    <format dxfId="647">
      <pivotArea dataOnly="0" labelOnly="1" outline="0" fieldPosition="0">
        <references count="2">
          <reference field="0" count="1" selected="0">
            <x v="33"/>
          </reference>
          <reference field="2" count="1">
            <x v="33"/>
          </reference>
        </references>
      </pivotArea>
    </format>
    <format dxfId="646">
      <pivotArea dataOnly="0" labelOnly="1" outline="0" fieldPosition="0">
        <references count="2">
          <reference field="0" count="1" selected="0">
            <x v="34"/>
          </reference>
          <reference field="2" count="1">
            <x v="34"/>
          </reference>
        </references>
      </pivotArea>
    </format>
    <format dxfId="645">
      <pivotArea dataOnly="0" labelOnly="1" outline="0" fieldPosition="0">
        <references count="2">
          <reference field="0" count="1" selected="0">
            <x v="35"/>
          </reference>
          <reference field="2" count="1">
            <x v="35"/>
          </reference>
        </references>
      </pivotArea>
    </format>
    <format dxfId="644">
      <pivotArea dataOnly="0" labelOnly="1" outline="0" fieldPosition="0">
        <references count="2">
          <reference field="0" count="1" selected="0">
            <x v="36"/>
          </reference>
          <reference field="2" count="1">
            <x v="36"/>
          </reference>
        </references>
      </pivotArea>
    </format>
    <format dxfId="643">
      <pivotArea dataOnly="0" labelOnly="1" outline="0" fieldPosition="0">
        <references count="2">
          <reference field="0" count="1" selected="0">
            <x v="37"/>
          </reference>
          <reference field="2" count="1">
            <x v="37"/>
          </reference>
        </references>
      </pivotArea>
    </format>
    <format dxfId="642">
      <pivotArea dataOnly="0" labelOnly="1" outline="0" fieldPosition="0">
        <references count="2">
          <reference field="0" count="1" selected="0">
            <x v="38"/>
          </reference>
          <reference field="2" count="1">
            <x v="38"/>
          </reference>
        </references>
      </pivotArea>
    </format>
    <format dxfId="641">
      <pivotArea dataOnly="0" labelOnly="1" outline="0" fieldPosition="0">
        <references count="2">
          <reference field="0" count="1" selected="0">
            <x v="39"/>
          </reference>
          <reference field="2" count="1">
            <x v="39"/>
          </reference>
        </references>
      </pivotArea>
    </format>
    <format dxfId="640">
      <pivotArea dataOnly="0" labelOnly="1" outline="0" fieldPosition="0">
        <references count="2">
          <reference field="0" count="1" selected="0">
            <x v="40"/>
          </reference>
          <reference field="2" count="1">
            <x v="40"/>
          </reference>
        </references>
      </pivotArea>
    </format>
    <format dxfId="639">
      <pivotArea dataOnly="0" labelOnly="1" outline="0" fieldPosition="0">
        <references count="3">
          <reference field="0" count="1" selected="0">
            <x v="4"/>
          </reference>
          <reference field="1" count="1">
            <x v="2"/>
          </reference>
          <reference field="2" count="1" selected="0">
            <x v="4"/>
          </reference>
        </references>
      </pivotArea>
    </format>
    <format dxfId="638">
      <pivotArea dataOnly="0" labelOnly="1" outline="0" fieldPosition="0">
        <references count="3">
          <reference field="0" count="1" selected="0">
            <x v="5"/>
          </reference>
          <reference field="1" count="1">
            <x v="8"/>
          </reference>
          <reference field="2" count="1" selected="0">
            <x v="5"/>
          </reference>
        </references>
      </pivotArea>
    </format>
    <format dxfId="637">
      <pivotArea dataOnly="0" labelOnly="1" outline="0" fieldPosition="0">
        <references count="3">
          <reference field="0" count="1" selected="0">
            <x v="8"/>
          </reference>
          <reference field="1" count="1">
            <x v="7"/>
          </reference>
          <reference field="2" count="1" selected="0">
            <x v="8"/>
          </reference>
        </references>
      </pivotArea>
    </format>
    <format dxfId="636">
      <pivotArea dataOnly="0" labelOnly="1" outline="0" fieldPosition="0">
        <references count="3">
          <reference field="0" count="1" selected="0">
            <x v="10"/>
          </reference>
          <reference field="1" count="1">
            <x v="13"/>
          </reference>
          <reference field="2" count="1" selected="0">
            <x v="10"/>
          </reference>
        </references>
      </pivotArea>
    </format>
    <format dxfId="635">
      <pivotArea dataOnly="0" labelOnly="1" outline="0" fieldPosition="0">
        <references count="3">
          <reference field="0" count="1" selected="0">
            <x v="11"/>
          </reference>
          <reference field="1" count="1">
            <x v="14"/>
          </reference>
          <reference field="2" count="1" selected="0">
            <x v="11"/>
          </reference>
        </references>
      </pivotArea>
    </format>
    <format dxfId="634">
      <pivotArea dataOnly="0" labelOnly="1" outline="0" fieldPosition="0">
        <references count="3">
          <reference field="0" count="1" selected="0">
            <x v="12"/>
          </reference>
          <reference field="1" count="1">
            <x v="15"/>
          </reference>
          <reference field="2" count="1" selected="0">
            <x v="12"/>
          </reference>
        </references>
      </pivotArea>
    </format>
    <format dxfId="633">
      <pivotArea dataOnly="0" labelOnly="1" outline="0" fieldPosition="0">
        <references count="3">
          <reference field="0" count="1" selected="0">
            <x v="13"/>
          </reference>
          <reference field="1" count="1">
            <x v="16"/>
          </reference>
          <reference field="2" count="1" selected="0">
            <x v="13"/>
          </reference>
        </references>
      </pivotArea>
    </format>
    <format dxfId="632">
      <pivotArea dataOnly="0" labelOnly="1" outline="0" fieldPosition="0">
        <references count="3">
          <reference field="0" count="1" selected="0">
            <x v="14"/>
          </reference>
          <reference field="1" count="1">
            <x v="17"/>
          </reference>
          <reference field="2" count="1" selected="0">
            <x v="14"/>
          </reference>
        </references>
      </pivotArea>
    </format>
    <format dxfId="631">
      <pivotArea dataOnly="0" labelOnly="1" outline="0" fieldPosition="0">
        <references count="3">
          <reference field="0" count="1" selected="0">
            <x v="15"/>
          </reference>
          <reference field="1" count="1">
            <x v="10"/>
          </reference>
          <reference field="2" count="1" selected="0">
            <x v="15"/>
          </reference>
        </references>
      </pivotArea>
    </format>
    <format dxfId="630">
      <pivotArea dataOnly="0" labelOnly="1" outline="0" fieldPosition="0">
        <references count="3">
          <reference field="0" count="1" selected="0">
            <x v="16"/>
          </reference>
          <reference field="1" count="1">
            <x v="11"/>
          </reference>
          <reference field="2" count="1" selected="0">
            <x v="16"/>
          </reference>
        </references>
      </pivotArea>
    </format>
    <format dxfId="629">
      <pivotArea dataOnly="0" labelOnly="1" outline="0" fieldPosition="0">
        <references count="3">
          <reference field="0" count="1" selected="0">
            <x v="17"/>
          </reference>
          <reference field="1" count="1">
            <x v="3"/>
          </reference>
          <reference field="2" count="1" selected="0">
            <x v="17"/>
          </reference>
        </references>
      </pivotArea>
    </format>
    <format dxfId="628">
      <pivotArea dataOnly="0" labelOnly="1" outline="0" fieldPosition="0">
        <references count="3">
          <reference field="0" count="1" selected="0">
            <x v="20"/>
          </reference>
          <reference field="1" count="1">
            <x v="18"/>
          </reference>
          <reference field="2" count="1" selected="0">
            <x v="20"/>
          </reference>
        </references>
      </pivotArea>
    </format>
    <format dxfId="627">
      <pivotArea dataOnly="0" labelOnly="1" outline="0" fieldPosition="0">
        <references count="3">
          <reference field="0" count="1" selected="0">
            <x v="25"/>
          </reference>
          <reference field="1" count="1">
            <x v="1"/>
          </reference>
          <reference field="2" count="1" selected="0">
            <x v="25"/>
          </reference>
        </references>
      </pivotArea>
    </format>
    <format dxfId="626">
      <pivotArea dataOnly="0" labelOnly="1" outline="0" fieldPosition="0">
        <references count="4">
          <reference field="0" count="1" selected="0">
            <x v="4"/>
          </reference>
          <reference field="1" count="1" selected="0">
            <x v="2"/>
          </reference>
          <reference field="2" count="1" selected="0">
            <x v="4"/>
          </reference>
          <reference field="3" count="1">
            <x v="3"/>
          </reference>
        </references>
      </pivotArea>
    </format>
    <format dxfId="625">
      <pivotArea dataOnly="0" labelOnly="1" outline="0" fieldPosition="0">
        <references count="4">
          <reference field="0" count="1" selected="0">
            <x v="5"/>
          </reference>
          <reference field="1" count="1" selected="0">
            <x v="8"/>
          </reference>
          <reference field="2" count="1" selected="0">
            <x v="5"/>
          </reference>
          <reference field="3" count="1">
            <x v="5"/>
          </reference>
        </references>
      </pivotArea>
    </format>
    <format dxfId="624">
      <pivotArea dataOnly="0" labelOnly="1" outline="0" fieldPosition="0">
        <references count="4">
          <reference field="0" count="1" selected="0">
            <x v="8"/>
          </reference>
          <reference field="1" count="1" selected="0">
            <x v="7"/>
          </reference>
          <reference field="2" count="1" selected="0">
            <x v="8"/>
          </reference>
          <reference field="3" count="1">
            <x v="7"/>
          </reference>
        </references>
      </pivotArea>
    </format>
    <format dxfId="623">
      <pivotArea dataOnly="0" labelOnly="1" outline="0" fieldPosition="0">
        <references count="4">
          <reference field="0" count="1" selected="0">
            <x v="10"/>
          </reference>
          <reference field="1" count="1" selected="0">
            <x v="13"/>
          </reference>
          <reference field="2" count="1" selected="0">
            <x v="10"/>
          </reference>
          <reference field="3" count="1">
            <x v="7"/>
          </reference>
        </references>
      </pivotArea>
    </format>
    <format dxfId="622">
      <pivotArea dataOnly="0" labelOnly="1" outline="0" fieldPosition="0">
        <references count="4">
          <reference field="0" count="1" selected="0">
            <x v="11"/>
          </reference>
          <reference field="1" count="1" selected="0">
            <x v="14"/>
          </reference>
          <reference field="2" count="1" selected="0">
            <x v="11"/>
          </reference>
          <reference field="3" count="1">
            <x v="7"/>
          </reference>
        </references>
      </pivotArea>
    </format>
    <format dxfId="621">
      <pivotArea dataOnly="0" labelOnly="1" outline="0" fieldPosition="0">
        <references count="4">
          <reference field="0" count="1" selected="0">
            <x v="12"/>
          </reference>
          <reference field="1" count="1" selected="0">
            <x v="15"/>
          </reference>
          <reference field="2" count="1" selected="0">
            <x v="12"/>
          </reference>
          <reference field="3" count="1">
            <x v="7"/>
          </reference>
        </references>
      </pivotArea>
    </format>
    <format dxfId="620">
      <pivotArea dataOnly="0" labelOnly="1" outline="0" fieldPosition="0">
        <references count="4">
          <reference field="0" count="1" selected="0">
            <x v="13"/>
          </reference>
          <reference field="1" count="1" selected="0">
            <x v="16"/>
          </reference>
          <reference field="2" count="1" selected="0">
            <x v="13"/>
          </reference>
          <reference field="3" count="1">
            <x v="7"/>
          </reference>
        </references>
      </pivotArea>
    </format>
    <format dxfId="619">
      <pivotArea dataOnly="0" labelOnly="1" outline="0" fieldPosition="0">
        <references count="4">
          <reference field="0" count="1" selected="0">
            <x v="14"/>
          </reference>
          <reference field="1" count="1" selected="0">
            <x v="17"/>
          </reference>
          <reference field="2" count="1" selected="0">
            <x v="14"/>
          </reference>
          <reference field="3" count="1">
            <x v="7"/>
          </reference>
        </references>
      </pivotArea>
    </format>
    <format dxfId="618">
      <pivotArea dataOnly="0" labelOnly="1" outline="0" fieldPosition="0">
        <references count="4">
          <reference field="0" count="1" selected="0">
            <x v="15"/>
          </reference>
          <reference field="1" count="1" selected="0">
            <x v="10"/>
          </reference>
          <reference field="2" count="1" selected="0">
            <x v="15"/>
          </reference>
          <reference field="3" count="1">
            <x v="4"/>
          </reference>
        </references>
      </pivotArea>
    </format>
    <format dxfId="617">
      <pivotArea dataOnly="0" labelOnly="1" outline="0" fieldPosition="0">
        <references count="4">
          <reference field="0" count="1" selected="0">
            <x v="16"/>
          </reference>
          <reference field="1" count="1" selected="0">
            <x v="11"/>
          </reference>
          <reference field="2" count="1" selected="0">
            <x v="16"/>
          </reference>
          <reference field="3" count="1">
            <x v="4"/>
          </reference>
        </references>
      </pivotArea>
    </format>
    <format dxfId="616">
      <pivotArea dataOnly="0" labelOnly="1" outline="0" fieldPosition="0">
        <references count="4">
          <reference field="0" count="1" selected="0">
            <x v="17"/>
          </reference>
          <reference field="1" count="1" selected="0">
            <x v="3"/>
          </reference>
          <reference field="2" count="1" selected="0">
            <x v="17"/>
          </reference>
          <reference field="3" count="1">
            <x v="10"/>
          </reference>
        </references>
      </pivotArea>
    </format>
    <format dxfId="615">
      <pivotArea dataOnly="0" labelOnly="1" outline="0" fieldPosition="0">
        <references count="4">
          <reference field="0" count="1" selected="0">
            <x v="25"/>
          </reference>
          <reference field="1" count="1" selected="0">
            <x v="1"/>
          </reference>
          <reference field="2" count="1" selected="0">
            <x v="25"/>
          </reference>
          <reference field="3" count="1">
            <x v="7"/>
          </reference>
        </references>
      </pivotArea>
    </format>
    <format dxfId="614">
      <pivotArea type="all" dataOnly="0" outline="0" fieldPosition="0"/>
    </format>
    <format dxfId="613">
      <pivotArea type="all" dataOnly="0" outline="0" fieldPosition="0"/>
    </format>
    <format dxfId="612">
      <pivotArea type="all" dataOnly="0" outline="0" fieldPosition="0"/>
    </format>
    <format dxfId="611">
      <pivotArea dataOnly="0" labelOnly="1" outline="0" fieldPosition="0">
        <references count="1">
          <reference field="0" count="3">
            <x v="0"/>
            <x v="1"/>
            <x v="2"/>
          </reference>
        </references>
      </pivotArea>
    </format>
    <format dxfId="610">
      <pivotArea dataOnly="0" labelOnly="1" outline="0" fieldPosition="0">
        <references count="2">
          <reference field="0" count="1" selected="0">
            <x v="0"/>
          </reference>
          <reference field="2" count="1">
            <x v="0"/>
          </reference>
        </references>
      </pivotArea>
    </format>
    <format dxfId="609">
      <pivotArea dataOnly="0" labelOnly="1" outline="0" fieldPosition="0">
        <references count="2">
          <reference field="0" count="1" selected="0">
            <x v="1"/>
          </reference>
          <reference field="2" count="1">
            <x v="1"/>
          </reference>
        </references>
      </pivotArea>
    </format>
    <format dxfId="608">
      <pivotArea dataOnly="0" labelOnly="1" outline="0" fieldPosition="0">
        <references count="2">
          <reference field="0" count="1" selected="0">
            <x v="2"/>
          </reference>
          <reference field="2" count="1">
            <x v="2"/>
          </reference>
        </references>
      </pivotArea>
    </format>
    <format dxfId="607">
      <pivotArea dataOnly="0" labelOnly="1" outline="0" fieldPosition="0">
        <references count="1">
          <reference field="1" count="0"/>
        </references>
      </pivotArea>
    </format>
    <format dxfId="606">
      <pivotArea dataOnly="0" labelOnly="1" outline="0" fieldPosition="0">
        <references count="1">
          <reference field="0" count="1">
            <x v="42"/>
          </reference>
        </references>
      </pivotArea>
    </format>
    <format dxfId="605">
      <pivotArea dataOnly="0" labelOnly="1" outline="0" fieldPosition="0">
        <references count="1">
          <reference field="0" count="1">
            <x v="41"/>
          </reference>
        </references>
      </pivotArea>
    </format>
    <format dxfId="604">
      <pivotArea dataOnly="0" labelOnly="1" outline="0" fieldPosition="0">
        <references count="1">
          <reference field="0" count="1">
            <x v="1"/>
          </reference>
        </references>
      </pivotArea>
    </format>
    <format dxfId="603">
      <pivotArea dataOnly="0" labelOnly="1" outline="0" fieldPosition="0">
        <references count="2">
          <reference field="0" count="1" selected="0">
            <x v="1"/>
          </reference>
          <reference field="2" count="1">
            <x v="1"/>
          </reference>
        </references>
      </pivotArea>
    </format>
    <format dxfId="602">
      <pivotArea field="1" type="button" dataOnly="0" labelOnly="1" outline="0" axis="axisRow" fieldPosition="2"/>
    </format>
    <format dxfId="601">
      <pivotArea field="3" type="button" dataOnly="0" labelOnly="1" outline="0" axis="axisRow" fieldPosition="3"/>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Tên_hàng" xr10:uid="{00000000-0013-0000-FFFF-FFFF01000000}" sourceName="Tên hàng">
  <pivotTables>
    <pivotTable tabId="8" name="PivotTable5"/>
  </pivotTables>
  <data>
    <tabular pivotCacheId="11" customListSort="0" showMissing="0" crossFilter="showItemsWithNoData">
      <items count="49">
        <i x="25" s="1"/>
        <i x="3" s="1"/>
        <i x="1" s="1"/>
        <i x="0" s="1"/>
        <i x="2" s="1"/>
        <i x="4" s="1"/>
        <i x="5" s="1"/>
        <i x="38" s="1"/>
        <i x="46" s="1"/>
        <i x="26" s="1"/>
        <i x="41" s="1"/>
        <i x="39" s="1"/>
        <i x="40" s="1"/>
        <i x="22" s="1"/>
        <i x="23" s="1"/>
        <i x="10" s="1"/>
        <i x="20" s="1"/>
        <i x="30" s="1"/>
        <i x="35" s="1"/>
        <i x="32" s="1"/>
        <i x="33" s="1"/>
        <i x="12" s="1"/>
        <i x="31" s="1"/>
        <i x="45" s="1"/>
        <i x="29" s="1"/>
        <i x="47" s="1"/>
        <i x="11" s="1"/>
        <i x="27" s="1"/>
        <i x="18" s="1"/>
        <i x="9" s="1"/>
        <i x="6" s="1"/>
        <i x="19" s="1"/>
        <i x="28" s="1"/>
        <i x="8" s="1"/>
        <i x="7" s="1"/>
        <i x="37" s="1"/>
        <i x="42" s="1"/>
        <i x="34" s="1"/>
        <i x="36" s="1"/>
        <i x="13" s="1"/>
        <i x="14" s="1"/>
        <i x="15" s="1"/>
        <i x="16" s="1"/>
        <i x="17" s="1"/>
        <i x="43" s="1"/>
        <i x="21" s="1"/>
        <i x="44" s="1"/>
        <i x="24" s="1"/>
        <i x="48" s="1" nd="1"/>
      </items>
    </tabular>
  </data>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Tên hàng" xr10:uid="{00000000-0014-0000-FFFF-FFFF01000000}" cache="Slicer_Tên_hàng" caption="Tên hàng" columnCount="4" style="Slicer Style 1 2" rowHeight="360000"/>
</slicers>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v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3.v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3" Type="http://schemas.openxmlformats.org/officeDocument/2006/relationships/comments" Target="../comments4.xml"/><Relationship Id="rId2" Type="http://schemas.openxmlformats.org/officeDocument/2006/relationships/vmlDrawing" Target="../drawings/vmlDrawing4.v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3" Type="http://schemas.openxmlformats.org/officeDocument/2006/relationships/drawing" Target="../drawings/drawing1.xml"/><Relationship Id="rId2" Type="http://schemas.openxmlformats.org/officeDocument/2006/relationships/printerSettings" Target="../printerSettings/printerSettings7.bin"/><Relationship Id="rId1" Type="http://schemas.openxmlformats.org/officeDocument/2006/relationships/pivotTable" Target="../pivotTables/pivotTable1.xml"/><Relationship Id="rId6" Type="http://schemas.microsoft.com/office/2007/relationships/slicer" Target="../slicers/slicer1.xml"/><Relationship Id="rId5" Type="http://schemas.openxmlformats.org/officeDocument/2006/relationships/ctrlProp" Target="../ctrlProps/ctrlProp1.xml"/><Relationship Id="rId4" Type="http://schemas.openxmlformats.org/officeDocument/2006/relationships/vmlDrawing" Target="../drawings/vmlDrawing5.vml"/></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3" Type="http://schemas.openxmlformats.org/officeDocument/2006/relationships/comments" Target="../comments5.xml"/><Relationship Id="rId2" Type="http://schemas.openxmlformats.org/officeDocument/2006/relationships/vmlDrawing" Target="../drawings/vmlDrawing6.vml"/><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3" Type="http://schemas.openxmlformats.org/officeDocument/2006/relationships/vmlDrawing" Target="../drawings/vmlDrawing7.vml"/><Relationship Id="rId2" Type="http://schemas.openxmlformats.org/officeDocument/2006/relationships/drawing" Target="../drawings/drawing2.xml"/><Relationship Id="rId1" Type="http://schemas.openxmlformats.org/officeDocument/2006/relationships/printerSettings" Target="../printerSettings/printerSettings10.bin"/><Relationship Id="rId4" Type="http://schemas.openxmlformats.org/officeDocument/2006/relationships/ctrlProp" Target="../ctrlProps/ctrlProp2.xml"/></Relationships>
</file>

<file path=xl/worksheets/_rels/sheet11.xml.rels><?xml version="1.0" encoding="UTF-8" standalone="yes"?>
<Relationships xmlns="http://schemas.openxmlformats.org/package/2006/relationships"><Relationship Id="rId3" Type="http://schemas.openxmlformats.org/officeDocument/2006/relationships/vmlDrawing" Target="../drawings/vmlDrawing8.vml"/><Relationship Id="rId2" Type="http://schemas.openxmlformats.org/officeDocument/2006/relationships/drawing" Target="../drawings/drawing3.xml"/><Relationship Id="rId1" Type="http://schemas.openxmlformats.org/officeDocument/2006/relationships/printerSettings" Target="../printerSettings/printerSettings11.bin"/><Relationship Id="rId4" Type="http://schemas.openxmlformats.org/officeDocument/2006/relationships/ctrlProp" Target="../ctrlProps/ctrlProp3.xml"/></Relationships>
</file>

<file path=xl/worksheets/_rels/sheet12.xml.rels><?xml version="1.0" encoding="UTF-8" standalone="yes"?>
<Relationships xmlns="http://schemas.openxmlformats.org/package/2006/relationships"><Relationship Id="rId3" Type="http://schemas.openxmlformats.org/officeDocument/2006/relationships/vmlDrawing" Target="../drawings/vmlDrawing9.vml"/><Relationship Id="rId2" Type="http://schemas.openxmlformats.org/officeDocument/2006/relationships/drawing" Target="../drawings/drawing4.xml"/><Relationship Id="rId1" Type="http://schemas.openxmlformats.org/officeDocument/2006/relationships/printerSettings" Target="../printerSettings/printerSettings12.bin"/><Relationship Id="rId4" Type="http://schemas.openxmlformats.org/officeDocument/2006/relationships/ctrlProp" Target="../ctrlProps/ctrlProp4.xml"/></Relationships>
</file>

<file path=xl/worksheets/_rels/sheet13.xml.rels><?xml version="1.0" encoding="UTF-8" standalone="yes"?>
<Relationships xmlns="http://schemas.openxmlformats.org/package/2006/relationships"><Relationship Id="rId3" Type="http://schemas.openxmlformats.org/officeDocument/2006/relationships/vmlDrawing" Target="../drawings/vmlDrawing10.vml"/><Relationship Id="rId2" Type="http://schemas.openxmlformats.org/officeDocument/2006/relationships/drawing" Target="../drawings/drawing5.xml"/><Relationship Id="rId1" Type="http://schemas.openxmlformats.org/officeDocument/2006/relationships/printerSettings" Target="../printerSettings/printerSettings13.bin"/><Relationship Id="rId4" Type="http://schemas.openxmlformats.org/officeDocument/2006/relationships/ctrlProp" Target="../ctrlProps/ctrlProp5.xml"/></Relationships>
</file>

<file path=xl/worksheets/_rels/sheet14.xml.rels><?xml version="1.0" encoding="UTF-8" standalone="yes"?>
<Relationships xmlns="http://schemas.openxmlformats.org/package/2006/relationships"><Relationship Id="rId3" Type="http://schemas.openxmlformats.org/officeDocument/2006/relationships/vmlDrawing" Target="../drawings/vmlDrawing11.vml"/><Relationship Id="rId2" Type="http://schemas.openxmlformats.org/officeDocument/2006/relationships/drawing" Target="../drawings/drawing6.xml"/><Relationship Id="rId1" Type="http://schemas.openxmlformats.org/officeDocument/2006/relationships/printerSettings" Target="../printerSettings/printerSettings14.bin"/><Relationship Id="rId4" Type="http://schemas.openxmlformats.org/officeDocument/2006/relationships/ctrlProp" Target="../ctrlProps/ctrlProp6.xml"/></Relationships>
</file>

<file path=xl/worksheets/_rels/sheet15.xml.rels><?xml version="1.0" encoding="UTF-8" standalone="yes"?>
<Relationships xmlns="http://schemas.openxmlformats.org/package/2006/relationships"><Relationship Id="rId3" Type="http://schemas.openxmlformats.org/officeDocument/2006/relationships/vmlDrawing" Target="../drawings/vmlDrawing12.vml"/><Relationship Id="rId2" Type="http://schemas.openxmlformats.org/officeDocument/2006/relationships/drawing" Target="../drawings/drawing7.xml"/><Relationship Id="rId1" Type="http://schemas.openxmlformats.org/officeDocument/2006/relationships/printerSettings" Target="../printerSettings/printerSettings15.bin"/><Relationship Id="rId4" Type="http://schemas.openxmlformats.org/officeDocument/2006/relationships/ctrlProp" Target="../ctrlProps/ctrlProp7.xml"/></Relationships>
</file>

<file path=xl/worksheets/_rels/sheet16.xml.rels><?xml version="1.0" encoding="UTF-8" standalone="yes"?>
<Relationships xmlns="http://schemas.openxmlformats.org/package/2006/relationships"><Relationship Id="rId3" Type="http://schemas.openxmlformats.org/officeDocument/2006/relationships/vmlDrawing" Target="../drawings/vmlDrawing13.vml"/><Relationship Id="rId2" Type="http://schemas.openxmlformats.org/officeDocument/2006/relationships/drawing" Target="../drawings/drawing8.xml"/><Relationship Id="rId1" Type="http://schemas.openxmlformats.org/officeDocument/2006/relationships/printerSettings" Target="../printerSettings/printerSettings16.bin"/><Relationship Id="rId4" Type="http://schemas.openxmlformats.org/officeDocument/2006/relationships/ctrlProp" Target="../ctrlProps/ctrlProp8.xml"/></Relationships>
</file>

<file path=xl/worksheets/_rels/sheet17.xml.rels><?xml version="1.0" encoding="UTF-8" standalone="yes"?>
<Relationships xmlns="http://schemas.openxmlformats.org/package/2006/relationships"><Relationship Id="rId3" Type="http://schemas.openxmlformats.org/officeDocument/2006/relationships/vmlDrawing" Target="../drawings/vmlDrawing14.vml"/><Relationship Id="rId2" Type="http://schemas.openxmlformats.org/officeDocument/2006/relationships/drawing" Target="../drawings/drawing9.xml"/><Relationship Id="rId1" Type="http://schemas.openxmlformats.org/officeDocument/2006/relationships/printerSettings" Target="../printerSettings/printerSettings17.bin"/><Relationship Id="rId4" Type="http://schemas.openxmlformats.org/officeDocument/2006/relationships/ctrlProp" Target="../ctrlProps/ctrlProp9.xml"/></Relationships>
</file>

<file path=xl/worksheets/_rels/sheet18.xml.rels><?xml version="1.0" encoding="UTF-8" standalone="yes"?>
<Relationships xmlns="http://schemas.openxmlformats.org/package/2006/relationships"><Relationship Id="rId3" Type="http://schemas.openxmlformats.org/officeDocument/2006/relationships/vmlDrawing" Target="../drawings/vmlDrawing15.vml"/><Relationship Id="rId2" Type="http://schemas.openxmlformats.org/officeDocument/2006/relationships/drawing" Target="../drawings/drawing10.xml"/><Relationship Id="rId1" Type="http://schemas.openxmlformats.org/officeDocument/2006/relationships/printerSettings" Target="../printerSettings/printerSettings18.bin"/><Relationship Id="rId4" Type="http://schemas.openxmlformats.org/officeDocument/2006/relationships/ctrlProp" Target="../ctrlProps/ctrlProp10.xml"/></Relationships>
</file>

<file path=xl/worksheets/_rels/sheet19.xml.rels><?xml version="1.0" encoding="UTF-8" standalone="yes"?>
<Relationships xmlns="http://schemas.openxmlformats.org/package/2006/relationships"><Relationship Id="rId3" Type="http://schemas.openxmlformats.org/officeDocument/2006/relationships/vmlDrawing" Target="../drawings/vmlDrawing16.vml"/><Relationship Id="rId2" Type="http://schemas.openxmlformats.org/officeDocument/2006/relationships/drawing" Target="../drawings/drawing11.xml"/><Relationship Id="rId1" Type="http://schemas.openxmlformats.org/officeDocument/2006/relationships/printerSettings" Target="../printerSettings/printerSettings19.bin"/><Relationship Id="rId4" Type="http://schemas.openxmlformats.org/officeDocument/2006/relationships/ctrlProp" Target="../ctrlProps/ctrlProp11.xml"/></Relationships>
</file>

<file path=xl/worksheets/_rels/sheet20.xml.rels><?xml version="1.0" encoding="UTF-8" standalone="yes"?>
<Relationships xmlns="http://schemas.openxmlformats.org/package/2006/relationships"><Relationship Id="rId3" Type="http://schemas.openxmlformats.org/officeDocument/2006/relationships/vmlDrawing" Target="../drawings/vmlDrawing17.vml"/><Relationship Id="rId2" Type="http://schemas.openxmlformats.org/officeDocument/2006/relationships/drawing" Target="../drawings/drawing12.xml"/><Relationship Id="rId1" Type="http://schemas.openxmlformats.org/officeDocument/2006/relationships/printerSettings" Target="../printerSettings/printerSettings20.bin"/><Relationship Id="rId4" Type="http://schemas.openxmlformats.org/officeDocument/2006/relationships/ctrlProp" Target="../ctrlProps/ctrlProp12.xml"/></Relationships>
</file>

<file path=xl/worksheets/_rels/sheet21.xml.rels><?xml version="1.0" encoding="UTF-8" standalone="yes"?>
<Relationships xmlns="http://schemas.openxmlformats.org/package/2006/relationships"><Relationship Id="rId3" Type="http://schemas.openxmlformats.org/officeDocument/2006/relationships/vmlDrawing" Target="../drawings/vmlDrawing18.vml"/><Relationship Id="rId2" Type="http://schemas.openxmlformats.org/officeDocument/2006/relationships/drawing" Target="../drawings/drawing13.xml"/><Relationship Id="rId1" Type="http://schemas.openxmlformats.org/officeDocument/2006/relationships/printerSettings" Target="../printerSettings/printerSettings21.bin"/><Relationship Id="rId4" Type="http://schemas.openxmlformats.org/officeDocument/2006/relationships/ctrlProp" Target="../ctrlProps/ctrlProp13.xml"/></Relationships>
</file>

<file path=xl/worksheets/_rels/sheet22.xml.rels><?xml version="1.0" encoding="UTF-8" standalone="yes"?>
<Relationships xmlns="http://schemas.openxmlformats.org/package/2006/relationships"><Relationship Id="rId3" Type="http://schemas.openxmlformats.org/officeDocument/2006/relationships/vmlDrawing" Target="../drawings/vmlDrawing19.vml"/><Relationship Id="rId2" Type="http://schemas.openxmlformats.org/officeDocument/2006/relationships/drawing" Target="../drawings/drawing14.xml"/><Relationship Id="rId1" Type="http://schemas.openxmlformats.org/officeDocument/2006/relationships/printerSettings" Target="../printerSettings/printerSettings22.bin"/><Relationship Id="rId4" Type="http://schemas.openxmlformats.org/officeDocument/2006/relationships/ctrlProp" Target="../ctrlProps/ctrlProp14.xml"/></Relationships>
</file>

<file path=xl/worksheets/_rels/sheet23.xml.rels><?xml version="1.0" encoding="UTF-8" standalone="yes"?>
<Relationships xmlns="http://schemas.openxmlformats.org/package/2006/relationships"><Relationship Id="rId3" Type="http://schemas.openxmlformats.org/officeDocument/2006/relationships/vmlDrawing" Target="../drawings/vmlDrawing20.vml"/><Relationship Id="rId2" Type="http://schemas.openxmlformats.org/officeDocument/2006/relationships/drawing" Target="../drawings/drawing15.xml"/><Relationship Id="rId1" Type="http://schemas.openxmlformats.org/officeDocument/2006/relationships/printerSettings" Target="../printerSettings/printerSettings23.bin"/><Relationship Id="rId4" Type="http://schemas.openxmlformats.org/officeDocument/2006/relationships/ctrlProp" Target="../ctrlProps/ctrlProp15.xml"/></Relationships>
</file>

<file path=xl/worksheets/_rels/sheet24.xml.rels><?xml version="1.0" encoding="UTF-8" standalone="yes"?>
<Relationships xmlns="http://schemas.openxmlformats.org/package/2006/relationships"><Relationship Id="rId3" Type="http://schemas.openxmlformats.org/officeDocument/2006/relationships/vmlDrawing" Target="../drawings/vmlDrawing21.vml"/><Relationship Id="rId2" Type="http://schemas.openxmlformats.org/officeDocument/2006/relationships/drawing" Target="../drawings/drawing16.xml"/><Relationship Id="rId1" Type="http://schemas.openxmlformats.org/officeDocument/2006/relationships/printerSettings" Target="../printerSettings/printerSettings24.bin"/><Relationship Id="rId4" Type="http://schemas.openxmlformats.org/officeDocument/2006/relationships/ctrlProp" Target="../ctrlProps/ctrlProp16.xml"/></Relationships>
</file>

<file path=xl/worksheets/_rels/sheet25.xml.rels><?xml version="1.0" encoding="UTF-8" standalone="yes"?>
<Relationships xmlns="http://schemas.openxmlformats.org/package/2006/relationships"><Relationship Id="rId3" Type="http://schemas.openxmlformats.org/officeDocument/2006/relationships/vmlDrawing" Target="../drawings/vmlDrawing22.vml"/><Relationship Id="rId2" Type="http://schemas.openxmlformats.org/officeDocument/2006/relationships/drawing" Target="../drawings/drawing17.xml"/><Relationship Id="rId1" Type="http://schemas.openxmlformats.org/officeDocument/2006/relationships/printerSettings" Target="../printerSettings/printerSettings25.bin"/><Relationship Id="rId4" Type="http://schemas.openxmlformats.org/officeDocument/2006/relationships/ctrlProp" Target="../ctrlProps/ctrlProp17.xml"/></Relationships>
</file>

<file path=xl/worksheets/_rels/sheet26.xml.rels><?xml version="1.0" encoding="UTF-8" standalone="yes"?>
<Relationships xmlns="http://schemas.openxmlformats.org/package/2006/relationships"><Relationship Id="rId3" Type="http://schemas.openxmlformats.org/officeDocument/2006/relationships/vmlDrawing" Target="../drawings/vmlDrawing23.vml"/><Relationship Id="rId2" Type="http://schemas.openxmlformats.org/officeDocument/2006/relationships/drawing" Target="../drawings/drawing18.xml"/><Relationship Id="rId1" Type="http://schemas.openxmlformats.org/officeDocument/2006/relationships/printerSettings" Target="../printerSettings/printerSettings26.bin"/><Relationship Id="rId4" Type="http://schemas.openxmlformats.org/officeDocument/2006/relationships/ctrlProp" Target="../ctrlProps/ctrlProp18.xml"/></Relationships>
</file>

<file path=xl/worksheets/_rels/sheet27.xml.rels><?xml version="1.0" encoding="UTF-8" standalone="yes"?>
<Relationships xmlns="http://schemas.openxmlformats.org/package/2006/relationships"><Relationship Id="rId3" Type="http://schemas.openxmlformats.org/officeDocument/2006/relationships/vmlDrawing" Target="../drawings/vmlDrawing24.vml"/><Relationship Id="rId2" Type="http://schemas.openxmlformats.org/officeDocument/2006/relationships/drawing" Target="../drawings/drawing19.xml"/><Relationship Id="rId1" Type="http://schemas.openxmlformats.org/officeDocument/2006/relationships/printerSettings" Target="../printerSettings/printerSettings27.bin"/><Relationship Id="rId4" Type="http://schemas.openxmlformats.org/officeDocument/2006/relationships/ctrlProp" Target="../ctrlProps/ctrlProp19.xml"/></Relationships>
</file>

<file path=xl/worksheets/_rels/sheet28.xml.rels><?xml version="1.0" encoding="UTF-8" standalone="yes"?>
<Relationships xmlns="http://schemas.openxmlformats.org/package/2006/relationships"><Relationship Id="rId3" Type="http://schemas.openxmlformats.org/officeDocument/2006/relationships/vmlDrawing" Target="../drawings/vmlDrawing25.vml"/><Relationship Id="rId2" Type="http://schemas.openxmlformats.org/officeDocument/2006/relationships/drawing" Target="../drawings/drawing20.xml"/><Relationship Id="rId1" Type="http://schemas.openxmlformats.org/officeDocument/2006/relationships/printerSettings" Target="../printerSettings/printerSettings28.bin"/><Relationship Id="rId4" Type="http://schemas.openxmlformats.org/officeDocument/2006/relationships/ctrlProp" Target="../ctrlProps/ctrlProp20.xml"/></Relationships>
</file>

<file path=xl/worksheets/_rels/sheet29.xml.rels><?xml version="1.0" encoding="UTF-8" standalone="yes"?>
<Relationships xmlns="http://schemas.openxmlformats.org/package/2006/relationships"><Relationship Id="rId3" Type="http://schemas.openxmlformats.org/officeDocument/2006/relationships/vmlDrawing" Target="../drawings/vmlDrawing26.vml"/><Relationship Id="rId2" Type="http://schemas.openxmlformats.org/officeDocument/2006/relationships/drawing" Target="../drawings/drawing21.xml"/><Relationship Id="rId1" Type="http://schemas.openxmlformats.org/officeDocument/2006/relationships/printerSettings" Target="../printerSettings/printerSettings29.bin"/><Relationship Id="rId4" Type="http://schemas.openxmlformats.org/officeDocument/2006/relationships/ctrlProp" Target="../ctrlProps/ctrlProp21.xml"/></Relationships>
</file>

<file path=xl/worksheets/_rels/sheet30.xml.rels><?xml version="1.0" encoding="UTF-8" standalone="yes"?>
<Relationships xmlns="http://schemas.openxmlformats.org/package/2006/relationships"><Relationship Id="rId3" Type="http://schemas.openxmlformats.org/officeDocument/2006/relationships/vmlDrawing" Target="../drawings/vmlDrawing27.vml"/><Relationship Id="rId2" Type="http://schemas.openxmlformats.org/officeDocument/2006/relationships/drawing" Target="../drawings/drawing22.xml"/><Relationship Id="rId1" Type="http://schemas.openxmlformats.org/officeDocument/2006/relationships/printerSettings" Target="../printerSettings/printerSettings30.bin"/><Relationship Id="rId4" Type="http://schemas.openxmlformats.org/officeDocument/2006/relationships/ctrlProp" Target="../ctrlProps/ctrlProp22.xml"/></Relationships>
</file>

<file path=xl/worksheets/_rels/sheet31.xml.rels><?xml version="1.0" encoding="UTF-8" standalone="yes"?>
<Relationships xmlns="http://schemas.openxmlformats.org/package/2006/relationships"><Relationship Id="rId3" Type="http://schemas.openxmlformats.org/officeDocument/2006/relationships/vmlDrawing" Target="../drawings/vmlDrawing28.vml"/><Relationship Id="rId2" Type="http://schemas.openxmlformats.org/officeDocument/2006/relationships/drawing" Target="../drawings/drawing23.xml"/><Relationship Id="rId1" Type="http://schemas.openxmlformats.org/officeDocument/2006/relationships/printerSettings" Target="../printerSettings/printerSettings31.bin"/><Relationship Id="rId4" Type="http://schemas.openxmlformats.org/officeDocument/2006/relationships/ctrlProp" Target="../ctrlProps/ctrlProp23.xml"/></Relationships>
</file>

<file path=xl/worksheets/_rels/sheet32.xml.rels><?xml version="1.0" encoding="UTF-8" standalone="yes"?>
<Relationships xmlns="http://schemas.openxmlformats.org/package/2006/relationships"><Relationship Id="rId3" Type="http://schemas.openxmlformats.org/officeDocument/2006/relationships/vmlDrawing" Target="../drawings/vmlDrawing29.vml"/><Relationship Id="rId2" Type="http://schemas.openxmlformats.org/officeDocument/2006/relationships/drawing" Target="../drawings/drawing24.xml"/><Relationship Id="rId1" Type="http://schemas.openxmlformats.org/officeDocument/2006/relationships/printerSettings" Target="../printerSettings/printerSettings32.bin"/><Relationship Id="rId4" Type="http://schemas.openxmlformats.org/officeDocument/2006/relationships/ctrlProp" Target="../ctrlProps/ctrlProp24.xml"/></Relationships>
</file>

<file path=xl/worksheets/_rels/sheet33.xml.rels><?xml version="1.0" encoding="UTF-8" standalone="yes"?>
<Relationships xmlns="http://schemas.openxmlformats.org/package/2006/relationships"><Relationship Id="rId3" Type="http://schemas.openxmlformats.org/officeDocument/2006/relationships/vmlDrawing" Target="../drawings/vmlDrawing30.vml"/><Relationship Id="rId2" Type="http://schemas.openxmlformats.org/officeDocument/2006/relationships/drawing" Target="../drawings/drawing25.xml"/><Relationship Id="rId1" Type="http://schemas.openxmlformats.org/officeDocument/2006/relationships/printerSettings" Target="../printerSettings/printerSettings33.bin"/><Relationship Id="rId4" Type="http://schemas.openxmlformats.org/officeDocument/2006/relationships/ctrlProp" Target="../ctrlProps/ctrlProp25.xml"/></Relationships>
</file>

<file path=xl/worksheets/_rels/sheet34.xml.rels><?xml version="1.0" encoding="UTF-8" standalone="yes"?>
<Relationships xmlns="http://schemas.openxmlformats.org/package/2006/relationships"><Relationship Id="rId3" Type="http://schemas.openxmlformats.org/officeDocument/2006/relationships/vmlDrawing" Target="../drawings/vmlDrawing31.vml"/><Relationship Id="rId2" Type="http://schemas.openxmlformats.org/officeDocument/2006/relationships/drawing" Target="../drawings/drawing26.xml"/><Relationship Id="rId1" Type="http://schemas.openxmlformats.org/officeDocument/2006/relationships/printerSettings" Target="../printerSettings/printerSettings34.bin"/><Relationship Id="rId4" Type="http://schemas.openxmlformats.org/officeDocument/2006/relationships/ctrlProp" Target="../ctrlProps/ctrlProp26.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2"/>
  <dimension ref="A1:BH21"/>
  <sheetViews>
    <sheetView topLeftCell="W1" zoomScale="85" zoomScaleNormal="85" workbookViewId="0">
      <selection activeCell="AN8" sqref="AN8:AP8"/>
    </sheetView>
  </sheetViews>
  <sheetFormatPr defaultColWidth="9.09765625" defaultRowHeight="13.8" x14ac:dyDescent="0.25"/>
  <cols>
    <col min="1" max="1" width="0" style="104" hidden="1" customWidth="1"/>
    <col min="2" max="2" width="25.3984375" style="14" hidden="1" customWidth="1"/>
    <col min="3" max="4" width="12.59765625" style="14" hidden="1" customWidth="1"/>
    <col min="5" max="6" width="11.69921875" style="14" hidden="1" customWidth="1"/>
    <col min="7" max="7" width="10.69921875" style="14" hidden="1" customWidth="1"/>
    <col min="8" max="8" width="16.59765625" style="14" hidden="1" customWidth="1"/>
    <col min="9" max="9" width="9.69921875" style="14" bestFit="1" customWidth="1"/>
    <col min="10" max="10" width="15.59765625" style="104" bestFit="1" customWidth="1"/>
    <col min="11" max="11" width="15.59765625" style="104" customWidth="1"/>
    <col min="12" max="12" width="10.69921875" style="14" bestFit="1" customWidth="1"/>
    <col min="13" max="15" width="9.09765625" style="14"/>
    <col min="16" max="16" width="10.3984375" style="14" bestFit="1" customWidth="1"/>
    <col min="17" max="17" width="10.3984375" style="14" customWidth="1"/>
    <col min="18" max="18" width="8.69921875" style="14" bestFit="1" customWidth="1"/>
    <col min="19" max="19" width="10" style="14" bestFit="1" customWidth="1"/>
    <col min="20" max="22" width="9.09765625" style="14"/>
    <col min="23" max="23" width="9.69921875" style="14" customWidth="1"/>
    <col min="24" max="60" width="5.59765625" style="14" customWidth="1"/>
    <col min="61" max="16384" width="9.09765625" style="14"/>
  </cols>
  <sheetData>
    <row r="1" spans="1:60" s="36" customFormat="1" ht="30" customHeight="1" x14ac:dyDescent="0.25">
      <c r="A1" s="97" t="s">
        <v>0</v>
      </c>
      <c r="B1" s="97" t="s">
        <v>16</v>
      </c>
      <c r="C1" s="97" t="s">
        <v>132</v>
      </c>
      <c r="D1" s="97" t="s">
        <v>15</v>
      </c>
      <c r="E1" s="97" t="s">
        <v>17</v>
      </c>
      <c r="F1" s="97" t="s">
        <v>18</v>
      </c>
      <c r="G1" s="97" t="s">
        <v>133</v>
      </c>
      <c r="H1" s="107" t="s">
        <v>134</v>
      </c>
      <c r="I1" s="201" t="s">
        <v>244</v>
      </c>
      <c r="J1" s="201" t="s">
        <v>241</v>
      </c>
      <c r="K1" s="201" t="s">
        <v>242</v>
      </c>
      <c r="L1" s="201" t="s">
        <v>233</v>
      </c>
      <c r="M1" s="201" t="s">
        <v>235</v>
      </c>
      <c r="N1" s="225" t="s">
        <v>288</v>
      </c>
      <c r="O1" s="201" t="s">
        <v>247</v>
      </c>
      <c r="P1" s="202" t="s">
        <v>238</v>
      </c>
      <c r="Q1" s="202" t="s">
        <v>243</v>
      </c>
      <c r="R1" s="201" t="s">
        <v>239</v>
      </c>
      <c r="S1" s="201" t="s">
        <v>240</v>
      </c>
      <c r="V1" s="253" t="s">
        <v>269</v>
      </c>
      <c r="W1" s="151">
        <f>SUM(X1:BB1)</f>
        <v>4920</v>
      </c>
      <c r="X1" s="218">
        <v>250</v>
      </c>
      <c r="Y1" s="254">
        <f>COUNTIF(Y4:AA4,"&gt;0")*1000-SUM(Y4:AA4)</f>
        <v>670</v>
      </c>
      <c r="Z1" s="255"/>
      <c r="AA1" s="255"/>
      <c r="AB1" s="254">
        <f t="shared" ref="AB1" si="0">COUNTIF(AB4:AD4,"&gt;0")*1000-SUM(AB4:AD4)</f>
        <v>950</v>
      </c>
      <c r="AC1" s="255"/>
      <c r="AD1" s="255"/>
      <c r="AE1" s="254">
        <f t="shared" ref="AE1" si="1">COUNTIF(AE4:AG4,"&gt;0")*1000-SUM(AE4:AG4)</f>
        <v>700</v>
      </c>
      <c r="AF1" s="255"/>
      <c r="AG1" s="255"/>
      <c r="AH1" s="254">
        <f t="shared" ref="AH1" si="2">COUNTIF(AH4:AJ4,"&gt;0")*1000-SUM(AH4:AJ4)</f>
        <v>650</v>
      </c>
      <c r="AI1" s="255"/>
      <c r="AJ1" s="255"/>
      <c r="AK1" s="254">
        <f t="shared" ref="AK1" si="3">COUNTIF(AK4:AM4,"&gt;0")*1000-SUM(AK4:AM4)</f>
        <v>1000</v>
      </c>
      <c r="AL1" s="255"/>
      <c r="AM1" s="255"/>
      <c r="AN1" s="254">
        <f t="shared" ref="AN1" si="4">COUNTIF(AN4:AP4,"&gt;0")*1000-SUM(AN4:AP4)</f>
        <v>700</v>
      </c>
      <c r="AO1" s="255"/>
      <c r="AP1" s="255"/>
      <c r="AQ1" s="254">
        <f t="shared" ref="AQ1" si="5">COUNTIF(AQ4:AS4,"&gt;0")*1000-SUM(AQ4:AS4)</f>
        <v>0</v>
      </c>
      <c r="AR1" s="255"/>
      <c r="AS1" s="255"/>
      <c r="AT1" s="254">
        <f t="shared" ref="AT1" si="6">COUNTIF(AT4:AV4,"&gt;0")*1000-SUM(AT4:AV4)</f>
        <v>0</v>
      </c>
      <c r="AU1" s="255"/>
      <c r="AV1" s="255"/>
      <c r="AW1" s="254">
        <f t="shared" ref="AW1" si="7">COUNTIF(AW4:AY4,"&gt;0")*1000-SUM(AW4:AY4)</f>
        <v>0</v>
      </c>
      <c r="AX1" s="255"/>
      <c r="AY1" s="255"/>
      <c r="AZ1" s="254">
        <f t="shared" ref="AZ1" si="8">COUNTIF(AZ4:BB4,"&gt;0")*1000-SUM(AZ4:BB4)</f>
        <v>0</v>
      </c>
      <c r="BA1" s="255"/>
      <c r="BB1" s="255"/>
    </row>
    <row r="2" spans="1:60" s="36" customFormat="1" ht="30" customHeight="1" x14ac:dyDescent="0.25">
      <c r="A2" s="97"/>
      <c r="B2" s="97"/>
      <c r="C2" s="97"/>
      <c r="D2" s="97"/>
      <c r="E2" s="97"/>
      <c r="F2" s="97"/>
      <c r="G2" s="97"/>
      <c r="H2" s="107"/>
      <c r="I2" s="203"/>
      <c r="J2" s="204">
        <f>SUBTOTAL(9,J3:J14)</f>
        <v>70039</v>
      </c>
      <c r="K2" s="204">
        <f t="shared" ref="K2:S2" si="9">SUBTOTAL(9,K3:K14)</f>
        <v>91573</v>
      </c>
      <c r="L2" s="204">
        <f t="shared" si="9"/>
        <v>19300</v>
      </c>
      <c r="M2" s="204">
        <f t="shared" si="9"/>
        <v>3895</v>
      </c>
      <c r="N2" s="204">
        <f t="shared" si="9"/>
        <v>1366</v>
      </c>
      <c r="O2" s="204">
        <f t="shared" si="9"/>
        <v>2702</v>
      </c>
      <c r="P2" s="204">
        <f t="shared" si="9"/>
        <v>11610</v>
      </c>
      <c r="Q2" s="204">
        <f t="shared" si="9"/>
        <v>700</v>
      </c>
      <c r="R2" s="204">
        <f t="shared" si="9"/>
        <v>12000</v>
      </c>
      <c r="S2" s="204">
        <f t="shared" si="9"/>
        <v>40000</v>
      </c>
      <c r="V2" s="253"/>
      <c r="W2" s="151"/>
      <c r="X2" s="106" t="s">
        <v>214</v>
      </c>
      <c r="Y2" s="252" t="s">
        <v>215</v>
      </c>
      <c r="Z2" s="252"/>
      <c r="AA2" s="252"/>
      <c r="AB2" s="251" t="s">
        <v>216</v>
      </c>
      <c r="AC2" s="251"/>
      <c r="AD2" s="251"/>
      <c r="AE2" s="252" t="s">
        <v>217</v>
      </c>
      <c r="AF2" s="252"/>
      <c r="AG2" s="252"/>
      <c r="AH2" s="251" t="s">
        <v>218</v>
      </c>
      <c r="AI2" s="251"/>
      <c r="AJ2" s="251"/>
      <c r="AK2" s="252" t="s">
        <v>219</v>
      </c>
      <c r="AL2" s="252"/>
      <c r="AM2" s="252"/>
      <c r="AN2" s="251" t="s">
        <v>220</v>
      </c>
      <c r="AO2" s="251"/>
      <c r="AP2" s="251"/>
      <c r="AQ2" s="252" t="s">
        <v>268</v>
      </c>
      <c r="AR2" s="252"/>
      <c r="AS2" s="252"/>
      <c r="AT2" s="251" t="s">
        <v>210</v>
      </c>
      <c r="AU2" s="251"/>
      <c r="AV2" s="251"/>
      <c r="AW2" s="252" t="s">
        <v>211</v>
      </c>
      <c r="AX2" s="252"/>
      <c r="AY2" s="252"/>
      <c r="AZ2" s="251" t="s">
        <v>212</v>
      </c>
      <c r="BA2" s="251"/>
      <c r="BB2" s="251"/>
    </row>
    <row r="3" spans="1:60" s="96" customFormat="1" ht="20.100000000000001" customHeight="1" x14ac:dyDescent="0.25">
      <c r="A3" s="102"/>
      <c r="B3" s="98"/>
      <c r="C3" s="105">
        <v>8.6000000000000014</v>
      </c>
      <c r="D3" s="105">
        <v>36</v>
      </c>
      <c r="E3" s="105"/>
      <c r="F3" s="99">
        <v>1509.4</v>
      </c>
      <c r="G3" s="99">
        <v>0</v>
      </c>
      <c r="H3" s="99">
        <v>1509.4</v>
      </c>
      <c r="I3" s="106" t="s">
        <v>209</v>
      </c>
      <c r="J3" s="199" t="s">
        <v>248</v>
      </c>
      <c r="K3" s="200">
        <f>SUM(L3:S3)</f>
        <v>5695.3333333333339</v>
      </c>
      <c r="L3" s="26" t="s">
        <v>234</v>
      </c>
      <c r="M3" s="26">
        <v>0</v>
      </c>
      <c r="N3" s="26">
        <v>0</v>
      </c>
      <c r="O3" s="26">
        <v>0</v>
      </c>
      <c r="P3" s="26">
        <v>1162</v>
      </c>
      <c r="Q3" s="26">
        <v>200</v>
      </c>
      <c r="R3" s="26">
        <v>1000</v>
      </c>
      <c r="S3" s="26">
        <f>40/12*1000</f>
        <v>3333.3333333333335</v>
      </c>
      <c r="V3" s="253"/>
      <c r="W3" s="50"/>
      <c r="X3" s="106">
        <v>25</v>
      </c>
      <c r="Y3" s="106">
        <v>5</v>
      </c>
      <c r="Z3" s="106">
        <v>15</v>
      </c>
      <c r="AA3" s="106">
        <v>25</v>
      </c>
      <c r="AB3" s="106">
        <v>5</v>
      </c>
      <c r="AC3" s="106">
        <v>15</v>
      </c>
      <c r="AD3" s="106">
        <v>25</v>
      </c>
      <c r="AE3" s="106">
        <v>5</v>
      </c>
      <c r="AF3" s="106">
        <v>15</v>
      </c>
      <c r="AG3" s="106">
        <v>25</v>
      </c>
      <c r="AH3" s="106">
        <v>5</v>
      </c>
      <c r="AI3" s="106">
        <v>15</v>
      </c>
      <c r="AJ3" s="106">
        <v>25</v>
      </c>
      <c r="AK3" s="106">
        <v>5</v>
      </c>
      <c r="AL3" s="106">
        <v>15</v>
      </c>
      <c r="AM3" s="106">
        <v>25</v>
      </c>
      <c r="AN3" s="106">
        <v>5</v>
      </c>
      <c r="AO3" s="106">
        <v>15</v>
      </c>
      <c r="AP3" s="106">
        <v>25</v>
      </c>
      <c r="AQ3" s="106">
        <v>5</v>
      </c>
      <c r="AR3" s="106">
        <v>15</v>
      </c>
      <c r="AS3" s="106">
        <v>25</v>
      </c>
      <c r="AT3" s="106">
        <v>5</v>
      </c>
      <c r="AU3" s="106">
        <v>15</v>
      </c>
      <c r="AV3" s="106">
        <v>25</v>
      </c>
      <c r="AW3" s="106">
        <v>5</v>
      </c>
      <c r="AX3" s="106">
        <v>15</v>
      </c>
      <c r="AY3" s="106">
        <v>25</v>
      </c>
      <c r="AZ3" s="106">
        <v>5</v>
      </c>
      <c r="BA3" s="106">
        <v>15</v>
      </c>
      <c r="BB3" s="106">
        <v>25</v>
      </c>
      <c r="BC3" s="36"/>
      <c r="BD3" s="36"/>
      <c r="BE3" s="36"/>
      <c r="BF3" s="36"/>
      <c r="BG3" s="36"/>
      <c r="BH3" s="36"/>
    </row>
    <row r="4" spans="1:60" ht="20.100000000000001" customHeight="1" x14ac:dyDescent="0.25">
      <c r="A4" s="103">
        <v>1</v>
      </c>
      <c r="B4" s="100" t="s">
        <v>48</v>
      </c>
      <c r="C4" s="101">
        <v>0.5</v>
      </c>
      <c r="D4" s="101">
        <v>2</v>
      </c>
      <c r="E4" s="101">
        <v>45</v>
      </c>
      <c r="F4" s="106">
        <v>90</v>
      </c>
      <c r="G4" s="26">
        <v>0</v>
      </c>
      <c r="H4" s="106">
        <v>90</v>
      </c>
      <c r="I4" s="106" t="s">
        <v>210</v>
      </c>
      <c r="J4" s="199" t="s">
        <v>248</v>
      </c>
      <c r="K4" s="200">
        <f t="shared" ref="K4:K14" si="10">SUM(L4:S4)</f>
        <v>8337.3333333333339</v>
      </c>
      <c r="L4" s="26">
        <v>2000</v>
      </c>
      <c r="M4" s="26">
        <v>300</v>
      </c>
      <c r="N4" s="26">
        <v>0</v>
      </c>
      <c r="O4" s="26">
        <v>0</v>
      </c>
      <c r="P4" s="26">
        <v>1204</v>
      </c>
      <c r="Q4" s="26">
        <v>500</v>
      </c>
      <c r="R4" s="26">
        <v>1000</v>
      </c>
      <c r="S4" s="26">
        <f>40/12*1000</f>
        <v>3333.3333333333335</v>
      </c>
      <c r="W4" s="221">
        <f>SUM(X4:BB4)</f>
        <v>13080</v>
      </c>
      <c r="X4" s="200">
        <v>750</v>
      </c>
      <c r="Y4" s="200">
        <v>700</v>
      </c>
      <c r="Z4" s="200">
        <v>850</v>
      </c>
      <c r="AA4" s="200">
        <v>780</v>
      </c>
      <c r="AB4" s="200">
        <v>700</v>
      </c>
      <c r="AC4" s="200">
        <v>650</v>
      </c>
      <c r="AD4" s="200">
        <v>700</v>
      </c>
      <c r="AE4" s="200">
        <v>800</v>
      </c>
      <c r="AF4" s="200">
        <v>750</v>
      </c>
      <c r="AG4" s="200">
        <v>750</v>
      </c>
      <c r="AH4" s="200">
        <v>800</v>
      </c>
      <c r="AI4" s="200">
        <v>800</v>
      </c>
      <c r="AJ4" s="200">
        <v>750</v>
      </c>
      <c r="AK4" s="200">
        <v>700</v>
      </c>
      <c r="AL4" s="200">
        <v>650</v>
      </c>
      <c r="AM4" s="200">
        <v>650</v>
      </c>
      <c r="AN4" s="200">
        <v>650</v>
      </c>
      <c r="AO4" s="200">
        <v>650</v>
      </c>
      <c r="AP4" s="200">
        <v>0</v>
      </c>
      <c r="AQ4" s="200">
        <v>0</v>
      </c>
      <c r="AR4" s="200">
        <v>0</v>
      </c>
      <c r="AS4" s="200">
        <v>0</v>
      </c>
      <c r="AT4" s="200">
        <v>0</v>
      </c>
      <c r="AU4" s="200">
        <v>0</v>
      </c>
      <c r="AV4" s="200">
        <v>0</v>
      </c>
      <c r="AW4" s="200">
        <v>0</v>
      </c>
      <c r="AX4" s="200">
        <v>0</v>
      </c>
      <c r="AY4" s="200">
        <v>0</v>
      </c>
      <c r="AZ4" s="200">
        <v>0</v>
      </c>
      <c r="BA4" s="200">
        <v>0</v>
      </c>
      <c r="BB4" s="200">
        <v>0</v>
      </c>
      <c r="BC4" s="36"/>
      <c r="BD4" s="36"/>
      <c r="BE4" s="36"/>
      <c r="BF4" s="36"/>
      <c r="BG4" s="36"/>
      <c r="BH4" s="36"/>
    </row>
    <row r="5" spans="1:60" ht="20.100000000000001" customHeight="1" x14ac:dyDescent="0.25">
      <c r="A5" s="103">
        <v>2</v>
      </c>
      <c r="B5" s="100" t="s">
        <v>47</v>
      </c>
      <c r="C5" s="101">
        <v>0.5</v>
      </c>
      <c r="D5" s="101">
        <v>2</v>
      </c>
      <c r="E5" s="101">
        <v>54</v>
      </c>
      <c r="F5" s="106">
        <v>108</v>
      </c>
      <c r="G5" s="26">
        <v>0</v>
      </c>
      <c r="H5" s="106">
        <v>108</v>
      </c>
      <c r="I5" s="106" t="s">
        <v>211</v>
      </c>
      <c r="J5" s="199" t="s">
        <v>248</v>
      </c>
      <c r="K5" s="200">
        <f t="shared" si="10"/>
        <v>8224.3333333333339</v>
      </c>
      <c r="L5" s="26">
        <v>1800</v>
      </c>
      <c r="M5" s="26">
        <f>85+100+100+90</f>
        <v>375</v>
      </c>
      <c r="N5" s="26">
        <v>0</v>
      </c>
      <c r="O5" s="26">
        <f>52+200+190+70+70+70</f>
        <v>652</v>
      </c>
      <c r="P5" s="26">
        <v>1064</v>
      </c>
      <c r="Q5" s="26">
        <v>0</v>
      </c>
      <c r="R5" s="26">
        <v>1000</v>
      </c>
      <c r="S5" s="26">
        <f t="shared" ref="S5:S14" si="11">40/12*1000</f>
        <v>3333.3333333333335</v>
      </c>
      <c r="W5" s="219"/>
    </row>
    <row r="6" spans="1:60" ht="20.100000000000001" customHeight="1" x14ac:dyDescent="0.25">
      <c r="A6" s="103">
        <v>3</v>
      </c>
      <c r="B6" s="100" t="s">
        <v>32</v>
      </c>
      <c r="C6" s="101">
        <v>0.5</v>
      </c>
      <c r="D6" s="101">
        <v>2</v>
      </c>
      <c r="E6" s="101">
        <v>55.5</v>
      </c>
      <c r="F6" s="106">
        <v>111</v>
      </c>
      <c r="G6" s="26">
        <v>0</v>
      </c>
      <c r="H6" s="106">
        <v>111</v>
      </c>
      <c r="I6" s="106" t="s">
        <v>212</v>
      </c>
      <c r="J6" s="199">
        <f>4500+7200+2300+550+180+50+6</f>
        <v>14786</v>
      </c>
      <c r="K6" s="200">
        <f t="shared" si="10"/>
        <v>8312.3333333333339</v>
      </c>
      <c r="L6" s="26">
        <v>2000</v>
      </c>
      <c r="M6" s="26">
        <f>90+80+90+95+90</f>
        <v>445</v>
      </c>
      <c r="N6" s="26">
        <f>44+90+44+37</f>
        <v>215</v>
      </c>
      <c r="O6" s="26">
        <v>0</v>
      </c>
      <c r="P6" s="26">
        <v>1319</v>
      </c>
      <c r="Q6" s="26">
        <v>0</v>
      </c>
      <c r="R6" s="26">
        <v>1000</v>
      </c>
      <c r="S6" s="26">
        <f t="shared" si="11"/>
        <v>3333.3333333333335</v>
      </c>
      <c r="W6" s="222">
        <f>SUM(Y6:BH6)</f>
        <v>24700</v>
      </c>
      <c r="Y6" s="250">
        <v>4200</v>
      </c>
      <c r="Z6" s="250"/>
      <c r="AA6" s="250"/>
      <c r="AB6" s="250">
        <v>4100</v>
      </c>
      <c r="AC6" s="250"/>
      <c r="AD6" s="250"/>
      <c r="AE6" s="250">
        <v>4200</v>
      </c>
      <c r="AF6" s="250"/>
      <c r="AG6" s="250"/>
      <c r="AH6" s="250">
        <v>4100</v>
      </c>
      <c r="AI6" s="250"/>
      <c r="AJ6" s="250"/>
      <c r="AK6" s="250">
        <v>4100</v>
      </c>
      <c r="AL6" s="250"/>
      <c r="AM6" s="250"/>
      <c r="AN6" s="250">
        <v>4000</v>
      </c>
      <c r="AO6" s="250"/>
      <c r="AP6" s="250"/>
      <c r="AQ6" s="250"/>
      <c r="AR6" s="250"/>
      <c r="AS6" s="250"/>
      <c r="AT6" s="250"/>
      <c r="AU6" s="250"/>
      <c r="AV6" s="250"/>
      <c r="AW6" s="250"/>
      <c r="AX6" s="250"/>
      <c r="AY6" s="250"/>
      <c r="AZ6" s="250"/>
      <c r="BA6" s="250"/>
      <c r="BB6" s="250"/>
      <c r="BC6" s="250"/>
      <c r="BD6" s="250"/>
      <c r="BE6" s="250"/>
      <c r="BF6" s="250"/>
      <c r="BG6" s="250"/>
      <c r="BH6" s="250"/>
    </row>
    <row r="7" spans="1:60" ht="20.100000000000001" customHeight="1" x14ac:dyDescent="0.25">
      <c r="A7" s="103">
        <v>4</v>
      </c>
      <c r="B7" s="100" t="s">
        <v>33</v>
      </c>
      <c r="C7" s="101">
        <v>0.5</v>
      </c>
      <c r="D7" s="101">
        <v>2</v>
      </c>
      <c r="E7" s="101">
        <v>55.5</v>
      </c>
      <c r="F7" s="106">
        <v>111</v>
      </c>
      <c r="G7" s="26">
        <v>0</v>
      </c>
      <c r="H7" s="106">
        <v>111</v>
      </c>
      <c r="I7" s="106" t="s">
        <v>213</v>
      </c>
      <c r="J7" s="199">
        <v>14000</v>
      </c>
      <c r="K7" s="200">
        <f t="shared" si="10"/>
        <v>8900.3333333333339</v>
      </c>
      <c r="L7" s="26">
        <v>2000</v>
      </c>
      <c r="M7" s="26">
        <f>200+100+105+100+100</f>
        <v>605</v>
      </c>
      <c r="N7" s="26">
        <f>88+45</f>
        <v>133</v>
      </c>
      <c r="O7" s="26">
        <v>800</v>
      </c>
      <c r="P7" s="26">
        <v>1029</v>
      </c>
      <c r="Q7" s="26">
        <v>0</v>
      </c>
      <c r="R7" s="26">
        <v>1000</v>
      </c>
      <c r="S7" s="26">
        <f t="shared" si="11"/>
        <v>3333.3333333333335</v>
      </c>
      <c r="W7" s="151"/>
      <c r="Y7" s="220"/>
      <c r="Z7" s="220"/>
      <c r="AA7" s="220"/>
      <c r="AB7" s="220"/>
      <c r="AC7" s="220"/>
      <c r="AD7" s="220"/>
      <c r="AE7" s="220"/>
      <c r="AF7" s="220"/>
      <c r="AG7" s="220"/>
      <c r="AH7" s="220"/>
      <c r="AI7" s="220"/>
      <c r="AJ7" s="220"/>
      <c r="AK7" s="220"/>
      <c r="AL7" s="220"/>
      <c r="AM7" s="220"/>
      <c r="AN7" s="220"/>
      <c r="AO7" s="220"/>
      <c r="AP7" s="220"/>
      <c r="AQ7" s="220"/>
      <c r="AR7" s="220"/>
      <c r="AS7" s="220"/>
      <c r="AT7" s="220"/>
      <c r="AU7" s="220"/>
      <c r="AV7" s="220"/>
      <c r="AW7" s="220"/>
      <c r="AX7" s="220"/>
      <c r="AY7" s="220"/>
      <c r="AZ7" s="220"/>
      <c r="BA7" s="220"/>
      <c r="BB7" s="220"/>
      <c r="BC7" s="220"/>
      <c r="BD7" s="220"/>
      <c r="BE7" s="220"/>
      <c r="BF7" s="220"/>
      <c r="BG7" s="220"/>
      <c r="BH7" s="220"/>
    </row>
    <row r="8" spans="1:60" ht="20.100000000000001" customHeight="1" x14ac:dyDescent="0.25">
      <c r="A8" s="103">
        <v>5</v>
      </c>
      <c r="B8" s="100" t="s">
        <v>46</v>
      </c>
      <c r="C8" s="101">
        <v>1</v>
      </c>
      <c r="D8" s="101">
        <v>2</v>
      </c>
      <c r="E8" s="101">
        <v>102</v>
      </c>
      <c r="F8" s="106">
        <v>204</v>
      </c>
      <c r="G8" s="26">
        <v>0</v>
      </c>
      <c r="H8" s="106">
        <v>204</v>
      </c>
      <c r="I8" s="106" t="s">
        <v>214</v>
      </c>
      <c r="J8" s="199">
        <f>10368+890</f>
        <v>11258</v>
      </c>
      <c r="K8" s="200">
        <f t="shared" si="10"/>
        <v>7290.3333333333339</v>
      </c>
      <c r="L8" s="211">
        <v>1000</v>
      </c>
      <c r="M8" s="26">
        <f>100+100+100+100+100</f>
        <v>500</v>
      </c>
      <c r="N8" s="26">
        <f>119+88</f>
        <v>207</v>
      </c>
      <c r="O8" s="26">
        <v>700</v>
      </c>
      <c r="P8" s="26">
        <v>550</v>
      </c>
      <c r="Q8" s="26">
        <v>0</v>
      </c>
      <c r="R8" s="26">
        <v>1000</v>
      </c>
      <c r="S8" s="26">
        <f t="shared" si="11"/>
        <v>3333.3333333333335</v>
      </c>
      <c r="W8" s="50">
        <f>SUM(Y8:BH8)</f>
        <v>5300</v>
      </c>
      <c r="Y8" s="250">
        <f>COUNTIF(Y6,"&gt;0")*5000-Y6</f>
        <v>800</v>
      </c>
      <c r="Z8" s="250"/>
      <c r="AA8" s="250"/>
      <c r="AB8" s="250">
        <f t="shared" ref="AB8" si="12">COUNTIF(AB6,"&gt;0")*5000-AB6</f>
        <v>900</v>
      </c>
      <c r="AC8" s="250"/>
      <c r="AD8" s="250"/>
      <c r="AE8" s="250">
        <f t="shared" ref="AE8" si="13">COUNTIF(AE6,"&gt;0")*5000-AE6</f>
        <v>800</v>
      </c>
      <c r="AF8" s="250"/>
      <c r="AG8" s="250"/>
      <c r="AH8" s="250">
        <f t="shared" ref="AH8" si="14">COUNTIF(AH6,"&gt;0")*5000-AH6</f>
        <v>900</v>
      </c>
      <c r="AI8" s="250"/>
      <c r="AJ8" s="250"/>
      <c r="AK8" s="250">
        <f t="shared" ref="AK8" si="15">COUNTIF(AK6,"&gt;0")*5000-AK6</f>
        <v>900</v>
      </c>
      <c r="AL8" s="250"/>
      <c r="AM8" s="250"/>
      <c r="AN8" s="250">
        <f t="shared" ref="AN8" si="16">COUNTIF(AN6,"&gt;0")*5000-AN6</f>
        <v>1000</v>
      </c>
      <c r="AO8" s="250"/>
      <c r="AP8" s="250"/>
      <c r="AQ8" s="250">
        <f t="shared" ref="AQ8" si="17">COUNTIF(AQ6,"&gt;0")*5000-AQ6</f>
        <v>0</v>
      </c>
      <c r="AR8" s="250"/>
      <c r="AS8" s="250"/>
      <c r="AT8" s="250">
        <f t="shared" ref="AT8" si="18">COUNTIF(AT6,"&gt;0")*5000-AT6</f>
        <v>0</v>
      </c>
      <c r="AU8" s="250"/>
      <c r="AV8" s="250"/>
      <c r="AW8" s="250">
        <f t="shared" ref="AW8" si="19">COUNTIF(AW6,"&gt;0")*5000-AW6</f>
        <v>0</v>
      </c>
      <c r="AX8" s="250"/>
      <c r="AY8" s="250"/>
      <c r="AZ8" s="250">
        <f t="shared" ref="AZ8" si="20">COUNTIF(AZ6,"&gt;0")*5000-AZ6</f>
        <v>0</v>
      </c>
      <c r="BA8" s="250"/>
      <c r="BB8" s="250"/>
      <c r="BC8" s="250">
        <f t="shared" ref="BC8" si="21">COUNTIF(BC6,"&gt;0")*5000-BC6</f>
        <v>0</v>
      </c>
      <c r="BD8" s="250"/>
      <c r="BE8" s="250"/>
      <c r="BF8" s="250">
        <f t="shared" ref="BF8" si="22">COUNTIF(BF6,"&gt;0")*5000-BF6</f>
        <v>0</v>
      </c>
      <c r="BG8" s="250"/>
      <c r="BH8" s="250"/>
    </row>
    <row r="9" spans="1:60" ht="20.100000000000001" customHeight="1" x14ac:dyDescent="0.25">
      <c r="A9" s="103">
        <v>6</v>
      </c>
      <c r="B9" s="100" t="s">
        <v>34</v>
      </c>
      <c r="C9" s="101">
        <v>0.5</v>
      </c>
      <c r="D9" s="101">
        <v>2</v>
      </c>
      <c r="E9" s="101">
        <v>26.5</v>
      </c>
      <c r="F9" s="106">
        <v>53</v>
      </c>
      <c r="G9" s="26">
        <v>0</v>
      </c>
      <c r="H9" s="106">
        <v>53</v>
      </c>
      <c r="I9" s="106" t="s">
        <v>215</v>
      </c>
      <c r="J9" s="199">
        <f>5000+3730+1000</f>
        <v>9730</v>
      </c>
      <c r="K9" s="200">
        <f t="shared" si="10"/>
        <v>7816.3333333333339</v>
      </c>
      <c r="L9" s="26">
        <v>1500</v>
      </c>
      <c r="M9" s="26">
        <f>100+100+100+80+80+90</f>
        <v>550</v>
      </c>
      <c r="N9" s="26">
        <v>43</v>
      </c>
      <c r="O9" s="26">
        <v>550</v>
      </c>
      <c r="P9" s="26">
        <v>840</v>
      </c>
      <c r="Q9" s="26">
        <v>0</v>
      </c>
      <c r="R9" s="26">
        <v>1000</v>
      </c>
      <c r="S9" s="26">
        <f t="shared" si="11"/>
        <v>3333.3333333333335</v>
      </c>
      <c r="T9" s="216"/>
      <c r="U9" s="216"/>
      <c r="V9" s="216"/>
      <c r="W9" s="217"/>
    </row>
    <row r="10" spans="1:60" ht="20.100000000000001" customHeight="1" x14ac:dyDescent="0.25">
      <c r="A10" s="103">
        <v>7</v>
      </c>
      <c r="B10" s="100" t="s">
        <v>35</v>
      </c>
      <c r="C10" s="101">
        <v>0.2</v>
      </c>
      <c r="D10" s="101">
        <v>2</v>
      </c>
      <c r="E10" s="101">
        <v>11.2</v>
      </c>
      <c r="F10" s="106">
        <v>22.4</v>
      </c>
      <c r="G10" s="26">
        <v>0</v>
      </c>
      <c r="H10" s="106">
        <v>22.4</v>
      </c>
      <c r="I10" s="106" t="s">
        <v>216</v>
      </c>
      <c r="J10" s="199">
        <f>8145+850+270</f>
        <v>9265</v>
      </c>
      <c r="K10" s="200">
        <f t="shared" si="10"/>
        <v>7168.3333333333339</v>
      </c>
      <c r="L10" s="26">
        <v>1500</v>
      </c>
      <c r="M10" s="26">
        <f>80+80+80+80</f>
        <v>320</v>
      </c>
      <c r="N10" s="26">
        <f>43+42</f>
        <v>85</v>
      </c>
      <c r="O10" s="26">
        <v>0</v>
      </c>
      <c r="P10" s="26">
        <v>930</v>
      </c>
      <c r="Q10" s="26">
        <v>0</v>
      </c>
      <c r="R10" s="26">
        <v>1000</v>
      </c>
      <c r="S10" s="26">
        <f t="shared" si="11"/>
        <v>3333.3333333333335</v>
      </c>
      <c r="U10" s="216"/>
    </row>
    <row r="11" spans="1:60" ht="20.100000000000001" customHeight="1" x14ac:dyDescent="0.25">
      <c r="A11" s="103">
        <v>8</v>
      </c>
      <c r="B11" s="100" t="s">
        <v>36</v>
      </c>
      <c r="C11" s="101">
        <v>0.5</v>
      </c>
      <c r="D11" s="101">
        <v>2</v>
      </c>
      <c r="E11" s="101">
        <v>28.5</v>
      </c>
      <c r="F11" s="106">
        <v>57</v>
      </c>
      <c r="G11" s="26">
        <v>0</v>
      </c>
      <c r="H11" s="106">
        <v>57</v>
      </c>
      <c r="I11" s="106" t="s">
        <v>217</v>
      </c>
      <c r="J11" s="199">
        <v>11000</v>
      </c>
      <c r="K11" s="200">
        <f t="shared" si="10"/>
        <v>8172.3333333333339</v>
      </c>
      <c r="L11" s="26">
        <v>2000</v>
      </c>
      <c r="M11" s="26">
        <f>80+80+80+80+80</f>
        <v>400</v>
      </c>
      <c r="N11" s="26">
        <f>20+500+13+66</f>
        <v>599</v>
      </c>
      <c r="O11" s="26">
        <v>0</v>
      </c>
      <c r="P11" s="211">
        <v>840</v>
      </c>
      <c r="Q11" s="26">
        <v>0</v>
      </c>
      <c r="R11" s="26">
        <v>1000</v>
      </c>
      <c r="S11" s="26">
        <f t="shared" si="11"/>
        <v>3333.3333333333335</v>
      </c>
      <c r="T11" s="216"/>
      <c r="U11" s="216"/>
      <c r="V11" s="216"/>
    </row>
    <row r="12" spans="1:60" ht="20.100000000000001" customHeight="1" x14ac:dyDescent="0.25">
      <c r="A12" s="103">
        <v>9</v>
      </c>
      <c r="B12" s="100" t="s">
        <v>37</v>
      </c>
      <c r="C12" s="101">
        <v>0.2</v>
      </c>
      <c r="D12" s="101">
        <v>2</v>
      </c>
      <c r="E12" s="101">
        <v>12</v>
      </c>
      <c r="F12" s="106">
        <v>24</v>
      </c>
      <c r="G12" s="26">
        <v>0</v>
      </c>
      <c r="H12" s="106">
        <v>24</v>
      </c>
      <c r="I12" s="106" t="s">
        <v>218</v>
      </c>
      <c r="J12" s="199"/>
      <c r="K12" s="200">
        <f t="shared" si="10"/>
        <v>7147.3333333333339</v>
      </c>
      <c r="L12" s="26">
        <v>1500</v>
      </c>
      <c r="M12" s="26">
        <v>400</v>
      </c>
      <c r="N12" s="26">
        <v>84</v>
      </c>
      <c r="O12" s="26">
        <v>0</v>
      </c>
      <c r="P12" s="26">
        <v>830</v>
      </c>
      <c r="Q12" s="26">
        <v>0</v>
      </c>
      <c r="R12" s="26">
        <v>1000</v>
      </c>
      <c r="S12" s="26">
        <f t="shared" si="11"/>
        <v>3333.3333333333335</v>
      </c>
      <c r="U12" s="216">
        <v>8120</v>
      </c>
    </row>
    <row r="13" spans="1:60" ht="20.100000000000001" customHeight="1" x14ac:dyDescent="0.25">
      <c r="A13" s="103">
        <v>10</v>
      </c>
      <c r="B13" s="100" t="s">
        <v>38</v>
      </c>
      <c r="C13" s="101">
        <v>0.5</v>
      </c>
      <c r="D13" s="101">
        <v>2</v>
      </c>
      <c r="E13" s="101">
        <v>28.5</v>
      </c>
      <c r="F13" s="106">
        <v>57</v>
      </c>
      <c r="G13" s="26">
        <v>0</v>
      </c>
      <c r="H13" s="106">
        <v>57</v>
      </c>
      <c r="I13" s="106" t="s">
        <v>219</v>
      </c>
      <c r="J13" s="199"/>
      <c r="K13" s="200">
        <f t="shared" si="10"/>
        <v>7228.3333333333339</v>
      </c>
      <c r="L13" s="26">
        <v>2000</v>
      </c>
      <c r="M13" s="26">
        <v>0</v>
      </c>
      <c r="N13" s="26">
        <v>0</v>
      </c>
      <c r="O13" s="26">
        <v>0</v>
      </c>
      <c r="P13" s="26">
        <v>895</v>
      </c>
      <c r="Q13" s="26">
        <v>0</v>
      </c>
      <c r="R13" s="26">
        <v>1000</v>
      </c>
      <c r="S13" s="26">
        <f t="shared" si="11"/>
        <v>3333.3333333333335</v>
      </c>
      <c r="U13" s="216">
        <f>U12/25*31</f>
        <v>10068.800000000001</v>
      </c>
    </row>
    <row r="14" spans="1:60" ht="20.100000000000001" customHeight="1" x14ac:dyDescent="0.25">
      <c r="A14" s="103">
        <v>11</v>
      </c>
      <c r="B14" s="100" t="s">
        <v>39</v>
      </c>
      <c r="C14" s="101">
        <v>0.2</v>
      </c>
      <c r="D14" s="101">
        <v>2</v>
      </c>
      <c r="E14" s="101">
        <v>12</v>
      </c>
      <c r="F14" s="106">
        <v>24</v>
      </c>
      <c r="G14" s="26">
        <v>0</v>
      </c>
      <c r="H14" s="106">
        <v>24</v>
      </c>
      <c r="I14" s="106" t="s">
        <v>220</v>
      </c>
      <c r="J14" s="199"/>
      <c r="K14" s="200">
        <f t="shared" si="10"/>
        <v>7280.3333333333339</v>
      </c>
      <c r="L14" s="26">
        <v>2000</v>
      </c>
      <c r="M14" s="26">
        <v>0</v>
      </c>
      <c r="N14" s="26">
        <v>0</v>
      </c>
      <c r="O14" s="26">
        <v>0</v>
      </c>
      <c r="P14" s="26">
        <v>947</v>
      </c>
      <c r="Q14" s="26">
        <v>0</v>
      </c>
      <c r="R14" s="26">
        <v>1000</v>
      </c>
      <c r="S14" s="26">
        <f t="shared" si="11"/>
        <v>3333.3333333333335</v>
      </c>
    </row>
    <row r="15" spans="1:60" x14ac:dyDescent="0.25">
      <c r="A15" s="103">
        <v>12</v>
      </c>
      <c r="B15" s="100" t="s">
        <v>55</v>
      </c>
      <c r="C15" s="101">
        <v>0.5</v>
      </c>
      <c r="D15" s="101">
        <v>2</v>
      </c>
      <c r="E15" s="101">
        <v>26.5</v>
      </c>
      <c r="F15" s="106">
        <v>53</v>
      </c>
      <c r="G15" s="26">
        <v>0</v>
      </c>
      <c r="H15" s="106">
        <v>53</v>
      </c>
      <c r="L15" s="104"/>
      <c r="M15" s="36"/>
      <c r="N15" s="36"/>
      <c r="O15" s="36"/>
    </row>
    <row r="16" spans="1:60" x14ac:dyDescent="0.25">
      <c r="A16" s="103">
        <v>13</v>
      </c>
      <c r="B16" s="100" t="s">
        <v>40</v>
      </c>
      <c r="C16" s="101">
        <v>0.5</v>
      </c>
      <c r="D16" s="101">
        <v>2</v>
      </c>
      <c r="E16" s="101">
        <v>36.5</v>
      </c>
      <c r="F16" s="106">
        <v>73</v>
      </c>
      <c r="G16" s="26">
        <v>0</v>
      </c>
      <c r="H16" s="106">
        <v>73</v>
      </c>
      <c r="L16" s="104"/>
      <c r="M16" s="36"/>
      <c r="N16" s="36"/>
      <c r="O16" s="36"/>
    </row>
    <row r="17" spans="1:15" x14ac:dyDescent="0.25">
      <c r="A17" s="103">
        <v>14</v>
      </c>
      <c r="B17" s="100" t="s">
        <v>44</v>
      </c>
      <c r="C17" s="101">
        <v>0.5</v>
      </c>
      <c r="D17" s="101">
        <v>2</v>
      </c>
      <c r="E17" s="101">
        <v>49</v>
      </c>
      <c r="F17" s="106">
        <v>98</v>
      </c>
      <c r="G17" s="26">
        <v>0</v>
      </c>
      <c r="H17" s="106">
        <v>98</v>
      </c>
      <c r="L17" s="104"/>
      <c r="M17" s="36"/>
      <c r="N17" s="36"/>
      <c r="O17" s="36"/>
    </row>
    <row r="18" spans="1:15" x14ac:dyDescent="0.25">
      <c r="A18" s="103">
        <v>15</v>
      </c>
      <c r="B18" s="100" t="s">
        <v>45</v>
      </c>
      <c r="C18" s="101">
        <v>0.5</v>
      </c>
      <c r="D18" s="101">
        <v>2</v>
      </c>
      <c r="E18" s="101">
        <v>43</v>
      </c>
      <c r="F18" s="106">
        <v>86</v>
      </c>
      <c r="G18" s="26">
        <v>0</v>
      </c>
      <c r="H18" s="106">
        <v>86</v>
      </c>
      <c r="L18" s="104"/>
      <c r="M18" s="36"/>
      <c r="N18" s="36"/>
      <c r="O18" s="36"/>
    </row>
    <row r="19" spans="1:15" x14ac:dyDescent="0.25">
      <c r="A19" s="103">
        <v>16</v>
      </c>
      <c r="B19" s="100" t="s">
        <v>41</v>
      </c>
      <c r="C19" s="101">
        <v>0.5</v>
      </c>
      <c r="D19" s="101">
        <v>2</v>
      </c>
      <c r="E19" s="101">
        <v>54</v>
      </c>
      <c r="F19" s="106">
        <v>108</v>
      </c>
      <c r="G19" s="26">
        <v>0</v>
      </c>
      <c r="H19" s="106">
        <v>108</v>
      </c>
      <c r="L19" s="104"/>
      <c r="M19" s="36"/>
      <c r="N19" s="36"/>
      <c r="O19" s="36"/>
    </row>
    <row r="20" spans="1:15" x14ac:dyDescent="0.25">
      <c r="A20" s="103">
        <v>17</v>
      </c>
      <c r="B20" s="100" t="s">
        <v>42</v>
      </c>
      <c r="C20" s="101">
        <v>0.5</v>
      </c>
      <c r="D20" s="101">
        <v>2</v>
      </c>
      <c r="E20" s="101">
        <v>49</v>
      </c>
      <c r="F20" s="106">
        <v>98</v>
      </c>
      <c r="G20" s="26">
        <v>0</v>
      </c>
      <c r="H20" s="106">
        <v>98</v>
      </c>
      <c r="L20" s="104"/>
      <c r="M20" s="36"/>
      <c r="N20" s="36"/>
      <c r="O20" s="36"/>
    </row>
    <row r="21" spans="1:15" x14ac:dyDescent="0.25">
      <c r="A21" s="103">
        <v>18</v>
      </c>
      <c r="B21" s="100" t="s">
        <v>43</v>
      </c>
      <c r="C21" s="101">
        <v>0.5</v>
      </c>
      <c r="D21" s="101">
        <v>2</v>
      </c>
      <c r="E21" s="101">
        <v>66</v>
      </c>
      <c r="F21" s="106">
        <v>132</v>
      </c>
      <c r="G21" s="26">
        <v>0</v>
      </c>
      <c r="H21" s="106">
        <v>132</v>
      </c>
      <c r="L21" s="104"/>
      <c r="M21" s="36"/>
      <c r="N21" s="36"/>
      <c r="O21" s="36"/>
    </row>
  </sheetData>
  <autoFilter ref="I2:S21" xr:uid="{00000000-0009-0000-0000-000000000000}"/>
  <mergeCells count="45">
    <mergeCell ref="AH1:AJ1"/>
    <mergeCell ref="AK1:AM1"/>
    <mergeCell ref="AN1:AP1"/>
    <mergeCell ref="AQ1:AS1"/>
    <mergeCell ref="AT1:AV1"/>
    <mergeCell ref="AZ2:BB2"/>
    <mergeCell ref="Y2:AA2"/>
    <mergeCell ref="AB2:AD2"/>
    <mergeCell ref="V1:V3"/>
    <mergeCell ref="AE2:AG2"/>
    <mergeCell ref="AH2:AJ2"/>
    <mergeCell ref="AK2:AM2"/>
    <mergeCell ref="AN2:AP2"/>
    <mergeCell ref="AQ2:AS2"/>
    <mergeCell ref="AT2:AV2"/>
    <mergeCell ref="AW2:AY2"/>
    <mergeCell ref="AW1:AY1"/>
    <mergeCell ref="AZ1:BB1"/>
    <mergeCell ref="Y1:AA1"/>
    <mergeCell ref="AB1:AD1"/>
    <mergeCell ref="AE1:AG1"/>
    <mergeCell ref="Y6:AA6"/>
    <mergeCell ref="AB6:AD6"/>
    <mergeCell ref="AE6:AG6"/>
    <mergeCell ref="AH6:AJ6"/>
    <mergeCell ref="AK6:AM6"/>
    <mergeCell ref="BC6:BE6"/>
    <mergeCell ref="BF6:BH6"/>
    <mergeCell ref="AN6:AP6"/>
    <mergeCell ref="AQ6:AS6"/>
    <mergeCell ref="AT6:AV6"/>
    <mergeCell ref="AW6:AY6"/>
    <mergeCell ref="AZ6:BB6"/>
    <mergeCell ref="Y8:AA8"/>
    <mergeCell ref="AB8:AD8"/>
    <mergeCell ref="AE8:AG8"/>
    <mergeCell ref="AH8:AJ8"/>
    <mergeCell ref="AK8:AM8"/>
    <mergeCell ref="BC8:BE8"/>
    <mergeCell ref="BF8:BH8"/>
    <mergeCell ref="AN8:AP8"/>
    <mergeCell ref="AQ8:AS8"/>
    <mergeCell ref="AT8:AV8"/>
    <mergeCell ref="AW8:AY8"/>
    <mergeCell ref="AZ8:BB8"/>
  </mergeCells>
  <pageMargins left="0.7" right="0.7" top="0.75" bottom="0.75" header="0.3" footer="0.3"/>
  <pageSetup orientation="portrait" r:id="rId1"/>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1">
    <tabColor rgb="FF00B050"/>
  </sheetPr>
  <dimension ref="A1:AX24"/>
  <sheetViews>
    <sheetView topLeftCell="A2" zoomScale="85" zoomScaleNormal="85" workbookViewId="0">
      <pane xSplit="17" ySplit="3" topLeftCell="R5" activePane="bottomRight" state="frozen"/>
      <selection activeCell="A2" sqref="A2"/>
      <selection pane="topRight" activeCell="R2" sqref="R2"/>
      <selection pane="bottomLeft" activeCell="A5" sqref="A5"/>
      <selection pane="bottomRight" activeCell="P25" sqref="P25"/>
    </sheetView>
  </sheetViews>
  <sheetFormatPr defaultColWidth="9.09765625" defaultRowHeight="13.8" x14ac:dyDescent="0.25"/>
  <cols>
    <col min="1" max="1" width="16.296875" style="58" customWidth="1"/>
    <col min="2" max="2" width="7" style="58" customWidth="1"/>
    <col min="3" max="3" width="26.59765625" style="58" bestFit="1" customWidth="1"/>
    <col min="4" max="5" width="10" style="58" customWidth="1"/>
    <col min="6" max="6" width="10.8984375" style="58" bestFit="1" customWidth="1"/>
    <col min="7" max="7" width="16.296875" style="58" hidden="1" customWidth="1"/>
    <col min="8" max="8" width="14.8984375" style="58" hidden="1" customWidth="1"/>
    <col min="9" max="9" width="13.3984375" style="58" customWidth="1"/>
    <col min="10" max="10" width="16.8984375" style="58" hidden="1" customWidth="1"/>
    <col min="11" max="11" width="11.3984375" style="58" customWidth="1"/>
    <col min="12" max="13" width="16.296875" style="58" hidden="1" customWidth="1"/>
    <col min="14" max="14" width="10.09765625" style="58" bestFit="1" customWidth="1"/>
    <col min="15" max="15" width="10.8984375" style="58" customWidth="1"/>
    <col min="16" max="16" width="12.59765625" style="58" customWidth="1"/>
    <col min="17" max="17" width="11.59765625" style="58" customWidth="1"/>
    <col min="18" max="19" width="5.09765625" style="58" customWidth="1"/>
    <col min="20" max="20" width="4.69921875" style="58" bestFit="1" customWidth="1"/>
    <col min="21" max="48" width="5.09765625" style="58" customWidth="1"/>
    <col min="49" max="16384" width="9.09765625" style="58"/>
  </cols>
  <sheetData>
    <row r="1" spans="1:50" hidden="1" x14ac:dyDescent="0.25">
      <c r="B1" s="256" t="s">
        <v>51</v>
      </c>
      <c r="C1" s="256"/>
      <c r="D1" s="256"/>
      <c r="E1" s="256"/>
      <c r="F1" s="256"/>
      <c r="G1" s="256"/>
      <c r="H1" s="256"/>
      <c r="I1" s="256"/>
      <c r="J1" s="256"/>
      <c r="K1" s="256"/>
      <c r="L1" s="256"/>
      <c r="M1" s="59"/>
    </row>
    <row r="2" spans="1:50" ht="18.75" customHeight="1" x14ac:dyDescent="0.25">
      <c r="A2" s="1">
        <v>210</v>
      </c>
      <c r="J2" s="13">
        <f>SUMPRODUCT((D5:D19)*(E5:E19))</f>
        <v>320.5</v>
      </c>
      <c r="K2" s="13">
        <f>L4-J4</f>
        <v>8971.5</v>
      </c>
      <c r="L2" s="8">
        <f>L4/J4-1</f>
        <v>0.19546390404915193</v>
      </c>
      <c r="M2" s="8"/>
      <c r="R2" s="42"/>
    </row>
    <row r="3" spans="1:50" ht="31.5" customHeight="1" x14ac:dyDescent="0.25">
      <c r="A3" s="50" t="s">
        <v>104</v>
      </c>
      <c r="B3" s="3" t="s">
        <v>0</v>
      </c>
      <c r="C3" s="3" t="s">
        <v>16</v>
      </c>
      <c r="D3" s="78" t="s">
        <v>125</v>
      </c>
      <c r="E3" s="108" t="s">
        <v>124</v>
      </c>
      <c r="F3" s="4" t="s">
        <v>17</v>
      </c>
      <c r="G3" s="4" t="s">
        <v>18</v>
      </c>
      <c r="H3" s="9" t="s">
        <v>19</v>
      </c>
      <c r="I3" s="9" t="s">
        <v>20</v>
      </c>
      <c r="J3" s="9" t="s">
        <v>23</v>
      </c>
      <c r="K3" s="43" t="s">
        <v>21</v>
      </c>
      <c r="L3" s="11" t="s">
        <v>22</v>
      </c>
      <c r="M3" s="11" t="s">
        <v>103</v>
      </c>
      <c r="N3" s="20" t="s">
        <v>52</v>
      </c>
      <c r="O3" s="56" t="s">
        <v>142</v>
      </c>
      <c r="P3" s="56" t="s">
        <v>115</v>
      </c>
      <c r="Q3" s="56" t="s">
        <v>250</v>
      </c>
      <c r="R3" s="21" t="s">
        <v>146</v>
      </c>
      <c r="S3" s="23" t="s">
        <v>147</v>
      </c>
      <c r="T3" s="21" t="s">
        <v>148</v>
      </c>
      <c r="U3" s="23" t="s">
        <v>149</v>
      </c>
      <c r="V3" s="21" t="s">
        <v>150</v>
      </c>
      <c r="W3" s="23" t="s">
        <v>151</v>
      </c>
      <c r="X3" s="21" t="s">
        <v>152</v>
      </c>
      <c r="Y3" s="23" t="s">
        <v>153</v>
      </c>
      <c r="Z3" s="21" t="s">
        <v>154</v>
      </c>
      <c r="AA3" s="23">
        <v>10</v>
      </c>
      <c r="AB3" s="21">
        <v>11</v>
      </c>
      <c r="AC3" s="23">
        <v>12</v>
      </c>
      <c r="AD3" s="21">
        <v>13</v>
      </c>
      <c r="AE3" s="23">
        <v>14</v>
      </c>
      <c r="AF3" s="21">
        <v>15</v>
      </c>
      <c r="AG3" s="23">
        <v>16</v>
      </c>
      <c r="AH3" s="21">
        <v>17</v>
      </c>
      <c r="AI3" s="23">
        <v>18</v>
      </c>
      <c r="AJ3" s="21">
        <v>19</v>
      </c>
      <c r="AK3" s="23">
        <v>20</v>
      </c>
      <c r="AL3" s="21">
        <v>21</v>
      </c>
      <c r="AM3" s="23">
        <v>22</v>
      </c>
      <c r="AN3" s="21">
        <v>23</v>
      </c>
      <c r="AO3" s="23">
        <v>24</v>
      </c>
      <c r="AP3" s="21">
        <v>25</v>
      </c>
      <c r="AQ3" s="23">
        <v>26</v>
      </c>
      <c r="AR3" s="21">
        <v>27</v>
      </c>
      <c r="AS3" s="23">
        <v>28</v>
      </c>
      <c r="AT3" s="21">
        <v>29</v>
      </c>
      <c r="AU3" s="23">
        <v>30</v>
      </c>
      <c r="AV3" s="21">
        <v>31</v>
      </c>
      <c r="AW3" s="111"/>
    </row>
    <row r="4" spans="1:50" s="45" customFormat="1" ht="27" customHeight="1" x14ac:dyDescent="0.25">
      <c r="A4" s="49">
        <f>SUBTOTAL(9,A5:A24)</f>
        <v>0</v>
      </c>
      <c r="B4" s="16"/>
      <c r="C4" s="16"/>
      <c r="D4" s="16">
        <f>SUMPRODUCT((D5:D24)*(E5:E24))</f>
        <v>506.5</v>
      </c>
      <c r="E4" s="16">
        <f>SUBTOTAL(9,E5:E24)</f>
        <v>1126</v>
      </c>
      <c r="F4" s="7"/>
      <c r="G4" s="7">
        <f>SUBTOTAL(9,G5:G24)</f>
        <v>45688.5</v>
      </c>
      <c r="H4" s="12"/>
      <c r="I4" s="12"/>
      <c r="J4" s="12">
        <f>SUBTOTAL(9,J5:J24)</f>
        <v>45898.5</v>
      </c>
      <c r="K4" s="75"/>
      <c r="L4" s="7">
        <f>SUBTOTAL(9,L5:L24)</f>
        <v>54870</v>
      </c>
      <c r="M4" s="7">
        <f>SUBTOTAL(9,M5:M24)</f>
        <v>47327</v>
      </c>
      <c r="N4" s="24">
        <f>SUBTOTAL(9,N5:N24)</f>
        <v>0</v>
      </c>
      <c r="O4" s="74"/>
      <c r="P4" s="74">
        <f t="shared" ref="P4:AV4" si="0">SUBTOTAL(9,P5:P24)</f>
        <v>235</v>
      </c>
      <c r="Q4" s="74">
        <f t="shared" si="0"/>
        <v>904</v>
      </c>
      <c r="R4" s="25">
        <f t="shared" si="0"/>
        <v>0</v>
      </c>
      <c r="S4" s="25">
        <f t="shared" si="0"/>
        <v>0</v>
      </c>
      <c r="T4" s="25">
        <f t="shared" si="0"/>
        <v>0</v>
      </c>
      <c r="U4" s="25">
        <f t="shared" si="0"/>
        <v>0</v>
      </c>
      <c r="V4" s="25">
        <f t="shared" si="0"/>
        <v>0</v>
      </c>
      <c r="W4" s="25">
        <f t="shared" si="0"/>
        <v>0</v>
      </c>
      <c r="X4" s="25">
        <f t="shared" si="0"/>
        <v>0</v>
      </c>
      <c r="Y4" s="25">
        <f t="shared" si="0"/>
        <v>0</v>
      </c>
      <c r="Z4" s="25">
        <f t="shared" si="0"/>
        <v>0</v>
      </c>
      <c r="AA4" s="25">
        <f t="shared" si="0"/>
        <v>0</v>
      </c>
      <c r="AB4" s="25">
        <f t="shared" si="0"/>
        <v>0</v>
      </c>
      <c r="AC4" s="25">
        <f t="shared" si="0"/>
        <v>0</v>
      </c>
      <c r="AD4" s="25">
        <f t="shared" si="0"/>
        <v>0</v>
      </c>
      <c r="AE4" s="25">
        <f t="shared" si="0"/>
        <v>0</v>
      </c>
      <c r="AF4" s="25">
        <f t="shared" si="0"/>
        <v>0</v>
      </c>
      <c r="AG4" s="25">
        <f t="shared" si="0"/>
        <v>0</v>
      </c>
      <c r="AH4" s="25">
        <f t="shared" si="0"/>
        <v>0</v>
      </c>
      <c r="AI4" s="25">
        <f t="shared" si="0"/>
        <v>0</v>
      </c>
      <c r="AJ4" s="25">
        <f t="shared" si="0"/>
        <v>0</v>
      </c>
      <c r="AK4" s="25">
        <f t="shared" si="0"/>
        <v>0</v>
      </c>
      <c r="AL4" s="25">
        <f t="shared" si="0"/>
        <v>0</v>
      </c>
      <c r="AM4" s="25">
        <f t="shared" si="0"/>
        <v>0</v>
      </c>
      <c r="AN4" s="25">
        <f t="shared" si="0"/>
        <v>0</v>
      </c>
      <c r="AO4" s="25">
        <f t="shared" si="0"/>
        <v>0</v>
      </c>
      <c r="AP4" s="25">
        <f t="shared" si="0"/>
        <v>0</v>
      </c>
      <c r="AQ4" s="25">
        <f t="shared" si="0"/>
        <v>0</v>
      </c>
      <c r="AR4" s="25">
        <f t="shared" si="0"/>
        <v>0</v>
      </c>
      <c r="AS4" s="25">
        <f t="shared" si="0"/>
        <v>0</v>
      </c>
      <c r="AT4" s="25">
        <f t="shared" si="0"/>
        <v>0</v>
      </c>
      <c r="AU4" s="25">
        <f t="shared" si="0"/>
        <v>0</v>
      </c>
      <c r="AV4" s="25">
        <f t="shared" si="0"/>
        <v>0</v>
      </c>
      <c r="AX4" s="45">
        <f>SUBTOTAL(9,AX5:AX24)</f>
        <v>0</v>
      </c>
    </row>
    <row r="5" spans="1:50" ht="18" x14ac:dyDescent="0.25">
      <c r="A5" s="58">
        <f t="shared" ref="A5:A24" si="1">I5*N5</f>
        <v>0</v>
      </c>
      <c r="B5" s="6">
        <v>1</v>
      </c>
      <c r="C5" s="60" t="s">
        <v>48</v>
      </c>
      <c r="D5" s="61">
        <v>0.5</v>
      </c>
      <c r="E5" s="18">
        <v>16</v>
      </c>
      <c r="F5" s="62">
        <v>45</v>
      </c>
      <c r="G5" s="63">
        <f t="shared" ref="G5:G19" si="2">F5*E5</f>
        <v>720</v>
      </c>
      <c r="H5" s="64">
        <f t="shared" ref="H5:H24" si="3">((G5/$G$4)*$A$2)/E5</f>
        <v>0.20683541810302375</v>
      </c>
      <c r="I5" s="134">
        <f t="shared" ref="I5:I19" si="4">F5+H5</f>
        <v>45.206835418103026</v>
      </c>
      <c r="J5" s="65">
        <f>I5*E5</f>
        <v>723.30936668964841</v>
      </c>
      <c r="K5" s="66">
        <v>54</v>
      </c>
      <c r="L5" s="63">
        <f t="shared" ref="L5" si="5">K5*E5</f>
        <v>864</v>
      </c>
      <c r="M5" s="63">
        <f t="shared" ref="M5:M24" si="6">SUMPRODUCT($K5*($Q5:$AV5))</f>
        <v>972</v>
      </c>
      <c r="N5" s="67">
        <f t="shared" ref="N5:N24" si="7">E5-SUM(Q5:AV5)-P5-O5</f>
        <v>0</v>
      </c>
      <c r="O5" s="57">
        <v>-2</v>
      </c>
      <c r="P5" s="57"/>
      <c r="Q5" s="57">
        <v>18</v>
      </c>
      <c r="R5" s="26">
        <v>0</v>
      </c>
      <c r="S5" s="26">
        <v>0</v>
      </c>
      <c r="T5" s="26">
        <v>0</v>
      </c>
      <c r="U5" s="26">
        <v>0</v>
      </c>
      <c r="V5" s="26">
        <v>0</v>
      </c>
      <c r="W5" s="26">
        <v>0</v>
      </c>
      <c r="X5" s="26">
        <v>0</v>
      </c>
      <c r="Y5" s="26">
        <v>0</v>
      </c>
      <c r="Z5" s="26">
        <v>0</v>
      </c>
      <c r="AA5" s="26">
        <v>0</v>
      </c>
      <c r="AB5" s="26">
        <v>0</v>
      </c>
      <c r="AC5" s="26">
        <v>0</v>
      </c>
      <c r="AD5" s="26">
        <v>0</v>
      </c>
      <c r="AE5" s="26">
        <v>0</v>
      </c>
      <c r="AF5" s="26">
        <v>0</v>
      </c>
      <c r="AG5" s="26">
        <v>0</v>
      </c>
      <c r="AH5" s="26">
        <v>0</v>
      </c>
      <c r="AI5" s="26">
        <v>0</v>
      </c>
      <c r="AJ5" s="26">
        <v>0</v>
      </c>
      <c r="AK5" s="26">
        <v>0</v>
      </c>
      <c r="AL5" s="26">
        <v>0</v>
      </c>
      <c r="AM5" s="26">
        <v>0</v>
      </c>
      <c r="AN5" s="26">
        <v>0</v>
      </c>
      <c r="AO5" s="26">
        <v>0</v>
      </c>
      <c r="AP5" s="26">
        <v>0</v>
      </c>
      <c r="AQ5" s="26">
        <v>0</v>
      </c>
      <c r="AR5" s="26">
        <v>0</v>
      </c>
      <c r="AS5" s="26">
        <v>0</v>
      </c>
      <c r="AT5" s="26">
        <v>0</v>
      </c>
      <c r="AU5" s="26">
        <v>0</v>
      </c>
      <c r="AV5" s="26">
        <v>0</v>
      </c>
      <c r="AX5" s="58">
        <f t="shared" ref="AX5:AX24" si="8">AW5*F5</f>
        <v>0</v>
      </c>
    </row>
    <row r="6" spans="1:50" ht="18" x14ac:dyDescent="0.25">
      <c r="A6" s="58">
        <f t="shared" si="1"/>
        <v>0</v>
      </c>
      <c r="B6" s="6">
        <v>2</v>
      </c>
      <c r="C6" s="60" t="s">
        <v>47</v>
      </c>
      <c r="D6" s="61">
        <v>0.5</v>
      </c>
      <c r="E6" s="18">
        <v>76</v>
      </c>
      <c r="F6" s="62">
        <v>54</v>
      </c>
      <c r="G6" s="63">
        <f t="shared" si="2"/>
        <v>4104</v>
      </c>
      <c r="H6" s="64">
        <f t="shared" si="3"/>
        <v>0.24820250172362848</v>
      </c>
      <c r="I6" s="134">
        <f t="shared" si="4"/>
        <v>54.248202501723625</v>
      </c>
      <c r="J6" s="65">
        <f>I6*E6</f>
        <v>4122.8633901309959</v>
      </c>
      <c r="K6" s="66">
        <v>65</v>
      </c>
      <c r="L6" s="63">
        <f t="shared" ref="L6:L24" si="9">K6*E6</f>
        <v>4940</v>
      </c>
      <c r="M6" s="63">
        <f t="shared" si="6"/>
        <v>4940</v>
      </c>
      <c r="N6" s="67">
        <f t="shared" si="7"/>
        <v>0</v>
      </c>
      <c r="O6" s="57">
        <v>0</v>
      </c>
      <c r="P6" s="57"/>
      <c r="Q6" s="57">
        <v>76</v>
      </c>
      <c r="R6" s="26">
        <v>0</v>
      </c>
      <c r="S6" s="26">
        <v>0</v>
      </c>
      <c r="T6" s="26">
        <v>0</v>
      </c>
      <c r="U6" s="26">
        <v>0</v>
      </c>
      <c r="V6" s="26">
        <v>0</v>
      </c>
      <c r="W6" s="26">
        <v>0</v>
      </c>
      <c r="X6" s="26">
        <v>0</v>
      </c>
      <c r="Y6" s="26">
        <v>0</v>
      </c>
      <c r="Z6" s="26">
        <v>0</v>
      </c>
      <c r="AA6" s="26">
        <v>0</v>
      </c>
      <c r="AB6" s="26">
        <v>0</v>
      </c>
      <c r="AC6" s="26">
        <v>0</v>
      </c>
      <c r="AD6" s="26">
        <v>0</v>
      </c>
      <c r="AE6" s="26">
        <v>0</v>
      </c>
      <c r="AF6" s="26">
        <v>0</v>
      </c>
      <c r="AG6" s="26">
        <v>0</v>
      </c>
      <c r="AH6" s="26">
        <v>0</v>
      </c>
      <c r="AI6" s="26">
        <v>0</v>
      </c>
      <c r="AJ6" s="26">
        <v>0</v>
      </c>
      <c r="AK6" s="26">
        <v>0</v>
      </c>
      <c r="AL6" s="26">
        <v>0</v>
      </c>
      <c r="AM6" s="26">
        <v>0</v>
      </c>
      <c r="AN6" s="26">
        <v>0</v>
      </c>
      <c r="AO6" s="26">
        <v>0</v>
      </c>
      <c r="AP6" s="26">
        <v>0</v>
      </c>
      <c r="AQ6" s="26">
        <v>0</v>
      </c>
      <c r="AR6" s="26">
        <v>0</v>
      </c>
      <c r="AS6" s="26">
        <v>0</v>
      </c>
      <c r="AT6" s="26">
        <v>0</v>
      </c>
      <c r="AU6" s="26">
        <v>0</v>
      </c>
      <c r="AV6" s="26">
        <v>0</v>
      </c>
      <c r="AX6" s="58">
        <f t="shared" si="8"/>
        <v>0</v>
      </c>
    </row>
    <row r="7" spans="1:50" ht="18" x14ac:dyDescent="0.25">
      <c r="A7" s="58">
        <f t="shared" si="1"/>
        <v>0</v>
      </c>
      <c r="B7" s="6">
        <v>3</v>
      </c>
      <c r="C7" s="60" t="s">
        <v>32</v>
      </c>
      <c r="D7" s="61">
        <v>0.5</v>
      </c>
      <c r="E7" s="18">
        <v>6</v>
      </c>
      <c r="F7" s="62">
        <v>55.5</v>
      </c>
      <c r="G7" s="63">
        <f t="shared" si="2"/>
        <v>333</v>
      </c>
      <c r="H7" s="64">
        <f t="shared" si="3"/>
        <v>0.25509701566039594</v>
      </c>
      <c r="I7" s="134">
        <f t="shared" si="4"/>
        <v>55.755097015660397</v>
      </c>
      <c r="J7" s="65">
        <f t="shared" ref="J7:J19" si="10">I7*E7</f>
        <v>334.53058209396238</v>
      </c>
      <c r="K7" s="66">
        <v>66</v>
      </c>
      <c r="L7" s="63">
        <f t="shared" si="9"/>
        <v>396</v>
      </c>
      <c r="M7" s="63">
        <f t="shared" si="6"/>
        <v>528</v>
      </c>
      <c r="N7" s="67">
        <f t="shared" si="7"/>
        <v>0</v>
      </c>
      <c r="O7" s="57">
        <v>-2</v>
      </c>
      <c r="P7" s="57"/>
      <c r="Q7" s="57">
        <v>8</v>
      </c>
      <c r="R7" s="26">
        <v>0</v>
      </c>
      <c r="S7" s="26">
        <v>0</v>
      </c>
      <c r="T7" s="26">
        <v>0</v>
      </c>
      <c r="U7" s="26">
        <v>0</v>
      </c>
      <c r="V7" s="26">
        <v>0</v>
      </c>
      <c r="W7" s="26">
        <v>0</v>
      </c>
      <c r="X7" s="26">
        <v>0</v>
      </c>
      <c r="Y7" s="26">
        <v>0</v>
      </c>
      <c r="Z7" s="26">
        <v>0</v>
      </c>
      <c r="AA7" s="26">
        <v>0</v>
      </c>
      <c r="AB7" s="26">
        <v>0</v>
      </c>
      <c r="AC7" s="26">
        <v>0</v>
      </c>
      <c r="AD7" s="26">
        <v>0</v>
      </c>
      <c r="AE7" s="26">
        <v>0</v>
      </c>
      <c r="AF7" s="26">
        <v>0</v>
      </c>
      <c r="AG7" s="26">
        <v>0</v>
      </c>
      <c r="AH7" s="26">
        <v>0</v>
      </c>
      <c r="AI7" s="26">
        <v>0</v>
      </c>
      <c r="AJ7" s="26">
        <v>0</v>
      </c>
      <c r="AK7" s="26">
        <v>0</v>
      </c>
      <c r="AL7" s="26">
        <v>0</v>
      </c>
      <c r="AM7" s="26">
        <v>0</v>
      </c>
      <c r="AN7" s="26">
        <v>0</v>
      </c>
      <c r="AO7" s="26">
        <v>0</v>
      </c>
      <c r="AP7" s="26">
        <v>0</v>
      </c>
      <c r="AQ7" s="26">
        <v>0</v>
      </c>
      <c r="AR7" s="26">
        <v>0</v>
      </c>
      <c r="AS7" s="26">
        <v>0</v>
      </c>
      <c r="AT7" s="26">
        <v>0</v>
      </c>
      <c r="AU7" s="26">
        <v>0</v>
      </c>
      <c r="AV7" s="26">
        <v>0</v>
      </c>
      <c r="AX7" s="58">
        <f t="shared" si="8"/>
        <v>0</v>
      </c>
    </row>
    <row r="8" spans="1:50" ht="18" x14ac:dyDescent="0.25">
      <c r="A8" s="58">
        <f t="shared" si="1"/>
        <v>0</v>
      </c>
      <c r="B8" s="6">
        <v>4</v>
      </c>
      <c r="C8" s="60" t="s">
        <v>33</v>
      </c>
      <c r="D8" s="61">
        <v>0.5</v>
      </c>
      <c r="E8" s="18">
        <v>80</v>
      </c>
      <c r="F8" s="62">
        <v>55.5</v>
      </c>
      <c r="G8" s="63">
        <f t="shared" si="2"/>
        <v>4440</v>
      </c>
      <c r="H8" s="64">
        <f t="shared" si="3"/>
        <v>0.25509701566039594</v>
      </c>
      <c r="I8" s="134">
        <f t="shared" si="4"/>
        <v>55.755097015660397</v>
      </c>
      <c r="J8" s="65">
        <f t="shared" si="10"/>
        <v>4460.4077612528317</v>
      </c>
      <c r="K8" s="66">
        <v>66</v>
      </c>
      <c r="L8" s="63">
        <f t="shared" si="9"/>
        <v>5280</v>
      </c>
      <c r="M8" s="63">
        <f t="shared" si="6"/>
        <v>4686</v>
      </c>
      <c r="N8" s="67">
        <f t="shared" si="7"/>
        <v>0</v>
      </c>
      <c r="O8" s="57">
        <v>-2</v>
      </c>
      <c r="P8" s="57">
        <v>11</v>
      </c>
      <c r="Q8" s="57">
        <v>71</v>
      </c>
      <c r="R8" s="26">
        <v>0</v>
      </c>
      <c r="S8" s="26">
        <v>0</v>
      </c>
      <c r="T8" s="26">
        <v>0</v>
      </c>
      <c r="U8" s="26">
        <v>0</v>
      </c>
      <c r="V8" s="26">
        <v>0</v>
      </c>
      <c r="W8" s="26">
        <v>0</v>
      </c>
      <c r="X8" s="26">
        <v>0</v>
      </c>
      <c r="Y8" s="26">
        <v>0</v>
      </c>
      <c r="Z8" s="26">
        <v>0</v>
      </c>
      <c r="AA8" s="26">
        <v>0</v>
      </c>
      <c r="AB8" s="26">
        <v>0</v>
      </c>
      <c r="AC8" s="26">
        <v>0</v>
      </c>
      <c r="AD8" s="26">
        <v>0</v>
      </c>
      <c r="AE8" s="26">
        <v>0</v>
      </c>
      <c r="AF8" s="26">
        <v>0</v>
      </c>
      <c r="AG8" s="26">
        <v>0</v>
      </c>
      <c r="AH8" s="26">
        <v>0</v>
      </c>
      <c r="AI8" s="26">
        <v>0</v>
      </c>
      <c r="AJ8" s="26">
        <v>0</v>
      </c>
      <c r="AK8" s="26">
        <v>0</v>
      </c>
      <c r="AL8" s="26">
        <v>0</v>
      </c>
      <c r="AM8" s="26">
        <v>0</v>
      </c>
      <c r="AN8" s="26">
        <v>0</v>
      </c>
      <c r="AO8" s="26">
        <v>0</v>
      </c>
      <c r="AP8" s="26">
        <v>0</v>
      </c>
      <c r="AQ8" s="26">
        <v>0</v>
      </c>
      <c r="AR8" s="26">
        <v>0</v>
      </c>
      <c r="AS8" s="26">
        <v>0</v>
      </c>
      <c r="AT8" s="26">
        <v>0</v>
      </c>
      <c r="AU8" s="26">
        <v>0</v>
      </c>
      <c r="AV8" s="26">
        <v>0</v>
      </c>
      <c r="AX8" s="58">
        <f t="shared" si="8"/>
        <v>0</v>
      </c>
    </row>
    <row r="9" spans="1:50" ht="18" x14ac:dyDescent="0.25">
      <c r="A9" s="58">
        <f t="shared" si="1"/>
        <v>0</v>
      </c>
      <c r="B9" s="6">
        <v>5</v>
      </c>
      <c r="C9" s="60" t="s">
        <v>46</v>
      </c>
      <c r="D9" s="61">
        <v>1</v>
      </c>
      <c r="E9" s="18">
        <v>4</v>
      </c>
      <c r="F9" s="62">
        <v>102</v>
      </c>
      <c r="G9" s="63">
        <f t="shared" si="2"/>
        <v>408</v>
      </c>
      <c r="H9" s="64">
        <f t="shared" si="3"/>
        <v>0.46882694770018718</v>
      </c>
      <c r="I9" s="134">
        <f t="shared" si="4"/>
        <v>102.46882694770019</v>
      </c>
      <c r="J9" s="65">
        <f>I9*E9</f>
        <v>409.87530779080078</v>
      </c>
      <c r="K9" s="66">
        <v>122</v>
      </c>
      <c r="L9" s="63">
        <f t="shared" si="9"/>
        <v>488</v>
      </c>
      <c r="M9" s="63">
        <f t="shared" si="6"/>
        <v>366</v>
      </c>
      <c r="N9" s="67">
        <f t="shared" si="7"/>
        <v>0</v>
      </c>
      <c r="O9" s="57">
        <v>-2</v>
      </c>
      <c r="P9" s="57">
        <v>3</v>
      </c>
      <c r="Q9" s="57">
        <v>3</v>
      </c>
      <c r="R9" s="26">
        <v>0</v>
      </c>
      <c r="S9" s="26">
        <v>0</v>
      </c>
      <c r="T9" s="26">
        <v>0</v>
      </c>
      <c r="U9" s="26">
        <v>0</v>
      </c>
      <c r="V9" s="26">
        <v>0</v>
      </c>
      <c r="W9" s="26">
        <v>0</v>
      </c>
      <c r="X9" s="26">
        <v>0</v>
      </c>
      <c r="Y9" s="26">
        <v>0</v>
      </c>
      <c r="Z9" s="26">
        <v>0</v>
      </c>
      <c r="AA9" s="26">
        <v>0</v>
      </c>
      <c r="AB9" s="26">
        <v>0</v>
      </c>
      <c r="AC9" s="26">
        <v>0</v>
      </c>
      <c r="AD9" s="26">
        <v>0</v>
      </c>
      <c r="AE9" s="26">
        <v>0</v>
      </c>
      <c r="AF9" s="26">
        <v>0</v>
      </c>
      <c r="AG9" s="26">
        <v>0</v>
      </c>
      <c r="AH9" s="26">
        <v>0</v>
      </c>
      <c r="AI9" s="26">
        <v>0</v>
      </c>
      <c r="AJ9" s="26">
        <v>0</v>
      </c>
      <c r="AK9" s="26">
        <v>0</v>
      </c>
      <c r="AL9" s="26">
        <v>0</v>
      </c>
      <c r="AM9" s="26">
        <v>0</v>
      </c>
      <c r="AN9" s="26">
        <v>0</v>
      </c>
      <c r="AO9" s="26">
        <v>0</v>
      </c>
      <c r="AP9" s="26">
        <v>0</v>
      </c>
      <c r="AQ9" s="26">
        <v>0</v>
      </c>
      <c r="AR9" s="26">
        <v>0</v>
      </c>
      <c r="AS9" s="26">
        <v>0</v>
      </c>
      <c r="AT9" s="26">
        <v>0</v>
      </c>
      <c r="AU9" s="26">
        <v>0</v>
      </c>
      <c r="AV9" s="26">
        <v>0</v>
      </c>
      <c r="AX9" s="58">
        <f t="shared" si="8"/>
        <v>0</v>
      </c>
    </row>
    <row r="10" spans="1:50" ht="18" x14ac:dyDescent="0.25">
      <c r="A10" s="58">
        <f t="shared" si="1"/>
        <v>0</v>
      </c>
      <c r="B10" s="6">
        <v>6</v>
      </c>
      <c r="C10" s="60" t="s">
        <v>34</v>
      </c>
      <c r="D10" s="61">
        <v>0.5</v>
      </c>
      <c r="E10" s="18">
        <v>80</v>
      </c>
      <c r="F10" s="62">
        <v>26.5</v>
      </c>
      <c r="G10" s="63">
        <f t="shared" si="2"/>
        <v>2120</v>
      </c>
      <c r="H10" s="64">
        <f t="shared" si="3"/>
        <v>0.12180307954955842</v>
      </c>
      <c r="I10" s="134">
        <f t="shared" si="4"/>
        <v>26.621803079549558</v>
      </c>
      <c r="J10" s="65">
        <f t="shared" si="10"/>
        <v>2129.7442463639645</v>
      </c>
      <c r="K10" s="66">
        <v>32</v>
      </c>
      <c r="L10" s="63">
        <f t="shared" si="9"/>
        <v>2560</v>
      </c>
      <c r="M10" s="63">
        <f t="shared" si="6"/>
        <v>2592</v>
      </c>
      <c r="N10" s="67">
        <f t="shared" si="7"/>
        <v>0</v>
      </c>
      <c r="O10" s="57">
        <v>0</v>
      </c>
      <c r="P10" s="57">
        <v>-1</v>
      </c>
      <c r="Q10" s="57">
        <v>81</v>
      </c>
      <c r="R10" s="26">
        <v>0</v>
      </c>
      <c r="S10" s="26">
        <v>0</v>
      </c>
      <c r="T10" s="26">
        <v>0</v>
      </c>
      <c r="U10" s="26">
        <v>0</v>
      </c>
      <c r="V10" s="26">
        <v>0</v>
      </c>
      <c r="W10" s="26">
        <v>0</v>
      </c>
      <c r="X10" s="26">
        <v>0</v>
      </c>
      <c r="Y10" s="26">
        <v>0</v>
      </c>
      <c r="Z10" s="26">
        <v>0</v>
      </c>
      <c r="AA10" s="26">
        <v>0</v>
      </c>
      <c r="AB10" s="26">
        <v>0</v>
      </c>
      <c r="AC10" s="26">
        <v>0</v>
      </c>
      <c r="AD10" s="26">
        <v>0</v>
      </c>
      <c r="AE10" s="26">
        <v>0</v>
      </c>
      <c r="AF10" s="26">
        <v>0</v>
      </c>
      <c r="AG10" s="26">
        <v>0</v>
      </c>
      <c r="AH10" s="26">
        <v>0</v>
      </c>
      <c r="AI10" s="26">
        <v>0</v>
      </c>
      <c r="AJ10" s="26">
        <v>0</v>
      </c>
      <c r="AK10" s="26">
        <v>0</v>
      </c>
      <c r="AL10" s="26">
        <v>0</v>
      </c>
      <c r="AM10" s="26">
        <v>0</v>
      </c>
      <c r="AN10" s="26">
        <v>0</v>
      </c>
      <c r="AO10" s="26">
        <v>0</v>
      </c>
      <c r="AP10" s="26">
        <v>0</v>
      </c>
      <c r="AQ10" s="26">
        <v>0</v>
      </c>
      <c r="AR10" s="26">
        <v>0</v>
      </c>
      <c r="AS10" s="26">
        <v>0</v>
      </c>
      <c r="AT10" s="26">
        <v>0</v>
      </c>
      <c r="AU10" s="26">
        <v>0</v>
      </c>
      <c r="AV10" s="26">
        <v>0</v>
      </c>
      <c r="AX10" s="58">
        <f t="shared" si="8"/>
        <v>0</v>
      </c>
    </row>
    <row r="11" spans="1:50" ht="18" x14ac:dyDescent="0.25">
      <c r="A11" s="58">
        <f t="shared" si="1"/>
        <v>0</v>
      </c>
      <c r="B11" s="6">
        <v>7</v>
      </c>
      <c r="C11" s="60" t="s">
        <v>35</v>
      </c>
      <c r="D11" s="61">
        <v>0.2</v>
      </c>
      <c r="E11" s="18">
        <v>90</v>
      </c>
      <c r="F11" s="62">
        <v>11.2</v>
      </c>
      <c r="G11" s="63">
        <f t="shared" si="2"/>
        <v>1007.9999999999999</v>
      </c>
      <c r="H11" s="64">
        <f t="shared" si="3"/>
        <v>5.1479037394530351E-2</v>
      </c>
      <c r="I11" s="134">
        <f t="shared" si="4"/>
        <v>11.25147903739453</v>
      </c>
      <c r="J11" s="65">
        <f t="shared" si="10"/>
        <v>1012.6331133655077</v>
      </c>
      <c r="K11" s="66">
        <v>14</v>
      </c>
      <c r="L11" s="63">
        <f t="shared" si="9"/>
        <v>1260</v>
      </c>
      <c r="M11" s="63">
        <f t="shared" si="6"/>
        <v>1064</v>
      </c>
      <c r="N11" s="67">
        <f t="shared" si="7"/>
        <v>0</v>
      </c>
      <c r="O11" s="57">
        <v>0</v>
      </c>
      <c r="P11" s="57">
        <v>14</v>
      </c>
      <c r="Q11" s="57">
        <v>76</v>
      </c>
      <c r="R11" s="26">
        <v>0</v>
      </c>
      <c r="S11" s="26">
        <v>0</v>
      </c>
      <c r="T11" s="26">
        <v>0</v>
      </c>
      <c r="U11" s="26">
        <v>0</v>
      </c>
      <c r="V11" s="26">
        <v>0</v>
      </c>
      <c r="W11" s="26">
        <v>0</v>
      </c>
      <c r="X11" s="26">
        <v>0</v>
      </c>
      <c r="Y11" s="26">
        <v>0</v>
      </c>
      <c r="Z11" s="26">
        <v>0</v>
      </c>
      <c r="AA11" s="26">
        <v>0</v>
      </c>
      <c r="AB11" s="26">
        <v>0</v>
      </c>
      <c r="AC11" s="26">
        <v>0</v>
      </c>
      <c r="AD11" s="26">
        <v>0</v>
      </c>
      <c r="AE11" s="26">
        <v>0</v>
      </c>
      <c r="AF11" s="26">
        <v>0</v>
      </c>
      <c r="AG11" s="26">
        <v>0</v>
      </c>
      <c r="AH11" s="26">
        <v>0</v>
      </c>
      <c r="AI11" s="26">
        <v>0</v>
      </c>
      <c r="AJ11" s="26">
        <v>0</v>
      </c>
      <c r="AK11" s="26">
        <v>0</v>
      </c>
      <c r="AL11" s="26">
        <v>0</v>
      </c>
      <c r="AM11" s="26">
        <v>0</v>
      </c>
      <c r="AN11" s="26">
        <v>0</v>
      </c>
      <c r="AO11" s="26">
        <v>0</v>
      </c>
      <c r="AP11" s="26">
        <v>0</v>
      </c>
      <c r="AQ11" s="26">
        <v>0</v>
      </c>
      <c r="AR11" s="26">
        <v>0</v>
      </c>
      <c r="AS11" s="26">
        <v>0</v>
      </c>
      <c r="AT11" s="26">
        <v>0</v>
      </c>
      <c r="AU11" s="26">
        <v>0</v>
      </c>
      <c r="AV11" s="26">
        <v>0</v>
      </c>
      <c r="AX11" s="58">
        <f t="shared" si="8"/>
        <v>0</v>
      </c>
    </row>
    <row r="12" spans="1:50" ht="18" x14ac:dyDescent="0.25">
      <c r="A12" s="58">
        <f t="shared" si="1"/>
        <v>0</v>
      </c>
      <c r="B12" s="6">
        <v>8</v>
      </c>
      <c r="C12" s="60" t="s">
        <v>36</v>
      </c>
      <c r="D12" s="61">
        <v>0.5</v>
      </c>
      <c r="E12" s="18">
        <v>56</v>
      </c>
      <c r="F12" s="62">
        <v>28.5</v>
      </c>
      <c r="G12" s="63">
        <f t="shared" si="2"/>
        <v>1596</v>
      </c>
      <c r="H12" s="64">
        <f t="shared" si="3"/>
        <v>0.13099576479858169</v>
      </c>
      <c r="I12" s="134">
        <f t="shared" si="4"/>
        <v>28.63099576479858</v>
      </c>
      <c r="J12" s="65">
        <f t="shared" si="10"/>
        <v>1603.3357628287206</v>
      </c>
      <c r="K12" s="66">
        <v>35</v>
      </c>
      <c r="L12" s="63">
        <f t="shared" si="9"/>
        <v>1960</v>
      </c>
      <c r="M12" s="63">
        <f t="shared" si="6"/>
        <v>1085</v>
      </c>
      <c r="N12" s="67">
        <f t="shared" si="7"/>
        <v>0</v>
      </c>
      <c r="O12" s="57">
        <v>0</v>
      </c>
      <c r="P12" s="57">
        <v>25</v>
      </c>
      <c r="Q12" s="57">
        <v>31</v>
      </c>
      <c r="R12" s="26">
        <v>0</v>
      </c>
      <c r="S12" s="26">
        <v>0</v>
      </c>
      <c r="T12" s="26">
        <v>0</v>
      </c>
      <c r="U12" s="26">
        <v>0</v>
      </c>
      <c r="V12" s="26">
        <v>0</v>
      </c>
      <c r="W12" s="26">
        <v>0</v>
      </c>
      <c r="X12" s="26">
        <v>0</v>
      </c>
      <c r="Y12" s="26">
        <v>0</v>
      </c>
      <c r="Z12" s="26">
        <v>0</v>
      </c>
      <c r="AA12" s="26">
        <v>0</v>
      </c>
      <c r="AB12" s="26">
        <v>0</v>
      </c>
      <c r="AC12" s="26">
        <v>0</v>
      </c>
      <c r="AD12" s="26">
        <v>0</v>
      </c>
      <c r="AE12" s="26">
        <v>0</v>
      </c>
      <c r="AF12" s="26">
        <v>0</v>
      </c>
      <c r="AG12" s="26">
        <v>0</v>
      </c>
      <c r="AH12" s="26">
        <v>0</v>
      </c>
      <c r="AI12" s="26">
        <v>0</v>
      </c>
      <c r="AJ12" s="26">
        <v>0</v>
      </c>
      <c r="AK12" s="26">
        <v>0</v>
      </c>
      <c r="AL12" s="26">
        <v>0</v>
      </c>
      <c r="AM12" s="26">
        <v>0</v>
      </c>
      <c r="AN12" s="26">
        <v>0</v>
      </c>
      <c r="AO12" s="26">
        <v>0</v>
      </c>
      <c r="AP12" s="26">
        <v>0</v>
      </c>
      <c r="AQ12" s="26">
        <v>0</v>
      </c>
      <c r="AR12" s="26">
        <v>0</v>
      </c>
      <c r="AS12" s="26">
        <v>0</v>
      </c>
      <c r="AT12" s="26">
        <v>0</v>
      </c>
      <c r="AU12" s="26">
        <v>0</v>
      </c>
      <c r="AV12" s="26">
        <v>0</v>
      </c>
      <c r="AX12" s="58">
        <f t="shared" si="8"/>
        <v>0</v>
      </c>
    </row>
    <row r="13" spans="1:50" ht="18" x14ac:dyDescent="0.25">
      <c r="A13" s="58">
        <f t="shared" si="1"/>
        <v>0</v>
      </c>
      <c r="B13" s="6">
        <v>9</v>
      </c>
      <c r="C13" s="60" t="s">
        <v>37</v>
      </c>
      <c r="D13" s="61">
        <v>0.2</v>
      </c>
      <c r="E13" s="18">
        <v>90</v>
      </c>
      <c r="F13" s="62">
        <v>12</v>
      </c>
      <c r="G13" s="63">
        <f t="shared" si="2"/>
        <v>1080</v>
      </c>
      <c r="H13" s="64">
        <f t="shared" si="3"/>
        <v>5.5156111494139667E-2</v>
      </c>
      <c r="I13" s="134">
        <f t="shared" si="4"/>
        <v>12.05515611149414</v>
      </c>
      <c r="J13" s="65">
        <f t="shared" si="10"/>
        <v>1084.9640500344726</v>
      </c>
      <c r="K13" s="66">
        <v>14</v>
      </c>
      <c r="L13" s="63">
        <f t="shared" si="9"/>
        <v>1260</v>
      </c>
      <c r="M13" s="63">
        <f t="shared" si="6"/>
        <v>182</v>
      </c>
      <c r="N13" s="67">
        <f t="shared" si="7"/>
        <v>0</v>
      </c>
      <c r="O13" s="57">
        <v>0</v>
      </c>
      <c r="P13" s="57">
        <v>77</v>
      </c>
      <c r="Q13" s="57">
        <v>13</v>
      </c>
      <c r="R13" s="26">
        <v>0</v>
      </c>
      <c r="S13" s="26">
        <v>0</v>
      </c>
      <c r="T13" s="26">
        <v>0</v>
      </c>
      <c r="U13" s="26">
        <v>0</v>
      </c>
      <c r="V13" s="26">
        <v>0</v>
      </c>
      <c r="W13" s="26">
        <v>0</v>
      </c>
      <c r="X13" s="26">
        <v>0</v>
      </c>
      <c r="Y13" s="26">
        <v>0</v>
      </c>
      <c r="Z13" s="26">
        <v>0</v>
      </c>
      <c r="AA13" s="26">
        <v>0</v>
      </c>
      <c r="AB13" s="26">
        <v>0</v>
      </c>
      <c r="AC13" s="26">
        <v>0</v>
      </c>
      <c r="AD13" s="26">
        <v>0</v>
      </c>
      <c r="AE13" s="26">
        <v>0</v>
      </c>
      <c r="AF13" s="26">
        <v>0</v>
      </c>
      <c r="AG13" s="26">
        <v>0</v>
      </c>
      <c r="AH13" s="26">
        <v>0</v>
      </c>
      <c r="AI13" s="26">
        <v>0</v>
      </c>
      <c r="AJ13" s="26">
        <v>0</v>
      </c>
      <c r="AK13" s="26">
        <v>0</v>
      </c>
      <c r="AL13" s="26">
        <v>0</v>
      </c>
      <c r="AM13" s="26">
        <v>0</v>
      </c>
      <c r="AN13" s="26">
        <v>0</v>
      </c>
      <c r="AO13" s="26">
        <v>0</v>
      </c>
      <c r="AP13" s="26">
        <v>0</v>
      </c>
      <c r="AQ13" s="26">
        <v>0</v>
      </c>
      <c r="AR13" s="26">
        <v>0</v>
      </c>
      <c r="AS13" s="26">
        <v>0</v>
      </c>
      <c r="AT13" s="26">
        <v>0</v>
      </c>
      <c r="AU13" s="26">
        <v>0</v>
      </c>
      <c r="AV13" s="26">
        <v>0</v>
      </c>
      <c r="AX13" s="58">
        <f t="shared" si="8"/>
        <v>0</v>
      </c>
    </row>
    <row r="14" spans="1:50" ht="18" x14ac:dyDescent="0.25">
      <c r="A14" s="58">
        <f t="shared" si="1"/>
        <v>0</v>
      </c>
      <c r="B14" s="6">
        <v>10</v>
      </c>
      <c r="C14" s="60" t="s">
        <v>38</v>
      </c>
      <c r="D14" s="61">
        <v>0.5</v>
      </c>
      <c r="E14" s="18">
        <v>66</v>
      </c>
      <c r="F14" s="62">
        <v>28.5</v>
      </c>
      <c r="G14" s="63">
        <f t="shared" si="2"/>
        <v>1881</v>
      </c>
      <c r="H14" s="64">
        <f t="shared" si="3"/>
        <v>0.13099576479858172</v>
      </c>
      <c r="I14" s="134">
        <f t="shared" si="4"/>
        <v>28.63099576479858</v>
      </c>
      <c r="J14" s="65">
        <f t="shared" si="10"/>
        <v>1889.6457204767064</v>
      </c>
      <c r="K14" s="66">
        <v>35</v>
      </c>
      <c r="L14" s="63">
        <f t="shared" si="9"/>
        <v>2310</v>
      </c>
      <c r="M14" s="63">
        <f t="shared" si="6"/>
        <v>1505</v>
      </c>
      <c r="N14" s="67">
        <f t="shared" si="7"/>
        <v>0</v>
      </c>
      <c r="O14" s="57">
        <v>0</v>
      </c>
      <c r="P14" s="57">
        <v>23</v>
      </c>
      <c r="Q14" s="57">
        <v>43</v>
      </c>
      <c r="R14" s="26">
        <v>0</v>
      </c>
      <c r="S14" s="26">
        <v>0</v>
      </c>
      <c r="T14" s="26">
        <v>0</v>
      </c>
      <c r="U14" s="26">
        <v>0</v>
      </c>
      <c r="V14" s="26">
        <v>0</v>
      </c>
      <c r="W14" s="26">
        <v>0</v>
      </c>
      <c r="X14" s="26">
        <v>0</v>
      </c>
      <c r="Y14" s="26">
        <v>0</v>
      </c>
      <c r="Z14" s="26">
        <v>0</v>
      </c>
      <c r="AA14" s="26">
        <v>0</v>
      </c>
      <c r="AB14" s="26">
        <v>0</v>
      </c>
      <c r="AC14" s="26">
        <v>0</v>
      </c>
      <c r="AD14" s="26">
        <v>0</v>
      </c>
      <c r="AE14" s="26">
        <v>0</v>
      </c>
      <c r="AF14" s="26">
        <v>0</v>
      </c>
      <c r="AG14" s="26">
        <v>0</v>
      </c>
      <c r="AH14" s="26">
        <v>0</v>
      </c>
      <c r="AI14" s="26">
        <v>0</v>
      </c>
      <c r="AJ14" s="26">
        <v>0</v>
      </c>
      <c r="AK14" s="26">
        <v>0</v>
      </c>
      <c r="AL14" s="26">
        <v>0</v>
      </c>
      <c r="AM14" s="26">
        <v>0</v>
      </c>
      <c r="AN14" s="26">
        <v>0</v>
      </c>
      <c r="AO14" s="26">
        <v>0</v>
      </c>
      <c r="AP14" s="26">
        <v>0</v>
      </c>
      <c r="AQ14" s="26">
        <v>0</v>
      </c>
      <c r="AR14" s="26">
        <v>0</v>
      </c>
      <c r="AS14" s="26">
        <v>0</v>
      </c>
      <c r="AT14" s="26">
        <v>0</v>
      </c>
      <c r="AU14" s="26">
        <v>0</v>
      </c>
      <c r="AV14" s="26">
        <v>0</v>
      </c>
      <c r="AX14" s="58">
        <f t="shared" si="8"/>
        <v>0</v>
      </c>
    </row>
    <row r="15" spans="1:50" ht="18" x14ac:dyDescent="0.25">
      <c r="A15" s="58">
        <f t="shared" si="1"/>
        <v>0</v>
      </c>
      <c r="B15" s="6">
        <v>11</v>
      </c>
      <c r="C15" s="60" t="s">
        <v>39</v>
      </c>
      <c r="D15" s="61">
        <v>0.2</v>
      </c>
      <c r="E15" s="18">
        <v>15</v>
      </c>
      <c r="F15" s="62">
        <v>12</v>
      </c>
      <c r="G15" s="63">
        <f t="shared" si="2"/>
        <v>180</v>
      </c>
      <c r="H15" s="64">
        <f t="shared" si="3"/>
        <v>5.5156111494139667E-2</v>
      </c>
      <c r="I15" s="134">
        <f t="shared" si="4"/>
        <v>12.05515611149414</v>
      </c>
      <c r="J15" s="65">
        <f t="shared" si="10"/>
        <v>180.8273416724121</v>
      </c>
      <c r="K15" s="66">
        <v>14</v>
      </c>
      <c r="L15" s="63">
        <f t="shared" si="9"/>
        <v>210</v>
      </c>
      <c r="M15" s="63">
        <f t="shared" si="6"/>
        <v>168</v>
      </c>
      <c r="N15" s="67">
        <f t="shared" si="7"/>
        <v>0</v>
      </c>
      <c r="O15" s="57">
        <v>0</v>
      </c>
      <c r="P15" s="57">
        <v>3</v>
      </c>
      <c r="Q15" s="57">
        <v>12</v>
      </c>
      <c r="R15" s="26">
        <v>0</v>
      </c>
      <c r="S15" s="26">
        <v>0</v>
      </c>
      <c r="T15" s="26">
        <v>0</v>
      </c>
      <c r="U15" s="26">
        <v>0</v>
      </c>
      <c r="V15" s="26">
        <v>0</v>
      </c>
      <c r="W15" s="26">
        <v>0</v>
      </c>
      <c r="X15" s="26">
        <v>0</v>
      </c>
      <c r="Y15" s="26">
        <v>0</v>
      </c>
      <c r="Z15" s="26">
        <v>0</v>
      </c>
      <c r="AA15" s="26">
        <v>0</v>
      </c>
      <c r="AB15" s="26">
        <v>0</v>
      </c>
      <c r="AC15" s="26">
        <v>0</v>
      </c>
      <c r="AD15" s="26">
        <v>0</v>
      </c>
      <c r="AE15" s="26">
        <v>0</v>
      </c>
      <c r="AF15" s="26">
        <v>0</v>
      </c>
      <c r="AG15" s="26">
        <v>0</v>
      </c>
      <c r="AH15" s="26">
        <v>0</v>
      </c>
      <c r="AI15" s="26">
        <v>0</v>
      </c>
      <c r="AJ15" s="26">
        <v>0</v>
      </c>
      <c r="AK15" s="26">
        <v>0</v>
      </c>
      <c r="AL15" s="26">
        <v>0</v>
      </c>
      <c r="AM15" s="26">
        <v>0</v>
      </c>
      <c r="AN15" s="26">
        <v>0</v>
      </c>
      <c r="AO15" s="26">
        <v>0</v>
      </c>
      <c r="AP15" s="26">
        <v>0</v>
      </c>
      <c r="AQ15" s="26">
        <v>0</v>
      </c>
      <c r="AR15" s="26">
        <v>0</v>
      </c>
      <c r="AS15" s="26">
        <v>0</v>
      </c>
      <c r="AT15" s="26">
        <v>0</v>
      </c>
      <c r="AU15" s="26">
        <v>0</v>
      </c>
      <c r="AV15" s="26">
        <v>0</v>
      </c>
      <c r="AX15" s="58">
        <f t="shared" si="8"/>
        <v>0</v>
      </c>
    </row>
    <row r="16" spans="1:50" ht="18" x14ac:dyDescent="0.25">
      <c r="A16" s="58">
        <f t="shared" si="1"/>
        <v>0</v>
      </c>
      <c r="B16" s="6">
        <v>12</v>
      </c>
      <c r="C16" s="60" t="s">
        <v>55</v>
      </c>
      <c r="D16" s="61">
        <v>0.5</v>
      </c>
      <c r="E16" s="18">
        <v>40</v>
      </c>
      <c r="F16" s="62">
        <v>26.5</v>
      </c>
      <c r="G16" s="63">
        <f t="shared" si="2"/>
        <v>1060</v>
      </c>
      <c r="H16" s="64">
        <f t="shared" si="3"/>
        <v>0.12180307954955842</v>
      </c>
      <c r="I16" s="134">
        <f t="shared" si="4"/>
        <v>26.621803079549558</v>
      </c>
      <c r="J16" s="65">
        <f t="shared" si="10"/>
        <v>1064.8721231819823</v>
      </c>
      <c r="K16" s="66">
        <v>32</v>
      </c>
      <c r="L16" s="63">
        <f t="shared" si="9"/>
        <v>1280</v>
      </c>
      <c r="M16" s="63">
        <f t="shared" si="6"/>
        <v>992</v>
      </c>
      <c r="N16" s="67">
        <f t="shared" si="7"/>
        <v>0</v>
      </c>
      <c r="O16" s="57">
        <v>0</v>
      </c>
      <c r="P16" s="57">
        <v>9</v>
      </c>
      <c r="Q16" s="57">
        <v>31</v>
      </c>
      <c r="R16" s="26">
        <v>0</v>
      </c>
      <c r="S16" s="26">
        <v>0</v>
      </c>
      <c r="T16" s="26">
        <v>0</v>
      </c>
      <c r="U16" s="26">
        <v>0</v>
      </c>
      <c r="V16" s="26">
        <v>0</v>
      </c>
      <c r="W16" s="26">
        <v>0</v>
      </c>
      <c r="X16" s="26">
        <v>0</v>
      </c>
      <c r="Y16" s="26">
        <v>0</v>
      </c>
      <c r="Z16" s="26">
        <v>0</v>
      </c>
      <c r="AA16" s="26">
        <v>0</v>
      </c>
      <c r="AB16" s="26">
        <v>0</v>
      </c>
      <c r="AC16" s="26">
        <v>0</v>
      </c>
      <c r="AD16" s="26">
        <v>0</v>
      </c>
      <c r="AE16" s="26">
        <v>0</v>
      </c>
      <c r="AF16" s="26">
        <v>0</v>
      </c>
      <c r="AG16" s="26">
        <v>0</v>
      </c>
      <c r="AH16" s="26">
        <v>0</v>
      </c>
      <c r="AI16" s="26">
        <v>0</v>
      </c>
      <c r="AJ16" s="26">
        <v>0</v>
      </c>
      <c r="AK16" s="26">
        <v>0</v>
      </c>
      <c r="AL16" s="26">
        <v>0</v>
      </c>
      <c r="AM16" s="26">
        <v>0</v>
      </c>
      <c r="AN16" s="26">
        <v>0</v>
      </c>
      <c r="AO16" s="26">
        <v>0</v>
      </c>
      <c r="AP16" s="26">
        <v>0</v>
      </c>
      <c r="AQ16" s="26">
        <v>0</v>
      </c>
      <c r="AR16" s="26">
        <v>0</v>
      </c>
      <c r="AS16" s="26">
        <v>0</v>
      </c>
      <c r="AT16" s="26">
        <v>0</v>
      </c>
      <c r="AU16" s="26">
        <v>0</v>
      </c>
      <c r="AV16" s="26">
        <v>0</v>
      </c>
      <c r="AX16" s="58">
        <f t="shared" si="8"/>
        <v>0</v>
      </c>
    </row>
    <row r="17" spans="1:50" ht="18" x14ac:dyDescent="0.25">
      <c r="A17" s="58">
        <f t="shared" si="1"/>
        <v>0</v>
      </c>
      <c r="B17" s="6">
        <v>13</v>
      </c>
      <c r="C17" s="60" t="s">
        <v>40</v>
      </c>
      <c r="D17" s="61">
        <v>0.5</v>
      </c>
      <c r="E17" s="18">
        <v>55</v>
      </c>
      <c r="F17" s="62">
        <v>36.5</v>
      </c>
      <c r="G17" s="63">
        <f t="shared" si="2"/>
        <v>2007.5</v>
      </c>
      <c r="H17" s="64">
        <f t="shared" si="3"/>
        <v>0.16776650579467481</v>
      </c>
      <c r="I17" s="134">
        <f t="shared" si="4"/>
        <v>36.667766505794674</v>
      </c>
      <c r="J17" s="65">
        <f t="shared" si="10"/>
        <v>2016.7271578187072</v>
      </c>
      <c r="K17" s="66">
        <v>44</v>
      </c>
      <c r="L17" s="63">
        <f t="shared" si="9"/>
        <v>2420</v>
      </c>
      <c r="M17" s="63">
        <f t="shared" si="6"/>
        <v>1760</v>
      </c>
      <c r="N17" s="67">
        <f t="shared" si="7"/>
        <v>0</v>
      </c>
      <c r="O17" s="57">
        <v>0</v>
      </c>
      <c r="P17" s="57">
        <v>15</v>
      </c>
      <c r="Q17" s="57">
        <v>40</v>
      </c>
      <c r="R17" s="26">
        <v>0</v>
      </c>
      <c r="S17" s="26">
        <v>0</v>
      </c>
      <c r="T17" s="26">
        <v>0</v>
      </c>
      <c r="U17" s="26">
        <v>0</v>
      </c>
      <c r="V17" s="26">
        <v>0</v>
      </c>
      <c r="W17" s="26">
        <v>0</v>
      </c>
      <c r="X17" s="26">
        <v>0</v>
      </c>
      <c r="Y17" s="26">
        <v>0</v>
      </c>
      <c r="Z17" s="26">
        <v>0</v>
      </c>
      <c r="AA17" s="26">
        <v>0</v>
      </c>
      <c r="AB17" s="26">
        <v>0</v>
      </c>
      <c r="AC17" s="26">
        <v>0</v>
      </c>
      <c r="AD17" s="26">
        <v>0</v>
      </c>
      <c r="AE17" s="26">
        <v>0</v>
      </c>
      <c r="AF17" s="26">
        <v>0</v>
      </c>
      <c r="AG17" s="26">
        <v>0</v>
      </c>
      <c r="AH17" s="26">
        <v>0</v>
      </c>
      <c r="AI17" s="26">
        <v>0</v>
      </c>
      <c r="AJ17" s="26">
        <v>0</v>
      </c>
      <c r="AK17" s="26">
        <v>0</v>
      </c>
      <c r="AL17" s="26">
        <v>0</v>
      </c>
      <c r="AM17" s="26">
        <v>0</v>
      </c>
      <c r="AN17" s="26">
        <v>0</v>
      </c>
      <c r="AO17" s="26">
        <v>0</v>
      </c>
      <c r="AP17" s="26">
        <v>0</v>
      </c>
      <c r="AQ17" s="26">
        <v>0</v>
      </c>
      <c r="AR17" s="26">
        <v>0</v>
      </c>
      <c r="AS17" s="26">
        <v>0</v>
      </c>
      <c r="AT17" s="26">
        <v>0</v>
      </c>
      <c r="AU17" s="26">
        <v>0</v>
      </c>
      <c r="AV17" s="26">
        <v>0</v>
      </c>
      <c r="AX17" s="58">
        <f t="shared" si="8"/>
        <v>0</v>
      </c>
    </row>
    <row r="18" spans="1:50" ht="18" x14ac:dyDescent="0.25">
      <c r="A18" s="58">
        <f t="shared" si="1"/>
        <v>0</v>
      </c>
      <c r="B18" s="6">
        <v>14</v>
      </c>
      <c r="C18" s="60" t="s">
        <v>44</v>
      </c>
      <c r="D18" s="61">
        <v>0.5</v>
      </c>
      <c r="E18" s="18">
        <v>25</v>
      </c>
      <c r="F18" s="62">
        <v>49</v>
      </c>
      <c r="G18" s="63">
        <f t="shared" si="2"/>
        <v>1225</v>
      </c>
      <c r="H18" s="64">
        <f t="shared" si="3"/>
        <v>0.22522078860107031</v>
      </c>
      <c r="I18" s="134">
        <f t="shared" si="4"/>
        <v>49.225220788601071</v>
      </c>
      <c r="J18" s="65">
        <f t="shared" si="10"/>
        <v>1230.6305197150268</v>
      </c>
      <c r="K18" s="66">
        <v>59</v>
      </c>
      <c r="L18" s="63">
        <f t="shared" si="9"/>
        <v>1475</v>
      </c>
      <c r="M18" s="63">
        <f t="shared" si="6"/>
        <v>1357</v>
      </c>
      <c r="N18" s="67">
        <f t="shared" si="7"/>
        <v>0</v>
      </c>
      <c r="O18" s="57">
        <v>0</v>
      </c>
      <c r="P18" s="57">
        <v>2</v>
      </c>
      <c r="Q18" s="57">
        <v>23</v>
      </c>
      <c r="R18" s="26">
        <v>0</v>
      </c>
      <c r="S18" s="26">
        <v>0</v>
      </c>
      <c r="T18" s="26">
        <v>0</v>
      </c>
      <c r="U18" s="26">
        <v>0</v>
      </c>
      <c r="V18" s="26">
        <v>0</v>
      </c>
      <c r="W18" s="26">
        <v>0</v>
      </c>
      <c r="X18" s="26">
        <v>0</v>
      </c>
      <c r="Y18" s="26">
        <v>0</v>
      </c>
      <c r="Z18" s="26">
        <v>0</v>
      </c>
      <c r="AA18" s="26">
        <v>0</v>
      </c>
      <c r="AB18" s="26">
        <v>0</v>
      </c>
      <c r="AC18" s="26">
        <v>0</v>
      </c>
      <c r="AD18" s="26">
        <v>0</v>
      </c>
      <c r="AE18" s="26">
        <v>0</v>
      </c>
      <c r="AF18" s="26">
        <v>0</v>
      </c>
      <c r="AG18" s="26">
        <v>0</v>
      </c>
      <c r="AH18" s="26">
        <v>0</v>
      </c>
      <c r="AI18" s="26">
        <v>0</v>
      </c>
      <c r="AJ18" s="26">
        <v>0</v>
      </c>
      <c r="AK18" s="26">
        <v>0</v>
      </c>
      <c r="AL18" s="26">
        <v>0</v>
      </c>
      <c r="AM18" s="26">
        <v>0</v>
      </c>
      <c r="AN18" s="26">
        <v>0</v>
      </c>
      <c r="AO18" s="26">
        <v>0</v>
      </c>
      <c r="AP18" s="26">
        <v>0</v>
      </c>
      <c r="AQ18" s="26">
        <v>0</v>
      </c>
      <c r="AR18" s="26">
        <v>0</v>
      </c>
      <c r="AS18" s="26">
        <v>0</v>
      </c>
      <c r="AT18" s="26">
        <v>0</v>
      </c>
      <c r="AU18" s="26">
        <v>0</v>
      </c>
      <c r="AV18" s="26">
        <v>0</v>
      </c>
      <c r="AX18" s="58">
        <f t="shared" si="8"/>
        <v>0</v>
      </c>
    </row>
    <row r="19" spans="1:50" ht="18" x14ac:dyDescent="0.25">
      <c r="A19" s="58">
        <f t="shared" si="1"/>
        <v>0</v>
      </c>
      <c r="B19" s="6">
        <v>15</v>
      </c>
      <c r="C19" s="60" t="s">
        <v>45</v>
      </c>
      <c r="D19" s="61">
        <v>0.5</v>
      </c>
      <c r="E19" s="18">
        <v>55</v>
      </c>
      <c r="F19" s="62">
        <v>43</v>
      </c>
      <c r="G19" s="63">
        <f t="shared" si="2"/>
        <v>2365</v>
      </c>
      <c r="H19" s="64">
        <f t="shared" si="3"/>
        <v>0.19764273285400044</v>
      </c>
      <c r="I19" s="134">
        <f t="shared" si="4"/>
        <v>43.197642732854</v>
      </c>
      <c r="J19" s="65">
        <f t="shared" si="10"/>
        <v>2375.8703503069701</v>
      </c>
      <c r="K19" s="66">
        <v>52</v>
      </c>
      <c r="L19" s="63">
        <f t="shared" si="9"/>
        <v>2860</v>
      </c>
      <c r="M19" s="63">
        <f t="shared" si="6"/>
        <v>2028</v>
      </c>
      <c r="N19" s="67">
        <f t="shared" si="7"/>
        <v>0</v>
      </c>
      <c r="O19" s="57">
        <v>0</v>
      </c>
      <c r="P19" s="57">
        <v>16</v>
      </c>
      <c r="Q19" s="57">
        <v>39</v>
      </c>
      <c r="R19" s="26">
        <v>0</v>
      </c>
      <c r="S19" s="26">
        <v>0</v>
      </c>
      <c r="T19" s="26">
        <v>0</v>
      </c>
      <c r="U19" s="26">
        <v>0</v>
      </c>
      <c r="V19" s="26">
        <v>0</v>
      </c>
      <c r="W19" s="26">
        <v>0</v>
      </c>
      <c r="X19" s="26">
        <v>0</v>
      </c>
      <c r="Y19" s="26">
        <v>0</v>
      </c>
      <c r="Z19" s="26">
        <v>0</v>
      </c>
      <c r="AA19" s="26">
        <v>0</v>
      </c>
      <c r="AB19" s="26">
        <v>0</v>
      </c>
      <c r="AC19" s="26">
        <v>0</v>
      </c>
      <c r="AD19" s="26">
        <v>0</v>
      </c>
      <c r="AE19" s="26">
        <v>0</v>
      </c>
      <c r="AF19" s="26">
        <v>0</v>
      </c>
      <c r="AG19" s="26">
        <v>0</v>
      </c>
      <c r="AH19" s="26">
        <v>0</v>
      </c>
      <c r="AI19" s="26">
        <v>0</v>
      </c>
      <c r="AJ19" s="26">
        <v>0</v>
      </c>
      <c r="AK19" s="26">
        <v>0</v>
      </c>
      <c r="AL19" s="26">
        <v>0</v>
      </c>
      <c r="AM19" s="26">
        <v>0</v>
      </c>
      <c r="AN19" s="26">
        <v>0</v>
      </c>
      <c r="AO19" s="26">
        <v>0</v>
      </c>
      <c r="AP19" s="26">
        <v>0</v>
      </c>
      <c r="AQ19" s="26">
        <v>0</v>
      </c>
      <c r="AR19" s="26">
        <v>0</v>
      </c>
      <c r="AS19" s="26">
        <v>0</v>
      </c>
      <c r="AT19" s="26">
        <v>0</v>
      </c>
      <c r="AU19" s="26">
        <v>0</v>
      </c>
      <c r="AV19" s="26">
        <v>0</v>
      </c>
      <c r="AX19" s="58">
        <f t="shared" si="8"/>
        <v>0</v>
      </c>
    </row>
    <row r="20" spans="1:50" ht="18" x14ac:dyDescent="0.25">
      <c r="A20" s="58">
        <f t="shared" si="1"/>
        <v>0</v>
      </c>
      <c r="B20" s="6">
        <v>16</v>
      </c>
      <c r="C20" s="60" t="s">
        <v>41</v>
      </c>
      <c r="D20" s="61">
        <v>0.5</v>
      </c>
      <c r="E20" s="18">
        <v>10</v>
      </c>
      <c r="F20" s="62">
        <v>54</v>
      </c>
      <c r="G20" s="63">
        <f>F20*E20</f>
        <v>540</v>
      </c>
      <c r="H20" s="64">
        <f t="shared" si="3"/>
        <v>0.24820250172362851</v>
      </c>
      <c r="I20" s="134">
        <f>F20+H20</f>
        <v>54.248202501723625</v>
      </c>
      <c r="J20" s="65">
        <f>I20*E20</f>
        <v>542.48202501723631</v>
      </c>
      <c r="K20" s="66">
        <v>65</v>
      </c>
      <c r="L20" s="63">
        <f t="shared" si="9"/>
        <v>650</v>
      </c>
      <c r="M20" s="63">
        <f t="shared" si="6"/>
        <v>650</v>
      </c>
      <c r="N20" s="67">
        <f t="shared" si="7"/>
        <v>0</v>
      </c>
      <c r="O20" s="123">
        <v>-1</v>
      </c>
      <c r="P20" s="57">
        <v>1</v>
      </c>
      <c r="Q20" s="57">
        <v>10</v>
      </c>
      <c r="R20" s="26">
        <v>0</v>
      </c>
      <c r="S20" s="26">
        <v>0</v>
      </c>
      <c r="T20" s="26">
        <v>0</v>
      </c>
      <c r="U20" s="26">
        <v>0</v>
      </c>
      <c r="V20" s="26">
        <v>0</v>
      </c>
      <c r="W20" s="26">
        <v>0</v>
      </c>
      <c r="X20" s="26">
        <v>0</v>
      </c>
      <c r="Y20" s="26">
        <v>0</v>
      </c>
      <c r="Z20" s="26">
        <v>0</v>
      </c>
      <c r="AA20" s="26">
        <v>0</v>
      </c>
      <c r="AB20" s="26">
        <v>0</v>
      </c>
      <c r="AC20" s="26">
        <v>0</v>
      </c>
      <c r="AD20" s="26">
        <v>0</v>
      </c>
      <c r="AE20" s="26">
        <v>0</v>
      </c>
      <c r="AF20" s="26">
        <v>0</v>
      </c>
      <c r="AG20" s="26">
        <v>0</v>
      </c>
      <c r="AH20" s="26">
        <v>0</v>
      </c>
      <c r="AI20" s="26">
        <v>0</v>
      </c>
      <c r="AJ20" s="26">
        <v>0</v>
      </c>
      <c r="AK20" s="26">
        <v>0</v>
      </c>
      <c r="AL20" s="26">
        <v>0</v>
      </c>
      <c r="AM20" s="26">
        <v>0</v>
      </c>
      <c r="AN20" s="26">
        <v>0</v>
      </c>
      <c r="AO20" s="26">
        <v>0</v>
      </c>
      <c r="AP20" s="26">
        <v>0</v>
      </c>
      <c r="AQ20" s="26">
        <v>0</v>
      </c>
      <c r="AR20" s="26">
        <v>0</v>
      </c>
      <c r="AS20" s="26">
        <v>0</v>
      </c>
      <c r="AT20" s="26">
        <v>0</v>
      </c>
      <c r="AU20" s="26">
        <v>0</v>
      </c>
      <c r="AV20" s="26">
        <v>0</v>
      </c>
      <c r="AX20" s="58">
        <f t="shared" si="8"/>
        <v>0</v>
      </c>
    </row>
    <row r="21" spans="1:50" ht="18" x14ac:dyDescent="0.25">
      <c r="A21" s="58">
        <f t="shared" si="1"/>
        <v>0</v>
      </c>
      <c r="B21" s="6">
        <v>17</v>
      </c>
      <c r="C21" s="60" t="s">
        <v>42</v>
      </c>
      <c r="D21" s="61">
        <v>0.5</v>
      </c>
      <c r="E21" s="18">
        <v>90</v>
      </c>
      <c r="F21" s="62">
        <v>49</v>
      </c>
      <c r="G21" s="63">
        <f>F21*E21</f>
        <v>4410</v>
      </c>
      <c r="H21" s="64">
        <f t="shared" si="3"/>
        <v>0.22522078860107031</v>
      </c>
      <c r="I21" s="134">
        <f>F21+H21</f>
        <v>49.225220788601071</v>
      </c>
      <c r="J21" s="65">
        <f>I21*E21</f>
        <v>4430.2698709740962</v>
      </c>
      <c r="K21" s="66">
        <v>59</v>
      </c>
      <c r="L21" s="63">
        <f t="shared" si="9"/>
        <v>5310</v>
      </c>
      <c r="M21" s="63">
        <f t="shared" si="6"/>
        <v>4838</v>
      </c>
      <c r="N21" s="67">
        <f t="shared" si="7"/>
        <v>0</v>
      </c>
      <c r="O21" s="57">
        <v>-2</v>
      </c>
      <c r="P21" s="57">
        <v>10</v>
      </c>
      <c r="Q21" s="57">
        <v>82</v>
      </c>
      <c r="R21" s="26">
        <v>0</v>
      </c>
      <c r="S21" s="26">
        <v>0</v>
      </c>
      <c r="T21" s="26">
        <v>0</v>
      </c>
      <c r="U21" s="26">
        <v>0</v>
      </c>
      <c r="V21" s="26">
        <v>0</v>
      </c>
      <c r="W21" s="26">
        <v>0</v>
      </c>
      <c r="X21" s="26">
        <v>0</v>
      </c>
      <c r="Y21" s="26">
        <v>0</v>
      </c>
      <c r="Z21" s="26">
        <v>0</v>
      </c>
      <c r="AA21" s="26">
        <v>0</v>
      </c>
      <c r="AB21" s="26">
        <v>0</v>
      </c>
      <c r="AC21" s="26">
        <v>0</v>
      </c>
      <c r="AD21" s="26">
        <v>0</v>
      </c>
      <c r="AE21" s="26">
        <v>0</v>
      </c>
      <c r="AF21" s="26">
        <v>0</v>
      </c>
      <c r="AG21" s="26">
        <v>0</v>
      </c>
      <c r="AH21" s="26">
        <v>0</v>
      </c>
      <c r="AI21" s="26">
        <v>0</v>
      </c>
      <c r="AJ21" s="26">
        <v>0</v>
      </c>
      <c r="AK21" s="26">
        <v>0</v>
      </c>
      <c r="AL21" s="26">
        <v>0</v>
      </c>
      <c r="AM21" s="26">
        <v>0</v>
      </c>
      <c r="AN21" s="26">
        <v>0</v>
      </c>
      <c r="AO21" s="26">
        <v>0</v>
      </c>
      <c r="AP21" s="26">
        <v>0</v>
      </c>
      <c r="AQ21" s="26">
        <v>0</v>
      </c>
      <c r="AR21" s="26">
        <v>0</v>
      </c>
      <c r="AS21" s="26">
        <v>0</v>
      </c>
      <c r="AT21" s="26">
        <v>0</v>
      </c>
      <c r="AU21" s="26">
        <v>0</v>
      </c>
      <c r="AV21" s="26">
        <v>0</v>
      </c>
      <c r="AX21" s="58">
        <f t="shared" si="8"/>
        <v>0</v>
      </c>
    </row>
    <row r="22" spans="1:50" ht="18" x14ac:dyDescent="0.25">
      <c r="A22" s="58">
        <f t="shared" si="1"/>
        <v>0</v>
      </c>
      <c r="B22" s="6">
        <v>18</v>
      </c>
      <c r="C22" s="60" t="s">
        <v>43</v>
      </c>
      <c r="D22" s="61">
        <v>0.5</v>
      </c>
      <c r="E22" s="18">
        <v>25</v>
      </c>
      <c r="F22" s="62">
        <v>66</v>
      </c>
      <c r="G22" s="63">
        <f>F22*E22</f>
        <v>1650</v>
      </c>
      <c r="H22" s="64">
        <f t="shared" si="3"/>
        <v>0.30335861321776819</v>
      </c>
      <c r="I22" s="134">
        <f>F22+H22</f>
        <v>66.303358613217767</v>
      </c>
      <c r="J22" s="65">
        <f>I22*E22</f>
        <v>1657.5839653304442</v>
      </c>
      <c r="K22" s="66">
        <v>79</v>
      </c>
      <c r="L22" s="63">
        <f t="shared" si="9"/>
        <v>1975</v>
      </c>
      <c r="M22" s="63">
        <f t="shared" si="6"/>
        <v>2133</v>
      </c>
      <c r="N22" s="67">
        <f t="shared" si="7"/>
        <v>0</v>
      </c>
      <c r="O22" s="57">
        <v>-2</v>
      </c>
      <c r="P22" s="57"/>
      <c r="Q22" s="57">
        <v>27</v>
      </c>
      <c r="R22" s="26">
        <v>0</v>
      </c>
      <c r="S22" s="26">
        <v>0</v>
      </c>
      <c r="T22" s="26">
        <v>0</v>
      </c>
      <c r="U22" s="26">
        <v>0</v>
      </c>
      <c r="V22" s="26">
        <v>0</v>
      </c>
      <c r="W22" s="26">
        <v>0</v>
      </c>
      <c r="X22" s="26">
        <v>0</v>
      </c>
      <c r="Y22" s="26">
        <v>0</v>
      </c>
      <c r="Z22" s="26">
        <v>0</v>
      </c>
      <c r="AA22" s="26">
        <v>0</v>
      </c>
      <c r="AB22" s="26">
        <v>0</v>
      </c>
      <c r="AC22" s="26">
        <v>0</v>
      </c>
      <c r="AD22" s="26">
        <v>0</v>
      </c>
      <c r="AE22" s="26">
        <v>0</v>
      </c>
      <c r="AF22" s="26">
        <v>0</v>
      </c>
      <c r="AG22" s="26">
        <v>0</v>
      </c>
      <c r="AH22" s="26">
        <v>0</v>
      </c>
      <c r="AI22" s="26">
        <v>0</v>
      </c>
      <c r="AJ22" s="26">
        <v>0</v>
      </c>
      <c r="AK22" s="26">
        <v>0</v>
      </c>
      <c r="AL22" s="26">
        <v>0</v>
      </c>
      <c r="AM22" s="26">
        <v>0</v>
      </c>
      <c r="AN22" s="26">
        <v>0</v>
      </c>
      <c r="AO22" s="26">
        <v>0</v>
      </c>
      <c r="AP22" s="26">
        <v>0</v>
      </c>
      <c r="AQ22" s="26">
        <v>0</v>
      </c>
      <c r="AR22" s="26">
        <v>0</v>
      </c>
      <c r="AS22" s="26">
        <v>0</v>
      </c>
      <c r="AT22" s="26">
        <v>0</v>
      </c>
      <c r="AU22" s="26">
        <v>0</v>
      </c>
      <c r="AV22" s="26">
        <v>0</v>
      </c>
      <c r="AX22" s="58">
        <f t="shared" si="8"/>
        <v>0</v>
      </c>
    </row>
    <row r="23" spans="1:50" ht="18" x14ac:dyDescent="0.25">
      <c r="A23" s="58">
        <f t="shared" si="1"/>
        <v>0</v>
      </c>
      <c r="B23" s="6">
        <v>19</v>
      </c>
      <c r="C23" s="60" t="s">
        <v>130</v>
      </c>
      <c r="D23" s="61">
        <v>0.5</v>
      </c>
      <c r="E23" s="18">
        <v>200</v>
      </c>
      <c r="F23" s="62">
        <v>58</v>
      </c>
      <c r="G23" s="63">
        <f>F23*E23</f>
        <v>11600</v>
      </c>
      <c r="H23" s="64">
        <f t="shared" si="3"/>
        <v>0.26658787222167502</v>
      </c>
      <c r="I23" s="134">
        <f>F23+H23</f>
        <v>58.266587872221677</v>
      </c>
      <c r="J23" s="65">
        <f>I23*E23</f>
        <v>11653.317574444336</v>
      </c>
      <c r="K23" s="66">
        <v>69</v>
      </c>
      <c r="L23" s="63">
        <f t="shared" si="9"/>
        <v>13800</v>
      </c>
      <c r="M23" s="63">
        <f t="shared" si="6"/>
        <v>12213</v>
      </c>
      <c r="N23" s="67">
        <f t="shared" si="7"/>
        <v>0</v>
      </c>
      <c r="O23" s="57">
        <v>0</v>
      </c>
      <c r="P23" s="57">
        <v>23</v>
      </c>
      <c r="Q23" s="57">
        <v>177</v>
      </c>
      <c r="R23" s="26">
        <v>0</v>
      </c>
      <c r="S23" s="26">
        <v>0</v>
      </c>
      <c r="T23" s="26">
        <v>0</v>
      </c>
      <c r="U23" s="26">
        <v>0</v>
      </c>
      <c r="V23" s="26">
        <v>0</v>
      </c>
      <c r="W23" s="26">
        <v>0</v>
      </c>
      <c r="X23" s="26">
        <v>0</v>
      </c>
      <c r="Y23" s="26">
        <v>0</v>
      </c>
      <c r="Z23" s="26">
        <v>0</v>
      </c>
      <c r="AA23" s="26">
        <v>0</v>
      </c>
      <c r="AB23" s="26">
        <v>0</v>
      </c>
      <c r="AC23" s="26">
        <v>0</v>
      </c>
      <c r="AD23" s="26">
        <v>0</v>
      </c>
      <c r="AE23" s="26">
        <v>0</v>
      </c>
      <c r="AF23" s="26">
        <v>0</v>
      </c>
      <c r="AG23" s="26">
        <v>0</v>
      </c>
      <c r="AH23" s="26">
        <v>0</v>
      </c>
      <c r="AI23" s="26">
        <v>0</v>
      </c>
      <c r="AJ23" s="26">
        <v>0</v>
      </c>
      <c r="AK23" s="26">
        <v>0</v>
      </c>
      <c r="AL23" s="26">
        <v>0</v>
      </c>
      <c r="AM23" s="26">
        <v>0</v>
      </c>
      <c r="AN23" s="26">
        <v>0</v>
      </c>
      <c r="AO23" s="26">
        <v>0</v>
      </c>
      <c r="AP23" s="26">
        <v>0</v>
      </c>
      <c r="AQ23" s="26">
        <v>0</v>
      </c>
      <c r="AR23" s="26">
        <v>0</v>
      </c>
      <c r="AS23" s="26">
        <v>0</v>
      </c>
      <c r="AT23" s="26">
        <v>0</v>
      </c>
      <c r="AU23" s="26">
        <v>0</v>
      </c>
      <c r="AV23" s="26">
        <v>0</v>
      </c>
      <c r="AX23" s="58">
        <f t="shared" si="8"/>
        <v>0</v>
      </c>
    </row>
    <row r="24" spans="1:50" ht="18" x14ac:dyDescent="0.25">
      <c r="A24" s="58">
        <f t="shared" si="1"/>
        <v>0</v>
      </c>
      <c r="B24" s="6">
        <v>20</v>
      </c>
      <c r="C24" s="60" t="s">
        <v>131</v>
      </c>
      <c r="D24" s="61">
        <v>0.5</v>
      </c>
      <c r="E24" s="18">
        <v>47</v>
      </c>
      <c r="F24" s="62">
        <v>63</v>
      </c>
      <c r="G24" s="63">
        <f>F24*E24</f>
        <v>2961</v>
      </c>
      <c r="H24" s="64">
        <f t="shared" si="3"/>
        <v>0.28956958534423322</v>
      </c>
      <c r="I24" s="134">
        <f>F24+H24</f>
        <v>63.289569585344232</v>
      </c>
      <c r="J24" s="65">
        <f>I24*E24</f>
        <v>2974.6097705111788</v>
      </c>
      <c r="K24" s="66">
        <v>76</v>
      </c>
      <c r="L24" s="63">
        <f t="shared" si="9"/>
        <v>3572</v>
      </c>
      <c r="M24" s="63">
        <f t="shared" si="6"/>
        <v>3268</v>
      </c>
      <c r="N24" s="67">
        <f t="shared" si="7"/>
        <v>0</v>
      </c>
      <c r="O24" s="57">
        <v>0</v>
      </c>
      <c r="P24" s="57">
        <v>4</v>
      </c>
      <c r="Q24" s="57">
        <v>43</v>
      </c>
      <c r="R24" s="26">
        <v>0</v>
      </c>
      <c r="S24" s="26">
        <v>0</v>
      </c>
      <c r="T24" s="26">
        <v>0</v>
      </c>
      <c r="U24" s="26">
        <v>0</v>
      </c>
      <c r="V24" s="26">
        <v>0</v>
      </c>
      <c r="W24" s="26">
        <v>0</v>
      </c>
      <c r="X24" s="26">
        <v>0</v>
      </c>
      <c r="Y24" s="26">
        <v>0</v>
      </c>
      <c r="Z24" s="26">
        <v>0</v>
      </c>
      <c r="AA24" s="26">
        <v>0</v>
      </c>
      <c r="AB24" s="26">
        <v>0</v>
      </c>
      <c r="AC24" s="26">
        <v>0</v>
      </c>
      <c r="AD24" s="26">
        <v>0</v>
      </c>
      <c r="AE24" s="26">
        <v>0</v>
      </c>
      <c r="AF24" s="26">
        <v>0</v>
      </c>
      <c r="AG24" s="26">
        <v>0</v>
      </c>
      <c r="AH24" s="26">
        <v>0</v>
      </c>
      <c r="AI24" s="26">
        <v>0</v>
      </c>
      <c r="AJ24" s="26">
        <v>0</v>
      </c>
      <c r="AK24" s="26">
        <v>0</v>
      </c>
      <c r="AL24" s="26">
        <v>0</v>
      </c>
      <c r="AM24" s="26">
        <v>0</v>
      </c>
      <c r="AN24" s="26">
        <v>0</v>
      </c>
      <c r="AO24" s="26">
        <v>0</v>
      </c>
      <c r="AP24" s="26">
        <v>0</v>
      </c>
      <c r="AQ24" s="26">
        <v>0</v>
      </c>
      <c r="AR24" s="26">
        <v>0</v>
      </c>
      <c r="AS24" s="26">
        <v>0</v>
      </c>
      <c r="AT24" s="26">
        <v>0</v>
      </c>
      <c r="AU24" s="26">
        <v>0</v>
      </c>
      <c r="AV24" s="26">
        <v>0</v>
      </c>
      <c r="AX24" s="58">
        <f t="shared" si="8"/>
        <v>0</v>
      </c>
    </row>
  </sheetData>
  <autoFilter ref="B4:AW24" xr:uid="{00000000-0009-0000-0000-000002000000}"/>
  <mergeCells count="1">
    <mergeCell ref="B1:L1"/>
  </mergeCells>
  <conditionalFormatting sqref="C5:C24">
    <cfRule type="expression" dxfId="778" priority="18">
      <formula>($N5/$E5)&lt;=1/4</formula>
    </cfRule>
  </conditionalFormatting>
  <pageMargins left="0.7" right="0.7" top="0.75" bottom="0.75" header="0.3" footer="0.3"/>
  <pageSetup orientation="portrait" r:id="rId1"/>
  <legacy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0">
    <tabColor rgb="FF00B050"/>
  </sheetPr>
  <dimension ref="A1:AX21"/>
  <sheetViews>
    <sheetView topLeftCell="A2" zoomScale="85" zoomScaleNormal="85" workbookViewId="0">
      <pane xSplit="17" ySplit="3" topLeftCell="AH5" activePane="bottomRight" state="frozen"/>
      <selection activeCell="A2" sqref="A2"/>
      <selection pane="topRight" activeCell="R2" sqref="R2"/>
      <selection pane="bottomLeft" activeCell="A5" sqref="A5"/>
      <selection pane="bottomRight" activeCell="AJ5" sqref="AJ5:AJ15"/>
    </sheetView>
  </sheetViews>
  <sheetFormatPr defaultColWidth="9.09765625" defaultRowHeight="13.8" x14ac:dyDescent="0.25"/>
  <cols>
    <col min="1" max="1" width="16.296875" style="58" customWidth="1"/>
    <col min="2" max="2" width="9.09765625" style="58"/>
    <col min="3" max="3" width="32" style="58" customWidth="1"/>
    <col min="4" max="4" width="10" style="58" customWidth="1"/>
    <col min="5" max="5" width="9.09765625" style="58" customWidth="1"/>
    <col min="6" max="6" width="11.69921875" style="58" bestFit="1" customWidth="1"/>
    <col min="7" max="7" width="8.8984375" style="58" customWidth="1"/>
    <col min="8" max="8" width="13" style="58" hidden="1" customWidth="1"/>
    <col min="9" max="9" width="13.296875" style="58" hidden="1" customWidth="1"/>
    <col min="10" max="10" width="10.8984375" style="58" customWidth="1"/>
    <col min="11" max="11" width="13.3984375" style="58" hidden="1" customWidth="1"/>
    <col min="12" max="12" width="12" style="58" customWidth="1"/>
    <col min="13" max="14" width="16.296875" style="58" hidden="1" customWidth="1"/>
    <col min="15" max="15" width="12.69921875" style="58" customWidth="1"/>
    <col min="16" max="16" width="11.59765625" style="58" customWidth="1"/>
    <col min="17" max="17" width="10.8984375" style="58" customWidth="1"/>
    <col min="18" max="44" width="5.296875" style="58" customWidth="1"/>
    <col min="45" max="45" width="5.8984375" style="58" customWidth="1"/>
    <col min="46" max="48" width="5.296875" style="58" customWidth="1"/>
    <col min="49" max="49" width="9.09765625" style="58"/>
    <col min="50" max="50" width="12" style="58" bestFit="1" customWidth="1"/>
    <col min="51" max="16384" width="9.09765625" style="58"/>
  </cols>
  <sheetData>
    <row r="1" spans="1:50" hidden="1" x14ac:dyDescent="0.25">
      <c r="B1" s="256" t="s">
        <v>51</v>
      </c>
      <c r="C1" s="256"/>
      <c r="D1" s="256"/>
      <c r="E1" s="256"/>
      <c r="F1" s="256"/>
      <c r="G1" s="256"/>
      <c r="H1" s="256"/>
      <c r="I1" s="256"/>
      <c r="J1" s="256"/>
      <c r="K1" s="256"/>
      <c r="L1" s="256"/>
      <c r="M1" s="256"/>
      <c r="N1" s="59"/>
    </row>
    <row r="2" spans="1:50" ht="27.75" customHeight="1" x14ac:dyDescent="0.25">
      <c r="A2" s="1">
        <f>50+50+70+70+70+140+70+30+50+50+50+100+60+120+50+150</f>
        <v>1180</v>
      </c>
      <c r="B2" s="151">
        <f>60+70+100+70+70</f>
        <v>370</v>
      </c>
      <c r="H2" s="153">
        <f>H15</f>
        <v>29250</v>
      </c>
      <c r="K2" s="13">
        <f>SUMPRODUCT((E5:E11)*(F5:F11))</f>
        <v>890.7</v>
      </c>
      <c r="L2" s="13">
        <f>M4-K4</f>
        <v>16483.98381921291</v>
      </c>
      <c r="M2" s="8">
        <f>M4/K4-1</f>
        <v>0.11791475714575972</v>
      </c>
      <c r="N2" s="8"/>
      <c r="O2" s="94">
        <v>183</v>
      </c>
      <c r="P2" s="206"/>
      <c r="Q2" s="158"/>
      <c r="AP2" s="94"/>
      <c r="AW2" s="58">
        <f>-160</f>
        <v>-160</v>
      </c>
      <c r="AX2" s="131"/>
    </row>
    <row r="3" spans="1:50" ht="41.25" customHeight="1" x14ac:dyDescent="0.2">
      <c r="A3" s="50" t="s">
        <v>104</v>
      </c>
      <c r="B3" s="3" t="s">
        <v>0</v>
      </c>
      <c r="C3" s="3" t="s">
        <v>16</v>
      </c>
      <c r="D3" s="17" t="s">
        <v>54</v>
      </c>
      <c r="E3" s="135" t="s">
        <v>125</v>
      </c>
      <c r="F3" s="109" t="s">
        <v>124</v>
      </c>
      <c r="G3" s="4" t="s">
        <v>17</v>
      </c>
      <c r="H3" s="4" t="s">
        <v>18</v>
      </c>
      <c r="I3" s="9" t="s">
        <v>19</v>
      </c>
      <c r="J3" s="9" t="s">
        <v>20</v>
      </c>
      <c r="K3" s="9" t="s">
        <v>23</v>
      </c>
      <c r="L3" s="10" t="s">
        <v>21</v>
      </c>
      <c r="M3" s="11" t="s">
        <v>22</v>
      </c>
      <c r="N3" s="11" t="s">
        <v>103</v>
      </c>
      <c r="O3" s="20" t="s">
        <v>52</v>
      </c>
      <c r="P3" s="56" t="s">
        <v>115</v>
      </c>
      <c r="Q3" s="234" t="s">
        <v>302</v>
      </c>
      <c r="R3" s="21" t="s">
        <v>146</v>
      </c>
      <c r="S3" s="23" t="s">
        <v>147</v>
      </c>
      <c r="T3" s="21" t="s">
        <v>148</v>
      </c>
      <c r="U3" s="23" t="s">
        <v>149</v>
      </c>
      <c r="V3" s="21" t="s">
        <v>150</v>
      </c>
      <c r="W3" s="23" t="s">
        <v>151</v>
      </c>
      <c r="X3" s="21" t="s">
        <v>152</v>
      </c>
      <c r="Y3" s="23" t="s">
        <v>153</v>
      </c>
      <c r="Z3" s="21" t="s">
        <v>154</v>
      </c>
      <c r="AA3" s="23">
        <v>10</v>
      </c>
      <c r="AB3" s="21">
        <v>11</v>
      </c>
      <c r="AC3" s="23">
        <v>12</v>
      </c>
      <c r="AD3" s="21">
        <v>13</v>
      </c>
      <c r="AE3" s="23">
        <v>14</v>
      </c>
      <c r="AF3" s="21">
        <v>15</v>
      </c>
      <c r="AG3" s="23">
        <v>16</v>
      </c>
      <c r="AH3" s="21">
        <v>17</v>
      </c>
      <c r="AI3" s="23">
        <v>18</v>
      </c>
      <c r="AJ3" s="21">
        <v>19</v>
      </c>
      <c r="AK3" s="23">
        <v>20</v>
      </c>
      <c r="AL3" s="21">
        <v>21</v>
      </c>
      <c r="AM3" s="23">
        <v>22</v>
      </c>
      <c r="AN3" s="21">
        <v>23</v>
      </c>
      <c r="AO3" s="23">
        <v>24</v>
      </c>
      <c r="AP3" s="21">
        <v>25</v>
      </c>
      <c r="AQ3" s="23">
        <v>26</v>
      </c>
      <c r="AR3" s="21">
        <v>27</v>
      </c>
      <c r="AS3" s="23">
        <v>28</v>
      </c>
      <c r="AT3" s="21">
        <v>29</v>
      </c>
      <c r="AU3" s="23">
        <v>30</v>
      </c>
      <c r="AV3" s="21">
        <v>31</v>
      </c>
      <c r="AX3" s="58">
        <f>40*30</f>
        <v>1200</v>
      </c>
    </row>
    <row r="4" spans="1:50" s="45" customFormat="1" ht="27" customHeight="1" x14ac:dyDescent="0.25">
      <c r="A4" s="49">
        <f ca="1">SUBTOTAL(9,A5:A21)</f>
        <v>20739.536712680547</v>
      </c>
      <c r="B4" s="16"/>
      <c r="C4" s="16"/>
      <c r="D4" s="46"/>
      <c r="E4" s="16">
        <f>SUMPRODUCT((E5:E21)*(F5:F21))</f>
        <v>1983.45</v>
      </c>
      <c r="F4" s="16">
        <f>SUBTOTAL(9,F5:F21)</f>
        <v>2102.75</v>
      </c>
      <c r="G4" s="7"/>
      <c r="H4" s="7">
        <f>SUBTOTAL(9,H5:H14)</f>
        <v>66719</v>
      </c>
      <c r="I4" s="12"/>
      <c r="J4" s="12"/>
      <c r="K4" s="12">
        <f>SUBTOTAL(9,K5:K21)</f>
        <v>139795.76618078709</v>
      </c>
      <c r="L4" s="47"/>
      <c r="M4" s="7">
        <f>SUBTOTAL(9,M5:M21)</f>
        <v>156279.75</v>
      </c>
      <c r="N4" s="7">
        <f ca="1">SUBTOTAL(9,N5:N21)</f>
        <v>129435</v>
      </c>
      <c r="O4" s="48">
        <f ca="1">SUBTOTAL(9,O5:O15)</f>
        <v>246.5</v>
      </c>
      <c r="P4" s="74">
        <f>SUBTOTAL(9,P5:P15)</f>
        <v>5</v>
      </c>
      <c r="Q4" s="74"/>
      <c r="R4" s="25">
        <f t="shared" ref="R4:AV4" si="0">SUBTOTAL(9,R5:R16)</f>
        <v>1</v>
      </c>
      <c r="S4" s="25">
        <f t="shared" si="0"/>
        <v>0.5</v>
      </c>
      <c r="T4" s="25">
        <f t="shared" si="0"/>
        <v>0</v>
      </c>
      <c r="U4" s="25">
        <f t="shared" si="0"/>
        <v>0</v>
      </c>
      <c r="V4" s="25">
        <f t="shared" si="0"/>
        <v>7</v>
      </c>
      <c r="W4" s="25">
        <f t="shared" si="0"/>
        <v>5</v>
      </c>
      <c r="X4" s="25">
        <f t="shared" si="0"/>
        <v>9</v>
      </c>
      <c r="Y4" s="25">
        <f t="shared" si="0"/>
        <v>4.5</v>
      </c>
      <c r="Z4" s="25">
        <f t="shared" si="0"/>
        <v>0</v>
      </c>
      <c r="AA4" s="25">
        <f t="shared" si="0"/>
        <v>0</v>
      </c>
      <c r="AB4" s="25">
        <f t="shared" si="0"/>
        <v>6</v>
      </c>
      <c r="AC4" s="25">
        <f t="shared" si="0"/>
        <v>1</v>
      </c>
      <c r="AD4" s="25">
        <f t="shared" si="0"/>
        <v>33</v>
      </c>
      <c r="AE4" s="25">
        <f t="shared" si="0"/>
        <v>46</v>
      </c>
      <c r="AF4" s="25">
        <f t="shared" si="0"/>
        <v>13</v>
      </c>
      <c r="AG4" s="25">
        <f t="shared" si="0"/>
        <v>6</v>
      </c>
      <c r="AH4" s="25">
        <f t="shared" si="0"/>
        <v>7.5</v>
      </c>
      <c r="AI4" s="25">
        <f t="shared" si="0"/>
        <v>14</v>
      </c>
      <c r="AJ4" s="25">
        <f t="shared" si="0"/>
        <v>4</v>
      </c>
      <c r="AK4" s="25">
        <f t="shared" ca="1" si="0"/>
        <v>16</v>
      </c>
      <c r="AL4" s="25">
        <f t="shared" si="0"/>
        <v>0</v>
      </c>
      <c r="AM4" s="25">
        <f t="shared" si="0"/>
        <v>0</v>
      </c>
      <c r="AN4" s="25">
        <f t="shared" si="0"/>
        <v>0</v>
      </c>
      <c r="AO4" s="25">
        <f t="shared" si="0"/>
        <v>0</v>
      </c>
      <c r="AP4" s="25">
        <f t="shared" si="0"/>
        <v>0</v>
      </c>
      <c r="AQ4" s="25">
        <f t="shared" si="0"/>
        <v>0</v>
      </c>
      <c r="AR4" s="25">
        <f t="shared" si="0"/>
        <v>0</v>
      </c>
      <c r="AS4" s="25">
        <f t="shared" si="0"/>
        <v>0</v>
      </c>
      <c r="AT4" s="25">
        <f t="shared" si="0"/>
        <v>0</v>
      </c>
      <c r="AU4" s="25">
        <f t="shared" si="0"/>
        <v>0</v>
      </c>
      <c r="AV4" s="25">
        <f t="shared" si="0"/>
        <v>0</v>
      </c>
      <c r="AW4" s="45" t="str">
        <f>SUMPRODUCT(($AW$5:$AW$53)*($E$5:$E$53))&amp;" Kg"</f>
        <v>109.5 Kg</v>
      </c>
      <c r="AX4" s="77">
        <f>SUBTOTAL(9,AX5:AX15)</f>
        <v>8260</v>
      </c>
    </row>
    <row r="5" spans="1:50" ht="25.5" customHeight="1" x14ac:dyDescent="0.25">
      <c r="A5" s="58">
        <f ca="1">J5*O5</f>
        <v>0</v>
      </c>
      <c r="B5" s="6">
        <v>1</v>
      </c>
      <c r="C5" s="60" t="s">
        <v>270</v>
      </c>
      <c r="D5" s="68">
        <v>99</v>
      </c>
      <c r="E5" s="61">
        <v>1.2</v>
      </c>
      <c r="F5" s="61">
        <f>30+15</f>
        <v>45</v>
      </c>
      <c r="G5" s="62">
        <v>99</v>
      </c>
      <c r="H5" s="137">
        <f t="shared" ref="H5:H14" si="1">G5*F5</f>
        <v>4455</v>
      </c>
      <c r="I5" s="207">
        <f>((H5/$H$4)*$A$2)/F5</f>
        <v>1.7509255234640808</v>
      </c>
      <c r="J5" s="207">
        <f t="shared" ref="J5:J14" si="2">G5+I5</f>
        <v>100.75092552346408</v>
      </c>
      <c r="K5" s="65">
        <f>J5*F5</f>
        <v>4533.7916485558835</v>
      </c>
      <c r="L5" s="69">
        <v>110</v>
      </c>
      <c r="M5" s="63">
        <f>L5*F5</f>
        <v>4950</v>
      </c>
      <c r="N5" s="63">
        <f t="shared" ref="N5:N15" ca="1" si="3">SUMPRODUCT(($Q5:$AV5)*$L5)</f>
        <v>4950</v>
      </c>
      <c r="O5" s="70">
        <f t="shared" ref="O5:O15" ca="1" si="4">F5-SUM(Q5:AV5)-P5</f>
        <v>0</v>
      </c>
      <c r="P5" s="159">
        <v>0</v>
      </c>
      <c r="Q5" s="230">
        <v>45</v>
      </c>
      <c r="R5" s="223">
        <v>0</v>
      </c>
      <c r="S5" s="223">
        <v>0</v>
      </c>
      <c r="T5" s="223">
        <v>0</v>
      </c>
      <c r="U5" s="223">
        <v>0</v>
      </c>
      <c r="V5" s="223">
        <v>0</v>
      </c>
      <c r="W5" s="223">
        <v>0</v>
      </c>
      <c r="X5" s="223">
        <v>0</v>
      </c>
      <c r="Y5" s="223">
        <v>0</v>
      </c>
      <c r="Z5" s="223">
        <v>0</v>
      </c>
      <c r="AA5" s="223">
        <v>0</v>
      </c>
      <c r="AB5" s="223">
        <v>0</v>
      </c>
      <c r="AC5" s="223">
        <v>0</v>
      </c>
      <c r="AD5" s="223">
        <v>0</v>
      </c>
      <c r="AE5" s="223">
        <v>0</v>
      </c>
      <c r="AF5" s="223">
        <v>0</v>
      </c>
      <c r="AG5" s="223">
        <v>0</v>
      </c>
      <c r="AH5" s="223">
        <v>0</v>
      </c>
      <c r="AI5" s="223">
        <v>0</v>
      </c>
      <c r="AJ5" s="223">
        <v>0</v>
      </c>
      <c r="AK5" s="223">
        <f ca="1">SUMIFS('Tổng Đơn'!$F:$F,'Tổng Đơn'!$B:$B,$C5)</f>
        <v>0</v>
      </c>
      <c r="AL5" s="223">
        <v>0</v>
      </c>
      <c r="AM5" s="223">
        <v>0</v>
      </c>
      <c r="AN5" s="223">
        <v>0</v>
      </c>
      <c r="AO5" s="223">
        <v>0</v>
      </c>
      <c r="AP5" s="223">
        <v>0</v>
      </c>
      <c r="AQ5" s="223">
        <v>0</v>
      </c>
      <c r="AR5" s="223">
        <v>0</v>
      </c>
      <c r="AS5" s="223">
        <v>0</v>
      </c>
      <c r="AT5" s="223">
        <v>0</v>
      </c>
      <c r="AU5" s="223">
        <v>0</v>
      </c>
      <c r="AV5" s="223">
        <v>0</v>
      </c>
      <c r="AW5" s="58">
        <v>0</v>
      </c>
      <c r="AX5" s="58">
        <f t="shared" ref="AX5:AX15" si="5">AW5*G5</f>
        <v>0</v>
      </c>
    </row>
    <row r="6" spans="1:50" ht="25.5" customHeight="1" x14ac:dyDescent="0.25">
      <c r="A6" s="58">
        <f t="shared" ref="A6:A15" ca="1" si="6">J6*O6</f>
        <v>8548.5633777484672</v>
      </c>
      <c r="B6" s="6">
        <v>2</v>
      </c>
      <c r="C6" s="60" t="s">
        <v>271</v>
      </c>
      <c r="D6" s="68">
        <v>112</v>
      </c>
      <c r="E6" s="61">
        <v>1.5</v>
      </c>
      <c r="F6" s="61">
        <f>15+20+10+20+30+20+20+20+20+10+30+10+60</f>
        <v>285</v>
      </c>
      <c r="G6" s="62">
        <v>112</v>
      </c>
      <c r="H6" s="137">
        <f t="shared" si="1"/>
        <v>31920</v>
      </c>
      <c r="I6" s="207">
        <f t="shared" ref="I6:I14" si="7">((H6/$H$4)*$A$2)/F6</f>
        <v>1.9808450366462327</v>
      </c>
      <c r="J6" s="207">
        <f t="shared" si="2"/>
        <v>113.98084503664623</v>
      </c>
      <c r="K6" s="65">
        <f t="shared" ref="K6:K14" si="8">J6*F6</f>
        <v>32484.540835444175</v>
      </c>
      <c r="L6" s="69">
        <v>122</v>
      </c>
      <c r="M6" s="63">
        <f t="shared" ref="M6:M15" si="9">L6*F6</f>
        <v>34770</v>
      </c>
      <c r="N6" s="63">
        <f t="shared" ca="1" si="3"/>
        <v>25620</v>
      </c>
      <c r="O6" s="70">
        <f t="shared" ca="1" si="4"/>
        <v>75</v>
      </c>
      <c r="P6" s="159"/>
      <c r="Q6" s="230">
        <v>163</v>
      </c>
      <c r="R6" s="223">
        <v>0</v>
      </c>
      <c r="S6" s="223">
        <v>0</v>
      </c>
      <c r="T6" s="223">
        <v>0</v>
      </c>
      <c r="U6" s="223">
        <v>0</v>
      </c>
      <c r="V6" s="223">
        <v>1</v>
      </c>
      <c r="W6" s="223">
        <v>2</v>
      </c>
      <c r="X6" s="223">
        <v>0</v>
      </c>
      <c r="Y6" s="223">
        <v>3</v>
      </c>
      <c r="Z6" s="223">
        <v>0</v>
      </c>
      <c r="AA6" s="223">
        <v>0</v>
      </c>
      <c r="AB6" s="223">
        <v>0</v>
      </c>
      <c r="AC6" s="223">
        <v>1</v>
      </c>
      <c r="AD6" s="223">
        <v>13</v>
      </c>
      <c r="AE6" s="223">
        <v>10</v>
      </c>
      <c r="AF6" s="223">
        <v>1</v>
      </c>
      <c r="AG6" s="223">
        <v>3</v>
      </c>
      <c r="AH6" s="223">
        <v>1</v>
      </c>
      <c r="AI6" s="223">
        <v>3</v>
      </c>
      <c r="AJ6" s="223">
        <v>3</v>
      </c>
      <c r="AK6" s="223">
        <f ca="1">SUMIFS('Tổng Đơn'!$F:$F,'Tổng Đơn'!$B:$B,$C6)</f>
        <v>6</v>
      </c>
      <c r="AL6" s="223">
        <v>0</v>
      </c>
      <c r="AM6" s="223">
        <v>0</v>
      </c>
      <c r="AN6" s="223">
        <v>0</v>
      </c>
      <c r="AO6" s="223">
        <v>0</v>
      </c>
      <c r="AP6" s="223">
        <v>0</v>
      </c>
      <c r="AQ6" s="223">
        <v>0</v>
      </c>
      <c r="AR6" s="223">
        <v>0</v>
      </c>
      <c r="AS6" s="223">
        <v>0</v>
      </c>
      <c r="AT6" s="223">
        <v>0</v>
      </c>
      <c r="AU6" s="223">
        <v>0</v>
      </c>
      <c r="AV6" s="223">
        <v>0</v>
      </c>
      <c r="AW6" s="58">
        <v>60</v>
      </c>
      <c r="AX6" s="58">
        <f t="shared" si="5"/>
        <v>6720</v>
      </c>
    </row>
    <row r="7" spans="1:50" ht="25.5" customHeight="1" x14ac:dyDescent="0.25">
      <c r="A7" s="58">
        <f t="shared" ca="1" si="6"/>
        <v>675.74358128868835</v>
      </c>
      <c r="B7" s="6">
        <v>3</v>
      </c>
      <c r="C7" s="60" t="s">
        <v>272</v>
      </c>
      <c r="D7" s="68">
        <v>83</v>
      </c>
      <c r="E7" s="61">
        <v>1</v>
      </c>
      <c r="F7" s="61">
        <f>10</f>
        <v>10</v>
      </c>
      <c r="G7" s="62">
        <v>83</v>
      </c>
      <c r="H7" s="137">
        <f t="shared" si="1"/>
        <v>830</v>
      </c>
      <c r="I7" s="207">
        <f t="shared" si="7"/>
        <v>1.4679476610860474</v>
      </c>
      <c r="J7" s="207">
        <f t="shared" si="2"/>
        <v>84.467947661086043</v>
      </c>
      <c r="K7" s="65">
        <f t="shared" si="8"/>
        <v>844.67947661086043</v>
      </c>
      <c r="L7" s="69">
        <v>95</v>
      </c>
      <c r="M7" s="63">
        <f t="shared" si="9"/>
        <v>950</v>
      </c>
      <c r="N7" s="63">
        <f t="shared" ca="1" si="3"/>
        <v>190</v>
      </c>
      <c r="O7" s="70">
        <f t="shared" ca="1" si="4"/>
        <v>8</v>
      </c>
      <c r="P7" s="159"/>
      <c r="Q7" s="230">
        <v>2</v>
      </c>
      <c r="R7" s="223">
        <v>0</v>
      </c>
      <c r="S7" s="223">
        <v>0</v>
      </c>
      <c r="T7" s="223">
        <v>0</v>
      </c>
      <c r="U7" s="223">
        <v>0</v>
      </c>
      <c r="V7" s="223">
        <v>0</v>
      </c>
      <c r="W7" s="223">
        <v>0</v>
      </c>
      <c r="X7" s="223">
        <v>0</v>
      </c>
      <c r="Y7" s="223">
        <v>0</v>
      </c>
      <c r="Z7" s="223">
        <v>0</v>
      </c>
      <c r="AA7" s="223">
        <v>0</v>
      </c>
      <c r="AB7" s="223">
        <v>0</v>
      </c>
      <c r="AC7" s="223">
        <v>0</v>
      </c>
      <c r="AD7" s="223">
        <v>0</v>
      </c>
      <c r="AE7" s="223">
        <v>0</v>
      </c>
      <c r="AF7" s="223">
        <v>0</v>
      </c>
      <c r="AG7" s="223">
        <v>0</v>
      </c>
      <c r="AH7" s="223">
        <v>0</v>
      </c>
      <c r="AI7" s="223">
        <v>0</v>
      </c>
      <c r="AJ7" s="223">
        <v>0</v>
      </c>
      <c r="AK7" s="223">
        <f ca="1">SUMIFS('Tổng Đơn'!$F:$F,'Tổng Đơn'!$B:$B,$C7)</f>
        <v>0</v>
      </c>
      <c r="AL7" s="223">
        <v>0</v>
      </c>
      <c r="AM7" s="223">
        <v>0</v>
      </c>
      <c r="AN7" s="223">
        <v>0</v>
      </c>
      <c r="AO7" s="223">
        <v>0</v>
      </c>
      <c r="AP7" s="223">
        <v>0</v>
      </c>
      <c r="AQ7" s="223">
        <v>0</v>
      </c>
      <c r="AR7" s="223">
        <v>0</v>
      </c>
      <c r="AS7" s="223">
        <v>0</v>
      </c>
      <c r="AT7" s="223">
        <v>0</v>
      </c>
      <c r="AU7" s="223">
        <v>0</v>
      </c>
      <c r="AV7" s="223">
        <v>0</v>
      </c>
      <c r="AW7" s="58">
        <v>0</v>
      </c>
      <c r="AX7" s="58">
        <f t="shared" si="5"/>
        <v>0</v>
      </c>
    </row>
    <row r="8" spans="1:50" ht="25.5" customHeight="1" x14ac:dyDescent="0.25">
      <c r="A8" s="58">
        <f t="shared" ca="1" si="6"/>
        <v>1781.9683898139961</v>
      </c>
      <c r="B8" s="6">
        <v>4</v>
      </c>
      <c r="C8" s="60" t="s">
        <v>286</v>
      </c>
      <c r="D8" s="68">
        <v>103</v>
      </c>
      <c r="E8" s="61">
        <v>1.2</v>
      </c>
      <c r="F8" s="61">
        <f>5+5+5+5+5+6+5+10</f>
        <v>46</v>
      </c>
      <c r="G8" s="62">
        <v>103</v>
      </c>
      <c r="H8" s="137">
        <f t="shared" si="1"/>
        <v>4738</v>
      </c>
      <c r="I8" s="207">
        <f t="shared" si="7"/>
        <v>1.821669989058589</v>
      </c>
      <c r="J8" s="207">
        <f t="shared" si="2"/>
        <v>104.82166998905859</v>
      </c>
      <c r="K8" s="65">
        <f t="shared" si="8"/>
        <v>4821.7968194966952</v>
      </c>
      <c r="L8" s="69">
        <v>116</v>
      </c>
      <c r="M8" s="63">
        <f t="shared" si="9"/>
        <v>5336</v>
      </c>
      <c r="N8" s="63">
        <f t="shared" ca="1" si="3"/>
        <v>3364</v>
      </c>
      <c r="O8" s="70">
        <f t="shared" ca="1" si="4"/>
        <v>17</v>
      </c>
      <c r="P8" s="159"/>
      <c r="Q8" s="230">
        <v>19</v>
      </c>
      <c r="R8" s="223">
        <v>0</v>
      </c>
      <c r="S8" s="223">
        <v>0</v>
      </c>
      <c r="T8" s="223">
        <v>0</v>
      </c>
      <c r="U8" s="223">
        <v>0</v>
      </c>
      <c r="V8" s="223">
        <v>0</v>
      </c>
      <c r="W8" s="223">
        <v>0</v>
      </c>
      <c r="X8" s="223">
        <v>2</v>
      </c>
      <c r="Y8" s="223">
        <v>0</v>
      </c>
      <c r="Z8" s="223">
        <v>0</v>
      </c>
      <c r="AA8" s="223">
        <v>0</v>
      </c>
      <c r="AB8" s="223">
        <v>0</v>
      </c>
      <c r="AC8" s="223">
        <v>0</v>
      </c>
      <c r="AD8" s="223">
        <v>3</v>
      </c>
      <c r="AE8" s="223">
        <v>0</v>
      </c>
      <c r="AF8" s="223">
        <v>0</v>
      </c>
      <c r="AG8" s="223">
        <v>0</v>
      </c>
      <c r="AH8" s="223">
        <v>0</v>
      </c>
      <c r="AI8" s="223">
        <v>5</v>
      </c>
      <c r="AJ8" s="223">
        <v>0</v>
      </c>
      <c r="AK8" s="223">
        <f ca="1">SUMIFS('Tổng Đơn'!$F:$F,'Tổng Đơn'!$B:$B,$C8)</f>
        <v>0</v>
      </c>
      <c r="AL8" s="223">
        <v>0</v>
      </c>
      <c r="AM8" s="223">
        <v>0</v>
      </c>
      <c r="AN8" s="223">
        <v>0</v>
      </c>
      <c r="AO8" s="223">
        <v>0</v>
      </c>
      <c r="AP8" s="223">
        <v>0</v>
      </c>
      <c r="AQ8" s="223">
        <v>0</v>
      </c>
      <c r="AR8" s="223">
        <v>0</v>
      </c>
      <c r="AS8" s="223">
        <v>0</v>
      </c>
      <c r="AT8" s="223">
        <v>0</v>
      </c>
      <c r="AU8" s="223">
        <v>0</v>
      </c>
      <c r="AV8" s="223">
        <v>0</v>
      </c>
      <c r="AW8" s="58">
        <v>10</v>
      </c>
      <c r="AX8" s="58">
        <f t="shared" si="5"/>
        <v>1030</v>
      </c>
    </row>
    <row r="9" spans="1:50" ht="25.5" customHeight="1" x14ac:dyDescent="0.25">
      <c r="A9" s="58">
        <f t="shared" ca="1" si="6"/>
        <v>0</v>
      </c>
      <c r="B9" s="6">
        <v>5</v>
      </c>
      <c r="C9" s="60" t="s">
        <v>273</v>
      </c>
      <c r="D9" s="68">
        <v>80</v>
      </c>
      <c r="E9" s="61">
        <v>0.5</v>
      </c>
      <c r="F9" s="61">
        <f>5+10+8+10+10+10+5+10</f>
        <v>68</v>
      </c>
      <c r="G9" s="62">
        <v>40</v>
      </c>
      <c r="H9" s="137">
        <f t="shared" si="1"/>
        <v>2720</v>
      </c>
      <c r="I9" s="207">
        <f t="shared" si="7"/>
        <v>0.7074446559450831</v>
      </c>
      <c r="J9" s="207">
        <f t="shared" si="2"/>
        <v>40.707444655945082</v>
      </c>
      <c r="K9" s="65">
        <f t="shared" si="8"/>
        <v>2768.1062366042656</v>
      </c>
      <c r="L9" s="69">
        <v>48</v>
      </c>
      <c r="M9" s="63">
        <f t="shared" si="9"/>
        <v>3264</v>
      </c>
      <c r="N9" s="63">
        <f t="shared" ca="1" si="3"/>
        <v>3120</v>
      </c>
      <c r="O9" s="70">
        <f t="shared" ca="1" si="4"/>
        <v>0</v>
      </c>
      <c r="P9" s="193">
        <v>3</v>
      </c>
      <c r="Q9" s="230">
        <v>60</v>
      </c>
      <c r="R9" s="223">
        <v>0</v>
      </c>
      <c r="S9" s="223">
        <v>0</v>
      </c>
      <c r="T9" s="223">
        <v>0</v>
      </c>
      <c r="U9" s="223">
        <v>0</v>
      </c>
      <c r="V9" s="223">
        <v>5</v>
      </c>
      <c r="W9" s="223">
        <v>0</v>
      </c>
      <c r="X9" s="223">
        <v>0</v>
      </c>
      <c r="Y9" s="223">
        <v>0</v>
      </c>
      <c r="Z9" s="223">
        <v>0</v>
      </c>
      <c r="AA9" s="223">
        <v>0</v>
      </c>
      <c r="AB9" s="223">
        <v>0</v>
      </c>
      <c r="AC9" s="223">
        <v>0</v>
      </c>
      <c r="AD9" s="223">
        <v>0</v>
      </c>
      <c r="AE9" s="223">
        <v>0</v>
      </c>
      <c r="AF9" s="223">
        <v>0</v>
      </c>
      <c r="AG9" s="223">
        <v>0</v>
      </c>
      <c r="AH9" s="223">
        <v>0</v>
      </c>
      <c r="AI9" s="223">
        <v>0</v>
      </c>
      <c r="AJ9" s="223">
        <v>0</v>
      </c>
      <c r="AK9" s="223">
        <f ca="1">SUMIFS('Tổng Đơn'!$F:$F,'Tổng Đơn'!$B:$B,$C9)</f>
        <v>0</v>
      </c>
      <c r="AL9" s="223">
        <v>0</v>
      </c>
      <c r="AM9" s="223">
        <v>0</v>
      </c>
      <c r="AN9" s="223">
        <v>0</v>
      </c>
      <c r="AO9" s="223">
        <v>0</v>
      </c>
      <c r="AP9" s="223">
        <v>0</v>
      </c>
      <c r="AQ9" s="223">
        <v>0</v>
      </c>
      <c r="AR9" s="223">
        <v>0</v>
      </c>
      <c r="AS9" s="223">
        <v>0</v>
      </c>
      <c r="AT9" s="223">
        <v>0</v>
      </c>
      <c r="AU9" s="223">
        <v>0</v>
      </c>
      <c r="AV9" s="223">
        <v>0</v>
      </c>
      <c r="AW9" s="58">
        <v>0</v>
      </c>
      <c r="AX9" s="58">
        <f t="shared" si="5"/>
        <v>0</v>
      </c>
    </row>
    <row r="10" spans="1:50" ht="25.5" customHeight="1" x14ac:dyDescent="0.25">
      <c r="A10" s="58">
        <f t="shared" ca="1" si="6"/>
        <v>899.63452689638643</v>
      </c>
      <c r="B10" s="6">
        <v>6</v>
      </c>
      <c r="C10" s="60" t="s">
        <v>274</v>
      </c>
      <c r="D10" s="68">
        <v>68</v>
      </c>
      <c r="E10" s="61">
        <v>0.5</v>
      </c>
      <c r="F10" s="61">
        <f>20+15+30+15</f>
        <v>80</v>
      </c>
      <c r="G10" s="62">
        <v>34</v>
      </c>
      <c r="H10" s="137">
        <f t="shared" si="1"/>
        <v>2720</v>
      </c>
      <c r="I10" s="207">
        <f t="shared" si="7"/>
        <v>0.60132795755332069</v>
      </c>
      <c r="J10" s="207">
        <f t="shared" si="2"/>
        <v>34.601327957553323</v>
      </c>
      <c r="K10" s="65">
        <f t="shared" si="8"/>
        <v>2768.1062366042661</v>
      </c>
      <c r="L10" s="69">
        <v>43</v>
      </c>
      <c r="M10" s="63">
        <f t="shared" si="9"/>
        <v>3440</v>
      </c>
      <c r="N10" s="63">
        <f t="shared" ca="1" si="3"/>
        <v>2279</v>
      </c>
      <c r="O10" s="70">
        <f t="shared" ca="1" si="4"/>
        <v>26</v>
      </c>
      <c r="P10" s="159">
        <v>1</v>
      </c>
      <c r="Q10" s="230">
        <v>26</v>
      </c>
      <c r="R10" s="223">
        <v>0</v>
      </c>
      <c r="S10" s="223">
        <v>0</v>
      </c>
      <c r="T10" s="223">
        <v>0</v>
      </c>
      <c r="U10" s="223">
        <v>0</v>
      </c>
      <c r="V10" s="223">
        <v>1</v>
      </c>
      <c r="W10" s="223">
        <v>0</v>
      </c>
      <c r="X10" s="223">
        <v>4</v>
      </c>
      <c r="Y10" s="223">
        <v>0</v>
      </c>
      <c r="Z10" s="223">
        <v>0</v>
      </c>
      <c r="AA10" s="223">
        <v>0</v>
      </c>
      <c r="AB10" s="223">
        <v>3</v>
      </c>
      <c r="AC10" s="223">
        <v>0</v>
      </c>
      <c r="AD10" s="223">
        <v>3</v>
      </c>
      <c r="AE10" s="223">
        <v>11</v>
      </c>
      <c r="AF10" s="223">
        <v>0</v>
      </c>
      <c r="AG10" s="223">
        <v>1</v>
      </c>
      <c r="AH10" s="223">
        <v>1</v>
      </c>
      <c r="AI10" s="223">
        <v>0</v>
      </c>
      <c r="AJ10" s="223">
        <v>0</v>
      </c>
      <c r="AK10" s="223">
        <f ca="1">SUMIFS('Tổng Đơn'!$F:$F,'Tổng Đơn'!$B:$B,$C10)</f>
        <v>3</v>
      </c>
      <c r="AL10" s="223">
        <v>0</v>
      </c>
      <c r="AM10" s="223">
        <v>0</v>
      </c>
      <c r="AN10" s="223">
        <v>0</v>
      </c>
      <c r="AO10" s="223">
        <v>0</v>
      </c>
      <c r="AP10" s="223">
        <v>0</v>
      </c>
      <c r="AQ10" s="223">
        <v>0</v>
      </c>
      <c r="AR10" s="223">
        <v>0</v>
      </c>
      <c r="AS10" s="223">
        <v>0</v>
      </c>
      <c r="AT10" s="223">
        <v>0</v>
      </c>
      <c r="AU10" s="223">
        <v>0</v>
      </c>
      <c r="AV10" s="223">
        <v>0</v>
      </c>
      <c r="AW10" s="58">
        <v>15</v>
      </c>
      <c r="AX10" s="58">
        <f t="shared" si="5"/>
        <v>510</v>
      </c>
    </row>
    <row r="11" spans="1:50" ht="25.5" customHeight="1" x14ac:dyDescent="0.25">
      <c r="A11" s="58">
        <f t="shared" ca="1" si="6"/>
        <v>1416.6190740268889</v>
      </c>
      <c r="B11" s="6">
        <v>7</v>
      </c>
      <c r="C11" s="60" t="s">
        <v>267</v>
      </c>
      <c r="D11" s="68">
        <v>58</v>
      </c>
      <c r="E11" s="61">
        <v>1</v>
      </c>
      <c r="F11" s="61">
        <f>20+30+50+70+50+20+30</f>
        <v>270</v>
      </c>
      <c r="G11" s="62">
        <v>58</v>
      </c>
      <c r="H11" s="137">
        <f t="shared" si="1"/>
        <v>15660</v>
      </c>
      <c r="I11" s="207">
        <f t="shared" si="7"/>
        <v>1.0257947511203704</v>
      </c>
      <c r="J11" s="207">
        <f t="shared" si="2"/>
        <v>59.025794751120372</v>
      </c>
      <c r="K11" s="65">
        <f t="shared" si="8"/>
        <v>15936.9645828025</v>
      </c>
      <c r="L11" s="69">
        <v>65</v>
      </c>
      <c r="M11" s="63">
        <f t="shared" si="9"/>
        <v>17550</v>
      </c>
      <c r="N11" s="63">
        <f t="shared" ca="1" si="3"/>
        <v>15990</v>
      </c>
      <c r="O11" s="70">
        <f t="shared" ca="1" si="4"/>
        <v>24</v>
      </c>
      <c r="P11" s="159">
        <v>0</v>
      </c>
      <c r="Q11" s="230">
        <v>190</v>
      </c>
      <c r="R11" s="223">
        <v>0</v>
      </c>
      <c r="S11" s="223">
        <v>0</v>
      </c>
      <c r="T11" s="223">
        <v>0</v>
      </c>
      <c r="U11" s="223">
        <v>0</v>
      </c>
      <c r="V11" s="223">
        <v>0</v>
      </c>
      <c r="W11" s="223">
        <v>1</v>
      </c>
      <c r="X11" s="223">
        <v>3</v>
      </c>
      <c r="Y11" s="223">
        <v>1</v>
      </c>
      <c r="Z11" s="223">
        <v>0</v>
      </c>
      <c r="AA11" s="223">
        <v>0</v>
      </c>
      <c r="AB11" s="223">
        <v>1</v>
      </c>
      <c r="AC11" s="223">
        <v>0</v>
      </c>
      <c r="AD11" s="223">
        <v>12</v>
      </c>
      <c r="AE11" s="223">
        <v>16</v>
      </c>
      <c r="AF11" s="223">
        <v>10</v>
      </c>
      <c r="AG11" s="223">
        <v>0</v>
      </c>
      <c r="AH11" s="223">
        <v>1</v>
      </c>
      <c r="AI11" s="223">
        <v>6</v>
      </c>
      <c r="AJ11" s="223">
        <v>0</v>
      </c>
      <c r="AK11" s="223">
        <f ca="1">SUMIFS('Tổng Đơn'!$F:$F,'Tổng Đơn'!$B:$B,$C11)</f>
        <v>5</v>
      </c>
      <c r="AL11" s="223">
        <v>0</v>
      </c>
      <c r="AM11" s="223">
        <v>0</v>
      </c>
      <c r="AN11" s="223">
        <v>0</v>
      </c>
      <c r="AO11" s="223">
        <v>0</v>
      </c>
      <c r="AP11" s="223">
        <v>0</v>
      </c>
      <c r="AQ11" s="223">
        <v>0</v>
      </c>
      <c r="AR11" s="223">
        <v>0</v>
      </c>
      <c r="AS11" s="223">
        <v>0</v>
      </c>
      <c r="AT11" s="223">
        <v>0</v>
      </c>
      <c r="AU11" s="223">
        <v>0</v>
      </c>
      <c r="AV11" s="223">
        <v>0</v>
      </c>
      <c r="AW11" s="58">
        <v>0</v>
      </c>
      <c r="AX11" s="58">
        <f t="shared" si="5"/>
        <v>0</v>
      </c>
    </row>
    <row r="12" spans="1:50" ht="25.5" customHeight="1" x14ac:dyDescent="0.25">
      <c r="A12" s="58">
        <f t="shared" ca="1" si="6"/>
        <v>363.82278661250922</v>
      </c>
      <c r="B12" s="6">
        <v>8</v>
      </c>
      <c r="C12" s="60" t="s">
        <v>297</v>
      </c>
      <c r="D12" s="68">
        <v>65</v>
      </c>
      <c r="E12" s="61">
        <v>0.5</v>
      </c>
      <c r="F12" s="61">
        <f>30+10</f>
        <v>40</v>
      </c>
      <c r="G12" s="62">
        <v>32.5</v>
      </c>
      <c r="H12" s="137">
        <f t="shared" ref="H12" si="10">G12*F12</f>
        <v>1300</v>
      </c>
      <c r="I12" s="207">
        <f t="shared" ref="I12" si="11">((H12/$H$4)*$A$2)/F12</f>
        <v>0.57479878295538001</v>
      </c>
      <c r="J12" s="207">
        <f>G12+I12</f>
        <v>33.074798782955384</v>
      </c>
      <c r="K12" s="65">
        <f t="shared" ref="K12" si="12">J12*F12</f>
        <v>1322.9919513182153</v>
      </c>
      <c r="L12" s="69">
        <v>45</v>
      </c>
      <c r="M12" s="63">
        <f t="shared" ref="M12" si="13">L12*F12</f>
        <v>1800</v>
      </c>
      <c r="N12" s="63">
        <f t="shared" ca="1" si="3"/>
        <v>1305</v>
      </c>
      <c r="O12" s="70">
        <f t="shared" ca="1" si="4"/>
        <v>11</v>
      </c>
      <c r="P12" s="159"/>
      <c r="Q12" s="230">
        <v>17</v>
      </c>
      <c r="R12" s="223">
        <v>1</v>
      </c>
      <c r="S12" s="223">
        <v>0</v>
      </c>
      <c r="T12" s="223">
        <v>0</v>
      </c>
      <c r="U12" s="223">
        <v>0</v>
      </c>
      <c r="V12" s="223">
        <v>0</v>
      </c>
      <c r="W12" s="223">
        <v>2</v>
      </c>
      <c r="X12" s="223">
        <v>0</v>
      </c>
      <c r="Y12" s="223">
        <v>0</v>
      </c>
      <c r="Z12" s="223">
        <v>0</v>
      </c>
      <c r="AA12" s="223">
        <v>0</v>
      </c>
      <c r="AB12" s="223">
        <v>0</v>
      </c>
      <c r="AC12" s="223">
        <v>0</v>
      </c>
      <c r="AD12" s="223">
        <v>2</v>
      </c>
      <c r="AE12" s="223">
        <v>0</v>
      </c>
      <c r="AF12" s="223">
        <v>2</v>
      </c>
      <c r="AG12" s="223">
        <v>1</v>
      </c>
      <c r="AH12" s="223">
        <v>3</v>
      </c>
      <c r="AI12" s="223">
        <v>0</v>
      </c>
      <c r="AJ12" s="223">
        <v>0</v>
      </c>
      <c r="AK12" s="223">
        <f ca="1">SUMIFS('Tổng Đơn'!$F:$F,'Tổng Đơn'!$B:$B,$C12)</f>
        <v>1</v>
      </c>
      <c r="AL12" s="223">
        <v>0</v>
      </c>
      <c r="AM12" s="223">
        <v>0</v>
      </c>
      <c r="AN12" s="223">
        <v>0</v>
      </c>
      <c r="AO12" s="223">
        <v>0</v>
      </c>
      <c r="AP12" s="223">
        <v>0</v>
      </c>
      <c r="AQ12" s="223">
        <v>0</v>
      </c>
      <c r="AR12" s="223">
        <v>0</v>
      </c>
      <c r="AS12" s="223">
        <v>0</v>
      </c>
      <c r="AT12" s="223">
        <v>0</v>
      </c>
      <c r="AU12" s="223">
        <v>0</v>
      </c>
      <c r="AV12" s="223">
        <v>0</v>
      </c>
      <c r="AW12" s="58">
        <v>0</v>
      </c>
      <c r="AX12" s="58">
        <f t="shared" si="5"/>
        <v>0</v>
      </c>
    </row>
    <row r="13" spans="1:50" ht="25.5" customHeight="1" x14ac:dyDescent="0.25">
      <c r="A13" s="58">
        <f t="shared" ca="1" si="6"/>
        <v>0</v>
      </c>
      <c r="B13" s="6">
        <v>9</v>
      </c>
      <c r="C13" s="60" t="s">
        <v>276</v>
      </c>
      <c r="D13" s="68">
        <v>58</v>
      </c>
      <c r="E13" s="61">
        <v>0.5</v>
      </c>
      <c r="F13" s="61">
        <f>24</f>
        <v>24</v>
      </c>
      <c r="G13" s="62">
        <v>29</v>
      </c>
      <c r="H13" s="137">
        <f t="shared" si="1"/>
        <v>696</v>
      </c>
      <c r="I13" s="207">
        <f t="shared" si="7"/>
        <v>0.51289737556018522</v>
      </c>
      <c r="J13" s="207">
        <f t="shared" si="2"/>
        <v>29.512897375560186</v>
      </c>
      <c r="K13" s="65">
        <f t="shared" si="8"/>
        <v>708.30953701344447</v>
      </c>
      <c r="L13" s="69">
        <v>40</v>
      </c>
      <c r="M13" s="63">
        <f t="shared" si="9"/>
        <v>960</v>
      </c>
      <c r="N13" s="63">
        <f t="shared" ca="1" si="3"/>
        <v>960</v>
      </c>
      <c r="O13" s="70">
        <f t="shared" ca="1" si="4"/>
        <v>0</v>
      </c>
      <c r="P13" s="159"/>
      <c r="Q13" s="230">
        <v>22</v>
      </c>
      <c r="R13" s="223">
        <v>0</v>
      </c>
      <c r="S13" s="223">
        <v>0</v>
      </c>
      <c r="T13" s="223">
        <v>0</v>
      </c>
      <c r="U13" s="223">
        <v>0</v>
      </c>
      <c r="V13" s="223">
        <v>0</v>
      </c>
      <c r="W13" s="223">
        <v>0</v>
      </c>
      <c r="X13" s="223">
        <v>0</v>
      </c>
      <c r="Y13" s="223">
        <v>0</v>
      </c>
      <c r="Z13" s="223">
        <v>0</v>
      </c>
      <c r="AA13" s="223">
        <v>0</v>
      </c>
      <c r="AB13" s="223">
        <v>1</v>
      </c>
      <c r="AC13" s="223">
        <v>0</v>
      </c>
      <c r="AD13" s="223">
        <v>0</v>
      </c>
      <c r="AE13" s="223">
        <v>0</v>
      </c>
      <c r="AF13" s="223">
        <v>0</v>
      </c>
      <c r="AG13" s="223">
        <v>1</v>
      </c>
      <c r="AH13" s="223">
        <v>0</v>
      </c>
      <c r="AI13" s="223">
        <v>0</v>
      </c>
      <c r="AJ13" s="223">
        <v>0</v>
      </c>
      <c r="AK13" s="223">
        <f ca="1">SUMIFS('Tổng Đơn'!$F:$F,'Tổng Đơn'!$B:$B,$C13)</f>
        <v>0</v>
      </c>
      <c r="AL13" s="223">
        <v>0</v>
      </c>
      <c r="AM13" s="223">
        <v>0</v>
      </c>
      <c r="AN13" s="223">
        <v>0</v>
      </c>
      <c r="AO13" s="223">
        <v>0</v>
      </c>
      <c r="AP13" s="223">
        <v>0</v>
      </c>
      <c r="AQ13" s="223">
        <v>0</v>
      </c>
      <c r="AR13" s="223">
        <v>0</v>
      </c>
      <c r="AS13" s="223">
        <v>0</v>
      </c>
      <c r="AT13" s="223">
        <v>0</v>
      </c>
      <c r="AU13" s="223">
        <v>0</v>
      </c>
      <c r="AV13" s="223">
        <v>0</v>
      </c>
      <c r="AW13" s="58">
        <v>0</v>
      </c>
      <c r="AX13" s="58">
        <f t="shared" si="5"/>
        <v>0</v>
      </c>
    </row>
    <row r="14" spans="1:50" ht="25.5" customHeight="1" x14ac:dyDescent="0.25">
      <c r="A14" s="58">
        <f t="shared" ca="1" si="6"/>
        <v>783.61830962694285</v>
      </c>
      <c r="B14" s="6">
        <v>10</v>
      </c>
      <c r="C14" s="60" t="s">
        <v>275</v>
      </c>
      <c r="D14" s="68">
        <v>70</v>
      </c>
      <c r="E14" s="61">
        <v>0.5</v>
      </c>
      <c r="F14" s="61">
        <f>24+24</f>
        <v>48</v>
      </c>
      <c r="G14" s="62">
        <v>35</v>
      </c>
      <c r="H14" s="137">
        <f t="shared" si="1"/>
        <v>1680</v>
      </c>
      <c r="I14" s="207">
        <f t="shared" si="7"/>
        <v>0.61901407395194774</v>
      </c>
      <c r="J14" s="207">
        <f t="shared" si="2"/>
        <v>35.619014073951945</v>
      </c>
      <c r="K14" s="65">
        <f t="shared" si="8"/>
        <v>1709.7126755496934</v>
      </c>
      <c r="L14" s="69">
        <v>42</v>
      </c>
      <c r="M14" s="63">
        <f t="shared" si="9"/>
        <v>2016</v>
      </c>
      <c r="N14" s="63">
        <f t="shared" ca="1" si="3"/>
        <v>1092</v>
      </c>
      <c r="O14" s="70">
        <f t="shared" ca="1" si="4"/>
        <v>22</v>
      </c>
      <c r="P14" s="159"/>
      <c r="Q14" s="230">
        <v>24</v>
      </c>
      <c r="R14" s="223">
        <v>0</v>
      </c>
      <c r="S14" s="223">
        <v>0</v>
      </c>
      <c r="T14" s="223">
        <v>0</v>
      </c>
      <c r="U14" s="223">
        <v>0</v>
      </c>
      <c r="V14" s="223">
        <v>0</v>
      </c>
      <c r="W14" s="223">
        <v>0</v>
      </c>
      <c r="X14" s="223">
        <v>0</v>
      </c>
      <c r="Y14" s="223">
        <v>0</v>
      </c>
      <c r="Z14" s="223">
        <v>0</v>
      </c>
      <c r="AA14" s="223">
        <v>0</v>
      </c>
      <c r="AB14" s="223">
        <v>1</v>
      </c>
      <c r="AC14" s="223">
        <v>0</v>
      </c>
      <c r="AD14" s="223">
        <v>0</v>
      </c>
      <c r="AE14" s="223">
        <v>0</v>
      </c>
      <c r="AF14" s="223">
        <v>0</v>
      </c>
      <c r="AG14" s="223">
        <v>0</v>
      </c>
      <c r="AH14" s="223">
        <v>1</v>
      </c>
      <c r="AI14" s="223">
        <v>0</v>
      </c>
      <c r="AJ14" s="223">
        <v>0</v>
      </c>
      <c r="AK14" s="223">
        <f ca="1">SUMIFS('Tổng Đơn'!$F:$F,'Tổng Đơn'!$B:$B,$C14)</f>
        <v>0</v>
      </c>
      <c r="AL14" s="223">
        <v>0</v>
      </c>
      <c r="AM14" s="223">
        <v>0</v>
      </c>
      <c r="AN14" s="223">
        <v>0</v>
      </c>
      <c r="AO14" s="223">
        <v>0</v>
      </c>
      <c r="AP14" s="223">
        <v>0</v>
      </c>
      <c r="AQ14" s="223">
        <v>0</v>
      </c>
      <c r="AR14" s="223">
        <v>0</v>
      </c>
      <c r="AS14" s="223">
        <v>0</v>
      </c>
      <c r="AT14" s="223">
        <v>0</v>
      </c>
      <c r="AU14" s="223">
        <v>0</v>
      </c>
      <c r="AV14" s="223">
        <v>0</v>
      </c>
      <c r="AW14" s="58">
        <v>0</v>
      </c>
      <c r="AX14" s="58">
        <f t="shared" si="5"/>
        <v>0</v>
      </c>
    </row>
    <row r="15" spans="1:50" ht="25.5" customHeight="1" x14ac:dyDescent="0.25">
      <c r="A15" s="58">
        <f t="shared" ca="1" si="6"/>
        <v>6269.5666666666666</v>
      </c>
      <c r="B15" s="6">
        <v>11</v>
      </c>
      <c r="C15" s="60" t="s">
        <v>190</v>
      </c>
      <c r="D15" s="68">
        <v>195</v>
      </c>
      <c r="E15" s="61">
        <v>0.5</v>
      </c>
      <c r="F15" s="61">
        <f>60+60+60+60+60</f>
        <v>300</v>
      </c>
      <c r="G15" s="62">
        <f>D15/(1/E15)</f>
        <v>97.5</v>
      </c>
      <c r="H15" s="137">
        <f>G15*F15</f>
        <v>29250</v>
      </c>
      <c r="I15" s="207">
        <f>((H15/$H$2)*$B$2)/F15</f>
        <v>1.2333333333333334</v>
      </c>
      <c r="J15" s="207">
        <f>G15+I15</f>
        <v>98.733333333333334</v>
      </c>
      <c r="K15" s="65">
        <f>J15*F15</f>
        <v>29620</v>
      </c>
      <c r="L15" s="69">
        <v>105</v>
      </c>
      <c r="M15" s="63">
        <f t="shared" si="9"/>
        <v>31500</v>
      </c>
      <c r="N15" s="63">
        <f t="shared" ca="1" si="3"/>
        <v>24727.5</v>
      </c>
      <c r="O15" s="70">
        <f t="shared" ca="1" si="4"/>
        <v>63.5</v>
      </c>
      <c r="P15" s="159">
        <v>1</v>
      </c>
      <c r="Q15" s="230">
        <v>223</v>
      </c>
      <c r="R15" s="223">
        <v>0</v>
      </c>
      <c r="S15" s="223">
        <v>0.5</v>
      </c>
      <c r="T15" s="223">
        <v>0</v>
      </c>
      <c r="U15" s="223">
        <v>0</v>
      </c>
      <c r="V15" s="223">
        <v>0</v>
      </c>
      <c r="W15" s="223">
        <v>0</v>
      </c>
      <c r="X15" s="223">
        <v>0</v>
      </c>
      <c r="Y15" s="223">
        <v>0.5</v>
      </c>
      <c r="Z15" s="223">
        <v>0</v>
      </c>
      <c r="AA15" s="223">
        <v>0</v>
      </c>
      <c r="AB15" s="223">
        <v>0</v>
      </c>
      <c r="AC15" s="223">
        <v>0</v>
      </c>
      <c r="AD15" s="223">
        <v>0</v>
      </c>
      <c r="AE15" s="223">
        <v>9</v>
      </c>
      <c r="AF15" s="223">
        <v>0</v>
      </c>
      <c r="AG15" s="223">
        <v>0</v>
      </c>
      <c r="AH15" s="223">
        <v>0.5</v>
      </c>
      <c r="AI15" s="223">
        <v>0</v>
      </c>
      <c r="AJ15" s="223">
        <v>1</v>
      </c>
      <c r="AK15" s="223">
        <f ca="1">SUMIFS('Tổng Đơn'!$F:$F,'Tổng Đơn'!$B:$B,$C15)</f>
        <v>1</v>
      </c>
      <c r="AL15" s="223">
        <v>0</v>
      </c>
      <c r="AM15" s="223">
        <v>0</v>
      </c>
      <c r="AN15" s="223">
        <v>0</v>
      </c>
      <c r="AO15" s="223">
        <v>0</v>
      </c>
      <c r="AP15" s="223">
        <v>0</v>
      </c>
      <c r="AQ15" s="223">
        <v>0</v>
      </c>
      <c r="AR15" s="223">
        <v>0</v>
      </c>
      <c r="AS15" s="223">
        <v>0</v>
      </c>
      <c r="AT15" s="223">
        <v>0</v>
      </c>
      <c r="AU15" s="223">
        <v>0</v>
      </c>
      <c r="AV15" s="223">
        <v>0</v>
      </c>
      <c r="AW15" s="58">
        <v>0</v>
      </c>
      <c r="AX15" s="58">
        <f t="shared" si="5"/>
        <v>0</v>
      </c>
    </row>
    <row r="16" spans="1:50" ht="25.5" customHeight="1" x14ac:dyDescent="0.25">
      <c r="B16" s="6"/>
      <c r="C16" s="60"/>
      <c r="D16" s="68"/>
      <c r="E16" s="61"/>
      <c r="F16" s="61"/>
      <c r="G16" s="136"/>
      <c r="H16" s="137"/>
      <c r="I16" s="138"/>
      <c r="J16" s="138"/>
      <c r="K16" s="65"/>
      <c r="L16" s="69"/>
      <c r="M16" s="63"/>
      <c r="N16" s="63"/>
      <c r="O16" s="133"/>
      <c r="P16" s="159"/>
      <c r="Q16" s="157"/>
      <c r="R16" s="6"/>
      <c r="S16" s="6"/>
      <c r="T16" s="6"/>
      <c r="U16" s="6"/>
      <c r="V16" s="6"/>
      <c r="W16" s="6"/>
      <c r="X16" s="6"/>
      <c r="Y16" s="6"/>
      <c r="Z16" s="6"/>
      <c r="AA16" s="6"/>
      <c r="AB16" s="6"/>
      <c r="AC16" s="6"/>
      <c r="AD16" s="6"/>
      <c r="AE16" s="6"/>
      <c r="AF16" s="6"/>
      <c r="AG16" s="6"/>
      <c r="AH16" s="6"/>
      <c r="AI16" s="6"/>
      <c r="AJ16" s="6"/>
      <c r="AK16" s="6"/>
      <c r="AL16" s="6"/>
      <c r="AM16" s="6"/>
      <c r="AN16" s="6"/>
      <c r="AO16" s="6"/>
      <c r="AP16" s="6"/>
      <c r="AQ16" s="6"/>
      <c r="AR16" s="6"/>
      <c r="AS16" s="6"/>
      <c r="AT16" s="6"/>
      <c r="AU16" s="6"/>
      <c r="AV16" s="6"/>
    </row>
    <row r="17" spans="1:48" ht="35.25" hidden="1" customHeight="1" x14ac:dyDescent="0.25">
      <c r="B17" s="180" t="s">
        <v>229</v>
      </c>
      <c r="C17" s="179" t="s">
        <v>263</v>
      </c>
      <c r="D17" s="181">
        <v>31.5</v>
      </c>
      <c r="E17" s="188">
        <v>1</v>
      </c>
      <c r="F17" s="188">
        <v>108</v>
      </c>
      <c r="G17" s="189">
        <v>31.5</v>
      </c>
      <c r="H17" s="190">
        <v>3402</v>
      </c>
      <c r="I17" s="189">
        <v>1.3559989031236921</v>
      </c>
      <c r="J17" s="189">
        <v>32.855998903123691</v>
      </c>
      <c r="K17" s="179">
        <v>3548.4478815373586</v>
      </c>
      <c r="L17" s="191">
        <v>50</v>
      </c>
      <c r="M17" s="185">
        <v>5400</v>
      </c>
      <c r="N17" s="185">
        <v>4385</v>
      </c>
      <c r="O17" s="192">
        <v>0</v>
      </c>
      <c r="P17" s="193">
        <v>20.3</v>
      </c>
      <c r="Q17" s="194">
        <v>87.7</v>
      </c>
      <c r="R17" s="180">
        <v>0</v>
      </c>
      <c r="S17" s="180">
        <v>0</v>
      </c>
      <c r="T17" s="180">
        <v>0</v>
      </c>
      <c r="U17" s="180">
        <v>0</v>
      </c>
      <c r="V17" s="180">
        <v>0</v>
      </c>
      <c r="W17" s="180">
        <v>0</v>
      </c>
      <c r="X17" s="180">
        <v>0</v>
      </c>
      <c r="Y17" s="180">
        <v>0</v>
      </c>
      <c r="Z17" s="180">
        <v>0</v>
      </c>
      <c r="AA17" s="180">
        <v>0</v>
      </c>
      <c r="AB17" s="180">
        <v>0</v>
      </c>
      <c r="AC17" s="180">
        <v>0</v>
      </c>
      <c r="AD17" s="180">
        <v>0</v>
      </c>
      <c r="AE17" s="180">
        <v>0</v>
      </c>
      <c r="AF17" s="180">
        <v>0</v>
      </c>
      <c r="AG17" s="180">
        <v>0</v>
      </c>
      <c r="AH17" s="180">
        <v>0</v>
      </c>
      <c r="AI17" s="180">
        <v>0</v>
      </c>
      <c r="AJ17" s="180">
        <v>0</v>
      </c>
      <c r="AK17" s="180">
        <v>0</v>
      </c>
      <c r="AL17" s="180">
        <v>0</v>
      </c>
      <c r="AM17" s="180">
        <v>0</v>
      </c>
      <c r="AN17" s="180">
        <v>0</v>
      </c>
      <c r="AO17" s="180">
        <v>0</v>
      </c>
      <c r="AP17" s="180">
        <v>0</v>
      </c>
      <c r="AQ17" s="180">
        <v>0</v>
      </c>
      <c r="AR17" s="180">
        <v>0</v>
      </c>
      <c r="AS17" s="180">
        <v>0</v>
      </c>
      <c r="AT17" s="180">
        <v>0</v>
      </c>
      <c r="AU17" s="180">
        <v>0</v>
      </c>
      <c r="AV17" s="180">
        <v>0</v>
      </c>
    </row>
    <row r="18" spans="1:48" ht="35.25" hidden="1" customHeight="1" x14ac:dyDescent="0.25">
      <c r="B18" s="180" t="s">
        <v>229</v>
      </c>
      <c r="C18" s="179" t="s">
        <v>264</v>
      </c>
      <c r="D18" s="181">
        <v>57</v>
      </c>
      <c r="E18" s="188">
        <v>1</v>
      </c>
      <c r="F18" s="188">
        <v>135</v>
      </c>
      <c r="G18" s="189">
        <v>57</v>
      </c>
      <c r="H18" s="190">
        <v>7695</v>
      </c>
      <c r="I18" s="189">
        <v>1.6987239006164931</v>
      </c>
      <c r="J18" s="189">
        <v>58.698723900616493</v>
      </c>
      <c r="K18" s="179">
        <v>7924.3277265832266</v>
      </c>
      <c r="L18" s="191">
        <v>60</v>
      </c>
      <c r="M18" s="185">
        <v>8100</v>
      </c>
      <c r="N18" s="185">
        <v>7936.2000000000007</v>
      </c>
      <c r="O18" s="192">
        <v>0</v>
      </c>
      <c r="P18" s="193">
        <v>2.73</v>
      </c>
      <c r="Q18" s="194">
        <v>132.27000000000001</v>
      </c>
      <c r="R18" s="180">
        <v>0</v>
      </c>
      <c r="S18" s="180">
        <v>0</v>
      </c>
      <c r="T18" s="180">
        <v>0</v>
      </c>
      <c r="U18" s="180">
        <v>0</v>
      </c>
      <c r="V18" s="180">
        <v>0</v>
      </c>
      <c r="W18" s="180">
        <v>0</v>
      </c>
      <c r="X18" s="180">
        <v>0</v>
      </c>
      <c r="Y18" s="180">
        <v>0</v>
      </c>
      <c r="Z18" s="180">
        <v>0</v>
      </c>
      <c r="AA18" s="180">
        <v>0</v>
      </c>
      <c r="AB18" s="180">
        <v>0</v>
      </c>
      <c r="AC18" s="180">
        <v>0</v>
      </c>
      <c r="AD18" s="180">
        <v>0</v>
      </c>
      <c r="AE18" s="180">
        <v>0</v>
      </c>
      <c r="AF18" s="180">
        <v>0</v>
      </c>
      <c r="AG18" s="180">
        <v>0</v>
      </c>
      <c r="AH18" s="180">
        <v>0</v>
      </c>
      <c r="AI18" s="180">
        <v>0</v>
      </c>
      <c r="AJ18" s="180">
        <v>0</v>
      </c>
      <c r="AK18" s="180">
        <v>0</v>
      </c>
      <c r="AL18" s="180">
        <v>0</v>
      </c>
      <c r="AM18" s="180">
        <v>0</v>
      </c>
      <c r="AN18" s="180">
        <v>0</v>
      </c>
      <c r="AO18" s="180">
        <v>0</v>
      </c>
      <c r="AP18" s="180">
        <v>0</v>
      </c>
      <c r="AQ18" s="180">
        <v>0</v>
      </c>
      <c r="AR18" s="180">
        <v>0</v>
      </c>
      <c r="AS18" s="180">
        <v>0</v>
      </c>
      <c r="AT18" s="180">
        <v>0</v>
      </c>
      <c r="AU18" s="180">
        <v>0</v>
      </c>
      <c r="AV18" s="180">
        <v>0</v>
      </c>
    </row>
    <row r="19" spans="1:48" ht="35.25" hidden="1" customHeight="1" x14ac:dyDescent="0.25">
      <c r="B19" s="180" t="s">
        <v>229</v>
      </c>
      <c r="C19" s="179" t="s">
        <v>265</v>
      </c>
      <c r="D19" s="181">
        <v>53</v>
      </c>
      <c r="E19" s="188">
        <v>1</v>
      </c>
      <c r="F19" s="188">
        <v>255</v>
      </c>
      <c r="G19" s="189">
        <v>53</v>
      </c>
      <c r="H19" s="190">
        <v>13515</v>
      </c>
      <c r="I19" s="189">
        <v>1.2928624462586735</v>
      </c>
      <c r="J19" s="189">
        <v>54.292862446258674</v>
      </c>
      <c r="K19" s="179">
        <v>13844.679923795962</v>
      </c>
      <c r="L19" s="191">
        <v>70</v>
      </c>
      <c r="M19" s="185">
        <v>17850</v>
      </c>
      <c r="N19" s="185">
        <v>16732.8</v>
      </c>
      <c r="O19" s="192">
        <v>0</v>
      </c>
      <c r="P19" s="193">
        <v>15.96</v>
      </c>
      <c r="Q19" s="194">
        <v>239.04</v>
      </c>
      <c r="R19" s="180">
        <v>0</v>
      </c>
      <c r="S19" s="180">
        <v>0</v>
      </c>
      <c r="T19" s="180">
        <v>0</v>
      </c>
      <c r="U19" s="180">
        <v>0</v>
      </c>
      <c r="V19" s="180">
        <v>0</v>
      </c>
      <c r="W19" s="180">
        <v>0</v>
      </c>
      <c r="X19" s="180">
        <v>0</v>
      </c>
      <c r="Y19" s="180">
        <v>0</v>
      </c>
      <c r="Z19" s="180">
        <v>0</v>
      </c>
      <c r="AA19" s="180">
        <v>0</v>
      </c>
      <c r="AB19" s="180">
        <v>0</v>
      </c>
      <c r="AC19" s="180">
        <v>0</v>
      </c>
      <c r="AD19" s="180">
        <v>0</v>
      </c>
      <c r="AE19" s="180">
        <v>0</v>
      </c>
      <c r="AF19" s="180">
        <v>0</v>
      </c>
      <c r="AG19" s="180">
        <v>0</v>
      </c>
      <c r="AH19" s="180">
        <v>0</v>
      </c>
      <c r="AI19" s="180">
        <v>0</v>
      </c>
      <c r="AJ19" s="180">
        <v>0</v>
      </c>
      <c r="AK19" s="180">
        <v>0</v>
      </c>
      <c r="AL19" s="180">
        <v>0</v>
      </c>
      <c r="AM19" s="180">
        <v>0</v>
      </c>
      <c r="AN19" s="180">
        <v>0</v>
      </c>
      <c r="AO19" s="180">
        <v>0</v>
      </c>
      <c r="AP19" s="180">
        <v>0</v>
      </c>
      <c r="AQ19" s="180">
        <v>0</v>
      </c>
      <c r="AR19" s="180">
        <v>0</v>
      </c>
      <c r="AS19" s="180">
        <v>0</v>
      </c>
      <c r="AT19" s="180">
        <v>0</v>
      </c>
      <c r="AU19" s="180">
        <v>0</v>
      </c>
      <c r="AV19" s="180">
        <v>0</v>
      </c>
    </row>
    <row r="20" spans="1:48" ht="35.25" hidden="1" customHeight="1" x14ac:dyDescent="0.25">
      <c r="B20" s="180" t="s">
        <v>229</v>
      </c>
      <c r="C20" s="179" t="s">
        <v>266</v>
      </c>
      <c r="D20" s="181">
        <v>41</v>
      </c>
      <c r="E20" s="188">
        <v>1</v>
      </c>
      <c r="F20" s="188">
        <v>328.75</v>
      </c>
      <c r="G20" s="189">
        <v>41</v>
      </c>
      <c r="H20" s="190">
        <v>13478.75</v>
      </c>
      <c r="I20" s="189">
        <v>1.7649509532721073</v>
      </c>
      <c r="J20" s="189">
        <v>42.764950953272105</v>
      </c>
      <c r="K20" s="179">
        <v>14058.977625888205</v>
      </c>
      <c r="L20" s="191">
        <v>45</v>
      </c>
      <c r="M20" s="185">
        <v>14793.75</v>
      </c>
      <c r="N20" s="185">
        <v>13783.5</v>
      </c>
      <c r="O20" s="192">
        <v>0</v>
      </c>
      <c r="P20" s="193">
        <v>22.450000000000003</v>
      </c>
      <c r="Q20" s="194">
        <v>306.3</v>
      </c>
      <c r="R20" s="180">
        <v>0</v>
      </c>
      <c r="S20" s="180">
        <v>0</v>
      </c>
      <c r="T20" s="180">
        <v>0</v>
      </c>
      <c r="U20" s="180">
        <v>0</v>
      </c>
      <c r="V20" s="180">
        <v>0</v>
      </c>
      <c r="W20" s="180">
        <v>0</v>
      </c>
      <c r="X20" s="180">
        <v>0</v>
      </c>
      <c r="Y20" s="180">
        <v>0</v>
      </c>
      <c r="Z20" s="180">
        <v>0</v>
      </c>
      <c r="AA20" s="180">
        <v>0</v>
      </c>
      <c r="AB20" s="180">
        <v>0</v>
      </c>
      <c r="AC20" s="180">
        <v>0</v>
      </c>
      <c r="AD20" s="180">
        <v>0</v>
      </c>
      <c r="AE20" s="180">
        <v>0</v>
      </c>
      <c r="AF20" s="180">
        <v>0</v>
      </c>
      <c r="AG20" s="180">
        <v>0</v>
      </c>
      <c r="AH20" s="180">
        <v>0</v>
      </c>
      <c r="AI20" s="180">
        <v>0</v>
      </c>
      <c r="AJ20" s="180">
        <v>0</v>
      </c>
      <c r="AK20" s="180">
        <v>0</v>
      </c>
      <c r="AL20" s="180">
        <v>0</v>
      </c>
      <c r="AM20" s="180">
        <v>0</v>
      </c>
      <c r="AN20" s="180">
        <v>0</v>
      </c>
      <c r="AO20" s="180">
        <v>0</v>
      </c>
      <c r="AP20" s="180">
        <v>0</v>
      </c>
      <c r="AQ20" s="180">
        <v>0</v>
      </c>
      <c r="AR20" s="180">
        <v>0</v>
      </c>
      <c r="AS20" s="180">
        <v>0</v>
      </c>
      <c r="AT20" s="180">
        <v>0</v>
      </c>
      <c r="AU20" s="180">
        <v>0</v>
      </c>
      <c r="AV20" s="180">
        <v>0</v>
      </c>
    </row>
    <row r="21" spans="1:48" ht="35.25" hidden="1" customHeight="1" x14ac:dyDescent="0.25">
      <c r="A21" s="58">
        <v>0</v>
      </c>
      <c r="B21" s="180" t="s">
        <v>229</v>
      </c>
      <c r="C21" s="179" t="s">
        <v>232</v>
      </c>
      <c r="D21" s="181">
        <v>46</v>
      </c>
      <c r="E21" s="188">
        <v>1</v>
      </c>
      <c r="F21" s="188">
        <v>60</v>
      </c>
      <c r="G21" s="189">
        <v>46</v>
      </c>
      <c r="H21" s="190">
        <v>2760</v>
      </c>
      <c r="I21" s="189">
        <v>2.338883716371833</v>
      </c>
      <c r="J21" s="189">
        <v>48.338883716371832</v>
      </c>
      <c r="K21" s="179">
        <v>2900.33302298231</v>
      </c>
      <c r="L21" s="191">
        <v>60</v>
      </c>
      <c r="M21" s="185">
        <v>3600</v>
      </c>
      <c r="N21" s="185">
        <v>3000</v>
      </c>
      <c r="O21" s="192">
        <v>0</v>
      </c>
      <c r="P21" s="193">
        <v>10</v>
      </c>
      <c r="Q21" s="194">
        <v>50</v>
      </c>
      <c r="R21" s="180">
        <v>0</v>
      </c>
      <c r="S21" s="180">
        <v>0</v>
      </c>
      <c r="T21" s="180">
        <v>0</v>
      </c>
      <c r="U21" s="180">
        <v>0</v>
      </c>
      <c r="V21" s="180">
        <v>0</v>
      </c>
      <c r="W21" s="180">
        <v>0</v>
      </c>
      <c r="X21" s="180">
        <v>0</v>
      </c>
      <c r="Y21" s="180">
        <v>0</v>
      </c>
      <c r="Z21" s="180">
        <v>0</v>
      </c>
      <c r="AA21" s="180">
        <v>0</v>
      </c>
      <c r="AB21" s="180">
        <v>0</v>
      </c>
      <c r="AC21" s="180">
        <v>0</v>
      </c>
      <c r="AD21" s="180">
        <v>0</v>
      </c>
      <c r="AE21" s="180">
        <v>0</v>
      </c>
      <c r="AF21" s="180">
        <v>0</v>
      </c>
      <c r="AG21" s="180">
        <v>0</v>
      </c>
      <c r="AH21" s="180">
        <v>0</v>
      </c>
      <c r="AI21" s="180">
        <v>0</v>
      </c>
      <c r="AJ21" s="180">
        <v>0</v>
      </c>
      <c r="AK21" s="180">
        <v>0</v>
      </c>
      <c r="AL21" s="180">
        <v>0</v>
      </c>
      <c r="AM21" s="180">
        <v>0</v>
      </c>
      <c r="AN21" s="180">
        <v>0</v>
      </c>
      <c r="AO21" s="180">
        <v>0</v>
      </c>
      <c r="AP21" s="180">
        <v>0</v>
      </c>
      <c r="AQ21" s="180">
        <v>0</v>
      </c>
      <c r="AR21" s="180">
        <v>0</v>
      </c>
      <c r="AS21" s="180">
        <v>0</v>
      </c>
      <c r="AT21" s="180">
        <v>0</v>
      </c>
      <c r="AU21" s="180">
        <v>0</v>
      </c>
      <c r="AV21" s="180">
        <v>0</v>
      </c>
    </row>
  </sheetData>
  <autoFilter ref="B4:M4" xr:uid="{00000000-0009-0000-0000-000001000000}"/>
  <mergeCells count="1">
    <mergeCell ref="B1:M1"/>
  </mergeCells>
  <conditionalFormatting sqref="C15:C16">
    <cfRule type="expression" dxfId="777" priority="12">
      <formula>($O15/$O15)&lt;=1/4</formula>
    </cfRule>
  </conditionalFormatting>
  <conditionalFormatting sqref="C5:C16">
    <cfRule type="expression" dxfId="776" priority="13">
      <formula>($O5/$F5)&lt;=1/4</formula>
    </cfRule>
  </conditionalFormatting>
  <pageMargins left="0.7" right="0.7" top="0.75" bottom="0.75" header="0.3" footer="0.3"/>
  <pageSetup orientation="portrait" r:id="rId1"/>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2">
    <tabColor rgb="FF00B050"/>
  </sheetPr>
  <dimension ref="A1:AX35"/>
  <sheetViews>
    <sheetView topLeftCell="A2" zoomScale="90" zoomScaleNormal="90" workbookViewId="0">
      <pane xSplit="17" ySplit="3" topLeftCell="AH8" activePane="bottomRight" state="frozen"/>
      <selection activeCell="A2" sqref="A2"/>
      <selection pane="topRight" activeCell="R2" sqref="R2"/>
      <selection pane="bottomLeft" activeCell="A5" sqref="A5"/>
      <selection pane="bottomRight" activeCell="AJ8" sqref="AJ8:AJ30"/>
    </sheetView>
  </sheetViews>
  <sheetFormatPr defaultColWidth="9.09765625" defaultRowHeight="13.8" x14ac:dyDescent="0.25"/>
  <cols>
    <col min="1" max="1" width="16.296875" style="58" customWidth="1"/>
    <col min="2" max="2" width="6.8984375" style="58" customWidth="1"/>
    <col min="3" max="3" width="35.8984375" style="58" customWidth="1"/>
    <col min="4" max="4" width="9.69921875" style="58" customWidth="1"/>
    <col min="5" max="6" width="8.69921875" style="58" customWidth="1"/>
    <col min="7" max="7" width="10.296875" style="58" bestFit="1" customWidth="1"/>
    <col min="8" max="8" width="11.09765625" style="58" hidden="1" customWidth="1"/>
    <col min="9" max="9" width="13.296875" style="58" hidden="1" customWidth="1"/>
    <col min="10" max="10" width="10.8984375" style="58" customWidth="1"/>
    <col min="11" max="11" width="13.296875" style="58" hidden="1" customWidth="1"/>
    <col min="12" max="12" width="12" style="58" bestFit="1" customWidth="1"/>
    <col min="13" max="14" width="11.3984375" style="58" hidden="1" customWidth="1"/>
    <col min="15" max="15" width="9.09765625" style="58" customWidth="1"/>
    <col min="16" max="17" width="12.3984375" style="58" customWidth="1"/>
    <col min="18" max="18" width="4.8984375" style="58" customWidth="1"/>
    <col min="19" max="48" width="5.296875" style="58" customWidth="1"/>
    <col min="49" max="49" width="9.09765625" style="58"/>
    <col min="50" max="50" width="12" style="58" bestFit="1" customWidth="1"/>
    <col min="51" max="16384" width="9.09765625" style="58"/>
  </cols>
  <sheetData>
    <row r="1" spans="1:50" hidden="1" x14ac:dyDescent="0.25">
      <c r="B1" s="256" t="s">
        <v>51</v>
      </c>
      <c r="C1" s="256"/>
      <c r="D1" s="256"/>
      <c r="E1" s="256"/>
      <c r="F1" s="256"/>
      <c r="G1" s="256"/>
      <c r="H1" s="256"/>
      <c r="I1" s="256"/>
      <c r="J1" s="256"/>
      <c r="K1" s="256"/>
      <c r="L1" s="256"/>
      <c r="M1" s="256"/>
      <c r="N1" s="59"/>
    </row>
    <row r="2" spans="1:50" ht="24" customHeight="1" x14ac:dyDescent="0.25">
      <c r="A2" s="1">
        <f>150+160+120+70+30+100+30+150+120+30+140+30+70+120+30+30+120+60+120+190+60+30+120+100+60+140+60+40+60+50+120+60+30+60+40+80+120+60+75+75+55+40+70+40+150+40+70+40+70+40+70+40+120+40+70+60+40+60+40+70+40+70+110+100+110+110+110+160+150+110+110+100+110+110+110+110+40+90+10+140+20+120+40+90+40+40+70+30+70+40+110+110+100+40+40+120+40+120+40+120+60</f>
        <v>7995</v>
      </c>
      <c r="K2" s="13"/>
      <c r="L2" s="13">
        <f>M4-K4</f>
        <v>46924.342285632272</v>
      </c>
      <c r="M2" s="8">
        <f>M4/K4-1</f>
        <v>0.14843901535236581</v>
      </c>
      <c r="N2" s="8"/>
      <c r="AI2" s="41"/>
    </row>
    <row r="3" spans="1:50" ht="55.5" customHeight="1" x14ac:dyDescent="0.25">
      <c r="A3" s="50" t="s">
        <v>104</v>
      </c>
      <c r="B3" s="3" t="s">
        <v>0</v>
      </c>
      <c r="C3" s="3" t="s">
        <v>16</v>
      </c>
      <c r="D3" s="17" t="s">
        <v>54</v>
      </c>
      <c r="E3" s="78" t="s">
        <v>125</v>
      </c>
      <c r="F3" s="108" t="s">
        <v>124</v>
      </c>
      <c r="G3" s="4" t="s">
        <v>17</v>
      </c>
      <c r="H3" s="4" t="s">
        <v>18</v>
      </c>
      <c r="I3" s="9" t="s">
        <v>19</v>
      </c>
      <c r="J3" s="9" t="s">
        <v>20</v>
      </c>
      <c r="K3" s="9" t="s">
        <v>23</v>
      </c>
      <c r="L3" s="10" t="s">
        <v>21</v>
      </c>
      <c r="M3" s="11" t="s">
        <v>22</v>
      </c>
      <c r="N3" s="11" t="s">
        <v>103</v>
      </c>
      <c r="O3" s="20" t="s">
        <v>52</v>
      </c>
      <c r="P3" s="56" t="s">
        <v>115</v>
      </c>
      <c r="Q3" s="226" t="s">
        <v>302</v>
      </c>
      <c r="R3" s="21" t="s">
        <v>146</v>
      </c>
      <c r="S3" s="23" t="s">
        <v>147</v>
      </c>
      <c r="T3" s="21" t="s">
        <v>148</v>
      </c>
      <c r="U3" s="23" t="s">
        <v>149</v>
      </c>
      <c r="V3" s="21" t="s">
        <v>150</v>
      </c>
      <c r="W3" s="23" t="s">
        <v>151</v>
      </c>
      <c r="X3" s="21" t="s">
        <v>152</v>
      </c>
      <c r="Y3" s="23" t="s">
        <v>153</v>
      </c>
      <c r="Z3" s="21" t="s">
        <v>154</v>
      </c>
      <c r="AA3" s="23">
        <v>10</v>
      </c>
      <c r="AB3" s="21">
        <v>11</v>
      </c>
      <c r="AC3" s="23">
        <v>12</v>
      </c>
      <c r="AD3" s="21">
        <v>13</v>
      </c>
      <c r="AE3" s="23">
        <v>14</v>
      </c>
      <c r="AF3" s="21">
        <v>15</v>
      </c>
      <c r="AG3" s="23">
        <v>16</v>
      </c>
      <c r="AH3" s="21">
        <v>17</v>
      </c>
      <c r="AI3" s="23">
        <v>18</v>
      </c>
      <c r="AJ3" s="21">
        <v>19</v>
      </c>
      <c r="AK3" s="23">
        <v>20</v>
      </c>
      <c r="AL3" s="21">
        <v>21</v>
      </c>
      <c r="AM3" s="23">
        <v>22</v>
      </c>
      <c r="AN3" s="21">
        <v>23</v>
      </c>
      <c r="AO3" s="23">
        <v>24</v>
      </c>
      <c r="AP3" s="21">
        <v>25</v>
      </c>
      <c r="AQ3" s="23">
        <v>26</v>
      </c>
      <c r="AR3" s="21">
        <v>27</v>
      </c>
      <c r="AS3" s="23">
        <v>28</v>
      </c>
      <c r="AT3" s="21">
        <v>29</v>
      </c>
      <c r="AU3" s="23">
        <v>30</v>
      </c>
      <c r="AV3" s="21">
        <v>31</v>
      </c>
      <c r="AX3" s="58">
        <v>40</v>
      </c>
    </row>
    <row r="4" spans="1:50" s="45" customFormat="1" ht="27" customHeight="1" x14ac:dyDescent="0.25">
      <c r="A4" s="49">
        <f ca="1">SUBTOTAL(9,A5:A103)</f>
        <v>9328.9652536596441</v>
      </c>
      <c r="B4" s="16"/>
      <c r="C4" s="16"/>
      <c r="D4" s="46"/>
      <c r="E4" s="16">
        <f>SUMPRODUCT((E5:E35)*(F5:F35))</f>
        <v>4680.5</v>
      </c>
      <c r="F4" s="16">
        <f>SUBTOTAL(9,F5:F103)</f>
        <v>9086</v>
      </c>
      <c r="G4" s="7"/>
      <c r="H4" s="7">
        <f>SUBTOTAL(9,H5:H103)</f>
        <v>308090</v>
      </c>
      <c r="I4" s="12"/>
      <c r="J4" s="12"/>
      <c r="K4" s="12">
        <f>SUBTOTAL(9,K5:K103)</f>
        <v>316118.65771436773</v>
      </c>
      <c r="L4" s="47"/>
      <c r="M4" s="7">
        <f>SUBTOTAL(9,M5:M103)</f>
        <v>363043</v>
      </c>
      <c r="N4" s="7">
        <f ca="1">SUBTOTAL(9,N5:N103)</f>
        <v>350408</v>
      </c>
      <c r="O4" s="24">
        <f ca="1">SUBTOTAL(9,O5:O103)</f>
        <v>256</v>
      </c>
      <c r="P4" s="74">
        <f>SUBTOTAL(9,P5:P103)</f>
        <v>35</v>
      </c>
      <c r="Q4" s="74">
        <f>SUBTOTAL(9,Q5:Q103)</f>
        <v>8188</v>
      </c>
      <c r="R4" s="25">
        <f t="shared" ref="R4:AV4" si="0">SUBTOTAL(9,R5:R31)</f>
        <v>37</v>
      </c>
      <c r="S4" s="25">
        <f t="shared" si="0"/>
        <v>23</v>
      </c>
      <c r="T4" s="25">
        <f t="shared" si="0"/>
        <v>8</v>
      </c>
      <c r="U4" s="25">
        <f t="shared" si="0"/>
        <v>18</v>
      </c>
      <c r="V4" s="25">
        <f t="shared" si="0"/>
        <v>9</v>
      </c>
      <c r="W4" s="25">
        <f t="shared" si="0"/>
        <v>9</v>
      </c>
      <c r="X4" s="25">
        <f t="shared" si="0"/>
        <v>27</v>
      </c>
      <c r="Y4" s="25">
        <f t="shared" si="0"/>
        <v>20</v>
      </c>
      <c r="Z4" s="25">
        <f t="shared" si="0"/>
        <v>13</v>
      </c>
      <c r="AA4" s="25">
        <f t="shared" si="0"/>
        <v>11</v>
      </c>
      <c r="AB4" s="25">
        <f t="shared" si="0"/>
        <v>25</v>
      </c>
      <c r="AC4" s="25">
        <f t="shared" si="0"/>
        <v>13</v>
      </c>
      <c r="AD4" s="25">
        <f t="shared" si="0"/>
        <v>16</v>
      </c>
      <c r="AE4" s="25">
        <f t="shared" si="0"/>
        <v>59</v>
      </c>
      <c r="AF4" s="25">
        <f t="shared" si="0"/>
        <v>21</v>
      </c>
      <c r="AG4" s="25">
        <f t="shared" si="0"/>
        <v>32</v>
      </c>
      <c r="AH4" s="25">
        <f t="shared" si="0"/>
        <v>17</v>
      </c>
      <c r="AI4" s="25">
        <f t="shared" si="0"/>
        <v>79</v>
      </c>
      <c r="AJ4" s="25">
        <f t="shared" si="0"/>
        <v>64</v>
      </c>
      <c r="AK4" s="25">
        <f t="shared" ca="1" si="0"/>
        <v>75</v>
      </c>
      <c r="AL4" s="25">
        <f t="shared" si="0"/>
        <v>0</v>
      </c>
      <c r="AM4" s="25">
        <f t="shared" si="0"/>
        <v>0</v>
      </c>
      <c r="AN4" s="25">
        <f t="shared" si="0"/>
        <v>0</v>
      </c>
      <c r="AO4" s="25">
        <f t="shared" si="0"/>
        <v>0</v>
      </c>
      <c r="AP4" s="25">
        <f t="shared" si="0"/>
        <v>0</v>
      </c>
      <c r="AQ4" s="25">
        <f t="shared" si="0"/>
        <v>0</v>
      </c>
      <c r="AR4" s="25">
        <f t="shared" si="0"/>
        <v>0</v>
      </c>
      <c r="AS4" s="25">
        <f t="shared" si="0"/>
        <v>0</v>
      </c>
      <c r="AT4" s="25">
        <f t="shared" si="0"/>
        <v>0</v>
      </c>
      <c r="AU4" s="25">
        <f t="shared" si="0"/>
        <v>0</v>
      </c>
      <c r="AV4" s="25">
        <f t="shared" si="0"/>
        <v>0</v>
      </c>
      <c r="AW4" s="130" t="str">
        <f>SUMPRODUCT(($AW$5:$AW$53)*($E$5:$E$53))&amp;" Kg"</f>
        <v>60 Kg</v>
      </c>
      <c r="AX4" s="49">
        <f>SUBTOTAL(9,AX5:AX35)</f>
        <v>3440</v>
      </c>
    </row>
    <row r="5" spans="1:50" ht="18" hidden="1" x14ac:dyDescent="0.25">
      <c r="A5" s="58">
        <f t="shared" ref="A5:A35" si="1">IFERROR(J5*O5,"")</f>
        <v>0</v>
      </c>
      <c r="B5" s="6">
        <v>1</v>
      </c>
      <c r="C5" s="60" t="s">
        <v>1</v>
      </c>
      <c r="D5" s="68">
        <v>42.5</v>
      </c>
      <c r="E5" s="6">
        <v>0.5</v>
      </c>
      <c r="F5" s="6">
        <f>430+30+40</f>
        <v>500</v>
      </c>
      <c r="G5" s="71">
        <f t="shared" ref="G5:G27" si="2">D5/(1/E5)</f>
        <v>21.25</v>
      </c>
      <c r="H5" s="63">
        <f t="shared" ref="H5:H29" si="3">G5*F5</f>
        <v>10625</v>
      </c>
      <c r="I5" s="64">
        <f t="shared" ref="I5:I24" si="4">((H5/$H$4)*$A$2)/F5</f>
        <v>0.55144194878120023</v>
      </c>
      <c r="J5" s="134">
        <f t="shared" ref="J5:J19" si="5">G5+I5</f>
        <v>21.8014419487812</v>
      </c>
      <c r="K5" s="65">
        <f t="shared" ref="K5:K24" si="6">J5*F5</f>
        <v>10900.720974390601</v>
      </c>
      <c r="L5" s="72">
        <v>25</v>
      </c>
      <c r="M5" s="63">
        <f t="shared" ref="M5:M30" si="7">L5*F5</f>
        <v>12500</v>
      </c>
      <c r="N5" s="63">
        <f t="shared" ref="N5:N30" si="8">SUMPRODUCT($L5*($Q5:$AV5))</f>
        <v>12350</v>
      </c>
      <c r="O5" s="67">
        <f t="shared" ref="O5:O30" si="9">F5-SUM(Q5:AV5)-P5</f>
        <v>0</v>
      </c>
      <c r="P5" s="57">
        <v>6</v>
      </c>
      <c r="Q5" s="57">
        <v>494</v>
      </c>
      <c r="R5" s="60">
        <v>0</v>
      </c>
      <c r="S5" s="60">
        <v>0</v>
      </c>
      <c r="T5" s="60">
        <v>0</v>
      </c>
      <c r="U5" s="60">
        <v>0</v>
      </c>
      <c r="V5" s="60">
        <v>0</v>
      </c>
      <c r="W5" s="60">
        <v>0</v>
      </c>
      <c r="X5" s="60">
        <v>0</v>
      </c>
      <c r="Y5" s="60">
        <v>0</v>
      </c>
      <c r="Z5" s="60">
        <v>0</v>
      </c>
      <c r="AA5" s="60">
        <v>0</v>
      </c>
      <c r="AB5" s="60">
        <v>0</v>
      </c>
      <c r="AC5" s="60">
        <f>SUMIFS('Tổng Đơn'!$F:$F,'Tổng Đơn'!$B:$B,$C5)</f>
        <v>0</v>
      </c>
      <c r="AD5" s="60">
        <v>0</v>
      </c>
      <c r="AE5" s="60">
        <v>0</v>
      </c>
      <c r="AF5" s="60">
        <v>0</v>
      </c>
      <c r="AG5" s="60">
        <v>0</v>
      </c>
      <c r="AH5" s="60">
        <v>0</v>
      </c>
      <c r="AI5" s="60">
        <v>0</v>
      </c>
      <c r="AJ5" s="60">
        <v>0</v>
      </c>
      <c r="AK5" s="60">
        <v>0</v>
      </c>
      <c r="AL5" s="60">
        <v>0</v>
      </c>
      <c r="AM5" s="60">
        <v>0</v>
      </c>
      <c r="AN5" s="60">
        <v>0</v>
      </c>
      <c r="AO5" s="60">
        <v>0</v>
      </c>
      <c r="AP5" s="60">
        <v>0</v>
      </c>
      <c r="AQ5" s="60">
        <v>0</v>
      </c>
      <c r="AR5" s="60">
        <v>0</v>
      </c>
      <c r="AS5" s="60">
        <v>0</v>
      </c>
      <c r="AT5" s="60">
        <v>0</v>
      </c>
      <c r="AU5" s="60">
        <v>0</v>
      </c>
      <c r="AV5" s="60">
        <v>0</v>
      </c>
      <c r="AW5" s="58">
        <v>0</v>
      </c>
      <c r="AX5" s="58">
        <f t="shared" ref="AX5:AX31" si="10">AW5*G5</f>
        <v>0</v>
      </c>
    </row>
    <row r="6" spans="1:50" ht="18" hidden="1" x14ac:dyDescent="0.25">
      <c r="A6" s="58">
        <f t="shared" si="1"/>
        <v>0</v>
      </c>
      <c r="B6" s="6">
        <v>2</v>
      </c>
      <c r="C6" s="60" t="s">
        <v>2</v>
      </c>
      <c r="D6" s="68">
        <v>44</v>
      </c>
      <c r="E6" s="6">
        <v>0.5</v>
      </c>
      <c r="F6" s="6">
        <v>80</v>
      </c>
      <c r="G6" s="71">
        <f t="shared" si="2"/>
        <v>22</v>
      </c>
      <c r="H6" s="63">
        <f t="shared" si="3"/>
        <v>1760</v>
      </c>
      <c r="I6" s="64">
        <f t="shared" si="4"/>
        <v>0.57090460579700741</v>
      </c>
      <c r="J6" s="134">
        <f t="shared" si="5"/>
        <v>22.570904605797008</v>
      </c>
      <c r="K6" s="65">
        <f t="shared" si="6"/>
        <v>1805.6723684637607</v>
      </c>
      <c r="L6" s="72">
        <v>28</v>
      </c>
      <c r="M6" s="63">
        <f t="shared" si="7"/>
        <v>2240</v>
      </c>
      <c r="N6" s="63">
        <f t="shared" si="8"/>
        <v>2268</v>
      </c>
      <c r="O6" s="67">
        <f t="shared" si="9"/>
        <v>0</v>
      </c>
      <c r="P6" s="57">
        <v>-1</v>
      </c>
      <c r="Q6" s="57">
        <v>81</v>
      </c>
      <c r="R6" s="60">
        <v>0</v>
      </c>
      <c r="S6" s="60">
        <v>0</v>
      </c>
      <c r="T6" s="60">
        <v>0</v>
      </c>
      <c r="U6" s="60">
        <v>0</v>
      </c>
      <c r="V6" s="60">
        <v>0</v>
      </c>
      <c r="W6" s="60">
        <v>0</v>
      </c>
      <c r="X6" s="60">
        <v>0</v>
      </c>
      <c r="Y6" s="60">
        <v>0</v>
      </c>
      <c r="Z6" s="60">
        <v>0</v>
      </c>
      <c r="AA6" s="60">
        <v>0</v>
      </c>
      <c r="AB6" s="60">
        <v>0</v>
      </c>
      <c r="AC6" s="60">
        <f>SUMIFS('Tổng Đơn'!$F:$F,'Tổng Đơn'!$B:$B,$C6)</f>
        <v>0</v>
      </c>
      <c r="AD6" s="60">
        <v>0</v>
      </c>
      <c r="AE6" s="60">
        <v>0</v>
      </c>
      <c r="AF6" s="60">
        <v>0</v>
      </c>
      <c r="AG6" s="60">
        <v>0</v>
      </c>
      <c r="AH6" s="60">
        <v>0</v>
      </c>
      <c r="AI6" s="60">
        <v>0</v>
      </c>
      <c r="AJ6" s="60">
        <v>0</v>
      </c>
      <c r="AK6" s="60">
        <v>0</v>
      </c>
      <c r="AL6" s="60">
        <v>0</v>
      </c>
      <c r="AM6" s="60">
        <v>0</v>
      </c>
      <c r="AN6" s="60">
        <v>0</v>
      </c>
      <c r="AO6" s="60">
        <v>0</v>
      </c>
      <c r="AP6" s="60">
        <v>0</v>
      </c>
      <c r="AQ6" s="60">
        <v>0</v>
      </c>
      <c r="AR6" s="60">
        <v>0</v>
      </c>
      <c r="AS6" s="60">
        <v>0</v>
      </c>
      <c r="AT6" s="60">
        <v>0</v>
      </c>
      <c r="AU6" s="60">
        <v>0</v>
      </c>
      <c r="AV6" s="60">
        <v>0</v>
      </c>
      <c r="AW6" s="58">
        <v>0</v>
      </c>
      <c r="AX6" s="58">
        <f t="shared" si="10"/>
        <v>0</v>
      </c>
    </row>
    <row r="7" spans="1:50" ht="18" hidden="1" x14ac:dyDescent="0.25">
      <c r="A7" s="58">
        <f t="shared" si="1"/>
        <v>0</v>
      </c>
      <c r="B7" s="6">
        <v>3</v>
      </c>
      <c r="C7" s="60" t="s">
        <v>3</v>
      </c>
      <c r="D7" s="68">
        <v>43.5</v>
      </c>
      <c r="E7" s="6">
        <v>0.5</v>
      </c>
      <c r="F7" s="6">
        <v>70</v>
      </c>
      <c r="G7" s="71">
        <f t="shared" si="2"/>
        <v>21.75</v>
      </c>
      <c r="H7" s="63">
        <f t="shared" si="3"/>
        <v>1522.5</v>
      </c>
      <c r="I7" s="64">
        <f t="shared" si="4"/>
        <v>0.56441705345840498</v>
      </c>
      <c r="J7" s="134">
        <f t="shared" si="5"/>
        <v>22.314417053458406</v>
      </c>
      <c r="K7" s="65">
        <f t="shared" si="6"/>
        <v>1562.0091937420884</v>
      </c>
      <c r="L7" s="72">
        <v>30</v>
      </c>
      <c r="M7" s="63">
        <f t="shared" si="7"/>
        <v>2100</v>
      </c>
      <c r="N7" s="63">
        <f t="shared" si="8"/>
        <v>2100</v>
      </c>
      <c r="O7" s="67">
        <f t="shared" si="9"/>
        <v>0</v>
      </c>
      <c r="P7" s="57"/>
      <c r="Q7" s="57">
        <v>70</v>
      </c>
      <c r="R7" s="60">
        <v>0</v>
      </c>
      <c r="S7" s="60">
        <v>0</v>
      </c>
      <c r="T7" s="60">
        <v>0</v>
      </c>
      <c r="U7" s="60">
        <v>0</v>
      </c>
      <c r="V7" s="60">
        <v>0</v>
      </c>
      <c r="W7" s="60">
        <v>0</v>
      </c>
      <c r="X7" s="60">
        <v>0</v>
      </c>
      <c r="Y7" s="60">
        <v>0</v>
      </c>
      <c r="Z7" s="60">
        <v>0</v>
      </c>
      <c r="AA7" s="60">
        <v>0</v>
      </c>
      <c r="AB7" s="60">
        <v>0</v>
      </c>
      <c r="AC7" s="60">
        <f>SUMIFS('Tổng Đơn'!$F:$F,'Tổng Đơn'!$B:$B,$C7)</f>
        <v>0</v>
      </c>
      <c r="AD7" s="60">
        <v>0</v>
      </c>
      <c r="AE7" s="60">
        <v>0</v>
      </c>
      <c r="AF7" s="60">
        <v>0</v>
      </c>
      <c r="AG7" s="60">
        <v>0</v>
      </c>
      <c r="AH7" s="60">
        <v>0</v>
      </c>
      <c r="AI7" s="60">
        <v>0</v>
      </c>
      <c r="AJ7" s="60">
        <v>0</v>
      </c>
      <c r="AK7" s="60">
        <v>0</v>
      </c>
      <c r="AL7" s="60">
        <v>0</v>
      </c>
      <c r="AM7" s="60">
        <v>0</v>
      </c>
      <c r="AN7" s="60">
        <v>0</v>
      </c>
      <c r="AO7" s="60">
        <v>0</v>
      </c>
      <c r="AP7" s="60">
        <v>0</v>
      </c>
      <c r="AQ7" s="60">
        <v>0</v>
      </c>
      <c r="AR7" s="60">
        <v>0</v>
      </c>
      <c r="AS7" s="60">
        <v>0</v>
      </c>
      <c r="AT7" s="60">
        <v>0</v>
      </c>
      <c r="AU7" s="60">
        <v>0</v>
      </c>
      <c r="AV7" s="60">
        <v>0</v>
      </c>
      <c r="AW7" s="58">
        <v>0</v>
      </c>
      <c r="AX7" s="58">
        <f t="shared" si="10"/>
        <v>0</v>
      </c>
    </row>
    <row r="8" spans="1:50" ht="18" x14ac:dyDescent="0.25">
      <c r="A8" s="58">
        <f t="shared" ca="1" si="1"/>
        <v>2400.723489889318</v>
      </c>
      <c r="B8" s="6">
        <v>4</v>
      </c>
      <c r="C8" s="60" t="s">
        <v>4</v>
      </c>
      <c r="D8" s="68">
        <v>60</v>
      </c>
      <c r="E8" s="6">
        <v>0.5</v>
      </c>
      <c r="F8" s="6">
        <f>160+22+12+30+10+26+10+10+18+10+10+10+10+26+20+20+40</f>
        <v>444</v>
      </c>
      <c r="G8" s="71">
        <f t="shared" si="2"/>
        <v>30</v>
      </c>
      <c r="H8" s="73">
        <f t="shared" si="3"/>
        <v>13320</v>
      </c>
      <c r="I8" s="64">
        <f t="shared" si="4"/>
        <v>0.77850628063228278</v>
      </c>
      <c r="J8" s="134">
        <f t="shared" si="5"/>
        <v>30.778506280632282</v>
      </c>
      <c r="K8" s="65">
        <f t="shared" si="6"/>
        <v>13665.656788600732</v>
      </c>
      <c r="L8" s="72">
        <v>40</v>
      </c>
      <c r="M8" s="63">
        <f t="shared" si="7"/>
        <v>17760</v>
      </c>
      <c r="N8" s="63">
        <f t="shared" ca="1" si="8"/>
        <v>14600</v>
      </c>
      <c r="O8" s="67">
        <f t="shared" ca="1" si="9"/>
        <v>78</v>
      </c>
      <c r="P8" s="57">
        <v>1</v>
      </c>
      <c r="Q8" s="57">
        <v>353</v>
      </c>
      <c r="R8" s="60">
        <v>0</v>
      </c>
      <c r="S8" s="60">
        <v>0</v>
      </c>
      <c r="T8" s="60">
        <v>0</v>
      </c>
      <c r="U8" s="60">
        <v>1</v>
      </c>
      <c r="V8" s="60">
        <v>0</v>
      </c>
      <c r="W8" s="60">
        <v>0</v>
      </c>
      <c r="X8" s="60">
        <v>1</v>
      </c>
      <c r="Y8" s="60">
        <v>0</v>
      </c>
      <c r="Z8" s="60">
        <v>0</v>
      </c>
      <c r="AA8" s="60">
        <v>3</v>
      </c>
      <c r="AB8" s="60">
        <v>0</v>
      </c>
      <c r="AC8" s="60">
        <v>0</v>
      </c>
      <c r="AD8" s="60">
        <v>0</v>
      </c>
      <c r="AE8" s="60">
        <v>2</v>
      </c>
      <c r="AF8" s="60">
        <v>0</v>
      </c>
      <c r="AG8" s="60">
        <v>1</v>
      </c>
      <c r="AH8" s="60">
        <v>0</v>
      </c>
      <c r="AI8" s="60">
        <v>0</v>
      </c>
      <c r="AJ8" s="60">
        <v>1</v>
      </c>
      <c r="AK8" s="60">
        <f ca="1">SUMIFS('Tổng Đơn'!$F:$F,'Tổng Đơn'!$B:$B,$C8)</f>
        <v>3</v>
      </c>
      <c r="AL8" s="60">
        <v>0</v>
      </c>
      <c r="AM8" s="60">
        <v>0</v>
      </c>
      <c r="AN8" s="60">
        <v>0</v>
      </c>
      <c r="AO8" s="60">
        <v>0</v>
      </c>
      <c r="AP8" s="60">
        <v>0</v>
      </c>
      <c r="AQ8" s="60">
        <v>0</v>
      </c>
      <c r="AR8" s="60">
        <v>0</v>
      </c>
      <c r="AS8" s="60">
        <v>0</v>
      </c>
      <c r="AT8" s="60">
        <v>0</v>
      </c>
      <c r="AU8" s="60">
        <v>0</v>
      </c>
      <c r="AV8" s="60">
        <v>0</v>
      </c>
      <c r="AW8" s="58">
        <v>0</v>
      </c>
      <c r="AX8" s="58">
        <f t="shared" si="10"/>
        <v>0</v>
      </c>
    </row>
    <row r="9" spans="1:50" ht="18" x14ac:dyDescent="0.25">
      <c r="A9" s="58">
        <f t="shared" ca="1" si="1"/>
        <v>1883.6445843746958</v>
      </c>
      <c r="B9" s="6">
        <v>5</v>
      </c>
      <c r="C9" s="60" t="s">
        <v>5</v>
      </c>
      <c r="D9" s="68">
        <v>68</v>
      </c>
      <c r="E9" s="6">
        <v>0.5</v>
      </c>
      <c r="F9" s="6">
        <f>285+40+50+20+50+50+40+60+92+36+30+50+20+50+40+30+50+30+20+60+5+40+30+30+20+40+80+20+59+85+50+35+10+60+20+30+40+60</f>
        <v>1817</v>
      </c>
      <c r="G9" s="71">
        <f t="shared" si="2"/>
        <v>34</v>
      </c>
      <c r="H9" s="73">
        <f t="shared" si="3"/>
        <v>61778</v>
      </c>
      <c r="I9" s="64">
        <f t="shared" si="4"/>
        <v>0.88230711804992057</v>
      </c>
      <c r="J9" s="134">
        <f t="shared" si="5"/>
        <v>34.882307118049923</v>
      </c>
      <c r="K9" s="65">
        <f t="shared" si="6"/>
        <v>63381.152033496706</v>
      </c>
      <c r="L9" s="72">
        <v>40</v>
      </c>
      <c r="M9" s="63">
        <f t="shared" si="7"/>
        <v>72680</v>
      </c>
      <c r="N9" s="63">
        <f t="shared" ca="1" si="8"/>
        <v>70560</v>
      </c>
      <c r="O9" s="67">
        <f t="shared" ca="1" si="9"/>
        <v>54</v>
      </c>
      <c r="P9" s="57">
        <v>-1</v>
      </c>
      <c r="Q9" s="57">
        <v>1673</v>
      </c>
      <c r="R9" s="60">
        <v>0</v>
      </c>
      <c r="S9" s="60">
        <v>1</v>
      </c>
      <c r="T9" s="60">
        <v>7</v>
      </c>
      <c r="U9" s="60">
        <v>1</v>
      </c>
      <c r="V9" s="60">
        <v>3</v>
      </c>
      <c r="W9" s="60">
        <v>1</v>
      </c>
      <c r="X9" s="60">
        <v>0</v>
      </c>
      <c r="Y9" s="60">
        <v>5</v>
      </c>
      <c r="Z9" s="60">
        <v>12</v>
      </c>
      <c r="AA9" s="60">
        <v>0</v>
      </c>
      <c r="AB9" s="60">
        <v>8</v>
      </c>
      <c r="AC9" s="60">
        <v>1</v>
      </c>
      <c r="AD9" s="60">
        <v>2</v>
      </c>
      <c r="AE9" s="60">
        <v>6</v>
      </c>
      <c r="AF9" s="60">
        <v>3</v>
      </c>
      <c r="AG9" s="60">
        <v>9</v>
      </c>
      <c r="AH9" s="60">
        <v>10</v>
      </c>
      <c r="AI9" s="60">
        <v>4</v>
      </c>
      <c r="AJ9" s="60">
        <v>8</v>
      </c>
      <c r="AK9" s="60">
        <f ca="1">SUMIFS('Tổng Đơn'!$F:$F,'Tổng Đơn'!$B:$B,$C9)</f>
        <v>10</v>
      </c>
      <c r="AL9" s="60">
        <v>0</v>
      </c>
      <c r="AM9" s="60">
        <v>0</v>
      </c>
      <c r="AN9" s="60">
        <v>0</v>
      </c>
      <c r="AO9" s="60">
        <v>0</v>
      </c>
      <c r="AP9" s="60">
        <v>0</v>
      </c>
      <c r="AQ9" s="60">
        <v>0</v>
      </c>
      <c r="AR9" s="60">
        <v>0</v>
      </c>
      <c r="AS9" s="60">
        <v>0</v>
      </c>
      <c r="AT9" s="60">
        <v>0</v>
      </c>
      <c r="AU9" s="60">
        <v>0</v>
      </c>
      <c r="AV9" s="60">
        <v>0</v>
      </c>
      <c r="AW9" s="239">
        <v>0</v>
      </c>
      <c r="AX9" s="58">
        <f t="shared" si="10"/>
        <v>0</v>
      </c>
    </row>
    <row r="10" spans="1:50" ht="18" hidden="1" x14ac:dyDescent="0.25">
      <c r="A10" s="58">
        <f t="shared" si="1"/>
        <v>0</v>
      </c>
      <c r="B10" s="6">
        <v>6</v>
      </c>
      <c r="C10" s="60" t="s">
        <v>6</v>
      </c>
      <c r="D10" s="68">
        <v>86</v>
      </c>
      <c r="E10" s="6">
        <v>0.5</v>
      </c>
      <c r="F10" s="6">
        <f>76+10</f>
        <v>86</v>
      </c>
      <c r="G10" s="71">
        <f t="shared" si="2"/>
        <v>43</v>
      </c>
      <c r="H10" s="73">
        <f t="shared" si="3"/>
        <v>3698</v>
      </c>
      <c r="I10" s="64">
        <f t="shared" si="4"/>
        <v>1.1158590022396053</v>
      </c>
      <c r="J10" s="134">
        <f t="shared" si="5"/>
        <v>44.115859002239603</v>
      </c>
      <c r="K10" s="65">
        <f t="shared" si="6"/>
        <v>3793.963874192606</v>
      </c>
      <c r="L10" s="72">
        <v>50</v>
      </c>
      <c r="M10" s="63">
        <f t="shared" si="7"/>
        <v>4300</v>
      </c>
      <c r="N10" s="63">
        <f t="shared" si="8"/>
        <v>4200</v>
      </c>
      <c r="O10" s="67">
        <f t="shared" si="9"/>
        <v>0</v>
      </c>
      <c r="P10" s="57">
        <v>2</v>
      </c>
      <c r="Q10" s="57">
        <v>84</v>
      </c>
      <c r="R10" s="60">
        <v>0</v>
      </c>
      <c r="S10" s="60">
        <v>0</v>
      </c>
      <c r="T10" s="60">
        <v>0</v>
      </c>
      <c r="U10" s="60">
        <v>0</v>
      </c>
      <c r="V10" s="60">
        <v>0</v>
      </c>
      <c r="W10" s="60">
        <v>0</v>
      </c>
      <c r="X10" s="60">
        <v>0</v>
      </c>
      <c r="Y10" s="60">
        <v>0</v>
      </c>
      <c r="Z10" s="60">
        <v>0</v>
      </c>
      <c r="AA10" s="60">
        <v>0</v>
      </c>
      <c r="AB10" s="60">
        <v>0</v>
      </c>
      <c r="AC10" s="60">
        <v>0</v>
      </c>
      <c r="AD10" s="60">
        <v>0</v>
      </c>
      <c r="AE10" s="60">
        <v>0</v>
      </c>
      <c r="AF10" s="60">
        <v>0</v>
      </c>
      <c r="AG10" s="60">
        <v>0</v>
      </c>
      <c r="AH10" s="60">
        <v>0</v>
      </c>
      <c r="AI10" s="60">
        <v>0</v>
      </c>
      <c r="AJ10" s="60">
        <v>0</v>
      </c>
      <c r="AK10" s="60">
        <f>SUMIFS('Tổng Đơn'!$F:$F,'Tổng Đơn'!$B:$B,$C10)</f>
        <v>0</v>
      </c>
      <c r="AL10" s="60">
        <v>0</v>
      </c>
      <c r="AM10" s="60">
        <v>0</v>
      </c>
      <c r="AN10" s="60">
        <v>0</v>
      </c>
      <c r="AO10" s="60">
        <v>0</v>
      </c>
      <c r="AP10" s="60">
        <v>0</v>
      </c>
      <c r="AQ10" s="60">
        <v>0</v>
      </c>
      <c r="AR10" s="60">
        <v>0</v>
      </c>
      <c r="AS10" s="60">
        <v>0</v>
      </c>
      <c r="AT10" s="60">
        <v>0</v>
      </c>
      <c r="AU10" s="60">
        <v>0</v>
      </c>
      <c r="AV10" s="60">
        <v>0</v>
      </c>
      <c r="AW10" s="239">
        <v>0</v>
      </c>
      <c r="AX10" s="58">
        <f t="shared" si="10"/>
        <v>0</v>
      </c>
    </row>
    <row r="11" spans="1:50" ht="18" hidden="1" x14ac:dyDescent="0.25">
      <c r="A11" s="58">
        <f t="shared" si="1"/>
        <v>0</v>
      </c>
      <c r="B11" s="6">
        <v>7</v>
      </c>
      <c r="C11" s="60" t="s">
        <v>222</v>
      </c>
      <c r="D11" s="68">
        <v>55</v>
      </c>
      <c r="E11" s="6">
        <v>0.5</v>
      </c>
      <c r="F11" s="6">
        <v>20</v>
      </c>
      <c r="G11" s="71">
        <f t="shared" si="2"/>
        <v>27.5</v>
      </c>
      <c r="H11" s="73">
        <f t="shared" si="3"/>
        <v>550</v>
      </c>
      <c r="I11" s="64">
        <f t="shared" si="4"/>
        <v>0.71363075724625924</v>
      </c>
      <c r="J11" s="134">
        <f t="shared" si="5"/>
        <v>28.213630757246261</v>
      </c>
      <c r="K11" s="65">
        <f t="shared" si="6"/>
        <v>564.27261514492523</v>
      </c>
      <c r="L11" s="72">
        <v>34</v>
      </c>
      <c r="M11" s="63">
        <f t="shared" si="7"/>
        <v>680</v>
      </c>
      <c r="N11" s="63">
        <f t="shared" si="8"/>
        <v>680</v>
      </c>
      <c r="O11" s="67">
        <f t="shared" si="9"/>
        <v>0</v>
      </c>
      <c r="P11" s="57"/>
      <c r="Q11" s="57">
        <v>20</v>
      </c>
      <c r="R11" s="60">
        <v>0</v>
      </c>
      <c r="S11" s="60">
        <v>0</v>
      </c>
      <c r="T11" s="60">
        <v>0</v>
      </c>
      <c r="U11" s="60">
        <v>0</v>
      </c>
      <c r="V11" s="60">
        <v>0</v>
      </c>
      <c r="W11" s="60">
        <v>0</v>
      </c>
      <c r="X11" s="60">
        <v>0</v>
      </c>
      <c r="Y11" s="60">
        <v>0</v>
      </c>
      <c r="Z11" s="60">
        <v>0</v>
      </c>
      <c r="AA11" s="60">
        <v>0</v>
      </c>
      <c r="AB11" s="60">
        <v>0</v>
      </c>
      <c r="AC11" s="60">
        <v>0</v>
      </c>
      <c r="AD11" s="60">
        <v>0</v>
      </c>
      <c r="AE11" s="60">
        <v>0</v>
      </c>
      <c r="AF11" s="60">
        <v>0</v>
      </c>
      <c r="AG11" s="60">
        <v>0</v>
      </c>
      <c r="AH11" s="60">
        <v>0</v>
      </c>
      <c r="AI11" s="60">
        <v>0</v>
      </c>
      <c r="AJ11" s="60">
        <v>0</v>
      </c>
      <c r="AK11" s="60">
        <f>SUMIFS('Tổng Đơn'!$F:$F,'Tổng Đơn'!$B:$B,$C11)</f>
        <v>0</v>
      </c>
      <c r="AL11" s="60">
        <v>0</v>
      </c>
      <c r="AM11" s="60">
        <v>0</v>
      </c>
      <c r="AN11" s="60">
        <v>0</v>
      </c>
      <c r="AO11" s="60">
        <v>0</v>
      </c>
      <c r="AP11" s="60">
        <v>0</v>
      </c>
      <c r="AQ11" s="60">
        <v>0</v>
      </c>
      <c r="AR11" s="60">
        <v>0</v>
      </c>
      <c r="AS11" s="60">
        <v>0</v>
      </c>
      <c r="AT11" s="60">
        <v>0</v>
      </c>
      <c r="AU11" s="60">
        <v>0</v>
      </c>
      <c r="AV11" s="60">
        <v>0</v>
      </c>
      <c r="AW11" s="239">
        <v>0</v>
      </c>
      <c r="AX11" s="58">
        <f t="shared" si="10"/>
        <v>0</v>
      </c>
    </row>
    <row r="12" spans="1:50" ht="19.5" hidden="1" customHeight="1" x14ac:dyDescent="0.25">
      <c r="A12" s="58">
        <f t="shared" si="1"/>
        <v>0</v>
      </c>
      <c r="B12" s="6">
        <v>8</v>
      </c>
      <c r="C12" s="60" t="s">
        <v>7</v>
      </c>
      <c r="D12" s="68">
        <v>115</v>
      </c>
      <c r="E12" s="6">
        <v>0.5</v>
      </c>
      <c r="F12" s="6">
        <v>38</v>
      </c>
      <c r="G12" s="71">
        <f t="shared" si="2"/>
        <v>57.5</v>
      </c>
      <c r="H12" s="73">
        <f t="shared" si="3"/>
        <v>2185</v>
      </c>
      <c r="I12" s="64">
        <f t="shared" si="4"/>
        <v>1.4921370378785419</v>
      </c>
      <c r="J12" s="134">
        <f t="shared" si="5"/>
        <v>58.992137037878543</v>
      </c>
      <c r="K12" s="65">
        <f t="shared" si="6"/>
        <v>2241.7012074393847</v>
      </c>
      <c r="L12" s="72">
        <v>69</v>
      </c>
      <c r="M12" s="63">
        <f t="shared" si="7"/>
        <v>2622</v>
      </c>
      <c r="N12" s="63">
        <f t="shared" si="8"/>
        <v>1863</v>
      </c>
      <c r="O12" s="67">
        <f t="shared" si="9"/>
        <v>0</v>
      </c>
      <c r="P12" s="57">
        <v>11</v>
      </c>
      <c r="Q12" s="57">
        <v>27</v>
      </c>
      <c r="R12" s="60">
        <v>0</v>
      </c>
      <c r="S12" s="60">
        <v>0</v>
      </c>
      <c r="T12" s="60">
        <v>0</v>
      </c>
      <c r="U12" s="60">
        <v>0</v>
      </c>
      <c r="V12" s="60">
        <v>0</v>
      </c>
      <c r="W12" s="60">
        <v>0</v>
      </c>
      <c r="X12" s="60">
        <v>0</v>
      </c>
      <c r="Y12" s="60">
        <v>0</v>
      </c>
      <c r="Z12" s="60">
        <v>0</v>
      </c>
      <c r="AA12" s="60">
        <v>0</v>
      </c>
      <c r="AB12" s="60">
        <v>0</v>
      </c>
      <c r="AC12" s="60">
        <v>0</v>
      </c>
      <c r="AD12" s="60">
        <v>0</v>
      </c>
      <c r="AE12" s="60">
        <v>0</v>
      </c>
      <c r="AF12" s="60">
        <v>0</v>
      </c>
      <c r="AG12" s="60">
        <v>0</v>
      </c>
      <c r="AH12" s="60">
        <v>0</v>
      </c>
      <c r="AI12" s="60">
        <v>0</v>
      </c>
      <c r="AJ12" s="60">
        <v>0</v>
      </c>
      <c r="AK12" s="60">
        <f>SUMIFS('Tổng Đơn'!$F:$F,'Tổng Đơn'!$B:$B,$C12)</f>
        <v>0</v>
      </c>
      <c r="AL12" s="60">
        <v>0</v>
      </c>
      <c r="AM12" s="60">
        <v>0</v>
      </c>
      <c r="AN12" s="60">
        <v>0</v>
      </c>
      <c r="AO12" s="60">
        <v>0</v>
      </c>
      <c r="AP12" s="60">
        <v>0</v>
      </c>
      <c r="AQ12" s="60">
        <v>0</v>
      </c>
      <c r="AR12" s="60">
        <v>0</v>
      </c>
      <c r="AS12" s="60">
        <v>0</v>
      </c>
      <c r="AT12" s="60">
        <v>0</v>
      </c>
      <c r="AU12" s="60">
        <v>0</v>
      </c>
      <c r="AV12" s="60">
        <v>0</v>
      </c>
      <c r="AW12" s="239">
        <v>0</v>
      </c>
      <c r="AX12" s="58">
        <f t="shared" si="10"/>
        <v>0</v>
      </c>
    </row>
    <row r="13" spans="1:50" ht="18" hidden="1" x14ac:dyDescent="0.25">
      <c r="A13" s="58">
        <f t="shared" ca="1" si="1"/>
        <v>0</v>
      </c>
      <c r="B13" s="6">
        <v>9</v>
      </c>
      <c r="C13" s="60" t="s">
        <v>8</v>
      </c>
      <c r="D13" s="68">
        <v>85</v>
      </c>
      <c r="E13" s="6">
        <v>0.5</v>
      </c>
      <c r="F13" s="6">
        <f>190+30</f>
        <v>220</v>
      </c>
      <c r="G13" s="71">
        <f t="shared" si="2"/>
        <v>42.5</v>
      </c>
      <c r="H13" s="73">
        <f t="shared" si="3"/>
        <v>9350</v>
      </c>
      <c r="I13" s="64">
        <f t="shared" si="4"/>
        <v>1.1028838975624005</v>
      </c>
      <c r="J13" s="134">
        <f t="shared" si="5"/>
        <v>43.6028838975624</v>
      </c>
      <c r="K13" s="65">
        <f t="shared" si="6"/>
        <v>9592.6344574637278</v>
      </c>
      <c r="L13" s="72">
        <v>55</v>
      </c>
      <c r="M13" s="63">
        <f t="shared" si="7"/>
        <v>12100</v>
      </c>
      <c r="N13" s="63">
        <f t="shared" ca="1" si="8"/>
        <v>11715</v>
      </c>
      <c r="O13" s="67">
        <f t="shared" ca="1" si="9"/>
        <v>0</v>
      </c>
      <c r="P13" s="57">
        <v>7</v>
      </c>
      <c r="Q13" s="57">
        <v>213</v>
      </c>
      <c r="R13" s="60">
        <v>0</v>
      </c>
      <c r="S13" s="60">
        <v>0</v>
      </c>
      <c r="T13" s="60">
        <v>0</v>
      </c>
      <c r="U13" s="60">
        <v>0</v>
      </c>
      <c r="V13" s="60">
        <v>0</v>
      </c>
      <c r="W13" s="60">
        <v>0</v>
      </c>
      <c r="X13" s="60">
        <v>0</v>
      </c>
      <c r="Y13" s="60">
        <v>0</v>
      </c>
      <c r="Z13" s="60">
        <v>0</v>
      </c>
      <c r="AA13" s="60">
        <v>0</v>
      </c>
      <c r="AB13" s="60">
        <v>0</v>
      </c>
      <c r="AC13" s="60">
        <v>0</v>
      </c>
      <c r="AD13" s="60">
        <v>0</v>
      </c>
      <c r="AE13" s="60">
        <v>0</v>
      </c>
      <c r="AF13" s="60">
        <v>0</v>
      </c>
      <c r="AG13" s="60">
        <v>0</v>
      </c>
      <c r="AH13" s="60">
        <v>0</v>
      </c>
      <c r="AI13" s="60">
        <v>0</v>
      </c>
      <c r="AJ13" s="60">
        <v>0</v>
      </c>
      <c r="AK13" s="60">
        <f ca="1">SUMIFS('Tổng Đơn'!$F:$F,'Tổng Đơn'!$B:$B,$C13)</f>
        <v>0</v>
      </c>
      <c r="AL13" s="60">
        <v>0</v>
      </c>
      <c r="AM13" s="60">
        <v>0</v>
      </c>
      <c r="AN13" s="60">
        <v>0</v>
      </c>
      <c r="AO13" s="60">
        <v>0</v>
      </c>
      <c r="AP13" s="60">
        <v>0</v>
      </c>
      <c r="AQ13" s="60">
        <v>0</v>
      </c>
      <c r="AR13" s="60">
        <v>0</v>
      </c>
      <c r="AS13" s="60">
        <v>0</v>
      </c>
      <c r="AT13" s="60">
        <v>0</v>
      </c>
      <c r="AU13" s="60">
        <v>0</v>
      </c>
      <c r="AV13" s="60">
        <v>0</v>
      </c>
      <c r="AW13" s="239">
        <v>0</v>
      </c>
      <c r="AX13" s="58">
        <f t="shared" si="10"/>
        <v>0</v>
      </c>
    </row>
    <row r="14" spans="1:50" ht="18" hidden="1" x14ac:dyDescent="0.25">
      <c r="A14" s="58">
        <f t="shared" si="1"/>
        <v>0</v>
      </c>
      <c r="B14" s="6">
        <v>10</v>
      </c>
      <c r="C14" s="60" t="s">
        <v>9</v>
      </c>
      <c r="D14" s="68">
        <v>54</v>
      </c>
      <c r="E14" s="6">
        <v>0.5</v>
      </c>
      <c r="F14" s="6">
        <v>30</v>
      </c>
      <c r="G14" s="71">
        <f t="shared" si="2"/>
        <v>27</v>
      </c>
      <c r="H14" s="73">
        <f t="shared" si="3"/>
        <v>810</v>
      </c>
      <c r="I14" s="64">
        <f t="shared" si="4"/>
        <v>0.70065565256905449</v>
      </c>
      <c r="J14" s="134">
        <f t="shared" si="5"/>
        <v>27.700655652569054</v>
      </c>
      <c r="K14" s="65">
        <f t="shared" si="6"/>
        <v>831.01966957707168</v>
      </c>
      <c r="L14" s="72">
        <v>32</v>
      </c>
      <c r="M14" s="63">
        <f t="shared" si="7"/>
        <v>960</v>
      </c>
      <c r="N14" s="63">
        <f t="shared" si="8"/>
        <v>960</v>
      </c>
      <c r="O14" s="67">
        <f t="shared" si="9"/>
        <v>0</v>
      </c>
      <c r="P14" s="57"/>
      <c r="Q14" s="57">
        <v>30</v>
      </c>
      <c r="R14" s="60">
        <v>0</v>
      </c>
      <c r="S14" s="60">
        <v>0</v>
      </c>
      <c r="T14" s="60">
        <v>0</v>
      </c>
      <c r="U14" s="60">
        <v>0</v>
      </c>
      <c r="V14" s="60">
        <v>0</v>
      </c>
      <c r="W14" s="60">
        <v>0</v>
      </c>
      <c r="X14" s="60">
        <v>0</v>
      </c>
      <c r="Y14" s="60">
        <v>0</v>
      </c>
      <c r="Z14" s="60">
        <v>0</v>
      </c>
      <c r="AA14" s="60">
        <v>0</v>
      </c>
      <c r="AB14" s="60">
        <v>0</v>
      </c>
      <c r="AC14" s="60">
        <v>0</v>
      </c>
      <c r="AD14" s="60">
        <v>0</v>
      </c>
      <c r="AE14" s="60">
        <v>0</v>
      </c>
      <c r="AF14" s="60">
        <v>0</v>
      </c>
      <c r="AG14" s="60">
        <v>0</v>
      </c>
      <c r="AH14" s="60">
        <v>0</v>
      </c>
      <c r="AI14" s="60">
        <v>0</v>
      </c>
      <c r="AJ14" s="60">
        <v>0</v>
      </c>
      <c r="AK14" s="60">
        <f>SUMIFS('Tổng Đơn'!$F:$F,'Tổng Đơn'!$B:$B,$C14)</f>
        <v>0</v>
      </c>
      <c r="AL14" s="60">
        <v>0</v>
      </c>
      <c r="AM14" s="60">
        <v>0</v>
      </c>
      <c r="AN14" s="60">
        <v>0</v>
      </c>
      <c r="AO14" s="60">
        <v>0</v>
      </c>
      <c r="AP14" s="60">
        <v>0</v>
      </c>
      <c r="AQ14" s="60">
        <v>0</v>
      </c>
      <c r="AR14" s="60">
        <v>0</v>
      </c>
      <c r="AS14" s="60">
        <v>0</v>
      </c>
      <c r="AT14" s="60">
        <v>0</v>
      </c>
      <c r="AU14" s="60">
        <v>0</v>
      </c>
      <c r="AV14" s="60">
        <v>0</v>
      </c>
      <c r="AW14" s="239">
        <v>0</v>
      </c>
      <c r="AX14" s="58">
        <f t="shared" si="10"/>
        <v>0</v>
      </c>
    </row>
    <row r="15" spans="1:50" ht="18" hidden="1" x14ac:dyDescent="0.25">
      <c r="A15" s="58">
        <f t="shared" si="1"/>
        <v>0</v>
      </c>
      <c r="B15" s="6">
        <v>11</v>
      </c>
      <c r="C15" s="60" t="s">
        <v>10</v>
      </c>
      <c r="D15" s="68">
        <v>54</v>
      </c>
      <c r="E15" s="6">
        <v>0.5</v>
      </c>
      <c r="F15" s="6">
        <v>10</v>
      </c>
      <c r="G15" s="71">
        <f t="shared" si="2"/>
        <v>27</v>
      </c>
      <c r="H15" s="73">
        <f t="shared" si="3"/>
        <v>270</v>
      </c>
      <c r="I15" s="64">
        <f t="shared" si="4"/>
        <v>0.70065565256905449</v>
      </c>
      <c r="J15" s="134">
        <f t="shared" si="5"/>
        <v>27.700655652569054</v>
      </c>
      <c r="K15" s="65">
        <f t="shared" si="6"/>
        <v>277.00655652569054</v>
      </c>
      <c r="L15" s="72">
        <v>35</v>
      </c>
      <c r="M15" s="63">
        <f t="shared" si="7"/>
        <v>350</v>
      </c>
      <c r="N15" s="63">
        <f t="shared" si="8"/>
        <v>350</v>
      </c>
      <c r="O15" s="67">
        <f t="shared" si="9"/>
        <v>0</v>
      </c>
      <c r="P15" s="57"/>
      <c r="Q15" s="57">
        <v>10</v>
      </c>
      <c r="R15" s="60">
        <v>0</v>
      </c>
      <c r="S15" s="60">
        <v>0</v>
      </c>
      <c r="T15" s="60">
        <v>0</v>
      </c>
      <c r="U15" s="60">
        <v>0</v>
      </c>
      <c r="V15" s="60">
        <v>0</v>
      </c>
      <c r="W15" s="60">
        <v>0</v>
      </c>
      <c r="X15" s="60">
        <v>0</v>
      </c>
      <c r="Y15" s="60">
        <v>0</v>
      </c>
      <c r="Z15" s="60">
        <v>0</v>
      </c>
      <c r="AA15" s="60">
        <v>0</v>
      </c>
      <c r="AB15" s="60">
        <v>0</v>
      </c>
      <c r="AC15" s="60">
        <v>0</v>
      </c>
      <c r="AD15" s="60">
        <v>0</v>
      </c>
      <c r="AE15" s="60">
        <v>0</v>
      </c>
      <c r="AF15" s="60">
        <v>0</v>
      </c>
      <c r="AG15" s="60">
        <v>0</v>
      </c>
      <c r="AH15" s="60">
        <v>0</v>
      </c>
      <c r="AI15" s="60">
        <v>0</v>
      </c>
      <c r="AJ15" s="60">
        <v>0</v>
      </c>
      <c r="AK15" s="60">
        <f>SUMIFS('Tổng Đơn'!$F:$F,'Tổng Đơn'!$B:$B,$C15)</f>
        <v>0</v>
      </c>
      <c r="AL15" s="60">
        <v>0</v>
      </c>
      <c r="AM15" s="60">
        <v>0</v>
      </c>
      <c r="AN15" s="60">
        <v>0</v>
      </c>
      <c r="AO15" s="60">
        <v>0</v>
      </c>
      <c r="AP15" s="60">
        <v>0</v>
      </c>
      <c r="AQ15" s="60">
        <v>0</v>
      </c>
      <c r="AR15" s="60">
        <v>0</v>
      </c>
      <c r="AS15" s="60">
        <v>0</v>
      </c>
      <c r="AT15" s="60">
        <v>0</v>
      </c>
      <c r="AU15" s="60">
        <v>0</v>
      </c>
      <c r="AV15" s="60">
        <v>0</v>
      </c>
      <c r="AW15" s="239">
        <v>0</v>
      </c>
      <c r="AX15" s="58">
        <f t="shared" si="10"/>
        <v>0</v>
      </c>
    </row>
    <row r="16" spans="1:50" ht="18" hidden="1" x14ac:dyDescent="0.25">
      <c r="A16" s="58">
        <f t="shared" si="1"/>
        <v>0</v>
      </c>
      <c r="B16" s="6">
        <v>12</v>
      </c>
      <c r="C16" s="60" t="s">
        <v>11</v>
      </c>
      <c r="D16" s="68">
        <v>41</v>
      </c>
      <c r="E16" s="6">
        <v>0.5</v>
      </c>
      <c r="F16" s="6">
        <v>160</v>
      </c>
      <c r="G16" s="71">
        <f t="shared" si="2"/>
        <v>20.5</v>
      </c>
      <c r="H16" s="73">
        <f t="shared" si="3"/>
        <v>3280</v>
      </c>
      <c r="I16" s="64">
        <f t="shared" si="4"/>
        <v>0.53197929176539327</v>
      </c>
      <c r="J16" s="134">
        <f t="shared" si="5"/>
        <v>21.031979291765392</v>
      </c>
      <c r="K16" s="65">
        <f t="shared" si="6"/>
        <v>3365.1166866824628</v>
      </c>
      <c r="L16" s="72">
        <v>26</v>
      </c>
      <c r="M16" s="63">
        <f t="shared" si="7"/>
        <v>4160</v>
      </c>
      <c r="N16" s="63">
        <f t="shared" si="8"/>
        <v>4160</v>
      </c>
      <c r="O16" s="67">
        <f t="shared" si="9"/>
        <v>0</v>
      </c>
      <c r="P16" s="57"/>
      <c r="Q16" s="57">
        <v>160</v>
      </c>
      <c r="R16" s="60">
        <v>0</v>
      </c>
      <c r="S16" s="60">
        <v>0</v>
      </c>
      <c r="T16" s="60">
        <v>0</v>
      </c>
      <c r="U16" s="60">
        <v>0</v>
      </c>
      <c r="V16" s="60">
        <v>0</v>
      </c>
      <c r="W16" s="60">
        <v>0</v>
      </c>
      <c r="X16" s="60">
        <v>0</v>
      </c>
      <c r="Y16" s="60">
        <v>0</v>
      </c>
      <c r="Z16" s="60">
        <v>0</v>
      </c>
      <c r="AA16" s="60">
        <v>0</v>
      </c>
      <c r="AB16" s="60">
        <v>0</v>
      </c>
      <c r="AC16" s="60">
        <v>0</v>
      </c>
      <c r="AD16" s="60">
        <v>0</v>
      </c>
      <c r="AE16" s="60">
        <v>0</v>
      </c>
      <c r="AF16" s="60">
        <v>0</v>
      </c>
      <c r="AG16" s="60">
        <v>0</v>
      </c>
      <c r="AH16" s="60">
        <v>0</v>
      </c>
      <c r="AI16" s="60">
        <v>0</v>
      </c>
      <c r="AJ16" s="60">
        <v>0</v>
      </c>
      <c r="AK16" s="60">
        <f>SUMIFS('Tổng Đơn'!$F:$F,'Tổng Đơn'!$B:$B,$C16)</f>
        <v>0</v>
      </c>
      <c r="AL16" s="60">
        <v>0</v>
      </c>
      <c r="AM16" s="60">
        <v>0</v>
      </c>
      <c r="AN16" s="60">
        <v>0</v>
      </c>
      <c r="AO16" s="60">
        <v>0</v>
      </c>
      <c r="AP16" s="60">
        <v>0</v>
      </c>
      <c r="AQ16" s="60">
        <v>0</v>
      </c>
      <c r="AR16" s="60">
        <v>0</v>
      </c>
      <c r="AS16" s="60">
        <v>0</v>
      </c>
      <c r="AT16" s="60">
        <v>0</v>
      </c>
      <c r="AU16" s="60">
        <v>0</v>
      </c>
      <c r="AV16" s="60">
        <v>0</v>
      </c>
      <c r="AW16" s="239">
        <v>0</v>
      </c>
      <c r="AX16" s="58">
        <f t="shared" si="10"/>
        <v>0</v>
      </c>
    </row>
    <row r="17" spans="1:50" ht="18" hidden="1" x14ac:dyDescent="0.25">
      <c r="A17" s="58">
        <f t="shared" si="1"/>
        <v>0</v>
      </c>
      <c r="B17" s="6">
        <v>13</v>
      </c>
      <c r="C17" s="60" t="s">
        <v>12</v>
      </c>
      <c r="D17" s="68">
        <v>41</v>
      </c>
      <c r="E17" s="6">
        <v>0.5</v>
      </c>
      <c r="F17" s="6">
        <v>110</v>
      </c>
      <c r="G17" s="71">
        <f t="shared" si="2"/>
        <v>20.5</v>
      </c>
      <c r="H17" s="73">
        <f t="shared" si="3"/>
        <v>2255</v>
      </c>
      <c r="I17" s="64">
        <f t="shared" si="4"/>
        <v>0.53197929176539327</v>
      </c>
      <c r="J17" s="134">
        <f t="shared" si="5"/>
        <v>21.031979291765392</v>
      </c>
      <c r="K17" s="65">
        <f t="shared" si="6"/>
        <v>2313.5177220941932</v>
      </c>
      <c r="L17" s="72">
        <v>28</v>
      </c>
      <c r="M17" s="63">
        <f t="shared" si="7"/>
        <v>3080</v>
      </c>
      <c r="N17" s="63">
        <f t="shared" si="8"/>
        <v>3080</v>
      </c>
      <c r="O17" s="67">
        <f t="shared" si="9"/>
        <v>0</v>
      </c>
      <c r="P17" s="57"/>
      <c r="Q17" s="57">
        <v>110</v>
      </c>
      <c r="R17" s="60">
        <v>0</v>
      </c>
      <c r="S17" s="60">
        <v>0</v>
      </c>
      <c r="T17" s="60">
        <v>0</v>
      </c>
      <c r="U17" s="60">
        <v>0</v>
      </c>
      <c r="V17" s="60">
        <v>0</v>
      </c>
      <c r="W17" s="60">
        <v>0</v>
      </c>
      <c r="X17" s="60">
        <v>0</v>
      </c>
      <c r="Y17" s="60">
        <v>0</v>
      </c>
      <c r="Z17" s="60">
        <v>0</v>
      </c>
      <c r="AA17" s="60">
        <v>0</v>
      </c>
      <c r="AB17" s="60">
        <v>0</v>
      </c>
      <c r="AC17" s="60">
        <v>0</v>
      </c>
      <c r="AD17" s="60">
        <v>0</v>
      </c>
      <c r="AE17" s="60">
        <v>0</v>
      </c>
      <c r="AF17" s="60">
        <v>0</v>
      </c>
      <c r="AG17" s="60">
        <v>0</v>
      </c>
      <c r="AH17" s="60">
        <v>0</v>
      </c>
      <c r="AI17" s="60">
        <v>0</v>
      </c>
      <c r="AJ17" s="60">
        <v>0</v>
      </c>
      <c r="AK17" s="60">
        <f>SUMIFS('Tổng Đơn'!$F:$F,'Tổng Đơn'!$B:$B,$C17)</f>
        <v>0</v>
      </c>
      <c r="AL17" s="60">
        <v>0</v>
      </c>
      <c r="AM17" s="60">
        <v>0</v>
      </c>
      <c r="AN17" s="60">
        <v>0</v>
      </c>
      <c r="AO17" s="60">
        <v>0</v>
      </c>
      <c r="AP17" s="60">
        <v>0</v>
      </c>
      <c r="AQ17" s="60">
        <v>0</v>
      </c>
      <c r="AR17" s="60">
        <v>0</v>
      </c>
      <c r="AS17" s="60">
        <v>0</v>
      </c>
      <c r="AT17" s="60">
        <v>0</v>
      </c>
      <c r="AU17" s="60">
        <v>0</v>
      </c>
      <c r="AV17" s="60">
        <v>0</v>
      </c>
      <c r="AW17" s="239">
        <v>0</v>
      </c>
      <c r="AX17" s="58">
        <f t="shared" si="10"/>
        <v>0</v>
      </c>
    </row>
    <row r="18" spans="1:50" ht="18" x14ac:dyDescent="0.25">
      <c r="A18" s="58">
        <f t="shared" ca="1" si="1"/>
        <v>555.55203836541273</v>
      </c>
      <c r="B18" s="6">
        <v>14</v>
      </c>
      <c r="C18" s="60" t="s">
        <v>13</v>
      </c>
      <c r="D18" s="68">
        <v>57</v>
      </c>
      <c r="E18" s="6">
        <v>0.5</v>
      </c>
      <c r="F18" s="6">
        <f>30+46+100+40+60+50+40+100+100+70+80+100+50+60+100+100+60+40+100+70+110+61+30+60+100+120+80+80+80+100+80+50+80+80+100+50+100</f>
        <v>2757</v>
      </c>
      <c r="G18" s="71">
        <f>D18/2</f>
        <v>28.5</v>
      </c>
      <c r="H18" s="73">
        <f t="shared" ref="H18" si="11">G18*F18</f>
        <v>78574.5</v>
      </c>
      <c r="I18" s="64">
        <f t="shared" si="4"/>
        <v>0.73958096660066863</v>
      </c>
      <c r="J18" s="134">
        <f t="shared" si="5"/>
        <v>29.23958096660067</v>
      </c>
      <c r="K18" s="65">
        <f t="shared" si="6"/>
        <v>80613.524724918054</v>
      </c>
      <c r="L18" s="72">
        <v>33</v>
      </c>
      <c r="M18" s="63">
        <f t="shared" ref="M18" si="12">L18*F18</f>
        <v>90981</v>
      </c>
      <c r="N18" s="63">
        <f t="shared" ca="1" si="8"/>
        <v>90354</v>
      </c>
      <c r="O18" s="67">
        <f t="shared" ca="1" si="9"/>
        <v>19</v>
      </c>
      <c r="P18" s="57">
        <v>0</v>
      </c>
      <c r="Q18" s="57">
        <v>2416</v>
      </c>
      <c r="R18" s="60">
        <v>35</v>
      </c>
      <c r="S18" s="60">
        <f>12+4</f>
        <v>16</v>
      </c>
      <c r="T18" s="60">
        <v>0</v>
      </c>
      <c r="U18" s="60">
        <v>10</v>
      </c>
      <c r="V18" s="60">
        <v>1</v>
      </c>
      <c r="W18" s="60">
        <v>0</v>
      </c>
      <c r="X18" s="60">
        <v>20</v>
      </c>
      <c r="Y18" s="60">
        <v>9</v>
      </c>
      <c r="Z18" s="60">
        <v>0</v>
      </c>
      <c r="AA18" s="60">
        <v>2</v>
      </c>
      <c r="AB18" s="60">
        <v>10</v>
      </c>
      <c r="AC18" s="60">
        <v>10</v>
      </c>
      <c r="AD18" s="60">
        <v>8</v>
      </c>
      <c r="AE18" s="60">
        <v>37</v>
      </c>
      <c r="AF18" s="60">
        <v>12</v>
      </c>
      <c r="AG18" s="60">
        <v>14</v>
      </c>
      <c r="AH18" s="60">
        <f>10-8</f>
        <v>2</v>
      </c>
      <c r="AI18" s="60">
        <v>52</v>
      </c>
      <c r="AJ18" s="60">
        <v>41</v>
      </c>
      <c r="AK18" s="60">
        <f ca="1">SUMIFS('Tổng Đơn'!$F:$F,'Tổng Đơn'!$B:$B,$C18)</f>
        <v>43</v>
      </c>
      <c r="AL18" s="60">
        <v>0</v>
      </c>
      <c r="AM18" s="60">
        <v>0</v>
      </c>
      <c r="AN18" s="60">
        <v>0</v>
      </c>
      <c r="AO18" s="60">
        <v>0</v>
      </c>
      <c r="AP18" s="60">
        <v>0</v>
      </c>
      <c r="AQ18" s="60">
        <v>0</v>
      </c>
      <c r="AR18" s="60">
        <v>0</v>
      </c>
      <c r="AS18" s="60">
        <v>0</v>
      </c>
      <c r="AT18" s="60">
        <v>0</v>
      </c>
      <c r="AU18" s="60">
        <v>0</v>
      </c>
      <c r="AV18" s="60">
        <v>0</v>
      </c>
      <c r="AW18" s="239">
        <v>100</v>
      </c>
      <c r="AX18" s="58">
        <f t="shared" si="10"/>
        <v>2850</v>
      </c>
    </row>
    <row r="19" spans="1:50" ht="18" hidden="1" x14ac:dyDescent="0.25">
      <c r="A19" s="58">
        <f t="shared" si="1"/>
        <v>0</v>
      </c>
      <c r="B19" s="6">
        <v>15</v>
      </c>
      <c r="C19" s="60" t="s">
        <v>14</v>
      </c>
      <c r="D19" s="68">
        <v>60</v>
      </c>
      <c r="E19" s="6">
        <v>0.5</v>
      </c>
      <c r="F19" s="6">
        <v>10</v>
      </c>
      <c r="G19" s="71">
        <f t="shared" si="2"/>
        <v>30</v>
      </c>
      <c r="H19" s="73">
        <f t="shared" si="3"/>
        <v>300</v>
      </c>
      <c r="I19" s="64">
        <f t="shared" si="4"/>
        <v>0.77850628063228278</v>
      </c>
      <c r="J19" s="134">
        <f t="shared" si="5"/>
        <v>30.778506280632282</v>
      </c>
      <c r="K19" s="65">
        <f t="shared" si="6"/>
        <v>307.7850628063228</v>
      </c>
      <c r="L19" s="72">
        <v>35</v>
      </c>
      <c r="M19" s="63">
        <f t="shared" si="7"/>
        <v>350</v>
      </c>
      <c r="N19" s="63">
        <f t="shared" si="8"/>
        <v>350</v>
      </c>
      <c r="O19" s="67">
        <f t="shared" si="9"/>
        <v>0</v>
      </c>
      <c r="P19" s="57"/>
      <c r="Q19" s="57">
        <v>10</v>
      </c>
      <c r="R19" s="60">
        <v>0</v>
      </c>
      <c r="S19" s="60">
        <v>0</v>
      </c>
      <c r="T19" s="60">
        <v>0</v>
      </c>
      <c r="U19" s="60">
        <v>0</v>
      </c>
      <c r="V19" s="60">
        <v>0</v>
      </c>
      <c r="W19" s="60">
        <v>0</v>
      </c>
      <c r="X19" s="60">
        <v>0</v>
      </c>
      <c r="Y19" s="60">
        <v>0</v>
      </c>
      <c r="Z19" s="60">
        <v>0</v>
      </c>
      <c r="AA19" s="60">
        <v>0</v>
      </c>
      <c r="AB19" s="60">
        <v>0</v>
      </c>
      <c r="AC19" s="60">
        <v>0</v>
      </c>
      <c r="AD19" s="60">
        <v>0</v>
      </c>
      <c r="AE19" s="60">
        <v>0</v>
      </c>
      <c r="AF19" s="60">
        <v>0</v>
      </c>
      <c r="AG19" s="60">
        <v>0</v>
      </c>
      <c r="AH19" s="60">
        <v>0</v>
      </c>
      <c r="AI19" s="60">
        <v>0</v>
      </c>
      <c r="AJ19" s="60">
        <v>0</v>
      </c>
      <c r="AK19" s="60">
        <f>SUMIFS('Tổng Đơn'!$F:$F,'Tổng Đơn'!$B:$B,$C19)</f>
        <v>0</v>
      </c>
      <c r="AL19" s="60">
        <v>0</v>
      </c>
      <c r="AM19" s="60">
        <v>0</v>
      </c>
      <c r="AN19" s="60">
        <v>0</v>
      </c>
      <c r="AO19" s="60">
        <v>0</v>
      </c>
      <c r="AP19" s="60">
        <v>0</v>
      </c>
      <c r="AQ19" s="60">
        <v>0</v>
      </c>
      <c r="AR19" s="60">
        <v>0</v>
      </c>
      <c r="AS19" s="60">
        <v>0</v>
      </c>
      <c r="AT19" s="60">
        <v>0</v>
      </c>
      <c r="AU19" s="60">
        <v>0</v>
      </c>
      <c r="AV19" s="60">
        <v>0</v>
      </c>
      <c r="AW19" s="239">
        <v>0</v>
      </c>
      <c r="AX19" s="58">
        <f t="shared" si="10"/>
        <v>0</v>
      </c>
    </row>
    <row r="20" spans="1:50" ht="18" hidden="1" x14ac:dyDescent="0.25">
      <c r="A20" s="58">
        <f t="shared" si="1"/>
        <v>0</v>
      </c>
      <c r="B20" s="6">
        <v>16</v>
      </c>
      <c r="C20" s="60" t="s">
        <v>129</v>
      </c>
      <c r="D20" s="68">
        <v>54</v>
      </c>
      <c r="E20" s="6">
        <v>0.5</v>
      </c>
      <c r="F20" s="6">
        <v>10</v>
      </c>
      <c r="G20" s="71">
        <f t="shared" si="2"/>
        <v>27</v>
      </c>
      <c r="H20" s="73">
        <f t="shared" si="3"/>
        <v>270</v>
      </c>
      <c r="I20" s="64">
        <f t="shared" si="4"/>
        <v>0.70065565256905449</v>
      </c>
      <c r="J20" s="134">
        <f t="shared" ref="J20:J23" si="13">G20+I20</f>
        <v>27.700655652569054</v>
      </c>
      <c r="K20" s="65">
        <f t="shared" si="6"/>
        <v>277.00655652569054</v>
      </c>
      <c r="L20" s="72">
        <v>45</v>
      </c>
      <c r="M20" s="63">
        <f t="shared" si="7"/>
        <v>450</v>
      </c>
      <c r="N20" s="63">
        <f t="shared" si="8"/>
        <v>405</v>
      </c>
      <c r="O20" s="67">
        <f t="shared" si="9"/>
        <v>0</v>
      </c>
      <c r="P20" s="57">
        <v>1</v>
      </c>
      <c r="Q20" s="57">
        <v>9</v>
      </c>
      <c r="R20" s="60">
        <v>0</v>
      </c>
      <c r="S20" s="60">
        <v>0</v>
      </c>
      <c r="T20" s="60">
        <v>0</v>
      </c>
      <c r="U20" s="60">
        <v>0</v>
      </c>
      <c r="V20" s="60">
        <v>0</v>
      </c>
      <c r="W20" s="60">
        <v>0</v>
      </c>
      <c r="X20" s="60">
        <v>0</v>
      </c>
      <c r="Y20" s="60">
        <v>0</v>
      </c>
      <c r="Z20" s="60">
        <v>0</v>
      </c>
      <c r="AA20" s="60">
        <v>0</v>
      </c>
      <c r="AB20" s="60">
        <v>0</v>
      </c>
      <c r="AC20" s="60">
        <v>0</v>
      </c>
      <c r="AD20" s="60">
        <v>0</v>
      </c>
      <c r="AE20" s="60">
        <v>0</v>
      </c>
      <c r="AF20" s="60">
        <v>0</v>
      </c>
      <c r="AG20" s="60">
        <v>0</v>
      </c>
      <c r="AH20" s="60">
        <v>0</v>
      </c>
      <c r="AI20" s="60">
        <v>0</v>
      </c>
      <c r="AJ20" s="60">
        <v>0</v>
      </c>
      <c r="AK20" s="60">
        <f>SUMIFS('Tổng Đơn'!$F:$F,'Tổng Đơn'!$B:$B,$C20)</f>
        <v>0</v>
      </c>
      <c r="AL20" s="60">
        <v>0</v>
      </c>
      <c r="AM20" s="60">
        <v>0</v>
      </c>
      <c r="AN20" s="60">
        <v>0</v>
      </c>
      <c r="AO20" s="60">
        <v>0</v>
      </c>
      <c r="AP20" s="60">
        <v>0</v>
      </c>
      <c r="AQ20" s="60">
        <v>0</v>
      </c>
      <c r="AR20" s="60">
        <v>0</v>
      </c>
      <c r="AS20" s="60">
        <v>0</v>
      </c>
      <c r="AT20" s="60">
        <v>0</v>
      </c>
      <c r="AU20" s="60">
        <v>0</v>
      </c>
      <c r="AV20" s="60">
        <v>0</v>
      </c>
      <c r="AW20" s="239">
        <v>0</v>
      </c>
      <c r="AX20" s="58">
        <f t="shared" si="10"/>
        <v>0</v>
      </c>
    </row>
    <row r="21" spans="1:50" ht="18" x14ac:dyDescent="0.25">
      <c r="A21" s="58">
        <f t="shared" ca="1" si="1"/>
        <v>190.82673893992015</v>
      </c>
      <c r="B21" s="6">
        <v>17</v>
      </c>
      <c r="C21" s="60" t="s">
        <v>223</v>
      </c>
      <c r="D21" s="68">
        <v>62</v>
      </c>
      <c r="E21" s="6">
        <v>0.5</v>
      </c>
      <c r="F21" s="6">
        <f>135+80+20+10+20+10+10+10+30+20+20+20+10+15+25+10+10+40</f>
        <v>495</v>
      </c>
      <c r="G21" s="71">
        <f t="shared" si="2"/>
        <v>31</v>
      </c>
      <c r="H21" s="73">
        <f t="shared" si="3"/>
        <v>15345</v>
      </c>
      <c r="I21" s="64">
        <f t="shared" si="4"/>
        <v>0.80445648998669217</v>
      </c>
      <c r="J21" s="134">
        <f t="shared" si="13"/>
        <v>31.804456489986691</v>
      </c>
      <c r="K21" s="65">
        <f t="shared" si="6"/>
        <v>15743.205962543412</v>
      </c>
      <c r="L21" s="72">
        <v>40</v>
      </c>
      <c r="M21" s="63">
        <f t="shared" si="7"/>
        <v>19800</v>
      </c>
      <c r="N21" s="63">
        <f t="shared" ca="1" si="8"/>
        <v>19520</v>
      </c>
      <c r="O21" s="67">
        <f t="shared" ca="1" si="9"/>
        <v>6</v>
      </c>
      <c r="P21" s="57">
        <v>1</v>
      </c>
      <c r="Q21" s="57">
        <v>441</v>
      </c>
      <c r="R21" s="60">
        <v>1</v>
      </c>
      <c r="S21" s="60">
        <v>0</v>
      </c>
      <c r="T21" s="60">
        <v>1</v>
      </c>
      <c r="U21" s="60">
        <v>1</v>
      </c>
      <c r="V21" s="60">
        <v>3</v>
      </c>
      <c r="W21" s="60">
        <v>4</v>
      </c>
      <c r="X21" s="60">
        <v>5</v>
      </c>
      <c r="Y21" s="60">
        <v>1</v>
      </c>
      <c r="Z21" s="60">
        <v>0</v>
      </c>
      <c r="AA21" s="60">
        <v>0</v>
      </c>
      <c r="AB21" s="60">
        <v>0</v>
      </c>
      <c r="AC21" s="60">
        <v>0</v>
      </c>
      <c r="AD21" s="60">
        <v>6</v>
      </c>
      <c r="AE21" s="60">
        <v>0</v>
      </c>
      <c r="AF21" s="60">
        <v>2</v>
      </c>
      <c r="AG21" s="60">
        <v>4</v>
      </c>
      <c r="AH21" s="60">
        <v>3</v>
      </c>
      <c r="AI21" s="60">
        <v>4</v>
      </c>
      <c r="AJ21" s="60">
        <v>5</v>
      </c>
      <c r="AK21" s="60">
        <f ca="1">SUMIFS('Tổng Đơn'!$F:$F,'Tổng Đơn'!$B:$B,$C21)</f>
        <v>7</v>
      </c>
      <c r="AL21" s="60">
        <v>0</v>
      </c>
      <c r="AM21" s="60">
        <v>0</v>
      </c>
      <c r="AN21" s="60">
        <v>0</v>
      </c>
      <c r="AO21" s="60">
        <v>0</v>
      </c>
      <c r="AP21" s="60">
        <v>0</v>
      </c>
      <c r="AQ21" s="60">
        <v>0</v>
      </c>
      <c r="AR21" s="60">
        <v>0</v>
      </c>
      <c r="AS21" s="60">
        <v>0</v>
      </c>
      <c r="AT21" s="60">
        <v>0</v>
      </c>
      <c r="AU21" s="60">
        <v>0</v>
      </c>
      <c r="AV21" s="60">
        <v>0</v>
      </c>
      <c r="AW21" s="239">
        <v>0</v>
      </c>
      <c r="AX21" s="58">
        <f t="shared" si="10"/>
        <v>0</v>
      </c>
    </row>
    <row r="22" spans="1:50" ht="18" hidden="1" x14ac:dyDescent="0.25">
      <c r="A22" s="58">
        <f t="shared" si="1"/>
        <v>0</v>
      </c>
      <c r="B22" s="6">
        <v>18</v>
      </c>
      <c r="C22" s="60" t="s">
        <v>113</v>
      </c>
      <c r="D22" s="68">
        <v>43</v>
      </c>
      <c r="E22" s="6">
        <v>0.5</v>
      </c>
      <c r="F22" s="6">
        <v>25</v>
      </c>
      <c r="G22" s="71">
        <f t="shared" si="2"/>
        <v>21.5</v>
      </c>
      <c r="H22" s="73">
        <f t="shared" si="3"/>
        <v>537.5</v>
      </c>
      <c r="I22" s="64">
        <f t="shared" si="4"/>
        <v>0.55792950111980266</v>
      </c>
      <c r="J22" s="134">
        <f t="shared" si="13"/>
        <v>22.057929501119801</v>
      </c>
      <c r="K22" s="65">
        <f t="shared" si="6"/>
        <v>551.44823752799505</v>
      </c>
      <c r="L22" s="72">
        <v>35</v>
      </c>
      <c r="M22" s="63">
        <f t="shared" si="7"/>
        <v>875</v>
      </c>
      <c r="N22" s="63">
        <f t="shared" si="8"/>
        <v>875</v>
      </c>
      <c r="O22" s="67">
        <f t="shared" si="9"/>
        <v>0</v>
      </c>
      <c r="P22" s="57"/>
      <c r="Q22" s="57">
        <v>25</v>
      </c>
      <c r="R22" s="60">
        <v>0</v>
      </c>
      <c r="S22" s="60">
        <v>0</v>
      </c>
      <c r="T22" s="60">
        <v>0</v>
      </c>
      <c r="U22" s="60">
        <v>0</v>
      </c>
      <c r="V22" s="60">
        <v>0</v>
      </c>
      <c r="W22" s="60">
        <v>0</v>
      </c>
      <c r="X22" s="60">
        <v>0</v>
      </c>
      <c r="Y22" s="60">
        <v>0</v>
      </c>
      <c r="Z22" s="60">
        <v>0</v>
      </c>
      <c r="AA22" s="60">
        <v>0</v>
      </c>
      <c r="AB22" s="60">
        <v>0</v>
      </c>
      <c r="AC22" s="60">
        <v>0</v>
      </c>
      <c r="AD22" s="60">
        <v>0</v>
      </c>
      <c r="AE22" s="60">
        <v>0</v>
      </c>
      <c r="AF22" s="60">
        <v>0</v>
      </c>
      <c r="AG22" s="60">
        <v>0</v>
      </c>
      <c r="AH22" s="60">
        <v>0</v>
      </c>
      <c r="AI22" s="60">
        <v>0</v>
      </c>
      <c r="AJ22" s="60">
        <v>0</v>
      </c>
      <c r="AK22" s="60">
        <f>SUMIFS('Tổng Đơn'!$F:$F,'Tổng Đơn'!$B:$B,$C22)</f>
        <v>0</v>
      </c>
      <c r="AL22" s="60">
        <v>0</v>
      </c>
      <c r="AM22" s="60">
        <v>0</v>
      </c>
      <c r="AN22" s="60">
        <v>0</v>
      </c>
      <c r="AO22" s="60">
        <v>0</v>
      </c>
      <c r="AP22" s="60">
        <v>0</v>
      </c>
      <c r="AQ22" s="60">
        <v>0</v>
      </c>
      <c r="AR22" s="60">
        <v>0</v>
      </c>
      <c r="AS22" s="60">
        <v>0</v>
      </c>
      <c r="AT22" s="60">
        <v>0</v>
      </c>
      <c r="AU22" s="60">
        <v>0</v>
      </c>
      <c r="AV22" s="60">
        <v>0</v>
      </c>
      <c r="AW22" s="239">
        <v>0</v>
      </c>
      <c r="AX22" s="58">
        <f t="shared" si="10"/>
        <v>0</v>
      </c>
    </row>
    <row r="23" spans="1:50" ht="18" hidden="1" x14ac:dyDescent="0.25">
      <c r="A23" s="58">
        <f t="shared" si="1"/>
        <v>0</v>
      </c>
      <c r="B23" s="6">
        <v>19</v>
      </c>
      <c r="C23" s="60" t="s">
        <v>137</v>
      </c>
      <c r="D23" s="68">
        <v>43.5</v>
      </c>
      <c r="E23" s="6">
        <v>0.5</v>
      </c>
      <c r="F23" s="6">
        <v>70</v>
      </c>
      <c r="G23" s="71">
        <f t="shared" si="2"/>
        <v>21.75</v>
      </c>
      <c r="H23" s="73">
        <f t="shared" si="3"/>
        <v>1522.5</v>
      </c>
      <c r="I23" s="64">
        <f t="shared" si="4"/>
        <v>0.56441705345840498</v>
      </c>
      <c r="J23" s="134">
        <f t="shared" si="13"/>
        <v>22.314417053458406</v>
      </c>
      <c r="K23" s="65">
        <f t="shared" si="6"/>
        <v>1562.0091937420884</v>
      </c>
      <c r="L23" s="72">
        <v>30</v>
      </c>
      <c r="M23" s="63">
        <f t="shared" si="7"/>
        <v>2100</v>
      </c>
      <c r="N23" s="63">
        <f t="shared" si="8"/>
        <v>2070</v>
      </c>
      <c r="O23" s="67">
        <f t="shared" si="9"/>
        <v>0</v>
      </c>
      <c r="P23" s="57">
        <v>1</v>
      </c>
      <c r="Q23" s="57">
        <v>69</v>
      </c>
      <c r="R23" s="60">
        <v>0</v>
      </c>
      <c r="S23" s="60">
        <v>0</v>
      </c>
      <c r="T23" s="60">
        <v>0</v>
      </c>
      <c r="U23" s="60">
        <v>0</v>
      </c>
      <c r="V23" s="60">
        <v>0</v>
      </c>
      <c r="W23" s="60">
        <v>0</v>
      </c>
      <c r="X23" s="60">
        <v>0</v>
      </c>
      <c r="Y23" s="60">
        <v>0</v>
      </c>
      <c r="Z23" s="60">
        <v>0</v>
      </c>
      <c r="AA23" s="60">
        <v>0</v>
      </c>
      <c r="AB23" s="60">
        <v>0</v>
      </c>
      <c r="AC23" s="60">
        <v>0</v>
      </c>
      <c r="AD23" s="60">
        <v>0</v>
      </c>
      <c r="AE23" s="60">
        <v>0</v>
      </c>
      <c r="AF23" s="60">
        <v>0</v>
      </c>
      <c r="AG23" s="60">
        <v>0</v>
      </c>
      <c r="AH23" s="60">
        <v>0</v>
      </c>
      <c r="AI23" s="60">
        <v>0</v>
      </c>
      <c r="AJ23" s="60">
        <v>0</v>
      </c>
      <c r="AK23" s="60">
        <f>SUMIFS('Tổng Đơn'!$F:$F,'Tổng Đơn'!$B:$B,$C23)</f>
        <v>0</v>
      </c>
      <c r="AL23" s="60">
        <v>0</v>
      </c>
      <c r="AM23" s="60">
        <v>0</v>
      </c>
      <c r="AN23" s="60">
        <v>0</v>
      </c>
      <c r="AO23" s="60">
        <v>0</v>
      </c>
      <c r="AP23" s="60">
        <v>0</v>
      </c>
      <c r="AQ23" s="60">
        <v>0</v>
      </c>
      <c r="AR23" s="60">
        <v>0</v>
      </c>
      <c r="AS23" s="60">
        <v>0</v>
      </c>
      <c r="AT23" s="60">
        <v>0</v>
      </c>
      <c r="AU23" s="60">
        <v>0</v>
      </c>
      <c r="AV23" s="60">
        <v>0</v>
      </c>
      <c r="AW23" s="239">
        <v>0</v>
      </c>
      <c r="AX23" s="58">
        <f t="shared" si="10"/>
        <v>0</v>
      </c>
    </row>
    <row r="24" spans="1:50" ht="18" x14ac:dyDescent="0.25">
      <c r="A24" s="58">
        <f t="shared" ca="1" si="1"/>
        <v>1562.0091937420882</v>
      </c>
      <c r="B24" s="6">
        <v>20</v>
      </c>
      <c r="C24" s="60" t="s">
        <v>136</v>
      </c>
      <c r="D24" s="68">
        <v>145</v>
      </c>
      <c r="E24" s="6">
        <v>0.5</v>
      </c>
      <c r="F24" s="6">
        <f>76+40+40+20+20+40+20+20+40+30+30+40+30+40+20+20+30+50+50+30</f>
        <v>686</v>
      </c>
      <c r="G24" s="71">
        <f t="shared" si="2"/>
        <v>72.5</v>
      </c>
      <c r="H24" s="73">
        <f t="shared" si="3"/>
        <v>49735</v>
      </c>
      <c r="I24" s="64">
        <f t="shared" si="4"/>
        <v>1.8813901781946831</v>
      </c>
      <c r="J24" s="134">
        <f>G24+I24</f>
        <v>74.381390178194678</v>
      </c>
      <c r="K24" s="65">
        <f t="shared" si="6"/>
        <v>51025.633662241547</v>
      </c>
      <c r="L24" s="72">
        <v>80</v>
      </c>
      <c r="M24" s="63">
        <f t="shared" si="7"/>
        <v>54880</v>
      </c>
      <c r="N24" s="63">
        <f t="shared" ca="1" si="8"/>
        <v>53200</v>
      </c>
      <c r="O24" s="67">
        <f t="shared" ca="1" si="9"/>
        <v>21</v>
      </c>
      <c r="P24" s="57">
        <v>0</v>
      </c>
      <c r="Q24" s="57">
        <v>610</v>
      </c>
      <c r="R24" s="60">
        <v>0</v>
      </c>
      <c r="S24" s="60">
        <v>4</v>
      </c>
      <c r="T24" s="60">
        <v>0</v>
      </c>
      <c r="U24" s="60">
        <v>2</v>
      </c>
      <c r="V24" s="60">
        <v>1</v>
      </c>
      <c r="W24" s="60">
        <v>3</v>
      </c>
      <c r="X24" s="60">
        <v>1</v>
      </c>
      <c r="Y24" s="60">
        <v>3</v>
      </c>
      <c r="Z24" s="60">
        <v>0</v>
      </c>
      <c r="AA24" s="60">
        <v>2</v>
      </c>
      <c r="AB24" s="60">
        <v>5</v>
      </c>
      <c r="AC24" s="60">
        <v>2</v>
      </c>
      <c r="AD24" s="60">
        <v>0</v>
      </c>
      <c r="AE24" s="60">
        <v>3</v>
      </c>
      <c r="AF24" s="60">
        <v>3</v>
      </c>
      <c r="AG24" s="60">
        <v>2</v>
      </c>
      <c r="AH24" s="60">
        <v>1</v>
      </c>
      <c r="AI24" s="60">
        <v>6</v>
      </c>
      <c r="AJ24" s="60">
        <v>9</v>
      </c>
      <c r="AK24" s="60">
        <f ca="1">SUMIFS('Tổng Đơn'!$F:$F,'Tổng Đơn'!$B:$B,$C24)</f>
        <v>8</v>
      </c>
      <c r="AL24" s="60">
        <v>0</v>
      </c>
      <c r="AM24" s="60">
        <v>0</v>
      </c>
      <c r="AN24" s="60">
        <v>0</v>
      </c>
      <c r="AO24" s="60">
        <v>0</v>
      </c>
      <c r="AP24" s="60">
        <v>0</v>
      </c>
      <c r="AQ24" s="60">
        <v>0</v>
      </c>
      <c r="AR24" s="60">
        <v>0</v>
      </c>
      <c r="AS24" s="60">
        <v>0</v>
      </c>
      <c r="AT24" s="60">
        <v>0</v>
      </c>
      <c r="AU24" s="60">
        <v>0</v>
      </c>
      <c r="AV24" s="60">
        <v>0</v>
      </c>
      <c r="AW24" s="239">
        <v>0</v>
      </c>
      <c r="AX24" s="58">
        <f t="shared" si="10"/>
        <v>0</v>
      </c>
    </row>
    <row r="25" spans="1:50" ht="18" hidden="1" x14ac:dyDescent="0.25">
      <c r="A25" s="58">
        <f t="shared" ca="1" si="1"/>
        <v>0</v>
      </c>
      <c r="B25" s="6">
        <v>21</v>
      </c>
      <c r="C25" s="60" t="s">
        <v>221</v>
      </c>
      <c r="D25" s="68">
        <v>78</v>
      </c>
      <c r="E25" s="6">
        <v>0.5</v>
      </c>
      <c r="F25" s="6">
        <f>27+20+10</f>
        <v>57</v>
      </c>
      <c r="G25" s="71">
        <f t="shared" si="2"/>
        <v>39</v>
      </c>
      <c r="H25" s="73">
        <f t="shared" si="3"/>
        <v>2223</v>
      </c>
      <c r="I25" s="64">
        <f t="shared" ref="I25:I29" si="14">((H25/$H$4)*$A$2)/F25</f>
        <v>1.0120581648219678</v>
      </c>
      <c r="J25" s="134">
        <f t="shared" ref="J25:J29" si="15">G25+I25</f>
        <v>40.012058164821966</v>
      </c>
      <c r="K25" s="65">
        <f t="shared" ref="K25:K29" si="16">J25*F25</f>
        <v>2280.6873153948522</v>
      </c>
      <c r="L25" s="72">
        <v>44</v>
      </c>
      <c r="M25" s="63">
        <f t="shared" si="7"/>
        <v>2508</v>
      </c>
      <c r="N25" s="63">
        <f t="shared" ca="1" si="8"/>
        <v>2464</v>
      </c>
      <c r="O25" s="67">
        <f t="shared" ca="1" si="9"/>
        <v>0</v>
      </c>
      <c r="P25" s="57">
        <v>1</v>
      </c>
      <c r="Q25" s="57">
        <v>56</v>
      </c>
      <c r="R25" s="60">
        <v>0</v>
      </c>
      <c r="S25" s="60">
        <v>0</v>
      </c>
      <c r="T25" s="60">
        <v>0</v>
      </c>
      <c r="U25" s="60">
        <v>0</v>
      </c>
      <c r="V25" s="60">
        <v>0</v>
      </c>
      <c r="W25" s="60">
        <v>0</v>
      </c>
      <c r="X25" s="60">
        <v>0</v>
      </c>
      <c r="Y25" s="60">
        <v>0</v>
      </c>
      <c r="Z25" s="60">
        <v>0</v>
      </c>
      <c r="AA25" s="60">
        <v>0</v>
      </c>
      <c r="AB25" s="60">
        <v>0</v>
      </c>
      <c r="AC25" s="60">
        <v>0</v>
      </c>
      <c r="AD25" s="60">
        <v>0</v>
      </c>
      <c r="AE25" s="60">
        <v>0</v>
      </c>
      <c r="AF25" s="60">
        <v>0</v>
      </c>
      <c r="AG25" s="60">
        <v>0</v>
      </c>
      <c r="AH25" s="60">
        <v>0</v>
      </c>
      <c r="AI25" s="60">
        <v>0</v>
      </c>
      <c r="AJ25" s="60">
        <v>0</v>
      </c>
      <c r="AK25" s="60">
        <f ca="1">SUMIFS('Tổng Đơn'!$F:$F,'Tổng Đơn'!$B:$B,$C25)</f>
        <v>0</v>
      </c>
      <c r="AL25" s="60">
        <v>0</v>
      </c>
      <c r="AM25" s="60">
        <v>0</v>
      </c>
      <c r="AN25" s="60">
        <v>0</v>
      </c>
      <c r="AO25" s="60">
        <v>0</v>
      </c>
      <c r="AP25" s="60">
        <v>0</v>
      </c>
      <c r="AQ25" s="60">
        <v>0</v>
      </c>
      <c r="AR25" s="60">
        <v>0</v>
      </c>
      <c r="AS25" s="60">
        <v>0</v>
      </c>
      <c r="AT25" s="60">
        <v>0</v>
      </c>
      <c r="AU25" s="60">
        <v>0</v>
      </c>
      <c r="AV25" s="60">
        <v>0</v>
      </c>
      <c r="AW25" s="239">
        <v>0</v>
      </c>
      <c r="AX25" s="58">
        <f t="shared" si="10"/>
        <v>0</v>
      </c>
    </row>
    <row r="26" spans="1:50" ht="18" x14ac:dyDescent="0.25">
      <c r="A26" s="58">
        <f t="shared" ca="1" si="1"/>
        <v>726.37274822292193</v>
      </c>
      <c r="B26" s="6">
        <v>22</v>
      </c>
      <c r="C26" s="60" t="s">
        <v>138</v>
      </c>
      <c r="D26" s="68">
        <v>59</v>
      </c>
      <c r="E26" s="6">
        <v>0.5</v>
      </c>
      <c r="F26" s="6">
        <f>10+10+20+20</f>
        <v>60</v>
      </c>
      <c r="G26" s="71">
        <f t="shared" si="2"/>
        <v>29.5</v>
      </c>
      <c r="H26" s="73">
        <f t="shared" si="3"/>
        <v>1770</v>
      </c>
      <c r="I26" s="64">
        <f t="shared" si="14"/>
        <v>0.76553117595507802</v>
      </c>
      <c r="J26" s="134">
        <f t="shared" si="15"/>
        <v>30.265531175955079</v>
      </c>
      <c r="K26" s="65">
        <f t="shared" si="16"/>
        <v>1815.9318705573048</v>
      </c>
      <c r="L26" s="72">
        <v>35</v>
      </c>
      <c r="M26" s="63">
        <f t="shared" si="7"/>
        <v>2100</v>
      </c>
      <c r="N26" s="63">
        <f t="shared" ca="1" si="8"/>
        <v>1050</v>
      </c>
      <c r="O26" s="67">
        <f t="shared" ca="1" si="9"/>
        <v>24</v>
      </c>
      <c r="P26" s="57">
        <v>6</v>
      </c>
      <c r="Q26" s="57">
        <v>25</v>
      </c>
      <c r="R26" s="60">
        <v>0</v>
      </c>
      <c r="S26" s="60">
        <v>1</v>
      </c>
      <c r="T26" s="60">
        <v>0</v>
      </c>
      <c r="U26" s="60">
        <v>0</v>
      </c>
      <c r="V26" s="60">
        <v>0</v>
      </c>
      <c r="W26" s="60">
        <v>0</v>
      </c>
      <c r="X26" s="60">
        <v>0</v>
      </c>
      <c r="Y26" s="60">
        <v>1</v>
      </c>
      <c r="Z26" s="60">
        <v>0</v>
      </c>
      <c r="AA26" s="60">
        <v>1</v>
      </c>
      <c r="AB26" s="60">
        <v>0</v>
      </c>
      <c r="AC26" s="60">
        <v>0</v>
      </c>
      <c r="AD26" s="60">
        <v>0</v>
      </c>
      <c r="AE26" s="60">
        <v>0</v>
      </c>
      <c r="AF26" s="60">
        <v>0</v>
      </c>
      <c r="AG26" s="60">
        <v>2</v>
      </c>
      <c r="AH26" s="60">
        <v>0</v>
      </c>
      <c r="AI26" s="60">
        <v>0</v>
      </c>
      <c r="AJ26" s="60">
        <v>0</v>
      </c>
      <c r="AK26" s="60">
        <f ca="1">SUMIFS('Tổng Đơn'!$F:$F,'Tổng Đơn'!$B:$B,$C26)</f>
        <v>0</v>
      </c>
      <c r="AL26" s="60">
        <v>0</v>
      </c>
      <c r="AM26" s="60">
        <v>0</v>
      </c>
      <c r="AN26" s="60">
        <v>0</v>
      </c>
      <c r="AO26" s="60">
        <v>0</v>
      </c>
      <c r="AP26" s="60">
        <v>0</v>
      </c>
      <c r="AQ26" s="60">
        <v>0</v>
      </c>
      <c r="AR26" s="60">
        <v>0</v>
      </c>
      <c r="AS26" s="60">
        <v>0</v>
      </c>
      <c r="AT26" s="60">
        <v>0</v>
      </c>
      <c r="AU26" s="60">
        <v>0</v>
      </c>
      <c r="AV26" s="60">
        <v>0</v>
      </c>
      <c r="AW26" s="239">
        <v>20</v>
      </c>
      <c r="AX26" s="58">
        <f t="shared" si="10"/>
        <v>590</v>
      </c>
    </row>
    <row r="27" spans="1:50" ht="18" x14ac:dyDescent="0.25">
      <c r="A27" s="58">
        <f t="shared" ca="1" si="1"/>
        <v>420.1266107306306</v>
      </c>
      <c r="B27" s="6">
        <v>23</v>
      </c>
      <c r="C27" s="60" t="s">
        <v>139</v>
      </c>
      <c r="D27" s="68">
        <v>63</v>
      </c>
      <c r="E27" s="6">
        <v>0.5</v>
      </c>
      <c r="F27" s="6">
        <f>30+20+20+13+10+10+20+15</f>
        <v>138</v>
      </c>
      <c r="G27" s="71">
        <f t="shared" si="2"/>
        <v>31.5</v>
      </c>
      <c r="H27" s="73">
        <f t="shared" si="3"/>
        <v>4347</v>
      </c>
      <c r="I27" s="64">
        <f t="shared" si="14"/>
        <v>0.81743159466389692</v>
      </c>
      <c r="J27" s="134">
        <f t="shared" si="15"/>
        <v>32.317431594663894</v>
      </c>
      <c r="K27" s="65">
        <f t="shared" si="16"/>
        <v>4459.8055600636171</v>
      </c>
      <c r="L27" s="72">
        <v>38</v>
      </c>
      <c r="M27" s="63">
        <f t="shared" si="7"/>
        <v>5244</v>
      </c>
      <c r="N27" s="63">
        <f t="shared" ca="1" si="8"/>
        <v>4750</v>
      </c>
      <c r="O27" s="67">
        <f t="shared" ca="1" si="9"/>
        <v>13</v>
      </c>
      <c r="P27" s="57">
        <f>1-1</f>
        <v>0</v>
      </c>
      <c r="Q27" s="57">
        <v>118</v>
      </c>
      <c r="R27" s="60">
        <v>0</v>
      </c>
      <c r="S27" s="60">
        <v>0</v>
      </c>
      <c r="T27" s="60">
        <v>0</v>
      </c>
      <c r="U27" s="60">
        <v>0</v>
      </c>
      <c r="V27" s="60">
        <v>0</v>
      </c>
      <c r="W27" s="60">
        <v>0</v>
      </c>
      <c r="X27" s="60">
        <v>0</v>
      </c>
      <c r="Y27" s="60">
        <v>0</v>
      </c>
      <c r="Z27" s="60">
        <v>0</v>
      </c>
      <c r="AA27" s="60">
        <v>0</v>
      </c>
      <c r="AB27" s="60">
        <v>0</v>
      </c>
      <c r="AC27" s="60">
        <v>0</v>
      </c>
      <c r="AD27" s="60">
        <v>0</v>
      </c>
      <c r="AE27" s="60">
        <v>5</v>
      </c>
      <c r="AF27" s="60">
        <v>0</v>
      </c>
      <c r="AG27" s="60">
        <v>0</v>
      </c>
      <c r="AH27" s="60">
        <v>0</v>
      </c>
      <c r="AI27" s="60">
        <v>0</v>
      </c>
      <c r="AJ27" s="60">
        <v>0</v>
      </c>
      <c r="AK27" s="60">
        <f ca="1">SUMIFS('Tổng Đơn'!$F:$F,'Tổng Đơn'!$B:$B,$C27)</f>
        <v>2</v>
      </c>
      <c r="AL27" s="60">
        <v>0</v>
      </c>
      <c r="AM27" s="60">
        <v>0</v>
      </c>
      <c r="AN27" s="60">
        <v>0</v>
      </c>
      <c r="AO27" s="60">
        <v>0</v>
      </c>
      <c r="AP27" s="60">
        <v>0</v>
      </c>
      <c r="AQ27" s="60">
        <v>0</v>
      </c>
      <c r="AR27" s="60">
        <v>0</v>
      </c>
      <c r="AS27" s="60">
        <v>0</v>
      </c>
      <c r="AT27" s="60">
        <v>0</v>
      </c>
      <c r="AU27" s="60">
        <v>0</v>
      </c>
      <c r="AV27" s="60">
        <v>0</v>
      </c>
      <c r="AW27" s="239">
        <v>0</v>
      </c>
      <c r="AX27" s="58">
        <f t="shared" si="10"/>
        <v>0</v>
      </c>
    </row>
    <row r="28" spans="1:50" ht="18" x14ac:dyDescent="0.25">
      <c r="A28" s="58">
        <f t="shared" ca="1" si="1"/>
        <v>1026.4631844590867</v>
      </c>
      <c r="B28" s="6">
        <v>24</v>
      </c>
      <c r="C28" s="60" t="s">
        <v>157</v>
      </c>
      <c r="D28" s="68">
        <v>87</v>
      </c>
      <c r="E28" s="6">
        <v>0.5</v>
      </c>
      <c r="F28" s="6">
        <f>1+20+20+30+20</f>
        <v>91</v>
      </c>
      <c r="G28" s="208">
        <f>D28/(1/E28)</f>
        <v>43.5</v>
      </c>
      <c r="H28" s="73">
        <f t="shared" si="3"/>
        <v>3958.5</v>
      </c>
      <c r="I28" s="64">
        <f t="shared" si="14"/>
        <v>1.12883410691681</v>
      </c>
      <c r="J28" s="134">
        <f t="shared" si="15"/>
        <v>44.628834106916813</v>
      </c>
      <c r="K28" s="65">
        <f t="shared" si="16"/>
        <v>4061.2239037294298</v>
      </c>
      <c r="L28" s="72">
        <v>47</v>
      </c>
      <c r="M28" s="63">
        <f t="shared" si="7"/>
        <v>4277</v>
      </c>
      <c r="N28" s="63">
        <f t="shared" ca="1" si="8"/>
        <v>3196</v>
      </c>
      <c r="O28" s="67">
        <f t="shared" ca="1" si="9"/>
        <v>23</v>
      </c>
      <c r="P28" s="57">
        <v>0</v>
      </c>
      <c r="Q28" s="57">
        <v>52</v>
      </c>
      <c r="R28" s="60">
        <v>0</v>
      </c>
      <c r="S28" s="60">
        <v>1</v>
      </c>
      <c r="T28" s="60">
        <v>0</v>
      </c>
      <c r="U28" s="60">
        <v>1</v>
      </c>
      <c r="V28" s="60">
        <v>0</v>
      </c>
      <c r="W28" s="60">
        <v>1</v>
      </c>
      <c r="X28" s="60">
        <v>0</v>
      </c>
      <c r="Y28" s="60">
        <v>1</v>
      </c>
      <c r="Z28" s="60">
        <v>0</v>
      </c>
      <c r="AA28" s="60">
        <v>1</v>
      </c>
      <c r="AB28" s="60">
        <v>0</v>
      </c>
      <c r="AC28" s="60">
        <v>0</v>
      </c>
      <c r="AD28" s="60">
        <v>0</v>
      </c>
      <c r="AE28" s="60">
        <v>1</v>
      </c>
      <c r="AF28" s="60">
        <v>1</v>
      </c>
      <c r="AG28" s="60">
        <v>0</v>
      </c>
      <c r="AH28" s="60">
        <v>0</v>
      </c>
      <c r="AI28" s="60">
        <v>7</v>
      </c>
      <c r="AJ28" s="60">
        <v>0</v>
      </c>
      <c r="AK28" s="60">
        <f ca="1">SUMIFS('Tổng Đơn'!$F:$F,'Tổng Đơn'!$B:$B,$C28)</f>
        <v>2</v>
      </c>
      <c r="AL28" s="60">
        <v>0</v>
      </c>
      <c r="AM28" s="60">
        <v>0</v>
      </c>
      <c r="AN28" s="60">
        <v>0</v>
      </c>
      <c r="AO28" s="60">
        <v>0</v>
      </c>
      <c r="AP28" s="60">
        <v>0</v>
      </c>
      <c r="AQ28" s="60">
        <v>0</v>
      </c>
      <c r="AR28" s="60">
        <v>0</v>
      </c>
      <c r="AS28" s="60">
        <v>0</v>
      </c>
      <c r="AT28" s="60">
        <v>0</v>
      </c>
      <c r="AU28" s="60">
        <v>0</v>
      </c>
      <c r="AV28" s="60">
        <v>0</v>
      </c>
      <c r="AW28" s="239">
        <v>0</v>
      </c>
      <c r="AX28" s="58">
        <f t="shared" si="10"/>
        <v>0</v>
      </c>
    </row>
    <row r="29" spans="1:50" ht="18" hidden="1" x14ac:dyDescent="0.25">
      <c r="A29" s="58">
        <f t="shared" ca="1" si="1"/>
        <v>0</v>
      </c>
      <c r="B29" s="6">
        <v>25</v>
      </c>
      <c r="C29" s="60" t="s">
        <v>159</v>
      </c>
      <c r="D29" s="68">
        <v>87</v>
      </c>
      <c r="E29" s="6">
        <v>0.5</v>
      </c>
      <c r="F29" s="6">
        <v>20</v>
      </c>
      <c r="G29" s="71">
        <f>D29/2</f>
        <v>43.5</v>
      </c>
      <c r="H29" s="73">
        <f t="shared" si="3"/>
        <v>870</v>
      </c>
      <c r="I29" s="64">
        <f t="shared" si="14"/>
        <v>1.1288341069168102</v>
      </c>
      <c r="J29" s="134">
        <f t="shared" si="15"/>
        <v>44.628834106916813</v>
      </c>
      <c r="K29" s="65">
        <f t="shared" si="16"/>
        <v>892.57668213833631</v>
      </c>
      <c r="L29" s="72">
        <v>50</v>
      </c>
      <c r="M29" s="63">
        <f t="shared" si="7"/>
        <v>1000</v>
      </c>
      <c r="N29" s="63">
        <f t="shared" ca="1" si="8"/>
        <v>950</v>
      </c>
      <c r="O29" s="67">
        <f t="shared" ca="1" si="9"/>
        <v>0</v>
      </c>
      <c r="P29" s="57">
        <v>1</v>
      </c>
      <c r="Q29" s="57">
        <v>19</v>
      </c>
      <c r="R29" s="60">
        <v>0</v>
      </c>
      <c r="S29" s="60">
        <v>0</v>
      </c>
      <c r="T29" s="60">
        <v>0</v>
      </c>
      <c r="U29" s="60">
        <v>0</v>
      </c>
      <c r="V29" s="60">
        <v>0</v>
      </c>
      <c r="W29" s="60">
        <v>0</v>
      </c>
      <c r="X29" s="60">
        <v>0</v>
      </c>
      <c r="Y29" s="60">
        <v>0</v>
      </c>
      <c r="Z29" s="60">
        <v>0</v>
      </c>
      <c r="AA29" s="60">
        <v>0</v>
      </c>
      <c r="AB29" s="60">
        <v>0</v>
      </c>
      <c r="AC29" s="60">
        <v>0</v>
      </c>
      <c r="AD29" s="60">
        <v>0</v>
      </c>
      <c r="AE29" s="60">
        <v>0</v>
      </c>
      <c r="AF29" s="60">
        <v>0</v>
      </c>
      <c r="AG29" s="60">
        <v>0</v>
      </c>
      <c r="AH29" s="60">
        <v>0</v>
      </c>
      <c r="AI29" s="60">
        <v>0</v>
      </c>
      <c r="AJ29" s="60">
        <v>0</v>
      </c>
      <c r="AK29" s="60">
        <f ca="1">SUMIFS('Tổng Đơn'!$F:$F,'Tổng Đơn'!$B:$B,$C29)</f>
        <v>0</v>
      </c>
      <c r="AL29" s="60">
        <v>0</v>
      </c>
      <c r="AM29" s="60">
        <v>0</v>
      </c>
      <c r="AN29" s="60">
        <v>0</v>
      </c>
      <c r="AO29" s="60">
        <v>0</v>
      </c>
      <c r="AP29" s="60">
        <v>0</v>
      </c>
      <c r="AQ29" s="60">
        <v>0</v>
      </c>
      <c r="AR29" s="60">
        <v>0</v>
      </c>
      <c r="AS29" s="60">
        <v>0</v>
      </c>
      <c r="AT29" s="60">
        <v>0</v>
      </c>
      <c r="AU29" s="60">
        <v>0</v>
      </c>
      <c r="AV29" s="60">
        <v>0</v>
      </c>
      <c r="AW29" s="239">
        <v>0</v>
      </c>
      <c r="AX29" s="58">
        <f t="shared" si="10"/>
        <v>0</v>
      </c>
    </row>
    <row r="30" spans="1:50" ht="18" x14ac:dyDescent="0.25">
      <c r="A30" s="58">
        <f t="shared" ca="1" si="1"/>
        <v>563.24666493557083</v>
      </c>
      <c r="B30" s="6">
        <v>26</v>
      </c>
      <c r="C30" s="60" t="s">
        <v>253</v>
      </c>
      <c r="D30" s="68">
        <v>61</v>
      </c>
      <c r="E30" s="6">
        <v>0.5</v>
      </c>
      <c r="F30" s="6">
        <f>20+40+20+20+20+15</f>
        <v>135</v>
      </c>
      <c r="G30" s="71">
        <f>D30/2</f>
        <v>30.5</v>
      </c>
      <c r="H30" s="73">
        <f t="shared" ref="H30" si="17">G30*F30</f>
        <v>4117.5</v>
      </c>
      <c r="I30" s="64">
        <f t="shared" ref="I30" si="18">((H30/$H$4)*$A$2)/F30</f>
        <v>0.79148138530948753</v>
      </c>
      <c r="J30" s="134">
        <f t="shared" ref="J30" si="19">G30+I30</f>
        <v>31.291481385309488</v>
      </c>
      <c r="K30" s="65">
        <f t="shared" ref="K30" si="20">J30*F30</f>
        <v>4224.3499870167807</v>
      </c>
      <c r="L30" s="72">
        <v>35</v>
      </c>
      <c r="M30" s="63">
        <f t="shared" si="7"/>
        <v>4725</v>
      </c>
      <c r="N30" s="63">
        <f t="shared" ca="1" si="8"/>
        <v>4095</v>
      </c>
      <c r="O30" s="67">
        <f t="shared" ca="1" si="9"/>
        <v>18</v>
      </c>
      <c r="P30" s="57"/>
      <c r="Q30" s="57">
        <v>96</v>
      </c>
      <c r="R30" s="60">
        <v>1</v>
      </c>
      <c r="S30" s="60">
        <v>0</v>
      </c>
      <c r="T30" s="60">
        <v>0</v>
      </c>
      <c r="U30" s="60">
        <v>2</v>
      </c>
      <c r="V30" s="60">
        <v>1</v>
      </c>
      <c r="W30" s="60">
        <v>0</v>
      </c>
      <c r="X30" s="60">
        <v>0</v>
      </c>
      <c r="Y30" s="60">
        <v>0</v>
      </c>
      <c r="Z30" s="60">
        <v>1</v>
      </c>
      <c r="AA30" s="60">
        <v>2</v>
      </c>
      <c r="AB30" s="60">
        <v>2</v>
      </c>
      <c r="AC30" s="60">
        <v>0</v>
      </c>
      <c r="AD30" s="60">
        <v>0</v>
      </c>
      <c r="AE30" s="60">
        <v>5</v>
      </c>
      <c r="AF30" s="60">
        <v>0</v>
      </c>
      <c r="AG30" s="60">
        <v>0</v>
      </c>
      <c r="AH30" s="60">
        <v>1</v>
      </c>
      <c r="AI30" s="60">
        <v>6</v>
      </c>
      <c r="AJ30" s="60">
        <v>0</v>
      </c>
      <c r="AK30" s="60">
        <f ca="1">SUMIFS('Tổng Đơn'!$F:$F,'Tổng Đơn'!$B:$B,$C30)</f>
        <v>0</v>
      </c>
      <c r="AL30" s="60">
        <v>0</v>
      </c>
      <c r="AM30" s="60">
        <v>0</v>
      </c>
      <c r="AN30" s="60">
        <v>0</v>
      </c>
      <c r="AO30" s="60">
        <v>0</v>
      </c>
      <c r="AP30" s="60">
        <v>0</v>
      </c>
      <c r="AQ30" s="60">
        <v>0</v>
      </c>
      <c r="AR30" s="60">
        <v>0</v>
      </c>
      <c r="AS30" s="60">
        <v>0</v>
      </c>
      <c r="AT30" s="60">
        <v>0</v>
      </c>
      <c r="AU30" s="60">
        <v>0</v>
      </c>
      <c r="AV30" s="60">
        <v>0</v>
      </c>
      <c r="AW30" s="239">
        <v>0</v>
      </c>
      <c r="AX30" s="58">
        <f t="shared" si="10"/>
        <v>0</v>
      </c>
    </row>
    <row r="31" spans="1:50" ht="18" x14ac:dyDescent="0.25">
      <c r="A31" s="58">
        <f t="shared" si="1"/>
        <v>0</v>
      </c>
      <c r="B31" s="6"/>
      <c r="C31" s="60"/>
      <c r="D31" s="68"/>
      <c r="E31" s="6"/>
      <c r="F31" s="6"/>
      <c r="G31" s="71"/>
      <c r="H31" s="73"/>
      <c r="I31" s="64"/>
      <c r="J31" s="65"/>
      <c r="K31" s="65"/>
      <c r="L31" s="72"/>
      <c r="M31" s="63"/>
      <c r="N31" s="63"/>
      <c r="O31" s="67"/>
      <c r="P31" s="57"/>
      <c r="Q31" s="57"/>
      <c r="R31" s="60"/>
      <c r="S31" s="60"/>
      <c r="T31" s="60"/>
      <c r="U31" s="60"/>
      <c r="V31" s="60"/>
      <c r="W31" s="60"/>
      <c r="X31" s="60"/>
      <c r="Y31" s="60"/>
      <c r="Z31" s="60"/>
      <c r="AA31" s="60"/>
      <c r="AB31" s="60"/>
      <c r="AC31" s="60"/>
      <c r="AD31" s="60"/>
      <c r="AE31" s="60"/>
      <c r="AF31" s="60"/>
      <c r="AG31" s="60"/>
      <c r="AH31" s="60"/>
      <c r="AI31" s="60"/>
      <c r="AJ31" s="60"/>
      <c r="AK31" s="60"/>
      <c r="AL31" s="60"/>
      <c r="AM31" s="60"/>
      <c r="AN31" s="60"/>
      <c r="AO31" s="60"/>
      <c r="AP31" s="60"/>
      <c r="AQ31" s="60"/>
      <c r="AR31" s="60"/>
      <c r="AS31" s="60"/>
      <c r="AT31" s="60"/>
      <c r="AU31" s="60"/>
      <c r="AV31" s="60"/>
      <c r="AW31" s="58">
        <v>0</v>
      </c>
      <c r="AX31" s="58">
        <f t="shared" si="10"/>
        <v>0</v>
      </c>
    </row>
    <row r="32" spans="1:50" ht="18" x14ac:dyDescent="0.25">
      <c r="A32" s="58">
        <f t="shared" si="1"/>
        <v>0</v>
      </c>
      <c r="B32" s="180" t="s">
        <v>229</v>
      </c>
      <c r="C32" s="179" t="s">
        <v>294</v>
      </c>
      <c r="D32" s="181">
        <v>85</v>
      </c>
      <c r="E32" s="180">
        <v>0.5</v>
      </c>
      <c r="F32" s="180">
        <v>199</v>
      </c>
      <c r="G32" s="179">
        <v>42.5</v>
      </c>
      <c r="H32" s="182">
        <v>8500</v>
      </c>
      <c r="I32" s="183">
        <v>1.138084457817937</v>
      </c>
      <c r="J32" s="179">
        <v>43.638084457817939</v>
      </c>
      <c r="K32" s="179">
        <v>8727.6168915635881</v>
      </c>
      <c r="L32" s="184">
        <v>47</v>
      </c>
      <c r="M32" s="185">
        <v>9400</v>
      </c>
      <c r="N32" s="185">
        <v>9353</v>
      </c>
      <c r="O32" s="185">
        <v>0</v>
      </c>
      <c r="P32" s="123">
        <v>1</v>
      </c>
      <c r="Q32" s="123">
        <v>181</v>
      </c>
      <c r="R32" s="179">
        <v>0</v>
      </c>
      <c r="S32" s="179">
        <v>0</v>
      </c>
      <c r="T32" s="179">
        <v>0</v>
      </c>
      <c r="U32" s="179">
        <v>0</v>
      </c>
      <c r="V32" s="179">
        <v>0</v>
      </c>
      <c r="W32" s="179">
        <v>0</v>
      </c>
      <c r="X32" s="179">
        <v>0</v>
      </c>
      <c r="Y32" s="179">
        <v>0</v>
      </c>
      <c r="Z32" s="179">
        <v>0</v>
      </c>
      <c r="AA32" s="179">
        <v>0</v>
      </c>
      <c r="AB32" s="179">
        <v>0</v>
      </c>
      <c r="AC32" s="179">
        <v>0</v>
      </c>
      <c r="AD32" s="179">
        <v>0</v>
      </c>
      <c r="AE32" s="179">
        <v>0</v>
      </c>
      <c r="AF32" s="179">
        <v>0</v>
      </c>
      <c r="AG32" s="179">
        <v>0</v>
      </c>
      <c r="AH32" s="179">
        <v>0</v>
      </c>
      <c r="AI32" s="179">
        <v>0</v>
      </c>
      <c r="AJ32" s="179">
        <v>0</v>
      </c>
      <c r="AK32" s="179">
        <v>0</v>
      </c>
      <c r="AL32" s="179">
        <v>0</v>
      </c>
      <c r="AM32" s="179">
        <v>0</v>
      </c>
      <c r="AN32" s="179">
        <v>0</v>
      </c>
      <c r="AO32" s="179">
        <v>0</v>
      </c>
      <c r="AP32" s="179">
        <v>0</v>
      </c>
      <c r="AQ32" s="179">
        <v>0</v>
      </c>
      <c r="AR32" s="179">
        <v>0</v>
      </c>
      <c r="AS32" s="179">
        <v>0</v>
      </c>
      <c r="AT32" s="179">
        <v>0</v>
      </c>
      <c r="AU32" s="179">
        <v>0</v>
      </c>
      <c r="AV32" s="179">
        <v>0</v>
      </c>
    </row>
    <row r="33" spans="1:50" ht="18" x14ac:dyDescent="0.25">
      <c r="A33" s="58">
        <f t="shared" si="1"/>
        <v>0</v>
      </c>
      <c r="B33" s="180" t="s">
        <v>229</v>
      </c>
      <c r="C33" s="179" t="s">
        <v>262</v>
      </c>
      <c r="D33" s="181">
        <v>39</v>
      </c>
      <c r="E33" s="180">
        <v>1</v>
      </c>
      <c r="F33" s="180">
        <v>275</v>
      </c>
      <c r="G33" s="179">
        <v>39</v>
      </c>
      <c r="H33" s="182">
        <v>10725</v>
      </c>
      <c r="I33" s="183">
        <v>1.0418493788235041</v>
      </c>
      <c r="J33" s="179">
        <v>40.041849378823507</v>
      </c>
      <c r="K33" s="179">
        <v>11011.508579176465</v>
      </c>
      <c r="L33" s="184">
        <v>45</v>
      </c>
      <c r="M33" s="185">
        <v>12375</v>
      </c>
      <c r="N33" s="185">
        <v>12420</v>
      </c>
      <c r="O33" s="185">
        <v>0</v>
      </c>
      <c r="P33" s="123">
        <v>-1</v>
      </c>
      <c r="Q33" s="123">
        <v>276</v>
      </c>
      <c r="R33" s="179">
        <v>0</v>
      </c>
      <c r="S33" s="179">
        <v>0</v>
      </c>
      <c r="T33" s="179">
        <v>0</v>
      </c>
      <c r="U33" s="179">
        <v>0</v>
      </c>
      <c r="V33" s="179">
        <v>0</v>
      </c>
      <c r="W33" s="179">
        <v>0</v>
      </c>
      <c r="X33" s="179">
        <v>0</v>
      </c>
      <c r="Y33" s="179">
        <v>0</v>
      </c>
      <c r="Z33" s="179">
        <v>0</v>
      </c>
      <c r="AA33" s="179">
        <v>0</v>
      </c>
      <c r="AB33" s="179">
        <v>0</v>
      </c>
      <c r="AC33" s="179">
        <v>0</v>
      </c>
      <c r="AD33" s="179">
        <v>0</v>
      </c>
      <c r="AE33" s="179">
        <v>0</v>
      </c>
      <c r="AF33" s="179">
        <v>0</v>
      </c>
      <c r="AG33" s="179">
        <v>0</v>
      </c>
      <c r="AH33" s="179">
        <v>0</v>
      </c>
      <c r="AI33" s="179">
        <v>0</v>
      </c>
      <c r="AJ33" s="179">
        <v>0</v>
      </c>
      <c r="AK33" s="179">
        <v>0</v>
      </c>
      <c r="AL33" s="179">
        <v>0</v>
      </c>
      <c r="AM33" s="179">
        <v>0</v>
      </c>
      <c r="AN33" s="179">
        <v>0</v>
      </c>
      <c r="AO33" s="179">
        <v>0</v>
      </c>
      <c r="AP33" s="179">
        <v>0</v>
      </c>
      <c r="AQ33" s="179">
        <v>0</v>
      </c>
      <c r="AR33" s="179">
        <v>0</v>
      </c>
      <c r="AS33" s="179">
        <v>0</v>
      </c>
      <c r="AT33" s="179">
        <v>0</v>
      </c>
      <c r="AU33" s="179">
        <v>0</v>
      </c>
      <c r="AV33" s="179">
        <v>0</v>
      </c>
      <c r="AW33" s="58">
        <v>0</v>
      </c>
    </row>
    <row r="34" spans="1:50" ht="18" x14ac:dyDescent="0.25">
      <c r="A34" s="58">
        <f t="shared" si="1"/>
        <v>0</v>
      </c>
      <c r="B34" s="180" t="s">
        <v>229</v>
      </c>
      <c r="C34" s="179" t="s">
        <v>231</v>
      </c>
      <c r="D34" s="181">
        <v>55</v>
      </c>
      <c r="E34" s="180">
        <v>0.5</v>
      </c>
      <c r="F34" s="180">
        <v>380</v>
      </c>
      <c r="G34" s="179">
        <v>27.5</v>
      </c>
      <c r="H34" s="182">
        <v>10450</v>
      </c>
      <c r="I34" s="183">
        <v>0.76523760671718355</v>
      </c>
      <c r="J34" s="179">
        <v>28.265237606717182</v>
      </c>
      <c r="K34" s="179">
        <v>10740.79029055253</v>
      </c>
      <c r="L34" s="184">
        <v>33</v>
      </c>
      <c r="M34" s="185">
        <v>12540</v>
      </c>
      <c r="N34" s="185">
        <v>12606</v>
      </c>
      <c r="O34" s="185">
        <v>0</v>
      </c>
      <c r="P34" s="123">
        <v>-2</v>
      </c>
      <c r="Q34" s="123">
        <v>368</v>
      </c>
      <c r="R34" s="179">
        <v>0</v>
      </c>
      <c r="S34" s="179">
        <v>0</v>
      </c>
      <c r="T34" s="179">
        <v>0</v>
      </c>
      <c r="U34" s="179">
        <v>0</v>
      </c>
      <c r="V34" s="179">
        <v>0</v>
      </c>
      <c r="W34" s="179">
        <v>0</v>
      </c>
      <c r="X34" s="179">
        <v>0</v>
      </c>
      <c r="Y34" s="179">
        <v>0</v>
      </c>
      <c r="Z34" s="179">
        <v>0</v>
      </c>
      <c r="AA34" s="179">
        <v>0</v>
      </c>
      <c r="AB34" s="179">
        <v>0</v>
      </c>
      <c r="AC34" s="179">
        <v>0</v>
      </c>
      <c r="AD34" s="179">
        <v>0</v>
      </c>
      <c r="AE34" s="179">
        <v>0</v>
      </c>
      <c r="AF34" s="179">
        <v>0</v>
      </c>
      <c r="AG34" s="179">
        <v>0</v>
      </c>
      <c r="AH34" s="179">
        <v>0</v>
      </c>
      <c r="AI34" s="179">
        <v>0</v>
      </c>
      <c r="AJ34" s="179">
        <v>0</v>
      </c>
      <c r="AK34" s="179">
        <v>0</v>
      </c>
      <c r="AL34" s="179">
        <v>0</v>
      </c>
      <c r="AM34" s="179">
        <v>0</v>
      </c>
      <c r="AN34" s="179">
        <v>0</v>
      </c>
      <c r="AO34" s="179">
        <v>0</v>
      </c>
      <c r="AP34" s="179">
        <v>0</v>
      </c>
      <c r="AQ34" s="179">
        <v>0</v>
      </c>
      <c r="AR34" s="179">
        <v>0</v>
      </c>
      <c r="AS34" s="179">
        <v>0</v>
      </c>
      <c r="AT34" s="179">
        <v>0</v>
      </c>
      <c r="AU34" s="179">
        <v>0</v>
      </c>
      <c r="AV34" s="179">
        <v>0</v>
      </c>
      <c r="AW34" s="58">
        <v>0</v>
      </c>
      <c r="AX34" s="58">
        <f>AW34*G34</f>
        <v>0</v>
      </c>
    </row>
    <row r="35" spans="1:50" ht="18" x14ac:dyDescent="0.25">
      <c r="A35" s="58">
        <f t="shared" si="1"/>
        <v>0</v>
      </c>
      <c r="B35" s="180" t="s">
        <v>229</v>
      </c>
      <c r="C35" s="179" t="s">
        <v>230</v>
      </c>
      <c r="D35" s="181">
        <v>74</v>
      </c>
      <c r="E35" s="180">
        <v>0.5</v>
      </c>
      <c r="F35" s="180">
        <v>93</v>
      </c>
      <c r="G35" s="179">
        <v>37</v>
      </c>
      <c r="H35" s="182">
        <v>3441</v>
      </c>
      <c r="I35" s="183">
        <v>0.94740952748159901</v>
      </c>
      <c r="J35" s="179">
        <v>37.947409527481597</v>
      </c>
      <c r="K35" s="179">
        <v>3529.1090860557883</v>
      </c>
      <c r="L35" s="184">
        <v>42</v>
      </c>
      <c r="M35" s="185">
        <v>3906</v>
      </c>
      <c r="N35" s="185">
        <v>3864</v>
      </c>
      <c r="O35" s="185">
        <v>0</v>
      </c>
      <c r="P35" s="123">
        <v>1</v>
      </c>
      <c r="Q35" s="123">
        <v>92</v>
      </c>
      <c r="R35" s="179">
        <v>0</v>
      </c>
      <c r="S35" s="179">
        <v>0</v>
      </c>
      <c r="T35" s="179">
        <v>0</v>
      </c>
      <c r="U35" s="179">
        <v>0</v>
      </c>
      <c r="V35" s="179">
        <v>0</v>
      </c>
      <c r="W35" s="179">
        <v>0</v>
      </c>
      <c r="X35" s="179">
        <v>0</v>
      </c>
      <c r="Y35" s="179">
        <v>0</v>
      </c>
      <c r="Z35" s="179">
        <v>0</v>
      </c>
      <c r="AA35" s="179">
        <v>0</v>
      </c>
      <c r="AB35" s="179">
        <v>0</v>
      </c>
      <c r="AC35" s="179">
        <v>0</v>
      </c>
      <c r="AD35" s="179">
        <v>0</v>
      </c>
      <c r="AE35" s="179">
        <v>0</v>
      </c>
      <c r="AF35" s="179">
        <v>0</v>
      </c>
      <c r="AG35" s="179">
        <v>0</v>
      </c>
      <c r="AH35" s="179">
        <v>0</v>
      </c>
      <c r="AI35" s="179">
        <v>0</v>
      </c>
      <c r="AJ35" s="179">
        <v>0</v>
      </c>
      <c r="AK35" s="179">
        <v>0</v>
      </c>
      <c r="AL35" s="179">
        <v>0</v>
      </c>
      <c r="AM35" s="179">
        <v>0</v>
      </c>
      <c r="AN35" s="179">
        <v>0</v>
      </c>
      <c r="AO35" s="179">
        <v>0</v>
      </c>
      <c r="AP35" s="179">
        <v>0</v>
      </c>
      <c r="AQ35" s="179">
        <v>0</v>
      </c>
      <c r="AR35" s="179">
        <v>0</v>
      </c>
      <c r="AS35" s="179">
        <v>0</v>
      </c>
      <c r="AT35" s="179">
        <v>0</v>
      </c>
      <c r="AU35" s="179">
        <v>0</v>
      </c>
      <c r="AV35" s="179">
        <v>0</v>
      </c>
      <c r="AW35" s="58">
        <v>0</v>
      </c>
      <c r="AX35" s="58">
        <f>AW35*G35</f>
        <v>0</v>
      </c>
    </row>
  </sheetData>
  <autoFilter ref="B4:AW35" xr:uid="{00000000-0009-0000-0000-000003000000}"/>
  <mergeCells count="1">
    <mergeCell ref="B1:M1"/>
  </mergeCells>
  <conditionalFormatting sqref="C6:C19 C24">
    <cfRule type="expression" dxfId="775" priority="25">
      <formula>($O6/$O6)&lt;=1/4</formula>
    </cfRule>
  </conditionalFormatting>
  <conditionalFormatting sqref="C20">
    <cfRule type="expression" dxfId="774" priority="24">
      <formula>($O20/$O20)&lt;=1/4</formula>
    </cfRule>
  </conditionalFormatting>
  <conditionalFormatting sqref="C21">
    <cfRule type="expression" dxfId="773" priority="22">
      <formula>($O21/$O21)&lt;=1/4</formula>
    </cfRule>
  </conditionalFormatting>
  <conditionalFormatting sqref="C22 E22 G22">
    <cfRule type="expression" dxfId="772" priority="20">
      <formula>($O22/$O22)&lt;=1/4</formula>
    </cfRule>
  </conditionalFormatting>
  <conditionalFormatting sqref="C23">
    <cfRule type="expression" dxfId="771" priority="18">
      <formula>($O23/$O23)&lt;=1/4</formula>
    </cfRule>
  </conditionalFormatting>
  <conditionalFormatting sqref="C25">
    <cfRule type="expression" dxfId="770" priority="14">
      <formula>($O25/$O25)&lt;=1/4</formula>
    </cfRule>
  </conditionalFormatting>
  <conditionalFormatting sqref="C26:C27">
    <cfRule type="expression" dxfId="769" priority="12">
      <formula>($O26/$O26)&lt;=1/4</formula>
    </cfRule>
  </conditionalFormatting>
  <conditionalFormatting sqref="C28">
    <cfRule type="expression" dxfId="768" priority="9">
      <formula>($O28/$O28)&lt;=1/4</formula>
    </cfRule>
  </conditionalFormatting>
  <conditionalFormatting sqref="C29:C31">
    <cfRule type="expression" dxfId="767" priority="7">
      <formula>($O29/$O29)&lt;=1/4</formula>
    </cfRule>
  </conditionalFormatting>
  <conditionalFormatting sqref="C5:C31">
    <cfRule type="expression" dxfId="766" priority="43">
      <formula>($O5/$F5)&lt;=1/4</formula>
    </cfRule>
  </conditionalFormatting>
  <pageMargins left="0.7" right="0.7" top="0.75" bottom="0.75" header="0.3" footer="0.3"/>
  <pageSetup orientation="portrait" r:id="rId1"/>
  <legacyDrawing r:id="rId2"/>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3">
    <tabColor rgb="FF00B050"/>
  </sheetPr>
  <dimension ref="A1:AX35"/>
  <sheetViews>
    <sheetView topLeftCell="A2" zoomScale="90" zoomScaleNormal="90" workbookViewId="0">
      <pane xSplit="17" ySplit="3" topLeftCell="AE5" activePane="bottomRight" state="frozen"/>
      <selection activeCell="A2" sqref="A2"/>
      <selection pane="topRight" activeCell="R2" sqref="R2"/>
      <selection pane="bottomLeft" activeCell="A5" sqref="A5"/>
      <selection pane="bottomRight" activeCell="AJ5" sqref="AJ5:AJ23"/>
    </sheetView>
  </sheetViews>
  <sheetFormatPr defaultColWidth="9.09765625" defaultRowHeight="13.8" x14ac:dyDescent="0.25"/>
  <cols>
    <col min="1" max="1" width="16.296875" style="58" customWidth="1"/>
    <col min="2" max="2" width="9.09765625" style="58"/>
    <col min="3" max="3" width="35.59765625" style="58" customWidth="1"/>
    <col min="4" max="4" width="9" style="58" customWidth="1"/>
    <col min="5" max="5" width="8.3984375" style="58" customWidth="1"/>
    <col min="6" max="6" width="12.8984375" style="58" bestFit="1" customWidth="1"/>
    <col min="7" max="7" width="9.69921875" style="58" customWidth="1"/>
    <col min="8" max="8" width="12.8984375" style="58" hidden="1" customWidth="1"/>
    <col min="9" max="9" width="14.8984375" style="58" hidden="1" customWidth="1"/>
    <col min="10" max="10" width="11.69921875" style="58" customWidth="1"/>
    <col min="11" max="11" width="14.8984375" style="58" hidden="1" customWidth="1"/>
    <col min="12" max="12" width="10.296875" style="58" customWidth="1"/>
    <col min="13" max="14" width="16.296875" style="58" hidden="1" customWidth="1"/>
    <col min="15" max="15" width="9.09765625" style="58"/>
    <col min="16" max="16" width="13.09765625" style="58" customWidth="1"/>
    <col min="17" max="17" width="11.8984375" style="58" customWidth="1"/>
    <col min="18" max="35" width="4.59765625" style="58" customWidth="1"/>
    <col min="36" max="36" width="4.69921875" style="58" bestFit="1" customWidth="1"/>
    <col min="37" max="48" width="4.59765625" style="58" customWidth="1"/>
    <col min="49" max="49" width="9.09765625" style="58"/>
    <col min="50" max="50" width="12" style="58" bestFit="1" customWidth="1"/>
    <col min="51" max="16384" width="9.09765625" style="58"/>
  </cols>
  <sheetData>
    <row r="1" spans="1:50" hidden="1" x14ac:dyDescent="0.25">
      <c r="B1" s="256" t="s">
        <v>51</v>
      </c>
      <c r="C1" s="256"/>
      <c r="D1" s="256"/>
      <c r="E1" s="256"/>
      <c r="F1" s="256"/>
      <c r="G1" s="256"/>
      <c r="H1" s="256"/>
      <c r="I1" s="256"/>
      <c r="J1" s="256"/>
      <c r="K1" s="256"/>
      <c r="L1" s="256"/>
      <c r="M1" s="256"/>
      <c r="N1" s="59"/>
    </row>
    <row r="2" spans="1:50" ht="34.5" customHeight="1" x14ac:dyDescent="0.25">
      <c r="A2" s="1">
        <f>370+100+80+150+170+60+300+200+40+180+50+100+30+60+30+160+60+70+70+30+50+60+40+20+90+40+30+70+40+20+60+50+60+20+20+40+60+60+60+140+40+80+40+40+60+50+80+20+160+30+20+20+20+160+40+120+40+20+200+180+20+100+80</f>
        <v>4960</v>
      </c>
      <c r="F2" s="13"/>
      <c r="H2" s="151">
        <f>880+1311</f>
        <v>2191</v>
      </c>
      <c r="K2" s="151">
        <f>902+1343</f>
        <v>2245</v>
      </c>
      <c r="L2" s="13"/>
      <c r="M2" s="151">
        <f>1080+1520</f>
        <v>2600</v>
      </c>
      <c r="N2" s="151">
        <f>1053+1520</f>
        <v>2573</v>
      </c>
      <c r="P2" s="58">
        <f>40*21.5</f>
        <v>860</v>
      </c>
      <c r="AX2" s="131"/>
    </row>
    <row r="3" spans="1:50" ht="45.6" customHeight="1" x14ac:dyDescent="0.25">
      <c r="A3" s="50" t="s">
        <v>104</v>
      </c>
      <c r="B3" s="3" t="s">
        <v>0</v>
      </c>
      <c r="C3" s="3" t="s">
        <v>16</v>
      </c>
      <c r="D3" s="17" t="s">
        <v>54</v>
      </c>
      <c r="E3" s="5" t="s">
        <v>125</v>
      </c>
      <c r="F3" s="109" t="s">
        <v>124</v>
      </c>
      <c r="G3" s="4" t="s">
        <v>17</v>
      </c>
      <c r="H3" s="4" t="s">
        <v>18</v>
      </c>
      <c r="I3" s="9" t="s">
        <v>19</v>
      </c>
      <c r="J3" s="9" t="s">
        <v>20</v>
      </c>
      <c r="K3" s="9" t="s">
        <v>23</v>
      </c>
      <c r="L3" s="10" t="s">
        <v>21</v>
      </c>
      <c r="M3" s="11" t="s">
        <v>22</v>
      </c>
      <c r="N3" s="11" t="s">
        <v>103</v>
      </c>
      <c r="O3" s="20" t="s">
        <v>52</v>
      </c>
      <c r="P3" s="56" t="s">
        <v>115</v>
      </c>
      <c r="Q3" s="227" t="s">
        <v>302</v>
      </c>
      <c r="R3" s="21" t="s">
        <v>146</v>
      </c>
      <c r="S3" s="23" t="s">
        <v>147</v>
      </c>
      <c r="T3" s="21" t="s">
        <v>148</v>
      </c>
      <c r="U3" s="23" t="s">
        <v>149</v>
      </c>
      <c r="V3" s="21" t="s">
        <v>150</v>
      </c>
      <c r="W3" s="23" t="s">
        <v>151</v>
      </c>
      <c r="X3" s="21" t="s">
        <v>152</v>
      </c>
      <c r="Y3" s="23" t="s">
        <v>153</v>
      </c>
      <c r="Z3" s="21" t="s">
        <v>154</v>
      </c>
      <c r="AA3" s="23">
        <v>10</v>
      </c>
      <c r="AB3" s="21">
        <v>11</v>
      </c>
      <c r="AC3" s="23">
        <v>12</v>
      </c>
      <c r="AD3" s="21">
        <v>13</v>
      </c>
      <c r="AE3" s="23">
        <v>14</v>
      </c>
      <c r="AF3" s="21">
        <v>15</v>
      </c>
      <c r="AG3" s="23">
        <v>16</v>
      </c>
      <c r="AH3" s="21">
        <v>17</v>
      </c>
      <c r="AI3" s="23">
        <v>18</v>
      </c>
      <c r="AJ3" s="21">
        <v>19</v>
      </c>
      <c r="AK3" s="23">
        <v>20</v>
      </c>
      <c r="AL3" s="21">
        <v>21</v>
      </c>
      <c r="AM3" s="23">
        <v>22</v>
      </c>
      <c r="AN3" s="21">
        <v>23</v>
      </c>
      <c r="AO3" s="23">
        <v>24</v>
      </c>
      <c r="AP3" s="21">
        <v>25</v>
      </c>
      <c r="AQ3" s="23">
        <v>26</v>
      </c>
      <c r="AR3" s="21">
        <v>27</v>
      </c>
      <c r="AS3" s="23">
        <v>28</v>
      </c>
      <c r="AT3" s="21">
        <v>29</v>
      </c>
      <c r="AU3" s="23">
        <v>30</v>
      </c>
      <c r="AV3" s="21">
        <v>31</v>
      </c>
    </row>
    <row r="4" spans="1:50" s="45" customFormat="1" ht="27" customHeight="1" x14ac:dyDescent="0.25">
      <c r="A4" s="49">
        <f ca="1">SUBTOTAL(9,A5:A32)</f>
        <v>4363.0336440486944</v>
      </c>
      <c r="B4" s="16"/>
      <c r="C4" s="16"/>
      <c r="D4" s="46"/>
      <c r="E4" s="16">
        <f>SUMPRODUCT((E5:E32)*(F5:F32))</f>
        <v>3011.2</v>
      </c>
      <c r="F4" s="16">
        <f>SUBTOTAL(9,F5:F32)</f>
        <v>6534</v>
      </c>
      <c r="G4" s="7"/>
      <c r="H4" s="7">
        <f>SUBTOTAL(9,H5:H32)+H2</f>
        <v>216918.78947368421</v>
      </c>
      <c r="I4" s="12"/>
      <c r="J4" s="12"/>
      <c r="K4" s="12">
        <f>SUBTOTAL(9,K5:K32)+K2</f>
        <v>221868.92559276964</v>
      </c>
      <c r="L4" s="47"/>
      <c r="M4" s="7">
        <f>SUBTOTAL(9,M5:M32)+M2</f>
        <v>262666</v>
      </c>
      <c r="N4" s="7">
        <f ca="1">SUBTOTAL(9,N5:N32)+N2</f>
        <v>249674</v>
      </c>
      <c r="O4" s="48">
        <f ca="1">SUBTOTAL(9,O5:O32)</f>
        <v>118</v>
      </c>
      <c r="P4" s="74">
        <f t="shared" ref="P4" si="0">SUBTOTAL(9,P5:P24)</f>
        <v>154</v>
      </c>
      <c r="Q4" s="74">
        <f>SUBTOTAL(9,Q5:Q32)</f>
        <v>5703</v>
      </c>
      <c r="R4" s="25">
        <f t="shared" ref="R4:AV4" si="1">SUBTOTAL(9,R5:R25)</f>
        <v>18</v>
      </c>
      <c r="S4" s="25">
        <f t="shared" si="1"/>
        <v>15</v>
      </c>
      <c r="T4" s="25">
        <f t="shared" si="1"/>
        <v>9</v>
      </c>
      <c r="U4" s="25">
        <f t="shared" si="1"/>
        <v>14</v>
      </c>
      <c r="V4" s="25">
        <f t="shared" si="1"/>
        <v>15</v>
      </c>
      <c r="W4" s="25">
        <f t="shared" si="1"/>
        <v>7</v>
      </c>
      <c r="X4" s="25">
        <f t="shared" si="1"/>
        <v>8</v>
      </c>
      <c r="Y4" s="25">
        <f t="shared" si="1"/>
        <v>9</v>
      </c>
      <c r="Z4" s="25">
        <f t="shared" si="1"/>
        <v>32</v>
      </c>
      <c r="AA4" s="25">
        <f t="shared" si="1"/>
        <v>7</v>
      </c>
      <c r="AB4" s="25">
        <f t="shared" si="1"/>
        <v>10</v>
      </c>
      <c r="AC4" s="25">
        <f t="shared" si="1"/>
        <v>9</v>
      </c>
      <c r="AD4" s="25">
        <f t="shared" si="1"/>
        <v>2</v>
      </c>
      <c r="AE4" s="25">
        <f t="shared" si="1"/>
        <v>22</v>
      </c>
      <c r="AF4" s="25">
        <f t="shared" si="1"/>
        <v>36</v>
      </c>
      <c r="AG4" s="25">
        <f t="shared" si="1"/>
        <v>36</v>
      </c>
      <c r="AH4" s="25">
        <f t="shared" si="1"/>
        <v>13</v>
      </c>
      <c r="AI4" s="25">
        <f t="shared" si="1"/>
        <v>53</v>
      </c>
      <c r="AJ4" s="25">
        <f t="shared" si="1"/>
        <v>43</v>
      </c>
      <c r="AK4" s="25">
        <f t="shared" ca="1" si="1"/>
        <v>9</v>
      </c>
      <c r="AL4" s="25">
        <f t="shared" si="1"/>
        <v>0</v>
      </c>
      <c r="AM4" s="25">
        <f t="shared" si="1"/>
        <v>0</v>
      </c>
      <c r="AN4" s="25">
        <f t="shared" si="1"/>
        <v>0</v>
      </c>
      <c r="AO4" s="25">
        <f t="shared" si="1"/>
        <v>0</v>
      </c>
      <c r="AP4" s="25">
        <f t="shared" si="1"/>
        <v>0</v>
      </c>
      <c r="AQ4" s="25">
        <f t="shared" si="1"/>
        <v>0</v>
      </c>
      <c r="AR4" s="25">
        <f t="shared" si="1"/>
        <v>0</v>
      </c>
      <c r="AS4" s="25">
        <f t="shared" si="1"/>
        <v>0</v>
      </c>
      <c r="AT4" s="25">
        <f t="shared" si="1"/>
        <v>0</v>
      </c>
      <c r="AU4" s="25">
        <f t="shared" si="1"/>
        <v>0</v>
      </c>
      <c r="AV4" s="25">
        <f t="shared" si="1"/>
        <v>0</v>
      </c>
      <c r="AW4" s="41" t="str">
        <f>SUMPRODUCT(($AW$5:$AW$32)*($E$5:$E$32))&amp;" Kg"</f>
        <v>0 Kg</v>
      </c>
      <c r="AX4" s="77">
        <f>SUBTOTAL(9,AX5:AX32)</f>
        <v>0</v>
      </c>
    </row>
    <row r="5" spans="1:50" ht="18" x14ac:dyDescent="0.25">
      <c r="A5" s="58">
        <f t="shared" ref="A5:A28" ca="1" si="2">J5*O5</f>
        <v>1080.1461793729741</v>
      </c>
      <c r="B5" s="6">
        <v>1</v>
      </c>
      <c r="C5" s="60" t="s">
        <v>128</v>
      </c>
      <c r="D5" s="68">
        <v>64</v>
      </c>
      <c r="E5" s="61">
        <v>0.5</v>
      </c>
      <c r="F5" s="60">
        <f>80+100+80+100+100+40+40</f>
        <v>540</v>
      </c>
      <c r="G5" s="62">
        <f>D5/2</f>
        <v>32</v>
      </c>
      <c r="H5" s="63">
        <f t="shared" ref="H5:H19" si="3">G5*F5</f>
        <v>17280</v>
      </c>
      <c r="I5" s="64">
        <f t="shared" ref="I5:I19" si="4">((H5/$H$4)*$A$2)/F5</f>
        <v>0.73170240524164143</v>
      </c>
      <c r="J5" s="134">
        <f t="shared" ref="J5:J17" si="5">G5+I5</f>
        <v>32.731702405241641</v>
      </c>
      <c r="K5" s="65">
        <f>J5*F5</f>
        <v>17675.119298830487</v>
      </c>
      <c r="L5" s="69">
        <v>45</v>
      </c>
      <c r="M5" s="63">
        <f t="shared" ref="M5:M18" si="6">L5*F5</f>
        <v>24300</v>
      </c>
      <c r="N5" s="63">
        <f t="shared" ref="N5:N25" ca="1" si="7">SUMPRODUCT(($Q5:$AV5)*$L5)</f>
        <v>22815</v>
      </c>
      <c r="O5" s="70">
        <f t="shared" ref="O5:O25" ca="1" si="8">F5-SUM(Q5:AV5)-P5</f>
        <v>33</v>
      </c>
      <c r="P5" s="57">
        <v>0</v>
      </c>
      <c r="Q5" s="57">
        <v>392</v>
      </c>
      <c r="R5" s="22">
        <v>4</v>
      </c>
      <c r="S5" s="22">
        <v>2</v>
      </c>
      <c r="T5" s="22">
        <v>6</v>
      </c>
      <c r="U5" s="22">
        <v>6</v>
      </c>
      <c r="V5" s="22">
        <v>7</v>
      </c>
      <c r="W5" s="22">
        <v>1</v>
      </c>
      <c r="X5" s="22">
        <v>8</v>
      </c>
      <c r="Y5" s="22">
        <v>2</v>
      </c>
      <c r="Z5" s="22">
        <v>16</v>
      </c>
      <c r="AA5" s="22">
        <v>3</v>
      </c>
      <c r="AB5" s="22">
        <v>6</v>
      </c>
      <c r="AC5" s="22">
        <v>6</v>
      </c>
      <c r="AD5" s="22">
        <v>2</v>
      </c>
      <c r="AE5" s="22">
        <v>8</v>
      </c>
      <c r="AF5" s="22">
        <v>7</v>
      </c>
      <c r="AG5" s="22">
        <v>11</v>
      </c>
      <c r="AH5" s="22">
        <v>2</v>
      </c>
      <c r="AI5" s="22">
        <v>10</v>
      </c>
      <c r="AJ5" s="22">
        <v>5</v>
      </c>
      <c r="AK5" s="22">
        <f ca="1">SUMIFS('Tổng Đơn'!$F:$F,'Tổng Đơn'!$B:$B,$C5)</f>
        <v>3</v>
      </c>
      <c r="AL5" s="22">
        <v>0</v>
      </c>
      <c r="AM5" s="22">
        <v>0</v>
      </c>
      <c r="AN5" s="22">
        <v>0</v>
      </c>
      <c r="AO5" s="22">
        <v>0</v>
      </c>
      <c r="AP5" s="22">
        <v>0</v>
      </c>
      <c r="AQ5" s="22">
        <v>0</v>
      </c>
      <c r="AR5" s="22">
        <v>0</v>
      </c>
      <c r="AS5" s="22">
        <v>0</v>
      </c>
      <c r="AT5" s="22">
        <v>0</v>
      </c>
      <c r="AU5" s="22">
        <v>0</v>
      </c>
      <c r="AV5" s="22">
        <v>0</v>
      </c>
      <c r="AW5" s="58">
        <v>0</v>
      </c>
      <c r="AX5" s="58">
        <f t="shared" ref="AX5:AX25" si="9">AW5*G5</f>
        <v>0</v>
      </c>
    </row>
    <row r="6" spans="1:50" ht="18" x14ac:dyDescent="0.25">
      <c r="A6" s="58">
        <f t="shared" ca="1" si="2"/>
        <v>165.70424342653581</v>
      </c>
      <c r="B6" s="6">
        <v>2</v>
      </c>
      <c r="C6" s="60" t="s">
        <v>224</v>
      </c>
      <c r="D6" s="68">
        <f t="shared" ref="D6:D11" si="10">G6*2</f>
        <v>81</v>
      </c>
      <c r="E6" s="61">
        <v>0.5</v>
      </c>
      <c r="F6" s="60">
        <f>20+60+20+20+20+20+20+20+20+40+20</f>
        <v>280</v>
      </c>
      <c r="G6" s="62">
        <v>40.5</v>
      </c>
      <c r="H6" s="63">
        <f t="shared" si="3"/>
        <v>11340</v>
      </c>
      <c r="I6" s="64">
        <f t="shared" si="4"/>
        <v>0.92606085663395254</v>
      </c>
      <c r="J6" s="134">
        <f t="shared" si="5"/>
        <v>41.426060856633953</v>
      </c>
      <c r="K6" s="65">
        <f t="shared" ref="K6:K17" si="11">J6*F6</f>
        <v>11599.297039857507</v>
      </c>
      <c r="L6" s="69">
        <v>46</v>
      </c>
      <c r="M6" s="63">
        <f t="shared" si="6"/>
        <v>12880</v>
      </c>
      <c r="N6" s="63">
        <f t="shared" ca="1" si="7"/>
        <v>12650</v>
      </c>
      <c r="O6" s="70">
        <f t="shared" ca="1" si="8"/>
        <v>4</v>
      </c>
      <c r="P6" s="57">
        <v>1</v>
      </c>
      <c r="Q6" s="57">
        <v>253</v>
      </c>
      <c r="R6" s="22">
        <v>4</v>
      </c>
      <c r="S6" s="22">
        <v>0</v>
      </c>
      <c r="T6" s="22">
        <v>0</v>
      </c>
      <c r="U6" s="22">
        <v>0</v>
      </c>
      <c r="V6" s="22">
        <v>0</v>
      </c>
      <c r="W6" s="22">
        <v>0</v>
      </c>
      <c r="X6" s="22">
        <v>0</v>
      </c>
      <c r="Y6" s="22">
        <v>0</v>
      </c>
      <c r="Z6" s="22">
        <v>0</v>
      </c>
      <c r="AA6" s="22">
        <v>0</v>
      </c>
      <c r="AB6" s="22">
        <v>0</v>
      </c>
      <c r="AC6" s="22">
        <v>0</v>
      </c>
      <c r="AD6" s="22">
        <v>0</v>
      </c>
      <c r="AE6" s="22">
        <v>0</v>
      </c>
      <c r="AF6" s="22">
        <v>0</v>
      </c>
      <c r="AG6" s="22">
        <v>1</v>
      </c>
      <c r="AH6" s="22">
        <v>5</v>
      </c>
      <c r="AI6" s="22">
        <v>6</v>
      </c>
      <c r="AJ6" s="22">
        <v>6</v>
      </c>
      <c r="AK6" s="22">
        <f ca="1">SUMIFS('Tổng Đơn'!$F:$F,'Tổng Đơn'!$B:$B,$C6)</f>
        <v>0</v>
      </c>
      <c r="AL6" s="22">
        <v>0</v>
      </c>
      <c r="AM6" s="22">
        <v>0</v>
      </c>
      <c r="AN6" s="22">
        <v>0</v>
      </c>
      <c r="AO6" s="22">
        <v>0</v>
      </c>
      <c r="AP6" s="22">
        <v>0</v>
      </c>
      <c r="AQ6" s="22">
        <v>0</v>
      </c>
      <c r="AR6" s="22">
        <v>0</v>
      </c>
      <c r="AS6" s="22">
        <v>0</v>
      </c>
      <c r="AT6" s="22">
        <v>0</v>
      </c>
      <c r="AU6" s="22">
        <v>0</v>
      </c>
      <c r="AV6" s="22">
        <v>0</v>
      </c>
      <c r="AW6" s="58">
        <v>0</v>
      </c>
      <c r="AX6" s="58">
        <f t="shared" si="9"/>
        <v>0</v>
      </c>
    </row>
    <row r="7" spans="1:50" ht="19.5" customHeight="1" x14ac:dyDescent="0.25">
      <c r="A7" s="58">
        <f t="shared" ca="1" si="2"/>
        <v>1030.5371929150299</v>
      </c>
      <c r="B7" s="6">
        <v>3</v>
      </c>
      <c r="C7" s="60" t="s">
        <v>27</v>
      </c>
      <c r="D7" s="68">
        <f t="shared" si="10"/>
        <v>65</v>
      </c>
      <c r="E7" s="61">
        <v>0.5</v>
      </c>
      <c r="F7" s="60">
        <f>120+40+40+40+40+40</f>
        <v>320</v>
      </c>
      <c r="G7" s="62">
        <v>32.5</v>
      </c>
      <c r="H7" s="63">
        <f t="shared" si="3"/>
        <v>10400</v>
      </c>
      <c r="I7" s="64">
        <f t="shared" si="4"/>
        <v>0.74313525532354219</v>
      </c>
      <c r="J7" s="134">
        <f t="shared" si="5"/>
        <v>33.243135255323544</v>
      </c>
      <c r="K7" s="65">
        <f t="shared" si="11"/>
        <v>10637.803281703535</v>
      </c>
      <c r="L7" s="69">
        <v>38</v>
      </c>
      <c r="M7" s="63">
        <f t="shared" si="6"/>
        <v>12160</v>
      </c>
      <c r="N7" s="63">
        <f t="shared" ca="1" si="7"/>
        <v>10906</v>
      </c>
      <c r="O7" s="70">
        <f t="shared" ca="1" si="8"/>
        <v>31</v>
      </c>
      <c r="P7" s="57">
        <v>2</v>
      </c>
      <c r="Q7" s="57">
        <v>272</v>
      </c>
      <c r="R7" s="22">
        <v>0</v>
      </c>
      <c r="S7" s="22">
        <v>2</v>
      </c>
      <c r="T7" s="22">
        <v>0</v>
      </c>
      <c r="U7" s="22">
        <v>0</v>
      </c>
      <c r="V7" s="22">
        <v>3</v>
      </c>
      <c r="W7" s="22">
        <v>1</v>
      </c>
      <c r="X7" s="22">
        <v>0</v>
      </c>
      <c r="Y7" s="22">
        <v>0</v>
      </c>
      <c r="Z7" s="22">
        <v>0</v>
      </c>
      <c r="AA7" s="22">
        <v>0</v>
      </c>
      <c r="AB7" s="22">
        <v>1</v>
      </c>
      <c r="AC7" s="22">
        <v>0</v>
      </c>
      <c r="AD7" s="22">
        <v>0</v>
      </c>
      <c r="AE7" s="22">
        <v>1</v>
      </c>
      <c r="AF7" s="22">
        <v>0</v>
      </c>
      <c r="AG7" s="22">
        <v>3</v>
      </c>
      <c r="AH7" s="22">
        <v>0</v>
      </c>
      <c r="AI7" s="22">
        <v>2</v>
      </c>
      <c r="AJ7" s="22">
        <v>2</v>
      </c>
      <c r="AK7" s="22">
        <f ca="1">SUMIFS('Tổng Đơn'!$F:$F,'Tổng Đơn'!$B:$B,$C7)</f>
        <v>0</v>
      </c>
      <c r="AL7" s="22">
        <v>0</v>
      </c>
      <c r="AM7" s="22">
        <v>0</v>
      </c>
      <c r="AN7" s="22">
        <v>0</v>
      </c>
      <c r="AO7" s="22">
        <v>0</v>
      </c>
      <c r="AP7" s="22">
        <v>0</v>
      </c>
      <c r="AQ7" s="22">
        <v>0</v>
      </c>
      <c r="AR7" s="22">
        <v>0</v>
      </c>
      <c r="AS7" s="22">
        <v>0</v>
      </c>
      <c r="AT7" s="22">
        <v>0</v>
      </c>
      <c r="AU7" s="22">
        <v>0</v>
      </c>
      <c r="AV7" s="22">
        <v>0</v>
      </c>
      <c r="AW7" s="58">
        <v>0</v>
      </c>
      <c r="AX7" s="58">
        <f t="shared" si="9"/>
        <v>0</v>
      </c>
    </row>
    <row r="8" spans="1:50" ht="18" x14ac:dyDescent="0.25">
      <c r="A8" s="58">
        <f t="shared" ca="1" si="2"/>
        <v>40.91462800655205</v>
      </c>
      <c r="B8" s="6">
        <v>4</v>
      </c>
      <c r="C8" s="60" t="s">
        <v>26</v>
      </c>
      <c r="D8" s="68">
        <f t="shared" si="10"/>
        <v>80</v>
      </c>
      <c r="E8" s="61">
        <v>0.5</v>
      </c>
      <c r="F8" s="60">
        <f>70+30+20+30+20+20+20+30+10+10+20+20+30+30+20+10+10+10+20+30+40+30+30+20+30+20+30+30+20</f>
        <v>710</v>
      </c>
      <c r="G8" s="62">
        <v>40</v>
      </c>
      <c r="H8" s="63">
        <f t="shared" si="3"/>
        <v>28400</v>
      </c>
      <c r="I8" s="64">
        <f t="shared" si="4"/>
        <v>0.91462800655205179</v>
      </c>
      <c r="J8" s="134">
        <f t="shared" si="5"/>
        <v>40.91462800655205</v>
      </c>
      <c r="K8" s="65">
        <f t="shared" si="11"/>
        <v>29049.385884651954</v>
      </c>
      <c r="L8" s="69">
        <v>45</v>
      </c>
      <c r="M8" s="63">
        <f t="shared" si="6"/>
        <v>31950</v>
      </c>
      <c r="N8" s="63">
        <f t="shared" ca="1" si="7"/>
        <v>31860</v>
      </c>
      <c r="O8" s="70">
        <f t="shared" ca="1" si="8"/>
        <v>1</v>
      </c>
      <c r="P8" s="57">
        <f>-1+2</f>
        <v>1</v>
      </c>
      <c r="Q8" s="57">
        <v>659</v>
      </c>
      <c r="R8" s="22">
        <v>8</v>
      </c>
      <c r="S8" s="22">
        <v>0</v>
      </c>
      <c r="T8" s="22">
        <v>0</v>
      </c>
      <c r="U8" s="22">
        <v>0</v>
      </c>
      <c r="V8" s="22">
        <v>0</v>
      </c>
      <c r="W8" s="22">
        <v>0</v>
      </c>
      <c r="X8" s="22">
        <v>0</v>
      </c>
      <c r="Y8" s="22">
        <v>0</v>
      </c>
      <c r="Z8" s="22">
        <v>0</v>
      </c>
      <c r="AA8" s="22">
        <v>0</v>
      </c>
      <c r="AB8" s="22">
        <v>0</v>
      </c>
      <c r="AC8" s="22">
        <v>0</v>
      </c>
      <c r="AD8" s="22">
        <v>0</v>
      </c>
      <c r="AE8" s="22">
        <v>4</v>
      </c>
      <c r="AF8" s="22">
        <v>2</v>
      </c>
      <c r="AG8" s="22">
        <v>12</v>
      </c>
      <c r="AH8" s="22">
        <v>2</v>
      </c>
      <c r="AI8" s="22">
        <v>14</v>
      </c>
      <c r="AJ8" s="22">
        <v>6</v>
      </c>
      <c r="AK8" s="22">
        <f ca="1">SUMIFS('Tổng Đơn'!$F:$F,'Tổng Đơn'!$B:$B,$C8)</f>
        <v>1</v>
      </c>
      <c r="AL8" s="22">
        <v>0</v>
      </c>
      <c r="AM8" s="22">
        <v>0</v>
      </c>
      <c r="AN8" s="22">
        <v>0</v>
      </c>
      <c r="AO8" s="22">
        <v>0</v>
      </c>
      <c r="AP8" s="22">
        <v>0</v>
      </c>
      <c r="AQ8" s="22">
        <v>0</v>
      </c>
      <c r="AR8" s="22">
        <v>0</v>
      </c>
      <c r="AS8" s="22">
        <v>0</v>
      </c>
      <c r="AT8" s="22">
        <v>0</v>
      </c>
      <c r="AU8" s="22">
        <v>0</v>
      </c>
      <c r="AV8" s="22">
        <v>0</v>
      </c>
      <c r="AW8" s="58">
        <v>0</v>
      </c>
      <c r="AX8" s="58">
        <f t="shared" si="9"/>
        <v>0</v>
      </c>
    </row>
    <row r="9" spans="1:50" ht="18" x14ac:dyDescent="0.25">
      <c r="A9" s="58">
        <f t="shared" ca="1" si="2"/>
        <v>0</v>
      </c>
      <c r="B9" s="6">
        <v>5</v>
      </c>
      <c r="C9" s="60" t="s">
        <v>25</v>
      </c>
      <c r="D9" s="68">
        <v>77</v>
      </c>
      <c r="E9" s="61">
        <v>0.5</v>
      </c>
      <c r="F9" s="60">
        <f>30+40+24+48+48+50</f>
        <v>240</v>
      </c>
      <c r="G9" s="62">
        <f>D9/2</f>
        <v>38.5</v>
      </c>
      <c r="H9" s="63">
        <f>G9*F9</f>
        <v>9240</v>
      </c>
      <c r="I9" s="64">
        <f>((H9/$H$4)*$A$2)/F9</f>
        <v>0.88032945630634996</v>
      </c>
      <c r="J9" s="134">
        <f t="shared" si="5"/>
        <v>39.380329456306349</v>
      </c>
      <c r="K9" s="65">
        <f t="shared" si="11"/>
        <v>9451.2790695135245</v>
      </c>
      <c r="L9" s="69">
        <v>42</v>
      </c>
      <c r="M9" s="63">
        <f t="shared" si="6"/>
        <v>10080</v>
      </c>
      <c r="N9" s="63">
        <f t="shared" ca="1" si="7"/>
        <v>10080</v>
      </c>
      <c r="O9" s="70">
        <f t="shared" ca="1" si="8"/>
        <v>0</v>
      </c>
      <c r="P9" s="57">
        <v>0</v>
      </c>
      <c r="Q9" s="57">
        <v>227</v>
      </c>
      <c r="R9" s="22">
        <v>0</v>
      </c>
      <c r="S9" s="22">
        <v>3</v>
      </c>
      <c r="T9" s="22">
        <v>3</v>
      </c>
      <c r="U9" s="22">
        <v>5</v>
      </c>
      <c r="V9" s="22">
        <v>2</v>
      </c>
      <c r="W9" s="22">
        <v>0</v>
      </c>
      <c r="X9" s="22">
        <v>0</v>
      </c>
      <c r="Y9" s="22">
        <v>0</v>
      </c>
      <c r="Z9" s="22">
        <v>0</v>
      </c>
      <c r="AA9" s="22">
        <v>0</v>
      </c>
      <c r="AB9" s="22">
        <v>0</v>
      </c>
      <c r="AC9" s="22">
        <v>0</v>
      </c>
      <c r="AD9" s="22">
        <v>0</v>
      </c>
      <c r="AE9" s="22">
        <v>0</v>
      </c>
      <c r="AF9" s="22">
        <v>0</v>
      </c>
      <c r="AG9" s="22">
        <v>0</v>
      </c>
      <c r="AH9" s="22">
        <v>0</v>
      </c>
      <c r="AI9" s="22">
        <v>0</v>
      </c>
      <c r="AJ9" s="22">
        <v>0</v>
      </c>
      <c r="AK9" s="22">
        <f ca="1">SUMIFS('Tổng Đơn'!$F:$F,'Tổng Đơn'!$B:$B,$C9)</f>
        <v>0</v>
      </c>
      <c r="AL9" s="22">
        <v>0</v>
      </c>
      <c r="AM9" s="22">
        <v>0</v>
      </c>
      <c r="AN9" s="22">
        <v>0</v>
      </c>
      <c r="AO9" s="22">
        <v>0</v>
      </c>
      <c r="AP9" s="22">
        <v>0</v>
      </c>
      <c r="AQ9" s="22">
        <v>0</v>
      </c>
      <c r="AR9" s="22">
        <v>0</v>
      </c>
      <c r="AS9" s="22">
        <v>0</v>
      </c>
      <c r="AT9" s="22">
        <v>0</v>
      </c>
      <c r="AU9" s="22">
        <v>0</v>
      </c>
      <c r="AV9" s="22">
        <v>0</v>
      </c>
      <c r="AW9" s="58">
        <v>0</v>
      </c>
      <c r="AX9" s="58">
        <f t="shared" si="9"/>
        <v>0</v>
      </c>
    </row>
    <row r="10" spans="1:50" ht="18" hidden="1" x14ac:dyDescent="0.25">
      <c r="A10" s="58">
        <f t="shared" si="2"/>
        <v>0</v>
      </c>
      <c r="B10" s="6">
        <v>6</v>
      </c>
      <c r="C10" s="60" t="s">
        <v>53</v>
      </c>
      <c r="D10" s="68">
        <f t="shared" si="10"/>
        <v>59</v>
      </c>
      <c r="E10" s="61">
        <v>0.5</v>
      </c>
      <c r="F10" s="60">
        <f>60+20+40</f>
        <v>120</v>
      </c>
      <c r="G10" s="62">
        <v>29.5</v>
      </c>
      <c r="H10" s="63">
        <f t="shared" si="3"/>
        <v>3540</v>
      </c>
      <c r="I10" s="64">
        <f t="shared" si="4"/>
        <v>0.6745381548321383</v>
      </c>
      <c r="J10" s="134">
        <f t="shared" si="5"/>
        <v>30.174538154832138</v>
      </c>
      <c r="K10" s="65">
        <f t="shared" si="11"/>
        <v>3620.9445785798566</v>
      </c>
      <c r="L10" s="69">
        <v>35</v>
      </c>
      <c r="M10" s="63">
        <f t="shared" si="6"/>
        <v>4200</v>
      </c>
      <c r="N10" s="63">
        <f t="shared" si="7"/>
        <v>4200</v>
      </c>
      <c r="O10" s="70">
        <f t="shared" si="8"/>
        <v>0</v>
      </c>
      <c r="P10" s="57"/>
      <c r="Q10" s="57">
        <v>120</v>
      </c>
      <c r="R10" s="22">
        <v>0</v>
      </c>
      <c r="S10" s="22">
        <v>0</v>
      </c>
      <c r="T10" s="22">
        <v>0</v>
      </c>
      <c r="U10" s="22">
        <v>0</v>
      </c>
      <c r="V10" s="22">
        <v>0</v>
      </c>
      <c r="W10" s="22">
        <v>0</v>
      </c>
      <c r="X10" s="22">
        <v>0</v>
      </c>
      <c r="Y10" s="22">
        <v>0</v>
      </c>
      <c r="Z10" s="22">
        <v>0</v>
      </c>
      <c r="AA10" s="22">
        <v>0</v>
      </c>
      <c r="AB10" s="22">
        <v>0</v>
      </c>
      <c r="AC10" s="22">
        <v>0</v>
      </c>
      <c r="AD10" s="22">
        <v>0</v>
      </c>
      <c r="AE10" s="22">
        <v>0</v>
      </c>
      <c r="AF10" s="22">
        <v>0</v>
      </c>
      <c r="AG10" s="22">
        <v>0</v>
      </c>
      <c r="AH10" s="22">
        <v>0</v>
      </c>
      <c r="AI10" s="22">
        <v>0</v>
      </c>
      <c r="AJ10" s="22">
        <v>0</v>
      </c>
      <c r="AK10" s="22">
        <f>SUMIFS('Tổng Đơn'!$F:$F,'Tổng Đơn'!$B:$B,$C10)</f>
        <v>0</v>
      </c>
      <c r="AL10" s="22">
        <v>0</v>
      </c>
      <c r="AM10" s="22">
        <v>0</v>
      </c>
      <c r="AN10" s="22">
        <v>0</v>
      </c>
      <c r="AO10" s="22">
        <v>0</v>
      </c>
      <c r="AP10" s="22">
        <v>0</v>
      </c>
      <c r="AQ10" s="22">
        <v>0</v>
      </c>
      <c r="AR10" s="22">
        <v>0</v>
      </c>
      <c r="AS10" s="22">
        <v>0</v>
      </c>
      <c r="AT10" s="22">
        <v>0</v>
      </c>
      <c r="AU10" s="22">
        <v>0</v>
      </c>
      <c r="AV10" s="22">
        <v>0</v>
      </c>
      <c r="AW10" s="58">
        <v>0</v>
      </c>
      <c r="AX10" s="58">
        <f t="shared" si="9"/>
        <v>0</v>
      </c>
    </row>
    <row r="11" spans="1:50" ht="18" x14ac:dyDescent="0.25">
      <c r="A11" s="58">
        <f t="shared" ca="1" si="2"/>
        <v>270.03654484324352</v>
      </c>
      <c r="B11" s="6">
        <v>7</v>
      </c>
      <c r="C11" s="60" t="s">
        <v>225</v>
      </c>
      <c r="D11" s="68">
        <f t="shared" si="10"/>
        <v>66</v>
      </c>
      <c r="E11" s="61">
        <v>0.5</v>
      </c>
      <c r="F11" s="60">
        <f>10+10</f>
        <v>20</v>
      </c>
      <c r="G11" s="62">
        <v>33</v>
      </c>
      <c r="H11" s="63">
        <f t="shared" si="3"/>
        <v>660</v>
      </c>
      <c r="I11" s="64">
        <f t="shared" si="4"/>
        <v>0.75456810540544272</v>
      </c>
      <c r="J11" s="134">
        <f t="shared" si="5"/>
        <v>33.75456810540544</v>
      </c>
      <c r="K11" s="65">
        <f t="shared" si="11"/>
        <v>675.0913621081088</v>
      </c>
      <c r="L11" s="69">
        <v>40</v>
      </c>
      <c r="M11" s="63">
        <f t="shared" si="6"/>
        <v>800</v>
      </c>
      <c r="N11" s="63">
        <f t="shared" ca="1" si="7"/>
        <v>480</v>
      </c>
      <c r="O11" s="70">
        <f t="shared" ca="1" si="8"/>
        <v>8</v>
      </c>
      <c r="P11" s="57"/>
      <c r="Q11" s="57">
        <v>12</v>
      </c>
      <c r="R11" s="22">
        <v>0</v>
      </c>
      <c r="S11" s="22">
        <v>0</v>
      </c>
      <c r="T11" s="22">
        <v>0</v>
      </c>
      <c r="U11" s="22">
        <v>0</v>
      </c>
      <c r="V11" s="22">
        <v>0</v>
      </c>
      <c r="W11" s="22">
        <v>0</v>
      </c>
      <c r="X11" s="22">
        <v>0</v>
      </c>
      <c r="Y11" s="22">
        <v>0</v>
      </c>
      <c r="Z11" s="22">
        <v>0</v>
      </c>
      <c r="AA11" s="22">
        <v>0</v>
      </c>
      <c r="AB11" s="22">
        <v>0</v>
      </c>
      <c r="AC11" s="22">
        <v>0</v>
      </c>
      <c r="AD11" s="22">
        <v>0</v>
      </c>
      <c r="AE11" s="22">
        <v>0</v>
      </c>
      <c r="AF11" s="22">
        <v>0</v>
      </c>
      <c r="AG11" s="22">
        <v>0</v>
      </c>
      <c r="AH11" s="22">
        <v>0</v>
      </c>
      <c r="AI11" s="22">
        <v>0</v>
      </c>
      <c r="AJ11" s="22">
        <v>0</v>
      </c>
      <c r="AK11" s="22">
        <f ca="1">SUMIFS('Tổng Đơn'!$F:$F,'Tổng Đơn'!$B:$B,$C11)</f>
        <v>0</v>
      </c>
      <c r="AL11" s="22">
        <v>0</v>
      </c>
      <c r="AM11" s="22">
        <v>0</v>
      </c>
      <c r="AN11" s="22">
        <v>0</v>
      </c>
      <c r="AO11" s="22">
        <v>0</v>
      </c>
      <c r="AP11" s="22">
        <v>0</v>
      </c>
      <c r="AQ11" s="22">
        <v>0</v>
      </c>
      <c r="AR11" s="22">
        <v>0</v>
      </c>
      <c r="AS11" s="22">
        <v>0</v>
      </c>
      <c r="AT11" s="22">
        <v>0</v>
      </c>
      <c r="AU11" s="22">
        <v>0</v>
      </c>
      <c r="AV11" s="22">
        <v>0</v>
      </c>
      <c r="AW11" s="58">
        <v>0</v>
      </c>
      <c r="AX11" s="58">
        <f t="shared" si="9"/>
        <v>0</v>
      </c>
    </row>
    <row r="12" spans="1:50" ht="18" hidden="1" x14ac:dyDescent="0.25">
      <c r="A12" s="58">
        <f t="shared" si="2"/>
        <v>0</v>
      </c>
      <c r="B12" s="6">
        <v>8</v>
      </c>
      <c r="C12" s="60" t="s">
        <v>24</v>
      </c>
      <c r="D12" s="68">
        <f>G12*4</f>
        <v>113.33333333333333</v>
      </c>
      <c r="E12" s="61">
        <v>0.25</v>
      </c>
      <c r="F12" s="60">
        <f>36</f>
        <v>36</v>
      </c>
      <c r="G12" s="62">
        <f>1020/36</f>
        <v>28.333333333333332</v>
      </c>
      <c r="H12" s="63">
        <f t="shared" si="3"/>
        <v>1020</v>
      </c>
      <c r="I12" s="64">
        <f t="shared" si="4"/>
        <v>0.64786150464103676</v>
      </c>
      <c r="J12" s="134">
        <f t="shared" si="5"/>
        <v>28.981194837974368</v>
      </c>
      <c r="K12" s="65">
        <f t="shared" si="11"/>
        <v>1043.3230141670772</v>
      </c>
      <c r="L12" s="69">
        <v>34</v>
      </c>
      <c r="M12" s="63">
        <f t="shared" si="6"/>
        <v>1224</v>
      </c>
      <c r="N12" s="63">
        <f t="shared" si="7"/>
        <v>1190</v>
      </c>
      <c r="O12" s="70">
        <f t="shared" si="8"/>
        <v>0</v>
      </c>
      <c r="P12" s="57">
        <v>1</v>
      </c>
      <c r="Q12" s="57">
        <v>35</v>
      </c>
      <c r="R12" s="22">
        <v>0</v>
      </c>
      <c r="S12" s="22">
        <v>0</v>
      </c>
      <c r="T12" s="22">
        <v>0</v>
      </c>
      <c r="U12" s="22">
        <v>0</v>
      </c>
      <c r="V12" s="22">
        <v>0</v>
      </c>
      <c r="W12" s="22">
        <v>0</v>
      </c>
      <c r="X12" s="22">
        <v>0</v>
      </c>
      <c r="Y12" s="22">
        <v>0</v>
      </c>
      <c r="Z12" s="22">
        <v>0</v>
      </c>
      <c r="AA12" s="22">
        <v>0</v>
      </c>
      <c r="AB12" s="22">
        <v>0</v>
      </c>
      <c r="AC12" s="22">
        <v>0</v>
      </c>
      <c r="AD12" s="22">
        <v>0</v>
      </c>
      <c r="AE12" s="22">
        <v>0</v>
      </c>
      <c r="AF12" s="22">
        <v>0</v>
      </c>
      <c r="AG12" s="22">
        <v>0</v>
      </c>
      <c r="AH12" s="22">
        <v>0</v>
      </c>
      <c r="AI12" s="22">
        <v>0</v>
      </c>
      <c r="AJ12" s="22">
        <v>0</v>
      </c>
      <c r="AK12" s="22">
        <f>SUMIFS('Tổng Đơn'!$F:$F,'Tổng Đơn'!$B:$B,$C12)</f>
        <v>0</v>
      </c>
      <c r="AL12" s="22">
        <v>0</v>
      </c>
      <c r="AM12" s="22">
        <v>0</v>
      </c>
      <c r="AN12" s="22">
        <v>0</v>
      </c>
      <c r="AO12" s="22">
        <v>0</v>
      </c>
      <c r="AP12" s="22">
        <v>0</v>
      </c>
      <c r="AQ12" s="22">
        <v>0</v>
      </c>
      <c r="AR12" s="22">
        <v>0</v>
      </c>
      <c r="AS12" s="22">
        <v>0</v>
      </c>
      <c r="AT12" s="22">
        <v>0</v>
      </c>
      <c r="AU12" s="22">
        <v>0</v>
      </c>
      <c r="AV12" s="22">
        <v>0</v>
      </c>
      <c r="AW12" s="58">
        <v>0</v>
      </c>
      <c r="AX12" s="58">
        <f t="shared" si="9"/>
        <v>0</v>
      </c>
    </row>
    <row r="13" spans="1:50" ht="18" hidden="1" x14ac:dyDescent="0.25">
      <c r="A13" s="58">
        <f t="shared" ca="1" si="2"/>
        <v>0</v>
      </c>
      <c r="B13" s="6">
        <v>9</v>
      </c>
      <c r="C13" s="60" t="s">
        <v>31</v>
      </c>
      <c r="D13" s="68">
        <f t="shared" ref="D13:D22" si="12">G13*2</f>
        <v>80</v>
      </c>
      <c r="E13" s="61">
        <v>0.5</v>
      </c>
      <c r="F13" s="60">
        <v>40</v>
      </c>
      <c r="G13" s="62">
        <v>40</v>
      </c>
      <c r="H13" s="63">
        <f t="shared" si="3"/>
        <v>1600</v>
      </c>
      <c r="I13" s="64">
        <f t="shared" si="4"/>
        <v>0.91462800655205201</v>
      </c>
      <c r="J13" s="134">
        <f t="shared" si="5"/>
        <v>40.91462800655205</v>
      </c>
      <c r="K13" s="65">
        <f t="shared" si="11"/>
        <v>1636.585120262082</v>
      </c>
      <c r="L13" s="69">
        <v>45</v>
      </c>
      <c r="M13" s="63">
        <f t="shared" si="6"/>
        <v>1800</v>
      </c>
      <c r="N13" s="63">
        <f t="shared" ca="1" si="7"/>
        <v>1170</v>
      </c>
      <c r="O13" s="70">
        <f t="shared" ca="1" si="8"/>
        <v>0</v>
      </c>
      <c r="P13" s="57">
        <v>14</v>
      </c>
      <c r="Q13" s="57">
        <v>26</v>
      </c>
      <c r="R13" s="22">
        <v>0</v>
      </c>
      <c r="S13" s="22">
        <v>0</v>
      </c>
      <c r="T13" s="22">
        <v>0</v>
      </c>
      <c r="U13" s="22">
        <v>0</v>
      </c>
      <c r="V13" s="22">
        <v>0</v>
      </c>
      <c r="W13" s="22">
        <v>0</v>
      </c>
      <c r="X13" s="22">
        <v>0</v>
      </c>
      <c r="Y13" s="22">
        <v>0</v>
      </c>
      <c r="Z13" s="22">
        <v>0</v>
      </c>
      <c r="AA13" s="22">
        <v>0</v>
      </c>
      <c r="AB13" s="22">
        <v>0</v>
      </c>
      <c r="AC13" s="22">
        <v>0</v>
      </c>
      <c r="AD13" s="22">
        <v>0</v>
      </c>
      <c r="AE13" s="22">
        <v>0</v>
      </c>
      <c r="AF13" s="22">
        <v>0</v>
      </c>
      <c r="AG13" s="22">
        <v>0</v>
      </c>
      <c r="AH13" s="22">
        <v>0</v>
      </c>
      <c r="AI13" s="22">
        <v>0</v>
      </c>
      <c r="AJ13" s="22">
        <v>0</v>
      </c>
      <c r="AK13" s="22">
        <f ca="1">SUMIFS('Tổng Đơn'!$F:$F,'Tổng Đơn'!$B:$B,$C13)</f>
        <v>0</v>
      </c>
      <c r="AL13" s="22">
        <v>0</v>
      </c>
      <c r="AM13" s="22">
        <v>0</v>
      </c>
      <c r="AN13" s="22">
        <v>0</v>
      </c>
      <c r="AO13" s="22">
        <v>0</v>
      </c>
      <c r="AP13" s="22">
        <v>0</v>
      </c>
      <c r="AQ13" s="22">
        <v>0</v>
      </c>
      <c r="AR13" s="22">
        <v>0</v>
      </c>
      <c r="AS13" s="22">
        <v>0</v>
      </c>
      <c r="AT13" s="22">
        <v>0</v>
      </c>
      <c r="AU13" s="22">
        <v>0</v>
      </c>
      <c r="AV13" s="22">
        <v>0</v>
      </c>
      <c r="AW13" s="58">
        <v>0</v>
      </c>
      <c r="AX13" s="58">
        <f t="shared" si="9"/>
        <v>0</v>
      </c>
    </row>
    <row r="14" spans="1:50" ht="18" hidden="1" x14ac:dyDescent="0.25">
      <c r="A14" s="58">
        <f t="shared" ca="1" si="2"/>
        <v>0</v>
      </c>
      <c r="B14" s="6">
        <v>10</v>
      </c>
      <c r="C14" s="60" t="s">
        <v>30</v>
      </c>
      <c r="D14" s="68">
        <f t="shared" si="12"/>
        <v>80</v>
      </c>
      <c r="E14" s="61">
        <v>0.5</v>
      </c>
      <c r="F14" s="60">
        <v>40</v>
      </c>
      <c r="G14" s="62">
        <v>40</v>
      </c>
      <c r="H14" s="63">
        <f t="shared" si="3"/>
        <v>1600</v>
      </c>
      <c r="I14" s="64">
        <f t="shared" si="4"/>
        <v>0.91462800655205201</v>
      </c>
      <c r="J14" s="134">
        <f t="shared" si="5"/>
        <v>40.91462800655205</v>
      </c>
      <c r="K14" s="65">
        <f t="shared" si="11"/>
        <v>1636.585120262082</v>
      </c>
      <c r="L14" s="69">
        <v>45</v>
      </c>
      <c r="M14" s="63">
        <f t="shared" si="6"/>
        <v>1800</v>
      </c>
      <c r="N14" s="63">
        <f t="shared" ca="1" si="7"/>
        <v>495</v>
      </c>
      <c r="O14" s="70">
        <f t="shared" ca="1" si="8"/>
        <v>0</v>
      </c>
      <c r="P14" s="57">
        <v>29</v>
      </c>
      <c r="Q14" s="57">
        <v>11</v>
      </c>
      <c r="R14" s="22">
        <v>0</v>
      </c>
      <c r="S14" s="22">
        <v>0</v>
      </c>
      <c r="T14" s="22">
        <v>0</v>
      </c>
      <c r="U14" s="22">
        <v>0</v>
      </c>
      <c r="V14" s="22">
        <v>0</v>
      </c>
      <c r="W14" s="22">
        <v>0</v>
      </c>
      <c r="X14" s="22">
        <v>0</v>
      </c>
      <c r="Y14" s="22">
        <v>0</v>
      </c>
      <c r="Z14" s="22">
        <v>0</v>
      </c>
      <c r="AA14" s="22">
        <v>0</v>
      </c>
      <c r="AB14" s="22">
        <v>0</v>
      </c>
      <c r="AC14" s="22">
        <v>0</v>
      </c>
      <c r="AD14" s="22">
        <v>0</v>
      </c>
      <c r="AE14" s="22">
        <v>0</v>
      </c>
      <c r="AF14" s="22">
        <v>0</v>
      </c>
      <c r="AG14" s="22">
        <v>0</v>
      </c>
      <c r="AH14" s="22">
        <v>0</v>
      </c>
      <c r="AI14" s="22">
        <v>0</v>
      </c>
      <c r="AJ14" s="22">
        <v>0</v>
      </c>
      <c r="AK14" s="22">
        <f ca="1">SUMIFS('Tổng Đơn'!$F:$F,'Tổng Đơn'!$B:$B,$C14)</f>
        <v>0</v>
      </c>
      <c r="AL14" s="22">
        <v>0</v>
      </c>
      <c r="AM14" s="22">
        <v>0</v>
      </c>
      <c r="AN14" s="22">
        <v>0</v>
      </c>
      <c r="AO14" s="22">
        <v>0</v>
      </c>
      <c r="AP14" s="22">
        <v>0</v>
      </c>
      <c r="AQ14" s="22">
        <v>0</v>
      </c>
      <c r="AR14" s="22">
        <v>0</v>
      </c>
      <c r="AS14" s="22">
        <v>0</v>
      </c>
      <c r="AT14" s="22">
        <v>0</v>
      </c>
      <c r="AU14" s="22">
        <v>0</v>
      </c>
      <c r="AV14" s="22">
        <v>0</v>
      </c>
      <c r="AW14" s="58">
        <v>0</v>
      </c>
      <c r="AX14" s="58">
        <f t="shared" si="9"/>
        <v>0</v>
      </c>
    </row>
    <row r="15" spans="1:50" ht="18" hidden="1" x14ac:dyDescent="0.25">
      <c r="A15" s="58">
        <f t="shared" ca="1" si="2"/>
        <v>0</v>
      </c>
      <c r="B15" s="6">
        <v>11</v>
      </c>
      <c r="C15" s="60" t="s">
        <v>29</v>
      </c>
      <c r="D15" s="68">
        <f t="shared" si="12"/>
        <v>80</v>
      </c>
      <c r="E15" s="61">
        <v>0.5</v>
      </c>
      <c r="F15" s="60">
        <v>40</v>
      </c>
      <c r="G15" s="62">
        <v>40</v>
      </c>
      <c r="H15" s="63">
        <f t="shared" si="3"/>
        <v>1600</v>
      </c>
      <c r="I15" s="64">
        <f t="shared" si="4"/>
        <v>0.91462800655205201</v>
      </c>
      <c r="J15" s="134">
        <f t="shared" si="5"/>
        <v>40.91462800655205</v>
      </c>
      <c r="K15" s="65">
        <f t="shared" si="11"/>
        <v>1636.585120262082</v>
      </c>
      <c r="L15" s="69">
        <v>45</v>
      </c>
      <c r="M15" s="63">
        <f t="shared" si="6"/>
        <v>1800</v>
      </c>
      <c r="N15" s="63">
        <f t="shared" ca="1" si="7"/>
        <v>1035</v>
      </c>
      <c r="O15" s="70">
        <f t="shared" ca="1" si="8"/>
        <v>0</v>
      </c>
      <c r="P15" s="57">
        <v>17</v>
      </c>
      <c r="Q15" s="57">
        <v>23</v>
      </c>
      <c r="R15" s="22">
        <v>0</v>
      </c>
      <c r="S15" s="22">
        <v>0</v>
      </c>
      <c r="T15" s="22">
        <v>0</v>
      </c>
      <c r="U15" s="22">
        <v>0</v>
      </c>
      <c r="V15" s="22">
        <v>0</v>
      </c>
      <c r="W15" s="22">
        <v>0</v>
      </c>
      <c r="X15" s="22">
        <v>0</v>
      </c>
      <c r="Y15" s="22">
        <v>0</v>
      </c>
      <c r="Z15" s="22">
        <v>0</v>
      </c>
      <c r="AA15" s="22">
        <v>0</v>
      </c>
      <c r="AB15" s="22">
        <v>0</v>
      </c>
      <c r="AC15" s="22">
        <v>0</v>
      </c>
      <c r="AD15" s="22">
        <v>0</v>
      </c>
      <c r="AE15" s="22">
        <v>0</v>
      </c>
      <c r="AF15" s="22">
        <v>0</v>
      </c>
      <c r="AG15" s="22">
        <v>0</v>
      </c>
      <c r="AH15" s="22">
        <v>0</v>
      </c>
      <c r="AI15" s="22">
        <v>0</v>
      </c>
      <c r="AJ15" s="22">
        <v>0</v>
      </c>
      <c r="AK15" s="22">
        <f ca="1">SUMIFS('Tổng Đơn'!$F:$F,'Tổng Đơn'!$B:$B,$C15)</f>
        <v>0</v>
      </c>
      <c r="AL15" s="22">
        <v>0</v>
      </c>
      <c r="AM15" s="22">
        <v>0</v>
      </c>
      <c r="AN15" s="22">
        <v>0</v>
      </c>
      <c r="AO15" s="22">
        <v>0</v>
      </c>
      <c r="AP15" s="22">
        <v>0</v>
      </c>
      <c r="AQ15" s="22">
        <v>0</v>
      </c>
      <c r="AR15" s="22">
        <v>0</v>
      </c>
      <c r="AS15" s="22">
        <v>0</v>
      </c>
      <c r="AT15" s="22">
        <v>0</v>
      </c>
      <c r="AU15" s="22">
        <v>0</v>
      </c>
      <c r="AV15" s="22">
        <v>0</v>
      </c>
      <c r="AW15" s="58">
        <v>0</v>
      </c>
      <c r="AX15" s="58">
        <f t="shared" si="9"/>
        <v>0</v>
      </c>
    </row>
    <row r="16" spans="1:50" ht="18" hidden="1" x14ac:dyDescent="0.25">
      <c r="A16" s="58">
        <f t="shared" ca="1" si="2"/>
        <v>0</v>
      </c>
      <c r="B16" s="6">
        <v>12</v>
      </c>
      <c r="C16" s="60" t="s">
        <v>28</v>
      </c>
      <c r="D16" s="68">
        <f t="shared" si="12"/>
        <v>80</v>
      </c>
      <c r="E16" s="61">
        <v>0.5</v>
      </c>
      <c r="F16" s="60">
        <v>40</v>
      </c>
      <c r="G16" s="62">
        <v>40</v>
      </c>
      <c r="H16" s="63">
        <f t="shared" si="3"/>
        <v>1600</v>
      </c>
      <c r="I16" s="64">
        <f t="shared" si="4"/>
        <v>0.91462800655205201</v>
      </c>
      <c r="J16" s="134">
        <f t="shared" si="5"/>
        <v>40.91462800655205</v>
      </c>
      <c r="K16" s="65">
        <f t="shared" si="11"/>
        <v>1636.585120262082</v>
      </c>
      <c r="L16" s="69">
        <v>45</v>
      </c>
      <c r="M16" s="63">
        <f t="shared" si="6"/>
        <v>1800</v>
      </c>
      <c r="N16" s="63">
        <f t="shared" ca="1" si="7"/>
        <v>675</v>
      </c>
      <c r="O16" s="70">
        <f t="shared" ca="1" si="8"/>
        <v>0</v>
      </c>
      <c r="P16" s="57">
        <v>25</v>
      </c>
      <c r="Q16" s="57">
        <v>15</v>
      </c>
      <c r="R16" s="22">
        <v>0</v>
      </c>
      <c r="S16" s="22">
        <v>0</v>
      </c>
      <c r="T16" s="22">
        <v>0</v>
      </c>
      <c r="U16" s="22">
        <v>0</v>
      </c>
      <c r="V16" s="22">
        <v>0</v>
      </c>
      <c r="W16" s="22">
        <v>0</v>
      </c>
      <c r="X16" s="22">
        <v>0</v>
      </c>
      <c r="Y16" s="22">
        <v>0</v>
      </c>
      <c r="Z16" s="22">
        <v>0</v>
      </c>
      <c r="AA16" s="22">
        <v>0</v>
      </c>
      <c r="AB16" s="22">
        <v>0</v>
      </c>
      <c r="AC16" s="22">
        <v>0</v>
      </c>
      <c r="AD16" s="22">
        <v>0</v>
      </c>
      <c r="AE16" s="22">
        <v>0</v>
      </c>
      <c r="AF16" s="22">
        <v>0</v>
      </c>
      <c r="AG16" s="22">
        <v>0</v>
      </c>
      <c r="AH16" s="22">
        <v>0</v>
      </c>
      <c r="AI16" s="22">
        <v>0</v>
      </c>
      <c r="AJ16" s="22">
        <v>0</v>
      </c>
      <c r="AK16" s="22">
        <f ca="1">SUMIFS('Tổng Đơn'!$F:$F,'Tổng Đơn'!$B:$B,$C16)</f>
        <v>0</v>
      </c>
      <c r="AL16" s="22">
        <v>0</v>
      </c>
      <c r="AM16" s="22">
        <v>0</v>
      </c>
      <c r="AN16" s="22">
        <v>0</v>
      </c>
      <c r="AO16" s="22">
        <v>0</v>
      </c>
      <c r="AP16" s="22">
        <v>0</v>
      </c>
      <c r="AQ16" s="22">
        <v>0</v>
      </c>
      <c r="AR16" s="22">
        <v>0</v>
      </c>
      <c r="AS16" s="22">
        <v>0</v>
      </c>
      <c r="AT16" s="22">
        <v>0</v>
      </c>
      <c r="AU16" s="22">
        <v>0</v>
      </c>
      <c r="AV16" s="22">
        <v>0</v>
      </c>
      <c r="AW16" s="58">
        <v>0</v>
      </c>
      <c r="AX16" s="58">
        <f t="shared" si="9"/>
        <v>0</v>
      </c>
    </row>
    <row r="17" spans="1:50" ht="18" hidden="1" x14ac:dyDescent="0.25">
      <c r="A17" s="58">
        <f t="shared" ca="1" si="2"/>
        <v>0</v>
      </c>
      <c r="B17" s="6">
        <v>13</v>
      </c>
      <c r="C17" s="60" t="s">
        <v>50</v>
      </c>
      <c r="D17" s="68">
        <f t="shared" si="12"/>
        <v>80</v>
      </c>
      <c r="E17" s="61">
        <v>0.5</v>
      </c>
      <c r="F17" s="60">
        <v>40</v>
      </c>
      <c r="G17" s="62">
        <v>40</v>
      </c>
      <c r="H17" s="63">
        <f t="shared" si="3"/>
        <v>1600</v>
      </c>
      <c r="I17" s="64">
        <f t="shared" si="4"/>
        <v>0.91462800655205201</v>
      </c>
      <c r="J17" s="134">
        <f t="shared" si="5"/>
        <v>40.91462800655205</v>
      </c>
      <c r="K17" s="65">
        <f t="shared" si="11"/>
        <v>1636.585120262082</v>
      </c>
      <c r="L17" s="69">
        <v>45</v>
      </c>
      <c r="M17" s="63">
        <f t="shared" si="6"/>
        <v>1800</v>
      </c>
      <c r="N17" s="63">
        <f t="shared" ca="1" si="7"/>
        <v>1620</v>
      </c>
      <c r="O17" s="70">
        <f t="shared" ca="1" si="8"/>
        <v>0</v>
      </c>
      <c r="P17" s="57">
        <v>4</v>
      </c>
      <c r="Q17" s="57">
        <v>36</v>
      </c>
      <c r="R17" s="22">
        <v>0</v>
      </c>
      <c r="S17" s="22">
        <v>0</v>
      </c>
      <c r="T17" s="22">
        <v>0</v>
      </c>
      <c r="U17" s="22">
        <v>0</v>
      </c>
      <c r="V17" s="22">
        <v>0</v>
      </c>
      <c r="W17" s="22">
        <v>0</v>
      </c>
      <c r="X17" s="22">
        <v>0</v>
      </c>
      <c r="Y17" s="22">
        <v>0</v>
      </c>
      <c r="Z17" s="22">
        <v>0</v>
      </c>
      <c r="AA17" s="22">
        <v>0</v>
      </c>
      <c r="AB17" s="22">
        <v>0</v>
      </c>
      <c r="AC17" s="22">
        <v>0</v>
      </c>
      <c r="AD17" s="22">
        <v>0</v>
      </c>
      <c r="AE17" s="22">
        <v>0</v>
      </c>
      <c r="AF17" s="22">
        <v>0</v>
      </c>
      <c r="AG17" s="22">
        <v>0</v>
      </c>
      <c r="AH17" s="22">
        <v>0</v>
      </c>
      <c r="AI17" s="22">
        <v>0</v>
      </c>
      <c r="AJ17" s="22">
        <v>0</v>
      </c>
      <c r="AK17" s="22">
        <f ca="1">SUMIFS('Tổng Đơn'!$F:$F,'Tổng Đơn'!$B:$B,$C17)</f>
        <v>0</v>
      </c>
      <c r="AL17" s="22">
        <v>0</v>
      </c>
      <c r="AM17" s="22">
        <v>0</v>
      </c>
      <c r="AN17" s="22">
        <v>0</v>
      </c>
      <c r="AO17" s="22">
        <v>0</v>
      </c>
      <c r="AP17" s="22">
        <v>0</v>
      </c>
      <c r="AQ17" s="22">
        <v>0</v>
      </c>
      <c r="AR17" s="22">
        <v>0</v>
      </c>
      <c r="AS17" s="22">
        <v>0</v>
      </c>
      <c r="AT17" s="22">
        <v>0</v>
      </c>
      <c r="AU17" s="22">
        <v>0</v>
      </c>
      <c r="AV17" s="22">
        <v>0</v>
      </c>
      <c r="AW17" s="58">
        <v>0</v>
      </c>
      <c r="AX17" s="58">
        <f t="shared" si="9"/>
        <v>0</v>
      </c>
    </row>
    <row r="18" spans="1:50" ht="18" hidden="1" x14ac:dyDescent="0.25">
      <c r="A18" s="58">
        <f t="shared" ca="1" si="2"/>
        <v>0</v>
      </c>
      <c r="B18" s="6">
        <v>14</v>
      </c>
      <c r="C18" s="60" t="s">
        <v>116</v>
      </c>
      <c r="D18" s="68">
        <f t="shared" si="12"/>
        <v>54.39473684210526</v>
      </c>
      <c r="E18" s="61">
        <v>0.5</v>
      </c>
      <c r="F18" s="60">
        <f>80</f>
        <v>80</v>
      </c>
      <c r="G18" s="62">
        <f>1033.5/38</f>
        <v>27.19736842105263</v>
      </c>
      <c r="H18" s="63">
        <f t="shared" si="3"/>
        <v>2175.7894736842104</v>
      </c>
      <c r="I18" s="64">
        <f t="shared" si="4"/>
        <v>0.62188687156022737</v>
      </c>
      <c r="J18" s="134">
        <f t="shared" ref="J18" si="13">G18+I18</f>
        <v>27.819255292612858</v>
      </c>
      <c r="K18" s="65">
        <f t="shared" ref="K18" si="14">J18*F18</f>
        <v>2225.5404234090288</v>
      </c>
      <c r="L18" s="69">
        <v>35</v>
      </c>
      <c r="M18" s="63">
        <f t="shared" si="6"/>
        <v>2800</v>
      </c>
      <c r="N18" s="63">
        <f t="shared" ca="1" si="7"/>
        <v>2380</v>
      </c>
      <c r="O18" s="70">
        <f t="shared" ca="1" si="8"/>
        <v>0</v>
      </c>
      <c r="P18" s="57">
        <v>12</v>
      </c>
      <c r="Q18" s="57">
        <v>68</v>
      </c>
      <c r="R18" s="22">
        <v>0</v>
      </c>
      <c r="S18" s="22">
        <v>0</v>
      </c>
      <c r="T18" s="22">
        <v>0</v>
      </c>
      <c r="U18" s="22">
        <v>0</v>
      </c>
      <c r="V18" s="22">
        <v>0</v>
      </c>
      <c r="W18" s="22">
        <v>0</v>
      </c>
      <c r="X18" s="22">
        <v>0</v>
      </c>
      <c r="Y18" s="22">
        <v>0</v>
      </c>
      <c r="Z18" s="22">
        <v>0</v>
      </c>
      <c r="AA18" s="22">
        <v>0</v>
      </c>
      <c r="AB18" s="22">
        <v>0</v>
      </c>
      <c r="AC18" s="22">
        <v>0</v>
      </c>
      <c r="AD18" s="22">
        <v>0</v>
      </c>
      <c r="AE18" s="22">
        <v>0</v>
      </c>
      <c r="AF18" s="22">
        <v>0</v>
      </c>
      <c r="AG18" s="22">
        <v>0</v>
      </c>
      <c r="AH18" s="22">
        <v>0</v>
      </c>
      <c r="AI18" s="22">
        <v>0</v>
      </c>
      <c r="AJ18" s="22">
        <v>0</v>
      </c>
      <c r="AK18" s="22">
        <f ca="1">SUMIFS('Tổng Đơn'!$F:$F,'Tổng Đơn'!$B:$B,$C18)</f>
        <v>0</v>
      </c>
      <c r="AL18" s="22">
        <v>0</v>
      </c>
      <c r="AM18" s="22">
        <v>0</v>
      </c>
      <c r="AN18" s="22">
        <v>0</v>
      </c>
      <c r="AO18" s="22">
        <v>0</v>
      </c>
      <c r="AP18" s="22">
        <v>0</v>
      </c>
      <c r="AQ18" s="22">
        <v>0</v>
      </c>
      <c r="AR18" s="22">
        <v>0</v>
      </c>
      <c r="AS18" s="22">
        <v>0</v>
      </c>
      <c r="AT18" s="22">
        <v>0</v>
      </c>
      <c r="AU18" s="22">
        <v>0</v>
      </c>
      <c r="AV18" s="22">
        <v>0</v>
      </c>
      <c r="AW18" s="58">
        <v>0</v>
      </c>
      <c r="AX18" s="58">
        <f t="shared" si="9"/>
        <v>0</v>
      </c>
    </row>
    <row r="19" spans="1:50" ht="18" x14ac:dyDescent="0.25">
      <c r="A19" s="58">
        <f t="shared" ca="1" si="2"/>
        <v>1104.6949561769054</v>
      </c>
      <c r="B19" s="6">
        <v>15</v>
      </c>
      <c r="C19" s="60" t="s">
        <v>143</v>
      </c>
      <c r="D19" s="68">
        <f t="shared" si="12"/>
        <v>120</v>
      </c>
      <c r="E19" s="61">
        <v>0.5</v>
      </c>
      <c r="F19" s="60">
        <f>60+20+20+20+20+20+20+20+60+40+40+40+40</f>
        <v>420</v>
      </c>
      <c r="G19" s="62">
        <v>60</v>
      </c>
      <c r="H19" s="63">
        <f t="shared" si="3"/>
        <v>25200</v>
      </c>
      <c r="I19" s="64">
        <f t="shared" si="4"/>
        <v>1.3719420098280777</v>
      </c>
      <c r="J19" s="134">
        <f t="shared" ref="J19" si="15">G19+I19</f>
        <v>61.371942009828075</v>
      </c>
      <c r="K19" s="65">
        <f t="shared" ref="K19" si="16">J19*F19</f>
        <v>25776.215644127791</v>
      </c>
      <c r="L19" s="69">
        <v>70</v>
      </c>
      <c r="M19" s="63">
        <f t="shared" ref="M19" si="17">L19*F19</f>
        <v>29400</v>
      </c>
      <c r="N19" s="63">
        <f t="shared" ca="1" si="7"/>
        <v>28070</v>
      </c>
      <c r="O19" s="70">
        <f t="shared" ca="1" si="8"/>
        <v>18</v>
      </c>
      <c r="P19" s="57">
        <v>1</v>
      </c>
      <c r="Q19" s="57">
        <v>362</v>
      </c>
      <c r="R19" s="22">
        <v>1</v>
      </c>
      <c r="S19" s="22">
        <v>1</v>
      </c>
      <c r="T19" s="22">
        <v>0</v>
      </c>
      <c r="U19" s="22">
        <v>1</v>
      </c>
      <c r="V19" s="22">
        <v>2</v>
      </c>
      <c r="W19" s="22">
        <v>1</v>
      </c>
      <c r="X19" s="22">
        <v>0</v>
      </c>
      <c r="Y19" s="22">
        <v>3</v>
      </c>
      <c r="Z19" s="22">
        <v>0</v>
      </c>
      <c r="AA19" s="22">
        <v>1</v>
      </c>
      <c r="AB19" s="22">
        <v>2</v>
      </c>
      <c r="AC19" s="22">
        <v>0</v>
      </c>
      <c r="AD19" s="22">
        <v>0</v>
      </c>
      <c r="AE19" s="22">
        <v>6</v>
      </c>
      <c r="AF19" s="22">
        <v>2</v>
      </c>
      <c r="AG19" s="22">
        <v>2</v>
      </c>
      <c r="AH19" s="22">
        <v>1</v>
      </c>
      <c r="AI19" s="22">
        <v>3</v>
      </c>
      <c r="AJ19" s="22">
        <v>11</v>
      </c>
      <c r="AK19" s="22">
        <f ca="1">SUMIFS('Tổng Đơn'!$F:$F,'Tổng Đơn'!$B:$B,$C19)</f>
        <v>2</v>
      </c>
      <c r="AL19" s="22">
        <v>0</v>
      </c>
      <c r="AM19" s="22">
        <v>0</v>
      </c>
      <c r="AN19" s="22">
        <v>0</v>
      </c>
      <c r="AO19" s="22">
        <v>0</v>
      </c>
      <c r="AP19" s="22">
        <v>0</v>
      </c>
      <c r="AQ19" s="22">
        <v>0</v>
      </c>
      <c r="AR19" s="22">
        <v>0</v>
      </c>
      <c r="AS19" s="22">
        <v>0</v>
      </c>
      <c r="AT19" s="22">
        <v>0</v>
      </c>
      <c r="AU19" s="22">
        <v>0</v>
      </c>
      <c r="AV19" s="22">
        <v>0</v>
      </c>
      <c r="AW19" s="58">
        <v>0</v>
      </c>
      <c r="AX19" s="58">
        <f t="shared" si="9"/>
        <v>0</v>
      </c>
    </row>
    <row r="20" spans="1:50" ht="18" x14ac:dyDescent="0.25">
      <c r="A20" s="58">
        <f t="shared" ca="1" si="2"/>
        <v>551.32461238828887</v>
      </c>
      <c r="B20" s="6">
        <v>16</v>
      </c>
      <c r="C20" s="60" t="s">
        <v>114</v>
      </c>
      <c r="D20" s="68">
        <v>77</v>
      </c>
      <c r="E20" s="61">
        <v>0.5</v>
      </c>
      <c r="F20" s="60">
        <f>40+40+40+40+40</f>
        <v>200</v>
      </c>
      <c r="G20" s="62">
        <f>D20/2</f>
        <v>38.5</v>
      </c>
      <c r="H20" s="63">
        <f t="shared" ref="H20:H25" si="18">G20*F20</f>
        <v>7700</v>
      </c>
      <c r="I20" s="64">
        <f t="shared" ref="I20:I21" si="19">((H20/$H$4)*$A$2)/F20</f>
        <v>0.88032945630634996</v>
      </c>
      <c r="J20" s="134">
        <f t="shared" ref="J20:J21" si="20">G20+I20</f>
        <v>39.380329456306349</v>
      </c>
      <c r="K20" s="65">
        <f t="shared" ref="K20:K21" si="21">J20*F20</f>
        <v>7876.0658912612698</v>
      </c>
      <c r="L20" s="69">
        <v>42</v>
      </c>
      <c r="M20" s="63">
        <f t="shared" ref="M20:M21" si="22">L20*F20</f>
        <v>8400</v>
      </c>
      <c r="N20" s="63">
        <f t="shared" ca="1" si="7"/>
        <v>7812</v>
      </c>
      <c r="O20" s="70">
        <f t="shared" ca="1" si="8"/>
        <v>14</v>
      </c>
      <c r="P20" s="57">
        <v>0</v>
      </c>
      <c r="Q20" s="57">
        <v>107</v>
      </c>
      <c r="R20" s="22">
        <v>1</v>
      </c>
      <c r="S20" s="22">
        <v>3</v>
      </c>
      <c r="T20" s="22">
        <v>0</v>
      </c>
      <c r="U20" s="22">
        <v>2</v>
      </c>
      <c r="V20" s="22">
        <v>1</v>
      </c>
      <c r="W20" s="22">
        <v>3</v>
      </c>
      <c r="X20" s="22">
        <v>0</v>
      </c>
      <c r="Y20" s="22">
        <v>2</v>
      </c>
      <c r="Z20" s="22">
        <v>4</v>
      </c>
      <c r="AA20" s="22">
        <v>2</v>
      </c>
      <c r="AB20" s="22">
        <v>1</v>
      </c>
      <c r="AC20" s="22">
        <v>2</v>
      </c>
      <c r="AD20" s="22">
        <v>0</v>
      </c>
      <c r="AE20" s="22">
        <v>2</v>
      </c>
      <c r="AF20" s="22">
        <v>14</v>
      </c>
      <c r="AG20" s="22">
        <v>6</v>
      </c>
      <c r="AH20" s="22">
        <v>3</v>
      </c>
      <c r="AI20" s="22">
        <v>17</v>
      </c>
      <c r="AJ20" s="22">
        <v>13</v>
      </c>
      <c r="AK20" s="22">
        <f ca="1">SUMIFS('Tổng Đơn'!$F:$F,'Tổng Đơn'!$B:$B,$C20)</f>
        <v>3</v>
      </c>
      <c r="AL20" s="22">
        <v>0</v>
      </c>
      <c r="AM20" s="22">
        <v>0</v>
      </c>
      <c r="AN20" s="22">
        <v>0</v>
      </c>
      <c r="AO20" s="22">
        <v>0</v>
      </c>
      <c r="AP20" s="22">
        <v>0</v>
      </c>
      <c r="AQ20" s="22">
        <v>0</v>
      </c>
      <c r="AR20" s="22">
        <v>0</v>
      </c>
      <c r="AS20" s="22">
        <v>0</v>
      </c>
      <c r="AT20" s="22">
        <v>0</v>
      </c>
      <c r="AU20" s="22">
        <v>0</v>
      </c>
      <c r="AV20" s="22">
        <v>0</v>
      </c>
      <c r="AW20" s="58">
        <v>0</v>
      </c>
      <c r="AX20" s="58">
        <f t="shared" si="9"/>
        <v>0</v>
      </c>
    </row>
    <row r="21" spans="1:50" ht="18" hidden="1" x14ac:dyDescent="0.25">
      <c r="A21" s="58">
        <f t="shared" ca="1" si="2"/>
        <v>0</v>
      </c>
      <c r="B21" s="6">
        <v>17</v>
      </c>
      <c r="C21" s="60" t="s">
        <v>155</v>
      </c>
      <c r="D21" s="68">
        <f t="shared" si="12"/>
        <v>88</v>
      </c>
      <c r="E21" s="61">
        <v>0.5</v>
      </c>
      <c r="F21" s="60">
        <f>80</f>
        <v>80</v>
      </c>
      <c r="G21" s="62">
        <v>44</v>
      </c>
      <c r="H21" s="63">
        <f t="shared" si="18"/>
        <v>3520</v>
      </c>
      <c r="I21" s="64">
        <f t="shared" si="19"/>
        <v>1.006090807207257</v>
      </c>
      <c r="J21" s="134">
        <f t="shared" si="20"/>
        <v>45.006090807207258</v>
      </c>
      <c r="K21" s="65">
        <f t="shared" si="21"/>
        <v>3600.4872645765809</v>
      </c>
      <c r="L21" s="69">
        <v>54</v>
      </c>
      <c r="M21" s="63">
        <f t="shared" si="22"/>
        <v>4320</v>
      </c>
      <c r="N21" s="63">
        <f t="shared" ca="1" si="7"/>
        <v>1782</v>
      </c>
      <c r="O21" s="70">
        <f t="shared" ca="1" si="8"/>
        <v>0</v>
      </c>
      <c r="P21" s="57">
        <v>47</v>
      </c>
      <c r="Q21" s="57">
        <v>33</v>
      </c>
      <c r="R21" s="22">
        <v>0</v>
      </c>
      <c r="S21" s="22">
        <v>0</v>
      </c>
      <c r="T21" s="22">
        <v>0</v>
      </c>
      <c r="U21" s="22">
        <v>0</v>
      </c>
      <c r="V21" s="22">
        <v>0</v>
      </c>
      <c r="W21" s="22">
        <v>0</v>
      </c>
      <c r="X21" s="22">
        <v>0</v>
      </c>
      <c r="Y21" s="22">
        <v>0</v>
      </c>
      <c r="Z21" s="22">
        <v>0</v>
      </c>
      <c r="AA21" s="22">
        <v>0</v>
      </c>
      <c r="AB21" s="22">
        <v>0</v>
      </c>
      <c r="AC21" s="22">
        <v>0</v>
      </c>
      <c r="AD21" s="22">
        <v>0</v>
      </c>
      <c r="AE21" s="22">
        <v>0</v>
      </c>
      <c r="AF21" s="22">
        <v>0</v>
      </c>
      <c r="AG21" s="22">
        <v>0</v>
      </c>
      <c r="AH21" s="22">
        <v>0</v>
      </c>
      <c r="AI21" s="22">
        <v>0</v>
      </c>
      <c r="AJ21" s="22">
        <v>0</v>
      </c>
      <c r="AK21" s="22">
        <f ca="1">SUMIFS('Tổng Đơn'!$F:$F,'Tổng Đơn'!$B:$B,$C21)</f>
        <v>0</v>
      </c>
      <c r="AL21" s="22">
        <v>0</v>
      </c>
      <c r="AM21" s="22">
        <v>0</v>
      </c>
      <c r="AN21" s="22">
        <v>0</v>
      </c>
      <c r="AO21" s="22">
        <v>0</v>
      </c>
      <c r="AP21" s="22">
        <v>0</v>
      </c>
      <c r="AQ21" s="22">
        <v>0</v>
      </c>
      <c r="AR21" s="22">
        <v>0</v>
      </c>
      <c r="AS21" s="22">
        <v>0</v>
      </c>
      <c r="AT21" s="22">
        <v>0</v>
      </c>
      <c r="AU21" s="22">
        <v>0</v>
      </c>
      <c r="AV21" s="22">
        <v>0</v>
      </c>
      <c r="AW21" s="58">
        <v>0</v>
      </c>
      <c r="AX21" s="58">
        <f t="shared" si="9"/>
        <v>0</v>
      </c>
    </row>
    <row r="22" spans="1:50" ht="18" hidden="1" x14ac:dyDescent="0.25">
      <c r="A22" s="58">
        <f t="shared" si="2"/>
        <v>0</v>
      </c>
      <c r="B22" s="6">
        <v>18</v>
      </c>
      <c r="C22" s="60" t="s">
        <v>158</v>
      </c>
      <c r="D22" s="68">
        <f t="shared" si="12"/>
        <v>73</v>
      </c>
      <c r="E22" s="61">
        <v>0.5</v>
      </c>
      <c r="F22" s="60">
        <f>40</f>
        <v>40</v>
      </c>
      <c r="G22" s="62">
        <v>36.5</v>
      </c>
      <c r="H22" s="63">
        <f t="shared" si="18"/>
        <v>1460</v>
      </c>
      <c r="I22" s="64">
        <f t="shared" ref="I22:I23" si="23">((H22/$H$4)*$A$2)/F22</f>
        <v>0.83459805597874737</v>
      </c>
      <c r="J22" s="134">
        <f t="shared" ref="J22:J23" si="24">G22+I22</f>
        <v>37.334598055978745</v>
      </c>
      <c r="K22" s="65">
        <f t="shared" ref="K22:K23" si="25">J22*F22</f>
        <v>1493.3839222391498</v>
      </c>
      <c r="L22" s="69">
        <v>42</v>
      </c>
      <c r="M22" s="63">
        <f t="shared" ref="M22:M23" si="26">L22*F22</f>
        <v>1680</v>
      </c>
      <c r="N22" s="63">
        <f t="shared" si="7"/>
        <v>1680</v>
      </c>
      <c r="O22" s="70">
        <f t="shared" si="8"/>
        <v>0</v>
      </c>
      <c r="P22" s="57">
        <v>0</v>
      </c>
      <c r="Q22" s="57">
        <v>40</v>
      </c>
      <c r="R22" s="22">
        <v>0</v>
      </c>
      <c r="S22" s="22">
        <v>0</v>
      </c>
      <c r="T22" s="22">
        <v>0</v>
      </c>
      <c r="U22" s="22">
        <v>0</v>
      </c>
      <c r="V22" s="22">
        <v>0</v>
      </c>
      <c r="W22" s="22">
        <v>0</v>
      </c>
      <c r="X22" s="22">
        <v>0</v>
      </c>
      <c r="Y22" s="22">
        <v>0</v>
      </c>
      <c r="Z22" s="22">
        <v>0</v>
      </c>
      <c r="AA22" s="22">
        <v>0</v>
      </c>
      <c r="AB22" s="22">
        <v>0</v>
      </c>
      <c r="AC22" s="22">
        <v>0</v>
      </c>
      <c r="AD22" s="22">
        <v>0</v>
      </c>
      <c r="AE22" s="22">
        <v>0</v>
      </c>
      <c r="AF22" s="22">
        <v>0</v>
      </c>
      <c r="AG22" s="22">
        <v>0</v>
      </c>
      <c r="AH22" s="22">
        <v>0</v>
      </c>
      <c r="AI22" s="22">
        <v>0</v>
      </c>
      <c r="AJ22" s="22">
        <v>0</v>
      </c>
      <c r="AK22" s="22">
        <f>SUMIFS('Tổng Đơn'!$F:$F,'Tổng Đơn'!$B:$B,$C22)</f>
        <v>0</v>
      </c>
      <c r="AL22" s="22">
        <v>0</v>
      </c>
      <c r="AM22" s="22">
        <v>0</v>
      </c>
      <c r="AN22" s="22">
        <v>0</v>
      </c>
      <c r="AO22" s="22">
        <v>0</v>
      </c>
      <c r="AP22" s="22">
        <v>0</v>
      </c>
      <c r="AQ22" s="22">
        <v>0</v>
      </c>
      <c r="AR22" s="22">
        <v>0</v>
      </c>
      <c r="AS22" s="22">
        <v>0</v>
      </c>
      <c r="AT22" s="22">
        <v>0</v>
      </c>
      <c r="AU22" s="22">
        <v>0</v>
      </c>
      <c r="AV22" s="22">
        <v>0</v>
      </c>
      <c r="AW22" s="58">
        <v>0</v>
      </c>
      <c r="AX22" s="58">
        <f t="shared" si="9"/>
        <v>0</v>
      </c>
    </row>
    <row r="23" spans="1:50" ht="18" x14ac:dyDescent="0.25">
      <c r="A23" s="58">
        <f t="shared" ca="1" si="2"/>
        <v>119.67528691916475</v>
      </c>
      <c r="B23" s="6">
        <v>19</v>
      </c>
      <c r="C23" s="60" t="s">
        <v>182</v>
      </c>
      <c r="D23" s="68">
        <v>26</v>
      </c>
      <c r="E23" s="61">
        <v>0.3</v>
      </c>
      <c r="F23" s="60">
        <f>60+40+20+40+20</f>
        <v>180</v>
      </c>
      <c r="G23" s="62">
        <f>D23/2</f>
        <v>13</v>
      </c>
      <c r="H23" s="63">
        <f t="shared" si="18"/>
        <v>2340</v>
      </c>
      <c r="I23" s="64">
        <f t="shared" si="23"/>
        <v>0.29725410212941683</v>
      </c>
      <c r="J23" s="134">
        <f t="shared" si="24"/>
        <v>13.297254102129417</v>
      </c>
      <c r="K23" s="65">
        <f t="shared" si="25"/>
        <v>2393.505738383295</v>
      </c>
      <c r="L23" s="69">
        <v>16</v>
      </c>
      <c r="M23" s="63">
        <f t="shared" si="26"/>
        <v>2880</v>
      </c>
      <c r="N23" s="63">
        <f t="shared" ca="1" si="7"/>
        <v>2736</v>
      </c>
      <c r="O23" s="70">
        <f t="shared" ca="1" si="8"/>
        <v>9</v>
      </c>
      <c r="P23" s="57">
        <v>0</v>
      </c>
      <c r="Q23" s="57">
        <v>136</v>
      </c>
      <c r="R23" s="22">
        <v>0</v>
      </c>
      <c r="S23" s="22">
        <v>4</v>
      </c>
      <c r="T23" s="22">
        <v>0</v>
      </c>
      <c r="U23" s="22">
        <v>0</v>
      </c>
      <c r="V23" s="22">
        <v>0</v>
      </c>
      <c r="W23" s="22">
        <v>1</v>
      </c>
      <c r="X23" s="22">
        <v>0</v>
      </c>
      <c r="Y23" s="22">
        <v>2</v>
      </c>
      <c r="Z23" s="22">
        <v>12</v>
      </c>
      <c r="AA23" s="22">
        <v>1</v>
      </c>
      <c r="AB23" s="22">
        <v>0</v>
      </c>
      <c r="AC23" s="22">
        <v>1</v>
      </c>
      <c r="AD23" s="22">
        <v>0</v>
      </c>
      <c r="AE23" s="22">
        <v>1</v>
      </c>
      <c r="AF23" s="22">
        <v>11</v>
      </c>
      <c r="AG23" s="22">
        <v>1</v>
      </c>
      <c r="AH23" s="22">
        <v>0</v>
      </c>
      <c r="AI23" s="22">
        <v>1</v>
      </c>
      <c r="AJ23" s="22">
        <v>0</v>
      </c>
      <c r="AK23" s="22">
        <f ca="1">SUMIFS('Tổng Đơn'!$F:$F,'Tổng Đơn'!$B:$B,$C23)</f>
        <v>0</v>
      </c>
      <c r="AL23" s="22">
        <v>0</v>
      </c>
      <c r="AM23" s="22">
        <v>0</v>
      </c>
      <c r="AN23" s="22">
        <v>0</v>
      </c>
      <c r="AO23" s="22">
        <v>0</v>
      </c>
      <c r="AP23" s="22">
        <v>0</v>
      </c>
      <c r="AQ23" s="22">
        <v>0</v>
      </c>
      <c r="AR23" s="22">
        <v>0</v>
      </c>
      <c r="AS23" s="22">
        <v>0</v>
      </c>
      <c r="AT23" s="22">
        <v>0</v>
      </c>
      <c r="AU23" s="22">
        <v>0</v>
      </c>
      <c r="AV23" s="22">
        <v>0</v>
      </c>
      <c r="AW23" s="58">
        <v>0</v>
      </c>
      <c r="AX23" s="58">
        <f t="shared" si="9"/>
        <v>0</v>
      </c>
    </row>
    <row r="24" spans="1:50" ht="18" hidden="1" x14ac:dyDescent="0.25">
      <c r="A24" s="58">
        <f t="shared" si="2"/>
        <v>0</v>
      </c>
      <c r="B24" s="6">
        <v>20</v>
      </c>
      <c r="C24" s="60" t="s">
        <v>226</v>
      </c>
      <c r="D24" s="68">
        <f>G24*2</f>
        <v>68</v>
      </c>
      <c r="E24" s="61">
        <v>0.5</v>
      </c>
      <c r="F24" s="60">
        <v>10</v>
      </c>
      <c r="G24" s="62">
        <v>34</v>
      </c>
      <c r="H24" s="63">
        <f t="shared" si="18"/>
        <v>340</v>
      </c>
      <c r="I24" s="64">
        <f t="shared" ref="I24" si="27">((H24/$H$4)*$A$2)/F24</f>
        <v>0.77743380556924413</v>
      </c>
      <c r="J24" s="134">
        <f t="shared" ref="J24" si="28">G24+I24</f>
        <v>34.777433805569245</v>
      </c>
      <c r="K24" s="65">
        <f t="shared" ref="K24" si="29">J24*F24</f>
        <v>347.77433805569245</v>
      </c>
      <c r="L24" s="69">
        <v>40</v>
      </c>
      <c r="M24" s="63">
        <f t="shared" ref="M24:M25" si="30">L24*F24</f>
        <v>400</v>
      </c>
      <c r="N24" s="63">
        <f t="shared" si="7"/>
        <v>400</v>
      </c>
      <c r="O24" s="70">
        <f t="shared" si="8"/>
        <v>0</v>
      </c>
      <c r="P24" s="57"/>
      <c r="Q24" s="57">
        <v>10</v>
      </c>
      <c r="R24" s="22">
        <v>0</v>
      </c>
      <c r="S24" s="22">
        <v>0</v>
      </c>
      <c r="T24" s="22">
        <v>0</v>
      </c>
      <c r="U24" s="22">
        <v>0</v>
      </c>
      <c r="V24" s="22">
        <v>0</v>
      </c>
      <c r="W24" s="22">
        <v>0</v>
      </c>
      <c r="X24" s="22">
        <v>0</v>
      </c>
      <c r="Y24" s="22">
        <v>0</v>
      </c>
      <c r="Z24" s="22">
        <v>0</v>
      </c>
      <c r="AA24" s="22">
        <v>0</v>
      </c>
      <c r="AB24" s="22">
        <v>0</v>
      </c>
      <c r="AC24" s="22">
        <f>SUMIFS('Tổng Đơn'!$F:$F,'Tổng Đơn'!$B:$B,$C24)</f>
        <v>0</v>
      </c>
      <c r="AD24" s="22">
        <v>0</v>
      </c>
      <c r="AE24" s="22">
        <v>0</v>
      </c>
      <c r="AF24" s="22">
        <v>0</v>
      </c>
      <c r="AG24" s="22">
        <v>0</v>
      </c>
      <c r="AH24" s="22">
        <v>0</v>
      </c>
      <c r="AI24" s="22">
        <v>0</v>
      </c>
      <c r="AJ24" s="22">
        <v>0</v>
      </c>
      <c r="AK24" s="22">
        <v>0</v>
      </c>
      <c r="AL24" s="22">
        <v>0</v>
      </c>
      <c r="AM24" s="22">
        <v>0</v>
      </c>
      <c r="AN24" s="22">
        <v>0</v>
      </c>
      <c r="AO24" s="22">
        <v>0</v>
      </c>
      <c r="AP24" s="22">
        <v>0</v>
      </c>
      <c r="AQ24" s="22">
        <v>0</v>
      </c>
      <c r="AR24" s="22">
        <v>0</v>
      </c>
      <c r="AS24" s="22">
        <v>0</v>
      </c>
      <c r="AT24" s="22">
        <v>0</v>
      </c>
      <c r="AU24" s="22">
        <v>0</v>
      </c>
      <c r="AV24" s="22">
        <v>0</v>
      </c>
      <c r="AW24" s="58">
        <v>0</v>
      </c>
      <c r="AX24" s="58">
        <f t="shared" si="9"/>
        <v>0</v>
      </c>
    </row>
    <row r="25" spans="1:50" ht="18" hidden="1" x14ac:dyDescent="0.25">
      <c r="A25" s="58">
        <f t="shared" si="2"/>
        <v>0</v>
      </c>
      <c r="B25" s="6">
        <v>21</v>
      </c>
      <c r="C25" s="60" t="s">
        <v>245</v>
      </c>
      <c r="D25" s="68">
        <f>G25*2</f>
        <v>64.599999999999994</v>
      </c>
      <c r="E25" s="61">
        <v>0.5</v>
      </c>
      <c r="F25" s="60">
        <v>40</v>
      </c>
      <c r="G25" s="62">
        <v>32.299999999999997</v>
      </c>
      <c r="H25" s="63">
        <f t="shared" si="18"/>
        <v>1292</v>
      </c>
      <c r="I25" s="64">
        <f t="shared" ref="I25" si="31">((H25/$H$4)*$A$2)/F25</f>
        <v>0.73856211529078186</v>
      </c>
      <c r="J25" s="134">
        <f t="shared" ref="J25" si="32">G25+I25</f>
        <v>33.03856211529078</v>
      </c>
      <c r="K25" s="65">
        <f t="shared" ref="K25" si="33">J25*F25</f>
        <v>1321.5424846116312</v>
      </c>
      <c r="L25" s="69">
        <v>40</v>
      </c>
      <c r="M25" s="63">
        <f t="shared" si="30"/>
        <v>1600</v>
      </c>
      <c r="N25" s="63">
        <f t="shared" si="7"/>
        <v>1560</v>
      </c>
      <c r="O25" s="70">
        <f t="shared" si="8"/>
        <v>0</v>
      </c>
      <c r="P25" s="57">
        <v>1</v>
      </c>
      <c r="Q25" s="57">
        <v>39</v>
      </c>
      <c r="R25" s="22">
        <v>0</v>
      </c>
      <c r="S25" s="22">
        <v>0</v>
      </c>
      <c r="T25" s="22">
        <v>0</v>
      </c>
      <c r="U25" s="22">
        <v>0</v>
      </c>
      <c r="V25" s="22">
        <v>0</v>
      </c>
      <c r="W25" s="22">
        <v>0</v>
      </c>
      <c r="X25" s="22">
        <v>0</v>
      </c>
      <c r="Y25" s="22">
        <v>0</v>
      </c>
      <c r="Z25" s="22">
        <v>0</v>
      </c>
      <c r="AA25" s="22">
        <v>0</v>
      </c>
      <c r="AB25" s="22">
        <v>0</v>
      </c>
      <c r="AC25" s="22">
        <f>SUMIFS('Tổng Đơn'!$F:$F,'Tổng Đơn'!$B:$B,$C25)</f>
        <v>0</v>
      </c>
      <c r="AD25" s="22">
        <v>0</v>
      </c>
      <c r="AE25" s="22">
        <v>0</v>
      </c>
      <c r="AF25" s="22">
        <v>0</v>
      </c>
      <c r="AG25" s="22">
        <v>0</v>
      </c>
      <c r="AH25" s="22">
        <v>0</v>
      </c>
      <c r="AI25" s="22">
        <v>0</v>
      </c>
      <c r="AJ25" s="22">
        <v>0</v>
      </c>
      <c r="AK25" s="22">
        <v>0</v>
      </c>
      <c r="AL25" s="22">
        <v>0</v>
      </c>
      <c r="AM25" s="22">
        <v>0</v>
      </c>
      <c r="AN25" s="22">
        <v>0</v>
      </c>
      <c r="AO25" s="22">
        <v>0</v>
      </c>
      <c r="AP25" s="22">
        <v>0</v>
      </c>
      <c r="AQ25" s="22">
        <v>0</v>
      </c>
      <c r="AR25" s="22">
        <v>0</v>
      </c>
      <c r="AS25" s="22">
        <v>0</v>
      </c>
      <c r="AT25" s="22">
        <v>0</v>
      </c>
      <c r="AU25" s="22">
        <v>0</v>
      </c>
      <c r="AV25" s="22">
        <v>0</v>
      </c>
      <c r="AW25" s="58">
        <v>0</v>
      </c>
      <c r="AX25" s="58">
        <f t="shared" si="9"/>
        <v>0</v>
      </c>
    </row>
    <row r="26" spans="1:50" ht="18" x14ac:dyDescent="0.25">
      <c r="A26" s="58">
        <f t="shared" si="2"/>
        <v>0</v>
      </c>
      <c r="B26" s="6"/>
      <c r="C26" s="60"/>
      <c r="D26" s="68"/>
      <c r="E26" s="61"/>
      <c r="F26" s="60"/>
      <c r="G26" s="62"/>
      <c r="H26" s="63"/>
      <c r="I26" s="64"/>
      <c r="J26" s="134"/>
      <c r="K26" s="65"/>
      <c r="L26" s="69"/>
      <c r="M26" s="63"/>
      <c r="N26" s="63"/>
      <c r="O26" s="70"/>
      <c r="P26" s="57"/>
      <c r="Q26" s="57"/>
      <c r="R26" s="22"/>
      <c r="S26" s="22"/>
      <c r="T26" s="22"/>
      <c r="U26" s="22"/>
      <c r="V26" s="22"/>
      <c r="W26" s="22"/>
      <c r="X26" s="22"/>
      <c r="Y26" s="22"/>
      <c r="Z26" s="22"/>
      <c r="AA26" s="22"/>
      <c r="AB26" s="22"/>
      <c r="AC26" s="22"/>
      <c r="AD26" s="22"/>
      <c r="AE26" s="22"/>
      <c r="AF26" s="22"/>
      <c r="AG26" s="22"/>
      <c r="AH26" s="22"/>
      <c r="AI26" s="22"/>
      <c r="AJ26" s="22"/>
      <c r="AK26" s="22"/>
      <c r="AL26" s="22"/>
      <c r="AM26" s="22"/>
      <c r="AN26" s="22"/>
      <c r="AO26" s="22"/>
      <c r="AP26" s="22"/>
      <c r="AQ26" s="22"/>
      <c r="AR26" s="22"/>
      <c r="AS26" s="22"/>
      <c r="AT26" s="22"/>
      <c r="AU26" s="22"/>
      <c r="AV26" s="22"/>
    </row>
    <row r="27" spans="1:50" ht="18" x14ac:dyDescent="0.25">
      <c r="B27" s="6"/>
      <c r="C27" s="60"/>
      <c r="D27" s="68"/>
      <c r="E27" s="61"/>
      <c r="F27" s="60"/>
      <c r="G27" s="62"/>
      <c r="H27" s="63"/>
      <c r="I27" s="64"/>
      <c r="J27" s="134"/>
      <c r="K27" s="65"/>
      <c r="L27" s="69"/>
      <c r="M27" s="63"/>
      <c r="N27" s="63"/>
      <c r="O27" s="70"/>
      <c r="P27" s="57"/>
      <c r="Q27" s="57"/>
      <c r="R27" s="22"/>
      <c r="S27" s="22"/>
      <c r="T27" s="22"/>
      <c r="U27" s="22"/>
      <c r="V27" s="22"/>
      <c r="W27" s="22"/>
      <c r="X27" s="22"/>
      <c r="Y27" s="22"/>
      <c r="Z27" s="22"/>
      <c r="AA27" s="22"/>
      <c r="AB27" s="22"/>
      <c r="AC27" s="22"/>
      <c r="AD27" s="22"/>
      <c r="AE27" s="22"/>
      <c r="AF27" s="22"/>
      <c r="AG27" s="22"/>
      <c r="AH27" s="22"/>
      <c r="AI27" s="22"/>
      <c r="AJ27" s="22"/>
      <c r="AK27" s="22"/>
      <c r="AL27" s="22"/>
      <c r="AM27" s="22"/>
      <c r="AN27" s="22"/>
      <c r="AO27" s="22"/>
      <c r="AP27" s="22"/>
      <c r="AQ27" s="22"/>
      <c r="AR27" s="22"/>
      <c r="AS27" s="22"/>
      <c r="AT27" s="22"/>
      <c r="AU27" s="22"/>
      <c r="AV27" s="22"/>
    </row>
    <row r="28" spans="1:50" ht="18" x14ac:dyDescent="0.25">
      <c r="A28" s="58">
        <f t="shared" si="2"/>
        <v>0</v>
      </c>
      <c r="B28" s="180" t="s">
        <v>229</v>
      </c>
      <c r="C28" s="179" t="s">
        <v>293</v>
      </c>
      <c r="D28" s="181">
        <v>63</v>
      </c>
      <c r="E28" s="188">
        <v>0.5</v>
      </c>
      <c r="F28" s="179">
        <v>880</v>
      </c>
      <c r="G28" s="188">
        <v>31.5</v>
      </c>
      <c r="H28" s="185">
        <v>27720</v>
      </c>
      <c r="I28" s="183">
        <v>0.71915407774313922</v>
      </c>
      <c r="J28" s="195">
        <v>32.219154077743141</v>
      </c>
      <c r="K28" s="179">
        <v>28352.855588413964</v>
      </c>
      <c r="L28" s="191">
        <v>45</v>
      </c>
      <c r="M28" s="185">
        <v>39600</v>
      </c>
      <c r="N28" s="185">
        <v>39555</v>
      </c>
      <c r="O28" s="196">
        <v>0</v>
      </c>
      <c r="P28" s="123">
        <v>1</v>
      </c>
      <c r="Q28" s="123">
        <v>810</v>
      </c>
      <c r="R28" s="197">
        <v>0</v>
      </c>
      <c r="S28" s="197">
        <v>0</v>
      </c>
      <c r="T28" s="197">
        <v>0</v>
      </c>
      <c r="U28" s="197">
        <v>0</v>
      </c>
      <c r="V28" s="197">
        <v>0</v>
      </c>
      <c r="W28" s="197">
        <v>0</v>
      </c>
      <c r="X28" s="197">
        <v>0</v>
      </c>
      <c r="Y28" s="197">
        <v>0</v>
      </c>
      <c r="Z28" s="197">
        <v>0</v>
      </c>
      <c r="AA28" s="197">
        <v>0</v>
      </c>
      <c r="AB28" s="197">
        <v>0</v>
      </c>
      <c r="AC28" s="197">
        <v>0</v>
      </c>
      <c r="AD28" s="197">
        <v>0</v>
      </c>
      <c r="AE28" s="197">
        <v>0</v>
      </c>
      <c r="AF28" s="197">
        <v>0</v>
      </c>
      <c r="AG28" s="197">
        <v>0</v>
      </c>
      <c r="AH28" s="197">
        <v>0</v>
      </c>
      <c r="AI28" s="197">
        <v>0</v>
      </c>
      <c r="AJ28" s="197">
        <v>0</v>
      </c>
      <c r="AK28" s="197">
        <v>0</v>
      </c>
      <c r="AL28" s="197">
        <v>0</v>
      </c>
      <c r="AM28" s="197">
        <v>0</v>
      </c>
      <c r="AN28" s="197">
        <v>0</v>
      </c>
      <c r="AO28" s="197">
        <v>0</v>
      </c>
      <c r="AP28" s="197">
        <v>0</v>
      </c>
      <c r="AQ28" s="197">
        <v>0</v>
      </c>
      <c r="AR28" s="197">
        <v>0</v>
      </c>
      <c r="AS28" s="197">
        <v>0</v>
      </c>
      <c r="AT28" s="197">
        <v>0</v>
      </c>
      <c r="AU28" s="197">
        <v>0</v>
      </c>
      <c r="AV28" s="197">
        <v>0</v>
      </c>
    </row>
    <row r="29" spans="1:50" ht="18" x14ac:dyDescent="0.25">
      <c r="A29" s="58">
        <v>0</v>
      </c>
      <c r="B29" s="180" t="s">
        <v>229</v>
      </c>
      <c r="C29" s="179" t="s">
        <v>296</v>
      </c>
      <c r="D29" s="181">
        <v>75</v>
      </c>
      <c r="E29" s="188">
        <v>0.5</v>
      </c>
      <c r="F29" s="179">
        <v>641</v>
      </c>
      <c r="G29" s="188">
        <v>37.5</v>
      </c>
      <c r="H29" s="185">
        <v>24037.5</v>
      </c>
      <c r="I29" s="183">
        <v>0.85312687463405334</v>
      </c>
      <c r="J29" s="195">
        <v>38.35312687463405</v>
      </c>
      <c r="K29" s="179">
        <v>24584.354326640427</v>
      </c>
      <c r="L29" s="191">
        <v>42</v>
      </c>
      <c r="M29" s="185">
        <v>26922</v>
      </c>
      <c r="N29" s="185">
        <v>26712</v>
      </c>
      <c r="O29" s="196">
        <v>0</v>
      </c>
      <c r="P29" s="123">
        <v>5</v>
      </c>
      <c r="Q29" s="123">
        <v>599</v>
      </c>
      <c r="R29" s="197">
        <v>0</v>
      </c>
      <c r="S29" s="197">
        <v>0</v>
      </c>
      <c r="T29" s="197">
        <v>0</v>
      </c>
      <c r="U29" s="197">
        <v>0</v>
      </c>
      <c r="V29" s="197">
        <v>0</v>
      </c>
      <c r="W29" s="197">
        <v>0</v>
      </c>
      <c r="X29" s="197">
        <v>0</v>
      </c>
      <c r="Y29" s="197">
        <v>0</v>
      </c>
      <c r="Z29" s="197">
        <v>0</v>
      </c>
      <c r="AA29" s="197">
        <v>0</v>
      </c>
      <c r="AB29" s="197">
        <v>0</v>
      </c>
      <c r="AC29" s="197">
        <v>0</v>
      </c>
      <c r="AD29" s="197">
        <v>0</v>
      </c>
      <c r="AE29" s="197">
        <v>0</v>
      </c>
      <c r="AF29" s="197">
        <v>0</v>
      </c>
      <c r="AG29" s="197">
        <v>0</v>
      </c>
      <c r="AH29" s="197">
        <v>0</v>
      </c>
      <c r="AI29" s="197">
        <v>0</v>
      </c>
      <c r="AJ29" s="197">
        <v>0</v>
      </c>
      <c r="AK29" s="197">
        <v>0</v>
      </c>
      <c r="AL29" s="197">
        <v>0</v>
      </c>
      <c r="AM29" s="197">
        <v>0</v>
      </c>
      <c r="AN29" s="197">
        <v>0</v>
      </c>
      <c r="AO29" s="197">
        <v>0</v>
      </c>
      <c r="AP29" s="197">
        <v>0</v>
      </c>
      <c r="AQ29" s="197">
        <v>0</v>
      </c>
      <c r="AR29" s="197">
        <v>0</v>
      </c>
      <c r="AS29" s="197">
        <v>0</v>
      </c>
      <c r="AT29" s="197">
        <v>0</v>
      </c>
      <c r="AU29" s="197">
        <v>0</v>
      </c>
      <c r="AV29" s="197">
        <v>0</v>
      </c>
    </row>
    <row r="30" spans="1:50" ht="18" x14ac:dyDescent="0.25">
      <c r="A30" s="58">
        <v>0</v>
      </c>
      <c r="B30" s="180" t="s">
        <v>229</v>
      </c>
      <c r="C30" s="179" t="s">
        <v>292</v>
      </c>
      <c r="D30" s="181">
        <v>75</v>
      </c>
      <c r="E30" s="188">
        <v>0.5</v>
      </c>
      <c r="F30" s="179">
        <v>245</v>
      </c>
      <c r="G30" s="188">
        <v>37.5</v>
      </c>
      <c r="H30" s="185">
        <v>9187.5</v>
      </c>
      <c r="I30" s="183">
        <v>0.86286144010168964</v>
      </c>
      <c r="J30" s="195">
        <v>38.362861440101689</v>
      </c>
      <c r="K30" s="179">
        <v>9398.9010528249146</v>
      </c>
      <c r="L30" s="191">
        <v>42</v>
      </c>
      <c r="M30" s="185">
        <v>10290</v>
      </c>
      <c r="N30" s="185">
        <v>10164</v>
      </c>
      <c r="O30" s="196">
        <v>0</v>
      </c>
      <c r="P30" s="123">
        <v>3</v>
      </c>
      <c r="Q30" s="123">
        <v>219</v>
      </c>
      <c r="R30" s="197">
        <v>0</v>
      </c>
      <c r="S30" s="197">
        <v>0</v>
      </c>
      <c r="T30" s="197">
        <v>0</v>
      </c>
      <c r="U30" s="197">
        <v>0</v>
      </c>
      <c r="V30" s="197">
        <v>0</v>
      </c>
      <c r="W30" s="197">
        <v>0</v>
      </c>
      <c r="X30" s="197">
        <v>0</v>
      </c>
      <c r="Y30" s="197">
        <v>0</v>
      </c>
      <c r="Z30" s="197">
        <v>0</v>
      </c>
      <c r="AA30" s="197">
        <v>0</v>
      </c>
      <c r="AB30" s="197">
        <v>0</v>
      </c>
      <c r="AC30" s="197">
        <v>0</v>
      </c>
      <c r="AD30" s="197">
        <v>0</v>
      </c>
      <c r="AE30" s="197">
        <v>0</v>
      </c>
      <c r="AF30" s="197">
        <v>0</v>
      </c>
      <c r="AG30" s="197">
        <v>0</v>
      </c>
      <c r="AH30" s="197">
        <v>0</v>
      </c>
      <c r="AI30" s="197">
        <v>0</v>
      </c>
      <c r="AJ30" s="197">
        <v>0</v>
      </c>
      <c r="AK30" s="197">
        <v>0</v>
      </c>
      <c r="AL30" s="197">
        <v>0</v>
      </c>
      <c r="AM30" s="197">
        <v>0</v>
      </c>
      <c r="AN30" s="197">
        <v>0</v>
      </c>
      <c r="AO30" s="197">
        <v>0</v>
      </c>
      <c r="AP30" s="197">
        <v>0</v>
      </c>
      <c r="AQ30" s="197">
        <v>0</v>
      </c>
      <c r="AR30" s="197">
        <v>0</v>
      </c>
      <c r="AS30" s="197">
        <v>0</v>
      </c>
      <c r="AT30" s="197">
        <v>0</v>
      </c>
      <c r="AU30" s="197">
        <v>0</v>
      </c>
      <c r="AV30" s="197">
        <v>0</v>
      </c>
    </row>
    <row r="31" spans="1:50" ht="18" x14ac:dyDescent="0.25">
      <c r="A31" s="58">
        <v>0</v>
      </c>
      <c r="B31" s="180" t="s">
        <v>229</v>
      </c>
      <c r="C31" s="179" t="s">
        <v>291</v>
      </c>
      <c r="D31" s="181">
        <v>24</v>
      </c>
      <c r="E31" s="188">
        <v>0.3</v>
      </c>
      <c r="F31" s="179">
        <v>1054</v>
      </c>
      <c r="G31" s="188">
        <v>12</v>
      </c>
      <c r="H31" s="185">
        <v>12648</v>
      </c>
      <c r="I31" s="183">
        <v>0.27012622003060166</v>
      </c>
      <c r="J31" s="195">
        <v>12.270126220030601</v>
      </c>
      <c r="K31" s="179">
        <v>12932.713035912253</v>
      </c>
      <c r="L31" s="191">
        <v>16</v>
      </c>
      <c r="M31" s="185">
        <v>16864</v>
      </c>
      <c r="N31" s="185">
        <v>16800</v>
      </c>
      <c r="O31" s="196">
        <v>0</v>
      </c>
      <c r="P31" s="123">
        <v>4</v>
      </c>
      <c r="Q31" s="123">
        <v>1017</v>
      </c>
      <c r="R31" s="197">
        <v>0</v>
      </c>
      <c r="S31" s="197">
        <v>0</v>
      </c>
      <c r="T31" s="197">
        <v>0</v>
      </c>
      <c r="U31" s="197">
        <v>0</v>
      </c>
      <c r="V31" s="197">
        <v>0</v>
      </c>
      <c r="W31" s="197">
        <v>0</v>
      </c>
      <c r="X31" s="197">
        <v>0</v>
      </c>
      <c r="Y31" s="197">
        <v>0</v>
      </c>
      <c r="Z31" s="197">
        <v>0</v>
      </c>
      <c r="AA31" s="197">
        <v>0</v>
      </c>
      <c r="AB31" s="197">
        <v>0</v>
      </c>
      <c r="AC31" s="197">
        <v>0</v>
      </c>
      <c r="AD31" s="197">
        <v>0</v>
      </c>
      <c r="AE31" s="197">
        <v>0</v>
      </c>
      <c r="AF31" s="197">
        <v>0</v>
      </c>
      <c r="AG31" s="197">
        <v>0</v>
      </c>
      <c r="AH31" s="197">
        <v>0</v>
      </c>
      <c r="AI31" s="197">
        <v>0</v>
      </c>
      <c r="AJ31" s="197">
        <v>0</v>
      </c>
      <c r="AK31" s="197">
        <v>0</v>
      </c>
      <c r="AL31" s="197">
        <v>0</v>
      </c>
      <c r="AM31" s="197">
        <v>0</v>
      </c>
      <c r="AN31" s="197">
        <v>0</v>
      </c>
      <c r="AO31" s="197">
        <v>0</v>
      </c>
      <c r="AP31" s="197">
        <v>0</v>
      </c>
      <c r="AQ31" s="197">
        <v>0</v>
      </c>
      <c r="AR31" s="197">
        <v>0</v>
      </c>
      <c r="AS31" s="197">
        <v>0</v>
      </c>
      <c r="AT31" s="197">
        <v>0</v>
      </c>
      <c r="AU31" s="197">
        <v>0</v>
      </c>
      <c r="AV31" s="197">
        <v>0</v>
      </c>
      <c r="AW31" s="58">
        <v>0</v>
      </c>
      <c r="AX31" s="58">
        <v>0</v>
      </c>
    </row>
    <row r="32" spans="1:50" ht="18" x14ac:dyDescent="0.25">
      <c r="A32" s="58">
        <v>0</v>
      </c>
      <c r="B32" s="180" t="s">
        <v>229</v>
      </c>
      <c r="C32" s="179" t="s">
        <v>237</v>
      </c>
      <c r="D32" s="181">
        <v>73</v>
      </c>
      <c r="E32" s="188">
        <v>0.5</v>
      </c>
      <c r="F32" s="179">
        <v>198</v>
      </c>
      <c r="G32" s="188">
        <v>36.5</v>
      </c>
      <c r="H32" s="185">
        <v>7227</v>
      </c>
      <c r="I32" s="183">
        <v>0.80008460399561587</v>
      </c>
      <c r="J32" s="195">
        <v>37.300084603995614</v>
      </c>
      <c r="K32" s="179">
        <v>7385.4167515911313</v>
      </c>
      <c r="L32" s="191">
        <v>42</v>
      </c>
      <c r="M32" s="185">
        <v>8316</v>
      </c>
      <c r="N32" s="185">
        <v>8274</v>
      </c>
      <c r="O32" s="196">
        <v>0</v>
      </c>
      <c r="P32" s="123">
        <v>1</v>
      </c>
      <c r="Q32" s="123">
        <v>182</v>
      </c>
      <c r="R32" s="197">
        <v>0</v>
      </c>
      <c r="S32" s="197">
        <v>0</v>
      </c>
      <c r="T32" s="197">
        <v>0</v>
      </c>
      <c r="U32" s="197">
        <v>0</v>
      </c>
      <c r="V32" s="197">
        <v>0</v>
      </c>
      <c r="W32" s="197">
        <v>0</v>
      </c>
      <c r="X32" s="197">
        <v>0</v>
      </c>
      <c r="Y32" s="197">
        <v>0</v>
      </c>
      <c r="Z32" s="197">
        <v>0</v>
      </c>
      <c r="AA32" s="197">
        <v>0</v>
      </c>
      <c r="AB32" s="197">
        <v>0</v>
      </c>
      <c r="AC32" s="197">
        <v>0</v>
      </c>
      <c r="AD32" s="197">
        <v>0</v>
      </c>
      <c r="AE32" s="197">
        <v>0</v>
      </c>
      <c r="AF32" s="197">
        <v>0</v>
      </c>
      <c r="AG32" s="197">
        <v>0</v>
      </c>
      <c r="AH32" s="197">
        <v>0</v>
      </c>
      <c r="AI32" s="197">
        <v>0</v>
      </c>
      <c r="AJ32" s="197">
        <v>0</v>
      </c>
      <c r="AK32" s="197">
        <v>0</v>
      </c>
      <c r="AL32" s="197">
        <v>0</v>
      </c>
      <c r="AM32" s="197">
        <v>0</v>
      </c>
      <c r="AN32" s="197">
        <v>0</v>
      </c>
      <c r="AO32" s="197">
        <v>0</v>
      </c>
      <c r="AP32" s="197">
        <v>0</v>
      </c>
      <c r="AQ32" s="197">
        <v>0</v>
      </c>
      <c r="AR32" s="197">
        <v>0</v>
      </c>
      <c r="AS32" s="197">
        <v>0</v>
      </c>
      <c r="AT32" s="197">
        <v>0</v>
      </c>
      <c r="AU32" s="197">
        <v>0</v>
      </c>
      <c r="AV32" s="197">
        <v>0</v>
      </c>
      <c r="AW32" s="58">
        <v>0</v>
      </c>
      <c r="AX32" s="58">
        <v>0</v>
      </c>
    </row>
    <row r="35" spans="12:12" x14ac:dyDescent="0.25">
      <c r="L35" s="58">
        <f>J35*5</f>
        <v>0</v>
      </c>
    </row>
  </sheetData>
  <autoFilter ref="B4:M26" xr:uid="{00000000-0009-0000-0000-000004000000}"/>
  <mergeCells count="1">
    <mergeCell ref="B1:M1"/>
  </mergeCells>
  <conditionalFormatting sqref="C6:C17 C25:C27">
    <cfRule type="expression" dxfId="765" priority="21">
      <formula>($O6/$O6)&lt;=1/4</formula>
    </cfRule>
  </conditionalFormatting>
  <conditionalFormatting sqref="C18">
    <cfRule type="expression" dxfId="764" priority="18">
      <formula>($O18/$O18)&lt;=1/4</formula>
    </cfRule>
  </conditionalFormatting>
  <conditionalFormatting sqref="C5:C18 C25:C27">
    <cfRule type="expression" dxfId="763" priority="29">
      <formula>($O5/$F5)&lt;=1/4</formula>
    </cfRule>
  </conditionalFormatting>
  <conditionalFormatting sqref="C19">
    <cfRule type="expression" dxfId="762" priority="9">
      <formula>($O19/$O19)&lt;=1/4</formula>
    </cfRule>
  </conditionalFormatting>
  <conditionalFormatting sqref="C19">
    <cfRule type="expression" dxfId="761" priority="10">
      <formula>($O19/$F19)&lt;=1/4</formula>
    </cfRule>
  </conditionalFormatting>
  <conditionalFormatting sqref="C20:C21">
    <cfRule type="expression" dxfId="760" priority="7">
      <formula>($O20/$O20)&lt;=1/4</formula>
    </cfRule>
  </conditionalFormatting>
  <conditionalFormatting sqref="C20:C21">
    <cfRule type="expression" dxfId="759" priority="8">
      <formula>($O20/$F20)&lt;=1/4</formula>
    </cfRule>
  </conditionalFormatting>
  <conditionalFormatting sqref="C22:C23">
    <cfRule type="expression" dxfId="758" priority="5">
      <formula>($O22/$O22)&lt;=1/4</formula>
    </cfRule>
  </conditionalFormatting>
  <conditionalFormatting sqref="C22:C23">
    <cfRule type="expression" dxfId="757" priority="6">
      <formula>($O22/$F22)&lt;=1/4</formula>
    </cfRule>
  </conditionalFormatting>
  <conditionalFormatting sqref="C24">
    <cfRule type="expression" dxfId="756" priority="3">
      <formula>($O24/$O24)&lt;=1/4</formula>
    </cfRule>
  </conditionalFormatting>
  <conditionalFormatting sqref="C24">
    <cfRule type="expression" dxfId="755" priority="4">
      <formula>($O24/$F24)&lt;=1/4</formula>
    </cfRule>
  </conditionalFormatting>
  <pageMargins left="0.7" right="0.7" top="0.75" bottom="0.75" header="0.3" footer="0.3"/>
  <pageSetup orientation="portrait" r:id="rId1"/>
  <legacyDrawing r:id="rId2"/>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20">
    <tabColor rgb="FF00B050"/>
  </sheetPr>
  <dimension ref="A1:BA24"/>
  <sheetViews>
    <sheetView topLeftCell="A2" zoomScale="90" zoomScaleNormal="90" workbookViewId="0">
      <pane xSplit="17" ySplit="3" topLeftCell="AC5" activePane="bottomRight" state="frozen"/>
      <selection activeCell="A2" sqref="A2"/>
      <selection pane="topRight" activeCell="R2" sqref="R2"/>
      <selection pane="bottomLeft" activeCell="A5" sqref="A5"/>
      <selection pane="bottomRight" activeCell="F6" sqref="F6"/>
    </sheetView>
  </sheetViews>
  <sheetFormatPr defaultColWidth="9.09765625" defaultRowHeight="13.8" x14ac:dyDescent="0.25"/>
  <cols>
    <col min="1" max="1" width="14.3984375" style="58" customWidth="1"/>
    <col min="2" max="2" width="9.09765625" style="58"/>
    <col min="3" max="3" width="30.59765625" style="58" bestFit="1" customWidth="1"/>
    <col min="4" max="4" width="9" style="58" customWidth="1"/>
    <col min="5" max="5" width="11.3984375" style="58" customWidth="1"/>
    <col min="6" max="6" width="10.59765625" style="58" customWidth="1"/>
    <col min="7" max="7" width="8" style="58" customWidth="1"/>
    <col min="8" max="8" width="12.8984375" style="58" hidden="1" customWidth="1"/>
    <col min="9" max="9" width="14.8984375" style="58" hidden="1" customWidth="1"/>
    <col min="10" max="10" width="10.09765625" style="58" customWidth="1"/>
    <col min="11" max="11" width="14.8984375" style="58" hidden="1" customWidth="1"/>
    <col min="12" max="12" width="9.3984375" style="58" customWidth="1"/>
    <col min="13" max="14" width="16.296875" style="58" hidden="1" customWidth="1"/>
    <col min="15" max="15" width="12.59765625" style="58" customWidth="1"/>
    <col min="16" max="16" width="11.69921875" style="58" customWidth="1"/>
    <col min="17" max="17" width="12.296875" style="58" customWidth="1"/>
    <col min="18" max="35" width="4.59765625" style="58" customWidth="1"/>
    <col min="36" max="36" width="4.69921875" style="58" bestFit="1" customWidth="1"/>
    <col min="37" max="48" width="4.59765625" style="58" customWidth="1"/>
    <col min="49" max="49" width="11" style="58" bestFit="1" customWidth="1"/>
    <col min="50" max="50" width="12" style="58" bestFit="1" customWidth="1"/>
    <col min="51" max="16384" width="9.09765625" style="58"/>
  </cols>
  <sheetData>
    <row r="1" spans="1:53" hidden="1" x14ac:dyDescent="0.25">
      <c r="B1" s="256" t="s">
        <v>51</v>
      </c>
      <c r="C1" s="256"/>
      <c r="D1" s="256"/>
      <c r="E1" s="256"/>
      <c r="F1" s="256"/>
      <c r="G1" s="256"/>
      <c r="H1" s="256"/>
      <c r="I1" s="256"/>
      <c r="J1" s="256"/>
      <c r="K1" s="256"/>
      <c r="L1" s="256"/>
      <c r="M1" s="256"/>
      <c r="N1" s="59"/>
    </row>
    <row r="2" spans="1:53" ht="34.5" customHeight="1" x14ac:dyDescent="0.25">
      <c r="A2" s="1">
        <f>300+200+120+200+200+200+140+190+120+60+100+95+145+70+100+165+70+80+320+100+270+80+100+140+50+170+140+170+110+140+200+60+100+140+180+80+160+100+240+120+120+300+280+120+240+200+280+200+100+200+280+140+220+80+180+300+240+60+200+280+280+160+230+340+160+300</f>
        <v>11215</v>
      </c>
      <c r="K2" s="13"/>
      <c r="L2" s="13"/>
      <c r="M2" s="8">
        <f>M4/K4-1</f>
        <v>0.18633186953106384</v>
      </c>
      <c r="N2" s="8"/>
      <c r="O2" s="13">
        <f>M4-K4</f>
        <v>93787.453399509308</v>
      </c>
      <c r="Q2" s="198">
        <f>620+144+154+255+150</f>
        <v>1323</v>
      </c>
      <c r="AL2" s="198"/>
      <c r="AW2" s="209"/>
      <c r="AX2" s="131"/>
    </row>
    <row r="3" spans="1:53" ht="43.95" customHeight="1" x14ac:dyDescent="0.25">
      <c r="A3" s="50" t="s">
        <v>104</v>
      </c>
      <c r="B3" s="3" t="s">
        <v>0</v>
      </c>
      <c r="C3" s="3" t="s">
        <v>16</v>
      </c>
      <c r="D3" s="17" t="s">
        <v>54</v>
      </c>
      <c r="E3" s="5" t="s">
        <v>125</v>
      </c>
      <c r="F3" s="109" t="s">
        <v>124</v>
      </c>
      <c r="G3" s="4" t="s">
        <v>17</v>
      </c>
      <c r="H3" s="4" t="s">
        <v>18</v>
      </c>
      <c r="I3" s="9" t="s">
        <v>19</v>
      </c>
      <c r="J3" s="9" t="s">
        <v>20</v>
      </c>
      <c r="K3" s="9" t="s">
        <v>23</v>
      </c>
      <c r="L3" s="10" t="s">
        <v>21</v>
      </c>
      <c r="M3" s="11" t="s">
        <v>22</v>
      </c>
      <c r="N3" s="11" t="s">
        <v>103</v>
      </c>
      <c r="O3" s="20" t="s">
        <v>52</v>
      </c>
      <c r="P3" s="229" t="s">
        <v>115</v>
      </c>
      <c r="Q3" s="227" t="s">
        <v>303</v>
      </c>
      <c r="R3" s="21" t="s">
        <v>146</v>
      </c>
      <c r="S3" s="23" t="s">
        <v>147</v>
      </c>
      <c r="T3" s="21" t="s">
        <v>148</v>
      </c>
      <c r="U3" s="23" t="s">
        <v>149</v>
      </c>
      <c r="V3" s="21" t="s">
        <v>150</v>
      </c>
      <c r="W3" s="23" t="s">
        <v>151</v>
      </c>
      <c r="X3" s="21" t="s">
        <v>152</v>
      </c>
      <c r="Y3" s="23" t="s">
        <v>153</v>
      </c>
      <c r="Z3" s="21" t="s">
        <v>154</v>
      </c>
      <c r="AA3" s="23">
        <v>10</v>
      </c>
      <c r="AB3" s="21">
        <v>11</v>
      </c>
      <c r="AC3" s="23">
        <v>12</v>
      </c>
      <c r="AD3" s="21">
        <v>13</v>
      </c>
      <c r="AE3" s="23">
        <v>14</v>
      </c>
      <c r="AF3" s="21">
        <v>15</v>
      </c>
      <c r="AG3" s="23">
        <v>16</v>
      </c>
      <c r="AH3" s="21">
        <v>17</v>
      </c>
      <c r="AI3" s="23">
        <v>18</v>
      </c>
      <c r="AJ3" s="21">
        <v>19</v>
      </c>
      <c r="AK3" s="23">
        <v>20</v>
      </c>
      <c r="AL3" s="21">
        <v>21</v>
      </c>
      <c r="AM3" s="23">
        <v>22</v>
      </c>
      <c r="AN3" s="21">
        <v>23</v>
      </c>
      <c r="AO3" s="23">
        <v>24</v>
      </c>
      <c r="AP3" s="21">
        <v>25</v>
      </c>
      <c r="AQ3" s="23">
        <v>26</v>
      </c>
      <c r="AR3" s="21">
        <v>27</v>
      </c>
      <c r="AS3" s="23">
        <v>28</v>
      </c>
      <c r="AT3" s="21">
        <v>29</v>
      </c>
      <c r="AU3" s="23">
        <v>30</v>
      </c>
      <c r="AV3" s="21">
        <v>31</v>
      </c>
      <c r="AX3" s="94">
        <v>3620</v>
      </c>
      <c r="BA3" s="58">
        <f>SUMPRODUCT(1/COUNTIF($C$5:$C$13,$C$5:$C$13))</f>
        <v>9</v>
      </c>
    </row>
    <row r="4" spans="1:53" s="45" customFormat="1" ht="27" customHeight="1" x14ac:dyDescent="0.25">
      <c r="A4" s="49">
        <f ca="1">SUBTOTAL(9,A5:A23)</f>
        <v>9708.3955732521845</v>
      </c>
      <c r="B4" s="16"/>
      <c r="C4" s="16"/>
      <c r="D4" s="46"/>
      <c r="E4" s="16">
        <f>SUMPRODUCT((E5:E23)*(F5:F23))</f>
        <v>11173</v>
      </c>
      <c r="F4" s="16">
        <f>SUBTOTAL(9,F5:F23)</f>
        <v>22394</v>
      </c>
      <c r="G4" s="7"/>
      <c r="H4" s="7">
        <f>SUBTOTAL(9,H5:H23)</f>
        <v>492114.63490259741</v>
      </c>
      <c r="I4" s="12"/>
      <c r="J4" s="12"/>
      <c r="K4" s="12">
        <f>SUBTOTAL(9,K5:K23)</f>
        <v>503335.54660049069</v>
      </c>
      <c r="L4" s="47"/>
      <c r="M4" s="7">
        <f>SUBTOTAL(9,M5:M23)</f>
        <v>597123</v>
      </c>
      <c r="N4" s="7">
        <f ca="1">SUBTOTAL(9,N5:N23)</f>
        <v>585219</v>
      </c>
      <c r="O4" s="48">
        <f ca="1">SUBTOTAL(9,O5:O23)</f>
        <v>372</v>
      </c>
      <c r="P4" s="74">
        <f>SUBTOTAL(9,P5:P23)</f>
        <v>22</v>
      </c>
      <c r="Q4" s="74"/>
      <c r="R4" s="25">
        <f>SUBTOTAL(9,R5:R12)</f>
        <v>91</v>
      </c>
      <c r="S4" s="25">
        <f t="shared" ref="S4:AV4" si="0">SUBTOTAL(9,S5:S12)</f>
        <v>128</v>
      </c>
      <c r="T4" s="25">
        <f t="shared" si="0"/>
        <v>37</v>
      </c>
      <c r="U4" s="25">
        <f t="shared" si="0"/>
        <v>53</v>
      </c>
      <c r="V4" s="25">
        <f t="shared" si="0"/>
        <v>25</v>
      </c>
      <c r="W4" s="25">
        <f t="shared" si="0"/>
        <v>91</v>
      </c>
      <c r="X4" s="25">
        <f t="shared" si="0"/>
        <v>52</v>
      </c>
      <c r="Y4" s="25">
        <f t="shared" si="0"/>
        <v>71</v>
      </c>
      <c r="Z4" s="25">
        <f t="shared" si="0"/>
        <v>184</v>
      </c>
      <c r="AA4" s="25">
        <f t="shared" si="0"/>
        <v>32</v>
      </c>
      <c r="AB4" s="25">
        <f t="shared" si="0"/>
        <v>61</v>
      </c>
      <c r="AC4" s="25">
        <f t="shared" si="0"/>
        <v>30</v>
      </c>
      <c r="AD4" s="25">
        <f t="shared" si="0"/>
        <v>81</v>
      </c>
      <c r="AE4" s="25">
        <f t="shared" si="0"/>
        <v>112</v>
      </c>
      <c r="AF4" s="25">
        <f t="shared" si="0"/>
        <v>99</v>
      </c>
      <c r="AG4" s="25">
        <f t="shared" si="0"/>
        <v>95</v>
      </c>
      <c r="AH4" s="25">
        <f t="shared" si="0"/>
        <v>54</v>
      </c>
      <c r="AI4" s="25">
        <f t="shared" si="0"/>
        <v>194</v>
      </c>
      <c r="AJ4" s="25">
        <f t="shared" si="0"/>
        <v>282</v>
      </c>
      <c r="AK4" s="25">
        <f t="shared" ca="1" si="0"/>
        <v>178</v>
      </c>
      <c r="AL4" s="25">
        <f t="shared" si="0"/>
        <v>0</v>
      </c>
      <c r="AM4" s="25">
        <f t="shared" si="0"/>
        <v>0</v>
      </c>
      <c r="AN4" s="25">
        <f t="shared" si="0"/>
        <v>0</v>
      </c>
      <c r="AO4" s="25">
        <f t="shared" si="0"/>
        <v>0</v>
      </c>
      <c r="AP4" s="25">
        <f t="shared" si="0"/>
        <v>0</v>
      </c>
      <c r="AQ4" s="25">
        <f t="shared" si="0"/>
        <v>0</v>
      </c>
      <c r="AR4" s="25">
        <f t="shared" si="0"/>
        <v>0</v>
      </c>
      <c r="AS4" s="25">
        <f t="shared" si="0"/>
        <v>0</v>
      </c>
      <c r="AT4" s="25">
        <f t="shared" si="0"/>
        <v>0</v>
      </c>
      <c r="AU4" s="25">
        <f t="shared" si="0"/>
        <v>0</v>
      </c>
      <c r="AV4" s="25">
        <f t="shared" si="0"/>
        <v>0</v>
      </c>
      <c r="AW4" s="41" t="str">
        <f>SUMPRODUCT(($AW$5:$AW$23)*($E$5:$E$23))&amp;" Kg"</f>
        <v>0 Kg</v>
      </c>
      <c r="AX4" s="77">
        <f>SUBTOTAL(9,AX5:AX23)</f>
        <v>0</v>
      </c>
    </row>
    <row r="5" spans="1:53" ht="18" x14ac:dyDescent="0.25">
      <c r="A5" s="58">
        <f t="shared" ref="A5:A23" ca="1" si="1">J5*O5</f>
        <v>3111.1305547036281</v>
      </c>
      <c r="B5" s="237">
        <v>1</v>
      </c>
      <c r="C5" s="60" t="s">
        <v>174</v>
      </c>
      <c r="D5" s="241">
        <f>41*20.5/21</f>
        <v>40.023809523809526</v>
      </c>
      <c r="E5" s="6">
        <v>0.5</v>
      </c>
      <c r="F5" s="6">
        <f>217+420-7+420+252+210+210+420+84+630-7</f>
        <v>2849</v>
      </c>
      <c r="G5" s="228">
        <v>20.011904761904763</v>
      </c>
      <c r="H5" s="63">
        <f t="shared" ref="H5:H12" si="2">G5*F5</f>
        <v>57013.916666666672</v>
      </c>
      <c r="I5" s="64">
        <f t="shared" ref="I5:I12" si="3">((H5/$H$4)*$A$2)/F5</f>
        <v>0.45605941377700193</v>
      </c>
      <c r="J5" s="134">
        <f t="shared" ref="J5:J12" si="4">G5+I5</f>
        <v>20.467964175681765</v>
      </c>
      <c r="K5" s="65">
        <f>J5*F5</f>
        <v>58313.229936517346</v>
      </c>
      <c r="L5" s="69">
        <v>25</v>
      </c>
      <c r="M5" s="63">
        <f t="shared" ref="M5:M12" si="5">L5*F5</f>
        <v>71225</v>
      </c>
      <c r="N5" s="63">
        <f t="shared" ref="N5:N13" ca="1" si="6">SUMPRODUCT(($Q5:$AV5)*$L5)</f>
        <v>67425</v>
      </c>
      <c r="O5" s="70">
        <f t="shared" ref="O5:O13" ca="1" si="7">F5-SUM(Q5:AV5)-P5</f>
        <v>152</v>
      </c>
      <c r="P5" s="57">
        <v>0</v>
      </c>
      <c r="Q5" s="57">
        <v>1456</v>
      </c>
      <c r="R5" s="22">
        <v>59</v>
      </c>
      <c r="S5" s="22">
        <f>71+30+2</f>
        <v>103</v>
      </c>
      <c r="T5" s="22">
        <v>19</v>
      </c>
      <c r="U5" s="22">
        <v>39</v>
      </c>
      <c r="V5" s="22">
        <v>12</v>
      </c>
      <c r="W5" s="22">
        <v>63</v>
      </c>
      <c r="X5" s="22">
        <v>25</v>
      </c>
      <c r="Y5" s="22">
        <v>40</v>
      </c>
      <c r="Z5" s="22">
        <v>117</v>
      </c>
      <c r="AA5" s="22">
        <v>24</v>
      </c>
      <c r="AB5" s="22">
        <v>38</v>
      </c>
      <c r="AC5" s="22">
        <v>20</v>
      </c>
      <c r="AD5" s="22">
        <v>46</v>
      </c>
      <c r="AE5" s="22">
        <v>69</v>
      </c>
      <c r="AF5" s="22">
        <v>77</v>
      </c>
      <c r="AG5" s="22">
        <v>49</v>
      </c>
      <c r="AH5" s="22">
        <v>27</v>
      </c>
      <c r="AI5" s="22">
        <v>116</v>
      </c>
      <c r="AJ5" s="22">
        <v>209</v>
      </c>
      <c r="AK5" s="22">
        <f ca="1">SUMIFS('Tổng Đơn'!$F:$F,'Tổng Đơn'!$B:$B,$C5)</f>
        <v>89</v>
      </c>
      <c r="AL5" s="22">
        <v>0</v>
      </c>
      <c r="AM5" s="22">
        <v>0</v>
      </c>
      <c r="AN5" s="22">
        <v>0</v>
      </c>
      <c r="AO5" s="22">
        <v>0</v>
      </c>
      <c r="AP5" s="22">
        <v>0</v>
      </c>
      <c r="AQ5" s="22">
        <v>0</v>
      </c>
      <c r="AR5" s="22">
        <v>0</v>
      </c>
      <c r="AS5" s="22">
        <v>0</v>
      </c>
      <c r="AT5" s="22">
        <v>0</v>
      </c>
      <c r="AU5" s="22">
        <v>0</v>
      </c>
      <c r="AV5" s="22">
        <v>0</v>
      </c>
      <c r="AW5" s="58">
        <v>0</v>
      </c>
      <c r="AX5" s="58">
        <f>AW5*AY5/2</f>
        <v>0</v>
      </c>
      <c r="AY5" s="240">
        <f>41*20.5/21</f>
        <v>40.023809523809526</v>
      </c>
      <c r="BA5" s="58">
        <f>SUM(BA4,COUNTIF($C$5:C5,$C5)=1)</f>
        <v>1</v>
      </c>
    </row>
    <row r="6" spans="1:53" ht="18" x14ac:dyDescent="0.25">
      <c r="A6" s="58">
        <f t="shared" ca="1" si="1"/>
        <v>0</v>
      </c>
      <c r="B6" s="237">
        <v>2</v>
      </c>
      <c r="C6" s="60" t="s">
        <v>175</v>
      </c>
      <c r="D6" s="241">
        <f>48*19.5/20</f>
        <v>46.8</v>
      </c>
      <c r="E6" s="6">
        <v>0.5</v>
      </c>
      <c r="F6" s="6">
        <f>47+40</f>
        <v>87</v>
      </c>
      <c r="G6" s="228">
        <v>23.4</v>
      </c>
      <c r="H6" s="63">
        <f t="shared" si="2"/>
        <v>2035.8</v>
      </c>
      <c r="I6" s="64">
        <f t="shared" si="3"/>
        <v>0.53327209025584477</v>
      </c>
      <c r="J6" s="134">
        <f t="shared" si="4"/>
        <v>23.933272090255844</v>
      </c>
      <c r="K6" s="65">
        <f>J6*F6</f>
        <v>2082.1946718522586</v>
      </c>
      <c r="L6" s="69">
        <v>28</v>
      </c>
      <c r="M6" s="63">
        <f t="shared" si="5"/>
        <v>2436</v>
      </c>
      <c r="N6" s="63">
        <f t="shared" ca="1" si="6"/>
        <v>2436</v>
      </c>
      <c r="O6" s="70">
        <f t="shared" ca="1" si="7"/>
        <v>0</v>
      </c>
      <c r="P6" s="57">
        <v>0</v>
      </c>
      <c r="Q6" s="57">
        <v>46</v>
      </c>
      <c r="R6" s="22">
        <v>1</v>
      </c>
      <c r="S6" s="22">
        <v>0</v>
      </c>
      <c r="T6" s="22">
        <v>0</v>
      </c>
      <c r="U6" s="22">
        <v>0</v>
      </c>
      <c r="V6" s="22">
        <v>0</v>
      </c>
      <c r="W6" s="22">
        <v>0</v>
      </c>
      <c r="X6" s="22">
        <v>4</v>
      </c>
      <c r="Y6" s="22">
        <v>0</v>
      </c>
      <c r="Z6" s="22">
        <v>0</v>
      </c>
      <c r="AA6" s="22">
        <v>0</v>
      </c>
      <c r="AB6" s="22">
        <v>2</v>
      </c>
      <c r="AC6" s="22">
        <v>0</v>
      </c>
      <c r="AD6" s="22">
        <v>3</v>
      </c>
      <c r="AE6" s="22">
        <v>0</v>
      </c>
      <c r="AF6" s="22">
        <v>0</v>
      </c>
      <c r="AG6" s="22">
        <v>10</v>
      </c>
      <c r="AH6" s="22">
        <v>0</v>
      </c>
      <c r="AI6" s="22">
        <v>10</v>
      </c>
      <c r="AJ6" s="22">
        <v>0</v>
      </c>
      <c r="AK6" s="22">
        <f ca="1">SUMIFS('Tổng Đơn'!$F:$F,'Tổng Đơn'!$B:$B,$C6)</f>
        <v>11</v>
      </c>
      <c r="AL6" s="22">
        <v>0</v>
      </c>
      <c r="AM6" s="22">
        <v>0</v>
      </c>
      <c r="AN6" s="22">
        <v>0</v>
      </c>
      <c r="AO6" s="22">
        <v>0</v>
      </c>
      <c r="AP6" s="22">
        <v>0</v>
      </c>
      <c r="AQ6" s="22">
        <v>0</v>
      </c>
      <c r="AR6" s="22">
        <v>0</v>
      </c>
      <c r="AS6" s="22">
        <v>0</v>
      </c>
      <c r="AT6" s="22">
        <v>0</v>
      </c>
      <c r="AU6" s="22">
        <v>0</v>
      </c>
      <c r="AV6" s="22">
        <v>0</v>
      </c>
      <c r="AW6" s="58">
        <v>0</v>
      </c>
      <c r="AX6" s="58">
        <f t="shared" ref="AX6:AX12" si="8">AW6*AY6/2</f>
        <v>0</v>
      </c>
      <c r="AY6" s="240">
        <v>46.8</v>
      </c>
      <c r="BA6" s="58">
        <f>SUM(BA5,COUNTIF($C$5:C6,$C6)=1)</f>
        <v>2</v>
      </c>
    </row>
    <row r="7" spans="1:53" ht="18" x14ac:dyDescent="0.25">
      <c r="A7" s="58">
        <f t="shared" ca="1" si="1"/>
        <v>134.7890323764409</v>
      </c>
      <c r="B7" s="237">
        <v>3</v>
      </c>
      <c r="C7" s="60" t="s">
        <v>176</v>
      </c>
      <c r="D7" s="241">
        <f>45*20.5/21</f>
        <v>43.928571428571431</v>
      </c>
      <c r="E7" s="6">
        <v>0.5</v>
      </c>
      <c r="F7" s="6">
        <f>54+42+42</f>
        <v>138</v>
      </c>
      <c r="G7" s="228">
        <v>21.964285714285715</v>
      </c>
      <c r="H7" s="63">
        <f t="shared" si="2"/>
        <v>3031.0714285714289</v>
      </c>
      <c r="I7" s="64">
        <f t="shared" si="3"/>
        <v>0.50055301512109973</v>
      </c>
      <c r="J7" s="134">
        <f t="shared" si="4"/>
        <v>22.464838729406814</v>
      </c>
      <c r="K7" s="65">
        <f t="shared" ref="K7:K12" si="9">J7*F7</f>
        <v>3100.1477446581403</v>
      </c>
      <c r="L7" s="69">
        <v>28</v>
      </c>
      <c r="M7" s="63">
        <f t="shared" si="5"/>
        <v>3864</v>
      </c>
      <c r="N7" s="63">
        <f t="shared" ca="1" si="6"/>
        <v>3696</v>
      </c>
      <c r="O7" s="70">
        <f t="shared" ca="1" si="7"/>
        <v>6</v>
      </c>
      <c r="P7" s="57">
        <v>0</v>
      </c>
      <c r="Q7" s="57">
        <v>50</v>
      </c>
      <c r="R7" s="22">
        <v>5</v>
      </c>
      <c r="S7" s="22">
        <v>1</v>
      </c>
      <c r="T7" s="22">
        <v>0</v>
      </c>
      <c r="U7" s="22">
        <v>0</v>
      </c>
      <c r="V7" s="22">
        <v>3</v>
      </c>
      <c r="W7" s="22">
        <v>0</v>
      </c>
      <c r="X7" s="22">
        <v>4</v>
      </c>
      <c r="Y7" s="22">
        <v>11</v>
      </c>
      <c r="Z7" s="22">
        <v>14</v>
      </c>
      <c r="AA7" s="22">
        <v>1</v>
      </c>
      <c r="AB7" s="22">
        <v>3</v>
      </c>
      <c r="AC7" s="22">
        <v>0</v>
      </c>
      <c r="AD7" s="22">
        <v>6</v>
      </c>
      <c r="AE7" s="22">
        <v>6</v>
      </c>
      <c r="AF7" s="22">
        <v>0</v>
      </c>
      <c r="AG7" s="22">
        <v>4</v>
      </c>
      <c r="AH7" s="22">
        <v>2</v>
      </c>
      <c r="AI7" s="22">
        <v>13</v>
      </c>
      <c r="AJ7" s="22">
        <v>6</v>
      </c>
      <c r="AK7" s="22">
        <f ca="1">SUMIFS('Tổng Đơn'!$F:$F,'Tổng Đơn'!$B:$B,$C7)</f>
        <v>3</v>
      </c>
      <c r="AL7" s="22">
        <v>0</v>
      </c>
      <c r="AM7" s="22">
        <v>0</v>
      </c>
      <c r="AN7" s="22">
        <v>0</v>
      </c>
      <c r="AO7" s="22">
        <v>0</v>
      </c>
      <c r="AP7" s="22">
        <v>0</v>
      </c>
      <c r="AQ7" s="22">
        <v>0</v>
      </c>
      <c r="AR7" s="22">
        <v>0</v>
      </c>
      <c r="AS7" s="22">
        <v>0</v>
      </c>
      <c r="AT7" s="22">
        <v>0</v>
      </c>
      <c r="AU7" s="22">
        <v>0</v>
      </c>
      <c r="AV7" s="22">
        <v>0</v>
      </c>
      <c r="AW7" s="58">
        <v>0</v>
      </c>
      <c r="AX7" s="58">
        <f t="shared" si="8"/>
        <v>0</v>
      </c>
      <c r="AY7" s="240">
        <v>43.928571428571431</v>
      </c>
      <c r="BA7" s="58">
        <f>SUM(BA6,COUNTIF($C$5:C7,$C7)=1)</f>
        <v>3</v>
      </c>
    </row>
    <row r="8" spans="1:53" ht="18" x14ac:dyDescent="0.25">
      <c r="A8" s="58">
        <f t="shared" ca="1" si="1"/>
        <v>236.13041597798718</v>
      </c>
      <c r="B8" s="6">
        <v>4</v>
      </c>
      <c r="C8" s="60" t="s">
        <v>177</v>
      </c>
      <c r="D8" s="241">
        <f>43*20.5/21</f>
        <v>41.976190476190474</v>
      </c>
      <c r="E8" s="6">
        <v>0.5</v>
      </c>
      <c r="F8" s="6">
        <f>8+42+42</f>
        <v>92</v>
      </c>
      <c r="G8" s="228">
        <f>D8/(1/E8)</f>
        <v>20.988095238095237</v>
      </c>
      <c r="H8" s="63">
        <f t="shared" si="2"/>
        <v>1930.9047619047619</v>
      </c>
      <c r="I8" s="64">
        <f t="shared" si="3"/>
        <v>0.4783062144490508</v>
      </c>
      <c r="J8" s="134">
        <f>G8+I8</f>
        <v>21.466401452544289</v>
      </c>
      <c r="K8" s="65">
        <f t="shared" si="9"/>
        <v>1974.9089336340746</v>
      </c>
      <c r="L8" s="69">
        <v>28</v>
      </c>
      <c r="M8" s="63">
        <f t="shared" si="5"/>
        <v>2576</v>
      </c>
      <c r="N8" s="63">
        <f t="shared" ca="1" si="6"/>
        <v>2268</v>
      </c>
      <c r="O8" s="70">
        <f t="shared" ca="1" si="7"/>
        <v>11</v>
      </c>
      <c r="P8" s="57">
        <v>0</v>
      </c>
      <c r="Q8" s="57">
        <v>17</v>
      </c>
      <c r="R8" s="22">
        <v>4</v>
      </c>
      <c r="S8" s="22">
        <v>1</v>
      </c>
      <c r="T8" s="22">
        <v>0</v>
      </c>
      <c r="U8" s="22">
        <v>0</v>
      </c>
      <c r="V8" s="22">
        <v>0</v>
      </c>
      <c r="W8" s="22">
        <v>0</v>
      </c>
      <c r="X8" s="22">
        <v>0</v>
      </c>
      <c r="Y8" s="22">
        <v>4</v>
      </c>
      <c r="Z8" s="22">
        <v>14</v>
      </c>
      <c r="AA8" s="22">
        <v>0</v>
      </c>
      <c r="AB8" s="22">
        <v>0</v>
      </c>
      <c r="AC8" s="22">
        <v>0</v>
      </c>
      <c r="AD8" s="22">
        <v>6</v>
      </c>
      <c r="AE8" s="22">
        <v>2</v>
      </c>
      <c r="AF8" s="22">
        <v>0</v>
      </c>
      <c r="AG8" s="22">
        <v>8</v>
      </c>
      <c r="AH8" s="22">
        <v>2</v>
      </c>
      <c r="AI8" s="22">
        <v>5</v>
      </c>
      <c r="AJ8" s="22">
        <v>4</v>
      </c>
      <c r="AK8" s="22">
        <f ca="1">SUMIFS('Tổng Đơn'!$F:$F,'Tổng Đơn'!$B:$B,$C8)</f>
        <v>14</v>
      </c>
      <c r="AL8" s="22">
        <v>0</v>
      </c>
      <c r="AM8" s="22">
        <v>0</v>
      </c>
      <c r="AN8" s="22">
        <v>0</v>
      </c>
      <c r="AO8" s="22">
        <v>0</v>
      </c>
      <c r="AP8" s="22">
        <v>0</v>
      </c>
      <c r="AQ8" s="22">
        <v>0</v>
      </c>
      <c r="AR8" s="22">
        <v>0</v>
      </c>
      <c r="AS8" s="22">
        <v>0</v>
      </c>
      <c r="AT8" s="22">
        <v>0</v>
      </c>
      <c r="AU8" s="22">
        <v>0</v>
      </c>
      <c r="AV8" s="22">
        <v>0</v>
      </c>
      <c r="AW8" s="58">
        <v>0</v>
      </c>
      <c r="AX8" s="58">
        <f t="shared" si="8"/>
        <v>0</v>
      </c>
      <c r="AY8" s="240">
        <v>41.976190476190474</v>
      </c>
      <c r="BA8" s="58">
        <f>SUM(BA7,COUNTIF($C$5:C8,$C8)=1)</f>
        <v>4</v>
      </c>
    </row>
    <row r="9" spans="1:53" ht="18" x14ac:dyDescent="0.25">
      <c r="A9" s="58">
        <f t="shared" ca="1" si="1"/>
        <v>1429.5143975575731</v>
      </c>
      <c r="B9" s="237">
        <v>5</v>
      </c>
      <c r="C9" s="60" t="s">
        <v>178</v>
      </c>
      <c r="D9" s="241">
        <f>47*19.5/20</f>
        <v>45.825000000000003</v>
      </c>
      <c r="E9" s="6">
        <v>0.5</v>
      </c>
      <c r="F9" s="6">
        <f>171+40+120+80+120+40</f>
        <v>571</v>
      </c>
      <c r="G9" s="228">
        <v>22.912500000000001</v>
      </c>
      <c r="H9" s="63">
        <f t="shared" si="2"/>
        <v>13083.0375</v>
      </c>
      <c r="I9" s="64">
        <f t="shared" si="3"/>
        <v>0.52216225504218139</v>
      </c>
      <c r="J9" s="134">
        <f t="shared" si="4"/>
        <v>23.434662255042184</v>
      </c>
      <c r="K9" s="65">
        <f t="shared" si="9"/>
        <v>13381.192147629086</v>
      </c>
      <c r="L9" s="69">
        <v>26</v>
      </c>
      <c r="M9" s="63">
        <f t="shared" si="5"/>
        <v>14846</v>
      </c>
      <c r="N9" s="63">
        <f t="shared" ca="1" si="6"/>
        <v>13260</v>
      </c>
      <c r="O9" s="70">
        <f t="shared" ca="1" si="7"/>
        <v>61</v>
      </c>
      <c r="P9" s="57">
        <v>0</v>
      </c>
      <c r="Q9" s="57">
        <v>296</v>
      </c>
      <c r="R9" s="22">
        <v>10</v>
      </c>
      <c r="S9" s="22">
        <f>6+2</f>
        <v>8</v>
      </c>
      <c r="T9" s="22">
        <v>8</v>
      </c>
      <c r="U9" s="22">
        <v>12</v>
      </c>
      <c r="V9" s="22">
        <v>4</v>
      </c>
      <c r="W9" s="22">
        <v>16</v>
      </c>
      <c r="X9" s="22">
        <v>1</v>
      </c>
      <c r="Y9" s="22">
        <v>10</v>
      </c>
      <c r="Z9" s="22">
        <v>14</v>
      </c>
      <c r="AA9" s="22">
        <v>4</v>
      </c>
      <c r="AB9" s="22">
        <v>2</v>
      </c>
      <c r="AC9" s="22">
        <v>0</v>
      </c>
      <c r="AD9" s="22">
        <v>3</v>
      </c>
      <c r="AE9" s="22">
        <v>17</v>
      </c>
      <c r="AF9" s="22">
        <v>6</v>
      </c>
      <c r="AG9" s="22">
        <v>8</v>
      </c>
      <c r="AH9" s="22">
        <v>12</v>
      </c>
      <c r="AI9" s="22">
        <v>30</v>
      </c>
      <c r="AJ9" s="22">
        <v>21</v>
      </c>
      <c r="AK9" s="22">
        <f ca="1">SUMIFS('Tổng Đơn'!$F:$F,'Tổng Đơn'!$B:$B,$C9)</f>
        <v>28</v>
      </c>
      <c r="AL9" s="22">
        <v>0</v>
      </c>
      <c r="AM9" s="22">
        <v>0</v>
      </c>
      <c r="AN9" s="22">
        <v>0</v>
      </c>
      <c r="AO9" s="22">
        <v>0</v>
      </c>
      <c r="AP9" s="22">
        <v>0</v>
      </c>
      <c r="AQ9" s="22">
        <v>0</v>
      </c>
      <c r="AR9" s="22">
        <v>0</v>
      </c>
      <c r="AS9" s="22">
        <v>0</v>
      </c>
      <c r="AT9" s="22">
        <v>0</v>
      </c>
      <c r="AU9" s="22">
        <v>0</v>
      </c>
      <c r="AV9" s="22">
        <v>0</v>
      </c>
      <c r="AW9" s="58">
        <v>0</v>
      </c>
      <c r="AX9" s="58">
        <f t="shared" si="8"/>
        <v>0</v>
      </c>
      <c r="AY9" s="240">
        <v>45.825000000000003</v>
      </c>
      <c r="BA9" s="58">
        <f>SUM(BA8,COUNTIF($C$5:C9,$C9)=1)</f>
        <v>5</v>
      </c>
    </row>
    <row r="10" spans="1:53" ht="18" x14ac:dyDescent="0.25">
      <c r="A10" s="58">
        <f ca="1">J10*O10</f>
        <v>2775.0322151829978</v>
      </c>
      <c r="B10" s="6">
        <v>6</v>
      </c>
      <c r="C10" s="60" t="s">
        <v>179</v>
      </c>
      <c r="D10" s="241">
        <f>68*19/20</f>
        <v>64.599999999999994</v>
      </c>
      <c r="E10" s="6">
        <v>0.5</v>
      </c>
      <c r="F10" s="6">
        <f>120+40+80+80+160+40+160+80+120+40</f>
        <v>920</v>
      </c>
      <c r="G10" s="228">
        <f t="shared" ref="G10" si="10">D10/(1/E10)</f>
        <v>32.299999999999997</v>
      </c>
      <c r="H10" s="63">
        <f t="shared" ref="H10" si="11">G10*F10</f>
        <v>29715.999999999996</v>
      </c>
      <c r="I10" s="64">
        <f t="shared" ref="I10" si="12">((H10/$H$4)*$A$2)/F10</f>
        <v>0.73609779979759749</v>
      </c>
      <c r="J10" s="134">
        <f t="shared" ref="J10" si="13">G10+I10</f>
        <v>33.036097799797595</v>
      </c>
      <c r="K10" s="65">
        <f t="shared" ref="K10" si="14">J10*F10</f>
        <v>30393.209975813788</v>
      </c>
      <c r="L10" s="69">
        <v>37</v>
      </c>
      <c r="M10" s="63">
        <f t="shared" ref="M10" si="15">L10*F10</f>
        <v>34040</v>
      </c>
      <c r="N10" s="63">
        <f t="shared" ca="1" si="6"/>
        <v>30932</v>
      </c>
      <c r="O10" s="70">
        <f t="shared" ca="1" si="7"/>
        <v>84</v>
      </c>
      <c r="P10" s="57"/>
      <c r="Q10" s="57">
        <v>620</v>
      </c>
      <c r="R10" s="22">
        <v>4</v>
      </c>
      <c r="S10" s="22">
        <f>5+8-2</f>
        <v>11</v>
      </c>
      <c r="T10" s="22">
        <v>10</v>
      </c>
      <c r="U10" s="22">
        <v>1</v>
      </c>
      <c r="V10" s="22">
        <v>3</v>
      </c>
      <c r="W10" s="22">
        <v>10</v>
      </c>
      <c r="X10" s="22">
        <v>17</v>
      </c>
      <c r="Y10" s="22">
        <v>5</v>
      </c>
      <c r="Z10" s="22">
        <v>25</v>
      </c>
      <c r="AA10" s="22">
        <v>1</v>
      </c>
      <c r="AB10" s="22">
        <v>12</v>
      </c>
      <c r="AC10" s="22">
        <v>9</v>
      </c>
      <c r="AD10" s="22">
        <v>13</v>
      </c>
      <c r="AE10" s="22">
        <v>4</v>
      </c>
      <c r="AF10" s="22">
        <v>13</v>
      </c>
      <c r="AG10" s="22">
        <v>12</v>
      </c>
      <c r="AH10" s="22">
        <f>0+8</f>
        <v>8</v>
      </c>
      <c r="AI10" s="22">
        <v>8</v>
      </c>
      <c r="AJ10" s="22">
        <v>38</v>
      </c>
      <c r="AK10" s="22">
        <f ca="1">SUMIFS('Tổng Đơn'!$F:$F,'Tổng Đơn'!$B:$B,$C10)</f>
        <v>12</v>
      </c>
      <c r="AL10" s="22">
        <v>0</v>
      </c>
      <c r="AM10" s="22">
        <v>0</v>
      </c>
      <c r="AN10" s="22">
        <v>0</v>
      </c>
      <c r="AO10" s="22">
        <v>0</v>
      </c>
      <c r="AP10" s="22">
        <v>0</v>
      </c>
      <c r="AQ10" s="22">
        <v>0</v>
      </c>
      <c r="AR10" s="22">
        <v>0</v>
      </c>
      <c r="AS10" s="22">
        <v>0</v>
      </c>
      <c r="AT10" s="22">
        <v>0</v>
      </c>
      <c r="AU10" s="22">
        <v>0</v>
      </c>
      <c r="AV10" s="22">
        <v>0</v>
      </c>
      <c r="AW10" s="58">
        <v>0</v>
      </c>
      <c r="AX10" s="58">
        <f t="shared" ref="AX10" si="16">AW10*AY10/2</f>
        <v>0</v>
      </c>
      <c r="AY10" s="240">
        <v>64.599999999999994</v>
      </c>
      <c r="BA10" s="58">
        <f>SUM(BA9,COUNTIF($C$5:C10,$C10)=1)</f>
        <v>6</v>
      </c>
    </row>
    <row r="11" spans="1:53" ht="18" x14ac:dyDescent="0.25">
      <c r="A11" s="58">
        <f t="shared" ca="1" si="1"/>
        <v>374.08522508594342</v>
      </c>
      <c r="B11" s="6">
        <v>7</v>
      </c>
      <c r="C11" s="60" t="s">
        <v>180</v>
      </c>
      <c r="D11" s="241">
        <f>77*19/20</f>
        <v>73.150000000000006</v>
      </c>
      <c r="E11" s="6">
        <v>0.5</v>
      </c>
      <c r="F11" s="6">
        <f>40+6+40</f>
        <v>86</v>
      </c>
      <c r="G11" s="228">
        <f t="shared" ref="G11" si="17">D11/2</f>
        <v>36.575000000000003</v>
      </c>
      <c r="H11" s="63">
        <f t="shared" si="2"/>
        <v>3145.4500000000003</v>
      </c>
      <c r="I11" s="64">
        <f t="shared" si="3"/>
        <v>0.83352250859433863</v>
      </c>
      <c r="J11" s="134">
        <f t="shared" si="4"/>
        <v>37.408522508594345</v>
      </c>
      <c r="K11" s="65">
        <f t="shared" si="9"/>
        <v>3217.1329357391137</v>
      </c>
      <c r="L11" s="69">
        <v>42</v>
      </c>
      <c r="M11" s="63">
        <f t="shared" si="5"/>
        <v>3612</v>
      </c>
      <c r="N11" s="63">
        <f t="shared" ca="1" si="6"/>
        <v>3192</v>
      </c>
      <c r="O11" s="70">
        <f t="shared" ca="1" si="7"/>
        <v>10</v>
      </c>
      <c r="P11" s="57">
        <v>0</v>
      </c>
      <c r="Q11" s="57">
        <v>30</v>
      </c>
      <c r="R11" s="22">
        <v>4</v>
      </c>
      <c r="S11" s="22">
        <v>2</v>
      </c>
      <c r="T11" s="22">
        <v>0</v>
      </c>
      <c r="U11" s="22">
        <v>1</v>
      </c>
      <c r="V11" s="22">
        <v>0</v>
      </c>
      <c r="W11" s="22">
        <v>1</v>
      </c>
      <c r="X11" s="22">
        <v>1</v>
      </c>
      <c r="Y11" s="22">
        <v>1</v>
      </c>
      <c r="Z11" s="22">
        <v>0</v>
      </c>
      <c r="AA11" s="22">
        <v>1</v>
      </c>
      <c r="AB11" s="22">
        <v>2</v>
      </c>
      <c r="AC11" s="22">
        <v>1</v>
      </c>
      <c r="AD11" s="22">
        <v>4</v>
      </c>
      <c r="AE11" s="22">
        <v>12</v>
      </c>
      <c r="AF11" s="22">
        <v>2</v>
      </c>
      <c r="AG11" s="22">
        <v>4</v>
      </c>
      <c r="AH11" s="22">
        <v>1</v>
      </c>
      <c r="AI11" s="22">
        <v>5</v>
      </c>
      <c r="AJ11" s="22">
        <v>2</v>
      </c>
      <c r="AK11" s="22">
        <f ca="1">SUMIFS('Tổng Đơn'!$F:$F,'Tổng Đơn'!$B:$B,$C11)</f>
        <v>2</v>
      </c>
      <c r="AL11" s="22">
        <v>0</v>
      </c>
      <c r="AM11" s="22">
        <v>0</v>
      </c>
      <c r="AN11" s="22">
        <v>0</v>
      </c>
      <c r="AO11" s="22">
        <v>0</v>
      </c>
      <c r="AP11" s="22">
        <v>0</v>
      </c>
      <c r="AQ11" s="22">
        <v>0</v>
      </c>
      <c r="AR11" s="22">
        <v>0</v>
      </c>
      <c r="AS11" s="22">
        <v>0</v>
      </c>
      <c r="AT11" s="22">
        <v>0</v>
      </c>
      <c r="AU11" s="22">
        <v>0</v>
      </c>
      <c r="AV11" s="22">
        <v>0</v>
      </c>
      <c r="AW11" s="58">
        <v>0</v>
      </c>
      <c r="AX11" s="58">
        <f>AW11*AY11/2</f>
        <v>0</v>
      </c>
      <c r="AY11" s="240">
        <v>73.150000000000006</v>
      </c>
      <c r="BA11" s="58">
        <f>SUM(BA10,COUNTIF($C$5:C11,$C11)=1)</f>
        <v>7</v>
      </c>
    </row>
    <row r="12" spans="1:53" ht="18" x14ac:dyDescent="0.25">
      <c r="A12" s="58">
        <f t="shared" ca="1" si="1"/>
        <v>1316.3299649640715</v>
      </c>
      <c r="B12" s="6">
        <v>8</v>
      </c>
      <c r="C12" s="60" t="s">
        <v>181</v>
      </c>
      <c r="D12" s="241">
        <v>78</v>
      </c>
      <c r="E12" s="6">
        <v>0.5</v>
      </c>
      <c r="F12" s="6">
        <f>43+40</f>
        <v>83</v>
      </c>
      <c r="G12" s="228">
        <v>39</v>
      </c>
      <c r="H12" s="63">
        <f t="shared" si="2"/>
        <v>3237</v>
      </c>
      <c r="I12" s="64">
        <f t="shared" si="3"/>
        <v>0.8887868170930745</v>
      </c>
      <c r="J12" s="134">
        <f t="shared" si="4"/>
        <v>39.888786817093077</v>
      </c>
      <c r="K12" s="65">
        <f t="shared" si="9"/>
        <v>3310.7693058187256</v>
      </c>
      <c r="L12" s="69">
        <v>45</v>
      </c>
      <c r="M12" s="63">
        <f t="shared" si="5"/>
        <v>3735</v>
      </c>
      <c r="N12" s="63">
        <f t="shared" ca="1" si="6"/>
        <v>2250</v>
      </c>
      <c r="O12" s="70">
        <f t="shared" ca="1" si="7"/>
        <v>33</v>
      </c>
      <c r="P12" s="57">
        <v>0</v>
      </c>
      <c r="Q12" s="57">
        <v>4</v>
      </c>
      <c r="R12" s="22">
        <v>4</v>
      </c>
      <c r="S12" s="22">
        <v>2</v>
      </c>
      <c r="T12" s="22">
        <v>0</v>
      </c>
      <c r="U12" s="22">
        <v>0</v>
      </c>
      <c r="V12" s="22">
        <v>3</v>
      </c>
      <c r="W12" s="22">
        <v>1</v>
      </c>
      <c r="X12" s="22">
        <v>0</v>
      </c>
      <c r="Y12" s="22">
        <v>0</v>
      </c>
      <c r="Z12" s="22">
        <v>0</v>
      </c>
      <c r="AA12" s="22">
        <v>1</v>
      </c>
      <c r="AB12" s="22">
        <v>2</v>
      </c>
      <c r="AC12" s="22">
        <v>0</v>
      </c>
      <c r="AD12" s="22">
        <v>0</v>
      </c>
      <c r="AE12" s="22">
        <v>2</v>
      </c>
      <c r="AF12" s="22">
        <v>1</v>
      </c>
      <c r="AG12" s="22">
        <v>0</v>
      </c>
      <c r="AH12" s="22">
        <v>2</v>
      </c>
      <c r="AI12" s="22">
        <v>7</v>
      </c>
      <c r="AJ12" s="22">
        <v>2</v>
      </c>
      <c r="AK12" s="22">
        <f ca="1">SUMIFS('Tổng Đơn'!$F:$F,'Tổng Đơn'!$B:$B,$C12)</f>
        <v>19</v>
      </c>
      <c r="AL12" s="22">
        <v>0</v>
      </c>
      <c r="AM12" s="22">
        <v>0</v>
      </c>
      <c r="AN12" s="22">
        <v>0</v>
      </c>
      <c r="AO12" s="22">
        <v>0</v>
      </c>
      <c r="AP12" s="22">
        <v>0</v>
      </c>
      <c r="AQ12" s="22">
        <v>0</v>
      </c>
      <c r="AR12" s="22">
        <v>0</v>
      </c>
      <c r="AS12" s="22">
        <v>0</v>
      </c>
      <c r="AT12" s="22">
        <v>0</v>
      </c>
      <c r="AU12" s="22">
        <v>0</v>
      </c>
      <c r="AV12" s="22">
        <v>0</v>
      </c>
      <c r="AW12" s="58">
        <v>0</v>
      </c>
      <c r="AX12" s="58">
        <f t="shared" si="8"/>
        <v>0</v>
      </c>
      <c r="AY12" s="240">
        <v>78</v>
      </c>
      <c r="BA12" s="58">
        <f>SUM(BA11,COUNTIF($C$5:C12,$C12)=1)</f>
        <v>8</v>
      </c>
    </row>
    <row r="13" spans="1:53" ht="18" x14ac:dyDescent="0.25">
      <c r="A13" s="58">
        <f t="shared" ca="1" si="1"/>
        <v>331.38376740354255</v>
      </c>
      <c r="B13" s="6">
        <v>9</v>
      </c>
      <c r="C13" s="60" t="s">
        <v>307</v>
      </c>
      <c r="D13" s="241">
        <f>(27*16/20)*(1/0.3)</f>
        <v>72.000000000000014</v>
      </c>
      <c r="E13" s="6">
        <v>0.3</v>
      </c>
      <c r="F13" s="6">
        <f>20+100</f>
        <v>120</v>
      </c>
      <c r="G13" s="228">
        <f>D13/(1/0.3)</f>
        <v>21.600000000000005</v>
      </c>
      <c r="H13" s="63">
        <f t="shared" ref="H13" si="18">G13*F13</f>
        <v>2592.0000000000005</v>
      </c>
      <c r="I13" s="64">
        <f t="shared" ref="I13" si="19">((H13/$H$4)*$A$2)/F13</f>
        <v>0.4922511602361645</v>
      </c>
      <c r="J13" s="134">
        <f t="shared" ref="J13" si="20">G13+I13</f>
        <v>22.09225116023617</v>
      </c>
      <c r="K13" s="65">
        <f t="shared" ref="K13" si="21">J13*F13</f>
        <v>2651.0701392283404</v>
      </c>
      <c r="L13" s="69">
        <v>26</v>
      </c>
      <c r="M13" s="63">
        <f t="shared" ref="M13" si="22">L13*F13</f>
        <v>3120</v>
      </c>
      <c r="N13" s="63">
        <f t="shared" ca="1" si="6"/>
        <v>2730</v>
      </c>
      <c r="O13" s="70">
        <f t="shared" ca="1" si="7"/>
        <v>15</v>
      </c>
      <c r="P13" s="57">
        <v>0</v>
      </c>
      <c r="Q13" s="57">
        <v>12</v>
      </c>
      <c r="R13" s="22">
        <v>0</v>
      </c>
      <c r="S13" s="22">
        <v>0</v>
      </c>
      <c r="T13" s="22">
        <v>0</v>
      </c>
      <c r="U13" s="22">
        <v>1</v>
      </c>
      <c r="V13" s="22">
        <v>1</v>
      </c>
      <c r="W13" s="22">
        <v>3</v>
      </c>
      <c r="X13" s="22">
        <v>6</v>
      </c>
      <c r="Y13" s="22">
        <v>3</v>
      </c>
      <c r="Z13" s="22">
        <v>3</v>
      </c>
      <c r="AA13" s="22">
        <v>4</v>
      </c>
      <c r="AB13" s="22">
        <v>3</v>
      </c>
      <c r="AC13" s="22">
        <v>6</v>
      </c>
      <c r="AD13" s="22">
        <v>4</v>
      </c>
      <c r="AE13" s="22">
        <v>2</v>
      </c>
      <c r="AF13" s="22">
        <v>13</v>
      </c>
      <c r="AG13" s="22">
        <v>0</v>
      </c>
      <c r="AH13" s="22">
        <v>9</v>
      </c>
      <c r="AI13" s="22">
        <v>14</v>
      </c>
      <c r="AJ13" s="22">
        <v>11</v>
      </c>
      <c r="AK13" s="22">
        <f ca="1">SUMIFS('Tổng Đơn'!$F:$F,'Tổng Đơn'!$B:$B,$C13)</f>
        <v>10</v>
      </c>
      <c r="AL13" s="22">
        <v>0</v>
      </c>
      <c r="AM13" s="22">
        <v>0</v>
      </c>
      <c r="AN13" s="22">
        <v>0</v>
      </c>
      <c r="AO13" s="22">
        <v>0</v>
      </c>
      <c r="AP13" s="22">
        <v>0</v>
      </c>
      <c r="AQ13" s="22">
        <v>0</v>
      </c>
      <c r="AR13" s="22">
        <v>0</v>
      </c>
      <c r="AS13" s="22">
        <v>0</v>
      </c>
      <c r="AT13" s="22">
        <v>0</v>
      </c>
      <c r="AU13" s="22">
        <v>0</v>
      </c>
      <c r="AV13" s="22">
        <v>0</v>
      </c>
      <c r="AW13" s="58">
        <v>0</v>
      </c>
      <c r="AX13" s="58">
        <f>AW13*AY13</f>
        <v>0</v>
      </c>
      <c r="AY13" s="240">
        <f>27*16/20</f>
        <v>21.6</v>
      </c>
      <c r="BA13" s="58">
        <f>SUM(BA12,COUNTIF($C$5:C13,$C13)=1)</f>
        <v>9</v>
      </c>
    </row>
    <row r="14" spans="1:53" x14ac:dyDescent="0.25">
      <c r="B14" s="26"/>
      <c r="C14" s="231"/>
      <c r="D14" s="236"/>
      <c r="E14" s="231"/>
      <c r="F14" s="231"/>
      <c r="G14" s="231"/>
      <c r="H14" s="231"/>
      <c r="I14" s="231"/>
      <c r="J14" s="231"/>
      <c r="K14" s="231"/>
      <c r="L14" s="231"/>
      <c r="M14" s="231"/>
      <c r="N14" s="231"/>
      <c r="O14" s="231"/>
      <c r="P14" s="231"/>
      <c r="Q14" s="231"/>
      <c r="R14" s="231"/>
      <c r="S14" s="231"/>
      <c r="T14" s="231"/>
      <c r="U14" s="231"/>
      <c r="V14" s="231"/>
      <c r="W14" s="231"/>
      <c r="X14" s="231"/>
      <c r="Y14" s="231"/>
      <c r="Z14" s="231"/>
      <c r="AA14" s="231"/>
      <c r="AB14" s="231"/>
      <c r="AC14" s="231"/>
      <c r="AD14" s="231"/>
      <c r="AE14" s="231"/>
      <c r="AF14" s="231"/>
      <c r="AG14" s="231"/>
      <c r="AH14" s="231"/>
      <c r="AI14" s="231"/>
      <c r="AJ14" s="231"/>
      <c r="AK14" s="231"/>
      <c r="AL14" s="231"/>
      <c r="AM14" s="231"/>
      <c r="AN14" s="231"/>
      <c r="AO14" s="231"/>
      <c r="AP14" s="231"/>
      <c r="AQ14" s="231"/>
      <c r="AR14" s="231"/>
      <c r="AS14" s="231"/>
      <c r="AT14" s="231"/>
      <c r="AU14" s="231"/>
      <c r="AV14" s="231"/>
      <c r="AY14" s="209"/>
    </row>
    <row r="15" spans="1:53" ht="18" x14ac:dyDescent="0.25">
      <c r="A15" s="58">
        <v>0</v>
      </c>
      <c r="B15" s="180" t="s">
        <v>229</v>
      </c>
      <c r="C15" s="179" t="s">
        <v>298</v>
      </c>
      <c r="D15" s="181">
        <v>38</v>
      </c>
      <c r="E15" s="180">
        <v>0.5</v>
      </c>
      <c r="F15" s="180">
        <v>10497</v>
      </c>
      <c r="G15" s="232">
        <v>19</v>
      </c>
      <c r="H15" s="185">
        <v>199443</v>
      </c>
      <c r="I15" s="183">
        <v>0.4369680919381802</v>
      </c>
      <c r="J15" s="195">
        <v>19.43696809193818</v>
      </c>
      <c r="K15" s="179">
        <v>204029.85406107508</v>
      </c>
      <c r="L15" s="191">
        <v>23</v>
      </c>
      <c r="M15" s="185">
        <v>241431</v>
      </c>
      <c r="N15" s="185">
        <v>241247</v>
      </c>
      <c r="O15" s="196">
        <v>0</v>
      </c>
      <c r="P15" s="123">
        <v>8</v>
      </c>
      <c r="Q15" s="123">
        <f>9664</f>
        <v>9664</v>
      </c>
      <c r="R15" s="197">
        <v>0</v>
      </c>
      <c r="S15" s="197">
        <v>0</v>
      </c>
      <c r="T15" s="197">
        <v>0</v>
      </c>
      <c r="U15" s="197">
        <v>0</v>
      </c>
      <c r="V15" s="197">
        <v>0</v>
      </c>
      <c r="W15" s="197">
        <v>0</v>
      </c>
      <c r="X15" s="197">
        <v>0</v>
      </c>
      <c r="Y15" s="197">
        <v>0</v>
      </c>
      <c r="Z15" s="197">
        <v>0</v>
      </c>
      <c r="AA15" s="197">
        <v>0</v>
      </c>
      <c r="AB15" s="197">
        <v>0</v>
      </c>
      <c r="AC15" s="197">
        <v>0</v>
      </c>
      <c r="AD15" s="197">
        <v>0</v>
      </c>
      <c r="AE15" s="197">
        <v>0</v>
      </c>
      <c r="AF15" s="197">
        <v>0</v>
      </c>
      <c r="AG15" s="197">
        <v>0</v>
      </c>
      <c r="AH15" s="197">
        <v>0</v>
      </c>
      <c r="AI15" s="197">
        <v>0</v>
      </c>
      <c r="AJ15" s="197">
        <v>0</v>
      </c>
      <c r="AK15" s="197">
        <v>0</v>
      </c>
      <c r="AL15" s="197">
        <v>0</v>
      </c>
      <c r="AM15" s="197">
        <v>0</v>
      </c>
      <c r="AN15" s="197">
        <v>0</v>
      </c>
      <c r="AO15" s="197">
        <v>0</v>
      </c>
      <c r="AP15" s="197">
        <v>0</v>
      </c>
      <c r="AQ15" s="197">
        <v>0</v>
      </c>
      <c r="AR15" s="197">
        <v>0</v>
      </c>
      <c r="AS15" s="197">
        <v>0</v>
      </c>
      <c r="AT15" s="197">
        <v>0</v>
      </c>
      <c r="AU15" s="197">
        <v>0</v>
      </c>
      <c r="AV15" s="197">
        <v>0</v>
      </c>
    </row>
    <row r="16" spans="1:53" ht="18" x14ac:dyDescent="0.25">
      <c r="A16" s="58">
        <v>0</v>
      </c>
      <c r="B16" s="180" t="s">
        <v>229</v>
      </c>
      <c r="C16" s="179" t="s">
        <v>299</v>
      </c>
      <c r="D16" s="181">
        <v>42</v>
      </c>
      <c r="E16" s="180">
        <v>0.5</v>
      </c>
      <c r="F16" s="180">
        <v>193</v>
      </c>
      <c r="G16" s="232">
        <v>21</v>
      </c>
      <c r="H16" s="185">
        <v>4053</v>
      </c>
      <c r="I16" s="183">
        <v>0.4829647331948308</v>
      </c>
      <c r="J16" s="195">
        <v>21.48296473319483</v>
      </c>
      <c r="K16" s="179">
        <v>4146.2121935066025</v>
      </c>
      <c r="L16" s="191">
        <v>26</v>
      </c>
      <c r="M16" s="185">
        <v>5018</v>
      </c>
      <c r="N16" s="185">
        <v>4992</v>
      </c>
      <c r="O16" s="196">
        <v>0</v>
      </c>
      <c r="P16" s="123">
        <v>1</v>
      </c>
      <c r="Q16" s="123">
        <v>166</v>
      </c>
      <c r="R16" s="197">
        <v>0</v>
      </c>
      <c r="S16" s="197">
        <v>0</v>
      </c>
      <c r="T16" s="197">
        <v>0</v>
      </c>
      <c r="U16" s="197">
        <v>0</v>
      </c>
      <c r="V16" s="197">
        <v>0</v>
      </c>
      <c r="W16" s="197">
        <v>0</v>
      </c>
      <c r="X16" s="197">
        <v>0</v>
      </c>
      <c r="Y16" s="197">
        <v>0</v>
      </c>
      <c r="Z16" s="197">
        <v>0</v>
      </c>
      <c r="AA16" s="197">
        <v>0</v>
      </c>
      <c r="AB16" s="197">
        <v>0</v>
      </c>
      <c r="AC16" s="197">
        <v>0</v>
      </c>
      <c r="AD16" s="197">
        <v>0</v>
      </c>
      <c r="AE16" s="197">
        <v>0</v>
      </c>
      <c r="AF16" s="197">
        <v>0</v>
      </c>
      <c r="AG16" s="197">
        <v>0</v>
      </c>
      <c r="AH16" s="197">
        <v>0</v>
      </c>
      <c r="AI16" s="197">
        <v>0</v>
      </c>
      <c r="AJ16" s="197">
        <v>0</v>
      </c>
      <c r="AK16" s="197">
        <v>0</v>
      </c>
      <c r="AL16" s="197">
        <v>0</v>
      </c>
      <c r="AM16" s="197">
        <v>0</v>
      </c>
      <c r="AN16" s="197">
        <v>0</v>
      </c>
      <c r="AO16" s="197">
        <v>0</v>
      </c>
      <c r="AP16" s="197">
        <v>0</v>
      </c>
      <c r="AQ16" s="197">
        <v>0</v>
      </c>
      <c r="AR16" s="197">
        <v>0</v>
      </c>
      <c r="AS16" s="197">
        <v>0</v>
      </c>
      <c r="AT16" s="197">
        <v>0</v>
      </c>
      <c r="AU16" s="197">
        <v>0</v>
      </c>
      <c r="AV16" s="197">
        <v>0</v>
      </c>
    </row>
    <row r="17" spans="1:48" ht="18" x14ac:dyDescent="0.25">
      <c r="A17" s="58">
        <v>0</v>
      </c>
      <c r="B17" s="180" t="s">
        <v>229</v>
      </c>
      <c r="C17" s="179" t="s">
        <v>300</v>
      </c>
      <c r="D17" s="181">
        <v>42</v>
      </c>
      <c r="E17" s="180">
        <v>0.5</v>
      </c>
      <c r="F17" s="180">
        <v>490</v>
      </c>
      <c r="G17" s="232">
        <v>21</v>
      </c>
      <c r="H17" s="185">
        <v>10290</v>
      </c>
      <c r="I17" s="183">
        <v>0.4829647331948308</v>
      </c>
      <c r="J17" s="195">
        <v>21.48296473319483</v>
      </c>
      <c r="K17" s="179">
        <v>10526.652719265467</v>
      </c>
      <c r="L17" s="191">
        <v>26</v>
      </c>
      <c r="M17" s="185">
        <v>12740</v>
      </c>
      <c r="N17" s="185">
        <v>12688</v>
      </c>
      <c r="O17" s="196">
        <v>0</v>
      </c>
      <c r="P17" s="123">
        <v>2</v>
      </c>
      <c r="Q17" s="123">
        <v>457</v>
      </c>
      <c r="R17" s="197">
        <v>0</v>
      </c>
      <c r="S17" s="197">
        <v>0</v>
      </c>
      <c r="T17" s="197">
        <v>0</v>
      </c>
      <c r="U17" s="197">
        <v>0</v>
      </c>
      <c r="V17" s="197">
        <v>0</v>
      </c>
      <c r="W17" s="197">
        <v>0</v>
      </c>
      <c r="X17" s="197">
        <v>0</v>
      </c>
      <c r="Y17" s="197">
        <v>0</v>
      </c>
      <c r="Z17" s="197">
        <v>0</v>
      </c>
      <c r="AA17" s="197">
        <v>0</v>
      </c>
      <c r="AB17" s="197">
        <v>0</v>
      </c>
      <c r="AC17" s="197">
        <v>0</v>
      </c>
      <c r="AD17" s="197">
        <v>0</v>
      </c>
      <c r="AE17" s="197">
        <v>0</v>
      </c>
      <c r="AF17" s="197">
        <v>0</v>
      </c>
      <c r="AG17" s="197">
        <v>0</v>
      </c>
      <c r="AH17" s="197">
        <v>0</v>
      </c>
      <c r="AI17" s="197">
        <v>0</v>
      </c>
      <c r="AJ17" s="197">
        <v>0</v>
      </c>
      <c r="AK17" s="197">
        <v>0</v>
      </c>
      <c r="AL17" s="197">
        <v>0</v>
      </c>
      <c r="AM17" s="197">
        <v>0</v>
      </c>
      <c r="AN17" s="197">
        <v>0</v>
      </c>
      <c r="AO17" s="197">
        <v>0</v>
      </c>
      <c r="AP17" s="197">
        <v>0</v>
      </c>
      <c r="AQ17" s="197">
        <v>0</v>
      </c>
      <c r="AR17" s="197">
        <v>0</v>
      </c>
      <c r="AS17" s="197">
        <v>0</v>
      </c>
      <c r="AT17" s="197">
        <v>0</v>
      </c>
      <c r="AU17" s="197">
        <v>0</v>
      </c>
      <c r="AV17" s="197">
        <v>0</v>
      </c>
    </row>
    <row r="18" spans="1:48" ht="18" x14ac:dyDescent="0.25">
      <c r="A18" s="58">
        <v>0</v>
      </c>
      <c r="B18" s="180" t="s">
        <v>229</v>
      </c>
      <c r="C18" s="179" t="s">
        <v>304</v>
      </c>
      <c r="D18" s="181">
        <v>40</v>
      </c>
      <c r="E18" s="180">
        <v>0.5</v>
      </c>
      <c r="F18" s="180">
        <v>326</v>
      </c>
      <c r="G18" s="232">
        <v>20</v>
      </c>
      <c r="H18" s="185">
        <v>6520</v>
      </c>
      <c r="I18" s="183">
        <v>0.46062830248188841</v>
      </c>
      <c r="J18" s="195">
        <v>20.46062830248189</v>
      </c>
      <c r="K18" s="179">
        <v>6670.1648266090961</v>
      </c>
      <c r="L18" s="191">
        <v>26</v>
      </c>
      <c r="M18" s="185">
        <v>8476</v>
      </c>
      <c r="N18" s="185">
        <v>8450</v>
      </c>
      <c r="O18" s="196">
        <v>0</v>
      </c>
      <c r="P18" s="123">
        <v>1</v>
      </c>
      <c r="Q18" s="123">
        <v>317</v>
      </c>
      <c r="R18" s="197">
        <v>0</v>
      </c>
      <c r="S18" s="197">
        <v>0</v>
      </c>
      <c r="T18" s="197">
        <v>0</v>
      </c>
      <c r="U18" s="197">
        <v>0</v>
      </c>
      <c r="V18" s="197">
        <v>0</v>
      </c>
      <c r="W18" s="197">
        <v>0</v>
      </c>
      <c r="X18" s="197">
        <v>0</v>
      </c>
      <c r="Y18" s="197">
        <v>0</v>
      </c>
      <c r="Z18" s="197">
        <v>0</v>
      </c>
      <c r="AA18" s="197">
        <v>0</v>
      </c>
      <c r="AB18" s="197">
        <v>0</v>
      </c>
      <c r="AC18" s="197">
        <v>0</v>
      </c>
      <c r="AD18" s="197">
        <v>0</v>
      </c>
      <c r="AE18" s="197">
        <v>0</v>
      </c>
      <c r="AF18" s="197">
        <v>0</v>
      </c>
      <c r="AG18" s="197">
        <v>0</v>
      </c>
      <c r="AH18" s="197">
        <v>0</v>
      </c>
      <c r="AI18" s="197">
        <v>0</v>
      </c>
      <c r="AJ18" s="197">
        <v>0</v>
      </c>
      <c r="AK18" s="197">
        <v>0</v>
      </c>
      <c r="AL18" s="197">
        <v>0</v>
      </c>
      <c r="AM18" s="197">
        <v>0</v>
      </c>
      <c r="AN18" s="197">
        <v>0</v>
      </c>
      <c r="AO18" s="197">
        <v>0</v>
      </c>
      <c r="AP18" s="197">
        <v>0</v>
      </c>
      <c r="AQ18" s="197">
        <v>0</v>
      </c>
      <c r="AR18" s="197">
        <v>0</v>
      </c>
      <c r="AS18" s="197">
        <v>0</v>
      </c>
      <c r="AT18" s="197">
        <v>0</v>
      </c>
      <c r="AU18" s="197">
        <v>0</v>
      </c>
      <c r="AV18" s="197">
        <v>0</v>
      </c>
    </row>
    <row r="19" spans="1:48" ht="18" x14ac:dyDescent="0.25">
      <c r="A19" s="58">
        <v>0</v>
      </c>
      <c r="B19" s="180" t="s">
        <v>229</v>
      </c>
      <c r="C19" s="179" t="s">
        <v>305</v>
      </c>
      <c r="D19" s="181">
        <v>68.181818181818187</v>
      </c>
      <c r="E19" s="180">
        <v>0.5</v>
      </c>
      <c r="F19" s="180">
        <v>450</v>
      </c>
      <c r="G19" s="232">
        <v>34.090909090909093</v>
      </c>
      <c r="H19" s="185">
        <v>15340.909090909092</v>
      </c>
      <c r="I19" s="183">
        <v>0.75740870841286789</v>
      </c>
      <c r="J19" s="195">
        <v>34.848317799321961</v>
      </c>
      <c r="K19" s="179">
        <v>15681.743009694883</v>
      </c>
      <c r="L19" s="191">
        <v>40</v>
      </c>
      <c r="M19" s="185">
        <v>18000</v>
      </c>
      <c r="N19" s="185">
        <v>17640</v>
      </c>
      <c r="O19" s="196">
        <v>0</v>
      </c>
      <c r="P19" s="123">
        <v>9</v>
      </c>
      <c r="Q19" s="123">
        <v>415</v>
      </c>
      <c r="R19" s="197">
        <v>0</v>
      </c>
      <c r="S19" s="197">
        <v>0</v>
      </c>
      <c r="T19" s="197">
        <v>0</v>
      </c>
      <c r="U19" s="197">
        <v>0</v>
      </c>
      <c r="V19" s="197">
        <v>0</v>
      </c>
      <c r="W19" s="197">
        <v>0</v>
      </c>
      <c r="X19" s="197">
        <v>0</v>
      </c>
      <c r="Y19" s="197">
        <v>0</v>
      </c>
      <c r="Z19" s="197">
        <v>0</v>
      </c>
      <c r="AA19" s="197">
        <v>0</v>
      </c>
      <c r="AB19" s="197">
        <v>0</v>
      </c>
      <c r="AC19" s="197">
        <v>0</v>
      </c>
      <c r="AD19" s="197">
        <v>0</v>
      </c>
      <c r="AE19" s="197">
        <v>0</v>
      </c>
      <c r="AF19" s="197">
        <v>0</v>
      </c>
      <c r="AG19" s="197">
        <v>0</v>
      </c>
      <c r="AH19" s="197">
        <v>0</v>
      </c>
      <c r="AI19" s="197">
        <v>0</v>
      </c>
      <c r="AJ19" s="197">
        <v>0</v>
      </c>
      <c r="AK19" s="197">
        <v>0</v>
      </c>
      <c r="AL19" s="197">
        <v>0</v>
      </c>
      <c r="AM19" s="197">
        <v>0</v>
      </c>
      <c r="AN19" s="197">
        <v>0</v>
      </c>
      <c r="AO19" s="197">
        <v>0</v>
      </c>
      <c r="AP19" s="197">
        <v>0</v>
      </c>
      <c r="AQ19" s="197">
        <v>0</v>
      </c>
      <c r="AR19" s="197">
        <v>0</v>
      </c>
      <c r="AS19" s="197">
        <v>0</v>
      </c>
      <c r="AT19" s="197">
        <v>0</v>
      </c>
      <c r="AU19" s="197">
        <v>0</v>
      </c>
      <c r="AV19" s="197">
        <v>0</v>
      </c>
    </row>
    <row r="20" spans="1:48" ht="18" x14ac:dyDescent="0.25">
      <c r="B20" s="180" t="s">
        <v>229</v>
      </c>
      <c r="C20" s="179" t="s">
        <v>181</v>
      </c>
      <c r="D20" s="181">
        <v>74</v>
      </c>
      <c r="E20" s="180">
        <v>0.5</v>
      </c>
      <c r="F20" s="180">
        <v>452</v>
      </c>
      <c r="G20" s="232">
        <v>37</v>
      </c>
      <c r="H20" s="185">
        <v>16724</v>
      </c>
      <c r="I20" s="183">
        <v>0.84661303004156707</v>
      </c>
      <c r="J20" s="195">
        <v>37.846613030041567</v>
      </c>
      <c r="K20" s="179">
        <v>17106.669089578787</v>
      </c>
      <c r="L20" s="191">
        <v>43</v>
      </c>
      <c r="M20" s="185">
        <v>19436</v>
      </c>
      <c r="N20" s="185">
        <v>19479</v>
      </c>
      <c r="O20" s="196">
        <v>0</v>
      </c>
      <c r="P20" s="123">
        <v>-1</v>
      </c>
      <c r="Q20" s="123">
        <v>432</v>
      </c>
      <c r="R20" s="197">
        <v>0</v>
      </c>
      <c r="S20" s="197">
        <v>0</v>
      </c>
      <c r="T20" s="197">
        <v>0</v>
      </c>
      <c r="U20" s="197">
        <v>0</v>
      </c>
      <c r="V20" s="197">
        <v>0</v>
      </c>
      <c r="W20" s="197">
        <v>0</v>
      </c>
      <c r="X20" s="197">
        <v>0</v>
      </c>
      <c r="Y20" s="197">
        <v>0</v>
      </c>
      <c r="Z20" s="197">
        <v>0</v>
      </c>
      <c r="AA20" s="197">
        <v>0</v>
      </c>
      <c r="AB20" s="197">
        <v>0</v>
      </c>
      <c r="AC20" s="197">
        <v>0</v>
      </c>
      <c r="AD20" s="197">
        <v>0</v>
      </c>
      <c r="AE20" s="197">
        <v>0</v>
      </c>
      <c r="AF20" s="197">
        <v>0</v>
      </c>
      <c r="AG20" s="197">
        <v>0</v>
      </c>
      <c r="AH20" s="197">
        <v>0</v>
      </c>
      <c r="AI20" s="197">
        <v>0</v>
      </c>
      <c r="AJ20" s="197">
        <v>0</v>
      </c>
      <c r="AK20" s="197">
        <v>0</v>
      </c>
      <c r="AL20" s="197">
        <v>0</v>
      </c>
      <c r="AM20" s="197">
        <v>0</v>
      </c>
      <c r="AN20" s="197">
        <v>0</v>
      </c>
      <c r="AO20" s="197">
        <v>0</v>
      </c>
      <c r="AP20" s="197">
        <v>0</v>
      </c>
      <c r="AQ20" s="197">
        <v>0</v>
      </c>
      <c r="AR20" s="197">
        <v>0</v>
      </c>
      <c r="AS20" s="197">
        <v>0</v>
      </c>
      <c r="AT20" s="197">
        <v>0</v>
      </c>
      <c r="AU20" s="197">
        <v>0</v>
      </c>
      <c r="AV20" s="197">
        <v>0</v>
      </c>
    </row>
    <row r="21" spans="1:48" ht="18" x14ac:dyDescent="0.25">
      <c r="A21" s="58">
        <v>0</v>
      </c>
      <c r="B21" s="180" t="s">
        <v>229</v>
      </c>
      <c r="C21" s="179" t="s">
        <v>301</v>
      </c>
      <c r="D21" s="181">
        <v>40.909090909090907</v>
      </c>
      <c r="E21" s="180">
        <v>0.5</v>
      </c>
      <c r="F21" s="180">
        <v>2648</v>
      </c>
      <c r="G21" s="232">
        <v>20.454545454545453</v>
      </c>
      <c r="H21" s="185">
        <v>54163.63636363636</v>
      </c>
      <c r="I21" s="183">
        <v>0.30732826617547171</v>
      </c>
      <c r="J21" s="195">
        <v>20.761873720720924</v>
      </c>
      <c r="K21" s="179">
        <v>54977.441612469011</v>
      </c>
      <c r="L21" s="191">
        <v>26</v>
      </c>
      <c r="M21" s="185">
        <v>68848</v>
      </c>
      <c r="N21" s="185">
        <v>68744</v>
      </c>
      <c r="O21" s="196">
        <v>0</v>
      </c>
      <c r="P21" s="123">
        <v>4</v>
      </c>
      <c r="Q21" s="123">
        <v>2449</v>
      </c>
      <c r="R21" s="197">
        <v>0</v>
      </c>
      <c r="S21" s="197">
        <v>0</v>
      </c>
      <c r="T21" s="197">
        <v>0</v>
      </c>
      <c r="U21" s="197">
        <v>0</v>
      </c>
      <c r="V21" s="197">
        <v>0</v>
      </c>
      <c r="W21" s="197">
        <v>0</v>
      </c>
      <c r="X21" s="197">
        <v>0</v>
      </c>
      <c r="Y21" s="197">
        <v>0</v>
      </c>
      <c r="Z21" s="197">
        <v>0</v>
      </c>
      <c r="AA21" s="197">
        <v>0</v>
      </c>
      <c r="AB21" s="197">
        <v>0</v>
      </c>
      <c r="AC21" s="197">
        <v>0</v>
      </c>
      <c r="AD21" s="197">
        <v>0</v>
      </c>
      <c r="AE21" s="197">
        <v>0</v>
      </c>
      <c r="AF21" s="197">
        <v>0</v>
      </c>
      <c r="AG21" s="197">
        <v>0</v>
      </c>
      <c r="AH21" s="197">
        <v>0</v>
      </c>
      <c r="AI21" s="197">
        <v>0</v>
      </c>
      <c r="AJ21" s="197">
        <v>0</v>
      </c>
      <c r="AK21" s="197">
        <v>0</v>
      </c>
      <c r="AL21" s="197">
        <v>0</v>
      </c>
      <c r="AM21" s="197">
        <v>0</v>
      </c>
      <c r="AN21" s="197">
        <v>0</v>
      </c>
      <c r="AO21" s="197">
        <v>0</v>
      </c>
      <c r="AP21" s="197">
        <v>0</v>
      </c>
      <c r="AQ21" s="197">
        <v>0</v>
      </c>
      <c r="AR21" s="197">
        <v>0</v>
      </c>
      <c r="AS21" s="197">
        <v>0</v>
      </c>
      <c r="AT21" s="197">
        <v>0</v>
      </c>
      <c r="AU21" s="197">
        <v>0</v>
      </c>
      <c r="AV21" s="197">
        <v>0</v>
      </c>
    </row>
    <row r="22" spans="1:48" ht="18" x14ac:dyDescent="0.25">
      <c r="A22" s="58">
        <v>0</v>
      </c>
      <c r="B22" s="180" t="s">
        <v>229</v>
      </c>
      <c r="C22" s="179" t="s">
        <v>295</v>
      </c>
      <c r="D22" s="181">
        <v>60.8</v>
      </c>
      <c r="E22" s="180">
        <v>0.5</v>
      </c>
      <c r="F22" s="180">
        <v>160</v>
      </c>
      <c r="G22" s="232">
        <v>30.4</v>
      </c>
      <c r="H22" s="185">
        <v>4864</v>
      </c>
      <c r="I22" s="183">
        <v>0.70614512114449179</v>
      </c>
      <c r="J22" s="195">
        <v>31.10614512114449</v>
      </c>
      <c r="K22" s="179">
        <v>4976.983219383118</v>
      </c>
      <c r="L22" s="191">
        <v>35</v>
      </c>
      <c r="M22" s="185">
        <v>5600</v>
      </c>
      <c r="N22" s="185">
        <v>5600</v>
      </c>
      <c r="O22" s="196">
        <v>0</v>
      </c>
      <c r="P22" s="123"/>
      <c r="Q22" s="123">
        <v>0</v>
      </c>
      <c r="R22" s="197">
        <v>0</v>
      </c>
      <c r="S22" s="197">
        <v>0</v>
      </c>
      <c r="T22" s="197">
        <v>0</v>
      </c>
      <c r="U22" s="197">
        <v>0</v>
      </c>
      <c r="V22" s="197">
        <v>0</v>
      </c>
      <c r="W22" s="197">
        <v>0</v>
      </c>
      <c r="X22" s="197">
        <v>0</v>
      </c>
      <c r="Y22" s="197">
        <v>0</v>
      </c>
      <c r="Z22" s="197">
        <v>0</v>
      </c>
      <c r="AA22" s="197">
        <v>0</v>
      </c>
      <c r="AB22" s="197">
        <v>0</v>
      </c>
      <c r="AC22" s="197">
        <v>0</v>
      </c>
      <c r="AD22" s="197">
        <v>0</v>
      </c>
      <c r="AE22" s="197">
        <v>0</v>
      </c>
      <c r="AF22" s="197">
        <v>0</v>
      </c>
      <c r="AG22" s="197">
        <v>0</v>
      </c>
      <c r="AH22" s="197">
        <v>0</v>
      </c>
      <c r="AI22" s="197">
        <v>0</v>
      </c>
      <c r="AJ22" s="197">
        <v>0</v>
      </c>
      <c r="AK22" s="197">
        <v>0</v>
      </c>
      <c r="AL22" s="197">
        <v>0</v>
      </c>
      <c r="AM22" s="197">
        <v>0</v>
      </c>
      <c r="AN22" s="197">
        <v>0</v>
      </c>
      <c r="AO22" s="197">
        <v>0</v>
      </c>
      <c r="AP22" s="197">
        <v>0</v>
      </c>
      <c r="AQ22" s="197">
        <v>0</v>
      </c>
      <c r="AR22" s="197">
        <v>0</v>
      </c>
      <c r="AS22" s="197">
        <v>0</v>
      </c>
      <c r="AT22" s="197">
        <v>0</v>
      </c>
      <c r="AU22" s="197">
        <v>0</v>
      </c>
      <c r="AV22" s="197">
        <v>0</v>
      </c>
    </row>
    <row r="23" spans="1:48" ht="18" x14ac:dyDescent="0.25">
      <c r="A23" s="58">
        <f t="shared" si="1"/>
        <v>0</v>
      </c>
      <c r="B23" s="180" t="s">
        <v>229</v>
      </c>
      <c r="C23" s="179" t="s">
        <v>290</v>
      </c>
      <c r="D23" s="181">
        <v>58.18181818181818</v>
      </c>
      <c r="E23" s="180">
        <v>0.5</v>
      </c>
      <c r="F23" s="180">
        <v>2232</v>
      </c>
      <c r="G23" s="232">
        <v>29.09090909090909</v>
      </c>
      <c r="H23" s="185">
        <v>64930.909090909088</v>
      </c>
      <c r="I23" s="183">
        <v>0.83560080067590692</v>
      </c>
      <c r="J23" s="195">
        <v>29.926509891584995</v>
      </c>
      <c r="K23" s="179">
        <v>66795.970078017708</v>
      </c>
      <c r="L23" s="191">
        <v>35</v>
      </c>
      <c r="M23" s="185">
        <v>78120</v>
      </c>
      <c r="N23" s="185">
        <v>78190</v>
      </c>
      <c r="O23" s="196">
        <v>0</v>
      </c>
      <c r="P23" s="123">
        <v>-2</v>
      </c>
      <c r="Q23" s="123">
        <v>2163</v>
      </c>
      <c r="R23" s="197">
        <v>0</v>
      </c>
      <c r="S23" s="197">
        <v>0</v>
      </c>
      <c r="T23" s="197">
        <v>0</v>
      </c>
      <c r="U23" s="197">
        <v>0</v>
      </c>
      <c r="V23" s="197">
        <v>0</v>
      </c>
      <c r="W23" s="197">
        <v>0</v>
      </c>
      <c r="X23" s="197">
        <v>0</v>
      </c>
      <c r="Y23" s="197">
        <v>0</v>
      </c>
      <c r="Z23" s="197">
        <v>0</v>
      </c>
      <c r="AA23" s="197">
        <v>0</v>
      </c>
      <c r="AB23" s="197">
        <v>0</v>
      </c>
      <c r="AC23" s="197">
        <v>0</v>
      </c>
      <c r="AD23" s="197">
        <v>0</v>
      </c>
      <c r="AE23" s="197">
        <v>0</v>
      </c>
      <c r="AF23" s="197">
        <v>0</v>
      </c>
      <c r="AG23" s="197">
        <v>0</v>
      </c>
      <c r="AH23" s="197">
        <v>0</v>
      </c>
      <c r="AI23" s="197">
        <v>0</v>
      </c>
      <c r="AJ23" s="197">
        <v>0</v>
      </c>
      <c r="AK23" s="197">
        <v>0</v>
      </c>
      <c r="AL23" s="197">
        <v>0</v>
      </c>
      <c r="AM23" s="197">
        <v>0</v>
      </c>
      <c r="AN23" s="197">
        <v>0</v>
      </c>
      <c r="AO23" s="197">
        <v>0</v>
      </c>
      <c r="AP23" s="197">
        <v>0</v>
      </c>
      <c r="AQ23" s="197">
        <v>0</v>
      </c>
      <c r="AR23" s="197">
        <v>0</v>
      </c>
      <c r="AS23" s="197">
        <v>0</v>
      </c>
      <c r="AT23" s="197">
        <v>0</v>
      </c>
      <c r="AU23" s="197">
        <v>0</v>
      </c>
      <c r="AV23" s="197">
        <v>0</v>
      </c>
    </row>
    <row r="24" spans="1:48" x14ac:dyDescent="0.25">
      <c r="D24" s="209"/>
    </row>
  </sheetData>
  <autoFilter ref="B4:AW12" xr:uid="{00000000-0009-0000-0000-000005000000}"/>
  <mergeCells count="1">
    <mergeCell ref="B1:M1"/>
  </mergeCells>
  <conditionalFormatting sqref="C6:C10 C12:C13">
    <cfRule type="expression" dxfId="754" priority="10">
      <formula>($O6/$O6)&lt;=1/4</formula>
    </cfRule>
  </conditionalFormatting>
  <conditionalFormatting sqref="C5:C10 C12:C13">
    <cfRule type="expression" dxfId="753" priority="11">
      <formula>($O5/$F5)&lt;=1/4</formula>
    </cfRule>
  </conditionalFormatting>
  <conditionalFormatting sqref="C11">
    <cfRule type="expression" dxfId="752" priority="1">
      <formula>($O11/$O11)&lt;=1/4</formula>
    </cfRule>
  </conditionalFormatting>
  <conditionalFormatting sqref="C11">
    <cfRule type="expression" dxfId="751" priority="2">
      <formula>($O11/$F11)&lt;=1/4</formula>
    </cfRule>
  </conditionalFormatting>
  <pageMargins left="0.7" right="0.7" top="0.75" bottom="0.75" header="0.3" footer="0.3"/>
  <pageSetup orientation="portrait" r:id="rId1"/>
  <legacyDrawing r:id="rId2"/>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7">
    <tabColor rgb="FFFFC000"/>
  </sheetPr>
  <dimension ref="A1:R223"/>
  <sheetViews>
    <sheetView zoomScale="85" zoomScaleNormal="85" zoomScalePageLayoutView="70" workbookViewId="0">
      <selection activeCell="Q2" sqref="Q2"/>
    </sheetView>
  </sheetViews>
  <sheetFormatPr defaultColWidth="9.09765625" defaultRowHeight="15.6" x14ac:dyDescent="0.3"/>
  <cols>
    <col min="1" max="1" width="9.09765625" style="28" customWidth="1"/>
    <col min="2" max="2" width="40" style="27" customWidth="1"/>
    <col min="3" max="3" width="10.09765625" style="27" bestFit="1" customWidth="1"/>
    <col min="4" max="4" width="11.59765625" style="27" customWidth="1"/>
    <col min="5" max="5" width="6.296875" style="27" customWidth="1"/>
    <col min="6" max="8" width="6" style="27" customWidth="1"/>
    <col min="9" max="10" width="6.09765625" style="27" customWidth="1"/>
    <col min="11" max="11" width="7.69921875" style="27" customWidth="1"/>
    <col min="12" max="12" width="9.8984375" style="28" customWidth="1"/>
    <col min="13" max="13" width="10.3984375" style="28" hidden="1" customWidth="1"/>
    <col min="14" max="14" width="38.69921875" style="28" customWidth="1"/>
    <col min="15" max="15" width="14.09765625" style="28" bestFit="1" customWidth="1"/>
    <col min="16" max="16" width="11.69921875" style="28" customWidth="1"/>
    <col min="17" max="17" width="11" style="27" customWidth="1"/>
    <col min="18" max="18" width="18.8984375" style="27" customWidth="1"/>
    <col min="19" max="16384" width="9.09765625" style="27"/>
  </cols>
  <sheetData>
    <row r="1" spans="1:18" s="44" customFormat="1" ht="22.8" x14ac:dyDescent="0.25">
      <c r="A1" s="40" t="s">
        <v>89</v>
      </c>
      <c r="B1" s="40" t="s">
        <v>16</v>
      </c>
      <c r="C1" s="40" t="s">
        <v>90</v>
      </c>
      <c r="D1" s="40" t="s">
        <v>100</v>
      </c>
      <c r="E1" s="113"/>
      <c r="F1" s="113"/>
      <c r="G1" s="113"/>
      <c r="H1" s="113"/>
      <c r="I1" s="113"/>
      <c r="J1" s="113"/>
      <c r="K1" s="113"/>
      <c r="L1" s="244" t="s">
        <v>89</v>
      </c>
      <c r="M1" s="244" t="s">
        <v>90</v>
      </c>
      <c r="N1" s="243" t="s">
        <v>16</v>
      </c>
      <c r="O1" s="243" t="s">
        <v>100</v>
      </c>
      <c r="P1" s="235" t="s">
        <v>90</v>
      </c>
      <c r="Q1" s="114" t="s">
        <v>144</v>
      </c>
      <c r="R1" s="115">
        <f>SUBTOTAL(9,R2:R82)</f>
        <v>0</v>
      </c>
    </row>
    <row r="2" spans="1:18" s="120" customFormat="1" ht="18" x14ac:dyDescent="0.35">
      <c r="A2" s="116" t="s">
        <v>161</v>
      </c>
      <c r="B2" s="117" t="s">
        <v>270</v>
      </c>
      <c r="C2" s="116" t="s">
        <v>162</v>
      </c>
      <c r="D2" s="118">
        <v>110000</v>
      </c>
      <c r="E2" s="119"/>
      <c r="F2" s="119"/>
      <c r="G2" s="119"/>
      <c r="H2" s="119"/>
      <c r="I2" s="119"/>
      <c r="J2" s="119"/>
      <c r="K2" s="119"/>
      <c r="L2" s="129">
        <v>1</v>
      </c>
      <c r="M2" s="129" t="s">
        <v>91</v>
      </c>
      <c r="N2" s="246" t="s">
        <v>224</v>
      </c>
      <c r="O2" s="247">
        <v>48000</v>
      </c>
      <c r="P2" s="129">
        <f>IF($N2="","",LOOKUP(2,1/($N2=$B$2:$B$82),$A$2:$A$82))</f>
        <v>1</v>
      </c>
      <c r="Q2" s="129"/>
      <c r="R2" s="122">
        <f t="shared" ref="R2:R60" si="0">O2*Q2</f>
        <v>0</v>
      </c>
    </row>
    <row r="3" spans="1:18" s="120" customFormat="1" ht="18" x14ac:dyDescent="0.35">
      <c r="A3" s="116" t="s">
        <v>277</v>
      </c>
      <c r="B3" s="117" t="s">
        <v>271</v>
      </c>
      <c r="C3" s="116" t="s">
        <v>282</v>
      </c>
      <c r="D3" s="118">
        <v>122000</v>
      </c>
      <c r="E3" s="119"/>
      <c r="F3" s="119"/>
      <c r="G3" s="119"/>
      <c r="H3" s="119"/>
      <c r="I3" s="119"/>
      <c r="J3" s="119"/>
      <c r="K3" s="119"/>
      <c r="L3" s="129">
        <v>2</v>
      </c>
      <c r="M3" s="129" t="s">
        <v>92</v>
      </c>
      <c r="N3" s="246" t="s">
        <v>276</v>
      </c>
      <c r="O3" s="247">
        <v>40000</v>
      </c>
      <c r="P3" s="129">
        <f t="shared" ref="P3:P60" si="1">IF($N3="","",LOOKUP(2,1/($N3=$B$2:$B$82),$A$2:$A$82))</f>
        <v>2</v>
      </c>
      <c r="Q3" s="129"/>
      <c r="R3" s="122">
        <f t="shared" si="0"/>
        <v>0</v>
      </c>
    </row>
    <row r="4" spans="1:18" s="120" customFormat="1" ht="18" x14ac:dyDescent="0.35">
      <c r="A4" s="116" t="s">
        <v>278</v>
      </c>
      <c r="B4" s="117" t="s">
        <v>272</v>
      </c>
      <c r="C4" s="116" t="s">
        <v>283</v>
      </c>
      <c r="D4" s="118">
        <v>95000</v>
      </c>
      <c r="E4" s="119"/>
      <c r="F4" s="119"/>
      <c r="G4" s="119"/>
      <c r="H4" s="119"/>
      <c r="I4" s="119"/>
      <c r="J4" s="119"/>
      <c r="K4" s="119"/>
      <c r="L4" s="129">
        <v>3</v>
      </c>
      <c r="M4" s="129" t="s">
        <v>93</v>
      </c>
      <c r="N4" s="246" t="s">
        <v>275</v>
      </c>
      <c r="O4" s="247">
        <v>42000</v>
      </c>
      <c r="P4" s="129">
        <f t="shared" si="1"/>
        <v>3</v>
      </c>
      <c r="Q4" s="129"/>
      <c r="R4" s="122">
        <f t="shared" si="0"/>
        <v>0</v>
      </c>
    </row>
    <row r="5" spans="1:18" s="120" customFormat="1" ht="18" x14ac:dyDescent="0.35">
      <c r="A5" s="116" t="s">
        <v>279</v>
      </c>
      <c r="B5" s="117" t="s">
        <v>286</v>
      </c>
      <c r="C5" s="116" t="s">
        <v>284</v>
      </c>
      <c r="D5" s="118">
        <v>116000</v>
      </c>
      <c r="E5" s="119"/>
      <c r="F5" s="119"/>
      <c r="G5" s="119"/>
      <c r="H5" s="119"/>
      <c r="I5" s="119"/>
      <c r="J5" s="119"/>
      <c r="K5" s="119"/>
      <c r="L5" s="129">
        <v>4</v>
      </c>
      <c r="M5" s="245" t="s">
        <v>94</v>
      </c>
      <c r="N5" s="246" t="s">
        <v>297</v>
      </c>
      <c r="O5" s="247">
        <v>45000</v>
      </c>
      <c r="P5" s="129">
        <f t="shared" si="1"/>
        <v>4</v>
      </c>
      <c r="Q5" s="129"/>
      <c r="R5" s="122">
        <f t="shared" si="0"/>
        <v>0</v>
      </c>
    </row>
    <row r="6" spans="1:18" s="120" customFormat="1" ht="18" x14ac:dyDescent="0.35">
      <c r="A6" s="116" t="s">
        <v>280</v>
      </c>
      <c r="B6" s="117" t="s">
        <v>273</v>
      </c>
      <c r="C6" s="116" t="s">
        <v>285</v>
      </c>
      <c r="D6" s="118">
        <v>48000</v>
      </c>
      <c r="E6" s="119"/>
      <c r="F6" s="119"/>
      <c r="G6" s="119"/>
      <c r="H6" s="119"/>
      <c r="I6" s="119"/>
      <c r="J6" s="119"/>
      <c r="K6" s="119"/>
      <c r="L6" s="129">
        <v>5</v>
      </c>
      <c r="M6" s="245" t="s">
        <v>95</v>
      </c>
      <c r="N6" s="246" t="s">
        <v>27</v>
      </c>
      <c r="O6" s="248">
        <v>38000</v>
      </c>
      <c r="P6" s="129">
        <f t="shared" si="1"/>
        <v>5</v>
      </c>
      <c r="Q6" s="129"/>
      <c r="R6" s="122">
        <f t="shared" si="0"/>
        <v>0</v>
      </c>
    </row>
    <row r="7" spans="1:18" s="120" customFormat="1" ht="18" x14ac:dyDescent="0.35">
      <c r="A7" s="116" t="s">
        <v>281</v>
      </c>
      <c r="B7" s="117" t="s">
        <v>274</v>
      </c>
      <c r="C7" s="116" t="s">
        <v>287</v>
      </c>
      <c r="D7" s="118">
        <v>43000</v>
      </c>
      <c r="E7" s="119"/>
      <c r="F7" s="119"/>
      <c r="G7" s="119"/>
      <c r="H7" s="119"/>
      <c r="I7" s="119"/>
      <c r="J7" s="119"/>
      <c r="K7" s="119"/>
      <c r="L7" s="129">
        <v>6</v>
      </c>
      <c r="M7" s="245" t="s">
        <v>96</v>
      </c>
      <c r="N7" s="246" t="s">
        <v>25</v>
      </c>
      <c r="O7" s="248">
        <v>42000</v>
      </c>
      <c r="P7" s="129">
        <f t="shared" si="1"/>
        <v>6</v>
      </c>
      <c r="Q7" s="129"/>
      <c r="R7" s="122">
        <f t="shared" si="0"/>
        <v>0</v>
      </c>
    </row>
    <row r="8" spans="1:18" s="120" customFormat="1" ht="18" x14ac:dyDescent="0.35">
      <c r="A8" s="116">
        <v>1</v>
      </c>
      <c r="B8" s="117" t="s">
        <v>224</v>
      </c>
      <c r="C8" s="116" t="s">
        <v>91</v>
      </c>
      <c r="D8" s="118">
        <v>48000</v>
      </c>
      <c r="E8" s="119"/>
      <c r="F8" s="119"/>
      <c r="G8" s="119"/>
      <c r="H8" s="119"/>
      <c r="I8" s="119"/>
      <c r="J8" s="119"/>
      <c r="K8" s="119"/>
      <c r="L8" s="129">
        <v>7</v>
      </c>
      <c r="M8" s="245" t="s">
        <v>97</v>
      </c>
      <c r="N8" s="246" t="s">
        <v>128</v>
      </c>
      <c r="O8" s="247">
        <v>45000</v>
      </c>
      <c r="P8" s="129">
        <f t="shared" si="1"/>
        <v>7</v>
      </c>
      <c r="Q8" s="129"/>
      <c r="R8" s="122">
        <f t="shared" si="0"/>
        <v>0</v>
      </c>
    </row>
    <row r="9" spans="1:18" s="120" customFormat="1" ht="18" x14ac:dyDescent="0.35">
      <c r="A9" s="116">
        <v>2</v>
      </c>
      <c r="B9" s="117" t="s">
        <v>276</v>
      </c>
      <c r="C9" s="116" t="s">
        <v>92</v>
      </c>
      <c r="D9" s="118">
        <v>40000</v>
      </c>
      <c r="E9" s="119"/>
      <c r="F9" s="119"/>
      <c r="G9" s="119"/>
      <c r="H9" s="119"/>
      <c r="I9" s="119"/>
      <c r="J9" s="119"/>
      <c r="K9" s="119"/>
      <c r="L9" s="129">
        <v>8</v>
      </c>
      <c r="M9" s="245" t="s">
        <v>98</v>
      </c>
      <c r="N9" s="246" t="s">
        <v>50</v>
      </c>
      <c r="O9" s="247">
        <v>45000</v>
      </c>
      <c r="P9" s="129">
        <f t="shared" si="1"/>
        <v>8</v>
      </c>
      <c r="Q9" s="129"/>
      <c r="R9" s="122">
        <f t="shared" si="0"/>
        <v>0</v>
      </c>
    </row>
    <row r="10" spans="1:18" s="120" customFormat="1" ht="18" x14ac:dyDescent="0.35">
      <c r="A10" s="116">
        <v>3</v>
      </c>
      <c r="B10" s="117" t="s">
        <v>275</v>
      </c>
      <c r="C10" s="116" t="s">
        <v>93</v>
      </c>
      <c r="D10" s="118">
        <v>42000</v>
      </c>
      <c r="E10" s="119"/>
      <c r="F10" s="119"/>
      <c r="G10" s="119"/>
      <c r="H10" s="119"/>
      <c r="I10" s="119"/>
      <c r="J10" s="119"/>
      <c r="K10" s="119"/>
      <c r="L10" s="129">
        <v>9</v>
      </c>
      <c r="M10" s="245" t="s">
        <v>99</v>
      </c>
      <c r="N10" s="246" t="s">
        <v>31</v>
      </c>
      <c r="O10" s="247">
        <v>45000</v>
      </c>
      <c r="P10" s="129">
        <f t="shared" si="1"/>
        <v>9</v>
      </c>
      <c r="Q10" s="129"/>
      <c r="R10" s="122">
        <f t="shared" si="0"/>
        <v>0</v>
      </c>
    </row>
    <row r="11" spans="1:18" s="120" customFormat="1" ht="18" x14ac:dyDescent="0.35">
      <c r="A11" s="116">
        <v>4</v>
      </c>
      <c r="B11" s="117" t="s">
        <v>297</v>
      </c>
      <c r="C11" s="116" t="s">
        <v>94</v>
      </c>
      <c r="D11" s="118">
        <v>45000</v>
      </c>
      <c r="E11" s="119"/>
      <c r="F11" s="119"/>
      <c r="G11" s="119"/>
      <c r="H11" s="119"/>
      <c r="I11" s="119"/>
      <c r="J11" s="119"/>
      <c r="K11" s="119"/>
      <c r="L11" s="129">
        <v>10</v>
      </c>
      <c r="M11" s="245" t="s">
        <v>56</v>
      </c>
      <c r="N11" s="246" t="s">
        <v>28</v>
      </c>
      <c r="O11" s="247">
        <v>45000</v>
      </c>
      <c r="P11" s="129">
        <f t="shared" si="1"/>
        <v>10</v>
      </c>
      <c r="Q11" s="129"/>
      <c r="R11" s="122">
        <f t="shared" si="0"/>
        <v>0</v>
      </c>
    </row>
    <row r="12" spans="1:18" s="120" customFormat="1" ht="18" x14ac:dyDescent="0.35">
      <c r="A12" s="116">
        <v>5</v>
      </c>
      <c r="B12" s="117" t="s">
        <v>27</v>
      </c>
      <c r="C12" s="116" t="s">
        <v>95</v>
      </c>
      <c r="D12" s="118">
        <v>38000</v>
      </c>
      <c r="E12" s="119"/>
      <c r="F12" s="119"/>
      <c r="G12" s="119"/>
      <c r="H12" s="119"/>
      <c r="I12" s="119"/>
      <c r="J12" s="119"/>
      <c r="K12" s="119"/>
      <c r="L12" s="129">
        <v>11</v>
      </c>
      <c r="M12" s="245" t="s">
        <v>57</v>
      </c>
      <c r="N12" s="246" t="s">
        <v>30</v>
      </c>
      <c r="O12" s="247">
        <v>45000</v>
      </c>
      <c r="P12" s="129">
        <f t="shared" si="1"/>
        <v>11</v>
      </c>
      <c r="Q12" s="129"/>
      <c r="R12" s="122">
        <f t="shared" si="0"/>
        <v>0</v>
      </c>
    </row>
    <row r="13" spans="1:18" s="120" customFormat="1" ht="18" x14ac:dyDescent="0.35">
      <c r="A13" s="116">
        <v>6</v>
      </c>
      <c r="B13" s="117" t="s">
        <v>25</v>
      </c>
      <c r="C13" s="116" t="s">
        <v>96</v>
      </c>
      <c r="D13" s="118">
        <v>42000</v>
      </c>
      <c r="E13" s="119"/>
      <c r="F13" s="119"/>
      <c r="G13" s="119"/>
      <c r="H13" s="119"/>
      <c r="I13" s="119"/>
      <c r="J13" s="119"/>
      <c r="K13" s="119"/>
      <c r="L13" s="129">
        <v>12</v>
      </c>
      <c r="M13" s="245" t="s">
        <v>58</v>
      </c>
      <c r="N13" s="246" t="s">
        <v>29</v>
      </c>
      <c r="O13" s="247">
        <v>45000</v>
      </c>
      <c r="P13" s="129">
        <f t="shared" si="1"/>
        <v>12</v>
      </c>
      <c r="Q13" s="129"/>
      <c r="R13" s="122">
        <f t="shared" si="0"/>
        <v>0</v>
      </c>
    </row>
    <row r="14" spans="1:18" s="120" customFormat="1" ht="18" x14ac:dyDescent="0.35">
      <c r="A14" s="116">
        <v>7</v>
      </c>
      <c r="B14" s="117" t="s">
        <v>128</v>
      </c>
      <c r="C14" s="116" t="s">
        <v>97</v>
      </c>
      <c r="D14" s="118">
        <v>45000</v>
      </c>
      <c r="E14" s="119"/>
      <c r="F14" s="119"/>
      <c r="G14" s="119"/>
      <c r="H14" s="119"/>
      <c r="I14" s="119"/>
      <c r="J14" s="119"/>
      <c r="K14" s="119"/>
      <c r="L14" s="129">
        <v>13</v>
      </c>
      <c r="M14" s="245" t="s">
        <v>59</v>
      </c>
      <c r="N14" s="246" t="s">
        <v>5</v>
      </c>
      <c r="O14" s="247">
        <v>40000</v>
      </c>
      <c r="P14" s="129">
        <f t="shared" si="1"/>
        <v>13</v>
      </c>
      <c r="Q14" s="129"/>
      <c r="R14" s="122">
        <f t="shared" si="0"/>
        <v>0</v>
      </c>
    </row>
    <row r="15" spans="1:18" s="120" customFormat="1" ht="18" x14ac:dyDescent="0.35">
      <c r="A15" s="116">
        <v>8</v>
      </c>
      <c r="B15" s="117" t="s">
        <v>50</v>
      </c>
      <c r="C15" s="116" t="s">
        <v>98</v>
      </c>
      <c r="D15" s="118">
        <v>45000</v>
      </c>
      <c r="E15" s="119"/>
      <c r="F15" s="119"/>
      <c r="G15" s="119"/>
      <c r="H15" s="119"/>
      <c r="I15" s="119"/>
      <c r="J15" s="119"/>
      <c r="K15" s="119"/>
      <c r="L15" s="129">
        <v>14</v>
      </c>
      <c r="M15" s="245" t="s">
        <v>60</v>
      </c>
      <c r="N15" s="246" t="s">
        <v>4</v>
      </c>
      <c r="O15" s="247">
        <v>40000</v>
      </c>
      <c r="P15" s="129">
        <f t="shared" si="1"/>
        <v>14</v>
      </c>
      <c r="Q15" s="129"/>
      <c r="R15" s="122">
        <f t="shared" si="0"/>
        <v>0</v>
      </c>
    </row>
    <row r="16" spans="1:18" s="120" customFormat="1" ht="18" x14ac:dyDescent="0.35">
      <c r="A16" s="116">
        <v>9</v>
      </c>
      <c r="B16" s="117" t="s">
        <v>31</v>
      </c>
      <c r="C16" s="116" t="s">
        <v>99</v>
      </c>
      <c r="D16" s="118">
        <v>45000</v>
      </c>
      <c r="E16" s="119"/>
      <c r="F16" s="119"/>
      <c r="G16" s="119"/>
      <c r="H16" s="119"/>
      <c r="I16" s="119"/>
      <c r="J16" s="119"/>
      <c r="K16" s="119"/>
      <c r="L16" s="129">
        <v>15</v>
      </c>
      <c r="M16" s="245" t="s">
        <v>61</v>
      </c>
      <c r="N16" s="246" t="s">
        <v>8</v>
      </c>
      <c r="O16" s="247">
        <v>55000</v>
      </c>
      <c r="P16" s="129">
        <f t="shared" si="1"/>
        <v>15</v>
      </c>
      <c r="Q16" s="129"/>
      <c r="R16" s="122">
        <f t="shared" si="0"/>
        <v>0</v>
      </c>
    </row>
    <row r="17" spans="1:18" s="120" customFormat="1" ht="18" x14ac:dyDescent="0.35">
      <c r="A17" s="116">
        <v>10</v>
      </c>
      <c r="B17" s="117" t="s">
        <v>28</v>
      </c>
      <c r="C17" s="116" t="s">
        <v>56</v>
      </c>
      <c r="D17" s="118">
        <v>45000</v>
      </c>
      <c r="E17" s="119"/>
      <c r="F17" s="119"/>
      <c r="G17" s="119"/>
      <c r="H17" s="119"/>
      <c r="I17" s="119"/>
      <c r="J17" s="119"/>
      <c r="K17" s="119"/>
      <c r="L17" s="129">
        <v>16</v>
      </c>
      <c r="M17" s="245" t="s">
        <v>62</v>
      </c>
      <c r="N17" s="246" t="s">
        <v>13</v>
      </c>
      <c r="O17" s="247">
        <v>35000</v>
      </c>
      <c r="P17" s="129">
        <f t="shared" si="1"/>
        <v>16</v>
      </c>
      <c r="Q17" s="129"/>
      <c r="R17" s="122">
        <f t="shared" si="0"/>
        <v>0</v>
      </c>
    </row>
    <row r="18" spans="1:18" s="120" customFormat="1" ht="18" x14ac:dyDescent="0.35">
      <c r="A18" s="116">
        <v>11</v>
      </c>
      <c r="B18" s="117" t="s">
        <v>30</v>
      </c>
      <c r="C18" s="116" t="s">
        <v>57</v>
      </c>
      <c r="D18" s="118">
        <v>45000</v>
      </c>
      <c r="E18" s="119"/>
      <c r="F18" s="119"/>
      <c r="G18" s="119"/>
      <c r="H18" s="119"/>
      <c r="I18" s="119"/>
      <c r="J18" s="119"/>
      <c r="K18" s="119"/>
      <c r="L18" s="129">
        <v>17</v>
      </c>
      <c r="M18" s="245" t="s">
        <v>63</v>
      </c>
      <c r="N18" s="246" t="s">
        <v>225</v>
      </c>
      <c r="O18" s="247">
        <v>40000</v>
      </c>
      <c r="P18" s="129">
        <f t="shared" si="1"/>
        <v>17</v>
      </c>
      <c r="Q18" s="129"/>
      <c r="R18" s="122">
        <f t="shared" si="0"/>
        <v>0</v>
      </c>
    </row>
    <row r="19" spans="1:18" s="120" customFormat="1" ht="18" x14ac:dyDescent="0.35">
      <c r="A19" s="116">
        <v>12</v>
      </c>
      <c r="B19" s="117" t="s">
        <v>29</v>
      </c>
      <c r="C19" s="116" t="s">
        <v>58</v>
      </c>
      <c r="D19" s="118">
        <v>45000</v>
      </c>
      <c r="E19" s="119"/>
      <c r="F19" s="119"/>
      <c r="G19" s="119"/>
      <c r="H19" s="119"/>
      <c r="I19" s="119"/>
      <c r="J19" s="119"/>
      <c r="K19" s="119"/>
      <c r="L19" s="129">
        <v>18</v>
      </c>
      <c r="M19" s="245" t="s">
        <v>64</v>
      </c>
      <c r="N19" s="246" t="s">
        <v>26</v>
      </c>
      <c r="O19" s="247">
        <v>50000</v>
      </c>
      <c r="P19" s="129">
        <f t="shared" si="1"/>
        <v>18</v>
      </c>
      <c r="Q19" s="129"/>
      <c r="R19" s="122">
        <f t="shared" si="0"/>
        <v>0</v>
      </c>
    </row>
    <row r="20" spans="1:18" s="120" customFormat="1" ht="18" x14ac:dyDescent="0.35">
      <c r="A20" s="116">
        <v>13</v>
      </c>
      <c r="B20" s="117" t="s">
        <v>5</v>
      </c>
      <c r="C20" s="116" t="s">
        <v>59</v>
      </c>
      <c r="D20" s="118">
        <v>40000</v>
      </c>
      <c r="E20" s="119"/>
      <c r="F20" s="119"/>
      <c r="G20" s="119"/>
      <c r="H20" s="119"/>
      <c r="I20" s="119"/>
      <c r="J20" s="119"/>
      <c r="K20" s="119"/>
      <c r="L20" s="129">
        <v>19</v>
      </c>
      <c r="M20" s="245" t="s">
        <v>65</v>
      </c>
      <c r="N20" s="246" t="s">
        <v>223</v>
      </c>
      <c r="O20" s="247">
        <v>40000</v>
      </c>
      <c r="P20" s="129">
        <f t="shared" si="1"/>
        <v>19</v>
      </c>
      <c r="Q20" s="129"/>
      <c r="R20" s="122">
        <f t="shared" si="0"/>
        <v>0</v>
      </c>
    </row>
    <row r="21" spans="1:18" s="120" customFormat="1" ht="18" x14ac:dyDescent="0.35">
      <c r="A21" s="116">
        <v>14</v>
      </c>
      <c r="B21" s="117" t="s">
        <v>4</v>
      </c>
      <c r="C21" s="116" t="s">
        <v>60</v>
      </c>
      <c r="D21" s="118">
        <v>40000</v>
      </c>
      <c r="E21" s="119"/>
      <c r="F21" s="119"/>
      <c r="G21" s="119"/>
      <c r="H21" s="119"/>
      <c r="I21" s="119"/>
      <c r="J21" s="119"/>
      <c r="K21" s="119"/>
      <c r="L21" s="129">
        <v>20</v>
      </c>
      <c r="M21" s="245" t="s">
        <v>66</v>
      </c>
      <c r="N21" s="246" t="s">
        <v>190</v>
      </c>
      <c r="O21" s="247">
        <v>105000</v>
      </c>
      <c r="P21" s="129">
        <f t="shared" si="1"/>
        <v>20</v>
      </c>
      <c r="Q21" s="129"/>
      <c r="R21" s="122">
        <f t="shared" si="0"/>
        <v>0</v>
      </c>
    </row>
    <row r="22" spans="1:18" s="120" customFormat="1" ht="18" x14ac:dyDescent="0.35">
      <c r="A22" s="116">
        <v>15</v>
      </c>
      <c r="B22" s="117" t="s">
        <v>8</v>
      </c>
      <c r="C22" s="116" t="s">
        <v>61</v>
      </c>
      <c r="D22" s="118">
        <v>55000</v>
      </c>
      <c r="E22" s="119"/>
      <c r="F22" s="119"/>
      <c r="G22" s="119"/>
      <c r="H22" s="119"/>
      <c r="I22" s="119"/>
      <c r="J22" s="119"/>
      <c r="K22" s="119"/>
      <c r="L22" s="129">
        <v>21</v>
      </c>
      <c r="M22" s="245" t="s">
        <v>67</v>
      </c>
      <c r="N22" s="246" t="s">
        <v>114</v>
      </c>
      <c r="O22" s="247">
        <v>42000</v>
      </c>
      <c r="P22" s="129">
        <f t="shared" si="1"/>
        <v>21</v>
      </c>
      <c r="Q22" s="129"/>
      <c r="R22" s="122">
        <f t="shared" si="0"/>
        <v>0</v>
      </c>
    </row>
    <row r="23" spans="1:18" s="120" customFormat="1" ht="18" x14ac:dyDescent="0.35">
      <c r="A23" s="116">
        <v>16</v>
      </c>
      <c r="B23" s="117" t="s">
        <v>13</v>
      </c>
      <c r="C23" s="116" t="s">
        <v>62</v>
      </c>
      <c r="D23" s="118">
        <v>35000</v>
      </c>
      <c r="E23" s="119"/>
      <c r="F23" s="119"/>
      <c r="G23" s="119"/>
      <c r="H23" s="119"/>
      <c r="I23" s="119"/>
      <c r="J23" s="119"/>
      <c r="K23" s="119"/>
      <c r="L23" s="129">
        <v>22</v>
      </c>
      <c r="M23" s="245" t="s">
        <v>68</v>
      </c>
      <c r="N23" s="246" t="s">
        <v>116</v>
      </c>
      <c r="O23" s="247">
        <v>35000</v>
      </c>
      <c r="P23" s="129">
        <f t="shared" si="1"/>
        <v>22</v>
      </c>
      <c r="Q23" s="129"/>
      <c r="R23" s="122">
        <f t="shared" si="0"/>
        <v>0</v>
      </c>
    </row>
    <row r="24" spans="1:18" s="120" customFormat="1" ht="18" x14ac:dyDescent="0.35">
      <c r="A24" s="116">
        <v>17</v>
      </c>
      <c r="B24" s="117" t="s">
        <v>225</v>
      </c>
      <c r="C24" s="116" t="s">
        <v>63</v>
      </c>
      <c r="D24" s="118">
        <v>40000</v>
      </c>
      <c r="E24" s="119"/>
      <c r="F24" s="119"/>
      <c r="G24" s="119"/>
      <c r="H24" s="119"/>
      <c r="I24" s="119"/>
      <c r="J24" s="119"/>
      <c r="K24" s="119"/>
      <c r="L24" s="129">
        <v>23</v>
      </c>
      <c r="M24" s="245" t="s">
        <v>69</v>
      </c>
      <c r="N24" s="246" t="s">
        <v>253</v>
      </c>
      <c r="O24" s="247">
        <v>35000</v>
      </c>
      <c r="P24" s="129">
        <f t="shared" si="1"/>
        <v>23</v>
      </c>
      <c r="Q24" s="129"/>
      <c r="R24" s="122">
        <f t="shared" si="0"/>
        <v>0</v>
      </c>
    </row>
    <row r="25" spans="1:18" s="120" customFormat="1" ht="18" x14ac:dyDescent="0.35">
      <c r="A25" s="116">
        <v>18</v>
      </c>
      <c r="B25" s="117" t="s">
        <v>26</v>
      </c>
      <c r="C25" s="116" t="s">
        <v>64</v>
      </c>
      <c r="D25" s="118">
        <v>50000</v>
      </c>
      <c r="E25" s="119"/>
      <c r="F25" s="119"/>
      <c r="G25" s="119"/>
      <c r="H25" s="119"/>
      <c r="I25" s="119"/>
      <c r="J25" s="119"/>
      <c r="K25" s="119"/>
      <c r="L25" s="129">
        <v>24</v>
      </c>
      <c r="M25" s="245" t="s">
        <v>70</v>
      </c>
      <c r="N25" s="246" t="s">
        <v>267</v>
      </c>
      <c r="O25" s="247">
        <v>65000</v>
      </c>
      <c r="P25" s="129">
        <f t="shared" si="1"/>
        <v>24</v>
      </c>
      <c r="Q25" s="129"/>
      <c r="R25" s="122">
        <f t="shared" si="0"/>
        <v>0</v>
      </c>
    </row>
    <row r="26" spans="1:18" s="120" customFormat="1" ht="18" x14ac:dyDescent="0.35">
      <c r="A26" s="116">
        <v>19</v>
      </c>
      <c r="B26" s="117" t="s">
        <v>223</v>
      </c>
      <c r="C26" s="116" t="s">
        <v>65</v>
      </c>
      <c r="D26" s="118">
        <v>40000</v>
      </c>
      <c r="E26" s="119"/>
      <c r="F26" s="119"/>
      <c r="G26" s="119"/>
      <c r="H26" s="119"/>
      <c r="I26" s="119"/>
      <c r="J26" s="119"/>
      <c r="K26" s="119"/>
      <c r="L26" s="129">
        <v>25</v>
      </c>
      <c r="M26" s="245" t="s">
        <v>71</v>
      </c>
      <c r="N26" s="246" t="s">
        <v>136</v>
      </c>
      <c r="O26" s="247">
        <v>80000</v>
      </c>
      <c r="P26" s="129">
        <f t="shared" si="1"/>
        <v>25</v>
      </c>
      <c r="Q26" s="129"/>
      <c r="R26" s="122">
        <f t="shared" si="0"/>
        <v>0</v>
      </c>
    </row>
    <row r="27" spans="1:18" s="120" customFormat="1" ht="18" x14ac:dyDescent="0.35">
      <c r="A27" s="116">
        <v>20</v>
      </c>
      <c r="B27" s="117" t="s">
        <v>190</v>
      </c>
      <c r="C27" s="116" t="s">
        <v>66</v>
      </c>
      <c r="D27" s="118">
        <v>105000</v>
      </c>
      <c r="E27" s="119"/>
      <c r="F27" s="119"/>
      <c r="G27" s="119"/>
      <c r="H27" s="119"/>
      <c r="I27" s="119"/>
      <c r="J27" s="119"/>
      <c r="K27" s="119"/>
      <c r="L27" s="129">
        <v>26</v>
      </c>
      <c r="M27" s="245" t="s">
        <v>72</v>
      </c>
      <c r="N27" s="246" t="s">
        <v>221</v>
      </c>
      <c r="O27" s="247">
        <v>44000</v>
      </c>
      <c r="P27" s="129">
        <f t="shared" si="1"/>
        <v>26</v>
      </c>
      <c r="Q27" s="129"/>
      <c r="R27" s="122">
        <f t="shared" si="0"/>
        <v>0</v>
      </c>
    </row>
    <row r="28" spans="1:18" s="120" customFormat="1" ht="18" x14ac:dyDescent="0.35">
      <c r="A28" s="116">
        <v>21</v>
      </c>
      <c r="B28" s="117" t="s">
        <v>114</v>
      </c>
      <c r="C28" s="116" t="s">
        <v>67</v>
      </c>
      <c r="D28" s="118">
        <v>42000</v>
      </c>
      <c r="E28" s="119"/>
      <c r="F28" s="119"/>
      <c r="G28" s="119"/>
      <c r="H28" s="119"/>
      <c r="I28" s="119"/>
      <c r="J28" s="119"/>
      <c r="K28" s="119"/>
      <c r="L28" s="129">
        <v>27</v>
      </c>
      <c r="M28" s="245" t="s">
        <v>73</v>
      </c>
      <c r="N28" s="246" t="s">
        <v>138</v>
      </c>
      <c r="O28" s="247">
        <v>35000</v>
      </c>
      <c r="P28" s="129">
        <f t="shared" si="1"/>
        <v>27</v>
      </c>
      <c r="Q28" s="129"/>
      <c r="R28" s="122">
        <f t="shared" si="0"/>
        <v>0</v>
      </c>
    </row>
    <row r="29" spans="1:18" s="120" customFormat="1" ht="18" x14ac:dyDescent="0.35">
      <c r="A29" s="116">
        <v>22</v>
      </c>
      <c r="B29" s="117" t="s">
        <v>116</v>
      </c>
      <c r="C29" s="116" t="s">
        <v>68</v>
      </c>
      <c r="D29" s="118">
        <v>35000</v>
      </c>
      <c r="E29" s="119"/>
      <c r="F29" s="119"/>
      <c r="G29" s="119"/>
      <c r="H29" s="119"/>
      <c r="I29" s="119"/>
      <c r="J29" s="119"/>
      <c r="K29" s="119"/>
      <c r="L29" s="129">
        <v>28</v>
      </c>
      <c r="M29" s="245" t="s">
        <v>74</v>
      </c>
      <c r="N29" s="246" t="s">
        <v>139</v>
      </c>
      <c r="O29" s="247">
        <v>38000</v>
      </c>
      <c r="P29" s="129">
        <f t="shared" si="1"/>
        <v>28</v>
      </c>
      <c r="Q29" s="129"/>
      <c r="R29" s="122">
        <f t="shared" si="0"/>
        <v>0</v>
      </c>
    </row>
    <row r="30" spans="1:18" s="120" customFormat="1" ht="18" x14ac:dyDescent="0.35">
      <c r="A30" s="116">
        <v>23</v>
      </c>
      <c r="B30" s="117" t="s">
        <v>253</v>
      </c>
      <c r="C30" s="116" t="s">
        <v>69</v>
      </c>
      <c r="D30" s="118">
        <v>35000</v>
      </c>
      <c r="E30" s="119"/>
      <c r="F30" s="119"/>
      <c r="G30" s="119"/>
      <c r="H30" s="119"/>
      <c r="I30" s="119"/>
      <c r="J30" s="119"/>
      <c r="K30" s="119"/>
      <c r="L30" s="129">
        <v>29</v>
      </c>
      <c r="M30" s="245" t="s">
        <v>75</v>
      </c>
      <c r="N30" s="246" t="s">
        <v>143</v>
      </c>
      <c r="O30" s="247">
        <v>70000</v>
      </c>
      <c r="P30" s="129">
        <f t="shared" si="1"/>
        <v>29</v>
      </c>
      <c r="Q30" s="129"/>
      <c r="R30" s="122">
        <f t="shared" si="0"/>
        <v>0</v>
      </c>
    </row>
    <row r="31" spans="1:18" s="120" customFormat="1" ht="18" x14ac:dyDescent="0.35">
      <c r="A31" s="116">
        <v>24</v>
      </c>
      <c r="B31" s="117" t="s">
        <v>267</v>
      </c>
      <c r="C31" s="116" t="s">
        <v>70</v>
      </c>
      <c r="D31" s="118">
        <v>65000</v>
      </c>
      <c r="E31" s="119"/>
      <c r="F31" s="119"/>
      <c r="G31" s="119"/>
      <c r="H31" s="119"/>
      <c r="I31" s="119"/>
      <c r="J31" s="119"/>
      <c r="K31" s="119"/>
      <c r="L31" s="129">
        <v>30</v>
      </c>
      <c r="M31" s="245" t="s">
        <v>76</v>
      </c>
      <c r="N31" s="246" t="s">
        <v>155</v>
      </c>
      <c r="O31" s="247">
        <v>54000</v>
      </c>
      <c r="P31" s="129">
        <f t="shared" si="1"/>
        <v>30</v>
      </c>
      <c r="Q31" s="129"/>
      <c r="R31" s="122">
        <f t="shared" si="0"/>
        <v>0</v>
      </c>
    </row>
    <row r="32" spans="1:18" s="120" customFormat="1" ht="18" x14ac:dyDescent="0.35">
      <c r="A32" s="116">
        <v>25</v>
      </c>
      <c r="B32" s="117" t="s">
        <v>136</v>
      </c>
      <c r="C32" s="116" t="s">
        <v>71</v>
      </c>
      <c r="D32" s="118">
        <v>80000</v>
      </c>
      <c r="E32" s="119"/>
      <c r="F32" s="119"/>
      <c r="G32" s="119"/>
      <c r="H32" s="119"/>
      <c r="I32" s="119"/>
      <c r="J32" s="119"/>
      <c r="K32" s="119"/>
      <c r="L32" s="129">
        <v>31</v>
      </c>
      <c r="M32" s="245" t="s">
        <v>77</v>
      </c>
      <c r="N32" s="246" t="s">
        <v>157</v>
      </c>
      <c r="O32" s="247">
        <v>47000</v>
      </c>
      <c r="P32" s="129">
        <f t="shared" si="1"/>
        <v>31</v>
      </c>
      <c r="Q32" s="129"/>
      <c r="R32" s="122">
        <f t="shared" si="0"/>
        <v>0</v>
      </c>
    </row>
    <row r="33" spans="1:18" s="120" customFormat="1" ht="18" x14ac:dyDescent="0.35">
      <c r="A33" s="116">
        <v>26</v>
      </c>
      <c r="B33" s="117" t="s">
        <v>221</v>
      </c>
      <c r="C33" s="116" t="s">
        <v>72</v>
      </c>
      <c r="D33" s="118">
        <v>44000</v>
      </c>
      <c r="E33" s="119"/>
      <c r="F33" s="119"/>
      <c r="G33" s="119"/>
      <c r="H33" s="119"/>
      <c r="I33" s="119"/>
      <c r="J33" s="119"/>
      <c r="K33" s="119"/>
      <c r="L33" s="129">
        <v>32</v>
      </c>
      <c r="M33" s="245" t="s">
        <v>78</v>
      </c>
      <c r="N33" s="246" t="s">
        <v>159</v>
      </c>
      <c r="O33" s="247">
        <v>50000</v>
      </c>
      <c r="P33" s="129">
        <f t="shared" si="1"/>
        <v>32</v>
      </c>
      <c r="Q33" s="129"/>
      <c r="R33" s="122">
        <f t="shared" si="0"/>
        <v>0</v>
      </c>
    </row>
    <row r="34" spans="1:18" s="120" customFormat="1" ht="18" x14ac:dyDescent="0.35">
      <c r="A34" s="116">
        <v>27</v>
      </c>
      <c r="B34" s="117" t="s">
        <v>138</v>
      </c>
      <c r="C34" s="116" t="s">
        <v>73</v>
      </c>
      <c r="D34" s="118">
        <v>35000</v>
      </c>
      <c r="E34" s="119"/>
      <c r="F34" s="119"/>
      <c r="G34" s="119"/>
      <c r="H34" s="119"/>
      <c r="I34" s="119"/>
      <c r="J34" s="119"/>
      <c r="K34" s="119"/>
      <c r="L34" s="129">
        <v>33</v>
      </c>
      <c r="M34" s="245" t="s">
        <v>79</v>
      </c>
      <c r="N34" s="246" t="s">
        <v>182</v>
      </c>
      <c r="O34" s="247">
        <v>18000</v>
      </c>
      <c r="P34" s="129">
        <f t="shared" si="1"/>
        <v>33</v>
      </c>
      <c r="Q34" s="129"/>
      <c r="R34" s="122">
        <f t="shared" si="0"/>
        <v>0</v>
      </c>
    </row>
    <row r="35" spans="1:18" s="120" customFormat="1" ht="18" x14ac:dyDescent="0.35">
      <c r="A35" s="116">
        <v>28</v>
      </c>
      <c r="B35" s="117" t="s">
        <v>139</v>
      </c>
      <c r="C35" s="116" t="s">
        <v>74</v>
      </c>
      <c r="D35" s="118">
        <v>38000</v>
      </c>
      <c r="E35" s="119"/>
      <c r="F35" s="119"/>
      <c r="G35" s="119"/>
      <c r="H35" s="119"/>
      <c r="I35" s="119"/>
      <c r="J35" s="119"/>
      <c r="K35" s="119"/>
      <c r="L35" s="129">
        <v>34</v>
      </c>
      <c r="M35" s="245" t="s">
        <v>80</v>
      </c>
      <c r="N35" s="246" t="s">
        <v>174</v>
      </c>
      <c r="O35" s="247">
        <v>25000</v>
      </c>
      <c r="P35" s="129">
        <f t="shared" si="1"/>
        <v>34</v>
      </c>
      <c r="Q35" s="129"/>
      <c r="R35" s="122">
        <f t="shared" si="0"/>
        <v>0</v>
      </c>
    </row>
    <row r="36" spans="1:18" s="120" customFormat="1" ht="18" x14ac:dyDescent="0.35">
      <c r="A36" s="116">
        <v>29</v>
      </c>
      <c r="B36" s="117" t="s">
        <v>143</v>
      </c>
      <c r="C36" s="116" t="s">
        <v>75</v>
      </c>
      <c r="D36" s="118">
        <v>70000</v>
      </c>
      <c r="E36" s="119"/>
      <c r="F36" s="119"/>
      <c r="G36" s="119"/>
      <c r="H36" s="119"/>
      <c r="I36" s="119"/>
      <c r="J36" s="119"/>
      <c r="K36" s="119"/>
      <c r="L36" s="129">
        <v>35</v>
      </c>
      <c r="M36" s="245" t="s">
        <v>81</v>
      </c>
      <c r="N36" s="246" t="s">
        <v>175</v>
      </c>
      <c r="O36" s="247">
        <v>28000</v>
      </c>
      <c r="P36" s="129">
        <f t="shared" si="1"/>
        <v>35</v>
      </c>
      <c r="Q36" s="129"/>
      <c r="R36" s="122">
        <f t="shared" si="0"/>
        <v>0</v>
      </c>
    </row>
    <row r="37" spans="1:18" s="120" customFormat="1" ht="18" x14ac:dyDescent="0.35">
      <c r="A37" s="116">
        <v>30</v>
      </c>
      <c r="B37" s="117" t="s">
        <v>155</v>
      </c>
      <c r="C37" s="116" t="s">
        <v>76</v>
      </c>
      <c r="D37" s="118">
        <v>54000</v>
      </c>
      <c r="E37" s="119"/>
      <c r="F37" s="119"/>
      <c r="G37" s="119"/>
      <c r="H37" s="119"/>
      <c r="I37" s="119"/>
      <c r="J37" s="119"/>
      <c r="K37" s="119"/>
      <c r="L37" s="129">
        <v>36</v>
      </c>
      <c r="M37" s="245" t="s">
        <v>82</v>
      </c>
      <c r="N37" s="246" t="s">
        <v>176</v>
      </c>
      <c r="O37" s="247">
        <v>28000</v>
      </c>
      <c r="P37" s="129">
        <f t="shared" si="1"/>
        <v>36</v>
      </c>
      <c r="Q37" s="129"/>
      <c r="R37" s="122">
        <f t="shared" si="0"/>
        <v>0</v>
      </c>
    </row>
    <row r="38" spans="1:18" s="120" customFormat="1" ht="18" x14ac:dyDescent="0.35">
      <c r="A38" s="116">
        <v>31</v>
      </c>
      <c r="B38" s="117" t="s">
        <v>157</v>
      </c>
      <c r="C38" s="116" t="s">
        <v>77</v>
      </c>
      <c r="D38" s="118">
        <v>47000</v>
      </c>
      <c r="E38" s="119"/>
      <c r="F38" s="119"/>
      <c r="G38" s="119"/>
      <c r="H38" s="119"/>
      <c r="I38" s="119"/>
      <c r="J38" s="119"/>
      <c r="K38" s="119"/>
      <c r="L38" s="129">
        <v>37</v>
      </c>
      <c r="M38" s="245" t="s">
        <v>83</v>
      </c>
      <c r="N38" s="246" t="s">
        <v>177</v>
      </c>
      <c r="O38" s="247">
        <v>28000</v>
      </c>
      <c r="P38" s="129">
        <f t="shared" si="1"/>
        <v>37</v>
      </c>
      <c r="Q38" s="129"/>
      <c r="R38" s="122">
        <f t="shared" si="0"/>
        <v>0</v>
      </c>
    </row>
    <row r="39" spans="1:18" s="120" customFormat="1" ht="18" x14ac:dyDescent="0.35">
      <c r="A39" s="116">
        <v>32</v>
      </c>
      <c r="B39" s="117" t="s">
        <v>159</v>
      </c>
      <c r="C39" s="116" t="s">
        <v>78</v>
      </c>
      <c r="D39" s="118">
        <v>50000</v>
      </c>
      <c r="E39" s="119"/>
      <c r="F39" s="119"/>
      <c r="G39" s="119"/>
      <c r="H39" s="119"/>
      <c r="I39" s="119"/>
      <c r="J39" s="119"/>
      <c r="K39" s="119"/>
      <c r="L39" s="129">
        <v>38</v>
      </c>
      <c r="M39" s="245" t="s">
        <v>84</v>
      </c>
      <c r="N39" s="246" t="s">
        <v>178</v>
      </c>
      <c r="O39" s="247">
        <v>26000</v>
      </c>
      <c r="P39" s="129">
        <f t="shared" si="1"/>
        <v>38</v>
      </c>
      <c r="Q39" s="129"/>
      <c r="R39" s="122">
        <f t="shared" si="0"/>
        <v>0</v>
      </c>
    </row>
    <row r="40" spans="1:18" s="120" customFormat="1" ht="18" x14ac:dyDescent="0.35">
      <c r="A40" s="116">
        <v>33</v>
      </c>
      <c r="B40" s="117" t="s">
        <v>182</v>
      </c>
      <c r="C40" s="116" t="s">
        <v>79</v>
      </c>
      <c r="D40" s="118">
        <v>18000</v>
      </c>
      <c r="E40" s="119"/>
      <c r="F40" s="119"/>
      <c r="G40" s="119"/>
      <c r="H40" s="119"/>
      <c r="I40" s="119"/>
      <c r="J40" s="119"/>
      <c r="K40" s="119"/>
      <c r="L40" s="129">
        <v>39</v>
      </c>
      <c r="M40" s="245" t="s">
        <v>85</v>
      </c>
      <c r="N40" s="246" t="s">
        <v>179</v>
      </c>
      <c r="O40" s="247">
        <v>37000</v>
      </c>
      <c r="P40" s="129">
        <f t="shared" si="1"/>
        <v>39</v>
      </c>
      <c r="Q40" s="129"/>
      <c r="R40" s="122">
        <f t="shared" si="0"/>
        <v>0</v>
      </c>
    </row>
    <row r="41" spans="1:18" s="120" customFormat="1" ht="18" x14ac:dyDescent="0.35">
      <c r="A41" s="116">
        <v>34</v>
      </c>
      <c r="B41" s="117" t="s">
        <v>174</v>
      </c>
      <c r="C41" s="116" t="s">
        <v>80</v>
      </c>
      <c r="D41" s="118">
        <v>25000</v>
      </c>
      <c r="E41" s="119"/>
      <c r="F41" s="119"/>
      <c r="G41" s="119"/>
      <c r="H41" s="119"/>
      <c r="I41" s="119"/>
      <c r="J41" s="119"/>
      <c r="K41" s="119"/>
      <c r="L41" s="129">
        <v>40</v>
      </c>
      <c r="M41" s="245" t="s">
        <v>86</v>
      </c>
      <c r="N41" s="246" t="s">
        <v>180</v>
      </c>
      <c r="O41" s="247">
        <v>42000</v>
      </c>
      <c r="P41" s="129">
        <f t="shared" si="1"/>
        <v>40</v>
      </c>
      <c r="Q41" s="129"/>
      <c r="R41" s="122">
        <f t="shared" si="0"/>
        <v>0</v>
      </c>
    </row>
    <row r="42" spans="1:18" s="120" customFormat="1" ht="18" x14ac:dyDescent="0.35">
      <c r="A42" s="116">
        <v>35</v>
      </c>
      <c r="B42" s="117" t="s">
        <v>175</v>
      </c>
      <c r="C42" s="116" t="s">
        <v>81</v>
      </c>
      <c r="D42" s="118">
        <v>28000</v>
      </c>
      <c r="E42" s="119"/>
      <c r="F42" s="119"/>
      <c r="G42" s="119"/>
      <c r="H42" s="119"/>
      <c r="I42" s="119"/>
      <c r="J42" s="119"/>
      <c r="K42" s="119"/>
      <c r="L42" s="129">
        <v>41</v>
      </c>
      <c r="M42" s="245" t="s">
        <v>87</v>
      </c>
      <c r="N42" s="246" t="s">
        <v>181</v>
      </c>
      <c r="O42" s="247">
        <v>45000</v>
      </c>
      <c r="P42" s="129">
        <f t="shared" si="1"/>
        <v>41</v>
      </c>
      <c r="Q42" s="129"/>
      <c r="R42" s="122">
        <f t="shared" si="0"/>
        <v>0</v>
      </c>
    </row>
    <row r="43" spans="1:18" s="120" customFormat="1" ht="18" x14ac:dyDescent="0.35">
      <c r="A43" s="116">
        <v>36</v>
      </c>
      <c r="B43" s="117" t="s">
        <v>176</v>
      </c>
      <c r="C43" s="116" t="s">
        <v>82</v>
      </c>
      <c r="D43" s="118">
        <v>28000</v>
      </c>
      <c r="E43" s="119"/>
      <c r="F43" s="119"/>
      <c r="G43" s="119"/>
      <c r="H43" s="119"/>
      <c r="I43" s="119"/>
      <c r="J43" s="119"/>
      <c r="K43" s="119"/>
      <c r="L43" s="129">
        <v>42</v>
      </c>
      <c r="M43" s="245" t="s">
        <v>88</v>
      </c>
      <c r="N43" s="246" t="s">
        <v>307</v>
      </c>
      <c r="O43" s="247">
        <v>26000</v>
      </c>
      <c r="P43" s="129">
        <f t="shared" si="1"/>
        <v>42</v>
      </c>
      <c r="Q43" s="129"/>
      <c r="R43" s="122">
        <f t="shared" si="0"/>
        <v>0</v>
      </c>
    </row>
    <row r="44" spans="1:18" s="120" customFormat="1" ht="18" x14ac:dyDescent="0.35">
      <c r="A44" s="116">
        <v>37</v>
      </c>
      <c r="B44" s="117" t="s">
        <v>177</v>
      </c>
      <c r="C44" s="116" t="s">
        <v>83</v>
      </c>
      <c r="D44" s="118">
        <v>28000</v>
      </c>
      <c r="E44" s="119"/>
      <c r="F44" s="119"/>
      <c r="G44" s="119"/>
      <c r="H44" s="119"/>
      <c r="I44" s="119"/>
      <c r="J44" s="119"/>
      <c r="K44" s="119"/>
      <c r="L44" s="129" t="s">
        <v>161</v>
      </c>
      <c r="M44" s="245" t="s">
        <v>162</v>
      </c>
      <c r="N44" s="246" t="s">
        <v>270</v>
      </c>
      <c r="O44" s="247">
        <v>110000</v>
      </c>
      <c r="P44" s="129" t="str">
        <f t="shared" si="1"/>
        <v>G1</v>
      </c>
      <c r="Q44" s="129"/>
      <c r="R44" s="122">
        <f t="shared" si="0"/>
        <v>0</v>
      </c>
    </row>
    <row r="45" spans="1:18" s="120" customFormat="1" ht="18" x14ac:dyDescent="0.35">
      <c r="A45" s="116">
        <v>38</v>
      </c>
      <c r="B45" s="117" t="s">
        <v>178</v>
      </c>
      <c r="C45" s="116" t="s">
        <v>84</v>
      </c>
      <c r="D45" s="118">
        <v>26000</v>
      </c>
      <c r="E45" s="119"/>
      <c r="F45" s="119"/>
      <c r="G45" s="119"/>
      <c r="H45" s="119"/>
      <c r="I45" s="119"/>
      <c r="J45" s="119"/>
      <c r="K45" s="119"/>
      <c r="L45" s="245" t="s">
        <v>277</v>
      </c>
      <c r="M45" s="245" t="s">
        <v>282</v>
      </c>
      <c r="N45" s="246" t="s">
        <v>271</v>
      </c>
      <c r="O45" s="247">
        <v>122000</v>
      </c>
      <c r="P45" s="129" t="str">
        <f t="shared" si="1"/>
        <v>G2</v>
      </c>
      <c r="Q45" s="129"/>
      <c r="R45" s="122">
        <f t="shared" si="0"/>
        <v>0</v>
      </c>
    </row>
    <row r="46" spans="1:18" s="120" customFormat="1" ht="18" x14ac:dyDescent="0.35">
      <c r="A46" s="116">
        <v>39</v>
      </c>
      <c r="B46" s="117" t="s">
        <v>179</v>
      </c>
      <c r="C46" s="116" t="s">
        <v>85</v>
      </c>
      <c r="D46" s="118">
        <v>37000</v>
      </c>
      <c r="E46" s="119"/>
      <c r="F46" s="119"/>
      <c r="G46" s="119"/>
      <c r="H46" s="119"/>
      <c r="I46" s="119"/>
      <c r="J46" s="119"/>
      <c r="K46" s="119"/>
      <c r="L46" s="245" t="s">
        <v>278</v>
      </c>
      <c r="M46" s="245" t="s">
        <v>283</v>
      </c>
      <c r="N46" s="246" t="s">
        <v>272</v>
      </c>
      <c r="O46" s="247">
        <v>95000</v>
      </c>
      <c r="P46" s="129" t="str">
        <f t="shared" si="1"/>
        <v>G3</v>
      </c>
      <c r="Q46" s="129"/>
      <c r="R46" s="122">
        <f t="shared" si="0"/>
        <v>0</v>
      </c>
    </row>
    <row r="47" spans="1:18" s="120" customFormat="1" ht="18" x14ac:dyDescent="0.35">
      <c r="A47" s="116">
        <v>40</v>
      </c>
      <c r="B47" s="117" t="s">
        <v>180</v>
      </c>
      <c r="C47" s="116" t="s">
        <v>86</v>
      </c>
      <c r="D47" s="118">
        <v>42000</v>
      </c>
      <c r="E47" s="119"/>
      <c r="F47" s="119"/>
      <c r="G47" s="119"/>
      <c r="H47" s="119"/>
      <c r="I47" s="119"/>
      <c r="J47" s="119"/>
      <c r="K47" s="119"/>
      <c r="L47" s="245" t="s">
        <v>279</v>
      </c>
      <c r="M47" s="245" t="s">
        <v>284</v>
      </c>
      <c r="N47" s="246" t="s">
        <v>286</v>
      </c>
      <c r="O47" s="247">
        <v>116000</v>
      </c>
      <c r="P47" s="129" t="str">
        <f t="shared" si="1"/>
        <v>G4</v>
      </c>
      <c r="Q47" s="129"/>
      <c r="R47" s="122">
        <f t="shared" si="0"/>
        <v>0</v>
      </c>
    </row>
    <row r="48" spans="1:18" s="120" customFormat="1" ht="18" x14ac:dyDescent="0.35">
      <c r="A48" s="116">
        <v>41</v>
      </c>
      <c r="B48" s="117" t="s">
        <v>181</v>
      </c>
      <c r="C48" s="116" t="s">
        <v>87</v>
      </c>
      <c r="D48" s="118">
        <v>45000</v>
      </c>
      <c r="E48" s="119"/>
      <c r="F48" s="119"/>
      <c r="G48" s="119"/>
      <c r="H48" s="119"/>
      <c r="I48" s="119"/>
      <c r="J48" s="119"/>
      <c r="K48" s="119"/>
      <c r="L48" s="245" t="s">
        <v>280</v>
      </c>
      <c r="M48" s="245" t="s">
        <v>285</v>
      </c>
      <c r="N48" s="246" t="s">
        <v>273</v>
      </c>
      <c r="O48" s="247">
        <v>48000</v>
      </c>
      <c r="P48" s="129" t="str">
        <f t="shared" si="1"/>
        <v>G5</v>
      </c>
      <c r="Q48" s="129"/>
      <c r="R48" s="122">
        <f t="shared" si="0"/>
        <v>0</v>
      </c>
    </row>
    <row r="49" spans="1:18" s="120" customFormat="1" ht="18" x14ac:dyDescent="0.35">
      <c r="A49" s="116">
        <v>42</v>
      </c>
      <c r="B49" s="117" t="s">
        <v>307</v>
      </c>
      <c r="C49" s="116" t="s">
        <v>88</v>
      </c>
      <c r="D49" s="118">
        <v>26000</v>
      </c>
      <c r="E49" s="119"/>
      <c r="F49" s="119"/>
      <c r="G49" s="119"/>
      <c r="H49" s="119"/>
      <c r="I49" s="119"/>
      <c r="J49" s="119"/>
      <c r="K49" s="119"/>
      <c r="L49" s="245" t="s">
        <v>281</v>
      </c>
      <c r="M49" s="245" t="s">
        <v>287</v>
      </c>
      <c r="N49" s="246" t="s">
        <v>274</v>
      </c>
      <c r="O49" s="247">
        <v>43000</v>
      </c>
      <c r="P49" s="129" t="str">
        <f t="shared" si="1"/>
        <v>G6</v>
      </c>
      <c r="Q49" s="129"/>
      <c r="R49" s="122">
        <f t="shared" si="0"/>
        <v>0</v>
      </c>
    </row>
    <row r="50" spans="1:18" s="120" customFormat="1" ht="18" x14ac:dyDescent="0.35">
      <c r="E50" s="119"/>
      <c r="F50" s="119"/>
      <c r="G50" s="119"/>
      <c r="H50" s="119"/>
      <c r="I50" s="119"/>
      <c r="J50" s="119"/>
      <c r="K50" s="119"/>
      <c r="L50"/>
      <c r="M50"/>
      <c r="N50"/>
      <c r="O50"/>
      <c r="P50" s="129" t="str">
        <f t="shared" si="1"/>
        <v/>
      </c>
      <c r="Q50" s="121"/>
      <c r="R50" s="122">
        <f t="shared" si="0"/>
        <v>0</v>
      </c>
    </row>
    <row r="51" spans="1:18" s="120" customFormat="1" ht="18" x14ac:dyDescent="0.35">
      <c r="E51" s="119"/>
      <c r="F51" s="119"/>
      <c r="G51" s="119"/>
      <c r="H51" s="119"/>
      <c r="I51" s="119"/>
      <c r="J51" s="119"/>
      <c r="K51" s="119"/>
      <c r="L51"/>
      <c r="M51"/>
      <c r="N51"/>
      <c r="O51"/>
      <c r="P51" s="129" t="str">
        <f t="shared" si="1"/>
        <v/>
      </c>
      <c r="Q51" s="121"/>
      <c r="R51" s="122">
        <f t="shared" si="0"/>
        <v>0</v>
      </c>
    </row>
    <row r="52" spans="1:18" s="120" customFormat="1" ht="18" x14ac:dyDescent="0.35">
      <c r="E52" s="119"/>
      <c r="F52" s="119"/>
      <c r="G52" s="119"/>
      <c r="H52" s="119"/>
      <c r="I52" s="119"/>
      <c r="J52" s="119"/>
      <c r="K52" s="119"/>
      <c r="L52"/>
      <c r="M52"/>
      <c r="N52"/>
      <c r="O52"/>
      <c r="P52" s="129" t="str">
        <f t="shared" si="1"/>
        <v/>
      </c>
      <c r="Q52" s="121"/>
      <c r="R52" s="122">
        <f t="shared" si="0"/>
        <v>0</v>
      </c>
    </row>
    <row r="53" spans="1:18" s="120" customFormat="1" ht="18" x14ac:dyDescent="0.35">
      <c r="E53" s="119"/>
      <c r="F53" s="119"/>
      <c r="G53" s="119"/>
      <c r="H53" s="119"/>
      <c r="I53" s="119"/>
      <c r="J53" s="119"/>
      <c r="K53" s="119"/>
      <c r="L53"/>
      <c r="M53"/>
      <c r="N53"/>
      <c r="O53"/>
      <c r="P53" s="129" t="str">
        <f t="shared" si="1"/>
        <v/>
      </c>
      <c r="Q53" s="121"/>
      <c r="R53" s="122">
        <f t="shared" si="0"/>
        <v>0</v>
      </c>
    </row>
    <row r="54" spans="1:18" s="120" customFormat="1" ht="18" x14ac:dyDescent="0.35">
      <c r="E54" s="119"/>
      <c r="F54" s="119"/>
      <c r="G54" s="119"/>
      <c r="H54" s="119"/>
      <c r="I54" s="119"/>
      <c r="J54" s="119"/>
      <c r="K54" s="119"/>
      <c r="L54"/>
      <c r="M54"/>
      <c r="N54"/>
      <c r="O54"/>
      <c r="P54" s="129" t="str">
        <f t="shared" si="1"/>
        <v/>
      </c>
      <c r="Q54" s="121"/>
      <c r="R54" s="122">
        <f t="shared" si="0"/>
        <v>0</v>
      </c>
    </row>
    <row r="55" spans="1:18" s="120" customFormat="1" ht="18" x14ac:dyDescent="0.35">
      <c r="E55" s="119"/>
      <c r="F55" s="119"/>
      <c r="G55" s="119"/>
      <c r="H55" s="119"/>
      <c r="I55" s="119"/>
      <c r="J55" s="119"/>
      <c r="K55" s="119"/>
      <c r="L55"/>
      <c r="M55"/>
      <c r="N55"/>
      <c r="O55"/>
      <c r="P55" s="129" t="str">
        <f t="shared" si="1"/>
        <v/>
      </c>
      <c r="Q55" s="121"/>
      <c r="R55" s="122">
        <f t="shared" si="0"/>
        <v>0</v>
      </c>
    </row>
    <row r="56" spans="1:18" s="120" customFormat="1" ht="18" x14ac:dyDescent="0.35">
      <c r="E56" s="119"/>
      <c r="F56" s="119"/>
      <c r="G56" s="119"/>
      <c r="H56" s="119"/>
      <c r="I56" s="119"/>
      <c r="J56" s="119"/>
      <c r="K56" s="119"/>
      <c r="L56"/>
      <c r="M56"/>
      <c r="N56"/>
      <c r="O56"/>
      <c r="P56" s="129" t="str">
        <f t="shared" si="1"/>
        <v/>
      </c>
      <c r="Q56" s="121"/>
      <c r="R56" s="122">
        <f t="shared" si="0"/>
        <v>0</v>
      </c>
    </row>
    <row r="57" spans="1:18" s="120" customFormat="1" ht="18" x14ac:dyDescent="0.35">
      <c r="E57" s="119"/>
      <c r="F57" s="119"/>
      <c r="G57" s="119"/>
      <c r="H57" s="119"/>
      <c r="I57" s="119"/>
      <c r="J57" s="119"/>
      <c r="K57" s="119"/>
      <c r="L57"/>
      <c r="M57"/>
      <c r="N57"/>
      <c r="O57"/>
      <c r="P57" s="129" t="str">
        <f t="shared" si="1"/>
        <v/>
      </c>
      <c r="Q57" s="121"/>
      <c r="R57" s="122">
        <f t="shared" si="0"/>
        <v>0</v>
      </c>
    </row>
    <row r="58" spans="1:18" s="120" customFormat="1" ht="18" x14ac:dyDescent="0.35">
      <c r="E58" s="119"/>
      <c r="F58" s="119"/>
      <c r="G58" s="119"/>
      <c r="H58" s="119"/>
      <c r="I58" s="119"/>
      <c r="J58" s="119"/>
      <c r="K58" s="119"/>
      <c r="L58"/>
      <c r="M58"/>
      <c r="N58"/>
      <c r="O58"/>
      <c r="P58" s="129" t="str">
        <f t="shared" si="1"/>
        <v/>
      </c>
      <c r="Q58" s="121"/>
      <c r="R58" s="122">
        <f t="shared" si="0"/>
        <v>0</v>
      </c>
    </row>
    <row r="59" spans="1:18" s="120" customFormat="1" ht="18" x14ac:dyDescent="0.35">
      <c r="E59" s="119"/>
      <c r="F59" s="119"/>
      <c r="G59" s="119"/>
      <c r="H59" s="119"/>
      <c r="I59" s="119"/>
      <c r="J59" s="119"/>
      <c r="K59" s="119"/>
      <c r="L59"/>
      <c r="M59"/>
      <c r="N59"/>
      <c r="O59"/>
      <c r="P59" s="129" t="str">
        <f t="shared" si="1"/>
        <v/>
      </c>
      <c r="Q59" s="121"/>
      <c r="R59" s="122">
        <f t="shared" si="0"/>
        <v>0</v>
      </c>
    </row>
    <row r="60" spans="1:18" s="120" customFormat="1" ht="18" x14ac:dyDescent="0.35">
      <c r="E60" s="119"/>
      <c r="F60" s="119"/>
      <c r="G60" s="119"/>
      <c r="H60" s="119"/>
      <c r="I60" s="119"/>
      <c r="J60" s="119"/>
      <c r="K60" s="119"/>
      <c r="L60"/>
      <c r="M60"/>
      <c r="N60"/>
      <c r="O60"/>
      <c r="P60" s="129" t="str">
        <f t="shared" si="1"/>
        <v/>
      </c>
      <c r="Q60" s="121"/>
      <c r="R60" s="122">
        <f t="shared" si="0"/>
        <v>0</v>
      </c>
    </row>
    <row r="61" spans="1:18" x14ac:dyDescent="0.3">
      <c r="L61" s="15"/>
      <c r="M61" s="15"/>
      <c r="N61" s="15"/>
      <c r="O61" s="15"/>
      <c r="P61" s="15"/>
    </row>
    <row r="62" spans="1:18" x14ac:dyDescent="0.3">
      <c r="L62" s="15"/>
      <c r="M62" s="15"/>
      <c r="N62" s="15"/>
      <c r="O62" s="15"/>
      <c r="P62" s="15"/>
    </row>
    <row r="63" spans="1:18" x14ac:dyDescent="0.3">
      <c r="L63" s="15"/>
      <c r="M63" s="15"/>
      <c r="N63" s="15"/>
      <c r="O63" s="15"/>
      <c r="P63" s="15"/>
    </row>
    <row r="64" spans="1:18" x14ac:dyDescent="0.3">
      <c r="L64" s="15"/>
      <c r="M64" s="15"/>
      <c r="N64" s="15"/>
      <c r="O64" s="15"/>
      <c r="P64" s="15"/>
    </row>
    <row r="65" spans="12:16" x14ac:dyDescent="0.3">
      <c r="L65" s="15"/>
      <c r="M65" s="15"/>
      <c r="N65" s="15"/>
      <c r="O65" s="15"/>
      <c r="P65" s="15"/>
    </row>
    <row r="66" spans="12:16" x14ac:dyDescent="0.3">
      <c r="L66" s="15"/>
      <c r="M66" s="15"/>
      <c r="N66" s="15"/>
      <c r="O66" s="15"/>
      <c r="P66" s="15"/>
    </row>
    <row r="67" spans="12:16" x14ac:dyDescent="0.3">
      <c r="L67" s="15"/>
      <c r="M67" s="15"/>
      <c r="N67" s="15"/>
      <c r="O67" s="15"/>
      <c r="P67" s="15"/>
    </row>
    <row r="68" spans="12:16" x14ac:dyDescent="0.3">
      <c r="L68" s="15"/>
      <c r="M68" s="15"/>
      <c r="N68" s="15"/>
      <c r="O68" s="15"/>
      <c r="P68" s="15"/>
    </row>
    <row r="69" spans="12:16" x14ac:dyDescent="0.3">
      <c r="L69" s="15"/>
      <c r="M69" s="15"/>
      <c r="N69" s="15"/>
      <c r="O69" s="15"/>
      <c r="P69" s="15"/>
    </row>
    <row r="70" spans="12:16" x14ac:dyDescent="0.3">
      <c r="L70" s="15"/>
      <c r="M70" s="15"/>
      <c r="N70" s="15"/>
      <c r="O70" s="15"/>
      <c r="P70" s="15"/>
    </row>
    <row r="71" spans="12:16" x14ac:dyDescent="0.3">
      <c r="L71" s="15"/>
      <c r="M71" s="15"/>
      <c r="N71" s="15"/>
      <c r="O71" s="15"/>
      <c r="P71" s="15"/>
    </row>
    <row r="72" spans="12:16" x14ac:dyDescent="0.3">
      <c r="L72" s="15"/>
      <c r="M72" s="15"/>
      <c r="N72" s="15"/>
      <c r="O72" s="15"/>
      <c r="P72" s="15"/>
    </row>
    <row r="73" spans="12:16" x14ac:dyDescent="0.3">
      <c r="L73" s="15"/>
      <c r="M73" s="15"/>
      <c r="N73" s="15"/>
      <c r="O73" s="15"/>
      <c r="P73" s="15"/>
    </row>
    <row r="74" spans="12:16" x14ac:dyDescent="0.3">
      <c r="L74" s="15"/>
      <c r="M74" s="15"/>
      <c r="N74" s="15"/>
      <c r="O74" s="15"/>
      <c r="P74" s="15"/>
    </row>
    <row r="75" spans="12:16" x14ac:dyDescent="0.3">
      <c r="L75" s="15"/>
      <c r="M75" s="15"/>
      <c r="N75" s="15"/>
      <c r="O75" s="15"/>
      <c r="P75" s="15"/>
    </row>
    <row r="76" spans="12:16" x14ac:dyDescent="0.3">
      <c r="L76" s="15"/>
      <c r="M76" s="15"/>
      <c r="N76" s="15"/>
      <c r="O76" s="15"/>
      <c r="P76" s="15"/>
    </row>
    <row r="77" spans="12:16" x14ac:dyDescent="0.3">
      <c r="L77" s="15"/>
      <c r="M77" s="15"/>
      <c r="N77" s="15"/>
      <c r="O77" s="15"/>
      <c r="P77" s="15"/>
    </row>
    <row r="78" spans="12:16" x14ac:dyDescent="0.3">
      <c r="L78" s="15"/>
      <c r="M78" s="15"/>
      <c r="N78" s="15"/>
      <c r="O78" s="15"/>
      <c r="P78" s="15"/>
    </row>
    <row r="79" spans="12:16" x14ac:dyDescent="0.3">
      <c r="L79" s="15"/>
      <c r="M79" s="15"/>
      <c r="N79" s="15"/>
      <c r="O79" s="15"/>
      <c r="P79" s="15"/>
    </row>
    <row r="80" spans="12:16" x14ac:dyDescent="0.3">
      <c r="L80" s="15"/>
      <c r="M80" s="15"/>
      <c r="N80" s="15"/>
      <c r="O80" s="15"/>
      <c r="P80" s="15"/>
    </row>
    <row r="81" spans="12:16" x14ac:dyDescent="0.3">
      <c r="L81" s="15"/>
      <c r="M81" s="15"/>
      <c r="N81" s="15"/>
      <c r="O81" s="15"/>
      <c r="P81" s="15"/>
    </row>
    <row r="82" spans="12:16" x14ac:dyDescent="0.3">
      <c r="L82" s="15"/>
      <c r="M82" s="15"/>
      <c r="N82" s="15"/>
      <c r="O82" s="15"/>
      <c r="P82" s="15"/>
    </row>
    <row r="83" spans="12:16" x14ac:dyDescent="0.3">
      <c r="L83" s="15"/>
      <c r="M83" s="15"/>
      <c r="N83" s="15"/>
      <c r="O83" s="15"/>
      <c r="P83" s="15"/>
    </row>
    <row r="84" spans="12:16" x14ac:dyDescent="0.3">
      <c r="L84" s="15"/>
      <c r="M84" s="15"/>
      <c r="N84" s="15"/>
      <c r="O84" s="15"/>
      <c r="P84" s="15"/>
    </row>
    <row r="85" spans="12:16" x14ac:dyDescent="0.3">
      <c r="L85" s="15"/>
      <c r="M85" s="15"/>
      <c r="N85" s="15"/>
      <c r="O85" s="15"/>
      <c r="P85" s="15"/>
    </row>
    <row r="86" spans="12:16" x14ac:dyDescent="0.3">
      <c r="L86" s="15"/>
      <c r="M86" s="15"/>
      <c r="N86" s="15"/>
      <c r="O86" s="15"/>
      <c r="P86" s="15"/>
    </row>
    <row r="87" spans="12:16" x14ac:dyDescent="0.3">
      <c r="L87" s="15"/>
      <c r="M87" s="15"/>
      <c r="N87" s="15"/>
      <c r="O87" s="15"/>
      <c r="P87" s="15"/>
    </row>
    <row r="88" spans="12:16" x14ac:dyDescent="0.3">
      <c r="L88" s="15"/>
      <c r="M88" s="15"/>
      <c r="N88" s="15"/>
      <c r="O88" s="15"/>
      <c r="P88" s="15"/>
    </row>
    <row r="89" spans="12:16" x14ac:dyDescent="0.3">
      <c r="L89" s="15"/>
      <c r="M89" s="15"/>
      <c r="N89" s="15"/>
      <c r="O89" s="15"/>
      <c r="P89" s="15"/>
    </row>
    <row r="90" spans="12:16" x14ac:dyDescent="0.3">
      <c r="L90" s="15"/>
      <c r="M90" s="15"/>
      <c r="N90" s="15"/>
      <c r="O90" s="15"/>
      <c r="P90" s="15"/>
    </row>
    <row r="91" spans="12:16" x14ac:dyDescent="0.3">
      <c r="L91" s="15"/>
      <c r="M91" s="15"/>
      <c r="N91" s="15"/>
      <c r="O91" s="15"/>
      <c r="P91" s="15"/>
    </row>
    <row r="92" spans="12:16" x14ac:dyDescent="0.3">
      <c r="L92" s="15"/>
      <c r="M92" s="15"/>
      <c r="N92" s="15"/>
      <c r="O92" s="15"/>
      <c r="P92" s="15"/>
    </row>
    <row r="93" spans="12:16" x14ac:dyDescent="0.3">
      <c r="L93" s="15"/>
      <c r="M93" s="15"/>
      <c r="N93" s="15"/>
      <c r="O93" s="15"/>
      <c r="P93" s="15"/>
    </row>
    <row r="94" spans="12:16" x14ac:dyDescent="0.3">
      <c r="L94" s="15"/>
      <c r="M94" s="15"/>
      <c r="N94" s="15"/>
      <c r="O94" s="15"/>
      <c r="P94" s="15"/>
    </row>
    <row r="95" spans="12:16" x14ac:dyDescent="0.3">
      <c r="L95" s="15"/>
      <c r="M95" s="15"/>
      <c r="N95" s="15"/>
      <c r="O95" s="15"/>
      <c r="P95" s="15"/>
    </row>
    <row r="96" spans="12:16" x14ac:dyDescent="0.3">
      <c r="L96" s="15"/>
      <c r="M96" s="15"/>
      <c r="N96" s="15"/>
      <c r="O96" s="15"/>
      <c r="P96" s="15"/>
    </row>
    <row r="97" spans="12:16" x14ac:dyDescent="0.3">
      <c r="L97" s="15"/>
      <c r="M97" s="15"/>
      <c r="N97" s="15"/>
      <c r="O97" s="15"/>
      <c r="P97" s="15"/>
    </row>
    <row r="98" spans="12:16" x14ac:dyDescent="0.3">
      <c r="L98" s="15"/>
      <c r="M98" s="15"/>
      <c r="N98" s="15"/>
      <c r="O98" s="15"/>
      <c r="P98" s="15"/>
    </row>
    <row r="99" spans="12:16" x14ac:dyDescent="0.3">
      <c r="L99" s="15"/>
      <c r="M99" s="15"/>
      <c r="N99" s="15"/>
      <c r="O99" s="15"/>
      <c r="P99" s="15"/>
    </row>
    <row r="100" spans="12:16" x14ac:dyDescent="0.3">
      <c r="L100" s="15"/>
      <c r="M100" s="15"/>
      <c r="N100" s="15"/>
      <c r="O100" s="15"/>
      <c r="P100" s="15"/>
    </row>
    <row r="101" spans="12:16" x14ac:dyDescent="0.3">
      <c r="L101" s="15"/>
      <c r="M101" s="15"/>
      <c r="N101" s="15"/>
      <c r="O101" s="15"/>
      <c r="P101" s="15"/>
    </row>
    <row r="102" spans="12:16" x14ac:dyDescent="0.3">
      <c r="L102" s="15"/>
      <c r="M102" s="15"/>
      <c r="N102" s="15"/>
      <c r="O102" s="15"/>
      <c r="P102" s="15"/>
    </row>
    <row r="103" spans="12:16" x14ac:dyDescent="0.3">
      <c r="L103" s="15"/>
      <c r="M103" s="15"/>
      <c r="N103" s="15"/>
      <c r="O103" s="15"/>
      <c r="P103" s="15"/>
    </row>
    <row r="104" spans="12:16" x14ac:dyDescent="0.3">
      <c r="L104" s="15"/>
      <c r="M104" s="15"/>
      <c r="N104" s="15"/>
      <c r="O104" s="15"/>
      <c r="P104" s="15"/>
    </row>
    <row r="105" spans="12:16" x14ac:dyDescent="0.3">
      <c r="L105" s="15"/>
      <c r="M105" s="15"/>
      <c r="N105" s="15"/>
      <c r="O105" s="15"/>
      <c r="P105" s="15"/>
    </row>
    <row r="106" spans="12:16" x14ac:dyDescent="0.3">
      <c r="L106" s="15"/>
      <c r="M106" s="15"/>
      <c r="N106" s="15"/>
      <c r="O106" s="15"/>
      <c r="P106" s="15"/>
    </row>
    <row r="107" spans="12:16" x14ac:dyDescent="0.3">
      <c r="L107" s="15"/>
      <c r="M107" s="15"/>
      <c r="N107" s="15"/>
      <c r="O107" s="15"/>
      <c r="P107" s="15"/>
    </row>
    <row r="108" spans="12:16" x14ac:dyDescent="0.3">
      <c r="L108" s="15"/>
      <c r="M108" s="15"/>
      <c r="N108" s="15"/>
      <c r="O108" s="15"/>
      <c r="P108" s="15"/>
    </row>
    <row r="109" spans="12:16" x14ac:dyDescent="0.3">
      <c r="L109" s="15"/>
      <c r="M109" s="15"/>
      <c r="N109" s="15"/>
      <c r="O109" s="15"/>
      <c r="P109" s="15"/>
    </row>
    <row r="110" spans="12:16" x14ac:dyDescent="0.3">
      <c r="L110" s="15"/>
      <c r="M110" s="15"/>
      <c r="N110" s="15"/>
      <c r="O110" s="15"/>
      <c r="P110" s="15"/>
    </row>
    <row r="111" spans="12:16" x14ac:dyDescent="0.3">
      <c r="L111" s="15"/>
      <c r="M111" s="15"/>
      <c r="N111" s="15"/>
      <c r="O111" s="15"/>
      <c r="P111" s="15"/>
    </row>
    <row r="112" spans="12:16" x14ac:dyDescent="0.3">
      <c r="L112" s="15"/>
      <c r="M112" s="15"/>
      <c r="N112" s="15"/>
      <c r="O112" s="15"/>
      <c r="P112" s="15"/>
    </row>
    <row r="113" spans="12:16" x14ac:dyDescent="0.3">
      <c r="L113" s="15"/>
      <c r="M113" s="15"/>
      <c r="N113" s="15"/>
      <c r="O113" s="15"/>
      <c r="P113" s="15"/>
    </row>
    <row r="114" spans="12:16" x14ac:dyDescent="0.3">
      <c r="L114" s="15"/>
      <c r="M114" s="15"/>
      <c r="N114" s="15"/>
      <c r="O114" s="15"/>
      <c r="P114" s="15"/>
    </row>
    <row r="115" spans="12:16" x14ac:dyDescent="0.3">
      <c r="L115" s="15"/>
      <c r="M115" s="15"/>
      <c r="N115" s="15"/>
      <c r="O115" s="15"/>
      <c r="P115" s="15"/>
    </row>
    <row r="116" spans="12:16" x14ac:dyDescent="0.3">
      <c r="L116" s="15"/>
      <c r="M116" s="15"/>
      <c r="N116" s="15"/>
      <c r="O116" s="15"/>
      <c r="P116" s="15"/>
    </row>
    <row r="117" spans="12:16" x14ac:dyDescent="0.3">
      <c r="L117" s="15"/>
      <c r="M117" s="15"/>
      <c r="N117" s="15"/>
      <c r="O117" s="15"/>
      <c r="P117" s="15"/>
    </row>
    <row r="118" spans="12:16" x14ac:dyDescent="0.3">
      <c r="L118" s="15"/>
      <c r="M118" s="15"/>
      <c r="N118" s="15"/>
      <c r="O118" s="15"/>
      <c r="P118" s="15"/>
    </row>
    <row r="119" spans="12:16" x14ac:dyDescent="0.3">
      <c r="L119" s="15"/>
      <c r="M119" s="15"/>
      <c r="N119" s="15"/>
      <c r="O119" s="15"/>
      <c r="P119" s="15"/>
    </row>
    <row r="120" spans="12:16" x14ac:dyDescent="0.3">
      <c r="L120" s="15"/>
      <c r="M120" s="15"/>
      <c r="N120" s="15"/>
      <c r="O120" s="15"/>
      <c r="P120" s="15"/>
    </row>
    <row r="121" spans="12:16" x14ac:dyDescent="0.3">
      <c r="L121" s="15"/>
      <c r="M121" s="15"/>
      <c r="N121" s="15"/>
      <c r="O121" s="15"/>
      <c r="P121" s="15"/>
    </row>
    <row r="122" spans="12:16" x14ac:dyDescent="0.3">
      <c r="L122" s="15"/>
      <c r="M122" s="15"/>
      <c r="N122" s="15"/>
      <c r="O122" s="15"/>
      <c r="P122" s="15"/>
    </row>
    <row r="123" spans="12:16" x14ac:dyDescent="0.3">
      <c r="L123" s="15"/>
      <c r="M123" s="15"/>
      <c r="N123" s="15"/>
      <c r="O123" s="15"/>
      <c r="P123" s="15"/>
    </row>
    <row r="124" spans="12:16" x14ac:dyDescent="0.3">
      <c r="L124" s="15"/>
      <c r="M124" s="15"/>
      <c r="N124" s="15"/>
      <c r="O124" s="15"/>
      <c r="P124" s="15"/>
    </row>
    <row r="125" spans="12:16" x14ac:dyDescent="0.3">
      <c r="L125" s="15"/>
      <c r="M125" s="15"/>
      <c r="N125" s="15"/>
      <c r="O125" s="15"/>
      <c r="P125" s="15"/>
    </row>
    <row r="126" spans="12:16" x14ac:dyDescent="0.3">
      <c r="L126" s="15"/>
      <c r="M126" s="15"/>
      <c r="N126" s="15"/>
      <c r="O126" s="15"/>
      <c r="P126" s="15"/>
    </row>
    <row r="127" spans="12:16" x14ac:dyDescent="0.3">
      <c r="L127" s="15"/>
      <c r="M127" s="15"/>
      <c r="N127" s="15"/>
      <c r="O127" s="15"/>
      <c r="P127" s="15"/>
    </row>
    <row r="128" spans="12:16" x14ac:dyDescent="0.3">
      <c r="L128" s="15"/>
      <c r="M128" s="15"/>
      <c r="N128" s="15"/>
      <c r="O128" s="15"/>
      <c r="P128" s="15"/>
    </row>
    <row r="129" spans="12:16" x14ac:dyDescent="0.3">
      <c r="L129" s="15"/>
      <c r="M129" s="15"/>
      <c r="N129" s="15"/>
      <c r="O129" s="15"/>
      <c r="P129" s="15"/>
    </row>
    <row r="130" spans="12:16" x14ac:dyDescent="0.3">
      <c r="L130" s="15"/>
      <c r="M130" s="15"/>
      <c r="N130" s="15"/>
      <c r="O130" s="15"/>
      <c r="P130" s="15"/>
    </row>
    <row r="131" spans="12:16" x14ac:dyDescent="0.3">
      <c r="L131" s="15"/>
      <c r="M131" s="15"/>
      <c r="N131" s="15"/>
      <c r="O131" s="15"/>
      <c r="P131" s="15"/>
    </row>
    <row r="132" spans="12:16" x14ac:dyDescent="0.3">
      <c r="L132" s="15"/>
      <c r="M132" s="15"/>
      <c r="N132" s="15"/>
      <c r="O132" s="15"/>
      <c r="P132" s="15"/>
    </row>
    <row r="133" spans="12:16" x14ac:dyDescent="0.3">
      <c r="L133" s="15"/>
      <c r="M133" s="15"/>
      <c r="N133" s="15"/>
      <c r="O133" s="15"/>
      <c r="P133" s="15"/>
    </row>
    <row r="134" spans="12:16" x14ac:dyDescent="0.3">
      <c r="L134" s="15"/>
      <c r="M134" s="15"/>
      <c r="N134" s="15"/>
      <c r="O134" s="15"/>
      <c r="P134" s="15"/>
    </row>
    <row r="135" spans="12:16" x14ac:dyDescent="0.3">
      <c r="L135" s="15"/>
      <c r="M135" s="15"/>
      <c r="N135" s="15"/>
      <c r="O135" s="15"/>
      <c r="P135" s="15"/>
    </row>
    <row r="136" spans="12:16" x14ac:dyDescent="0.3">
      <c r="L136" s="15"/>
      <c r="M136" s="15"/>
      <c r="N136" s="15"/>
      <c r="O136" s="15"/>
      <c r="P136" s="15"/>
    </row>
    <row r="137" spans="12:16" x14ac:dyDescent="0.3">
      <c r="L137" s="15"/>
      <c r="M137" s="15"/>
      <c r="N137" s="15"/>
      <c r="O137" s="15"/>
      <c r="P137" s="15"/>
    </row>
    <row r="138" spans="12:16" x14ac:dyDescent="0.3">
      <c r="L138" s="15"/>
      <c r="M138" s="15"/>
      <c r="N138" s="15"/>
      <c r="O138" s="15"/>
      <c r="P138" s="15"/>
    </row>
    <row r="139" spans="12:16" x14ac:dyDescent="0.3">
      <c r="L139" s="15"/>
      <c r="M139" s="15"/>
      <c r="N139" s="15"/>
      <c r="O139" s="15"/>
      <c r="P139" s="15"/>
    </row>
    <row r="140" spans="12:16" x14ac:dyDescent="0.3">
      <c r="L140" s="15"/>
      <c r="M140" s="15"/>
      <c r="N140" s="15"/>
      <c r="O140" s="15"/>
      <c r="P140" s="15"/>
    </row>
    <row r="141" spans="12:16" x14ac:dyDescent="0.3">
      <c r="L141" s="15"/>
      <c r="M141" s="15"/>
      <c r="N141" s="15"/>
      <c r="O141" s="15"/>
      <c r="P141" s="15"/>
    </row>
    <row r="142" spans="12:16" x14ac:dyDescent="0.3">
      <c r="L142" s="15"/>
      <c r="M142" s="15"/>
      <c r="N142" s="15"/>
      <c r="O142" s="15"/>
      <c r="P142" s="15"/>
    </row>
    <row r="143" spans="12:16" x14ac:dyDescent="0.3">
      <c r="L143" s="15"/>
      <c r="M143" s="15"/>
      <c r="N143" s="15"/>
      <c r="O143" s="15"/>
      <c r="P143" s="15"/>
    </row>
    <row r="144" spans="12:16" x14ac:dyDescent="0.3">
      <c r="L144" s="15"/>
      <c r="M144" s="15"/>
      <c r="N144" s="15"/>
      <c r="O144" s="15"/>
      <c r="P144" s="15"/>
    </row>
    <row r="145" spans="12:16" x14ac:dyDescent="0.3">
      <c r="L145" s="15"/>
      <c r="M145" s="15"/>
      <c r="N145" s="15"/>
      <c r="O145" s="15"/>
      <c r="P145" s="15"/>
    </row>
    <row r="146" spans="12:16" x14ac:dyDescent="0.3">
      <c r="L146" s="15"/>
      <c r="M146" s="15"/>
      <c r="N146" s="15"/>
      <c r="O146" s="15"/>
      <c r="P146" s="15"/>
    </row>
    <row r="147" spans="12:16" x14ac:dyDescent="0.3">
      <c r="L147" s="15"/>
      <c r="M147" s="15"/>
      <c r="N147" s="15"/>
      <c r="O147" s="15"/>
      <c r="P147" s="15"/>
    </row>
    <row r="148" spans="12:16" x14ac:dyDescent="0.3">
      <c r="L148" s="15"/>
      <c r="M148" s="15"/>
      <c r="N148" s="15"/>
      <c r="O148" s="15"/>
      <c r="P148" s="15"/>
    </row>
    <row r="149" spans="12:16" x14ac:dyDescent="0.3">
      <c r="L149" s="15"/>
      <c r="M149" s="15"/>
      <c r="N149" s="15"/>
      <c r="O149" s="15"/>
      <c r="P149" s="15"/>
    </row>
    <row r="150" spans="12:16" x14ac:dyDescent="0.3">
      <c r="L150" s="15"/>
      <c r="M150" s="15"/>
      <c r="N150" s="15"/>
      <c r="O150" s="15"/>
      <c r="P150" s="15"/>
    </row>
    <row r="151" spans="12:16" x14ac:dyDescent="0.3">
      <c r="L151" s="15"/>
      <c r="M151" s="15"/>
      <c r="N151" s="15"/>
      <c r="O151" s="15"/>
      <c r="P151" s="15"/>
    </row>
    <row r="152" spans="12:16" x14ac:dyDescent="0.3">
      <c r="L152" s="15"/>
      <c r="M152" s="15"/>
      <c r="N152" s="15"/>
      <c r="O152" s="15"/>
      <c r="P152" s="15"/>
    </row>
    <row r="153" spans="12:16" x14ac:dyDescent="0.3">
      <c r="L153" s="15"/>
      <c r="M153" s="15"/>
      <c r="N153" s="15"/>
      <c r="O153" s="15"/>
      <c r="P153" s="15"/>
    </row>
    <row r="154" spans="12:16" x14ac:dyDescent="0.3">
      <c r="L154" s="15"/>
      <c r="M154" s="15"/>
      <c r="N154" s="15"/>
      <c r="O154" s="15"/>
      <c r="P154" s="15"/>
    </row>
    <row r="155" spans="12:16" x14ac:dyDescent="0.3">
      <c r="L155" s="15"/>
      <c r="M155" s="15"/>
      <c r="N155" s="15"/>
      <c r="O155" s="15"/>
      <c r="P155" s="15"/>
    </row>
    <row r="156" spans="12:16" x14ac:dyDescent="0.3">
      <c r="L156" s="15"/>
      <c r="M156" s="15"/>
      <c r="N156" s="15"/>
      <c r="O156" s="15"/>
      <c r="P156" s="15"/>
    </row>
    <row r="157" spans="12:16" x14ac:dyDescent="0.3">
      <c r="L157" s="15"/>
      <c r="M157" s="15"/>
      <c r="N157" s="15"/>
      <c r="O157" s="15"/>
      <c r="P157" s="15"/>
    </row>
    <row r="158" spans="12:16" x14ac:dyDescent="0.3">
      <c r="L158" s="15"/>
      <c r="M158" s="15"/>
      <c r="N158" s="15"/>
      <c r="O158" s="15"/>
      <c r="P158" s="15"/>
    </row>
    <row r="159" spans="12:16" x14ac:dyDescent="0.3">
      <c r="L159" s="15"/>
      <c r="M159" s="15"/>
      <c r="N159" s="15"/>
      <c r="O159" s="15"/>
      <c r="P159" s="15"/>
    </row>
    <row r="160" spans="12:16" x14ac:dyDescent="0.3">
      <c r="L160" s="15"/>
      <c r="M160" s="15"/>
      <c r="N160" s="15"/>
      <c r="O160" s="15"/>
      <c r="P160" s="15"/>
    </row>
    <row r="161" spans="12:16" x14ac:dyDescent="0.3">
      <c r="L161" s="15"/>
      <c r="M161" s="15"/>
      <c r="N161" s="15"/>
      <c r="O161" s="15"/>
      <c r="P161" s="15"/>
    </row>
    <row r="162" spans="12:16" x14ac:dyDescent="0.3">
      <c r="L162" s="15"/>
      <c r="M162" s="15"/>
      <c r="N162" s="15"/>
      <c r="O162" s="15"/>
      <c r="P162" s="15"/>
    </row>
    <row r="163" spans="12:16" x14ac:dyDescent="0.3">
      <c r="L163" s="15"/>
      <c r="M163" s="15"/>
      <c r="N163" s="15"/>
      <c r="O163" s="15"/>
      <c r="P163" s="15"/>
    </row>
    <row r="164" spans="12:16" x14ac:dyDescent="0.3">
      <c r="L164" s="15"/>
      <c r="M164" s="15"/>
      <c r="N164" s="15"/>
      <c r="O164" s="15"/>
      <c r="P164" s="15"/>
    </row>
    <row r="165" spans="12:16" x14ac:dyDescent="0.3">
      <c r="L165" s="15"/>
      <c r="M165" s="15"/>
      <c r="N165" s="15"/>
      <c r="O165" s="15"/>
      <c r="P165" s="15"/>
    </row>
    <row r="166" spans="12:16" x14ac:dyDescent="0.3">
      <c r="L166" s="15"/>
      <c r="M166" s="15"/>
      <c r="N166" s="15"/>
      <c r="O166" s="15"/>
      <c r="P166" s="15"/>
    </row>
    <row r="167" spans="12:16" x14ac:dyDescent="0.3">
      <c r="L167" s="15"/>
      <c r="M167" s="15"/>
      <c r="N167" s="15"/>
      <c r="O167" s="15"/>
      <c r="P167" s="15"/>
    </row>
    <row r="168" spans="12:16" x14ac:dyDescent="0.3">
      <c r="L168" s="15"/>
      <c r="M168" s="15"/>
      <c r="N168" s="15"/>
      <c r="O168" s="15"/>
      <c r="P168" s="15"/>
    </row>
    <row r="169" spans="12:16" x14ac:dyDescent="0.3">
      <c r="L169" s="15"/>
      <c r="M169" s="15"/>
      <c r="N169" s="15"/>
      <c r="O169" s="15"/>
      <c r="P169" s="15"/>
    </row>
    <row r="170" spans="12:16" x14ac:dyDescent="0.3">
      <c r="L170" s="15"/>
      <c r="M170" s="15"/>
      <c r="N170" s="15"/>
      <c r="O170" s="15"/>
      <c r="P170" s="15"/>
    </row>
    <row r="171" spans="12:16" x14ac:dyDescent="0.3">
      <c r="L171" s="15"/>
      <c r="M171" s="15"/>
      <c r="N171" s="15"/>
      <c r="O171" s="15"/>
      <c r="P171" s="15"/>
    </row>
    <row r="172" spans="12:16" x14ac:dyDescent="0.3">
      <c r="L172" s="15"/>
      <c r="M172" s="15"/>
      <c r="N172" s="15"/>
      <c r="O172" s="15"/>
      <c r="P172" s="15"/>
    </row>
    <row r="173" spans="12:16" x14ac:dyDescent="0.3">
      <c r="L173" s="15"/>
      <c r="M173" s="15"/>
      <c r="N173" s="15"/>
      <c r="O173" s="15"/>
      <c r="P173" s="15"/>
    </row>
    <row r="174" spans="12:16" x14ac:dyDescent="0.3">
      <c r="L174" s="15"/>
      <c r="M174" s="15"/>
      <c r="N174" s="15"/>
      <c r="O174" s="15"/>
      <c r="P174" s="15"/>
    </row>
    <row r="175" spans="12:16" x14ac:dyDescent="0.3">
      <c r="L175" s="15"/>
      <c r="M175" s="15"/>
      <c r="N175" s="15"/>
      <c r="O175" s="15"/>
      <c r="P175" s="15"/>
    </row>
    <row r="176" spans="12:16" x14ac:dyDescent="0.3">
      <c r="L176" s="15"/>
      <c r="M176" s="15"/>
      <c r="N176" s="15"/>
      <c r="O176" s="15"/>
      <c r="P176" s="15"/>
    </row>
    <row r="177" spans="12:16" x14ac:dyDescent="0.3">
      <c r="L177" s="15"/>
      <c r="M177" s="15"/>
      <c r="N177" s="15"/>
      <c r="O177" s="15"/>
      <c r="P177" s="15"/>
    </row>
    <row r="178" spans="12:16" x14ac:dyDescent="0.3">
      <c r="L178" s="15"/>
      <c r="M178" s="15"/>
      <c r="N178" s="15"/>
      <c r="O178" s="15"/>
      <c r="P178" s="15"/>
    </row>
    <row r="179" spans="12:16" x14ac:dyDescent="0.3">
      <c r="L179" s="15"/>
      <c r="M179" s="15"/>
      <c r="N179" s="15"/>
      <c r="O179" s="15"/>
      <c r="P179" s="15"/>
    </row>
    <row r="180" spans="12:16" x14ac:dyDescent="0.3">
      <c r="L180" s="15"/>
      <c r="M180" s="15"/>
      <c r="N180" s="15"/>
      <c r="O180" s="15"/>
      <c r="P180" s="15"/>
    </row>
    <row r="181" spans="12:16" x14ac:dyDescent="0.3">
      <c r="L181" s="15"/>
      <c r="M181" s="15"/>
      <c r="N181" s="15"/>
      <c r="O181" s="15"/>
      <c r="P181" s="15"/>
    </row>
    <row r="182" spans="12:16" x14ac:dyDescent="0.3">
      <c r="L182" s="15"/>
      <c r="M182" s="15"/>
      <c r="N182" s="15"/>
      <c r="O182" s="15"/>
      <c r="P182" s="15"/>
    </row>
    <row r="183" spans="12:16" x14ac:dyDescent="0.3">
      <c r="L183" s="15"/>
      <c r="M183" s="15"/>
      <c r="N183" s="15"/>
      <c r="O183" s="15"/>
      <c r="P183" s="15"/>
    </row>
    <row r="184" spans="12:16" x14ac:dyDescent="0.3">
      <c r="L184" s="15"/>
      <c r="M184" s="15"/>
      <c r="N184" s="15"/>
      <c r="O184" s="15"/>
      <c r="P184" s="15"/>
    </row>
    <row r="185" spans="12:16" x14ac:dyDescent="0.3">
      <c r="L185" s="15"/>
      <c r="M185" s="15"/>
      <c r="N185" s="15"/>
      <c r="O185" s="15"/>
      <c r="P185" s="15"/>
    </row>
    <row r="186" spans="12:16" x14ac:dyDescent="0.3">
      <c r="L186" s="15"/>
      <c r="M186" s="15"/>
      <c r="N186" s="15"/>
      <c r="O186" s="15"/>
      <c r="P186" s="15"/>
    </row>
    <row r="187" spans="12:16" x14ac:dyDescent="0.3">
      <c r="L187" s="15"/>
      <c r="M187" s="15"/>
      <c r="N187" s="15"/>
      <c r="O187" s="15"/>
      <c r="P187" s="15"/>
    </row>
    <row r="188" spans="12:16" x14ac:dyDescent="0.3">
      <c r="L188" s="15"/>
      <c r="M188" s="15"/>
      <c r="N188" s="15"/>
      <c r="O188" s="15"/>
      <c r="P188" s="15"/>
    </row>
    <row r="189" spans="12:16" x14ac:dyDescent="0.3">
      <c r="L189" s="15"/>
      <c r="M189" s="15"/>
      <c r="N189" s="15"/>
      <c r="O189" s="15"/>
      <c r="P189" s="15"/>
    </row>
    <row r="190" spans="12:16" x14ac:dyDescent="0.3">
      <c r="L190" s="15"/>
      <c r="M190" s="15"/>
      <c r="N190" s="15"/>
      <c r="O190" s="15"/>
      <c r="P190" s="15"/>
    </row>
    <row r="191" spans="12:16" x14ac:dyDescent="0.3">
      <c r="L191" s="15"/>
      <c r="M191" s="15"/>
      <c r="N191" s="15"/>
      <c r="O191" s="15"/>
      <c r="P191" s="15"/>
    </row>
    <row r="192" spans="12:16" x14ac:dyDescent="0.3">
      <c r="L192" s="15"/>
      <c r="M192" s="15"/>
      <c r="N192" s="15"/>
      <c r="O192" s="15"/>
      <c r="P192" s="15"/>
    </row>
    <row r="193" spans="12:16" x14ac:dyDescent="0.3">
      <c r="L193" s="15"/>
      <c r="M193" s="15"/>
      <c r="N193" s="15"/>
      <c r="O193" s="15"/>
      <c r="P193" s="15"/>
    </row>
    <row r="194" spans="12:16" x14ac:dyDescent="0.3">
      <c r="L194" s="15"/>
      <c r="M194" s="15"/>
      <c r="N194" s="15"/>
      <c r="O194" s="15"/>
      <c r="P194" s="15"/>
    </row>
    <row r="195" spans="12:16" x14ac:dyDescent="0.3">
      <c r="L195" s="15"/>
      <c r="M195" s="15"/>
      <c r="N195" s="15"/>
      <c r="O195" s="15"/>
      <c r="P195" s="15"/>
    </row>
    <row r="196" spans="12:16" x14ac:dyDescent="0.3">
      <c r="L196" s="15"/>
      <c r="M196" s="15"/>
      <c r="N196" s="15"/>
      <c r="O196" s="15"/>
      <c r="P196" s="15"/>
    </row>
    <row r="197" spans="12:16" x14ac:dyDescent="0.3">
      <c r="L197" s="15"/>
      <c r="M197" s="15"/>
      <c r="N197" s="15"/>
      <c r="O197" s="15"/>
      <c r="P197" s="15"/>
    </row>
    <row r="198" spans="12:16" x14ac:dyDescent="0.3">
      <c r="L198" s="15"/>
      <c r="M198" s="15"/>
      <c r="N198" s="15"/>
      <c r="O198" s="15"/>
      <c r="P198" s="15"/>
    </row>
    <row r="199" spans="12:16" x14ac:dyDescent="0.3">
      <c r="L199" s="15"/>
      <c r="M199" s="15"/>
      <c r="N199" s="15"/>
      <c r="O199" s="15"/>
      <c r="P199" s="15"/>
    </row>
    <row r="200" spans="12:16" x14ac:dyDescent="0.3">
      <c r="L200" s="15"/>
      <c r="M200" s="15"/>
      <c r="N200" s="15"/>
      <c r="O200" s="15"/>
      <c r="P200" s="15"/>
    </row>
    <row r="201" spans="12:16" x14ac:dyDescent="0.3">
      <c r="L201" s="15"/>
      <c r="M201" s="15"/>
      <c r="N201" s="15"/>
      <c r="O201" s="15"/>
      <c r="P201" s="15"/>
    </row>
    <row r="202" spans="12:16" x14ac:dyDescent="0.3">
      <c r="L202" s="15"/>
      <c r="M202" s="15"/>
      <c r="N202" s="15"/>
      <c r="O202" s="15"/>
      <c r="P202" s="15"/>
    </row>
    <row r="203" spans="12:16" x14ac:dyDescent="0.3">
      <c r="L203" s="15"/>
      <c r="M203" s="15"/>
      <c r="N203" s="15"/>
      <c r="O203" s="15"/>
      <c r="P203" s="15"/>
    </row>
    <row r="204" spans="12:16" x14ac:dyDescent="0.3">
      <c r="L204" s="15"/>
      <c r="M204" s="15"/>
      <c r="N204" s="15"/>
      <c r="O204" s="15"/>
      <c r="P204" s="15"/>
    </row>
    <row r="205" spans="12:16" x14ac:dyDescent="0.3">
      <c r="L205" s="15"/>
      <c r="M205" s="15"/>
      <c r="N205" s="15"/>
      <c r="O205" s="15"/>
      <c r="P205" s="15"/>
    </row>
    <row r="206" spans="12:16" x14ac:dyDescent="0.3">
      <c r="L206" s="15"/>
      <c r="M206" s="15"/>
      <c r="N206" s="15"/>
      <c r="O206" s="15"/>
      <c r="P206" s="15"/>
    </row>
    <row r="207" spans="12:16" x14ac:dyDescent="0.3">
      <c r="L207" s="15"/>
      <c r="M207" s="15"/>
      <c r="N207" s="15"/>
      <c r="O207" s="15"/>
      <c r="P207" s="15"/>
    </row>
    <row r="208" spans="12:16" x14ac:dyDescent="0.3">
      <c r="L208" s="15"/>
      <c r="M208" s="15"/>
      <c r="N208" s="15"/>
      <c r="O208" s="15"/>
      <c r="P208" s="15"/>
    </row>
    <row r="209" spans="12:16" x14ac:dyDescent="0.3">
      <c r="L209" s="15"/>
      <c r="M209" s="15"/>
      <c r="N209" s="15"/>
      <c r="O209" s="15"/>
      <c r="P209" s="15"/>
    </row>
    <row r="210" spans="12:16" x14ac:dyDescent="0.3">
      <c r="L210" s="15"/>
      <c r="M210" s="15"/>
      <c r="N210" s="15"/>
      <c r="O210" s="15"/>
      <c r="P210" s="15"/>
    </row>
    <row r="211" spans="12:16" x14ac:dyDescent="0.3">
      <c r="L211" s="15"/>
      <c r="M211" s="15"/>
      <c r="N211" s="15"/>
      <c r="O211" s="15"/>
      <c r="P211" s="15"/>
    </row>
    <row r="212" spans="12:16" x14ac:dyDescent="0.3">
      <c r="L212" s="15"/>
      <c r="M212" s="15"/>
      <c r="N212" s="15"/>
      <c r="O212" s="15"/>
      <c r="P212" s="15"/>
    </row>
    <row r="213" spans="12:16" x14ac:dyDescent="0.3">
      <c r="L213" s="15"/>
      <c r="M213" s="15"/>
      <c r="N213" s="15"/>
      <c r="O213" s="15"/>
      <c r="P213" s="15"/>
    </row>
    <row r="214" spans="12:16" x14ac:dyDescent="0.3">
      <c r="L214" s="15"/>
      <c r="M214" s="15"/>
      <c r="N214" s="15"/>
      <c r="O214" s="15"/>
      <c r="P214" s="15"/>
    </row>
    <row r="215" spans="12:16" x14ac:dyDescent="0.3">
      <c r="L215" s="15"/>
      <c r="M215" s="15"/>
      <c r="N215" s="15"/>
      <c r="O215" s="15"/>
      <c r="P215" s="15"/>
    </row>
    <row r="216" spans="12:16" x14ac:dyDescent="0.3">
      <c r="L216" s="15"/>
      <c r="M216" s="15"/>
      <c r="N216" s="15"/>
      <c r="O216" s="15"/>
      <c r="P216" s="15"/>
    </row>
    <row r="217" spans="12:16" x14ac:dyDescent="0.3">
      <c r="L217" s="15"/>
      <c r="M217" s="15"/>
      <c r="N217" s="15"/>
      <c r="O217" s="15"/>
      <c r="P217" s="15"/>
    </row>
    <row r="218" spans="12:16" x14ac:dyDescent="0.3">
      <c r="L218" s="15"/>
      <c r="M218" s="15"/>
      <c r="N218" s="15"/>
      <c r="O218" s="15"/>
      <c r="P218" s="15"/>
    </row>
    <row r="219" spans="12:16" x14ac:dyDescent="0.3">
      <c r="L219" s="15"/>
      <c r="M219" s="15"/>
      <c r="N219" s="15"/>
      <c r="O219" s="15"/>
      <c r="P219" s="15"/>
    </row>
    <row r="220" spans="12:16" x14ac:dyDescent="0.3">
      <c r="L220" s="15"/>
      <c r="M220" s="15"/>
      <c r="N220" s="15"/>
      <c r="O220" s="15"/>
      <c r="P220" s="15"/>
    </row>
    <row r="221" spans="12:16" x14ac:dyDescent="0.3">
      <c r="L221" s="15"/>
      <c r="M221" s="15"/>
      <c r="N221" s="15"/>
      <c r="O221" s="15"/>
      <c r="P221" s="15"/>
    </row>
    <row r="222" spans="12:16" x14ac:dyDescent="0.3">
      <c r="L222" s="15"/>
      <c r="M222" s="15"/>
      <c r="N222" s="15"/>
      <c r="O222" s="15"/>
      <c r="P222" s="15"/>
    </row>
    <row r="223" spans="12:16" x14ac:dyDescent="0.3">
      <c r="L223" s="15"/>
      <c r="M223" s="15"/>
      <c r="N223" s="15"/>
      <c r="O223" s="15"/>
      <c r="P223" s="15"/>
    </row>
  </sheetData>
  <autoFilter ref="A1:D60" xr:uid="{00000000-0009-0000-0000-000006000000}"/>
  <pageMargins left="0.7" right="0.7" top="0.75" bottom="0.75" header="0.3" footer="0.3"/>
  <pageSetup orientation="portrait" r:id="rId2"/>
  <drawing r:id="rId3"/>
  <legacyDrawing r:id="rId4"/>
  <mc:AlternateContent xmlns:mc="http://schemas.openxmlformats.org/markup-compatibility/2006">
    <mc:Choice Requires="x14">
      <controls>
        <mc:AlternateContent xmlns:mc="http://schemas.openxmlformats.org/markup-compatibility/2006">
          <mc:Choice Requires="x14">
            <control shapeId="5121" r:id="rId5" name="Button 1">
              <controlPr defaultSize="0" print="0" autoFill="0" autoPict="0" macro="[0]!Macro6">
                <anchor moveWithCells="1" sizeWithCells="1">
                  <from>
                    <xdr:col>0</xdr:col>
                    <xdr:colOff>0</xdr:colOff>
                    <xdr:row>0</xdr:row>
                    <xdr:rowOff>0</xdr:rowOff>
                  </from>
                  <to>
                    <xdr:col>1</xdr:col>
                    <xdr:colOff>670560</xdr:colOff>
                    <xdr:row>0</xdr:row>
                    <xdr:rowOff>274320</xdr:rowOff>
                  </to>
                </anchor>
              </controlPr>
            </control>
          </mc:Choice>
        </mc:AlternateContent>
      </controls>
    </mc:Choice>
  </mc:AlternateContent>
  <extLst>
    <ext xmlns:x14="http://schemas.microsoft.com/office/spreadsheetml/2009/9/main" uri="{A8765BA9-456A-4dab-B4F3-ACF838C121DE}">
      <x14:slicerList>
        <x14:slicer r:id="rId6"/>
      </x14:slicerList>
    </ext>
  </extLst>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27">
    <tabColor rgb="FFFF0000"/>
  </sheetPr>
  <dimension ref="A1:BC52"/>
  <sheetViews>
    <sheetView zoomScale="85" zoomScaleNormal="85" workbookViewId="0">
      <pane ySplit="4" topLeftCell="A5" activePane="bottomLeft" state="frozen"/>
      <selection activeCell="Q2" sqref="Q2"/>
      <selection pane="bottomLeft" activeCell="F3" sqref="F3"/>
    </sheetView>
  </sheetViews>
  <sheetFormatPr defaultColWidth="9.09765625" defaultRowHeight="15.6" x14ac:dyDescent="0.3"/>
  <cols>
    <col min="1" max="1" width="18.69921875" style="28" customWidth="1"/>
    <col min="2" max="2" width="49.09765625" style="27" customWidth="1"/>
    <col min="3" max="3" width="19.59765625" style="27" customWidth="1"/>
    <col min="4" max="4" width="15.69921875" style="27" customWidth="1"/>
    <col min="5" max="5" width="19.296875" style="27" customWidth="1"/>
    <col min="6" max="6" width="12.3984375" style="27" customWidth="1"/>
    <col min="7" max="7" width="11.3984375" style="27" customWidth="1"/>
    <col min="8" max="8" width="12.296875" style="27" customWidth="1"/>
    <col min="9" max="9" width="15.09765625" style="27" customWidth="1"/>
    <col min="10" max="10" width="12.296875" style="27" customWidth="1"/>
    <col min="11" max="11" width="13.69921875" style="27" customWidth="1"/>
    <col min="12" max="28" width="10.8984375" style="27" customWidth="1"/>
    <col min="29" max="36" width="9.09765625" style="27"/>
    <col min="37" max="37" width="11.3984375" style="27" customWidth="1"/>
    <col min="38" max="16384" width="9.09765625" style="27"/>
  </cols>
  <sheetData>
    <row r="1" spans="1:55" s="174" customFormat="1" ht="20.25" customHeight="1" x14ac:dyDescent="0.3">
      <c r="A1" s="257">
        <f ca="1">'Quốc Nhân'!N4+'La Cusina'!N4+TVP!M4+Gà!N4+Kitkool!N4-('Quốc Nhân'!K4+'La Cusina'!K4+TVP!J4+Gà!K4+Kitkool!K4-('Quốc Nhân'!A4+'La Cusina'!A4+TVP!A4+Gà!A4+Kitkool!A4))</f>
        <v>179185.53509522579</v>
      </c>
      <c r="B1" s="263" t="str">
        <f>"Tiền Hàng: "&amp;INT('Quốc Nhân'!K4+'La Cusina'!K4+TVP!J4+Gà!K4+Kitkool!K4)</f>
        <v>Tiền Hàng: 1227017</v>
      </c>
      <c r="C1" s="262" t="str">
        <f ca="1">"Giá trị hàng Tồn: "&amp;INT('Quốc Nhân'!A4+'La Cusina'!A4+TVP!A4+Gà!A4+Kitkool!A4)</f>
        <v>Giá trị hàng Tồn: 44139</v>
      </c>
      <c r="D1" s="261" t="str">
        <f ca="1">"Giá trị Hàng xuất: "&amp;CHAR(10)&amp;INT('Quốc Nhân'!K4+'La Cusina'!K4+TVP!J4+Gà!K4+Kitkool!K4-('Quốc Nhân'!A4+'La Cusina'!A4+TVP!A4+Gà!A4+Kitkool!A4))</f>
        <v>Giá trị Hàng xuất: 
1182877</v>
      </c>
      <c r="E1" s="264" t="str">
        <f ca="1">"Doanh Thu Tích Lũy: "&amp;INT('Quốc Nhân'!N4+'La Cusina'!N4+TVP!M4+Gà!N4+Kitkool!N4)</f>
        <v>Doanh Thu Tích Lũy: 1362063</v>
      </c>
      <c r="F1" s="259">
        <f ca="1">K4/1000</f>
        <v>9633</v>
      </c>
      <c r="G1" s="169">
        <f>-774-503+13</f>
        <v>-1264</v>
      </c>
      <c r="H1" s="170" t="s">
        <v>207</v>
      </c>
      <c r="I1" s="171">
        <v>-176</v>
      </c>
      <c r="J1" s="172" t="s">
        <v>208</v>
      </c>
      <c r="K1" s="187">
        <f>852+1435+230</f>
        <v>2517</v>
      </c>
      <c r="L1" s="187" t="s">
        <v>252</v>
      </c>
      <c r="M1" s="187"/>
      <c r="N1" s="187"/>
      <c r="O1" s="173"/>
      <c r="P1" s="173"/>
      <c r="Q1" s="173"/>
    </row>
    <row r="2" spans="1:55" s="174" customFormat="1" ht="20.25" customHeight="1" x14ac:dyDescent="0.3">
      <c r="A2" s="258"/>
      <c r="B2" s="263"/>
      <c r="C2" s="262"/>
      <c r="D2" s="261"/>
      <c r="E2" s="264"/>
      <c r="F2" s="260"/>
      <c r="G2" s="175">
        <v>0</v>
      </c>
      <c r="H2" s="176" t="s">
        <v>246</v>
      </c>
      <c r="I2" s="242"/>
      <c r="J2" s="224"/>
      <c r="K2" s="187">
        <v>2886</v>
      </c>
      <c r="L2" s="187" t="s">
        <v>252</v>
      </c>
      <c r="M2" s="187"/>
      <c r="N2" s="187"/>
    </row>
    <row r="3" spans="1:55" s="28" customFormat="1" ht="30" customHeight="1" x14ac:dyDescent="0.25">
      <c r="A3" s="19" t="s">
        <v>89</v>
      </c>
      <c r="B3" s="19" t="s">
        <v>16</v>
      </c>
      <c r="C3" s="19" t="s">
        <v>90</v>
      </c>
      <c r="D3" s="19" t="s">
        <v>100</v>
      </c>
      <c r="E3" s="39" t="s">
        <v>49</v>
      </c>
      <c r="F3" s="39" t="s">
        <v>306</v>
      </c>
      <c r="G3" s="19" t="s">
        <v>249</v>
      </c>
      <c r="H3" s="177" t="s">
        <v>227</v>
      </c>
      <c r="I3" s="178" t="s">
        <v>228</v>
      </c>
      <c r="J3" s="39" t="s">
        <v>102</v>
      </c>
      <c r="K3" s="39" t="s">
        <v>289</v>
      </c>
      <c r="L3" s="28">
        <v>2</v>
      </c>
      <c r="M3" s="28">
        <v>3</v>
      </c>
      <c r="N3" s="28">
        <v>4</v>
      </c>
      <c r="O3" s="28">
        <v>5</v>
      </c>
      <c r="P3" s="28">
        <v>6</v>
      </c>
      <c r="Q3" s="28">
        <v>7</v>
      </c>
      <c r="R3" s="28">
        <v>8</v>
      </c>
      <c r="S3" s="28">
        <v>9</v>
      </c>
      <c r="T3" s="28">
        <v>10</v>
      </c>
      <c r="U3" s="28">
        <v>11</v>
      </c>
      <c r="V3" s="28">
        <v>12</v>
      </c>
      <c r="W3" s="28">
        <v>13</v>
      </c>
      <c r="X3" s="28">
        <v>14</v>
      </c>
      <c r="Y3" s="28">
        <v>15</v>
      </c>
      <c r="Z3" s="28">
        <v>16</v>
      </c>
      <c r="AA3" s="28">
        <v>17</v>
      </c>
      <c r="AB3" s="28">
        <v>18</v>
      </c>
      <c r="AC3" s="28">
        <v>19</v>
      </c>
      <c r="AD3" s="28">
        <v>20</v>
      </c>
      <c r="AE3" s="28">
        <v>21</v>
      </c>
      <c r="AF3" s="28">
        <v>22</v>
      </c>
      <c r="AG3" s="28">
        <v>23</v>
      </c>
      <c r="AH3" s="28">
        <v>24</v>
      </c>
      <c r="AI3" s="28">
        <v>25</v>
      </c>
      <c r="AJ3" s="28">
        <v>26</v>
      </c>
      <c r="AK3" s="28">
        <v>27</v>
      </c>
      <c r="AL3" s="28">
        <v>28</v>
      </c>
      <c r="AM3" s="28">
        <v>29</v>
      </c>
      <c r="AN3" s="28">
        <v>30</v>
      </c>
      <c r="AO3" s="28">
        <v>31</v>
      </c>
      <c r="AP3" s="28">
        <v>32</v>
      </c>
      <c r="AQ3" s="28">
        <v>33</v>
      </c>
      <c r="AR3" s="28">
        <v>34</v>
      </c>
      <c r="AS3" s="28">
        <v>35</v>
      </c>
      <c r="AT3" s="28">
        <v>36</v>
      </c>
      <c r="AU3" s="28">
        <v>37</v>
      </c>
      <c r="AV3" s="28">
        <v>38</v>
      </c>
      <c r="AW3" s="28">
        <v>39</v>
      </c>
      <c r="AX3" s="28">
        <v>40</v>
      </c>
      <c r="AY3" s="28">
        <v>41</v>
      </c>
      <c r="AZ3" s="28">
        <v>42</v>
      </c>
      <c r="BA3" s="28">
        <v>43</v>
      </c>
      <c r="BB3" s="28">
        <v>44</v>
      </c>
      <c r="BC3" s="28">
        <v>45</v>
      </c>
    </row>
    <row r="4" spans="1:55" s="44" customFormat="1" ht="25.5" customHeight="1" x14ac:dyDescent="0.25">
      <c r="A4" s="40"/>
      <c r="B4" s="40">
        <f>SUBTOTAL(3,B5:B761)</f>
        <v>48</v>
      </c>
      <c r="C4" s="40"/>
      <c r="D4" s="40"/>
      <c r="E4" s="40"/>
      <c r="F4" s="40">
        <f ca="1">SUMPRODUCT(($E$5:$E$52)*($F$5:$F$52))</f>
        <v>149.9</v>
      </c>
      <c r="G4" s="40"/>
      <c r="H4" s="51">
        <f ca="1">SUBTOTAL(9,H5:H71)</f>
        <v>1458274.6485444666</v>
      </c>
      <c r="I4" s="51">
        <f ca="1">K4-J4</f>
        <v>809274.64854446612</v>
      </c>
      <c r="J4" s="25">
        <f ca="1">SUBTOTAL(9,J5:J71)</f>
        <v>8823725.3514555339</v>
      </c>
      <c r="K4" s="25">
        <f ca="1">SUM(L4:BC4)</f>
        <v>9633000</v>
      </c>
      <c r="L4" s="55">
        <f ca="1">IFERROR(INDIRECT("'Thanh Toán ("&amp;L$3&amp;")'!$H"&amp;SUBTOTAL(3,INDIRECT("'Thanh Toán ("&amp;L$3&amp;")'!$H$8:$H$50"))+7-COUNTIF(INDIRECT("'Thanh Toán ("&amp;L$3&amp;")'!$H$8:$H$50"),""&amp;"*")),"")</f>
        <v>238000</v>
      </c>
      <c r="M4" s="55">
        <f t="shared" ref="M4:AN4" ca="1" si="0">IFERROR(INDIRECT("'Thanh Toán ("&amp;M$3&amp;")'!$H"&amp;SUBTOTAL(3,INDIRECT("'Thanh Toán ("&amp;M$3&amp;")'!$H$8:$H$50"))+7-COUNTIF(INDIRECT("'Thanh Toán ("&amp;M$3&amp;")'!$H$8:$H$50"),""&amp;"*")),"")</f>
        <v>188000</v>
      </c>
      <c r="N4" s="55">
        <f t="shared" ca="1" si="0"/>
        <v>50000</v>
      </c>
      <c r="O4" s="55">
        <f t="shared" ca="1" si="0"/>
        <v>50000</v>
      </c>
      <c r="P4" s="55">
        <f t="shared" ca="1" si="0"/>
        <v>2017000</v>
      </c>
      <c r="Q4" s="55">
        <f t="shared" ca="1" si="0"/>
        <v>51000</v>
      </c>
      <c r="R4" s="55">
        <f t="shared" ca="1" si="0"/>
        <v>1170000</v>
      </c>
      <c r="S4" s="55">
        <f t="shared" ca="1" si="0"/>
        <v>751000</v>
      </c>
      <c r="T4" s="55">
        <f t="shared" ca="1" si="0"/>
        <v>759000</v>
      </c>
      <c r="U4" s="55">
        <f t="shared" ca="1" si="0"/>
        <v>437000</v>
      </c>
      <c r="V4" s="55">
        <f t="shared" ca="1" si="0"/>
        <v>230000</v>
      </c>
      <c r="W4" s="55">
        <f t="shared" ca="1" si="0"/>
        <v>92000</v>
      </c>
      <c r="X4" s="55">
        <f t="shared" ca="1" si="0"/>
        <v>350000</v>
      </c>
      <c r="Y4" s="55">
        <f t="shared" ca="1" si="0"/>
        <v>70000</v>
      </c>
      <c r="Z4" s="55">
        <f t="shared" ca="1" si="0"/>
        <v>140000</v>
      </c>
      <c r="AA4" s="55">
        <f t="shared" ca="1" si="0"/>
        <v>100000</v>
      </c>
      <c r="AB4" s="55">
        <f t="shared" ca="1" si="0"/>
        <v>25000</v>
      </c>
      <c r="AC4" s="55">
        <f t="shared" ca="1" si="0"/>
        <v>264000</v>
      </c>
      <c r="AD4" s="55">
        <f t="shared" ca="1" si="0"/>
        <v>180000</v>
      </c>
      <c r="AE4" s="55">
        <f t="shared" ca="1" si="0"/>
        <v>1385000</v>
      </c>
      <c r="AF4" s="55">
        <f t="shared" ca="1" si="0"/>
        <v>659000</v>
      </c>
      <c r="AG4" s="55">
        <f t="shared" ca="1" si="0"/>
        <v>92000</v>
      </c>
      <c r="AH4" s="55">
        <f t="shared" ca="1" si="0"/>
        <v>37000</v>
      </c>
      <c r="AI4" s="55">
        <f t="shared" ca="1" si="0"/>
        <v>298000</v>
      </c>
      <c r="AJ4" s="55" t="str">
        <f t="shared" ca="1" si="0"/>
        <v/>
      </c>
      <c r="AK4" s="55" t="str">
        <f t="shared" ca="1" si="0"/>
        <v/>
      </c>
      <c r="AL4" s="55" t="str">
        <f t="shared" ca="1" si="0"/>
        <v/>
      </c>
      <c r="AM4" s="55" t="str">
        <f t="shared" ca="1" si="0"/>
        <v/>
      </c>
      <c r="AN4" s="55" t="str">
        <f t="shared" ca="1" si="0"/>
        <v/>
      </c>
      <c r="AO4" s="55" t="str">
        <f t="shared" ref="AO4:BC4" ca="1" si="1">IFERROR(INDIRECT("'Thanh Toán ("&amp;AO$3&amp;")'!$H"&amp;SUBTOTAL(3,INDIRECT("'Thanh Toán ("&amp;AO$3&amp;")'!$H$8:$H$50"))+7-COUNTIF(INDIRECT("'Thanh Toán ("&amp;AO$3&amp;")'!$H$8:$H$50"),""&amp;"*")),"")</f>
        <v/>
      </c>
      <c r="AP4" s="55" t="str">
        <f t="shared" ca="1" si="1"/>
        <v/>
      </c>
      <c r="AQ4" s="55" t="str">
        <f t="shared" ca="1" si="1"/>
        <v/>
      </c>
      <c r="AR4" s="55" t="str">
        <f t="shared" ca="1" si="1"/>
        <v/>
      </c>
      <c r="AS4" s="55" t="str">
        <f t="shared" ca="1" si="1"/>
        <v/>
      </c>
      <c r="AT4" s="55" t="str">
        <f t="shared" ca="1" si="1"/>
        <v/>
      </c>
      <c r="AU4" s="55" t="str">
        <f t="shared" ca="1" si="1"/>
        <v/>
      </c>
      <c r="AV4" s="55" t="str">
        <f t="shared" ca="1" si="1"/>
        <v/>
      </c>
      <c r="AW4" s="55" t="str">
        <f t="shared" ca="1" si="1"/>
        <v/>
      </c>
      <c r="AX4" s="55" t="str">
        <f t="shared" ca="1" si="1"/>
        <v/>
      </c>
      <c r="AY4" s="55" t="str">
        <f t="shared" ca="1" si="1"/>
        <v/>
      </c>
      <c r="AZ4" s="55" t="str">
        <f t="shared" ca="1" si="1"/>
        <v/>
      </c>
      <c r="BA4" s="55" t="str">
        <f t="shared" ca="1" si="1"/>
        <v/>
      </c>
      <c r="BB4" s="55" t="str">
        <f t="shared" ca="1" si="1"/>
        <v/>
      </c>
      <c r="BC4" s="55" t="str">
        <f t="shared" ca="1" si="1"/>
        <v/>
      </c>
    </row>
    <row r="5" spans="1:55" ht="18" customHeight="1" x14ac:dyDescent="0.3">
      <c r="A5" s="160" t="s">
        <v>161</v>
      </c>
      <c r="B5" s="161" t="s">
        <v>270</v>
      </c>
      <c r="C5" s="160" t="s">
        <v>162</v>
      </c>
      <c r="D5" s="162">
        <f>VLOOKUP($C5,Sheet1!$C$2:$D$80,2,0)</f>
        <v>110000</v>
      </c>
      <c r="E5" s="163">
        <v>1.2</v>
      </c>
      <c r="F5" s="164">
        <f t="shared" ref="F5:F39" ca="1" si="2">SUM(L5:BR5)</f>
        <v>0</v>
      </c>
      <c r="G5" s="165">
        <f>IFERROR(VLOOKUP($B5,Gà!C:J,8,0),IFERROR(VLOOKUP($B5,TVP!C:J,7,0),IFERROR(VLOOKUP($B5,Kitkool!C:J,8,0),IFERROR(VLOOKUP($B5,'La Cusina'!C:J,8,0),VLOOKUP($B5,'Quốc Nhân'!C:J,8,0)))))</f>
        <v>100.75092552346408</v>
      </c>
      <c r="H5" s="166">
        <f ca="1">(D5-G5*1000)*$F5</f>
        <v>0</v>
      </c>
      <c r="I5" s="186">
        <f>D5/(G5*1000)-1</f>
        <v>9.1801384736479585E-2</v>
      </c>
      <c r="J5" s="166">
        <f ca="1">F5*G5*1000</f>
        <v>0</v>
      </c>
      <c r="K5" s="38"/>
      <c r="L5" s="2">
        <f ca="1">IFERROR(SUMIFS(INDIRECT("'Thanh Toán ("&amp;L$3&amp;")'!$F:$F"),INDIRECT("'Thanh Toán ("&amp;L$3&amp;")'!$D:$D"),'Tổng Đơn'!$B5),0)</f>
        <v>0</v>
      </c>
      <c r="M5" s="2">
        <f ca="1">IFERROR(SUMIFS(INDIRECT("'Thanh Toán ("&amp;M$3&amp;")'!$F:$F"),INDIRECT("'Thanh Toán ("&amp;M$3&amp;")'!$D:$D"),'Tổng Đơn'!$B5),0)</f>
        <v>0</v>
      </c>
      <c r="N5" s="2">
        <f ca="1">IFERROR(SUMIFS(INDIRECT("'Thanh Toán ("&amp;N$3&amp;")'!$F:$F"),INDIRECT("'Thanh Toán ("&amp;N$3&amp;")'!$D:$D"),'Tổng Đơn'!$B5),0)</f>
        <v>0</v>
      </c>
      <c r="O5" s="2">
        <f ca="1">IFERROR(SUMIFS(INDIRECT("'Thanh Toán ("&amp;O$3&amp;")'!$F:$F"),INDIRECT("'Thanh Toán ("&amp;O$3&amp;")'!$D:$D"),'Tổng Đơn'!$B5),0)</f>
        <v>0</v>
      </c>
      <c r="P5" s="2">
        <f ca="1">IFERROR(SUMIFS(INDIRECT("'Thanh Toán ("&amp;P$3&amp;")'!$F:$F"),INDIRECT("'Thanh Toán ("&amp;P$3&amp;")'!$D:$D"),'Tổng Đơn'!$B5),0)</f>
        <v>0</v>
      </c>
      <c r="Q5" s="2">
        <f ca="1">IFERROR(SUMIFS(INDIRECT("'Thanh Toán ("&amp;Q$3&amp;")'!$F:$F"),INDIRECT("'Thanh Toán ("&amp;Q$3&amp;")'!$D:$D"),'Tổng Đơn'!$B5),0)</f>
        <v>0</v>
      </c>
      <c r="R5" s="2">
        <f ca="1">IFERROR(SUMIFS(INDIRECT("'Thanh Toán ("&amp;R$3&amp;")'!$F:$F"),INDIRECT("'Thanh Toán ("&amp;R$3&amp;")'!$D:$D"),'Tổng Đơn'!$B5),0)</f>
        <v>0</v>
      </c>
      <c r="S5" s="2">
        <f ca="1">IFERROR(SUMIFS(INDIRECT("'Thanh Toán ("&amp;S$3&amp;")'!$F:$F"),INDIRECT("'Thanh Toán ("&amp;S$3&amp;")'!$D:$D"),'Tổng Đơn'!$B5),0)</f>
        <v>0</v>
      </c>
      <c r="T5" s="2">
        <f ca="1">IFERROR(SUMIFS(INDIRECT("'Thanh Toán ("&amp;T$3&amp;")'!$F:$F"),INDIRECT("'Thanh Toán ("&amp;T$3&amp;")'!$D:$D"),'Tổng Đơn'!$B5),0)</f>
        <v>0</v>
      </c>
      <c r="U5" s="2">
        <f ca="1">IFERROR(SUMIFS(INDIRECT("'Thanh Toán ("&amp;U$3&amp;")'!$F:$F"),INDIRECT("'Thanh Toán ("&amp;U$3&amp;")'!$D:$D"),'Tổng Đơn'!$B5),0)</f>
        <v>0</v>
      </c>
      <c r="V5" s="2">
        <f ca="1">IFERROR(SUMIFS(INDIRECT("'Thanh Toán ("&amp;V$3&amp;")'!$F:$F"),INDIRECT("'Thanh Toán ("&amp;V$3&amp;")'!$D:$D"),'Tổng Đơn'!$B5),0)</f>
        <v>0</v>
      </c>
      <c r="W5" s="2">
        <f ca="1">IFERROR(SUMIFS(INDIRECT("'Thanh Toán ("&amp;W$3&amp;")'!$F:$F"),INDIRECT("'Thanh Toán ("&amp;W$3&amp;")'!$D:$D"),'Tổng Đơn'!$B5),0)</f>
        <v>0</v>
      </c>
      <c r="X5" s="2">
        <f ca="1">IFERROR(SUMIFS(INDIRECT("'Thanh Toán ("&amp;X$3&amp;")'!$F:$F"),INDIRECT("'Thanh Toán ("&amp;X$3&amp;")'!$D:$D"),'Tổng Đơn'!$B5),0)</f>
        <v>0</v>
      </c>
      <c r="Y5" s="2">
        <f ca="1">IFERROR(SUMIFS(INDIRECT("'Thanh Toán ("&amp;Y$3&amp;")'!$F:$F"),INDIRECT("'Thanh Toán ("&amp;Y$3&amp;")'!$D:$D"),'Tổng Đơn'!$B5),0)</f>
        <v>0</v>
      </c>
      <c r="Z5" s="2">
        <f ca="1">IFERROR(SUMIFS(INDIRECT("'Thanh Toán ("&amp;Z$3&amp;")'!$F:$F"),INDIRECT("'Thanh Toán ("&amp;Z$3&amp;")'!$D:$D"),'Tổng Đơn'!$B5),0)</f>
        <v>0</v>
      </c>
      <c r="AA5" s="2">
        <f ca="1">IFERROR(SUMIFS(INDIRECT("'Thanh Toán ("&amp;AA$3&amp;")'!$F:$F"),INDIRECT("'Thanh Toán ("&amp;AA$3&amp;")'!$D:$D"),'Tổng Đơn'!$B5),0)</f>
        <v>0</v>
      </c>
      <c r="AB5" s="2">
        <f ca="1">IFERROR(SUMIFS(INDIRECT("'Thanh Toán ("&amp;AB$3&amp;")'!$F:$F"),INDIRECT("'Thanh Toán ("&amp;AB$3&amp;")'!$D:$D"),'Tổng Đơn'!$B5),0)</f>
        <v>0</v>
      </c>
      <c r="AC5" s="2">
        <f ca="1">IFERROR(SUMIFS(INDIRECT("'Thanh Toán ("&amp;AC$3&amp;")'!$F:$F"),INDIRECT("'Thanh Toán ("&amp;AC$3&amp;")'!$D:$D"),'Tổng Đơn'!$B5),0)</f>
        <v>0</v>
      </c>
      <c r="AD5" s="2">
        <f ca="1">IFERROR(SUMIFS(INDIRECT("'Thanh Toán ("&amp;AD$3&amp;")'!$F:$F"),INDIRECT("'Thanh Toán ("&amp;AD$3&amp;")'!$D:$D"),'Tổng Đơn'!$B5),0)</f>
        <v>0</v>
      </c>
      <c r="AE5" s="2">
        <f ca="1">IFERROR(SUMIFS(INDIRECT("'Thanh Toán ("&amp;AE$3&amp;")'!$F:$F"),INDIRECT("'Thanh Toán ("&amp;AE$3&amp;")'!$D:$D"),'Tổng Đơn'!$B5),0)</f>
        <v>0</v>
      </c>
      <c r="AF5" s="2">
        <f ca="1">IFERROR(SUMIFS(INDIRECT("'Thanh Toán ("&amp;AF$3&amp;")'!$F:$F"),INDIRECT("'Thanh Toán ("&amp;AF$3&amp;")'!$D:$D"),'Tổng Đơn'!$B5),0)</f>
        <v>0</v>
      </c>
      <c r="AG5" s="2">
        <f ca="1">IFERROR(SUMIFS(INDIRECT("'Thanh Toán ("&amp;AG$3&amp;")'!$F:$F"),INDIRECT("'Thanh Toán ("&amp;AG$3&amp;")'!$D:$D"),'Tổng Đơn'!$B5),0)</f>
        <v>0</v>
      </c>
      <c r="AH5" s="2">
        <f ca="1">IFERROR(SUMIFS(INDIRECT("'Thanh Toán ("&amp;AH$3&amp;")'!$F:$F"),INDIRECT("'Thanh Toán ("&amp;AH$3&amp;")'!$D:$D"),'Tổng Đơn'!$B5),0)</f>
        <v>0</v>
      </c>
      <c r="AI5" s="2">
        <f ca="1">IFERROR(SUMIFS(INDIRECT("'Thanh Toán ("&amp;AI$3&amp;")'!$F:$F"),INDIRECT("'Thanh Toán ("&amp;AI$3&amp;")'!$D:$D"),'Tổng Đơn'!$B5),0)</f>
        <v>0</v>
      </c>
      <c r="AJ5" s="2">
        <f ca="1">IFERROR(SUMIFS(INDIRECT("'Thanh Toán ("&amp;AJ$3&amp;")'!$F:$F"),INDIRECT("'Thanh Toán ("&amp;AJ$3&amp;")'!$D:$D"),'Tổng Đơn'!$B5),0)</f>
        <v>0</v>
      </c>
      <c r="AK5" s="2">
        <f ca="1">IFERROR(SUMIFS(INDIRECT("'Thanh Toán ("&amp;AK$3&amp;")'!$F:$F"),INDIRECT("'Thanh Toán ("&amp;AK$3&amp;")'!$D:$D"),'Tổng Đơn'!$B5),0)</f>
        <v>0</v>
      </c>
      <c r="AL5" s="2">
        <f ca="1">IFERROR(SUMIFS(INDIRECT("'Thanh Toán ("&amp;AL$3&amp;")'!$F:$F"),INDIRECT("'Thanh Toán ("&amp;AL$3&amp;")'!$D:$D"),'Tổng Đơn'!$B5),0)</f>
        <v>0</v>
      </c>
      <c r="AM5" s="2">
        <f ca="1">IFERROR(SUMIFS(INDIRECT("'Thanh Toán ("&amp;AM$3&amp;")'!$F:$F"),INDIRECT("'Thanh Toán ("&amp;AM$3&amp;")'!$D:$D"),'Tổng Đơn'!$B5),0)</f>
        <v>0</v>
      </c>
      <c r="AN5" s="2">
        <f ca="1">IFERROR(SUMIFS(INDIRECT("'Thanh Toán ("&amp;AN$3&amp;")'!$F:$F"),INDIRECT("'Thanh Toán ("&amp;AN$3&amp;")'!$D:$D"),'Tổng Đơn'!$B5),0)</f>
        <v>0</v>
      </c>
      <c r="AO5" s="2">
        <f ca="1">IFERROR(SUMIFS(INDIRECT("'Thanh Toán ("&amp;AO$3&amp;")'!$F:$F"),INDIRECT("'Thanh Toán ("&amp;AO$3&amp;")'!$D:$D"),'Tổng Đơn'!$B5),0)</f>
        <v>0</v>
      </c>
      <c r="AP5" s="2">
        <f ca="1">IFERROR(SUMIFS(INDIRECT("'Thanh Toán ("&amp;AP$3&amp;")'!$F:$F"),INDIRECT("'Thanh Toán ("&amp;AP$3&amp;")'!$D:$D"),'Tổng Đơn'!$B5),0)</f>
        <v>0</v>
      </c>
      <c r="AQ5" s="2">
        <f ca="1">IFERROR(SUMIFS(INDIRECT("'Thanh Toán ("&amp;AQ$3&amp;")'!$F:$F"),INDIRECT("'Thanh Toán ("&amp;AQ$3&amp;")'!$D:$D"),'Tổng Đơn'!$B5),0)</f>
        <v>0</v>
      </c>
      <c r="AR5" s="2">
        <f ca="1">IFERROR(SUMIFS(INDIRECT("'Thanh Toán ("&amp;AR$3&amp;")'!$F:$F"),INDIRECT("'Thanh Toán ("&amp;AR$3&amp;")'!$D:$D"),'Tổng Đơn'!$B5),0)</f>
        <v>0</v>
      </c>
      <c r="AS5" s="2">
        <f ca="1">IFERROR(SUMIFS(INDIRECT("'Thanh Toán ("&amp;AS$3&amp;")'!$F:$F"),INDIRECT("'Thanh Toán ("&amp;AS$3&amp;")'!$D:$D"),'Tổng Đơn'!$B5),0)</f>
        <v>0</v>
      </c>
      <c r="AT5" s="2">
        <f ca="1">IFERROR(SUMIFS(INDIRECT("'Thanh Toán ("&amp;AT$3&amp;")'!$F:$F"),INDIRECT("'Thanh Toán ("&amp;AT$3&amp;")'!$D:$D"),'Tổng Đơn'!$B5),0)</f>
        <v>0</v>
      </c>
      <c r="AU5" s="2">
        <f ca="1">IFERROR(SUMIFS(INDIRECT("'Thanh Toán ("&amp;AU$3&amp;")'!$F:$F"),INDIRECT("'Thanh Toán ("&amp;AU$3&amp;")'!$D:$D"),'Tổng Đơn'!$B5),0)</f>
        <v>0</v>
      </c>
      <c r="AV5" s="2">
        <f ca="1">IFERROR(SUMIFS(INDIRECT("'Thanh Toán ("&amp;AV$3&amp;")'!$F:$F"),INDIRECT("'Thanh Toán ("&amp;AV$3&amp;")'!$D:$D"),'Tổng Đơn'!$B5),0)</f>
        <v>0</v>
      </c>
      <c r="AW5" s="2">
        <f ca="1">IFERROR(SUMIFS(INDIRECT("'Thanh Toán ("&amp;AW$3&amp;")'!$F:$F"),INDIRECT("'Thanh Toán ("&amp;AW$3&amp;")'!$D:$D"),'Tổng Đơn'!$B5),0)</f>
        <v>0</v>
      </c>
      <c r="AX5" s="2">
        <f ca="1">IFERROR(SUMIFS(INDIRECT("'Thanh Toán ("&amp;AX$3&amp;")'!$F:$F"),INDIRECT("'Thanh Toán ("&amp;AX$3&amp;")'!$D:$D"),'Tổng Đơn'!$B5),0)</f>
        <v>0</v>
      </c>
      <c r="AY5" s="2">
        <f ca="1">IFERROR(SUMIFS(INDIRECT("'Thanh Toán ("&amp;AY$3&amp;")'!$F:$F"),INDIRECT("'Thanh Toán ("&amp;AY$3&amp;")'!$D:$D"),'Tổng Đơn'!$B5),0)</f>
        <v>0</v>
      </c>
      <c r="AZ5" s="2">
        <f ca="1">IFERROR(SUMIFS(INDIRECT("'Thanh Toán ("&amp;AZ$3&amp;")'!$F:$F"),INDIRECT("'Thanh Toán ("&amp;AZ$3&amp;")'!$D:$D"),'Tổng Đơn'!$B5),0)</f>
        <v>0</v>
      </c>
      <c r="BA5" s="2">
        <f ca="1">IFERROR(SUMIFS(INDIRECT("'Thanh Toán ("&amp;BA$3&amp;")'!$F:$F"),INDIRECT("'Thanh Toán ("&amp;BA$3&amp;")'!$D:$D"),'Tổng Đơn'!$B5),0)</f>
        <v>0</v>
      </c>
      <c r="BB5" s="2">
        <f ca="1">IFERROR(SUMIFS(INDIRECT("'Thanh Toán ("&amp;BB$3&amp;")'!$F:$F"),INDIRECT("'Thanh Toán ("&amp;BB$3&amp;")'!$D:$D"),'Tổng Đơn'!$B5),0)</f>
        <v>0</v>
      </c>
      <c r="BC5" s="2">
        <f ca="1">IFERROR(SUMIFS(INDIRECT("'Thanh Toán ("&amp;BC$3&amp;")'!$F:$F"),INDIRECT("'Thanh Toán ("&amp;BC$3&amp;")'!$D:$D"),'Tổng Đơn'!$B5),0)</f>
        <v>0</v>
      </c>
    </row>
    <row r="6" spans="1:55" ht="18" customHeight="1" x14ac:dyDescent="0.3">
      <c r="A6" s="160" t="s">
        <v>277</v>
      </c>
      <c r="B6" s="161" t="s">
        <v>271</v>
      </c>
      <c r="C6" s="160" t="s">
        <v>282</v>
      </c>
      <c r="D6" s="162">
        <f>VLOOKUP($C6,Sheet1!$C$2:$D$80,2,0)</f>
        <v>122000</v>
      </c>
      <c r="E6" s="163">
        <v>1.5</v>
      </c>
      <c r="F6" s="164">
        <f t="shared" ca="1" si="2"/>
        <v>6</v>
      </c>
      <c r="G6" s="165">
        <f>IFERROR(VLOOKUP($B6,Gà!C:J,8,0),IFERROR(VLOOKUP($B6,TVP!C:J,7,0),IFERROR(VLOOKUP($B6,Kitkool!C:J,8,0),IFERROR(VLOOKUP($B6,'La Cusina'!C:J,8,0),VLOOKUP($B6,'Quốc Nhân'!C:J,8,0)))))</f>
        <v>113.98084503664623</v>
      </c>
      <c r="H6" s="166">
        <f ca="1">(D6-G6*1000)*$F6</f>
        <v>48114.929780122591</v>
      </c>
      <c r="I6" s="186">
        <f t="shared" ref="I6:I9" si="3">D6/(G6*1000)-1</f>
        <v>7.0355286107727233E-2</v>
      </c>
      <c r="J6" s="166">
        <f t="shared" ref="J6:J9" ca="1" si="4">F6*G6*1000</f>
        <v>683885.07021987741</v>
      </c>
      <c r="K6" s="38"/>
      <c r="L6" s="2">
        <f ca="1">IFERROR(SUMIFS(INDIRECT("'Thanh Toán ("&amp;L$3&amp;")'!$F:$F"),INDIRECT("'Thanh Toán ("&amp;L$3&amp;")'!$D:$D"),'Tổng Đơn'!$B6),0)</f>
        <v>0</v>
      </c>
      <c r="M6" s="2">
        <f ca="1">IFERROR(SUMIFS(INDIRECT("'Thanh Toán ("&amp;M$3&amp;")'!$F:$F"),INDIRECT("'Thanh Toán ("&amp;M$3&amp;")'!$D:$D"),'Tổng Đơn'!$B6),0)</f>
        <v>0</v>
      </c>
      <c r="N6" s="2">
        <f ca="1">IFERROR(SUMIFS(INDIRECT("'Thanh Toán ("&amp;N$3&amp;")'!$F:$F"),INDIRECT("'Thanh Toán ("&amp;N$3&amp;")'!$D:$D"),'Tổng Đơn'!$B6),0)</f>
        <v>0</v>
      </c>
      <c r="O6" s="2">
        <f ca="1">IFERROR(SUMIFS(INDIRECT("'Thanh Toán ("&amp;O$3&amp;")'!$F:$F"),INDIRECT("'Thanh Toán ("&amp;O$3&amp;")'!$D:$D"),'Tổng Đơn'!$B6),0)</f>
        <v>0</v>
      </c>
      <c r="P6" s="2">
        <f ca="1">IFERROR(SUMIFS(INDIRECT("'Thanh Toán ("&amp;P$3&amp;")'!$F:$F"),INDIRECT("'Thanh Toán ("&amp;P$3&amp;")'!$D:$D"),'Tổng Đơn'!$B6),0)</f>
        <v>0</v>
      </c>
      <c r="Q6" s="2">
        <f ca="1">IFERROR(SUMIFS(INDIRECT("'Thanh Toán ("&amp;Q$3&amp;")'!$F:$F"),INDIRECT("'Thanh Toán ("&amp;Q$3&amp;")'!$D:$D"),'Tổng Đơn'!$B6),0)</f>
        <v>0</v>
      </c>
      <c r="R6" s="2">
        <f ca="1">IFERROR(SUMIFS(INDIRECT("'Thanh Toán ("&amp;R$3&amp;")'!$F:$F"),INDIRECT("'Thanh Toán ("&amp;R$3&amp;")'!$D:$D"),'Tổng Đơn'!$B6),0)</f>
        <v>0</v>
      </c>
      <c r="S6" s="2">
        <f ca="1">IFERROR(SUMIFS(INDIRECT("'Thanh Toán ("&amp;S$3&amp;")'!$F:$F"),INDIRECT("'Thanh Toán ("&amp;S$3&amp;")'!$D:$D"),'Tổng Đơn'!$B6),0)</f>
        <v>0</v>
      </c>
      <c r="T6" s="2">
        <f ca="1">IFERROR(SUMIFS(INDIRECT("'Thanh Toán ("&amp;T$3&amp;")'!$F:$F"),INDIRECT("'Thanh Toán ("&amp;T$3&amp;")'!$D:$D"),'Tổng Đơn'!$B6),0)</f>
        <v>0</v>
      </c>
      <c r="U6" s="2">
        <f ca="1">IFERROR(SUMIFS(INDIRECT("'Thanh Toán ("&amp;U$3&amp;")'!$F:$F"),INDIRECT("'Thanh Toán ("&amp;U$3&amp;")'!$D:$D"),'Tổng Đơn'!$B6),0)</f>
        <v>0</v>
      </c>
      <c r="V6" s="2">
        <f ca="1">IFERROR(SUMIFS(INDIRECT("'Thanh Toán ("&amp;V$3&amp;")'!$F:$F"),INDIRECT("'Thanh Toán ("&amp;V$3&amp;")'!$D:$D"),'Tổng Đơn'!$B6),0)</f>
        <v>1</v>
      </c>
      <c r="W6" s="2">
        <f ca="1">IFERROR(SUMIFS(INDIRECT("'Thanh Toán ("&amp;W$3&amp;")'!$F:$F"),INDIRECT("'Thanh Toán ("&amp;W$3&amp;")'!$D:$D"),'Tổng Đơn'!$B6),0)</f>
        <v>0</v>
      </c>
      <c r="X6" s="2">
        <f ca="1">IFERROR(SUMIFS(INDIRECT("'Thanh Toán ("&amp;X$3&amp;")'!$F:$F"),INDIRECT("'Thanh Toán ("&amp;X$3&amp;")'!$D:$D"),'Tổng Đơn'!$B6),0)</f>
        <v>0</v>
      </c>
      <c r="Y6" s="2">
        <f ca="1">IFERROR(SUMIFS(INDIRECT("'Thanh Toán ("&amp;Y$3&amp;")'!$F:$F"),INDIRECT("'Thanh Toán ("&amp;Y$3&amp;")'!$D:$D"),'Tổng Đơn'!$B6),0)</f>
        <v>0</v>
      </c>
      <c r="Z6" s="2">
        <f ca="1">IFERROR(SUMIFS(INDIRECT("'Thanh Toán ("&amp;Z$3&amp;")'!$F:$F"),INDIRECT("'Thanh Toán ("&amp;Z$3&amp;")'!$D:$D"),'Tổng Đơn'!$B6),0)</f>
        <v>0</v>
      </c>
      <c r="AA6" s="2">
        <f ca="1">IFERROR(SUMIFS(INDIRECT("'Thanh Toán ("&amp;AA$3&amp;")'!$F:$F"),INDIRECT("'Thanh Toán ("&amp;AA$3&amp;")'!$D:$D"),'Tổng Đơn'!$B6),0)</f>
        <v>0</v>
      </c>
      <c r="AB6" s="2">
        <f ca="1">IFERROR(SUMIFS(INDIRECT("'Thanh Toán ("&amp;AB$3&amp;")'!$F:$F"),INDIRECT("'Thanh Toán ("&amp;AB$3&amp;")'!$D:$D"),'Tổng Đơn'!$B6),0)</f>
        <v>0</v>
      </c>
      <c r="AC6" s="2">
        <f ca="1">IFERROR(SUMIFS(INDIRECT("'Thanh Toán ("&amp;AC$3&amp;")'!$F:$F"),INDIRECT("'Thanh Toán ("&amp;AC$3&amp;")'!$D:$D"),'Tổng Đơn'!$B6),0)</f>
        <v>0</v>
      </c>
      <c r="AD6" s="2">
        <f ca="1">IFERROR(SUMIFS(INDIRECT("'Thanh Toán ("&amp;AD$3&amp;")'!$F:$F"),INDIRECT("'Thanh Toán ("&amp;AD$3&amp;")'!$D:$D"),'Tổng Đơn'!$B6),0)</f>
        <v>0</v>
      </c>
      <c r="AE6" s="2">
        <f ca="1">IFERROR(SUMIFS(INDIRECT("'Thanh Toán ("&amp;AE$3&amp;")'!$F:$F"),INDIRECT("'Thanh Toán ("&amp;AE$3&amp;")'!$D:$D"),'Tổng Đơn'!$B6),0)</f>
        <v>5</v>
      </c>
      <c r="AF6" s="2">
        <f ca="1">IFERROR(SUMIFS(INDIRECT("'Thanh Toán ("&amp;AF$3&amp;")'!$F:$F"),INDIRECT("'Thanh Toán ("&amp;AF$3&amp;")'!$D:$D"),'Tổng Đơn'!$B6),0)</f>
        <v>0</v>
      </c>
      <c r="AG6" s="2">
        <f ca="1">IFERROR(SUMIFS(INDIRECT("'Thanh Toán ("&amp;AG$3&amp;")'!$F:$F"),INDIRECT("'Thanh Toán ("&amp;AG$3&amp;")'!$D:$D"),'Tổng Đơn'!$B6),0)</f>
        <v>0</v>
      </c>
      <c r="AH6" s="2">
        <f ca="1">IFERROR(SUMIFS(INDIRECT("'Thanh Toán ("&amp;AH$3&amp;")'!$F:$F"),INDIRECT("'Thanh Toán ("&amp;AH$3&amp;")'!$D:$D"),'Tổng Đơn'!$B6),0)</f>
        <v>0</v>
      </c>
      <c r="AI6" s="2">
        <f ca="1">IFERROR(SUMIFS(INDIRECT("'Thanh Toán ("&amp;AI$3&amp;")'!$F:$F"),INDIRECT("'Thanh Toán ("&amp;AI$3&amp;")'!$D:$D"),'Tổng Đơn'!$B6),0)</f>
        <v>0</v>
      </c>
      <c r="AJ6" s="2">
        <f ca="1">IFERROR(SUMIFS(INDIRECT("'Thanh Toán ("&amp;AJ$3&amp;")'!$F:$F"),INDIRECT("'Thanh Toán ("&amp;AJ$3&amp;")'!$D:$D"),'Tổng Đơn'!$B6),0)</f>
        <v>0</v>
      </c>
      <c r="AK6" s="2">
        <f ca="1">IFERROR(SUMIFS(INDIRECT("'Thanh Toán ("&amp;AK$3&amp;")'!$F:$F"),INDIRECT("'Thanh Toán ("&amp;AK$3&amp;")'!$D:$D"),'Tổng Đơn'!$B6),0)</f>
        <v>0</v>
      </c>
      <c r="AL6" s="2">
        <f ca="1">IFERROR(SUMIFS(INDIRECT("'Thanh Toán ("&amp;AL$3&amp;")'!$F:$F"),INDIRECT("'Thanh Toán ("&amp;AL$3&amp;")'!$D:$D"),'Tổng Đơn'!$B6),0)</f>
        <v>0</v>
      </c>
      <c r="AM6" s="2">
        <f ca="1">IFERROR(SUMIFS(INDIRECT("'Thanh Toán ("&amp;AM$3&amp;")'!$F:$F"),INDIRECT("'Thanh Toán ("&amp;AM$3&amp;")'!$D:$D"),'Tổng Đơn'!$B6),0)</f>
        <v>0</v>
      </c>
      <c r="AN6" s="2">
        <f ca="1">IFERROR(SUMIFS(INDIRECT("'Thanh Toán ("&amp;AN$3&amp;")'!$F:$F"),INDIRECT("'Thanh Toán ("&amp;AN$3&amp;")'!$D:$D"),'Tổng Đơn'!$B6),0)</f>
        <v>0</v>
      </c>
      <c r="AO6" s="2">
        <f ca="1">IFERROR(SUMIFS(INDIRECT("'Thanh Toán ("&amp;AO$3&amp;")'!$F:$F"),INDIRECT("'Thanh Toán ("&amp;AO$3&amp;")'!$D:$D"),'Tổng Đơn'!$B6),0)</f>
        <v>0</v>
      </c>
      <c r="AP6" s="2">
        <f ca="1">IFERROR(SUMIFS(INDIRECT("'Thanh Toán ("&amp;AP$3&amp;")'!$F:$F"),INDIRECT("'Thanh Toán ("&amp;AP$3&amp;")'!$D:$D"),'Tổng Đơn'!$B6),0)</f>
        <v>0</v>
      </c>
      <c r="AQ6" s="2">
        <f ca="1">IFERROR(SUMIFS(INDIRECT("'Thanh Toán ("&amp;AQ$3&amp;")'!$F:$F"),INDIRECT("'Thanh Toán ("&amp;AQ$3&amp;")'!$D:$D"),'Tổng Đơn'!$B6),0)</f>
        <v>0</v>
      </c>
      <c r="AR6" s="2">
        <f ca="1">IFERROR(SUMIFS(INDIRECT("'Thanh Toán ("&amp;AR$3&amp;")'!$F:$F"),INDIRECT("'Thanh Toán ("&amp;AR$3&amp;")'!$D:$D"),'Tổng Đơn'!$B6),0)</f>
        <v>0</v>
      </c>
      <c r="AS6" s="2">
        <f ca="1">IFERROR(SUMIFS(INDIRECT("'Thanh Toán ("&amp;AS$3&amp;")'!$F:$F"),INDIRECT("'Thanh Toán ("&amp;AS$3&amp;")'!$D:$D"),'Tổng Đơn'!$B6),0)</f>
        <v>0</v>
      </c>
      <c r="AT6" s="2">
        <f ca="1">IFERROR(SUMIFS(INDIRECT("'Thanh Toán ("&amp;AT$3&amp;")'!$F:$F"),INDIRECT("'Thanh Toán ("&amp;AT$3&amp;")'!$D:$D"),'Tổng Đơn'!$B6),0)</f>
        <v>0</v>
      </c>
      <c r="AU6" s="2">
        <f ca="1">IFERROR(SUMIFS(INDIRECT("'Thanh Toán ("&amp;AU$3&amp;")'!$F:$F"),INDIRECT("'Thanh Toán ("&amp;AU$3&amp;")'!$D:$D"),'Tổng Đơn'!$B6),0)</f>
        <v>0</v>
      </c>
      <c r="AV6" s="2">
        <f ca="1">IFERROR(SUMIFS(INDIRECT("'Thanh Toán ("&amp;AV$3&amp;")'!$F:$F"),INDIRECT("'Thanh Toán ("&amp;AV$3&amp;")'!$D:$D"),'Tổng Đơn'!$B6),0)</f>
        <v>0</v>
      </c>
      <c r="AW6" s="2">
        <f ca="1">IFERROR(SUMIFS(INDIRECT("'Thanh Toán ("&amp;AW$3&amp;")'!$F:$F"),INDIRECT("'Thanh Toán ("&amp;AW$3&amp;")'!$D:$D"),'Tổng Đơn'!$B6),0)</f>
        <v>0</v>
      </c>
      <c r="AX6" s="2">
        <f ca="1">IFERROR(SUMIFS(INDIRECT("'Thanh Toán ("&amp;AX$3&amp;")'!$F:$F"),INDIRECT("'Thanh Toán ("&amp;AX$3&amp;")'!$D:$D"),'Tổng Đơn'!$B6),0)</f>
        <v>0</v>
      </c>
      <c r="AY6" s="2">
        <f ca="1">IFERROR(SUMIFS(INDIRECT("'Thanh Toán ("&amp;AY$3&amp;")'!$F:$F"),INDIRECT("'Thanh Toán ("&amp;AY$3&amp;")'!$D:$D"),'Tổng Đơn'!$B6),0)</f>
        <v>0</v>
      </c>
      <c r="AZ6" s="2">
        <f ca="1">IFERROR(SUMIFS(INDIRECT("'Thanh Toán ("&amp;AZ$3&amp;")'!$F:$F"),INDIRECT("'Thanh Toán ("&amp;AZ$3&amp;")'!$D:$D"),'Tổng Đơn'!$B6),0)</f>
        <v>0</v>
      </c>
      <c r="BA6" s="2">
        <f ca="1">IFERROR(SUMIFS(INDIRECT("'Thanh Toán ("&amp;BA$3&amp;")'!$F:$F"),INDIRECT("'Thanh Toán ("&amp;BA$3&amp;")'!$D:$D"),'Tổng Đơn'!$B6),0)</f>
        <v>0</v>
      </c>
      <c r="BB6" s="2">
        <f ca="1">IFERROR(SUMIFS(INDIRECT("'Thanh Toán ("&amp;BB$3&amp;")'!$F:$F"),INDIRECT("'Thanh Toán ("&amp;BB$3&amp;")'!$D:$D"),'Tổng Đơn'!$B6),0)</f>
        <v>0</v>
      </c>
      <c r="BC6" s="2">
        <f ca="1">IFERROR(SUMIFS(INDIRECT("'Thanh Toán ("&amp;BC$3&amp;")'!$F:$F"),INDIRECT("'Thanh Toán ("&amp;BC$3&amp;")'!$D:$D"),'Tổng Đơn'!$B6),0)</f>
        <v>0</v>
      </c>
    </row>
    <row r="7" spans="1:55" ht="18" customHeight="1" x14ac:dyDescent="0.3">
      <c r="A7" s="160" t="s">
        <v>278</v>
      </c>
      <c r="B7" s="161" t="s">
        <v>272</v>
      </c>
      <c r="C7" s="160" t="s">
        <v>283</v>
      </c>
      <c r="D7" s="162">
        <f>VLOOKUP($C7,Sheet1!$C$2:$D$80,2,0)</f>
        <v>95000</v>
      </c>
      <c r="E7" s="163">
        <v>1</v>
      </c>
      <c r="F7" s="164">
        <f t="shared" ca="1" si="2"/>
        <v>0</v>
      </c>
      <c r="G7" s="165">
        <f>IFERROR(VLOOKUP($B7,Gà!C:J,8,0),IFERROR(VLOOKUP($B7,TVP!C:J,7,0),IFERROR(VLOOKUP($B7,Kitkool!C:J,8,0),IFERROR(VLOOKUP($B7,'La Cusina'!C:J,8,0),VLOOKUP($B7,'Quốc Nhân'!C:J,8,0)))))</f>
        <v>84.467947661086043</v>
      </c>
      <c r="H7" s="166">
        <f t="shared" ref="H7:H9" ca="1" si="5">(D7-G7*1000)*$F7</f>
        <v>0</v>
      </c>
      <c r="I7" s="186">
        <f t="shared" si="3"/>
        <v>0.12468696861408435</v>
      </c>
      <c r="J7" s="166">
        <f t="shared" ca="1" si="4"/>
        <v>0</v>
      </c>
      <c r="K7" s="38"/>
      <c r="L7" s="2">
        <f ca="1">IFERROR(SUMIFS(INDIRECT("'Thanh Toán ("&amp;L$3&amp;")'!$F:$F"),INDIRECT("'Thanh Toán ("&amp;L$3&amp;")'!$D:$D"),'Tổng Đơn'!$B7),0)</f>
        <v>0</v>
      </c>
      <c r="M7" s="2">
        <f ca="1">IFERROR(SUMIFS(INDIRECT("'Thanh Toán ("&amp;M$3&amp;")'!$F:$F"),INDIRECT("'Thanh Toán ("&amp;M$3&amp;")'!$D:$D"),'Tổng Đơn'!$B7),0)</f>
        <v>0</v>
      </c>
      <c r="N7" s="2">
        <f ca="1">IFERROR(SUMIFS(INDIRECT("'Thanh Toán ("&amp;N$3&amp;")'!$F:$F"),INDIRECT("'Thanh Toán ("&amp;N$3&amp;")'!$D:$D"),'Tổng Đơn'!$B7),0)</f>
        <v>0</v>
      </c>
      <c r="O7" s="2">
        <f ca="1">IFERROR(SUMIFS(INDIRECT("'Thanh Toán ("&amp;O$3&amp;")'!$F:$F"),INDIRECT("'Thanh Toán ("&amp;O$3&amp;")'!$D:$D"),'Tổng Đơn'!$B7),0)</f>
        <v>0</v>
      </c>
      <c r="P7" s="2">
        <f ca="1">IFERROR(SUMIFS(INDIRECT("'Thanh Toán ("&amp;P$3&amp;")'!$F:$F"),INDIRECT("'Thanh Toán ("&amp;P$3&amp;")'!$D:$D"),'Tổng Đơn'!$B7),0)</f>
        <v>0</v>
      </c>
      <c r="Q7" s="2">
        <f ca="1">IFERROR(SUMIFS(INDIRECT("'Thanh Toán ("&amp;Q$3&amp;")'!$F:$F"),INDIRECT("'Thanh Toán ("&amp;Q$3&amp;")'!$D:$D"),'Tổng Đơn'!$B7),0)</f>
        <v>0</v>
      </c>
      <c r="R7" s="2">
        <f ca="1">IFERROR(SUMIFS(INDIRECT("'Thanh Toán ("&amp;R$3&amp;")'!$F:$F"),INDIRECT("'Thanh Toán ("&amp;R$3&amp;")'!$D:$D"),'Tổng Đơn'!$B7),0)</f>
        <v>0</v>
      </c>
      <c r="S7" s="2">
        <f ca="1">IFERROR(SUMIFS(INDIRECT("'Thanh Toán ("&amp;S$3&amp;")'!$F:$F"),INDIRECT("'Thanh Toán ("&amp;S$3&amp;")'!$D:$D"),'Tổng Đơn'!$B7),0)</f>
        <v>0</v>
      </c>
      <c r="T7" s="2">
        <f ca="1">IFERROR(SUMIFS(INDIRECT("'Thanh Toán ("&amp;T$3&amp;")'!$F:$F"),INDIRECT("'Thanh Toán ("&amp;T$3&amp;")'!$D:$D"),'Tổng Đơn'!$B7),0)</f>
        <v>0</v>
      </c>
      <c r="U7" s="2">
        <f ca="1">IFERROR(SUMIFS(INDIRECT("'Thanh Toán ("&amp;U$3&amp;")'!$F:$F"),INDIRECT("'Thanh Toán ("&amp;U$3&amp;")'!$D:$D"),'Tổng Đơn'!$B7),0)</f>
        <v>0</v>
      </c>
      <c r="V7" s="2">
        <f ca="1">IFERROR(SUMIFS(INDIRECT("'Thanh Toán ("&amp;V$3&amp;")'!$F:$F"),INDIRECT("'Thanh Toán ("&amp;V$3&amp;")'!$D:$D"),'Tổng Đơn'!$B7),0)</f>
        <v>0</v>
      </c>
      <c r="W7" s="2">
        <f ca="1">IFERROR(SUMIFS(INDIRECT("'Thanh Toán ("&amp;W$3&amp;")'!$F:$F"),INDIRECT("'Thanh Toán ("&amp;W$3&amp;")'!$D:$D"),'Tổng Đơn'!$B7),0)</f>
        <v>0</v>
      </c>
      <c r="X7" s="2">
        <f ca="1">IFERROR(SUMIFS(INDIRECT("'Thanh Toán ("&amp;X$3&amp;")'!$F:$F"),INDIRECT("'Thanh Toán ("&amp;X$3&amp;")'!$D:$D"),'Tổng Đơn'!$B7),0)</f>
        <v>0</v>
      </c>
      <c r="Y7" s="2">
        <f ca="1">IFERROR(SUMIFS(INDIRECT("'Thanh Toán ("&amp;Y$3&amp;")'!$F:$F"),INDIRECT("'Thanh Toán ("&amp;Y$3&amp;")'!$D:$D"),'Tổng Đơn'!$B7),0)</f>
        <v>0</v>
      </c>
      <c r="Z7" s="2">
        <f ca="1">IFERROR(SUMIFS(INDIRECT("'Thanh Toán ("&amp;Z$3&amp;")'!$F:$F"),INDIRECT("'Thanh Toán ("&amp;Z$3&amp;")'!$D:$D"),'Tổng Đơn'!$B7),0)</f>
        <v>0</v>
      </c>
      <c r="AA7" s="2">
        <f ca="1">IFERROR(SUMIFS(INDIRECT("'Thanh Toán ("&amp;AA$3&amp;")'!$F:$F"),INDIRECT("'Thanh Toán ("&amp;AA$3&amp;")'!$D:$D"),'Tổng Đơn'!$B7),0)</f>
        <v>0</v>
      </c>
      <c r="AB7" s="2">
        <f ca="1">IFERROR(SUMIFS(INDIRECT("'Thanh Toán ("&amp;AB$3&amp;")'!$F:$F"),INDIRECT("'Thanh Toán ("&amp;AB$3&amp;")'!$D:$D"),'Tổng Đơn'!$B7),0)</f>
        <v>0</v>
      </c>
      <c r="AC7" s="2">
        <f ca="1">IFERROR(SUMIFS(INDIRECT("'Thanh Toán ("&amp;AC$3&amp;")'!$F:$F"),INDIRECT("'Thanh Toán ("&amp;AC$3&amp;")'!$D:$D"),'Tổng Đơn'!$B7),0)</f>
        <v>0</v>
      </c>
      <c r="AD7" s="2">
        <f ca="1">IFERROR(SUMIFS(INDIRECT("'Thanh Toán ("&amp;AD$3&amp;")'!$F:$F"),INDIRECT("'Thanh Toán ("&amp;AD$3&amp;")'!$D:$D"),'Tổng Đơn'!$B7),0)</f>
        <v>0</v>
      </c>
      <c r="AE7" s="2">
        <f ca="1">IFERROR(SUMIFS(INDIRECT("'Thanh Toán ("&amp;AE$3&amp;")'!$F:$F"),INDIRECT("'Thanh Toán ("&amp;AE$3&amp;")'!$D:$D"),'Tổng Đơn'!$B7),0)</f>
        <v>0</v>
      </c>
      <c r="AF7" s="2">
        <f ca="1">IFERROR(SUMIFS(INDIRECT("'Thanh Toán ("&amp;AF$3&amp;")'!$F:$F"),INDIRECT("'Thanh Toán ("&amp;AF$3&amp;")'!$D:$D"),'Tổng Đơn'!$B7),0)</f>
        <v>0</v>
      </c>
      <c r="AG7" s="2">
        <f ca="1">IFERROR(SUMIFS(INDIRECT("'Thanh Toán ("&amp;AG$3&amp;")'!$F:$F"),INDIRECT("'Thanh Toán ("&amp;AG$3&amp;")'!$D:$D"),'Tổng Đơn'!$B7),0)</f>
        <v>0</v>
      </c>
      <c r="AH7" s="2">
        <f ca="1">IFERROR(SUMIFS(INDIRECT("'Thanh Toán ("&amp;AH$3&amp;")'!$F:$F"),INDIRECT("'Thanh Toán ("&amp;AH$3&amp;")'!$D:$D"),'Tổng Đơn'!$B7),0)</f>
        <v>0</v>
      </c>
      <c r="AI7" s="2">
        <f ca="1">IFERROR(SUMIFS(INDIRECT("'Thanh Toán ("&amp;AI$3&amp;")'!$F:$F"),INDIRECT("'Thanh Toán ("&amp;AI$3&amp;")'!$D:$D"),'Tổng Đơn'!$B7),0)</f>
        <v>0</v>
      </c>
      <c r="AJ7" s="2">
        <f ca="1">IFERROR(SUMIFS(INDIRECT("'Thanh Toán ("&amp;AJ$3&amp;")'!$F:$F"),INDIRECT("'Thanh Toán ("&amp;AJ$3&amp;")'!$D:$D"),'Tổng Đơn'!$B7),0)</f>
        <v>0</v>
      </c>
      <c r="AK7" s="2">
        <f ca="1">IFERROR(SUMIFS(INDIRECT("'Thanh Toán ("&amp;AK$3&amp;")'!$F:$F"),INDIRECT("'Thanh Toán ("&amp;AK$3&amp;")'!$D:$D"),'Tổng Đơn'!$B7),0)</f>
        <v>0</v>
      </c>
      <c r="AL7" s="2">
        <f ca="1">IFERROR(SUMIFS(INDIRECT("'Thanh Toán ("&amp;AL$3&amp;")'!$F:$F"),INDIRECT("'Thanh Toán ("&amp;AL$3&amp;")'!$D:$D"),'Tổng Đơn'!$B7),0)</f>
        <v>0</v>
      </c>
      <c r="AM7" s="2">
        <f ca="1">IFERROR(SUMIFS(INDIRECT("'Thanh Toán ("&amp;AM$3&amp;")'!$F:$F"),INDIRECT("'Thanh Toán ("&amp;AM$3&amp;")'!$D:$D"),'Tổng Đơn'!$B7),0)</f>
        <v>0</v>
      </c>
      <c r="AN7" s="2">
        <f ca="1">IFERROR(SUMIFS(INDIRECT("'Thanh Toán ("&amp;AN$3&amp;")'!$F:$F"),INDIRECT("'Thanh Toán ("&amp;AN$3&amp;")'!$D:$D"),'Tổng Đơn'!$B7),0)</f>
        <v>0</v>
      </c>
      <c r="AO7" s="2">
        <f ca="1">IFERROR(SUMIFS(INDIRECT("'Thanh Toán ("&amp;AO$3&amp;")'!$F:$F"),INDIRECT("'Thanh Toán ("&amp;AO$3&amp;")'!$D:$D"),'Tổng Đơn'!$B7),0)</f>
        <v>0</v>
      </c>
      <c r="AP7" s="2">
        <f ca="1">IFERROR(SUMIFS(INDIRECT("'Thanh Toán ("&amp;AP$3&amp;")'!$F:$F"),INDIRECT("'Thanh Toán ("&amp;AP$3&amp;")'!$D:$D"),'Tổng Đơn'!$B7),0)</f>
        <v>0</v>
      </c>
      <c r="AQ7" s="2">
        <f ca="1">IFERROR(SUMIFS(INDIRECT("'Thanh Toán ("&amp;AQ$3&amp;")'!$F:$F"),INDIRECT("'Thanh Toán ("&amp;AQ$3&amp;")'!$D:$D"),'Tổng Đơn'!$B7),0)</f>
        <v>0</v>
      </c>
      <c r="AR7" s="2">
        <f ca="1">IFERROR(SUMIFS(INDIRECT("'Thanh Toán ("&amp;AR$3&amp;")'!$F:$F"),INDIRECT("'Thanh Toán ("&amp;AR$3&amp;")'!$D:$D"),'Tổng Đơn'!$B7),0)</f>
        <v>0</v>
      </c>
      <c r="AS7" s="2">
        <f ca="1">IFERROR(SUMIFS(INDIRECT("'Thanh Toán ("&amp;AS$3&amp;")'!$F:$F"),INDIRECT("'Thanh Toán ("&amp;AS$3&amp;")'!$D:$D"),'Tổng Đơn'!$B7),0)</f>
        <v>0</v>
      </c>
      <c r="AT7" s="2">
        <f ca="1">IFERROR(SUMIFS(INDIRECT("'Thanh Toán ("&amp;AT$3&amp;")'!$F:$F"),INDIRECT("'Thanh Toán ("&amp;AT$3&amp;")'!$D:$D"),'Tổng Đơn'!$B7),0)</f>
        <v>0</v>
      </c>
      <c r="AU7" s="2">
        <f ca="1">IFERROR(SUMIFS(INDIRECT("'Thanh Toán ("&amp;AU$3&amp;")'!$F:$F"),INDIRECT("'Thanh Toán ("&amp;AU$3&amp;")'!$D:$D"),'Tổng Đơn'!$B7),0)</f>
        <v>0</v>
      </c>
      <c r="AV7" s="2">
        <f ca="1">IFERROR(SUMIFS(INDIRECT("'Thanh Toán ("&amp;AV$3&amp;")'!$F:$F"),INDIRECT("'Thanh Toán ("&amp;AV$3&amp;")'!$D:$D"),'Tổng Đơn'!$B7),0)</f>
        <v>0</v>
      </c>
      <c r="AW7" s="2">
        <f ca="1">IFERROR(SUMIFS(INDIRECT("'Thanh Toán ("&amp;AW$3&amp;")'!$F:$F"),INDIRECT("'Thanh Toán ("&amp;AW$3&amp;")'!$D:$D"),'Tổng Đơn'!$B7),0)</f>
        <v>0</v>
      </c>
      <c r="AX7" s="2">
        <f ca="1">IFERROR(SUMIFS(INDIRECT("'Thanh Toán ("&amp;AX$3&amp;")'!$F:$F"),INDIRECT("'Thanh Toán ("&amp;AX$3&amp;")'!$D:$D"),'Tổng Đơn'!$B7),0)</f>
        <v>0</v>
      </c>
      <c r="AY7" s="2">
        <f ca="1">IFERROR(SUMIFS(INDIRECT("'Thanh Toán ("&amp;AY$3&amp;")'!$F:$F"),INDIRECT("'Thanh Toán ("&amp;AY$3&amp;")'!$D:$D"),'Tổng Đơn'!$B7),0)</f>
        <v>0</v>
      </c>
      <c r="AZ7" s="2">
        <f ca="1">IFERROR(SUMIFS(INDIRECT("'Thanh Toán ("&amp;AZ$3&amp;")'!$F:$F"),INDIRECT("'Thanh Toán ("&amp;AZ$3&amp;")'!$D:$D"),'Tổng Đơn'!$B7),0)</f>
        <v>0</v>
      </c>
      <c r="BA7" s="2">
        <f ca="1">IFERROR(SUMIFS(INDIRECT("'Thanh Toán ("&amp;BA$3&amp;")'!$F:$F"),INDIRECT("'Thanh Toán ("&amp;BA$3&amp;")'!$D:$D"),'Tổng Đơn'!$B7),0)</f>
        <v>0</v>
      </c>
      <c r="BB7" s="2">
        <f ca="1">IFERROR(SUMIFS(INDIRECT("'Thanh Toán ("&amp;BB$3&amp;")'!$F:$F"),INDIRECT("'Thanh Toán ("&amp;BB$3&amp;")'!$D:$D"),'Tổng Đơn'!$B7),0)</f>
        <v>0</v>
      </c>
      <c r="BC7" s="2">
        <f ca="1">IFERROR(SUMIFS(INDIRECT("'Thanh Toán ("&amp;BC$3&amp;")'!$F:$F"),INDIRECT("'Thanh Toán ("&amp;BC$3&amp;")'!$D:$D"),'Tổng Đơn'!$B7),0)</f>
        <v>0</v>
      </c>
    </row>
    <row r="8" spans="1:55" ht="18" customHeight="1" x14ac:dyDescent="0.3">
      <c r="A8" s="160" t="s">
        <v>279</v>
      </c>
      <c r="B8" s="161" t="s">
        <v>286</v>
      </c>
      <c r="C8" s="160" t="s">
        <v>284</v>
      </c>
      <c r="D8" s="162">
        <f>VLOOKUP($C8,Sheet1!$C$2:$D$80,2,0)</f>
        <v>116000</v>
      </c>
      <c r="E8" s="163">
        <v>1.2</v>
      </c>
      <c r="F8" s="164">
        <f t="shared" ca="1" si="2"/>
        <v>0</v>
      </c>
      <c r="G8" s="165">
        <f>IFERROR(VLOOKUP($B8,Gà!C:J,8,0),IFERROR(VLOOKUP($B8,TVP!C:J,7,0),IFERROR(VLOOKUP($B8,Kitkool!C:J,8,0),IFERROR(VLOOKUP($B8,'La Cusina'!C:J,8,0),VLOOKUP($B8,'Quốc Nhân'!C:J,8,0)))))</f>
        <v>104.82166998905859</v>
      </c>
      <c r="H8" s="166">
        <f t="shared" ca="1" si="5"/>
        <v>0</v>
      </c>
      <c r="I8" s="186">
        <f t="shared" si="3"/>
        <v>0.10664140355814045</v>
      </c>
      <c r="J8" s="166">
        <f t="shared" ca="1" si="4"/>
        <v>0</v>
      </c>
      <c r="K8" s="38"/>
      <c r="L8" s="2">
        <f ca="1">IFERROR(SUMIFS(INDIRECT("'Thanh Toán ("&amp;L$3&amp;")'!$F:$F"),INDIRECT("'Thanh Toán ("&amp;L$3&amp;")'!$D:$D"),'Tổng Đơn'!$B8),0)</f>
        <v>0</v>
      </c>
      <c r="M8" s="2">
        <f ca="1">IFERROR(SUMIFS(INDIRECT("'Thanh Toán ("&amp;M$3&amp;")'!$F:$F"),INDIRECT("'Thanh Toán ("&amp;M$3&amp;")'!$D:$D"),'Tổng Đơn'!$B8),0)</f>
        <v>0</v>
      </c>
      <c r="N8" s="2">
        <f ca="1">IFERROR(SUMIFS(INDIRECT("'Thanh Toán ("&amp;N$3&amp;")'!$F:$F"),INDIRECT("'Thanh Toán ("&amp;N$3&amp;")'!$D:$D"),'Tổng Đơn'!$B8),0)</f>
        <v>0</v>
      </c>
      <c r="O8" s="2">
        <f ca="1">IFERROR(SUMIFS(INDIRECT("'Thanh Toán ("&amp;O$3&amp;")'!$F:$F"),INDIRECT("'Thanh Toán ("&amp;O$3&amp;")'!$D:$D"),'Tổng Đơn'!$B8),0)</f>
        <v>0</v>
      </c>
      <c r="P8" s="2">
        <f ca="1">IFERROR(SUMIFS(INDIRECT("'Thanh Toán ("&amp;P$3&amp;")'!$F:$F"),INDIRECT("'Thanh Toán ("&amp;P$3&amp;")'!$D:$D"),'Tổng Đơn'!$B8),0)</f>
        <v>0</v>
      </c>
      <c r="Q8" s="2">
        <f ca="1">IFERROR(SUMIFS(INDIRECT("'Thanh Toán ("&amp;Q$3&amp;")'!$F:$F"),INDIRECT("'Thanh Toán ("&amp;Q$3&amp;")'!$D:$D"),'Tổng Đơn'!$B8),0)</f>
        <v>0</v>
      </c>
      <c r="R8" s="2">
        <f ca="1">IFERROR(SUMIFS(INDIRECT("'Thanh Toán ("&amp;R$3&amp;")'!$F:$F"),INDIRECT("'Thanh Toán ("&amp;R$3&amp;")'!$D:$D"),'Tổng Đơn'!$B8),0)</f>
        <v>0</v>
      </c>
      <c r="S8" s="2">
        <f ca="1">IFERROR(SUMIFS(INDIRECT("'Thanh Toán ("&amp;S$3&amp;")'!$F:$F"),INDIRECT("'Thanh Toán ("&amp;S$3&amp;")'!$D:$D"),'Tổng Đơn'!$B8),0)</f>
        <v>0</v>
      </c>
      <c r="T8" s="2">
        <f ca="1">IFERROR(SUMIFS(INDIRECT("'Thanh Toán ("&amp;T$3&amp;")'!$F:$F"),INDIRECT("'Thanh Toán ("&amp;T$3&amp;")'!$D:$D"),'Tổng Đơn'!$B8),0)</f>
        <v>0</v>
      </c>
      <c r="U8" s="2">
        <f ca="1">IFERROR(SUMIFS(INDIRECT("'Thanh Toán ("&amp;U$3&amp;")'!$F:$F"),INDIRECT("'Thanh Toán ("&amp;U$3&amp;")'!$D:$D"),'Tổng Đơn'!$B8),0)</f>
        <v>0</v>
      </c>
      <c r="V8" s="2">
        <f ca="1">IFERROR(SUMIFS(INDIRECT("'Thanh Toán ("&amp;V$3&amp;")'!$F:$F"),INDIRECT("'Thanh Toán ("&amp;V$3&amp;")'!$D:$D"),'Tổng Đơn'!$B8),0)</f>
        <v>0</v>
      </c>
      <c r="W8" s="2">
        <f ca="1">IFERROR(SUMIFS(INDIRECT("'Thanh Toán ("&amp;W$3&amp;")'!$F:$F"),INDIRECT("'Thanh Toán ("&amp;W$3&amp;")'!$D:$D"),'Tổng Đơn'!$B8),0)</f>
        <v>0</v>
      </c>
      <c r="X8" s="2">
        <f ca="1">IFERROR(SUMIFS(INDIRECT("'Thanh Toán ("&amp;X$3&amp;")'!$F:$F"),INDIRECT("'Thanh Toán ("&amp;X$3&amp;")'!$D:$D"),'Tổng Đơn'!$B8),0)</f>
        <v>0</v>
      </c>
      <c r="Y8" s="2">
        <f ca="1">IFERROR(SUMIFS(INDIRECT("'Thanh Toán ("&amp;Y$3&amp;")'!$F:$F"),INDIRECT("'Thanh Toán ("&amp;Y$3&amp;")'!$D:$D"),'Tổng Đơn'!$B8),0)</f>
        <v>0</v>
      </c>
      <c r="Z8" s="2">
        <f ca="1">IFERROR(SUMIFS(INDIRECT("'Thanh Toán ("&amp;Z$3&amp;")'!$F:$F"),INDIRECT("'Thanh Toán ("&amp;Z$3&amp;")'!$D:$D"),'Tổng Đơn'!$B8),0)</f>
        <v>0</v>
      </c>
      <c r="AA8" s="2">
        <f ca="1">IFERROR(SUMIFS(INDIRECT("'Thanh Toán ("&amp;AA$3&amp;")'!$F:$F"),INDIRECT("'Thanh Toán ("&amp;AA$3&amp;")'!$D:$D"),'Tổng Đơn'!$B8),0)</f>
        <v>0</v>
      </c>
      <c r="AB8" s="2">
        <f ca="1">IFERROR(SUMIFS(INDIRECT("'Thanh Toán ("&amp;AB$3&amp;")'!$F:$F"),INDIRECT("'Thanh Toán ("&amp;AB$3&amp;")'!$D:$D"),'Tổng Đơn'!$B8),0)</f>
        <v>0</v>
      </c>
      <c r="AC8" s="2">
        <f ca="1">IFERROR(SUMIFS(INDIRECT("'Thanh Toán ("&amp;AC$3&amp;")'!$F:$F"),INDIRECT("'Thanh Toán ("&amp;AC$3&amp;")'!$D:$D"),'Tổng Đơn'!$B8),0)</f>
        <v>0</v>
      </c>
      <c r="AD8" s="2">
        <f ca="1">IFERROR(SUMIFS(INDIRECT("'Thanh Toán ("&amp;AD$3&amp;")'!$F:$F"),INDIRECT("'Thanh Toán ("&amp;AD$3&amp;")'!$D:$D"),'Tổng Đơn'!$B8),0)</f>
        <v>0</v>
      </c>
      <c r="AE8" s="2">
        <f ca="1">IFERROR(SUMIFS(INDIRECT("'Thanh Toán ("&amp;AE$3&amp;")'!$F:$F"),INDIRECT("'Thanh Toán ("&amp;AE$3&amp;")'!$D:$D"),'Tổng Đơn'!$B8),0)</f>
        <v>0</v>
      </c>
      <c r="AF8" s="2">
        <f ca="1">IFERROR(SUMIFS(INDIRECT("'Thanh Toán ("&amp;AF$3&amp;")'!$F:$F"),INDIRECT("'Thanh Toán ("&amp;AF$3&amp;")'!$D:$D"),'Tổng Đơn'!$B8),0)</f>
        <v>0</v>
      </c>
      <c r="AG8" s="2">
        <f ca="1">IFERROR(SUMIFS(INDIRECT("'Thanh Toán ("&amp;AG$3&amp;")'!$F:$F"),INDIRECT("'Thanh Toán ("&amp;AG$3&amp;")'!$D:$D"),'Tổng Đơn'!$B8),0)</f>
        <v>0</v>
      </c>
      <c r="AH8" s="2">
        <f ca="1">IFERROR(SUMIFS(INDIRECT("'Thanh Toán ("&amp;AH$3&amp;")'!$F:$F"),INDIRECT("'Thanh Toán ("&amp;AH$3&amp;")'!$D:$D"),'Tổng Đơn'!$B8),0)</f>
        <v>0</v>
      </c>
      <c r="AI8" s="2">
        <f ca="1">IFERROR(SUMIFS(INDIRECT("'Thanh Toán ("&amp;AI$3&amp;")'!$F:$F"),INDIRECT("'Thanh Toán ("&amp;AI$3&amp;")'!$D:$D"),'Tổng Đơn'!$B8),0)</f>
        <v>0</v>
      </c>
      <c r="AJ8" s="2">
        <f ca="1">IFERROR(SUMIFS(INDIRECT("'Thanh Toán ("&amp;AJ$3&amp;")'!$F:$F"),INDIRECT("'Thanh Toán ("&amp;AJ$3&amp;")'!$D:$D"),'Tổng Đơn'!$B8),0)</f>
        <v>0</v>
      </c>
      <c r="AK8" s="2">
        <f ca="1">IFERROR(SUMIFS(INDIRECT("'Thanh Toán ("&amp;AK$3&amp;")'!$F:$F"),INDIRECT("'Thanh Toán ("&amp;AK$3&amp;")'!$D:$D"),'Tổng Đơn'!$B8),0)</f>
        <v>0</v>
      </c>
      <c r="AL8" s="2">
        <f ca="1">IFERROR(SUMIFS(INDIRECT("'Thanh Toán ("&amp;AL$3&amp;")'!$F:$F"),INDIRECT("'Thanh Toán ("&amp;AL$3&amp;")'!$D:$D"),'Tổng Đơn'!$B8),0)</f>
        <v>0</v>
      </c>
      <c r="AM8" s="2">
        <f ca="1">IFERROR(SUMIFS(INDIRECT("'Thanh Toán ("&amp;AM$3&amp;")'!$F:$F"),INDIRECT("'Thanh Toán ("&amp;AM$3&amp;")'!$D:$D"),'Tổng Đơn'!$B8),0)</f>
        <v>0</v>
      </c>
      <c r="AN8" s="2">
        <f ca="1">IFERROR(SUMIFS(INDIRECT("'Thanh Toán ("&amp;AN$3&amp;")'!$F:$F"),INDIRECT("'Thanh Toán ("&amp;AN$3&amp;")'!$D:$D"),'Tổng Đơn'!$B8),0)</f>
        <v>0</v>
      </c>
      <c r="AO8" s="2">
        <f ca="1">IFERROR(SUMIFS(INDIRECT("'Thanh Toán ("&amp;AO$3&amp;")'!$F:$F"),INDIRECT("'Thanh Toán ("&amp;AO$3&amp;")'!$D:$D"),'Tổng Đơn'!$B8),0)</f>
        <v>0</v>
      </c>
      <c r="AP8" s="2">
        <f ca="1">IFERROR(SUMIFS(INDIRECT("'Thanh Toán ("&amp;AP$3&amp;")'!$F:$F"),INDIRECT("'Thanh Toán ("&amp;AP$3&amp;")'!$D:$D"),'Tổng Đơn'!$B8),0)</f>
        <v>0</v>
      </c>
      <c r="AQ8" s="2">
        <f ca="1">IFERROR(SUMIFS(INDIRECT("'Thanh Toán ("&amp;AQ$3&amp;")'!$F:$F"),INDIRECT("'Thanh Toán ("&amp;AQ$3&amp;")'!$D:$D"),'Tổng Đơn'!$B8),0)</f>
        <v>0</v>
      </c>
      <c r="AR8" s="2">
        <f ca="1">IFERROR(SUMIFS(INDIRECT("'Thanh Toán ("&amp;AR$3&amp;")'!$F:$F"),INDIRECT("'Thanh Toán ("&amp;AR$3&amp;")'!$D:$D"),'Tổng Đơn'!$B8),0)</f>
        <v>0</v>
      </c>
      <c r="AS8" s="2">
        <f ca="1">IFERROR(SUMIFS(INDIRECT("'Thanh Toán ("&amp;AS$3&amp;")'!$F:$F"),INDIRECT("'Thanh Toán ("&amp;AS$3&amp;")'!$D:$D"),'Tổng Đơn'!$B8),0)</f>
        <v>0</v>
      </c>
      <c r="AT8" s="2">
        <f ca="1">IFERROR(SUMIFS(INDIRECT("'Thanh Toán ("&amp;AT$3&amp;")'!$F:$F"),INDIRECT("'Thanh Toán ("&amp;AT$3&amp;")'!$D:$D"),'Tổng Đơn'!$B8),0)</f>
        <v>0</v>
      </c>
      <c r="AU8" s="2">
        <f ca="1">IFERROR(SUMIFS(INDIRECT("'Thanh Toán ("&amp;AU$3&amp;")'!$F:$F"),INDIRECT("'Thanh Toán ("&amp;AU$3&amp;")'!$D:$D"),'Tổng Đơn'!$B8),0)</f>
        <v>0</v>
      </c>
      <c r="AV8" s="2">
        <f ca="1">IFERROR(SUMIFS(INDIRECT("'Thanh Toán ("&amp;AV$3&amp;")'!$F:$F"),INDIRECT("'Thanh Toán ("&amp;AV$3&amp;")'!$D:$D"),'Tổng Đơn'!$B8),0)</f>
        <v>0</v>
      </c>
      <c r="AW8" s="2">
        <f ca="1">IFERROR(SUMIFS(INDIRECT("'Thanh Toán ("&amp;AW$3&amp;")'!$F:$F"),INDIRECT("'Thanh Toán ("&amp;AW$3&amp;")'!$D:$D"),'Tổng Đơn'!$B8),0)</f>
        <v>0</v>
      </c>
      <c r="AX8" s="2">
        <f ca="1">IFERROR(SUMIFS(INDIRECT("'Thanh Toán ("&amp;AX$3&amp;")'!$F:$F"),INDIRECT("'Thanh Toán ("&amp;AX$3&amp;")'!$D:$D"),'Tổng Đơn'!$B8),0)</f>
        <v>0</v>
      </c>
      <c r="AY8" s="2">
        <f ca="1">IFERROR(SUMIFS(INDIRECT("'Thanh Toán ("&amp;AY$3&amp;")'!$F:$F"),INDIRECT("'Thanh Toán ("&amp;AY$3&amp;")'!$D:$D"),'Tổng Đơn'!$B8),0)</f>
        <v>0</v>
      </c>
      <c r="AZ8" s="2">
        <f ca="1">IFERROR(SUMIFS(INDIRECT("'Thanh Toán ("&amp;AZ$3&amp;")'!$F:$F"),INDIRECT("'Thanh Toán ("&amp;AZ$3&amp;")'!$D:$D"),'Tổng Đơn'!$B8),0)</f>
        <v>0</v>
      </c>
      <c r="BA8" s="2">
        <f ca="1">IFERROR(SUMIFS(INDIRECT("'Thanh Toán ("&amp;BA$3&amp;")'!$F:$F"),INDIRECT("'Thanh Toán ("&amp;BA$3&amp;")'!$D:$D"),'Tổng Đơn'!$B8),0)</f>
        <v>0</v>
      </c>
      <c r="BB8" s="2">
        <f ca="1">IFERROR(SUMIFS(INDIRECT("'Thanh Toán ("&amp;BB$3&amp;")'!$F:$F"),INDIRECT("'Thanh Toán ("&amp;BB$3&amp;")'!$D:$D"),'Tổng Đơn'!$B8),0)</f>
        <v>0</v>
      </c>
      <c r="BC8" s="2">
        <f ca="1">IFERROR(SUMIFS(INDIRECT("'Thanh Toán ("&amp;BC$3&amp;")'!$F:$F"),INDIRECT("'Thanh Toán ("&amp;BC$3&amp;")'!$D:$D"),'Tổng Đơn'!$B8),0)</f>
        <v>0</v>
      </c>
    </row>
    <row r="9" spans="1:55" ht="18" customHeight="1" x14ac:dyDescent="0.3">
      <c r="A9" s="160" t="s">
        <v>280</v>
      </c>
      <c r="B9" s="161" t="s">
        <v>273</v>
      </c>
      <c r="C9" s="160" t="s">
        <v>285</v>
      </c>
      <c r="D9" s="162">
        <f>VLOOKUP($C9,Sheet1!$C$2:$D$80,2,0)</f>
        <v>48000</v>
      </c>
      <c r="E9" s="163">
        <v>0.5</v>
      </c>
      <c r="F9" s="164">
        <f t="shared" ca="1" si="2"/>
        <v>0</v>
      </c>
      <c r="G9" s="165">
        <f>IFERROR(VLOOKUP($B9,Gà!C:J,8,0),IFERROR(VLOOKUP($B9,TVP!C:J,7,0),IFERROR(VLOOKUP($B9,Kitkool!C:J,8,0),IFERROR(VLOOKUP($B9,'La Cusina'!C:J,8,0),VLOOKUP($B9,'Quốc Nhân'!C:J,8,0)))))</f>
        <v>40.707444655945082</v>
      </c>
      <c r="H9" s="166">
        <f t="shared" ca="1" si="5"/>
        <v>0</v>
      </c>
      <c r="I9" s="186">
        <f t="shared" si="3"/>
        <v>0.17914549551539793</v>
      </c>
      <c r="J9" s="166">
        <f t="shared" ca="1" si="4"/>
        <v>0</v>
      </c>
      <c r="K9" s="38"/>
      <c r="L9" s="2">
        <f ca="1">IFERROR(SUMIFS(INDIRECT("'Thanh Toán ("&amp;L$3&amp;")'!$F:$F"),INDIRECT("'Thanh Toán ("&amp;L$3&amp;")'!$D:$D"),'Tổng Đơn'!$B9),0)</f>
        <v>0</v>
      </c>
      <c r="M9" s="2">
        <f ca="1">IFERROR(SUMIFS(INDIRECT("'Thanh Toán ("&amp;M$3&amp;")'!$F:$F"),INDIRECT("'Thanh Toán ("&amp;M$3&amp;")'!$D:$D"),'Tổng Đơn'!$B9),0)</f>
        <v>0</v>
      </c>
      <c r="N9" s="2">
        <f ca="1">IFERROR(SUMIFS(INDIRECT("'Thanh Toán ("&amp;N$3&amp;")'!$F:$F"),INDIRECT("'Thanh Toán ("&amp;N$3&amp;")'!$D:$D"),'Tổng Đơn'!$B9),0)</f>
        <v>0</v>
      </c>
      <c r="O9" s="2">
        <f ca="1">IFERROR(SUMIFS(INDIRECT("'Thanh Toán ("&amp;O$3&amp;")'!$F:$F"),INDIRECT("'Thanh Toán ("&amp;O$3&amp;")'!$D:$D"),'Tổng Đơn'!$B9),0)</f>
        <v>0</v>
      </c>
      <c r="P9" s="2">
        <f ca="1">IFERROR(SUMIFS(INDIRECT("'Thanh Toán ("&amp;P$3&amp;")'!$F:$F"),INDIRECT("'Thanh Toán ("&amp;P$3&amp;")'!$D:$D"),'Tổng Đơn'!$B9),0)</f>
        <v>0</v>
      </c>
      <c r="Q9" s="2">
        <f ca="1">IFERROR(SUMIFS(INDIRECT("'Thanh Toán ("&amp;Q$3&amp;")'!$F:$F"),INDIRECT("'Thanh Toán ("&amp;Q$3&amp;")'!$D:$D"),'Tổng Đơn'!$B9),0)</f>
        <v>0</v>
      </c>
      <c r="R9" s="2">
        <f ca="1">IFERROR(SUMIFS(INDIRECT("'Thanh Toán ("&amp;R$3&amp;")'!$F:$F"),INDIRECT("'Thanh Toán ("&amp;R$3&amp;")'!$D:$D"),'Tổng Đơn'!$B9),0)</f>
        <v>0</v>
      </c>
      <c r="S9" s="2">
        <f ca="1">IFERROR(SUMIFS(INDIRECT("'Thanh Toán ("&amp;S$3&amp;")'!$F:$F"),INDIRECT("'Thanh Toán ("&amp;S$3&amp;")'!$D:$D"),'Tổng Đơn'!$B9),0)</f>
        <v>0</v>
      </c>
      <c r="T9" s="2">
        <f ca="1">IFERROR(SUMIFS(INDIRECT("'Thanh Toán ("&amp;T$3&amp;")'!$F:$F"),INDIRECT("'Thanh Toán ("&amp;T$3&amp;")'!$D:$D"),'Tổng Đơn'!$B9),0)</f>
        <v>0</v>
      </c>
      <c r="U9" s="2">
        <f ca="1">IFERROR(SUMIFS(INDIRECT("'Thanh Toán ("&amp;U$3&amp;")'!$F:$F"),INDIRECT("'Thanh Toán ("&amp;U$3&amp;")'!$D:$D"),'Tổng Đơn'!$B9),0)</f>
        <v>0</v>
      </c>
      <c r="V9" s="2">
        <f ca="1">IFERROR(SUMIFS(INDIRECT("'Thanh Toán ("&amp;V$3&amp;")'!$F:$F"),INDIRECT("'Thanh Toán ("&amp;V$3&amp;")'!$D:$D"),'Tổng Đơn'!$B9),0)</f>
        <v>0</v>
      </c>
      <c r="W9" s="2">
        <f ca="1">IFERROR(SUMIFS(INDIRECT("'Thanh Toán ("&amp;W$3&amp;")'!$F:$F"),INDIRECT("'Thanh Toán ("&amp;W$3&amp;")'!$D:$D"),'Tổng Đơn'!$B9),0)</f>
        <v>0</v>
      </c>
      <c r="X9" s="2">
        <f ca="1">IFERROR(SUMIFS(INDIRECT("'Thanh Toán ("&amp;X$3&amp;")'!$F:$F"),INDIRECT("'Thanh Toán ("&amp;X$3&amp;")'!$D:$D"),'Tổng Đơn'!$B9),0)</f>
        <v>0</v>
      </c>
      <c r="Y9" s="2">
        <f ca="1">IFERROR(SUMIFS(INDIRECT("'Thanh Toán ("&amp;Y$3&amp;")'!$F:$F"),INDIRECT("'Thanh Toán ("&amp;Y$3&amp;")'!$D:$D"),'Tổng Đơn'!$B9),0)</f>
        <v>0</v>
      </c>
      <c r="Z9" s="2">
        <f ca="1">IFERROR(SUMIFS(INDIRECT("'Thanh Toán ("&amp;Z$3&amp;")'!$F:$F"),INDIRECT("'Thanh Toán ("&amp;Z$3&amp;")'!$D:$D"),'Tổng Đơn'!$B9),0)</f>
        <v>0</v>
      </c>
      <c r="AA9" s="2">
        <f ca="1">IFERROR(SUMIFS(INDIRECT("'Thanh Toán ("&amp;AA$3&amp;")'!$F:$F"),INDIRECT("'Thanh Toán ("&amp;AA$3&amp;")'!$D:$D"),'Tổng Đơn'!$B9),0)</f>
        <v>0</v>
      </c>
      <c r="AB9" s="2">
        <f ca="1">IFERROR(SUMIFS(INDIRECT("'Thanh Toán ("&amp;AB$3&amp;")'!$F:$F"),INDIRECT("'Thanh Toán ("&amp;AB$3&amp;")'!$D:$D"),'Tổng Đơn'!$B9),0)</f>
        <v>0</v>
      </c>
      <c r="AC9" s="2">
        <f ca="1">IFERROR(SUMIFS(INDIRECT("'Thanh Toán ("&amp;AC$3&amp;")'!$F:$F"),INDIRECT("'Thanh Toán ("&amp;AC$3&amp;")'!$D:$D"),'Tổng Đơn'!$B9),0)</f>
        <v>0</v>
      </c>
      <c r="AD9" s="2">
        <f ca="1">IFERROR(SUMIFS(INDIRECT("'Thanh Toán ("&amp;AD$3&amp;")'!$F:$F"),INDIRECT("'Thanh Toán ("&amp;AD$3&amp;")'!$D:$D"),'Tổng Đơn'!$B9),0)</f>
        <v>0</v>
      </c>
      <c r="AE9" s="2">
        <f ca="1">IFERROR(SUMIFS(INDIRECT("'Thanh Toán ("&amp;AE$3&amp;")'!$F:$F"),INDIRECT("'Thanh Toán ("&amp;AE$3&amp;")'!$D:$D"),'Tổng Đơn'!$B9),0)</f>
        <v>0</v>
      </c>
      <c r="AF9" s="2">
        <f ca="1">IFERROR(SUMIFS(INDIRECT("'Thanh Toán ("&amp;AF$3&amp;")'!$F:$F"),INDIRECT("'Thanh Toán ("&amp;AF$3&amp;")'!$D:$D"),'Tổng Đơn'!$B9),0)</f>
        <v>0</v>
      </c>
      <c r="AG9" s="2">
        <f ca="1">IFERROR(SUMIFS(INDIRECT("'Thanh Toán ("&amp;AG$3&amp;")'!$F:$F"),INDIRECT("'Thanh Toán ("&amp;AG$3&amp;")'!$D:$D"),'Tổng Đơn'!$B9),0)</f>
        <v>0</v>
      </c>
      <c r="AH9" s="2">
        <f ca="1">IFERROR(SUMIFS(INDIRECT("'Thanh Toán ("&amp;AH$3&amp;")'!$F:$F"),INDIRECT("'Thanh Toán ("&amp;AH$3&amp;")'!$D:$D"),'Tổng Đơn'!$B9),0)</f>
        <v>0</v>
      </c>
      <c r="AI9" s="2">
        <f ca="1">IFERROR(SUMIFS(INDIRECT("'Thanh Toán ("&amp;AI$3&amp;")'!$F:$F"),INDIRECT("'Thanh Toán ("&amp;AI$3&amp;")'!$D:$D"),'Tổng Đơn'!$B9),0)</f>
        <v>0</v>
      </c>
      <c r="AJ9" s="2">
        <f ca="1">IFERROR(SUMIFS(INDIRECT("'Thanh Toán ("&amp;AJ$3&amp;")'!$F:$F"),INDIRECT("'Thanh Toán ("&amp;AJ$3&amp;")'!$D:$D"),'Tổng Đơn'!$B9),0)</f>
        <v>0</v>
      </c>
      <c r="AK9" s="2">
        <f ca="1">IFERROR(SUMIFS(INDIRECT("'Thanh Toán ("&amp;AK$3&amp;")'!$F:$F"),INDIRECT("'Thanh Toán ("&amp;AK$3&amp;")'!$D:$D"),'Tổng Đơn'!$B9),0)</f>
        <v>0</v>
      </c>
      <c r="AL9" s="2">
        <f ca="1">IFERROR(SUMIFS(INDIRECT("'Thanh Toán ("&amp;AL$3&amp;")'!$F:$F"),INDIRECT("'Thanh Toán ("&amp;AL$3&amp;")'!$D:$D"),'Tổng Đơn'!$B9),0)</f>
        <v>0</v>
      </c>
      <c r="AM9" s="2">
        <f ca="1">IFERROR(SUMIFS(INDIRECT("'Thanh Toán ("&amp;AM$3&amp;")'!$F:$F"),INDIRECT("'Thanh Toán ("&amp;AM$3&amp;")'!$D:$D"),'Tổng Đơn'!$B9),0)</f>
        <v>0</v>
      </c>
      <c r="AN9" s="2">
        <f ca="1">IFERROR(SUMIFS(INDIRECT("'Thanh Toán ("&amp;AN$3&amp;")'!$F:$F"),INDIRECT("'Thanh Toán ("&amp;AN$3&amp;")'!$D:$D"),'Tổng Đơn'!$B9),0)</f>
        <v>0</v>
      </c>
      <c r="AO9" s="2">
        <f ca="1">IFERROR(SUMIFS(INDIRECT("'Thanh Toán ("&amp;AO$3&amp;")'!$F:$F"),INDIRECT("'Thanh Toán ("&amp;AO$3&amp;")'!$D:$D"),'Tổng Đơn'!$B9),0)</f>
        <v>0</v>
      </c>
      <c r="AP9" s="2">
        <f ca="1">IFERROR(SUMIFS(INDIRECT("'Thanh Toán ("&amp;AP$3&amp;")'!$F:$F"),INDIRECT("'Thanh Toán ("&amp;AP$3&amp;")'!$D:$D"),'Tổng Đơn'!$B9),0)</f>
        <v>0</v>
      </c>
      <c r="AQ9" s="2">
        <f ca="1">IFERROR(SUMIFS(INDIRECT("'Thanh Toán ("&amp;AQ$3&amp;")'!$F:$F"),INDIRECT("'Thanh Toán ("&amp;AQ$3&amp;")'!$D:$D"),'Tổng Đơn'!$B9),0)</f>
        <v>0</v>
      </c>
      <c r="AR9" s="2">
        <f ca="1">IFERROR(SUMIFS(INDIRECT("'Thanh Toán ("&amp;AR$3&amp;")'!$F:$F"),INDIRECT("'Thanh Toán ("&amp;AR$3&amp;")'!$D:$D"),'Tổng Đơn'!$B9),0)</f>
        <v>0</v>
      </c>
      <c r="AS9" s="2">
        <f ca="1">IFERROR(SUMIFS(INDIRECT("'Thanh Toán ("&amp;AS$3&amp;")'!$F:$F"),INDIRECT("'Thanh Toán ("&amp;AS$3&amp;")'!$D:$D"),'Tổng Đơn'!$B9),0)</f>
        <v>0</v>
      </c>
      <c r="AT9" s="2">
        <f ca="1">IFERROR(SUMIFS(INDIRECT("'Thanh Toán ("&amp;AT$3&amp;")'!$F:$F"),INDIRECT("'Thanh Toán ("&amp;AT$3&amp;")'!$D:$D"),'Tổng Đơn'!$B9),0)</f>
        <v>0</v>
      </c>
      <c r="AU9" s="2">
        <f ca="1">IFERROR(SUMIFS(INDIRECT("'Thanh Toán ("&amp;AU$3&amp;")'!$F:$F"),INDIRECT("'Thanh Toán ("&amp;AU$3&amp;")'!$D:$D"),'Tổng Đơn'!$B9),0)</f>
        <v>0</v>
      </c>
      <c r="AV9" s="2">
        <f ca="1">IFERROR(SUMIFS(INDIRECT("'Thanh Toán ("&amp;AV$3&amp;")'!$F:$F"),INDIRECT("'Thanh Toán ("&amp;AV$3&amp;")'!$D:$D"),'Tổng Đơn'!$B9),0)</f>
        <v>0</v>
      </c>
      <c r="AW9" s="2">
        <f ca="1">IFERROR(SUMIFS(INDIRECT("'Thanh Toán ("&amp;AW$3&amp;")'!$F:$F"),INDIRECT("'Thanh Toán ("&amp;AW$3&amp;")'!$D:$D"),'Tổng Đơn'!$B9),0)</f>
        <v>0</v>
      </c>
      <c r="AX9" s="2">
        <f ca="1">IFERROR(SUMIFS(INDIRECT("'Thanh Toán ("&amp;AX$3&amp;")'!$F:$F"),INDIRECT("'Thanh Toán ("&amp;AX$3&amp;")'!$D:$D"),'Tổng Đơn'!$B9),0)</f>
        <v>0</v>
      </c>
      <c r="AY9" s="2">
        <f ca="1">IFERROR(SUMIFS(INDIRECT("'Thanh Toán ("&amp;AY$3&amp;")'!$F:$F"),INDIRECT("'Thanh Toán ("&amp;AY$3&amp;")'!$D:$D"),'Tổng Đơn'!$B9),0)</f>
        <v>0</v>
      </c>
      <c r="AZ9" s="2">
        <f ca="1">IFERROR(SUMIFS(INDIRECT("'Thanh Toán ("&amp;AZ$3&amp;")'!$F:$F"),INDIRECT("'Thanh Toán ("&amp;AZ$3&amp;")'!$D:$D"),'Tổng Đơn'!$B9),0)</f>
        <v>0</v>
      </c>
      <c r="BA9" s="2">
        <f ca="1">IFERROR(SUMIFS(INDIRECT("'Thanh Toán ("&amp;BA$3&amp;")'!$F:$F"),INDIRECT("'Thanh Toán ("&amp;BA$3&amp;")'!$D:$D"),'Tổng Đơn'!$B9),0)</f>
        <v>0</v>
      </c>
      <c r="BB9" s="2">
        <f ca="1">IFERROR(SUMIFS(INDIRECT("'Thanh Toán ("&amp;BB$3&amp;")'!$F:$F"),INDIRECT("'Thanh Toán ("&amp;BB$3&amp;")'!$D:$D"),'Tổng Đơn'!$B9),0)</f>
        <v>0</v>
      </c>
      <c r="BC9" s="2">
        <f ca="1">IFERROR(SUMIFS(INDIRECT("'Thanh Toán ("&amp;BC$3&amp;")'!$F:$F"),INDIRECT("'Thanh Toán ("&amp;BC$3&amp;")'!$D:$D"),'Tổng Đơn'!$B9),0)</f>
        <v>0</v>
      </c>
    </row>
    <row r="10" spans="1:55" ht="18" customHeight="1" x14ac:dyDescent="0.3">
      <c r="A10" s="160" t="s">
        <v>281</v>
      </c>
      <c r="B10" s="161" t="s">
        <v>274</v>
      </c>
      <c r="C10" s="160" t="s">
        <v>287</v>
      </c>
      <c r="D10" s="162">
        <f>VLOOKUP($C10,Sheet1!$C$2:$D$80,2,0)</f>
        <v>43000</v>
      </c>
      <c r="E10" s="163">
        <v>0.5</v>
      </c>
      <c r="F10" s="164">
        <f t="shared" ref="F10" ca="1" si="6">SUM(L10:BR10)</f>
        <v>3</v>
      </c>
      <c r="G10" s="165">
        <f>IFERROR(VLOOKUP($B10,Gà!C:J,8,0),IFERROR(VLOOKUP($B10,TVP!C:J,7,0),IFERROR(VLOOKUP($B10,Kitkool!C:J,8,0),IFERROR(VLOOKUP($B10,'La Cusina'!C:J,8,0),VLOOKUP($B10,'Quốc Nhân'!C:J,8,0)))))</f>
        <v>34.601327957553323</v>
      </c>
      <c r="H10" s="166">
        <f t="shared" ref="H10" ca="1" si="7">(D10-G10*1000)*$F10</f>
        <v>25196.01612734003</v>
      </c>
      <c r="I10" s="186">
        <f t="shared" ref="I10" si="8">D10/(G10*1000)-1</f>
        <v>0.24272687027358097</v>
      </c>
      <c r="J10" s="166">
        <f t="shared" ref="J10" ca="1" si="9">F10*G10*1000</f>
        <v>103803.98387265997</v>
      </c>
      <c r="K10" s="38"/>
      <c r="L10" s="2">
        <f ca="1">IFERROR(SUMIFS(INDIRECT("'Thanh Toán ("&amp;L$3&amp;")'!$F:$F"),INDIRECT("'Thanh Toán ("&amp;L$3&amp;")'!$D:$D"),'Tổng Đơn'!$B10),0)</f>
        <v>0</v>
      </c>
      <c r="M10" s="2">
        <f ca="1">IFERROR(SUMIFS(INDIRECT("'Thanh Toán ("&amp;M$3&amp;")'!$F:$F"),INDIRECT("'Thanh Toán ("&amp;M$3&amp;")'!$D:$D"),'Tổng Đơn'!$B10),0)</f>
        <v>0</v>
      </c>
      <c r="N10" s="2">
        <f ca="1">IFERROR(SUMIFS(INDIRECT("'Thanh Toán ("&amp;N$3&amp;")'!$F:$F"),INDIRECT("'Thanh Toán ("&amp;N$3&amp;")'!$D:$D"),'Tổng Đơn'!$B10),0)</f>
        <v>0</v>
      </c>
      <c r="O10" s="2">
        <f ca="1">IFERROR(SUMIFS(INDIRECT("'Thanh Toán ("&amp;O$3&amp;")'!$F:$F"),INDIRECT("'Thanh Toán ("&amp;O$3&amp;")'!$D:$D"),'Tổng Đơn'!$B10),0)</f>
        <v>0</v>
      </c>
      <c r="P10" s="2">
        <f ca="1">IFERROR(SUMIFS(INDIRECT("'Thanh Toán ("&amp;P$3&amp;")'!$F:$F"),INDIRECT("'Thanh Toán ("&amp;P$3&amp;")'!$D:$D"),'Tổng Đơn'!$B10),0)</f>
        <v>0</v>
      </c>
      <c r="Q10" s="2">
        <f ca="1">IFERROR(SUMIFS(INDIRECT("'Thanh Toán ("&amp;Q$3&amp;")'!$F:$F"),INDIRECT("'Thanh Toán ("&amp;Q$3&amp;")'!$D:$D"),'Tổng Đơn'!$B10),0)</f>
        <v>0</v>
      </c>
      <c r="R10" s="2">
        <f ca="1">IFERROR(SUMIFS(INDIRECT("'Thanh Toán ("&amp;R$3&amp;")'!$F:$F"),INDIRECT("'Thanh Toán ("&amp;R$3&amp;")'!$D:$D"),'Tổng Đơn'!$B10),0)</f>
        <v>0</v>
      </c>
      <c r="S10" s="2">
        <f ca="1">IFERROR(SUMIFS(INDIRECT("'Thanh Toán ("&amp;S$3&amp;")'!$F:$F"),INDIRECT("'Thanh Toán ("&amp;S$3&amp;")'!$D:$D"),'Tổng Đơn'!$B10),0)</f>
        <v>0</v>
      </c>
      <c r="T10" s="2">
        <f ca="1">IFERROR(SUMIFS(INDIRECT("'Thanh Toán ("&amp;T$3&amp;")'!$F:$F"),INDIRECT("'Thanh Toán ("&amp;T$3&amp;")'!$D:$D"),'Tổng Đơn'!$B10),0)</f>
        <v>0</v>
      </c>
      <c r="U10" s="2">
        <f ca="1">IFERROR(SUMIFS(INDIRECT("'Thanh Toán ("&amp;U$3&amp;")'!$F:$F"),INDIRECT("'Thanh Toán ("&amp;U$3&amp;")'!$D:$D"),'Tổng Đơn'!$B10),0)</f>
        <v>0</v>
      </c>
      <c r="V10" s="2">
        <f ca="1">IFERROR(SUMIFS(INDIRECT("'Thanh Toán ("&amp;V$3&amp;")'!$F:$F"),INDIRECT("'Thanh Toán ("&amp;V$3&amp;")'!$D:$D"),'Tổng Đơn'!$B10),0)</f>
        <v>0</v>
      </c>
      <c r="W10" s="2">
        <f ca="1">IFERROR(SUMIFS(INDIRECT("'Thanh Toán ("&amp;W$3&amp;")'!$F:$F"),INDIRECT("'Thanh Toán ("&amp;W$3&amp;")'!$D:$D"),'Tổng Đơn'!$B10),0)</f>
        <v>0</v>
      </c>
      <c r="X10" s="2">
        <f ca="1">IFERROR(SUMIFS(INDIRECT("'Thanh Toán ("&amp;X$3&amp;")'!$F:$F"),INDIRECT("'Thanh Toán ("&amp;X$3&amp;")'!$D:$D"),'Tổng Đơn'!$B10),0)</f>
        <v>0</v>
      </c>
      <c r="Y10" s="2">
        <f ca="1">IFERROR(SUMIFS(INDIRECT("'Thanh Toán ("&amp;Y$3&amp;")'!$F:$F"),INDIRECT("'Thanh Toán ("&amp;Y$3&amp;")'!$D:$D"),'Tổng Đơn'!$B10),0)</f>
        <v>0</v>
      </c>
      <c r="Z10" s="2">
        <f ca="1">IFERROR(SUMIFS(INDIRECT("'Thanh Toán ("&amp;Z$3&amp;")'!$F:$F"),INDIRECT("'Thanh Toán ("&amp;Z$3&amp;")'!$D:$D"),'Tổng Đơn'!$B10),0)</f>
        <v>0</v>
      </c>
      <c r="AA10" s="2">
        <f ca="1">IFERROR(SUMIFS(INDIRECT("'Thanh Toán ("&amp;AA$3&amp;")'!$F:$F"),INDIRECT("'Thanh Toán ("&amp;AA$3&amp;")'!$D:$D"),'Tổng Đơn'!$B10),0)</f>
        <v>0</v>
      </c>
      <c r="AB10" s="2">
        <f ca="1">IFERROR(SUMIFS(INDIRECT("'Thanh Toán ("&amp;AB$3&amp;")'!$F:$F"),INDIRECT("'Thanh Toán ("&amp;AB$3&amp;")'!$D:$D"),'Tổng Đơn'!$B10),0)</f>
        <v>0</v>
      </c>
      <c r="AC10" s="2">
        <f ca="1">IFERROR(SUMIFS(INDIRECT("'Thanh Toán ("&amp;AC$3&amp;")'!$F:$F"),INDIRECT("'Thanh Toán ("&amp;AC$3&amp;")'!$D:$D"),'Tổng Đơn'!$B10),0)</f>
        <v>0</v>
      </c>
      <c r="AD10" s="2">
        <f ca="1">IFERROR(SUMIFS(INDIRECT("'Thanh Toán ("&amp;AD$3&amp;")'!$F:$F"),INDIRECT("'Thanh Toán ("&amp;AD$3&amp;")'!$D:$D"),'Tổng Đơn'!$B10),0)</f>
        <v>0</v>
      </c>
      <c r="AE10" s="2">
        <f ca="1">IFERROR(SUMIFS(INDIRECT("'Thanh Toán ("&amp;AE$3&amp;")'!$F:$F"),INDIRECT("'Thanh Toán ("&amp;AE$3&amp;")'!$D:$D"),'Tổng Đơn'!$B10),0)</f>
        <v>0</v>
      </c>
      <c r="AF10" s="2">
        <f ca="1">IFERROR(SUMIFS(INDIRECT("'Thanh Toán ("&amp;AF$3&amp;")'!$F:$F"),INDIRECT("'Thanh Toán ("&amp;AF$3&amp;")'!$D:$D"),'Tổng Đơn'!$B10),0)</f>
        <v>3</v>
      </c>
      <c r="AG10" s="2">
        <f ca="1">IFERROR(SUMIFS(INDIRECT("'Thanh Toán ("&amp;AG$3&amp;")'!$F:$F"),INDIRECT("'Thanh Toán ("&amp;AG$3&amp;")'!$D:$D"),'Tổng Đơn'!$B10),0)</f>
        <v>0</v>
      </c>
      <c r="AH10" s="2">
        <f ca="1">IFERROR(SUMIFS(INDIRECT("'Thanh Toán ("&amp;AH$3&amp;")'!$F:$F"),INDIRECT("'Thanh Toán ("&amp;AH$3&amp;")'!$D:$D"),'Tổng Đơn'!$B10),0)</f>
        <v>0</v>
      </c>
      <c r="AI10" s="2">
        <f ca="1">IFERROR(SUMIFS(INDIRECT("'Thanh Toán ("&amp;AI$3&amp;")'!$F:$F"),INDIRECT("'Thanh Toán ("&amp;AI$3&amp;")'!$D:$D"),'Tổng Đơn'!$B10),0)</f>
        <v>0</v>
      </c>
      <c r="AJ10" s="2">
        <f ca="1">IFERROR(SUMIFS(INDIRECT("'Thanh Toán ("&amp;AJ$3&amp;")'!$F:$F"),INDIRECT("'Thanh Toán ("&amp;AJ$3&amp;")'!$D:$D"),'Tổng Đơn'!$B10),0)</f>
        <v>0</v>
      </c>
      <c r="AK10" s="2">
        <f ca="1">IFERROR(SUMIFS(INDIRECT("'Thanh Toán ("&amp;AK$3&amp;")'!$F:$F"),INDIRECT("'Thanh Toán ("&amp;AK$3&amp;")'!$D:$D"),'Tổng Đơn'!$B10),0)</f>
        <v>0</v>
      </c>
      <c r="AL10" s="2">
        <f ca="1">IFERROR(SUMIFS(INDIRECT("'Thanh Toán ("&amp;AL$3&amp;")'!$F:$F"),INDIRECT("'Thanh Toán ("&amp;AL$3&amp;")'!$D:$D"),'Tổng Đơn'!$B10),0)</f>
        <v>0</v>
      </c>
      <c r="AM10" s="2">
        <f ca="1">IFERROR(SUMIFS(INDIRECT("'Thanh Toán ("&amp;AM$3&amp;")'!$F:$F"),INDIRECT("'Thanh Toán ("&amp;AM$3&amp;")'!$D:$D"),'Tổng Đơn'!$B10),0)</f>
        <v>0</v>
      </c>
      <c r="AN10" s="2">
        <f ca="1">IFERROR(SUMIFS(INDIRECT("'Thanh Toán ("&amp;AN$3&amp;")'!$F:$F"),INDIRECT("'Thanh Toán ("&amp;AN$3&amp;")'!$D:$D"),'Tổng Đơn'!$B10),0)</f>
        <v>0</v>
      </c>
      <c r="AO10" s="2">
        <f ca="1">IFERROR(SUMIFS(INDIRECT("'Thanh Toán ("&amp;AO$3&amp;")'!$F:$F"),INDIRECT("'Thanh Toán ("&amp;AO$3&amp;")'!$D:$D"),'Tổng Đơn'!$B10),0)</f>
        <v>0</v>
      </c>
      <c r="AP10" s="2">
        <f ca="1">IFERROR(SUMIFS(INDIRECT("'Thanh Toán ("&amp;AP$3&amp;")'!$F:$F"),INDIRECT("'Thanh Toán ("&amp;AP$3&amp;")'!$D:$D"),'Tổng Đơn'!$B10),0)</f>
        <v>0</v>
      </c>
      <c r="AQ10" s="2">
        <f ca="1">IFERROR(SUMIFS(INDIRECT("'Thanh Toán ("&amp;AQ$3&amp;")'!$F:$F"),INDIRECT("'Thanh Toán ("&amp;AQ$3&amp;")'!$D:$D"),'Tổng Đơn'!$B10),0)</f>
        <v>0</v>
      </c>
      <c r="AR10" s="2">
        <f ca="1">IFERROR(SUMIFS(INDIRECT("'Thanh Toán ("&amp;AR$3&amp;")'!$F:$F"),INDIRECT("'Thanh Toán ("&amp;AR$3&amp;")'!$D:$D"),'Tổng Đơn'!$B10),0)</f>
        <v>0</v>
      </c>
      <c r="AS10" s="2">
        <f ca="1">IFERROR(SUMIFS(INDIRECT("'Thanh Toán ("&amp;AS$3&amp;")'!$F:$F"),INDIRECT("'Thanh Toán ("&amp;AS$3&amp;")'!$D:$D"),'Tổng Đơn'!$B10),0)</f>
        <v>0</v>
      </c>
      <c r="AT10" s="2">
        <f ca="1">IFERROR(SUMIFS(INDIRECT("'Thanh Toán ("&amp;AT$3&amp;")'!$F:$F"),INDIRECT("'Thanh Toán ("&amp;AT$3&amp;")'!$D:$D"),'Tổng Đơn'!$B10),0)</f>
        <v>0</v>
      </c>
      <c r="AU10" s="2">
        <f ca="1">IFERROR(SUMIFS(INDIRECT("'Thanh Toán ("&amp;AU$3&amp;")'!$F:$F"),INDIRECT("'Thanh Toán ("&amp;AU$3&amp;")'!$D:$D"),'Tổng Đơn'!$B10),0)</f>
        <v>0</v>
      </c>
      <c r="AV10" s="2">
        <f ca="1">IFERROR(SUMIFS(INDIRECT("'Thanh Toán ("&amp;AV$3&amp;")'!$F:$F"),INDIRECT("'Thanh Toán ("&amp;AV$3&amp;")'!$D:$D"),'Tổng Đơn'!$B10),0)</f>
        <v>0</v>
      </c>
      <c r="AW10" s="2">
        <f ca="1">IFERROR(SUMIFS(INDIRECT("'Thanh Toán ("&amp;AW$3&amp;")'!$F:$F"),INDIRECT("'Thanh Toán ("&amp;AW$3&amp;")'!$D:$D"),'Tổng Đơn'!$B10),0)</f>
        <v>0</v>
      </c>
      <c r="AX10" s="2">
        <f ca="1">IFERROR(SUMIFS(INDIRECT("'Thanh Toán ("&amp;AX$3&amp;")'!$F:$F"),INDIRECT("'Thanh Toán ("&amp;AX$3&amp;")'!$D:$D"),'Tổng Đơn'!$B10),0)</f>
        <v>0</v>
      </c>
      <c r="AY10" s="2">
        <f ca="1">IFERROR(SUMIFS(INDIRECT("'Thanh Toán ("&amp;AY$3&amp;")'!$F:$F"),INDIRECT("'Thanh Toán ("&amp;AY$3&amp;")'!$D:$D"),'Tổng Đơn'!$B10),0)</f>
        <v>0</v>
      </c>
      <c r="AZ10" s="2">
        <f ca="1">IFERROR(SUMIFS(INDIRECT("'Thanh Toán ("&amp;AZ$3&amp;")'!$F:$F"),INDIRECT("'Thanh Toán ("&amp;AZ$3&amp;")'!$D:$D"),'Tổng Đơn'!$B10),0)</f>
        <v>0</v>
      </c>
      <c r="BA10" s="2">
        <f ca="1">IFERROR(SUMIFS(INDIRECT("'Thanh Toán ("&amp;BA$3&amp;")'!$F:$F"),INDIRECT("'Thanh Toán ("&amp;BA$3&amp;")'!$D:$D"),'Tổng Đơn'!$B10),0)</f>
        <v>0</v>
      </c>
      <c r="BB10" s="2">
        <f ca="1">IFERROR(SUMIFS(INDIRECT("'Thanh Toán ("&amp;BB$3&amp;")'!$F:$F"),INDIRECT("'Thanh Toán ("&amp;BB$3&amp;")'!$D:$D"),'Tổng Đơn'!$B10),0)</f>
        <v>0</v>
      </c>
      <c r="BC10" s="2">
        <f ca="1">IFERROR(SUMIFS(INDIRECT("'Thanh Toán ("&amp;BC$3&amp;")'!$F:$F"),INDIRECT("'Thanh Toán ("&amp;BC$3&amp;")'!$D:$D"),'Tổng Đơn'!$B10),0)</f>
        <v>0</v>
      </c>
    </row>
    <row r="11" spans="1:55" ht="18" customHeight="1" x14ac:dyDescent="0.3">
      <c r="A11" s="160">
        <v>1</v>
      </c>
      <c r="B11" s="161" t="s">
        <v>224</v>
      </c>
      <c r="C11" s="160" t="s">
        <v>91</v>
      </c>
      <c r="D11" s="162">
        <f>VLOOKUP($C11,Sheet1!$C$8:$D$80,2,0)</f>
        <v>48000</v>
      </c>
      <c r="E11" s="163">
        <v>0.5</v>
      </c>
      <c r="F11" s="164">
        <f t="shared" ca="1" si="2"/>
        <v>0</v>
      </c>
      <c r="G11" s="165">
        <f>IFERROR(VLOOKUP($B11,Gà!C:J,8,0),IFERROR(VLOOKUP($B11,TVP!C:J,7,0),IFERROR(VLOOKUP($B11,Kitkool!C:J,8,0),IFERROR(VLOOKUP($B11,'La Cusina'!C:J,8,0),VLOOKUP($B11,'Quốc Nhân'!C:J,8,0)))))</f>
        <v>41.426060856633953</v>
      </c>
      <c r="H11" s="166">
        <f t="shared" ref="H11:H52" ca="1" si="10">(D11-G11*1000)*$F11</f>
        <v>0</v>
      </c>
      <c r="I11" s="186">
        <f t="shared" ref="I11:I52" si="11">D11/(G11*1000)-1</f>
        <v>0.15869090633832972</v>
      </c>
      <c r="J11" s="166">
        <f t="shared" ref="J11:J52" ca="1" si="12">F11*G11*1000</f>
        <v>0</v>
      </c>
      <c r="K11" s="38"/>
      <c r="L11" s="2">
        <f ca="1">IFERROR(SUMIFS(INDIRECT("'Thanh Toán ("&amp;L$3&amp;")'!$F:$F"),INDIRECT("'Thanh Toán ("&amp;L$3&amp;")'!$D:$D"),'Tổng Đơn'!$B11),0)</f>
        <v>0</v>
      </c>
      <c r="M11" s="2">
        <f ca="1">IFERROR(SUMIFS(INDIRECT("'Thanh Toán ("&amp;M$3&amp;")'!$F:$F"),INDIRECT("'Thanh Toán ("&amp;M$3&amp;")'!$D:$D"),'Tổng Đơn'!$B11),0)</f>
        <v>0</v>
      </c>
      <c r="N11" s="2">
        <f ca="1">IFERROR(SUMIFS(INDIRECT("'Thanh Toán ("&amp;N$3&amp;")'!$F:$F"),INDIRECT("'Thanh Toán ("&amp;N$3&amp;")'!$D:$D"),'Tổng Đơn'!$B11),0)</f>
        <v>0</v>
      </c>
      <c r="O11" s="2">
        <f ca="1">IFERROR(SUMIFS(INDIRECT("'Thanh Toán ("&amp;O$3&amp;")'!$F:$F"),INDIRECT("'Thanh Toán ("&amp;O$3&amp;")'!$D:$D"),'Tổng Đơn'!$B11),0)</f>
        <v>0</v>
      </c>
      <c r="P11" s="2">
        <f ca="1">IFERROR(SUMIFS(INDIRECT("'Thanh Toán ("&amp;P$3&amp;")'!$F:$F"),INDIRECT("'Thanh Toán ("&amp;P$3&amp;")'!$D:$D"),'Tổng Đơn'!$B11),0)</f>
        <v>0</v>
      </c>
      <c r="Q11" s="2">
        <f ca="1">IFERROR(SUMIFS(INDIRECT("'Thanh Toán ("&amp;Q$3&amp;")'!$F:$F"),INDIRECT("'Thanh Toán ("&amp;Q$3&amp;")'!$D:$D"),'Tổng Đơn'!$B11),0)</f>
        <v>0</v>
      </c>
      <c r="R11" s="2">
        <f ca="1">IFERROR(SUMIFS(INDIRECT("'Thanh Toán ("&amp;R$3&amp;")'!$F:$F"),INDIRECT("'Thanh Toán ("&amp;R$3&amp;")'!$D:$D"),'Tổng Đơn'!$B11),0)</f>
        <v>0</v>
      </c>
      <c r="S11" s="2">
        <f ca="1">IFERROR(SUMIFS(INDIRECT("'Thanh Toán ("&amp;S$3&amp;")'!$F:$F"),INDIRECT("'Thanh Toán ("&amp;S$3&amp;")'!$D:$D"),'Tổng Đơn'!$B11),0)</f>
        <v>0</v>
      </c>
      <c r="T11" s="2">
        <f ca="1">IFERROR(SUMIFS(INDIRECT("'Thanh Toán ("&amp;T$3&amp;")'!$F:$F"),INDIRECT("'Thanh Toán ("&amp;T$3&amp;")'!$D:$D"),'Tổng Đơn'!$B11),0)</f>
        <v>0</v>
      </c>
      <c r="U11" s="2">
        <f ca="1">IFERROR(SUMIFS(INDIRECT("'Thanh Toán ("&amp;U$3&amp;")'!$F:$F"),INDIRECT("'Thanh Toán ("&amp;U$3&amp;")'!$D:$D"),'Tổng Đơn'!$B11),0)</f>
        <v>0</v>
      </c>
      <c r="V11" s="2">
        <f ca="1">IFERROR(SUMIFS(INDIRECT("'Thanh Toán ("&amp;V$3&amp;")'!$F:$F"),INDIRECT("'Thanh Toán ("&amp;V$3&amp;")'!$D:$D"),'Tổng Đơn'!$B11),0)</f>
        <v>0</v>
      </c>
      <c r="W11" s="2">
        <f ca="1">IFERROR(SUMIFS(INDIRECT("'Thanh Toán ("&amp;W$3&amp;")'!$F:$F"),INDIRECT("'Thanh Toán ("&amp;W$3&amp;")'!$D:$D"),'Tổng Đơn'!$B11),0)</f>
        <v>0</v>
      </c>
      <c r="X11" s="2">
        <f ca="1">IFERROR(SUMIFS(INDIRECT("'Thanh Toán ("&amp;X$3&amp;")'!$F:$F"),INDIRECT("'Thanh Toán ("&amp;X$3&amp;")'!$D:$D"),'Tổng Đơn'!$B11),0)</f>
        <v>0</v>
      </c>
      <c r="Y11" s="2">
        <f ca="1">IFERROR(SUMIFS(INDIRECT("'Thanh Toán ("&amp;Y$3&amp;")'!$F:$F"),INDIRECT("'Thanh Toán ("&amp;Y$3&amp;")'!$D:$D"),'Tổng Đơn'!$B11),0)</f>
        <v>0</v>
      </c>
      <c r="Z11" s="2">
        <f ca="1">IFERROR(SUMIFS(INDIRECT("'Thanh Toán ("&amp;Z$3&amp;")'!$F:$F"),INDIRECT("'Thanh Toán ("&amp;Z$3&amp;")'!$D:$D"),'Tổng Đơn'!$B11),0)</f>
        <v>0</v>
      </c>
      <c r="AA11" s="2">
        <f ca="1">IFERROR(SUMIFS(INDIRECT("'Thanh Toán ("&amp;AA$3&amp;")'!$F:$F"),INDIRECT("'Thanh Toán ("&amp;AA$3&amp;")'!$D:$D"),'Tổng Đơn'!$B11),0)</f>
        <v>0</v>
      </c>
      <c r="AB11" s="2">
        <f ca="1">IFERROR(SUMIFS(INDIRECT("'Thanh Toán ("&amp;AB$3&amp;")'!$F:$F"),INDIRECT("'Thanh Toán ("&amp;AB$3&amp;")'!$D:$D"),'Tổng Đơn'!$B11),0)</f>
        <v>0</v>
      </c>
      <c r="AC11" s="2">
        <f ca="1">IFERROR(SUMIFS(INDIRECT("'Thanh Toán ("&amp;AC$3&amp;")'!$F:$F"),INDIRECT("'Thanh Toán ("&amp;AC$3&amp;")'!$D:$D"),'Tổng Đơn'!$B11),0)</f>
        <v>0</v>
      </c>
      <c r="AD11" s="2">
        <f ca="1">IFERROR(SUMIFS(INDIRECT("'Thanh Toán ("&amp;AD$3&amp;")'!$F:$F"),INDIRECT("'Thanh Toán ("&amp;AD$3&amp;")'!$D:$D"),'Tổng Đơn'!$B11),0)</f>
        <v>0</v>
      </c>
      <c r="AE11" s="2">
        <f ca="1">IFERROR(SUMIFS(INDIRECT("'Thanh Toán ("&amp;AE$3&amp;")'!$F:$F"),INDIRECT("'Thanh Toán ("&amp;AE$3&amp;")'!$D:$D"),'Tổng Đơn'!$B11),0)</f>
        <v>0</v>
      </c>
      <c r="AF11" s="2">
        <f ca="1">IFERROR(SUMIFS(INDIRECT("'Thanh Toán ("&amp;AF$3&amp;")'!$F:$F"),INDIRECT("'Thanh Toán ("&amp;AF$3&amp;")'!$D:$D"),'Tổng Đơn'!$B11),0)</f>
        <v>0</v>
      </c>
      <c r="AG11" s="2">
        <f ca="1">IFERROR(SUMIFS(INDIRECT("'Thanh Toán ("&amp;AG$3&amp;")'!$F:$F"),INDIRECT("'Thanh Toán ("&amp;AG$3&amp;")'!$D:$D"),'Tổng Đơn'!$B11),0)</f>
        <v>0</v>
      </c>
      <c r="AH11" s="2">
        <f ca="1">IFERROR(SUMIFS(INDIRECT("'Thanh Toán ("&amp;AH$3&amp;")'!$F:$F"),INDIRECT("'Thanh Toán ("&amp;AH$3&amp;")'!$D:$D"),'Tổng Đơn'!$B11),0)</f>
        <v>0</v>
      </c>
      <c r="AI11" s="2">
        <f ca="1">IFERROR(SUMIFS(INDIRECT("'Thanh Toán ("&amp;AI$3&amp;")'!$F:$F"),INDIRECT("'Thanh Toán ("&amp;AI$3&amp;")'!$D:$D"),'Tổng Đơn'!$B11),0)</f>
        <v>0</v>
      </c>
      <c r="AJ11" s="2">
        <f ca="1">IFERROR(SUMIFS(INDIRECT("'Thanh Toán ("&amp;AJ$3&amp;")'!$F:$F"),INDIRECT("'Thanh Toán ("&amp;AJ$3&amp;")'!$D:$D"),'Tổng Đơn'!$B11),0)</f>
        <v>0</v>
      </c>
      <c r="AK11" s="2">
        <f ca="1">IFERROR(SUMIFS(INDIRECT("'Thanh Toán ("&amp;AK$3&amp;")'!$F:$F"),INDIRECT("'Thanh Toán ("&amp;AK$3&amp;")'!$D:$D"),'Tổng Đơn'!$B11),0)</f>
        <v>0</v>
      </c>
      <c r="AL11" s="2">
        <f ca="1">IFERROR(SUMIFS(INDIRECT("'Thanh Toán ("&amp;AL$3&amp;")'!$F:$F"),INDIRECT("'Thanh Toán ("&amp;AL$3&amp;")'!$D:$D"),'Tổng Đơn'!$B11),0)</f>
        <v>0</v>
      </c>
      <c r="AM11" s="2">
        <f ca="1">IFERROR(SUMIFS(INDIRECT("'Thanh Toán ("&amp;AM$3&amp;")'!$F:$F"),INDIRECT("'Thanh Toán ("&amp;AM$3&amp;")'!$D:$D"),'Tổng Đơn'!$B11),0)</f>
        <v>0</v>
      </c>
      <c r="AN11" s="2">
        <f ca="1">IFERROR(SUMIFS(INDIRECT("'Thanh Toán ("&amp;AN$3&amp;")'!$F:$F"),INDIRECT("'Thanh Toán ("&amp;AN$3&amp;")'!$D:$D"),'Tổng Đơn'!$B11),0)</f>
        <v>0</v>
      </c>
      <c r="AO11" s="2">
        <f ca="1">IFERROR(SUMIFS(INDIRECT("'Thanh Toán ("&amp;AO$3&amp;")'!$F:$F"),INDIRECT("'Thanh Toán ("&amp;AO$3&amp;")'!$D:$D"),'Tổng Đơn'!$B11),0)</f>
        <v>0</v>
      </c>
      <c r="AP11" s="2">
        <f ca="1">IFERROR(SUMIFS(INDIRECT("'Thanh Toán ("&amp;AP$3&amp;")'!$F:$F"),INDIRECT("'Thanh Toán ("&amp;AP$3&amp;")'!$D:$D"),'Tổng Đơn'!$B11),0)</f>
        <v>0</v>
      </c>
      <c r="AQ11" s="2">
        <f ca="1">IFERROR(SUMIFS(INDIRECT("'Thanh Toán ("&amp;AQ$3&amp;")'!$F:$F"),INDIRECT("'Thanh Toán ("&amp;AQ$3&amp;")'!$D:$D"),'Tổng Đơn'!$B11),0)</f>
        <v>0</v>
      </c>
      <c r="AR11" s="2">
        <f ca="1">IFERROR(SUMIFS(INDIRECT("'Thanh Toán ("&amp;AR$3&amp;")'!$F:$F"),INDIRECT("'Thanh Toán ("&amp;AR$3&amp;")'!$D:$D"),'Tổng Đơn'!$B11),0)</f>
        <v>0</v>
      </c>
      <c r="AS11" s="2">
        <f ca="1">IFERROR(SUMIFS(INDIRECT("'Thanh Toán ("&amp;AS$3&amp;")'!$F:$F"),INDIRECT("'Thanh Toán ("&amp;AS$3&amp;")'!$D:$D"),'Tổng Đơn'!$B11),0)</f>
        <v>0</v>
      </c>
      <c r="AT11" s="2">
        <f ca="1">IFERROR(SUMIFS(INDIRECT("'Thanh Toán ("&amp;AT$3&amp;")'!$F:$F"),INDIRECT("'Thanh Toán ("&amp;AT$3&amp;")'!$D:$D"),'Tổng Đơn'!$B11),0)</f>
        <v>0</v>
      </c>
      <c r="AU11" s="2">
        <f ca="1">IFERROR(SUMIFS(INDIRECT("'Thanh Toán ("&amp;AU$3&amp;")'!$F:$F"),INDIRECT("'Thanh Toán ("&amp;AU$3&amp;")'!$D:$D"),'Tổng Đơn'!$B11),0)</f>
        <v>0</v>
      </c>
      <c r="AV11" s="2">
        <f ca="1">IFERROR(SUMIFS(INDIRECT("'Thanh Toán ("&amp;AV$3&amp;")'!$F:$F"),INDIRECT("'Thanh Toán ("&amp;AV$3&amp;")'!$D:$D"),'Tổng Đơn'!$B11),0)</f>
        <v>0</v>
      </c>
      <c r="AW11" s="2">
        <f ca="1">IFERROR(SUMIFS(INDIRECT("'Thanh Toán ("&amp;AW$3&amp;")'!$F:$F"),INDIRECT("'Thanh Toán ("&amp;AW$3&amp;")'!$D:$D"),'Tổng Đơn'!$B11),0)</f>
        <v>0</v>
      </c>
      <c r="AX11" s="2">
        <f ca="1">IFERROR(SUMIFS(INDIRECT("'Thanh Toán ("&amp;AX$3&amp;")'!$F:$F"),INDIRECT("'Thanh Toán ("&amp;AX$3&amp;")'!$D:$D"),'Tổng Đơn'!$B11),0)</f>
        <v>0</v>
      </c>
      <c r="AY11" s="2">
        <f ca="1">IFERROR(SUMIFS(INDIRECT("'Thanh Toán ("&amp;AY$3&amp;")'!$F:$F"),INDIRECT("'Thanh Toán ("&amp;AY$3&amp;")'!$D:$D"),'Tổng Đơn'!$B11),0)</f>
        <v>0</v>
      </c>
      <c r="AZ11" s="2">
        <f ca="1">IFERROR(SUMIFS(INDIRECT("'Thanh Toán ("&amp;AZ$3&amp;")'!$F:$F"),INDIRECT("'Thanh Toán ("&amp;AZ$3&amp;")'!$D:$D"),'Tổng Đơn'!$B11),0)</f>
        <v>0</v>
      </c>
      <c r="BA11" s="2">
        <f ca="1">IFERROR(SUMIFS(INDIRECT("'Thanh Toán ("&amp;BA$3&amp;")'!$F:$F"),INDIRECT("'Thanh Toán ("&amp;BA$3&amp;")'!$D:$D"),'Tổng Đơn'!$B11),0)</f>
        <v>0</v>
      </c>
      <c r="BB11" s="2">
        <f ca="1">IFERROR(SUMIFS(INDIRECT("'Thanh Toán ("&amp;BB$3&amp;")'!$F:$F"),INDIRECT("'Thanh Toán ("&amp;BB$3&amp;")'!$D:$D"),'Tổng Đơn'!$B11),0)</f>
        <v>0</v>
      </c>
      <c r="BC11" s="2">
        <f ca="1">IFERROR(SUMIFS(INDIRECT("'Thanh Toán ("&amp;BC$3&amp;")'!$F:$F"),INDIRECT("'Thanh Toán ("&amp;BC$3&amp;")'!$D:$D"),'Tổng Đơn'!$B11),0)</f>
        <v>0</v>
      </c>
    </row>
    <row r="12" spans="1:55" s="76" customFormat="1" ht="18" customHeight="1" x14ac:dyDescent="0.3">
      <c r="A12" s="167">
        <v>2</v>
      </c>
      <c r="B12" s="168" t="s">
        <v>276</v>
      </c>
      <c r="C12" s="167" t="s">
        <v>92</v>
      </c>
      <c r="D12" s="162">
        <f>VLOOKUP($C12,Sheet1!$C$8:$D$80,2,0)</f>
        <v>40000</v>
      </c>
      <c r="E12" s="163">
        <v>0.5</v>
      </c>
      <c r="F12" s="164">
        <f t="shared" ca="1" si="2"/>
        <v>0</v>
      </c>
      <c r="G12" s="165">
        <f>IFERROR(VLOOKUP($B12,Gà!C:J,8,0),IFERROR(VLOOKUP($B12,TVP!C:J,7,0),IFERROR(VLOOKUP($B12,Kitkool!C:J,8,0),IFERROR(VLOOKUP($B12,'La Cusina'!C:J,8,0),VLOOKUP($B12,'Quốc Nhân'!C:J,8,0)))))</f>
        <v>29.512897375560186</v>
      </c>
      <c r="H12" s="166">
        <f t="shared" ca="1" si="10"/>
        <v>0</v>
      </c>
      <c r="I12" s="186">
        <f t="shared" si="11"/>
        <v>0.35533965001769863</v>
      </c>
      <c r="J12" s="166">
        <f t="shared" ca="1" si="12"/>
        <v>0</v>
      </c>
      <c r="K12" s="38"/>
      <c r="L12" s="2">
        <f ca="1">IFERROR(SUMIFS(INDIRECT("'Thanh Toán ("&amp;L$3&amp;")'!$F:$F"),INDIRECT("'Thanh Toán ("&amp;L$3&amp;")'!$D:$D"),'Tổng Đơn'!$B12),0)</f>
        <v>0</v>
      </c>
      <c r="M12" s="2">
        <f ca="1">IFERROR(SUMIFS(INDIRECT("'Thanh Toán ("&amp;M$3&amp;")'!$F:$F"),INDIRECT("'Thanh Toán ("&amp;M$3&amp;")'!$D:$D"),'Tổng Đơn'!$B12),0)</f>
        <v>0</v>
      </c>
      <c r="N12" s="2">
        <f ca="1">IFERROR(SUMIFS(INDIRECT("'Thanh Toán ("&amp;N$3&amp;")'!$F:$F"),INDIRECT("'Thanh Toán ("&amp;N$3&amp;")'!$D:$D"),'Tổng Đơn'!$B12),0)</f>
        <v>0</v>
      </c>
      <c r="O12" s="2">
        <f ca="1">IFERROR(SUMIFS(INDIRECT("'Thanh Toán ("&amp;O$3&amp;")'!$F:$F"),INDIRECT("'Thanh Toán ("&amp;O$3&amp;")'!$D:$D"),'Tổng Đơn'!$B12),0)</f>
        <v>0</v>
      </c>
      <c r="P12" s="2">
        <f ca="1">IFERROR(SUMIFS(INDIRECT("'Thanh Toán ("&amp;P$3&amp;")'!$F:$F"),INDIRECT("'Thanh Toán ("&amp;P$3&amp;")'!$D:$D"),'Tổng Đơn'!$B12),0)</f>
        <v>0</v>
      </c>
      <c r="Q12" s="2">
        <f ca="1">IFERROR(SUMIFS(INDIRECT("'Thanh Toán ("&amp;Q$3&amp;")'!$F:$F"),INDIRECT("'Thanh Toán ("&amp;Q$3&amp;")'!$D:$D"),'Tổng Đơn'!$B12),0)</f>
        <v>0</v>
      </c>
      <c r="R12" s="2">
        <f ca="1">IFERROR(SUMIFS(INDIRECT("'Thanh Toán ("&amp;R$3&amp;")'!$F:$F"),INDIRECT("'Thanh Toán ("&amp;R$3&amp;")'!$D:$D"),'Tổng Đơn'!$B12),0)</f>
        <v>0</v>
      </c>
      <c r="S12" s="2">
        <f ca="1">IFERROR(SUMIFS(INDIRECT("'Thanh Toán ("&amp;S$3&amp;")'!$F:$F"),INDIRECT("'Thanh Toán ("&amp;S$3&amp;")'!$D:$D"),'Tổng Đơn'!$B12),0)</f>
        <v>0</v>
      </c>
      <c r="T12" s="2">
        <f ca="1">IFERROR(SUMIFS(INDIRECT("'Thanh Toán ("&amp;T$3&amp;")'!$F:$F"),INDIRECT("'Thanh Toán ("&amp;T$3&amp;")'!$D:$D"),'Tổng Đơn'!$B12),0)</f>
        <v>0</v>
      </c>
      <c r="U12" s="2">
        <f ca="1">IFERROR(SUMIFS(INDIRECT("'Thanh Toán ("&amp;U$3&amp;")'!$F:$F"),INDIRECT("'Thanh Toán ("&amp;U$3&amp;")'!$D:$D"),'Tổng Đơn'!$B12),0)</f>
        <v>0</v>
      </c>
      <c r="V12" s="2">
        <f ca="1">IFERROR(SUMIFS(INDIRECT("'Thanh Toán ("&amp;V$3&amp;")'!$F:$F"),INDIRECT("'Thanh Toán ("&amp;V$3&amp;")'!$D:$D"),'Tổng Đơn'!$B12),0)</f>
        <v>0</v>
      </c>
      <c r="W12" s="2">
        <f ca="1">IFERROR(SUMIFS(INDIRECT("'Thanh Toán ("&amp;W$3&amp;")'!$F:$F"),INDIRECT("'Thanh Toán ("&amp;W$3&amp;")'!$D:$D"),'Tổng Đơn'!$B12),0)</f>
        <v>0</v>
      </c>
      <c r="X12" s="2">
        <f ca="1">IFERROR(SUMIFS(INDIRECT("'Thanh Toán ("&amp;X$3&amp;")'!$F:$F"),INDIRECT("'Thanh Toán ("&amp;X$3&amp;")'!$D:$D"),'Tổng Đơn'!$B12),0)</f>
        <v>0</v>
      </c>
      <c r="Y12" s="2">
        <f ca="1">IFERROR(SUMIFS(INDIRECT("'Thanh Toán ("&amp;Y$3&amp;")'!$F:$F"),INDIRECT("'Thanh Toán ("&amp;Y$3&amp;")'!$D:$D"),'Tổng Đơn'!$B12),0)</f>
        <v>0</v>
      </c>
      <c r="Z12" s="2">
        <f ca="1">IFERROR(SUMIFS(INDIRECT("'Thanh Toán ("&amp;Z$3&amp;")'!$F:$F"),INDIRECT("'Thanh Toán ("&amp;Z$3&amp;")'!$D:$D"),'Tổng Đơn'!$B12),0)</f>
        <v>0</v>
      </c>
      <c r="AA12" s="2">
        <f ca="1">IFERROR(SUMIFS(INDIRECT("'Thanh Toán ("&amp;AA$3&amp;")'!$F:$F"),INDIRECT("'Thanh Toán ("&amp;AA$3&amp;")'!$D:$D"),'Tổng Đơn'!$B12),0)</f>
        <v>0</v>
      </c>
      <c r="AB12" s="2">
        <f ca="1">IFERROR(SUMIFS(INDIRECT("'Thanh Toán ("&amp;AB$3&amp;")'!$F:$F"),INDIRECT("'Thanh Toán ("&amp;AB$3&amp;")'!$D:$D"),'Tổng Đơn'!$B12),0)</f>
        <v>0</v>
      </c>
      <c r="AC12" s="2">
        <f ca="1">IFERROR(SUMIFS(INDIRECT("'Thanh Toán ("&amp;AC$3&amp;")'!$F:$F"),INDIRECT("'Thanh Toán ("&amp;AC$3&amp;")'!$D:$D"),'Tổng Đơn'!$B12),0)</f>
        <v>0</v>
      </c>
      <c r="AD12" s="2">
        <f ca="1">IFERROR(SUMIFS(INDIRECT("'Thanh Toán ("&amp;AD$3&amp;")'!$F:$F"),INDIRECT("'Thanh Toán ("&amp;AD$3&amp;")'!$D:$D"),'Tổng Đơn'!$B12),0)</f>
        <v>0</v>
      </c>
      <c r="AE12" s="2">
        <f ca="1">IFERROR(SUMIFS(INDIRECT("'Thanh Toán ("&amp;AE$3&amp;")'!$F:$F"),INDIRECT("'Thanh Toán ("&amp;AE$3&amp;")'!$D:$D"),'Tổng Đơn'!$B12),0)</f>
        <v>0</v>
      </c>
      <c r="AF12" s="2">
        <f ca="1">IFERROR(SUMIFS(INDIRECT("'Thanh Toán ("&amp;AF$3&amp;")'!$F:$F"),INDIRECT("'Thanh Toán ("&amp;AF$3&amp;")'!$D:$D"),'Tổng Đơn'!$B12),0)</f>
        <v>0</v>
      </c>
      <c r="AG12" s="2">
        <f ca="1">IFERROR(SUMIFS(INDIRECT("'Thanh Toán ("&amp;AG$3&amp;")'!$F:$F"),INDIRECT("'Thanh Toán ("&amp;AG$3&amp;")'!$D:$D"),'Tổng Đơn'!$B12),0)</f>
        <v>0</v>
      </c>
      <c r="AH12" s="2">
        <f ca="1">IFERROR(SUMIFS(INDIRECT("'Thanh Toán ("&amp;AH$3&amp;")'!$F:$F"),INDIRECT("'Thanh Toán ("&amp;AH$3&amp;")'!$D:$D"),'Tổng Đơn'!$B12),0)</f>
        <v>0</v>
      </c>
      <c r="AI12" s="2">
        <f ca="1">IFERROR(SUMIFS(INDIRECT("'Thanh Toán ("&amp;AI$3&amp;")'!$F:$F"),INDIRECT("'Thanh Toán ("&amp;AI$3&amp;")'!$D:$D"),'Tổng Đơn'!$B12),0)</f>
        <v>0</v>
      </c>
      <c r="AJ12" s="2">
        <f ca="1">IFERROR(SUMIFS(INDIRECT("'Thanh Toán ("&amp;AJ$3&amp;")'!$F:$F"),INDIRECT("'Thanh Toán ("&amp;AJ$3&amp;")'!$D:$D"),'Tổng Đơn'!$B12),0)</f>
        <v>0</v>
      </c>
      <c r="AK12" s="2">
        <f ca="1">IFERROR(SUMIFS(INDIRECT("'Thanh Toán ("&amp;AK$3&amp;")'!$F:$F"),INDIRECT("'Thanh Toán ("&amp;AK$3&amp;")'!$D:$D"),'Tổng Đơn'!$B12),0)</f>
        <v>0</v>
      </c>
      <c r="AL12" s="2">
        <f ca="1">IFERROR(SUMIFS(INDIRECT("'Thanh Toán ("&amp;AL$3&amp;")'!$F:$F"),INDIRECT("'Thanh Toán ("&amp;AL$3&amp;")'!$D:$D"),'Tổng Đơn'!$B12),0)</f>
        <v>0</v>
      </c>
      <c r="AM12" s="2">
        <f ca="1">IFERROR(SUMIFS(INDIRECT("'Thanh Toán ("&amp;AM$3&amp;")'!$F:$F"),INDIRECT("'Thanh Toán ("&amp;AM$3&amp;")'!$D:$D"),'Tổng Đơn'!$B12),0)</f>
        <v>0</v>
      </c>
      <c r="AN12" s="2">
        <f ca="1">IFERROR(SUMIFS(INDIRECT("'Thanh Toán ("&amp;AN$3&amp;")'!$F:$F"),INDIRECT("'Thanh Toán ("&amp;AN$3&amp;")'!$D:$D"),'Tổng Đơn'!$B12),0)</f>
        <v>0</v>
      </c>
      <c r="AO12" s="2">
        <f ca="1">IFERROR(SUMIFS(INDIRECT("'Thanh Toán ("&amp;AO$3&amp;")'!$F:$F"),INDIRECT("'Thanh Toán ("&amp;AO$3&amp;")'!$D:$D"),'Tổng Đơn'!$B12),0)</f>
        <v>0</v>
      </c>
      <c r="AP12" s="2">
        <f ca="1">IFERROR(SUMIFS(INDIRECT("'Thanh Toán ("&amp;AP$3&amp;")'!$F:$F"),INDIRECT("'Thanh Toán ("&amp;AP$3&amp;")'!$D:$D"),'Tổng Đơn'!$B12),0)</f>
        <v>0</v>
      </c>
      <c r="AQ12" s="2">
        <f ca="1">IFERROR(SUMIFS(INDIRECT("'Thanh Toán ("&amp;AQ$3&amp;")'!$F:$F"),INDIRECT("'Thanh Toán ("&amp;AQ$3&amp;")'!$D:$D"),'Tổng Đơn'!$B12),0)</f>
        <v>0</v>
      </c>
      <c r="AR12" s="2">
        <f ca="1">IFERROR(SUMIFS(INDIRECT("'Thanh Toán ("&amp;AR$3&amp;")'!$F:$F"),INDIRECT("'Thanh Toán ("&amp;AR$3&amp;")'!$D:$D"),'Tổng Đơn'!$B12),0)</f>
        <v>0</v>
      </c>
      <c r="AS12" s="2">
        <f ca="1">IFERROR(SUMIFS(INDIRECT("'Thanh Toán ("&amp;AS$3&amp;")'!$F:$F"),INDIRECT("'Thanh Toán ("&amp;AS$3&amp;")'!$D:$D"),'Tổng Đơn'!$B12),0)</f>
        <v>0</v>
      </c>
      <c r="AT12" s="2">
        <f ca="1">IFERROR(SUMIFS(INDIRECT("'Thanh Toán ("&amp;AT$3&amp;")'!$F:$F"),INDIRECT("'Thanh Toán ("&amp;AT$3&amp;")'!$D:$D"),'Tổng Đơn'!$B12),0)</f>
        <v>0</v>
      </c>
      <c r="AU12" s="2">
        <f ca="1">IFERROR(SUMIFS(INDIRECT("'Thanh Toán ("&amp;AU$3&amp;")'!$F:$F"),INDIRECT("'Thanh Toán ("&amp;AU$3&amp;")'!$D:$D"),'Tổng Đơn'!$B12),0)</f>
        <v>0</v>
      </c>
      <c r="AV12" s="2">
        <f ca="1">IFERROR(SUMIFS(INDIRECT("'Thanh Toán ("&amp;AV$3&amp;")'!$F:$F"),INDIRECT("'Thanh Toán ("&amp;AV$3&amp;")'!$D:$D"),'Tổng Đơn'!$B12),0)</f>
        <v>0</v>
      </c>
      <c r="AW12" s="2">
        <f ca="1">IFERROR(SUMIFS(INDIRECT("'Thanh Toán ("&amp;AW$3&amp;")'!$F:$F"),INDIRECT("'Thanh Toán ("&amp;AW$3&amp;")'!$D:$D"),'Tổng Đơn'!$B12),0)</f>
        <v>0</v>
      </c>
      <c r="AX12" s="2">
        <f ca="1">IFERROR(SUMIFS(INDIRECT("'Thanh Toán ("&amp;AX$3&amp;")'!$F:$F"),INDIRECT("'Thanh Toán ("&amp;AX$3&amp;")'!$D:$D"),'Tổng Đơn'!$B12),0)</f>
        <v>0</v>
      </c>
      <c r="AY12" s="2">
        <f ca="1">IFERROR(SUMIFS(INDIRECT("'Thanh Toán ("&amp;AY$3&amp;")'!$F:$F"),INDIRECT("'Thanh Toán ("&amp;AY$3&amp;")'!$D:$D"),'Tổng Đơn'!$B12),0)</f>
        <v>0</v>
      </c>
      <c r="AZ12" s="2">
        <f ca="1">IFERROR(SUMIFS(INDIRECT("'Thanh Toán ("&amp;AZ$3&amp;")'!$F:$F"),INDIRECT("'Thanh Toán ("&amp;AZ$3&amp;")'!$D:$D"),'Tổng Đơn'!$B12),0)</f>
        <v>0</v>
      </c>
      <c r="BA12" s="2">
        <f ca="1">IFERROR(SUMIFS(INDIRECT("'Thanh Toán ("&amp;BA$3&amp;")'!$F:$F"),INDIRECT("'Thanh Toán ("&amp;BA$3&amp;")'!$D:$D"),'Tổng Đơn'!$B12),0)</f>
        <v>0</v>
      </c>
      <c r="BB12" s="2">
        <f ca="1">IFERROR(SUMIFS(INDIRECT("'Thanh Toán ("&amp;BB$3&amp;")'!$F:$F"),INDIRECT("'Thanh Toán ("&amp;BB$3&amp;")'!$D:$D"),'Tổng Đơn'!$B12),0)</f>
        <v>0</v>
      </c>
      <c r="BC12" s="2">
        <f ca="1">IFERROR(SUMIFS(INDIRECT("'Thanh Toán ("&amp;BC$3&amp;")'!$F:$F"),INDIRECT("'Thanh Toán ("&amp;BC$3&amp;")'!$D:$D"),'Tổng Đơn'!$B12),0)</f>
        <v>0</v>
      </c>
    </row>
    <row r="13" spans="1:55" ht="18" customHeight="1" x14ac:dyDescent="0.3">
      <c r="A13" s="160">
        <v>3</v>
      </c>
      <c r="B13" s="161" t="s">
        <v>275</v>
      </c>
      <c r="C13" s="160" t="s">
        <v>93</v>
      </c>
      <c r="D13" s="162">
        <f>VLOOKUP($C13,Sheet1!$C$8:$D$80,2,0)</f>
        <v>42000</v>
      </c>
      <c r="E13" s="163">
        <v>0.5</v>
      </c>
      <c r="F13" s="164">
        <f t="shared" ca="1" si="2"/>
        <v>0</v>
      </c>
      <c r="G13" s="165">
        <f>IFERROR(VLOOKUP($B13,Gà!C:J,8,0),IFERROR(VLOOKUP($B13,TVP!C:J,7,0),IFERROR(VLOOKUP($B13,Kitkool!C:J,8,0),IFERROR(VLOOKUP($B13,'La Cusina'!C:J,8,0),VLOOKUP($B13,'Quốc Nhân'!C:J,8,0)))))</f>
        <v>35.619014073951945</v>
      </c>
      <c r="H13" s="166">
        <f t="shared" ca="1" si="10"/>
        <v>0</v>
      </c>
      <c r="I13" s="186">
        <f t="shared" si="11"/>
        <v>0.17914549551539793</v>
      </c>
      <c r="J13" s="166">
        <f t="shared" ca="1" si="12"/>
        <v>0</v>
      </c>
      <c r="K13" s="38"/>
      <c r="L13" s="2">
        <f ca="1">IFERROR(SUMIFS(INDIRECT("'Thanh Toán ("&amp;L$3&amp;")'!$F:$F"),INDIRECT("'Thanh Toán ("&amp;L$3&amp;")'!$D:$D"),'Tổng Đơn'!$B13),0)</f>
        <v>0</v>
      </c>
      <c r="M13" s="2">
        <f ca="1">IFERROR(SUMIFS(INDIRECT("'Thanh Toán ("&amp;M$3&amp;")'!$F:$F"),INDIRECT("'Thanh Toán ("&amp;M$3&amp;")'!$D:$D"),'Tổng Đơn'!$B13),0)</f>
        <v>0</v>
      </c>
      <c r="N13" s="2">
        <f ca="1">IFERROR(SUMIFS(INDIRECT("'Thanh Toán ("&amp;N$3&amp;")'!$F:$F"),INDIRECT("'Thanh Toán ("&amp;N$3&amp;")'!$D:$D"),'Tổng Đơn'!$B13),0)</f>
        <v>0</v>
      </c>
      <c r="O13" s="2">
        <f ca="1">IFERROR(SUMIFS(INDIRECT("'Thanh Toán ("&amp;O$3&amp;")'!$F:$F"),INDIRECT("'Thanh Toán ("&amp;O$3&amp;")'!$D:$D"),'Tổng Đơn'!$B13),0)</f>
        <v>0</v>
      </c>
      <c r="P13" s="2">
        <f ca="1">IFERROR(SUMIFS(INDIRECT("'Thanh Toán ("&amp;P$3&amp;")'!$F:$F"),INDIRECT("'Thanh Toán ("&amp;P$3&amp;")'!$D:$D"),'Tổng Đơn'!$B13),0)</f>
        <v>0</v>
      </c>
      <c r="Q13" s="2">
        <f ca="1">IFERROR(SUMIFS(INDIRECT("'Thanh Toán ("&amp;Q$3&amp;")'!$F:$F"),INDIRECT("'Thanh Toán ("&amp;Q$3&amp;")'!$D:$D"),'Tổng Đơn'!$B13),0)</f>
        <v>0</v>
      </c>
      <c r="R13" s="2">
        <f ca="1">IFERROR(SUMIFS(INDIRECT("'Thanh Toán ("&amp;R$3&amp;")'!$F:$F"),INDIRECT("'Thanh Toán ("&amp;R$3&amp;")'!$D:$D"),'Tổng Đơn'!$B13),0)</f>
        <v>0</v>
      </c>
      <c r="S13" s="2">
        <f ca="1">IFERROR(SUMIFS(INDIRECT("'Thanh Toán ("&amp;S$3&amp;")'!$F:$F"),INDIRECT("'Thanh Toán ("&amp;S$3&amp;")'!$D:$D"),'Tổng Đơn'!$B13),0)</f>
        <v>0</v>
      </c>
      <c r="T13" s="2">
        <f ca="1">IFERROR(SUMIFS(INDIRECT("'Thanh Toán ("&amp;T$3&amp;")'!$F:$F"),INDIRECT("'Thanh Toán ("&amp;T$3&amp;")'!$D:$D"),'Tổng Đơn'!$B13),0)</f>
        <v>0</v>
      </c>
      <c r="U13" s="2">
        <f ca="1">IFERROR(SUMIFS(INDIRECT("'Thanh Toán ("&amp;U$3&amp;")'!$F:$F"),INDIRECT("'Thanh Toán ("&amp;U$3&amp;")'!$D:$D"),'Tổng Đơn'!$B13),0)</f>
        <v>0</v>
      </c>
      <c r="V13" s="2">
        <f ca="1">IFERROR(SUMIFS(INDIRECT("'Thanh Toán ("&amp;V$3&amp;")'!$F:$F"),INDIRECT("'Thanh Toán ("&amp;V$3&amp;")'!$D:$D"),'Tổng Đơn'!$B13),0)</f>
        <v>0</v>
      </c>
      <c r="W13" s="2">
        <f ca="1">IFERROR(SUMIFS(INDIRECT("'Thanh Toán ("&amp;W$3&amp;")'!$F:$F"),INDIRECT("'Thanh Toán ("&amp;W$3&amp;")'!$D:$D"),'Tổng Đơn'!$B13),0)</f>
        <v>0</v>
      </c>
      <c r="X13" s="2">
        <f ca="1">IFERROR(SUMIFS(INDIRECT("'Thanh Toán ("&amp;X$3&amp;")'!$F:$F"),INDIRECT("'Thanh Toán ("&amp;X$3&amp;")'!$D:$D"),'Tổng Đơn'!$B13),0)</f>
        <v>0</v>
      </c>
      <c r="Y13" s="2">
        <f ca="1">IFERROR(SUMIFS(INDIRECT("'Thanh Toán ("&amp;Y$3&amp;")'!$F:$F"),INDIRECT("'Thanh Toán ("&amp;Y$3&amp;")'!$D:$D"),'Tổng Đơn'!$B13),0)</f>
        <v>0</v>
      </c>
      <c r="Z13" s="2">
        <f ca="1">IFERROR(SUMIFS(INDIRECT("'Thanh Toán ("&amp;Z$3&amp;")'!$F:$F"),INDIRECT("'Thanh Toán ("&amp;Z$3&amp;")'!$D:$D"),'Tổng Đơn'!$B13),0)</f>
        <v>0</v>
      </c>
      <c r="AA13" s="2">
        <f ca="1">IFERROR(SUMIFS(INDIRECT("'Thanh Toán ("&amp;AA$3&amp;")'!$F:$F"),INDIRECT("'Thanh Toán ("&amp;AA$3&amp;")'!$D:$D"),'Tổng Đơn'!$B13),0)</f>
        <v>0</v>
      </c>
      <c r="AB13" s="2">
        <f ca="1">IFERROR(SUMIFS(INDIRECT("'Thanh Toán ("&amp;AB$3&amp;")'!$F:$F"),INDIRECT("'Thanh Toán ("&amp;AB$3&amp;")'!$D:$D"),'Tổng Đơn'!$B13),0)</f>
        <v>0</v>
      </c>
      <c r="AC13" s="2">
        <f ca="1">IFERROR(SUMIFS(INDIRECT("'Thanh Toán ("&amp;AC$3&amp;")'!$F:$F"),INDIRECT("'Thanh Toán ("&amp;AC$3&amp;")'!$D:$D"),'Tổng Đơn'!$B13),0)</f>
        <v>0</v>
      </c>
      <c r="AD13" s="2">
        <f ca="1">IFERROR(SUMIFS(INDIRECT("'Thanh Toán ("&amp;AD$3&amp;")'!$F:$F"),INDIRECT("'Thanh Toán ("&amp;AD$3&amp;")'!$D:$D"),'Tổng Đơn'!$B13),0)</f>
        <v>0</v>
      </c>
      <c r="AE13" s="2">
        <f ca="1">IFERROR(SUMIFS(INDIRECT("'Thanh Toán ("&amp;AE$3&amp;")'!$F:$F"),INDIRECT("'Thanh Toán ("&amp;AE$3&amp;")'!$D:$D"),'Tổng Đơn'!$B13),0)</f>
        <v>0</v>
      </c>
      <c r="AF13" s="2">
        <f ca="1">IFERROR(SUMIFS(INDIRECT("'Thanh Toán ("&amp;AF$3&amp;")'!$F:$F"),INDIRECT("'Thanh Toán ("&amp;AF$3&amp;")'!$D:$D"),'Tổng Đơn'!$B13),0)</f>
        <v>0</v>
      </c>
      <c r="AG13" s="2">
        <f ca="1">IFERROR(SUMIFS(INDIRECT("'Thanh Toán ("&amp;AG$3&amp;")'!$F:$F"),INDIRECT("'Thanh Toán ("&amp;AG$3&amp;")'!$D:$D"),'Tổng Đơn'!$B13),0)</f>
        <v>0</v>
      </c>
      <c r="AH13" s="2">
        <f ca="1">IFERROR(SUMIFS(INDIRECT("'Thanh Toán ("&amp;AH$3&amp;")'!$F:$F"),INDIRECT("'Thanh Toán ("&amp;AH$3&amp;")'!$D:$D"),'Tổng Đơn'!$B13),0)</f>
        <v>0</v>
      </c>
      <c r="AI13" s="2">
        <f ca="1">IFERROR(SUMIFS(INDIRECT("'Thanh Toán ("&amp;AI$3&amp;")'!$F:$F"),INDIRECT("'Thanh Toán ("&amp;AI$3&amp;")'!$D:$D"),'Tổng Đơn'!$B13),0)</f>
        <v>0</v>
      </c>
      <c r="AJ13" s="2">
        <f ca="1">IFERROR(SUMIFS(INDIRECT("'Thanh Toán ("&amp;AJ$3&amp;")'!$F:$F"),INDIRECT("'Thanh Toán ("&amp;AJ$3&amp;")'!$D:$D"),'Tổng Đơn'!$B13),0)</f>
        <v>0</v>
      </c>
      <c r="AK13" s="2">
        <f ca="1">IFERROR(SUMIFS(INDIRECT("'Thanh Toán ("&amp;AK$3&amp;")'!$F:$F"),INDIRECT("'Thanh Toán ("&amp;AK$3&amp;")'!$D:$D"),'Tổng Đơn'!$B13),0)</f>
        <v>0</v>
      </c>
      <c r="AL13" s="2">
        <f ca="1">IFERROR(SUMIFS(INDIRECT("'Thanh Toán ("&amp;AL$3&amp;")'!$F:$F"),INDIRECT("'Thanh Toán ("&amp;AL$3&amp;")'!$D:$D"),'Tổng Đơn'!$B13),0)</f>
        <v>0</v>
      </c>
      <c r="AM13" s="2">
        <f ca="1">IFERROR(SUMIFS(INDIRECT("'Thanh Toán ("&amp;AM$3&amp;")'!$F:$F"),INDIRECT("'Thanh Toán ("&amp;AM$3&amp;")'!$D:$D"),'Tổng Đơn'!$B13),0)</f>
        <v>0</v>
      </c>
      <c r="AN13" s="2">
        <f ca="1">IFERROR(SUMIFS(INDIRECT("'Thanh Toán ("&amp;AN$3&amp;")'!$F:$F"),INDIRECT("'Thanh Toán ("&amp;AN$3&amp;")'!$D:$D"),'Tổng Đơn'!$B13),0)</f>
        <v>0</v>
      </c>
      <c r="AO13" s="2">
        <f ca="1">IFERROR(SUMIFS(INDIRECT("'Thanh Toán ("&amp;AO$3&amp;")'!$F:$F"),INDIRECT("'Thanh Toán ("&amp;AO$3&amp;")'!$D:$D"),'Tổng Đơn'!$B13),0)</f>
        <v>0</v>
      </c>
      <c r="AP13" s="2">
        <f ca="1">IFERROR(SUMIFS(INDIRECT("'Thanh Toán ("&amp;AP$3&amp;")'!$F:$F"),INDIRECT("'Thanh Toán ("&amp;AP$3&amp;")'!$D:$D"),'Tổng Đơn'!$B13),0)</f>
        <v>0</v>
      </c>
      <c r="AQ13" s="2">
        <f ca="1">IFERROR(SUMIFS(INDIRECT("'Thanh Toán ("&amp;AQ$3&amp;")'!$F:$F"),INDIRECT("'Thanh Toán ("&amp;AQ$3&amp;")'!$D:$D"),'Tổng Đơn'!$B13),0)</f>
        <v>0</v>
      </c>
      <c r="AR13" s="2">
        <f ca="1">IFERROR(SUMIFS(INDIRECT("'Thanh Toán ("&amp;AR$3&amp;")'!$F:$F"),INDIRECT("'Thanh Toán ("&amp;AR$3&amp;")'!$D:$D"),'Tổng Đơn'!$B13),0)</f>
        <v>0</v>
      </c>
      <c r="AS13" s="2">
        <f ca="1">IFERROR(SUMIFS(INDIRECT("'Thanh Toán ("&amp;AS$3&amp;")'!$F:$F"),INDIRECT("'Thanh Toán ("&amp;AS$3&amp;")'!$D:$D"),'Tổng Đơn'!$B13),0)</f>
        <v>0</v>
      </c>
      <c r="AT13" s="2">
        <f ca="1">IFERROR(SUMIFS(INDIRECT("'Thanh Toán ("&amp;AT$3&amp;")'!$F:$F"),INDIRECT("'Thanh Toán ("&amp;AT$3&amp;")'!$D:$D"),'Tổng Đơn'!$B13),0)</f>
        <v>0</v>
      </c>
      <c r="AU13" s="2">
        <f ca="1">IFERROR(SUMIFS(INDIRECT("'Thanh Toán ("&amp;AU$3&amp;")'!$F:$F"),INDIRECT("'Thanh Toán ("&amp;AU$3&amp;")'!$D:$D"),'Tổng Đơn'!$B13),0)</f>
        <v>0</v>
      </c>
      <c r="AV13" s="2">
        <f ca="1">IFERROR(SUMIFS(INDIRECT("'Thanh Toán ("&amp;AV$3&amp;")'!$F:$F"),INDIRECT("'Thanh Toán ("&amp;AV$3&amp;")'!$D:$D"),'Tổng Đơn'!$B13),0)</f>
        <v>0</v>
      </c>
      <c r="AW13" s="2">
        <f ca="1">IFERROR(SUMIFS(INDIRECT("'Thanh Toán ("&amp;AW$3&amp;")'!$F:$F"),INDIRECT("'Thanh Toán ("&amp;AW$3&amp;")'!$D:$D"),'Tổng Đơn'!$B13),0)</f>
        <v>0</v>
      </c>
      <c r="AX13" s="2">
        <f ca="1">IFERROR(SUMIFS(INDIRECT("'Thanh Toán ("&amp;AX$3&amp;")'!$F:$F"),INDIRECT("'Thanh Toán ("&amp;AX$3&amp;")'!$D:$D"),'Tổng Đơn'!$B13),0)</f>
        <v>0</v>
      </c>
      <c r="AY13" s="2">
        <f ca="1">IFERROR(SUMIFS(INDIRECT("'Thanh Toán ("&amp;AY$3&amp;")'!$F:$F"),INDIRECT("'Thanh Toán ("&amp;AY$3&amp;")'!$D:$D"),'Tổng Đơn'!$B13),0)</f>
        <v>0</v>
      </c>
      <c r="AZ13" s="2">
        <f ca="1">IFERROR(SUMIFS(INDIRECT("'Thanh Toán ("&amp;AZ$3&amp;")'!$F:$F"),INDIRECT("'Thanh Toán ("&amp;AZ$3&amp;")'!$D:$D"),'Tổng Đơn'!$B13),0)</f>
        <v>0</v>
      </c>
      <c r="BA13" s="2">
        <f ca="1">IFERROR(SUMIFS(INDIRECT("'Thanh Toán ("&amp;BA$3&amp;")'!$F:$F"),INDIRECT("'Thanh Toán ("&amp;BA$3&amp;")'!$D:$D"),'Tổng Đơn'!$B13),0)</f>
        <v>0</v>
      </c>
      <c r="BB13" s="2">
        <f ca="1">IFERROR(SUMIFS(INDIRECT("'Thanh Toán ("&amp;BB$3&amp;")'!$F:$F"),INDIRECT("'Thanh Toán ("&amp;BB$3&amp;")'!$D:$D"),'Tổng Đơn'!$B13),0)</f>
        <v>0</v>
      </c>
      <c r="BC13" s="2">
        <f ca="1">IFERROR(SUMIFS(INDIRECT("'Thanh Toán ("&amp;BC$3&amp;")'!$F:$F"),INDIRECT("'Thanh Toán ("&amp;BC$3&amp;")'!$D:$D"),'Tổng Đơn'!$B13),0)</f>
        <v>0</v>
      </c>
    </row>
    <row r="14" spans="1:55" ht="18" customHeight="1" x14ac:dyDescent="0.3">
      <c r="A14" s="167">
        <v>4</v>
      </c>
      <c r="B14" s="161" t="s">
        <v>297</v>
      </c>
      <c r="C14" s="167" t="s">
        <v>94</v>
      </c>
      <c r="D14" s="162">
        <f>VLOOKUP($C14,Sheet1!$C$8:$D$80,2,0)</f>
        <v>45000</v>
      </c>
      <c r="E14" s="163">
        <v>0.5</v>
      </c>
      <c r="F14" s="164">
        <f t="shared" ca="1" si="2"/>
        <v>1</v>
      </c>
      <c r="G14" s="165">
        <f>IFERROR(VLOOKUP($B14,Gà!C:J,8,0),IFERROR(VLOOKUP($B14,TVP!C:J,7,0),IFERROR(VLOOKUP($B14,Kitkool!C:J,8,0),IFERROR(VLOOKUP($B14,'La Cusina'!C:J,8,0),VLOOKUP($B14,'Quốc Nhân'!C:J,8,0)))))</f>
        <v>33.074798782955384</v>
      </c>
      <c r="H14" s="166">
        <f t="shared" ca="1" si="10"/>
        <v>11925.201217044618</v>
      </c>
      <c r="I14" s="186">
        <f t="shared" si="11"/>
        <v>0.36055249482545904</v>
      </c>
      <c r="J14" s="166">
        <f t="shared" ca="1" si="12"/>
        <v>33074.798782955382</v>
      </c>
      <c r="K14" s="112">
        <f ca="1">I4/J4</f>
        <v>9.1715756815908905E-2</v>
      </c>
      <c r="L14" s="2">
        <f ca="1">IFERROR(SUMIFS(INDIRECT("'Thanh Toán ("&amp;L$3&amp;")'!$F:$F"),INDIRECT("'Thanh Toán ("&amp;L$3&amp;")'!$D:$D"),'Tổng Đơn'!$B14),0)</f>
        <v>0</v>
      </c>
      <c r="M14" s="2">
        <f ca="1">IFERROR(SUMIFS(INDIRECT("'Thanh Toán ("&amp;M$3&amp;")'!$F:$F"),INDIRECT("'Thanh Toán ("&amp;M$3&amp;")'!$D:$D"),'Tổng Đơn'!$B14),0)</f>
        <v>0</v>
      </c>
      <c r="N14" s="2">
        <f ca="1">IFERROR(SUMIFS(INDIRECT("'Thanh Toán ("&amp;N$3&amp;")'!$F:$F"),INDIRECT("'Thanh Toán ("&amp;N$3&amp;")'!$D:$D"),'Tổng Đơn'!$B14),0)</f>
        <v>0</v>
      </c>
      <c r="O14" s="2">
        <f ca="1">IFERROR(SUMIFS(INDIRECT("'Thanh Toán ("&amp;O$3&amp;")'!$F:$F"),INDIRECT("'Thanh Toán ("&amp;O$3&amp;")'!$D:$D"),'Tổng Đơn'!$B14),0)</f>
        <v>0</v>
      </c>
      <c r="P14" s="2">
        <f ca="1">IFERROR(SUMIFS(INDIRECT("'Thanh Toán ("&amp;P$3&amp;")'!$F:$F"),INDIRECT("'Thanh Toán ("&amp;P$3&amp;")'!$D:$D"),'Tổng Đơn'!$B14),0)</f>
        <v>0</v>
      </c>
      <c r="Q14" s="2">
        <f ca="1">IFERROR(SUMIFS(INDIRECT("'Thanh Toán ("&amp;Q$3&amp;")'!$F:$F"),INDIRECT("'Thanh Toán ("&amp;Q$3&amp;")'!$D:$D"),'Tổng Đơn'!$B14),0)</f>
        <v>0</v>
      </c>
      <c r="R14" s="2">
        <f ca="1">IFERROR(SUMIFS(INDIRECT("'Thanh Toán ("&amp;R$3&amp;")'!$F:$F"),INDIRECT("'Thanh Toán ("&amp;R$3&amp;")'!$D:$D"),'Tổng Đơn'!$B14),0)</f>
        <v>0</v>
      </c>
      <c r="S14" s="2">
        <f ca="1">IFERROR(SUMIFS(INDIRECT("'Thanh Toán ("&amp;S$3&amp;")'!$F:$F"),INDIRECT("'Thanh Toán ("&amp;S$3&amp;")'!$D:$D"),'Tổng Đơn'!$B14),0)</f>
        <v>0</v>
      </c>
      <c r="T14" s="2">
        <f ca="1">IFERROR(SUMIFS(INDIRECT("'Thanh Toán ("&amp;T$3&amp;")'!$F:$F"),INDIRECT("'Thanh Toán ("&amp;T$3&amp;")'!$D:$D"),'Tổng Đơn'!$B14),0)</f>
        <v>0</v>
      </c>
      <c r="U14" s="2">
        <f ca="1">IFERROR(SUMIFS(INDIRECT("'Thanh Toán ("&amp;U$3&amp;")'!$F:$F"),INDIRECT("'Thanh Toán ("&amp;U$3&amp;")'!$D:$D"),'Tổng Đơn'!$B14),0)</f>
        <v>0</v>
      </c>
      <c r="V14" s="2">
        <f ca="1">IFERROR(SUMIFS(INDIRECT("'Thanh Toán ("&amp;V$3&amp;")'!$F:$F"),INDIRECT("'Thanh Toán ("&amp;V$3&amp;")'!$D:$D"),'Tổng Đơn'!$B14),0)</f>
        <v>0</v>
      </c>
      <c r="W14" s="2">
        <f ca="1">IFERROR(SUMIFS(INDIRECT("'Thanh Toán ("&amp;W$3&amp;")'!$F:$F"),INDIRECT("'Thanh Toán ("&amp;W$3&amp;")'!$D:$D"),'Tổng Đơn'!$B14),0)</f>
        <v>0</v>
      </c>
      <c r="X14" s="2">
        <f ca="1">IFERROR(SUMIFS(INDIRECT("'Thanh Toán ("&amp;X$3&amp;")'!$F:$F"),INDIRECT("'Thanh Toán ("&amp;X$3&amp;")'!$D:$D"),'Tổng Đơn'!$B14),0)</f>
        <v>0</v>
      </c>
      <c r="Y14" s="2">
        <f ca="1">IFERROR(SUMIFS(INDIRECT("'Thanh Toán ("&amp;Y$3&amp;")'!$F:$F"),INDIRECT("'Thanh Toán ("&amp;Y$3&amp;")'!$D:$D"),'Tổng Đơn'!$B14),0)</f>
        <v>1</v>
      </c>
      <c r="Z14" s="2">
        <f ca="1">IFERROR(SUMIFS(INDIRECT("'Thanh Toán ("&amp;Z$3&amp;")'!$F:$F"),INDIRECT("'Thanh Toán ("&amp;Z$3&amp;")'!$D:$D"),'Tổng Đơn'!$B14),0)</f>
        <v>0</v>
      </c>
      <c r="AA14" s="2">
        <f ca="1">IFERROR(SUMIFS(INDIRECT("'Thanh Toán ("&amp;AA$3&amp;")'!$F:$F"),INDIRECT("'Thanh Toán ("&amp;AA$3&amp;")'!$D:$D"),'Tổng Đơn'!$B14),0)</f>
        <v>0</v>
      </c>
      <c r="AB14" s="2">
        <f ca="1">IFERROR(SUMIFS(INDIRECT("'Thanh Toán ("&amp;AB$3&amp;")'!$F:$F"),INDIRECT("'Thanh Toán ("&amp;AB$3&amp;")'!$D:$D"),'Tổng Đơn'!$B14),0)</f>
        <v>0</v>
      </c>
      <c r="AC14" s="2">
        <f ca="1">IFERROR(SUMIFS(INDIRECT("'Thanh Toán ("&amp;AC$3&amp;")'!$F:$F"),INDIRECT("'Thanh Toán ("&amp;AC$3&amp;")'!$D:$D"),'Tổng Đơn'!$B14),0)</f>
        <v>0</v>
      </c>
      <c r="AD14" s="2">
        <f ca="1">IFERROR(SUMIFS(INDIRECT("'Thanh Toán ("&amp;AD$3&amp;")'!$F:$F"),INDIRECT("'Thanh Toán ("&amp;AD$3&amp;")'!$D:$D"),'Tổng Đơn'!$B14),0)</f>
        <v>0</v>
      </c>
      <c r="AE14" s="2">
        <f ca="1">IFERROR(SUMIFS(INDIRECT("'Thanh Toán ("&amp;AE$3&amp;")'!$F:$F"),INDIRECT("'Thanh Toán ("&amp;AE$3&amp;")'!$D:$D"),'Tổng Đơn'!$B14),0)</f>
        <v>0</v>
      </c>
      <c r="AF14" s="2">
        <f ca="1">IFERROR(SUMIFS(INDIRECT("'Thanh Toán ("&amp;AF$3&amp;")'!$F:$F"),INDIRECT("'Thanh Toán ("&amp;AF$3&amp;")'!$D:$D"),'Tổng Đơn'!$B14),0)</f>
        <v>0</v>
      </c>
      <c r="AG14" s="2">
        <f ca="1">IFERROR(SUMIFS(INDIRECT("'Thanh Toán ("&amp;AG$3&amp;")'!$F:$F"),INDIRECT("'Thanh Toán ("&amp;AG$3&amp;")'!$D:$D"),'Tổng Đơn'!$B14),0)</f>
        <v>0</v>
      </c>
      <c r="AH14" s="2">
        <f ca="1">IFERROR(SUMIFS(INDIRECT("'Thanh Toán ("&amp;AH$3&amp;")'!$F:$F"),INDIRECT("'Thanh Toán ("&amp;AH$3&amp;")'!$D:$D"),'Tổng Đơn'!$B14),0)</f>
        <v>0</v>
      </c>
      <c r="AI14" s="2">
        <f ca="1">IFERROR(SUMIFS(INDIRECT("'Thanh Toán ("&amp;AI$3&amp;")'!$F:$F"),INDIRECT("'Thanh Toán ("&amp;AI$3&amp;")'!$D:$D"),'Tổng Đơn'!$B14),0)</f>
        <v>0</v>
      </c>
      <c r="AJ14" s="2">
        <f ca="1">IFERROR(SUMIFS(INDIRECT("'Thanh Toán ("&amp;AJ$3&amp;")'!$F:$F"),INDIRECT("'Thanh Toán ("&amp;AJ$3&amp;")'!$D:$D"),'Tổng Đơn'!$B14),0)</f>
        <v>0</v>
      </c>
      <c r="AK14" s="2">
        <f ca="1">IFERROR(SUMIFS(INDIRECT("'Thanh Toán ("&amp;AK$3&amp;")'!$F:$F"),INDIRECT("'Thanh Toán ("&amp;AK$3&amp;")'!$D:$D"),'Tổng Đơn'!$B14),0)</f>
        <v>0</v>
      </c>
      <c r="AL14" s="2">
        <f ca="1">IFERROR(SUMIFS(INDIRECT("'Thanh Toán ("&amp;AL$3&amp;")'!$F:$F"),INDIRECT("'Thanh Toán ("&amp;AL$3&amp;")'!$D:$D"),'Tổng Đơn'!$B14),0)</f>
        <v>0</v>
      </c>
      <c r="AM14" s="2">
        <f ca="1">IFERROR(SUMIFS(INDIRECT("'Thanh Toán ("&amp;AM$3&amp;")'!$F:$F"),INDIRECT("'Thanh Toán ("&amp;AM$3&amp;")'!$D:$D"),'Tổng Đơn'!$B14),0)</f>
        <v>0</v>
      </c>
      <c r="AN14" s="2">
        <f ca="1">IFERROR(SUMIFS(INDIRECT("'Thanh Toán ("&amp;AN$3&amp;")'!$F:$F"),INDIRECT("'Thanh Toán ("&amp;AN$3&amp;")'!$D:$D"),'Tổng Đơn'!$B14),0)</f>
        <v>0</v>
      </c>
      <c r="AO14" s="2">
        <f ca="1">IFERROR(SUMIFS(INDIRECT("'Thanh Toán ("&amp;AO$3&amp;")'!$F:$F"),INDIRECT("'Thanh Toán ("&amp;AO$3&amp;")'!$D:$D"),'Tổng Đơn'!$B14),0)</f>
        <v>0</v>
      </c>
      <c r="AP14" s="2">
        <f ca="1">IFERROR(SUMIFS(INDIRECT("'Thanh Toán ("&amp;AP$3&amp;")'!$F:$F"),INDIRECT("'Thanh Toán ("&amp;AP$3&amp;")'!$D:$D"),'Tổng Đơn'!$B14),0)</f>
        <v>0</v>
      </c>
      <c r="AQ14" s="2">
        <f ca="1">IFERROR(SUMIFS(INDIRECT("'Thanh Toán ("&amp;AQ$3&amp;")'!$F:$F"),INDIRECT("'Thanh Toán ("&amp;AQ$3&amp;")'!$D:$D"),'Tổng Đơn'!$B14),0)</f>
        <v>0</v>
      </c>
      <c r="AR14" s="2">
        <f ca="1">IFERROR(SUMIFS(INDIRECT("'Thanh Toán ("&amp;AR$3&amp;")'!$F:$F"),INDIRECT("'Thanh Toán ("&amp;AR$3&amp;")'!$D:$D"),'Tổng Đơn'!$B14),0)</f>
        <v>0</v>
      </c>
      <c r="AS14" s="2">
        <f ca="1">IFERROR(SUMIFS(INDIRECT("'Thanh Toán ("&amp;AS$3&amp;")'!$F:$F"),INDIRECT("'Thanh Toán ("&amp;AS$3&amp;")'!$D:$D"),'Tổng Đơn'!$B14),0)</f>
        <v>0</v>
      </c>
      <c r="AT14" s="2">
        <f ca="1">IFERROR(SUMIFS(INDIRECT("'Thanh Toán ("&amp;AT$3&amp;")'!$F:$F"),INDIRECT("'Thanh Toán ("&amp;AT$3&amp;")'!$D:$D"),'Tổng Đơn'!$B14),0)</f>
        <v>0</v>
      </c>
      <c r="AU14" s="2">
        <f ca="1">IFERROR(SUMIFS(INDIRECT("'Thanh Toán ("&amp;AU$3&amp;")'!$F:$F"),INDIRECT("'Thanh Toán ("&amp;AU$3&amp;")'!$D:$D"),'Tổng Đơn'!$B14),0)</f>
        <v>0</v>
      </c>
      <c r="AV14" s="2">
        <f ca="1">IFERROR(SUMIFS(INDIRECT("'Thanh Toán ("&amp;AV$3&amp;")'!$F:$F"),INDIRECT("'Thanh Toán ("&amp;AV$3&amp;")'!$D:$D"),'Tổng Đơn'!$B14),0)</f>
        <v>0</v>
      </c>
      <c r="AW14" s="2">
        <f ca="1">IFERROR(SUMIFS(INDIRECT("'Thanh Toán ("&amp;AW$3&amp;")'!$F:$F"),INDIRECT("'Thanh Toán ("&amp;AW$3&amp;")'!$D:$D"),'Tổng Đơn'!$B14),0)</f>
        <v>0</v>
      </c>
      <c r="AX14" s="2">
        <f ca="1">IFERROR(SUMIFS(INDIRECT("'Thanh Toán ("&amp;AX$3&amp;")'!$F:$F"),INDIRECT("'Thanh Toán ("&amp;AX$3&amp;")'!$D:$D"),'Tổng Đơn'!$B14),0)</f>
        <v>0</v>
      </c>
      <c r="AY14" s="2">
        <f ca="1">IFERROR(SUMIFS(INDIRECT("'Thanh Toán ("&amp;AY$3&amp;")'!$F:$F"),INDIRECT("'Thanh Toán ("&amp;AY$3&amp;")'!$D:$D"),'Tổng Đơn'!$B14),0)</f>
        <v>0</v>
      </c>
      <c r="AZ14" s="2">
        <f ca="1">IFERROR(SUMIFS(INDIRECT("'Thanh Toán ("&amp;AZ$3&amp;")'!$F:$F"),INDIRECT("'Thanh Toán ("&amp;AZ$3&amp;")'!$D:$D"),'Tổng Đơn'!$B14),0)</f>
        <v>0</v>
      </c>
      <c r="BA14" s="2">
        <f ca="1">IFERROR(SUMIFS(INDIRECT("'Thanh Toán ("&amp;BA$3&amp;")'!$F:$F"),INDIRECT("'Thanh Toán ("&amp;BA$3&amp;")'!$D:$D"),'Tổng Đơn'!$B14),0)</f>
        <v>0</v>
      </c>
      <c r="BB14" s="2">
        <f ca="1">IFERROR(SUMIFS(INDIRECT("'Thanh Toán ("&amp;BB$3&amp;")'!$F:$F"),INDIRECT("'Thanh Toán ("&amp;BB$3&amp;")'!$D:$D"),'Tổng Đơn'!$B14),0)</f>
        <v>0</v>
      </c>
      <c r="BC14" s="2">
        <f ca="1">IFERROR(SUMIFS(INDIRECT("'Thanh Toán ("&amp;BC$3&amp;")'!$F:$F"),INDIRECT("'Thanh Toán ("&amp;BC$3&amp;")'!$D:$D"),'Tổng Đơn'!$B14),0)</f>
        <v>0</v>
      </c>
    </row>
    <row r="15" spans="1:55" ht="18" customHeight="1" x14ac:dyDescent="0.3">
      <c r="A15" s="160">
        <v>5</v>
      </c>
      <c r="B15" s="161" t="s">
        <v>27</v>
      </c>
      <c r="C15" s="160" t="s">
        <v>95</v>
      </c>
      <c r="D15" s="162">
        <f>VLOOKUP($C15,Sheet1!$C$8:$D$80,2,0)</f>
        <v>38000</v>
      </c>
      <c r="E15" s="163">
        <v>0.5</v>
      </c>
      <c r="F15" s="164">
        <f t="shared" ca="1" si="2"/>
        <v>0</v>
      </c>
      <c r="G15" s="165">
        <f>IFERROR(VLOOKUP($B15,Gà!C:J,8,0),IFERROR(VLOOKUP($B15,TVP!C:J,7,0),IFERROR(VLOOKUP($B15,Kitkool!C:J,8,0),IFERROR(VLOOKUP($B15,'La Cusina'!C:J,8,0),VLOOKUP($B15,'Quốc Nhân'!C:J,8,0)))))</f>
        <v>33.243135255323544</v>
      </c>
      <c r="H15" s="166">
        <f t="shared" ca="1" si="10"/>
        <v>0</v>
      </c>
      <c r="I15" s="186">
        <f t="shared" si="11"/>
        <v>0.14309314413762153</v>
      </c>
      <c r="J15" s="166">
        <f t="shared" ca="1" si="12"/>
        <v>0</v>
      </c>
      <c r="K15" s="38"/>
      <c r="L15" s="2">
        <f ca="1">IFERROR(SUMIFS(INDIRECT("'Thanh Toán ("&amp;L$3&amp;")'!$F:$F"),INDIRECT("'Thanh Toán ("&amp;L$3&amp;")'!$D:$D"),'Tổng Đơn'!$B15),0)</f>
        <v>0</v>
      </c>
      <c r="M15" s="2">
        <f ca="1">IFERROR(SUMIFS(INDIRECT("'Thanh Toán ("&amp;M$3&amp;")'!$F:$F"),INDIRECT("'Thanh Toán ("&amp;M$3&amp;")'!$D:$D"),'Tổng Đơn'!$B15),0)</f>
        <v>0</v>
      </c>
      <c r="N15" s="2">
        <f ca="1">IFERROR(SUMIFS(INDIRECT("'Thanh Toán ("&amp;N$3&amp;")'!$F:$F"),INDIRECT("'Thanh Toán ("&amp;N$3&amp;")'!$D:$D"),'Tổng Đơn'!$B15),0)</f>
        <v>0</v>
      </c>
      <c r="O15" s="2">
        <f ca="1">IFERROR(SUMIFS(INDIRECT("'Thanh Toán ("&amp;O$3&amp;")'!$F:$F"),INDIRECT("'Thanh Toán ("&amp;O$3&amp;")'!$D:$D"),'Tổng Đơn'!$B15),0)</f>
        <v>0</v>
      </c>
      <c r="P15" s="2">
        <f ca="1">IFERROR(SUMIFS(INDIRECT("'Thanh Toán ("&amp;P$3&amp;")'!$F:$F"),INDIRECT("'Thanh Toán ("&amp;P$3&amp;")'!$D:$D"),'Tổng Đơn'!$B15),0)</f>
        <v>0</v>
      </c>
      <c r="Q15" s="2">
        <f ca="1">IFERROR(SUMIFS(INDIRECT("'Thanh Toán ("&amp;Q$3&amp;")'!$F:$F"),INDIRECT("'Thanh Toán ("&amp;Q$3&amp;")'!$D:$D"),'Tổng Đơn'!$B15),0)</f>
        <v>0</v>
      </c>
      <c r="R15" s="2">
        <f ca="1">IFERROR(SUMIFS(INDIRECT("'Thanh Toán ("&amp;R$3&amp;")'!$F:$F"),INDIRECT("'Thanh Toán ("&amp;R$3&amp;")'!$D:$D"),'Tổng Đơn'!$B15),0)</f>
        <v>0</v>
      </c>
      <c r="S15" s="2">
        <f ca="1">IFERROR(SUMIFS(INDIRECT("'Thanh Toán ("&amp;S$3&amp;")'!$F:$F"),INDIRECT("'Thanh Toán ("&amp;S$3&amp;")'!$D:$D"),'Tổng Đơn'!$B15),0)</f>
        <v>0</v>
      </c>
      <c r="T15" s="2">
        <f ca="1">IFERROR(SUMIFS(INDIRECT("'Thanh Toán ("&amp;T$3&amp;")'!$F:$F"),INDIRECT("'Thanh Toán ("&amp;T$3&amp;")'!$D:$D"),'Tổng Đơn'!$B15),0)</f>
        <v>0</v>
      </c>
      <c r="U15" s="2">
        <f ca="1">IFERROR(SUMIFS(INDIRECT("'Thanh Toán ("&amp;U$3&amp;")'!$F:$F"),INDIRECT("'Thanh Toán ("&amp;U$3&amp;")'!$D:$D"),'Tổng Đơn'!$B15),0)</f>
        <v>0</v>
      </c>
      <c r="V15" s="2">
        <f ca="1">IFERROR(SUMIFS(INDIRECT("'Thanh Toán ("&amp;V$3&amp;")'!$F:$F"),INDIRECT("'Thanh Toán ("&amp;V$3&amp;")'!$D:$D"),'Tổng Đơn'!$B15),0)</f>
        <v>0</v>
      </c>
      <c r="W15" s="2">
        <f ca="1">IFERROR(SUMIFS(INDIRECT("'Thanh Toán ("&amp;W$3&amp;")'!$F:$F"),INDIRECT("'Thanh Toán ("&amp;W$3&amp;")'!$D:$D"),'Tổng Đơn'!$B15),0)</f>
        <v>0</v>
      </c>
      <c r="X15" s="2">
        <f ca="1">IFERROR(SUMIFS(INDIRECT("'Thanh Toán ("&amp;X$3&amp;")'!$F:$F"),INDIRECT("'Thanh Toán ("&amp;X$3&amp;")'!$D:$D"),'Tổng Đơn'!$B15),0)</f>
        <v>0</v>
      </c>
      <c r="Y15" s="2">
        <f ca="1">IFERROR(SUMIFS(INDIRECT("'Thanh Toán ("&amp;Y$3&amp;")'!$F:$F"),INDIRECT("'Thanh Toán ("&amp;Y$3&amp;")'!$D:$D"),'Tổng Đơn'!$B15),0)</f>
        <v>0</v>
      </c>
      <c r="Z15" s="2">
        <f ca="1">IFERROR(SUMIFS(INDIRECT("'Thanh Toán ("&amp;Z$3&amp;")'!$F:$F"),INDIRECT("'Thanh Toán ("&amp;Z$3&amp;")'!$D:$D"),'Tổng Đơn'!$B15),0)</f>
        <v>0</v>
      </c>
      <c r="AA15" s="2">
        <f ca="1">IFERROR(SUMIFS(INDIRECT("'Thanh Toán ("&amp;AA$3&amp;")'!$F:$F"),INDIRECT("'Thanh Toán ("&amp;AA$3&amp;")'!$D:$D"),'Tổng Đơn'!$B15),0)</f>
        <v>0</v>
      </c>
      <c r="AB15" s="2">
        <f ca="1">IFERROR(SUMIFS(INDIRECT("'Thanh Toán ("&amp;AB$3&amp;")'!$F:$F"),INDIRECT("'Thanh Toán ("&amp;AB$3&amp;")'!$D:$D"),'Tổng Đơn'!$B15),0)</f>
        <v>0</v>
      </c>
      <c r="AC15" s="2">
        <f ca="1">IFERROR(SUMIFS(INDIRECT("'Thanh Toán ("&amp;AC$3&amp;")'!$F:$F"),INDIRECT("'Thanh Toán ("&amp;AC$3&amp;")'!$D:$D"),'Tổng Đơn'!$B15),0)</f>
        <v>0</v>
      </c>
      <c r="AD15" s="2">
        <f ca="1">IFERROR(SUMIFS(INDIRECT("'Thanh Toán ("&amp;AD$3&amp;")'!$F:$F"),INDIRECT("'Thanh Toán ("&amp;AD$3&amp;")'!$D:$D"),'Tổng Đơn'!$B15),0)</f>
        <v>0</v>
      </c>
      <c r="AE15" s="2">
        <f ca="1">IFERROR(SUMIFS(INDIRECT("'Thanh Toán ("&amp;AE$3&amp;")'!$F:$F"),INDIRECT("'Thanh Toán ("&amp;AE$3&amp;")'!$D:$D"),'Tổng Đơn'!$B15),0)</f>
        <v>0</v>
      </c>
      <c r="AF15" s="2">
        <f ca="1">IFERROR(SUMIFS(INDIRECT("'Thanh Toán ("&amp;AF$3&amp;")'!$F:$F"),INDIRECT("'Thanh Toán ("&amp;AF$3&amp;")'!$D:$D"),'Tổng Đơn'!$B15),0)</f>
        <v>0</v>
      </c>
      <c r="AG15" s="2">
        <f ca="1">IFERROR(SUMIFS(INDIRECT("'Thanh Toán ("&amp;AG$3&amp;")'!$F:$F"),INDIRECT("'Thanh Toán ("&amp;AG$3&amp;")'!$D:$D"),'Tổng Đơn'!$B15),0)</f>
        <v>0</v>
      </c>
      <c r="AH15" s="2">
        <f ca="1">IFERROR(SUMIFS(INDIRECT("'Thanh Toán ("&amp;AH$3&amp;")'!$F:$F"),INDIRECT("'Thanh Toán ("&amp;AH$3&amp;")'!$D:$D"),'Tổng Đơn'!$B15),0)</f>
        <v>0</v>
      </c>
      <c r="AI15" s="2">
        <f ca="1">IFERROR(SUMIFS(INDIRECT("'Thanh Toán ("&amp;AI$3&amp;")'!$F:$F"),INDIRECT("'Thanh Toán ("&amp;AI$3&amp;")'!$D:$D"),'Tổng Đơn'!$B15),0)</f>
        <v>0</v>
      </c>
      <c r="AJ15" s="2">
        <f ca="1">IFERROR(SUMIFS(INDIRECT("'Thanh Toán ("&amp;AJ$3&amp;")'!$F:$F"),INDIRECT("'Thanh Toán ("&amp;AJ$3&amp;")'!$D:$D"),'Tổng Đơn'!$B15),0)</f>
        <v>0</v>
      </c>
      <c r="AK15" s="2">
        <f ca="1">IFERROR(SUMIFS(INDIRECT("'Thanh Toán ("&amp;AK$3&amp;")'!$F:$F"),INDIRECT("'Thanh Toán ("&amp;AK$3&amp;")'!$D:$D"),'Tổng Đơn'!$B15),0)</f>
        <v>0</v>
      </c>
      <c r="AL15" s="2">
        <f ca="1">IFERROR(SUMIFS(INDIRECT("'Thanh Toán ("&amp;AL$3&amp;")'!$F:$F"),INDIRECT("'Thanh Toán ("&amp;AL$3&amp;")'!$D:$D"),'Tổng Đơn'!$B15),0)</f>
        <v>0</v>
      </c>
      <c r="AM15" s="2">
        <f ca="1">IFERROR(SUMIFS(INDIRECT("'Thanh Toán ("&amp;AM$3&amp;")'!$F:$F"),INDIRECT("'Thanh Toán ("&amp;AM$3&amp;")'!$D:$D"),'Tổng Đơn'!$B15),0)</f>
        <v>0</v>
      </c>
      <c r="AN15" s="2">
        <f ca="1">IFERROR(SUMIFS(INDIRECT("'Thanh Toán ("&amp;AN$3&amp;")'!$F:$F"),INDIRECT("'Thanh Toán ("&amp;AN$3&amp;")'!$D:$D"),'Tổng Đơn'!$B15),0)</f>
        <v>0</v>
      </c>
      <c r="AO15" s="2">
        <f ca="1">IFERROR(SUMIFS(INDIRECT("'Thanh Toán ("&amp;AO$3&amp;")'!$F:$F"),INDIRECT("'Thanh Toán ("&amp;AO$3&amp;")'!$D:$D"),'Tổng Đơn'!$B15),0)</f>
        <v>0</v>
      </c>
      <c r="AP15" s="2">
        <f ca="1">IFERROR(SUMIFS(INDIRECT("'Thanh Toán ("&amp;AP$3&amp;")'!$F:$F"),INDIRECT("'Thanh Toán ("&amp;AP$3&amp;")'!$D:$D"),'Tổng Đơn'!$B15),0)</f>
        <v>0</v>
      </c>
      <c r="AQ15" s="2">
        <f ca="1">IFERROR(SUMIFS(INDIRECT("'Thanh Toán ("&amp;AQ$3&amp;")'!$F:$F"),INDIRECT("'Thanh Toán ("&amp;AQ$3&amp;")'!$D:$D"),'Tổng Đơn'!$B15),0)</f>
        <v>0</v>
      </c>
      <c r="AR15" s="2">
        <f ca="1">IFERROR(SUMIFS(INDIRECT("'Thanh Toán ("&amp;AR$3&amp;")'!$F:$F"),INDIRECT("'Thanh Toán ("&amp;AR$3&amp;")'!$D:$D"),'Tổng Đơn'!$B15),0)</f>
        <v>0</v>
      </c>
      <c r="AS15" s="2">
        <f ca="1">IFERROR(SUMIFS(INDIRECT("'Thanh Toán ("&amp;AS$3&amp;")'!$F:$F"),INDIRECT("'Thanh Toán ("&amp;AS$3&amp;")'!$D:$D"),'Tổng Đơn'!$B15),0)</f>
        <v>0</v>
      </c>
      <c r="AT15" s="2">
        <f ca="1">IFERROR(SUMIFS(INDIRECT("'Thanh Toán ("&amp;AT$3&amp;")'!$F:$F"),INDIRECT("'Thanh Toán ("&amp;AT$3&amp;")'!$D:$D"),'Tổng Đơn'!$B15),0)</f>
        <v>0</v>
      </c>
      <c r="AU15" s="2">
        <f ca="1">IFERROR(SUMIFS(INDIRECT("'Thanh Toán ("&amp;AU$3&amp;")'!$F:$F"),INDIRECT("'Thanh Toán ("&amp;AU$3&amp;")'!$D:$D"),'Tổng Đơn'!$B15),0)</f>
        <v>0</v>
      </c>
      <c r="AV15" s="2">
        <f ca="1">IFERROR(SUMIFS(INDIRECT("'Thanh Toán ("&amp;AV$3&amp;")'!$F:$F"),INDIRECT("'Thanh Toán ("&amp;AV$3&amp;")'!$D:$D"),'Tổng Đơn'!$B15),0)</f>
        <v>0</v>
      </c>
      <c r="AW15" s="2">
        <f ca="1">IFERROR(SUMIFS(INDIRECT("'Thanh Toán ("&amp;AW$3&amp;")'!$F:$F"),INDIRECT("'Thanh Toán ("&amp;AW$3&amp;")'!$D:$D"),'Tổng Đơn'!$B15),0)</f>
        <v>0</v>
      </c>
      <c r="AX15" s="2">
        <f ca="1">IFERROR(SUMIFS(INDIRECT("'Thanh Toán ("&amp;AX$3&amp;")'!$F:$F"),INDIRECT("'Thanh Toán ("&amp;AX$3&amp;")'!$D:$D"),'Tổng Đơn'!$B15),0)</f>
        <v>0</v>
      </c>
      <c r="AY15" s="2">
        <f ca="1">IFERROR(SUMIFS(INDIRECT("'Thanh Toán ("&amp;AY$3&amp;")'!$F:$F"),INDIRECT("'Thanh Toán ("&amp;AY$3&amp;")'!$D:$D"),'Tổng Đơn'!$B15),0)</f>
        <v>0</v>
      </c>
      <c r="AZ15" s="2">
        <f ca="1">IFERROR(SUMIFS(INDIRECT("'Thanh Toán ("&amp;AZ$3&amp;")'!$F:$F"),INDIRECT("'Thanh Toán ("&amp;AZ$3&amp;")'!$D:$D"),'Tổng Đơn'!$B15),0)</f>
        <v>0</v>
      </c>
      <c r="BA15" s="2">
        <f ca="1">IFERROR(SUMIFS(INDIRECT("'Thanh Toán ("&amp;BA$3&amp;")'!$F:$F"),INDIRECT("'Thanh Toán ("&amp;BA$3&amp;")'!$D:$D"),'Tổng Đơn'!$B15),0)</f>
        <v>0</v>
      </c>
      <c r="BB15" s="2">
        <f ca="1">IFERROR(SUMIFS(INDIRECT("'Thanh Toán ("&amp;BB$3&amp;")'!$F:$F"),INDIRECT("'Thanh Toán ("&amp;BB$3&amp;")'!$D:$D"),'Tổng Đơn'!$B15),0)</f>
        <v>0</v>
      </c>
      <c r="BC15" s="2">
        <f ca="1">IFERROR(SUMIFS(INDIRECT("'Thanh Toán ("&amp;BC$3&amp;")'!$F:$F"),INDIRECT("'Thanh Toán ("&amp;BC$3&amp;")'!$D:$D"),'Tổng Đơn'!$B15),0)</f>
        <v>0</v>
      </c>
    </row>
    <row r="16" spans="1:55" ht="18" customHeight="1" x14ac:dyDescent="0.3">
      <c r="A16" s="167">
        <v>6</v>
      </c>
      <c r="B16" s="161" t="s">
        <v>25</v>
      </c>
      <c r="C16" s="167" t="s">
        <v>96</v>
      </c>
      <c r="D16" s="162">
        <f>VLOOKUP($C16,Sheet1!$C$8:$D$80,2,0)</f>
        <v>42000</v>
      </c>
      <c r="E16" s="163">
        <v>0.5</v>
      </c>
      <c r="F16" s="164">
        <f t="shared" ca="1" si="2"/>
        <v>0</v>
      </c>
      <c r="G16" s="165">
        <f>IFERROR(VLOOKUP($B16,Gà!C:J,8,0),IFERROR(VLOOKUP($B16,TVP!C:J,7,0),IFERROR(VLOOKUP($B16,Kitkool!C:J,8,0),IFERROR(VLOOKUP($B16,'La Cusina'!C:J,8,0),VLOOKUP($B16,'Quốc Nhân'!C:J,8,0)))))</f>
        <v>39.380329456306349</v>
      </c>
      <c r="H16" s="166">
        <f t="shared" ca="1" si="10"/>
        <v>0</v>
      </c>
      <c r="I16" s="186">
        <f t="shared" si="11"/>
        <v>6.6522311515962773E-2</v>
      </c>
      <c r="J16" s="166">
        <f t="shared" ca="1" si="12"/>
        <v>0</v>
      </c>
      <c r="K16" s="38"/>
      <c r="L16" s="2">
        <f ca="1">IFERROR(SUMIFS(INDIRECT("'Thanh Toán ("&amp;L$3&amp;")'!$F:$F"),INDIRECT("'Thanh Toán ("&amp;L$3&amp;")'!$D:$D"),'Tổng Đơn'!$B16),0)</f>
        <v>0</v>
      </c>
      <c r="M16" s="2">
        <f ca="1">IFERROR(SUMIFS(INDIRECT("'Thanh Toán ("&amp;M$3&amp;")'!$F:$F"),INDIRECT("'Thanh Toán ("&amp;M$3&amp;")'!$D:$D"),'Tổng Đơn'!$B16),0)</f>
        <v>0</v>
      </c>
      <c r="N16" s="2">
        <f ca="1">IFERROR(SUMIFS(INDIRECT("'Thanh Toán ("&amp;N$3&amp;")'!$F:$F"),INDIRECT("'Thanh Toán ("&amp;N$3&amp;")'!$D:$D"),'Tổng Đơn'!$B16),0)</f>
        <v>0</v>
      </c>
      <c r="O16" s="2">
        <f ca="1">IFERROR(SUMIFS(INDIRECT("'Thanh Toán ("&amp;O$3&amp;")'!$F:$F"),INDIRECT("'Thanh Toán ("&amp;O$3&amp;")'!$D:$D"),'Tổng Đơn'!$B16),0)</f>
        <v>0</v>
      </c>
      <c r="P16" s="2">
        <f ca="1">IFERROR(SUMIFS(INDIRECT("'Thanh Toán ("&amp;P$3&amp;")'!$F:$F"),INDIRECT("'Thanh Toán ("&amp;P$3&amp;")'!$D:$D"),'Tổng Đơn'!$B16),0)</f>
        <v>0</v>
      </c>
      <c r="Q16" s="2">
        <f ca="1">IFERROR(SUMIFS(INDIRECT("'Thanh Toán ("&amp;Q$3&amp;")'!$F:$F"),INDIRECT("'Thanh Toán ("&amp;Q$3&amp;")'!$D:$D"),'Tổng Đơn'!$B16),0)</f>
        <v>0</v>
      </c>
      <c r="R16" s="2">
        <f ca="1">IFERROR(SUMIFS(INDIRECT("'Thanh Toán ("&amp;R$3&amp;")'!$F:$F"),INDIRECT("'Thanh Toán ("&amp;R$3&amp;")'!$D:$D"),'Tổng Đơn'!$B16),0)</f>
        <v>0</v>
      </c>
      <c r="S16" s="2">
        <f ca="1">IFERROR(SUMIFS(INDIRECT("'Thanh Toán ("&amp;S$3&amp;")'!$F:$F"),INDIRECT("'Thanh Toán ("&amp;S$3&amp;")'!$D:$D"),'Tổng Đơn'!$B16),0)</f>
        <v>0</v>
      </c>
      <c r="T16" s="2">
        <f ca="1">IFERROR(SUMIFS(INDIRECT("'Thanh Toán ("&amp;T$3&amp;")'!$F:$F"),INDIRECT("'Thanh Toán ("&amp;T$3&amp;")'!$D:$D"),'Tổng Đơn'!$B16),0)</f>
        <v>0</v>
      </c>
      <c r="U16" s="2">
        <f ca="1">IFERROR(SUMIFS(INDIRECT("'Thanh Toán ("&amp;U$3&amp;")'!$F:$F"),INDIRECT("'Thanh Toán ("&amp;U$3&amp;")'!$D:$D"),'Tổng Đơn'!$B16),0)</f>
        <v>0</v>
      </c>
      <c r="V16" s="2">
        <f ca="1">IFERROR(SUMIFS(INDIRECT("'Thanh Toán ("&amp;V$3&amp;")'!$F:$F"),INDIRECT("'Thanh Toán ("&amp;V$3&amp;")'!$D:$D"),'Tổng Đơn'!$B16),0)</f>
        <v>0</v>
      </c>
      <c r="W16" s="2">
        <f ca="1">IFERROR(SUMIFS(INDIRECT("'Thanh Toán ("&amp;W$3&amp;")'!$F:$F"),INDIRECT("'Thanh Toán ("&amp;W$3&amp;")'!$D:$D"),'Tổng Đơn'!$B16),0)</f>
        <v>0</v>
      </c>
      <c r="X16" s="2">
        <f ca="1">IFERROR(SUMIFS(INDIRECT("'Thanh Toán ("&amp;X$3&amp;")'!$F:$F"),INDIRECT("'Thanh Toán ("&amp;X$3&amp;")'!$D:$D"),'Tổng Đơn'!$B16),0)</f>
        <v>0</v>
      </c>
      <c r="Y16" s="2">
        <f ca="1">IFERROR(SUMIFS(INDIRECT("'Thanh Toán ("&amp;Y$3&amp;")'!$F:$F"),INDIRECT("'Thanh Toán ("&amp;Y$3&amp;")'!$D:$D"),'Tổng Đơn'!$B16),0)</f>
        <v>0</v>
      </c>
      <c r="Z16" s="2">
        <f ca="1">IFERROR(SUMIFS(INDIRECT("'Thanh Toán ("&amp;Z$3&amp;")'!$F:$F"),INDIRECT("'Thanh Toán ("&amp;Z$3&amp;")'!$D:$D"),'Tổng Đơn'!$B16),0)</f>
        <v>0</v>
      </c>
      <c r="AA16" s="2">
        <f ca="1">IFERROR(SUMIFS(INDIRECT("'Thanh Toán ("&amp;AA$3&amp;")'!$F:$F"),INDIRECT("'Thanh Toán ("&amp;AA$3&amp;")'!$D:$D"),'Tổng Đơn'!$B16),0)</f>
        <v>0</v>
      </c>
      <c r="AB16" s="2">
        <f ca="1">IFERROR(SUMIFS(INDIRECT("'Thanh Toán ("&amp;AB$3&amp;")'!$F:$F"),INDIRECT("'Thanh Toán ("&amp;AB$3&amp;")'!$D:$D"),'Tổng Đơn'!$B16),0)</f>
        <v>0</v>
      </c>
      <c r="AC16" s="2">
        <f ca="1">IFERROR(SUMIFS(INDIRECT("'Thanh Toán ("&amp;AC$3&amp;")'!$F:$F"),INDIRECT("'Thanh Toán ("&amp;AC$3&amp;")'!$D:$D"),'Tổng Đơn'!$B16),0)</f>
        <v>0</v>
      </c>
      <c r="AD16" s="2">
        <f ca="1">IFERROR(SUMIFS(INDIRECT("'Thanh Toán ("&amp;AD$3&amp;")'!$F:$F"),INDIRECT("'Thanh Toán ("&amp;AD$3&amp;")'!$D:$D"),'Tổng Đơn'!$B16),0)</f>
        <v>0</v>
      </c>
      <c r="AE16" s="2">
        <f ca="1">IFERROR(SUMIFS(INDIRECT("'Thanh Toán ("&amp;AE$3&amp;")'!$F:$F"),INDIRECT("'Thanh Toán ("&amp;AE$3&amp;")'!$D:$D"),'Tổng Đơn'!$B16),0)</f>
        <v>0</v>
      </c>
      <c r="AF16" s="2">
        <f ca="1">IFERROR(SUMIFS(INDIRECT("'Thanh Toán ("&amp;AF$3&amp;")'!$F:$F"),INDIRECT("'Thanh Toán ("&amp;AF$3&amp;")'!$D:$D"),'Tổng Đơn'!$B16),0)</f>
        <v>0</v>
      </c>
      <c r="AG16" s="2">
        <f ca="1">IFERROR(SUMIFS(INDIRECT("'Thanh Toán ("&amp;AG$3&amp;")'!$F:$F"),INDIRECT("'Thanh Toán ("&amp;AG$3&amp;")'!$D:$D"),'Tổng Đơn'!$B16),0)</f>
        <v>0</v>
      </c>
      <c r="AH16" s="2">
        <f ca="1">IFERROR(SUMIFS(INDIRECT("'Thanh Toán ("&amp;AH$3&amp;")'!$F:$F"),INDIRECT("'Thanh Toán ("&amp;AH$3&amp;")'!$D:$D"),'Tổng Đơn'!$B16),0)</f>
        <v>0</v>
      </c>
      <c r="AI16" s="2">
        <f ca="1">IFERROR(SUMIFS(INDIRECT("'Thanh Toán ("&amp;AI$3&amp;")'!$F:$F"),INDIRECT("'Thanh Toán ("&amp;AI$3&amp;")'!$D:$D"),'Tổng Đơn'!$B16),0)</f>
        <v>0</v>
      </c>
      <c r="AJ16" s="2">
        <f ca="1">IFERROR(SUMIFS(INDIRECT("'Thanh Toán ("&amp;AJ$3&amp;")'!$F:$F"),INDIRECT("'Thanh Toán ("&amp;AJ$3&amp;")'!$D:$D"),'Tổng Đơn'!$B16),0)</f>
        <v>0</v>
      </c>
      <c r="AK16" s="2">
        <f ca="1">IFERROR(SUMIFS(INDIRECT("'Thanh Toán ("&amp;AK$3&amp;")'!$F:$F"),INDIRECT("'Thanh Toán ("&amp;AK$3&amp;")'!$D:$D"),'Tổng Đơn'!$B16),0)</f>
        <v>0</v>
      </c>
      <c r="AL16" s="2">
        <f ca="1">IFERROR(SUMIFS(INDIRECT("'Thanh Toán ("&amp;AL$3&amp;")'!$F:$F"),INDIRECT("'Thanh Toán ("&amp;AL$3&amp;")'!$D:$D"),'Tổng Đơn'!$B16),0)</f>
        <v>0</v>
      </c>
      <c r="AM16" s="2">
        <f ca="1">IFERROR(SUMIFS(INDIRECT("'Thanh Toán ("&amp;AM$3&amp;")'!$F:$F"),INDIRECT("'Thanh Toán ("&amp;AM$3&amp;")'!$D:$D"),'Tổng Đơn'!$B16),0)</f>
        <v>0</v>
      </c>
      <c r="AN16" s="2">
        <f ca="1">IFERROR(SUMIFS(INDIRECT("'Thanh Toán ("&amp;AN$3&amp;")'!$F:$F"),INDIRECT("'Thanh Toán ("&amp;AN$3&amp;")'!$D:$D"),'Tổng Đơn'!$B16),0)</f>
        <v>0</v>
      </c>
      <c r="AO16" s="2">
        <f ca="1">IFERROR(SUMIFS(INDIRECT("'Thanh Toán ("&amp;AO$3&amp;")'!$F:$F"),INDIRECT("'Thanh Toán ("&amp;AO$3&amp;")'!$D:$D"),'Tổng Đơn'!$B16),0)</f>
        <v>0</v>
      </c>
      <c r="AP16" s="2">
        <f ca="1">IFERROR(SUMIFS(INDIRECT("'Thanh Toán ("&amp;AP$3&amp;")'!$F:$F"),INDIRECT("'Thanh Toán ("&amp;AP$3&amp;")'!$D:$D"),'Tổng Đơn'!$B16),0)</f>
        <v>0</v>
      </c>
      <c r="AQ16" s="2">
        <f ca="1">IFERROR(SUMIFS(INDIRECT("'Thanh Toán ("&amp;AQ$3&amp;")'!$F:$F"),INDIRECT("'Thanh Toán ("&amp;AQ$3&amp;")'!$D:$D"),'Tổng Đơn'!$B16),0)</f>
        <v>0</v>
      </c>
      <c r="AR16" s="2">
        <f ca="1">IFERROR(SUMIFS(INDIRECT("'Thanh Toán ("&amp;AR$3&amp;")'!$F:$F"),INDIRECT("'Thanh Toán ("&amp;AR$3&amp;")'!$D:$D"),'Tổng Đơn'!$B16),0)</f>
        <v>0</v>
      </c>
      <c r="AS16" s="2">
        <f ca="1">IFERROR(SUMIFS(INDIRECT("'Thanh Toán ("&amp;AS$3&amp;")'!$F:$F"),INDIRECT("'Thanh Toán ("&amp;AS$3&amp;")'!$D:$D"),'Tổng Đơn'!$B16),0)</f>
        <v>0</v>
      </c>
      <c r="AT16" s="2">
        <f ca="1">IFERROR(SUMIFS(INDIRECT("'Thanh Toán ("&amp;AT$3&amp;")'!$F:$F"),INDIRECT("'Thanh Toán ("&amp;AT$3&amp;")'!$D:$D"),'Tổng Đơn'!$B16),0)</f>
        <v>0</v>
      </c>
      <c r="AU16" s="2">
        <f ca="1">IFERROR(SUMIFS(INDIRECT("'Thanh Toán ("&amp;AU$3&amp;")'!$F:$F"),INDIRECT("'Thanh Toán ("&amp;AU$3&amp;")'!$D:$D"),'Tổng Đơn'!$B16),0)</f>
        <v>0</v>
      </c>
      <c r="AV16" s="2">
        <f ca="1">IFERROR(SUMIFS(INDIRECT("'Thanh Toán ("&amp;AV$3&amp;")'!$F:$F"),INDIRECT("'Thanh Toán ("&amp;AV$3&amp;")'!$D:$D"),'Tổng Đơn'!$B16),0)</f>
        <v>0</v>
      </c>
      <c r="AW16" s="2">
        <f ca="1">IFERROR(SUMIFS(INDIRECT("'Thanh Toán ("&amp;AW$3&amp;")'!$F:$F"),INDIRECT("'Thanh Toán ("&amp;AW$3&amp;")'!$D:$D"),'Tổng Đơn'!$B16),0)</f>
        <v>0</v>
      </c>
      <c r="AX16" s="2">
        <f ca="1">IFERROR(SUMIFS(INDIRECT("'Thanh Toán ("&amp;AX$3&amp;")'!$F:$F"),INDIRECT("'Thanh Toán ("&amp;AX$3&amp;")'!$D:$D"),'Tổng Đơn'!$B16),0)</f>
        <v>0</v>
      </c>
      <c r="AY16" s="2">
        <f ca="1">IFERROR(SUMIFS(INDIRECT("'Thanh Toán ("&amp;AY$3&amp;")'!$F:$F"),INDIRECT("'Thanh Toán ("&amp;AY$3&amp;")'!$D:$D"),'Tổng Đơn'!$B16),0)</f>
        <v>0</v>
      </c>
      <c r="AZ16" s="2">
        <f ca="1">IFERROR(SUMIFS(INDIRECT("'Thanh Toán ("&amp;AZ$3&amp;")'!$F:$F"),INDIRECT("'Thanh Toán ("&amp;AZ$3&amp;")'!$D:$D"),'Tổng Đơn'!$B16),0)</f>
        <v>0</v>
      </c>
      <c r="BA16" s="2">
        <f ca="1">IFERROR(SUMIFS(INDIRECT("'Thanh Toán ("&amp;BA$3&amp;")'!$F:$F"),INDIRECT("'Thanh Toán ("&amp;BA$3&amp;")'!$D:$D"),'Tổng Đơn'!$B16),0)</f>
        <v>0</v>
      </c>
      <c r="BB16" s="2">
        <f ca="1">IFERROR(SUMIFS(INDIRECT("'Thanh Toán ("&amp;BB$3&amp;")'!$F:$F"),INDIRECT("'Thanh Toán ("&amp;BB$3&amp;")'!$D:$D"),'Tổng Đơn'!$B16),0)</f>
        <v>0</v>
      </c>
      <c r="BC16" s="2">
        <f ca="1">IFERROR(SUMIFS(INDIRECT("'Thanh Toán ("&amp;BC$3&amp;")'!$F:$F"),INDIRECT("'Thanh Toán ("&amp;BC$3&amp;")'!$D:$D"),'Tổng Đơn'!$B16),0)</f>
        <v>0</v>
      </c>
    </row>
    <row r="17" spans="1:55" ht="18" customHeight="1" x14ac:dyDescent="0.3">
      <c r="A17" s="160">
        <v>7</v>
      </c>
      <c r="B17" s="161" t="s">
        <v>128</v>
      </c>
      <c r="C17" s="160" t="s">
        <v>97</v>
      </c>
      <c r="D17" s="162">
        <f>VLOOKUP($C17,Sheet1!$C$8:$D$80,2,0)</f>
        <v>45000</v>
      </c>
      <c r="E17" s="163">
        <v>0.5</v>
      </c>
      <c r="F17" s="164">
        <f t="shared" ca="1" si="2"/>
        <v>3</v>
      </c>
      <c r="G17" s="165">
        <f>IFERROR(VLOOKUP($B17,Gà!C:J,8,0),IFERROR(VLOOKUP($B17,TVP!C:J,7,0),IFERROR(VLOOKUP($B17,Kitkool!C:J,8,0),IFERROR(VLOOKUP($B17,'La Cusina'!C:J,8,0),VLOOKUP($B17,'Quốc Nhân'!C:J,8,0)))))</f>
        <v>32.731702405241641</v>
      </c>
      <c r="H17" s="166">
        <f t="shared" ca="1" si="10"/>
        <v>36804.892784275071</v>
      </c>
      <c r="I17" s="186">
        <f t="shared" si="11"/>
        <v>0.37481391718854562</v>
      </c>
      <c r="J17" s="166">
        <f t="shared" ca="1" si="12"/>
        <v>98195.107215724929</v>
      </c>
      <c r="K17" s="38"/>
      <c r="L17" s="2">
        <f ca="1">IFERROR(SUMIFS(INDIRECT("'Thanh Toán ("&amp;L$3&amp;")'!$F:$F"),INDIRECT("'Thanh Toán ("&amp;L$3&amp;")'!$D:$D"),'Tổng Đơn'!$B17),0)</f>
        <v>0</v>
      </c>
      <c r="M17" s="2">
        <f ca="1">IFERROR(SUMIFS(INDIRECT("'Thanh Toán ("&amp;M$3&amp;")'!$F:$F"),INDIRECT("'Thanh Toán ("&amp;M$3&amp;")'!$D:$D"),'Tổng Đơn'!$B17),0)</f>
        <v>0</v>
      </c>
      <c r="N17" s="2">
        <f ca="1">IFERROR(SUMIFS(INDIRECT("'Thanh Toán ("&amp;N$3&amp;")'!$F:$F"),INDIRECT("'Thanh Toán ("&amp;N$3&amp;")'!$D:$D"),'Tổng Đơn'!$B17),0)</f>
        <v>0</v>
      </c>
      <c r="O17" s="2">
        <f ca="1">IFERROR(SUMIFS(INDIRECT("'Thanh Toán ("&amp;O$3&amp;")'!$F:$F"),INDIRECT("'Thanh Toán ("&amp;O$3&amp;")'!$D:$D"),'Tổng Đơn'!$B17),0)</f>
        <v>0</v>
      </c>
      <c r="P17" s="2">
        <f ca="1">IFERROR(SUMIFS(INDIRECT("'Thanh Toán ("&amp;P$3&amp;")'!$F:$F"),INDIRECT("'Thanh Toán ("&amp;P$3&amp;")'!$D:$D"),'Tổng Đơn'!$B17),0)</f>
        <v>0</v>
      </c>
      <c r="Q17" s="2">
        <f ca="1">IFERROR(SUMIFS(INDIRECT("'Thanh Toán ("&amp;Q$3&amp;")'!$F:$F"),INDIRECT("'Thanh Toán ("&amp;Q$3&amp;")'!$D:$D"),'Tổng Đơn'!$B17),0)</f>
        <v>0</v>
      </c>
      <c r="R17" s="2">
        <f ca="1">IFERROR(SUMIFS(INDIRECT("'Thanh Toán ("&amp;R$3&amp;")'!$F:$F"),INDIRECT("'Thanh Toán ("&amp;R$3&amp;")'!$D:$D"),'Tổng Đơn'!$B17),0)</f>
        <v>2</v>
      </c>
      <c r="S17" s="2">
        <f ca="1">IFERROR(SUMIFS(INDIRECT("'Thanh Toán ("&amp;S$3&amp;")'!$F:$F"),INDIRECT("'Thanh Toán ("&amp;S$3&amp;")'!$D:$D"),'Tổng Đơn'!$B17),0)</f>
        <v>0</v>
      </c>
      <c r="T17" s="2">
        <f ca="1">IFERROR(SUMIFS(INDIRECT("'Thanh Toán ("&amp;T$3&amp;")'!$F:$F"),INDIRECT("'Thanh Toán ("&amp;T$3&amp;")'!$D:$D"),'Tổng Đơn'!$B17),0)</f>
        <v>0</v>
      </c>
      <c r="U17" s="2">
        <f ca="1">IFERROR(SUMIFS(INDIRECT("'Thanh Toán ("&amp;U$3&amp;")'!$F:$F"),INDIRECT("'Thanh Toán ("&amp;U$3&amp;")'!$D:$D"),'Tổng Đơn'!$B17),0)</f>
        <v>0</v>
      </c>
      <c r="V17" s="2">
        <f ca="1">IFERROR(SUMIFS(INDIRECT("'Thanh Toán ("&amp;V$3&amp;")'!$F:$F"),INDIRECT("'Thanh Toán ("&amp;V$3&amp;")'!$D:$D"),'Tổng Đơn'!$B17),0)</f>
        <v>0</v>
      </c>
      <c r="W17" s="2">
        <f ca="1">IFERROR(SUMIFS(INDIRECT("'Thanh Toán ("&amp;W$3&amp;")'!$F:$F"),INDIRECT("'Thanh Toán ("&amp;W$3&amp;")'!$D:$D"),'Tổng Đơn'!$B17),0)</f>
        <v>0</v>
      </c>
      <c r="X17" s="2">
        <f ca="1">IFERROR(SUMIFS(INDIRECT("'Thanh Toán ("&amp;X$3&amp;")'!$F:$F"),INDIRECT("'Thanh Toán ("&amp;X$3&amp;")'!$D:$D"),'Tổng Đơn'!$B17),0)</f>
        <v>0</v>
      </c>
      <c r="Y17" s="2">
        <f ca="1">IFERROR(SUMIFS(INDIRECT("'Thanh Toán ("&amp;Y$3&amp;")'!$F:$F"),INDIRECT("'Thanh Toán ("&amp;Y$3&amp;")'!$D:$D"),'Tổng Đơn'!$B17),0)</f>
        <v>0</v>
      </c>
      <c r="Z17" s="2">
        <f ca="1">IFERROR(SUMIFS(INDIRECT("'Thanh Toán ("&amp;Z$3&amp;")'!$F:$F"),INDIRECT("'Thanh Toán ("&amp;Z$3&amp;")'!$D:$D"),'Tổng Đơn'!$B17),0)</f>
        <v>0</v>
      </c>
      <c r="AA17" s="2">
        <f ca="1">IFERROR(SUMIFS(INDIRECT("'Thanh Toán ("&amp;AA$3&amp;")'!$F:$F"),INDIRECT("'Thanh Toán ("&amp;AA$3&amp;")'!$D:$D"),'Tổng Đơn'!$B17),0)</f>
        <v>0</v>
      </c>
      <c r="AB17" s="2">
        <f ca="1">IFERROR(SUMIFS(INDIRECT("'Thanh Toán ("&amp;AB$3&amp;")'!$F:$F"),INDIRECT("'Thanh Toán ("&amp;AB$3&amp;")'!$D:$D"),'Tổng Đơn'!$B17),0)</f>
        <v>0</v>
      </c>
      <c r="AC17" s="2">
        <f ca="1">IFERROR(SUMIFS(INDIRECT("'Thanh Toán ("&amp;AC$3&amp;")'!$F:$F"),INDIRECT("'Thanh Toán ("&amp;AC$3&amp;")'!$D:$D"),'Tổng Đơn'!$B17),0)</f>
        <v>0</v>
      </c>
      <c r="AD17" s="2">
        <f ca="1">IFERROR(SUMIFS(INDIRECT("'Thanh Toán ("&amp;AD$3&amp;")'!$F:$F"),INDIRECT("'Thanh Toán ("&amp;AD$3&amp;")'!$D:$D"),'Tổng Đơn'!$B17),0)</f>
        <v>1</v>
      </c>
      <c r="AE17" s="2">
        <f ca="1">IFERROR(SUMIFS(INDIRECT("'Thanh Toán ("&amp;AE$3&amp;")'!$F:$F"),INDIRECT("'Thanh Toán ("&amp;AE$3&amp;")'!$D:$D"),'Tổng Đơn'!$B17),0)</f>
        <v>0</v>
      </c>
      <c r="AF17" s="2">
        <f ca="1">IFERROR(SUMIFS(INDIRECT("'Thanh Toán ("&amp;AF$3&amp;")'!$F:$F"),INDIRECT("'Thanh Toán ("&amp;AF$3&amp;")'!$D:$D"),'Tổng Đơn'!$B17),0)</f>
        <v>0</v>
      </c>
      <c r="AG17" s="2">
        <f ca="1">IFERROR(SUMIFS(INDIRECT("'Thanh Toán ("&amp;AG$3&amp;")'!$F:$F"),INDIRECT("'Thanh Toán ("&amp;AG$3&amp;")'!$D:$D"),'Tổng Đơn'!$B17),0)</f>
        <v>0</v>
      </c>
      <c r="AH17" s="2">
        <f ca="1">IFERROR(SUMIFS(INDIRECT("'Thanh Toán ("&amp;AH$3&amp;")'!$F:$F"),INDIRECT("'Thanh Toán ("&amp;AH$3&amp;")'!$D:$D"),'Tổng Đơn'!$B17),0)</f>
        <v>0</v>
      </c>
      <c r="AI17" s="2">
        <f ca="1">IFERROR(SUMIFS(INDIRECT("'Thanh Toán ("&amp;AI$3&amp;")'!$F:$F"),INDIRECT("'Thanh Toán ("&amp;AI$3&amp;")'!$D:$D"),'Tổng Đơn'!$B17),0)</f>
        <v>0</v>
      </c>
      <c r="AJ17" s="2">
        <f ca="1">IFERROR(SUMIFS(INDIRECT("'Thanh Toán ("&amp;AJ$3&amp;")'!$F:$F"),INDIRECT("'Thanh Toán ("&amp;AJ$3&amp;")'!$D:$D"),'Tổng Đơn'!$B17),0)</f>
        <v>0</v>
      </c>
      <c r="AK17" s="2">
        <f ca="1">IFERROR(SUMIFS(INDIRECT("'Thanh Toán ("&amp;AK$3&amp;")'!$F:$F"),INDIRECT("'Thanh Toán ("&amp;AK$3&amp;")'!$D:$D"),'Tổng Đơn'!$B17),0)</f>
        <v>0</v>
      </c>
      <c r="AL17" s="2">
        <f ca="1">IFERROR(SUMIFS(INDIRECT("'Thanh Toán ("&amp;AL$3&amp;")'!$F:$F"),INDIRECT("'Thanh Toán ("&amp;AL$3&amp;")'!$D:$D"),'Tổng Đơn'!$B17),0)</f>
        <v>0</v>
      </c>
      <c r="AM17" s="2">
        <f ca="1">IFERROR(SUMIFS(INDIRECT("'Thanh Toán ("&amp;AM$3&amp;")'!$F:$F"),INDIRECT("'Thanh Toán ("&amp;AM$3&amp;")'!$D:$D"),'Tổng Đơn'!$B17),0)</f>
        <v>0</v>
      </c>
      <c r="AN17" s="2">
        <f ca="1">IFERROR(SUMIFS(INDIRECT("'Thanh Toán ("&amp;AN$3&amp;")'!$F:$F"),INDIRECT("'Thanh Toán ("&amp;AN$3&amp;")'!$D:$D"),'Tổng Đơn'!$B17),0)</f>
        <v>0</v>
      </c>
      <c r="AO17" s="2">
        <f ca="1">IFERROR(SUMIFS(INDIRECT("'Thanh Toán ("&amp;AO$3&amp;")'!$F:$F"),INDIRECT("'Thanh Toán ("&amp;AO$3&amp;")'!$D:$D"),'Tổng Đơn'!$B17),0)</f>
        <v>0</v>
      </c>
      <c r="AP17" s="2">
        <f ca="1">IFERROR(SUMIFS(INDIRECT("'Thanh Toán ("&amp;AP$3&amp;")'!$F:$F"),INDIRECT("'Thanh Toán ("&amp;AP$3&amp;")'!$D:$D"),'Tổng Đơn'!$B17),0)</f>
        <v>0</v>
      </c>
      <c r="AQ17" s="2">
        <f ca="1">IFERROR(SUMIFS(INDIRECT("'Thanh Toán ("&amp;AQ$3&amp;")'!$F:$F"),INDIRECT("'Thanh Toán ("&amp;AQ$3&amp;")'!$D:$D"),'Tổng Đơn'!$B17),0)</f>
        <v>0</v>
      </c>
      <c r="AR17" s="2">
        <f ca="1">IFERROR(SUMIFS(INDIRECT("'Thanh Toán ("&amp;AR$3&amp;")'!$F:$F"),INDIRECT("'Thanh Toán ("&amp;AR$3&amp;")'!$D:$D"),'Tổng Đơn'!$B17),0)</f>
        <v>0</v>
      </c>
      <c r="AS17" s="2">
        <f ca="1">IFERROR(SUMIFS(INDIRECT("'Thanh Toán ("&amp;AS$3&amp;")'!$F:$F"),INDIRECT("'Thanh Toán ("&amp;AS$3&amp;")'!$D:$D"),'Tổng Đơn'!$B17),0)</f>
        <v>0</v>
      </c>
      <c r="AT17" s="2">
        <f ca="1">IFERROR(SUMIFS(INDIRECT("'Thanh Toán ("&amp;AT$3&amp;")'!$F:$F"),INDIRECT("'Thanh Toán ("&amp;AT$3&amp;")'!$D:$D"),'Tổng Đơn'!$B17),0)</f>
        <v>0</v>
      </c>
      <c r="AU17" s="2">
        <f ca="1">IFERROR(SUMIFS(INDIRECT("'Thanh Toán ("&amp;AU$3&amp;")'!$F:$F"),INDIRECT("'Thanh Toán ("&amp;AU$3&amp;")'!$D:$D"),'Tổng Đơn'!$B17),0)</f>
        <v>0</v>
      </c>
      <c r="AV17" s="2">
        <f ca="1">IFERROR(SUMIFS(INDIRECT("'Thanh Toán ("&amp;AV$3&amp;")'!$F:$F"),INDIRECT("'Thanh Toán ("&amp;AV$3&amp;")'!$D:$D"),'Tổng Đơn'!$B17),0)</f>
        <v>0</v>
      </c>
      <c r="AW17" s="2">
        <f ca="1">IFERROR(SUMIFS(INDIRECT("'Thanh Toán ("&amp;AW$3&amp;")'!$F:$F"),INDIRECT("'Thanh Toán ("&amp;AW$3&amp;")'!$D:$D"),'Tổng Đơn'!$B17),0)</f>
        <v>0</v>
      </c>
      <c r="AX17" s="2">
        <f ca="1">IFERROR(SUMIFS(INDIRECT("'Thanh Toán ("&amp;AX$3&amp;")'!$F:$F"),INDIRECT("'Thanh Toán ("&amp;AX$3&amp;")'!$D:$D"),'Tổng Đơn'!$B17),0)</f>
        <v>0</v>
      </c>
      <c r="AY17" s="2">
        <f ca="1">IFERROR(SUMIFS(INDIRECT("'Thanh Toán ("&amp;AY$3&amp;")'!$F:$F"),INDIRECT("'Thanh Toán ("&amp;AY$3&amp;")'!$D:$D"),'Tổng Đơn'!$B17),0)</f>
        <v>0</v>
      </c>
      <c r="AZ17" s="2">
        <f ca="1">IFERROR(SUMIFS(INDIRECT("'Thanh Toán ("&amp;AZ$3&amp;")'!$F:$F"),INDIRECT("'Thanh Toán ("&amp;AZ$3&amp;")'!$D:$D"),'Tổng Đơn'!$B17),0)</f>
        <v>0</v>
      </c>
      <c r="BA17" s="2">
        <f ca="1">IFERROR(SUMIFS(INDIRECT("'Thanh Toán ("&amp;BA$3&amp;")'!$F:$F"),INDIRECT("'Thanh Toán ("&amp;BA$3&amp;")'!$D:$D"),'Tổng Đơn'!$B17),0)</f>
        <v>0</v>
      </c>
      <c r="BB17" s="2">
        <f ca="1">IFERROR(SUMIFS(INDIRECT("'Thanh Toán ("&amp;BB$3&amp;")'!$F:$F"),INDIRECT("'Thanh Toán ("&amp;BB$3&amp;")'!$D:$D"),'Tổng Đơn'!$B17),0)</f>
        <v>0</v>
      </c>
      <c r="BC17" s="2">
        <f ca="1">IFERROR(SUMIFS(INDIRECT("'Thanh Toán ("&amp;BC$3&amp;")'!$F:$F"),INDIRECT("'Thanh Toán ("&amp;BC$3&amp;")'!$D:$D"),'Tổng Đơn'!$B17),0)</f>
        <v>0</v>
      </c>
    </row>
    <row r="18" spans="1:55" ht="18" customHeight="1" x14ac:dyDescent="0.3">
      <c r="A18" s="167">
        <v>8</v>
      </c>
      <c r="B18" s="161" t="s">
        <v>50</v>
      </c>
      <c r="C18" s="167" t="s">
        <v>98</v>
      </c>
      <c r="D18" s="162">
        <f>VLOOKUP($C18,Sheet1!$C$8:$D$80,2,0)</f>
        <v>45000</v>
      </c>
      <c r="E18" s="163">
        <v>0.5</v>
      </c>
      <c r="F18" s="164">
        <f t="shared" ca="1" si="2"/>
        <v>0</v>
      </c>
      <c r="G18" s="165">
        <f>IFERROR(VLOOKUP($B18,Gà!C:J,8,0),IFERROR(VLOOKUP($B18,TVP!C:J,7,0),IFERROR(VLOOKUP($B18,Kitkool!C:J,8,0),IFERROR(VLOOKUP($B18,'La Cusina'!C:J,8,0),VLOOKUP($B18,'Quốc Nhân'!C:J,8,0)))))</f>
        <v>40.91462800655205</v>
      </c>
      <c r="H18" s="166">
        <f t="shared" ca="1" si="10"/>
        <v>0</v>
      </c>
      <c r="I18" s="186">
        <f t="shared" si="11"/>
        <v>9.985113375083654E-2</v>
      </c>
      <c r="J18" s="166">
        <f t="shared" ca="1" si="12"/>
        <v>0</v>
      </c>
      <c r="K18" s="38"/>
      <c r="L18" s="2">
        <f ca="1">IFERROR(SUMIFS(INDIRECT("'Thanh Toán ("&amp;L$3&amp;")'!$F:$F"),INDIRECT("'Thanh Toán ("&amp;L$3&amp;")'!$D:$D"),'Tổng Đơn'!$B18),0)</f>
        <v>0</v>
      </c>
      <c r="M18" s="2">
        <f ca="1">IFERROR(SUMIFS(INDIRECT("'Thanh Toán ("&amp;M$3&amp;")'!$F:$F"),INDIRECT("'Thanh Toán ("&amp;M$3&amp;")'!$D:$D"),'Tổng Đơn'!$B18),0)</f>
        <v>0</v>
      </c>
      <c r="N18" s="2">
        <f ca="1">IFERROR(SUMIFS(INDIRECT("'Thanh Toán ("&amp;N$3&amp;")'!$F:$F"),INDIRECT("'Thanh Toán ("&amp;N$3&amp;")'!$D:$D"),'Tổng Đơn'!$B18),0)</f>
        <v>0</v>
      </c>
      <c r="O18" s="2">
        <f ca="1">IFERROR(SUMIFS(INDIRECT("'Thanh Toán ("&amp;O$3&amp;")'!$F:$F"),INDIRECT("'Thanh Toán ("&amp;O$3&amp;")'!$D:$D"),'Tổng Đơn'!$B18),0)</f>
        <v>0</v>
      </c>
      <c r="P18" s="2">
        <f ca="1">IFERROR(SUMIFS(INDIRECT("'Thanh Toán ("&amp;P$3&amp;")'!$F:$F"),INDIRECT("'Thanh Toán ("&amp;P$3&amp;")'!$D:$D"),'Tổng Đơn'!$B18),0)</f>
        <v>0</v>
      </c>
      <c r="Q18" s="2">
        <f ca="1">IFERROR(SUMIFS(INDIRECT("'Thanh Toán ("&amp;Q$3&amp;")'!$F:$F"),INDIRECT("'Thanh Toán ("&amp;Q$3&amp;")'!$D:$D"),'Tổng Đơn'!$B18),0)</f>
        <v>0</v>
      </c>
      <c r="R18" s="2">
        <f ca="1">IFERROR(SUMIFS(INDIRECT("'Thanh Toán ("&amp;R$3&amp;")'!$F:$F"),INDIRECT("'Thanh Toán ("&amp;R$3&amp;")'!$D:$D"),'Tổng Đơn'!$B18),0)</f>
        <v>0</v>
      </c>
      <c r="S18" s="2">
        <f ca="1">IFERROR(SUMIFS(INDIRECT("'Thanh Toán ("&amp;S$3&amp;")'!$F:$F"),INDIRECT("'Thanh Toán ("&amp;S$3&amp;")'!$D:$D"),'Tổng Đơn'!$B18),0)</f>
        <v>0</v>
      </c>
      <c r="T18" s="2">
        <f ca="1">IFERROR(SUMIFS(INDIRECT("'Thanh Toán ("&amp;T$3&amp;")'!$F:$F"),INDIRECT("'Thanh Toán ("&amp;T$3&amp;")'!$D:$D"),'Tổng Đơn'!$B18),0)</f>
        <v>0</v>
      </c>
      <c r="U18" s="2">
        <f ca="1">IFERROR(SUMIFS(INDIRECT("'Thanh Toán ("&amp;U$3&amp;")'!$F:$F"),INDIRECT("'Thanh Toán ("&amp;U$3&amp;")'!$D:$D"),'Tổng Đơn'!$B18),0)</f>
        <v>0</v>
      </c>
      <c r="V18" s="2">
        <f ca="1">IFERROR(SUMIFS(INDIRECT("'Thanh Toán ("&amp;V$3&amp;")'!$F:$F"),INDIRECT("'Thanh Toán ("&amp;V$3&amp;")'!$D:$D"),'Tổng Đơn'!$B18),0)</f>
        <v>0</v>
      </c>
      <c r="W18" s="2">
        <f ca="1">IFERROR(SUMIFS(INDIRECT("'Thanh Toán ("&amp;W$3&amp;")'!$F:$F"),INDIRECT("'Thanh Toán ("&amp;W$3&amp;")'!$D:$D"),'Tổng Đơn'!$B18),0)</f>
        <v>0</v>
      </c>
      <c r="X18" s="2">
        <f ca="1">IFERROR(SUMIFS(INDIRECT("'Thanh Toán ("&amp;X$3&amp;")'!$F:$F"),INDIRECT("'Thanh Toán ("&amp;X$3&amp;")'!$D:$D"),'Tổng Đơn'!$B18),0)</f>
        <v>0</v>
      </c>
      <c r="Y18" s="2">
        <f ca="1">IFERROR(SUMIFS(INDIRECT("'Thanh Toán ("&amp;Y$3&amp;")'!$F:$F"),INDIRECT("'Thanh Toán ("&amp;Y$3&amp;")'!$D:$D"),'Tổng Đơn'!$B18),0)</f>
        <v>0</v>
      </c>
      <c r="Z18" s="2">
        <f ca="1">IFERROR(SUMIFS(INDIRECT("'Thanh Toán ("&amp;Z$3&amp;")'!$F:$F"),INDIRECT("'Thanh Toán ("&amp;Z$3&amp;")'!$D:$D"),'Tổng Đơn'!$B18),0)</f>
        <v>0</v>
      </c>
      <c r="AA18" s="2">
        <f ca="1">IFERROR(SUMIFS(INDIRECT("'Thanh Toán ("&amp;AA$3&amp;")'!$F:$F"),INDIRECT("'Thanh Toán ("&amp;AA$3&amp;")'!$D:$D"),'Tổng Đơn'!$B18),0)</f>
        <v>0</v>
      </c>
      <c r="AB18" s="2">
        <f ca="1">IFERROR(SUMIFS(INDIRECT("'Thanh Toán ("&amp;AB$3&amp;")'!$F:$F"),INDIRECT("'Thanh Toán ("&amp;AB$3&amp;")'!$D:$D"),'Tổng Đơn'!$B18),0)</f>
        <v>0</v>
      </c>
      <c r="AC18" s="2">
        <f ca="1">IFERROR(SUMIFS(INDIRECT("'Thanh Toán ("&amp;AC$3&amp;")'!$F:$F"),INDIRECT("'Thanh Toán ("&amp;AC$3&amp;")'!$D:$D"),'Tổng Đơn'!$B18),0)</f>
        <v>0</v>
      </c>
      <c r="AD18" s="2">
        <f ca="1">IFERROR(SUMIFS(INDIRECT("'Thanh Toán ("&amp;AD$3&amp;")'!$F:$F"),INDIRECT("'Thanh Toán ("&amp;AD$3&amp;")'!$D:$D"),'Tổng Đơn'!$B18),0)</f>
        <v>0</v>
      </c>
      <c r="AE18" s="2">
        <f ca="1">IFERROR(SUMIFS(INDIRECT("'Thanh Toán ("&amp;AE$3&amp;")'!$F:$F"),INDIRECT("'Thanh Toán ("&amp;AE$3&amp;")'!$D:$D"),'Tổng Đơn'!$B18),0)</f>
        <v>0</v>
      </c>
      <c r="AF18" s="2">
        <f ca="1">IFERROR(SUMIFS(INDIRECT("'Thanh Toán ("&amp;AF$3&amp;")'!$F:$F"),INDIRECT("'Thanh Toán ("&amp;AF$3&amp;")'!$D:$D"),'Tổng Đơn'!$B18),0)</f>
        <v>0</v>
      </c>
      <c r="AG18" s="2">
        <f ca="1">IFERROR(SUMIFS(INDIRECT("'Thanh Toán ("&amp;AG$3&amp;")'!$F:$F"),INDIRECT("'Thanh Toán ("&amp;AG$3&amp;")'!$D:$D"),'Tổng Đơn'!$B18),0)</f>
        <v>0</v>
      </c>
      <c r="AH18" s="2">
        <f ca="1">IFERROR(SUMIFS(INDIRECT("'Thanh Toán ("&amp;AH$3&amp;")'!$F:$F"),INDIRECT("'Thanh Toán ("&amp;AH$3&amp;")'!$D:$D"),'Tổng Đơn'!$B18),0)</f>
        <v>0</v>
      </c>
      <c r="AI18" s="2">
        <f ca="1">IFERROR(SUMIFS(INDIRECT("'Thanh Toán ("&amp;AI$3&amp;")'!$F:$F"),INDIRECT("'Thanh Toán ("&amp;AI$3&amp;")'!$D:$D"),'Tổng Đơn'!$B18),0)</f>
        <v>0</v>
      </c>
      <c r="AJ18" s="2">
        <f ca="1">IFERROR(SUMIFS(INDIRECT("'Thanh Toán ("&amp;AJ$3&amp;")'!$F:$F"),INDIRECT("'Thanh Toán ("&amp;AJ$3&amp;")'!$D:$D"),'Tổng Đơn'!$B18),0)</f>
        <v>0</v>
      </c>
      <c r="AK18" s="2">
        <f ca="1">IFERROR(SUMIFS(INDIRECT("'Thanh Toán ("&amp;AK$3&amp;")'!$F:$F"),INDIRECT("'Thanh Toán ("&amp;AK$3&amp;")'!$D:$D"),'Tổng Đơn'!$B18),0)</f>
        <v>0</v>
      </c>
      <c r="AL18" s="2">
        <f ca="1">IFERROR(SUMIFS(INDIRECT("'Thanh Toán ("&amp;AL$3&amp;")'!$F:$F"),INDIRECT("'Thanh Toán ("&amp;AL$3&amp;")'!$D:$D"),'Tổng Đơn'!$B18),0)</f>
        <v>0</v>
      </c>
      <c r="AM18" s="2">
        <f ca="1">IFERROR(SUMIFS(INDIRECT("'Thanh Toán ("&amp;AM$3&amp;")'!$F:$F"),INDIRECT("'Thanh Toán ("&amp;AM$3&amp;")'!$D:$D"),'Tổng Đơn'!$B18),0)</f>
        <v>0</v>
      </c>
      <c r="AN18" s="2">
        <f ca="1">IFERROR(SUMIFS(INDIRECT("'Thanh Toán ("&amp;AN$3&amp;")'!$F:$F"),INDIRECT("'Thanh Toán ("&amp;AN$3&amp;")'!$D:$D"),'Tổng Đơn'!$B18),0)</f>
        <v>0</v>
      </c>
      <c r="AO18" s="2">
        <f ca="1">IFERROR(SUMIFS(INDIRECT("'Thanh Toán ("&amp;AO$3&amp;")'!$F:$F"),INDIRECT("'Thanh Toán ("&amp;AO$3&amp;")'!$D:$D"),'Tổng Đơn'!$B18),0)</f>
        <v>0</v>
      </c>
      <c r="AP18" s="2">
        <f ca="1">IFERROR(SUMIFS(INDIRECT("'Thanh Toán ("&amp;AP$3&amp;")'!$F:$F"),INDIRECT("'Thanh Toán ("&amp;AP$3&amp;")'!$D:$D"),'Tổng Đơn'!$B18),0)</f>
        <v>0</v>
      </c>
      <c r="AQ18" s="2">
        <f ca="1">IFERROR(SUMIFS(INDIRECT("'Thanh Toán ("&amp;AQ$3&amp;")'!$F:$F"),INDIRECT("'Thanh Toán ("&amp;AQ$3&amp;")'!$D:$D"),'Tổng Đơn'!$B18),0)</f>
        <v>0</v>
      </c>
      <c r="AR18" s="2">
        <f ca="1">IFERROR(SUMIFS(INDIRECT("'Thanh Toán ("&amp;AR$3&amp;")'!$F:$F"),INDIRECT("'Thanh Toán ("&amp;AR$3&amp;")'!$D:$D"),'Tổng Đơn'!$B18),0)</f>
        <v>0</v>
      </c>
      <c r="AS18" s="2">
        <f ca="1">IFERROR(SUMIFS(INDIRECT("'Thanh Toán ("&amp;AS$3&amp;")'!$F:$F"),INDIRECT("'Thanh Toán ("&amp;AS$3&amp;")'!$D:$D"),'Tổng Đơn'!$B18),0)</f>
        <v>0</v>
      </c>
      <c r="AT18" s="2">
        <f ca="1">IFERROR(SUMIFS(INDIRECT("'Thanh Toán ("&amp;AT$3&amp;")'!$F:$F"),INDIRECT("'Thanh Toán ("&amp;AT$3&amp;")'!$D:$D"),'Tổng Đơn'!$B18),0)</f>
        <v>0</v>
      </c>
      <c r="AU18" s="2">
        <f ca="1">IFERROR(SUMIFS(INDIRECT("'Thanh Toán ("&amp;AU$3&amp;")'!$F:$F"),INDIRECT("'Thanh Toán ("&amp;AU$3&amp;")'!$D:$D"),'Tổng Đơn'!$B18),0)</f>
        <v>0</v>
      </c>
      <c r="AV18" s="2">
        <f ca="1">IFERROR(SUMIFS(INDIRECT("'Thanh Toán ("&amp;AV$3&amp;")'!$F:$F"),INDIRECT("'Thanh Toán ("&amp;AV$3&amp;")'!$D:$D"),'Tổng Đơn'!$B18),0)</f>
        <v>0</v>
      </c>
      <c r="AW18" s="2">
        <f ca="1">IFERROR(SUMIFS(INDIRECT("'Thanh Toán ("&amp;AW$3&amp;")'!$F:$F"),INDIRECT("'Thanh Toán ("&amp;AW$3&amp;")'!$D:$D"),'Tổng Đơn'!$B18),0)</f>
        <v>0</v>
      </c>
      <c r="AX18" s="2">
        <f ca="1">IFERROR(SUMIFS(INDIRECT("'Thanh Toán ("&amp;AX$3&amp;")'!$F:$F"),INDIRECT("'Thanh Toán ("&amp;AX$3&amp;")'!$D:$D"),'Tổng Đơn'!$B18),0)</f>
        <v>0</v>
      </c>
      <c r="AY18" s="2">
        <f ca="1">IFERROR(SUMIFS(INDIRECT("'Thanh Toán ("&amp;AY$3&amp;")'!$F:$F"),INDIRECT("'Thanh Toán ("&amp;AY$3&amp;")'!$D:$D"),'Tổng Đơn'!$B18),0)</f>
        <v>0</v>
      </c>
      <c r="AZ18" s="2">
        <f ca="1">IFERROR(SUMIFS(INDIRECT("'Thanh Toán ("&amp;AZ$3&amp;")'!$F:$F"),INDIRECT("'Thanh Toán ("&amp;AZ$3&amp;")'!$D:$D"),'Tổng Đơn'!$B18),0)</f>
        <v>0</v>
      </c>
      <c r="BA18" s="2">
        <f ca="1">IFERROR(SUMIFS(INDIRECT("'Thanh Toán ("&amp;BA$3&amp;")'!$F:$F"),INDIRECT("'Thanh Toán ("&amp;BA$3&amp;")'!$D:$D"),'Tổng Đơn'!$B18),0)</f>
        <v>0</v>
      </c>
      <c r="BB18" s="2">
        <f ca="1">IFERROR(SUMIFS(INDIRECT("'Thanh Toán ("&amp;BB$3&amp;")'!$F:$F"),INDIRECT("'Thanh Toán ("&amp;BB$3&amp;")'!$D:$D"),'Tổng Đơn'!$B18),0)</f>
        <v>0</v>
      </c>
      <c r="BC18" s="2">
        <f ca="1">IFERROR(SUMIFS(INDIRECT("'Thanh Toán ("&amp;BC$3&amp;")'!$F:$F"),INDIRECT("'Thanh Toán ("&amp;BC$3&amp;")'!$D:$D"),'Tổng Đơn'!$B18),0)</f>
        <v>0</v>
      </c>
    </row>
    <row r="19" spans="1:55" ht="18" customHeight="1" x14ac:dyDescent="0.3">
      <c r="A19" s="160">
        <v>9</v>
      </c>
      <c r="B19" s="161" t="s">
        <v>31</v>
      </c>
      <c r="C19" s="160" t="s">
        <v>99</v>
      </c>
      <c r="D19" s="162">
        <f>VLOOKUP($C19,Sheet1!$C$8:$D$80,2,0)</f>
        <v>45000</v>
      </c>
      <c r="E19" s="163">
        <v>0.5</v>
      </c>
      <c r="F19" s="164">
        <f t="shared" ca="1" si="2"/>
        <v>0</v>
      </c>
      <c r="G19" s="165">
        <f>IFERROR(VLOOKUP($B19,Gà!C:J,8,0),IFERROR(VLOOKUP($B19,TVP!C:J,7,0),IFERROR(VLOOKUP($B19,Kitkool!C:J,8,0),IFERROR(VLOOKUP($B19,'La Cusina'!C:J,8,0),VLOOKUP($B19,'Quốc Nhân'!C:J,8,0)))))</f>
        <v>40.91462800655205</v>
      </c>
      <c r="H19" s="166">
        <f t="shared" ca="1" si="10"/>
        <v>0</v>
      </c>
      <c r="I19" s="186">
        <f t="shared" si="11"/>
        <v>9.985113375083654E-2</v>
      </c>
      <c r="J19" s="166">
        <f t="shared" ca="1" si="12"/>
        <v>0</v>
      </c>
      <c r="K19" s="38"/>
      <c r="L19" s="2">
        <f ca="1">IFERROR(SUMIFS(INDIRECT("'Thanh Toán ("&amp;L$3&amp;")'!$F:$F"),INDIRECT("'Thanh Toán ("&amp;L$3&amp;")'!$D:$D"),'Tổng Đơn'!$B19),0)</f>
        <v>0</v>
      </c>
      <c r="M19" s="2">
        <f ca="1">IFERROR(SUMIFS(INDIRECT("'Thanh Toán ("&amp;M$3&amp;")'!$F:$F"),INDIRECT("'Thanh Toán ("&amp;M$3&amp;")'!$D:$D"),'Tổng Đơn'!$B19),0)</f>
        <v>0</v>
      </c>
      <c r="N19" s="2">
        <f ca="1">IFERROR(SUMIFS(INDIRECT("'Thanh Toán ("&amp;N$3&amp;")'!$F:$F"),INDIRECT("'Thanh Toán ("&amp;N$3&amp;")'!$D:$D"),'Tổng Đơn'!$B19),0)</f>
        <v>0</v>
      </c>
      <c r="O19" s="2">
        <f ca="1">IFERROR(SUMIFS(INDIRECT("'Thanh Toán ("&amp;O$3&amp;")'!$F:$F"),INDIRECT("'Thanh Toán ("&amp;O$3&amp;")'!$D:$D"),'Tổng Đơn'!$B19),0)</f>
        <v>0</v>
      </c>
      <c r="P19" s="2">
        <f ca="1">IFERROR(SUMIFS(INDIRECT("'Thanh Toán ("&amp;P$3&amp;")'!$F:$F"),INDIRECT("'Thanh Toán ("&amp;P$3&amp;")'!$D:$D"),'Tổng Đơn'!$B19),0)</f>
        <v>0</v>
      </c>
      <c r="Q19" s="2">
        <f ca="1">IFERROR(SUMIFS(INDIRECT("'Thanh Toán ("&amp;Q$3&amp;")'!$F:$F"),INDIRECT("'Thanh Toán ("&amp;Q$3&amp;")'!$D:$D"),'Tổng Đơn'!$B19),0)</f>
        <v>0</v>
      </c>
      <c r="R19" s="2">
        <f ca="1">IFERROR(SUMIFS(INDIRECT("'Thanh Toán ("&amp;R$3&amp;")'!$F:$F"),INDIRECT("'Thanh Toán ("&amp;R$3&amp;")'!$D:$D"),'Tổng Đơn'!$B19),0)</f>
        <v>0</v>
      </c>
      <c r="S19" s="2">
        <f ca="1">IFERROR(SUMIFS(INDIRECT("'Thanh Toán ("&amp;S$3&amp;")'!$F:$F"),INDIRECT("'Thanh Toán ("&amp;S$3&amp;")'!$D:$D"),'Tổng Đơn'!$B19),0)</f>
        <v>0</v>
      </c>
      <c r="T19" s="2">
        <f ca="1">IFERROR(SUMIFS(INDIRECT("'Thanh Toán ("&amp;T$3&amp;")'!$F:$F"),INDIRECT("'Thanh Toán ("&amp;T$3&amp;")'!$D:$D"),'Tổng Đơn'!$B19),0)</f>
        <v>0</v>
      </c>
      <c r="U19" s="2">
        <f ca="1">IFERROR(SUMIFS(INDIRECT("'Thanh Toán ("&amp;U$3&amp;")'!$F:$F"),INDIRECT("'Thanh Toán ("&amp;U$3&amp;")'!$D:$D"),'Tổng Đơn'!$B19),0)</f>
        <v>0</v>
      </c>
      <c r="V19" s="2">
        <f ca="1">IFERROR(SUMIFS(INDIRECT("'Thanh Toán ("&amp;V$3&amp;")'!$F:$F"),INDIRECT("'Thanh Toán ("&amp;V$3&amp;")'!$D:$D"),'Tổng Đơn'!$B19),0)</f>
        <v>0</v>
      </c>
      <c r="W19" s="2">
        <f ca="1">IFERROR(SUMIFS(INDIRECT("'Thanh Toán ("&amp;W$3&amp;")'!$F:$F"),INDIRECT("'Thanh Toán ("&amp;W$3&amp;")'!$D:$D"),'Tổng Đơn'!$B19),0)</f>
        <v>0</v>
      </c>
      <c r="X19" s="2">
        <f ca="1">IFERROR(SUMIFS(INDIRECT("'Thanh Toán ("&amp;X$3&amp;")'!$F:$F"),INDIRECT("'Thanh Toán ("&amp;X$3&amp;")'!$D:$D"),'Tổng Đơn'!$B19),0)</f>
        <v>0</v>
      </c>
      <c r="Y19" s="2">
        <f ca="1">IFERROR(SUMIFS(INDIRECT("'Thanh Toán ("&amp;Y$3&amp;")'!$F:$F"),INDIRECT("'Thanh Toán ("&amp;Y$3&amp;")'!$D:$D"),'Tổng Đơn'!$B19),0)</f>
        <v>0</v>
      </c>
      <c r="Z19" s="2">
        <f ca="1">IFERROR(SUMIFS(INDIRECT("'Thanh Toán ("&amp;Z$3&amp;")'!$F:$F"),INDIRECT("'Thanh Toán ("&amp;Z$3&amp;")'!$D:$D"),'Tổng Đơn'!$B19),0)</f>
        <v>0</v>
      </c>
      <c r="AA19" s="2">
        <f ca="1">IFERROR(SUMIFS(INDIRECT("'Thanh Toán ("&amp;AA$3&amp;")'!$F:$F"),INDIRECT("'Thanh Toán ("&amp;AA$3&amp;")'!$D:$D"),'Tổng Đơn'!$B19),0)</f>
        <v>0</v>
      </c>
      <c r="AB19" s="2">
        <f ca="1">IFERROR(SUMIFS(INDIRECT("'Thanh Toán ("&amp;AB$3&amp;")'!$F:$F"),INDIRECT("'Thanh Toán ("&amp;AB$3&amp;")'!$D:$D"),'Tổng Đơn'!$B19),0)</f>
        <v>0</v>
      </c>
      <c r="AC19" s="2">
        <f ca="1">IFERROR(SUMIFS(INDIRECT("'Thanh Toán ("&amp;AC$3&amp;")'!$F:$F"),INDIRECT("'Thanh Toán ("&amp;AC$3&amp;")'!$D:$D"),'Tổng Đơn'!$B19),0)</f>
        <v>0</v>
      </c>
      <c r="AD19" s="2">
        <f ca="1">IFERROR(SUMIFS(INDIRECT("'Thanh Toán ("&amp;AD$3&amp;")'!$F:$F"),INDIRECT("'Thanh Toán ("&amp;AD$3&amp;")'!$D:$D"),'Tổng Đơn'!$B19),0)</f>
        <v>0</v>
      </c>
      <c r="AE19" s="2">
        <f ca="1">IFERROR(SUMIFS(INDIRECT("'Thanh Toán ("&amp;AE$3&amp;")'!$F:$F"),INDIRECT("'Thanh Toán ("&amp;AE$3&amp;")'!$D:$D"),'Tổng Đơn'!$B19),0)</f>
        <v>0</v>
      </c>
      <c r="AF19" s="2">
        <f ca="1">IFERROR(SUMIFS(INDIRECT("'Thanh Toán ("&amp;AF$3&amp;")'!$F:$F"),INDIRECT("'Thanh Toán ("&amp;AF$3&amp;")'!$D:$D"),'Tổng Đơn'!$B19),0)</f>
        <v>0</v>
      </c>
      <c r="AG19" s="2">
        <f ca="1">IFERROR(SUMIFS(INDIRECT("'Thanh Toán ("&amp;AG$3&amp;")'!$F:$F"),INDIRECT("'Thanh Toán ("&amp;AG$3&amp;")'!$D:$D"),'Tổng Đơn'!$B19),0)</f>
        <v>0</v>
      </c>
      <c r="AH19" s="2">
        <f ca="1">IFERROR(SUMIFS(INDIRECT("'Thanh Toán ("&amp;AH$3&amp;")'!$F:$F"),INDIRECT("'Thanh Toán ("&amp;AH$3&amp;")'!$D:$D"),'Tổng Đơn'!$B19),0)</f>
        <v>0</v>
      </c>
      <c r="AI19" s="2">
        <f ca="1">IFERROR(SUMIFS(INDIRECT("'Thanh Toán ("&amp;AI$3&amp;")'!$F:$F"),INDIRECT("'Thanh Toán ("&amp;AI$3&amp;")'!$D:$D"),'Tổng Đơn'!$B19),0)</f>
        <v>0</v>
      </c>
      <c r="AJ19" s="2">
        <f ca="1">IFERROR(SUMIFS(INDIRECT("'Thanh Toán ("&amp;AJ$3&amp;")'!$F:$F"),INDIRECT("'Thanh Toán ("&amp;AJ$3&amp;")'!$D:$D"),'Tổng Đơn'!$B19),0)</f>
        <v>0</v>
      </c>
      <c r="AK19" s="2">
        <f ca="1">IFERROR(SUMIFS(INDIRECT("'Thanh Toán ("&amp;AK$3&amp;")'!$F:$F"),INDIRECT("'Thanh Toán ("&amp;AK$3&amp;")'!$D:$D"),'Tổng Đơn'!$B19),0)</f>
        <v>0</v>
      </c>
      <c r="AL19" s="2">
        <f ca="1">IFERROR(SUMIFS(INDIRECT("'Thanh Toán ("&amp;AL$3&amp;")'!$F:$F"),INDIRECT("'Thanh Toán ("&amp;AL$3&amp;")'!$D:$D"),'Tổng Đơn'!$B19),0)</f>
        <v>0</v>
      </c>
      <c r="AM19" s="2">
        <f ca="1">IFERROR(SUMIFS(INDIRECT("'Thanh Toán ("&amp;AM$3&amp;")'!$F:$F"),INDIRECT("'Thanh Toán ("&amp;AM$3&amp;")'!$D:$D"),'Tổng Đơn'!$B19),0)</f>
        <v>0</v>
      </c>
      <c r="AN19" s="2">
        <f ca="1">IFERROR(SUMIFS(INDIRECT("'Thanh Toán ("&amp;AN$3&amp;")'!$F:$F"),INDIRECT("'Thanh Toán ("&amp;AN$3&amp;")'!$D:$D"),'Tổng Đơn'!$B19),0)</f>
        <v>0</v>
      </c>
      <c r="AO19" s="2">
        <f ca="1">IFERROR(SUMIFS(INDIRECT("'Thanh Toán ("&amp;AO$3&amp;")'!$F:$F"),INDIRECT("'Thanh Toán ("&amp;AO$3&amp;")'!$D:$D"),'Tổng Đơn'!$B19),0)</f>
        <v>0</v>
      </c>
      <c r="AP19" s="2">
        <f ca="1">IFERROR(SUMIFS(INDIRECT("'Thanh Toán ("&amp;AP$3&amp;")'!$F:$F"),INDIRECT("'Thanh Toán ("&amp;AP$3&amp;")'!$D:$D"),'Tổng Đơn'!$B19),0)</f>
        <v>0</v>
      </c>
      <c r="AQ19" s="2">
        <f ca="1">IFERROR(SUMIFS(INDIRECT("'Thanh Toán ("&amp;AQ$3&amp;")'!$F:$F"),INDIRECT("'Thanh Toán ("&amp;AQ$3&amp;")'!$D:$D"),'Tổng Đơn'!$B19),0)</f>
        <v>0</v>
      </c>
      <c r="AR19" s="2">
        <f ca="1">IFERROR(SUMIFS(INDIRECT("'Thanh Toán ("&amp;AR$3&amp;")'!$F:$F"),INDIRECT("'Thanh Toán ("&amp;AR$3&amp;")'!$D:$D"),'Tổng Đơn'!$B19),0)</f>
        <v>0</v>
      </c>
      <c r="AS19" s="2">
        <f ca="1">IFERROR(SUMIFS(INDIRECT("'Thanh Toán ("&amp;AS$3&amp;")'!$F:$F"),INDIRECT("'Thanh Toán ("&amp;AS$3&amp;")'!$D:$D"),'Tổng Đơn'!$B19),0)</f>
        <v>0</v>
      </c>
      <c r="AT19" s="2">
        <f ca="1">IFERROR(SUMIFS(INDIRECT("'Thanh Toán ("&amp;AT$3&amp;")'!$F:$F"),INDIRECT("'Thanh Toán ("&amp;AT$3&amp;")'!$D:$D"),'Tổng Đơn'!$B19),0)</f>
        <v>0</v>
      </c>
      <c r="AU19" s="2">
        <f ca="1">IFERROR(SUMIFS(INDIRECT("'Thanh Toán ("&amp;AU$3&amp;")'!$F:$F"),INDIRECT("'Thanh Toán ("&amp;AU$3&amp;")'!$D:$D"),'Tổng Đơn'!$B19),0)</f>
        <v>0</v>
      </c>
      <c r="AV19" s="2">
        <f ca="1">IFERROR(SUMIFS(INDIRECT("'Thanh Toán ("&amp;AV$3&amp;")'!$F:$F"),INDIRECT("'Thanh Toán ("&amp;AV$3&amp;")'!$D:$D"),'Tổng Đơn'!$B19),0)</f>
        <v>0</v>
      </c>
      <c r="AW19" s="2">
        <f ca="1">IFERROR(SUMIFS(INDIRECT("'Thanh Toán ("&amp;AW$3&amp;")'!$F:$F"),INDIRECT("'Thanh Toán ("&amp;AW$3&amp;")'!$D:$D"),'Tổng Đơn'!$B19),0)</f>
        <v>0</v>
      </c>
      <c r="AX19" s="2">
        <f ca="1">IFERROR(SUMIFS(INDIRECT("'Thanh Toán ("&amp;AX$3&amp;")'!$F:$F"),INDIRECT("'Thanh Toán ("&amp;AX$3&amp;")'!$D:$D"),'Tổng Đơn'!$B19),0)</f>
        <v>0</v>
      </c>
      <c r="AY19" s="2">
        <f ca="1">IFERROR(SUMIFS(INDIRECT("'Thanh Toán ("&amp;AY$3&amp;")'!$F:$F"),INDIRECT("'Thanh Toán ("&amp;AY$3&amp;")'!$D:$D"),'Tổng Đơn'!$B19),0)</f>
        <v>0</v>
      </c>
      <c r="AZ19" s="2">
        <f ca="1">IFERROR(SUMIFS(INDIRECT("'Thanh Toán ("&amp;AZ$3&amp;")'!$F:$F"),INDIRECT("'Thanh Toán ("&amp;AZ$3&amp;")'!$D:$D"),'Tổng Đơn'!$B19),0)</f>
        <v>0</v>
      </c>
      <c r="BA19" s="2">
        <f ca="1">IFERROR(SUMIFS(INDIRECT("'Thanh Toán ("&amp;BA$3&amp;")'!$F:$F"),INDIRECT("'Thanh Toán ("&amp;BA$3&amp;")'!$D:$D"),'Tổng Đơn'!$B19),0)</f>
        <v>0</v>
      </c>
      <c r="BB19" s="2">
        <f ca="1">IFERROR(SUMIFS(INDIRECT("'Thanh Toán ("&amp;BB$3&amp;")'!$F:$F"),INDIRECT("'Thanh Toán ("&amp;BB$3&amp;")'!$D:$D"),'Tổng Đơn'!$B19),0)</f>
        <v>0</v>
      </c>
      <c r="BC19" s="2">
        <f ca="1">IFERROR(SUMIFS(INDIRECT("'Thanh Toán ("&amp;BC$3&amp;")'!$F:$F"),INDIRECT("'Thanh Toán ("&amp;BC$3&amp;")'!$D:$D"),'Tổng Đơn'!$B19),0)</f>
        <v>0</v>
      </c>
    </row>
    <row r="20" spans="1:55" ht="18" customHeight="1" x14ac:dyDescent="0.3">
      <c r="A20" s="167">
        <v>10</v>
      </c>
      <c r="B20" s="161" t="s">
        <v>28</v>
      </c>
      <c r="C20" s="167" t="s">
        <v>56</v>
      </c>
      <c r="D20" s="162">
        <f>VLOOKUP($C20,Sheet1!$C$8:$D$80,2,0)</f>
        <v>45000</v>
      </c>
      <c r="E20" s="163">
        <v>0.5</v>
      </c>
      <c r="F20" s="164">
        <f t="shared" ca="1" si="2"/>
        <v>0</v>
      </c>
      <c r="G20" s="165">
        <f>IFERROR(VLOOKUP($B20,Gà!C:J,8,0),IFERROR(VLOOKUP($B20,TVP!C:J,7,0),IFERROR(VLOOKUP($B20,Kitkool!C:J,8,0),IFERROR(VLOOKUP($B20,'La Cusina'!C:J,8,0),VLOOKUP($B20,'Quốc Nhân'!C:J,8,0)))))</f>
        <v>40.91462800655205</v>
      </c>
      <c r="H20" s="166">
        <f t="shared" ca="1" si="10"/>
        <v>0</v>
      </c>
      <c r="I20" s="186">
        <f t="shared" si="11"/>
        <v>9.985113375083654E-2</v>
      </c>
      <c r="J20" s="166">
        <f t="shared" ca="1" si="12"/>
        <v>0</v>
      </c>
      <c r="K20" s="38"/>
      <c r="L20" s="2">
        <f ca="1">IFERROR(SUMIFS(INDIRECT("'Thanh Toán ("&amp;L$3&amp;")'!$F:$F"),INDIRECT("'Thanh Toán ("&amp;L$3&amp;")'!$D:$D"),'Tổng Đơn'!$B20),0)</f>
        <v>0</v>
      </c>
      <c r="M20" s="2">
        <f ca="1">IFERROR(SUMIFS(INDIRECT("'Thanh Toán ("&amp;M$3&amp;")'!$F:$F"),INDIRECT("'Thanh Toán ("&amp;M$3&amp;")'!$D:$D"),'Tổng Đơn'!$B20),0)</f>
        <v>0</v>
      </c>
      <c r="N20" s="2">
        <f ca="1">IFERROR(SUMIFS(INDIRECT("'Thanh Toán ("&amp;N$3&amp;")'!$F:$F"),INDIRECT("'Thanh Toán ("&amp;N$3&amp;")'!$D:$D"),'Tổng Đơn'!$B20),0)</f>
        <v>0</v>
      </c>
      <c r="O20" s="2">
        <f ca="1">IFERROR(SUMIFS(INDIRECT("'Thanh Toán ("&amp;O$3&amp;")'!$F:$F"),INDIRECT("'Thanh Toán ("&amp;O$3&amp;")'!$D:$D"),'Tổng Đơn'!$B20),0)</f>
        <v>0</v>
      </c>
      <c r="P20" s="2">
        <f ca="1">IFERROR(SUMIFS(INDIRECT("'Thanh Toán ("&amp;P$3&amp;")'!$F:$F"),INDIRECT("'Thanh Toán ("&amp;P$3&amp;")'!$D:$D"),'Tổng Đơn'!$B20),0)</f>
        <v>0</v>
      </c>
      <c r="Q20" s="2">
        <f ca="1">IFERROR(SUMIFS(INDIRECT("'Thanh Toán ("&amp;Q$3&amp;")'!$F:$F"),INDIRECT("'Thanh Toán ("&amp;Q$3&amp;")'!$D:$D"),'Tổng Đơn'!$B20),0)</f>
        <v>0</v>
      </c>
      <c r="R20" s="2">
        <f ca="1">IFERROR(SUMIFS(INDIRECT("'Thanh Toán ("&amp;R$3&amp;")'!$F:$F"),INDIRECT("'Thanh Toán ("&amp;R$3&amp;")'!$D:$D"),'Tổng Đơn'!$B20),0)</f>
        <v>0</v>
      </c>
      <c r="S20" s="2">
        <f ca="1">IFERROR(SUMIFS(INDIRECT("'Thanh Toán ("&amp;S$3&amp;")'!$F:$F"),INDIRECT("'Thanh Toán ("&amp;S$3&amp;")'!$D:$D"),'Tổng Đơn'!$B20),0)</f>
        <v>0</v>
      </c>
      <c r="T20" s="2">
        <f ca="1">IFERROR(SUMIFS(INDIRECT("'Thanh Toán ("&amp;T$3&amp;")'!$F:$F"),INDIRECT("'Thanh Toán ("&amp;T$3&amp;")'!$D:$D"),'Tổng Đơn'!$B20),0)</f>
        <v>0</v>
      </c>
      <c r="U20" s="2">
        <f ca="1">IFERROR(SUMIFS(INDIRECT("'Thanh Toán ("&amp;U$3&amp;")'!$F:$F"),INDIRECT("'Thanh Toán ("&amp;U$3&amp;")'!$D:$D"),'Tổng Đơn'!$B20),0)</f>
        <v>0</v>
      </c>
      <c r="V20" s="2">
        <f ca="1">IFERROR(SUMIFS(INDIRECT("'Thanh Toán ("&amp;V$3&amp;")'!$F:$F"),INDIRECT("'Thanh Toán ("&amp;V$3&amp;")'!$D:$D"),'Tổng Đơn'!$B20),0)</f>
        <v>0</v>
      </c>
      <c r="W20" s="2">
        <f ca="1">IFERROR(SUMIFS(INDIRECT("'Thanh Toán ("&amp;W$3&amp;")'!$F:$F"),INDIRECT("'Thanh Toán ("&amp;W$3&amp;")'!$D:$D"),'Tổng Đơn'!$B20),0)</f>
        <v>0</v>
      </c>
      <c r="X20" s="2">
        <f ca="1">IFERROR(SUMIFS(INDIRECT("'Thanh Toán ("&amp;X$3&amp;")'!$F:$F"),INDIRECT("'Thanh Toán ("&amp;X$3&amp;")'!$D:$D"),'Tổng Đơn'!$B20),0)</f>
        <v>0</v>
      </c>
      <c r="Y20" s="2">
        <f ca="1">IFERROR(SUMIFS(INDIRECT("'Thanh Toán ("&amp;Y$3&amp;")'!$F:$F"),INDIRECT("'Thanh Toán ("&amp;Y$3&amp;")'!$D:$D"),'Tổng Đơn'!$B20),0)</f>
        <v>0</v>
      </c>
      <c r="Z20" s="2">
        <f ca="1">IFERROR(SUMIFS(INDIRECT("'Thanh Toán ("&amp;Z$3&amp;")'!$F:$F"),INDIRECT("'Thanh Toán ("&amp;Z$3&amp;")'!$D:$D"),'Tổng Đơn'!$B20),0)</f>
        <v>0</v>
      </c>
      <c r="AA20" s="2">
        <f ca="1">IFERROR(SUMIFS(INDIRECT("'Thanh Toán ("&amp;AA$3&amp;")'!$F:$F"),INDIRECT("'Thanh Toán ("&amp;AA$3&amp;")'!$D:$D"),'Tổng Đơn'!$B20),0)</f>
        <v>0</v>
      </c>
      <c r="AB20" s="2">
        <f ca="1">IFERROR(SUMIFS(INDIRECT("'Thanh Toán ("&amp;AB$3&amp;")'!$F:$F"),INDIRECT("'Thanh Toán ("&amp;AB$3&amp;")'!$D:$D"),'Tổng Đơn'!$B20),0)</f>
        <v>0</v>
      </c>
      <c r="AC20" s="2">
        <f ca="1">IFERROR(SUMIFS(INDIRECT("'Thanh Toán ("&amp;AC$3&amp;")'!$F:$F"),INDIRECT("'Thanh Toán ("&amp;AC$3&amp;")'!$D:$D"),'Tổng Đơn'!$B20),0)</f>
        <v>0</v>
      </c>
      <c r="AD20" s="2">
        <f ca="1">IFERROR(SUMIFS(INDIRECT("'Thanh Toán ("&amp;AD$3&amp;")'!$F:$F"),INDIRECT("'Thanh Toán ("&amp;AD$3&amp;")'!$D:$D"),'Tổng Đơn'!$B20),0)</f>
        <v>0</v>
      </c>
      <c r="AE20" s="2">
        <f ca="1">IFERROR(SUMIFS(INDIRECT("'Thanh Toán ("&amp;AE$3&amp;")'!$F:$F"),INDIRECT("'Thanh Toán ("&amp;AE$3&amp;")'!$D:$D"),'Tổng Đơn'!$B20),0)</f>
        <v>0</v>
      </c>
      <c r="AF20" s="2">
        <f ca="1">IFERROR(SUMIFS(INDIRECT("'Thanh Toán ("&amp;AF$3&amp;")'!$F:$F"),INDIRECT("'Thanh Toán ("&amp;AF$3&amp;")'!$D:$D"),'Tổng Đơn'!$B20),0)</f>
        <v>0</v>
      </c>
      <c r="AG20" s="2">
        <f ca="1">IFERROR(SUMIFS(INDIRECT("'Thanh Toán ("&amp;AG$3&amp;")'!$F:$F"),INDIRECT("'Thanh Toán ("&amp;AG$3&amp;")'!$D:$D"),'Tổng Đơn'!$B20),0)</f>
        <v>0</v>
      </c>
      <c r="AH20" s="2">
        <f ca="1">IFERROR(SUMIFS(INDIRECT("'Thanh Toán ("&amp;AH$3&amp;")'!$F:$F"),INDIRECT("'Thanh Toán ("&amp;AH$3&amp;")'!$D:$D"),'Tổng Đơn'!$B20),0)</f>
        <v>0</v>
      </c>
      <c r="AI20" s="2">
        <f ca="1">IFERROR(SUMIFS(INDIRECT("'Thanh Toán ("&amp;AI$3&amp;")'!$F:$F"),INDIRECT("'Thanh Toán ("&amp;AI$3&amp;")'!$D:$D"),'Tổng Đơn'!$B20),0)</f>
        <v>0</v>
      </c>
      <c r="AJ20" s="2">
        <f ca="1">IFERROR(SUMIFS(INDIRECT("'Thanh Toán ("&amp;AJ$3&amp;")'!$F:$F"),INDIRECT("'Thanh Toán ("&amp;AJ$3&amp;")'!$D:$D"),'Tổng Đơn'!$B20),0)</f>
        <v>0</v>
      </c>
      <c r="AK20" s="2">
        <f ca="1">IFERROR(SUMIFS(INDIRECT("'Thanh Toán ("&amp;AK$3&amp;")'!$F:$F"),INDIRECT("'Thanh Toán ("&amp;AK$3&amp;")'!$D:$D"),'Tổng Đơn'!$B20),0)</f>
        <v>0</v>
      </c>
      <c r="AL20" s="2">
        <f ca="1">IFERROR(SUMIFS(INDIRECT("'Thanh Toán ("&amp;AL$3&amp;")'!$F:$F"),INDIRECT("'Thanh Toán ("&amp;AL$3&amp;")'!$D:$D"),'Tổng Đơn'!$B20),0)</f>
        <v>0</v>
      </c>
      <c r="AM20" s="2">
        <f ca="1">IFERROR(SUMIFS(INDIRECT("'Thanh Toán ("&amp;AM$3&amp;")'!$F:$F"),INDIRECT("'Thanh Toán ("&amp;AM$3&amp;")'!$D:$D"),'Tổng Đơn'!$B20),0)</f>
        <v>0</v>
      </c>
      <c r="AN20" s="2">
        <f ca="1">IFERROR(SUMIFS(INDIRECT("'Thanh Toán ("&amp;AN$3&amp;")'!$F:$F"),INDIRECT("'Thanh Toán ("&amp;AN$3&amp;")'!$D:$D"),'Tổng Đơn'!$B20),0)</f>
        <v>0</v>
      </c>
      <c r="AO20" s="2">
        <f ca="1">IFERROR(SUMIFS(INDIRECT("'Thanh Toán ("&amp;AO$3&amp;")'!$F:$F"),INDIRECT("'Thanh Toán ("&amp;AO$3&amp;")'!$D:$D"),'Tổng Đơn'!$B20),0)</f>
        <v>0</v>
      </c>
      <c r="AP20" s="2">
        <f ca="1">IFERROR(SUMIFS(INDIRECT("'Thanh Toán ("&amp;AP$3&amp;")'!$F:$F"),INDIRECT("'Thanh Toán ("&amp;AP$3&amp;")'!$D:$D"),'Tổng Đơn'!$B20),0)</f>
        <v>0</v>
      </c>
      <c r="AQ20" s="2">
        <f ca="1">IFERROR(SUMIFS(INDIRECT("'Thanh Toán ("&amp;AQ$3&amp;")'!$F:$F"),INDIRECT("'Thanh Toán ("&amp;AQ$3&amp;")'!$D:$D"),'Tổng Đơn'!$B20),0)</f>
        <v>0</v>
      </c>
      <c r="AR20" s="2">
        <f ca="1">IFERROR(SUMIFS(INDIRECT("'Thanh Toán ("&amp;AR$3&amp;")'!$F:$F"),INDIRECT("'Thanh Toán ("&amp;AR$3&amp;")'!$D:$D"),'Tổng Đơn'!$B20),0)</f>
        <v>0</v>
      </c>
      <c r="AS20" s="2">
        <f ca="1">IFERROR(SUMIFS(INDIRECT("'Thanh Toán ("&amp;AS$3&amp;")'!$F:$F"),INDIRECT("'Thanh Toán ("&amp;AS$3&amp;")'!$D:$D"),'Tổng Đơn'!$B20),0)</f>
        <v>0</v>
      </c>
      <c r="AT20" s="2">
        <f ca="1">IFERROR(SUMIFS(INDIRECT("'Thanh Toán ("&amp;AT$3&amp;")'!$F:$F"),INDIRECT("'Thanh Toán ("&amp;AT$3&amp;")'!$D:$D"),'Tổng Đơn'!$B20),0)</f>
        <v>0</v>
      </c>
      <c r="AU20" s="2">
        <f ca="1">IFERROR(SUMIFS(INDIRECT("'Thanh Toán ("&amp;AU$3&amp;")'!$F:$F"),INDIRECT("'Thanh Toán ("&amp;AU$3&amp;")'!$D:$D"),'Tổng Đơn'!$B20),0)</f>
        <v>0</v>
      </c>
      <c r="AV20" s="2">
        <f ca="1">IFERROR(SUMIFS(INDIRECT("'Thanh Toán ("&amp;AV$3&amp;")'!$F:$F"),INDIRECT("'Thanh Toán ("&amp;AV$3&amp;")'!$D:$D"),'Tổng Đơn'!$B20),0)</f>
        <v>0</v>
      </c>
      <c r="AW20" s="2">
        <f ca="1">IFERROR(SUMIFS(INDIRECT("'Thanh Toán ("&amp;AW$3&amp;")'!$F:$F"),INDIRECT("'Thanh Toán ("&amp;AW$3&amp;")'!$D:$D"),'Tổng Đơn'!$B20),0)</f>
        <v>0</v>
      </c>
      <c r="AX20" s="2">
        <f ca="1">IFERROR(SUMIFS(INDIRECT("'Thanh Toán ("&amp;AX$3&amp;")'!$F:$F"),INDIRECT("'Thanh Toán ("&amp;AX$3&amp;")'!$D:$D"),'Tổng Đơn'!$B20),0)</f>
        <v>0</v>
      </c>
      <c r="AY20" s="2">
        <f ca="1">IFERROR(SUMIFS(INDIRECT("'Thanh Toán ("&amp;AY$3&amp;")'!$F:$F"),INDIRECT("'Thanh Toán ("&amp;AY$3&amp;")'!$D:$D"),'Tổng Đơn'!$B20),0)</f>
        <v>0</v>
      </c>
      <c r="AZ20" s="2">
        <f ca="1">IFERROR(SUMIFS(INDIRECT("'Thanh Toán ("&amp;AZ$3&amp;")'!$F:$F"),INDIRECT("'Thanh Toán ("&amp;AZ$3&amp;")'!$D:$D"),'Tổng Đơn'!$B20),0)</f>
        <v>0</v>
      </c>
      <c r="BA20" s="2">
        <f ca="1">IFERROR(SUMIFS(INDIRECT("'Thanh Toán ("&amp;BA$3&amp;")'!$F:$F"),INDIRECT("'Thanh Toán ("&amp;BA$3&amp;")'!$D:$D"),'Tổng Đơn'!$B20),0)</f>
        <v>0</v>
      </c>
      <c r="BB20" s="2">
        <f ca="1">IFERROR(SUMIFS(INDIRECT("'Thanh Toán ("&amp;BB$3&amp;")'!$F:$F"),INDIRECT("'Thanh Toán ("&amp;BB$3&amp;")'!$D:$D"),'Tổng Đơn'!$B20),0)</f>
        <v>0</v>
      </c>
      <c r="BC20" s="2">
        <f ca="1">IFERROR(SUMIFS(INDIRECT("'Thanh Toán ("&amp;BC$3&amp;")'!$F:$F"),INDIRECT("'Thanh Toán ("&amp;BC$3&amp;")'!$D:$D"),'Tổng Đơn'!$B20),0)</f>
        <v>0</v>
      </c>
    </row>
    <row r="21" spans="1:55" ht="18" customHeight="1" x14ac:dyDescent="0.3">
      <c r="A21" s="160">
        <v>11</v>
      </c>
      <c r="B21" s="161" t="s">
        <v>30</v>
      </c>
      <c r="C21" s="160" t="s">
        <v>57</v>
      </c>
      <c r="D21" s="162">
        <f>VLOOKUP($C21,Sheet1!$C$8:$D$80,2,0)</f>
        <v>45000</v>
      </c>
      <c r="E21" s="163">
        <v>0.5</v>
      </c>
      <c r="F21" s="164">
        <f t="shared" ca="1" si="2"/>
        <v>0</v>
      </c>
      <c r="G21" s="165">
        <f>IFERROR(VLOOKUP($B21,Gà!C:J,8,0),IFERROR(VLOOKUP($B21,TVP!C:J,7,0),IFERROR(VLOOKUP($B21,Kitkool!C:J,8,0),IFERROR(VLOOKUP($B21,'La Cusina'!C:J,8,0),VLOOKUP($B21,'Quốc Nhân'!C:J,8,0)))))</f>
        <v>40.91462800655205</v>
      </c>
      <c r="H21" s="166">
        <f t="shared" ca="1" si="10"/>
        <v>0</v>
      </c>
      <c r="I21" s="186">
        <f t="shared" si="11"/>
        <v>9.985113375083654E-2</v>
      </c>
      <c r="J21" s="166">
        <f t="shared" ca="1" si="12"/>
        <v>0</v>
      </c>
      <c r="K21" s="38"/>
      <c r="L21" s="2">
        <f ca="1">IFERROR(SUMIFS(INDIRECT("'Thanh Toán ("&amp;L$3&amp;")'!$F:$F"),INDIRECT("'Thanh Toán ("&amp;L$3&amp;")'!$D:$D"),'Tổng Đơn'!$B21),0)</f>
        <v>0</v>
      </c>
      <c r="M21" s="2">
        <f ca="1">IFERROR(SUMIFS(INDIRECT("'Thanh Toán ("&amp;M$3&amp;")'!$F:$F"),INDIRECT("'Thanh Toán ("&amp;M$3&amp;")'!$D:$D"),'Tổng Đơn'!$B21),0)</f>
        <v>0</v>
      </c>
      <c r="N21" s="2">
        <f ca="1">IFERROR(SUMIFS(INDIRECT("'Thanh Toán ("&amp;N$3&amp;")'!$F:$F"),INDIRECT("'Thanh Toán ("&amp;N$3&amp;")'!$D:$D"),'Tổng Đơn'!$B21),0)</f>
        <v>0</v>
      </c>
      <c r="O21" s="2">
        <f ca="1">IFERROR(SUMIFS(INDIRECT("'Thanh Toán ("&amp;O$3&amp;")'!$F:$F"),INDIRECT("'Thanh Toán ("&amp;O$3&amp;")'!$D:$D"),'Tổng Đơn'!$B21),0)</f>
        <v>0</v>
      </c>
      <c r="P21" s="2">
        <f ca="1">IFERROR(SUMIFS(INDIRECT("'Thanh Toán ("&amp;P$3&amp;")'!$F:$F"),INDIRECT("'Thanh Toán ("&amp;P$3&amp;")'!$D:$D"),'Tổng Đơn'!$B21),0)</f>
        <v>0</v>
      </c>
      <c r="Q21" s="2">
        <f ca="1">IFERROR(SUMIFS(INDIRECT("'Thanh Toán ("&amp;Q$3&amp;")'!$F:$F"),INDIRECT("'Thanh Toán ("&amp;Q$3&amp;")'!$D:$D"),'Tổng Đơn'!$B21),0)</f>
        <v>0</v>
      </c>
      <c r="R21" s="2">
        <f ca="1">IFERROR(SUMIFS(INDIRECT("'Thanh Toán ("&amp;R$3&amp;")'!$F:$F"),INDIRECT("'Thanh Toán ("&amp;R$3&amp;")'!$D:$D"),'Tổng Đơn'!$B21),0)</f>
        <v>0</v>
      </c>
      <c r="S21" s="2">
        <f ca="1">IFERROR(SUMIFS(INDIRECT("'Thanh Toán ("&amp;S$3&amp;")'!$F:$F"),INDIRECT("'Thanh Toán ("&amp;S$3&amp;")'!$D:$D"),'Tổng Đơn'!$B21),0)</f>
        <v>0</v>
      </c>
      <c r="T21" s="2">
        <f ca="1">IFERROR(SUMIFS(INDIRECT("'Thanh Toán ("&amp;T$3&amp;")'!$F:$F"),INDIRECT("'Thanh Toán ("&amp;T$3&amp;")'!$D:$D"),'Tổng Đơn'!$B21),0)</f>
        <v>0</v>
      </c>
      <c r="U21" s="2">
        <f ca="1">IFERROR(SUMIFS(INDIRECT("'Thanh Toán ("&amp;U$3&amp;")'!$F:$F"),INDIRECT("'Thanh Toán ("&amp;U$3&amp;")'!$D:$D"),'Tổng Đơn'!$B21),0)</f>
        <v>0</v>
      </c>
      <c r="V21" s="2">
        <f ca="1">IFERROR(SUMIFS(INDIRECT("'Thanh Toán ("&amp;V$3&amp;")'!$F:$F"),INDIRECT("'Thanh Toán ("&amp;V$3&amp;")'!$D:$D"),'Tổng Đơn'!$B21),0)</f>
        <v>0</v>
      </c>
      <c r="W21" s="2">
        <f ca="1">IFERROR(SUMIFS(INDIRECT("'Thanh Toán ("&amp;W$3&amp;")'!$F:$F"),INDIRECT("'Thanh Toán ("&amp;W$3&amp;")'!$D:$D"),'Tổng Đơn'!$B21),0)</f>
        <v>0</v>
      </c>
      <c r="X21" s="2">
        <f ca="1">IFERROR(SUMIFS(INDIRECT("'Thanh Toán ("&amp;X$3&amp;")'!$F:$F"),INDIRECT("'Thanh Toán ("&amp;X$3&amp;")'!$D:$D"),'Tổng Đơn'!$B21),0)</f>
        <v>0</v>
      </c>
      <c r="Y21" s="2">
        <f ca="1">IFERROR(SUMIFS(INDIRECT("'Thanh Toán ("&amp;Y$3&amp;")'!$F:$F"),INDIRECT("'Thanh Toán ("&amp;Y$3&amp;")'!$D:$D"),'Tổng Đơn'!$B21),0)</f>
        <v>0</v>
      </c>
      <c r="Z21" s="2">
        <f ca="1">IFERROR(SUMIFS(INDIRECT("'Thanh Toán ("&amp;Z$3&amp;")'!$F:$F"),INDIRECT("'Thanh Toán ("&amp;Z$3&amp;")'!$D:$D"),'Tổng Đơn'!$B21),0)</f>
        <v>0</v>
      </c>
      <c r="AA21" s="2">
        <f ca="1">IFERROR(SUMIFS(INDIRECT("'Thanh Toán ("&amp;AA$3&amp;")'!$F:$F"),INDIRECT("'Thanh Toán ("&amp;AA$3&amp;")'!$D:$D"),'Tổng Đơn'!$B21),0)</f>
        <v>0</v>
      </c>
      <c r="AB21" s="2">
        <f ca="1">IFERROR(SUMIFS(INDIRECT("'Thanh Toán ("&amp;AB$3&amp;")'!$F:$F"),INDIRECT("'Thanh Toán ("&amp;AB$3&amp;")'!$D:$D"),'Tổng Đơn'!$B21),0)</f>
        <v>0</v>
      </c>
      <c r="AC21" s="2">
        <f ca="1">IFERROR(SUMIFS(INDIRECT("'Thanh Toán ("&amp;AC$3&amp;")'!$F:$F"),INDIRECT("'Thanh Toán ("&amp;AC$3&amp;")'!$D:$D"),'Tổng Đơn'!$B21),0)</f>
        <v>0</v>
      </c>
      <c r="AD21" s="2">
        <f ca="1">IFERROR(SUMIFS(INDIRECT("'Thanh Toán ("&amp;AD$3&amp;")'!$F:$F"),INDIRECT("'Thanh Toán ("&amp;AD$3&amp;")'!$D:$D"),'Tổng Đơn'!$B21),0)</f>
        <v>0</v>
      </c>
      <c r="AE21" s="2">
        <f ca="1">IFERROR(SUMIFS(INDIRECT("'Thanh Toán ("&amp;AE$3&amp;")'!$F:$F"),INDIRECT("'Thanh Toán ("&amp;AE$3&amp;")'!$D:$D"),'Tổng Đơn'!$B21),0)</f>
        <v>0</v>
      </c>
      <c r="AF21" s="2">
        <f ca="1">IFERROR(SUMIFS(INDIRECT("'Thanh Toán ("&amp;AF$3&amp;")'!$F:$F"),INDIRECT("'Thanh Toán ("&amp;AF$3&amp;")'!$D:$D"),'Tổng Đơn'!$B21),0)</f>
        <v>0</v>
      </c>
      <c r="AG21" s="2">
        <f ca="1">IFERROR(SUMIFS(INDIRECT("'Thanh Toán ("&amp;AG$3&amp;")'!$F:$F"),INDIRECT("'Thanh Toán ("&amp;AG$3&amp;")'!$D:$D"),'Tổng Đơn'!$B21),0)</f>
        <v>0</v>
      </c>
      <c r="AH21" s="2">
        <f ca="1">IFERROR(SUMIFS(INDIRECT("'Thanh Toán ("&amp;AH$3&amp;")'!$F:$F"),INDIRECT("'Thanh Toán ("&amp;AH$3&amp;")'!$D:$D"),'Tổng Đơn'!$B21),0)</f>
        <v>0</v>
      </c>
      <c r="AI21" s="2">
        <f ca="1">IFERROR(SUMIFS(INDIRECT("'Thanh Toán ("&amp;AI$3&amp;")'!$F:$F"),INDIRECT("'Thanh Toán ("&amp;AI$3&amp;")'!$D:$D"),'Tổng Đơn'!$B21),0)</f>
        <v>0</v>
      </c>
      <c r="AJ21" s="2">
        <f ca="1">IFERROR(SUMIFS(INDIRECT("'Thanh Toán ("&amp;AJ$3&amp;")'!$F:$F"),INDIRECT("'Thanh Toán ("&amp;AJ$3&amp;")'!$D:$D"),'Tổng Đơn'!$B21),0)</f>
        <v>0</v>
      </c>
      <c r="AK21" s="2">
        <f ca="1">IFERROR(SUMIFS(INDIRECT("'Thanh Toán ("&amp;AK$3&amp;")'!$F:$F"),INDIRECT("'Thanh Toán ("&amp;AK$3&amp;")'!$D:$D"),'Tổng Đơn'!$B21),0)</f>
        <v>0</v>
      </c>
      <c r="AL21" s="2">
        <f ca="1">IFERROR(SUMIFS(INDIRECT("'Thanh Toán ("&amp;AL$3&amp;")'!$F:$F"),INDIRECT("'Thanh Toán ("&amp;AL$3&amp;")'!$D:$D"),'Tổng Đơn'!$B21),0)</f>
        <v>0</v>
      </c>
      <c r="AM21" s="2">
        <f ca="1">IFERROR(SUMIFS(INDIRECT("'Thanh Toán ("&amp;AM$3&amp;")'!$F:$F"),INDIRECT("'Thanh Toán ("&amp;AM$3&amp;")'!$D:$D"),'Tổng Đơn'!$B21),0)</f>
        <v>0</v>
      </c>
      <c r="AN21" s="2">
        <f ca="1">IFERROR(SUMIFS(INDIRECT("'Thanh Toán ("&amp;AN$3&amp;")'!$F:$F"),INDIRECT("'Thanh Toán ("&amp;AN$3&amp;")'!$D:$D"),'Tổng Đơn'!$B21),0)</f>
        <v>0</v>
      </c>
      <c r="AO21" s="2">
        <f ca="1">IFERROR(SUMIFS(INDIRECT("'Thanh Toán ("&amp;AO$3&amp;")'!$F:$F"),INDIRECT("'Thanh Toán ("&amp;AO$3&amp;")'!$D:$D"),'Tổng Đơn'!$B21),0)</f>
        <v>0</v>
      </c>
      <c r="AP21" s="2">
        <f ca="1">IFERROR(SUMIFS(INDIRECT("'Thanh Toán ("&amp;AP$3&amp;")'!$F:$F"),INDIRECT("'Thanh Toán ("&amp;AP$3&amp;")'!$D:$D"),'Tổng Đơn'!$B21),0)</f>
        <v>0</v>
      </c>
      <c r="AQ21" s="2">
        <f ca="1">IFERROR(SUMIFS(INDIRECT("'Thanh Toán ("&amp;AQ$3&amp;")'!$F:$F"),INDIRECT("'Thanh Toán ("&amp;AQ$3&amp;")'!$D:$D"),'Tổng Đơn'!$B21),0)</f>
        <v>0</v>
      </c>
      <c r="AR21" s="2">
        <f ca="1">IFERROR(SUMIFS(INDIRECT("'Thanh Toán ("&amp;AR$3&amp;")'!$F:$F"),INDIRECT("'Thanh Toán ("&amp;AR$3&amp;")'!$D:$D"),'Tổng Đơn'!$B21),0)</f>
        <v>0</v>
      </c>
      <c r="AS21" s="2">
        <f ca="1">IFERROR(SUMIFS(INDIRECT("'Thanh Toán ("&amp;AS$3&amp;")'!$F:$F"),INDIRECT("'Thanh Toán ("&amp;AS$3&amp;")'!$D:$D"),'Tổng Đơn'!$B21),0)</f>
        <v>0</v>
      </c>
      <c r="AT21" s="2">
        <f ca="1">IFERROR(SUMIFS(INDIRECT("'Thanh Toán ("&amp;AT$3&amp;")'!$F:$F"),INDIRECT("'Thanh Toán ("&amp;AT$3&amp;")'!$D:$D"),'Tổng Đơn'!$B21),0)</f>
        <v>0</v>
      </c>
      <c r="AU21" s="2">
        <f ca="1">IFERROR(SUMIFS(INDIRECT("'Thanh Toán ("&amp;AU$3&amp;")'!$F:$F"),INDIRECT("'Thanh Toán ("&amp;AU$3&amp;")'!$D:$D"),'Tổng Đơn'!$B21),0)</f>
        <v>0</v>
      </c>
      <c r="AV21" s="2">
        <f ca="1">IFERROR(SUMIFS(INDIRECT("'Thanh Toán ("&amp;AV$3&amp;")'!$F:$F"),INDIRECT("'Thanh Toán ("&amp;AV$3&amp;")'!$D:$D"),'Tổng Đơn'!$B21),0)</f>
        <v>0</v>
      </c>
      <c r="AW21" s="2">
        <f ca="1">IFERROR(SUMIFS(INDIRECT("'Thanh Toán ("&amp;AW$3&amp;")'!$F:$F"),INDIRECT("'Thanh Toán ("&amp;AW$3&amp;")'!$D:$D"),'Tổng Đơn'!$B21),0)</f>
        <v>0</v>
      </c>
      <c r="AX21" s="2">
        <f ca="1">IFERROR(SUMIFS(INDIRECT("'Thanh Toán ("&amp;AX$3&amp;")'!$F:$F"),INDIRECT("'Thanh Toán ("&amp;AX$3&amp;")'!$D:$D"),'Tổng Đơn'!$B21),0)</f>
        <v>0</v>
      </c>
      <c r="AY21" s="2">
        <f ca="1">IFERROR(SUMIFS(INDIRECT("'Thanh Toán ("&amp;AY$3&amp;")'!$F:$F"),INDIRECT("'Thanh Toán ("&amp;AY$3&amp;")'!$D:$D"),'Tổng Đơn'!$B21),0)</f>
        <v>0</v>
      </c>
      <c r="AZ21" s="2">
        <f ca="1">IFERROR(SUMIFS(INDIRECT("'Thanh Toán ("&amp;AZ$3&amp;")'!$F:$F"),INDIRECT("'Thanh Toán ("&amp;AZ$3&amp;")'!$D:$D"),'Tổng Đơn'!$B21),0)</f>
        <v>0</v>
      </c>
      <c r="BA21" s="2">
        <f ca="1">IFERROR(SUMIFS(INDIRECT("'Thanh Toán ("&amp;BA$3&amp;")'!$F:$F"),INDIRECT("'Thanh Toán ("&amp;BA$3&amp;")'!$D:$D"),'Tổng Đơn'!$B21),0)</f>
        <v>0</v>
      </c>
      <c r="BB21" s="2">
        <f ca="1">IFERROR(SUMIFS(INDIRECT("'Thanh Toán ("&amp;BB$3&amp;")'!$F:$F"),INDIRECT("'Thanh Toán ("&amp;BB$3&amp;")'!$D:$D"),'Tổng Đơn'!$B21),0)</f>
        <v>0</v>
      </c>
      <c r="BC21" s="2">
        <f ca="1">IFERROR(SUMIFS(INDIRECT("'Thanh Toán ("&amp;BC$3&amp;")'!$F:$F"),INDIRECT("'Thanh Toán ("&amp;BC$3&amp;")'!$D:$D"),'Tổng Đơn'!$B21),0)</f>
        <v>0</v>
      </c>
    </row>
    <row r="22" spans="1:55" ht="18" customHeight="1" x14ac:dyDescent="0.3">
      <c r="A22" s="167">
        <v>12</v>
      </c>
      <c r="B22" s="161" t="s">
        <v>29</v>
      </c>
      <c r="C22" s="167" t="s">
        <v>58</v>
      </c>
      <c r="D22" s="162">
        <f>VLOOKUP($C22,Sheet1!$C$8:$D$80,2,0)</f>
        <v>45000</v>
      </c>
      <c r="E22" s="163">
        <v>0.5</v>
      </c>
      <c r="F22" s="164">
        <f t="shared" ca="1" si="2"/>
        <v>0</v>
      </c>
      <c r="G22" s="165">
        <f>IFERROR(VLOOKUP($B22,Gà!C:J,8,0),IFERROR(VLOOKUP($B22,TVP!C:J,7,0),IFERROR(VLOOKUP($B22,Kitkool!C:J,8,0),IFERROR(VLOOKUP($B22,'La Cusina'!C:J,8,0),VLOOKUP($B22,'Quốc Nhân'!C:J,8,0)))))</f>
        <v>40.91462800655205</v>
      </c>
      <c r="H22" s="166">
        <f t="shared" ca="1" si="10"/>
        <v>0</v>
      </c>
      <c r="I22" s="186">
        <f t="shared" si="11"/>
        <v>9.985113375083654E-2</v>
      </c>
      <c r="J22" s="166">
        <f t="shared" ca="1" si="12"/>
        <v>0</v>
      </c>
      <c r="K22" s="38"/>
      <c r="L22" s="2">
        <f ca="1">IFERROR(SUMIFS(INDIRECT("'Thanh Toán ("&amp;L$3&amp;")'!$F:$F"),INDIRECT("'Thanh Toán ("&amp;L$3&amp;")'!$D:$D"),'Tổng Đơn'!$B22),0)</f>
        <v>0</v>
      </c>
      <c r="M22" s="2">
        <f ca="1">IFERROR(SUMIFS(INDIRECT("'Thanh Toán ("&amp;M$3&amp;")'!$F:$F"),INDIRECT("'Thanh Toán ("&amp;M$3&amp;")'!$D:$D"),'Tổng Đơn'!$B22),0)</f>
        <v>0</v>
      </c>
      <c r="N22" s="2">
        <f ca="1">IFERROR(SUMIFS(INDIRECT("'Thanh Toán ("&amp;N$3&amp;")'!$F:$F"),INDIRECT("'Thanh Toán ("&amp;N$3&amp;")'!$D:$D"),'Tổng Đơn'!$B22),0)</f>
        <v>0</v>
      </c>
      <c r="O22" s="2">
        <f ca="1">IFERROR(SUMIFS(INDIRECT("'Thanh Toán ("&amp;O$3&amp;")'!$F:$F"),INDIRECT("'Thanh Toán ("&amp;O$3&amp;")'!$D:$D"),'Tổng Đơn'!$B22),0)</f>
        <v>0</v>
      </c>
      <c r="P22" s="2">
        <f ca="1">IFERROR(SUMIFS(INDIRECT("'Thanh Toán ("&amp;P$3&amp;")'!$F:$F"),INDIRECT("'Thanh Toán ("&amp;P$3&amp;")'!$D:$D"),'Tổng Đơn'!$B22),0)</f>
        <v>0</v>
      </c>
      <c r="Q22" s="2">
        <f ca="1">IFERROR(SUMIFS(INDIRECT("'Thanh Toán ("&amp;Q$3&amp;")'!$F:$F"),INDIRECT("'Thanh Toán ("&amp;Q$3&amp;")'!$D:$D"),'Tổng Đơn'!$B22),0)</f>
        <v>0</v>
      </c>
      <c r="R22" s="2">
        <f ca="1">IFERROR(SUMIFS(INDIRECT("'Thanh Toán ("&amp;R$3&amp;")'!$F:$F"),INDIRECT("'Thanh Toán ("&amp;R$3&amp;")'!$D:$D"),'Tổng Đơn'!$B22),0)</f>
        <v>0</v>
      </c>
      <c r="S22" s="2">
        <f ca="1">IFERROR(SUMIFS(INDIRECT("'Thanh Toán ("&amp;S$3&amp;")'!$F:$F"),INDIRECT("'Thanh Toán ("&amp;S$3&amp;")'!$D:$D"),'Tổng Đơn'!$B22),0)</f>
        <v>0</v>
      </c>
      <c r="T22" s="2">
        <f ca="1">IFERROR(SUMIFS(INDIRECT("'Thanh Toán ("&amp;T$3&amp;")'!$F:$F"),INDIRECT("'Thanh Toán ("&amp;T$3&amp;")'!$D:$D"),'Tổng Đơn'!$B22),0)</f>
        <v>0</v>
      </c>
      <c r="U22" s="2">
        <f ca="1">IFERROR(SUMIFS(INDIRECT("'Thanh Toán ("&amp;U$3&amp;")'!$F:$F"),INDIRECT("'Thanh Toán ("&amp;U$3&amp;")'!$D:$D"),'Tổng Đơn'!$B22),0)</f>
        <v>0</v>
      </c>
      <c r="V22" s="2">
        <f ca="1">IFERROR(SUMIFS(INDIRECT("'Thanh Toán ("&amp;V$3&amp;")'!$F:$F"),INDIRECT("'Thanh Toán ("&amp;V$3&amp;")'!$D:$D"),'Tổng Đơn'!$B22),0)</f>
        <v>0</v>
      </c>
      <c r="W22" s="2">
        <f ca="1">IFERROR(SUMIFS(INDIRECT("'Thanh Toán ("&amp;W$3&amp;")'!$F:$F"),INDIRECT("'Thanh Toán ("&amp;W$3&amp;")'!$D:$D"),'Tổng Đơn'!$B22),0)</f>
        <v>0</v>
      </c>
      <c r="X22" s="2">
        <f ca="1">IFERROR(SUMIFS(INDIRECT("'Thanh Toán ("&amp;X$3&amp;")'!$F:$F"),INDIRECT("'Thanh Toán ("&amp;X$3&amp;")'!$D:$D"),'Tổng Đơn'!$B22),0)</f>
        <v>0</v>
      </c>
      <c r="Y22" s="2">
        <f ca="1">IFERROR(SUMIFS(INDIRECT("'Thanh Toán ("&amp;Y$3&amp;")'!$F:$F"),INDIRECT("'Thanh Toán ("&amp;Y$3&amp;")'!$D:$D"),'Tổng Đơn'!$B22),0)</f>
        <v>0</v>
      </c>
      <c r="Z22" s="2">
        <f ca="1">IFERROR(SUMIFS(INDIRECT("'Thanh Toán ("&amp;Z$3&amp;")'!$F:$F"),INDIRECT("'Thanh Toán ("&amp;Z$3&amp;")'!$D:$D"),'Tổng Đơn'!$B22),0)</f>
        <v>0</v>
      </c>
      <c r="AA22" s="2">
        <f ca="1">IFERROR(SUMIFS(INDIRECT("'Thanh Toán ("&amp;AA$3&amp;")'!$F:$F"),INDIRECT("'Thanh Toán ("&amp;AA$3&amp;")'!$D:$D"),'Tổng Đơn'!$B22),0)</f>
        <v>0</v>
      </c>
      <c r="AB22" s="2">
        <f ca="1">IFERROR(SUMIFS(INDIRECT("'Thanh Toán ("&amp;AB$3&amp;")'!$F:$F"),INDIRECT("'Thanh Toán ("&amp;AB$3&amp;")'!$D:$D"),'Tổng Đơn'!$B22),0)</f>
        <v>0</v>
      </c>
      <c r="AC22" s="2">
        <f ca="1">IFERROR(SUMIFS(INDIRECT("'Thanh Toán ("&amp;AC$3&amp;")'!$F:$F"),INDIRECT("'Thanh Toán ("&amp;AC$3&amp;")'!$D:$D"),'Tổng Đơn'!$B22),0)</f>
        <v>0</v>
      </c>
      <c r="AD22" s="2">
        <f ca="1">IFERROR(SUMIFS(INDIRECT("'Thanh Toán ("&amp;AD$3&amp;")'!$F:$F"),INDIRECT("'Thanh Toán ("&amp;AD$3&amp;")'!$D:$D"),'Tổng Đơn'!$B22),0)</f>
        <v>0</v>
      </c>
      <c r="AE22" s="2">
        <f ca="1">IFERROR(SUMIFS(INDIRECT("'Thanh Toán ("&amp;AE$3&amp;")'!$F:$F"),INDIRECT("'Thanh Toán ("&amp;AE$3&amp;")'!$D:$D"),'Tổng Đơn'!$B22),0)</f>
        <v>0</v>
      </c>
      <c r="AF22" s="2">
        <f ca="1">IFERROR(SUMIFS(INDIRECT("'Thanh Toán ("&amp;AF$3&amp;")'!$F:$F"),INDIRECT("'Thanh Toán ("&amp;AF$3&amp;")'!$D:$D"),'Tổng Đơn'!$B22),0)</f>
        <v>0</v>
      </c>
      <c r="AG22" s="2">
        <f ca="1">IFERROR(SUMIFS(INDIRECT("'Thanh Toán ("&amp;AG$3&amp;")'!$F:$F"),INDIRECT("'Thanh Toán ("&amp;AG$3&amp;")'!$D:$D"),'Tổng Đơn'!$B22),0)</f>
        <v>0</v>
      </c>
      <c r="AH22" s="2">
        <f ca="1">IFERROR(SUMIFS(INDIRECT("'Thanh Toán ("&amp;AH$3&amp;")'!$F:$F"),INDIRECT("'Thanh Toán ("&amp;AH$3&amp;")'!$D:$D"),'Tổng Đơn'!$B22),0)</f>
        <v>0</v>
      </c>
      <c r="AI22" s="2">
        <f ca="1">IFERROR(SUMIFS(INDIRECT("'Thanh Toán ("&amp;AI$3&amp;")'!$F:$F"),INDIRECT("'Thanh Toán ("&amp;AI$3&amp;")'!$D:$D"),'Tổng Đơn'!$B22),0)</f>
        <v>0</v>
      </c>
      <c r="AJ22" s="2">
        <f ca="1">IFERROR(SUMIFS(INDIRECT("'Thanh Toán ("&amp;AJ$3&amp;")'!$F:$F"),INDIRECT("'Thanh Toán ("&amp;AJ$3&amp;")'!$D:$D"),'Tổng Đơn'!$B22),0)</f>
        <v>0</v>
      </c>
      <c r="AK22" s="2">
        <f ca="1">IFERROR(SUMIFS(INDIRECT("'Thanh Toán ("&amp;AK$3&amp;")'!$F:$F"),INDIRECT("'Thanh Toán ("&amp;AK$3&amp;")'!$D:$D"),'Tổng Đơn'!$B22),0)</f>
        <v>0</v>
      </c>
      <c r="AL22" s="2">
        <f ca="1">IFERROR(SUMIFS(INDIRECT("'Thanh Toán ("&amp;AL$3&amp;")'!$F:$F"),INDIRECT("'Thanh Toán ("&amp;AL$3&amp;")'!$D:$D"),'Tổng Đơn'!$B22),0)</f>
        <v>0</v>
      </c>
      <c r="AM22" s="2">
        <f ca="1">IFERROR(SUMIFS(INDIRECT("'Thanh Toán ("&amp;AM$3&amp;")'!$F:$F"),INDIRECT("'Thanh Toán ("&amp;AM$3&amp;")'!$D:$D"),'Tổng Đơn'!$B22),0)</f>
        <v>0</v>
      </c>
      <c r="AN22" s="2">
        <f ca="1">IFERROR(SUMIFS(INDIRECT("'Thanh Toán ("&amp;AN$3&amp;")'!$F:$F"),INDIRECT("'Thanh Toán ("&amp;AN$3&amp;")'!$D:$D"),'Tổng Đơn'!$B22),0)</f>
        <v>0</v>
      </c>
      <c r="AO22" s="2">
        <f ca="1">IFERROR(SUMIFS(INDIRECT("'Thanh Toán ("&amp;AO$3&amp;")'!$F:$F"),INDIRECT("'Thanh Toán ("&amp;AO$3&amp;")'!$D:$D"),'Tổng Đơn'!$B22),0)</f>
        <v>0</v>
      </c>
      <c r="AP22" s="2">
        <f ca="1">IFERROR(SUMIFS(INDIRECT("'Thanh Toán ("&amp;AP$3&amp;")'!$F:$F"),INDIRECT("'Thanh Toán ("&amp;AP$3&amp;")'!$D:$D"),'Tổng Đơn'!$B22),0)</f>
        <v>0</v>
      </c>
      <c r="AQ22" s="2">
        <f ca="1">IFERROR(SUMIFS(INDIRECT("'Thanh Toán ("&amp;AQ$3&amp;")'!$F:$F"),INDIRECT("'Thanh Toán ("&amp;AQ$3&amp;")'!$D:$D"),'Tổng Đơn'!$B22),0)</f>
        <v>0</v>
      </c>
      <c r="AR22" s="2">
        <f ca="1">IFERROR(SUMIFS(INDIRECT("'Thanh Toán ("&amp;AR$3&amp;")'!$F:$F"),INDIRECT("'Thanh Toán ("&amp;AR$3&amp;")'!$D:$D"),'Tổng Đơn'!$B22),0)</f>
        <v>0</v>
      </c>
      <c r="AS22" s="2">
        <f ca="1">IFERROR(SUMIFS(INDIRECT("'Thanh Toán ("&amp;AS$3&amp;")'!$F:$F"),INDIRECT("'Thanh Toán ("&amp;AS$3&amp;")'!$D:$D"),'Tổng Đơn'!$B22),0)</f>
        <v>0</v>
      </c>
      <c r="AT22" s="2">
        <f ca="1">IFERROR(SUMIFS(INDIRECT("'Thanh Toán ("&amp;AT$3&amp;")'!$F:$F"),INDIRECT("'Thanh Toán ("&amp;AT$3&amp;")'!$D:$D"),'Tổng Đơn'!$B22),0)</f>
        <v>0</v>
      </c>
      <c r="AU22" s="2">
        <f ca="1">IFERROR(SUMIFS(INDIRECT("'Thanh Toán ("&amp;AU$3&amp;")'!$F:$F"),INDIRECT("'Thanh Toán ("&amp;AU$3&amp;")'!$D:$D"),'Tổng Đơn'!$B22),0)</f>
        <v>0</v>
      </c>
      <c r="AV22" s="2">
        <f ca="1">IFERROR(SUMIFS(INDIRECT("'Thanh Toán ("&amp;AV$3&amp;")'!$F:$F"),INDIRECT("'Thanh Toán ("&amp;AV$3&amp;")'!$D:$D"),'Tổng Đơn'!$B22),0)</f>
        <v>0</v>
      </c>
      <c r="AW22" s="2">
        <f ca="1">IFERROR(SUMIFS(INDIRECT("'Thanh Toán ("&amp;AW$3&amp;")'!$F:$F"),INDIRECT("'Thanh Toán ("&amp;AW$3&amp;")'!$D:$D"),'Tổng Đơn'!$B22),0)</f>
        <v>0</v>
      </c>
      <c r="AX22" s="2">
        <f ca="1">IFERROR(SUMIFS(INDIRECT("'Thanh Toán ("&amp;AX$3&amp;")'!$F:$F"),INDIRECT("'Thanh Toán ("&amp;AX$3&amp;")'!$D:$D"),'Tổng Đơn'!$B22),0)</f>
        <v>0</v>
      </c>
      <c r="AY22" s="2">
        <f ca="1">IFERROR(SUMIFS(INDIRECT("'Thanh Toán ("&amp;AY$3&amp;")'!$F:$F"),INDIRECT("'Thanh Toán ("&amp;AY$3&amp;")'!$D:$D"),'Tổng Đơn'!$B22),0)</f>
        <v>0</v>
      </c>
      <c r="AZ22" s="2">
        <f ca="1">IFERROR(SUMIFS(INDIRECT("'Thanh Toán ("&amp;AZ$3&amp;")'!$F:$F"),INDIRECT("'Thanh Toán ("&amp;AZ$3&amp;")'!$D:$D"),'Tổng Đơn'!$B22),0)</f>
        <v>0</v>
      </c>
      <c r="BA22" s="2">
        <f ca="1">IFERROR(SUMIFS(INDIRECT("'Thanh Toán ("&amp;BA$3&amp;")'!$F:$F"),INDIRECT("'Thanh Toán ("&amp;BA$3&amp;")'!$D:$D"),'Tổng Đơn'!$B22),0)</f>
        <v>0</v>
      </c>
      <c r="BB22" s="2">
        <f ca="1">IFERROR(SUMIFS(INDIRECT("'Thanh Toán ("&amp;BB$3&amp;")'!$F:$F"),INDIRECT("'Thanh Toán ("&amp;BB$3&amp;")'!$D:$D"),'Tổng Đơn'!$B22),0)</f>
        <v>0</v>
      </c>
      <c r="BC22" s="2">
        <f ca="1">IFERROR(SUMIFS(INDIRECT("'Thanh Toán ("&amp;BC$3&amp;")'!$F:$F"),INDIRECT("'Thanh Toán ("&amp;BC$3&amp;")'!$D:$D"),'Tổng Đơn'!$B22),0)</f>
        <v>0</v>
      </c>
    </row>
    <row r="23" spans="1:55" ht="18" customHeight="1" x14ac:dyDescent="0.3">
      <c r="A23" s="160">
        <v>13</v>
      </c>
      <c r="B23" s="161" t="s">
        <v>5</v>
      </c>
      <c r="C23" s="160" t="s">
        <v>59</v>
      </c>
      <c r="D23" s="162">
        <f>VLOOKUP($C23,Sheet1!$C$8:$D$80,2,0)</f>
        <v>40000</v>
      </c>
      <c r="E23" s="163">
        <v>0.5</v>
      </c>
      <c r="F23" s="164">
        <f t="shared" ca="1" si="2"/>
        <v>10</v>
      </c>
      <c r="G23" s="165">
        <f>IFERROR(VLOOKUP($B23,Gà!C:J,8,0),IFERROR(VLOOKUP($B23,TVP!C:J,7,0),IFERROR(VLOOKUP($B23,Kitkool!C:J,8,0),IFERROR(VLOOKUP($B23,'La Cusina'!C:J,8,0),VLOOKUP($B23,'Quốc Nhân'!C:J,8,0)))))</f>
        <v>34.882307118049923</v>
      </c>
      <c r="H23" s="166">
        <f t="shared" ca="1" si="10"/>
        <v>51176.928819500754</v>
      </c>
      <c r="I23" s="186">
        <f t="shared" si="11"/>
        <v>0.14671314212762931</v>
      </c>
      <c r="J23" s="166">
        <f t="shared" ca="1" si="12"/>
        <v>348823.07118049928</v>
      </c>
      <c r="K23" s="38"/>
      <c r="L23" s="2">
        <f ca="1">IFERROR(SUMIFS(INDIRECT("'Thanh Toán ("&amp;L$3&amp;")'!$F:$F"),INDIRECT("'Thanh Toán ("&amp;L$3&amp;")'!$D:$D"),'Tổng Đơn'!$B23),0)</f>
        <v>0</v>
      </c>
      <c r="M23" s="2">
        <f ca="1">IFERROR(SUMIFS(INDIRECT("'Thanh Toán ("&amp;M$3&amp;")'!$F:$F"),INDIRECT("'Thanh Toán ("&amp;M$3&amp;")'!$D:$D"),'Tổng Đơn'!$B23),0)</f>
        <v>0</v>
      </c>
      <c r="N23" s="2">
        <f ca="1">IFERROR(SUMIFS(INDIRECT("'Thanh Toán ("&amp;N$3&amp;")'!$F:$F"),INDIRECT("'Thanh Toán ("&amp;N$3&amp;")'!$D:$D"),'Tổng Đơn'!$B23),0)</f>
        <v>0</v>
      </c>
      <c r="O23" s="2">
        <f ca="1">IFERROR(SUMIFS(INDIRECT("'Thanh Toán ("&amp;O$3&amp;")'!$F:$F"),INDIRECT("'Thanh Toán ("&amp;O$3&amp;")'!$D:$D"),'Tổng Đơn'!$B23),0)</f>
        <v>0</v>
      </c>
      <c r="P23" s="2">
        <f ca="1">IFERROR(SUMIFS(INDIRECT("'Thanh Toán ("&amp;P$3&amp;")'!$F:$F"),INDIRECT("'Thanh Toán ("&amp;P$3&amp;")'!$D:$D"),'Tổng Đơn'!$B23),0)</f>
        <v>0</v>
      </c>
      <c r="Q23" s="2">
        <f ca="1">IFERROR(SUMIFS(INDIRECT("'Thanh Toán ("&amp;Q$3&amp;")'!$F:$F"),INDIRECT("'Thanh Toán ("&amp;Q$3&amp;")'!$D:$D"),'Tổng Đơn'!$B23),0)</f>
        <v>0</v>
      </c>
      <c r="R23" s="2">
        <f ca="1">IFERROR(SUMIFS(INDIRECT("'Thanh Toán ("&amp;R$3&amp;")'!$F:$F"),INDIRECT("'Thanh Toán ("&amp;R$3&amp;")'!$D:$D"),'Tổng Đơn'!$B23),0)</f>
        <v>0</v>
      </c>
      <c r="S23" s="2">
        <f ca="1">IFERROR(SUMIFS(INDIRECT("'Thanh Toán ("&amp;S$3&amp;")'!$F:$F"),INDIRECT("'Thanh Toán ("&amp;S$3&amp;")'!$D:$D"),'Tổng Đơn'!$B23),0)</f>
        <v>0</v>
      </c>
      <c r="T23" s="2">
        <f ca="1">IFERROR(SUMIFS(INDIRECT("'Thanh Toán ("&amp;T$3&amp;")'!$F:$F"),INDIRECT("'Thanh Toán ("&amp;T$3&amp;")'!$D:$D"),'Tổng Đơn'!$B23),0)</f>
        <v>0</v>
      </c>
      <c r="U23" s="2">
        <f ca="1">IFERROR(SUMIFS(INDIRECT("'Thanh Toán ("&amp;U$3&amp;")'!$F:$F"),INDIRECT("'Thanh Toán ("&amp;U$3&amp;")'!$D:$D"),'Tổng Đơn'!$B23),0)</f>
        <v>0</v>
      </c>
      <c r="V23" s="2">
        <f ca="1">IFERROR(SUMIFS(INDIRECT("'Thanh Toán ("&amp;V$3&amp;")'!$F:$F"),INDIRECT("'Thanh Toán ("&amp;V$3&amp;")'!$D:$D"),'Tổng Đơn'!$B23),0)</f>
        <v>0</v>
      </c>
      <c r="W23" s="2">
        <f ca="1">IFERROR(SUMIFS(INDIRECT("'Thanh Toán ("&amp;W$3&amp;")'!$F:$F"),INDIRECT("'Thanh Toán ("&amp;W$3&amp;")'!$D:$D"),'Tổng Đơn'!$B23),0)</f>
        <v>0</v>
      </c>
      <c r="X23" s="2">
        <f ca="1">IFERROR(SUMIFS(INDIRECT("'Thanh Toán ("&amp;X$3&amp;")'!$F:$F"),INDIRECT("'Thanh Toán ("&amp;X$3&amp;")'!$D:$D"),'Tổng Đơn'!$B23),0)</f>
        <v>0</v>
      </c>
      <c r="Y23" s="2">
        <f ca="1">IFERROR(SUMIFS(INDIRECT("'Thanh Toán ("&amp;Y$3&amp;")'!$F:$F"),INDIRECT("'Thanh Toán ("&amp;Y$3&amp;")'!$D:$D"),'Tổng Đơn'!$B23),0)</f>
        <v>0</v>
      </c>
      <c r="Z23" s="2">
        <f ca="1">IFERROR(SUMIFS(INDIRECT("'Thanh Toán ("&amp;Z$3&amp;")'!$F:$F"),INDIRECT("'Thanh Toán ("&amp;Z$3&amp;")'!$D:$D"),'Tổng Đơn'!$B23),0)</f>
        <v>0</v>
      </c>
      <c r="AA23" s="2">
        <f ca="1">IFERROR(SUMIFS(INDIRECT("'Thanh Toán ("&amp;AA$3&amp;")'!$F:$F"),INDIRECT("'Thanh Toán ("&amp;AA$3&amp;")'!$D:$D"),'Tổng Đơn'!$B23),0)</f>
        <v>0</v>
      </c>
      <c r="AB23" s="2">
        <f ca="1">IFERROR(SUMIFS(INDIRECT("'Thanh Toán ("&amp;AB$3&amp;")'!$F:$F"),INDIRECT("'Thanh Toán ("&amp;AB$3&amp;")'!$D:$D"),'Tổng Đơn'!$B23),0)</f>
        <v>0</v>
      </c>
      <c r="AC23" s="2">
        <f ca="1">IFERROR(SUMIFS(INDIRECT("'Thanh Toán ("&amp;AC$3&amp;")'!$F:$F"),INDIRECT("'Thanh Toán ("&amp;AC$3&amp;")'!$D:$D"),'Tổng Đơn'!$B23),0)</f>
        <v>0</v>
      </c>
      <c r="AD23" s="2">
        <f ca="1">IFERROR(SUMIFS(INDIRECT("'Thanh Toán ("&amp;AD$3&amp;")'!$F:$F"),INDIRECT("'Thanh Toán ("&amp;AD$3&amp;")'!$D:$D"),'Tổng Đơn'!$B23),0)</f>
        <v>0</v>
      </c>
      <c r="AE23" s="2">
        <f ca="1">IFERROR(SUMIFS(INDIRECT("'Thanh Toán ("&amp;AE$3&amp;")'!$F:$F"),INDIRECT("'Thanh Toán ("&amp;AE$3&amp;")'!$D:$D"),'Tổng Đơn'!$B23),0)</f>
        <v>10</v>
      </c>
      <c r="AF23" s="2">
        <f ca="1">IFERROR(SUMIFS(INDIRECT("'Thanh Toán ("&amp;AF$3&amp;")'!$F:$F"),INDIRECT("'Thanh Toán ("&amp;AF$3&amp;")'!$D:$D"),'Tổng Đơn'!$B23),0)</f>
        <v>0</v>
      </c>
      <c r="AG23" s="2">
        <f ca="1">IFERROR(SUMIFS(INDIRECT("'Thanh Toán ("&amp;AG$3&amp;")'!$F:$F"),INDIRECT("'Thanh Toán ("&amp;AG$3&amp;")'!$D:$D"),'Tổng Đơn'!$B23),0)</f>
        <v>0</v>
      </c>
      <c r="AH23" s="2">
        <f ca="1">IFERROR(SUMIFS(INDIRECT("'Thanh Toán ("&amp;AH$3&amp;")'!$F:$F"),INDIRECT("'Thanh Toán ("&amp;AH$3&amp;")'!$D:$D"),'Tổng Đơn'!$B23),0)</f>
        <v>0</v>
      </c>
      <c r="AI23" s="2">
        <f ca="1">IFERROR(SUMIFS(INDIRECT("'Thanh Toán ("&amp;AI$3&amp;")'!$F:$F"),INDIRECT("'Thanh Toán ("&amp;AI$3&amp;")'!$D:$D"),'Tổng Đơn'!$B23),0)</f>
        <v>0</v>
      </c>
      <c r="AJ23" s="2">
        <f ca="1">IFERROR(SUMIFS(INDIRECT("'Thanh Toán ("&amp;AJ$3&amp;")'!$F:$F"),INDIRECT("'Thanh Toán ("&amp;AJ$3&amp;")'!$D:$D"),'Tổng Đơn'!$B23),0)</f>
        <v>0</v>
      </c>
      <c r="AK23" s="2">
        <f ca="1">IFERROR(SUMIFS(INDIRECT("'Thanh Toán ("&amp;AK$3&amp;")'!$F:$F"),INDIRECT("'Thanh Toán ("&amp;AK$3&amp;")'!$D:$D"),'Tổng Đơn'!$B23),0)</f>
        <v>0</v>
      </c>
      <c r="AL23" s="2">
        <f ca="1">IFERROR(SUMIFS(INDIRECT("'Thanh Toán ("&amp;AL$3&amp;")'!$F:$F"),INDIRECT("'Thanh Toán ("&amp;AL$3&amp;")'!$D:$D"),'Tổng Đơn'!$B23),0)</f>
        <v>0</v>
      </c>
      <c r="AM23" s="2">
        <f ca="1">IFERROR(SUMIFS(INDIRECT("'Thanh Toán ("&amp;AM$3&amp;")'!$F:$F"),INDIRECT("'Thanh Toán ("&amp;AM$3&amp;")'!$D:$D"),'Tổng Đơn'!$B23),0)</f>
        <v>0</v>
      </c>
      <c r="AN23" s="2">
        <f ca="1">IFERROR(SUMIFS(INDIRECT("'Thanh Toán ("&amp;AN$3&amp;")'!$F:$F"),INDIRECT("'Thanh Toán ("&amp;AN$3&amp;")'!$D:$D"),'Tổng Đơn'!$B23),0)</f>
        <v>0</v>
      </c>
      <c r="AO23" s="2">
        <f ca="1">IFERROR(SUMIFS(INDIRECT("'Thanh Toán ("&amp;AO$3&amp;")'!$F:$F"),INDIRECT("'Thanh Toán ("&amp;AO$3&amp;")'!$D:$D"),'Tổng Đơn'!$B23),0)</f>
        <v>0</v>
      </c>
      <c r="AP23" s="2">
        <f ca="1">IFERROR(SUMIFS(INDIRECT("'Thanh Toán ("&amp;AP$3&amp;")'!$F:$F"),INDIRECT("'Thanh Toán ("&amp;AP$3&amp;")'!$D:$D"),'Tổng Đơn'!$B23),0)</f>
        <v>0</v>
      </c>
      <c r="AQ23" s="2">
        <f ca="1">IFERROR(SUMIFS(INDIRECT("'Thanh Toán ("&amp;AQ$3&amp;")'!$F:$F"),INDIRECT("'Thanh Toán ("&amp;AQ$3&amp;")'!$D:$D"),'Tổng Đơn'!$B23),0)</f>
        <v>0</v>
      </c>
      <c r="AR23" s="2">
        <f ca="1">IFERROR(SUMIFS(INDIRECT("'Thanh Toán ("&amp;AR$3&amp;")'!$F:$F"),INDIRECT("'Thanh Toán ("&amp;AR$3&amp;")'!$D:$D"),'Tổng Đơn'!$B23),0)</f>
        <v>0</v>
      </c>
      <c r="AS23" s="2">
        <f ca="1">IFERROR(SUMIFS(INDIRECT("'Thanh Toán ("&amp;AS$3&amp;")'!$F:$F"),INDIRECT("'Thanh Toán ("&amp;AS$3&amp;")'!$D:$D"),'Tổng Đơn'!$B23),0)</f>
        <v>0</v>
      </c>
      <c r="AT23" s="2">
        <f ca="1">IFERROR(SUMIFS(INDIRECT("'Thanh Toán ("&amp;AT$3&amp;")'!$F:$F"),INDIRECT("'Thanh Toán ("&amp;AT$3&amp;")'!$D:$D"),'Tổng Đơn'!$B23),0)</f>
        <v>0</v>
      </c>
      <c r="AU23" s="2">
        <f ca="1">IFERROR(SUMIFS(INDIRECT("'Thanh Toán ("&amp;AU$3&amp;")'!$F:$F"),INDIRECT("'Thanh Toán ("&amp;AU$3&amp;")'!$D:$D"),'Tổng Đơn'!$B23),0)</f>
        <v>0</v>
      </c>
      <c r="AV23" s="2">
        <f ca="1">IFERROR(SUMIFS(INDIRECT("'Thanh Toán ("&amp;AV$3&amp;")'!$F:$F"),INDIRECT("'Thanh Toán ("&amp;AV$3&amp;")'!$D:$D"),'Tổng Đơn'!$B23),0)</f>
        <v>0</v>
      </c>
      <c r="AW23" s="2">
        <f ca="1">IFERROR(SUMIFS(INDIRECT("'Thanh Toán ("&amp;AW$3&amp;")'!$F:$F"),INDIRECT("'Thanh Toán ("&amp;AW$3&amp;")'!$D:$D"),'Tổng Đơn'!$B23),0)</f>
        <v>0</v>
      </c>
      <c r="AX23" s="2">
        <f ca="1">IFERROR(SUMIFS(INDIRECT("'Thanh Toán ("&amp;AX$3&amp;")'!$F:$F"),INDIRECT("'Thanh Toán ("&amp;AX$3&amp;")'!$D:$D"),'Tổng Đơn'!$B23),0)</f>
        <v>0</v>
      </c>
      <c r="AY23" s="2">
        <f ca="1">IFERROR(SUMIFS(INDIRECT("'Thanh Toán ("&amp;AY$3&amp;")'!$F:$F"),INDIRECT("'Thanh Toán ("&amp;AY$3&amp;")'!$D:$D"),'Tổng Đơn'!$B23),0)</f>
        <v>0</v>
      </c>
      <c r="AZ23" s="2">
        <f ca="1">IFERROR(SUMIFS(INDIRECT("'Thanh Toán ("&amp;AZ$3&amp;")'!$F:$F"),INDIRECT("'Thanh Toán ("&amp;AZ$3&amp;")'!$D:$D"),'Tổng Đơn'!$B23),0)</f>
        <v>0</v>
      </c>
      <c r="BA23" s="2">
        <f ca="1">IFERROR(SUMIFS(INDIRECT("'Thanh Toán ("&amp;BA$3&amp;")'!$F:$F"),INDIRECT("'Thanh Toán ("&amp;BA$3&amp;")'!$D:$D"),'Tổng Đơn'!$B23),0)</f>
        <v>0</v>
      </c>
      <c r="BB23" s="2">
        <f ca="1">IFERROR(SUMIFS(INDIRECT("'Thanh Toán ("&amp;BB$3&amp;")'!$F:$F"),INDIRECT("'Thanh Toán ("&amp;BB$3&amp;")'!$D:$D"),'Tổng Đơn'!$B23),0)</f>
        <v>0</v>
      </c>
      <c r="BC23" s="2">
        <f ca="1">IFERROR(SUMIFS(INDIRECT("'Thanh Toán ("&amp;BC$3&amp;")'!$F:$F"),INDIRECT("'Thanh Toán ("&amp;BC$3&amp;")'!$D:$D"),'Tổng Đơn'!$B23),0)</f>
        <v>0</v>
      </c>
    </row>
    <row r="24" spans="1:55" ht="18" customHeight="1" x14ac:dyDescent="0.3">
      <c r="A24" s="167">
        <v>14</v>
      </c>
      <c r="B24" s="161" t="s">
        <v>4</v>
      </c>
      <c r="C24" s="167" t="s">
        <v>60</v>
      </c>
      <c r="D24" s="162">
        <f>VLOOKUP($C24,Sheet1!$C$8:$D$80,2,0)</f>
        <v>40000</v>
      </c>
      <c r="E24" s="163">
        <v>0.5</v>
      </c>
      <c r="F24" s="164">
        <f t="shared" ca="1" si="2"/>
        <v>3</v>
      </c>
      <c r="G24" s="165">
        <f>IFERROR(VLOOKUP($B24,Gà!C:J,8,0),IFERROR(VLOOKUP($B24,TVP!C:J,7,0),IFERROR(VLOOKUP($B24,Kitkool!C:J,8,0),IFERROR(VLOOKUP($B24,'La Cusina'!C:J,8,0),VLOOKUP($B24,'Quốc Nhân'!C:J,8,0)))))</f>
        <v>30.778506280632282</v>
      </c>
      <c r="H24" s="166">
        <f t="shared" ca="1" si="10"/>
        <v>27664.481158103154</v>
      </c>
      <c r="I24" s="186">
        <f t="shared" si="11"/>
        <v>0.29960822774464679</v>
      </c>
      <c r="J24" s="166">
        <f t="shared" ca="1" si="12"/>
        <v>92335.518841896846</v>
      </c>
      <c r="K24" s="38"/>
      <c r="L24" s="2">
        <f ca="1">IFERROR(SUMIFS(INDIRECT("'Thanh Toán ("&amp;L$3&amp;")'!$F:$F"),INDIRECT("'Thanh Toán ("&amp;L$3&amp;")'!$D:$D"),'Tổng Đơn'!$B24),0)</f>
        <v>0</v>
      </c>
      <c r="M24" s="2">
        <f ca="1">IFERROR(SUMIFS(INDIRECT("'Thanh Toán ("&amp;M$3&amp;")'!$F:$F"),INDIRECT("'Thanh Toán ("&amp;M$3&amp;")'!$D:$D"),'Tổng Đơn'!$B24),0)</f>
        <v>0</v>
      </c>
      <c r="N24" s="2">
        <f ca="1">IFERROR(SUMIFS(INDIRECT("'Thanh Toán ("&amp;N$3&amp;")'!$F:$F"),INDIRECT("'Thanh Toán ("&amp;N$3&amp;")'!$D:$D"),'Tổng Đơn'!$B24),0)</f>
        <v>0</v>
      </c>
      <c r="O24" s="2">
        <f ca="1">IFERROR(SUMIFS(INDIRECT("'Thanh Toán ("&amp;O$3&amp;")'!$F:$F"),INDIRECT("'Thanh Toán ("&amp;O$3&amp;")'!$D:$D"),'Tổng Đơn'!$B24),0)</f>
        <v>0</v>
      </c>
      <c r="P24" s="2">
        <f ca="1">IFERROR(SUMIFS(INDIRECT("'Thanh Toán ("&amp;P$3&amp;")'!$F:$F"),INDIRECT("'Thanh Toán ("&amp;P$3&amp;")'!$D:$D"),'Tổng Đơn'!$B24),0)</f>
        <v>0</v>
      </c>
      <c r="Q24" s="2">
        <f ca="1">IFERROR(SUMIFS(INDIRECT("'Thanh Toán ("&amp;Q$3&amp;")'!$F:$F"),INDIRECT("'Thanh Toán ("&amp;Q$3&amp;")'!$D:$D"),'Tổng Đơn'!$B24),0)</f>
        <v>0</v>
      </c>
      <c r="R24" s="2">
        <f ca="1">IFERROR(SUMIFS(INDIRECT("'Thanh Toán ("&amp;R$3&amp;")'!$F:$F"),INDIRECT("'Thanh Toán ("&amp;R$3&amp;")'!$D:$D"),'Tổng Đơn'!$B24),0)</f>
        <v>0</v>
      </c>
      <c r="S24" s="2">
        <f ca="1">IFERROR(SUMIFS(INDIRECT("'Thanh Toán ("&amp;S$3&amp;")'!$F:$F"),INDIRECT("'Thanh Toán ("&amp;S$3&amp;")'!$D:$D"),'Tổng Đơn'!$B24),0)</f>
        <v>0</v>
      </c>
      <c r="T24" s="2">
        <f ca="1">IFERROR(SUMIFS(INDIRECT("'Thanh Toán ("&amp;T$3&amp;")'!$F:$F"),INDIRECT("'Thanh Toán ("&amp;T$3&amp;")'!$D:$D"),'Tổng Đơn'!$B24),0)</f>
        <v>0</v>
      </c>
      <c r="U24" s="2">
        <f ca="1">IFERROR(SUMIFS(INDIRECT("'Thanh Toán ("&amp;U$3&amp;")'!$F:$F"),INDIRECT("'Thanh Toán ("&amp;U$3&amp;")'!$D:$D"),'Tổng Đơn'!$B24),0)</f>
        <v>1</v>
      </c>
      <c r="V24" s="2">
        <f ca="1">IFERROR(SUMIFS(INDIRECT("'Thanh Toán ("&amp;V$3&amp;")'!$F:$F"),INDIRECT("'Thanh Toán ("&amp;V$3&amp;")'!$D:$D"),'Tổng Đơn'!$B24),0)</f>
        <v>0</v>
      </c>
      <c r="W24" s="2">
        <f ca="1">IFERROR(SUMIFS(INDIRECT("'Thanh Toán ("&amp;W$3&amp;")'!$F:$F"),INDIRECT("'Thanh Toán ("&amp;W$3&amp;")'!$D:$D"),'Tổng Đơn'!$B24),0)</f>
        <v>0</v>
      </c>
      <c r="X24" s="2">
        <f ca="1">IFERROR(SUMIFS(INDIRECT("'Thanh Toán ("&amp;X$3&amp;")'!$F:$F"),INDIRECT("'Thanh Toán ("&amp;X$3&amp;")'!$D:$D"),'Tổng Đơn'!$B24),0)</f>
        <v>0</v>
      </c>
      <c r="Y24" s="2">
        <f ca="1">IFERROR(SUMIFS(INDIRECT("'Thanh Toán ("&amp;Y$3&amp;")'!$F:$F"),INDIRECT("'Thanh Toán ("&amp;Y$3&amp;")'!$D:$D"),'Tổng Đơn'!$B24),0)</f>
        <v>0</v>
      </c>
      <c r="Z24" s="2">
        <f ca="1">IFERROR(SUMIFS(INDIRECT("'Thanh Toán ("&amp;Z$3&amp;")'!$F:$F"),INDIRECT("'Thanh Toán ("&amp;Z$3&amp;")'!$D:$D"),'Tổng Đơn'!$B24),0)</f>
        <v>0</v>
      </c>
      <c r="AA24" s="2">
        <f ca="1">IFERROR(SUMIFS(INDIRECT("'Thanh Toán ("&amp;AA$3&amp;")'!$F:$F"),INDIRECT("'Thanh Toán ("&amp;AA$3&amp;")'!$D:$D"),'Tổng Đơn'!$B24),0)</f>
        <v>0</v>
      </c>
      <c r="AB24" s="2">
        <f ca="1">IFERROR(SUMIFS(INDIRECT("'Thanh Toán ("&amp;AB$3&amp;")'!$F:$F"),INDIRECT("'Thanh Toán ("&amp;AB$3&amp;")'!$D:$D"),'Tổng Đơn'!$B24),0)</f>
        <v>0</v>
      </c>
      <c r="AC24" s="2">
        <f ca="1">IFERROR(SUMIFS(INDIRECT("'Thanh Toán ("&amp;AC$3&amp;")'!$F:$F"),INDIRECT("'Thanh Toán ("&amp;AC$3&amp;")'!$D:$D"),'Tổng Đơn'!$B24),0)</f>
        <v>0</v>
      </c>
      <c r="AD24" s="2">
        <f ca="1">IFERROR(SUMIFS(INDIRECT("'Thanh Toán ("&amp;AD$3&amp;")'!$F:$F"),INDIRECT("'Thanh Toán ("&amp;AD$3&amp;")'!$D:$D"),'Tổng Đơn'!$B24),0)</f>
        <v>0</v>
      </c>
      <c r="AE24" s="2">
        <f ca="1">IFERROR(SUMIFS(INDIRECT("'Thanh Toán ("&amp;AE$3&amp;")'!$F:$F"),INDIRECT("'Thanh Toán ("&amp;AE$3&amp;")'!$D:$D"),'Tổng Đơn'!$B24),0)</f>
        <v>0</v>
      </c>
      <c r="AF24" s="2">
        <f ca="1">IFERROR(SUMIFS(INDIRECT("'Thanh Toán ("&amp;AF$3&amp;")'!$F:$F"),INDIRECT("'Thanh Toán ("&amp;AF$3&amp;")'!$D:$D"),'Tổng Đơn'!$B24),0)</f>
        <v>2</v>
      </c>
      <c r="AG24" s="2">
        <f ca="1">IFERROR(SUMIFS(INDIRECT("'Thanh Toán ("&amp;AG$3&amp;")'!$F:$F"),INDIRECT("'Thanh Toán ("&amp;AG$3&amp;")'!$D:$D"),'Tổng Đơn'!$B24),0)</f>
        <v>0</v>
      </c>
      <c r="AH24" s="2">
        <f ca="1">IFERROR(SUMIFS(INDIRECT("'Thanh Toán ("&amp;AH$3&amp;")'!$F:$F"),INDIRECT("'Thanh Toán ("&amp;AH$3&amp;")'!$D:$D"),'Tổng Đơn'!$B24),0)</f>
        <v>0</v>
      </c>
      <c r="AI24" s="2">
        <f ca="1">IFERROR(SUMIFS(INDIRECT("'Thanh Toán ("&amp;AI$3&amp;")'!$F:$F"),INDIRECT("'Thanh Toán ("&amp;AI$3&amp;")'!$D:$D"),'Tổng Đơn'!$B24),0)</f>
        <v>0</v>
      </c>
      <c r="AJ24" s="2">
        <f ca="1">IFERROR(SUMIFS(INDIRECT("'Thanh Toán ("&amp;AJ$3&amp;")'!$F:$F"),INDIRECT("'Thanh Toán ("&amp;AJ$3&amp;")'!$D:$D"),'Tổng Đơn'!$B24),0)</f>
        <v>0</v>
      </c>
      <c r="AK24" s="2">
        <f ca="1">IFERROR(SUMIFS(INDIRECT("'Thanh Toán ("&amp;AK$3&amp;")'!$F:$F"),INDIRECT("'Thanh Toán ("&amp;AK$3&amp;")'!$D:$D"),'Tổng Đơn'!$B24),0)</f>
        <v>0</v>
      </c>
      <c r="AL24" s="2">
        <f ca="1">IFERROR(SUMIFS(INDIRECT("'Thanh Toán ("&amp;AL$3&amp;")'!$F:$F"),INDIRECT("'Thanh Toán ("&amp;AL$3&amp;")'!$D:$D"),'Tổng Đơn'!$B24),0)</f>
        <v>0</v>
      </c>
      <c r="AM24" s="2">
        <f ca="1">IFERROR(SUMIFS(INDIRECT("'Thanh Toán ("&amp;AM$3&amp;")'!$F:$F"),INDIRECT("'Thanh Toán ("&amp;AM$3&amp;")'!$D:$D"),'Tổng Đơn'!$B24),0)</f>
        <v>0</v>
      </c>
      <c r="AN24" s="2">
        <f ca="1">IFERROR(SUMIFS(INDIRECT("'Thanh Toán ("&amp;AN$3&amp;")'!$F:$F"),INDIRECT("'Thanh Toán ("&amp;AN$3&amp;")'!$D:$D"),'Tổng Đơn'!$B24),0)</f>
        <v>0</v>
      </c>
      <c r="AO24" s="2">
        <f ca="1">IFERROR(SUMIFS(INDIRECT("'Thanh Toán ("&amp;AO$3&amp;")'!$F:$F"),INDIRECT("'Thanh Toán ("&amp;AO$3&amp;")'!$D:$D"),'Tổng Đơn'!$B24),0)</f>
        <v>0</v>
      </c>
      <c r="AP24" s="2">
        <f ca="1">IFERROR(SUMIFS(INDIRECT("'Thanh Toán ("&amp;AP$3&amp;")'!$F:$F"),INDIRECT("'Thanh Toán ("&amp;AP$3&amp;")'!$D:$D"),'Tổng Đơn'!$B24),0)</f>
        <v>0</v>
      </c>
      <c r="AQ24" s="2">
        <f ca="1">IFERROR(SUMIFS(INDIRECT("'Thanh Toán ("&amp;AQ$3&amp;")'!$F:$F"),INDIRECT("'Thanh Toán ("&amp;AQ$3&amp;")'!$D:$D"),'Tổng Đơn'!$B24),0)</f>
        <v>0</v>
      </c>
      <c r="AR24" s="2">
        <f ca="1">IFERROR(SUMIFS(INDIRECT("'Thanh Toán ("&amp;AR$3&amp;")'!$F:$F"),INDIRECT("'Thanh Toán ("&amp;AR$3&amp;")'!$D:$D"),'Tổng Đơn'!$B24),0)</f>
        <v>0</v>
      </c>
      <c r="AS24" s="2">
        <f ca="1">IFERROR(SUMIFS(INDIRECT("'Thanh Toán ("&amp;AS$3&amp;")'!$F:$F"),INDIRECT("'Thanh Toán ("&amp;AS$3&amp;")'!$D:$D"),'Tổng Đơn'!$B24),0)</f>
        <v>0</v>
      </c>
      <c r="AT24" s="2">
        <f ca="1">IFERROR(SUMIFS(INDIRECT("'Thanh Toán ("&amp;AT$3&amp;")'!$F:$F"),INDIRECT("'Thanh Toán ("&amp;AT$3&amp;")'!$D:$D"),'Tổng Đơn'!$B24),0)</f>
        <v>0</v>
      </c>
      <c r="AU24" s="2">
        <f ca="1">IFERROR(SUMIFS(INDIRECT("'Thanh Toán ("&amp;AU$3&amp;")'!$F:$F"),INDIRECT("'Thanh Toán ("&amp;AU$3&amp;")'!$D:$D"),'Tổng Đơn'!$B24),0)</f>
        <v>0</v>
      </c>
      <c r="AV24" s="2">
        <f ca="1">IFERROR(SUMIFS(INDIRECT("'Thanh Toán ("&amp;AV$3&amp;")'!$F:$F"),INDIRECT("'Thanh Toán ("&amp;AV$3&amp;")'!$D:$D"),'Tổng Đơn'!$B24),0)</f>
        <v>0</v>
      </c>
      <c r="AW24" s="2">
        <f ca="1">IFERROR(SUMIFS(INDIRECT("'Thanh Toán ("&amp;AW$3&amp;")'!$F:$F"),INDIRECT("'Thanh Toán ("&amp;AW$3&amp;")'!$D:$D"),'Tổng Đơn'!$B24),0)</f>
        <v>0</v>
      </c>
      <c r="AX24" s="2">
        <f ca="1">IFERROR(SUMIFS(INDIRECT("'Thanh Toán ("&amp;AX$3&amp;")'!$F:$F"),INDIRECT("'Thanh Toán ("&amp;AX$3&amp;")'!$D:$D"),'Tổng Đơn'!$B24),0)</f>
        <v>0</v>
      </c>
      <c r="AY24" s="2">
        <f ca="1">IFERROR(SUMIFS(INDIRECT("'Thanh Toán ("&amp;AY$3&amp;")'!$F:$F"),INDIRECT("'Thanh Toán ("&amp;AY$3&amp;")'!$D:$D"),'Tổng Đơn'!$B24),0)</f>
        <v>0</v>
      </c>
      <c r="AZ24" s="2">
        <f ca="1">IFERROR(SUMIFS(INDIRECT("'Thanh Toán ("&amp;AZ$3&amp;")'!$F:$F"),INDIRECT("'Thanh Toán ("&amp;AZ$3&amp;")'!$D:$D"),'Tổng Đơn'!$B24),0)</f>
        <v>0</v>
      </c>
      <c r="BA24" s="2">
        <f ca="1">IFERROR(SUMIFS(INDIRECT("'Thanh Toán ("&amp;BA$3&amp;")'!$F:$F"),INDIRECT("'Thanh Toán ("&amp;BA$3&amp;")'!$D:$D"),'Tổng Đơn'!$B24),0)</f>
        <v>0</v>
      </c>
      <c r="BB24" s="2">
        <f ca="1">IFERROR(SUMIFS(INDIRECT("'Thanh Toán ("&amp;BB$3&amp;")'!$F:$F"),INDIRECT("'Thanh Toán ("&amp;BB$3&amp;")'!$D:$D"),'Tổng Đơn'!$B24),0)</f>
        <v>0</v>
      </c>
      <c r="BC24" s="2">
        <f ca="1">IFERROR(SUMIFS(INDIRECT("'Thanh Toán ("&amp;BC$3&amp;")'!$F:$F"),INDIRECT("'Thanh Toán ("&amp;BC$3&amp;")'!$D:$D"),'Tổng Đơn'!$B24),0)</f>
        <v>0</v>
      </c>
    </row>
    <row r="25" spans="1:55" ht="18" customHeight="1" x14ac:dyDescent="0.3">
      <c r="A25" s="160">
        <v>15</v>
      </c>
      <c r="B25" s="161" t="s">
        <v>8</v>
      </c>
      <c r="C25" s="160" t="s">
        <v>61</v>
      </c>
      <c r="D25" s="162">
        <f>VLOOKUP($C25,Sheet1!$C$8:$D$80,2,0)</f>
        <v>55000</v>
      </c>
      <c r="E25" s="163">
        <v>0.5</v>
      </c>
      <c r="F25" s="164">
        <f t="shared" ca="1" si="2"/>
        <v>0</v>
      </c>
      <c r="G25" s="165">
        <f>IFERROR(VLOOKUP($B25,Gà!C:J,8,0),IFERROR(VLOOKUP($B25,TVP!C:J,7,0),IFERROR(VLOOKUP($B25,Kitkool!C:J,8,0),IFERROR(VLOOKUP($B25,'La Cusina'!C:J,8,0),VLOOKUP($B25,'Quốc Nhân'!C:J,8,0)))))</f>
        <v>43.6028838975624</v>
      </c>
      <c r="H25" s="166">
        <f t="shared" ca="1" si="10"/>
        <v>0</v>
      </c>
      <c r="I25" s="186">
        <f t="shared" si="11"/>
        <v>0.26138445634039242</v>
      </c>
      <c r="J25" s="166">
        <f t="shared" ca="1" si="12"/>
        <v>0</v>
      </c>
      <c r="K25" s="38"/>
      <c r="L25" s="2">
        <f ca="1">IFERROR(SUMIFS(INDIRECT("'Thanh Toán ("&amp;L$3&amp;")'!$F:$F"),INDIRECT("'Thanh Toán ("&amp;L$3&amp;")'!$D:$D"),'Tổng Đơn'!$B25),0)</f>
        <v>0</v>
      </c>
      <c r="M25" s="2">
        <f ca="1">IFERROR(SUMIFS(INDIRECT("'Thanh Toán ("&amp;M$3&amp;")'!$F:$F"),INDIRECT("'Thanh Toán ("&amp;M$3&amp;")'!$D:$D"),'Tổng Đơn'!$B25),0)</f>
        <v>0</v>
      </c>
      <c r="N25" s="2">
        <f ca="1">IFERROR(SUMIFS(INDIRECT("'Thanh Toán ("&amp;N$3&amp;")'!$F:$F"),INDIRECT("'Thanh Toán ("&amp;N$3&amp;")'!$D:$D"),'Tổng Đơn'!$B25),0)</f>
        <v>0</v>
      </c>
      <c r="O25" s="2">
        <f ca="1">IFERROR(SUMIFS(INDIRECT("'Thanh Toán ("&amp;O$3&amp;")'!$F:$F"),INDIRECT("'Thanh Toán ("&amp;O$3&amp;")'!$D:$D"),'Tổng Đơn'!$B25),0)</f>
        <v>0</v>
      </c>
      <c r="P25" s="2">
        <f ca="1">IFERROR(SUMIFS(INDIRECT("'Thanh Toán ("&amp;P$3&amp;")'!$F:$F"),INDIRECT("'Thanh Toán ("&amp;P$3&amp;")'!$D:$D"),'Tổng Đơn'!$B25),0)</f>
        <v>0</v>
      </c>
      <c r="Q25" s="2">
        <f ca="1">IFERROR(SUMIFS(INDIRECT("'Thanh Toán ("&amp;Q$3&amp;")'!$F:$F"),INDIRECT("'Thanh Toán ("&amp;Q$3&amp;")'!$D:$D"),'Tổng Đơn'!$B25),0)</f>
        <v>0</v>
      </c>
      <c r="R25" s="2">
        <f ca="1">IFERROR(SUMIFS(INDIRECT("'Thanh Toán ("&amp;R$3&amp;")'!$F:$F"),INDIRECT("'Thanh Toán ("&amp;R$3&amp;")'!$D:$D"),'Tổng Đơn'!$B25),0)</f>
        <v>0</v>
      </c>
      <c r="S25" s="2">
        <f ca="1">IFERROR(SUMIFS(INDIRECT("'Thanh Toán ("&amp;S$3&amp;")'!$F:$F"),INDIRECT("'Thanh Toán ("&amp;S$3&amp;")'!$D:$D"),'Tổng Đơn'!$B25),0)</f>
        <v>0</v>
      </c>
      <c r="T25" s="2">
        <f ca="1">IFERROR(SUMIFS(INDIRECT("'Thanh Toán ("&amp;T$3&amp;")'!$F:$F"),INDIRECT("'Thanh Toán ("&amp;T$3&amp;")'!$D:$D"),'Tổng Đơn'!$B25),0)</f>
        <v>0</v>
      </c>
      <c r="U25" s="2">
        <f ca="1">IFERROR(SUMIFS(INDIRECT("'Thanh Toán ("&amp;U$3&amp;")'!$F:$F"),INDIRECT("'Thanh Toán ("&amp;U$3&amp;")'!$D:$D"),'Tổng Đơn'!$B25),0)</f>
        <v>0</v>
      </c>
      <c r="V25" s="2">
        <f ca="1">IFERROR(SUMIFS(INDIRECT("'Thanh Toán ("&amp;V$3&amp;")'!$F:$F"),INDIRECT("'Thanh Toán ("&amp;V$3&amp;")'!$D:$D"),'Tổng Đơn'!$B25),0)</f>
        <v>0</v>
      </c>
      <c r="W25" s="2">
        <f ca="1">IFERROR(SUMIFS(INDIRECT("'Thanh Toán ("&amp;W$3&amp;")'!$F:$F"),INDIRECT("'Thanh Toán ("&amp;W$3&amp;")'!$D:$D"),'Tổng Đơn'!$B25),0)</f>
        <v>0</v>
      </c>
      <c r="X25" s="2">
        <f ca="1">IFERROR(SUMIFS(INDIRECT("'Thanh Toán ("&amp;X$3&amp;")'!$F:$F"),INDIRECT("'Thanh Toán ("&amp;X$3&amp;")'!$D:$D"),'Tổng Đơn'!$B25),0)</f>
        <v>0</v>
      </c>
      <c r="Y25" s="2">
        <f ca="1">IFERROR(SUMIFS(INDIRECT("'Thanh Toán ("&amp;Y$3&amp;")'!$F:$F"),INDIRECT("'Thanh Toán ("&amp;Y$3&amp;")'!$D:$D"),'Tổng Đơn'!$B25),0)</f>
        <v>0</v>
      </c>
      <c r="Z25" s="2">
        <f ca="1">IFERROR(SUMIFS(INDIRECT("'Thanh Toán ("&amp;Z$3&amp;")'!$F:$F"),INDIRECT("'Thanh Toán ("&amp;Z$3&amp;")'!$D:$D"),'Tổng Đơn'!$B25),0)</f>
        <v>0</v>
      </c>
      <c r="AA25" s="2">
        <f ca="1">IFERROR(SUMIFS(INDIRECT("'Thanh Toán ("&amp;AA$3&amp;")'!$F:$F"),INDIRECT("'Thanh Toán ("&amp;AA$3&amp;")'!$D:$D"),'Tổng Đơn'!$B25),0)</f>
        <v>0</v>
      </c>
      <c r="AB25" s="2">
        <f ca="1">IFERROR(SUMIFS(INDIRECT("'Thanh Toán ("&amp;AB$3&amp;")'!$F:$F"),INDIRECT("'Thanh Toán ("&amp;AB$3&amp;")'!$D:$D"),'Tổng Đơn'!$B25),0)</f>
        <v>0</v>
      </c>
      <c r="AC25" s="2">
        <f ca="1">IFERROR(SUMIFS(INDIRECT("'Thanh Toán ("&amp;AC$3&amp;")'!$F:$F"),INDIRECT("'Thanh Toán ("&amp;AC$3&amp;")'!$D:$D"),'Tổng Đơn'!$B25),0)</f>
        <v>0</v>
      </c>
      <c r="AD25" s="2">
        <f ca="1">IFERROR(SUMIFS(INDIRECT("'Thanh Toán ("&amp;AD$3&amp;")'!$F:$F"),INDIRECT("'Thanh Toán ("&amp;AD$3&amp;")'!$D:$D"),'Tổng Đơn'!$B25),0)</f>
        <v>0</v>
      </c>
      <c r="AE25" s="2">
        <f ca="1">IFERROR(SUMIFS(INDIRECT("'Thanh Toán ("&amp;AE$3&amp;")'!$F:$F"),INDIRECT("'Thanh Toán ("&amp;AE$3&amp;")'!$D:$D"),'Tổng Đơn'!$B25),0)</f>
        <v>0</v>
      </c>
      <c r="AF25" s="2">
        <f ca="1">IFERROR(SUMIFS(INDIRECT("'Thanh Toán ("&amp;AF$3&amp;")'!$F:$F"),INDIRECT("'Thanh Toán ("&amp;AF$3&amp;")'!$D:$D"),'Tổng Đơn'!$B25),0)</f>
        <v>0</v>
      </c>
      <c r="AG25" s="2">
        <f ca="1">IFERROR(SUMIFS(INDIRECT("'Thanh Toán ("&amp;AG$3&amp;")'!$F:$F"),INDIRECT("'Thanh Toán ("&amp;AG$3&amp;")'!$D:$D"),'Tổng Đơn'!$B25),0)</f>
        <v>0</v>
      </c>
      <c r="AH25" s="2">
        <f ca="1">IFERROR(SUMIFS(INDIRECT("'Thanh Toán ("&amp;AH$3&amp;")'!$F:$F"),INDIRECT("'Thanh Toán ("&amp;AH$3&amp;")'!$D:$D"),'Tổng Đơn'!$B25),0)</f>
        <v>0</v>
      </c>
      <c r="AI25" s="2">
        <f ca="1">IFERROR(SUMIFS(INDIRECT("'Thanh Toán ("&amp;AI$3&amp;")'!$F:$F"),INDIRECT("'Thanh Toán ("&amp;AI$3&amp;")'!$D:$D"),'Tổng Đơn'!$B25),0)</f>
        <v>0</v>
      </c>
      <c r="AJ25" s="2">
        <f ca="1">IFERROR(SUMIFS(INDIRECT("'Thanh Toán ("&amp;AJ$3&amp;")'!$F:$F"),INDIRECT("'Thanh Toán ("&amp;AJ$3&amp;")'!$D:$D"),'Tổng Đơn'!$B25),0)</f>
        <v>0</v>
      </c>
      <c r="AK25" s="2">
        <f ca="1">IFERROR(SUMIFS(INDIRECT("'Thanh Toán ("&amp;AK$3&amp;")'!$F:$F"),INDIRECT("'Thanh Toán ("&amp;AK$3&amp;")'!$D:$D"),'Tổng Đơn'!$B25),0)</f>
        <v>0</v>
      </c>
      <c r="AL25" s="2">
        <f ca="1">IFERROR(SUMIFS(INDIRECT("'Thanh Toán ("&amp;AL$3&amp;")'!$F:$F"),INDIRECT("'Thanh Toán ("&amp;AL$3&amp;")'!$D:$D"),'Tổng Đơn'!$B25),0)</f>
        <v>0</v>
      </c>
      <c r="AM25" s="2">
        <f ca="1">IFERROR(SUMIFS(INDIRECT("'Thanh Toán ("&amp;AM$3&amp;")'!$F:$F"),INDIRECT("'Thanh Toán ("&amp;AM$3&amp;")'!$D:$D"),'Tổng Đơn'!$B25),0)</f>
        <v>0</v>
      </c>
      <c r="AN25" s="2">
        <f ca="1">IFERROR(SUMIFS(INDIRECT("'Thanh Toán ("&amp;AN$3&amp;")'!$F:$F"),INDIRECT("'Thanh Toán ("&amp;AN$3&amp;")'!$D:$D"),'Tổng Đơn'!$B25),0)</f>
        <v>0</v>
      </c>
      <c r="AO25" s="2">
        <f ca="1">IFERROR(SUMIFS(INDIRECT("'Thanh Toán ("&amp;AO$3&amp;")'!$F:$F"),INDIRECT("'Thanh Toán ("&amp;AO$3&amp;")'!$D:$D"),'Tổng Đơn'!$B25),0)</f>
        <v>0</v>
      </c>
      <c r="AP25" s="2">
        <f ca="1">IFERROR(SUMIFS(INDIRECT("'Thanh Toán ("&amp;AP$3&amp;")'!$F:$F"),INDIRECT("'Thanh Toán ("&amp;AP$3&amp;")'!$D:$D"),'Tổng Đơn'!$B25),0)</f>
        <v>0</v>
      </c>
      <c r="AQ25" s="2">
        <f ca="1">IFERROR(SUMIFS(INDIRECT("'Thanh Toán ("&amp;AQ$3&amp;")'!$F:$F"),INDIRECT("'Thanh Toán ("&amp;AQ$3&amp;")'!$D:$D"),'Tổng Đơn'!$B25),0)</f>
        <v>0</v>
      </c>
      <c r="AR25" s="2">
        <f ca="1">IFERROR(SUMIFS(INDIRECT("'Thanh Toán ("&amp;AR$3&amp;")'!$F:$F"),INDIRECT("'Thanh Toán ("&amp;AR$3&amp;")'!$D:$D"),'Tổng Đơn'!$B25),0)</f>
        <v>0</v>
      </c>
      <c r="AS25" s="2">
        <f ca="1">IFERROR(SUMIFS(INDIRECT("'Thanh Toán ("&amp;AS$3&amp;")'!$F:$F"),INDIRECT("'Thanh Toán ("&amp;AS$3&amp;")'!$D:$D"),'Tổng Đơn'!$B25),0)</f>
        <v>0</v>
      </c>
      <c r="AT25" s="2">
        <f ca="1">IFERROR(SUMIFS(INDIRECT("'Thanh Toán ("&amp;AT$3&amp;")'!$F:$F"),INDIRECT("'Thanh Toán ("&amp;AT$3&amp;")'!$D:$D"),'Tổng Đơn'!$B25),0)</f>
        <v>0</v>
      </c>
      <c r="AU25" s="2">
        <f ca="1">IFERROR(SUMIFS(INDIRECT("'Thanh Toán ("&amp;AU$3&amp;")'!$F:$F"),INDIRECT("'Thanh Toán ("&amp;AU$3&amp;")'!$D:$D"),'Tổng Đơn'!$B25),0)</f>
        <v>0</v>
      </c>
      <c r="AV25" s="2">
        <f ca="1">IFERROR(SUMIFS(INDIRECT("'Thanh Toán ("&amp;AV$3&amp;")'!$F:$F"),INDIRECT("'Thanh Toán ("&amp;AV$3&amp;")'!$D:$D"),'Tổng Đơn'!$B25),0)</f>
        <v>0</v>
      </c>
      <c r="AW25" s="2">
        <f ca="1">IFERROR(SUMIFS(INDIRECT("'Thanh Toán ("&amp;AW$3&amp;")'!$F:$F"),INDIRECT("'Thanh Toán ("&amp;AW$3&amp;")'!$D:$D"),'Tổng Đơn'!$B25),0)</f>
        <v>0</v>
      </c>
      <c r="AX25" s="2">
        <f ca="1">IFERROR(SUMIFS(INDIRECT("'Thanh Toán ("&amp;AX$3&amp;")'!$F:$F"),INDIRECT("'Thanh Toán ("&amp;AX$3&amp;")'!$D:$D"),'Tổng Đơn'!$B25),0)</f>
        <v>0</v>
      </c>
      <c r="AY25" s="2">
        <f ca="1">IFERROR(SUMIFS(INDIRECT("'Thanh Toán ("&amp;AY$3&amp;")'!$F:$F"),INDIRECT("'Thanh Toán ("&amp;AY$3&amp;")'!$D:$D"),'Tổng Đơn'!$B25),0)</f>
        <v>0</v>
      </c>
      <c r="AZ25" s="2">
        <f ca="1">IFERROR(SUMIFS(INDIRECT("'Thanh Toán ("&amp;AZ$3&amp;")'!$F:$F"),INDIRECT("'Thanh Toán ("&amp;AZ$3&amp;")'!$D:$D"),'Tổng Đơn'!$B25),0)</f>
        <v>0</v>
      </c>
      <c r="BA25" s="2">
        <f ca="1">IFERROR(SUMIFS(INDIRECT("'Thanh Toán ("&amp;BA$3&amp;")'!$F:$F"),INDIRECT("'Thanh Toán ("&amp;BA$3&amp;")'!$D:$D"),'Tổng Đơn'!$B25),0)</f>
        <v>0</v>
      </c>
      <c r="BB25" s="2">
        <f ca="1">IFERROR(SUMIFS(INDIRECT("'Thanh Toán ("&amp;BB$3&amp;")'!$F:$F"),INDIRECT("'Thanh Toán ("&amp;BB$3&amp;")'!$D:$D"),'Tổng Đơn'!$B25),0)</f>
        <v>0</v>
      </c>
      <c r="BC25" s="2">
        <f ca="1">IFERROR(SUMIFS(INDIRECT("'Thanh Toán ("&amp;BC$3&amp;")'!$F:$F"),INDIRECT("'Thanh Toán ("&amp;BC$3&amp;")'!$D:$D"),'Tổng Đơn'!$B25),0)</f>
        <v>0</v>
      </c>
    </row>
    <row r="26" spans="1:55" ht="18" customHeight="1" x14ac:dyDescent="0.3">
      <c r="A26" s="167">
        <v>16</v>
      </c>
      <c r="B26" s="161" t="s">
        <v>13</v>
      </c>
      <c r="C26" s="167" t="s">
        <v>62</v>
      </c>
      <c r="D26" s="162">
        <f>VLOOKUP($C26,Sheet1!$C$8:$D$80,2,0)</f>
        <v>35000</v>
      </c>
      <c r="E26" s="163">
        <v>0.5</v>
      </c>
      <c r="F26" s="164">
        <f t="shared" ca="1" si="2"/>
        <v>43</v>
      </c>
      <c r="G26" s="165">
        <f>IFERROR(VLOOKUP($B26,Gà!C:J,8,0),IFERROR(VLOOKUP($B26,TVP!C:J,7,0),IFERROR(VLOOKUP($B26,Kitkool!C:J,8,0),IFERROR(VLOOKUP($B26,'La Cusina'!C:J,8,0),VLOOKUP($B26,'Quốc Nhân'!C:J,8,0)))))</f>
        <v>29.23958096660067</v>
      </c>
      <c r="H26" s="166">
        <f t="shared" ca="1" si="10"/>
        <v>247698.01843617129</v>
      </c>
      <c r="I26" s="186">
        <f t="shared" si="11"/>
        <v>0.1970075781858589</v>
      </c>
      <c r="J26" s="166">
        <f t="shared" ca="1" si="12"/>
        <v>1257301.9815638289</v>
      </c>
      <c r="K26" s="38"/>
      <c r="L26" s="2">
        <f ca="1">IFERROR(SUMIFS(INDIRECT("'Thanh Toán ("&amp;L$3&amp;")'!$F:$F"),INDIRECT("'Thanh Toán ("&amp;L$3&amp;")'!$D:$D"),'Tổng Đơn'!$B26),0)</f>
        <v>0</v>
      </c>
      <c r="M26" s="2">
        <f ca="1">IFERROR(SUMIFS(INDIRECT("'Thanh Toán ("&amp;M$3&amp;")'!$F:$F"),INDIRECT("'Thanh Toán ("&amp;M$3&amp;")'!$D:$D"),'Tổng Đơn'!$B26),0)</f>
        <v>0</v>
      </c>
      <c r="N26" s="2">
        <f ca="1">IFERROR(SUMIFS(INDIRECT("'Thanh Toán ("&amp;N$3&amp;")'!$F:$F"),INDIRECT("'Thanh Toán ("&amp;N$3&amp;")'!$D:$D"),'Tổng Đơn'!$B26),0)</f>
        <v>0</v>
      </c>
      <c r="O26" s="2">
        <f ca="1">IFERROR(SUMIFS(INDIRECT("'Thanh Toán ("&amp;O$3&amp;")'!$F:$F"),INDIRECT("'Thanh Toán ("&amp;O$3&amp;")'!$D:$D"),'Tổng Đơn'!$B26),0)</f>
        <v>0</v>
      </c>
      <c r="P26" s="2">
        <f ca="1">IFERROR(SUMIFS(INDIRECT("'Thanh Toán ("&amp;P$3&amp;")'!$F:$F"),INDIRECT("'Thanh Toán ("&amp;P$3&amp;")'!$D:$D"),'Tổng Đơn'!$B26),0)</f>
        <v>30</v>
      </c>
      <c r="Q26" s="2">
        <f ca="1">IFERROR(SUMIFS(INDIRECT("'Thanh Toán ("&amp;Q$3&amp;")'!$F:$F"),INDIRECT("'Thanh Toán ("&amp;Q$3&amp;")'!$D:$D"),'Tổng Đơn'!$B26),0)</f>
        <v>0</v>
      </c>
      <c r="R26" s="2">
        <f ca="1">IFERROR(SUMIFS(INDIRECT("'Thanh Toán ("&amp;R$3&amp;")'!$F:$F"),INDIRECT("'Thanh Toán ("&amp;R$3&amp;")'!$D:$D"),'Tổng Đơn'!$B26),0)</f>
        <v>3</v>
      </c>
      <c r="S26" s="2">
        <f ca="1">IFERROR(SUMIFS(INDIRECT("'Thanh Toán ("&amp;S$3&amp;")'!$F:$F"),INDIRECT("'Thanh Toán ("&amp;S$3&amp;")'!$D:$D"),'Tổng Đơn'!$B26),0)</f>
        <v>0</v>
      </c>
      <c r="T26" s="2">
        <f ca="1">IFERROR(SUMIFS(INDIRECT("'Thanh Toán ("&amp;T$3&amp;")'!$F:$F"),INDIRECT("'Thanh Toán ("&amp;T$3&amp;")'!$D:$D"),'Tổng Đơn'!$B26),0)</f>
        <v>0</v>
      </c>
      <c r="U26" s="2">
        <f ca="1">IFERROR(SUMIFS(INDIRECT("'Thanh Toán ("&amp;U$3&amp;")'!$F:$F"),INDIRECT("'Thanh Toán ("&amp;U$3&amp;")'!$D:$D"),'Tổng Đơn'!$B26),0)</f>
        <v>0</v>
      </c>
      <c r="V26" s="2">
        <f ca="1">IFERROR(SUMIFS(INDIRECT("'Thanh Toán ("&amp;V$3&amp;")'!$F:$F"),INDIRECT("'Thanh Toán ("&amp;V$3&amp;")'!$D:$D"),'Tổng Đơn'!$B26),0)</f>
        <v>0</v>
      </c>
      <c r="W26" s="2">
        <f ca="1">IFERROR(SUMIFS(INDIRECT("'Thanh Toán ("&amp;W$3&amp;")'!$F:$F"),INDIRECT("'Thanh Toán ("&amp;W$3&amp;")'!$D:$D"),'Tổng Đơn'!$B26),0)</f>
        <v>0</v>
      </c>
      <c r="X26" s="2">
        <f ca="1">IFERROR(SUMIFS(INDIRECT("'Thanh Toán ("&amp;X$3&amp;")'!$F:$F"),INDIRECT("'Thanh Toán ("&amp;X$3&amp;")'!$D:$D"),'Tổng Đơn'!$B26),0)</f>
        <v>10</v>
      </c>
      <c r="Y26" s="2">
        <f ca="1">IFERROR(SUMIFS(INDIRECT("'Thanh Toán ("&amp;Y$3&amp;")'!$F:$F"),INDIRECT("'Thanh Toán ("&amp;Y$3&amp;")'!$D:$D"),'Tổng Đơn'!$B26),0)</f>
        <v>0</v>
      </c>
      <c r="Z26" s="2">
        <f ca="1">IFERROR(SUMIFS(INDIRECT("'Thanh Toán ("&amp;Z$3&amp;")'!$F:$F"),INDIRECT("'Thanh Toán ("&amp;Z$3&amp;")'!$D:$D"),'Tổng Đơn'!$B26),0)</f>
        <v>0</v>
      </c>
      <c r="AA26" s="2">
        <f ca="1">IFERROR(SUMIFS(INDIRECT("'Thanh Toán ("&amp;AA$3&amp;")'!$F:$F"),INDIRECT("'Thanh Toán ("&amp;AA$3&amp;")'!$D:$D"),'Tổng Đơn'!$B26),0)</f>
        <v>0</v>
      </c>
      <c r="AB26" s="2">
        <f ca="1">IFERROR(SUMIFS(INDIRECT("'Thanh Toán ("&amp;AB$3&amp;")'!$F:$F"),INDIRECT("'Thanh Toán ("&amp;AB$3&amp;")'!$D:$D"),'Tổng Đơn'!$B26),0)</f>
        <v>0</v>
      </c>
      <c r="AC26" s="2">
        <f ca="1">IFERROR(SUMIFS(INDIRECT("'Thanh Toán ("&amp;AC$3&amp;")'!$F:$F"),INDIRECT("'Thanh Toán ("&amp;AC$3&amp;")'!$D:$D"),'Tổng Đơn'!$B26),0)</f>
        <v>0</v>
      </c>
      <c r="AD26" s="2">
        <f ca="1">IFERROR(SUMIFS(INDIRECT("'Thanh Toán ("&amp;AD$3&amp;")'!$F:$F"),INDIRECT("'Thanh Toán ("&amp;AD$3&amp;")'!$D:$D"),'Tổng Đơn'!$B26),0)</f>
        <v>0</v>
      </c>
      <c r="AE26" s="2">
        <f ca="1">IFERROR(SUMIFS(INDIRECT("'Thanh Toán ("&amp;AE$3&amp;")'!$F:$F"),INDIRECT("'Thanh Toán ("&amp;AE$3&amp;")'!$D:$D"),'Tổng Đơn'!$B26),0)</f>
        <v>0</v>
      </c>
      <c r="AF26" s="2">
        <f ca="1">IFERROR(SUMIFS(INDIRECT("'Thanh Toán ("&amp;AF$3&amp;")'!$F:$F"),INDIRECT("'Thanh Toán ("&amp;AF$3&amp;")'!$D:$D"),'Tổng Đơn'!$B26),0)</f>
        <v>0</v>
      </c>
      <c r="AG26" s="2">
        <f ca="1">IFERROR(SUMIFS(INDIRECT("'Thanh Toán ("&amp;AG$3&amp;")'!$F:$F"),INDIRECT("'Thanh Toán ("&amp;AG$3&amp;")'!$D:$D"),'Tổng Đơn'!$B26),0)</f>
        <v>0</v>
      </c>
      <c r="AH26" s="2">
        <f ca="1">IFERROR(SUMIFS(INDIRECT("'Thanh Toán ("&amp;AH$3&amp;")'!$F:$F"),INDIRECT("'Thanh Toán ("&amp;AH$3&amp;")'!$D:$D"),'Tổng Đơn'!$B26),0)</f>
        <v>0</v>
      </c>
      <c r="AI26" s="2">
        <f ca="1">IFERROR(SUMIFS(INDIRECT("'Thanh Toán ("&amp;AI$3&amp;")'!$F:$F"),INDIRECT("'Thanh Toán ("&amp;AI$3&amp;")'!$D:$D"),'Tổng Đơn'!$B26),0)</f>
        <v>0</v>
      </c>
      <c r="AJ26" s="2">
        <f ca="1">IFERROR(SUMIFS(INDIRECT("'Thanh Toán ("&amp;AJ$3&amp;")'!$F:$F"),INDIRECT("'Thanh Toán ("&amp;AJ$3&amp;")'!$D:$D"),'Tổng Đơn'!$B26),0)</f>
        <v>0</v>
      </c>
      <c r="AK26" s="2">
        <f ca="1">IFERROR(SUMIFS(INDIRECT("'Thanh Toán ("&amp;AK$3&amp;")'!$F:$F"),INDIRECT("'Thanh Toán ("&amp;AK$3&amp;")'!$D:$D"),'Tổng Đơn'!$B26),0)</f>
        <v>0</v>
      </c>
      <c r="AL26" s="2">
        <f ca="1">IFERROR(SUMIFS(INDIRECT("'Thanh Toán ("&amp;AL$3&amp;")'!$F:$F"),INDIRECT("'Thanh Toán ("&amp;AL$3&amp;")'!$D:$D"),'Tổng Đơn'!$B26),0)</f>
        <v>0</v>
      </c>
      <c r="AM26" s="2">
        <f ca="1">IFERROR(SUMIFS(INDIRECT("'Thanh Toán ("&amp;AM$3&amp;")'!$F:$F"),INDIRECT("'Thanh Toán ("&amp;AM$3&amp;")'!$D:$D"),'Tổng Đơn'!$B26),0)</f>
        <v>0</v>
      </c>
      <c r="AN26" s="2">
        <f ca="1">IFERROR(SUMIFS(INDIRECT("'Thanh Toán ("&amp;AN$3&amp;")'!$F:$F"),INDIRECT("'Thanh Toán ("&amp;AN$3&amp;")'!$D:$D"),'Tổng Đơn'!$B26),0)</f>
        <v>0</v>
      </c>
      <c r="AO26" s="2">
        <f ca="1">IFERROR(SUMIFS(INDIRECT("'Thanh Toán ("&amp;AO$3&amp;")'!$F:$F"),INDIRECT("'Thanh Toán ("&amp;AO$3&amp;")'!$D:$D"),'Tổng Đơn'!$B26),0)</f>
        <v>0</v>
      </c>
      <c r="AP26" s="2">
        <f ca="1">IFERROR(SUMIFS(INDIRECT("'Thanh Toán ("&amp;AP$3&amp;")'!$F:$F"),INDIRECT("'Thanh Toán ("&amp;AP$3&amp;")'!$D:$D"),'Tổng Đơn'!$B26),0)</f>
        <v>0</v>
      </c>
      <c r="AQ26" s="2">
        <f ca="1">IFERROR(SUMIFS(INDIRECT("'Thanh Toán ("&amp;AQ$3&amp;")'!$F:$F"),INDIRECT("'Thanh Toán ("&amp;AQ$3&amp;")'!$D:$D"),'Tổng Đơn'!$B26),0)</f>
        <v>0</v>
      </c>
      <c r="AR26" s="2">
        <f ca="1">IFERROR(SUMIFS(INDIRECT("'Thanh Toán ("&amp;AR$3&amp;")'!$F:$F"),INDIRECT("'Thanh Toán ("&amp;AR$3&amp;")'!$D:$D"),'Tổng Đơn'!$B26),0)</f>
        <v>0</v>
      </c>
      <c r="AS26" s="2">
        <f ca="1">IFERROR(SUMIFS(INDIRECT("'Thanh Toán ("&amp;AS$3&amp;")'!$F:$F"),INDIRECT("'Thanh Toán ("&amp;AS$3&amp;")'!$D:$D"),'Tổng Đơn'!$B26),0)</f>
        <v>0</v>
      </c>
      <c r="AT26" s="2">
        <f ca="1">IFERROR(SUMIFS(INDIRECT("'Thanh Toán ("&amp;AT$3&amp;")'!$F:$F"),INDIRECT("'Thanh Toán ("&amp;AT$3&amp;")'!$D:$D"),'Tổng Đơn'!$B26),0)</f>
        <v>0</v>
      </c>
      <c r="AU26" s="2">
        <f ca="1">IFERROR(SUMIFS(INDIRECT("'Thanh Toán ("&amp;AU$3&amp;")'!$F:$F"),INDIRECT("'Thanh Toán ("&amp;AU$3&amp;")'!$D:$D"),'Tổng Đơn'!$B26),0)</f>
        <v>0</v>
      </c>
      <c r="AV26" s="2">
        <f ca="1">IFERROR(SUMIFS(INDIRECT("'Thanh Toán ("&amp;AV$3&amp;")'!$F:$F"),INDIRECT("'Thanh Toán ("&amp;AV$3&amp;")'!$D:$D"),'Tổng Đơn'!$B26),0)</f>
        <v>0</v>
      </c>
      <c r="AW26" s="2">
        <f ca="1">IFERROR(SUMIFS(INDIRECT("'Thanh Toán ("&amp;AW$3&amp;")'!$F:$F"),INDIRECT("'Thanh Toán ("&amp;AW$3&amp;")'!$D:$D"),'Tổng Đơn'!$B26),0)</f>
        <v>0</v>
      </c>
      <c r="AX26" s="2">
        <f ca="1">IFERROR(SUMIFS(INDIRECT("'Thanh Toán ("&amp;AX$3&amp;")'!$F:$F"),INDIRECT("'Thanh Toán ("&amp;AX$3&amp;")'!$D:$D"),'Tổng Đơn'!$B26),0)</f>
        <v>0</v>
      </c>
      <c r="AY26" s="2">
        <f ca="1">IFERROR(SUMIFS(INDIRECT("'Thanh Toán ("&amp;AY$3&amp;")'!$F:$F"),INDIRECT("'Thanh Toán ("&amp;AY$3&amp;")'!$D:$D"),'Tổng Đơn'!$B26),0)</f>
        <v>0</v>
      </c>
      <c r="AZ26" s="2">
        <f ca="1">IFERROR(SUMIFS(INDIRECT("'Thanh Toán ("&amp;AZ$3&amp;")'!$F:$F"),INDIRECT("'Thanh Toán ("&amp;AZ$3&amp;")'!$D:$D"),'Tổng Đơn'!$B26),0)</f>
        <v>0</v>
      </c>
      <c r="BA26" s="2">
        <f ca="1">IFERROR(SUMIFS(INDIRECT("'Thanh Toán ("&amp;BA$3&amp;")'!$F:$F"),INDIRECT("'Thanh Toán ("&amp;BA$3&amp;")'!$D:$D"),'Tổng Đơn'!$B26),0)</f>
        <v>0</v>
      </c>
      <c r="BB26" s="2">
        <f ca="1">IFERROR(SUMIFS(INDIRECT("'Thanh Toán ("&amp;BB$3&amp;")'!$F:$F"),INDIRECT("'Thanh Toán ("&amp;BB$3&amp;")'!$D:$D"),'Tổng Đơn'!$B26),0)</f>
        <v>0</v>
      </c>
      <c r="BC26" s="2">
        <f ca="1">IFERROR(SUMIFS(INDIRECT("'Thanh Toán ("&amp;BC$3&amp;")'!$F:$F"),INDIRECT("'Thanh Toán ("&amp;BC$3&amp;")'!$D:$D"),'Tổng Đơn'!$B26),0)</f>
        <v>0</v>
      </c>
    </row>
    <row r="27" spans="1:55" ht="18" customHeight="1" x14ac:dyDescent="0.3">
      <c r="A27" s="160">
        <v>17</v>
      </c>
      <c r="B27" s="161" t="s">
        <v>225</v>
      </c>
      <c r="C27" s="160" t="s">
        <v>63</v>
      </c>
      <c r="D27" s="162">
        <f>VLOOKUP($C27,Sheet1!$C$8:$D$80,2,0)</f>
        <v>40000</v>
      </c>
      <c r="E27" s="163">
        <v>0.5</v>
      </c>
      <c r="F27" s="164">
        <f t="shared" ca="1" si="2"/>
        <v>0</v>
      </c>
      <c r="G27" s="165">
        <f>IFERROR(VLOOKUP($B27,Gà!C:J,8,0),IFERROR(VLOOKUP($B27,TVP!C:J,7,0),IFERROR(VLOOKUP($B27,Kitkool!C:J,8,0),IFERROR(VLOOKUP($B27,'La Cusina'!C:J,8,0),VLOOKUP($B27,'Quốc Nhân'!C:J,8,0)))))</f>
        <v>33.75456810540544</v>
      </c>
      <c r="H27" s="166">
        <f t="shared" ca="1" si="10"/>
        <v>0</v>
      </c>
      <c r="I27" s="186">
        <f t="shared" si="11"/>
        <v>0.18502479057329202</v>
      </c>
      <c r="J27" s="166">
        <f t="shared" ca="1" si="12"/>
        <v>0</v>
      </c>
      <c r="K27" s="38"/>
      <c r="L27" s="2">
        <f ca="1">IFERROR(SUMIFS(INDIRECT("'Thanh Toán ("&amp;L$3&amp;")'!$F:$F"),INDIRECT("'Thanh Toán ("&amp;L$3&amp;")'!$D:$D"),'Tổng Đơn'!$B27),0)</f>
        <v>0</v>
      </c>
      <c r="M27" s="2">
        <f ca="1">IFERROR(SUMIFS(INDIRECT("'Thanh Toán ("&amp;M$3&amp;")'!$F:$F"),INDIRECT("'Thanh Toán ("&amp;M$3&amp;")'!$D:$D"),'Tổng Đơn'!$B27),0)</f>
        <v>0</v>
      </c>
      <c r="N27" s="2">
        <f ca="1">IFERROR(SUMIFS(INDIRECT("'Thanh Toán ("&amp;N$3&amp;")'!$F:$F"),INDIRECT("'Thanh Toán ("&amp;N$3&amp;")'!$D:$D"),'Tổng Đơn'!$B27),0)</f>
        <v>0</v>
      </c>
      <c r="O27" s="2">
        <f ca="1">IFERROR(SUMIFS(INDIRECT("'Thanh Toán ("&amp;O$3&amp;")'!$F:$F"),INDIRECT("'Thanh Toán ("&amp;O$3&amp;")'!$D:$D"),'Tổng Đơn'!$B27),0)</f>
        <v>0</v>
      </c>
      <c r="P27" s="2">
        <f ca="1">IFERROR(SUMIFS(INDIRECT("'Thanh Toán ("&amp;P$3&amp;")'!$F:$F"),INDIRECT("'Thanh Toán ("&amp;P$3&amp;")'!$D:$D"),'Tổng Đơn'!$B27),0)</f>
        <v>0</v>
      </c>
      <c r="Q27" s="2">
        <f ca="1">IFERROR(SUMIFS(INDIRECT("'Thanh Toán ("&amp;Q$3&amp;")'!$F:$F"),INDIRECT("'Thanh Toán ("&amp;Q$3&amp;")'!$D:$D"),'Tổng Đơn'!$B27),0)</f>
        <v>0</v>
      </c>
      <c r="R27" s="2">
        <f ca="1">IFERROR(SUMIFS(INDIRECT("'Thanh Toán ("&amp;R$3&amp;")'!$F:$F"),INDIRECT("'Thanh Toán ("&amp;R$3&amp;")'!$D:$D"),'Tổng Đơn'!$B27),0)</f>
        <v>0</v>
      </c>
      <c r="S27" s="2">
        <f ca="1">IFERROR(SUMIFS(INDIRECT("'Thanh Toán ("&amp;S$3&amp;")'!$F:$F"),INDIRECT("'Thanh Toán ("&amp;S$3&amp;")'!$D:$D"),'Tổng Đơn'!$B27),0)</f>
        <v>0</v>
      </c>
      <c r="T27" s="2">
        <f ca="1">IFERROR(SUMIFS(INDIRECT("'Thanh Toán ("&amp;T$3&amp;")'!$F:$F"),INDIRECT("'Thanh Toán ("&amp;T$3&amp;")'!$D:$D"),'Tổng Đơn'!$B27),0)</f>
        <v>0</v>
      </c>
      <c r="U27" s="2">
        <f ca="1">IFERROR(SUMIFS(INDIRECT("'Thanh Toán ("&amp;U$3&amp;")'!$F:$F"),INDIRECT("'Thanh Toán ("&amp;U$3&amp;")'!$D:$D"),'Tổng Đơn'!$B27),0)</f>
        <v>0</v>
      </c>
      <c r="V27" s="2">
        <f ca="1">IFERROR(SUMIFS(INDIRECT("'Thanh Toán ("&amp;V$3&amp;")'!$F:$F"),INDIRECT("'Thanh Toán ("&amp;V$3&amp;")'!$D:$D"),'Tổng Đơn'!$B27),0)</f>
        <v>0</v>
      </c>
      <c r="W27" s="2">
        <f ca="1">IFERROR(SUMIFS(INDIRECT("'Thanh Toán ("&amp;W$3&amp;")'!$F:$F"),INDIRECT("'Thanh Toán ("&amp;W$3&amp;")'!$D:$D"),'Tổng Đơn'!$B27),0)</f>
        <v>0</v>
      </c>
      <c r="X27" s="2">
        <f ca="1">IFERROR(SUMIFS(INDIRECT("'Thanh Toán ("&amp;X$3&amp;")'!$F:$F"),INDIRECT("'Thanh Toán ("&amp;X$3&amp;")'!$D:$D"),'Tổng Đơn'!$B27),0)</f>
        <v>0</v>
      </c>
      <c r="Y27" s="2">
        <f ca="1">IFERROR(SUMIFS(INDIRECT("'Thanh Toán ("&amp;Y$3&amp;")'!$F:$F"),INDIRECT("'Thanh Toán ("&amp;Y$3&amp;")'!$D:$D"),'Tổng Đơn'!$B27),0)</f>
        <v>0</v>
      </c>
      <c r="Z27" s="2">
        <f ca="1">IFERROR(SUMIFS(INDIRECT("'Thanh Toán ("&amp;Z$3&amp;")'!$F:$F"),INDIRECT("'Thanh Toán ("&amp;Z$3&amp;")'!$D:$D"),'Tổng Đơn'!$B27),0)</f>
        <v>0</v>
      </c>
      <c r="AA27" s="2">
        <f ca="1">IFERROR(SUMIFS(INDIRECT("'Thanh Toán ("&amp;AA$3&amp;")'!$F:$F"),INDIRECT("'Thanh Toán ("&amp;AA$3&amp;")'!$D:$D"),'Tổng Đơn'!$B27),0)</f>
        <v>0</v>
      </c>
      <c r="AB27" s="2">
        <f ca="1">IFERROR(SUMIFS(INDIRECT("'Thanh Toán ("&amp;AB$3&amp;")'!$F:$F"),INDIRECT("'Thanh Toán ("&amp;AB$3&amp;")'!$D:$D"),'Tổng Đơn'!$B27),0)</f>
        <v>0</v>
      </c>
      <c r="AC27" s="2">
        <f ca="1">IFERROR(SUMIFS(INDIRECT("'Thanh Toán ("&amp;AC$3&amp;")'!$F:$F"),INDIRECT("'Thanh Toán ("&amp;AC$3&amp;")'!$D:$D"),'Tổng Đơn'!$B27),0)</f>
        <v>0</v>
      </c>
      <c r="AD27" s="2">
        <f ca="1">IFERROR(SUMIFS(INDIRECT("'Thanh Toán ("&amp;AD$3&amp;")'!$F:$F"),INDIRECT("'Thanh Toán ("&amp;AD$3&amp;")'!$D:$D"),'Tổng Đơn'!$B27),0)</f>
        <v>0</v>
      </c>
      <c r="AE27" s="2">
        <f ca="1">IFERROR(SUMIFS(INDIRECT("'Thanh Toán ("&amp;AE$3&amp;")'!$F:$F"),INDIRECT("'Thanh Toán ("&amp;AE$3&amp;")'!$D:$D"),'Tổng Đơn'!$B27),0)</f>
        <v>0</v>
      </c>
      <c r="AF27" s="2">
        <f ca="1">IFERROR(SUMIFS(INDIRECT("'Thanh Toán ("&amp;AF$3&amp;")'!$F:$F"),INDIRECT("'Thanh Toán ("&amp;AF$3&amp;")'!$D:$D"),'Tổng Đơn'!$B27),0)</f>
        <v>0</v>
      </c>
      <c r="AG27" s="2">
        <f ca="1">IFERROR(SUMIFS(INDIRECT("'Thanh Toán ("&amp;AG$3&amp;")'!$F:$F"),INDIRECT("'Thanh Toán ("&amp;AG$3&amp;")'!$D:$D"),'Tổng Đơn'!$B27),0)</f>
        <v>0</v>
      </c>
      <c r="AH27" s="2">
        <f ca="1">IFERROR(SUMIFS(INDIRECT("'Thanh Toán ("&amp;AH$3&amp;")'!$F:$F"),INDIRECT("'Thanh Toán ("&amp;AH$3&amp;")'!$D:$D"),'Tổng Đơn'!$B27),0)</f>
        <v>0</v>
      </c>
      <c r="AI27" s="2">
        <f ca="1">IFERROR(SUMIFS(INDIRECT("'Thanh Toán ("&amp;AI$3&amp;")'!$F:$F"),INDIRECT("'Thanh Toán ("&amp;AI$3&amp;")'!$D:$D"),'Tổng Đơn'!$B27),0)</f>
        <v>0</v>
      </c>
      <c r="AJ27" s="2">
        <f ca="1">IFERROR(SUMIFS(INDIRECT("'Thanh Toán ("&amp;AJ$3&amp;")'!$F:$F"),INDIRECT("'Thanh Toán ("&amp;AJ$3&amp;")'!$D:$D"),'Tổng Đơn'!$B27),0)</f>
        <v>0</v>
      </c>
      <c r="AK27" s="2">
        <f ca="1">IFERROR(SUMIFS(INDIRECT("'Thanh Toán ("&amp;AK$3&amp;")'!$F:$F"),INDIRECT("'Thanh Toán ("&amp;AK$3&amp;")'!$D:$D"),'Tổng Đơn'!$B27),0)</f>
        <v>0</v>
      </c>
      <c r="AL27" s="2">
        <f ca="1">IFERROR(SUMIFS(INDIRECT("'Thanh Toán ("&amp;AL$3&amp;")'!$F:$F"),INDIRECT("'Thanh Toán ("&amp;AL$3&amp;")'!$D:$D"),'Tổng Đơn'!$B27),0)</f>
        <v>0</v>
      </c>
      <c r="AM27" s="2">
        <f ca="1">IFERROR(SUMIFS(INDIRECT("'Thanh Toán ("&amp;AM$3&amp;")'!$F:$F"),INDIRECT("'Thanh Toán ("&amp;AM$3&amp;")'!$D:$D"),'Tổng Đơn'!$B27),0)</f>
        <v>0</v>
      </c>
      <c r="AN27" s="2">
        <f ca="1">IFERROR(SUMIFS(INDIRECT("'Thanh Toán ("&amp;AN$3&amp;")'!$F:$F"),INDIRECT("'Thanh Toán ("&amp;AN$3&amp;")'!$D:$D"),'Tổng Đơn'!$B27),0)</f>
        <v>0</v>
      </c>
      <c r="AO27" s="2">
        <f ca="1">IFERROR(SUMIFS(INDIRECT("'Thanh Toán ("&amp;AO$3&amp;")'!$F:$F"),INDIRECT("'Thanh Toán ("&amp;AO$3&amp;")'!$D:$D"),'Tổng Đơn'!$B27),0)</f>
        <v>0</v>
      </c>
      <c r="AP27" s="2">
        <f ca="1">IFERROR(SUMIFS(INDIRECT("'Thanh Toán ("&amp;AP$3&amp;")'!$F:$F"),INDIRECT("'Thanh Toán ("&amp;AP$3&amp;")'!$D:$D"),'Tổng Đơn'!$B27),0)</f>
        <v>0</v>
      </c>
      <c r="AQ27" s="2">
        <f ca="1">IFERROR(SUMIFS(INDIRECT("'Thanh Toán ("&amp;AQ$3&amp;")'!$F:$F"),INDIRECT("'Thanh Toán ("&amp;AQ$3&amp;")'!$D:$D"),'Tổng Đơn'!$B27),0)</f>
        <v>0</v>
      </c>
      <c r="AR27" s="2">
        <f ca="1">IFERROR(SUMIFS(INDIRECT("'Thanh Toán ("&amp;AR$3&amp;")'!$F:$F"),INDIRECT("'Thanh Toán ("&amp;AR$3&amp;")'!$D:$D"),'Tổng Đơn'!$B27),0)</f>
        <v>0</v>
      </c>
      <c r="AS27" s="2">
        <f ca="1">IFERROR(SUMIFS(INDIRECT("'Thanh Toán ("&amp;AS$3&amp;")'!$F:$F"),INDIRECT("'Thanh Toán ("&amp;AS$3&amp;")'!$D:$D"),'Tổng Đơn'!$B27),0)</f>
        <v>0</v>
      </c>
      <c r="AT27" s="2">
        <f ca="1">IFERROR(SUMIFS(INDIRECT("'Thanh Toán ("&amp;AT$3&amp;")'!$F:$F"),INDIRECT("'Thanh Toán ("&amp;AT$3&amp;")'!$D:$D"),'Tổng Đơn'!$B27),0)</f>
        <v>0</v>
      </c>
      <c r="AU27" s="2">
        <f ca="1">IFERROR(SUMIFS(INDIRECT("'Thanh Toán ("&amp;AU$3&amp;")'!$F:$F"),INDIRECT("'Thanh Toán ("&amp;AU$3&amp;")'!$D:$D"),'Tổng Đơn'!$B27),0)</f>
        <v>0</v>
      </c>
      <c r="AV27" s="2">
        <f ca="1">IFERROR(SUMIFS(INDIRECT("'Thanh Toán ("&amp;AV$3&amp;")'!$F:$F"),INDIRECT("'Thanh Toán ("&amp;AV$3&amp;")'!$D:$D"),'Tổng Đơn'!$B27),0)</f>
        <v>0</v>
      </c>
      <c r="AW27" s="2">
        <f ca="1">IFERROR(SUMIFS(INDIRECT("'Thanh Toán ("&amp;AW$3&amp;")'!$F:$F"),INDIRECT("'Thanh Toán ("&amp;AW$3&amp;")'!$D:$D"),'Tổng Đơn'!$B27),0)</f>
        <v>0</v>
      </c>
      <c r="AX27" s="2">
        <f ca="1">IFERROR(SUMIFS(INDIRECT("'Thanh Toán ("&amp;AX$3&amp;")'!$F:$F"),INDIRECT("'Thanh Toán ("&amp;AX$3&amp;")'!$D:$D"),'Tổng Đơn'!$B27),0)</f>
        <v>0</v>
      </c>
      <c r="AY27" s="2">
        <f ca="1">IFERROR(SUMIFS(INDIRECT("'Thanh Toán ("&amp;AY$3&amp;")'!$F:$F"),INDIRECT("'Thanh Toán ("&amp;AY$3&amp;")'!$D:$D"),'Tổng Đơn'!$B27),0)</f>
        <v>0</v>
      </c>
      <c r="AZ27" s="2">
        <f ca="1">IFERROR(SUMIFS(INDIRECT("'Thanh Toán ("&amp;AZ$3&amp;")'!$F:$F"),INDIRECT("'Thanh Toán ("&amp;AZ$3&amp;")'!$D:$D"),'Tổng Đơn'!$B27),0)</f>
        <v>0</v>
      </c>
      <c r="BA27" s="2">
        <f ca="1">IFERROR(SUMIFS(INDIRECT("'Thanh Toán ("&amp;BA$3&amp;")'!$F:$F"),INDIRECT("'Thanh Toán ("&amp;BA$3&amp;")'!$D:$D"),'Tổng Đơn'!$B27),0)</f>
        <v>0</v>
      </c>
      <c r="BB27" s="2">
        <f ca="1">IFERROR(SUMIFS(INDIRECT("'Thanh Toán ("&amp;BB$3&amp;")'!$F:$F"),INDIRECT("'Thanh Toán ("&amp;BB$3&amp;")'!$D:$D"),'Tổng Đơn'!$B27),0)</f>
        <v>0</v>
      </c>
      <c r="BC27" s="2">
        <f ca="1">IFERROR(SUMIFS(INDIRECT("'Thanh Toán ("&amp;BC$3&amp;")'!$F:$F"),INDIRECT("'Thanh Toán ("&amp;BC$3&amp;")'!$D:$D"),'Tổng Đơn'!$B27),0)</f>
        <v>0</v>
      </c>
    </row>
    <row r="28" spans="1:55" ht="18" customHeight="1" x14ac:dyDescent="0.3">
      <c r="A28" s="167">
        <v>18</v>
      </c>
      <c r="B28" s="161" t="s">
        <v>26</v>
      </c>
      <c r="C28" s="167" t="s">
        <v>64</v>
      </c>
      <c r="D28" s="162">
        <f>VLOOKUP($C28,Sheet1!$C$8:$D$80,2,0)</f>
        <v>50000</v>
      </c>
      <c r="E28" s="163">
        <v>0.5</v>
      </c>
      <c r="F28" s="164">
        <f t="shared" ca="1" si="2"/>
        <v>1</v>
      </c>
      <c r="G28" s="165">
        <f>IFERROR(VLOOKUP($B28,Gà!C:J,8,0),IFERROR(VLOOKUP($B28,TVP!C:J,7,0),IFERROR(VLOOKUP($B28,Kitkool!C:J,8,0),IFERROR(VLOOKUP($B28,'La Cusina'!C:J,8,0),VLOOKUP($B28,'Quốc Nhân'!C:J,8,0)))))</f>
        <v>40.91462800655205</v>
      </c>
      <c r="H28" s="166">
        <f t="shared" ca="1" si="10"/>
        <v>9085.3719934479523</v>
      </c>
      <c r="I28" s="186">
        <f t="shared" si="11"/>
        <v>0.22205681527870724</v>
      </c>
      <c r="J28" s="166">
        <f t="shared" ca="1" si="12"/>
        <v>40914.628006552048</v>
      </c>
      <c r="K28" s="38"/>
      <c r="L28" s="2">
        <f ca="1">IFERROR(SUMIFS(INDIRECT("'Thanh Toán ("&amp;L$3&amp;")'!$F:$F"),INDIRECT("'Thanh Toán ("&amp;L$3&amp;")'!$D:$D"),'Tổng Đơn'!$B28),0)</f>
        <v>0</v>
      </c>
      <c r="M28" s="2">
        <f ca="1">IFERROR(SUMIFS(INDIRECT("'Thanh Toán ("&amp;M$3&amp;")'!$F:$F"),INDIRECT("'Thanh Toán ("&amp;M$3&amp;")'!$D:$D"),'Tổng Đơn'!$B28),0)</f>
        <v>0</v>
      </c>
      <c r="N28" s="2">
        <f ca="1">IFERROR(SUMIFS(INDIRECT("'Thanh Toán ("&amp;N$3&amp;")'!$F:$F"),INDIRECT("'Thanh Toán ("&amp;N$3&amp;")'!$D:$D"),'Tổng Đơn'!$B28),0)</f>
        <v>0</v>
      </c>
      <c r="O28" s="2">
        <f ca="1">IFERROR(SUMIFS(INDIRECT("'Thanh Toán ("&amp;O$3&amp;")'!$F:$F"),INDIRECT("'Thanh Toán ("&amp;O$3&amp;")'!$D:$D"),'Tổng Đơn'!$B28),0)</f>
        <v>1</v>
      </c>
      <c r="P28" s="2">
        <f ca="1">IFERROR(SUMIFS(INDIRECT("'Thanh Toán ("&amp;P$3&amp;")'!$F:$F"),INDIRECT("'Thanh Toán ("&amp;P$3&amp;")'!$D:$D"),'Tổng Đơn'!$B28),0)</f>
        <v>0</v>
      </c>
      <c r="Q28" s="2">
        <f ca="1">IFERROR(SUMIFS(INDIRECT("'Thanh Toán ("&amp;Q$3&amp;")'!$F:$F"),INDIRECT("'Thanh Toán ("&amp;Q$3&amp;")'!$D:$D"),'Tổng Đơn'!$B28),0)</f>
        <v>0</v>
      </c>
      <c r="R28" s="2">
        <f ca="1">IFERROR(SUMIFS(INDIRECT("'Thanh Toán ("&amp;R$3&amp;")'!$F:$F"),INDIRECT("'Thanh Toán ("&amp;R$3&amp;")'!$D:$D"),'Tổng Đơn'!$B28),0)</f>
        <v>0</v>
      </c>
      <c r="S28" s="2">
        <f ca="1">IFERROR(SUMIFS(INDIRECT("'Thanh Toán ("&amp;S$3&amp;")'!$F:$F"),INDIRECT("'Thanh Toán ("&amp;S$3&amp;")'!$D:$D"),'Tổng Đơn'!$B28),0)</f>
        <v>0</v>
      </c>
      <c r="T28" s="2">
        <f ca="1">IFERROR(SUMIFS(INDIRECT("'Thanh Toán ("&amp;T$3&amp;")'!$F:$F"),INDIRECT("'Thanh Toán ("&amp;T$3&amp;")'!$D:$D"),'Tổng Đơn'!$B28),0)</f>
        <v>0</v>
      </c>
      <c r="U28" s="2">
        <f ca="1">IFERROR(SUMIFS(INDIRECT("'Thanh Toán ("&amp;U$3&amp;")'!$F:$F"),INDIRECT("'Thanh Toán ("&amp;U$3&amp;")'!$D:$D"),'Tổng Đơn'!$B28),0)</f>
        <v>0</v>
      </c>
      <c r="V28" s="2">
        <f ca="1">IFERROR(SUMIFS(INDIRECT("'Thanh Toán ("&amp;V$3&amp;")'!$F:$F"),INDIRECT("'Thanh Toán ("&amp;V$3&amp;")'!$D:$D"),'Tổng Đơn'!$B28),0)</f>
        <v>0</v>
      </c>
      <c r="W28" s="2">
        <f ca="1">IFERROR(SUMIFS(INDIRECT("'Thanh Toán ("&amp;W$3&amp;")'!$F:$F"),INDIRECT("'Thanh Toán ("&amp;W$3&amp;")'!$D:$D"),'Tổng Đơn'!$B28),0)</f>
        <v>0</v>
      </c>
      <c r="X28" s="2">
        <f ca="1">IFERROR(SUMIFS(INDIRECT("'Thanh Toán ("&amp;X$3&amp;")'!$F:$F"),INDIRECT("'Thanh Toán ("&amp;X$3&amp;")'!$D:$D"),'Tổng Đơn'!$B28),0)</f>
        <v>0</v>
      </c>
      <c r="Y28" s="2">
        <f ca="1">IFERROR(SUMIFS(INDIRECT("'Thanh Toán ("&amp;Y$3&amp;")'!$F:$F"),INDIRECT("'Thanh Toán ("&amp;Y$3&amp;")'!$D:$D"),'Tổng Đơn'!$B28),0)</f>
        <v>0</v>
      </c>
      <c r="Z28" s="2">
        <f ca="1">IFERROR(SUMIFS(INDIRECT("'Thanh Toán ("&amp;Z$3&amp;")'!$F:$F"),INDIRECT("'Thanh Toán ("&amp;Z$3&amp;")'!$D:$D"),'Tổng Đơn'!$B28),0)</f>
        <v>0</v>
      </c>
      <c r="AA28" s="2">
        <f ca="1">IFERROR(SUMIFS(INDIRECT("'Thanh Toán ("&amp;AA$3&amp;")'!$F:$F"),INDIRECT("'Thanh Toán ("&amp;AA$3&amp;")'!$D:$D"),'Tổng Đơn'!$B28),0)</f>
        <v>0</v>
      </c>
      <c r="AB28" s="2">
        <f ca="1">IFERROR(SUMIFS(INDIRECT("'Thanh Toán ("&amp;AB$3&amp;")'!$F:$F"),INDIRECT("'Thanh Toán ("&amp;AB$3&amp;")'!$D:$D"),'Tổng Đơn'!$B28),0)</f>
        <v>0</v>
      </c>
      <c r="AC28" s="2">
        <f ca="1">IFERROR(SUMIFS(INDIRECT("'Thanh Toán ("&amp;AC$3&amp;")'!$F:$F"),INDIRECT("'Thanh Toán ("&amp;AC$3&amp;")'!$D:$D"),'Tổng Đơn'!$B28),0)</f>
        <v>0</v>
      </c>
      <c r="AD28" s="2">
        <f ca="1">IFERROR(SUMIFS(INDIRECT("'Thanh Toán ("&amp;AD$3&amp;")'!$F:$F"),INDIRECT("'Thanh Toán ("&amp;AD$3&amp;")'!$D:$D"),'Tổng Đơn'!$B28),0)</f>
        <v>0</v>
      </c>
      <c r="AE28" s="2">
        <f ca="1">IFERROR(SUMIFS(INDIRECT("'Thanh Toán ("&amp;AE$3&amp;")'!$F:$F"),INDIRECT("'Thanh Toán ("&amp;AE$3&amp;")'!$D:$D"),'Tổng Đơn'!$B28),0)</f>
        <v>0</v>
      </c>
      <c r="AF28" s="2">
        <f ca="1">IFERROR(SUMIFS(INDIRECT("'Thanh Toán ("&amp;AF$3&amp;")'!$F:$F"),INDIRECT("'Thanh Toán ("&amp;AF$3&amp;")'!$D:$D"),'Tổng Đơn'!$B28),0)</f>
        <v>0</v>
      </c>
      <c r="AG28" s="2">
        <f ca="1">IFERROR(SUMIFS(INDIRECT("'Thanh Toán ("&amp;AG$3&amp;")'!$F:$F"),INDIRECT("'Thanh Toán ("&amp;AG$3&amp;")'!$D:$D"),'Tổng Đơn'!$B28),0)</f>
        <v>0</v>
      </c>
      <c r="AH28" s="2">
        <f ca="1">IFERROR(SUMIFS(INDIRECT("'Thanh Toán ("&amp;AH$3&amp;")'!$F:$F"),INDIRECT("'Thanh Toán ("&amp;AH$3&amp;")'!$D:$D"),'Tổng Đơn'!$B28),0)</f>
        <v>0</v>
      </c>
      <c r="AI28" s="2">
        <f ca="1">IFERROR(SUMIFS(INDIRECT("'Thanh Toán ("&amp;AI$3&amp;")'!$F:$F"),INDIRECT("'Thanh Toán ("&amp;AI$3&amp;")'!$D:$D"),'Tổng Đơn'!$B28),0)</f>
        <v>0</v>
      </c>
      <c r="AJ28" s="2">
        <f ca="1">IFERROR(SUMIFS(INDIRECT("'Thanh Toán ("&amp;AJ$3&amp;")'!$F:$F"),INDIRECT("'Thanh Toán ("&amp;AJ$3&amp;")'!$D:$D"),'Tổng Đơn'!$B28),0)</f>
        <v>0</v>
      </c>
      <c r="AK28" s="2">
        <f ca="1">IFERROR(SUMIFS(INDIRECT("'Thanh Toán ("&amp;AK$3&amp;")'!$F:$F"),INDIRECT("'Thanh Toán ("&amp;AK$3&amp;")'!$D:$D"),'Tổng Đơn'!$B28),0)</f>
        <v>0</v>
      </c>
      <c r="AL28" s="2">
        <f ca="1">IFERROR(SUMIFS(INDIRECT("'Thanh Toán ("&amp;AL$3&amp;")'!$F:$F"),INDIRECT("'Thanh Toán ("&amp;AL$3&amp;")'!$D:$D"),'Tổng Đơn'!$B28),0)</f>
        <v>0</v>
      </c>
      <c r="AM28" s="2">
        <f ca="1">IFERROR(SUMIFS(INDIRECT("'Thanh Toán ("&amp;AM$3&amp;")'!$F:$F"),INDIRECT("'Thanh Toán ("&amp;AM$3&amp;")'!$D:$D"),'Tổng Đơn'!$B28),0)</f>
        <v>0</v>
      </c>
      <c r="AN28" s="2">
        <f ca="1">IFERROR(SUMIFS(INDIRECT("'Thanh Toán ("&amp;AN$3&amp;")'!$F:$F"),INDIRECT("'Thanh Toán ("&amp;AN$3&amp;")'!$D:$D"),'Tổng Đơn'!$B28),0)</f>
        <v>0</v>
      </c>
      <c r="AO28" s="2">
        <f ca="1">IFERROR(SUMIFS(INDIRECT("'Thanh Toán ("&amp;AO$3&amp;")'!$F:$F"),INDIRECT("'Thanh Toán ("&amp;AO$3&amp;")'!$D:$D"),'Tổng Đơn'!$B28),0)</f>
        <v>0</v>
      </c>
      <c r="AP28" s="2">
        <f ca="1">IFERROR(SUMIFS(INDIRECT("'Thanh Toán ("&amp;AP$3&amp;")'!$F:$F"),INDIRECT("'Thanh Toán ("&amp;AP$3&amp;")'!$D:$D"),'Tổng Đơn'!$B28),0)</f>
        <v>0</v>
      </c>
      <c r="AQ28" s="2">
        <f ca="1">IFERROR(SUMIFS(INDIRECT("'Thanh Toán ("&amp;AQ$3&amp;")'!$F:$F"),INDIRECT("'Thanh Toán ("&amp;AQ$3&amp;")'!$D:$D"),'Tổng Đơn'!$B28),0)</f>
        <v>0</v>
      </c>
      <c r="AR28" s="2">
        <f ca="1">IFERROR(SUMIFS(INDIRECT("'Thanh Toán ("&amp;AR$3&amp;")'!$F:$F"),INDIRECT("'Thanh Toán ("&amp;AR$3&amp;")'!$D:$D"),'Tổng Đơn'!$B28),0)</f>
        <v>0</v>
      </c>
      <c r="AS28" s="2">
        <f ca="1">IFERROR(SUMIFS(INDIRECT("'Thanh Toán ("&amp;AS$3&amp;")'!$F:$F"),INDIRECT("'Thanh Toán ("&amp;AS$3&amp;")'!$D:$D"),'Tổng Đơn'!$B28),0)</f>
        <v>0</v>
      </c>
      <c r="AT28" s="2">
        <f ca="1">IFERROR(SUMIFS(INDIRECT("'Thanh Toán ("&amp;AT$3&amp;")'!$F:$F"),INDIRECT("'Thanh Toán ("&amp;AT$3&amp;")'!$D:$D"),'Tổng Đơn'!$B28),0)</f>
        <v>0</v>
      </c>
      <c r="AU28" s="2">
        <f ca="1">IFERROR(SUMIFS(INDIRECT("'Thanh Toán ("&amp;AU$3&amp;")'!$F:$F"),INDIRECT("'Thanh Toán ("&amp;AU$3&amp;")'!$D:$D"),'Tổng Đơn'!$B28),0)</f>
        <v>0</v>
      </c>
      <c r="AV28" s="2">
        <f ca="1">IFERROR(SUMIFS(INDIRECT("'Thanh Toán ("&amp;AV$3&amp;")'!$F:$F"),INDIRECT("'Thanh Toán ("&amp;AV$3&amp;")'!$D:$D"),'Tổng Đơn'!$B28),0)</f>
        <v>0</v>
      </c>
      <c r="AW28" s="2">
        <f ca="1">IFERROR(SUMIFS(INDIRECT("'Thanh Toán ("&amp;AW$3&amp;")'!$F:$F"),INDIRECT("'Thanh Toán ("&amp;AW$3&amp;")'!$D:$D"),'Tổng Đơn'!$B28),0)</f>
        <v>0</v>
      </c>
      <c r="AX28" s="2">
        <f ca="1">IFERROR(SUMIFS(INDIRECT("'Thanh Toán ("&amp;AX$3&amp;")'!$F:$F"),INDIRECT("'Thanh Toán ("&amp;AX$3&amp;")'!$D:$D"),'Tổng Đơn'!$B28),0)</f>
        <v>0</v>
      </c>
      <c r="AY28" s="2">
        <f ca="1">IFERROR(SUMIFS(INDIRECT("'Thanh Toán ("&amp;AY$3&amp;")'!$F:$F"),INDIRECT("'Thanh Toán ("&amp;AY$3&amp;")'!$D:$D"),'Tổng Đơn'!$B28),0)</f>
        <v>0</v>
      </c>
      <c r="AZ28" s="2">
        <f ca="1">IFERROR(SUMIFS(INDIRECT("'Thanh Toán ("&amp;AZ$3&amp;")'!$F:$F"),INDIRECT("'Thanh Toán ("&amp;AZ$3&amp;")'!$D:$D"),'Tổng Đơn'!$B28),0)</f>
        <v>0</v>
      </c>
      <c r="BA28" s="2">
        <f ca="1">IFERROR(SUMIFS(INDIRECT("'Thanh Toán ("&amp;BA$3&amp;")'!$F:$F"),INDIRECT("'Thanh Toán ("&amp;BA$3&amp;")'!$D:$D"),'Tổng Đơn'!$B28),0)</f>
        <v>0</v>
      </c>
      <c r="BB28" s="2">
        <f ca="1">IFERROR(SUMIFS(INDIRECT("'Thanh Toán ("&amp;BB$3&amp;")'!$F:$F"),INDIRECT("'Thanh Toán ("&amp;BB$3&amp;")'!$D:$D"),'Tổng Đơn'!$B28),0)</f>
        <v>0</v>
      </c>
      <c r="BC28" s="2">
        <f ca="1">IFERROR(SUMIFS(INDIRECT("'Thanh Toán ("&amp;BC$3&amp;")'!$F:$F"),INDIRECT("'Thanh Toán ("&amp;BC$3&amp;")'!$D:$D"),'Tổng Đơn'!$B28),0)</f>
        <v>0</v>
      </c>
    </row>
    <row r="29" spans="1:55" ht="18" customHeight="1" x14ac:dyDescent="0.3">
      <c r="A29" s="160">
        <v>19</v>
      </c>
      <c r="B29" s="161" t="s">
        <v>223</v>
      </c>
      <c r="C29" s="160" t="s">
        <v>65</v>
      </c>
      <c r="D29" s="162">
        <f>VLOOKUP($C29,Sheet1!$C$8:$D$80,2,0)</f>
        <v>40000</v>
      </c>
      <c r="E29" s="163">
        <v>0.5</v>
      </c>
      <c r="F29" s="164">
        <f t="shared" ca="1" si="2"/>
        <v>7</v>
      </c>
      <c r="G29" s="165">
        <f>IFERROR(VLOOKUP($B29,Gà!C:J,8,0),IFERROR(VLOOKUP($B29,TVP!C:J,7,0),IFERROR(VLOOKUP($B29,Kitkool!C:J,8,0),IFERROR(VLOOKUP($B29,'La Cusina'!C:J,8,0),VLOOKUP($B29,'Quốc Nhân'!C:J,8,0)))))</f>
        <v>31.804456489986691</v>
      </c>
      <c r="H29" s="166">
        <f t="shared" ca="1" si="10"/>
        <v>57368.804570093154</v>
      </c>
      <c r="I29" s="186">
        <f t="shared" si="11"/>
        <v>0.25768538168836774</v>
      </c>
      <c r="J29" s="166">
        <f t="shared" ca="1" si="12"/>
        <v>222631.19542990683</v>
      </c>
      <c r="K29" s="38"/>
      <c r="L29" s="2">
        <f ca="1">IFERROR(SUMIFS(INDIRECT("'Thanh Toán ("&amp;L$3&amp;")'!$F:$F"),INDIRECT("'Thanh Toán ("&amp;L$3&amp;")'!$D:$D"),'Tổng Đơn'!$B29),0)</f>
        <v>0</v>
      </c>
      <c r="M29" s="2">
        <f ca="1">IFERROR(SUMIFS(INDIRECT("'Thanh Toán ("&amp;M$3&amp;")'!$F:$F"),INDIRECT("'Thanh Toán ("&amp;M$3&amp;")'!$D:$D"),'Tổng Đơn'!$B29),0)</f>
        <v>0</v>
      </c>
      <c r="N29" s="2">
        <f ca="1">IFERROR(SUMIFS(INDIRECT("'Thanh Toán ("&amp;N$3&amp;")'!$F:$F"),INDIRECT("'Thanh Toán ("&amp;N$3&amp;")'!$D:$D"),'Tổng Đơn'!$B29),0)</f>
        <v>0</v>
      </c>
      <c r="O29" s="2">
        <f ca="1">IFERROR(SUMIFS(INDIRECT("'Thanh Toán ("&amp;O$3&amp;")'!$F:$F"),INDIRECT("'Thanh Toán ("&amp;O$3&amp;")'!$D:$D"),'Tổng Đơn'!$B29),0)</f>
        <v>0</v>
      </c>
      <c r="P29" s="2">
        <f ca="1">IFERROR(SUMIFS(INDIRECT("'Thanh Toán ("&amp;P$3&amp;")'!$F:$F"),INDIRECT("'Thanh Toán ("&amp;P$3&amp;")'!$D:$D"),'Tổng Đơn'!$B29),0)</f>
        <v>0</v>
      </c>
      <c r="Q29" s="2">
        <f ca="1">IFERROR(SUMIFS(INDIRECT("'Thanh Toán ("&amp;Q$3&amp;")'!$F:$F"),INDIRECT("'Thanh Toán ("&amp;Q$3&amp;")'!$D:$D"),'Tổng Đơn'!$B29),0)</f>
        <v>0</v>
      </c>
      <c r="R29" s="2">
        <f ca="1">IFERROR(SUMIFS(INDIRECT("'Thanh Toán ("&amp;R$3&amp;")'!$F:$F"),INDIRECT("'Thanh Toán ("&amp;R$3&amp;")'!$D:$D"),'Tổng Đơn'!$B29),0)</f>
        <v>0</v>
      </c>
      <c r="S29" s="2">
        <f ca="1">IFERROR(SUMIFS(INDIRECT("'Thanh Toán ("&amp;S$3&amp;")'!$F:$F"),INDIRECT("'Thanh Toán ("&amp;S$3&amp;")'!$D:$D"),'Tổng Đơn'!$B29),0)</f>
        <v>5</v>
      </c>
      <c r="T29" s="2">
        <f ca="1">IFERROR(SUMIFS(INDIRECT("'Thanh Toán ("&amp;T$3&amp;")'!$F:$F"),INDIRECT("'Thanh Toán ("&amp;T$3&amp;")'!$D:$D"),'Tổng Đơn'!$B29),0)</f>
        <v>0</v>
      </c>
      <c r="U29" s="2">
        <f ca="1">IFERROR(SUMIFS(INDIRECT("'Thanh Toán ("&amp;U$3&amp;")'!$F:$F"),INDIRECT("'Thanh Toán ("&amp;U$3&amp;")'!$D:$D"),'Tổng Đơn'!$B29),0)</f>
        <v>2</v>
      </c>
      <c r="V29" s="2">
        <f ca="1">IFERROR(SUMIFS(INDIRECT("'Thanh Toán ("&amp;V$3&amp;")'!$F:$F"),INDIRECT("'Thanh Toán ("&amp;V$3&amp;")'!$D:$D"),'Tổng Đơn'!$B29),0)</f>
        <v>0</v>
      </c>
      <c r="W29" s="2">
        <f ca="1">IFERROR(SUMIFS(INDIRECT("'Thanh Toán ("&amp;W$3&amp;")'!$F:$F"),INDIRECT("'Thanh Toán ("&amp;W$3&amp;")'!$D:$D"),'Tổng Đơn'!$B29),0)</f>
        <v>0</v>
      </c>
      <c r="X29" s="2">
        <f ca="1">IFERROR(SUMIFS(INDIRECT("'Thanh Toán ("&amp;X$3&amp;")'!$F:$F"),INDIRECT("'Thanh Toán ("&amp;X$3&amp;")'!$D:$D"),'Tổng Đơn'!$B29),0)</f>
        <v>0</v>
      </c>
      <c r="Y29" s="2">
        <f ca="1">IFERROR(SUMIFS(INDIRECT("'Thanh Toán ("&amp;Y$3&amp;")'!$F:$F"),INDIRECT("'Thanh Toán ("&amp;Y$3&amp;")'!$D:$D"),'Tổng Đơn'!$B29),0)</f>
        <v>0</v>
      </c>
      <c r="Z29" s="2">
        <f ca="1">IFERROR(SUMIFS(INDIRECT("'Thanh Toán ("&amp;Z$3&amp;")'!$F:$F"),INDIRECT("'Thanh Toán ("&amp;Z$3&amp;")'!$D:$D"),'Tổng Đơn'!$B29),0)</f>
        <v>0</v>
      </c>
      <c r="AA29" s="2">
        <f ca="1">IFERROR(SUMIFS(INDIRECT("'Thanh Toán ("&amp;AA$3&amp;")'!$F:$F"),INDIRECT("'Thanh Toán ("&amp;AA$3&amp;")'!$D:$D"),'Tổng Đơn'!$B29),0)</f>
        <v>0</v>
      </c>
      <c r="AB29" s="2">
        <f ca="1">IFERROR(SUMIFS(INDIRECT("'Thanh Toán ("&amp;AB$3&amp;")'!$F:$F"),INDIRECT("'Thanh Toán ("&amp;AB$3&amp;")'!$D:$D"),'Tổng Đơn'!$B29),0)</f>
        <v>0</v>
      </c>
      <c r="AC29" s="2">
        <f ca="1">IFERROR(SUMIFS(INDIRECT("'Thanh Toán ("&amp;AC$3&amp;")'!$F:$F"),INDIRECT("'Thanh Toán ("&amp;AC$3&amp;")'!$D:$D"),'Tổng Đơn'!$B29),0)</f>
        <v>0</v>
      </c>
      <c r="AD29" s="2">
        <f ca="1">IFERROR(SUMIFS(INDIRECT("'Thanh Toán ("&amp;AD$3&amp;")'!$F:$F"),INDIRECT("'Thanh Toán ("&amp;AD$3&amp;")'!$D:$D"),'Tổng Đơn'!$B29),0)</f>
        <v>0</v>
      </c>
      <c r="AE29" s="2">
        <f ca="1">IFERROR(SUMIFS(INDIRECT("'Thanh Toán ("&amp;AE$3&amp;")'!$F:$F"),INDIRECT("'Thanh Toán ("&amp;AE$3&amp;")'!$D:$D"),'Tổng Đơn'!$B29),0)</f>
        <v>0</v>
      </c>
      <c r="AF29" s="2">
        <f ca="1">IFERROR(SUMIFS(INDIRECT("'Thanh Toán ("&amp;AF$3&amp;")'!$F:$F"),INDIRECT("'Thanh Toán ("&amp;AF$3&amp;")'!$D:$D"),'Tổng Đơn'!$B29),0)</f>
        <v>0</v>
      </c>
      <c r="AG29" s="2">
        <f ca="1">IFERROR(SUMIFS(INDIRECT("'Thanh Toán ("&amp;AG$3&amp;")'!$F:$F"),INDIRECT("'Thanh Toán ("&amp;AG$3&amp;")'!$D:$D"),'Tổng Đơn'!$B29),0)</f>
        <v>0</v>
      </c>
      <c r="AH29" s="2">
        <f ca="1">IFERROR(SUMIFS(INDIRECT("'Thanh Toán ("&amp;AH$3&amp;")'!$F:$F"),INDIRECT("'Thanh Toán ("&amp;AH$3&amp;")'!$D:$D"),'Tổng Đơn'!$B29),0)</f>
        <v>0</v>
      </c>
      <c r="AI29" s="2">
        <f ca="1">IFERROR(SUMIFS(INDIRECT("'Thanh Toán ("&amp;AI$3&amp;")'!$F:$F"),INDIRECT("'Thanh Toán ("&amp;AI$3&amp;")'!$D:$D"),'Tổng Đơn'!$B29),0)</f>
        <v>0</v>
      </c>
      <c r="AJ29" s="2">
        <f ca="1">IFERROR(SUMIFS(INDIRECT("'Thanh Toán ("&amp;AJ$3&amp;")'!$F:$F"),INDIRECT("'Thanh Toán ("&amp;AJ$3&amp;")'!$D:$D"),'Tổng Đơn'!$B29),0)</f>
        <v>0</v>
      </c>
      <c r="AK29" s="2">
        <f ca="1">IFERROR(SUMIFS(INDIRECT("'Thanh Toán ("&amp;AK$3&amp;")'!$F:$F"),INDIRECT("'Thanh Toán ("&amp;AK$3&amp;")'!$D:$D"),'Tổng Đơn'!$B29),0)</f>
        <v>0</v>
      </c>
      <c r="AL29" s="2">
        <f ca="1">IFERROR(SUMIFS(INDIRECT("'Thanh Toán ("&amp;AL$3&amp;")'!$F:$F"),INDIRECT("'Thanh Toán ("&amp;AL$3&amp;")'!$D:$D"),'Tổng Đơn'!$B29),0)</f>
        <v>0</v>
      </c>
      <c r="AM29" s="2">
        <f ca="1">IFERROR(SUMIFS(INDIRECT("'Thanh Toán ("&amp;AM$3&amp;")'!$F:$F"),INDIRECT("'Thanh Toán ("&amp;AM$3&amp;")'!$D:$D"),'Tổng Đơn'!$B29),0)</f>
        <v>0</v>
      </c>
      <c r="AN29" s="2">
        <f ca="1">IFERROR(SUMIFS(INDIRECT("'Thanh Toán ("&amp;AN$3&amp;")'!$F:$F"),INDIRECT("'Thanh Toán ("&amp;AN$3&amp;")'!$D:$D"),'Tổng Đơn'!$B29),0)</f>
        <v>0</v>
      </c>
      <c r="AO29" s="2">
        <f ca="1">IFERROR(SUMIFS(INDIRECT("'Thanh Toán ("&amp;AO$3&amp;")'!$F:$F"),INDIRECT("'Thanh Toán ("&amp;AO$3&amp;")'!$D:$D"),'Tổng Đơn'!$B29),0)</f>
        <v>0</v>
      </c>
      <c r="AP29" s="2">
        <f ca="1">IFERROR(SUMIFS(INDIRECT("'Thanh Toán ("&amp;AP$3&amp;")'!$F:$F"),INDIRECT("'Thanh Toán ("&amp;AP$3&amp;")'!$D:$D"),'Tổng Đơn'!$B29),0)</f>
        <v>0</v>
      </c>
      <c r="AQ29" s="2">
        <f ca="1">IFERROR(SUMIFS(INDIRECT("'Thanh Toán ("&amp;AQ$3&amp;")'!$F:$F"),INDIRECT("'Thanh Toán ("&amp;AQ$3&amp;")'!$D:$D"),'Tổng Đơn'!$B29),0)</f>
        <v>0</v>
      </c>
      <c r="AR29" s="2">
        <f ca="1">IFERROR(SUMIFS(INDIRECT("'Thanh Toán ("&amp;AR$3&amp;")'!$F:$F"),INDIRECT("'Thanh Toán ("&amp;AR$3&amp;")'!$D:$D"),'Tổng Đơn'!$B29),0)</f>
        <v>0</v>
      </c>
      <c r="AS29" s="2">
        <f ca="1">IFERROR(SUMIFS(INDIRECT("'Thanh Toán ("&amp;AS$3&amp;")'!$F:$F"),INDIRECT("'Thanh Toán ("&amp;AS$3&amp;")'!$D:$D"),'Tổng Đơn'!$B29),0)</f>
        <v>0</v>
      </c>
      <c r="AT29" s="2">
        <f ca="1">IFERROR(SUMIFS(INDIRECT("'Thanh Toán ("&amp;AT$3&amp;")'!$F:$F"),INDIRECT("'Thanh Toán ("&amp;AT$3&amp;")'!$D:$D"),'Tổng Đơn'!$B29),0)</f>
        <v>0</v>
      </c>
      <c r="AU29" s="2">
        <f ca="1">IFERROR(SUMIFS(INDIRECT("'Thanh Toán ("&amp;AU$3&amp;")'!$F:$F"),INDIRECT("'Thanh Toán ("&amp;AU$3&amp;")'!$D:$D"),'Tổng Đơn'!$B29),0)</f>
        <v>0</v>
      </c>
      <c r="AV29" s="2">
        <f ca="1">IFERROR(SUMIFS(INDIRECT("'Thanh Toán ("&amp;AV$3&amp;")'!$F:$F"),INDIRECT("'Thanh Toán ("&amp;AV$3&amp;")'!$D:$D"),'Tổng Đơn'!$B29),0)</f>
        <v>0</v>
      </c>
      <c r="AW29" s="2">
        <f ca="1">IFERROR(SUMIFS(INDIRECT("'Thanh Toán ("&amp;AW$3&amp;")'!$F:$F"),INDIRECT("'Thanh Toán ("&amp;AW$3&amp;")'!$D:$D"),'Tổng Đơn'!$B29),0)</f>
        <v>0</v>
      </c>
      <c r="AX29" s="2">
        <f ca="1">IFERROR(SUMIFS(INDIRECT("'Thanh Toán ("&amp;AX$3&amp;")'!$F:$F"),INDIRECT("'Thanh Toán ("&amp;AX$3&amp;")'!$D:$D"),'Tổng Đơn'!$B29),0)</f>
        <v>0</v>
      </c>
      <c r="AY29" s="2">
        <f ca="1">IFERROR(SUMIFS(INDIRECT("'Thanh Toán ("&amp;AY$3&amp;")'!$F:$F"),INDIRECT("'Thanh Toán ("&amp;AY$3&amp;")'!$D:$D"),'Tổng Đơn'!$B29),0)</f>
        <v>0</v>
      </c>
      <c r="AZ29" s="2">
        <f ca="1">IFERROR(SUMIFS(INDIRECT("'Thanh Toán ("&amp;AZ$3&amp;")'!$F:$F"),INDIRECT("'Thanh Toán ("&amp;AZ$3&amp;")'!$D:$D"),'Tổng Đơn'!$B29),0)</f>
        <v>0</v>
      </c>
      <c r="BA29" s="2">
        <f ca="1">IFERROR(SUMIFS(INDIRECT("'Thanh Toán ("&amp;BA$3&amp;")'!$F:$F"),INDIRECT("'Thanh Toán ("&amp;BA$3&amp;")'!$D:$D"),'Tổng Đơn'!$B29),0)</f>
        <v>0</v>
      </c>
      <c r="BB29" s="2">
        <f ca="1">IFERROR(SUMIFS(INDIRECT("'Thanh Toán ("&amp;BB$3&amp;")'!$F:$F"),INDIRECT("'Thanh Toán ("&amp;BB$3&amp;")'!$D:$D"),'Tổng Đơn'!$B29),0)</f>
        <v>0</v>
      </c>
      <c r="BC29" s="2">
        <f ca="1">IFERROR(SUMIFS(INDIRECT("'Thanh Toán ("&amp;BC$3&amp;")'!$F:$F"),INDIRECT("'Thanh Toán ("&amp;BC$3&amp;")'!$D:$D"),'Tổng Đơn'!$B29),0)</f>
        <v>0</v>
      </c>
    </row>
    <row r="30" spans="1:55" ht="18" customHeight="1" x14ac:dyDescent="0.3">
      <c r="A30" s="167">
        <v>20</v>
      </c>
      <c r="B30" s="161" t="s">
        <v>190</v>
      </c>
      <c r="C30" s="167" t="s">
        <v>66</v>
      </c>
      <c r="D30" s="162">
        <f>VLOOKUP($C30,Sheet1!$C$8:$D$80,2,0)</f>
        <v>105000</v>
      </c>
      <c r="E30" s="163">
        <v>0.5</v>
      </c>
      <c r="F30" s="164">
        <f t="shared" ca="1" si="2"/>
        <v>1</v>
      </c>
      <c r="G30" s="165">
        <f>IFERROR(VLOOKUP($B30,Gà!C:J,8,0),IFERROR(VLOOKUP($B30,TVP!C:J,7,0),IFERROR(VLOOKUP($B30,Kitkool!C:J,8,0),IFERROR(VLOOKUP($B30,'La Cusina'!C:J,8,0),VLOOKUP($B30,'Quốc Nhân'!C:J,8,0)))))</f>
        <v>98.733333333333334</v>
      </c>
      <c r="H30" s="166">
        <f t="shared" ca="1" si="10"/>
        <v>6266.6666666666715</v>
      </c>
      <c r="I30" s="186">
        <f t="shared" si="11"/>
        <v>6.347062795408509E-2</v>
      </c>
      <c r="J30" s="166">
        <f t="shared" ca="1" si="12"/>
        <v>98733.333333333328</v>
      </c>
      <c r="K30" s="38"/>
      <c r="L30" s="2">
        <f ca="1">IFERROR(SUMIFS(INDIRECT("'Thanh Toán ("&amp;L$3&amp;")'!$F:$F"),INDIRECT("'Thanh Toán ("&amp;L$3&amp;")'!$D:$D"),'Tổng Đơn'!$B30),0)</f>
        <v>0</v>
      </c>
      <c r="M30" s="2">
        <f ca="1">IFERROR(SUMIFS(INDIRECT("'Thanh Toán ("&amp;M$3&amp;")'!$F:$F"),INDIRECT("'Thanh Toán ("&amp;M$3&amp;")'!$D:$D"),'Tổng Đơn'!$B30),0)</f>
        <v>0</v>
      </c>
      <c r="N30" s="2">
        <f ca="1">IFERROR(SUMIFS(INDIRECT("'Thanh Toán ("&amp;N$3&amp;")'!$F:$F"),INDIRECT("'Thanh Toán ("&amp;N$3&amp;")'!$D:$D"),'Tổng Đơn'!$B30),0)</f>
        <v>0</v>
      </c>
      <c r="O30" s="2">
        <f ca="1">IFERROR(SUMIFS(INDIRECT("'Thanh Toán ("&amp;O$3&amp;")'!$F:$F"),INDIRECT("'Thanh Toán ("&amp;O$3&amp;")'!$D:$D"),'Tổng Đơn'!$B30),0)</f>
        <v>0</v>
      </c>
      <c r="P30" s="2">
        <f ca="1">IFERROR(SUMIFS(INDIRECT("'Thanh Toán ("&amp;P$3&amp;")'!$F:$F"),INDIRECT("'Thanh Toán ("&amp;P$3&amp;")'!$D:$D"),'Tổng Đơn'!$B30),0)</f>
        <v>0</v>
      </c>
      <c r="Q30" s="2">
        <f ca="1">IFERROR(SUMIFS(INDIRECT("'Thanh Toán ("&amp;Q$3&amp;")'!$F:$F"),INDIRECT("'Thanh Toán ("&amp;Q$3&amp;")'!$D:$D"),'Tổng Đơn'!$B30),0)</f>
        <v>0</v>
      </c>
      <c r="R30" s="2">
        <f ca="1">IFERROR(SUMIFS(INDIRECT("'Thanh Toán ("&amp;R$3&amp;")'!$F:$F"),INDIRECT("'Thanh Toán ("&amp;R$3&amp;")'!$D:$D"),'Tổng Đơn'!$B30),0)</f>
        <v>0</v>
      </c>
      <c r="S30" s="2">
        <f ca="1">IFERROR(SUMIFS(INDIRECT("'Thanh Toán ("&amp;S$3&amp;")'!$F:$F"),INDIRECT("'Thanh Toán ("&amp;S$3&amp;")'!$D:$D"),'Tổng Đơn'!$B30),0)</f>
        <v>0</v>
      </c>
      <c r="T30" s="2">
        <f ca="1">IFERROR(SUMIFS(INDIRECT("'Thanh Toán ("&amp;T$3&amp;")'!$F:$F"),INDIRECT("'Thanh Toán ("&amp;T$3&amp;")'!$D:$D"),'Tổng Đơn'!$B30),0)</f>
        <v>0</v>
      </c>
      <c r="U30" s="2">
        <f ca="1">IFERROR(SUMIFS(INDIRECT("'Thanh Toán ("&amp;U$3&amp;")'!$F:$F"),INDIRECT("'Thanh Toán ("&amp;U$3&amp;")'!$D:$D"),'Tổng Đơn'!$B30),0)</f>
        <v>0</v>
      </c>
      <c r="V30" s="2">
        <f ca="1">IFERROR(SUMIFS(INDIRECT("'Thanh Toán ("&amp;V$3&amp;")'!$F:$F"),INDIRECT("'Thanh Toán ("&amp;V$3&amp;")'!$D:$D"),'Tổng Đơn'!$B30),0)</f>
        <v>1</v>
      </c>
      <c r="W30" s="2">
        <f ca="1">IFERROR(SUMIFS(INDIRECT("'Thanh Toán ("&amp;W$3&amp;")'!$F:$F"),INDIRECT("'Thanh Toán ("&amp;W$3&amp;")'!$D:$D"),'Tổng Đơn'!$B30),0)</f>
        <v>0</v>
      </c>
      <c r="X30" s="2">
        <f ca="1">IFERROR(SUMIFS(INDIRECT("'Thanh Toán ("&amp;X$3&amp;")'!$F:$F"),INDIRECT("'Thanh Toán ("&amp;X$3&amp;")'!$D:$D"),'Tổng Đơn'!$B30),0)</f>
        <v>0</v>
      </c>
      <c r="Y30" s="2">
        <f ca="1">IFERROR(SUMIFS(INDIRECT("'Thanh Toán ("&amp;Y$3&amp;")'!$F:$F"),INDIRECT("'Thanh Toán ("&amp;Y$3&amp;")'!$D:$D"),'Tổng Đơn'!$B30),0)</f>
        <v>0</v>
      </c>
      <c r="Z30" s="2">
        <f ca="1">IFERROR(SUMIFS(INDIRECT("'Thanh Toán ("&amp;Z$3&amp;")'!$F:$F"),INDIRECT("'Thanh Toán ("&amp;Z$3&amp;")'!$D:$D"),'Tổng Đơn'!$B30),0)</f>
        <v>0</v>
      </c>
      <c r="AA30" s="2">
        <f ca="1">IFERROR(SUMIFS(INDIRECT("'Thanh Toán ("&amp;AA$3&amp;")'!$F:$F"),INDIRECT("'Thanh Toán ("&amp;AA$3&amp;")'!$D:$D"),'Tổng Đơn'!$B30),0)</f>
        <v>0</v>
      </c>
      <c r="AB30" s="2">
        <f ca="1">IFERROR(SUMIFS(INDIRECT("'Thanh Toán ("&amp;AB$3&amp;")'!$F:$F"),INDIRECT("'Thanh Toán ("&amp;AB$3&amp;")'!$D:$D"),'Tổng Đơn'!$B30),0)</f>
        <v>0</v>
      </c>
      <c r="AC30" s="2">
        <f ca="1">IFERROR(SUMIFS(INDIRECT("'Thanh Toán ("&amp;AC$3&amp;")'!$F:$F"),INDIRECT("'Thanh Toán ("&amp;AC$3&amp;")'!$D:$D"),'Tổng Đơn'!$B30),0)</f>
        <v>0</v>
      </c>
      <c r="AD30" s="2">
        <f ca="1">IFERROR(SUMIFS(INDIRECT("'Thanh Toán ("&amp;AD$3&amp;")'!$F:$F"),INDIRECT("'Thanh Toán ("&amp;AD$3&amp;")'!$D:$D"),'Tổng Đơn'!$B30),0)</f>
        <v>0</v>
      </c>
      <c r="AE30" s="2">
        <f ca="1">IFERROR(SUMIFS(INDIRECT("'Thanh Toán ("&amp;AE$3&amp;")'!$F:$F"),INDIRECT("'Thanh Toán ("&amp;AE$3&amp;")'!$D:$D"),'Tổng Đơn'!$B30),0)</f>
        <v>0</v>
      </c>
      <c r="AF30" s="2">
        <f ca="1">IFERROR(SUMIFS(INDIRECT("'Thanh Toán ("&amp;AF$3&amp;")'!$F:$F"),INDIRECT("'Thanh Toán ("&amp;AF$3&amp;")'!$D:$D"),'Tổng Đơn'!$B30),0)</f>
        <v>0</v>
      </c>
      <c r="AG30" s="2">
        <f ca="1">IFERROR(SUMIFS(INDIRECT("'Thanh Toán ("&amp;AG$3&amp;")'!$F:$F"),INDIRECT("'Thanh Toán ("&amp;AG$3&amp;")'!$D:$D"),'Tổng Đơn'!$B30),0)</f>
        <v>0</v>
      </c>
      <c r="AH30" s="2">
        <f ca="1">IFERROR(SUMIFS(INDIRECT("'Thanh Toán ("&amp;AH$3&amp;")'!$F:$F"),INDIRECT("'Thanh Toán ("&amp;AH$3&amp;")'!$D:$D"),'Tổng Đơn'!$B30),0)</f>
        <v>0</v>
      </c>
      <c r="AI30" s="2">
        <f ca="1">IFERROR(SUMIFS(INDIRECT("'Thanh Toán ("&amp;AI$3&amp;")'!$F:$F"),INDIRECT("'Thanh Toán ("&amp;AI$3&amp;")'!$D:$D"),'Tổng Đơn'!$B30),0)</f>
        <v>0</v>
      </c>
      <c r="AJ30" s="2">
        <f ca="1">IFERROR(SUMIFS(INDIRECT("'Thanh Toán ("&amp;AJ$3&amp;")'!$F:$F"),INDIRECT("'Thanh Toán ("&amp;AJ$3&amp;")'!$D:$D"),'Tổng Đơn'!$B30),0)</f>
        <v>0</v>
      </c>
      <c r="AK30" s="2">
        <f ca="1">IFERROR(SUMIFS(INDIRECT("'Thanh Toán ("&amp;AK$3&amp;")'!$F:$F"),INDIRECT("'Thanh Toán ("&amp;AK$3&amp;")'!$D:$D"),'Tổng Đơn'!$B30),0)</f>
        <v>0</v>
      </c>
      <c r="AL30" s="2">
        <f ca="1">IFERROR(SUMIFS(INDIRECT("'Thanh Toán ("&amp;AL$3&amp;")'!$F:$F"),INDIRECT("'Thanh Toán ("&amp;AL$3&amp;")'!$D:$D"),'Tổng Đơn'!$B30),0)</f>
        <v>0</v>
      </c>
      <c r="AM30" s="2">
        <f ca="1">IFERROR(SUMIFS(INDIRECT("'Thanh Toán ("&amp;AM$3&amp;")'!$F:$F"),INDIRECT("'Thanh Toán ("&amp;AM$3&amp;")'!$D:$D"),'Tổng Đơn'!$B30),0)</f>
        <v>0</v>
      </c>
      <c r="AN30" s="2">
        <f ca="1">IFERROR(SUMIFS(INDIRECT("'Thanh Toán ("&amp;AN$3&amp;")'!$F:$F"),INDIRECT("'Thanh Toán ("&amp;AN$3&amp;")'!$D:$D"),'Tổng Đơn'!$B30),0)</f>
        <v>0</v>
      </c>
      <c r="AO30" s="2">
        <f ca="1">IFERROR(SUMIFS(INDIRECT("'Thanh Toán ("&amp;AO$3&amp;")'!$F:$F"),INDIRECT("'Thanh Toán ("&amp;AO$3&amp;")'!$D:$D"),'Tổng Đơn'!$B30),0)</f>
        <v>0</v>
      </c>
      <c r="AP30" s="2">
        <f ca="1">IFERROR(SUMIFS(INDIRECT("'Thanh Toán ("&amp;AP$3&amp;")'!$F:$F"),INDIRECT("'Thanh Toán ("&amp;AP$3&amp;")'!$D:$D"),'Tổng Đơn'!$B30),0)</f>
        <v>0</v>
      </c>
      <c r="AQ30" s="2">
        <f ca="1">IFERROR(SUMIFS(INDIRECT("'Thanh Toán ("&amp;AQ$3&amp;")'!$F:$F"),INDIRECT("'Thanh Toán ("&amp;AQ$3&amp;")'!$D:$D"),'Tổng Đơn'!$B30),0)</f>
        <v>0</v>
      </c>
      <c r="AR30" s="2">
        <f ca="1">IFERROR(SUMIFS(INDIRECT("'Thanh Toán ("&amp;AR$3&amp;")'!$F:$F"),INDIRECT("'Thanh Toán ("&amp;AR$3&amp;")'!$D:$D"),'Tổng Đơn'!$B30),0)</f>
        <v>0</v>
      </c>
      <c r="AS30" s="2">
        <f ca="1">IFERROR(SUMIFS(INDIRECT("'Thanh Toán ("&amp;AS$3&amp;")'!$F:$F"),INDIRECT("'Thanh Toán ("&amp;AS$3&amp;")'!$D:$D"),'Tổng Đơn'!$B30),0)</f>
        <v>0</v>
      </c>
      <c r="AT30" s="2">
        <f ca="1">IFERROR(SUMIFS(INDIRECT("'Thanh Toán ("&amp;AT$3&amp;")'!$F:$F"),INDIRECT("'Thanh Toán ("&amp;AT$3&amp;")'!$D:$D"),'Tổng Đơn'!$B30),0)</f>
        <v>0</v>
      </c>
      <c r="AU30" s="2">
        <f ca="1">IFERROR(SUMIFS(INDIRECT("'Thanh Toán ("&amp;AU$3&amp;")'!$F:$F"),INDIRECT("'Thanh Toán ("&amp;AU$3&amp;")'!$D:$D"),'Tổng Đơn'!$B30),0)</f>
        <v>0</v>
      </c>
      <c r="AV30" s="2">
        <f ca="1">IFERROR(SUMIFS(INDIRECT("'Thanh Toán ("&amp;AV$3&amp;")'!$F:$F"),INDIRECT("'Thanh Toán ("&amp;AV$3&amp;")'!$D:$D"),'Tổng Đơn'!$B30),0)</f>
        <v>0</v>
      </c>
      <c r="AW30" s="2">
        <f ca="1">IFERROR(SUMIFS(INDIRECT("'Thanh Toán ("&amp;AW$3&amp;")'!$F:$F"),INDIRECT("'Thanh Toán ("&amp;AW$3&amp;")'!$D:$D"),'Tổng Đơn'!$B30),0)</f>
        <v>0</v>
      </c>
      <c r="AX30" s="2">
        <f ca="1">IFERROR(SUMIFS(INDIRECT("'Thanh Toán ("&amp;AX$3&amp;")'!$F:$F"),INDIRECT("'Thanh Toán ("&amp;AX$3&amp;")'!$D:$D"),'Tổng Đơn'!$B30),0)</f>
        <v>0</v>
      </c>
      <c r="AY30" s="2">
        <f ca="1">IFERROR(SUMIFS(INDIRECT("'Thanh Toán ("&amp;AY$3&amp;")'!$F:$F"),INDIRECT("'Thanh Toán ("&amp;AY$3&amp;")'!$D:$D"),'Tổng Đơn'!$B30),0)</f>
        <v>0</v>
      </c>
      <c r="AZ30" s="2">
        <f ca="1">IFERROR(SUMIFS(INDIRECT("'Thanh Toán ("&amp;AZ$3&amp;")'!$F:$F"),INDIRECT("'Thanh Toán ("&amp;AZ$3&amp;")'!$D:$D"),'Tổng Đơn'!$B30),0)</f>
        <v>0</v>
      </c>
      <c r="BA30" s="2">
        <f ca="1">IFERROR(SUMIFS(INDIRECT("'Thanh Toán ("&amp;BA$3&amp;")'!$F:$F"),INDIRECT("'Thanh Toán ("&amp;BA$3&amp;")'!$D:$D"),'Tổng Đơn'!$B30),0)</f>
        <v>0</v>
      </c>
      <c r="BB30" s="2">
        <f ca="1">IFERROR(SUMIFS(INDIRECT("'Thanh Toán ("&amp;BB$3&amp;")'!$F:$F"),INDIRECT("'Thanh Toán ("&amp;BB$3&amp;")'!$D:$D"),'Tổng Đơn'!$B30),0)</f>
        <v>0</v>
      </c>
      <c r="BC30" s="2">
        <f ca="1">IFERROR(SUMIFS(INDIRECT("'Thanh Toán ("&amp;BC$3&amp;")'!$F:$F"),INDIRECT("'Thanh Toán ("&amp;BC$3&amp;")'!$D:$D"),'Tổng Đơn'!$B30),0)</f>
        <v>0</v>
      </c>
    </row>
    <row r="31" spans="1:55" ht="18" customHeight="1" x14ac:dyDescent="0.3">
      <c r="A31" s="160">
        <v>21</v>
      </c>
      <c r="B31" s="161" t="s">
        <v>114</v>
      </c>
      <c r="C31" s="160" t="s">
        <v>67</v>
      </c>
      <c r="D31" s="162">
        <f>VLOOKUP($C31,Sheet1!$C$8:$D$80,2,0)</f>
        <v>42000</v>
      </c>
      <c r="E31" s="163">
        <v>0.5</v>
      </c>
      <c r="F31" s="164">
        <f t="shared" ca="1" si="2"/>
        <v>3</v>
      </c>
      <c r="G31" s="165">
        <f>IFERROR(VLOOKUP($B31,Gà!C:J,8,0),IFERROR(VLOOKUP($B31,TVP!C:J,7,0),IFERROR(VLOOKUP($B31,Kitkool!C:J,8,0),IFERROR(VLOOKUP($B31,'La Cusina'!C:J,8,0),VLOOKUP($B31,'Quốc Nhân'!C:J,8,0)))))</f>
        <v>39.380329456306349</v>
      </c>
      <c r="H31" s="166">
        <f t="shared" ca="1" si="10"/>
        <v>7859.0116310809608</v>
      </c>
      <c r="I31" s="186">
        <f t="shared" si="11"/>
        <v>6.6522311515962773E-2</v>
      </c>
      <c r="J31" s="166">
        <f t="shared" ca="1" si="12"/>
        <v>118140.98836891905</v>
      </c>
      <c r="K31" s="38"/>
      <c r="L31" s="2">
        <f ca="1">IFERROR(SUMIFS(INDIRECT("'Thanh Toán ("&amp;L$3&amp;")'!$F:$F"),INDIRECT("'Thanh Toán ("&amp;L$3&amp;")'!$D:$D"),'Tổng Đơn'!$B31),0)</f>
        <v>0</v>
      </c>
      <c r="M31" s="2">
        <f ca="1">IFERROR(SUMIFS(INDIRECT("'Thanh Toán ("&amp;M$3&amp;")'!$F:$F"),INDIRECT("'Thanh Toán ("&amp;M$3&amp;")'!$D:$D"),'Tổng Đơn'!$B31),0)</f>
        <v>0</v>
      </c>
      <c r="N31" s="2">
        <f ca="1">IFERROR(SUMIFS(INDIRECT("'Thanh Toán ("&amp;N$3&amp;")'!$F:$F"),INDIRECT("'Thanh Toán ("&amp;N$3&amp;")'!$D:$D"),'Tổng Đơn'!$B31),0)</f>
        <v>0</v>
      </c>
      <c r="O31" s="2">
        <f ca="1">IFERROR(SUMIFS(INDIRECT("'Thanh Toán ("&amp;O$3&amp;")'!$F:$F"),INDIRECT("'Thanh Toán ("&amp;O$3&amp;")'!$D:$D"),'Tổng Đơn'!$B31),0)</f>
        <v>0</v>
      </c>
      <c r="P31" s="2">
        <f ca="1">IFERROR(SUMIFS(INDIRECT("'Thanh Toán ("&amp;P$3&amp;")'!$F:$F"),INDIRECT("'Thanh Toán ("&amp;P$3&amp;")'!$D:$D"),'Tổng Đơn'!$B31),0)</f>
        <v>0</v>
      </c>
      <c r="Q31" s="2">
        <f ca="1">IFERROR(SUMIFS(INDIRECT("'Thanh Toán ("&amp;Q$3&amp;")'!$F:$F"),INDIRECT("'Thanh Toán ("&amp;Q$3&amp;")'!$D:$D"),'Tổng Đơn'!$B31),0)</f>
        <v>0</v>
      </c>
      <c r="R31" s="2">
        <f ca="1">IFERROR(SUMIFS(INDIRECT("'Thanh Toán ("&amp;R$3&amp;")'!$F:$F"),INDIRECT("'Thanh Toán ("&amp;R$3&amp;")'!$D:$D"),'Tổng Đơn'!$B31),0)</f>
        <v>3</v>
      </c>
      <c r="S31" s="2">
        <f ca="1">IFERROR(SUMIFS(INDIRECT("'Thanh Toán ("&amp;S$3&amp;")'!$F:$F"),INDIRECT("'Thanh Toán ("&amp;S$3&amp;")'!$D:$D"),'Tổng Đơn'!$B31),0)</f>
        <v>0</v>
      </c>
      <c r="T31" s="2">
        <f ca="1">IFERROR(SUMIFS(INDIRECT("'Thanh Toán ("&amp;T$3&amp;")'!$F:$F"),INDIRECT("'Thanh Toán ("&amp;T$3&amp;")'!$D:$D"),'Tổng Đơn'!$B31),0)</f>
        <v>0</v>
      </c>
      <c r="U31" s="2">
        <f ca="1">IFERROR(SUMIFS(INDIRECT("'Thanh Toán ("&amp;U$3&amp;")'!$F:$F"),INDIRECT("'Thanh Toán ("&amp;U$3&amp;")'!$D:$D"),'Tổng Đơn'!$B31),0)</f>
        <v>0</v>
      </c>
      <c r="V31" s="2">
        <f ca="1">IFERROR(SUMIFS(INDIRECT("'Thanh Toán ("&amp;V$3&amp;")'!$F:$F"),INDIRECT("'Thanh Toán ("&amp;V$3&amp;")'!$D:$D"),'Tổng Đơn'!$B31),0)</f>
        <v>0</v>
      </c>
      <c r="W31" s="2">
        <f ca="1">IFERROR(SUMIFS(INDIRECT("'Thanh Toán ("&amp;W$3&amp;")'!$F:$F"),INDIRECT("'Thanh Toán ("&amp;W$3&amp;")'!$D:$D"),'Tổng Đơn'!$B31),0)</f>
        <v>0</v>
      </c>
      <c r="X31" s="2">
        <f ca="1">IFERROR(SUMIFS(INDIRECT("'Thanh Toán ("&amp;X$3&amp;")'!$F:$F"),INDIRECT("'Thanh Toán ("&amp;X$3&amp;")'!$D:$D"),'Tổng Đơn'!$B31),0)</f>
        <v>0</v>
      </c>
      <c r="Y31" s="2">
        <f ca="1">IFERROR(SUMIFS(INDIRECT("'Thanh Toán ("&amp;Y$3&amp;")'!$F:$F"),INDIRECT("'Thanh Toán ("&amp;Y$3&amp;")'!$D:$D"),'Tổng Đơn'!$B31),0)</f>
        <v>0</v>
      </c>
      <c r="Z31" s="2">
        <f ca="1">IFERROR(SUMIFS(INDIRECT("'Thanh Toán ("&amp;Z$3&amp;")'!$F:$F"),INDIRECT("'Thanh Toán ("&amp;Z$3&amp;")'!$D:$D"),'Tổng Đơn'!$B31),0)</f>
        <v>0</v>
      </c>
      <c r="AA31" s="2">
        <f ca="1">IFERROR(SUMIFS(INDIRECT("'Thanh Toán ("&amp;AA$3&amp;")'!$F:$F"),INDIRECT("'Thanh Toán ("&amp;AA$3&amp;")'!$D:$D"),'Tổng Đơn'!$B31),0)</f>
        <v>0</v>
      </c>
      <c r="AB31" s="2">
        <f ca="1">IFERROR(SUMIFS(INDIRECT("'Thanh Toán ("&amp;AB$3&amp;")'!$F:$F"),INDIRECT("'Thanh Toán ("&amp;AB$3&amp;")'!$D:$D"),'Tổng Đơn'!$B31),0)</f>
        <v>0</v>
      </c>
      <c r="AC31" s="2">
        <f ca="1">IFERROR(SUMIFS(INDIRECT("'Thanh Toán ("&amp;AC$3&amp;")'!$F:$F"),INDIRECT("'Thanh Toán ("&amp;AC$3&amp;")'!$D:$D"),'Tổng Đơn'!$B31),0)</f>
        <v>0</v>
      </c>
      <c r="AD31" s="2">
        <f ca="1">IFERROR(SUMIFS(INDIRECT("'Thanh Toán ("&amp;AD$3&amp;")'!$F:$F"),INDIRECT("'Thanh Toán ("&amp;AD$3&amp;")'!$D:$D"),'Tổng Đơn'!$B31),0)</f>
        <v>0</v>
      </c>
      <c r="AE31" s="2">
        <f ca="1">IFERROR(SUMIFS(INDIRECT("'Thanh Toán ("&amp;AE$3&amp;")'!$F:$F"),INDIRECT("'Thanh Toán ("&amp;AE$3&amp;")'!$D:$D"),'Tổng Đơn'!$B31),0)</f>
        <v>0</v>
      </c>
      <c r="AF31" s="2">
        <f ca="1">IFERROR(SUMIFS(INDIRECT("'Thanh Toán ("&amp;AF$3&amp;")'!$F:$F"),INDIRECT("'Thanh Toán ("&amp;AF$3&amp;")'!$D:$D"),'Tổng Đơn'!$B31),0)</f>
        <v>0</v>
      </c>
      <c r="AG31" s="2">
        <f ca="1">IFERROR(SUMIFS(INDIRECT("'Thanh Toán ("&amp;AG$3&amp;")'!$F:$F"),INDIRECT("'Thanh Toán ("&amp;AG$3&amp;")'!$D:$D"),'Tổng Đơn'!$B31),0)</f>
        <v>0</v>
      </c>
      <c r="AH31" s="2">
        <f ca="1">IFERROR(SUMIFS(INDIRECT("'Thanh Toán ("&amp;AH$3&amp;")'!$F:$F"),INDIRECT("'Thanh Toán ("&amp;AH$3&amp;")'!$D:$D"),'Tổng Đơn'!$B31),0)</f>
        <v>0</v>
      </c>
      <c r="AI31" s="2">
        <f ca="1">IFERROR(SUMIFS(INDIRECT("'Thanh Toán ("&amp;AI$3&amp;")'!$F:$F"),INDIRECT("'Thanh Toán ("&amp;AI$3&amp;")'!$D:$D"),'Tổng Đơn'!$B31),0)</f>
        <v>0</v>
      </c>
      <c r="AJ31" s="2">
        <f ca="1">IFERROR(SUMIFS(INDIRECT("'Thanh Toán ("&amp;AJ$3&amp;")'!$F:$F"),INDIRECT("'Thanh Toán ("&amp;AJ$3&amp;")'!$D:$D"),'Tổng Đơn'!$B31),0)</f>
        <v>0</v>
      </c>
      <c r="AK31" s="2">
        <f ca="1">IFERROR(SUMIFS(INDIRECT("'Thanh Toán ("&amp;AK$3&amp;")'!$F:$F"),INDIRECT("'Thanh Toán ("&amp;AK$3&amp;")'!$D:$D"),'Tổng Đơn'!$B31),0)</f>
        <v>0</v>
      </c>
      <c r="AL31" s="2">
        <f ca="1">IFERROR(SUMIFS(INDIRECT("'Thanh Toán ("&amp;AL$3&amp;")'!$F:$F"),INDIRECT("'Thanh Toán ("&amp;AL$3&amp;")'!$D:$D"),'Tổng Đơn'!$B31),0)</f>
        <v>0</v>
      </c>
      <c r="AM31" s="2">
        <f ca="1">IFERROR(SUMIFS(INDIRECT("'Thanh Toán ("&amp;AM$3&amp;")'!$F:$F"),INDIRECT("'Thanh Toán ("&amp;AM$3&amp;")'!$D:$D"),'Tổng Đơn'!$B31),0)</f>
        <v>0</v>
      </c>
      <c r="AN31" s="2">
        <f ca="1">IFERROR(SUMIFS(INDIRECT("'Thanh Toán ("&amp;AN$3&amp;")'!$F:$F"),INDIRECT("'Thanh Toán ("&amp;AN$3&amp;")'!$D:$D"),'Tổng Đơn'!$B31),0)</f>
        <v>0</v>
      </c>
      <c r="AO31" s="2">
        <f ca="1">IFERROR(SUMIFS(INDIRECT("'Thanh Toán ("&amp;AO$3&amp;")'!$F:$F"),INDIRECT("'Thanh Toán ("&amp;AO$3&amp;")'!$D:$D"),'Tổng Đơn'!$B31),0)</f>
        <v>0</v>
      </c>
      <c r="AP31" s="2">
        <f ca="1">IFERROR(SUMIFS(INDIRECT("'Thanh Toán ("&amp;AP$3&amp;")'!$F:$F"),INDIRECT("'Thanh Toán ("&amp;AP$3&amp;")'!$D:$D"),'Tổng Đơn'!$B31),0)</f>
        <v>0</v>
      </c>
      <c r="AQ31" s="2">
        <f ca="1">IFERROR(SUMIFS(INDIRECT("'Thanh Toán ("&amp;AQ$3&amp;")'!$F:$F"),INDIRECT("'Thanh Toán ("&amp;AQ$3&amp;")'!$D:$D"),'Tổng Đơn'!$B31),0)</f>
        <v>0</v>
      </c>
      <c r="AR31" s="2">
        <f ca="1">IFERROR(SUMIFS(INDIRECT("'Thanh Toán ("&amp;AR$3&amp;")'!$F:$F"),INDIRECT("'Thanh Toán ("&amp;AR$3&amp;")'!$D:$D"),'Tổng Đơn'!$B31),0)</f>
        <v>0</v>
      </c>
      <c r="AS31" s="2">
        <f ca="1">IFERROR(SUMIFS(INDIRECT("'Thanh Toán ("&amp;AS$3&amp;")'!$F:$F"),INDIRECT("'Thanh Toán ("&amp;AS$3&amp;")'!$D:$D"),'Tổng Đơn'!$B31),0)</f>
        <v>0</v>
      </c>
      <c r="AT31" s="2">
        <f ca="1">IFERROR(SUMIFS(INDIRECT("'Thanh Toán ("&amp;AT$3&amp;")'!$F:$F"),INDIRECT("'Thanh Toán ("&amp;AT$3&amp;")'!$D:$D"),'Tổng Đơn'!$B31),0)</f>
        <v>0</v>
      </c>
      <c r="AU31" s="2">
        <f ca="1">IFERROR(SUMIFS(INDIRECT("'Thanh Toán ("&amp;AU$3&amp;")'!$F:$F"),INDIRECT("'Thanh Toán ("&amp;AU$3&amp;")'!$D:$D"),'Tổng Đơn'!$B31),0)</f>
        <v>0</v>
      </c>
      <c r="AV31" s="2">
        <f ca="1">IFERROR(SUMIFS(INDIRECT("'Thanh Toán ("&amp;AV$3&amp;")'!$F:$F"),INDIRECT("'Thanh Toán ("&amp;AV$3&amp;")'!$D:$D"),'Tổng Đơn'!$B31),0)</f>
        <v>0</v>
      </c>
      <c r="AW31" s="2">
        <f ca="1">IFERROR(SUMIFS(INDIRECT("'Thanh Toán ("&amp;AW$3&amp;")'!$F:$F"),INDIRECT("'Thanh Toán ("&amp;AW$3&amp;")'!$D:$D"),'Tổng Đơn'!$B31),0)</f>
        <v>0</v>
      </c>
      <c r="AX31" s="2">
        <f ca="1">IFERROR(SUMIFS(INDIRECT("'Thanh Toán ("&amp;AX$3&amp;")'!$F:$F"),INDIRECT("'Thanh Toán ("&amp;AX$3&amp;")'!$D:$D"),'Tổng Đơn'!$B31),0)</f>
        <v>0</v>
      </c>
      <c r="AY31" s="2">
        <f ca="1">IFERROR(SUMIFS(INDIRECT("'Thanh Toán ("&amp;AY$3&amp;")'!$F:$F"),INDIRECT("'Thanh Toán ("&amp;AY$3&amp;")'!$D:$D"),'Tổng Đơn'!$B31),0)</f>
        <v>0</v>
      </c>
      <c r="AZ31" s="2">
        <f ca="1">IFERROR(SUMIFS(INDIRECT("'Thanh Toán ("&amp;AZ$3&amp;")'!$F:$F"),INDIRECT("'Thanh Toán ("&amp;AZ$3&amp;")'!$D:$D"),'Tổng Đơn'!$B31),0)</f>
        <v>0</v>
      </c>
      <c r="BA31" s="2">
        <f ca="1">IFERROR(SUMIFS(INDIRECT("'Thanh Toán ("&amp;BA$3&amp;")'!$F:$F"),INDIRECT("'Thanh Toán ("&amp;BA$3&amp;")'!$D:$D"),'Tổng Đơn'!$B31),0)</f>
        <v>0</v>
      </c>
      <c r="BB31" s="2">
        <f ca="1">IFERROR(SUMIFS(INDIRECT("'Thanh Toán ("&amp;BB$3&amp;")'!$F:$F"),INDIRECT("'Thanh Toán ("&amp;BB$3&amp;")'!$D:$D"),'Tổng Đơn'!$B31),0)</f>
        <v>0</v>
      </c>
      <c r="BC31" s="2">
        <f ca="1">IFERROR(SUMIFS(INDIRECT("'Thanh Toán ("&amp;BC$3&amp;")'!$F:$F"),INDIRECT("'Thanh Toán ("&amp;BC$3&amp;")'!$D:$D"),'Tổng Đơn'!$B31),0)</f>
        <v>0</v>
      </c>
    </row>
    <row r="32" spans="1:55" ht="18" customHeight="1" x14ac:dyDescent="0.3">
      <c r="A32" s="167">
        <v>22</v>
      </c>
      <c r="B32" s="161" t="s">
        <v>116</v>
      </c>
      <c r="C32" s="167" t="s">
        <v>68</v>
      </c>
      <c r="D32" s="162">
        <f>VLOOKUP($C32,Sheet1!$C$8:$D$80,2,0)</f>
        <v>35000</v>
      </c>
      <c r="E32" s="163">
        <v>0.5</v>
      </c>
      <c r="F32" s="164">
        <f t="shared" ca="1" si="2"/>
        <v>0</v>
      </c>
      <c r="G32" s="165">
        <f>IFERROR(VLOOKUP($B32,Gà!C:J,8,0),IFERROR(VLOOKUP($B32,TVP!C:J,7,0),IFERROR(VLOOKUP($B32,Kitkool!C:J,8,0),IFERROR(VLOOKUP($B32,'La Cusina'!C:J,8,0),VLOOKUP($B32,'Quốc Nhân'!C:J,8,0)))))</f>
        <v>27.819255292612858</v>
      </c>
      <c r="H32" s="166">
        <f t="shared" ca="1" si="10"/>
        <v>0</v>
      </c>
      <c r="I32" s="186">
        <f t="shared" si="11"/>
        <v>0.25812138505713045</v>
      </c>
      <c r="J32" s="166">
        <f t="shared" ca="1" si="12"/>
        <v>0</v>
      </c>
      <c r="K32" s="38"/>
      <c r="L32" s="2">
        <f ca="1">IFERROR(SUMIFS(INDIRECT("'Thanh Toán ("&amp;L$3&amp;")'!$F:$F"),INDIRECT("'Thanh Toán ("&amp;L$3&amp;")'!$D:$D"),'Tổng Đơn'!$B32),0)</f>
        <v>0</v>
      </c>
      <c r="M32" s="2">
        <f ca="1">IFERROR(SUMIFS(INDIRECT("'Thanh Toán ("&amp;M$3&amp;")'!$F:$F"),INDIRECT("'Thanh Toán ("&amp;M$3&amp;")'!$D:$D"),'Tổng Đơn'!$B32),0)</f>
        <v>0</v>
      </c>
      <c r="N32" s="2">
        <f ca="1">IFERROR(SUMIFS(INDIRECT("'Thanh Toán ("&amp;N$3&amp;")'!$F:$F"),INDIRECT("'Thanh Toán ("&amp;N$3&amp;")'!$D:$D"),'Tổng Đơn'!$B32),0)</f>
        <v>0</v>
      </c>
      <c r="O32" s="2">
        <f ca="1">IFERROR(SUMIFS(INDIRECT("'Thanh Toán ("&amp;O$3&amp;")'!$F:$F"),INDIRECT("'Thanh Toán ("&amp;O$3&amp;")'!$D:$D"),'Tổng Đơn'!$B32),0)</f>
        <v>0</v>
      </c>
      <c r="P32" s="2">
        <f ca="1">IFERROR(SUMIFS(INDIRECT("'Thanh Toán ("&amp;P$3&amp;")'!$F:$F"),INDIRECT("'Thanh Toán ("&amp;P$3&amp;")'!$D:$D"),'Tổng Đơn'!$B32),0)</f>
        <v>0</v>
      </c>
      <c r="Q32" s="2">
        <f ca="1">IFERROR(SUMIFS(INDIRECT("'Thanh Toán ("&amp;Q$3&amp;")'!$F:$F"),INDIRECT("'Thanh Toán ("&amp;Q$3&amp;")'!$D:$D"),'Tổng Đơn'!$B32),0)</f>
        <v>0</v>
      </c>
      <c r="R32" s="2">
        <f ca="1">IFERROR(SUMIFS(INDIRECT("'Thanh Toán ("&amp;R$3&amp;")'!$F:$F"),INDIRECT("'Thanh Toán ("&amp;R$3&amp;")'!$D:$D"),'Tổng Đơn'!$B32),0)</f>
        <v>0</v>
      </c>
      <c r="S32" s="2">
        <f ca="1">IFERROR(SUMIFS(INDIRECT("'Thanh Toán ("&amp;S$3&amp;")'!$F:$F"),INDIRECT("'Thanh Toán ("&amp;S$3&amp;")'!$D:$D"),'Tổng Đơn'!$B32),0)</f>
        <v>0</v>
      </c>
      <c r="T32" s="2">
        <f ca="1">IFERROR(SUMIFS(INDIRECT("'Thanh Toán ("&amp;T$3&amp;")'!$F:$F"),INDIRECT("'Thanh Toán ("&amp;T$3&amp;")'!$D:$D"),'Tổng Đơn'!$B32),0)</f>
        <v>0</v>
      </c>
      <c r="U32" s="2">
        <f ca="1">IFERROR(SUMIFS(INDIRECT("'Thanh Toán ("&amp;U$3&amp;")'!$F:$F"),INDIRECT("'Thanh Toán ("&amp;U$3&amp;")'!$D:$D"),'Tổng Đơn'!$B32),0)</f>
        <v>0</v>
      </c>
      <c r="V32" s="2">
        <f ca="1">IFERROR(SUMIFS(INDIRECT("'Thanh Toán ("&amp;V$3&amp;")'!$F:$F"),INDIRECT("'Thanh Toán ("&amp;V$3&amp;")'!$D:$D"),'Tổng Đơn'!$B32),0)</f>
        <v>0</v>
      </c>
      <c r="W32" s="2">
        <f ca="1">IFERROR(SUMIFS(INDIRECT("'Thanh Toán ("&amp;W$3&amp;")'!$F:$F"),INDIRECT("'Thanh Toán ("&amp;W$3&amp;")'!$D:$D"),'Tổng Đơn'!$B32),0)</f>
        <v>0</v>
      </c>
      <c r="X32" s="2">
        <f ca="1">IFERROR(SUMIFS(INDIRECT("'Thanh Toán ("&amp;X$3&amp;")'!$F:$F"),INDIRECT("'Thanh Toán ("&amp;X$3&amp;")'!$D:$D"),'Tổng Đơn'!$B32),0)</f>
        <v>0</v>
      </c>
      <c r="Y32" s="2">
        <f ca="1">IFERROR(SUMIFS(INDIRECT("'Thanh Toán ("&amp;Y$3&amp;")'!$F:$F"),INDIRECT("'Thanh Toán ("&amp;Y$3&amp;")'!$D:$D"),'Tổng Đơn'!$B32),0)</f>
        <v>0</v>
      </c>
      <c r="Z32" s="2">
        <f ca="1">IFERROR(SUMIFS(INDIRECT("'Thanh Toán ("&amp;Z$3&amp;")'!$F:$F"),INDIRECT("'Thanh Toán ("&amp;Z$3&amp;")'!$D:$D"),'Tổng Đơn'!$B32),0)</f>
        <v>0</v>
      </c>
      <c r="AA32" s="2">
        <f ca="1">IFERROR(SUMIFS(INDIRECT("'Thanh Toán ("&amp;AA$3&amp;")'!$F:$F"),INDIRECT("'Thanh Toán ("&amp;AA$3&amp;")'!$D:$D"),'Tổng Đơn'!$B32),0)</f>
        <v>0</v>
      </c>
      <c r="AB32" s="2">
        <f ca="1">IFERROR(SUMIFS(INDIRECT("'Thanh Toán ("&amp;AB$3&amp;")'!$F:$F"),INDIRECT("'Thanh Toán ("&amp;AB$3&amp;")'!$D:$D"),'Tổng Đơn'!$B32),0)</f>
        <v>0</v>
      </c>
      <c r="AC32" s="2">
        <f ca="1">IFERROR(SUMIFS(INDIRECT("'Thanh Toán ("&amp;AC$3&amp;")'!$F:$F"),INDIRECT("'Thanh Toán ("&amp;AC$3&amp;")'!$D:$D"),'Tổng Đơn'!$B32),0)</f>
        <v>0</v>
      </c>
      <c r="AD32" s="2">
        <f ca="1">IFERROR(SUMIFS(INDIRECT("'Thanh Toán ("&amp;AD$3&amp;")'!$F:$F"),INDIRECT("'Thanh Toán ("&amp;AD$3&amp;")'!$D:$D"),'Tổng Đơn'!$B32),0)</f>
        <v>0</v>
      </c>
      <c r="AE32" s="2">
        <f ca="1">IFERROR(SUMIFS(INDIRECT("'Thanh Toán ("&amp;AE$3&amp;")'!$F:$F"),INDIRECT("'Thanh Toán ("&amp;AE$3&amp;")'!$D:$D"),'Tổng Đơn'!$B32),0)</f>
        <v>0</v>
      </c>
      <c r="AF32" s="2">
        <f ca="1">IFERROR(SUMIFS(INDIRECT("'Thanh Toán ("&amp;AF$3&amp;")'!$F:$F"),INDIRECT("'Thanh Toán ("&amp;AF$3&amp;")'!$D:$D"),'Tổng Đơn'!$B32),0)</f>
        <v>0</v>
      </c>
      <c r="AG32" s="2">
        <f ca="1">IFERROR(SUMIFS(INDIRECT("'Thanh Toán ("&amp;AG$3&amp;")'!$F:$F"),INDIRECT("'Thanh Toán ("&amp;AG$3&amp;")'!$D:$D"),'Tổng Đơn'!$B32),0)</f>
        <v>0</v>
      </c>
      <c r="AH32" s="2">
        <f ca="1">IFERROR(SUMIFS(INDIRECT("'Thanh Toán ("&amp;AH$3&amp;")'!$F:$F"),INDIRECT("'Thanh Toán ("&amp;AH$3&amp;")'!$D:$D"),'Tổng Đơn'!$B32),0)</f>
        <v>0</v>
      </c>
      <c r="AI32" s="2">
        <f ca="1">IFERROR(SUMIFS(INDIRECT("'Thanh Toán ("&amp;AI$3&amp;")'!$F:$F"),INDIRECT("'Thanh Toán ("&amp;AI$3&amp;")'!$D:$D"),'Tổng Đơn'!$B32),0)</f>
        <v>0</v>
      </c>
      <c r="AJ32" s="2">
        <f ca="1">IFERROR(SUMIFS(INDIRECT("'Thanh Toán ("&amp;AJ$3&amp;")'!$F:$F"),INDIRECT("'Thanh Toán ("&amp;AJ$3&amp;")'!$D:$D"),'Tổng Đơn'!$B32),0)</f>
        <v>0</v>
      </c>
      <c r="AK32" s="2">
        <f ca="1">IFERROR(SUMIFS(INDIRECT("'Thanh Toán ("&amp;AK$3&amp;")'!$F:$F"),INDIRECT("'Thanh Toán ("&amp;AK$3&amp;")'!$D:$D"),'Tổng Đơn'!$B32),0)</f>
        <v>0</v>
      </c>
      <c r="AL32" s="2">
        <f ca="1">IFERROR(SUMIFS(INDIRECT("'Thanh Toán ("&amp;AL$3&amp;")'!$F:$F"),INDIRECT("'Thanh Toán ("&amp;AL$3&amp;")'!$D:$D"),'Tổng Đơn'!$B32),0)</f>
        <v>0</v>
      </c>
      <c r="AM32" s="2">
        <f ca="1">IFERROR(SUMIFS(INDIRECT("'Thanh Toán ("&amp;AM$3&amp;")'!$F:$F"),INDIRECT("'Thanh Toán ("&amp;AM$3&amp;")'!$D:$D"),'Tổng Đơn'!$B32),0)</f>
        <v>0</v>
      </c>
      <c r="AN32" s="2">
        <f ca="1">IFERROR(SUMIFS(INDIRECT("'Thanh Toán ("&amp;AN$3&amp;")'!$F:$F"),INDIRECT("'Thanh Toán ("&amp;AN$3&amp;")'!$D:$D"),'Tổng Đơn'!$B32),0)</f>
        <v>0</v>
      </c>
      <c r="AO32" s="2">
        <f ca="1">IFERROR(SUMIFS(INDIRECT("'Thanh Toán ("&amp;AO$3&amp;")'!$F:$F"),INDIRECT("'Thanh Toán ("&amp;AO$3&amp;")'!$D:$D"),'Tổng Đơn'!$B32),0)</f>
        <v>0</v>
      </c>
      <c r="AP32" s="2">
        <f ca="1">IFERROR(SUMIFS(INDIRECT("'Thanh Toán ("&amp;AP$3&amp;")'!$F:$F"),INDIRECT("'Thanh Toán ("&amp;AP$3&amp;")'!$D:$D"),'Tổng Đơn'!$B32),0)</f>
        <v>0</v>
      </c>
      <c r="AQ32" s="2">
        <f ca="1">IFERROR(SUMIFS(INDIRECT("'Thanh Toán ("&amp;AQ$3&amp;")'!$F:$F"),INDIRECT("'Thanh Toán ("&amp;AQ$3&amp;")'!$D:$D"),'Tổng Đơn'!$B32),0)</f>
        <v>0</v>
      </c>
      <c r="AR32" s="2">
        <f ca="1">IFERROR(SUMIFS(INDIRECT("'Thanh Toán ("&amp;AR$3&amp;")'!$F:$F"),INDIRECT("'Thanh Toán ("&amp;AR$3&amp;")'!$D:$D"),'Tổng Đơn'!$B32),0)</f>
        <v>0</v>
      </c>
      <c r="AS32" s="2">
        <f ca="1">IFERROR(SUMIFS(INDIRECT("'Thanh Toán ("&amp;AS$3&amp;")'!$F:$F"),INDIRECT("'Thanh Toán ("&amp;AS$3&amp;")'!$D:$D"),'Tổng Đơn'!$B32),0)</f>
        <v>0</v>
      </c>
      <c r="AT32" s="2">
        <f ca="1">IFERROR(SUMIFS(INDIRECT("'Thanh Toán ("&amp;AT$3&amp;")'!$F:$F"),INDIRECT("'Thanh Toán ("&amp;AT$3&amp;")'!$D:$D"),'Tổng Đơn'!$B32),0)</f>
        <v>0</v>
      </c>
      <c r="AU32" s="2">
        <f ca="1">IFERROR(SUMIFS(INDIRECT("'Thanh Toán ("&amp;AU$3&amp;")'!$F:$F"),INDIRECT("'Thanh Toán ("&amp;AU$3&amp;")'!$D:$D"),'Tổng Đơn'!$B32),0)</f>
        <v>0</v>
      </c>
      <c r="AV32" s="2">
        <f ca="1">IFERROR(SUMIFS(INDIRECT("'Thanh Toán ("&amp;AV$3&amp;")'!$F:$F"),INDIRECT("'Thanh Toán ("&amp;AV$3&amp;")'!$D:$D"),'Tổng Đơn'!$B32),0)</f>
        <v>0</v>
      </c>
      <c r="AW32" s="2">
        <f ca="1">IFERROR(SUMIFS(INDIRECT("'Thanh Toán ("&amp;AW$3&amp;")'!$F:$F"),INDIRECT("'Thanh Toán ("&amp;AW$3&amp;")'!$D:$D"),'Tổng Đơn'!$B32),0)</f>
        <v>0</v>
      </c>
      <c r="AX32" s="2">
        <f ca="1">IFERROR(SUMIFS(INDIRECT("'Thanh Toán ("&amp;AX$3&amp;")'!$F:$F"),INDIRECT("'Thanh Toán ("&amp;AX$3&amp;")'!$D:$D"),'Tổng Đơn'!$B32),0)</f>
        <v>0</v>
      </c>
      <c r="AY32" s="2">
        <f ca="1">IFERROR(SUMIFS(INDIRECT("'Thanh Toán ("&amp;AY$3&amp;")'!$F:$F"),INDIRECT("'Thanh Toán ("&amp;AY$3&amp;")'!$D:$D"),'Tổng Đơn'!$B32),0)</f>
        <v>0</v>
      </c>
      <c r="AZ32" s="2">
        <f ca="1">IFERROR(SUMIFS(INDIRECT("'Thanh Toán ("&amp;AZ$3&amp;")'!$F:$F"),INDIRECT("'Thanh Toán ("&amp;AZ$3&amp;")'!$D:$D"),'Tổng Đơn'!$B32),0)</f>
        <v>0</v>
      </c>
      <c r="BA32" s="2">
        <f ca="1">IFERROR(SUMIFS(INDIRECT("'Thanh Toán ("&amp;BA$3&amp;")'!$F:$F"),INDIRECT("'Thanh Toán ("&amp;BA$3&amp;")'!$D:$D"),'Tổng Đơn'!$B32),0)</f>
        <v>0</v>
      </c>
      <c r="BB32" s="2">
        <f ca="1">IFERROR(SUMIFS(INDIRECT("'Thanh Toán ("&amp;BB$3&amp;")'!$F:$F"),INDIRECT("'Thanh Toán ("&amp;BB$3&amp;")'!$D:$D"),'Tổng Đơn'!$B32),0)</f>
        <v>0</v>
      </c>
      <c r="BC32" s="2">
        <f ca="1">IFERROR(SUMIFS(INDIRECT("'Thanh Toán ("&amp;BC$3&amp;")'!$F:$F"),INDIRECT("'Thanh Toán ("&amp;BC$3&amp;")'!$D:$D"),'Tổng Đơn'!$B32),0)</f>
        <v>0</v>
      </c>
    </row>
    <row r="33" spans="1:55" ht="18" customHeight="1" x14ac:dyDescent="0.3">
      <c r="A33" s="160">
        <v>23</v>
      </c>
      <c r="B33" s="161" t="s">
        <v>253</v>
      </c>
      <c r="C33" s="160" t="s">
        <v>69</v>
      </c>
      <c r="D33" s="162">
        <f>VLOOKUP($C33,Sheet1!$C$8:$D$80,2,0)</f>
        <v>35000</v>
      </c>
      <c r="E33" s="163">
        <v>0.2</v>
      </c>
      <c r="F33" s="164">
        <f t="shared" ca="1" si="2"/>
        <v>0</v>
      </c>
      <c r="G33" s="165">
        <f>IFERROR(VLOOKUP($B33,Gà!C:J,8,0),IFERROR(VLOOKUP($B33,TVP!C:J,7,0),IFERROR(VLOOKUP($B33,Kitkool!C:J,8,0),IFERROR(VLOOKUP($B33,'La Cusina'!C:J,8,0),VLOOKUP($B33,'Quốc Nhân'!C:J,8,0)))))</f>
        <v>31.291481385309488</v>
      </c>
      <c r="H33" s="166">
        <f t="shared" ca="1" si="10"/>
        <v>0</v>
      </c>
      <c r="I33" s="186">
        <f t="shared" si="11"/>
        <v>0.11851527797695005</v>
      </c>
      <c r="J33" s="166">
        <f t="shared" ca="1" si="12"/>
        <v>0</v>
      </c>
      <c r="K33" s="38"/>
      <c r="L33" s="2">
        <f ca="1">IFERROR(SUMIFS(INDIRECT("'Thanh Toán ("&amp;L$3&amp;")'!$F:$F"),INDIRECT("'Thanh Toán ("&amp;L$3&amp;")'!$D:$D"),'Tổng Đơn'!$B33),0)</f>
        <v>0</v>
      </c>
      <c r="M33" s="2">
        <f ca="1">IFERROR(SUMIFS(INDIRECT("'Thanh Toán ("&amp;M$3&amp;")'!$F:$F"),INDIRECT("'Thanh Toán ("&amp;M$3&amp;")'!$D:$D"),'Tổng Đơn'!$B33),0)</f>
        <v>0</v>
      </c>
      <c r="N33" s="2">
        <f ca="1">IFERROR(SUMIFS(INDIRECT("'Thanh Toán ("&amp;N$3&amp;")'!$F:$F"),INDIRECT("'Thanh Toán ("&amp;N$3&amp;")'!$D:$D"),'Tổng Đơn'!$B33),0)</f>
        <v>0</v>
      </c>
      <c r="O33" s="2">
        <f ca="1">IFERROR(SUMIFS(INDIRECT("'Thanh Toán ("&amp;O$3&amp;")'!$F:$F"),INDIRECT("'Thanh Toán ("&amp;O$3&amp;")'!$D:$D"),'Tổng Đơn'!$B33),0)</f>
        <v>0</v>
      </c>
      <c r="P33" s="2">
        <f ca="1">IFERROR(SUMIFS(INDIRECT("'Thanh Toán ("&amp;P$3&amp;")'!$F:$F"),INDIRECT("'Thanh Toán ("&amp;P$3&amp;")'!$D:$D"),'Tổng Đơn'!$B33),0)</f>
        <v>0</v>
      </c>
      <c r="Q33" s="2">
        <f ca="1">IFERROR(SUMIFS(INDIRECT("'Thanh Toán ("&amp;Q$3&amp;")'!$F:$F"),INDIRECT("'Thanh Toán ("&amp;Q$3&amp;")'!$D:$D"),'Tổng Đơn'!$B33),0)</f>
        <v>0</v>
      </c>
      <c r="R33" s="2">
        <f ca="1">IFERROR(SUMIFS(INDIRECT("'Thanh Toán ("&amp;R$3&amp;")'!$F:$F"),INDIRECT("'Thanh Toán ("&amp;R$3&amp;")'!$D:$D"),'Tổng Đơn'!$B33),0)</f>
        <v>0</v>
      </c>
      <c r="S33" s="2">
        <f ca="1">IFERROR(SUMIFS(INDIRECT("'Thanh Toán ("&amp;S$3&amp;")'!$F:$F"),INDIRECT("'Thanh Toán ("&amp;S$3&amp;")'!$D:$D"),'Tổng Đơn'!$B33),0)</f>
        <v>0</v>
      </c>
      <c r="T33" s="2">
        <f ca="1">IFERROR(SUMIFS(INDIRECT("'Thanh Toán ("&amp;T$3&amp;")'!$F:$F"),INDIRECT("'Thanh Toán ("&amp;T$3&amp;")'!$D:$D"),'Tổng Đơn'!$B33),0)</f>
        <v>0</v>
      </c>
      <c r="U33" s="2">
        <f ca="1">IFERROR(SUMIFS(INDIRECT("'Thanh Toán ("&amp;U$3&amp;")'!$F:$F"),INDIRECT("'Thanh Toán ("&amp;U$3&amp;")'!$D:$D"),'Tổng Đơn'!$B33),0)</f>
        <v>0</v>
      </c>
      <c r="V33" s="2">
        <f ca="1">IFERROR(SUMIFS(INDIRECT("'Thanh Toán ("&amp;V$3&amp;")'!$F:$F"),INDIRECT("'Thanh Toán ("&amp;V$3&amp;")'!$D:$D"),'Tổng Đơn'!$B33),0)</f>
        <v>0</v>
      </c>
      <c r="W33" s="2">
        <f ca="1">IFERROR(SUMIFS(INDIRECT("'Thanh Toán ("&amp;W$3&amp;")'!$F:$F"),INDIRECT("'Thanh Toán ("&amp;W$3&amp;")'!$D:$D"),'Tổng Đơn'!$B33),0)</f>
        <v>0</v>
      </c>
      <c r="X33" s="2">
        <f ca="1">IFERROR(SUMIFS(INDIRECT("'Thanh Toán ("&amp;X$3&amp;")'!$F:$F"),INDIRECT("'Thanh Toán ("&amp;X$3&amp;")'!$D:$D"),'Tổng Đơn'!$B33),0)</f>
        <v>0</v>
      </c>
      <c r="Y33" s="2">
        <f ca="1">IFERROR(SUMIFS(INDIRECT("'Thanh Toán ("&amp;Y$3&amp;")'!$F:$F"),INDIRECT("'Thanh Toán ("&amp;Y$3&amp;")'!$D:$D"),'Tổng Đơn'!$B33),0)</f>
        <v>0</v>
      </c>
      <c r="Z33" s="2">
        <f ca="1">IFERROR(SUMIFS(INDIRECT("'Thanh Toán ("&amp;Z$3&amp;")'!$F:$F"),INDIRECT("'Thanh Toán ("&amp;Z$3&amp;")'!$D:$D"),'Tổng Đơn'!$B33),0)</f>
        <v>0</v>
      </c>
      <c r="AA33" s="2">
        <f ca="1">IFERROR(SUMIFS(INDIRECT("'Thanh Toán ("&amp;AA$3&amp;")'!$F:$F"),INDIRECT("'Thanh Toán ("&amp;AA$3&amp;")'!$D:$D"),'Tổng Đơn'!$B33),0)</f>
        <v>0</v>
      </c>
      <c r="AB33" s="2">
        <f ca="1">IFERROR(SUMIFS(INDIRECT("'Thanh Toán ("&amp;AB$3&amp;")'!$F:$F"),INDIRECT("'Thanh Toán ("&amp;AB$3&amp;")'!$D:$D"),'Tổng Đơn'!$B33),0)</f>
        <v>0</v>
      </c>
      <c r="AC33" s="2">
        <f ca="1">IFERROR(SUMIFS(INDIRECT("'Thanh Toán ("&amp;AC$3&amp;")'!$F:$F"),INDIRECT("'Thanh Toán ("&amp;AC$3&amp;")'!$D:$D"),'Tổng Đơn'!$B33),0)</f>
        <v>0</v>
      </c>
      <c r="AD33" s="2">
        <f ca="1">IFERROR(SUMIFS(INDIRECT("'Thanh Toán ("&amp;AD$3&amp;")'!$F:$F"),INDIRECT("'Thanh Toán ("&amp;AD$3&amp;")'!$D:$D"),'Tổng Đơn'!$B33),0)</f>
        <v>0</v>
      </c>
      <c r="AE33" s="2">
        <f ca="1">IFERROR(SUMIFS(INDIRECT("'Thanh Toán ("&amp;AE$3&amp;")'!$F:$F"),INDIRECT("'Thanh Toán ("&amp;AE$3&amp;")'!$D:$D"),'Tổng Đơn'!$B33),0)</f>
        <v>0</v>
      </c>
      <c r="AF33" s="2">
        <f ca="1">IFERROR(SUMIFS(INDIRECT("'Thanh Toán ("&amp;AF$3&amp;")'!$F:$F"),INDIRECT("'Thanh Toán ("&amp;AF$3&amp;")'!$D:$D"),'Tổng Đơn'!$B33),0)</f>
        <v>0</v>
      </c>
      <c r="AG33" s="2">
        <f ca="1">IFERROR(SUMIFS(INDIRECT("'Thanh Toán ("&amp;AG$3&amp;")'!$F:$F"),INDIRECT("'Thanh Toán ("&amp;AG$3&amp;")'!$D:$D"),'Tổng Đơn'!$B33),0)</f>
        <v>0</v>
      </c>
      <c r="AH33" s="2">
        <f ca="1">IFERROR(SUMIFS(INDIRECT("'Thanh Toán ("&amp;AH$3&amp;")'!$F:$F"),INDIRECT("'Thanh Toán ("&amp;AH$3&amp;")'!$D:$D"),'Tổng Đơn'!$B33),0)</f>
        <v>0</v>
      </c>
      <c r="AI33" s="2">
        <f ca="1">IFERROR(SUMIFS(INDIRECT("'Thanh Toán ("&amp;AI$3&amp;")'!$F:$F"),INDIRECT("'Thanh Toán ("&amp;AI$3&amp;")'!$D:$D"),'Tổng Đơn'!$B33),0)</f>
        <v>0</v>
      </c>
      <c r="AJ33" s="2">
        <f ca="1">IFERROR(SUMIFS(INDIRECT("'Thanh Toán ("&amp;AJ$3&amp;")'!$F:$F"),INDIRECT("'Thanh Toán ("&amp;AJ$3&amp;")'!$D:$D"),'Tổng Đơn'!$B33),0)</f>
        <v>0</v>
      </c>
      <c r="AK33" s="2">
        <f ca="1">IFERROR(SUMIFS(INDIRECT("'Thanh Toán ("&amp;AK$3&amp;")'!$F:$F"),INDIRECT("'Thanh Toán ("&amp;AK$3&amp;")'!$D:$D"),'Tổng Đơn'!$B33),0)</f>
        <v>0</v>
      </c>
      <c r="AL33" s="2">
        <f ca="1">IFERROR(SUMIFS(INDIRECT("'Thanh Toán ("&amp;AL$3&amp;")'!$F:$F"),INDIRECT("'Thanh Toán ("&amp;AL$3&amp;")'!$D:$D"),'Tổng Đơn'!$B33),0)</f>
        <v>0</v>
      </c>
      <c r="AM33" s="2">
        <f ca="1">IFERROR(SUMIFS(INDIRECT("'Thanh Toán ("&amp;AM$3&amp;")'!$F:$F"),INDIRECT("'Thanh Toán ("&amp;AM$3&amp;")'!$D:$D"),'Tổng Đơn'!$B33),0)</f>
        <v>0</v>
      </c>
      <c r="AN33" s="2">
        <f ca="1">IFERROR(SUMIFS(INDIRECT("'Thanh Toán ("&amp;AN$3&amp;")'!$F:$F"),INDIRECT("'Thanh Toán ("&amp;AN$3&amp;")'!$D:$D"),'Tổng Đơn'!$B33),0)</f>
        <v>0</v>
      </c>
      <c r="AO33" s="2">
        <f ca="1">IFERROR(SUMIFS(INDIRECT("'Thanh Toán ("&amp;AO$3&amp;")'!$F:$F"),INDIRECT("'Thanh Toán ("&amp;AO$3&amp;")'!$D:$D"),'Tổng Đơn'!$B33),0)</f>
        <v>0</v>
      </c>
      <c r="AP33" s="2">
        <f ca="1">IFERROR(SUMIFS(INDIRECT("'Thanh Toán ("&amp;AP$3&amp;")'!$F:$F"),INDIRECT("'Thanh Toán ("&amp;AP$3&amp;")'!$D:$D"),'Tổng Đơn'!$B33),0)</f>
        <v>0</v>
      </c>
      <c r="AQ33" s="2">
        <f ca="1">IFERROR(SUMIFS(INDIRECT("'Thanh Toán ("&amp;AQ$3&amp;")'!$F:$F"),INDIRECT("'Thanh Toán ("&amp;AQ$3&amp;")'!$D:$D"),'Tổng Đơn'!$B33),0)</f>
        <v>0</v>
      </c>
      <c r="AR33" s="2">
        <f ca="1">IFERROR(SUMIFS(INDIRECT("'Thanh Toán ("&amp;AR$3&amp;")'!$F:$F"),INDIRECT("'Thanh Toán ("&amp;AR$3&amp;")'!$D:$D"),'Tổng Đơn'!$B33),0)</f>
        <v>0</v>
      </c>
      <c r="AS33" s="2">
        <f ca="1">IFERROR(SUMIFS(INDIRECT("'Thanh Toán ("&amp;AS$3&amp;")'!$F:$F"),INDIRECT("'Thanh Toán ("&amp;AS$3&amp;")'!$D:$D"),'Tổng Đơn'!$B33),0)</f>
        <v>0</v>
      </c>
      <c r="AT33" s="2">
        <f ca="1">IFERROR(SUMIFS(INDIRECT("'Thanh Toán ("&amp;AT$3&amp;")'!$F:$F"),INDIRECT("'Thanh Toán ("&amp;AT$3&amp;")'!$D:$D"),'Tổng Đơn'!$B33),0)</f>
        <v>0</v>
      </c>
      <c r="AU33" s="2">
        <f ca="1">IFERROR(SUMIFS(INDIRECT("'Thanh Toán ("&amp;AU$3&amp;")'!$F:$F"),INDIRECT("'Thanh Toán ("&amp;AU$3&amp;")'!$D:$D"),'Tổng Đơn'!$B33),0)</f>
        <v>0</v>
      </c>
      <c r="AV33" s="2">
        <f ca="1">IFERROR(SUMIFS(INDIRECT("'Thanh Toán ("&amp;AV$3&amp;")'!$F:$F"),INDIRECT("'Thanh Toán ("&amp;AV$3&amp;")'!$D:$D"),'Tổng Đơn'!$B33),0)</f>
        <v>0</v>
      </c>
      <c r="AW33" s="2">
        <f ca="1">IFERROR(SUMIFS(INDIRECT("'Thanh Toán ("&amp;AW$3&amp;")'!$F:$F"),INDIRECT("'Thanh Toán ("&amp;AW$3&amp;")'!$D:$D"),'Tổng Đơn'!$B33),0)</f>
        <v>0</v>
      </c>
      <c r="AX33" s="2">
        <f ca="1">IFERROR(SUMIFS(INDIRECT("'Thanh Toán ("&amp;AX$3&amp;")'!$F:$F"),INDIRECT("'Thanh Toán ("&amp;AX$3&amp;")'!$D:$D"),'Tổng Đơn'!$B33),0)</f>
        <v>0</v>
      </c>
      <c r="AY33" s="2">
        <f ca="1">IFERROR(SUMIFS(INDIRECT("'Thanh Toán ("&amp;AY$3&amp;")'!$F:$F"),INDIRECT("'Thanh Toán ("&amp;AY$3&amp;")'!$D:$D"),'Tổng Đơn'!$B33),0)</f>
        <v>0</v>
      </c>
      <c r="AZ33" s="2">
        <f ca="1">IFERROR(SUMIFS(INDIRECT("'Thanh Toán ("&amp;AZ$3&amp;")'!$F:$F"),INDIRECT("'Thanh Toán ("&amp;AZ$3&amp;")'!$D:$D"),'Tổng Đơn'!$B33),0)</f>
        <v>0</v>
      </c>
      <c r="BA33" s="2">
        <f ca="1">IFERROR(SUMIFS(INDIRECT("'Thanh Toán ("&amp;BA$3&amp;")'!$F:$F"),INDIRECT("'Thanh Toán ("&amp;BA$3&amp;")'!$D:$D"),'Tổng Đơn'!$B33),0)</f>
        <v>0</v>
      </c>
      <c r="BB33" s="2">
        <f ca="1">IFERROR(SUMIFS(INDIRECT("'Thanh Toán ("&amp;BB$3&amp;")'!$F:$F"),INDIRECT("'Thanh Toán ("&amp;BB$3&amp;")'!$D:$D"),'Tổng Đơn'!$B33),0)</f>
        <v>0</v>
      </c>
      <c r="BC33" s="2">
        <f ca="1">IFERROR(SUMIFS(INDIRECT("'Thanh Toán ("&amp;BC$3&amp;")'!$F:$F"),INDIRECT("'Thanh Toán ("&amp;BC$3&amp;")'!$D:$D"),'Tổng Đơn'!$B33),0)</f>
        <v>0</v>
      </c>
    </row>
    <row r="34" spans="1:55" ht="18" customHeight="1" x14ac:dyDescent="0.3">
      <c r="A34" s="167">
        <v>24</v>
      </c>
      <c r="B34" s="161" t="s">
        <v>267</v>
      </c>
      <c r="C34" s="167" t="s">
        <v>70</v>
      </c>
      <c r="D34" s="162">
        <f>VLOOKUP($C34,Sheet1!$C$8:$D$80,2,0)</f>
        <v>65000</v>
      </c>
      <c r="E34" s="163">
        <v>1</v>
      </c>
      <c r="F34" s="164">
        <f t="shared" ca="1" si="2"/>
        <v>5</v>
      </c>
      <c r="G34" s="165">
        <f>IFERROR(VLOOKUP($B34,Gà!C:J,8,0),IFERROR(VLOOKUP($B34,TVP!C:J,7,0),IFERROR(VLOOKUP($B34,Kitkool!C:J,8,0),IFERROR(VLOOKUP($B34,'La Cusina'!C:J,8,0),VLOOKUP($B34,'Quốc Nhân'!C:J,8,0)))))</f>
        <v>59.025794751120372</v>
      </c>
      <c r="H34" s="166">
        <f t="shared" ca="1" si="10"/>
        <v>29871.026244398126</v>
      </c>
      <c r="I34" s="186">
        <f t="shared" si="11"/>
        <v>0.10121346563938016</v>
      </c>
      <c r="J34" s="166">
        <f t="shared" ca="1" si="12"/>
        <v>295128.97375560185</v>
      </c>
      <c r="K34" s="38"/>
      <c r="L34" s="2">
        <f ca="1">IFERROR(SUMIFS(INDIRECT("'Thanh Toán ("&amp;L$3&amp;")'!$F:$F"),INDIRECT("'Thanh Toán ("&amp;L$3&amp;")'!$D:$D"),'Tổng Đơn'!$B34),0)</f>
        <v>0</v>
      </c>
      <c r="M34" s="2">
        <f ca="1">IFERROR(SUMIFS(INDIRECT("'Thanh Toán ("&amp;M$3&amp;")'!$F:$F"),INDIRECT("'Thanh Toán ("&amp;M$3&amp;")'!$D:$D"),'Tổng Đơn'!$B34),0)</f>
        <v>0</v>
      </c>
      <c r="N34" s="2">
        <f ca="1">IFERROR(SUMIFS(INDIRECT("'Thanh Toán ("&amp;N$3&amp;")'!$F:$F"),INDIRECT("'Thanh Toán ("&amp;N$3&amp;")'!$D:$D"),'Tổng Đơn'!$B34),0)</f>
        <v>0</v>
      </c>
      <c r="O34" s="2">
        <f ca="1">IFERROR(SUMIFS(INDIRECT("'Thanh Toán ("&amp;O$3&amp;")'!$F:$F"),INDIRECT("'Thanh Toán ("&amp;O$3&amp;")'!$D:$D"),'Tổng Đơn'!$B34),0)</f>
        <v>0</v>
      </c>
      <c r="P34" s="2">
        <f ca="1">IFERROR(SUMIFS(INDIRECT("'Thanh Toán ("&amp;P$3&amp;")'!$F:$F"),INDIRECT("'Thanh Toán ("&amp;P$3&amp;")'!$D:$D"),'Tổng Đơn'!$B34),0)</f>
        <v>0</v>
      </c>
      <c r="Q34" s="2">
        <f ca="1">IFERROR(SUMIFS(INDIRECT("'Thanh Toán ("&amp;Q$3&amp;")'!$F:$F"),INDIRECT("'Thanh Toán ("&amp;Q$3&amp;")'!$D:$D"),'Tổng Đơn'!$B34),0)</f>
        <v>0</v>
      </c>
      <c r="R34" s="2">
        <f ca="1">IFERROR(SUMIFS(INDIRECT("'Thanh Toán ("&amp;R$3&amp;")'!$F:$F"),INDIRECT("'Thanh Toán ("&amp;R$3&amp;")'!$D:$D"),'Tổng Đơn'!$B34),0)</f>
        <v>0</v>
      </c>
      <c r="S34" s="2">
        <f ca="1">IFERROR(SUMIFS(INDIRECT("'Thanh Toán ("&amp;S$3&amp;")'!$F:$F"),INDIRECT("'Thanh Toán ("&amp;S$3&amp;")'!$D:$D"),'Tổng Đơn'!$B34),0)</f>
        <v>0</v>
      </c>
      <c r="T34" s="2">
        <f ca="1">IFERROR(SUMIFS(INDIRECT("'Thanh Toán ("&amp;T$3&amp;")'!$F:$F"),INDIRECT("'Thanh Toán ("&amp;T$3&amp;")'!$D:$D"),'Tổng Đơn'!$B34),0)</f>
        <v>0</v>
      </c>
      <c r="U34" s="2">
        <f ca="1">IFERROR(SUMIFS(INDIRECT("'Thanh Toán ("&amp;U$3&amp;")'!$F:$F"),INDIRECT("'Thanh Toán ("&amp;U$3&amp;")'!$D:$D"),'Tổng Đơn'!$B34),0)</f>
        <v>3</v>
      </c>
      <c r="V34" s="2">
        <f ca="1">IFERROR(SUMIFS(INDIRECT("'Thanh Toán ("&amp;V$3&amp;")'!$F:$F"),INDIRECT("'Thanh Toán ("&amp;V$3&amp;")'!$D:$D"),'Tổng Đơn'!$B34),0)</f>
        <v>0</v>
      </c>
      <c r="W34" s="2">
        <f ca="1">IFERROR(SUMIFS(INDIRECT("'Thanh Toán ("&amp;W$3&amp;")'!$F:$F"),INDIRECT("'Thanh Toán ("&amp;W$3&amp;")'!$D:$D"),'Tổng Đơn'!$B34),0)</f>
        <v>0</v>
      </c>
      <c r="X34" s="2">
        <f ca="1">IFERROR(SUMIFS(INDIRECT("'Thanh Toán ("&amp;X$3&amp;")'!$F:$F"),INDIRECT("'Thanh Toán ("&amp;X$3&amp;")'!$D:$D"),'Tổng Đơn'!$B34),0)</f>
        <v>0</v>
      </c>
      <c r="Y34" s="2">
        <f ca="1">IFERROR(SUMIFS(INDIRECT("'Thanh Toán ("&amp;Y$3&amp;")'!$F:$F"),INDIRECT("'Thanh Toán ("&amp;Y$3&amp;")'!$D:$D"),'Tổng Đơn'!$B34),0)</f>
        <v>0</v>
      </c>
      <c r="Z34" s="2">
        <f ca="1">IFERROR(SUMIFS(INDIRECT("'Thanh Toán ("&amp;Z$3&amp;")'!$F:$F"),INDIRECT("'Thanh Toán ("&amp;Z$3&amp;")'!$D:$D"),'Tổng Đơn'!$B34),0)</f>
        <v>1</v>
      </c>
      <c r="AA34" s="2">
        <f ca="1">IFERROR(SUMIFS(INDIRECT("'Thanh Toán ("&amp;AA$3&amp;")'!$F:$F"),INDIRECT("'Thanh Toán ("&amp;AA$3&amp;")'!$D:$D"),'Tổng Đơn'!$B34),0)</f>
        <v>0</v>
      </c>
      <c r="AB34" s="2">
        <f ca="1">IFERROR(SUMIFS(INDIRECT("'Thanh Toán ("&amp;AB$3&amp;")'!$F:$F"),INDIRECT("'Thanh Toán ("&amp;AB$3&amp;")'!$D:$D"),'Tổng Đơn'!$B34),0)</f>
        <v>0</v>
      </c>
      <c r="AC34" s="2">
        <f ca="1">IFERROR(SUMIFS(INDIRECT("'Thanh Toán ("&amp;AC$3&amp;")'!$F:$F"),INDIRECT("'Thanh Toán ("&amp;AC$3&amp;")'!$D:$D"),'Tổng Đơn'!$B34),0)</f>
        <v>0</v>
      </c>
      <c r="AD34" s="2">
        <f ca="1">IFERROR(SUMIFS(INDIRECT("'Thanh Toán ("&amp;AD$3&amp;")'!$F:$F"),INDIRECT("'Thanh Toán ("&amp;AD$3&amp;")'!$D:$D"),'Tổng Đơn'!$B34),0)</f>
        <v>0</v>
      </c>
      <c r="AE34" s="2">
        <f ca="1">IFERROR(SUMIFS(INDIRECT("'Thanh Toán ("&amp;AE$3&amp;")'!$F:$F"),INDIRECT("'Thanh Toán ("&amp;AE$3&amp;")'!$D:$D"),'Tổng Đơn'!$B34),0)</f>
        <v>0</v>
      </c>
      <c r="AF34" s="2">
        <f ca="1">IFERROR(SUMIFS(INDIRECT("'Thanh Toán ("&amp;AF$3&amp;")'!$F:$F"),INDIRECT("'Thanh Toán ("&amp;AF$3&amp;")'!$D:$D"),'Tổng Đơn'!$B34),0)</f>
        <v>1</v>
      </c>
      <c r="AG34" s="2">
        <f ca="1">IFERROR(SUMIFS(INDIRECT("'Thanh Toán ("&amp;AG$3&amp;")'!$F:$F"),INDIRECT("'Thanh Toán ("&amp;AG$3&amp;")'!$D:$D"),'Tổng Đơn'!$B34),0)</f>
        <v>0</v>
      </c>
      <c r="AH34" s="2">
        <f ca="1">IFERROR(SUMIFS(INDIRECT("'Thanh Toán ("&amp;AH$3&amp;")'!$F:$F"),INDIRECT("'Thanh Toán ("&amp;AH$3&amp;")'!$D:$D"),'Tổng Đơn'!$B34),0)</f>
        <v>0</v>
      </c>
      <c r="AI34" s="2">
        <f ca="1">IFERROR(SUMIFS(INDIRECT("'Thanh Toán ("&amp;AI$3&amp;")'!$F:$F"),INDIRECT("'Thanh Toán ("&amp;AI$3&amp;")'!$D:$D"),'Tổng Đơn'!$B34),0)</f>
        <v>0</v>
      </c>
      <c r="AJ34" s="2">
        <f ca="1">IFERROR(SUMIFS(INDIRECT("'Thanh Toán ("&amp;AJ$3&amp;")'!$F:$F"),INDIRECT("'Thanh Toán ("&amp;AJ$3&amp;")'!$D:$D"),'Tổng Đơn'!$B34),0)</f>
        <v>0</v>
      </c>
      <c r="AK34" s="2">
        <f ca="1">IFERROR(SUMIFS(INDIRECT("'Thanh Toán ("&amp;AK$3&amp;")'!$F:$F"),INDIRECT("'Thanh Toán ("&amp;AK$3&amp;")'!$D:$D"),'Tổng Đơn'!$B34),0)</f>
        <v>0</v>
      </c>
      <c r="AL34" s="2">
        <f ca="1">IFERROR(SUMIFS(INDIRECT("'Thanh Toán ("&amp;AL$3&amp;")'!$F:$F"),INDIRECT("'Thanh Toán ("&amp;AL$3&amp;")'!$D:$D"),'Tổng Đơn'!$B34),0)</f>
        <v>0</v>
      </c>
      <c r="AM34" s="2">
        <f ca="1">IFERROR(SUMIFS(INDIRECT("'Thanh Toán ("&amp;AM$3&amp;")'!$F:$F"),INDIRECT("'Thanh Toán ("&amp;AM$3&amp;")'!$D:$D"),'Tổng Đơn'!$B34),0)</f>
        <v>0</v>
      </c>
      <c r="AN34" s="2">
        <f ca="1">IFERROR(SUMIFS(INDIRECT("'Thanh Toán ("&amp;AN$3&amp;")'!$F:$F"),INDIRECT("'Thanh Toán ("&amp;AN$3&amp;")'!$D:$D"),'Tổng Đơn'!$B34),0)</f>
        <v>0</v>
      </c>
      <c r="AO34" s="2">
        <f ca="1">IFERROR(SUMIFS(INDIRECT("'Thanh Toán ("&amp;AO$3&amp;")'!$F:$F"),INDIRECT("'Thanh Toán ("&amp;AO$3&amp;")'!$D:$D"),'Tổng Đơn'!$B34),0)</f>
        <v>0</v>
      </c>
      <c r="AP34" s="2">
        <f ca="1">IFERROR(SUMIFS(INDIRECT("'Thanh Toán ("&amp;AP$3&amp;")'!$F:$F"),INDIRECT("'Thanh Toán ("&amp;AP$3&amp;")'!$D:$D"),'Tổng Đơn'!$B34),0)</f>
        <v>0</v>
      </c>
      <c r="AQ34" s="2">
        <f ca="1">IFERROR(SUMIFS(INDIRECT("'Thanh Toán ("&amp;AQ$3&amp;")'!$F:$F"),INDIRECT("'Thanh Toán ("&amp;AQ$3&amp;")'!$D:$D"),'Tổng Đơn'!$B34),0)</f>
        <v>0</v>
      </c>
      <c r="AR34" s="2">
        <f ca="1">IFERROR(SUMIFS(INDIRECT("'Thanh Toán ("&amp;AR$3&amp;")'!$F:$F"),INDIRECT("'Thanh Toán ("&amp;AR$3&amp;")'!$D:$D"),'Tổng Đơn'!$B34),0)</f>
        <v>0</v>
      </c>
      <c r="AS34" s="2">
        <f ca="1">IFERROR(SUMIFS(INDIRECT("'Thanh Toán ("&amp;AS$3&amp;")'!$F:$F"),INDIRECT("'Thanh Toán ("&amp;AS$3&amp;")'!$D:$D"),'Tổng Đơn'!$B34),0)</f>
        <v>0</v>
      </c>
      <c r="AT34" s="2">
        <f ca="1">IFERROR(SUMIFS(INDIRECT("'Thanh Toán ("&amp;AT$3&amp;")'!$F:$F"),INDIRECT("'Thanh Toán ("&amp;AT$3&amp;")'!$D:$D"),'Tổng Đơn'!$B34),0)</f>
        <v>0</v>
      </c>
      <c r="AU34" s="2">
        <f ca="1">IFERROR(SUMIFS(INDIRECT("'Thanh Toán ("&amp;AU$3&amp;")'!$F:$F"),INDIRECT("'Thanh Toán ("&amp;AU$3&amp;")'!$D:$D"),'Tổng Đơn'!$B34),0)</f>
        <v>0</v>
      </c>
      <c r="AV34" s="2">
        <f ca="1">IFERROR(SUMIFS(INDIRECT("'Thanh Toán ("&amp;AV$3&amp;")'!$F:$F"),INDIRECT("'Thanh Toán ("&amp;AV$3&amp;")'!$D:$D"),'Tổng Đơn'!$B34),0)</f>
        <v>0</v>
      </c>
      <c r="AW34" s="2">
        <f ca="1">IFERROR(SUMIFS(INDIRECT("'Thanh Toán ("&amp;AW$3&amp;")'!$F:$F"),INDIRECT("'Thanh Toán ("&amp;AW$3&amp;")'!$D:$D"),'Tổng Đơn'!$B34),0)</f>
        <v>0</v>
      </c>
      <c r="AX34" s="2">
        <f ca="1">IFERROR(SUMIFS(INDIRECT("'Thanh Toán ("&amp;AX$3&amp;")'!$F:$F"),INDIRECT("'Thanh Toán ("&amp;AX$3&amp;")'!$D:$D"),'Tổng Đơn'!$B34),0)</f>
        <v>0</v>
      </c>
      <c r="AY34" s="2">
        <f ca="1">IFERROR(SUMIFS(INDIRECT("'Thanh Toán ("&amp;AY$3&amp;")'!$F:$F"),INDIRECT("'Thanh Toán ("&amp;AY$3&amp;")'!$D:$D"),'Tổng Đơn'!$B34),0)</f>
        <v>0</v>
      </c>
      <c r="AZ34" s="2">
        <f ca="1">IFERROR(SUMIFS(INDIRECT("'Thanh Toán ("&amp;AZ$3&amp;")'!$F:$F"),INDIRECT("'Thanh Toán ("&amp;AZ$3&amp;")'!$D:$D"),'Tổng Đơn'!$B34),0)</f>
        <v>0</v>
      </c>
      <c r="BA34" s="2">
        <f ca="1">IFERROR(SUMIFS(INDIRECT("'Thanh Toán ("&amp;BA$3&amp;")'!$F:$F"),INDIRECT("'Thanh Toán ("&amp;BA$3&amp;")'!$D:$D"),'Tổng Đơn'!$B34),0)</f>
        <v>0</v>
      </c>
      <c r="BB34" s="2">
        <f ca="1">IFERROR(SUMIFS(INDIRECT("'Thanh Toán ("&amp;BB$3&amp;")'!$F:$F"),INDIRECT("'Thanh Toán ("&amp;BB$3&amp;")'!$D:$D"),'Tổng Đơn'!$B34),0)</f>
        <v>0</v>
      </c>
      <c r="BC34" s="2">
        <f ca="1">IFERROR(SUMIFS(INDIRECT("'Thanh Toán ("&amp;BC$3&amp;")'!$F:$F"),INDIRECT("'Thanh Toán ("&amp;BC$3&amp;")'!$D:$D"),'Tổng Đơn'!$B34),0)</f>
        <v>0</v>
      </c>
    </row>
    <row r="35" spans="1:55" ht="18" customHeight="1" x14ac:dyDescent="0.3">
      <c r="A35" s="160">
        <v>25</v>
      </c>
      <c r="B35" s="161" t="s">
        <v>136</v>
      </c>
      <c r="C35" s="160" t="s">
        <v>71</v>
      </c>
      <c r="D35" s="162">
        <f>VLOOKUP($C35,Sheet1!$C$8:$D$80,2,0)</f>
        <v>80000</v>
      </c>
      <c r="E35" s="163">
        <v>0.5</v>
      </c>
      <c r="F35" s="164">
        <f t="shared" ca="1" si="2"/>
        <v>8</v>
      </c>
      <c r="G35" s="165">
        <f>IFERROR(VLOOKUP($B35,Gà!C:J,8,0),IFERROR(VLOOKUP($B35,TVP!C:J,7,0),IFERROR(VLOOKUP($B35,Kitkool!C:J,8,0),IFERROR(VLOOKUP($B35,'La Cusina'!C:J,8,0),VLOOKUP($B35,'Quốc Nhân'!C:J,8,0)))))</f>
        <v>74.381390178194678</v>
      </c>
      <c r="H35" s="166">
        <f t="shared" ca="1" si="10"/>
        <v>44948.878574442584</v>
      </c>
      <c r="I35" s="186">
        <f t="shared" si="11"/>
        <v>7.553784365074212E-2</v>
      </c>
      <c r="J35" s="166">
        <f t="shared" ca="1" si="12"/>
        <v>595051.12142555742</v>
      </c>
      <c r="K35" s="38"/>
      <c r="L35" s="2">
        <f ca="1">IFERROR(SUMIFS(INDIRECT("'Thanh Toán ("&amp;L$3&amp;")'!$F:$F"),INDIRECT("'Thanh Toán ("&amp;L$3&amp;")'!$D:$D"),'Tổng Đơn'!$B35),0)</f>
        <v>0</v>
      </c>
      <c r="M35" s="2">
        <f ca="1">IFERROR(SUMIFS(INDIRECT("'Thanh Toán ("&amp;M$3&amp;")'!$F:$F"),INDIRECT("'Thanh Toán ("&amp;M$3&amp;")'!$D:$D"),'Tổng Đơn'!$B35),0)</f>
        <v>0</v>
      </c>
      <c r="N35" s="2">
        <f ca="1">IFERROR(SUMIFS(INDIRECT("'Thanh Toán ("&amp;N$3&amp;")'!$F:$F"),INDIRECT("'Thanh Toán ("&amp;N$3&amp;")'!$D:$D"),'Tổng Đơn'!$B35),0)</f>
        <v>0</v>
      </c>
      <c r="O35" s="2">
        <f ca="1">IFERROR(SUMIFS(INDIRECT("'Thanh Toán ("&amp;O$3&amp;")'!$F:$F"),INDIRECT("'Thanh Toán ("&amp;O$3&amp;")'!$D:$D"),'Tổng Đơn'!$B35),0)</f>
        <v>0</v>
      </c>
      <c r="P35" s="2">
        <f ca="1">IFERROR(SUMIFS(INDIRECT("'Thanh Toán ("&amp;P$3&amp;")'!$F:$F"),INDIRECT("'Thanh Toán ("&amp;P$3&amp;")'!$D:$D"),'Tổng Đơn'!$B35),0)</f>
        <v>0</v>
      </c>
      <c r="Q35" s="2">
        <f ca="1">IFERROR(SUMIFS(INDIRECT("'Thanh Toán ("&amp;Q$3&amp;")'!$F:$F"),INDIRECT("'Thanh Toán ("&amp;Q$3&amp;")'!$D:$D"),'Tổng Đơn'!$B35),0)</f>
        <v>0</v>
      </c>
      <c r="R35" s="2">
        <f ca="1">IFERROR(SUMIFS(INDIRECT("'Thanh Toán ("&amp;R$3&amp;")'!$F:$F"),INDIRECT("'Thanh Toán ("&amp;R$3&amp;")'!$D:$D"),'Tổng Đơn'!$B35),0)</f>
        <v>3</v>
      </c>
      <c r="S35" s="2">
        <f ca="1">IFERROR(SUMIFS(INDIRECT("'Thanh Toán ("&amp;S$3&amp;")'!$F:$F"),INDIRECT("'Thanh Toán ("&amp;S$3&amp;")'!$D:$D"),'Tổng Đơn'!$B35),0)</f>
        <v>0</v>
      </c>
      <c r="T35" s="2">
        <f ca="1">IFERROR(SUMIFS(INDIRECT("'Thanh Toán ("&amp;T$3&amp;")'!$F:$F"),INDIRECT("'Thanh Toán ("&amp;T$3&amp;")'!$D:$D"),'Tổng Đơn'!$B35),0)</f>
        <v>4</v>
      </c>
      <c r="U35" s="2">
        <f ca="1">IFERROR(SUMIFS(INDIRECT("'Thanh Toán ("&amp;U$3&amp;")'!$F:$F"),INDIRECT("'Thanh Toán ("&amp;U$3&amp;")'!$D:$D"),'Tổng Đơn'!$B35),0)</f>
        <v>0</v>
      </c>
      <c r="V35" s="2">
        <f ca="1">IFERROR(SUMIFS(INDIRECT("'Thanh Toán ("&amp;V$3&amp;")'!$F:$F"),INDIRECT("'Thanh Toán ("&amp;V$3&amp;")'!$D:$D"),'Tổng Đơn'!$B35),0)</f>
        <v>0</v>
      </c>
      <c r="W35" s="2">
        <f ca="1">IFERROR(SUMIFS(INDIRECT("'Thanh Toán ("&amp;W$3&amp;")'!$F:$F"),INDIRECT("'Thanh Toán ("&amp;W$3&amp;")'!$D:$D"),'Tổng Đơn'!$B35),0)</f>
        <v>0</v>
      </c>
      <c r="X35" s="2">
        <f ca="1">IFERROR(SUMIFS(INDIRECT("'Thanh Toán ("&amp;X$3&amp;")'!$F:$F"),INDIRECT("'Thanh Toán ("&amp;X$3&amp;")'!$D:$D"),'Tổng Đơn'!$B35),0)</f>
        <v>0</v>
      </c>
      <c r="Y35" s="2">
        <f ca="1">IFERROR(SUMIFS(INDIRECT("'Thanh Toán ("&amp;Y$3&amp;")'!$F:$F"),INDIRECT("'Thanh Toán ("&amp;Y$3&amp;")'!$D:$D"),'Tổng Đơn'!$B35),0)</f>
        <v>0</v>
      </c>
      <c r="Z35" s="2">
        <f ca="1">IFERROR(SUMIFS(INDIRECT("'Thanh Toán ("&amp;Z$3&amp;")'!$F:$F"),INDIRECT("'Thanh Toán ("&amp;Z$3&amp;")'!$D:$D"),'Tổng Đơn'!$B35),0)</f>
        <v>0</v>
      </c>
      <c r="AA35" s="2">
        <f ca="1">IFERROR(SUMIFS(INDIRECT("'Thanh Toán ("&amp;AA$3&amp;")'!$F:$F"),INDIRECT("'Thanh Toán ("&amp;AA$3&amp;")'!$D:$D"),'Tổng Đơn'!$B35),0)</f>
        <v>0</v>
      </c>
      <c r="AB35" s="2">
        <f ca="1">IFERROR(SUMIFS(INDIRECT("'Thanh Toán ("&amp;AB$3&amp;")'!$F:$F"),INDIRECT("'Thanh Toán ("&amp;AB$3&amp;")'!$D:$D"),'Tổng Đơn'!$B35),0)</f>
        <v>0</v>
      </c>
      <c r="AC35" s="2">
        <f ca="1">IFERROR(SUMIFS(INDIRECT("'Thanh Toán ("&amp;AC$3&amp;")'!$F:$F"),INDIRECT("'Thanh Toán ("&amp;AC$3&amp;")'!$D:$D"),'Tổng Đơn'!$B35),0)</f>
        <v>0</v>
      </c>
      <c r="AD35" s="2">
        <f ca="1">IFERROR(SUMIFS(INDIRECT("'Thanh Toán ("&amp;AD$3&amp;")'!$F:$F"),INDIRECT("'Thanh Toán ("&amp;AD$3&amp;")'!$D:$D"),'Tổng Đơn'!$B35),0)</f>
        <v>0</v>
      </c>
      <c r="AE35" s="2">
        <f ca="1">IFERROR(SUMIFS(INDIRECT("'Thanh Toán ("&amp;AE$3&amp;")'!$F:$F"),INDIRECT("'Thanh Toán ("&amp;AE$3&amp;")'!$D:$D"),'Tổng Đơn'!$B35),0)</f>
        <v>0</v>
      </c>
      <c r="AF35" s="2">
        <f ca="1">IFERROR(SUMIFS(INDIRECT("'Thanh Toán ("&amp;AF$3&amp;")'!$F:$F"),INDIRECT("'Thanh Toán ("&amp;AF$3&amp;")'!$D:$D"),'Tổng Đơn'!$B35),0)</f>
        <v>0</v>
      </c>
      <c r="AG35" s="2">
        <f ca="1">IFERROR(SUMIFS(INDIRECT("'Thanh Toán ("&amp;AG$3&amp;")'!$F:$F"),INDIRECT("'Thanh Toán ("&amp;AG$3&amp;")'!$D:$D"),'Tổng Đơn'!$B35),0)</f>
        <v>0</v>
      </c>
      <c r="AH35" s="2">
        <f ca="1">IFERROR(SUMIFS(INDIRECT("'Thanh Toán ("&amp;AH$3&amp;")'!$F:$F"),INDIRECT("'Thanh Toán ("&amp;AH$3&amp;")'!$D:$D"),'Tổng Đơn'!$B35),0)</f>
        <v>0</v>
      </c>
      <c r="AI35" s="2">
        <f ca="1">IFERROR(SUMIFS(INDIRECT("'Thanh Toán ("&amp;AI$3&amp;")'!$F:$F"),INDIRECT("'Thanh Toán ("&amp;AI$3&amp;")'!$D:$D"),'Tổng Đơn'!$B35),0)</f>
        <v>1</v>
      </c>
      <c r="AJ35" s="2">
        <f ca="1">IFERROR(SUMIFS(INDIRECT("'Thanh Toán ("&amp;AJ$3&amp;")'!$F:$F"),INDIRECT("'Thanh Toán ("&amp;AJ$3&amp;")'!$D:$D"),'Tổng Đơn'!$B35),0)</f>
        <v>0</v>
      </c>
      <c r="AK35" s="2">
        <f ca="1">IFERROR(SUMIFS(INDIRECT("'Thanh Toán ("&amp;AK$3&amp;")'!$F:$F"),INDIRECT("'Thanh Toán ("&amp;AK$3&amp;")'!$D:$D"),'Tổng Đơn'!$B35),0)</f>
        <v>0</v>
      </c>
      <c r="AL35" s="2">
        <f ca="1">IFERROR(SUMIFS(INDIRECT("'Thanh Toán ("&amp;AL$3&amp;")'!$F:$F"),INDIRECT("'Thanh Toán ("&amp;AL$3&amp;")'!$D:$D"),'Tổng Đơn'!$B35),0)</f>
        <v>0</v>
      </c>
      <c r="AM35" s="2">
        <f ca="1">IFERROR(SUMIFS(INDIRECT("'Thanh Toán ("&amp;AM$3&amp;")'!$F:$F"),INDIRECT("'Thanh Toán ("&amp;AM$3&amp;")'!$D:$D"),'Tổng Đơn'!$B35),0)</f>
        <v>0</v>
      </c>
      <c r="AN35" s="2">
        <f ca="1">IFERROR(SUMIFS(INDIRECT("'Thanh Toán ("&amp;AN$3&amp;")'!$F:$F"),INDIRECT("'Thanh Toán ("&amp;AN$3&amp;")'!$D:$D"),'Tổng Đơn'!$B35),0)</f>
        <v>0</v>
      </c>
      <c r="AO35" s="2">
        <f ca="1">IFERROR(SUMIFS(INDIRECT("'Thanh Toán ("&amp;AO$3&amp;")'!$F:$F"),INDIRECT("'Thanh Toán ("&amp;AO$3&amp;")'!$D:$D"),'Tổng Đơn'!$B35),0)</f>
        <v>0</v>
      </c>
      <c r="AP35" s="2">
        <f ca="1">IFERROR(SUMIFS(INDIRECT("'Thanh Toán ("&amp;AP$3&amp;")'!$F:$F"),INDIRECT("'Thanh Toán ("&amp;AP$3&amp;")'!$D:$D"),'Tổng Đơn'!$B35),0)</f>
        <v>0</v>
      </c>
      <c r="AQ35" s="2">
        <f ca="1">IFERROR(SUMIFS(INDIRECT("'Thanh Toán ("&amp;AQ$3&amp;")'!$F:$F"),INDIRECT("'Thanh Toán ("&amp;AQ$3&amp;")'!$D:$D"),'Tổng Đơn'!$B35),0)</f>
        <v>0</v>
      </c>
      <c r="AR35" s="2">
        <f ca="1">IFERROR(SUMIFS(INDIRECT("'Thanh Toán ("&amp;AR$3&amp;")'!$F:$F"),INDIRECT("'Thanh Toán ("&amp;AR$3&amp;")'!$D:$D"),'Tổng Đơn'!$B35),0)</f>
        <v>0</v>
      </c>
      <c r="AS35" s="2">
        <f ca="1">IFERROR(SUMIFS(INDIRECT("'Thanh Toán ("&amp;AS$3&amp;")'!$F:$F"),INDIRECT("'Thanh Toán ("&amp;AS$3&amp;")'!$D:$D"),'Tổng Đơn'!$B35),0)</f>
        <v>0</v>
      </c>
      <c r="AT35" s="2">
        <f ca="1">IFERROR(SUMIFS(INDIRECT("'Thanh Toán ("&amp;AT$3&amp;")'!$F:$F"),INDIRECT("'Thanh Toán ("&amp;AT$3&amp;")'!$D:$D"),'Tổng Đơn'!$B35),0)</f>
        <v>0</v>
      </c>
      <c r="AU35" s="2">
        <f ca="1">IFERROR(SUMIFS(INDIRECT("'Thanh Toán ("&amp;AU$3&amp;")'!$F:$F"),INDIRECT("'Thanh Toán ("&amp;AU$3&amp;")'!$D:$D"),'Tổng Đơn'!$B35),0)</f>
        <v>0</v>
      </c>
      <c r="AV35" s="2">
        <f ca="1">IFERROR(SUMIFS(INDIRECT("'Thanh Toán ("&amp;AV$3&amp;")'!$F:$F"),INDIRECT("'Thanh Toán ("&amp;AV$3&amp;")'!$D:$D"),'Tổng Đơn'!$B35),0)</f>
        <v>0</v>
      </c>
      <c r="AW35" s="2">
        <f ca="1">IFERROR(SUMIFS(INDIRECT("'Thanh Toán ("&amp;AW$3&amp;")'!$F:$F"),INDIRECT("'Thanh Toán ("&amp;AW$3&amp;")'!$D:$D"),'Tổng Đơn'!$B35),0)</f>
        <v>0</v>
      </c>
      <c r="AX35" s="2">
        <f ca="1">IFERROR(SUMIFS(INDIRECT("'Thanh Toán ("&amp;AX$3&amp;")'!$F:$F"),INDIRECT("'Thanh Toán ("&amp;AX$3&amp;")'!$D:$D"),'Tổng Đơn'!$B35),0)</f>
        <v>0</v>
      </c>
      <c r="AY35" s="2">
        <f ca="1">IFERROR(SUMIFS(INDIRECT("'Thanh Toán ("&amp;AY$3&amp;")'!$F:$F"),INDIRECT("'Thanh Toán ("&amp;AY$3&amp;")'!$D:$D"),'Tổng Đơn'!$B35),0)</f>
        <v>0</v>
      </c>
      <c r="AZ35" s="2">
        <f ca="1">IFERROR(SUMIFS(INDIRECT("'Thanh Toán ("&amp;AZ$3&amp;")'!$F:$F"),INDIRECT("'Thanh Toán ("&amp;AZ$3&amp;")'!$D:$D"),'Tổng Đơn'!$B35),0)</f>
        <v>0</v>
      </c>
      <c r="BA35" s="2">
        <f ca="1">IFERROR(SUMIFS(INDIRECT("'Thanh Toán ("&amp;BA$3&amp;")'!$F:$F"),INDIRECT("'Thanh Toán ("&amp;BA$3&amp;")'!$D:$D"),'Tổng Đơn'!$B35),0)</f>
        <v>0</v>
      </c>
      <c r="BB35" s="2">
        <f ca="1">IFERROR(SUMIFS(INDIRECT("'Thanh Toán ("&amp;BB$3&amp;")'!$F:$F"),INDIRECT("'Thanh Toán ("&amp;BB$3&amp;")'!$D:$D"),'Tổng Đơn'!$B35),0)</f>
        <v>0</v>
      </c>
      <c r="BC35" s="2">
        <f ca="1">IFERROR(SUMIFS(INDIRECT("'Thanh Toán ("&amp;BC$3&amp;")'!$F:$F"),INDIRECT("'Thanh Toán ("&amp;BC$3&amp;")'!$D:$D"),'Tổng Đơn'!$B35),0)</f>
        <v>0</v>
      </c>
    </row>
    <row r="36" spans="1:55" ht="18" customHeight="1" x14ac:dyDescent="0.3">
      <c r="A36" s="167">
        <v>26</v>
      </c>
      <c r="B36" s="161" t="s">
        <v>221</v>
      </c>
      <c r="C36" s="167" t="s">
        <v>72</v>
      </c>
      <c r="D36" s="162">
        <f>VLOOKUP($C36,Sheet1!$C$8:$D$80,2,0)</f>
        <v>44000</v>
      </c>
      <c r="E36" s="163">
        <v>0.2</v>
      </c>
      <c r="F36" s="164">
        <f t="shared" ca="1" si="2"/>
        <v>0</v>
      </c>
      <c r="G36" s="165">
        <f>IFERROR(VLOOKUP($B36,Gà!C:J,8,0),IFERROR(VLOOKUP($B36,TVP!C:J,7,0),IFERROR(VLOOKUP($B36,Kitkool!C:J,8,0),IFERROR(VLOOKUP($B36,'La Cusina'!C:J,8,0),VLOOKUP($B36,'Quốc Nhân'!C:J,8,0)))))</f>
        <v>40.012058164821966</v>
      </c>
      <c r="H36" s="166">
        <f t="shared" ca="1" si="10"/>
        <v>0</v>
      </c>
      <c r="I36" s="186">
        <f t="shared" si="11"/>
        <v>9.9668500399316518E-2</v>
      </c>
      <c r="J36" s="166">
        <f t="shared" ca="1" si="12"/>
        <v>0</v>
      </c>
      <c r="K36" s="38"/>
      <c r="L36" s="2">
        <f ca="1">IFERROR(SUMIFS(INDIRECT("'Thanh Toán ("&amp;L$3&amp;")'!$F:$F"),INDIRECT("'Thanh Toán ("&amp;L$3&amp;")'!$D:$D"),'Tổng Đơn'!$B36),0)</f>
        <v>0</v>
      </c>
      <c r="M36" s="2">
        <f ca="1">IFERROR(SUMIFS(INDIRECT("'Thanh Toán ("&amp;M$3&amp;")'!$F:$F"),INDIRECT("'Thanh Toán ("&amp;M$3&amp;")'!$D:$D"),'Tổng Đơn'!$B36),0)</f>
        <v>0</v>
      </c>
      <c r="N36" s="2">
        <f ca="1">IFERROR(SUMIFS(INDIRECT("'Thanh Toán ("&amp;N$3&amp;")'!$F:$F"),INDIRECT("'Thanh Toán ("&amp;N$3&amp;")'!$D:$D"),'Tổng Đơn'!$B36),0)</f>
        <v>0</v>
      </c>
      <c r="O36" s="2">
        <f ca="1">IFERROR(SUMIFS(INDIRECT("'Thanh Toán ("&amp;O$3&amp;")'!$F:$F"),INDIRECT("'Thanh Toán ("&amp;O$3&amp;")'!$D:$D"),'Tổng Đơn'!$B36),0)</f>
        <v>0</v>
      </c>
      <c r="P36" s="2">
        <f ca="1">IFERROR(SUMIFS(INDIRECT("'Thanh Toán ("&amp;P$3&amp;")'!$F:$F"),INDIRECT("'Thanh Toán ("&amp;P$3&amp;")'!$D:$D"),'Tổng Đơn'!$B36),0)</f>
        <v>0</v>
      </c>
      <c r="Q36" s="2">
        <f ca="1">IFERROR(SUMIFS(INDIRECT("'Thanh Toán ("&amp;Q$3&amp;")'!$F:$F"),INDIRECT("'Thanh Toán ("&amp;Q$3&amp;")'!$D:$D"),'Tổng Đơn'!$B36),0)</f>
        <v>0</v>
      </c>
      <c r="R36" s="2">
        <f ca="1">IFERROR(SUMIFS(INDIRECT("'Thanh Toán ("&amp;R$3&amp;")'!$F:$F"),INDIRECT("'Thanh Toán ("&amp;R$3&amp;")'!$D:$D"),'Tổng Đơn'!$B36),0)</f>
        <v>0</v>
      </c>
      <c r="S36" s="2">
        <f ca="1">IFERROR(SUMIFS(INDIRECT("'Thanh Toán ("&amp;S$3&amp;")'!$F:$F"),INDIRECT("'Thanh Toán ("&amp;S$3&amp;")'!$D:$D"),'Tổng Đơn'!$B36),0)</f>
        <v>0</v>
      </c>
      <c r="T36" s="2">
        <f ca="1">IFERROR(SUMIFS(INDIRECT("'Thanh Toán ("&amp;T$3&amp;")'!$F:$F"),INDIRECT("'Thanh Toán ("&amp;T$3&amp;")'!$D:$D"),'Tổng Đơn'!$B36),0)</f>
        <v>0</v>
      </c>
      <c r="U36" s="2">
        <f ca="1">IFERROR(SUMIFS(INDIRECT("'Thanh Toán ("&amp;U$3&amp;")'!$F:$F"),INDIRECT("'Thanh Toán ("&amp;U$3&amp;")'!$D:$D"),'Tổng Đơn'!$B36),0)</f>
        <v>0</v>
      </c>
      <c r="V36" s="2">
        <f ca="1">IFERROR(SUMIFS(INDIRECT("'Thanh Toán ("&amp;V$3&amp;")'!$F:$F"),INDIRECT("'Thanh Toán ("&amp;V$3&amp;")'!$D:$D"),'Tổng Đơn'!$B36),0)</f>
        <v>0</v>
      </c>
      <c r="W36" s="2">
        <f ca="1">IFERROR(SUMIFS(INDIRECT("'Thanh Toán ("&amp;W$3&amp;")'!$F:$F"),INDIRECT("'Thanh Toán ("&amp;W$3&amp;")'!$D:$D"),'Tổng Đơn'!$B36),0)</f>
        <v>0</v>
      </c>
      <c r="X36" s="2">
        <f ca="1">IFERROR(SUMIFS(INDIRECT("'Thanh Toán ("&amp;X$3&amp;")'!$F:$F"),INDIRECT("'Thanh Toán ("&amp;X$3&amp;")'!$D:$D"),'Tổng Đơn'!$B36),0)</f>
        <v>0</v>
      </c>
      <c r="Y36" s="2">
        <f ca="1">IFERROR(SUMIFS(INDIRECT("'Thanh Toán ("&amp;Y$3&amp;")'!$F:$F"),INDIRECT("'Thanh Toán ("&amp;Y$3&amp;")'!$D:$D"),'Tổng Đơn'!$B36),0)</f>
        <v>0</v>
      </c>
      <c r="Z36" s="2">
        <f ca="1">IFERROR(SUMIFS(INDIRECT("'Thanh Toán ("&amp;Z$3&amp;")'!$F:$F"),INDIRECT("'Thanh Toán ("&amp;Z$3&amp;")'!$D:$D"),'Tổng Đơn'!$B36),0)</f>
        <v>0</v>
      </c>
      <c r="AA36" s="2">
        <f ca="1">IFERROR(SUMIFS(INDIRECT("'Thanh Toán ("&amp;AA$3&amp;")'!$F:$F"),INDIRECT("'Thanh Toán ("&amp;AA$3&amp;")'!$D:$D"),'Tổng Đơn'!$B36),0)</f>
        <v>0</v>
      </c>
      <c r="AB36" s="2">
        <f ca="1">IFERROR(SUMIFS(INDIRECT("'Thanh Toán ("&amp;AB$3&amp;")'!$F:$F"),INDIRECT("'Thanh Toán ("&amp;AB$3&amp;")'!$D:$D"),'Tổng Đơn'!$B36),0)</f>
        <v>0</v>
      </c>
      <c r="AC36" s="2">
        <f ca="1">IFERROR(SUMIFS(INDIRECT("'Thanh Toán ("&amp;AC$3&amp;")'!$F:$F"),INDIRECT("'Thanh Toán ("&amp;AC$3&amp;")'!$D:$D"),'Tổng Đơn'!$B36),0)</f>
        <v>0</v>
      </c>
      <c r="AD36" s="2">
        <f ca="1">IFERROR(SUMIFS(INDIRECT("'Thanh Toán ("&amp;AD$3&amp;")'!$F:$F"),INDIRECT("'Thanh Toán ("&amp;AD$3&amp;")'!$D:$D"),'Tổng Đơn'!$B36),0)</f>
        <v>0</v>
      </c>
      <c r="AE36" s="2">
        <f ca="1">IFERROR(SUMIFS(INDIRECT("'Thanh Toán ("&amp;AE$3&amp;")'!$F:$F"),INDIRECT("'Thanh Toán ("&amp;AE$3&amp;")'!$D:$D"),'Tổng Đơn'!$B36),0)</f>
        <v>0</v>
      </c>
      <c r="AF36" s="2">
        <f ca="1">IFERROR(SUMIFS(INDIRECT("'Thanh Toán ("&amp;AF$3&amp;")'!$F:$F"),INDIRECT("'Thanh Toán ("&amp;AF$3&amp;")'!$D:$D"),'Tổng Đơn'!$B36),0)</f>
        <v>0</v>
      </c>
      <c r="AG36" s="2">
        <f ca="1">IFERROR(SUMIFS(INDIRECT("'Thanh Toán ("&amp;AG$3&amp;")'!$F:$F"),INDIRECT("'Thanh Toán ("&amp;AG$3&amp;")'!$D:$D"),'Tổng Đơn'!$B36),0)</f>
        <v>0</v>
      </c>
      <c r="AH36" s="2">
        <f ca="1">IFERROR(SUMIFS(INDIRECT("'Thanh Toán ("&amp;AH$3&amp;")'!$F:$F"),INDIRECT("'Thanh Toán ("&amp;AH$3&amp;")'!$D:$D"),'Tổng Đơn'!$B36),0)</f>
        <v>0</v>
      </c>
      <c r="AI36" s="2">
        <f ca="1">IFERROR(SUMIFS(INDIRECT("'Thanh Toán ("&amp;AI$3&amp;")'!$F:$F"),INDIRECT("'Thanh Toán ("&amp;AI$3&amp;")'!$D:$D"),'Tổng Đơn'!$B36),0)</f>
        <v>0</v>
      </c>
      <c r="AJ36" s="2">
        <f ca="1">IFERROR(SUMIFS(INDIRECT("'Thanh Toán ("&amp;AJ$3&amp;")'!$F:$F"),INDIRECT("'Thanh Toán ("&amp;AJ$3&amp;")'!$D:$D"),'Tổng Đơn'!$B36),0)</f>
        <v>0</v>
      </c>
      <c r="AK36" s="2">
        <f ca="1">IFERROR(SUMIFS(INDIRECT("'Thanh Toán ("&amp;AK$3&amp;")'!$F:$F"),INDIRECT("'Thanh Toán ("&amp;AK$3&amp;")'!$D:$D"),'Tổng Đơn'!$B36),0)</f>
        <v>0</v>
      </c>
      <c r="AL36" s="2">
        <f ca="1">IFERROR(SUMIFS(INDIRECT("'Thanh Toán ("&amp;AL$3&amp;")'!$F:$F"),INDIRECT("'Thanh Toán ("&amp;AL$3&amp;")'!$D:$D"),'Tổng Đơn'!$B36),0)</f>
        <v>0</v>
      </c>
      <c r="AM36" s="2">
        <f ca="1">IFERROR(SUMIFS(INDIRECT("'Thanh Toán ("&amp;AM$3&amp;")'!$F:$F"),INDIRECT("'Thanh Toán ("&amp;AM$3&amp;")'!$D:$D"),'Tổng Đơn'!$B36),0)</f>
        <v>0</v>
      </c>
      <c r="AN36" s="2">
        <f ca="1">IFERROR(SUMIFS(INDIRECT("'Thanh Toán ("&amp;AN$3&amp;")'!$F:$F"),INDIRECT("'Thanh Toán ("&amp;AN$3&amp;")'!$D:$D"),'Tổng Đơn'!$B36),0)</f>
        <v>0</v>
      </c>
      <c r="AO36" s="2">
        <f ca="1">IFERROR(SUMIFS(INDIRECT("'Thanh Toán ("&amp;AO$3&amp;")'!$F:$F"),INDIRECT("'Thanh Toán ("&amp;AO$3&amp;")'!$D:$D"),'Tổng Đơn'!$B36),0)</f>
        <v>0</v>
      </c>
      <c r="AP36" s="2">
        <f ca="1">IFERROR(SUMIFS(INDIRECT("'Thanh Toán ("&amp;AP$3&amp;")'!$F:$F"),INDIRECT("'Thanh Toán ("&amp;AP$3&amp;")'!$D:$D"),'Tổng Đơn'!$B36),0)</f>
        <v>0</v>
      </c>
      <c r="AQ36" s="2">
        <f ca="1">IFERROR(SUMIFS(INDIRECT("'Thanh Toán ("&amp;AQ$3&amp;")'!$F:$F"),INDIRECT("'Thanh Toán ("&amp;AQ$3&amp;")'!$D:$D"),'Tổng Đơn'!$B36),0)</f>
        <v>0</v>
      </c>
      <c r="AR36" s="2">
        <f ca="1">IFERROR(SUMIFS(INDIRECT("'Thanh Toán ("&amp;AR$3&amp;")'!$F:$F"),INDIRECT("'Thanh Toán ("&amp;AR$3&amp;")'!$D:$D"),'Tổng Đơn'!$B36),0)</f>
        <v>0</v>
      </c>
      <c r="AS36" s="2">
        <f ca="1">IFERROR(SUMIFS(INDIRECT("'Thanh Toán ("&amp;AS$3&amp;")'!$F:$F"),INDIRECT("'Thanh Toán ("&amp;AS$3&amp;")'!$D:$D"),'Tổng Đơn'!$B36),0)</f>
        <v>0</v>
      </c>
      <c r="AT36" s="2">
        <f ca="1">IFERROR(SUMIFS(INDIRECT("'Thanh Toán ("&amp;AT$3&amp;")'!$F:$F"),INDIRECT("'Thanh Toán ("&amp;AT$3&amp;")'!$D:$D"),'Tổng Đơn'!$B36),0)</f>
        <v>0</v>
      </c>
      <c r="AU36" s="2">
        <f ca="1">IFERROR(SUMIFS(INDIRECT("'Thanh Toán ("&amp;AU$3&amp;")'!$F:$F"),INDIRECT("'Thanh Toán ("&amp;AU$3&amp;")'!$D:$D"),'Tổng Đơn'!$B36),0)</f>
        <v>0</v>
      </c>
      <c r="AV36" s="2">
        <f ca="1">IFERROR(SUMIFS(INDIRECT("'Thanh Toán ("&amp;AV$3&amp;")'!$F:$F"),INDIRECT("'Thanh Toán ("&amp;AV$3&amp;")'!$D:$D"),'Tổng Đơn'!$B36),0)</f>
        <v>0</v>
      </c>
      <c r="AW36" s="2">
        <f ca="1">IFERROR(SUMIFS(INDIRECT("'Thanh Toán ("&amp;AW$3&amp;")'!$F:$F"),INDIRECT("'Thanh Toán ("&amp;AW$3&amp;")'!$D:$D"),'Tổng Đơn'!$B36),0)</f>
        <v>0</v>
      </c>
      <c r="AX36" s="2">
        <f ca="1">IFERROR(SUMIFS(INDIRECT("'Thanh Toán ("&amp;AX$3&amp;")'!$F:$F"),INDIRECT("'Thanh Toán ("&amp;AX$3&amp;")'!$D:$D"),'Tổng Đơn'!$B36),0)</f>
        <v>0</v>
      </c>
      <c r="AY36" s="2">
        <f ca="1">IFERROR(SUMIFS(INDIRECT("'Thanh Toán ("&amp;AY$3&amp;")'!$F:$F"),INDIRECT("'Thanh Toán ("&amp;AY$3&amp;")'!$D:$D"),'Tổng Đơn'!$B36),0)</f>
        <v>0</v>
      </c>
      <c r="AZ36" s="2">
        <f ca="1">IFERROR(SUMIFS(INDIRECT("'Thanh Toán ("&amp;AZ$3&amp;")'!$F:$F"),INDIRECT("'Thanh Toán ("&amp;AZ$3&amp;")'!$D:$D"),'Tổng Đơn'!$B36),0)</f>
        <v>0</v>
      </c>
      <c r="BA36" s="2">
        <f ca="1">IFERROR(SUMIFS(INDIRECT("'Thanh Toán ("&amp;BA$3&amp;")'!$F:$F"),INDIRECT("'Thanh Toán ("&amp;BA$3&amp;")'!$D:$D"),'Tổng Đơn'!$B36),0)</f>
        <v>0</v>
      </c>
      <c r="BB36" s="2">
        <f ca="1">IFERROR(SUMIFS(INDIRECT("'Thanh Toán ("&amp;BB$3&amp;")'!$F:$F"),INDIRECT("'Thanh Toán ("&amp;BB$3&amp;")'!$D:$D"),'Tổng Đơn'!$B36),0)</f>
        <v>0</v>
      </c>
      <c r="BC36" s="2">
        <f ca="1">IFERROR(SUMIFS(INDIRECT("'Thanh Toán ("&amp;BC$3&amp;")'!$F:$F"),INDIRECT("'Thanh Toán ("&amp;BC$3&amp;")'!$D:$D"),'Tổng Đơn'!$B36),0)</f>
        <v>0</v>
      </c>
    </row>
    <row r="37" spans="1:55" ht="18" customHeight="1" x14ac:dyDescent="0.3">
      <c r="A37" s="160">
        <v>27</v>
      </c>
      <c r="B37" s="161" t="s">
        <v>138</v>
      </c>
      <c r="C37" s="160" t="s">
        <v>73</v>
      </c>
      <c r="D37" s="162">
        <f>VLOOKUP($C37,Sheet1!$C$8:$D$80,2,0)</f>
        <v>35000</v>
      </c>
      <c r="E37" s="163">
        <v>0.5</v>
      </c>
      <c r="F37" s="164">
        <f t="shared" ca="1" si="2"/>
        <v>0</v>
      </c>
      <c r="G37" s="165">
        <f>IFERROR(VLOOKUP($B37,Gà!C:J,8,0),IFERROR(VLOOKUP($B37,TVP!C:J,7,0),IFERROR(VLOOKUP($B37,Kitkool!C:J,8,0),IFERROR(VLOOKUP($B37,'La Cusina'!C:J,8,0),VLOOKUP($B37,'Quốc Nhân'!C:J,8,0)))))</f>
        <v>30.265531175955079</v>
      </c>
      <c r="H37" s="166">
        <f t="shared" ca="1" si="10"/>
        <v>0</v>
      </c>
      <c r="I37" s="186">
        <f t="shared" si="11"/>
        <v>0.15643105011176184</v>
      </c>
      <c r="J37" s="166">
        <f t="shared" ca="1" si="12"/>
        <v>0</v>
      </c>
      <c r="K37" s="38"/>
      <c r="L37" s="2">
        <f ca="1">IFERROR(SUMIFS(INDIRECT("'Thanh Toán ("&amp;L$3&amp;")'!$F:$F"),INDIRECT("'Thanh Toán ("&amp;L$3&amp;")'!$D:$D"),'Tổng Đơn'!$B37),0)</f>
        <v>0</v>
      </c>
      <c r="M37" s="2">
        <f ca="1">IFERROR(SUMIFS(INDIRECT("'Thanh Toán ("&amp;M$3&amp;")'!$F:$F"),INDIRECT("'Thanh Toán ("&amp;M$3&amp;")'!$D:$D"),'Tổng Đơn'!$B37),0)</f>
        <v>0</v>
      </c>
      <c r="N37" s="2">
        <f ca="1">IFERROR(SUMIFS(INDIRECT("'Thanh Toán ("&amp;N$3&amp;")'!$F:$F"),INDIRECT("'Thanh Toán ("&amp;N$3&amp;")'!$D:$D"),'Tổng Đơn'!$B37),0)</f>
        <v>0</v>
      </c>
      <c r="O37" s="2">
        <f ca="1">IFERROR(SUMIFS(INDIRECT("'Thanh Toán ("&amp;O$3&amp;")'!$F:$F"),INDIRECT("'Thanh Toán ("&amp;O$3&amp;")'!$D:$D"),'Tổng Đơn'!$B37),0)</f>
        <v>0</v>
      </c>
      <c r="P37" s="2">
        <f ca="1">IFERROR(SUMIFS(INDIRECT("'Thanh Toán ("&amp;P$3&amp;")'!$F:$F"),INDIRECT("'Thanh Toán ("&amp;P$3&amp;")'!$D:$D"),'Tổng Đơn'!$B37),0)</f>
        <v>0</v>
      </c>
      <c r="Q37" s="2">
        <f ca="1">IFERROR(SUMIFS(INDIRECT("'Thanh Toán ("&amp;Q$3&amp;")'!$F:$F"),INDIRECT("'Thanh Toán ("&amp;Q$3&amp;")'!$D:$D"),'Tổng Đơn'!$B37),0)</f>
        <v>0</v>
      </c>
      <c r="R37" s="2">
        <f ca="1">IFERROR(SUMIFS(INDIRECT("'Thanh Toán ("&amp;R$3&amp;")'!$F:$F"),INDIRECT("'Thanh Toán ("&amp;R$3&amp;")'!$D:$D"),'Tổng Đơn'!$B37),0)</f>
        <v>0</v>
      </c>
      <c r="S37" s="2">
        <f ca="1">IFERROR(SUMIFS(INDIRECT("'Thanh Toán ("&amp;S$3&amp;")'!$F:$F"),INDIRECT("'Thanh Toán ("&amp;S$3&amp;")'!$D:$D"),'Tổng Đơn'!$B37),0)</f>
        <v>0</v>
      </c>
      <c r="T37" s="2">
        <f ca="1">IFERROR(SUMIFS(INDIRECT("'Thanh Toán ("&amp;T$3&amp;")'!$F:$F"),INDIRECT("'Thanh Toán ("&amp;T$3&amp;")'!$D:$D"),'Tổng Đơn'!$B37),0)</f>
        <v>0</v>
      </c>
      <c r="U37" s="2">
        <f ca="1">IFERROR(SUMIFS(INDIRECT("'Thanh Toán ("&amp;U$3&amp;")'!$F:$F"),INDIRECT("'Thanh Toán ("&amp;U$3&amp;")'!$D:$D"),'Tổng Đơn'!$B37),0)</f>
        <v>0</v>
      </c>
      <c r="V37" s="2">
        <f ca="1">IFERROR(SUMIFS(INDIRECT("'Thanh Toán ("&amp;V$3&amp;")'!$F:$F"),INDIRECT("'Thanh Toán ("&amp;V$3&amp;")'!$D:$D"),'Tổng Đơn'!$B37),0)</f>
        <v>0</v>
      </c>
      <c r="W37" s="2">
        <f ca="1">IFERROR(SUMIFS(INDIRECT("'Thanh Toán ("&amp;W$3&amp;")'!$F:$F"),INDIRECT("'Thanh Toán ("&amp;W$3&amp;")'!$D:$D"),'Tổng Đơn'!$B37),0)</f>
        <v>0</v>
      </c>
      <c r="X37" s="2">
        <f ca="1">IFERROR(SUMIFS(INDIRECT("'Thanh Toán ("&amp;X$3&amp;")'!$F:$F"),INDIRECT("'Thanh Toán ("&amp;X$3&amp;")'!$D:$D"),'Tổng Đơn'!$B37),0)</f>
        <v>0</v>
      </c>
      <c r="Y37" s="2">
        <f ca="1">IFERROR(SUMIFS(INDIRECT("'Thanh Toán ("&amp;Y$3&amp;")'!$F:$F"),INDIRECT("'Thanh Toán ("&amp;Y$3&amp;")'!$D:$D"),'Tổng Đơn'!$B37),0)</f>
        <v>0</v>
      </c>
      <c r="Z37" s="2">
        <f ca="1">IFERROR(SUMIFS(INDIRECT("'Thanh Toán ("&amp;Z$3&amp;")'!$F:$F"),INDIRECT("'Thanh Toán ("&amp;Z$3&amp;")'!$D:$D"),'Tổng Đơn'!$B37),0)</f>
        <v>0</v>
      </c>
      <c r="AA37" s="2">
        <f ca="1">IFERROR(SUMIFS(INDIRECT("'Thanh Toán ("&amp;AA$3&amp;")'!$F:$F"),INDIRECT("'Thanh Toán ("&amp;AA$3&amp;")'!$D:$D"),'Tổng Đơn'!$B37),0)</f>
        <v>0</v>
      </c>
      <c r="AB37" s="2">
        <f ca="1">IFERROR(SUMIFS(INDIRECT("'Thanh Toán ("&amp;AB$3&amp;")'!$F:$F"),INDIRECT("'Thanh Toán ("&amp;AB$3&amp;")'!$D:$D"),'Tổng Đơn'!$B37),0)</f>
        <v>0</v>
      </c>
      <c r="AC37" s="2">
        <f ca="1">IFERROR(SUMIFS(INDIRECT("'Thanh Toán ("&amp;AC$3&amp;")'!$F:$F"),INDIRECT("'Thanh Toán ("&amp;AC$3&amp;")'!$D:$D"),'Tổng Đơn'!$B37),0)</f>
        <v>0</v>
      </c>
      <c r="AD37" s="2">
        <f ca="1">IFERROR(SUMIFS(INDIRECT("'Thanh Toán ("&amp;AD$3&amp;")'!$F:$F"),INDIRECT("'Thanh Toán ("&amp;AD$3&amp;")'!$D:$D"),'Tổng Đơn'!$B37),0)</f>
        <v>0</v>
      </c>
      <c r="AE37" s="2">
        <f ca="1">IFERROR(SUMIFS(INDIRECT("'Thanh Toán ("&amp;AE$3&amp;")'!$F:$F"),INDIRECT("'Thanh Toán ("&amp;AE$3&amp;")'!$D:$D"),'Tổng Đơn'!$B37),0)</f>
        <v>0</v>
      </c>
      <c r="AF37" s="2">
        <f ca="1">IFERROR(SUMIFS(INDIRECT("'Thanh Toán ("&amp;AF$3&amp;")'!$F:$F"),INDIRECT("'Thanh Toán ("&amp;AF$3&amp;")'!$D:$D"),'Tổng Đơn'!$B37),0)</f>
        <v>0</v>
      </c>
      <c r="AG37" s="2">
        <f ca="1">IFERROR(SUMIFS(INDIRECT("'Thanh Toán ("&amp;AG$3&amp;")'!$F:$F"),INDIRECT("'Thanh Toán ("&amp;AG$3&amp;")'!$D:$D"),'Tổng Đơn'!$B37),0)</f>
        <v>0</v>
      </c>
      <c r="AH37" s="2">
        <f ca="1">IFERROR(SUMIFS(INDIRECT("'Thanh Toán ("&amp;AH$3&amp;")'!$F:$F"),INDIRECT("'Thanh Toán ("&amp;AH$3&amp;")'!$D:$D"),'Tổng Đơn'!$B37),0)</f>
        <v>0</v>
      </c>
      <c r="AI37" s="2">
        <f ca="1">IFERROR(SUMIFS(INDIRECT("'Thanh Toán ("&amp;AI$3&amp;")'!$F:$F"),INDIRECT("'Thanh Toán ("&amp;AI$3&amp;")'!$D:$D"),'Tổng Đơn'!$B37),0)</f>
        <v>0</v>
      </c>
      <c r="AJ37" s="2">
        <f ca="1">IFERROR(SUMIFS(INDIRECT("'Thanh Toán ("&amp;AJ$3&amp;")'!$F:$F"),INDIRECT("'Thanh Toán ("&amp;AJ$3&amp;")'!$D:$D"),'Tổng Đơn'!$B37),0)</f>
        <v>0</v>
      </c>
      <c r="AK37" s="2">
        <f ca="1">IFERROR(SUMIFS(INDIRECT("'Thanh Toán ("&amp;AK$3&amp;")'!$F:$F"),INDIRECT("'Thanh Toán ("&amp;AK$3&amp;")'!$D:$D"),'Tổng Đơn'!$B37),0)</f>
        <v>0</v>
      </c>
      <c r="AL37" s="2">
        <f ca="1">IFERROR(SUMIFS(INDIRECT("'Thanh Toán ("&amp;AL$3&amp;")'!$F:$F"),INDIRECT("'Thanh Toán ("&amp;AL$3&amp;")'!$D:$D"),'Tổng Đơn'!$B37),0)</f>
        <v>0</v>
      </c>
      <c r="AM37" s="2">
        <f ca="1">IFERROR(SUMIFS(INDIRECT("'Thanh Toán ("&amp;AM$3&amp;")'!$F:$F"),INDIRECT("'Thanh Toán ("&amp;AM$3&amp;")'!$D:$D"),'Tổng Đơn'!$B37),0)</f>
        <v>0</v>
      </c>
      <c r="AN37" s="2">
        <f ca="1">IFERROR(SUMIFS(INDIRECT("'Thanh Toán ("&amp;AN$3&amp;")'!$F:$F"),INDIRECT("'Thanh Toán ("&amp;AN$3&amp;")'!$D:$D"),'Tổng Đơn'!$B37),0)</f>
        <v>0</v>
      </c>
      <c r="AO37" s="2">
        <f ca="1">IFERROR(SUMIFS(INDIRECT("'Thanh Toán ("&amp;AO$3&amp;")'!$F:$F"),INDIRECT("'Thanh Toán ("&amp;AO$3&amp;")'!$D:$D"),'Tổng Đơn'!$B37),0)</f>
        <v>0</v>
      </c>
      <c r="AP37" s="2">
        <f ca="1">IFERROR(SUMIFS(INDIRECT("'Thanh Toán ("&amp;AP$3&amp;")'!$F:$F"),INDIRECT("'Thanh Toán ("&amp;AP$3&amp;")'!$D:$D"),'Tổng Đơn'!$B37),0)</f>
        <v>0</v>
      </c>
      <c r="AQ37" s="2">
        <f ca="1">IFERROR(SUMIFS(INDIRECT("'Thanh Toán ("&amp;AQ$3&amp;")'!$F:$F"),INDIRECT("'Thanh Toán ("&amp;AQ$3&amp;")'!$D:$D"),'Tổng Đơn'!$B37),0)</f>
        <v>0</v>
      </c>
      <c r="AR37" s="2">
        <f ca="1">IFERROR(SUMIFS(INDIRECT("'Thanh Toán ("&amp;AR$3&amp;")'!$F:$F"),INDIRECT("'Thanh Toán ("&amp;AR$3&amp;")'!$D:$D"),'Tổng Đơn'!$B37),0)</f>
        <v>0</v>
      </c>
      <c r="AS37" s="2">
        <f ca="1">IFERROR(SUMIFS(INDIRECT("'Thanh Toán ("&amp;AS$3&amp;")'!$F:$F"),INDIRECT("'Thanh Toán ("&amp;AS$3&amp;")'!$D:$D"),'Tổng Đơn'!$B37),0)</f>
        <v>0</v>
      </c>
      <c r="AT37" s="2">
        <f ca="1">IFERROR(SUMIFS(INDIRECT("'Thanh Toán ("&amp;AT$3&amp;")'!$F:$F"),INDIRECT("'Thanh Toán ("&amp;AT$3&amp;")'!$D:$D"),'Tổng Đơn'!$B37),0)</f>
        <v>0</v>
      </c>
      <c r="AU37" s="2">
        <f ca="1">IFERROR(SUMIFS(INDIRECT("'Thanh Toán ("&amp;AU$3&amp;")'!$F:$F"),INDIRECT("'Thanh Toán ("&amp;AU$3&amp;")'!$D:$D"),'Tổng Đơn'!$B37),0)</f>
        <v>0</v>
      </c>
      <c r="AV37" s="2">
        <f ca="1">IFERROR(SUMIFS(INDIRECT("'Thanh Toán ("&amp;AV$3&amp;")'!$F:$F"),INDIRECT("'Thanh Toán ("&amp;AV$3&amp;")'!$D:$D"),'Tổng Đơn'!$B37),0)</f>
        <v>0</v>
      </c>
      <c r="AW37" s="2">
        <f ca="1">IFERROR(SUMIFS(INDIRECT("'Thanh Toán ("&amp;AW$3&amp;")'!$F:$F"),INDIRECT("'Thanh Toán ("&amp;AW$3&amp;")'!$D:$D"),'Tổng Đơn'!$B37),0)</f>
        <v>0</v>
      </c>
      <c r="AX37" s="2">
        <f ca="1">IFERROR(SUMIFS(INDIRECT("'Thanh Toán ("&amp;AX$3&amp;")'!$F:$F"),INDIRECT("'Thanh Toán ("&amp;AX$3&amp;")'!$D:$D"),'Tổng Đơn'!$B37),0)</f>
        <v>0</v>
      </c>
      <c r="AY37" s="2">
        <f ca="1">IFERROR(SUMIFS(INDIRECT("'Thanh Toán ("&amp;AY$3&amp;")'!$F:$F"),INDIRECT("'Thanh Toán ("&amp;AY$3&amp;")'!$D:$D"),'Tổng Đơn'!$B37),0)</f>
        <v>0</v>
      </c>
      <c r="AZ37" s="2">
        <f ca="1">IFERROR(SUMIFS(INDIRECT("'Thanh Toán ("&amp;AZ$3&amp;")'!$F:$F"),INDIRECT("'Thanh Toán ("&amp;AZ$3&amp;")'!$D:$D"),'Tổng Đơn'!$B37),0)</f>
        <v>0</v>
      </c>
      <c r="BA37" s="2">
        <f ca="1">IFERROR(SUMIFS(INDIRECT("'Thanh Toán ("&amp;BA$3&amp;")'!$F:$F"),INDIRECT("'Thanh Toán ("&amp;BA$3&amp;")'!$D:$D"),'Tổng Đơn'!$B37),0)</f>
        <v>0</v>
      </c>
      <c r="BB37" s="2">
        <f ca="1">IFERROR(SUMIFS(INDIRECT("'Thanh Toán ("&amp;BB$3&amp;")'!$F:$F"),INDIRECT("'Thanh Toán ("&amp;BB$3&amp;")'!$D:$D"),'Tổng Đơn'!$B37),0)</f>
        <v>0</v>
      </c>
      <c r="BC37" s="2">
        <f ca="1">IFERROR(SUMIFS(INDIRECT("'Thanh Toán ("&amp;BC$3&amp;")'!$F:$F"),INDIRECT("'Thanh Toán ("&amp;BC$3&amp;")'!$D:$D"),'Tổng Đơn'!$B37),0)</f>
        <v>0</v>
      </c>
    </row>
    <row r="38" spans="1:55" ht="18" customHeight="1" x14ac:dyDescent="0.3">
      <c r="A38" s="167">
        <v>28</v>
      </c>
      <c r="B38" s="161" t="s">
        <v>139</v>
      </c>
      <c r="C38" s="167" t="s">
        <v>74</v>
      </c>
      <c r="D38" s="162">
        <f>VLOOKUP($C38,Sheet1!$C$8:$D$80,2,0)</f>
        <v>38000</v>
      </c>
      <c r="E38" s="163">
        <v>0.2</v>
      </c>
      <c r="F38" s="164">
        <f t="shared" ca="1" si="2"/>
        <v>2</v>
      </c>
      <c r="G38" s="165">
        <f>IFERROR(VLOOKUP($B38,Gà!C:J,8,0),IFERROR(VLOOKUP($B38,TVP!C:J,7,0),IFERROR(VLOOKUP($B38,Kitkool!C:J,8,0),IFERROR(VLOOKUP($B38,'La Cusina'!C:J,8,0),VLOOKUP($B38,'Quốc Nhân'!C:J,8,0)))))</f>
        <v>32.317431594663894</v>
      </c>
      <c r="H38" s="166">
        <f t="shared" ca="1" si="10"/>
        <v>11365.136810672215</v>
      </c>
      <c r="I38" s="186">
        <f t="shared" si="11"/>
        <v>0.17583601557849016</v>
      </c>
      <c r="J38" s="166">
        <f t="shared" ca="1" si="12"/>
        <v>64634.863189327785</v>
      </c>
      <c r="K38" s="38"/>
      <c r="L38" s="2">
        <f ca="1">IFERROR(SUMIFS(INDIRECT("'Thanh Toán ("&amp;L$3&amp;")'!$F:$F"),INDIRECT("'Thanh Toán ("&amp;L$3&amp;")'!$D:$D"),'Tổng Đơn'!$B38),0)</f>
        <v>0</v>
      </c>
      <c r="M38" s="2">
        <f ca="1">IFERROR(SUMIFS(INDIRECT("'Thanh Toán ("&amp;M$3&amp;")'!$F:$F"),INDIRECT("'Thanh Toán ("&amp;M$3&amp;")'!$D:$D"),'Tổng Đơn'!$B38),0)</f>
        <v>0</v>
      </c>
      <c r="N38" s="2">
        <f ca="1">IFERROR(SUMIFS(INDIRECT("'Thanh Toán ("&amp;N$3&amp;")'!$F:$F"),INDIRECT("'Thanh Toán ("&amp;N$3&amp;")'!$D:$D"),'Tổng Đơn'!$B38),0)</f>
        <v>0</v>
      </c>
      <c r="O38" s="2">
        <f ca="1">IFERROR(SUMIFS(INDIRECT("'Thanh Toán ("&amp;O$3&amp;")'!$F:$F"),INDIRECT("'Thanh Toán ("&amp;O$3&amp;")'!$D:$D"),'Tổng Đơn'!$B38),0)</f>
        <v>0</v>
      </c>
      <c r="P38" s="2">
        <f ca="1">IFERROR(SUMIFS(INDIRECT("'Thanh Toán ("&amp;P$3&amp;")'!$F:$F"),INDIRECT("'Thanh Toán ("&amp;P$3&amp;")'!$D:$D"),'Tổng Đơn'!$B38),0)</f>
        <v>0</v>
      </c>
      <c r="Q38" s="2">
        <f ca="1">IFERROR(SUMIFS(INDIRECT("'Thanh Toán ("&amp;Q$3&amp;")'!$F:$F"),INDIRECT("'Thanh Toán ("&amp;Q$3&amp;")'!$D:$D"),'Tổng Đơn'!$B38),0)</f>
        <v>0</v>
      </c>
      <c r="R38" s="2">
        <f ca="1">IFERROR(SUMIFS(INDIRECT("'Thanh Toán ("&amp;R$3&amp;")'!$F:$F"),INDIRECT("'Thanh Toán ("&amp;R$3&amp;")'!$D:$D"),'Tổng Đơn'!$B38),0)</f>
        <v>0</v>
      </c>
      <c r="S38" s="2">
        <f ca="1">IFERROR(SUMIFS(INDIRECT("'Thanh Toán ("&amp;S$3&amp;")'!$F:$F"),INDIRECT("'Thanh Toán ("&amp;S$3&amp;")'!$D:$D"),'Tổng Đơn'!$B38),0)</f>
        <v>0</v>
      </c>
      <c r="T38" s="2">
        <f ca="1">IFERROR(SUMIFS(INDIRECT("'Thanh Toán ("&amp;T$3&amp;")'!$F:$F"),INDIRECT("'Thanh Toán ("&amp;T$3&amp;")'!$D:$D"),'Tổng Đơn'!$B38),0)</f>
        <v>0</v>
      </c>
      <c r="U38" s="2">
        <f ca="1">IFERROR(SUMIFS(INDIRECT("'Thanh Toán ("&amp;U$3&amp;")'!$F:$F"),INDIRECT("'Thanh Toán ("&amp;U$3&amp;")'!$D:$D"),'Tổng Đơn'!$B38),0)</f>
        <v>1</v>
      </c>
      <c r="V38" s="2">
        <f ca="1">IFERROR(SUMIFS(INDIRECT("'Thanh Toán ("&amp;V$3&amp;")'!$F:$F"),INDIRECT("'Thanh Toán ("&amp;V$3&amp;")'!$D:$D"),'Tổng Đơn'!$B38),0)</f>
        <v>0</v>
      </c>
      <c r="W38" s="2">
        <f ca="1">IFERROR(SUMIFS(INDIRECT("'Thanh Toán ("&amp;W$3&amp;")'!$F:$F"),INDIRECT("'Thanh Toán ("&amp;W$3&amp;")'!$D:$D"),'Tổng Đơn'!$B38),0)</f>
        <v>0</v>
      </c>
      <c r="X38" s="2">
        <f ca="1">IFERROR(SUMIFS(INDIRECT("'Thanh Toán ("&amp;X$3&amp;")'!$F:$F"),INDIRECT("'Thanh Toán ("&amp;X$3&amp;")'!$D:$D"),'Tổng Đơn'!$B38),0)</f>
        <v>0</v>
      </c>
      <c r="Y38" s="2">
        <f ca="1">IFERROR(SUMIFS(INDIRECT("'Thanh Toán ("&amp;Y$3&amp;")'!$F:$F"),INDIRECT("'Thanh Toán ("&amp;Y$3&amp;")'!$D:$D"),'Tổng Đơn'!$B38),0)</f>
        <v>0</v>
      </c>
      <c r="Z38" s="2">
        <f ca="1">IFERROR(SUMIFS(INDIRECT("'Thanh Toán ("&amp;Z$3&amp;")'!$F:$F"),INDIRECT("'Thanh Toán ("&amp;Z$3&amp;")'!$D:$D"),'Tổng Đơn'!$B38),0)</f>
        <v>0</v>
      </c>
      <c r="AA38" s="2">
        <f ca="1">IFERROR(SUMIFS(INDIRECT("'Thanh Toán ("&amp;AA$3&amp;")'!$F:$F"),INDIRECT("'Thanh Toán ("&amp;AA$3&amp;")'!$D:$D"),'Tổng Đơn'!$B38),0)</f>
        <v>0</v>
      </c>
      <c r="AB38" s="2">
        <f ca="1">IFERROR(SUMIFS(INDIRECT("'Thanh Toán ("&amp;AB$3&amp;")'!$F:$F"),INDIRECT("'Thanh Toán ("&amp;AB$3&amp;")'!$D:$D"),'Tổng Đơn'!$B38),0)</f>
        <v>0</v>
      </c>
      <c r="AC38" s="2">
        <f ca="1">IFERROR(SUMIFS(INDIRECT("'Thanh Toán ("&amp;AC$3&amp;")'!$F:$F"),INDIRECT("'Thanh Toán ("&amp;AC$3&amp;")'!$D:$D"),'Tổng Đơn'!$B38),0)</f>
        <v>0</v>
      </c>
      <c r="AD38" s="2">
        <f ca="1">IFERROR(SUMIFS(INDIRECT("'Thanh Toán ("&amp;AD$3&amp;")'!$F:$F"),INDIRECT("'Thanh Toán ("&amp;AD$3&amp;")'!$D:$D"),'Tổng Đơn'!$B38),0)</f>
        <v>1</v>
      </c>
      <c r="AE38" s="2">
        <f ca="1">IFERROR(SUMIFS(INDIRECT("'Thanh Toán ("&amp;AE$3&amp;")'!$F:$F"),INDIRECT("'Thanh Toán ("&amp;AE$3&amp;")'!$D:$D"),'Tổng Đơn'!$B38),0)</f>
        <v>0</v>
      </c>
      <c r="AF38" s="2">
        <f ca="1">IFERROR(SUMIFS(INDIRECT("'Thanh Toán ("&amp;AF$3&amp;")'!$F:$F"),INDIRECT("'Thanh Toán ("&amp;AF$3&amp;")'!$D:$D"),'Tổng Đơn'!$B38),0)</f>
        <v>0</v>
      </c>
      <c r="AG38" s="2">
        <f ca="1">IFERROR(SUMIFS(INDIRECT("'Thanh Toán ("&amp;AG$3&amp;")'!$F:$F"),INDIRECT("'Thanh Toán ("&amp;AG$3&amp;")'!$D:$D"),'Tổng Đơn'!$B38),0)</f>
        <v>0</v>
      </c>
      <c r="AH38" s="2">
        <f ca="1">IFERROR(SUMIFS(INDIRECT("'Thanh Toán ("&amp;AH$3&amp;")'!$F:$F"),INDIRECT("'Thanh Toán ("&amp;AH$3&amp;")'!$D:$D"),'Tổng Đơn'!$B38),0)</f>
        <v>0</v>
      </c>
      <c r="AI38" s="2">
        <f ca="1">IFERROR(SUMIFS(INDIRECT("'Thanh Toán ("&amp;AI$3&amp;")'!$F:$F"),INDIRECT("'Thanh Toán ("&amp;AI$3&amp;")'!$D:$D"),'Tổng Đơn'!$B38),0)</f>
        <v>0</v>
      </c>
      <c r="AJ38" s="2">
        <f ca="1">IFERROR(SUMIFS(INDIRECT("'Thanh Toán ("&amp;AJ$3&amp;")'!$F:$F"),INDIRECT("'Thanh Toán ("&amp;AJ$3&amp;")'!$D:$D"),'Tổng Đơn'!$B38),0)</f>
        <v>0</v>
      </c>
      <c r="AK38" s="2">
        <f ca="1">IFERROR(SUMIFS(INDIRECT("'Thanh Toán ("&amp;AK$3&amp;")'!$F:$F"),INDIRECT("'Thanh Toán ("&amp;AK$3&amp;")'!$D:$D"),'Tổng Đơn'!$B38),0)</f>
        <v>0</v>
      </c>
      <c r="AL38" s="2">
        <f ca="1">IFERROR(SUMIFS(INDIRECT("'Thanh Toán ("&amp;AL$3&amp;")'!$F:$F"),INDIRECT("'Thanh Toán ("&amp;AL$3&amp;")'!$D:$D"),'Tổng Đơn'!$B38),0)</f>
        <v>0</v>
      </c>
      <c r="AM38" s="2">
        <f ca="1">IFERROR(SUMIFS(INDIRECT("'Thanh Toán ("&amp;AM$3&amp;")'!$F:$F"),INDIRECT("'Thanh Toán ("&amp;AM$3&amp;")'!$D:$D"),'Tổng Đơn'!$B38),0)</f>
        <v>0</v>
      </c>
      <c r="AN38" s="2">
        <f ca="1">IFERROR(SUMIFS(INDIRECT("'Thanh Toán ("&amp;AN$3&amp;")'!$F:$F"),INDIRECT("'Thanh Toán ("&amp;AN$3&amp;")'!$D:$D"),'Tổng Đơn'!$B38),0)</f>
        <v>0</v>
      </c>
      <c r="AO38" s="2">
        <f ca="1">IFERROR(SUMIFS(INDIRECT("'Thanh Toán ("&amp;AO$3&amp;")'!$F:$F"),INDIRECT("'Thanh Toán ("&amp;AO$3&amp;")'!$D:$D"),'Tổng Đơn'!$B38),0)</f>
        <v>0</v>
      </c>
      <c r="AP38" s="2">
        <f ca="1">IFERROR(SUMIFS(INDIRECT("'Thanh Toán ("&amp;AP$3&amp;")'!$F:$F"),INDIRECT("'Thanh Toán ("&amp;AP$3&amp;")'!$D:$D"),'Tổng Đơn'!$B38),0)</f>
        <v>0</v>
      </c>
      <c r="AQ38" s="2">
        <f ca="1">IFERROR(SUMIFS(INDIRECT("'Thanh Toán ("&amp;AQ$3&amp;")'!$F:$F"),INDIRECT("'Thanh Toán ("&amp;AQ$3&amp;")'!$D:$D"),'Tổng Đơn'!$B38),0)</f>
        <v>0</v>
      </c>
      <c r="AR38" s="2">
        <f ca="1">IFERROR(SUMIFS(INDIRECT("'Thanh Toán ("&amp;AR$3&amp;")'!$F:$F"),INDIRECT("'Thanh Toán ("&amp;AR$3&amp;")'!$D:$D"),'Tổng Đơn'!$B38),0)</f>
        <v>0</v>
      </c>
      <c r="AS38" s="2">
        <f ca="1">IFERROR(SUMIFS(INDIRECT("'Thanh Toán ("&amp;AS$3&amp;")'!$F:$F"),INDIRECT("'Thanh Toán ("&amp;AS$3&amp;")'!$D:$D"),'Tổng Đơn'!$B38),0)</f>
        <v>0</v>
      </c>
      <c r="AT38" s="2">
        <f ca="1">IFERROR(SUMIFS(INDIRECT("'Thanh Toán ("&amp;AT$3&amp;")'!$F:$F"),INDIRECT("'Thanh Toán ("&amp;AT$3&amp;")'!$D:$D"),'Tổng Đơn'!$B38),0)</f>
        <v>0</v>
      </c>
      <c r="AU38" s="2">
        <f ca="1">IFERROR(SUMIFS(INDIRECT("'Thanh Toán ("&amp;AU$3&amp;")'!$F:$F"),INDIRECT("'Thanh Toán ("&amp;AU$3&amp;")'!$D:$D"),'Tổng Đơn'!$B38),0)</f>
        <v>0</v>
      </c>
      <c r="AV38" s="2">
        <f ca="1">IFERROR(SUMIFS(INDIRECT("'Thanh Toán ("&amp;AV$3&amp;")'!$F:$F"),INDIRECT("'Thanh Toán ("&amp;AV$3&amp;")'!$D:$D"),'Tổng Đơn'!$B38),0)</f>
        <v>0</v>
      </c>
      <c r="AW38" s="2">
        <f ca="1">IFERROR(SUMIFS(INDIRECT("'Thanh Toán ("&amp;AW$3&amp;")'!$F:$F"),INDIRECT("'Thanh Toán ("&amp;AW$3&amp;")'!$D:$D"),'Tổng Đơn'!$B38),0)</f>
        <v>0</v>
      </c>
      <c r="AX38" s="2">
        <f ca="1">IFERROR(SUMIFS(INDIRECT("'Thanh Toán ("&amp;AX$3&amp;")'!$F:$F"),INDIRECT("'Thanh Toán ("&amp;AX$3&amp;")'!$D:$D"),'Tổng Đơn'!$B38),0)</f>
        <v>0</v>
      </c>
      <c r="AY38" s="2">
        <f ca="1">IFERROR(SUMIFS(INDIRECT("'Thanh Toán ("&amp;AY$3&amp;")'!$F:$F"),INDIRECT("'Thanh Toán ("&amp;AY$3&amp;")'!$D:$D"),'Tổng Đơn'!$B38),0)</f>
        <v>0</v>
      </c>
      <c r="AZ38" s="2">
        <f ca="1">IFERROR(SUMIFS(INDIRECT("'Thanh Toán ("&amp;AZ$3&amp;")'!$F:$F"),INDIRECT("'Thanh Toán ("&amp;AZ$3&amp;")'!$D:$D"),'Tổng Đơn'!$B38),0)</f>
        <v>0</v>
      </c>
      <c r="BA38" s="2">
        <f ca="1">IFERROR(SUMIFS(INDIRECT("'Thanh Toán ("&amp;BA$3&amp;")'!$F:$F"),INDIRECT("'Thanh Toán ("&amp;BA$3&amp;")'!$D:$D"),'Tổng Đơn'!$B38),0)</f>
        <v>0</v>
      </c>
      <c r="BB38" s="2">
        <f ca="1">IFERROR(SUMIFS(INDIRECT("'Thanh Toán ("&amp;BB$3&amp;")'!$F:$F"),INDIRECT("'Thanh Toán ("&amp;BB$3&amp;")'!$D:$D"),'Tổng Đơn'!$B38),0)</f>
        <v>0</v>
      </c>
      <c r="BC38" s="2">
        <f ca="1">IFERROR(SUMIFS(INDIRECT("'Thanh Toán ("&amp;BC$3&amp;")'!$F:$F"),INDIRECT("'Thanh Toán ("&amp;BC$3&amp;")'!$D:$D"),'Tổng Đơn'!$B38),0)</f>
        <v>0</v>
      </c>
    </row>
    <row r="39" spans="1:55" ht="18" customHeight="1" x14ac:dyDescent="0.3">
      <c r="A39" s="160">
        <v>29</v>
      </c>
      <c r="B39" s="161" t="s">
        <v>143</v>
      </c>
      <c r="C39" s="160" t="s">
        <v>75</v>
      </c>
      <c r="D39" s="162">
        <f>VLOOKUP($C39,Sheet1!$C$8:$D$80,2,0)</f>
        <v>70000</v>
      </c>
      <c r="E39" s="163">
        <v>0.5</v>
      </c>
      <c r="F39" s="164">
        <f t="shared" ca="1" si="2"/>
        <v>2</v>
      </c>
      <c r="G39" s="165">
        <f>IFERROR(VLOOKUP($B39,Gà!C:J,8,0),IFERROR(VLOOKUP($B39,TVP!C:J,7,0),IFERROR(VLOOKUP($B39,Kitkool!C:J,8,0),IFERROR(VLOOKUP($B39,'La Cusina'!C:J,8,0),VLOOKUP($B39,'Quốc Nhân'!C:J,8,0)))))</f>
        <v>61.371942009828075</v>
      </c>
      <c r="H39" s="166">
        <f t="shared" ca="1" si="10"/>
        <v>17256.11598034385</v>
      </c>
      <c r="I39" s="186">
        <f t="shared" si="11"/>
        <v>0.14058636092679344</v>
      </c>
      <c r="J39" s="166">
        <f t="shared" ca="1" si="12"/>
        <v>122743.88401965615</v>
      </c>
      <c r="K39" s="38"/>
      <c r="L39" s="2">
        <f ca="1">IFERROR(SUMIFS(INDIRECT("'Thanh Toán ("&amp;L$3&amp;")'!$F:$F"),INDIRECT("'Thanh Toán ("&amp;L$3&amp;")'!$D:$D"),'Tổng Đơn'!$B39),0)</f>
        <v>0</v>
      </c>
      <c r="M39" s="2">
        <f ca="1">IFERROR(SUMIFS(INDIRECT("'Thanh Toán ("&amp;M$3&amp;")'!$F:$F"),INDIRECT("'Thanh Toán ("&amp;M$3&amp;")'!$D:$D"),'Tổng Đơn'!$B39),0)</f>
        <v>0</v>
      </c>
      <c r="N39" s="2">
        <f ca="1">IFERROR(SUMIFS(INDIRECT("'Thanh Toán ("&amp;N$3&amp;")'!$F:$F"),INDIRECT("'Thanh Toán ("&amp;N$3&amp;")'!$D:$D"),'Tổng Đơn'!$B39),0)</f>
        <v>0</v>
      </c>
      <c r="O39" s="2">
        <f ca="1">IFERROR(SUMIFS(INDIRECT("'Thanh Toán ("&amp;O$3&amp;")'!$F:$F"),INDIRECT("'Thanh Toán ("&amp;O$3&amp;")'!$D:$D"),'Tổng Đơn'!$B39),0)</f>
        <v>0</v>
      </c>
      <c r="P39" s="2">
        <f ca="1">IFERROR(SUMIFS(INDIRECT("'Thanh Toán ("&amp;P$3&amp;")'!$F:$F"),INDIRECT("'Thanh Toán ("&amp;P$3&amp;")'!$D:$D"),'Tổng Đơn'!$B39),0)</f>
        <v>0</v>
      </c>
      <c r="Q39" s="2">
        <f ca="1">IFERROR(SUMIFS(INDIRECT("'Thanh Toán ("&amp;Q$3&amp;")'!$F:$F"),INDIRECT("'Thanh Toán ("&amp;Q$3&amp;")'!$D:$D"),'Tổng Đơn'!$B39),0)</f>
        <v>0</v>
      </c>
      <c r="R39" s="2">
        <f ca="1">IFERROR(SUMIFS(INDIRECT("'Thanh Toán ("&amp;R$3&amp;")'!$F:$F"),INDIRECT("'Thanh Toán ("&amp;R$3&amp;")'!$D:$D"),'Tổng Đơn'!$B39),0)</f>
        <v>2</v>
      </c>
      <c r="S39" s="2">
        <f ca="1">IFERROR(SUMIFS(INDIRECT("'Thanh Toán ("&amp;S$3&amp;")'!$F:$F"),INDIRECT("'Thanh Toán ("&amp;S$3&amp;")'!$D:$D"),'Tổng Đơn'!$B39),0)</f>
        <v>0</v>
      </c>
      <c r="T39" s="2">
        <f ca="1">IFERROR(SUMIFS(INDIRECT("'Thanh Toán ("&amp;T$3&amp;")'!$F:$F"),INDIRECT("'Thanh Toán ("&amp;T$3&amp;")'!$D:$D"),'Tổng Đơn'!$B39),0)</f>
        <v>0</v>
      </c>
      <c r="U39" s="2">
        <f ca="1">IFERROR(SUMIFS(INDIRECT("'Thanh Toán ("&amp;U$3&amp;")'!$F:$F"),INDIRECT("'Thanh Toán ("&amp;U$3&amp;")'!$D:$D"),'Tổng Đơn'!$B39),0)</f>
        <v>0</v>
      </c>
      <c r="V39" s="2">
        <f ca="1">IFERROR(SUMIFS(INDIRECT("'Thanh Toán ("&amp;V$3&amp;")'!$F:$F"),INDIRECT("'Thanh Toán ("&amp;V$3&amp;")'!$D:$D"),'Tổng Đơn'!$B39),0)</f>
        <v>0</v>
      </c>
      <c r="W39" s="2">
        <f ca="1">IFERROR(SUMIFS(INDIRECT("'Thanh Toán ("&amp;W$3&amp;")'!$F:$F"),INDIRECT("'Thanh Toán ("&amp;W$3&amp;")'!$D:$D"),'Tổng Đơn'!$B39),0)</f>
        <v>0</v>
      </c>
      <c r="X39" s="2">
        <f ca="1">IFERROR(SUMIFS(INDIRECT("'Thanh Toán ("&amp;X$3&amp;")'!$F:$F"),INDIRECT("'Thanh Toán ("&amp;X$3&amp;")'!$D:$D"),'Tổng Đơn'!$B39),0)</f>
        <v>0</v>
      </c>
      <c r="Y39" s="2">
        <f ca="1">IFERROR(SUMIFS(INDIRECT("'Thanh Toán ("&amp;Y$3&amp;")'!$F:$F"),INDIRECT("'Thanh Toán ("&amp;Y$3&amp;")'!$D:$D"),'Tổng Đơn'!$B39),0)</f>
        <v>0</v>
      </c>
      <c r="Z39" s="2">
        <f ca="1">IFERROR(SUMIFS(INDIRECT("'Thanh Toán ("&amp;Z$3&amp;")'!$F:$F"),INDIRECT("'Thanh Toán ("&amp;Z$3&amp;")'!$D:$D"),'Tổng Đơn'!$B39),0)</f>
        <v>0</v>
      </c>
      <c r="AA39" s="2">
        <f ca="1">IFERROR(SUMIFS(INDIRECT("'Thanh Toán ("&amp;AA$3&amp;")'!$F:$F"),INDIRECT("'Thanh Toán ("&amp;AA$3&amp;")'!$D:$D"),'Tổng Đơn'!$B39),0)</f>
        <v>0</v>
      </c>
      <c r="AB39" s="2">
        <f ca="1">IFERROR(SUMIFS(INDIRECT("'Thanh Toán ("&amp;AB$3&amp;")'!$F:$F"),INDIRECT("'Thanh Toán ("&amp;AB$3&amp;")'!$D:$D"),'Tổng Đơn'!$B39),0)</f>
        <v>0</v>
      </c>
      <c r="AC39" s="2">
        <f ca="1">IFERROR(SUMIFS(INDIRECT("'Thanh Toán ("&amp;AC$3&amp;")'!$F:$F"),INDIRECT("'Thanh Toán ("&amp;AC$3&amp;")'!$D:$D"),'Tổng Đơn'!$B39),0)</f>
        <v>0</v>
      </c>
      <c r="AD39" s="2">
        <f ca="1">IFERROR(SUMIFS(INDIRECT("'Thanh Toán ("&amp;AD$3&amp;")'!$F:$F"),INDIRECT("'Thanh Toán ("&amp;AD$3&amp;")'!$D:$D"),'Tổng Đơn'!$B39),0)</f>
        <v>0</v>
      </c>
      <c r="AE39" s="2">
        <f ca="1">IFERROR(SUMIFS(INDIRECT("'Thanh Toán ("&amp;AE$3&amp;")'!$F:$F"),INDIRECT("'Thanh Toán ("&amp;AE$3&amp;")'!$D:$D"),'Tổng Đơn'!$B39),0)</f>
        <v>0</v>
      </c>
      <c r="AF39" s="2">
        <f ca="1">IFERROR(SUMIFS(INDIRECT("'Thanh Toán ("&amp;AF$3&amp;")'!$F:$F"),INDIRECT("'Thanh Toán ("&amp;AF$3&amp;")'!$D:$D"),'Tổng Đơn'!$B39),0)</f>
        <v>0</v>
      </c>
      <c r="AG39" s="2">
        <f ca="1">IFERROR(SUMIFS(INDIRECT("'Thanh Toán ("&amp;AG$3&amp;")'!$F:$F"),INDIRECT("'Thanh Toán ("&amp;AG$3&amp;")'!$D:$D"),'Tổng Đơn'!$B39),0)</f>
        <v>0</v>
      </c>
      <c r="AH39" s="2">
        <f ca="1">IFERROR(SUMIFS(INDIRECT("'Thanh Toán ("&amp;AH$3&amp;")'!$F:$F"),INDIRECT("'Thanh Toán ("&amp;AH$3&amp;")'!$D:$D"),'Tổng Đơn'!$B39),0)</f>
        <v>0</v>
      </c>
      <c r="AI39" s="2">
        <f ca="1">IFERROR(SUMIFS(INDIRECT("'Thanh Toán ("&amp;AI$3&amp;")'!$F:$F"),INDIRECT("'Thanh Toán ("&amp;AI$3&amp;")'!$D:$D"),'Tổng Đơn'!$B39),0)</f>
        <v>0</v>
      </c>
      <c r="AJ39" s="2">
        <f ca="1">IFERROR(SUMIFS(INDIRECT("'Thanh Toán ("&amp;AJ$3&amp;")'!$F:$F"),INDIRECT("'Thanh Toán ("&amp;AJ$3&amp;")'!$D:$D"),'Tổng Đơn'!$B39),0)</f>
        <v>0</v>
      </c>
      <c r="AK39" s="2">
        <f ca="1">IFERROR(SUMIFS(INDIRECT("'Thanh Toán ("&amp;AK$3&amp;")'!$F:$F"),INDIRECT("'Thanh Toán ("&amp;AK$3&amp;")'!$D:$D"),'Tổng Đơn'!$B39),0)</f>
        <v>0</v>
      </c>
      <c r="AL39" s="2">
        <f ca="1">IFERROR(SUMIFS(INDIRECT("'Thanh Toán ("&amp;AL$3&amp;")'!$F:$F"),INDIRECT("'Thanh Toán ("&amp;AL$3&amp;")'!$D:$D"),'Tổng Đơn'!$B39),0)</f>
        <v>0</v>
      </c>
      <c r="AM39" s="2">
        <f ca="1">IFERROR(SUMIFS(INDIRECT("'Thanh Toán ("&amp;AM$3&amp;")'!$F:$F"),INDIRECT("'Thanh Toán ("&amp;AM$3&amp;")'!$D:$D"),'Tổng Đơn'!$B39),0)</f>
        <v>0</v>
      </c>
      <c r="AN39" s="2">
        <f ca="1">IFERROR(SUMIFS(INDIRECT("'Thanh Toán ("&amp;AN$3&amp;")'!$F:$F"),INDIRECT("'Thanh Toán ("&amp;AN$3&amp;")'!$D:$D"),'Tổng Đơn'!$B39),0)</f>
        <v>0</v>
      </c>
      <c r="AO39" s="2">
        <f ca="1">IFERROR(SUMIFS(INDIRECT("'Thanh Toán ("&amp;AO$3&amp;")'!$F:$F"),INDIRECT("'Thanh Toán ("&amp;AO$3&amp;")'!$D:$D"),'Tổng Đơn'!$B39),0)</f>
        <v>0</v>
      </c>
      <c r="AP39" s="2">
        <f ca="1">IFERROR(SUMIFS(INDIRECT("'Thanh Toán ("&amp;AP$3&amp;")'!$F:$F"),INDIRECT("'Thanh Toán ("&amp;AP$3&amp;")'!$D:$D"),'Tổng Đơn'!$B39),0)</f>
        <v>0</v>
      </c>
      <c r="AQ39" s="2">
        <f ca="1">IFERROR(SUMIFS(INDIRECT("'Thanh Toán ("&amp;AQ$3&amp;")'!$F:$F"),INDIRECT("'Thanh Toán ("&amp;AQ$3&amp;")'!$D:$D"),'Tổng Đơn'!$B39),0)</f>
        <v>0</v>
      </c>
      <c r="AR39" s="2">
        <f ca="1">IFERROR(SUMIFS(INDIRECT("'Thanh Toán ("&amp;AR$3&amp;")'!$F:$F"),INDIRECT("'Thanh Toán ("&amp;AR$3&amp;")'!$D:$D"),'Tổng Đơn'!$B39),0)</f>
        <v>0</v>
      </c>
      <c r="AS39" s="2">
        <f ca="1">IFERROR(SUMIFS(INDIRECT("'Thanh Toán ("&amp;AS$3&amp;")'!$F:$F"),INDIRECT("'Thanh Toán ("&amp;AS$3&amp;")'!$D:$D"),'Tổng Đơn'!$B39),0)</f>
        <v>0</v>
      </c>
      <c r="AT39" s="2">
        <f ca="1">IFERROR(SUMIFS(INDIRECT("'Thanh Toán ("&amp;AT$3&amp;")'!$F:$F"),INDIRECT("'Thanh Toán ("&amp;AT$3&amp;")'!$D:$D"),'Tổng Đơn'!$B39),0)</f>
        <v>0</v>
      </c>
      <c r="AU39" s="2">
        <f ca="1">IFERROR(SUMIFS(INDIRECT("'Thanh Toán ("&amp;AU$3&amp;")'!$F:$F"),INDIRECT("'Thanh Toán ("&amp;AU$3&amp;")'!$D:$D"),'Tổng Đơn'!$B39),0)</f>
        <v>0</v>
      </c>
      <c r="AV39" s="2">
        <f ca="1">IFERROR(SUMIFS(INDIRECT("'Thanh Toán ("&amp;AV$3&amp;")'!$F:$F"),INDIRECT("'Thanh Toán ("&amp;AV$3&amp;")'!$D:$D"),'Tổng Đơn'!$B39),0)</f>
        <v>0</v>
      </c>
      <c r="AW39" s="2">
        <f ca="1">IFERROR(SUMIFS(INDIRECT("'Thanh Toán ("&amp;AW$3&amp;")'!$F:$F"),INDIRECT("'Thanh Toán ("&amp;AW$3&amp;")'!$D:$D"),'Tổng Đơn'!$B39),0)</f>
        <v>0</v>
      </c>
      <c r="AX39" s="2">
        <f ca="1">IFERROR(SUMIFS(INDIRECT("'Thanh Toán ("&amp;AX$3&amp;")'!$F:$F"),INDIRECT("'Thanh Toán ("&amp;AX$3&amp;")'!$D:$D"),'Tổng Đơn'!$B39),0)</f>
        <v>0</v>
      </c>
      <c r="AY39" s="2">
        <f ca="1">IFERROR(SUMIFS(INDIRECT("'Thanh Toán ("&amp;AY$3&amp;")'!$F:$F"),INDIRECT("'Thanh Toán ("&amp;AY$3&amp;")'!$D:$D"),'Tổng Đơn'!$B39),0)</f>
        <v>0</v>
      </c>
      <c r="AZ39" s="2">
        <f ca="1">IFERROR(SUMIFS(INDIRECT("'Thanh Toán ("&amp;AZ$3&amp;")'!$F:$F"),INDIRECT("'Thanh Toán ("&amp;AZ$3&amp;")'!$D:$D"),'Tổng Đơn'!$B39),0)</f>
        <v>0</v>
      </c>
      <c r="BA39" s="2">
        <f ca="1">IFERROR(SUMIFS(INDIRECT("'Thanh Toán ("&amp;BA$3&amp;")'!$F:$F"),INDIRECT("'Thanh Toán ("&amp;BA$3&amp;")'!$D:$D"),'Tổng Đơn'!$B39),0)</f>
        <v>0</v>
      </c>
      <c r="BB39" s="2">
        <f ca="1">IFERROR(SUMIFS(INDIRECT("'Thanh Toán ("&amp;BB$3&amp;")'!$F:$F"),INDIRECT("'Thanh Toán ("&amp;BB$3&amp;")'!$D:$D"),'Tổng Đơn'!$B39),0)</f>
        <v>0</v>
      </c>
      <c r="BC39" s="2">
        <f ca="1">IFERROR(SUMIFS(INDIRECT("'Thanh Toán ("&amp;BC$3&amp;")'!$F:$F"),INDIRECT("'Thanh Toán ("&amp;BC$3&amp;")'!$D:$D"),'Tổng Đơn'!$B39),0)</f>
        <v>0</v>
      </c>
    </row>
    <row r="40" spans="1:55" ht="18" customHeight="1" x14ac:dyDescent="0.3">
      <c r="A40" s="167">
        <v>30</v>
      </c>
      <c r="B40" s="161" t="s">
        <v>155</v>
      </c>
      <c r="C40" s="167" t="s">
        <v>76</v>
      </c>
      <c r="D40" s="162">
        <f>VLOOKUP($C40,Sheet1!$C$8:$D$80,2,0)</f>
        <v>54000</v>
      </c>
      <c r="E40" s="163">
        <v>0.5</v>
      </c>
      <c r="F40" s="164">
        <f t="shared" ref="F40:F52" ca="1" si="13">SUM(L40:BR40)</f>
        <v>0</v>
      </c>
      <c r="G40" s="165">
        <f>IFERROR(VLOOKUP($B40,Gà!C:J,8,0),IFERROR(VLOOKUP($B40,TVP!C:J,7,0),IFERROR(VLOOKUP($B40,Kitkool!C:J,8,0),IFERROR(VLOOKUP($B40,'La Cusina'!C:J,8,0),VLOOKUP($B40,'Quốc Nhân'!C:J,8,0)))))</f>
        <v>45.006090807207258</v>
      </c>
      <c r="H40" s="166">
        <f t="shared" ca="1" si="10"/>
        <v>0</v>
      </c>
      <c r="I40" s="186">
        <f t="shared" si="11"/>
        <v>0.19983760045545806</v>
      </c>
      <c r="J40" s="166">
        <f t="shared" ca="1" si="12"/>
        <v>0</v>
      </c>
      <c r="K40" s="38"/>
      <c r="L40" s="2">
        <f ca="1">IFERROR(SUMIFS(INDIRECT("'Thanh Toán ("&amp;L$3&amp;")'!$F:$F"),INDIRECT("'Thanh Toán ("&amp;L$3&amp;")'!$D:$D"),'Tổng Đơn'!$B40),0)</f>
        <v>0</v>
      </c>
      <c r="M40" s="2">
        <f ca="1">IFERROR(SUMIFS(INDIRECT("'Thanh Toán ("&amp;M$3&amp;")'!$F:$F"),INDIRECT("'Thanh Toán ("&amp;M$3&amp;")'!$D:$D"),'Tổng Đơn'!$B40),0)</f>
        <v>0</v>
      </c>
      <c r="N40" s="2">
        <f ca="1">IFERROR(SUMIFS(INDIRECT("'Thanh Toán ("&amp;N$3&amp;")'!$F:$F"),INDIRECT("'Thanh Toán ("&amp;N$3&amp;")'!$D:$D"),'Tổng Đơn'!$B40),0)</f>
        <v>0</v>
      </c>
      <c r="O40" s="2">
        <f ca="1">IFERROR(SUMIFS(INDIRECT("'Thanh Toán ("&amp;O$3&amp;")'!$F:$F"),INDIRECT("'Thanh Toán ("&amp;O$3&amp;")'!$D:$D"),'Tổng Đơn'!$B40),0)</f>
        <v>0</v>
      </c>
      <c r="P40" s="2">
        <f ca="1">IFERROR(SUMIFS(INDIRECT("'Thanh Toán ("&amp;P$3&amp;")'!$F:$F"),INDIRECT("'Thanh Toán ("&amp;P$3&amp;")'!$D:$D"),'Tổng Đơn'!$B40),0)</f>
        <v>0</v>
      </c>
      <c r="Q40" s="2">
        <f ca="1">IFERROR(SUMIFS(INDIRECT("'Thanh Toán ("&amp;Q$3&amp;")'!$F:$F"),INDIRECT("'Thanh Toán ("&amp;Q$3&amp;")'!$D:$D"),'Tổng Đơn'!$B40),0)</f>
        <v>0</v>
      </c>
      <c r="R40" s="2">
        <f ca="1">IFERROR(SUMIFS(INDIRECT("'Thanh Toán ("&amp;R$3&amp;")'!$F:$F"),INDIRECT("'Thanh Toán ("&amp;R$3&amp;")'!$D:$D"),'Tổng Đơn'!$B40),0)</f>
        <v>0</v>
      </c>
      <c r="S40" s="2">
        <f ca="1">IFERROR(SUMIFS(INDIRECT("'Thanh Toán ("&amp;S$3&amp;")'!$F:$F"),INDIRECT("'Thanh Toán ("&amp;S$3&amp;")'!$D:$D"),'Tổng Đơn'!$B40),0)</f>
        <v>0</v>
      </c>
      <c r="T40" s="2">
        <f ca="1">IFERROR(SUMIFS(INDIRECT("'Thanh Toán ("&amp;T$3&amp;")'!$F:$F"),INDIRECT("'Thanh Toán ("&amp;T$3&amp;")'!$D:$D"),'Tổng Đơn'!$B40),0)</f>
        <v>0</v>
      </c>
      <c r="U40" s="2">
        <f ca="1">IFERROR(SUMIFS(INDIRECT("'Thanh Toán ("&amp;U$3&amp;")'!$F:$F"),INDIRECT("'Thanh Toán ("&amp;U$3&amp;")'!$D:$D"),'Tổng Đơn'!$B40),0)</f>
        <v>0</v>
      </c>
      <c r="V40" s="2">
        <f ca="1">IFERROR(SUMIFS(INDIRECT("'Thanh Toán ("&amp;V$3&amp;")'!$F:$F"),INDIRECT("'Thanh Toán ("&amp;V$3&amp;")'!$D:$D"),'Tổng Đơn'!$B40),0)</f>
        <v>0</v>
      </c>
      <c r="W40" s="2">
        <f ca="1">IFERROR(SUMIFS(INDIRECT("'Thanh Toán ("&amp;W$3&amp;")'!$F:$F"),INDIRECT("'Thanh Toán ("&amp;W$3&amp;")'!$D:$D"),'Tổng Đơn'!$B40),0)</f>
        <v>0</v>
      </c>
      <c r="X40" s="2">
        <f ca="1">IFERROR(SUMIFS(INDIRECT("'Thanh Toán ("&amp;X$3&amp;")'!$F:$F"),INDIRECT("'Thanh Toán ("&amp;X$3&amp;")'!$D:$D"),'Tổng Đơn'!$B40),0)</f>
        <v>0</v>
      </c>
      <c r="Y40" s="2">
        <f ca="1">IFERROR(SUMIFS(INDIRECT("'Thanh Toán ("&amp;Y$3&amp;")'!$F:$F"),INDIRECT("'Thanh Toán ("&amp;Y$3&amp;")'!$D:$D"),'Tổng Đơn'!$B40),0)</f>
        <v>0</v>
      </c>
      <c r="Z40" s="2">
        <f ca="1">IFERROR(SUMIFS(INDIRECT("'Thanh Toán ("&amp;Z$3&amp;")'!$F:$F"),INDIRECT("'Thanh Toán ("&amp;Z$3&amp;")'!$D:$D"),'Tổng Đơn'!$B40),0)</f>
        <v>0</v>
      </c>
      <c r="AA40" s="2">
        <f ca="1">IFERROR(SUMIFS(INDIRECT("'Thanh Toán ("&amp;AA$3&amp;")'!$F:$F"),INDIRECT("'Thanh Toán ("&amp;AA$3&amp;")'!$D:$D"),'Tổng Đơn'!$B40),0)</f>
        <v>0</v>
      </c>
      <c r="AB40" s="2">
        <f ca="1">IFERROR(SUMIFS(INDIRECT("'Thanh Toán ("&amp;AB$3&amp;")'!$F:$F"),INDIRECT("'Thanh Toán ("&amp;AB$3&amp;")'!$D:$D"),'Tổng Đơn'!$B40),0)</f>
        <v>0</v>
      </c>
      <c r="AC40" s="2">
        <f ca="1">IFERROR(SUMIFS(INDIRECT("'Thanh Toán ("&amp;AC$3&amp;")'!$F:$F"),INDIRECT("'Thanh Toán ("&amp;AC$3&amp;")'!$D:$D"),'Tổng Đơn'!$B40),0)</f>
        <v>0</v>
      </c>
      <c r="AD40" s="2">
        <f ca="1">IFERROR(SUMIFS(INDIRECT("'Thanh Toán ("&amp;AD$3&amp;")'!$F:$F"),INDIRECT("'Thanh Toán ("&amp;AD$3&amp;")'!$D:$D"),'Tổng Đơn'!$B40),0)</f>
        <v>0</v>
      </c>
      <c r="AE40" s="2">
        <f ca="1">IFERROR(SUMIFS(INDIRECT("'Thanh Toán ("&amp;AE$3&amp;")'!$F:$F"),INDIRECT("'Thanh Toán ("&amp;AE$3&amp;")'!$D:$D"),'Tổng Đơn'!$B40),0)</f>
        <v>0</v>
      </c>
      <c r="AF40" s="2">
        <f ca="1">IFERROR(SUMIFS(INDIRECT("'Thanh Toán ("&amp;AF$3&amp;")'!$F:$F"),INDIRECT("'Thanh Toán ("&amp;AF$3&amp;")'!$D:$D"),'Tổng Đơn'!$B40),0)</f>
        <v>0</v>
      </c>
      <c r="AG40" s="2">
        <f ca="1">IFERROR(SUMIFS(INDIRECT("'Thanh Toán ("&amp;AG$3&amp;")'!$F:$F"),INDIRECT("'Thanh Toán ("&amp;AG$3&amp;")'!$D:$D"),'Tổng Đơn'!$B40),0)</f>
        <v>0</v>
      </c>
      <c r="AH40" s="2">
        <f ca="1">IFERROR(SUMIFS(INDIRECT("'Thanh Toán ("&amp;AH$3&amp;")'!$F:$F"),INDIRECT("'Thanh Toán ("&amp;AH$3&amp;")'!$D:$D"),'Tổng Đơn'!$B40),0)</f>
        <v>0</v>
      </c>
      <c r="AI40" s="2">
        <f ca="1">IFERROR(SUMIFS(INDIRECT("'Thanh Toán ("&amp;AI$3&amp;")'!$F:$F"),INDIRECT("'Thanh Toán ("&amp;AI$3&amp;")'!$D:$D"),'Tổng Đơn'!$B40),0)</f>
        <v>0</v>
      </c>
      <c r="AJ40" s="2">
        <f ca="1">IFERROR(SUMIFS(INDIRECT("'Thanh Toán ("&amp;AJ$3&amp;")'!$F:$F"),INDIRECT("'Thanh Toán ("&amp;AJ$3&amp;")'!$D:$D"),'Tổng Đơn'!$B40),0)</f>
        <v>0</v>
      </c>
      <c r="AK40" s="2">
        <f ca="1">IFERROR(SUMIFS(INDIRECT("'Thanh Toán ("&amp;AK$3&amp;")'!$F:$F"),INDIRECT("'Thanh Toán ("&amp;AK$3&amp;")'!$D:$D"),'Tổng Đơn'!$B40),0)</f>
        <v>0</v>
      </c>
      <c r="AL40" s="2">
        <f ca="1">IFERROR(SUMIFS(INDIRECT("'Thanh Toán ("&amp;AL$3&amp;")'!$F:$F"),INDIRECT("'Thanh Toán ("&amp;AL$3&amp;")'!$D:$D"),'Tổng Đơn'!$B40),0)</f>
        <v>0</v>
      </c>
      <c r="AM40" s="2">
        <f ca="1">IFERROR(SUMIFS(INDIRECT("'Thanh Toán ("&amp;AM$3&amp;")'!$F:$F"),INDIRECT("'Thanh Toán ("&amp;AM$3&amp;")'!$D:$D"),'Tổng Đơn'!$B40),0)</f>
        <v>0</v>
      </c>
      <c r="AN40" s="2">
        <f ca="1">IFERROR(SUMIFS(INDIRECT("'Thanh Toán ("&amp;AN$3&amp;")'!$F:$F"),INDIRECT("'Thanh Toán ("&amp;AN$3&amp;")'!$D:$D"),'Tổng Đơn'!$B40),0)</f>
        <v>0</v>
      </c>
      <c r="AO40" s="2">
        <f ca="1">IFERROR(SUMIFS(INDIRECT("'Thanh Toán ("&amp;AO$3&amp;")'!$F:$F"),INDIRECT("'Thanh Toán ("&amp;AO$3&amp;")'!$D:$D"),'Tổng Đơn'!$B40),0)</f>
        <v>0</v>
      </c>
      <c r="AP40" s="2">
        <f ca="1">IFERROR(SUMIFS(INDIRECT("'Thanh Toán ("&amp;AP$3&amp;")'!$F:$F"),INDIRECT("'Thanh Toán ("&amp;AP$3&amp;")'!$D:$D"),'Tổng Đơn'!$B40),0)</f>
        <v>0</v>
      </c>
      <c r="AQ40" s="2">
        <f ca="1">IFERROR(SUMIFS(INDIRECT("'Thanh Toán ("&amp;AQ$3&amp;")'!$F:$F"),INDIRECT("'Thanh Toán ("&amp;AQ$3&amp;")'!$D:$D"),'Tổng Đơn'!$B40),0)</f>
        <v>0</v>
      </c>
      <c r="AR40" s="2">
        <f ca="1">IFERROR(SUMIFS(INDIRECT("'Thanh Toán ("&amp;AR$3&amp;")'!$F:$F"),INDIRECT("'Thanh Toán ("&amp;AR$3&amp;")'!$D:$D"),'Tổng Đơn'!$B40),0)</f>
        <v>0</v>
      </c>
      <c r="AS40" s="2">
        <f ca="1">IFERROR(SUMIFS(INDIRECT("'Thanh Toán ("&amp;AS$3&amp;")'!$F:$F"),INDIRECT("'Thanh Toán ("&amp;AS$3&amp;")'!$D:$D"),'Tổng Đơn'!$B40),0)</f>
        <v>0</v>
      </c>
      <c r="AT40" s="2">
        <f ca="1">IFERROR(SUMIFS(INDIRECT("'Thanh Toán ("&amp;AT$3&amp;")'!$F:$F"),INDIRECT("'Thanh Toán ("&amp;AT$3&amp;")'!$D:$D"),'Tổng Đơn'!$B40),0)</f>
        <v>0</v>
      </c>
      <c r="AU40" s="2">
        <f ca="1">IFERROR(SUMIFS(INDIRECT("'Thanh Toán ("&amp;AU$3&amp;")'!$F:$F"),INDIRECT("'Thanh Toán ("&amp;AU$3&amp;")'!$D:$D"),'Tổng Đơn'!$B40),0)</f>
        <v>0</v>
      </c>
      <c r="AV40" s="2">
        <f ca="1">IFERROR(SUMIFS(INDIRECT("'Thanh Toán ("&amp;AV$3&amp;")'!$F:$F"),INDIRECT("'Thanh Toán ("&amp;AV$3&amp;")'!$D:$D"),'Tổng Đơn'!$B40),0)</f>
        <v>0</v>
      </c>
      <c r="AW40" s="2">
        <f ca="1">IFERROR(SUMIFS(INDIRECT("'Thanh Toán ("&amp;AW$3&amp;")'!$F:$F"),INDIRECT("'Thanh Toán ("&amp;AW$3&amp;")'!$D:$D"),'Tổng Đơn'!$B40),0)</f>
        <v>0</v>
      </c>
      <c r="AX40" s="2">
        <f ca="1">IFERROR(SUMIFS(INDIRECT("'Thanh Toán ("&amp;AX$3&amp;")'!$F:$F"),INDIRECT("'Thanh Toán ("&amp;AX$3&amp;")'!$D:$D"),'Tổng Đơn'!$B40),0)</f>
        <v>0</v>
      </c>
      <c r="AY40" s="2">
        <f ca="1">IFERROR(SUMIFS(INDIRECT("'Thanh Toán ("&amp;AY$3&amp;")'!$F:$F"),INDIRECT("'Thanh Toán ("&amp;AY$3&amp;")'!$D:$D"),'Tổng Đơn'!$B40),0)</f>
        <v>0</v>
      </c>
      <c r="AZ40" s="2">
        <f ca="1">IFERROR(SUMIFS(INDIRECT("'Thanh Toán ("&amp;AZ$3&amp;")'!$F:$F"),INDIRECT("'Thanh Toán ("&amp;AZ$3&amp;")'!$D:$D"),'Tổng Đơn'!$B40),0)</f>
        <v>0</v>
      </c>
      <c r="BA40" s="2">
        <f ca="1">IFERROR(SUMIFS(INDIRECT("'Thanh Toán ("&amp;BA$3&amp;")'!$F:$F"),INDIRECT("'Thanh Toán ("&amp;BA$3&amp;")'!$D:$D"),'Tổng Đơn'!$B40),0)</f>
        <v>0</v>
      </c>
      <c r="BB40" s="2">
        <f ca="1">IFERROR(SUMIFS(INDIRECT("'Thanh Toán ("&amp;BB$3&amp;")'!$F:$F"),INDIRECT("'Thanh Toán ("&amp;BB$3&amp;")'!$D:$D"),'Tổng Đơn'!$B40),0)</f>
        <v>0</v>
      </c>
      <c r="BC40" s="2">
        <f ca="1">IFERROR(SUMIFS(INDIRECT("'Thanh Toán ("&amp;BC$3&amp;")'!$F:$F"),INDIRECT("'Thanh Toán ("&amp;BC$3&amp;")'!$D:$D"),'Tổng Đơn'!$B40),0)</f>
        <v>0</v>
      </c>
    </row>
    <row r="41" spans="1:55" ht="18" customHeight="1" x14ac:dyDescent="0.3">
      <c r="A41" s="160">
        <v>31</v>
      </c>
      <c r="B41" s="161" t="s">
        <v>157</v>
      </c>
      <c r="C41" s="160" t="s">
        <v>77</v>
      </c>
      <c r="D41" s="162">
        <f>VLOOKUP($C41,Sheet1!$C$8:$D$80,2,0)</f>
        <v>47000</v>
      </c>
      <c r="E41" s="163">
        <v>0.5</v>
      </c>
      <c r="F41" s="164">
        <f t="shared" ca="1" si="13"/>
        <v>2</v>
      </c>
      <c r="G41" s="165">
        <f>IFERROR(VLOOKUP($B41,Gà!C:J,8,0),IFERROR(VLOOKUP($B41,TVP!C:J,7,0),IFERROR(VLOOKUP($B41,Kitkool!C:J,8,0),IFERROR(VLOOKUP($B41,'La Cusina'!C:J,8,0),VLOOKUP($B41,'Quốc Nhân'!C:J,8,0)))))</f>
        <v>44.628834106916813</v>
      </c>
      <c r="H41" s="166">
        <f t="shared" ca="1" si="10"/>
        <v>4742.3317861663818</v>
      </c>
      <c r="I41" s="186">
        <f t="shared" si="11"/>
        <v>5.313080524135172E-2</v>
      </c>
      <c r="J41" s="166">
        <f t="shared" ca="1" si="12"/>
        <v>89257.668213833618</v>
      </c>
      <c r="K41" s="38"/>
      <c r="L41" s="2">
        <f ca="1">IFERROR(SUMIFS(INDIRECT("'Thanh Toán ("&amp;L$3&amp;")'!$F:$F"),INDIRECT("'Thanh Toán ("&amp;L$3&amp;")'!$D:$D"),'Tổng Đơn'!$B41),0)</f>
        <v>0</v>
      </c>
      <c r="M41" s="2">
        <f ca="1">IFERROR(SUMIFS(INDIRECT("'Thanh Toán ("&amp;M$3&amp;")'!$F:$F"),INDIRECT("'Thanh Toán ("&amp;M$3&amp;")'!$D:$D"),'Tổng Đơn'!$B41),0)</f>
        <v>0</v>
      </c>
      <c r="N41" s="2">
        <f ca="1">IFERROR(SUMIFS(INDIRECT("'Thanh Toán ("&amp;N$3&amp;")'!$F:$F"),INDIRECT("'Thanh Toán ("&amp;N$3&amp;")'!$D:$D"),'Tổng Đơn'!$B41),0)</f>
        <v>0</v>
      </c>
      <c r="O41" s="2">
        <f ca="1">IFERROR(SUMIFS(INDIRECT("'Thanh Toán ("&amp;O$3&amp;")'!$F:$F"),INDIRECT("'Thanh Toán ("&amp;O$3&amp;")'!$D:$D"),'Tổng Đơn'!$B41),0)</f>
        <v>0</v>
      </c>
      <c r="P41" s="2">
        <f ca="1">IFERROR(SUMIFS(INDIRECT("'Thanh Toán ("&amp;P$3&amp;")'!$F:$F"),INDIRECT("'Thanh Toán ("&amp;P$3&amp;")'!$D:$D"),'Tổng Đơn'!$B41),0)</f>
        <v>0</v>
      </c>
      <c r="Q41" s="2">
        <f ca="1">IFERROR(SUMIFS(INDIRECT("'Thanh Toán ("&amp;Q$3&amp;")'!$F:$F"),INDIRECT("'Thanh Toán ("&amp;Q$3&amp;")'!$D:$D"),'Tổng Đơn'!$B41),0)</f>
        <v>0</v>
      </c>
      <c r="R41" s="2">
        <f ca="1">IFERROR(SUMIFS(INDIRECT("'Thanh Toán ("&amp;R$3&amp;")'!$F:$F"),INDIRECT("'Thanh Toán ("&amp;R$3&amp;")'!$D:$D"),'Tổng Đơn'!$B41),0)</f>
        <v>2</v>
      </c>
      <c r="S41" s="2">
        <f ca="1">IFERROR(SUMIFS(INDIRECT("'Thanh Toán ("&amp;S$3&amp;")'!$F:$F"),INDIRECT("'Thanh Toán ("&amp;S$3&amp;")'!$D:$D"),'Tổng Đơn'!$B41),0)</f>
        <v>0</v>
      </c>
      <c r="T41" s="2">
        <f ca="1">IFERROR(SUMIFS(INDIRECT("'Thanh Toán ("&amp;T$3&amp;")'!$F:$F"),INDIRECT("'Thanh Toán ("&amp;T$3&amp;")'!$D:$D"),'Tổng Đơn'!$B41),0)</f>
        <v>0</v>
      </c>
      <c r="U41" s="2">
        <f ca="1">IFERROR(SUMIFS(INDIRECT("'Thanh Toán ("&amp;U$3&amp;")'!$F:$F"),INDIRECT("'Thanh Toán ("&amp;U$3&amp;")'!$D:$D"),'Tổng Đơn'!$B41),0)</f>
        <v>0</v>
      </c>
      <c r="V41" s="2">
        <f ca="1">IFERROR(SUMIFS(INDIRECT("'Thanh Toán ("&amp;V$3&amp;")'!$F:$F"),INDIRECT("'Thanh Toán ("&amp;V$3&amp;")'!$D:$D"),'Tổng Đơn'!$B41),0)</f>
        <v>0</v>
      </c>
      <c r="W41" s="2">
        <f ca="1">IFERROR(SUMIFS(INDIRECT("'Thanh Toán ("&amp;W$3&amp;")'!$F:$F"),INDIRECT("'Thanh Toán ("&amp;W$3&amp;")'!$D:$D"),'Tổng Đơn'!$B41),0)</f>
        <v>0</v>
      </c>
      <c r="X41" s="2">
        <f ca="1">IFERROR(SUMIFS(INDIRECT("'Thanh Toán ("&amp;X$3&amp;")'!$F:$F"),INDIRECT("'Thanh Toán ("&amp;X$3&amp;")'!$D:$D"),'Tổng Đơn'!$B41),0)</f>
        <v>0</v>
      </c>
      <c r="Y41" s="2">
        <f ca="1">IFERROR(SUMIFS(INDIRECT("'Thanh Toán ("&amp;Y$3&amp;")'!$F:$F"),INDIRECT("'Thanh Toán ("&amp;Y$3&amp;")'!$D:$D"),'Tổng Đơn'!$B41),0)</f>
        <v>0</v>
      </c>
      <c r="Z41" s="2">
        <f ca="1">IFERROR(SUMIFS(INDIRECT("'Thanh Toán ("&amp;Z$3&amp;")'!$F:$F"),INDIRECT("'Thanh Toán ("&amp;Z$3&amp;")'!$D:$D"),'Tổng Đơn'!$B41),0)</f>
        <v>0</v>
      </c>
      <c r="AA41" s="2">
        <f ca="1">IFERROR(SUMIFS(INDIRECT("'Thanh Toán ("&amp;AA$3&amp;")'!$F:$F"),INDIRECT("'Thanh Toán ("&amp;AA$3&amp;")'!$D:$D"),'Tổng Đơn'!$B41),0)</f>
        <v>0</v>
      </c>
      <c r="AB41" s="2">
        <f ca="1">IFERROR(SUMIFS(INDIRECT("'Thanh Toán ("&amp;AB$3&amp;")'!$F:$F"),INDIRECT("'Thanh Toán ("&amp;AB$3&amp;")'!$D:$D"),'Tổng Đơn'!$B41),0)</f>
        <v>0</v>
      </c>
      <c r="AC41" s="2">
        <f ca="1">IFERROR(SUMIFS(INDIRECT("'Thanh Toán ("&amp;AC$3&amp;")'!$F:$F"),INDIRECT("'Thanh Toán ("&amp;AC$3&amp;")'!$D:$D"),'Tổng Đơn'!$B41),0)</f>
        <v>0</v>
      </c>
      <c r="AD41" s="2">
        <f ca="1">IFERROR(SUMIFS(INDIRECT("'Thanh Toán ("&amp;AD$3&amp;")'!$F:$F"),INDIRECT("'Thanh Toán ("&amp;AD$3&amp;")'!$D:$D"),'Tổng Đơn'!$B41),0)</f>
        <v>0</v>
      </c>
      <c r="AE41" s="2">
        <f ca="1">IFERROR(SUMIFS(INDIRECT("'Thanh Toán ("&amp;AE$3&amp;")'!$F:$F"),INDIRECT("'Thanh Toán ("&amp;AE$3&amp;")'!$D:$D"),'Tổng Đơn'!$B41),0)</f>
        <v>0</v>
      </c>
      <c r="AF41" s="2">
        <f ca="1">IFERROR(SUMIFS(INDIRECT("'Thanh Toán ("&amp;AF$3&amp;")'!$F:$F"),INDIRECT("'Thanh Toán ("&amp;AF$3&amp;")'!$D:$D"),'Tổng Đơn'!$B41),0)</f>
        <v>0</v>
      </c>
      <c r="AG41" s="2">
        <f ca="1">IFERROR(SUMIFS(INDIRECT("'Thanh Toán ("&amp;AG$3&amp;")'!$F:$F"),INDIRECT("'Thanh Toán ("&amp;AG$3&amp;")'!$D:$D"),'Tổng Đơn'!$B41),0)</f>
        <v>0</v>
      </c>
      <c r="AH41" s="2">
        <f ca="1">IFERROR(SUMIFS(INDIRECT("'Thanh Toán ("&amp;AH$3&amp;")'!$F:$F"),INDIRECT("'Thanh Toán ("&amp;AH$3&amp;")'!$D:$D"),'Tổng Đơn'!$B41),0)</f>
        <v>0</v>
      </c>
      <c r="AI41" s="2">
        <f ca="1">IFERROR(SUMIFS(INDIRECT("'Thanh Toán ("&amp;AI$3&amp;")'!$F:$F"),INDIRECT("'Thanh Toán ("&amp;AI$3&amp;")'!$D:$D"),'Tổng Đơn'!$B41),0)</f>
        <v>0</v>
      </c>
      <c r="AJ41" s="2">
        <f ca="1">IFERROR(SUMIFS(INDIRECT("'Thanh Toán ("&amp;AJ$3&amp;")'!$F:$F"),INDIRECT("'Thanh Toán ("&amp;AJ$3&amp;")'!$D:$D"),'Tổng Đơn'!$B41),0)</f>
        <v>0</v>
      </c>
      <c r="AK41" s="2">
        <f ca="1">IFERROR(SUMIFS(INDIRECT("'Thanh Toán ("&amp;AK$3&amp;")'!$F:$F"),INDIRECT("'Thanh Toán ("&amp;AK$3&amp;")'!$D:$D"),'Tổng Đơn'!$B41),0)</f>
        <v>0</v>
      </c>
      <c r="AL41" s="2">
        <f ca="1">IFERROR(SUMIFS(INDIRECT("'Thanh Toán ("&amp;AL$3&amp;")'!$F:$F"),INDIRECT("'Thanh Toán ("&amp;AL$3&amp;")'!$D:$D"),'Tổng Đơn'!$B41),0)</f>
        <v>0</v>
      </c>
      <c r="AM41" s="2">
        <f ca="1">IFERROR(SUMIFS(INDIRECT("'Thanh Toán ("&amp;AM$3&amp;")'!$F:$F"),INDIRECT("'Thanh Toán ("&amp;AM$3&amp;")'!$D:$D"),'Tổng Đơn'!$B41),0)</f>
        <v>0</v>
      </c>
      <c r="AN41" s="2">
        <f ca="1">IFERROR(SUMIFS(INDIRECT("'Thanh Toán ("&amp;AN$3&amp;")'!$F:$F"),INDIRECT("'Thanh Toán ("&amp;AN$3&amp;")'!$D:$D"),'Tổng Đơn'!$B41),0)</f>
        <v>0</v>
      </c>
      <c r="AO41" s="2">
        <f ca="1">IFERROR(SUMIFS(INDIRECT("'Thanh Toán ("&amp;AO$3&amp;")'!$F:$F"),INDIRECT("'Thanh Toán ("&amp;AO$3&amp;")'!$D:$D"),'Tổng Đơn'!$B41),0)</f>
        <v>0</v>
      </c>
      <c r="AP41" s="2">
        <f ca="1">IFERROR(SUMIFS(INDIRECT("'Thanh Toán ("&amp;AP$3&amp;")'!$F:$F"),INDIRECT("'Thanh Toán ("&amp;AP$3&amp;")'!$D:$D"),'Tổng Đơn'!$B41),0)</f>
        <v>0</v>
      </c>
      <c r="AQ41" s="2">
        <f ca="1">IFERROR(SUMIFS(INDIRECT("'Thanh Toán ("&amp;AQ$3&amp;")'!$F:$F"),INDIRECT("'Thanh Toán ("&amp;AQ$3&amp;")'!$D:$D"),'Tổng Đơn'!$B41),0)</f>
        <v>0</v>
      </c>
      <c r="AR41" s="2">
        <f ca="1">IFERROR(SUMIFS(INDIRECT("'Thanh Toán ("&amp;AR$3&amp;")'!$F:$F"),INDIRECT("'Thanh Toán ("&amp;AR$3&amp;")'!$D:$D"),'Tổng Đơn'!$B41),0)</f>
        <v>0</v>
      </c>
      <c r="AS41" s="2">
        <f ca="1">IFERROR(SUMIFS(INDIRECT("'Thanh Toán ("&amp;AS$3&amp;")'!$F:$F"),INDIRECT("'Thanh Toán ("&amp;AS$3&amp;")'!$D:$D"),'Tổng Đơn'!$B41),0)</f>
        <v>0</v>
      </c>
      <c r="AT41" s="2">
        <f ca="1">IFERROR(SUMIFS(INDIRECT("'Thanh Toán ("&amp;AT$3&amp;")'!$F:$F"),INDIRECT("'Thanh Toán ("&amp;AT$3&amp;")'!$D:$D"),'Tổng Đơn'!$B41),0)</f>
        <v>0</v>
      </c>
      <c r="AU41" s="2">
        <f ca="1">IFERROR(SUMIFS(INDIRECT("'Thanh Toán ("&amp;AU$3&amp;")'!$F:$F"),INDIRECT("'Thanh Toán ("&amp;AU$3&amp;")'!$D:$D"),'Tổng Đơn'!$B41),0)</f>
        <v>0</v>
      </c>
      <c r="AV41" s="2">
        <f ca="1">IFERROR(SUMIFS(INDIRECT("'Thanh Toán ("&amp;AV$3&amp;")'!$F:$F"),INDIRECT("'Thanh Toán ("&amp;AV$3&amp;")'!$D:$D"),'Tổng Đơn'!$B41),0)</f>
        <v>0</v>
      </c>
      <c r="AW41" s="2">
        <f ca="1">IFERROR(SUMIFS(INDIRECT("'Thanh Toán ("&amp;AW$3&amp;")'!$F:$F"),INDIRECT("'Thanh Toán ("&amp;AW$3&amp;")'!$D:$D"),'Tổng Đơn'!$B41),0)</f>
        <v>0</v>
      </c>
      <c r="AX41" s="2">
        <f ca="1">IFERROR(SUMIFS(INDIRECT("'Thanh Toán ("&amp;AX$3&amp;")'!$F:$F"),INDIRECT("'Thanh Toán ("&amp;AX$3&amp;")'!$D:$D"),'Tổng Đơn'!$B41),0)</f>
        <v>0</v>
      </c>
      <c r="AY41" s="2">
        <f ca="1">IFERROR(SUMIFS(INDIRECT("'Thanh Toán ("&amp;AY$3&amp;")'!$F:$F"),INDIRECT("'Thanh Toán ("&amp;AY$3&amp;")'!$D:$D"),'Tổng Đơn'!$B41),0)</f>
        <v>0</v>
      </c>
      <c r="AZ41" s="2">
        <f ca="1">IFERROR(SUMIFS(INDIRECT("'Thanh Toán ("&amp;AZ$3&amp;")'!$F:$F"),INDIRECT("'Thanh Toán ("&amp;AZ$3&amp;")'!$D:$D"),'Tổng Đơn'!$B41),0)</f>
        <v>0</v>
      </c>
      <c r="BA41" s="2">
        <f ca="1">IFERROR(SUMIFS(INDIRECT("'Thanh Toán ("&amp;BA$3&amp;")'!$F:$F"),INDIRECT("'Thanh Toán ("&amp;BA$3&amp;")'!$D:$D"),'Tổng Đơn'!$B41),0)</f>
        <v>0</v>
      </c>
      <c r="BB41" s="2">
        <f ca="1">IFERROR(SUMIFS(INDIRECT("'Thanh Toán ("&amp;BB$3&amp;")'!$F:$F"),INDIRECT("'Thanh Toán ("&amp;BB$3&amp;")'!$D:$D"),'Tổng Đơn'!$B41),0)</f>
        <v>0</v>
      </c>
      <c r="BC41" s="2">
        <f ca="1">IFERROR(SUMIFS(INDIRECT("'Thanh Toán ("&amp;BC$3&amp;")'!$F:$F"),INDIRECT("'Thanh Toán ("&amp;BC$3&amp;")'!$D:$D"),'Tổng Đơn'!$B41),0)</f>
        <v>0</v>
      </c>
    </row>
    <row r="42" spans="1:55" ht="18" customHeight="1" x14ac:dyDescent="0.3">
      <c r="A42" s="167">
        <v>32</v>
      </c>
      <c r="B42" s="161" t="s">
        <v>159</v>
      </c>
      <c r="C42" s="167" t="s">
        <v>78</v>
      </c>
      <c r="D42" s="162">
        <f>VLOOKUP($C42,Sheet1!$C$8:$D$80,2,0)</f>
        <v>50000</v>
      </c>
      <c r="E42" s="163">
        <v>0.5</v>
      </c>
      <c r="F42" s="164">
        <f t="shared" ca="1" si="13"/>
        <v>0</v>
      </c>
      <c r="G42" s="165">
        <f>IFERROR(VLOOKUP($B42,Gà!C:J,8,0),IFERROR(VLOOKUP($B42,TVP!C:J,7,0),IFERROR(VLOOKUP($B42,Kitkool!C:J,8,0),IFERROR(VLOOKUP($B42,'La Cusina'!C:J,8,0),VLOOKUP($B42,'Quốc Nhân'!C:J,8,0)))))</f>
        <v>44.628834106916813</v>
      </c>
      <c r="H42" s="166">
        <f t="shared" ca="1" si="10"/>
        <v>0</v>
      </c>
      <c r="I42" s="186">
        <f t="shared" si="11"/>
        <v>0.12035192046952314</v>
      </c>
      <c r="J42" s="166">
        <f t="shared" ca="1" si="12"/>
        <v>0</v>
      </c>
      <c r="K42" s="38"/>
      <c r="L42" s="2">
        <f ca="1">IFERROR(SUMIFS(INDIRECT("'Thanh Toán ("&amp;L$3&amp;")'!$F:$F"),INDIRECT("'Thanh Toán ("&amp;L$3&amp;")'!$D:$D"),'Tổng Đơn'!$B42),0)</f>
        <v>0</v>
      </c>
      <c r="M42" s="2">
        <f ca="1">IFERROR(SUMIFS(INDIRECT("'Thanh Toán ("&amp;M$3&amp;")'!$F:$F"),INDIRECT("'Thanh Toán ("&amp;M$3&amp;")'!$D:$D"),'Tổng Đơn'!$B42),0)</f>
        <v>0</v>
      </c>
      <c r="N42" s="2">
        <f ca="1">IFERROR(SUMIFS(INDIRECT("'Thanh Toán ("&amp;N$3&amp;")'!$F:$F"),INDIRECT("'Thanh Toán ("&amp;N$3&amp;")'!$D:$D"),'Tổng Đơn'!$B42),0)</f>
        <v>0</v>
      </c>
      <c r="O42" s="2">
        <f ca="1">IFERROR(SUMIFS(INDIRECT("'Thanh Toán ("&amp;O$3&amp;")'!$F:$F"),INDIRECT("'Thanh Toán ("&amp;O$3&amp;")'!$D:$D"),'Tổng Đơn'!$B42),0)</f>
        <v>0</v>
      </c>
      <c r="P42" s="2">
        <f ca="1">IFERROR(SUMIFS(INDIRECT("'Thanh Toán ("&amp;P$3&amp;")'!$F:$F"),INDIRECT("'Thanh Toán ("&amp;P$3&amp;")'!$D:$D"),'Tổng Đơn'!$B42),0)</f>
        <v>0</v>
      </c>
      <c r="Q42" s="2">
        <f ca="1">IFERROR(SUMIFS(INDIRECT("'Thanh Toán ("&amp;Q$3&amp;")'!$F:$F"),INDIRECT("'Thanh Toán ("&amp;Q$3&amp;")'!$D:$D"),'Tổng Đơn'!$B42),0)</f>
        <v>0</v>
      </c>
      <c r="R42" s="2">
        <f ca="1">IFERROR(SUMIFS(INDIRECT("'Thanh Toán ("&amp;R$3&amp;")'!$F:$F"),INDIRECT("'Thanh Toán ("&amp;R$3&amp;")'!$D:$D"),'Tổng Đơn'!$B42),0)</f>
        <v>0</v>
      </c>
      <c r="S42" s="2">
        <f ca="1">IFERROR(SUMIFS(INDIRECT("'Thanh Toán ("&amp;S$3&amp;")'!$F:$F"),INDIRECT("'Thanh Toán ("&amp;S$3&amp;")'!$D:$D"),'Tổng Đơn'!$B42),0)</f>
        <v>0</v>
      </c>
      <c r="T42" s="2">
        <f ca="1">IFERROR(SUMIFS(INDIRECT("'Thanh Toán ("&amp;T$3&amp;")'!$F:$F"),INDIRECT("'Thanh Toán ("&amp;T$3&amp;")'!$D:$D"),'Tổng Đơn'!$B42),0)</f>
        <v>0</v>
      </c>
      <c r="U42" s="2">
        <f ca="1">IFERROR(SUMIFS(INDIRECT("'Thanh Toán ("&amp;U$3&amp;")'!$F:$F"),INDIRECT("'Thanh Toán ("&amp;U$3&amp;")'!$D:$D"),'Tổng Đơn'!$B42),0)</f>
        <v>0</v>
      </c>
      <c r="V42" s="2">
        <f ca="1">IFERROR(SUMIFS(INDIRECT("'Thanh Toán ("&amp;V$3&amp;")'!$F:$F"),INDIRECT("'Thanh Toán ("&amp;V$3&amp;")'!$D:$D"),'Tổng Đơn'!$B42),0)</f>
        <v>0</v>
      </c>
      <c r="W42" s="2">
        <f ca="1">IFERROR(SUMIFS(INDIRECT("'Thanh Toán ("&amp;W$3&amp;")'!$F:$F"),INDIRECT("'Thanh Toán ("&amp;W$3&amp;")'!$D:$D"),'Tổng Đơn'!$B42),0)</f>
        <v>0</v>
      </c>
      <c r="X42" s="2">
        <f ca="1">IFERROR(SUMIFS(INDIRECT("'Thanh Toán ("&amp;X$3&amp;")'!$F:$F"),INDIRECT("'Thanh Toán ("&amp;X$3&amp;")'!$D:$D"),'Tổng Đơn'!$B42),0)</f>
        <v>0</v>
      </c>
      <c r="Y42" s="2">
        <f ca="1">IFERROR(SUMIFS(INDIRECT("'Thanh Toán ("&amp;Y$3&amp;")'!$F:$F"),INDIRECT("'Thanh Toán ("&amp;Y$3&amp;")'!$D:$D"),'Tổng Đơn'!$B42),0)</f>
        <v>0</v>
      </c>
      <c r="Z42" s="2">
        <f ca="1">IFERROR(SUMIFS(INDIRECT("'Thanh Toán ("&amp;Z$3&amp;")'!$F:$F"),INDIRECT("'Thanh Toán ("&amp;Z$3&amp;")'!$D:$D"),'Tổng Đơn'!$B42),0)</f>
        <v>0</v>
      </c>
      <c r="AA42" s="2">
        <f ca="1">IFERROR(SUMIFS(INDIRECT("'Thanh Toán ("&amp;AA$3&amp;")'!$F:$F"),INDIRECT("'Thanh Toán ("&amp;AA$3&amp;")'!$D:$D"),'Tổng Đơn'!$B42),0)</f>
        <v>0</v>
      </c>
      <c r="AB42" s="2">
        <f ca="1">IFERROR(SUMIFS(INDIRECT("'Thanh Toán ("&amp;AB$3&amp;")'!$F:$F"),INDIRECT("'Thanh Toán ("&amp;AB$3&amp;")'!$D:$D"),'Tổng Đơn'!$B42),0)</f>
        <v>0</v>
      </c>
      <c r="AC42" s="2">
        <f ca="1">IFERROR(SUMIFS(INDIRECT("'Thanh Toán ("&amp;AC$3&amp;")'!$F:$F"),INDIRECT("'Thanh Toán ("&amp;AC$3&amp;")'!$D:$D"),'Tổng Đơn'!$B42),0)</f>
        <v>0</v>
      </c>
      <c r="AD42" s="2">
        <f ca="1">IFERROR(SUMIFS(INDIRECT("'Thanh Toán ("&amp;AD$3&amp;")'!$F:$F"),INDIRECT("'Thanh Toán ("&amp;AD$3&amp;")'!$D:$D"),'Tổng Đơn'!$B42),0)</f>
        <v>0</v>
      </c>
      <c r="AE42" s="2">
        <f ca="1">IFERROR(SUMIFS(INDIRECT("'Thanh Toán ("&amp;AE$3&amp;")'!$F:$F"),INDIRECT("'Thanh Toán ("&amp;AE$3&amp;")'!$D:$D"),'Tổng Đơn'!$B42),0)</f>
        <v>0</v>
      </c>
      <c r="AF42" s="2">
        <f ca="1">IFERROR(SUMIFS(INDIRECT("'Thanh Toán ("&amp;AF$3&amp;")'!$F:$F"),INDIRECT("'Thanh Toán ("&amp;AF$3&amp;")'!$D:$D"),'Tổng Đơn'!$B42),0)</f>
        <v>0</v>
      </c>
      <c r="AG42" s="2">
        <f ca="1">IFERROR(SUMIFS(INDIRECT("'Thanh Toán ("&amp;AG$3&amp;")'!$F:$F"),INDIRECT("'Thanh Toán ("&amp;AG$3&amp;")'!$D:$D"),'Tổng Đơn'!$B42),0)</f>
        <v>0</v>
      </c>
      <c r="AH42" s="2">
        <f ca="1">IFERROR(SUMIFS(INDIRECT("'Thanh Toán ("&amp;AH$3&amp;")'!$F:$F"),INDIRECT("'Thanh Toán ("&amp;AH$3&amp;")'!$D:$D"),'Tổng Đơn'!$B42),0)</f>
        <v>0</v>
      </c>
      <c r="AI42" s="2">
        <f ca="1">IFERROR(SUMIFS(INDIRECT("'Thanh Toán ("&amp;AI$3&amp;")'!$F:$F"),INDIRECT("'Thanh Toán ("&amp;AI$3&amp;")'!$D:$D"),'Tổng Đơn'!$B42),0)</f>
        <v>0</v>
      </c>
      <c r="AJ42" s="2">
        <f ca="1">IFERROR(SUMIFS(INDIRECT("'Thanh Toán ("&amp;AJ$3&amp;")'!$F:$F"),INDIRECT("'Thanh Toán ("&amp;AJ$3&amp;")'!$D:$D"),'Tổng Đơn'!$B42),0)</f>
        <v>0</v>
      </c>
      <c r="AK42" s="2">
        <f ca="1">IFERROR(SUMIFS(INDIRECT("'Thanh Toán ("&amp;AK$3&amp;")'!$F:$F"),INDIRECT("'Thanh Toán ("&amp;AK$3&amp;")'!$D:$D"),'Tổng Đơn'!$B42),0)</f>
        <v>0</v>
      </c>
      <c r="AL42" s="2">
        <f ca="1">IFERROR(SUMIFS(INDIRECT("'Thanh Toán ("&amp;AL$3&amp;")'!$F:$F"),INDIRECT("'Thanh Toán ("&amp;AL$3&amp;")'!$D:$D"),'Tổng Đơn'!$B42),0)</f>
        <v>0</v>
      </c>
      <c r="AM42" s="2">
        <f ca="1">IFERROR(SUMIFS(INDIRECT("'Thanh Toán ("&amp;AM$3&amp;")'!$F:$F"),INDIRECT("'Thanh Toán ("&amp;AM$3&amp;")'!$D:$D"),'Tổng Đơn'!$B42),0)</f>
        <v>0</v>
      </c>
      <c r="AN42" s="2">
        <f ca="1">IFERROR(SUMIFS(INDIRECT("'Thanh Toán ("&amp;AN$3&amp;")'!$F:$F"),INDIRECT("'Thanh Toán ("&amp;AN$3&amp;")'!$D:$D"),'Tổng Đơn'!$B42),0)</f>
        <v>0</v>
      </c>
      <c r="AO42" s="2">
        <f ca="1">IFERROR(SUMIFS(INDIRECT("'Thanh Toán ("&amp;AO$3&amp;")'!$F:$F"),INDIRECT("'Thanh Toán ("&amp;AO$3&amp;")'!$D:$D"),'Tổng Đơn'!$B42),0)</f>
        <v>0</v>
      </c>
      <c r="AP42" s="2">
        <f ca="1">IFERROR(SUMIFS(INDIRECT("'Thanh Toán ("&amp;AP$3&amp;")'!$F:$F"),INDIRECT("'Thanh Toán ("&amp;AP$3&amp;")'!$D:$D"),'Tổng Đơn'!$B42),0)</f>
        <v>0</v>
      </c>
      <c r="AQ42" s="2">
        <f ca="1">IFERROR(SUMIFS(INDIRECT("'Thanh Toán ("&amp;AQ$3&amp;")'!$F:$F"),INDIRECT("'Thanh Toán ("&amp;AQ$3&amp;")'!$D:$D"),'Tổng Đơn'!$B42),0)</f>
        <v>0</v>
      </c>
      <c r="AR42" s="2">
        <f ca="1">IFERROR(SUMIFS(INDIRECT("'Thanh Toán ("&amp;AR$3&amp;")'!$F:$F"),INDIRECT("'Thanh Toán ("&amp;AR$3&amp;")'!$D:$D"),'Tổng Đơn'!$B42),0)</f>
        <v>0</v>
      </c>
      <c r="AS42" s="2">
        <f ca="1">IFERROR(SUMIFS(INDIRECT("'Thanh Toán ("&amp;AS$3&amp;")'!$F:$F"),INDIRECT("'Thanh Toán ("&amp;AS$3&amp;")'!$D:$D"),'Tổng Đơn'!$B42),0)</f>
        <v>0</v>
      </c>
      <c r="AT42" s="2">
        <f ca="1">IFERROR(SUMIFS(INDIRECT("'Thanh Toán ("&amp;AT$3&amp;")'!$F:$F"),INDIRECT("'Thanh Toán ("&amp;AT$3&amp;")'!$D:$D"),'Tổng Đơn'!$B42),0)</f>
        <v>0</v>
      </c>
      <c r="AU42" s="2">
        <f ca="1">IFERROR(SUMIFS(INDIRECT("'Thanh Toán ("&amp;AU$3&amp;")'!$F:$F"),INDIRECT("'Thanh Toán ("&amp;AU$3&amp;")'!$D:$D"),'Tổng Đơn'!$B42),0)</f>
        <v>0</v>
      </c>
      <c r="AV42" s="2">
        <f ca="1">IFERROR(SUMIFS(INDIRECT("'Thanh Toán ("&amp;AV$3&amp;")'!$F:$F"),INDIRECT("'Thanh Toán ("&amp;AV$3&amp;")'!$D:$D"),'Tổng Đơn'!$B42),0)</f>
        <v>0</v>
      </c>
      <c r="AW42" s="2">
        <f ca="1">IFERROR(SUMIFS(INDIRECT("'Thanh Toán ("&amp;AW$3&amp;")'!$F:$F"),INDIRECT("'Thanh Toán ("&amp;AW$3&amp;")'!$D:$D"),'Tổng Đơn'!$B42),0)</f>
        <v>0</v>
      </c>
      <c r="AX42" s="2">
        <f ca="1">IFERROR(SUMIFS(INDIRECT("'Thanh Toán ("&amp;AX$3&amp;")'!$F:$F"),INDIRECT("'Thanh Toán ("&amp;AX$3&amp;")'!$D:$D"),'Tổng Đơn'!$B42),0)</f>
        <v>0</v>
      </c>
      <c r="AY42" s="2">
        <f ca="1">IFERROR(SUMIFS(INDIRECT("'Thanh Toán ("&amp;AY$3&amp;")'!$F:$F"),INDIRECT("'Thanh Toán ("&amp;AY$3&amp;")'!$D:$D"),'Tổng Đơn'!$B42),0)</f>
        <v>0</v>
      </c>
      <c r="AZ42" s="2">
        <f ca="1">IFERROR(SUMIFS(INDIRECT("'Thanh Toán ("&amp;AZ$3&amp;")'!$F:$F"),INDIRECT("'Thanh Toán ("&amp;AZ$3&amp;")'!$D:$D"),'Tổng Đơn'!$B42),0)</f>
        <v>0</v>
      </c>
      <c r="BA42" s="2">
        <f ca="1">IFERROR(SUMIFS(INDIRECT("'Thanh Toán ("&amp;BA$3&amp;")'!$F:$F"),INDIRECT("'Thanh Toán ("&amp;BA$3&amp;")'!$D:$D"),'Tổng Đơn'!$B42),0)</f>
        <v>0</v>
      </c>
      <c r="BB42" s="2">
        <f ca="1">IFERROR(SUMIFS(INDIRECT("'Thanh Toán ("&amp;BB$3&amp;")'!$F:$F"),INDIRECT("'Thanh Toán ("&amp;BB$3&amp;")'!$D:$D"),'Tổng Đơn'!$B42),0)</f>
        <v>0</v>
      </c>
      <c r="BC42" s="2">
        <f ca="1">IFERROR(SUMIFS(INDIRECT("'Thanh Toán ("&amp;BC$3&amp;")'!$F:$F"),INDIRECT("'Thanh Toán ("&amp;BC$3&amp;")'!$D:$D"),'Tổng Đơn'!$B42),0)</f>
        <v>0</v>
      </c>
    </row>
    <row r="43" spans="1:55" ht="18" customHeight="1" x14ac:dyDescent="0.3">
      <c r="A43" s="160">
        <v>33</v>
      </c>
      <c r="B43" s="161" t="s">
        <v>182</v>
      </c>
      <c r="C43" s="160" t="s">
        <v>79</v>
      </c>
      <c r="D43" s="162">
        <f>VLOOKUP($C43,Sheet1!$C$8:$D$80,2,0)</f>
        <v>18000</v>
      </c>
      <c r="E43" s="163">
        <v>0.5</v>
      </c>
      <c r="F43" s="164">
        <f t="shared" ca="1" si="13"/>
        <v>0</v>
      </c>
      <c r="G43" s="165">
        <f>IFERROR(VLOOKUP($B43,Gà!C:J,8,0),IFERROR(VLOOKUP($B43,TVP!C:J,7,0),IFERROR(VLOOKUP($B43,Kitkool!C:J,8,0),IFERROR(VLOOKUP($B43,'La Cusina'!C:J,8,0),VLOOKUP($B43,'Quốc Nhân'!C:J,8,0)))))</f>
        <v>13.297254102129417</v>
      </c>
      <c r="H43" s="166">
        <f t="shared" ca="1" si="10"/>
        <v>0</v>
      </c>
      <c r="I43" s="186">
        <f t="shared" si="11"/>
        <v>0.35366293384718328</v>
      </c>
      <c r="J43" s="166">
        <f t="shared" ca="1" si="12"/>
        <v>0</v>
      </c>
      <c r="K43" s="38"/>
      <c r="L43" s="2">
        <f ca="1">IFERROR(SUMIFS(INDIRECT("'Thanh Toán ("&amp;L$3&amp;")'!$F:$F"),INDIRECT("'Thanh Toán ("&amp;L$3&amp;")'!$D:$D"),'Tổng Đơn'!$B43),0)</f>
        <v>0</v>
      </c>
      <c r="M43" s="2">
        <f ca="1">IFERROR(SUMIFS(INDIRECT("'Thanh Toán ("&amp;M$3&amp;")'!$F:$F"),INDIRECT("'Thanh Toán ("&amp;M$3&amp;")'!$D:$D"),'Tổng Đơn'!$B43),0)</f>
        <v>0</v>
      </c>
      <c r="N43" s="2">
        <f ca="1">IFERROR(SUMIFS(INDIRECT("'Thanh Toán ("&amp;N$3&amp;")'!$F:$F"),INDIRECT("'Thanh Toán ("&amp;N$3&amp;")'!$D:$D"),'Tổng Đơn'!$B43),0)</f>
        <v>0</v>
      </c>
      <c r="O43" s="2">
        <f ca="1">IFERROR(SUMIFS(INDIRECT("'Thanh Toán ("&amp;O$3&amp;")'!$F:$F"),INDIRECT("'Thanh Toán ("&amp;O$3&amp;")'!$D:$D"),'Tổng Đơn'!$B43),0)</f>
        <v>0</v>
      </c>
      <c r="P43" s="2">
        <f ca="1">IFERROR(SUMIFS(INDIRECT("'Thanh Toán ("&amp;P$3&amp;")'!$F:$F"),INDIRECT("'Thanh Toán ("&amp;P$3&amp;")'!$D:$D"),'Tổng Đơn'!$B43),0)</f>
        <v>0</v>
      </c>
      <c r="Q43" s="2">
        <f ca="1">IFERROR(SUMIFS(INDIRECT("'Thanh Toán ("&amp;Q$3&amp;")'!$F:$F"),INDIRECT("'Thanh Toán ("&amp;Q$3&amp;")'!$D:$D"),'Tổng Đơn'!$B43),0)</f>
        <v>0</v>
      </c>
      <c r="R43" s="2">
        <f ca="1">IFERROR(SUMIFS(INDIRECT("'Thanh Toán ("&amp;R$3&amp;")'!$F:$F"),INDIRECT("'Thanh Toán ("&amp;R$3&amp;")'!$D:$D"),'Tổng Đơn'!$B43),0)</f>
        <v>0</v>
      </c>
      <c r="S43" s="2">
        <f ca="1">IFERROR(SUMIFS(INDIRECT("'Thanh Toán ("&amp;S$3&amp;")'!$F:$F"),INDIRECT("'Thanh Toán ("&amp;S$3&amp;")'!$D:$D"),'Tổng Đơn'!$B43),0)</f>
        <v>0</v>
      </c>
      <c r="T43" s="2">
        <f ca="1">IFERROR(SUMIFS(INDIRECT("'Thanh Toán ("&amp;T$3&amp;")'!$F:$F"),INDIRECT("'Thanh Toán ("&amp;T$3&amp;")'!$D:$D"),'Tổng Đơn'!$B43),0)</f>
        <v>0</v>
      </c>
      <c r="U43" s="2">
        <f ca="1">IFERROR(SUMIFS(INDIRECT("'Thanh Toán ("&amp;U$3&amp;")'!$F:$F"),INDIRECT("'Thanh Toán ("&amp;U$3&amp;")'!$D:$D"),'Tổng Đơn'!$B43),0)</f>
        <v>0</v>
      </c>
      <c r="V43" s="2">
        <f ca="1">IFERROR(SUMIFS(INDIRECT("'Thanh Toán ("&amp;V$3&amp;")'!$F:$F"),INDIRECT("'Thanh Toán ("&amp;V$3&amp;")'!$D:$D"),'Tổng Đơn'!$B43),0)</f>
        <v>0</v>
      </c>
      <c r="W43" s="2">
        <f ca="1">IFERROR(SUMIFS(INDIRECT("'Thanh Toán ("&amp;W$3&amp;")'!$F:$F"),INDIRECT("'Thanh Toán ("&amp;W$3&amp;")'!$D:$D"),'Tổng Đơn'!$B43),0)</f>
        <v>0</v>
      </c>
      <c r="X43" s="2">
        <f ca="1">IFERROR(SUMIFS(INDIRECT("'Thanh Toán ("&amp;X$3&amp;")'!$F:$F"),INDIRECT("'Thanh Toán ("&amp;X$3&amp;")'!$D:$D"),'Tổng Đơn'!$B43),0)</f>
        <v>0</v>
      </c>
      <c r="Y43" s="2">
        <f ca="1">IFERROR(SUMIFS(INDIRECT("'Thanh Toán ("&amp;Y$3&amp;")'!$F:$F"),INDIRECT("'Thanh Toán ("&amp;Y$3&amp;")'!$D:$D"),'Tổng Đơn'!$B43),0)</f>
        <v>0</v>
      </c>
      <c r="Z43" s="2">
        <f ca="1">IFERROR(SUMIFS(INDIRECT("'Thanh Toán ("&amp;Z$3&amp;")'!$F:$F"),INDIRECT("'Thanh Toán ("&amp;Z$3&amp;")'!$D:$D"),'Tổng Đơn'!$B43),0)</f>
        <v>0</v>
      </c>
      <c r="AA43" s="2">
        <f ca="1">IFERROR(SUMIFS(INDIRECT("'Thanh Toán ("&amp;AA$3&amp;")'!$F:$F"),INDIRECT("'Thanh Toán ("&amp;AA$3&amp;")'!$D:$D"),'Tổng Đơn'!$B43),0)</f>
        <v>0</v>
      </c>
      <c r="AB43" s="2">
        <f ca="1">IFERROR(SUMIFS(INDIRECT("'Thanh Toán ("&amp;AB$3&amp;")'!$F:$F"),INDIRECT("'Thanh Toán ("&amp;AB$3&amp;")'!$D:$D"),'Tổng Đơn'!$B43),0)</f>
        <v>0</v>
      </c>
      <c r="AC43" s="2">
        <f ca="1">IFERROR(SUMIFS(INDIRECT("'Thanh Toán ("&amp;AC$3&amp;")'!$F:$F"),INDIRECT("'Thanh Toán ("&amp;AC$3&amp;")'!$D:$D"),'Tổng Đơn'!$B43),0)</f>
        <v>0</v>
      </c>
      <c r="AD43" s="2">
        <f ca="1">IFERROR(SUMIFS(INDIRECT("'Thanh Toán ("&amp;AD$3&amp;")'!$F:$F"),INDIRECT("'Thanh Toán ("&amp;AD$3&amp;")'!$D:$D"),'Tổng Đơn'!$B43),0)</f>
        <v>0</v>
      </c>
      <c r="AE43" s="2">
        <f ca="1">IFERROR(SUMIFS(INDIRECT("'Thanh Toán ("&amp;AE$3&amp;")'!$F:$F"),INDIRECT("'Thanh Toán ("&amp;AE$3&amp;")'!$D:$D"),'Tổng Đơn'!$B43),0)</f>
        <v>0</v>
      </c>
      <c r="AF43" s="2">
        <f ca="1">IFERROR(SUMIFS(INDIRECT("'Thanh Toán ("&amp;AF$3&amp;")'!$F:$F"),INDIRECT("'Thanh Toán ("&amp;AF$3&amp;")'!$D:$D"),'Tổng Đơn'!$B43),0)</f>
        <v>0</v>
      </c>
      <c r="AG43" s="2">
        <f ca="1">IFERROR(SUMIFS(INDIRECT("'Thanh Toán ("&amp;AG$3&amp;")'!$F:$F"),INDIRECT("'Thanh Toán ("&amp;AG$3&amp;")'!$D:$D"),'Tổng Đơn'!$B43),0)</f>
        <v>0</v>
      </c>
      <c r="AH43" s="2">
        <f ca="1">IFERROR(SUMIFS(INDIRECT("'Thanh Toán ("&amp;AH$3&amp;")'!$F:$F"),INDIRECT("'Thanh Toán ("&amp;AH$3&amp;")'!$D:$D"),'Tổng Đơn'!$B43),0)</f>
        <v>0</v>
      </c>
      <c r="AI43" s="2">
        <f ca="1">IFERROR(SUMIFS(INDIRECT("'Thanh Toán ("&amp;AI$3&amp;")'!$F:$F"),INDIRECT("'Thanh Toán ("&amp;AI$3&amp;")'!$D:$D"),'Tổng Đơn'!$B43),0)</f>
        <v>0</v>
      </c>
      <c r="AJ43" s="2">
        <f ca="1">IFERROR(SUMIFS(INDIRECT("'Thanh Toán ("&amp;AJ$3&amp;")'!$F:$F"),INDIRECT("'Thanh Toán ("&amp;AJ$3&amp;")'!$D:$D"),'Tổng Đơn'!$B43),0)</f>
        <v>0</v>
      </c>
      <c r="AK43" s="2">
        <f ca="1">IFERROR(SUMIFS(INDIRECT("'Thanh Toán ("&amp;AK$3&amp;")'!$F:$F"),INDIRECT("'Thanh Toán ("&amp;AK$3&amp;")'!$D:$D"),'Tổng Đơn'!$B43),0)</f>
        <v>0</v>
      </c>
      <c r="AL43" s="2">
        <f ca="1">IFERROR(SUMIFS(INDIRECT("'Thanh Toán ("&amp;AL$3&amp;")'!$F:$F"),INDIRECT("'Thanh Toán ("&amp;AL$3&amp;")'!$D:$D"),'Tổng Đơn'!$B43),0)</f>
        <v>0</v>
      </c>
      <c r="AM43" s="2">
        <f ca="1">IFERROR(SUMIFS(INDIRECT("'Thanh Toán ("&amp;AM$3&amp;")'!$F:$F"),INDIRECT("'Thanh Toán ("&amp;AM$3&amp;")'!$D:$D"),'Tổng Đơn'!$B43),0)</f>
        <v>0</v>
      </c>
      <c r="AN43" s="2">
        <f ca="1">IFERROR(SUMIFS(INDIRECT("'Thanh Toán ("&amp;AN$3&amp;")'!$F:$F"),INDIRECT("'Thanh Toán ("&amp;AN$3&amp;")'!$D:$D"),'Tổng Đơn'!$B43),0)</f>
        <v>0</v>
      </c>
      <c r="AO43" s="2">
        <f ca="1">IFERROR(SUMIFS(INDIRECT("'Thanh Toán ("&amp;AO$3&amp;")'!$F:$F"),INDIRECT("'Thanh Toán ("&amp;AO$3&amp;")'!$D:$D"),'Tổng Đơn'!$B43),0)</f>
        <v>0</v>
      </c>
      <c r="AP43" s="2">
        <f ca="1">IFERROR(SUMIFS(INDIRECT("'Thanh Toán ("&amp;AP$3&amp;")'!$F:$F"),INDIRECT("'Thanh Toán ("&amp;AP$3&amp;")'!$D:$D"),'Tổng Đơn'!$B43),0)</f>
        <v>0</v>
      </c>
      <c r="AQ43" s="2">
        <f ca="1">IFERROR(SUMIFS(INDIRECT("'Thanh Toán ("&amp;AQ$3&amp;")'!$F:$F"),INDIRECT("'Thanh Toán ("&amp;AQ$3&amp;")'!$D:$D"),'Tổng Đơn'!$B43),0)</f>
        <v>0</v>
      </c>
      <c r="AR43" s="2">
        <f ca="1">IFERROR(SUMIFS(INDIRECT("'Thanh Toán ("&amp;AR$3&amp;")'!$F:$F"),INDIRECT("'Thanh Toán ("&amp;AR$3&amp;")'!$D:$D"),'Tổng Đơn'!$B43),0)</f>
        <v>0</v>
      </c>
      <c r="AS43" s="2">
        <f ca="1">IFERROR(SUMIFS(INDIRECT("'Thanh Toán ("&amp;AS$3&amp;")'!$F:$F"),INDIRECT("'Thanh Toán ("&amp;AS$3&amp;")'!$D:$D"),'Tổng Đơn'!$B43),0)</f>
        <v>0</v>
      </c>
      <c r="AT43" s="2">
        <f ca="1">IFERROR(SUMIFS(INDIRECT("'Thanh Toán ("&amp;AT$3&amp;")'!$F:$F"),INDIRECT("'Thanh Toán ("&amp;AT$3&amp;")'!$D:$D"),'Tổng Đơn'!$B43),0)</f>
        <v>0</v>
      </c>
      <c r="AU43" s="2">
        <f ca="1">IFERROR(SUMIFS(INDIRECT("'Thanh Toán ("&amp;AU$3&amp;")'!$F:$F"),INDIRECT("'Thanh Toán ("&amp;AU$3&amp;")'!$D:$D"),'Tổng Đơn'!$B43),0)</f>
        <v>0</v>
      </c>
      <c r="AV43" s="2">
        <f ca="1">IFERROR(SUMIFS(INDIRECT("'Thanh Toán ("&amp;AV$3&amp;")'!$F:$F"),INDIRECT("'Thanh Toán ("&amp;AV$3&amp;")'!$D:$D"),'Tổng Đơn'!$B43),0)</f>
        <v>0</v>
      </c>
      <c r="AW43" s="2">
        <f ca="1">IFERROR(SUMIFS(INDIRECT("'Thanh Toán ("&amp;AW$3&amp;")'!$F:$F"),INDIRECT("'Thanh Toán ("&amp;AW$3&amp;")'!$D:$D"),'Tổng Đơn'!$B43),0)</f>
        <v>0</v>
      </c>
      <c r="AX43" s="2">
        <f ca="1">IFERROR(SUMIFS(INDIRECT("'Thanh Toán ("&amp;AX$3&amp;")'!$F:$F"),INDIRECT("'Thanh Toán ("&amp;AX$3&amp;")'!$D:$D"),'Tổng Đơn'!$B43),0)</f>
        <v>0</v>
      </c>
      <c r="AY43" s="2">
        <f ca="1">IFERROR(SUMIFS(INDIRECT("'Thanh Toán ("&amp;AY$3&amp;")'!$F:$F"),INDIRECT("'Thanh Toán ("&amp;AY$3&amp;")'!$D:$D"),'Tổng Đơn'!$B43),0)</f>
        <v>0</v>
      </c>
      <c r="AZ43" s="2">
        <f ca="1">IFERROR(SUMIFS(INDIRECT("'Thanh Toán ("&amp;AZ$3&amp;")'!$F:$F"),INDIRECT("'Thanh Toán ("&amp;AZ$3&amp;")'!$D:$D"),'Tổng Đơn'!$B43),0)</f>
        <v>0</v>
      </c>
      <c r="BA43" s="2">
        <f ca="1">IFERROR(SUMIFS(INDIRECT("'Thanh Toán ("&amp;BA$3&amp;")'!$F:$F"),INDIRECT("'Thanh Toán ("&amp;BA$3&amp;")'!$D:$D"),'Tổng Đơn'!$B43),0)</f>
        <v>0</v>
      </c>
      <c r="BB43" s="2">
        <f ca="1">IFERROR(SUMIFS(INDIRECT("'Thanh Toán ("&amp;BB$3&amp;")'!$F:$F"),INDIRECT("'Thanh Toán ("&amp;BB$3&amp;")'!$D:$D"),'Tổng Đơn'!$B43),0)</f>
        <v>0</v>
      </c>
      <c r="BC43" s="2">
        <f ca="1">IFERROR(SUMIFS(INDIRECT("'Thanh Toán ("&amp;BC$3&amp;")'!$F:$F"),INDIRECT("'Thanh Toán ("&amp;BC$3&amp;")'!$D:$D"),'Tổng Đơn'!$B43),0)</f>
        <v>0</v>
      </c>
    </row>
    <row r="44" spans="1:55" ht="18" customHeight="1" x14ac:dyDescent="0.3">
      <c r="A44" s="167">
        <v>34</v>
      </c>
      <c r="B44" s="161" t="s">
        <v>174</v>
      </c>
      <c r="C44" s="167" t="s">
        <v>80</v>
      </c>
      <c r="D44" s="162">
        <f>VLOOKUP($C44,Sheet1!$C$8:$D$80,2,0)</f>
        <v>25000</v>
      </c>
      <c r="E44" s="163">
        <v>0.5</v>
      </c>
      <c r="F44" s="164">
        <f t="shared" ca="1" si="13"/>
        <v>89</v>
      </c>
      <c r="G44" s="165">
        <f>IFERROR(VLOOKUP($B44,Gà!C:J,8,0),IFERROR(VLOOKUP($B44,TVP!C:J,7,0),IFERROR(VLOOKUP($B44,Kitkool!C:J,8,0),IFERROR(VLOOKUP($B44,'La Cusina'!C:J,8,0),VLOOKUP($B44,'Quốc Nhân'!C:J,8,0)))))</f>
        <v>20.467964175681765</v>
      </c>
      <c r="H44" s="166">
        <f t="shared" ca="1" si="10"/>
        <v>403351.18836432288</v>
      </c>
      <c r="I44" s="186">
        <f t="shared" si="11"/>
        <v>0.22142093788217587</v>
      </c>
      <c r="J44" s="166">
        <f t="shared" ca="1" si="12"/>
        <v>1821648.811635677</v>
      </c>
      <c r="K44" s="38"/>
      <c r="L44" s="2">
        <f ca="1">IFERROR(SUMIFS(INDIRECT("'Thanh Toán ("&amp;L$3&amp;")'!$F:$F"),INDIRECT("'Thanh Toán ("&amp;L$3&amp;")'!$D:$D"),'Tổng Đơn'!$B44),0)</f>
        <v>4</v>
      </c>
      <c r="M44" s="2">
        <f ca="1">IFERROR(SUMIFS(INDIRECT("'Thanh Toán ("&amp;M$3&amp;")'!$F:$F"),INDIRECT("'Thanh Toán ("&amp;M$3&amp;")'!$D:$D"),'Tổng Đơn'!$B44),0)</f>
        <v>0</v>
      </c>
      <c r="N44" s="2">
        <f ca="1">IFERROR(SUMIFS(INDIRECT("'Thanh Toán ("&amp;N$3&amp;")'!$F:$F"),INDIRECT("'Thanh Toán ("&amp;N$3&amp;")'!$D:$D"),'Tổng Đơn'!$B44),0)</f>
        <v>2</v>
      </c>
      <c r="O44" s="2">
        <f ca="1">IFERROR(SUMIFS(INDIRECT("'Thanh Toán ("&amp;O$3&amp;")'!$F:$F"),INDIRECT("'Thanh Toán ("&amp;O$3&amp;")'!$D:$D"),'Tổng Đơn'!$B44),0)</f>
        <v>0</v>
      </c>
      <c r="P44" s="2">
        <f ca="1">IFERROR(SUMIFS(INDIRECT("'Thanh Toán ("&amp;P$3&amp;")'!$F:$F"),INDIRECT("'Thanh Toán ("&amp;P$3&amp;")'!$D:$D"),'Tổng Đơn'!$B44),0)</f>
        <v>20</v>
      </c>
      <c r="Q44" s="2">
        <f ca="1">IFERROR(SUMIFS(INDIRECT("'Thanh Toán ("&amp;Q$3&amp;")'!$F:$F"),INDIRECT("'Thanh Toán ("&amp;Q$3&amp;")'!$D:$D"),'Tổng Đơn'!$B44),0)</f>
        <v>1</v>
      </c>
      <c r="R44" s="2">
        <f ca="1">IFERROR(SUMIFS(INDIRECT("'Thanh Toán ("&amp;R$3&amp;")'!$F:$F"),INDIRECT("'Thanh Toán ("&amp;R$3&amp;")'!$D:$D"),'Tổng Đơn'!$B44),0)</f>
        <v>6</v>
      </c>
      <c r="S44" s="2">
        <f ca="1">IFERROR(SUMIFS(INDIRECT("'Thanh Toán ("&amp;S$3&amp;")'!$F:$F"),INDIRECT("'Thanh Toán ("&amp;S$3&amp;")'!$D:$D"),'Tổng Đơn'!$B44),0)</f>
        <v>20</v>
      </c>
      <c r="T44" s="2">
        <f ca="1">IFERROR(SUMIFS(INDIRECT("'Thanh Toán ("&amp;T$3&amp;")'!$F:$F"),INDIRECT("'Thanh Toán ("&amp;T$3&amp;")'!$D:$D"),'Tổng Đơn'!$B44),0)</f>
        <v>10</v>
      </c>
      <c r="U44" s="2">
        <f ca="1">IFERROR(SUMIFS(INDIRECT("'Thanh Toán ("&amp;U$3&amp;")'!$F:$F"),INDIRECT("'Thanh Toán ("&amp;U$3&amp;")'!$D:$D"),'Tổng Đơn'!$B44),0)</f>
        <v>0</v>
      </c>
      <c r="V44" s="2">
        <f ca="1">IFERROR(SUMIFS(INDIRECT("'Thanh Toán ("&amp;V$3&amp;")'!$F:$F"),INDIRECT("'Thanh Toán ("&amp;V$3&amp;")'!$D:$D"),'Tổng Đơn'!$B44),0)</f>
        <v>0</v>
      </c>
      <c r="W44" s="2">
        <f ca="1">IFERROR(SUMIFS(INDIRECT("'Thanh Toán ("&amp;W$3&amp;")'!$F:$F"),INDIRECT("'Thanh Toán ("&amp;W$3&amp;")'!$D:$D"),'Tổng Đơn'!$B44),0)</f>
        <v>4</v>
      </c>
      <c r="X44" s="2">
        <f ca="1">IFERROR(SUMIFS(INDIRECT("'Thanh Toán ("&amp;X$3&amp;")'!$F:$F"),INDIRECT("'Thanh Toán ("&amp;X$3&amp;")'!$D:$D"),'Tổng Đơn'!$B44),0)</f>
        <v>0</v>
      </c>
      <c r="Y44" s="2">
        <f ca="1">IFERROR(SUMIFS(INDIRECT("'Thanh Toán ("&amp;Y$3&amp;")'!$F:$F"),INDIRECT("'Thanh Toán ("&amp;Y$3&amp;")'!$D:$D"),'Tổng Đơn'!$B44),0)</f>
        <v>1</v>
      </c>
      <c r="Z44" s="2">
        <f ca="1">IFERROR(SUMIFS(INDIRECT("'Thanh Toán ("&amp;Z$3&amp;")'!$F:$F"),INDIRECT("'Thanh Toán ("&amp;Z$3&amp;")'!$D:$D"),'Tổng Đơn'!$B44),0)</f>
        <v>2</v>
      </c>
      <c r="AA44" s="2">
        <f ca="1">IFERROR(SUMIFS(INDIRECT("'Thanh Toán ("&amp;AA$3&amp;")'!$F:$F"),INDIRECT("'Thanh Toán ("&amp;AA$3&amp;")'!$D:$D"),'Tổng Đơn'!$B44),0)</f>
        <v>4</v>
      </c>
      <c r="AB44" s="2">
        <f ca="1">IFERROR(SUMIFS(INDIRECT("'Thanh Toán ("&amp;AB$3&amp;")'!$F:$F"),INDIRECT("'Thanh Toán ("&amp;AB$3&amp;")'!$D:$D"),'Tổng Đơn'!$B44),0)</f>
        <v>1</v>
      </c>
      <c r="AC44" s="2">
        <f ca="1">IFERROR(SUMIFS(INDIRECT("'Thanh Toán ("&amp;AC$3&amp;")'!$F:$F"),INDIRECT("'Thanh Toán ("&amp;AC$3&amp;")'!$D:$D"),'Tổng Đơn'!$B44),0)</f>
        <v>0</v>
      </c>
      <c r="AD44" s="2">
        <f ca="1">IFERROR(SUMIFS(INDIRECT("'Thanh Toán ("&amp;AD$3&amp;")'!$F:$F"),INDIRECT("'Thanh Toán ("&amp;AD$3&amp;")'!$D:$D"),'Tổng Đơn'!$B44),0)</f>
        <v>1</v>
      </c>
      <c r="AE44" s="2">
        <f ca="1">IFERROR(SUMIFS(INDIRECT("'Thanh Toán ("&amp;AE$3&amp;")'!$F:$F"),INDIRECT("'Thanh Toán ("&amp;AE$3&amp;")'!$D:$D"),'Tổng Đơn'!$B44),0)</f>
        <v>0</v>
      </c>
      <c r="AF44" s="2">
        <f ca="1">IFERROR(SUMIFS(INDIRECT("'Thanh Toán ("&amp;AF$3&amp;")'!$F:$F"),INDIRECT("'Thanh Toán ("&amp;AF$3&amp;")'!$D:$D"),'Tổng Đơn'!$B44),0)</f>
        <v>5</v>
      </c>
      <c r="AG44" s="2">
        <f ca="1">IFERROR(SUMIFS(INDIRECT("'Thanh Toán ("&amp;AG$3&amp;")'!$F:$F"),INDIRECT("'Thanh Toán ("&amp;AG$3&amp;")'!$D:$D"),'Tổng Đơn'!$B44),0)</f>
        <v>4</v>
      </c>
      <c r="AH44" s="2">
        <f ca="1">IFERROR(SUMIFS(INDIRECT("'Thanh Toán ("&amp;AH$3&amp;")'!$F:$F"),INDIRECT("'Thanh Toán ("&amp;AH$3&amp;")'!$D:$D"),'Tổng Đơn'!$B44),0)</f>
        <v>0</v>
      </c>
      <c r="AI44" s="2">
        <f ca="1">IFERROR(SUMIFS(INDIRECT("'Thanh Toán ("&amp;AI$3&amp;")'!$F:$F"),INDIRECT("'Thanh Toán ("&amp;AI$3&amp;")'!$D:$D"),'Tổng Đơn'!$B44),0)</f>
        <v>4</v>
      </c>
      <c r="AJ44" s="2">
        <f ca="1">IFERROR(SUMIFS(INDIRECT("'Thanh Toán ("&amp;AJ$3&amp;")'!$F:$F"),INDIRECT("'Thanh Toán ("&amp;AJ$3&amp;")'!$D:$D"),'Tổng Đơn'!$B44),0)</f>
        <v>0</v>
      </c>
      <c r="AK44" s="2">
        <f ca="1">IFERROR(SUMIFS(INDIRECT("'Thanh Toán ("&amp;AK$3&amp;")'!$F:$F"),INDIRECT("'Thanh Toán ("&amp;AK$3&amp;")'!$D:$D"),'Tổng Đơn'!$B44),0)</f>
        <v>0</v>
      </c>
      <c r="AL44" s="2">
        <f ca="1">IFERROR(SUMIFS(INDIRECT("'Thanh Toán ("&amp;AL$3&amp;")'!$F:$F"),INDIRECT("'Thanh Toán ("&amp;AL$3&amp;")'!$D:$D"),'Tổng Đơn'!$B44),0)</f>
        <v>0</v>
      </c>
      <c r="AM44" s="2">
        <f ca="1">IFERROR(SUMIFS(INDIRECT("'Thanh Toán ("&amp;AM$3&amp;")'!$F:$F"),INDIRECT("'Thanh Toán ("&amp;AM$3&amp;")'!$D:$D"),'Tổng Đơn'!$B44),0)</f>
        <v>0</v>
      </c>
      <c r="AN44" s="2">
        <f ca="1">IFERROR(SUMIFS(INDIRECT("'Thanh Toán ("&amp;AN$3&amp;")'!$F:$F"),INDIRECT("'Thanh Toán ("&amp;AN$3&amp;")'!$D:$D"),'Tổng Đơn'!$B44),0)</f>
        <v>0</v>
      </c>
      <c r="AO44" s="2">
        <f ca="1">IFERROR(SUMIFS(INDIRECT("'Thanh Toán ("&amp;AO$3&amp;")'!$F:$F"),INDIRECT("'Thanh Toán ("&amp;AO$3&amp;")'!$D:$D"),'Tổng Đơn'!$B44),0)</f>
        <v>0</v>
      </c>
      <c r="AP44" s="2">
        <f ca="1">IFERROR(SUMIFS(INDIRECT("'Thanh Toán ("&amp;AP$3&amp;")'!$F:$F"),INDIRECT("'Thanh Toán ("&amp;AP$3&amp;")'!$D:$D"),'Tổng Đơn'!$B44),0)</f>
        <v>0</v>
      </c>
      <c r="AQ44" s="2">
        <f ca="1">IFERROR(SUMIFS(INDIRECT("'Thanh Toán ("&amp;AQ$3&amp;")'!$F:$F"),INDIRECT("'Thanh Toán ("&amp;AQ$3&amp;")'!$D:$D"),'Tổng Đơn'!$B44),0)</f>
        <v>0</v>
      </c>
      <c r="AR44" s="2">
        <f ca="1">IFERROR(SUMIFS(INDIRECT("'Thanh Toán ("&amp;AR$3&amp;")'!$F:$F"),INDIRECT("'Thanh Toán ("&amp;AR$3&amp;")'!$D:$D"),'Tổng Đơn'!$B44),0)</f>
        <v>0</v>
      </c>
      <c r="AS44" s="2">
        <f ca="1">IFERROR(SUMIFS(INDIRECT("'Thanh Toán ("&amp;AS$3&amp;")'!$F:$F"),INDIRECT("'Thanh Toán ("&amp;AS$3&amp;")'!$D:$D"),'Tổng Đơn'!$B44),0)</f>
        <v>0</v>
      </c>
      <c r="AT44" s="2">
        <f ca="1">IFERROR(SUMIFS(INDIRECT("'Thanh Toán ("&amp;AT$3&amp;")'!$F:$F"),INDIRECT("'Thanh Toán ("&amp;AT$3&amp;")'!$D:$D"),'Tổng Đơn'!$B44),0)</f>
        <v>0</v>
      </c>
      <c r="AU44" s="2">
        <f ca="1">IFERROR(SUMIFS(INDIRECT("'Thanh Toán ("&amp;AU$3&amp;")'!$F:$F"),INDIRECT("'Thanh Toán ("&amp;AU$3&amp;")'!$D:$D"),'Tổng Đơn'!$B44),0)</f>
        <v>0</v>
      </c>
      <c r="AV44" s="2">
        <f ca="1">IFERROR(SUMIFS(INDIRECT("'Thanh Toán ("&amp;AV$3&amp;")'!$F:$F"),INDIRECT("'Thanh Toán ("&amp;AV$3&amp;")'!$D:$D"),'Tổng Đơn'!$B44),0)</f>
        <v>0</v>
      </c>
      <c r="AW44" s="2">
        <f ca="1">IFERROR(SUMIFS(INDIRECT("'Thanh Toán ("&amp;AW$3&amp;")'!$F:$F"),INDIRECT("'Thanh Toán ("&amp;AW$3&amp;")'!$D:$D"),'Tổng Đơn'!$B44),0)</f>
        <v>0</v>
      </c>
      <c r="AX44" s="2">
        <f ca="1">IFERROR(SUMIFS(INDIRECT("'Thanh Toán ("&amp;AX$3&amp;")'!$F:$F"),INDIRECT("'Thanh Toán ("&amp;AX$3&amp;")'!$D:$D"),'Tổng Đơn'!$B44),0)</f>
        <v>0</v>
      </c>
      <c r="AY44" s="2">
        <f ca="1">IFERROR(SUMIFS(INDIRECT("'Thanh Toán ("&amp;AY$3&amp;")'!$F:$F"),INDIRECT("'Thanh Toán ("&amp;AY$3&amp;")'!$D:$D"),'Tổng Đơn'!$B44),0)</f>
        <v>0</v>
      </c>
      <c r="AZ44" s="2">
        <f ca="1">IFERROR(SUMIFS(INDIRECT("'Thanh Toán ("&amp;AZ$3&amp;")'!$F:$F"),INDIRECT("'Thanh Toán ("&amp;AZ$3&amp;")'!$D:$D"),'Tổng Đơn'!$B44),0)</f>
        <v>0</v>
      </c>
      <c r="BA44" s="2">
        <f ca="1">IFERROR(SUMIFS(INDIRECT("'Thanh Toán ("&amp;BA$3&amp;")'!$F:$F"),INDIRECT("'Thanh Toán ("&amp;BA$3&amp;")'!$D:$D"),'Tổng Đơn'!$B44),0)</f>
        <v>0</v>
      </c>
      <c r="BB44" s="2">
        <f ca="1">IFERROR(SUMIFS(INDIRECT("'Thanh Toán ("&amp;BB$3&amp;")'!$F:$F"),INDIRECT("'Thanh Toán ("&amp;BB$3&amp;")'!$D:$D"),'Tổng Đơn'!$B44),0)</f>
        <v>0</v>
      </c>
      <c r="BC44" s="2">
        <f ca="1">IFERROR(SUMIFS(INDIRECT("'Thanh Toán ("&amp;BC$3&amp;")'!$F:$F"),INDIRECT("'Thanh Toán ("&amp;BC$3&amp;")'!$D:$D"),'Tổng Đơn'!$B44),0)</f>
        <v>0</v>
      </c>
    </row>
    <row r="45" spans="1:55" ht="18" customHeight="1" x14ac:dyDescent="0.3">
      <c r="A45" s="160">
        <v>35</v>
      </c>
      <c r="B45" s="161" t="s">
        <v>175</v>
      </c>
      <c r="C45" s="160" t="s">
        <v>81</v>
      </c>
      <c r="D45" s="162">
        <f>VLOOKUP($C45,Sheet1!$C$8:$D$80,2,0)</f>
        <v>28000</v>
      </c>
      <c r="E45" s="163">
        <v>0.5</v>
      </c>
      <c r="F45" s="164">
        <f t="shared" ca="1" si="13"/>
        <v>11</v>
      </c>
      <c r="G45" s="165">
        <f>IFERROR(VLOOKUP($B45,Gà!C:J,8,0),IFERROR(VLOOKUP($B45,TVP!C:J,7,0),IFERROR(VLOOKUP($B45,Kitkool!C:J,8,0),IFERROR(VLOOKUP($B45,'La Cusina'!C:J,8,0),VLOOKUP($B45,'Quốc Nhân'!C:J,8,0)))))</f>
        <v>23.933272090255844</v>
      </c>
      <c r="H45" s="166">
        <f t="shared" ca="1" si="10"/>
        <v>44734.007007185726</v>
      </c>
      <c r="I45" s="186">
        <f t="shared" si="11"/>
        <v>0.16991942825067685</v>
      </c>
      <c r="J45" s="166">
        <f t="shared" ca="1" si="12"/>
        <v>263265.99299281428</v>
      </c>
      <c r="K45" s="38"/>
      <c r="L45" s="2">
        <f ca="1">IFERROR(SUMIFS(INDIRECT("'Thanh Toán ("&amp;L$3&amp;")'!$F:$F"),INDIRECT("'Thanh Toán ("&amp;L$3&amp;")'!$D:$D"),'Tổng Đơn'!$B45),0)</f>
        <v>0</v>
      </c>
      <c r="M45" s="2">
        <f ca="1">IFERROR(SUMIFS(INDIRECT("'Thanh Toán ("&amp;M$3&amp;")'!$F:$F"),INDIRECT("'Thanh Toán ("&amp;M$3&amp;")'!$D:$D"),'Tổng Đơn'!$B45),0)</f>
        <v>0</v>
      </c>
      <c r="N45" s="2">
        <f ca="1">IFERROR(SUMIFS(INDIRECT("'Thanh Toán ("&amp;N$3&amp;")'!$F:$F"),INDIRECT("'Thanh Toán ("&amp;N$3&amp;")'!$D:$D"),'Tổng Đơn'!$B45),0)</f>
        <v>0</v>
      </c>
      <c r="O45" s="2">
        <f ca="1">IFERROR(SUMIFS(INDIRECT("'Thanh Toán ("&amp;O$3&amp;")'!$F:$F"),INDIRECT("'Thanh Toán ("&amp;O$3&amp;")'!$D:$D"),'Tổng Đơn'!$B45),0)</f>
        <v>0</v>
      </c>
      <c r="P45" s="2">
        <f ca="1">IFERROR(SUMIFS(INDIRECT("'Thanh Toán ("&amp;P$3&amp;")'!$F:$F"),INDIRECT("'Thanh Toán ("&amp;P$3&amp;")'!$D:$D"),'Tổng Đơn'!$B45),0)</f>
        <v>0</v>
      </c>
      <c r="Q45" s="2">
        <f ca="1">IFERROR(SUMIFS(INDIRECT("'Thanh Toán ("&amp;Q$3&amp;")'!$F:$F"),INDIRECT("'Thanh Toán ("&amp;Q$3&amp;")'!$D:$D"),'Tổng Đơn'!$B45),0)</f>
        <v>0</v>
      </c>
      <c r="R45" s="2">
        <f ca="1">IFERROR(SUMIFS(INDIRECT("'Thanh Toán ("&amp;R$3&amp;")'!$F:$F"),INDIRECT("'Thanh Toán ("&amp;R$3&amp;")'!$D:$D"),'Tổng Đơn'!$B45),0)</f>
        <v>0</v>
      </c>
      <c r="S45" s="2">
        <f ca="1">IFERROR(SUMIFS(INDIRECT("'Thanh Toán ("&amp;S$3&amp;")'!$F:$F"),INDIRECT("'Thanh Toán ("&amp;S$3&amp;")'!$D:$D"),'Tổng Đơn'!$B45),0)</f>
        <v>0</v>
      </c>
      <c r="T45" s="2">
        <f ca="1">IFERROR(SUMIFS(INDIRECT("'Thanh Toán ("&amp;T$3&amp;")'!$F:$F"),INDIRECT("'Thanh Toán ("&amp;T$3&amp;")'!$D:$D"),'Tổng Đơn'!$B45),0)</f>
        <v>0</v>
      </c>
      <c r="U45" s="2">
        <f ca="1">IFERROR(SUMIFS(INDIRECT("'Thanh Toán ("&amp;U$3&amp;")'!$F:$F"),INDIRECT("'Thanh Toán ("&amp;U$3&amp;")'!$D:$D"),'Tổng Đơn'!$B45),0)</f>
        <v>0</v>
      </c>
      <c r="V45" s="2">
        <f ca="1">IFERROR(SUMIFS(INDIRECT("'Thanh Toán ("&amp;V$3&amp;")'!$F:$F"),INDIRECT("'Thanh Toán ("&amp;V$3&amp;")'!$D:$D"),'Tổng Đơn'!$B45),0)</f>
        <v>0</v>
      </c>
      <c r="W45" s="2">
        <f ca="1">IFERROR(SUMIFS(INDIRECT("'Thanh Toán ("&amp;W$3&amp;")'!$F:$F"),INDIRECT("'Thanh Toán ("&amp;W$3&amp;")'!$D:$D"),'Tổng Đơn'!$B45),0)</f>
        <v>0</v>
      </c>
      <c r="X45" s="2">
        <f ca="1">IFERROR(SUMIFS(INDIRECT("'Thanh Toán ("&amp;X$3&amp;")'!$F:$F"),INDIRECT("'Thanh Toán ("&amp;X$3&amp;")'!$D:$D"),'Tổng Đơn'!$B45),0)</f>
        <v>0</v>
      </c>
      <c r="Y45" s="2">
        <f ca="1">IFERROR(SUMIFS(INDIRECT("'Thanh Toán ("&amp;Y$3&amp;")'!$F:$F"),INDIRECT("'Thanh Toán ("&amp;Y$3&amp;")'!$D:$D"),'Tổng Đơn'!$B45),0)</f>
        <v>0</v>
      </c>
      <c r="Z45" s="2">
        <f ca="1">IFERROR(SUMIFS(INDIRECT("'Thanh Toán ("&amp;Z$3&amp;")'!$F:$F"),INDIRECT("'Thanh Toán ("&amp;Z$3&amp;")'!$D:$D"),'Tổng Đơn'!$B45),0)</f>
        <v>0</v>
      </c>
      <c r="AA45" s="2">
        <f ca="1">IFERROR(SUMIFS(INDIRECT("'Thanh Toán ("&amp;AA$3&amp;")'!$F:$F"),INDIRECT("'Thanh Toán ("&amp;AA$3&amp;")'!$D:$D"),'Tổng Đơn'!$B45),0)</f>
        <v>0</v>
      </c>
      <c r="AB45" s="2">
        <f ca="1">IFERROR(SUMIFS(INDIRECT("'Thanh Toán ("&amp;AB$3&amp;")'!$F:$F"),INDIRECT("'Thanh Toán ("&amp;AB$3&amp;")'!$D:$D"),'Tổng Đơn'!$B45),0)</f>
        <v>0</v>
      </c>
      <c r="AC45" s="2">
        <f ca="1">IFERROR(SUMIFS(INDIRECT("'Thanh Toán ("&amp;AC$3&amp;")'!$F:$F"),INDIRECT("'Thanh Toán ("&amp;AC$3&amp;")'!$D:$D"),'Tổng Đơn'!$B45),0)</f>
        <v>11</v>
      </c>
      <c r="AD45" s="2">
        <f ca="1">IFERROR(SUMIFS(INDIRECT("'Thanh Toán ("&amp;AD$3&amp;")'!$F:$F"),INDIRECT("'Thanh Toán ("&amp;AD$3&amp;")'!$D:$D"),'Tổng Đơn'!$B45),0)</f>
        <v>0</v>
      </c>
      <c r="AE45" s="2">
        <f ca="1">IFERROR(SUMIFS(INDIRECT("'Thanh Toán ("&amp;AE$3&amp;")'!$F:$F"),INDIRECT("'Thanh Toán ("&amp;AE$3&amp;")'!$D:$D"),'Tổng Đơn'!$B45),0)</f>
        <v>0</v>
      </c>
      <c r="AF45" s="2">
        <f ca="1">IFERROR(SUMIFS(INDIRECT("'Thanh Toán ("&amp;AF$3&amp;")'!$F:$F"),INDIRECT("'Thanh Toán ("&amp;AF$3&amp;")'!$D:$D"),'Tổng Đơn'!$B45),0)</f>
        <v>0</v>
      </c>
      <c r="AG45" s="2">
        <f ca="1">IFERROR(SUMIFS(INDIRECT("'Thanh Toán ("&amp;AG$3&amp;")'!$F:$F"),INDIRECT("'Thanh Toán ("&amp;AG$3&amp;")'!$D:$D"),'Tổng Đơn'!$B45),0)</f>
        <v>0</v>
      </c>
      <c r="AH45" s="2">
        <f ca="1">IFERROR(SUMIFS(INDIRECT("'Thanh Toán ("&amp;AH$3&amp;")'!$F:$F"),INDIRECT("'Thanh Toán ("&amp;AH$3&amp;")'!$D:$D"),'Tổng Đơn'!$B45),0)</f>
        <v>0</v>
      </c>
      <c r="AI45" s="2">
        <f ca="1">IFERROR(SUMIFS(INDIRECT("'Thanh Toán ("&amp;AI$3&amp;")'!$F:$F"),INDIRECT("'Thanh Toán ("&amp;AI$3&amp;")'!$D:$D"),'Tổng Đơn'!$B45),0)</f>
        <v>0</v>
      </c>
      <c r="AJ45" s="2">
        <f ca="1">IFERROR(SUMIFS(INDIRECT("'Thanh Toán ("&amp;AJ$3&amp;")'!$F:$F"),INDIRECT("'Thanh Toán ("&amp;AJ$3&amp;")'!$D:$D"),'Tổng Đơn'!$B45),0)</f>
        <v>0</v>
      </c>
      <c r="AK45" s="2">
        <f ca="1">IFERROR(SUMIFS(INDIRECT("'Thanh Toán ("&amp;AK$3&amp;")'!$F:$F"),INDIRECT("'Thanh Toán ("&amp;AK$3&amp;")'!$D:$D"),'Tổng Đơn'!$B45),0)</f>
        <v>0</v>
      </c>
      <c r="AL45" s="2">
        <f ca="1">IFERROR(SUMIFS(INDIRECT("'Thanh Toán ("&amp;AL$3&amp;")'!$F:$F"),INDIRECT("'Thanh Toán ("&amp;AL$3&amp;")'!$D:$D"),'Tổng Đơn'!$B45),0)</f>
        <v>0</v>
      </c>
      <c r="AM45" s="2">
        <f ca="1">IFERROR(SUMIFS(INDIRECT("'Thanh Toán ("&amp;AM$3&amp;")'!$F:$F"),INDIRECT("'Thanh Toán ("&amp;AM$3&amp;")'!$D:$D"),'Tổng Đơn'!$B45),0)</f>
        <v>0</v>
      </c>
      <c r="AN45" s="2">
        <f ca="1">IFERROR(SUMIFS(INDIRECT("'Thanh Toán ("&amp;AN$3&amp;")'!$F:$F"),INDIRECT("'Thanh Toán ("&amp;AN$3&amp;")'!$D:$D"),'Tổng Đơn'!$B45),0)</f>
        <v>0</v>
      </c>
      <c r="AO45" s="2">
        <f ca="1">IFERROR(SUMIFS(INDIRECT("'Thanh Toán ("&amp;AO$3&amp;")'!$F:$F"),INDIRECT("'Thanh Toán ("&amp;AO$3&amp;")'!$D:$D"),'Tổng Đơn'!$B45),0)</f>
        <v>0</v>
      </c>
      <c r="AP45" s="2">
        <f ca="1">IFERROR(SUMIFS(INDIRECT("'Thanh Toán ("&amp;AP$3&amp;")'!$F:$F"),INDIRECT("'Thanh Toán ("&amp;AP$3&amp;")'!$D:$D"),'Tổng Đơn'!$B45),0)</f>
        <v>0</v>
      </c>
      <c r="AQ45" s="2">
        <f ca="1">IFERROR(SUMIFS(INDIRECT("'Thanh Toán ("&amp;AQ$3&amp;")'!$F:$F"),INDIRECT("'Thanh Toán ("&amp;AQ$3&amp;")'!$D:$D"),'Tổng Đơn'!$B45),0)</f>
        <v>0</v>
      </c>
      <c r="AR45" s="2">
        <f ca="1">IFERROR(SUMIFS(INDIRECT("'Thanh Toán ("&amp;AR$3&amp;")'!$F:$F"),INDIRECT("'Thanh Toán ("&amp;AR$3&amp;")'!$D:$D"),'Tổng Đơn'!$B45),0)</f>
        <v>0</v>
      </c>
      <c r="AS45" s="2">
        <f ca="1">IFERROR(SUMIFS(INDIRECT("'Thanh Toán ("&amp;AS$3&amp;")'!$F:$F"),INDIRECT("'Thanh Toán ("&amp;AS$3&amp;")'!$D:$D"),'Tổng Đơn'!$B45),0)</f>
        <v>0</v>
      </c>
      <c r="AT45" s="2">
        <f ca="1">IFERROR(SUMIFS(INDIRECT("'Thanh Toán ("&amp;AT$3&amp;")'!$F:$F"),INDIRECT("'Thanh Toán ("&amp;AT$3&amp;")'!$D:$D"),'Tổng Đơn'!$B45),0)</f>
        <v>0</v>
      </c>
      <c r="AU45" s="2">
        <f ca="1">IFERROR(SUMIFS(INDIRECT("'Thanh Toán ("&amp;AU$3&amp;")'!$F:$F"),INDIRECT("'Thanh Toán ("&amp;AU$3&amp;")'!$D:$D"),'Tổng Đơn'!$B45),0)</f>
        <v>0</v>
      </c>
      <c r="AV45" s="2">
        <f ca="1">IFERROR(SUMIFS(INDIRECT("'Thanh Toán ("&amp;AV$3&amp;")'!$F:$F"),INDIRECT("'Thanh Toán ("&amp;AV$3&amp;")'!$D:$D"),'Tổng Đơn'!$B45),0)</f>
        <v>0</v>
      </c>
      <c r="AW45" s="2">
        <f ca="1">IFERROR(SUMIFS(INDIRECT("'Thanh Toán ("&amp;AW$3&amp;")'!$F:$F"),INDIRECT("'Thanh Toán ("&amp;AW$3&amp;")'!$D:$D"),'Tổng Đơn'!$B45),0)</f>
        <v>0</v>
      </c>
      <c r="AX45" s="2">
        <f ca="1">IFERROR(SUMIFS(INDIRECT("'Thanh Toán ("&amp;AX$3&amp;")'!$F:$F"),INDIRECT("'Thanh Toán ("&amp;AX$3&amp;")'!$D:$D"),'Tổng Đơn'!$B45),0)</f>
        <v>0</v>
      </c>
      <c r="AY45" s="2">
        <f ca="1">IFERROR(SUMIFS(INDIRECT("'Thanh Toán ("&amp;AY$3&amp;")'!$F:$F"),INDIRECT("'Thanh Toán ("&amp;AY$3&amp;")'!$D:$D"),'Tổng Đơn'!$B45),0)</f>
        <v>0</v>
      </c>
      <c r="AZ45" s="2">
        <f ca="1">IFERROR(SUMIFS(INDIRECT("'Thanh Toán ("&amp;AZ$3&amp;")'!$F:$F"),INDIRECT("'Thanh Toán ("&amp;AZ$3&amp;")'!$D:$D"),'Tổng Đơn'!$B45),0)</f>
        <v>0</v>
      </c>
      <c r="BA45" s="2">
        <f ca="1">IFERROR(SUMIFS(INDIRECT("'Thanh Toán ("&amp;BA$3&amp;")'!$F:$F"),INDIRECT("'Thanh Toán ("&amp;BA$3&amp;")'!$D:$D"),'Tổng Đơn'!$B45),0)</f>
        <v>0</v>
      </c>
      <c r="BB45" s="2">
        <f ca="1">IFERROR(SUMIFS(INDIRECT("'Thanh Toán ("&amp;BB$3&amp;")'!$F:$F"),INDIRECT("'Thanh Toán ("&amp;BB$3&amp;")'!$D:$D"),'Tổng Đơn'!$B45),0)</f>
        <v>0</v>
      </c>
      <c r="BC45" s="2">
        <f ca="1">IFERROR(SUMIFS(INDIRECT("'Thanh Toán ("&amp;BC$3&amp;")'!$F:$F"),INDIRECT("'Thanh Toán ("&amp;BC$3&amp;")'!$D:$D"),'Tổng Đơn'!$B45),0)</f>
        <v>0</v>
      </c>
    </row>
    <row r="46" spans="1:55" ht="18" customHeight="1" x14ac:dyDescent="0.3">
      <c r="A46" s="167">
        <v>36</v>
      </c>
      <c r="B46" s="161" t="s">
        <v>176</v>
      </c>
      <c r="C46" s="167" t="s">
        <v>82</v>
      </c>
      <c r="D46" s="162">
        <f>VLOOKUP($C46,Sheet1!$C$8:$D$80,2,0)</f>
        <v>28000</v>
      </c>
      <c r="E46" s="163">
        <v>0.5</v>
      </c>
      <c r="F46" s="164">
        <f t="shared" ca="1" si="13"/>
        <v>3</v>
      </c>
      <c r="G46" s="165">
        <f>IFERROR(VLOOKUP($B46,Gà!C:J,8,0),IFERROR(VLOOKUP($B46,TVP!C:J,7,0),IFERROR(VLOOKUP($B46,Kitkool!C:J,8,0),IFERROR(VLOOKUP($B46,'La Cusina'!C:J,8,0),VLOOKUP($B46,'Quốc Nhân'!C:J,8,0)))))</f>
        <v>22.464838729406814</v>
      </c>
      <c r="H46" s="166">
        <f t="shared" ca="1" si="10"/>
        <v>16605.483811779552</v>
      </c>
      <c r="I46" s="186">
        <f t="shared" si="11"/>
        <v>0.24639221038998937</v>
      </c>
      <c r="J46" s="166">
        <f t="shared" ca="1" si="12"/>
        <v>67394.516188220456</v>
      </c>
      <c r="K46" s="38"/>
      <c r="L46" s="2">
        <f ca="1">IFERROR(SUMIFS(INDIRECT("'Thanh Toán ("&amp;L$3&amp;")'!$F:$F"),INDIRECT("'Thanh Toán ("&amp;L$3&amp;")'!$D:$D"),'Tổng Đơn'!$B46),0)</f>
        <v>0</v>
      </c>
      <c r="M46" s="2">
        <f ca="1">IFERROR(SUMIFS(INDIRECT("'Thanh Toán ("&amp;M$3&amp;")'!$F:$F"),INDIRECT("'Thanh Toán ("&amp;M$3&amp;")'!$D:$D"),'Tổng Đơn'!$B46),0)</f>
        <v>0</v>
      </c>
      <c r="N46" s="2">
        <f ca="1">IFERROR(SUMIFS(INDIRECT("'Thanh Toán ("&amp;N$3&amp;")'!$F:$F"),INDIRECT("'Thanh Toán ("&amp;N$3&amp;")'!$D:$D"),'Tổng Đơn'!$B46),0)</f>
        <v>0</v>
      </c>
      <c r="O46" s="2">
        <f ca="1">IFERROR(SUMIFS(INDIRECT("'Thanh Toán ("&amp;O$3&amp;")'!$F:$F"),INDIRECT("'Thanh Toán ("&amp;O$3&amp;")'!$D:$D"),'Tổng Đơn'!$B46),0)</f>
        <v>0</v>
      </c>
      <c r="P46" s="2">
        <f ca="1">IFERROR(SUMIFS(INDIRECT("'Thanh Toán ("&amp;P$3&amp;")'!$F:$F"),INDIRECT("'Thanh Toán ("&amp;P$3&amp;")'!$D:$D"),'Tổng Đơn'!$B46),0)</f>
        <v>0</v>
      </c>
      <c r="Q46" s="2">
        <f ca="1">IFERROR(SUMIFS(INDIRECT("'Thanh Toán ("&amp;Q$3&amp;")'!$F:$F"),INDIRECT("'Thanh Toán ("&amp;Q$3&amp;")'!$D:$D"),'Tổng Đơn'!$B46),0)</f>
        <v>0</v>
      </c>
      <c r="R46" s="2">
        <f ca="1">IFERROR(SUMIFS(INDIRECT("'Thanh Toán ("&amp;R$3&amp;")'!$F:$F"),INDIRECT("'Thanh Toán ("&amp;R$3&amp;")'!$D:$D"),'Tổng Đơn'!$B46),0)</f>
        <v>0</v>
      </c>
      <c r="S46" s="2">
        <f ca="1">IFERROR(SUMIFS(INDIRECT("'Thanh Toán ("&amp;S$3&amp;")'!$F:$F"),INDIRECT("'Thanh Toán ("&amp;S$3&amp;")'!$D:$D"),'Tổng Đơn'!$B46),0)</f>
        <v>0</v>
      </c>
      <c r="T46" s="2">
        <f ca="1">IFERROR(SUMIFS(INDIRECT("'Thanh Toán ("&amp;T$3&amp;")'!$F:$F"),INDIRECT("'Thanh Toán ("&amp;T$3&amp;")'!$D:$D"),'Tổng Đơn'!$B46),0)</f>
        <v>0</v>
      </c>
      <c r="U46" s="2">
        <f ca="1">IFERROR(SUMIFS(INDIRECT("'Thanh Toán ("&amp;U$3&amp;")'!$F:$F"),INDIRECT("'Thanh Toán ("&amp;U$3&amp;")'!$D:$D"),'Tổng Đơn'!$B46),0)</f>
        <v>3</v>
      </c>
      <c r="V46" s="2">
        <f ca="1">IFERROR(SUMIFS(INDIRECT("'Thanh Toán ("&amp;V$3&amp;")'!$F:$F"),INDIRECT("'Thanh Toán ("&amp;V$3&amp;")'!$D:$D"),'Tổng Đơn'!$B46),0)</f>
        <v>0</v>
      </c>
      <c r="W46" s="2">
        <f ca="1">IFERROR(SUMIFS(INDIRECT("'Thanh Toán ("&amp;W$3&amp;")'!$F:$F"),INDIRECT("'Thanh Toán ("&amp;W$3&amp;")'!$D:$D"),'Tổng Đơn'!$B46),0)</f>
        <v>0</v>
      </c>
      <c r="X46" s="2">
        <f ca="1">IFERROR(SUMIFS(INDIRECT("'Thanh Toán ("&amp;X$3&amp;")'!$F:$F"),INDIRECT("'Thanh Toán ("&amp;X$3&amp;")'!$D:$D"),'Tổng Đơn'!$B46),0)</f>
        <v>0</v>
      </c>
      <c r="Y46" s="2">
        <f ca="1">IFERROR(SUMIFS(INDIRECT("'Thanh Toán ("&amp;Y$3&amp;")'!$F:$F"),INDIRECT("'Thanh Toán ("&amp;Y$3&amp;")'!$D:$D"),'Tổng Đơn'!$B46),0)</f>
        <v>0</v>
      </c>
      <c r="Z46" s="2">
        <f ca="1">IFERROR(SUMIFS(INDIRECT("'Thanh Toán ("&amp;Z$3&amp;")'!$F:$F"),INDIRECT("'Thanh Toán ("&amp;Z$3&amp;")'!$D:$D"),'Tổng Đơn'!$B46),0)</f>
        <v>0</v>
      </c>
      <c r="AA46" s="2">
        <f ca="1">IFERROR(SUMIFS(INDIRECT("'Thanh Toán ("&amp;AA$3&amp;")'!$F:$F"),INDIRECT("'Thanh Toán ("&amp;AA$3&amp;")'!$D:$D"),'Tổng Đơn'!$B46),0)</f>
        <v>0</v>
      </c>
      <c r="AB46" s="2">
        <f ca="1">IFERROR(SUMIFS(INDIRECT("'Thanh Toán ("&amp;AB$3&amp;")'!$F:$F"),INDIRECT("'Thanh Toán ("&amp;AB$3&amp;")'!$D:$D"),'Tổng Đơn'!$B46),0)</f>
        <v>0</v>
      </c>
      <c r="AC46" s="2">
        <f ca="1">IFERROR(SUMIFS(INDIRECT("'Thanh Toán ("&amp;AC$3&amp;")'!$F:$F"),INDIRECT("'Thanh Toán ("&amp;AC$3&amp;")'!$D:$D"),'Tổng Đơn'!$B46),0)</f>
        <v>0</v>
      </c>
      <c r="AD46" s="2">
        <f ca="1">IFERROR(SUMIFS(INDIRECT("'Thanh Toán ("&amp;AD$3&amp;")'!$F:$F"),INDIRECT("'Thanh Toán ("&amp;AD$3&amp;")'!$D:$D"),'Tổng Đơn'!$B46),0)</f>
        <v>0</v>
      </c>
      <c r="AE46" s="2">
        <f ca="1">IFERROR(SUMIFS(INDIRECT("'Thanh Toán ("&amp;AE$3&amp;")'!$F:$F"),INDIRECT("'Thanh Toán ("&amp;AE$3&amp;")'!$D:$D"),'Tổng Đơn'!$B46),0)</f>
        <v>0</v>
      </c>
      <c r="AF46" s="2">
        <f ca="1">IFERROR(SUMIFS(INDIRECT("'Thanh Toán ("&amp;AF$3&amp;")'!$F:$F"),INDIRECT("'Thanh Toán ("&amp;AF$3&amp;")'!$D:$D"),'Tổng Đơn'!$B46),0)</f>
        <v>0</v>
      </c>
      <c r="AG46" s="2">
        <f ca="1">IFERROR(SUMIFS(INDIRECT("'Thanh Toán ("&amp;AG$3&amp;")'!$F:$F"),INDIRECT("'Thanh Toán ("&amp;AG$3&amp;")'!$D:$D"),'Tổng Đơn'!$B46),0)</f>
        <v>0</v>
      </c>
      <c r="AH46" s="2">
        <f ca="1">IFERROR(SUMIFS(INDIRECT("'Thanh Toán ("&amp;AH$3&amp;")'!$F:$F"),INDIRECT("'Thanh Toán ("&amp;AH$3&amp;")'!$D:$D"),'Tổng Đơn'!$B46),0)</f>
        <v>0</v>
      </c>
      <c r="AI46" s="2">
        <f ca="1">IFERROR(SUMIFS(INDIRECT("'Thanh Toán ("&amp;AI$3&amp;")'!$F:$F"),INDIRECT("'Thanh Toán ("&amp;AI$3&amp;")'!$D:$D"),'Tổng Đơn'!$B46),0)</f>
        <v>0</v>
      </c>
      <c r="AJ46" s="2">
        <f ca="1">IFERROR(SUMIFS(INDIRECT("'Thanh Toán ("&amp;AJ$3&amp;")'!$F:$F"),INDIRECT("'Thanh Toán ("&amp;AJ$3&amp;")'!$D:$D"),'Tổng Đơn'!$B46),0)</f>
        <v>0</v>
      </c>
      <c r="AK46" s="2">
        <f ca="1">IFERROR(SUMIFS(INDIRECT("'Thanh Toán ("&amp;AK$3&amp;")'!$F:$F"),INDIRECT("'Thanh Toán ("&amp;AK$3&amp;")'!$D:$D"),'Tổng Đơn'!$B46),0)</f>
        <v>0</v>
      </c>
      <c r="AL46" s="2">
        <f ca="1">IFERROR(SUMIFS(INDIRECT("'Thanh Toán ("&amp;AL$3&amp;")'!$F:$F"),INDIRECT("'Thanh Toán ("&amp;AL$3&amp;")'!$D:$D"),'Tổng Đơn'!$B46),0)</f>
        <v>0</v>
      </c>
      <c r="AM46" s="2">
        <f ca="1">IFERROR(SUMIFS(INDIRECT("'Thanh Toán ("&amp;AM$3&amp;")'!$F:$F"),INDIRECT("'Thanh Toán ("&amp;AM$3&amp;")'!$D:$D"),'Tổng Đơn'!$B46),0)</f>
        <v>0</v>
      </c>
      <c r="AN46" s="2">
        <f ca="1">IFERROR(SUMIFS(INDIRECT("'Thanh Toán ("&amp;AN$3&amp;")'!$F:$F"),INDIRECT("'Thanh Toán ("&amp;AN$3&amp;")'!$D:$D"),'Tổng Đơn'!$B46),0)</f>
        <v>0</v>
      </c>
      <c r="AO46" s="2">
        <f ca="1">IFERROR(SUMIFS(INDIRECT("'Thanh Toán ("&amp;AO$3&amp;")'!$F:$F"),INDIRECT("'Thanh Toán ("&amp;AO$3&amp;")'!$D:$D"),'Tổng Đơn'!$B46),0)</f>
        <v>0</v>
      </c>
      <c r="AP46" s="2">
        <f ca="1">IFERROR(SUMIFS(INDIRECT("'Thanh Toán ("&amp;AP$3&amp;")'!$F:$F"),INDIRECT("'Thanh Toán ("&amp;AP$3&amp;")'!$D:$D"),'Tổng Đơn'!$B46),0)</f>
        <v>0</v>
      </c>
      <c r="AQ46" s="2">
        <f ca="1">IFERROR(SUMIFS(INDIRECT("'Thanh Toán ("&amp;AQ$3&amp;")'!$F:$F"),INDIRECT("'Thanh Toán ("&amp;AQ$3&amp;")'!$D:$D"),'Tổng Đơn'!$B46),0)</f>
        <v>0</v>
      </c>
      <c r="AR46" s="2">
        <f ca="1">IFERROR(SUMIFS(INDIRECT("'Thanh Toán ("&amp;AR$3&amp;")'!$F:$F"),INDIRECT("'Thanh Toán ("&amp;AR$3&amp;")'!$D:$D"),'Tổng Đơn'!$B46),0)</f>
        <v>0</v>
      </c>
      <c r="AS46" s="2">
        <f ca="1">IFERROR(SUMIFS(INDIRECT("'Thanh Toán ("&amp;AS$3&amp;")'!$F:$F"),INDIRECT("'Thanh Toán ("&amp;AS$3&amp;")'!$D:$D"),'Tổng Đơn'!$B46),0)</f>
        <v>0</v>
      </c>
      <c r="AT46" s="2">
        <f ca="1">IFERROR(SUMIFS(INDIRECT("'Thanh Toán ("&amp;AT$3&amp;")'!$F:$F"),INDIRECT("'Thanh Toán ("&amp;AT$3&amp;")'!$D:$D"),'Tổng Đơn'!$B46),0)</f>
        <v>0</v>
      </c>
      <c r="AU46" s="2">
        <f ca="1">IFERROR(SUMIFS(INDIRECT("'Thanh Toán ("&amp;AU$3&amp;")'!$F:$F"),INDIRECT("'Thanh Toán ("&amp;AU$3&amp;")'!$D:$D"),'Tổng Đơn'!$B46),0)</f>
        <v>0</v>
      </c>
      <c r="AV46" s="2">
        <f ca="1">IFERROR(SUMIFS(INDIRECT("'Thanh Toán ("&amp;AV$3&amp;")'!$F:$F"),INDIRECT("'Thanh Toán ("&amp;AV$3&amp;")'!$D:$D"),'Tổng Đơn'!$B46),0)</f>
        <v>0</v>
      </c>
      <c r="AW46" s="2">
        <f ca="1">IFERROR(SUMIFS(INDIRECT("'Thanh Toán ("&amp;AW$3&amp;")'!$F:$F"),INDIRECT("'Thanh Toán ("&amp;AW$3&amp;")'!$D:$D"),'Tổng Đơn'!$B46),0)</f>
        <v>0</v>
      </c>
      <c r="AX46" s="2">
        <f ca="1">IFERROR(SUMIFS(INDIRECT("'Thanh Toán ("&amp;AX$3&amp;")'!$F:$F"),INDIRECT("'Thanh Toán ("&amp;AX$3&amp;")'!$D:$D"),'Tổng Đơn'!$B46),0)</f>
        <v>0</v>
      </c>
      <c r="AY46" s="2">
        <f ca="1">IFERROR(SUMIFS(INDIRECT("'Thanh Toán ("&amp;AY$3&amp;")'!$F:$F"),INDIRECT("'Thanh Toán ("&amp;AY$3&amp;")'!$D:$D"),'Tổng Đơn'!$B46),0)</f>
        <v>0</v>
      </c>
      <c r="AZ46" s="2">
        <f ca="1">IFERROR(SUMIFS(INDIRECT("'Thanh Toán ("&amp;AZ$3&amp;")'!$F:$F"),INDIRECT("'Thanh Toán ("&amp;AZ$3&amp;")'!$D:$D"),'Tổng Đơn'!$B46),0)</f>
        <v>0</v>
      </c>
      <c r="BA46" s="2">
        <f ca="1">IFERROR(SUMIFS(INDIRECT("'Thanh Toán ("&amp;BA$3&amp;")'!$F:$F"),INDIRECT("'Thanh Toán ("&amp;BA$3&amp;")'!$D:$D"),'Tổng Đơn'!$B46),0)</f>
        <v>0</v>
      </c>
      <c r="BB46" s="2">
        <f ca="1">IFERROR(SUMIFS(INDIRECT("'Thanh Toán ("&amp;BB$3&amp;")'!$F:$F"),INDIRECT("'Thanh Toán ("&amp;BB$3&amp;")'!$D:$D"),'Tổng Đơn'!$B46),0)</f>
        <v>0</v>
      </c>
      <c r="BC46" s="2">
        <f ca="1">IFERROR(SUMIFS(INDIRECT("'Thanh Toán ("&amp;BC$3&amp;")'!$F:$F"),INDIRECT("'Thanh Toán ("&amp;BC$3&amp;")'!$D:$D"),'Tổng Đơn'!$B46),0)</f>
        <v>0</v>
      </c>
    </row>
    <row r="47" spans="1:55" ht="18" customHeight="1" x14ac:dyDescent="0.3">
      <c r="A47" s="160">
        <v>37</v>
      </c>
      <c r="B47" s="161" t="s">
        <v>177</v>
      </c>
      <c r="C47" s="160" t="s">
        <v>83</v>
      </c>
      <c r="D47" s="162">
        <f>VLOOKUP($C47,Sheet1!$C$8:$D$80,2,0)</f>
        <v>28000</v>
      </c>
      <c r="E47" s="163">
        <v>0.5</v>
      </c>
      <c r="F47" s="164">
        <f t="shared" ca="1" si="13"/>
        <v>14</v>
      </c>
      <c r="G47" s="165">
        <f>IFERROR(VLOOKUP($B47,Gà!C:J,8,0),IFERROR(VLOOKUP($B47,TVP!C:J,7,0),IFERROR(VLOOKUP($B47,Kitkool!C:J,8,0),IFERROR(VLOOKUP($B47,'La Cusina'!C:J,8,0),VLOOKUP($B47,'Quốc Nhân'!C:J,8,0)))))</f>
        <v>21.466401452544289</v>
      </c>
      <c r="H47" s="166">
        <f t="shared" ca="1" si="10"/>
        <v>91470.379664379929</v>
      </c>
      <c r="I47" s="186">
        <f t="shared" si="11"/>
        <v>0.30436394110580278</v>
      </c>
      <c r="J47" s="166">
        <f t="shared" ca="1" si="12"/>
        <v>300529.62033562007</v>
      </c>
      <c r="K47" s="38"/>
      <c r="L47" s="2">
        <f ca="1">IFERROR(SUMIFS(INDIRECT("'Thanh Toán ("&amp;L$3&amp;")'!$F:$F"),INDIRECT("'Thanh Toán ("&amp;L$3&amp;")'!$D:$D"),'Tổng Đơn'!$B47),0)</f>
        <v>0</v>
      </c>
      <c r="M47" s="2">
        <f ca="1">IFERROR(SUMIFS(INDIRECT("'Thanh Toán ("&amp;M$3&amp;")'!$F:$F"),INDIRECT("'Thanh Toán ("&amp;M$3&amp;")'!$D:$D"),'Tổng Đơn'!$B47),0)</f>
        <v>8</v>
      </c>
      <c r="N47" s="2">
        <f ca="1">IFERROR(SUMIFS(INDIRECT("'Thanh Toán ("&amp;N$3&amp;")'!$F:$F"),INDIRECT("'Thanh Toán ("&amp;N$3&amp;")'!$D:$D"),'Tổng Đơn'!$B47),0)</f>
        <v>0</v>
      </c>
      <c r="O47" s="2">
        <f ca="1">IFERROR(SUMIFS(INDIRECT("'Thanh Toán ("&amp;O$3&amp;")'!$F:$F"),INDIRECT("'Thanh Toán ("&amp;O$3&amp;")'!$D:$D"),'Tổng Đơn'!$B47),0)</f>
        <v>0</v>
      </c>
      <c r="P47" s="2">
        <f ca="1">IFERROR(SUMIFS(INDIRECT("'Thanh Toán ("&amp;P$3&amp;")'!$F:$F"),INDIRECT("'Thanh Toán ("&amp;P$3&amp;")'!$D:$D"),'Tổng Đơn'!$B47),0)</f>
        <v>0</v>
      </c>
      <c r="Q47" s="2">
        <f ca="1">IFERROR(SUMIFS(INDIRECT("'Thanh Toán ("&amp;Q$3&amp;")'!$F:$F"),INDIRECT("'Thanh Toán ("&amp;Q$3&amp;")'!$D:$D"),'Tổng Đơn'!$B47),0)</f>
        <v>0</v>
      </c>
      <c r="R47" s="2">
        <f ca="1">IFERROR(SUMIFS(INDIRECT("'Thanh Toán ("&amp;R$3&amp;")'!$F:$F"),INDIRECT("'Thanh Toán ("&amp;R$3&amp;")'!$D:$D"),'Tổng Đơn'!$B47),0)</f>
        <v>0</v>
      </c>
      <c r="S47" s="2">
        <f ca="1">IFERROR(SUMIFS(INDIRECT("'Thanh Toán ("&amp;S$3&amp;")'!$F:$F"),INDIRECT("'Thanh Toán ("&amp;S$3&amp;")'!$D:$D"),'Tổng Đơn'!$B47),0)</f>
        <v>6</v>
      </c>
      <c r="T47" s="2">
        <f ca="1">IFERROR(SUMIFS(INDIRECT("'Thanh Toán ("&amp;T$3&amp;")'!$F:$F"),INDIRECT("'Thanh Toán ("&amp;T$3&amp;")'!$D:$D"),'Tổng Đơn'!$B47),0)</f>
        <v>0</v>
      </c>
      <c r="U47" s="2">
        <f ca="1">IFERROR(SUMIFS(INDIRECT("'Thanh Toán ("&amp;U$3&amp;")'!$F:$F"),INDIRECT("'Thanh Toán ("&amp;U$3&amp;")'!$D:$D"),'Tổng Đơn'!$B47),0)</f>
        <v>0</v>
      </c>
      <c r="V47" s="2">
        <f ca="1">IFERROR(SUMIFS(INDIRECT("'Thanh Toán ("&amp;V$3&amp;")'!$F:$F"),INDIRECT("'Thanh Toán ("&amp;V$3&amp;")'!$D:$D"),'Tổng Đơn'!$B47),0)</f>
        <v>0</v>
      </c>
      <c r="W47" s="2">
        <f ca="1">IFERROR(SUMIFS(INDIRECT("'Thanh Toán ("&amp;W$3&amp;")'!$F:$F"),INDIRECT("'Thanh Toán ("&amp;W$3&amp;")'!$D:$D"),'Tổng Đơn'!$B47),0)</f>
        <v>0</v>
      </c>
      <c r="X47" s="2">
        <f ca="1">IFERROR(SUMIFS(INDIRECT("'Thanh Toán ("&amp;X$3&amp;")'!$F:$F"),INDIRECT("'Thanh Toán ("&amp;X$3&amp;")'!$D:$D"),'Tổng Đơn'!$B47),0)</f>
        <v>0</v>
      </c>
      <c r="Y47" s="2">
        <f ca="1">IFERROR(SUMIFS(INDIRECT("'Thanh Toán ("&amp;Y$3&amp;")'!$F:$F"),INDIRECT("'Thanh Toán ("&amp;Y$3&amp;")'!$D:$D"),'Tổng Đơn'!$B47),0)</f>
        <v>0</v>
      </c>
      <c r="Z47" s="2">
        <f ca="1">IFERROR(SUMIFS(INDIRECT("'Thanh Toán ("&amp;Z$3&amp;")'!$F:$F"),INDIRECT("'Thanh Toán ("&amp;Z$3&amp;")'!$D:$D"),'Tổng Đơn'!$B47),0)</f>
        <v>0</v>
      </c>
      <c r="AA47" s="2">
        <f ca="1">IFERROR(SUMIFS(INDIRECT("'Thanh Toán ("&amp;AA$3&amp;")'!$F:$F"),INDIRECT("'Thanh Toán ("&amp;AA$3&amp;")'!$D:$D"),'Tổng Đơn'!$B47),0)</f>
        <v>0</v>
      </c>
      <c r="AB47" s="2">
        <f ca="1">IFERROR(SUMIFS(INDIRECT("'Thanh Toán ("&amp;AB$3&amp;")'!$F:$F"),INDIRECT("'Thanh Toán ("&amp;AB$3&amp;")'!$D:$D"),'Tổng Đơn'!$B47),0)</f>
        <v>0</v>
      </c>
      <c r="AC47" s="2">
        <f ca="1">IFERROR(SUMIFS(INDIRECT("'Thanh Toán ("&amp;AC$3&amp;")'!$F:$F"),INDIRECT("'Thanh Toán ("&amp;AC$3&amp;")'!$D:$D"),'Tổng Đơn'!$B47),0)</f>
        <v>0</v>
      </c>
      <c r="AD47" s="2">
        <f ca="1">IFERROR(SUMIFS(INDIRECT("'Thanh Toán ("&amp;AD$3&amp;")'!$F:$F"),INDIRECT("'Thanh Toán ("&amp;AD$3&amp;")'!$D:$D"),'Tổng Đơn'!$B47),0)</f>
        <v>0</v>
      </c>
      <c r="AE47" s="2">
        <f ca="1">IFERROR(SUMIFS(INDIRECT("'Thanh Toán ("&amp;AE$3&amp;")'!$F:$F"),INDIRECT("'Thanh Toán ("&amp;AE$3&amp;")'!$D:$D"),'Tổng Đơn'!$B47),0)</f>
        <v>0</v>
      </c>
      <c r="AF47" s="2">
        <f ca="1">IFERROR(SUMIFS(INDIRECT("'Thanh Toán ("&amp;AF$3&amp;")'!$F:$F"),INDIRECT("'Thanh Toán ("&amp;AF$3&amp;")'!$D:$D"),'Tổng Đơn'!$B47),0)</f>
        <v>0</v>
      </c>
      <c r="AG47" s="2">
        <f ca="1">IFERROR(SUMIFS(INDIRECT("'Thanh Toán ("&amp;AG$3&amp;")'!$F:$F"),INDIRECT("'Thanh Toán ("&amp;AG$3&amp;")'!$D:$D"),'Tổng Đơn'!$B47),0)</f>
        <v>0</v>
      </c>
      <c r="AH47" s="2">
        <f ca="1">IFERROR(SUMIFS(INDIRECT("'Thanh Toán ("&amp;AH$3&amp;")'!$F:$F"),INDIRECT("'Thanh Toán ("&amp;AH$3&amp;")'!$D:$D"),'Tổng Đơn'!$B47),0)</f>
        <v>0</v>
      </c>
      <c r="AI47" s="2">
        <f ca="1">IFERROR(SUMIFS(INDIRECT("'Thanh Toán ("&amp;AI$3&amp;")'!$F:$F"),INDIRECT("'Thanh Toán ("&amp;AI$3&amp;")'!$D:$D"),'Tổng Đơn'!$B47),0)</f>
        <v>0</v>
      </c>
      <c r="AJ47" s="2">
        <f ca="1">IFERROR(SUMIFS(INDIRECT("'Thanh Toán ("&amp;AJ$3&amp;")'!$F:$F"),INDIRECT("'Thanh Toán ("&amp;AJ$3&amp;")'!$D:$D"),'Tổng Đơn'!$B47),0)</f>
        <v>0</v>
      </c>
      <c r="AK47" s="2">
        <f ca="1">IFERROR(SUMIFS(INDIRECT("'Thanh Toán ("&amp;AK$3&amp;")'!$F:$F"),INDIRECT("'Thanh Toán ("&amp;AK$3&amp;")'!$D:$D"),'Tổng Đơn'!$B47),0)</f>
        <v>0</v>
      </c>
      <c r="AL47" s="2">
        <f ca="1">IFERROR(SUMIFS(INDIRECT("'Thanh Toán ("&amp;AL$3&amp;")'!$F:$F"),INDIRECT("'Thanh Toán ("&amp;AL$3&amp;")'!$D:$D"),'Tổng Đơn'!$B47),0)</f>
        <v>0</v>
      </c>
      <c r="AM47" s="2">
        <f ca="1">IFERROR(SUMIFS(INDIRECT("'Thanh Toán ("&amp;AM$3&amp;")'!$F:$F"),INDIRECT("'Thanh Toán ("&amp;AM$3&amp;")'!$D:$D"),'Tổng Đơn'!$B47),0)</f>
        <v>0</v>
      </c>
      <c r="AN47" s="2">
        <f ca="1">IFERROR(SUMIFS(INDIRECT("'Thanh Toán ("&amp;AN$3&amp;")'!$F:$F"),INDIRECT("'Thanh Toán ("&amp;AN$3&amp;")'!$D:$D"),'Tổng Đơn'!$B47),0)</f>
        <v>0</v>
      </c>
      <c r="AO47" s="2">
        <f ca="1">IFERROR(SUMIFS(INDIRECT("'Thanh Toán ("&amp;AO$3&amp;")'!$F:$F"),INDIRECT("'Thanh Toán ("&amp;AO$3&amp;")'!$D:$D"),'Tổng Đơn'!$B47),0)</f>
        <v>0</v>
      </c>
      <c r="AP47" s="2">
        <f ca="1">IFERROR(SUMIFS(INDIRECT("'Thanh Toán ("&amp;AP$3&amp;")'!$F:$F"),INDIRECT("'Thanh Toán ("&amp;AP$3&amp;")'!$D:$D"),'Tổng Đơn'!$B47),0)</f>
        <v>0</v>
      </c>
      <c r="AQ47" s="2">
        <f ca="1">IFERROR(SUMIFS(INDIRECT("'Thanh Toán ("&amp;AQ$3&amp;")'!$F:$F"),INDIRECT("'Thanh Toán ("&amp;AQ$3&amp;")'!$D:$D"),'Tổng Đơn'!$B47),0)</f>
        <v>0</v>
      </c>
      <c r="AR47" s="2">
        <f ca="1">IFERROR(SUMIFS(INDIRECT("'Thanh Toán ("&amp;AR$3&amp;")'!$F:$F"),INDIRECT("'Thanh Toán ("&amp;AR$3&amp;")'!$D:$D"),'Tổng Đơn'!$B47),0)</f>
        <v>0</v>
      </c>
      <c r="AS47" s="2">
        <f ca="1">IFERROR(SUMIFS(INDIRECT("'Thanh Toán ("&amp;AS$3&amp;")'!$F:$F"),INDIRECT("'Thanh Toán ("&amp;AS$3&amp;")'!$D:$D"),'Tổng Đơn'!$B47),0)</f>
        <v>0</v>
      </c>
      <c r="AT47" s="2">
        <f ca="1">IFERROR(SUMIFS(INDIRECT("'Thanh Toán ("&amp;AT$3&amp;")'!$F:$F"),INDIRECT("'Thanh Toán ("&amp;AT$3&amp;")'!$D:$D"),'Tổng Đơn'!$B47),0)</f>
        <v>0</v>
      </c>
      <c r="AU47" s="2">
        <f ca="1">IFERROR(SUMIFS(INDIRECT("'Thanh Toán ("&amp;AU$3&amp;")'!$F:$F"),INDIRECT("'Thanh Toán ("&amp;AU$3&amp;")'!$D:$D"),'Tổng Đơn'!$B47),0)</f>
        <v>0</v>
      </c>
      <c r="AV47" s="2">
        <f ca="1">IFERROR(SUMIFS(INDIRECT("'Thanh Toán ("&amp;AV$3&amp;")'!$F:$F"),INDIRECT("'Thanh Toán ("&amp;AV$3&amp;")'!$D:$D"),'Tổng Đơn'!$B47),0)</f>
        <v>0</v>
      </c>
      <c r="AW47" s="2">
        <f ca="1">IFERROR(SUMIFS(INDIRECT("'Thanh Toán ("&amp;AW$3&amp;")'!$F:$F"),INDIRECT("'Thanh Toán ("&amp;AW$3&amp;")'!$D:$D"),'Tổng Đơn'!$B47),0)</f>
        <v>0</v>
      </c>
      <c r="AX47" s="2">
        <f ca="1">IFERROR(SUMIFS(INDIRECT("'Thanh Toán ("&amp;AX$3&amp;")'!$F:$F"),INDIRECT("'Thanh Toán ("&amp;AX$3&amp;")'!$D:$D"),'Tổng Đơn'!$B47),0)</f>
        <v>0</v>
      </c>
      <c r="AY47" s="2">
        <f ca="1">IFERROR(SUMIFS(INDIRECT("'Thanh Toán ("&amp;AY$3&amp;")'!$F:$F"),INDIRECT("'Thanh Toán ("&amp;AY$3&amp;")'!$D:$D"),'Tổng Đơn'!$B47),0)</f>
        <v>0</v>
      </c>
      <c r="AZ47" s="2">
        <f ca="1">IFERROR(SUMIFS(INDIRECT("'Thanh Toán ("&amp;AZ$3&amp;")'!$F:$F"),INDIRECT("'Thanh Toán ("&amp;AZ$3&amp;")'!$D:$D"),'Tổng Đơn'!$B47),0)</f>
        <v>0</v>
      </c>
      <c r="BA47" s="2">
        <f ca="1">IFERROR(SUMIFS(INDIRECT("'Thanh Toán ("&amp;BA$3&amp;")'!$F:$F"),INDIRECT("'Thanh Toán ("&amp;BA$3&amp;")'!$D:$D"),'Tổng Đơn'!$B47),0)</f>
        <v>0</v>
      </c>
      <c r="BB47" s="2">
        <f ca="1">IFERROR(SUMIFS(INDIRECT("'Thanh Toán ("&amp;BB$3&amp;")'!$F:$F"),INDIRECT("'Thanh Toán ("&amp;BB$3&amp;")'!$D:$D"),'Tổng Đơn'!$B47),0)</f>
        <v>0</v>
      </c>
      <c r="BC47" s="2">
        <f ca="1">IFERROR(SUMIFS(INDIRECT("'Thanh Toán ("&amp;BC$3&amp;")'!$F:$F"),INDIRECT("'Thanh Toán ("&amp;BC$3&amp;")'!$D:$D"),'Tổng Đơn'!$B47),0)</f>
        <v>0</v>
      </c>
    </row>
    <row r="48" spans="1:55" ht="18" customHeight="1" x14ac:dyDescent="0.3">
      <c r="A48" s="167">
        <v>38</v>
      </c>
      <c r="B48" s="161" t="s">
        <v>178</v>
      </c>
      <c r="C48" s="167" t="s">
        <v>84</v>
      </c>
      <c r="D48" s="162">
        <f>VLOOKUP($C48,Sheet1!$C$8:$D$80,2,0)</f>
        <v>26000</v>
      </c>
      <c r="E48" s="163">
        <v>0.5</v>
      </c>
      <c r="F48" s="164">
        <f t="shared" ca="1" si="13"/>
        <v>28</v>
      </c>
      <c r="G48" s="165">
        <f>IFERROR(VLOOKUP($B48,Gà!C:J,8,0),IFERROR(VLOOKUP($B48,TVP!C:J,7,0),IFERROR(VLOOKUP($B48,Kitkool!C:J,8,0),IFERROR(VLOOKUP($B48,'La Cusina'!C:J,8,0),VLOOKUP($B48,'Quốc Nhân'!C:J,8,0)))))</f>
        <v>23.434662255042184</v>
      </c>
      <c r="H48" s="166">
        <f t="shared" ca="1" si="10"/>
        <v>71829.456858818812</v>
      </c>
      <c r="I48" s="186">
        <f t="shared" si="11"/>
        <v>0.10946766448088496</v>
      </c>
      <c r="J48" s="166">
        <f t="shared" ca="1" si="12"/>
        <v>656170.54314118112</v>
      </c>
      <c r="K48" s="38"/>
      <c r="L48" s="2">
        <f ca="1">IFERROR(SUMIFS(INDIRECT("'Thanh Toán ("&amp;L$3&amp;")'!$F:$F"),INDIRECT("'Thanh Toán ("&amp;L$3&amp;")'!$D:$D"),'Tổng Đơn'!$B48),0)</f>
        <v>0</v>
      </c>
      <c r="M48" s="2">
        <f ca="1">IFERROR(SUMIFS(INDIRECT("'Thanh Toán ("&amp;M$3&amp;")'!$F:$F"),INDIRECT("'Thanh Toán ("&amp;M$3&amp;")'!$D:$D"),'Tổng Đơn'!$B48),0)</f>
        <v>0</v>
      </c>
      <c r="N48" s="2">
        <f ca="1">IFERROR(SUMIFS(INDIRECT("'Thanh Toán ("&amp;N$3&amp;")'!$F:$F"),INDIRECT("'Thanh Toán ("&amp;N$3&amp;")'!$D:$D"),'Tổng Đơn'!$B48),0)</f>
        <v>0</v>
      </c>
      <c r="O48" s="2">
        <f ca="1">IFERROR(SUMIFS(INDIRECT("'Thanh Toán ("&amp;O$3&amp;")'!$F:$F"),INDIRECT("'Thanh Toán ("&amp;O$3&amp;")'!$D:$D"),'Tổng Đơn'!$B48),0)</f>
        <v>0</v>
      </c>
      <c r="P48" s="2">
        <f ca="1">IFERROR(SUMIFS(INDIRECT("'Thanh Toán ("&amp;P$3&amp;")'!$F:$F"),INDIRECT("'Thanh Toán ("&amp;P$3&amp;")'!$D:$D"),'Tổng Đơn'!$B48),0)</f>
        <v>10</v>
      </c>
      <c r="Q48" s="2">
        <f ca="1">IFERROR(SUMIFS(INDIRECT("'Thanh Toán ("&amp;Q$3&amp;")'!$F:$F"),INDIRECT("'Thanh Toán ("&amp;Q$3&amp;")'!$D:$D"),'Tổng Đơn'!$B48),0)</f>
        <v>1</v>
      </c>
      <c r="R48" s="2">
        <f ca="1">IFERROR(SUMIFS(INDIRECT("'Thanh Toán ("&amp;R$3&amp;")'!$F:$F"),INDIRECT("'Thanh Toán ("&amp;R$3&amp;")'!$D:$D"),'Tổng Đơn'!$B48),0)</f>
        <v>3</v>
      </c>
      <c r="S48" s="2">
        <f ca="1">IFERROR(SUMIFS(INDIRECT("'Thanh Toán ("&amp;S$3&amp;")'!$F:$F"),INDIRECT("'Thanh Toán ("&amp;S$3&amp;")'!$D:$D"),'Tổng Đơn'!$B48),0)</f>
        <v>0</v>
      </c>
      <c r="T48" s="2">
        <f ca="1">IFERROR(SUMIFS(INDIRECT("'Thanh Toán ("&amp;T$3&amp;")'!$F:$F"),INDIRECT("'Thanh Toán ("&amp;T$3&amp;")'!$D:$D"),'Tổng Đơn'!$B48),0)</f>
        <v>10</v>
      </c>
      <c r="U48" s="2">
        <f ca="1">IFERROR(SUMIFS(INDIRECT("'Thanh Toán ("&amp;U$3&amp;")'!$F:$F"),INDIRECT("'Thanh Toán ("&amp;U$3&amp;")'!$D:$D"),'Tổng Đơn'!$B48),0)</f>
        <v>0</v>
      </c>
      <c r="V48" s="2">
        <f ca="1">IFERROR(SUMIFS(INDIRECT("'Thanh Toán ("&amp;V$3&amp;")'!$F:$F"),INDIRECT("'Thanh Toán ("&amp;V$3&amp;")'!$D:$D"),'Tổng Đơn'!$B48),0)</f>
        <v>0</v>
      </c>
      <c r="W48" s="2">
        <f ca="1">IFERROR(SUMIFS(INDIRECT("'Thanh Toán ("&amp;W$3&amp;")'!$F:$F"),INDIRECT("'Thanh Toán ("&amp;W$3&amp;")'!$D:$D"),'Tổng Đơn'!$B48),0)</f>
        <v>0</v>
      </c>
      <c r="X48" s="2">
        <f ca="1">IFERROR(SUMIFS(INDIRECT("'Thanh Toán ("&amp;X$3&amp;")'!$F:$F"),INDIRECT("'Thanh Toán ("&amp;X$3&amp;")'!$D:$D"),'Tổng Đơn'!$B48),0)</f>
        <v>0</v>
      </c>
      <c r="Y48" s="2">
        <f ca="1">IFERROR(SUMIFS(INDIRECT("'Thanh Toán ("&amp;Y$3&amp;")'!$F:$F"),INDIRECT("'Thanh Toán ("&amp;Y$3&amp;")'!$D:$D"),'Tổng Đơn'!$B48),0)</f>
        <v>0</v>
      </c>
      <c r="Z48" s="2">
        <f ca="1">IFERROR(SUMIFS(INDIRECT("'Thanh Toán ("&amp;Z$3&amp;")'!$F:$F"),INDIRECT("'Thanh Toán ("&amp;Z$3&amp;")'!$D:$D"),'Tổng Đơn'!$B48),0)</f>
        <v>1</v>
      </c>
      <c r="AA48" s="2">
        <f ca="1">IFERROR(SUMIFS(INDIRECT("'Thanh Toán ("&amp;AA$3&amp;")'!$F:$F"),INDIRECT("'Thanh Toán ("&amp;AA$3&amp;")'!$D:$D"),'Tổng Đơn'!$B48),0)</f>
        <v>0</v>
      </c>
      <c r="AB48" s="2">
        <f ca="1">IFERROR(SUMIFS(INDIRECT("'Thanh Toán ("&amp;AB$3&amp;")'!$F:$F"),INDIRECT("'Thanh Toán ("&amp;AB$3&amp;")'!$D:$D"),'Tổng Đơn'!$B48),0)</f>
        <v>0</v>
      </c>
      <c r="AC48" s="2">
        <f ca="1">IFERROR(SUMIFS(INDIRECT("'Thanh Toán ("&amp;AC$3&amp;")'!$F:$F"),INDIRECT("'Thanh Toán ("&amp;AC$3&amp;")'!$D:$D"),'Tổng Đơn'!$B48),0)</f>
        <v>0</v>
      </c>
      <c r="AD48" s="2">
        <f ca="1">IFERROR(SUMIFS(INDIRECT("'Thanh Toán ("&amp;AD$3&amp;")'!$F:$F"),INDIRECT("'Thanh Toán ("&amp;AD$3&amp;")'!$D:$D"),'Tổng Đơn'!$B48),0)</f>
        <v>1</v>
      </c>
      <c r="AE48" s="2">
        <f ca="1">IFERROR(SUMIFS(INDIRECT("'Thanh Toán ("&amp;AE$3&amp;")'!$F:$F"),INDIRECT("'Thanh Toán ("&amp;AE$3&amp;")'!$D:$D"),'Tổng Đơn'!$B48),0)</f>
        <v>0</v>
      </c>
      <c r="AF48" s="2">
        <f ca="1">IFERROR(SUMIFS(INDIRECT("'Thanh Toán ("&amp;AF$3&amp;")'!$F:$F"),INDIRECT("'Thanh Toán ("&amp;AF$3&amp;")'!$D:$D"),'Tổng Đơn'!$B48),0)</f>
        <v>0</v>
      </c>
      <c r="AG48" s="2">
        <f ca="1">IFERROR(SUMIFS(INDIRECT("'Thanh Toán ("&amp;AG$3&amp;")'!$F:$F"),INDIRECT("'Thanh Toán ("&amp;AG$3&amp;")'!$D:$D"),'Tổng Đơn'!$B48),0)</f>
        <v>0</v>
      </c>
      <c r="AH48" s="2">
        <f ca="1">IFERROR(SUMIFS(INDIRECT("'Thanh Toán ("&amp;AH$3&amp;")'!$F:$F"),INDIRECT("'Thanh Toán ("&amp;AH$3&amp;")'!$D:$D"),'Tổng Đơn'!$B48),0)</f>
        <v>0</v>
      </c>
      <c r="AI48" s="2">
        <f ca="1">IFERROR(SUMIFS(INDIRECT("'Thanh Toán ("&amp;AI$3&amp;")'!$F:$F"),INDIRECT("'Thanh Toán ("&amp;AI$3&amp;")'!$D:$D"),'Tổng Đơn'!$B48),0)</f>
        <v>2</v>
      </c>
      <c r="AJ48" s="2">
        <f ca="1">IFERROR(SUMIFS(INDIRECT("'Thanh Toán ("&amp;AJ$3&amp;")'!$F:$F"),INDIRECT("'Thanh Toán ("&amp;AJ$3&amp;")'!$D:$D"),'Tổng Đơn'!$B48),0)</f>
        <v>0</v>
      </c>
      <c r="AK48" s="2">
        <f ca="1">IFERROR(SUMIFS(INDIRECT("'Thanh Toán ("&amp;AK$3&amp;")'!$F:$F"),INDIRECT("'Thanh Toán ("&amp;AK$3&amp;")'!$D:$D"),'Tổng Đơn'!$B48),0)</f>
        <v>0</v>
      </c>
      <c r="AL48" s="2">
        <f ca="1">IFERROR(SUMIFS(INDIRECT("'Thanh Toán ("&amp;AL$3&amp;")'!$F:$F"),INDIRECT("'Thanh Toán ("&amp;AL$3&amp;")'!$D:$D"),'Tổng Đơn'!$B48),0)</f>
        <v>0</v>
      </c>
      <c r="AM48" s="2">
        <f ca="1">IFERROR(SUMIFS(INDIRECT("'Thanh Toán ("&amp;AM$3&amp;")'!$F:$F"),INDIRECT("'Thanh Toán ("&amp;AM$3&amp;")'!$D:$D"),'Tổng Đơn'!$B48),0)</f>
        <v>0</v>
      </c>
      <c r="AN48" s="2">
        <f ca="1">IFERROR(SUMIFS(INDIRECT("'Thanh Toán ("&amp;AN$3&amp;")'!$F:$F"),INDIRECT("'Thanh Toán ("&amp;AN$3&amp;")'!$D:$D"),'Tổng Đơn'!$B48),0)</f>
        <v>0</v>
      </c>
      <c r="AO48" s="2">
        <f ca="1">IFERROR(SUMIFS(INDIRECT("'Thanh Toán ("&amp;AO$3&amp;")'!$F:$F"),INDIRECT("'Thanh Toán ("&amp;AO$3&amp;")'!$D:$D"),'Tổng Đơn'!$B48),0)</f>
        <v>0</v>
      </c>
      <c r="AP48" s="2">
        <f ca="1">IFERROR(SUMIFS(INDIRECT("'Thanh Toán ("&amp;AP$3&amp;")'!$F:$F"),INDIRECT("'Thanh Toán ("&amp;AP$3&amp;")'!$D:$D"),'Tổng Đơn'!$B48),0)</f>
        <v>0</v>
      </c>
      <c r="AQ48" s="2">
        <f ca="1">IFERROR(SUMIFS(INDIRECT("'Thanh Toán ("&amp;AQ$3&amp;")'!$F:$F"),INDIRECT("'Thanh Toán ("&amp;AQ$3&amp;")'!$D:$D"),'Tổng Đơn'!$B48),0)</f>
        <v>0</v>
      </c>
      <c r="AR48" s="2">
        <f ca="1">IFERROR(SUMIFS(INDIRECT("'Thanh Toán ("&amp;AR$3&amp;")'!$F:$F"),INDIRECT("'Thanh Toán ("&amp;AR$3&amp;")'!$D:$D"),'Tổng Đơn'!$B48),0)</f>
        <v>0</v>
      </c>
      <c r="AS48" s="2">
        <f ca="1">IFERROR(SUMIFS(INDIRECT("'Thanh Toán ("&amp;AS$3&amp;")'!$F:$F"),INDIRECT("'Thanh Toán ("&amp;AS$3&amp;")'!$D:$D"),'Tổng Đơn'!$B48),0)</f>
        <v>0</v>
      </c>
      <c r="AT48" s="2">
        <f ca="1">IFERROR(SUMIFS(INDIRECT("'Thanh Toán ("&amp;AT$3&amp;")'!$F:$F"),INDIRECT("'Thanh Toán ("&amp;AT$3&amp;")'!$D:$D"),'Tổng Đơn'!$B48),0)</f>
        <v>0</v>
      </c>
      <c r="AU48" s="2">
        <f ca="1">IFERROR(SUMIFS(INDIRECT("'Thanh Toán ("&amp;AU$3&amp;")'!$F:$F"),INDIRECT("'Thanh Toán ("&amp;AU$3&amp;")'!$D:$D"),'Tổng Đơn'!$B48),0)</f>
        <v>0</v>
      </c>
      <c r="AV48" s="2">
        <f ca="1">IFERROR(SUMIFS(INDIRECT("'Thanh Toán ("&amp;AV$3&amp;")'!$F:$F"),INDIRECT("'Thanh Toán ("&amp;AV$3&amp;")'!$D:$D"),'Tổng Đơn'!$B48),0)</f>
        <v>0</v>
      </c>
      <c r="AW48" s="2">
        <f ca="1">IFERROR(SUMIFS(INDIRECT("'Thanh Toán ("&amp;AW$3&amp;")'!$F:$F"),INDIRECT("'Thanh Toán ("&amp;AW$3&amp;")'!$D:$D"),'Tổng Đơn'!$B48),0)</f>
        <v>0</v>
      </c>
      <c r="AX48" s="2">
        <f ca="1">IFERROR(SUMIFS(INDIRECT("'Thanh Toán ("&amp;AX$3&amp;")'!$F:$F"),INDIRECT("'Thanh Toán ("&amp;AX$3&amp;")'!$D:$D"),'Tổng Đơn'!$B48),0)</f>
        <v>0</v>
      </c>
      <c r="AY48" s="2">
        <f ca="1">IFERROR(SUMIFS(INDIRECT("'Thanh Toán ("&amp;AY$3&amp;")'!$F:$F"),INDIRECT("'Thanh Toán ("&amp;AY$3&amp;")'!$D:$D"),'Tổng Đơn'!$B48),0)</f>
        <v>0</v>
      </c>
      <c r="AZ48" s="2">
        <f ca="1">IFERROR(SUMIFS(INDIRECT("'Thanh Toán ("&amp;AZ$3&amp;")'!$F:$F"),INDIRECT("'Thanh Toán ("&amp;AZ$3&amp;")'!$D:$D"),'Tổng Đơn'!$B48),0)</f>
        <v>0</v>
      </c>
      <c r="BA48" s="2">
        <f ca="1">IFERROR(SUMIFS(INDIRECT("'Thanh Toán ("&amp;BA$3&amp;")'!$F:$F"),INDIRECT("'Thanh Toán ("&amp;BA$3&amp;")'!$D:$D"),'Tổng Đơn'!$B48),0)</f>
        <v>0</v>
      </c>
      <c r="BB48" s="2">
        <f ca="1">IFERROR(SUMIFS(INDIRECT("'Thanh Toán ("&amp;BB$3&amp;")'!$F:$F"),INDIRECT("'Thanh Toán ("&amp;BB$3&amp;")'!$D:$D"),'Tổng Đơn'!$B48),0)</f>
        <v>0</v>
      </c>
      <c r="BC48" s="2">
        <f ca="1">IFERROR(SUMIFS(INDIRECT("'Thanh Toán ("&amp;BC$3&amp;")'!$F:$F"),INDIRECT("'Thanh Toán ("&amp;BC$3&amp;")'!$D:$D"),'Tổng Đơn'!$B48),0)</f>
        <v>0</v>
      </c>
    </row>
    <row r="49" spans="1:55" ht="18" customHeight="1" x14ac:dyDescent="0.3">
      <c r="A49" s="160">
        <v>39</v>
      </c>
      <c r="B49" s="161" t="s">
        <v>179</v>
      </c>
      <c r="C49" s="160" t="s">
        <v>85</v>
      </c>
      <c r="D49" s="162">
        <f>VLOOKUP($C49,Sheet1!$C$8:$D$80,2,0)</f>
        <v>37000</v>
      </c>
      <c r="E49" s="163">
        <v>0.5</v>
      </c>
      <c r="F49" s="164">
        <f t="shared" ca="1" si="13"/>
        <v>12</v>
      </c>
      <c r="G49" s="165">
        <f>IFERROR(VLOOKUP($B49,Gà!C:J,8,0),IFERROR(VLOOKUP($B49,TVP!C:J,7,0),IFERROR(VLOOKUP($B49,Kitkool!C:J,8,0),IFERROR(VLOOKUP($B49,'La Cusina'!C:J,8,0),VLOOKUP($B49,'Quốc Nhân'!C:J,8,0)))))</f>
        <v>33.036097799797595</v>
      </c>
      <c r="H49" s="166">
        <f t="shared" ca="1" si="10"/>
        <v>47566.82640242888</v>
      </c>
      <c r="I49" s="186">
        <f t="shared" si="11"/>
        <v>0.11998699798699275</v>
      </c>
      <c r="J49" s="166">
        <f t="shared" ca="1" si="12"/>
        <v>396433.17359757109</v>
      </c>
      <c r="K49" s="38"/>
      <c r="L49" s="2">
        <f ca="1">IFERROR(SUMIFS(INDIRECT("'Thanh Toán ("&amp;L$3&amp;")'!$F:$F"),INDIRECT("'Thanh Toán ("&amp;L$3&amp;")'!$D:$D"),'Tổng Đơn'!$B49),0)</f>
        <v>4</v>
      </c>
      <c r="M49" s="2">
        <f ca="1">IFERROR(SUMIFS(INDIRECT("'Thanh Toán ("&amp;M$3&amp;")'!$F:$F"),INDIRECT("'Thanh Toán ("&amp;M$3&amp;")'!$D:$D"),'Tổng Đơn'!$B49),0)</f>
        <v>0</v>
      </c>
      <c r="N49" s="2">
        <f ca="1">IFERROR(SUMIFS(INDIRECT("'Thanh Toán ("&amp;N$3&amp;")'!$F:$F"),INDIRECT("'Thanh Toán ("&amp;N$3&amp;")'!$D:$D"),'Tổng Đơn'!$B49),0)</f>
        <v>0</v>
      </c>
      <c r="O49" s="2">
        <f ca="1">IFERROR(SUMIFS(INDIRECT("'Thanh Toán ("&amp;O$3&amp;")'!$F:$F"),INDIRECT("'Thanh Toán ("&amp;O$3&amp;")'!$D:$D"),'Tổng Đơn'!$B49),0)</f>
        <v>0</v>
      </c>
      <c r="P49" s="2">
        <f ca="1">IFERROR(SUMIFS(INDIRECT("'Thanh Toán ("&amp;P$3&amp;")'!$F:$F"),INDIRECT("'Thanh Toán ("&amp;P$3&amp;")'!$D:$D"),'Tổng Đơn'!$B49),0)</f>
        <v>0</v>
      </c>
      <c r="Q49" s="2">
        <f ca="1">IFERROR(SUMIFS(INDIRECT("'Thanh Toán ("&amp;Q$3&amp;")'!$F:$F"),INDIRECT("'Thanh Toán ("&amp;Q$3&amp;")'!$D:$D"),'Tổng Đơn'!$B49),0)</f>
        <v>0</v>
      </c>
      <c r="R49" s="2">
        <f ca="1">IFERROR(SUMIFS(INDIRECT("'Thanh Toán ("&amp;R$3&amp;")'!$F:$F"),INDIRECT("'Thanh Toán ("&amp;R$3&amp;")'!$D:$D"),'Tổng Đơn'!$B49),0)</f>
        <v>0</v>
      </c>
      <c r="S49" s="2">
        <f ca="1">IFERROR(SUMIFS(INDIRECT("'Thanh Toán ("&amp;S$3&amp;")'!$F:$F"),INDIRECT("'Thanh Toán ("&amp;S$3&amp;")'!$D:$D"),'Tổng Đơn'!$B49),0)</f>
        <v>0</v>
      </c>
      <c r="T49" s="2">
        <f ca="1">IFERROR(SUMIFS(INDIRECT("'Thanh Toán ("&amp;T$3&amp;")'!$F:$F"),INDIRECT("'Thanh Toán ("&amp;T$3&amp;")'!$D:$D"),'Tổng Đơn'!$B49),0)</f>
        <v>0</v>
      </c>
      <c r="U49" s="2">
        <f ca="1">IFERROR(SUMIFS(INDIRECT("'Thanh Toán ("&amp;U$3&amp;")'!$F:$F"),INDIRECT("'Thanh Toán ("&amp;U$3&amp;")'!$D:$D"),'Tổng Đơn'!$B49),0)</f>
        <v>0</v>
      </c>
      <c r="V49" s="2">
        <f ca="1">IFERROR(SUMIFS(INDIRECT("'Thanh Toán ("&amp;V$3&amp;")'!$F:$F"),INDIRECT("'Thanh Toán ("&amp;V$3&amp;")'!$D:$D"),'Tổng Đơn'!$B49),0)</f>
        <v>0</v>
      </c>
      <c r="W49" s="2">
        <f ca="1">IFERROR(SUMIFS(INDIRECT("'Thanh Toán ("&amp;W$3&amp;")'!$F:$F"),INDIRECT("'Thanh Toán ("&amp;W$3&amp;")'!$D:$D"),'Tổng Đơn'!$B49),0)</f>
        <v>0</v>
      </c>
      <c r="X49" s="2">
        <f ca="1">IFERROR(SUMIFS(INDIRECT("'Thanh Toán ("&amp;X$3&amp;")'!$F:$F"),INDIRECT("'Thanh Toán ("&amp;X$3&amp;")'!$D:$D"),'Tổng Đơn'!$B49),0)</f>
        <v>0</v>
      </c>
      <c r="Y49" s="2">
        <f ca="1">IFERROR(SUMIFS(INDIRECT("'Thanh Toán ("&amp;Y$3&amp;")'!$F:$F"),INDIRECT("'Thanh Toán ("&amp;Y$3&amp;")'!$D:$D"),'Tổng Đơn'!$B49),0)</f>
        <v>0</v>
      </c>
      <c r="Z49" s="2">
        <f ca="1">IFERROR(SUMIFS(INDIRECT("'Thanh Toán ("&amp;Z$3&amp;")'!$F:$F"),INDIRECT("'Thanh Toán ("&amp;Z$3&amp;")'!$D:$D"),'Tổng Đơn'!$B49),0)</f>
        <v>0</v>
      </c>
      <c r="AA49" s="2">
        <f ca="1">IFERROR(SUMIFS(INDIRECT("'Thanh Toán ("&amp;AA$3&amp;")'!$F:$F"),INDIRECT("'Thanh Toán ("&amp;AA$3&amp;")'!$D:$D"),'Tổng Đơn'!$B49),0)</f>
        <v>0</v>
      </c>
      <c r="AB49" s="2">
        <f ca="1">IFERROR(SUMIFS(INDIRECT("'Thanh Toán ("&amp;AB$3&amp;")'!$F:$F"),INDIRECT("'Thanh Toán ("&amp;AB$3&amp;")'!$D:$D"),'Tổng Đơn'!$B49),0)</f>
        <v>0</v>
      </c>
      <c r="AC49" s="2">
        <f ca="1">IFERROR(SUMIFS(INDIRECT("'Thanh Toán ("&amp;AC$3&amp;")'!$F:$F"),INDIRECT("'Thanh Toán ("&amp;AC$3&amp;")'!$D:$D"),'Tổng Đơn'!$B49),0)</f>
        <v>0</v>
      </c>
      <c r="AD49" s="2">
        <f ca="1">IFERROR(SUMIFS(INDIRECT("'Thanh Toán ("&amp;AD$3&amp;")'!$F:$F"),INDIRECT("'Thanh Toán ("&amp;AD$3&amp;")'!$D:$D"),'Tổng Đơn'!$B49),0)</f>
        <v>0</v>
      </c>
      <c r="AE49" s="2">
        <f ca="1">IFERROR(SUMIFS(INDIRECT("'Thanh Toán ("&amp;AE$3&amp;")'!$F:$F"),INDIRECT("'Thanh Toán ("&amp;AE$3&amp;")'!$D:$D"),'Tổng Đơn'!$B49),0)</f>
        <v>0</v>
      </c>
      <c r="AF49" s="2">
        <f ca="1">IFERROR(SUMIFS(INDIRECT("'Thanh Toán ("&amp;AF$3&amp;")'!$F:$F"),INDIRECT("'Thanh Toán ("&amp;AF$3&amp;")'!$D:$D"),'Tổng Đơn'!$B49),0)</f>
        <v>5</v>
      </c>
      <c r="AG49" s="2">
        <f ca="1">IFERROR(SUMIFS(INDIRECT("'Thanh Toán ("&amp;AG$3&amp;")'!$F:$F"),INDIRECT("'Thanh Toán ("&amp;AG$3&amp;")'!$D:$D"),'Tổng Đơn'!$B49),0)</f>
        <v>0</v>
      </c>
      <c r="AH49" s="2">
        <f ca="1">IFERROR(SUMIFS(INDIRECT("'Thanh Toán ("&amp;AH$3&amp;")'!$F:$F"),INDIRECT("'Thanh Toán ("&amp;AH$3&amp;")'!$D:$D"),'Tổng Đơn'!$B49),0)</f>
        <v>1</v>
      </c>
      <c r="AI49" s="2">
        <f ca="1">IFERROR(SUMIFS(INDIRECT("'Thanh Toán ("&amp;AI$3&amp;")'!$F:$F"),INDIRECT("'Thanh Toán ("&amp;AI$3&amp;")'!$D:$D"),'Tổng Đơn'!$B49),0)</f>
        <v>2</v>
      </c>
      <c r="AJ49" s="2">
        <f ca="1">IFERROR(SUMIFS(INDIRECT("'Thanh Toán ("&amp;AJ$3&amp;")'!$F:$F"),INDIRECT("'Thanh Toán ("&amp;AJ$3&amp;")'!$D:$D"),'Tổng Đơn'!$B49),0)</f>
        <v>0</v>
      </c>
      <c r="AK49" s="2">
        <f ca="1">IFERROR(SUMIFS(INDIRECT("'Thanh Toán ("&amp;AK$3&amp;")'!$F:$F"),INDIRECT("'Thanh Toán ("&amp;AK$3&amp;")'!$D:$D"),'Tổng Đơn'!$B49),0)</f>
        <v>0</v>
      </c>
      <c r="AL49" s="2">
        <f ca="1">IFERROR(SUMIFS(INDIRECT("'Thanh Toán ("&amp;AL$3&amp;")'!$F:$F"),INDIRECT("'Thanh Toán ("&amp;AL$3&amp;")'!$D:$D"),'Tổng Đơn'!$B49),0)</f>
        <v>0</v>
      </c>
      <c r="AM49" s="2">
        <f ca="1">IFERROR(SUMIFS(INDIRECT("'Thanh Toán ("&amp;AM$3&amp;")'!$F:$F"),INDIRECT("'Thanh Toán ("&amp;AM$3&amp;")'!$D:$D"),'Tổng Đơn'!$B49),0)</f>
        <v>0</v>
      </c>
      <c r="AN49" s="2">
        <f ca="1">IFERROR(SUMIFS(INDIRECT("'Thanh Toán ("&amp;AN$3&amp;")'!$F:$F"),INDIRECT("'Thanh Toán ("&amp;AN$3&amp;")'!$D:$D"),'Tổng Đơn'!$B49),0)</f>
        <v>0</v>
      </c>
      <c r="AO49" s="2">
        <f ca="1">IFERROR(SUMIFS(INDIRECT("'Thanh Toán ("&amp;AO$3&amp;")'!$F:$F"),INDIRECT("'Thanh Toán ("&amp;AO$3&amp;")'!$D:$D"),'Tổng Đơn'!$B49),0)</f>
        <v>0</v>
      </c>
      <c r="AP49" s="2">
        <f ca="1">IFERROR(SUMIFS(INDIRECT("'Thanh Toán ("&amp;AP$3&amp;")'!$F:$F"),INDIRECT("'Thanh Toán ("&amp;AP$3&amp;")'!$D:$D"),'Tổng Đơn'!$B49),0)</f>
        <v>0</v>
      </c>
      <c r="AQ49" s="2">
        <f ca="1">IFERROR(SUMIFS(INDIRECT("'Thanh Toán ("&amp;AQ$3&amp;")'!$F:$F"),INDIRECT("'Thanh Toán ("&amp;AQ$3&amp;")'!$D:$D"),'Tổng Đơn'!$B49),0)</f>
        <v>0</v>
      </c>
      <c r="AR49" s="2">
        <f ca="1">IFERROR(SUMIFS(INDIRECT("'Thanh Toán ("&amp;AR$3&amp;")'!$F:$F"),INDIRECT("'Thanh Toán ("&amp;AR$3&amp;")'!$D:$D"),'Tổng Đơn'!$B49),0)</f>
        <v>0</v>
      </c>
      <c r="AS49" s="2">
        <f ca="1">IFERROR(SUMIFS(INDIRECT("'Thanh Toán ("&amp;AS$3&amp;")'!$F:$F"),INDIRECT("'Thanh Toán ("&amp;AS$3&amp;")'!$D:$D"),'Tổng Đơn'!$B49),0)</f>
        <v>0</v>
      </c>
      <c r="AT49" s="2">
        <f ca="1">IFERROR(SUMIFS(INDIRECT("'Thanh Toán ("&amp;AT$3&amp;")'!$F:$F"),INDIRECT("'Thanh Toán ("&amp;AT$3&amp;")'!$D:$D"),'Tổng Đơn'!$B49),0)</f>
        <v>0</v>
      </c>
      <c r="AU49" s="2">
        <f ca="1">IFERROR(SUMIFS(INDIRECT("'Thanh Toán ("&amp;AU$3&amp;")'!$F:$F"),INDIRECT("'Thanh Toán ("&amp;AU$3&amp;")'!$D:$D"),'Tổng Đơn'!$B49),0)</f>
        <v>0</v>
      </c>
      <c r="AV49" s="2">
        <f ca="1">IFERROR(SUMIFS(INDIRECT("'Thanh Toán ("&amp;AV$3&amp;")'!$F:$F"),INDIRECT("'Thanh Toán ("&amp;AV$3&amp;")'!$D:$D"),'Tổng Đơn'!$B49),0)</f>
        <v>0</v>
      </c>
      <c r="AW49" s="2">
        <f ca="1">IFERROR(SUMIFS(INDIRECT("'Thanh Toán ("&amp;AW$3&amp;")'!$F:$F"),INDIRECT("'Thanh Toán ("&amp;AW$3&amp;")'!$D:$D"),'Tổng Đơn'!$B49),0)</f>
        <v>0</v>
      </c>
      <c r="AX49" s="2">
        <f ca="1">IFERROR(SUMIFS(INDIRECT("'Thanh Toán ("&amp;AX$3&amp;")'!$F:$F"),INDIRECT("'Thanh Toán ("&amp;AX$3&amp;")'!$D:$D"),'Tổng Đơn'!$B49),0)</f>
        <v>0</v>
      </c>
      <c r="AY49" s="2">
        <f ca="1">IFERROR(SUMIFS(INDIRECT("'Thanh Toán ("&amp;AY$3&amp;")'!$F:$F"),INDIRECT("'Thanh Toán ("&amp;AY$3&amp;")'!$D:$D"),'Tổng Đơn'!$B49),0)</f>
        <v>0</v>
      </c>
      <c r="AZ49" s="2">
        <f ca="1">IFERROR(SUMIFS(INDIRECT("'Thanh Toán ("&amp;AZ$3&amp;")'!$F:$F"),INDIRECT("'Thanh Toán ("&amp;AZ$3&amp;")'!$D:$D"),'Tổng Đơn'!$B49),0)</f>
        <v>0</v>
      </c>
      <c r="BA49" s="2">
        <f ca="1">IFERROR(SUMIFS(INDIRECT("'Thanh Toán ("&amp;BA$3&amp;")'!$F:$F"),INDIRECT("'Thanh Toán ("&amp;BA$3&amp;")'!$D:$D"),'Tổng Đơn'!$B49),0)</f>
        <v>0</v>
      </c>
      <c r="BB49" s="2">
        <f ca="1">IFERROR(SUMIFS(INDIRECT("'Thanh Toán ("&amp;BB$3&amp;")'!$F:$F"),INDIRECT("'Thanh Toán ("&amp;BB$3&amp;")'!$D:$D"),'Tổng Đơn'!$B49),0)</f>
        <v>0</v>
      </c>
      <c r="BC49" s="2">
        <f ca="1">IFERROR(SUMIFS(INDIRECT("'Thanh Toán ("&amp;BC$3&amp;")'!$F:$F"),INDIRECT("'Thanh Toán ("&amp;BC$3&amp;")'!$D:$D"),'Tổng Đơn'!$B49),0)</f>
        <v>0</v>
      </c>
    </row>
    <row r="50" spans="1:55" ht="18" customHeight="1" x14ac:dyDescent="0.3">
      <c r="A50" s="167">
        <v>40</v>
      </c>
      <c r="B50" s="161" t="s">
        <v>180</v>
      </c>
      <c r="C50" s="167" t="s">
        <v>86</v>
      </c>
      <c r="D50" s="162">
        <f>VLOOKUP($C50,Sheet1!$C$8:$D$80,2,0)</f>
        <v>42000</v>
      </c>
      <c r="E50" s="163">
        <v>0.5</v>
      </c>
      <c r="F50" s="164">
        <f t="shared" ca="1" si="13"/>
        <v>2</v>
      </c>
      <c r="G50" s="165">
        <f>IFERROR(VLOOKUP($B50,Gà!C:J,8,0),IFERROR(VLOOKUP($B50,TVP!C:J,7,0),IFERROR(VLOOKUP($B50,Kitkool!C:J,8,0),IFERROR(VLOOKUP($B50,'La Cusina'!C:J,8,0),VLOOKUP($B50,'Quốc Nhân'!C:J,8,0)))))</f>
        <v>37.408522508594345</v>
      </c>
      <c r="H50" s="166">
        <f t="shared" ca="1" si="10"/>
        <v>9182.9549828113086</v>
      </c>
      <c r="I50" s="186">
        <f t="shared" si="11"/>
        <v>0.12273880879285715</v>
      </c>
      <c r="J50" s="166">
        <f t="shared" ca="1" si="12"/>
        <v>74817.045017188691</v>
      </c>
      <c r="K50" s="38"/>
      <c r="L50" s="2">
        <f ca="1">IFERROR(SUMIFS(INDIRECT("'Thanh Toán ("&amp;L$3&amp;")'!$F:$F"),INDIRECT("'Thanh Toán ("&amp;L$3&amp;")'!$D:$D"),'Tổng Đơn'!$B50),0)</f>
        <v>0</v>
      </c>
      <c r="M50" s="2">
        <f ca="1">IFERROR(SUMIFS(INDIRECT("'Thanh Toán ("&amp;M$3&amp;")'!$F:$F"),INDIRECT("'Thanh Toán ("&amp;M$3&amp;")'!$D:$D"),'Tổng Đơn'!$B50),0)</f>
        <v>0</v>
      </c>
      <c r="N50" s="2">
        <f ca="1">IFERROR(SUMIFS(INDIRECT("'Thanh Toán ("&amp;N$3&amp;")'!$F:$F"),INDIRECT("'Thanh Toán ("&amp;N$3&amp;")'!$D:$D"),'Tổng Đơn'!$B50),0)</f>
        <v>0</v>
      </c>
      <c r="O50" s="2">
        <f ca="1">IFERROR(SUMIFS(INDIRECT("'Thanh Toán ("&amp;O$3&amp;")'!$F:$F"),INDIRECT("'Thanh Toán ("&amp;O$3&amp;")'!$D:$D"),'Tổng Đơn'!$B50),0)</f>
        <v>0</v>
      </c>
      <c r="P50" s="2">
        <f ca="1">IFERROR(SUMIFS(INDIRECT("'Thanh Toán ("&amp;P$3&amp;")'!$F:$F"),INDIRECT("'Thanh Toán ("&amp;P$3&amp;")'!$D:$D"),'Tổng Đơn'!$B50),0)</f>
        <v>0</v>
      </c>
      <c r="Q50" s="2">
        <f ca="1">IFERROR(SUMIFS(INDIRECT("'Thanh Toán ("&amp;Q$3&amp;")'!$F:$F"),INDIRECT("'Thanh Toán ("&amp;Q$3&amp;")'!$D:$D"),'Tổng Đơn'!$B50),0)</f>
        <v>0</v>
      </c>
      <c r="R50" s="2">
        <f ca="1">IFERROR(SUMIFS(INDIRECT("'Thanh Toán ("&amp;R$3&amp;")'!$F:$F"),INDIRECT("'Thanh Toán ("&amp;R$3&amp;")'!$D:$D"),'Tổng Đơn'!$B50),0)</f>
        <v>2</v>
      </c>
      <c r="S50" s="2">
        <f ca="1">IFERROR(SUMIFS(INDIRECT("'Thanh Toán ("&amp;S$3&amp;")'!$F:$F"),INDIRECT("'Thanh Toán ("&amp;S$3&amp;")'!$D:$D"),'Tổng Đơn'!$B50),0)</f>
        <v>0</v>
      </c>
      <c r="T50" s="2">
        <f ca="1">IFERROR(SUMIFS(INDIRECT("'Thanh Toán ("&amp;T$3&amp;")'!$F:$F"),INDIRECT("'Thanh Toán ("&amp;T$3&amp;")'!$D:$D"),'Tổng Đơn'!$B50),0)</f>
        <v>0</v>
      </c>
      <c r="U50" s="2">
        <f ca="1">IFERROR(SUMIFS(INDIRECT("'Thanh Toán ("&amp;U$3&amp;")'!$F:$F"),INDIRECT("'Thanh Toán ("&amp;U$3&amp;")'!$D:$D"),'Tổng Đơn'!$B50),0)</f>
        <v>0</v>
      </c>
      <c r="V50" s="2">
        <f ca="1">IFERROR(SUMIFS(INDIRECT("'Thanh Toán ("&amp;V$3&amp;")'!$F:$F"),INDIRECT("'Thanh Toán ("&amp;V$3&amp;")'!$D:$D"),'Tổng Đơn'!$B50),0)</f>
        <v>0</v>
      </c>
      <c r="W50" s="2">
        <f ca="1">IFERROR(SUMIFS(INDIRECT("'Thanh Toán ("&amp;W$3&amp;")'!$F:$F"),INDIRECT("'Thanh Toán ("&amp;W$3&amp;")'!$D:$D"),'Tổng Đơn'!$B50),0)</f>
        <v>0</v>
      </c>
      <c r="X50" s="2">
        <f ca="1">IFERROR(SUMIFS(INDIRECT("'Thanh Toán ("&amp;X$3&amp;")'!$F:$F"),INDIRECT("'Thanh Toán ("&amp;X$3&amp;")'!$D:$D"),'Tổng Đơn'!$B50),0)</f>
        <v>0</v>
      </c>
      <c r="Y50" s="2">
        <f ca="1">IFERROR(SUMIFS(INDIRECT("'Thanh Toán ("&amp;Y$3&amp;")'!$F:$F"),INDIRECT("'Thanh Toán ("&amp;Y$3&amp;")'!$D:$D"),'Tổng Đơn'!$B50),0)</f>
        <v>0</v>
      </c>
      <c r="Z50" s="2">
        <f ca="1">IFERROR(SUMIFS(INDIRECT("'Thanh Toán ("&amp;Z$3&amp;")'!$F:$F"),INDIRECT("'Thanh Toán ("&amp;Z$3&amp;")'!$D:$D"),'Tổng Đơn'!$B50),0)</f>
        <v>0</v>
      </c>
      <c r="AA50" s="2">
        <f ca="1">IFERROR(SUMIFS(INDIRECT("'Thanh Toán ("&amp;AA$3&amp;")'!$F:$F"),INDIRECT("'Thanh Toán ("&amp;AA$3&amp;")'!$D:$D"),'Tổng Đơn'!$B50),0)</f>
        <v>0</v>
      </c>
      <c r="AB50" s="2">
        <f ca="1">IFERROR(SUMIFS(INDIRECT("'Thanh Toán ("&amp;AB$3&amp;")'!$F:$F"),INDIRECT("'Thanh Toán ("&amp;AB$3&amp;")'!$D:$D"),'Tổng Đơn'!$B50),0)</f>
        <v>0</v>
      </c>
      <c r="AC50" s="2">
        <f ca="1">IFERROR(SUMIFS(INDIRECT("'Thanh Toán ("&amp;AC$3&amp;")'!$F:$F"),INDIRECT("'Thanh Toán ("&amp;AC$3&amp;")'!$D:$D"),'Tổng Đơn'!$B50),0)</f>
        <v>0</v>
      </c>
      <c r="AD50" s="2">
        <f ca="1">IFERROR(SUMIFS(INDIRECT("'Thanh Toán ("&amp;AD$3&amp;")'!$F:$F"),INDIRECT("'Thanh Toán ("&amp;AD$3&amp;")'!$D:$D"),'Tổng Đơn'!$B50),0)</f>
        <v>0</v>
      </c>
      <c r="AE50" s="2">
        <f ca="1">IFERROR(SUMIFS(INDIRECT("'Thanh Toán ("&amp;AE$3&amp;")'!$F:$F"),INDIRECT("'Thanh Toán ("&amp;AE$3&amp;")'!$D:$D"),'Tổng Đơn'!$B50),0)</f>
        <v>0</v>
      </c>
      <c r="AF50" s="2">
        <f ca="1">IFERROR(SUMIFS(INDIRECT("'Thanh Toán ("&amp;AF$3&amp;")'!$F:$F"),INDIRECT("'Thanh Toán ("&amp;AF$3&amp;")'!$D:$D"),'Tổng Đơn'!$B50),0)</f>
        <v>0</v>
      </c>
      <c r="AG50" s="2">
        <f ca="1">IFERROR(SUMIFS(INDIRECT("'Thanh Toán ("&amp;AG$3&amp;")'!$F:$F"),INDIRECT("'Thanh Toán ("&amp;AG$3&amp;")'!$D:$D"),'Tổng Đơn'!$B50),0)</f>
        <v>0</v>
      </c>
      <c r="AH50" s="2">
        <f ca="1">IFERROR(SUMIFS(INDIRECT("'Thanh Toán ("&amp;AH$3&amp;")'!$F:$F"),INDIRECT("'Thanh Toán ("&amp;AH$3&amp;")'!$D:$D"),'Tổng Đơn'!$B50),0)</f>
        <v>0</v>
      </c>
      <c r="AI50" s="2">
        <f ca="1">IFERROR(SUMIFS(INDIRECT("'Thanh Toán ("&amp;AI$3&amp;")'!$F:$F"),INDIRECT("'Thanh Toán ("&amp;AI$3&amp;")'!$D:$D"),'Tổng Đơn'!$B50),0)</f>
        <v>0</v>
      </c>
      <c r="AJ50" s="2">
        <f ca="1">IFERROR(SUMIFS(INDIRECT("'Thanh Toán ("&amp;AJ$3&amp;")'!$F:$F"),INDIRECT("'Thanh Toán ("&amp;AJ$3&amp;")'!$D:$D"),'Tổng Đơn'!$B50),0)</f>
        <v>0</v>
      </c>
      <c r="AK50" s="2">
        <f ca="1">IFERROR(SUMIFS(INDIRECT("'Thanh Toán ("&amp;AK$3&amp;")'!$F:$F"),INDIRECT("'Thanh Toán ("&amp;AK$3&amp;")'!$D:$D"),'Tổng Đơn'!$B50),0)</f>
        <v>0</v>
      </c>
      <c r="AL50" s="2">
        <f ca="1">IFERROR(SUMIFS(INDIRECT("'Thanh Toán ("&amp;AL$3&amp;")'!$F:$F"),INDIRECT("'Thanh Toán ("&amp;AL$3&amp;")'!$D:$D"),'Tổng Đơn'!$B50),0)</f>
        <v>0</v>
      </c>
      <c r="AM50" s="2">
        <f ca="1">IFERROR(SUMIFS(INDIRECT("'Thanh Toán ("&amp;AM$3&amp;")'!$F:$F"),INDIRECT("'Thanh Toán ("&amp;AM$3&amp;")'!$D:$D"),'Tổng Đơn'!$B50),0)</f>
        <v>0</v>
      </c>
      <c r="AN50" s="2">
        <f ca="1">IFERROR(SUMIFS(INDIRECT("'Thanh Toán ("&amp;AN$3&amp;")'!$F:$F"),INDIRECT("'Thanh Toán ("&amp;AN$3&amp;")'!$D:$D"),'Tổng Đơn'!$B50),0)</f>
        <v>0</v>
      </c>
      <c r="AO50" s="2">
        <f ca="1">IFERROR(SUMIFS(INDIRECT("'Thanh Toán ("&amp;AO$3&amp;")'!$F:$F"),INDIRECT("'Thanh Toán ("&amp;AO$3&amp;")'!$D:$D"),'Tổng Đơn'!$B50),0)</f>
        <v>0</v>
      </c>
      <c r="AP50" s="2">
        <f ca="1">IFERROR(SUMIFS(INDIRECT("'Thanh Toán ("&amp;AP$3&amp;")'!$F:$F"),INDIRECT("'Thanh Toán ("&amp;AP$3&amp;")'!$D:$D"),'Tổng Đơn'!$B50),0)</f>
        <v>0</v>
      </c>
      <c r="AQ50" s="2">
        <f ca="1">IFERROR(SUMIFS(INDIRECT("'Thanh Toán ("&amp;AQ$3&amp;")'!$F:$F"),INDIRECT("'Thanh Toán ("&amp;AQ$3&amp;")'!$D:$D"),'Tổng Đơn'!$B50),0)</f>
        <v>0</v>
      </c>
      <c r="AR50" s="2">
        <f ca="1">IFERROR(SUMIFS(INDIRECT("'Thanh Toán ("&amp;AR$3&amp;")'!$F:$F"),INDIRECT("'Thanh Toán ("&amp;AR$3&amp;")'!$D:$D"),'Tổng Đơn'!$B50),0)</f>
        <v>0</v>
      </c>
      <c r="AS50" s="2">
        <f ca="1">IFERROR(SUMIFS(INDIRECT("'Thanh Toán ("&amp;AS$3&amp;")'!$F:$F"),INDIRECT("'Thanh Toán ("&amp;AS$3&amp;")'!$D:$D"),'Tổng Đơn'!$B50),0)</f>
        <v>0</v>
      </c>
      <c r="AT50" s="2">
        <f ca="1">IFERROR(SUMIFS(INDIRECT("'Thanh Toán ("&amp;AT$3&amp;")'!$F:$F"),INDIRECT("'Thanh Toán ("&amp;AT$3&amp;")'!$D:$D"),'Tổng Đơn'!$B50),0)</f>
        <v>0</v>
      </c>
      <c r="AU50" s="2">
        <f ca="1">IFERROR(SUMIFS(INDIRECT("'Thanh Toán ("&amp;AU$3&amp;")'!$F:$F"),INDIRECT("'Thanh Toán ("&amp;AU$3&amp;")'!$D:$D"),'Tổng Đơn'!$B50),0)</f>
        <v>0</v>
      </c>
      <c r="AV50" s="2">
        <f ca="1">IFERROR(SUMIFS(INDIRECT("'Thanh Toán ("&amp;AV$3&amp;")'!$F:$F"),INDIRECT("'Thanh Toán ("&amp;AV$3&amp;")'!$D:$D"),'Tổng Đơn'!$B50),0)</f>
        <v>0</v>
      </c>
      <c r="AW50" s="2">
        <f ca="1">IFERROR(SUMIFS(INDIRECT("'Thanh Toán ("&amp;AW$3&amp;")'!$F:$F"),INDIRECT("'Thanh Toán ("&amp;AW$3&amp;")'!$D:$D"),'Tổng Đơn'!$B50),0)</f>
        <v>0</v>
      </c>
      <c r="AX50" s="2">
        <f ca="1">IFERROR(SUMIFS(INDIRECT("'Thanh Toán ("&amp;AX$3&amp;")'!$F:$F"),INDIRECT("'Thanh Toán ("&amp;AX$3&amp;")'!$D:$D"),'Tổng Đơn'!$B50),0)</f>
        <v>0</v>
      </c>
      <c r="AY50" s="2">
        <f ca="1">IFERROR(SUMIFS(INDIRECT("'Thanh Toán ("&amp;AY$3&amp;")'!$F:$F"),INDIRECT("'Thanh Toán ("&amp;AY$3&amp;")'!$D:$D"),'Tổng Đơn'!$B50),0)</f>
        <v>0</v>
      </c>
      <c r="AZ50" s="2">
        <f ca="1">IFERROR(SUMIFS(INDIRECT("'Thanh Toán ("&amp;AZ$3&amp;")'!$F:$F"),INDIRECT("'Thanh Toán ("&amp;AZ$3&amp;")'!$D:$D"),'Tổng Đơn'!$B50),0)</f>
        <v>0</v>
      </c>
      <c r="BA50" s="2">
        <f ca="1">IFERROR(SUMIFS(INDIRECT("'Thanh Toán ("&amp;BA$3&amp;")'!$F:$F"),INDIRECT("'Thanh Toán ("&amp;BA$3&amp;")'!$D:$D"),'Tổng Đơn'!$B50),0)</f>
        <v>0</v>
      </c>
      <c r="BB50" s="2">
        <f ca="1">IFERROR(SUMIFS(INDIRECT("'Thanh Toán ("&amp;BB$3&amp;")'!$F:$F"),INDIRECT("'Thanh Toán ("&amp;BB$3&amp;")'!$D:$D"),'Tổng Đơn'!$B50),0)</f>
        <v>0</v>
      </c>
      <c r="BC50" s="2">
        <f ca="1">IFERROR(SUMIFS(INDIRECT("'Thanh Toán ("&amp;BC$3&amp;")'!$F:$F"),INDIRECT("'Thanh Toán ("&amp;BC$3&amp;")'!$D:$D"),'Tổng Đơn'!$B50),0)</f>
        <v>0</v>
      </c>
    </row>
    <row r="51" spans="1:55" ht="18" customHeight="1" x14ac:dyDescent="0.3">
      <c r="A51" s="160">
        <v>41</v>
      </c>
      <c r="B51" s="161" t="s">
        <v>181</v>
      </c>
      <c r="C51" s="160" t="s">
        <v>87</v>
      </c>
      <c r="D51" s="162">
        <f>VLOOKUP($C51,Sheet1!$C$8:$D$80,2,0)</f>
        <v>45000</v>
      </c>
      <c r="E51" s="163">
        <v>0.5</v>
      </c>
      <c r="F51" s="164">
        <f t="shared" ca="1" si="13"/>
        <v>19</v>
      </c>
      <c r="G51" s="165">
        <f>IFERROR(VLOOKUP($B51,Gà!C:J,8,0),IFERROR(VLOOKUP($B51,TVP!C:J,7,0),IFERROR(VLOOKUP($B51,Kitkool!C:J,8,0),IFERROR(VLOOKUP($B51,'La Cusina'!C:J,8,0),VLOOKUP($B51,'Quốc Nhân'!C:J,8,0)))))</f>
        <v>39.888786817093077</v>
      </c>
      <c r="H51" s="166">
        <f t="shared" ca="1" si="10"/>
        <v>97113.05047523159</v>
      </c>
      <c r="I51" s="186">
        <f t="shared" si="11"/>
        <v>0.12813659152743839</v>
      </c>
      <c r="J51" s="166">
        <f t="shared" ca="1" si="12"/>
        <v>757886.94952476851</v>
      </c>
      <c r="K51" s="38"/>
      <c r="L51" s="2">
        <f ca="1">IFERROR(SUMIFS(INDIRECT("'Thanh Toán ("&amp;L$3&amp;")'!$F:$F"),INDIRECT("'Thanh Toán ("&amp;L$3&amp;")'!$D:$D"),'Tổng Đơn'!$B51),0)</f>
        <v>0</v>
      </c>
      <c r="M51" s="2">
        <f ca="1">IFERROR(SUMIFS(INDIRECT("'Thanh Toán ("&amp;M$3&amp;")'!$F:$F"),INDIRECT("'Thanh Toán ("&amp;M$3&amp;")'!$D:$D"),'Tổng Đơn'!$B51),0)</f>
        <v>0</v>
      </c>
      <c r="N51" s="2">
        <f ca="1">IFERROR(SUMIFS(INDIRECT("'Thanh Toán ("&amp;N$3&amp;")'!$F:$F"),INDIRECT("'Thanh Toán ("&amp;N$3&amp;")'!$D:$D"),'Tổng Đơn'!$B51),0)</f>
        <v>0</v>
      </c>
      <c r="O51" s="2">
        <f ca="1">IFERROR(SUMIFS(INDIRECT("'Thanh Toán ("&amp;O$3&amp;")'!$F:$F"),INDIRECT("'Thanh Toán ("&amp;O$3&amp;")'!$D:$D"),'Tổng Đơn'!$B51),0)</f>
        <v>0</v>
      </c>
      <c r="P51" s="2">
        <f ca="1">IFERROR(SUMIFS(INDIRECT("'Thanh Toán ("&amp;P$3&amp;")'!$F:$F"),INDIRECT("'Thanh Toán ("&amp;P$3&amp;")'!$D:$D"),'Tổng Đơn'!$B51),0)</f>
        <v>6</v>
      </c>
      <c r="Q51" s="2">
        <f ca="1">IFERROR(SUMIFS(INDIRECT("'Thanh Toán ("&amp;Q$3&amp;")'!$F:$F"),INDIRECT("'Thanh Toán ("&amp;Q$3&amp;")'!$D:$D"),'Tổng Đơn'!$B51),0)</f>
        <v>0</v>
      </c>
      <c r="R51" s="2">
        <f ca="1">IFERROR(SUMIFS(INDIRECT("'Thanh Toán ("&amp;R$3&amp;")'!$F:$F"),INDIRECT("'Thanh Toán ("&amp;R$3&amp;")'!$D:$D"),'Tổng Đơn'!$B51),0)</f>
        <v>0</v>
      </c>
      <c r="S51" s="2">
        <f ca="1">IFERROR(SUMIFS(INDIRECT("'Thanh Toán ("&amp;S$3&amp;")'!$F:$F"),INDIRECT("'Thanh Toán ("&amp;S$3&amp;")'!$D:$D"),'Tổng Đơn'!$B51),0)</f>
        <v>0</v>
      </c>
      <c r="T51" s="2">
        <f ca="1">IFERROR(SUMIFS(INDIRECT("'Thanh Toán ("&amp;T$3&amp;")'!$F:$F"),INDIRECT("'Thanh Toán ("&amp;T$3&amp;")'!$D:$D"),'Tổng Đơn'!$B51),0)</f>
        <v>0</v>
      </c>
      <c r="U51" s="2">
        <f ca="1">IFERROR(SUMIFS(INDIRECT("'Thanh Toán ("&amp;U$3&amp;")'!$F:$F"),INDIRECT("'Thanh Toán ("&amp;U$3&amp;")'!$D:$D"),'Tổng Đơn'!$B51),0)</f>
        <v>0</v>
      </c>
      <c r="V51" s="2">
        <f ca="1">IFERROR(SUMIFS(INDIRECT("'Thanh Toán ("&amp;V$3&amp;")'!$F:$F"),INDIRECT("'Thanh Toán ("&amp;V$3&amp;")'!$D:$D"),'Tổng Đơn'!$B51),0)</f>
        <v>0</v>
      </c>
      <c r="W51" s="2">
        <f ca="1">IFERROR(SUMIFS(INDIRECT("'Thanh Toán ("&amp;W$3&amp;")'!$F:$F"),INDIRECT("'Thanh Toán ("&amp;W$3&amp;")'!$D:$D"),'Tổng Đơn'!$B51),0)</f>
        <v>0</v>
      </c>
      <c r="X51" s="2">
        <f ca="1">IFERROR(SUMIFS(INDIRECT("'Thanh Toán ("&amp;X$3&amp;")'!$F:$F"),INDIRECT("'Thanh Toán ("&amp;X$3&amp;")'!$D:$D"),'Tổng Đơn'!$B51),0)</f>
        <v>0</v>
      </c>
      <c r="Y51" s="2">
        <f ca="1">IFERROR(SUMIFS(INDIRECT("'Thanh Toán ("&amp;Y$3&amp;")'!$F:$F"),INDIRECT("'Thanh Toán ("&amp;Y$3&amp;")'!$D:$D"),'Tổng Đơn'!$B51),0)</f>
        <v>0</v>
      </c>
      <c r="Z51" s="2">
        <f ca="1">IFERROR(SUMIFS(INDIRECT("'Thanh Toán ("&amp;Z$3&amp;")'!$F:$F"),INDIRECT("'Thanh Toán ("&amp;Z$3&amp;")'!$D:$D"),'Tổng Đơn'!$B51),0)</f>
        <v>0</v>
      </c>
      <c r="AA51" s="2">
        <f ca="1">IFERROR(SUMIFS(INDIRECT("'Thanh Toán ("&amp;AA$3&amp;")'!$F:$F"),INDIRECT("'Thanh Toán ("&amp;AA$3&amp;")'!$D:$D"),'Tổng Đơn'!$B51),0)</f>
        <v>0</v>
      </c>
      <c r="AB51" s="2">
        <f ca="1">IFERROR(SUMIFS(INDIRECT("'Thanh Toán ("&amp;AB$3&amp;")'!$F:$F"),INDIRECT("'Thanh Toán ("&amp;AB$3&amp;")'!$D:$D"),'Tổng Đơn'!$B51),0)</f>
        <v>0</v>
      </c>
      <c r="AC51" s="2">
        <f ca="1">IFERROR(SUMIFS(INDIRECT("'Thanh Toán ("&amp;AC$3&amp;")'!$F:$F"),INDIRECT("'Thanh Toán ("&amp;AC$3&amp;")'!$D:$D"),'Tổng Đơn'!$B51),0)</f>
        <v>0</v>
      </c>
      <c r="AD51" s="2">
        <f ca="1">IFERROR(SUMIFS(INDIRECT("'Thanh Toán ("&amp;AD$3&amp;")'!$F:$F"),INDIRECT("'Thanh Toán ("&amp;AD$3&amp;")'!$D:$D"),'Tổng Đơn'!$B51),0)</f>
        <v>1</v>
      </c>
      <c r="AE51" s="2">
        <f ca="1">IFERROR(SUMIFS(INDIRECT("'Thanh Toán ("&amp;AE$3&amp;")'!$F:$F"),INDIRECT("'Thanh Toán ("&amp;AE$3&amp;")'!$D:$D"),'Tổng Đơn'!$B51),0)</f>
        <v>10</v>
      </c>
      <c r="AF51" s="2">
        <f ca="1">IFERROR(SUMIFS(INDIRECT("'Thanh Toán ("&amp;AF$3&amp;")'!$F:$F"),INDIRECT("'Thanh Toán ("&amp;AF$3&amp;")'!$D:$D"),'Tổng Đơn'!$B51),0)</f>
        <v>2</v>
      </c>
      <c r="AG51" s="2">
        <f ca="1">IFERROR(SUMIFS(INDIRECT("'Thanh Toán ("&amp;AG$3&amp;")'!$F:$F"),INDIRECT("'Thanh Toán ("&amp;AG$3&amp;")'!$D:$D"),'Tổng Đơn'!$B51),0)</f>
        <v>0</v>
      </c>
      <c r="AH51" s="2">
        <f ca="1">IFERROR(SUMIFS(INDIRECT("'Thanh Toán ("&amp;AH$3&amp;")'!$F:$F"),INDIRECT("'Thanh Toán ("&amp;AH$3&amp;")'!$D:$D"),'Tổng Đơn'!$B51),0)</f>
        <v>0</v>
      </c>
      <c r="AI51" s="2">
        <f ca="1">IFERROR(SUMIFS(INDIRECT("'Thanh Toán ("&amp;AI$3&amp;")'!$F:$F"),INDIRECT("'Thanh Toán ("&amp;AI$3&amp;")'!$D:$D"),'Tổng Đơn'!$B51),0)</f>
        <v>0</v>
      </c>
      <c r="AJ51" s="2">
        <f ca="1">IFERROR(SUMIFS(INDIRECT("'Thanh Toán ("&amp;AJ$3&amp;")'!$F:$F"),INDIRECT("'Thanh Toán ("&amp;AJ$3&amp;")'!$D:$D"),'Tổng Đơn'!$B51),0)</f>
        <v>0</v>
      </c>
      <c r="AK51" s="2">
        <f ca="1">IFERROR(SUMIFS(INDIRECT("'Thanh Toán ("&amp;AK$3&amp;")'!$F:$F"),INDIRECT("'Thanh Toán ("&amp;AK$3&amp;")'!$D:$D"),'Tổng Đơn'!$B51),0)</f>
        <v>0</v>
      </c>
      <c r="AL51" s="2">
        <f ca="1">IFERROR(SUMIFS(INDIRECT("'Thanh Toán ("&amp;AL$3&amp;")'!$F:$F"),INDIRECT("'Thanh Toán ("&amp;AL$3&amp;")'!$D:$D"),'Tổng Đơn'!$B51),0)</f>
        <v>0</v>
      </c>
      <c r="AM51" s="2">
        <f ca="1">IFERROR(SUMIFS(INDIRECT("'Thanh Toán ("&amp;AM$3&amp;")'!$F:$F"),INDIRECT("'Thanh Toán ("&amp;AM$3&amp;")'!$D:$D"),'Tổng Đơn'!$B51),0)</f>
        <v>0</v>
      </c>
      <c r="AN51" s="2">
        <f ca="1">IFERROR(SUMIFS(INDIRECT("'Thanh Toán ("&amp;AN$3&amp;")'!$F:$F"),INDIRECT("'Thanh Toán ("&amp;AN$3&amp;")'!$D:$D"),'Tổng Đơn'!$B51),0)</f>
        <v>0</v>
      </c>
      <c r="AO51" s="2">
        <f ca="1">IFERROR(SUMIFS(INDIRECT("'Thanh Toán ("&amp;AO$3&amp;")'!$F:$F"),INDIRECT("'Thanh Toán ("&amp;AO$3&amp;")'!$D:$D"),'Tổng Đơn'!$B51),0)</f>
        <v>0</v>
      </c>
      <c r="AP51" s="2">
        <f ca="1">IFERROR(SUMIFS(INDIRECT("'Thanh Toán ("&amp;AP$3&amp;")'!$F:$F"),INDIRECT("'Thanh Toán ("&amp;AP$3&amp;")'!$D:$D"),'Tổng Đơn'!$B51),0)</f>
        <v>0</v>
      </c>
      <c r="AQ51" s="2">
        <f ca="1">IFERROR(SUMIFS(INDIRECT("'Thanh Toán ("&amp;AQ$3&amp;")'!$F:$F"),INDIRECT("'Thanh Toán ("&amp;AQ$3&amp;")'!$D:$D"),'Tổng Đơn'!$B51),0)</f>
        <v>0</v>
      </c>
      <c r="AR51" s="2">
        <f ca="1">IFERROR(SUMIFS(INDIRECT("'Thanh Toán ("&amp;AR$3&amp;")'!$F:$F"),INDIRECT("'Thanh Toán ("&amp;AR$3&amp;")'!$D:$D"),'Tổng Đơn'!$B51),0)</f>
        <v>0</v>
      </c>
      <c r="AS51" s="2">
        <f ca="1">IFERROR(SUMIFS(INDIRECT("'Thanh Toán ("&amp;AS$3&amp;")'!$F:$F"),INDIRECT("'Thanh Toán ("&amp;AS$3&amp;")'!$D:$D"),'Tổng Đơn'!$B51),0)</f>
        <v>0</v>
      </c>
      <c r="AT51" s="2">
        <f ca="1">IFERROR(SUMIFS(INDIRECT("'Thanh Toán ("&amp;AT$3&amp;")'!$F:$F"),INDIRECT("'Thanh Toán ("&amp;AT$3&amp;")'!$D:$D"),'Tổng Đơn'!$B51),0)</f>
        <v>0</v>
      </c>
      <c r="AU51" s="2">
        <f ca="1">IFERROR(SUMIFS(INDIRECT("'Thanh Toán ("&amp;AU$3&amp;")'!$F:$F"),INDIRECT("'Thanh Toán ("&amp;AU$3&amp;")'!$D:$D"),'Tổng Đơn'!$B51),0)</f>
        <v>0</v>
      </c>
      <c r="AV51" s="2">
        <f ca="1">IFERROR(SUMIFS(INDIRECT("'Thanh Toán ("&amp;AV$3&amp;")'!$F:$F"),INDIRECT("'Thanh Toán ("&amp;AV$3&amp;")'!$D:$D"),'Tổng Đơn'!$B51),0)</f>
        <v>0</v>
      </c>
      <c r="AW51" s="2">
        <f ca="1">IFERROR(SUMIFS(INDIRECT("'Thanh Toán ("&amp;AW$3&amp;")'!$F:$F"),INDIRECT("'Thanh Toán ("&amp;AW$3&amp;")'!$D:$D"),'Tổng Đơn'!$B51),0)</f>
        <v>0</v>
      </c>
      <c r="AX51" s="2">
        <f ca="1">IFERROR(SUMIFS(INDIRECT("'Thanh Toán ("&amp;AX$3&amp;")'!$F:$F"),INDIRECT("'Thanh Toán ("&amp;AX$3&amp;")'!$D:$D"),'Tổng Đơn'!$B51),0)</f>
        <v>0</v>
      </c>
      <c r="AY51" s="2">
        <f ca="1">IFERROR(SUMIFS(INDIRECT("'Thanh Toán ("&amp;AY$3&amp;")'!$F:$F"),INDIRECT("'Thanh Toán ("&amp;AY$3&amp;")'!$D:$D"),'Tổng Đơn'!$B51),0)</f>
        <v>0</v>
      </c>
      <c r="AZ51" s="2">
        <f ca="1">IFERROR(SUMIFS(INDIRECT("'Thanh Toán ("&amp;AZ$3&amp;")'!$F:$F"),INDIRECT("'Thanh Toán ("&amp;AZ$3&amp;")'!$D:$D"),'Tổng Đơn'!$B51),0)</f>
        <v>0</v>
      </c>
      <c r="BA51" s="2">
        <f ca="1">IFERROR(SUMIFS(INDIRECT("'Thanh Toán ("&amp;BA$3&amp;")'!$F:$F"),INDIRECT("'Thanh Toán ("&amp;BA$3&amp;")'!$D:$D"),'Tổng Đơn'!$B51),0)</f>
        <v>0</v>
      </c>
      <c r="BB51" s="2">
        <f ca="1">IFERROR(SUMIFS(INDIRECT("'Thanh Toán ("&amp;BB$3&amp;")'!$F:$F"),INDIRECT("'Thanh Toán ("&amp;BB$3&amp;")'!$D:$D"),'Tổng Đơn'!$B51),0)</f>
        <v>0</v>
      </c>
      <c r="BC51" s="2">
        <f ca="1">IFERROR(SUMIFS(INDIRECT("'Thanh Toán ("&amp;BC$3&amp;")'!$F:$F"),INDIRECT("'Thanh Toán ("&amp;BC$3&amp;")'!$D:$D"),'Tổng Đơn'!$B51),0)</f>
        <v>0</v>
      </c>
    </row>
    <row r="52" spans="1:55" ht="18" customHeight="1" x14ac:dyDescent="0.3">
      <c r="A52" s="167">
        <v>42</v>
      </c>
      <c r="B52" s="161" t="s">
        <v>307</v>
      </c>
      <c r="C52" s="167" t="s">
        <v>88</v>
      </c>
      <c r="D52" s="162">
        <f>VLOOKUP($C52,Sheet1!$C$8:$D$80,2,0)</f>
        <v>26000</v>
      </c>
      <c r="E52" s="163">
        <v>0.3</v>
      </c>
      <c r="F52" s="164">
        <f t="shared" ca="1" si="13"/>
        <v>10</v>
      </c>
      <c r="G52" s="165">
        <f>IFERROR(VLOOKUP($B52,Gà!C:J,8,0),IFERROR(VLOOKUP($B52,TVP!C:J,7,0),IFERROR(VLOOKUP($B52,Kitkool!C:J,8,0),IFERROR(VLOOKUP($B52,'La Cusina'!C:J,8,0),VLOOKUP($B52,'Quốc Nhân'!C:J,8,0)))))</f>
        <v>22.09225116023617</v>
      </c>
      <c r="H52" s="166">
        <f t="shared" ca="1" si="10"/>
        <v>39077.488397638299</v>
      </c>
      <c r="I52" s="186">
        <f t="shared" si="11"/>
        <v>0.17688323437121634</v>
      </c>
      <c r="J52" s="166">
        <f t="shared" ca="1" si="12"/>
        <v>220922.51160236172</v>
      </c>
      <c r="K52" s="38"/>
      <c r="L52" s="2">
        <f ca="1">IFERROR(SUMIFS(INDIRECT("'Thanh Toán ("&amp;L$3&amp;")'!$F:$F"),INDIRECT("'Thanh Toán ("&amp;L$3&amp;")'!$D:$D"),'Tổng Đơn'!$B52),0)</f>
        <v>0</v>
      </c>
      <c r="M52" s="2">
        <f ca="1">IFERROR(SUMIFS(INDIRECT("'Thanh Toán ("&amp;M$3&amp;")'!$F:$F"),INDIRECT("'Thanh Toán ("&amp;M$3&amp;")'!$D:$D"),'Tổng Đơn'!$B52),0)</f>
        <v>0</v>
      </c>
      <c r="N52" s="2">
        <f ca="1">IFERROR(SUMIFS(INDIRECT("'Thanh Toán ("&amp;N$3&amp;")'!$F:$F"),INDIRECT("'Thanh Toán ("&amp;N$3&amp;")'!$D:$D"),'Tổng Đơn'!$B52),0)</f>
        <v>0</v>
      </c>
      <c r="O52" s="2">
        <f ca="1">IFERROR(SUMIFS(INDIRECT("'Thanh Toán ("&amp;O$3&amp;")'!$F:$F"),INDIRECT("'Thanh Toán ("&amp;O$3&amp;")'!$D:$D"),'Tổng Đơn'!$B52),0)</f>
        <v>0</v>
      </c>
      <c r="P52" s="2">
        <f ca="1">IFERROR(SUMIFS(INDIRECT("'Thanh Toán ("&amp;P$3&amp;")'!$F:$F"),INDIRECT("'Thanh Toán ("&amp;P$3&amp;")'!$D:$D"),'Tổng Đơn'!$B52),0)</f>
        <v>7</v>
      </c>
      <c r="Q52" s="2">
        <f ca="1">IFERROR(SUMIFS(INDIRECT("'Thanh Toán ("&amp;Q$3&amp;")'!$F:$F"),INDIRECT("'Thanh Toán ("&amp;Q$3&amp;")'!$D:$D"),'Tổng Đơn'!$B52),0)</f>
        <v>0</v>
      </c>
      <c r="R52" s="2">
        <f ca="1">IFERROR(SUMIFS(INDIRECT("'Thanh Toán ("&amp;R$3&amp;")'!$F:$F"),INDIRECT("'Thanh Toán ("&amp;R$3&amp;")'!$D:$D"),'Tổng Đơn'!$B52),0)</f>
        <v>3</v>
      </c>
      <c r="S52" s="2">
        <f ca="1">IFERROR(SUMIFS(INDIRECT("'Thanh Toán ("&amp;S$3&amp;")'!$F:$F"),INDIRECT("'Thanh Toán ("&amp;S$3&amp;")'!$D:$D"),'Tổng Đơn'!$B52),0)</f>
        <v>0</v>
      </c>
      <c r="T52" s="2">
        <f ca="1">IFERROR(SUMIFS(INDIRECT("'Thanh Toán ("&amp;T$3&amp;")'!$F:$F"),INDIRECT("'Thanh Toán ("&amp;T$3&amp;")'!$D:$D"),'Tổng Đơn'!$B52),0)</f>
        <v>0</v>
      </c>
      <c r="U52" s="2">
        <f ca="1">IFERROR(SUMIFS(INDIRECT("'Thanh Toán ("&amp;U$3&amp;")'!$F:$F"),INDIRECT("'Thanh Toán ("&amp;U$3&amp;")'!$D:$D"),'Tổng Đơn'!$B52),0)</f>
        <v>0</v>
      </c>
      <c r="V52" s="2">
        <f ca="1">IFERROR(SUMIFS(INDIRECT("'Thanh Toán ("&amp;V$3&amp;")'!$F:$F"),INDIRECT("'Thanh Toán ("&amp;V$3&amp;")'!$D:$D"),'Tổng Đơn'!$B52),0)</f>
        <v>0</v>
      </c>
      <c r="W52" s="2">
        <f ca="1">IFERROR(SUMIFS(INDIRECT("'Thanh Toán ("&amp;W$3&amp;")'!$F:$F"),INDIRECT("'Thanh Toán ("&amp;W$3&amp;")'!$D:$D"),'Tổng Đơn'!$B52),0)</f>
        <v>0</v>
      </c>
      <c r="X52" s="2">
        <f ca="1">IFERROR(SUMIFS(INDIRECT("'Thanh Toán ("&amp;X$3&amp;")'!$F:$F"),INDIRECT("'Thanh Toán ("&amp;X$3&amp;")'!$D:$D"),'Tổng Đơn'!$B52),0)</f>
        <v>0</v>
      </c>
      <c r="Y52" s="2">
        <f ca="1">IFERROR(SUMIFS(INDIRECT("'Thanh Toán ("&amp;Y$3&amp;")'!$F:$F"),INDIRECT("'Thanh Toán ("&amp;Y$3&amp;")'!$D:$D"),'Tổng Đơn'!$B52),0)</f>
        <v>0</v>
      </c>
      <c r="Z52" s="2">
        <f ca="1">IFERROR(SUMIFS(INDIRECT("'Thanh Toán ("&amp;Z$3&amp;")'!$F:$F"),INDIRECT("'Thanh Toán ("&amp;Z$3&amp;")'!$D:$D"),'Tổng Đơn'!$B52),0)</f>
        <v>0</v>
      </c>
      <c r="AA52" s="2">
        <f ca="1">IFERROR(SUMIFS(INDIRECT("'Thanh Toán ("&amp;AA$3&amp;")'!$F:$F"),INDIRECT("'Thanh Toán ("&amp;AA$3&amp;")'!$D:$D"),'Tổng Đơn'!$B52),0)</f>
        <v>0</v>
      </c>
      <c r="AB52" s="2">
        <f ca="1">IFERROR(SUMIFS(INDIRECT("'Thanh Toán ("&amp;AB$3&amp;")'!$F:$F"),INDIRECT("'Thanh Toán ("&amp;AB$3&amp;")'!$D:$D"),'Tổng Đơn'!$B52),0)</f>
        <v>0</v>
      </c>
      <c r="AC52" s="2">
        <f ca="1">IFERROR(SUMIFS(INDIRECT("'Thanh Toán ("&amp;AC$3&amp;")'!$F:$F"),INDIRECT("'Thanh Toán ("&amp;AC$3&amp;")'!$D:$D"),'Tổng Đơn'!$B52),0)</f>
        <v>0</v>
      </c>
      <c r="AD52" s="2">
        <f ca="1">IFERROR(SUMIFS(INDIRECT("'Thanh Toán ("&amp;AD$3&amp;")'!$F:$F"),INDIRECT("'Thanh Toán ("&amp;AD$3&amp;")'!$D:$D"),'Tổng Đơn'!$B52),0)</f>
        <v>0</v>
      </c>
      <c r="AE52" s="2">
        <f ca="1">IFERROR(SUMIFS(INDIRECT("'Thanh Toán ("&amp;AE$3&amp;")'!$F:$F"),INDIRECT("'Thanh Toán ("&amp;AE$3&amp;")'!$D:$D"),'Tổng Đơn'!$B52),0)</f>
        <v>0</v>
      </c>
      <c r="AF52" s="2">
        <f ca="1">IFERROR(SUMIFS(INDIRECT("'Thanh Toán ("&amp;AF$3&amp;")'!$F:$F"),INDIRECT("'Thanh Toán ("&amp;AF$3&amp;")'!$D:$D"),'Tổng Đơn'!$B52),0)</f>
        <v>0</v>
      </c>
      <c r="AG52" s="2">
        <f ca="1">IFERROR(SUMIFS(INDIRECT("'Thanh Toán ("&amp;AG$3&amp;")'!$F:$F"),INDIRECT("'Thanh Toán ("&amp;AG$3&amp;")'!$D:$D"),'Tổng Đơn'!$B52),0)</f>
        <v>0</v>
      </c>
      <c r="AH52" s="2">
        <f ca="1">IFERROR(SUMIFS(INDIRECT("'Thanh Toán ("&amp;AH$3&amp;")'!$F:$F"),INDIRECT("'Thanh Toán ("&amp;AH$3&amp;")'!$D:$D"),'Tổng Đơn'!$B52),0)</f>
        <v>0</v>
      </c>
      <c r="AI52" s="2">
        <f ca="1">IFERROR(SUMIFS(INDIRECT("'Thanh Toán ("&amp;AI$3&amp;")'!$F:$F"),INDIRECT("'Thanh Toán ("&amp;AI$3&amp;")'!$D:$D"),'Tổng Đơn'!$B52),0)</f>
        <v>0</v>
      </c>
      <c r="AJ52" s="2">
        <f ca="1">IFERROR(SUMIFS(INDIRECT("'Thanh Toán ("&amp;AJ$3&amp;")'!$F:$F"),INDIRECT("'Thanh Toán ("&amp;AJ$3&amp;")'!$D:$D"),'Tổng Đơn'!$B52),0)</f>
        <v>0</v>
      </c>
      <c r="AK52" s="2">
        <f ca="1">IFERROR(SUMIFS(INDIRECT("'Thanh Toán ("&amp;AK$3&amp;")'!$F:$F"),INDIRECT("'Thanh Toán ("&amp;AK$3&amp;")'!$D:$D"),'Tổng Đơn'!$B52),0)</f>
        <v>0</v>
      </c>
      <c r="AL52" s="2">
        <f ca="1">IFERROR(SUMIFS(INDIRECT("'Thanh Toán ("&amp;AL$3&amp;")'!$F:$F"),INDIRECT("'Thanh Toán ("&amp;AL$3&amp;")'!$D:$D"),'Tổng Đơn'!$B52),0)</f>
        <v>0</v>
      </c>
      <c r="AM52" s="2">
        <f ca="1">IFERROR(SUMIFS(INDIRECT("'Thanh Toán ("&amp;AM$3&amp;")'!$F:$F"),INDIRECT("'Thanh Toán ("&amp;AM$3&amp;")'!$D:$D"),'Tổng Đơn'!$B52),0)</f>
        <v>0</v>
      </c>
      <c r="AN52" s="2">
        <f ca="1">IFERROR(SUMIFS(INDIRECT("'Thanh Toán ("&amp;AN$3&amp;")'!$F:$F"),INDIRECT("'Thanh Toán ("&amp;AN$3&amp;")'!$D:$D"),'Tổng Đơn'!$B52),0)</f>
        <v>0</v>
      </c>
      <c r="AO52" s="2">
        <f ca="1">IFERROR(SUMIFS(INDIRECT("'Thanh Toán ("&amp;AO$3&amp;")'!$F:$F"),INDIRECT("'Thanh Toán ("&amp;AO$3&amp;")'!$D:$D"),'Tổng Đơn'!$B52),0)</f>
        <v>0</v>
      </c>
      <c r="AP52" s="2">
        <f ca="1">IFERROR(SUMIFS(INDIRECT("'Thanh Toán ("&amp;AP$3&amp;")'!$F:$F"),INDIRECT("'Thanh Toán ("&amp;AP$3&amp;")'!$D:$D"),'Tổng Đơn'!$B52),0)</f>
        <v>0</v>
      </c>
      <c r="AQ52" s="2">
        <f ca="1">IFERROR(SUMIFS(INDIRECT("'Thanh Toán ("&amp;AQ$3&amp;")'!$F:$F"),INDIRECT("'Thanh Toán ("&amp;AQ$3&amp;")'!$D:$D"),'Tổng Đơn'!$B52),0)</f>
        <v>0</v>
      </c>
      <c r="AR52" s="2">
        <f ca="1">IFERROR(SUMIFS(INDIRECT("'Thanh Toán ("&amp;AR$3&amp;")'!$F:$F"),INDIRECT("'Thanh Toán ("&amp;AR$3&amp;")'!$D:$D"),'Tổng Đơn'!$B52),0)</f>
        <v>0</v>
      </c>
      <c r="AS52" s="2">
        <f ca="1">IFERROR(SUMIFS(INDIRECT("'Thanh Toán ("&amp;AS$3&amp;")'!$F:$F"),INDIRECT("'Thanh Toán ("&amp;AS$3&amp;")'!$D:$D"),'Tổng Đơn'!$B52),0)</f>
        <v>0</v>
      </c>
      <c r="AT52" s="2">
        <f ca="1">IFERROR(SUMIFS(INDIRECT("'Thanh Toán ("&amp;AT$3&amp;")'!$F:$F"),INDIRECT("'Thanh Toán ("&amp;AT$3&amp;")'!$D:$D"),'Tổng Đơn'!$B52),0)</f>
        <v>0</v>
      </c>
      <c r="AU52" s="2">
        <f ca="1">IFERROR(SUMIFS(INDIRECT("'Thanh Toán ("&amp;AU$3&amp;")'!$F:$F"),INDIRECT("'Thanh Toán ("&amp;AU$3&amp;")'!$D:$D"),'Tổng Đơn'!$B52),0)</f>
        <v>0</v>
      </c>
      <c r="AV52" s="2">
        <f ca="1">IFERROR(SUMIFS(INDIRECT("'Thanh Toán ("&amp;AV$3&amp;")'!$F:$F"),INDIRECT("'Thanh Toán ("&amp;AV$3&amp;")'!$D:$D"),'Tổng Đơn'!$B52),0)</f>
        <v>0</v>
      </c>
      <c r="AW52" s="2">
        <f ca="1">IFERROR(SUMIFS(INDIRECT("'Thanh Toán ("&amp;AW$3&amp;")'!$F:$F"),INDIRECT("'Thanh Toán ("&amp;AW$3&amp;")'!$D:$D"),'Tổng Đơn'!$B52),0)</f>
        <v>0</v>
      </c>
      <c r="AX52" s="2">
        <f ca="1">IFERROR(SUMIFS(INDIRECT("'Thanh Toán ("&amp;AX$3&amp;")'!$F:$F"),INDIRECT("'Thanh Toán ("&amp;AX$3&amp;")'!$D:$D"),'Tổng Đơn'!$B52),0)</f>
        <v>0</v>
      </c>
      <c r="AY52" s="2">
        <f ca="1">IFERROR(SUMIFS(INDIRECT("'Thanh Toán ("&amp;AY$3&amp;")'!$F:$F"),INDIRECT("'Thanh Toán ("&amp;AY$3&amp;")'!$D:$D"),'Tổng Đơn'!$B52),0)</f>
        <v>0</v>
      </c>
      <c r="AZ52" s="2">
        <f ca="1">IFERROR(SUMIFS(INDIRECT("'Thanh Toán ("&amp;AZ$3&amp;")'!$F:$F"),INDIRECT("'Thanh Toán ("&amp;AZ$3&amp;")'!$D:$D"),'Tổng Đơn'!$B52),0)</f>
        <v>0</v>
      </c>
      <c r="BA52" s="2">
        <f ca="1">IFERROR(SUMIFS(INDIRECT("'Thanh Toán ("&amp;BA$3&amp;")'!$F:$F"),INDIRECT("'Thanh Toán ("&amp;BA$3&amp;")'!$D:$D"),'Tổng Đơn'!$B52),0)</f>
        <v>0</v>
      </c>
      <c r="BB52" s="2">
        <f ca="1">IFERROR(SUMIFS(INDIRECT("'Thanh Toán ("&amp;BB$3&amp;")'!$F:$F"),INDIRECT("'Thanh Toán ("&amp;BB$3&amp;")'!$D:$D"),'Tổng Đơn'!$B52),0)</f>
        <v>0</v>
      </c>
      <c r="BC52" s="2">
        <f ca="1">IFERROR(SUMIFS(INDIRECT("'Thanh Toán ("&amp;BC$3&amp;")'!$F:$F"),INDIRECT("'Thanh Toán ("&amp;BC$3&amp;")'!$D:$D"),'Tổng Đơn'!$B52),0)</f>
        <v>0</v>
      </c>
    </row>
  </sheetData>
  <sheetProtection formatCells="0" formatColumns="0" formatRows="0" insertColumns="0" insertRows="0" insertHyperlinks="0" deleteColumns="0" deleteRows="0" sort="0" autoFilter="0" pivotTables="0"/>
  <autoFilter ref="A4:AO52" xr:uid="{00000000-0009-0000-0000-000007000000}"/>
  <mergeCells count="6">
    <mergeCell ref="A1:A2"/>
    <mergeCell ref="F1:F2"/>
    <mergeCell ref="D1:D2"/>
    <mergeCell ref="C1:C2"/>
    <mergeCell ref="B1:B2"/>
    <mergeCell ref="E1:E2"/>
  </mergeCells>
  <conditionalFormatting sqref="I5:I52">
    <cfRule type="cellIs" dxfId="600" priority="2" operator="lessThan">
      <formula>0.1</formula>
    </cfRule>
  </conditionalFormatting>
  <pageMargins left="0.7" right="0.7" top="0.75" bottom="0.75" header="0.3" footer="0.3"/>
  <pageSetup orientation="portrait" r:id="rId1"/>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6">
    <tabColor rgb="FF7030A0"/>
  </sheetPr>
  <dimension ref="A1:R34"/>
  <sheetViews>
    <sheetView tabSelected="1" topLeftCell="G1" zoomScaleNormal="100" workbookViewId="0">
      <selection activeCell="I8" sqref="I8"/>
    </sheetView>
  </sheetViews>
  <sheetFormatPr defaultRowHeight="13.8" x14ac:dyDescent="0.25"/>
  <cols>
    <col min="1" max="1" width="34.3984375" hidden="1" customWidth="1"/>
    <col min="2" max="2" width="9.09765625" hidden="1" customWidth="1"/>
    <col min="3" max="3" width="21.09765625" hidden="1" customWidth="1"/>
    <col min="4" max="4" width="8.69921875" hidden="1" customWidth="1"/>
    <col min="5" max="5" width="9.09765625" hidden="1" customWidth="1"/>
    <col min="6" max="6" width="24.59765625" hidden="1" customWidth="1"/>
    <col min="7" max="7" width="25.8984375" customWidth="1"/>
    <col min="8" max="8" width="20.59765625" customWidth="1"/>
    <col min="9" max="9" width="20.3984375" customWidth="1"/>
    <col min="10" max="10" width="48.3984375" bestFit="1" customWidth="1"/>
    <col min="11" max="12" width="14.3984375" customWidth="1"/>
    <col min="13" max="13" width="36.59765625" customWidth="1"/>
    <col min="14" max="14" width="12" customWidth="1"/>
  </cols>
  <sheetData>
    <row r="1" spans="1:18" ht="28.5" customHeight="1" x14ac:dyDescent="0.25">
      <c r="B1" s="36">
        <f>SUBTOTAL(9,B5:B187)</f>
        <v>7964</v>
      </c>
      <c r="C1" s="36"/>
      <c r="D1" s="151">
        <f>SUBTOTAL(9,D2:D187)</f>
        <v>50000</v>
      </c>
      <c r="G1" s="79" t="s">
        <v>121</v>
      </c>
      <c r="H1" s="128">
        <f>60000+6217+H4+H5</f>
        <v>140518</v>
      </c>
      <c r="I1" s="80">
        <f>H1-H2-H3</f>
        <v>-1136499</v>
      </c>
      <c r="J1" s="87" t="s">
        <v>119</v>
      </c>
      <c r="K1" s="265" t="s">
        <v>257</v>
      </c>
      <c r="L1" s="266"/>
      <c r="M1" s="212" t="s">
        <v>256</v>
      </c>
      <c r="N1" s="213">
        <v>50000</v>
      </c>
    </row>
    <row r="2" spans="1:18" ht="28.5" customHeight="1" x14ac:dyDescent="0.25">
      <c r="E2" s="93"/>
      <c r="G2" s="90" t="s">
        <v>118</v>
      </c>
      <c r="H2" s="81">
        <f>D1</f>
        <v>50000</v>
      </c>
      <c r="I2" s="82">
        <f>-7313-25700-3000+11681-2348-200+10853+913-320-320-1180-990-3862-5000+80+2062+44+50+4435+5850+25+3440+9300+25-12000</f>
        <v>-13475</v>
      </c>
      <c r="J2" s="82" t="s">
        <v>122</v>
      </c>
      <c r="K2" s="265">
        <v>235000</v>
      </c>
      <c r="L2" s="266"/>
      <c r="M2" s="212" t="s">
        <v>255</v>
      </c>
      <c r="N2" s="213">
        <v>80000</v>
      </c>
    </row>
    <row r="3" spans="1:18" ht="28.5" customHeight="1" x14ac:dyDescent="0.25">
      <c r="G3" s="83" t="s">
        <v>120</v>
      </c>
      <c r="H3" s="95">
        <f>INT('Quốc Nhân'!K4+'La Cusina'!K4+TVP!J4+Gà!K4+Kitkool!K4)</f>
        <v>1227017</v>
      </c>
      <c r="I3" s="84">
        <f>I1+I2</f>
        <v>-1149974</v>
      </c>
      <c r="J3" s="88" t="s">
        <v>117</v>
      </c>
      <c r="M3" s="212" t="s">
        <v>258</v>
      </c>
      <c r="N3" s="213">
        <v>55000</v>
      </c>
    </row>
    <row r="4" spans="1:18" ht="28.5" customHeight="1" x14ac:dyDescent="0.25">
      <c r="A4" s="110" t="s">
        <v>186</v>
      </c>
      <c r="B4">
        <v>3500</v>
      </c>
      <c r="G4" s="85" t="s">
        <v>156</v>
      </c>
      <c r="H4" s="124">
        <f>35000</f>
        <v>35000</v>
      </c>
      <c r="I4" s="86">
        <f ca="1">INT('Quốc Nhân'!K4+'La Cusina'!K4+TVP!J4+Gà!K4+Kitkool!K4-('Quốc Nhân'!A4+'La Cusina'!A4+TVP!A4+Gà!A4+Kitkool!A4))</f>
        <v>1182877</v>
      </c>
      <c r="J4" s="89" t="s">
        <v>126</v>
      </c>
      <c r="M4" s="212" t="s">
        <v>259</v>
      </c>
      <c r="N4" s="213">
        <v>10000</v>
      </c>
    </row>
    <row r="5" spans="1:18" ht="28.5" customHeight="1" x14ac:dyDescent="0.25">
      <c r="A5" s="110" t="s">
        <v>171</v>
      </c>
      <c r="B5">
        <v>200</v>
      </c>
      <c r="G5" s="85" t="s">
        <v>261</v>
      </c>
      <c r="H5" s="124">
        <f>7400+5000+2400+10000+5000-2000-1000-1000-150-6349+(30000-10000)</f>
        <v>39301</v>
      </c>
      <c r="I5" s="91">
        <f ca="1">I4+I3</f>
        <v>32903</v>
      </c>
      <c r="J5" s="92" t="s">
        <v>127</v>
      </c>
      <c r="M5" s="214" t="s">
        <v>260</v>
      </c>
      <c r="N5" s="215">
        <v>81600</v>
      </c>
    </row>
    <row r="6" spans="1:18" x14ac:dyDescent="0.25">
      <c r="A6" s="110" t="s">
        <v>172</v>
      </c>
      <c r="B6">
        <f>1162+1204+1064</f>
        <v>3430</v>
      </c>
      <c r="C6" t="s">
        <v>105</v>
      </c>
      <c r="D6">
        <v>400</v>
      </c>
      <c r="E6" t="s">
        <v>106</v>
      </c>
      <c r="H6" s="127"/>
      <c r="I6" s="93">
        <v>0</v>
      </c>
      <c r="K6" s="93"/>
      <c r="L6" s="93"/>
      <c r="M6" s="205"/>
      <c r="N6" s="14"/>
      <c r="O6" s="14"/>
      <c r="P6" s="14"/>
      <c r="Q6" s="14"/>
      <c r="R6" s="14"/>
    </row>
    <row r="7" spans="1:18" x14ac:dyDescent="0.25">
      <c r="A7" s="110" t="s">
        <v>173</v>
      </c>
      <c r="B7">
        <v>1000</v>
      </c>
      <c r="C7" t="s">
        <v>107</v>
      </c>
      <c r="D7">
        <v>1000</v>
      </c>
      <c r="E7" t="s">
        <v>106</v>
      </c>
      <c r="H7" s="93"/>
      <c r="I7" s="233">
        <f>0+0+1400+500</f>
        <v>1900</v>
      </c>
      <c r="J7" s="238"/>
      <c r="K7" s="93"/>
      <c r="L7" s="93"/>
      <c r="M7" s="14"/>
      <c r="N7" s="14"/>
      <c r="O7" s="14"/>
      <c r="P7" s="14"/>
      <c r="Q7" s="14"/>
      <c r="R7" s="14"/>
    </row>
    <row r="8" spans="1:18" x14ac:dyDescent="0.25">
      <c r="A8" t="s">
        <v>189</v>
      </c>
      <c r="B8">
        <v>250</v>
      </c>
      <c r="C8" t="s">
        <v>108</v>
      </c>
      <c r="D8">
        <v>80</v>
      </c>
      <c r="E8" t="s">
        <v>106</v>
      </c>
      <c r="H8" s="93"/>
      <c r="I8" s="93">
        <f>210+270</f>
        <v>480</v>
      </c>
      <c r="J8" s="238"/>
      <c r="M8" s="14"/>
      <c r="N8" s="14"/>
      <c r="O8" s="14"/>
      <c r="P8" s="14"/>
      <c r="Q8" s="14"/>
      <c r="R8" s="14"/>
    </row>
    <row r="9" spans="1:18" x14ac:dyDescent="0.25">
      <c r="A9" t="s">
        <v>191</v>
      </c>
      <c r="B9">
        <v>400</v>
      </c>
      <c r="C9" t="s">
        <v>109</v>
      </c>
      <c r="D9">
        <v>145</v>
      </c>
      <c r="E9" t="s">
        <v>110</v>
      </c>
      <c r="H9" s="93"/>
      <c r="I9" s="93">
        <v>265</v>
      </c>
      <c r="J9" s="238"/>
      <c r="N9" s="14"/>
    </row>
    <row r="10" spans="1:18" x14ac:dyDescent="0.25">
      <c r="A10" t="s">
        <v>183</v>
      </c>
      <c r="B10">
        <v>300</v>
      </c>
      <c r="C10" t="s">
        <v>111</v>
      </c>
      <c r="D10">
        <v>800</v>
      </c>
      <c r="E10" t="s">
        <v>110</v>
      </c>
      <c r="H10" s="93"/>
      <c r="I10" s="93">
        <v>170</v>
      </c>
      <c r="J10" s="238"/>
      <c r="N10" s="14"/>
    </row>
    <row r="11" spans="1:18" x14ac:dyDescent="0.25">
      <c r="A11" t="s">
        <v>184</v>
      </c>
      <c r="B11">
        <f>45+56</f>
        <v>101</v>
      </c>
      <c r="C11" t="s">
        <v>112</v>
      </c>
      <c r="D11">
        <v>1500</v>
      </c>
      <c r="E11" t="s">
        <v>110</v>
      </c>
      <c r="H11" s="93"/>
      <c r="I11" s="93">
        <v>39</v>
      </c>
      <c r="J11" s="238"/>
      <c r="N11" s="14"/>
    </row>
    <row r="12" spans="1:18" x14ac:dyDescent="0.25">
      <c r="A12" t="s">
        <v>185</v>
      </c>
      <c r="B12">
        <v>119</v>
      </c>
      <c r="C12" t="s">
        <v>123</v>
      </c>
      <c r="D12">
        <v>160</v>
      </c>
      <c r="E12" t="s">
        <v>110</v>
      </c>
      <c r="I12" s="93">
        <f>3403-2000</f>
        <v>1403</v>
      </c>
      <c r="J12" s="93" t="s">
        <v>252</v>
      </c>
      <c r="N12" s="14"/>
    </row>
    <row r="13" spans="1:18" x14ac:dyDescent="0.25">
      <c r="A13" t="s">
        <v>187</v>
      </c>
      <c r="B13">
        <v>140</v>
      </c>
      <c r="C13" t="s">
        <v>135</v>
      </c>
      <c r="D13">
        <v>42</v>
      </c>
      <c r="E13" t="s">
        <v>110</v>
      </c>
      <c r="H13" s="93"/>
      <c r="I13" s="249">
        <v>30000</v>
      </c>
      <c r="J13" s="249" t="s">
        <v>323</v>
      </c>
      <c r="K13" s="93"/>
      <c r="L13" s="93"/>
    </row>
    <row r="14" spans="1:18" x14ac:dyDescent="0.25">
      <c r="A14" t="s">
        <v>188</v>
      </c>
      <c r="B14">
        <v>40</v>
      </c>
      <c r="C14" s="110" t="s">
        <v>140</v>
      </c>
      <c r="D14" s="110">
        <v>7500</v>
      </c>
      <c r="E14" s="110" t="s">
        <v>110</v>
      </c>
      <c r="H14" s="93"/>
      <c r="I14" s="93"/>
    </row>
    <row r="15" spans="1:18" x14ac:dyDescent="0.25">
      <c r="C15" s="110"/>
      <c r="D15" s="110"/>
      <c r="E15" s="110"/>
      <c r="H15" s="93"/>
      <c r="I15" s="93"/>
      <c r="J15" s="93"/>
    </row>
    <row r="16" spans="1:18" x14ac:dyDescent="0.25">
      <c r="A16" t="s">
        <v>192</v>
      </c>
      <c r="B16">
        <v>65</v>
      </c>
      <c r="C16" t="s">
        <v>141</v>
      </c>
      <c r="D16">
        <v>160</v>
      </c>
      <c r="E16" t="s">
        <v>110</v>
      </c>
      <c r="H16" s="93"/>
      <c r="I16" s="93"/>
      <c r="J16" s="93"/>
    </row>
    <row r="17" spans="1:10" x14ac:dyDescent="0.25">
      <c r="A17" s="154" t="s">
        <v>193</v>
      </c>
      <c r="B17">
        <v>70</v>
      </c>
      <c r="C17" t="s">
        <v>145</v>
      </c>
      <c r="D17">
        <v>50</v>
      </c>
      <c r="E17" t="s">
        <v>110</v>
      </c>
      <c r="I17" s="93">
        <v>-5000</v>
      </c>
      <c r="J17" s="93" t="s">
        <v>308</v>
      </c>
    </row>
    <row r="18" spans="1:10" x14ac:dyDescent="0.25">
      <c r="A18" s="154"/>
      <c r="I18" s="93"/>
      <c r="J18" s="93"/>
    </row>
    <row r="19" spans="1:10" x14ac:dyDescent="0.25">
      <c r="A19" s="154"/>
      <c r="I19" s="93"/>
      <c r="J19" s="93"/>
    </row>
    <row r="20" spans="1:10" x14ac:dyDescent="0.25">
      <c r="A20" s="154"/>
      <c r="I20" s="93">
        <v>3653</v>
      </c>
      <c r="J20" s="93" t="s">
        <v>309</v>
      </c>
    </row>
    <row r="21" spans="1:10" x14ac:dyDescent="0.25">
      <c r="A21" s="154"/>
      <c r="I21" s="93"/>
      <c r="J21" s="93"/>
    </row>
    <row r="22" spans="1:10" x14ac:dyDescent="0.25">
      <c r="A22" t="s">
        <v>194</v>
      </c>
      <c r="B22">
        <v>59</v>
      </c>
      <c r="C22" t="s">
        <v>135</v>
      </c>
      <c r="D22">
        <f>45+65+130+25+60+25+78+84+65+25+43+43+44+88+45+45+46+44+90+37+88</f>
        <v>1215</v>
      </c>
      <c r="E22" t="s">
        <v>110</v>
      </c>
      <c r="I22" s="93"/>
      <c r="J22" s="93"/>
    </row>
    <row r="23" spans="1:10" x14ac:dyDescent="0.25">
      <c r="A23" t="s">
        <v>195</v>
      </c>
      <c r="B23">
        <v>920</v>
      </c>
      <c r="C23" s="110" t="s">
        <v>160</v>
      </c>
      <c r="D23" s="110">
        <v>15300</v>
      </c>
      <c r="E23" t="s">
        <v>156</v>
      </c>
      <c r="I23" s="93"/>
      <c r="J23" s="93"/>
    </row>
    <row r="24" spans="1:10" x14ac:dyDescent="0.25">
      <c r="A24" t="s">
        <v>196</v>
      </c>
      <c r="B24">
        <v>120</v>
      </c>
      <c r="C24" t="s">
        <v>163</v>
      </c>
      <c r="D24">
        <v>50</v>
      </c>
      <c r="E24" t="s">
        <v>110</v>
      </c>
      <c r="I24" s="93"/>
      <c r="J24" s="93"/>
    </row>
    <row r="25" spans="1:10" x14ac:dyDescent="0.25">
      <c r="A25" t="s">
        <v>197</v>
      </c>
      <c r="B25">
        <v>69</v>
      </c>
      <c r="C25" s="110" t="s">
        <v>160</v>
      </c>
      <c r="D25">
        <v>15000</v>
      </c>
      <c r="J25" s="93"/>
    </row>
    <row r="26" spans="1:10" x14ac:dyDescent="0.25">
      <c r="A26" t="s">
        <v>198</v>
      </c>
      <c r="B26">
        <v>110</v>
      </c>
      <c r="C26" t="s">
        <v>236</v>
      </c>
      <c r="D26">
        <f>85+100</f>
        <v>185</v>
      </c>
    </row>
    <row r="27" spans="1:10" x14ac:dyDescent="0.25">
      <c r="A27" t="s">
        <v>199</v>
      </c>
      <c r="B27">
        <v>69</v>
      </c>
      <c r="C27" s="110" t="s">
        <v>246</v>
      </c>
      <c r="D27">
        <f>'Tổng Đơn'!G2</f>
        <v>0</v>
      </c>
    </row>
    <row r="28" spans="1:10" x14ac:dyDescent="0.25">
      <c r="A28" t="s">
        <v>200</v>
      </c>
      <c r="B28">
        <v>54</v>
      </c>
      <c r="C28" s="210" t="s">
        <v>251</v>
      </c>
      <c r="D28">
        <v>1200</v>
      </c>
    </row>
    <row r="29" spans="1:10" x14ac:dyDescent="0.25">
      <c r="A29" t="s">
        <v>201</v>
      </c>
      <c r="B29">
        <v>65</v>
      </c>
      <c r="C29" s="210" t="s">
        <v>254</v>
      </c>
      <c r="D29">
        <v>5213</v>
      </c>
    </row>
    <row r="30" spans="1:10" x14ac:dyDescent="0.25">
      <c r="A30" t="s">
        <v>202</v>
      </c>
      <c r="B30">
        <f>54+66</f>
        <v>120</v>
      </c>
    </row>
    <row r="31" spans="1:10" x14ac:dyDescent="0.25">
      <c r="A31" t="s">
        <v>204</v>
      </c>
      <c r="B31">
        <v>65</v>
      </c>
    </row>
    <row r="32" spans="1:10" x14ac:dyDescent="0.25">
      <c r="A32" t="s">
        <v>205</v>
      </c>
      <c r="B32">
        <v>66</v>
      </c>
    </row>
    <row r="33" spans="1:2" x14ac:dyDescent="0.25">
      <c r="A33" t="s">
        <v>203</v>
      </c>
      <c r="B33">
        <v>66</v>
      </c>
    </row>
    <row r="34" spans="1:2" x14ac:dyDescent="0.25">
      <c r="A34" t="s">
        <v>206</v>
      </c>
      <c r="B34">
        <v>66</v>
      </c>
    </row>
  </sheetData>
  <mergeCells count="2">
    <mergeCell ref="K1:L1"/>
    <mergeCell ref="K2:L2"/>
  </mergeCells>
  <pageMargins left="0.7" right="0.7" top="0.75" bottom="0.75" header="0.3" footer="0.3"/>
  <pageSetup orientation="portrait" r:id="rId1"/>
  <legacyDrawing r:id="rId2"/>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33">
    <tabColor theme="1"/>
    <pageSetUpPr fitToPage="1"/>
  </sheetPr>
  <dimension ref="A1:N53"/>
  <sheetViews>
    <sheetView zoomScaleNormal="100" workbookViewId="0">
      <pane ySplit="7" topLeftCell="A8" activePane="bottomLeft" state="frozen"/>
      <selection activeCell="Q2" sqref="Q2"/>
      <selection pane="bottomLeft" activeCell="D6" sqref="D6"/>
    </sheetView>
  </sheetViews>
  <sheetFormatPr defaultColWidth="9.09765625" defaultRowHeight="13.8" x14ac:dyDescent="0.25"/>
  <cols>
    <col min="1" max="1" width="11.69921875" style="14" customWidth="1"/>
    <col min="2" max="2" width="11.296875" style="14" customWidth="1"/>
    <col min="3" max="3" width="9.09765625" style="14"/>
    <col min="4" max="4" width="38.3984375" style="14" bestFit="1" customWidth="1"/>
    <col min="5" max="5" width="12.296875" style="53" bestFit="1" customWidth="1"/>
    <col min="6" max="6" width="11" style="14" customWidth="1"/>
    <col min="7" max="7" width="17.8984375" style="14" customWidth="1"/>
    <col min="8" max="8" width="17.8984375" style="15" customWidth="1"/>
    <col min="9" max="9" width="21.8984375" style="14" customWidth="1"/>
    <col min="10" max="10" width="10.09765625" style="14" customWidth="1"/>
    <col min="11" max="11" width="9.09765625" style="14"/>
    <col min="12" max="12" width="11.69921875" style="14" customWidth="1"/>
    <col min="13" max="14" width="10.09765625" style="14" bestFit="1" customWidth="1"/>
    <col min="15" max="16384" width="9.09765625" style="14"/>
  </cols>
  <sheetData>
    <row r="1" spans="1:14" ht="15.75" customHeight="1" x14ac:dyDescent="0.25">
      <c r="C1" s="268" t="s">
        <v>164</v>
      </c>
      <c r="D1" s="268"/>
      <c r="E1" s="268"/>
      <c r="F1" s="268"/>
      <c r="G1" s="268"/>
      <c r="H1" s="268"/>
    </row>
    <row r="2" spans="1:14" ht="15.75" customHeight="1" x14ac:dyDescent="0.25">
      <c r="C2" s="268"/>
      <c r="D2" s="268"/>
      <c r="E2" s="268"/>
      <c r="F2" s="268"/>
      <c r="G2" s="268"/>
      <c r="H2" s="268"/>
    </row>
    <row r="3" spans="1:14" ht="15" customHeight="1" x14ac:dyDescent="0.25">
      <c r="C3" s="269" t="s">
        <v>166</v>
      </c>
      <c r="D3" s="269"/>
      <c r="E3" s="269"/>
      <c r="F3" s="270" t="s">
        <v>168</v>
      </c>
      <c r="G3" s="270"/>
      <c r="H3" s="270"/>
    </row>
    <row r="4" spans="1:14" x14ac:dyDescent="0.25">
      <c r="C4" s="269" t="s">
        <v>167</v>
      </c>
      <c r="D4" s="269"/>
      <c r="E4" s="269"/>
      <c r="F4" s="271" t="s">
        <v>169</v>
      </c>
      <c r="G4" s="271"/>
      <c r="H4" s="271"/>
    </row>
    <row r="5" spans="1:14" s="140" customFormat="1" ht="21" customHeight="1" x14ac:dyDescent="0.25">
      <c r="C5" s="272" t="s">
        <v>165</v>
      </c>
      <c r="D5" s="272"/>
      <c r="E5" s="272"/>
      <c r="F5" s="272"/>
      <c r="G5" s="272"/>
      <c r="H5" s="272"/>
    </row>
    <row r="6" spans="1:14" s="140" customFormat="1" ht="16.5" customHeight="1" x14ac:dyDescent="0.25">
      <c r="C6" s="149" t="s">
        <v>170</v>
      </c>
      <c r="D6" s="152"/>
      <c r="E6" s="145"/>
      <c r="F6" s="145"/>
      <c r="G6" s="267" t="str">
        <f ca="1">"Ngày "&amp;DAY(TODAY())&amp;" Tháng "&amp;MONTH(TODAY())&amp;" Năm "&amp;YEAR(TODAY())</f>
        <v>Ngày 22 Tháng 1 Năm 2023</v>
      </c>
      <c r="H6" s="267"/>
    </row>
    <row r="7" spans="1:14" s="144" customFormat="1" ht="24" customHeight="1" x14ac:dyDescent="0.25">
      <c r="A7" s="141" t="s">
        <v>101</v>
      </c>
      <c r="B7" s="141" t="s">
        <v>15</v>
      </c>
      <c r="C7" s="142" t="s">
        <v>0</v>
      </c>
      <c r="D7" s="142" t="s">
        <v>16</v>
      </c>
      <c r="E7" s="146" t="str">
        <f>"Quy cách"&amp;CHAR(10)&amp;"(Kg)"</f>
        <v>Quy cách
(Kg)</v>
      </c>
      <c r="F7" s="142" t="s">
        <v>15</v>
      </c>
      <c r="G7" s="142" t="s">
        <v>17</v>
      </c>
      <c r="H7" s="142" t="s">
        <v>18</v>
      </c>
      <c r="I7" s="143">
        <f>SUBTOTAL(9,I8:I37)</f>
        <v>0</v>
      </c>
      <c r="L7" s="140"/>
    </row>
    <row r="8" spans="1:14" s="29" customFormat="1" ht="14.25" customHeight="1" x14ac:dyDescent="0.25">
      <c r="A8" s="150"/>
      <c r="B8" s="150"/>
      <c r="C8" s="30" t="str">
        <f t="shared" ref="C8:C11" si="0">IF(OR(SUM($C7,$A8&lt;&gt;"")=0,$A8=""),"",SUM($C7,$A8&lt;&gt;""))</f>
        <v/>
      </c>
      <c r="D8" s="147" t="str">
        <f>IFERROR(VLOOKUP($A8,Sheet1!$A$1:$B$80,2,0),"")</f>
        <v/>
      </c>
      <c r="E8" s="30" t="str">
        <f>IFERROR(VLOOKUP($A8,'Tổng Đơn'!$A$5:$E$52,5,0),"")</f>
        <v/>
      </c>
      <c r="F8" s="30" t="str">
        <f t="shared" ref="F8:F12" si="1">IF($B8="","",B8)</f>
        <v/>
      </c>
      <c r="G8" s="155" t="str">
        <f>IFERROR(VLOOKUP($A8,Sheet1!$A1:$D$80,4,0),"")</f>
        <v/>
      </c>
      <c r="H8" s="148" t="str">
        <f>IF($C7=MAX($C$8:$C$56),SUM($H7:$H$8),IFERROR($G8*$F8,""))</f>
        <v/>
      </c>
      <c r="I8" s="54" t="str">
        <f t="shared" ref="I8:I37" si="2">IF(TYPE($A8)&lt;&gt;1,"",IFERROR(F8*E8,""))</f>
        <v/>
      </c>
      <c r="L8" s="32"/>
    </row>
    <row r="9" spans="1:14" s="29" customFormat="1" ht="14.25" customHeight="1" x14ac:dyDescent="0.25">
      <c r="A9" s="150"/>
      <c r="B9" s="150"/>
      <c r="C9" s="30" t="str">
        <f t="shared" si="0"/>
        <v/>
      </c>
      <c r="D9" s="147" t="str">
        <f>IFERROR(VLOOKUP($A9,Sheet1!$A$1:$B$80,2,0),"")</f>
        <v/>
      </c>
      <c r="E9" s="30" t="str">
        <f>IFERROR(VLOOKUP($A9,'Tổng Đơn'!$A$5:$E$52,5,0),"")</f>
        <v/>
      </c>
      <c r="F9" s="30" t="str">
        <f t="shared" si="1"/>
        <v/>
      </c>
      <c r="G9" s="155" t="str">
        <f>IF(AND($C9="",$C8&lt;&gt;""),"Tổng Cộng",IFERROR(VLOOKUP($A9,Sheet1!$A$1:$D$80,4,0),""))</f>
        <v/>
      </c>
      <c r="H9" s="148" t="str">
        <f>IF($C8=MAX($C$8:$C$56),SUM($H$8:$H8),IFERROR($G9*$F9,""))</f>
        <v/>
      </c>
      <c r="I9" s="54" t="str">
        <f t="shared" si="2"/>
        <v/>
      </c>
      <c r="L9" s="31"/>
    </row>
    <row r="10" spans="1:14" s="29" customFormat="1" ht="14.25" customHeight="1" x14ac:dyDescent="0.25">
      <c r="A10" s="150"/>
      <c r="B10" s="150"/>
      <c r="C10" s="30" t="str">
        <f t="shared" si="0"/>
        <v/>
      </c>
      <c r="D10" s="147" t="str">
        <f>IFERROR(VLOOKUP($A10,Sheet1!$A$1:$B$80,2,0),"")</f>
        <v/>
      </c>
      <c r="E10" s="30" t="str">
        <f>IFERROR(VLOOKUP($A10,'Tổng Đơn'!$A$5:$E$52,5,0),"")</f>
        <v/>
      </c>
      <c r="F10" s="30" t="str">
        <f t="shared" si="1"/>
        <v/>
      </c>
      <c r="G10" s="155" t="str">
        <f>IF(AND($C10="",$C9&lt;&gt;""),"Tổng Cộng",IFERROR(VLOOKUP($A10,Sheet1!$A$1:$D$80,4,0),""))</f>
        <v/>
      </c>
      <c r="H10" s="148" t="str">
        <f>IF($C9=MAX($C$8:$C$56),SUM($H$8:$H9),IFERROR($G10*$F10,""))</f>
        <v/>
      </c>
      <c r="I10" s="54" t="str">
        <f t="shared" si="2"/>
        <v/>
      </c>
      <c r="L10" s="31"/>
    </row>
    <row r="11" spans="1:14" s="29" customFormat="1" ht="14.25" customHeight="1" x14ac:dyDescent="0.25">
      <c r="A11" s="150"/>
      <c r="B11" s="150"/>
      <c r="C11" s="30" t="str">
        <f t="shared" si="0"/>
        <v/>
      </c>
      <c r="D11" s="147" t="str">
        <f>IFERROR(VLOOKUP($A11,Sheet1!$A$1:$B$80,2,0),"")</f>
        <v/>
      </c>
      <c r="E11" s="30" t="str">
        <f>IFERROR(VLOOKUP($A11,'Tổng Đơn'!$A$5:$E$52,5,0),"")</f>
        <v/>
      </c>
      <c r="F11" s="30" t="str">
        <f t="shared" si="1"/>
        <v/>
      </c>
      <c r="G11" s="155" t="str">
        <f>IF(AND($C11="",$C10&lt;&gt;""),"Tổng Cộng",IFERROR(VLOOKUP($A11,Sheet1!$A$1:$D$80,4,0),""))</f>
        <v/>
      </c>
      <c r="H11" s="148" t="str">
        <f>IF($C10=MAX($C$8:$C$56),SUM($H$8:$H10),IFERROR($G11*$F11,""))</f>
        <v/>
      </c>
      <c r="I11" s="54" t="str">
        <f t="shared" si="2"/>
        <v/>
      </c>
      <c r="L11" s="31"/>
    </row>
    <row r="12" spans="1:14" s="29" customFormat="1" ht="14.25" customHeight="1" x14ac:dyDescent="0.25">
      <c r="A12" s="150"/>
      <c r="B12" s="150"/>
      <c r="C12" s="30" t="str">
        <f t="shared" ref="C12:C22" si="3">IF(OR(SUM($C11,$A12&lt;&gt;"")=0,$A12=""),"",SUM($C11,$A12&lt;&gt;""))</f>
        <v/>
      </c>
      <c r="D12" s="147" t="str">
        <f>IFERROR(VLOOKUP($A12,Sheet1!$A$1:$B$80,2,0),"")</f>
        <v/>
      </c>
      <c r="E12" s="30" t="str">
        <f>IFERROR(VLOOKUP($A12,'Tổng Đơn'!$A$5:$E$52,5,0),"")</f>
        <v/>
      </c>
      <c r="F12" s="30" t="str">
        <f t="shared" si="1"/>
        <v/>
      </c>
      <c r="G12" s="155" t="str">
        <f>IF(AND($C12="",$C11&lt;&gt;""),"Tổng Cộng",IFERROR(VLOOKUP($A12,Sheet1!$A$1:$D$80,4,0),""))</f>
        <v/>
      </c>
      <c r="H12" s="148" t="str">
        <f>IF($C11=MAX($C$8:$C$56),SUM($H$8:$H11),IFERROR($G12*$F12,""))</f>
        <v/>
      </c>
      <c r="I12" s="54" t="str">
        <f t="shared" si="2"/>
        <v/>
      </c>
      <c r="J12" s="125"/>
      <c r="L12" s="31"/>
      <c r="N12" s="126"/>
    </row>
    <row r="13" spans="1:14" s="29" customFormat="1" ht="14.25" customHeight="1" x14ac:dyDescent="0.25">
      <c r="A13" s="150"/>
      <c r="B13" s="150"/>
      <c r="C13" s="30" t="str">
        <f t="shared" si="3"/>
        <v/>
      </c>
      <c r="D13" s="147" t="str">
        <f>IFERROR(VLOOKUP($A13,Sheet1!$A$1:$B$80,2,0),"")</f>
        <v/>
      </c>
      <c r="E13" s="30" t="str">
        <f>IFERROR(VLOOKUP($A13,'Tổng Đơn'!$A$5:$E$52,5,0),"")</f>
        <v/>
      </c>
      <c r="F13" s="30" t="str">
        <f t="shared" ref="F13:F16" si="4">IF($B13="","",B13)</f>
        <v/>
      </c>
      <c r="G13" s="155" t="str">
        <f>IF(AND($C13="",$C12&lt;&gt;""),"Tổng Cộng",IFERROR(VLOOKUP($A13,Sheet1!$A$1:$D$80,4,0),""))</f>
        <v/>
      </c>
      <c r="H13" s="148" t="str">
        <f>IF($C12=MAX($C$8:$C$56),SUM($H$8:$H12),IFERROR($G13*$F13,""))</f>
        <v/>
      </c>
      <c r="I13" s="54" t="str">
        <f t="shared" si="2"/>
        <v/>
      </c>
      <c r="L13" s="31"/>
    </row>
    <row r="14" spans="1:14" s="29" customFormat="1" ht="14.25" customHeight="1" x14ac:dyDescent="0.25">
      <c r="A14" s="150"/>
      <c r="B14" s="150"/>
      <c r="C14" s="30" t="str">
        <f t="shared" si="3"/>
        <v/>
      </c>
      <c r="D14" s="147" t="str">
        <f>IFERROR(VLOOKUP($A14,Sheet1!$A$1:$B$80,2,0),"")</f>
        <v/>
      </c>
      <c r="E14" s="30" t="str">
        <f>IFERROR(VLOOKUP($A14,'Tổng Đơn'!$A$5:$E$52,5,0),"")</f>
        <v/>
      </c>
      <c r="F14" s="30" t="str">
        <f t="shared" si="4"/>
        <v/>
      </c>
      <c r="G14" s="155" t="str">
        <f>IF(AND($C14="",$C13&lt;&gt;""),"Tổng Cộng",IFERROR(VLOOKUP($A14,Sheet1!$A$1:$D$80,4,0),""))</f>
        <v/>
      </c>
      <c r="H14" s="148" t="str">
        <f>IF($C13=MAX($C$8:$C$56),SUM($H$8:$H13),IFERROR($G14*$F14,""))</f>
        <v/>
      </c>
      <c r="I14" s="54" t="str">
        <f t="shared" si="2"/>
        <v/>
      </c>
      <c r="L14" s="31"/>
      <c r="M14" s="132"/>
    </row>
    <row r="15" spans="1:14" s="29" customFormat="1" ht="14.25" customHeight="1" x14ac:dyDescent="0.25">
      <c r="A15" s="150"/>
      <c r="B15" s="150"/>
      <c r="C15" s="30" t="str">
        <f t="shared" si="3"/>
        <v/>
      </c>
      <c r="D15" s="147" t="str">
        <f>IFERROR(VLOOKUP($A15,Sheet1!$A$1:$B$80,2,0),"")</f>
        <v/>
      </c>
      <c r="E15" s="30" t="str">
        <f>IFERROR(VLOOKUP($A15,'Tổng Đơn'!$A$5:$E$52,5,0),"")</f>
        <v/>
      </c>
      <c r="F15" s="30" t="str">
        <f t="shared" si="4"/>
        <v/>
      </c>
      <c r="G15" s="155" t="str">
        <f>IF(AND($C15="",$C14&lt;&gt;""),"Tổng Cộng",IFERROR(VLOOKUP($A15,Sheet1!$A$1:$D$80,4,0),""))</f>
        <v/>
      </c>
      <c r="H15" s="148" t="str">
        <f>IF($C14=MAX($C$8:$C$56),SUM($H$8:$H14),IFERROR($G15*$F15,""))</f>
        <v/>
      </c>
      <c r="I15" s="54" t="str">
        <f t="shared" si="2"/>
        <v/>
      </c>
      <c r="L15" s="31"/>
    </row>
    <row r="16" spans="1:14" s="29" customFormat="1" ht="14.25" customHeight="1" x14ac:dyDescent="0.25">
      <c r="A16" s="150"/>
      <c r="B16" s="150"/>
      <c r="C16" s="30" t="str">
        <f t="shared" si="3"/>
        <v/>
      </c>
      <c r="D16" s="147" t="str">
        <f>IFERROR(VLOOKUP($A16,Sheet1!$A$1:$B$80,2,0),"")</f>
        <v/>
      </c>
      <c r="E16" s="30" t="str">
        <f>IFERROR(VLOOKUP($A16,'Tổng Đơn'!$A$5:$E$52,5,0),"")</f>
        <v/>
      </c>
      <c r="F16" s="30" t="str">
        <f t="shared" si="4"/>
        <v/>
      </c>
      <c r="G16" s="155" t="str">
        <f>IF(AND($C16="",$C15&lt;&gt;""),"Tổng Cộng",IFERROR(VLOOKUP($A16,Sheet1!$A$1:$D$80,4,0),""))</f>
        <v/>
      </c>
      <c r="H16" s="148" t="str">
        <f>IF($C15=MAX($C$8:$C$56),SUM($H$8:$H15),IFERROR($G16*$F16,""))</f>
        <v/>
      </c>
      <c r="I16" s="54" t="str">
        <f t="shared" si="2"/>
        <v/>
      </c>
      <c r="L16" s="31"/>
    </row>
    <row r="17" spans="1:12" s="29" customFormat="1" ht="14.25" customHeight="1" x14ac:dyDescent="0.25">
      <c r="A17" s="150"/>
      <c r="B17" s="150"/>
      <c r="C17" s="30" t="str">
        <f t="shared" si="3"/>
        <v/>
      </c>
      <c r="D17" s="147" t="str">
        <f>IFERROR(VLOOKUP($A17,Sheet1!$A$1:$B$80,2,0),"")</f>
        <v/>
      </c>
      <c r="E17" s="30" t="str">
        <f>IFERROR(VLOOKUP($A17,'Tổng Đơn'!$A$5:$E$52,5,0),"")</f>
        <v/>
      </c>
      <c r="F17" s="30" t="str">
        <f t="shared" ref="F17" si="5">IF($B17="","",B17)</f>
        <v/>
      </c>
      <c r="G17" s="155" t="str">
        <f>IF(AND($C17="",$C16&lt;&gt;""),"Tổng Cộng",IFERROR(VLOOKUP($A17,Sheet1!$A$1:$D$80,4,0),""))</f>
        <v/>
      </c>
      <c r="H17" s="148" t="str">
        <f>IF($C16=MAX($C$8:$C$56),SUM($H$8:$H16),IFERROR($G17*$F17,""))</f>
        <v/>
      </c>
      <c r="I17" s="54" t="str">
        <f t="shared" si="2"/>
        <v/>
      </c>
      <c r="L17" s="31"/>
    </row>
    <row r="18" spans="1:12" s="29" customFormat="1" ht="14.25" customHeight="1" x14ac:dyDescent="0.25">
      <c r="A18" s="150"/>
      <c r="B18" s="150"/>
      <c r="C18" s="30" t="str">
        <f t="shared" si="3"/>
        <v/>
      </c>
      <c r="D18" s="147" t="str">
        <f>IFERROR(VLOOKUP($A18,Sheet1!$A$1:$B$80,2,0),"")</f>
        <v/>
      </c>
      <c r="E18" s="30" t="str">
        <f>IFERROR(VLOOKUP($A18,'Tổng Đơn'!$A$5:$E$52,5,0),"")</f>
        <v/>
      </c>
      <c r="F18" s="30" t="str">
        <f t="shared" ref="F18:F22" si="6">IF($B18="","",B18)</f>
        <v/>
      </c>
      <c r="G18" s="155" t="str">
        <f>IF(AND($C18="",$C17&lt;&gt;""),"Tổng Cộng",IFERROR(VLOOKUP($A18,Sheet1!$A$1:$D$80,4,0),""))</f>
        <v/>
      </c>
      <c r="H18" s="148" t="str">
        <f>IF($C17=MAX($C$8:$C$56),SUM($H$8:$H17),IFERROR($G18*$F18,""))</f>
        <v/>
      </c>
      <c r="I18" s="54" t="str">
        <f t="shared" si="2"/>
        <v/>
      </c>
      <c r="L18" s="31"/>
    </row>
    <row r="19" spans="1:12" s="29" customFormat="1" ht="14.25" customHeight="1" x14ac:dyDescent="0.25">
      <c r="A19" s="150"/>
      <c r="B19" s="150"/>
      <c r="C19" s="30" t="str">
        <f t="shared" si="3"/>
        <v/>
      </c>
      <c r="D19" s="147" t="str">
        <f>IFERROR(VLOOKUP($A19,Sheet1!$A$1:$B$80,2,0),"")</f>
        <v/>
      </c>
      <c r="E19" s="30" t="str">
        <f>IFERROR(VLOOKUP($A19,'Tổng Đơn'!$A$5:$E$52,5,0),"")</f>
        <v/>
      </c>
      <c r="F19" s="30" t="str">
        <f t="shared" si="6"/>
        <v/>
      </c>
      <c r="G19" s="155" t="str">
        <f>IF(AND($C19="",$C18&lt;&gt;""),"Tổng Cộng",IFERROR(VLOOKUP($A19,Sheet1!$A$1:$D$80,4,0),""))</f>
        <v/>
      </c>
      <c r="H19" s="148" t="str">
        <f>IF($C18=MAX($C$8:$C$56),SUM($H$8:$H18),IFERROR($G19*$F19,""))</f>
        <v/>
      </c>
      <c r="I19" s="54" t="str">
        <f t="shared" si="2"/>
        <v/>
      </c>
      <c r="L19" s="31"/>
    </row>
    <row r="20" spans="1:12" s="29" customFormat="1" ht="14.25" customHeight="1" x14ac:dyDescent="0.25">
      <c r="A20" s="150"/>
      <c r="B20" s="150"/>
      <c r="C20" s="30" t="str">
        <f t="shared" si="3"/>
        <v/>
      </c>
      <c r="D20" s="147" t="str">
        <f>IFERROR(VLOOKUP($A20,Sheet1!$A$1:$B$80,2,0),"")</f>
        <v/>
      </c>
      <c r="E20" s="30" t="str">
        <f>IFERROR(VLOOKUP($A20,'Tổng Đơn'!$A$5:$E$52,5,0),"")</f>
        <v/>
      </c>
      <c r="F20" s="30" t="str">
        <f t="shared" si="6"/>
        <v/>
      </c>
      <c r="G20" s="155" t="str">
        <f>IF(AND($C20="",$C19&lt;&gt;""),"Tổng Cộng",IFERROR(VLOOKUP($A20,Sheet1!$A$1:$D$80,4,0),""))</f>
        <v/>
      </c>
      <c r="H20" s="148" t="str">
        <f>IF($C19=MAX($C$8:$C$56),SUM($H$8:$H19),IFERROR($G20*$F20,""))</f>
        <v/>
      </c>
      <c r="I20" s="54" t="str">
        <f t="shared" si="2"/>
        <v/>
      </c>
      <c r="L20" s="31"/>
    </row>
    <row r="21" spans="1:12" s="29" customFormat="1" ht="14.25" customHeight="1" x14ac:dyDescent="0.25">
      <c r="A21" s="150"/>
      <c r="B21" s="150"/>
      <c r="C21" s="30" t="str">
        <f t="shared" si="3"/>
        <v/>
      </c>
      <c r="D21" s="147" t="str">
        <f>IFERROR(VLOOKUP($A21,Sheet1!$A$1:$B$80,2,0),"")</f>
        <v/>
      </c>
      <c r="E21" s="30" t="str">
        <f>IFERROR(VLOOKUP($A21,'Tổng Đơn'!$A$5:$E$52,5,0),"")</f>
        <v/>
      </c>
      <c r="F21" s="30" t="str">
        <f t="shared" si="6"/>
        <v/>
      </c>
      <c r="G21" s="155" t="str">
        <f>IF(AND($C21="",$C20&lt;&gt;""),"Tổng Cộng",IFERROR(VLOOKUP($A21,Sheet1!$A$1:$D$80,4,0),""))</f>
        <v/>
      </c>
      <c r="H21" s="148" t="str">
        <f>IF($C20=MAX($C$8:$C$56),SUM($H$8:$H20),IFERROR($G21*$F21,""))</f>
        <v/>
      </c>
      <c r="I21" s="54" t="str">
        <f t="shared" si="2"/>
        <v/>
      </c>
      <c r="L21" s="31"/>
    </row>
    <row r="22" spans="1:12" s="29" customFormat="1" ht="14.25" customHeight="1" x14ac:dyDescent="0.25">
      <c r="A22" s="150"/>
      <c r="B22" s="150"/>
      <c r="C22" s="30" t="str">
        <f t="shared" si="3"/>
        <v/>
      </c>
      <c r="D22" s="147" t="str">
        <f>IFERROR(VLOOKUP($A22,Sheet1!$A$1:$B$80,2,0),"")</f>
        <v/>
      </c>
      <c r="E22" s="30" t="str">
        <f>IFERROR(VLOOKUP($A22,'Tổng Đơn'!$A$5:$E$52,5,0),"")</f>
        <v/>
      </c>
      <c r="F22" s="30" t="str">
        <f t="shared" si="6"/>
        <v/>
      </c>
      <c r="G22" s="155" t="str">
        <f>IF(AND($C22="",$C21&lt;&gt;""),"Tổng Cộng",IFERROR(VLOOKUP($A22,Sheet1!$A$1:$D$80,4,0),""))</f>
        <v/>
      </c>
      <c r="H22" s="148" t="str">
        <f>IF($C21=MAX($C$8:$C$56),SUM($H$8:$H21),IFERROR($G22*$F22,""))</f>
        <v/>
      </c>
      <c r="I22" s="54" t="str">
        <f t="shared" si="2"/>
        <v/>
      </c>
      <c r="L22" s="31"/>
    </row>
    <row r="23" spans="1:12" s="29" customFormat="1" ht="14.25" customHeight="1" x14ac:dyDescent="0.25">
      <c r="A23" s="150"/>
      <c r="B23" s="150"/>
      <c r="C23" s="30" t="str">
        <f t="shared" ref="C23:C37" si="7">IF(OR(SUM($C22,$A23&lt;&gt;"")=0,$A23=""),"",SUM($C22,$A23&lt;&gt;""))</f>
        <v/>
      </c>
      <c r="D23" s="147" t="str">
        <f>IFERROR(VLOOKUP($A23,Sheet1!$A$1:$B$80,2,0),"")</f>
        <v/>
      </c>
      <c r="E23" s="30" t="str">
        <f>IFERROR(VLOOKUP($A23,'Tổng Đơn'!$A$5:$E$52,5,0),"")</f>
        <v/>
      </c>
      <c r="F23" s="30" t="str">
        <f t="shared" ref="F23:F37" si="8">IF($B23="","",B23)</f>
        <v/>
      </c>
      <c r="G23" s="155" t="str">
        <f>IF(AND($C23="",$C22&lt;&gt;""),"Tổng Cộng",IFERROR(VLOOKUP($A23,Sheet1!$A$1:$D$80,4,0),""))</f>
        <v/>
      </c>
      <c r="H23" s="148" t="str">
        <f>IF($C22=MAX($C$8:$C$56),SUM($H$8:$H22),IFERROR($G23*$F23,""))</f>
        <v/>
      </c>
      <c r="I23" s="54" t="str">
        <f t="shared" si="2"/>
        <v/>
      </c>
      <c r="L23" s="31"/>
    </row>
    <row r="24" spans="1:12" s="29" customFormat="1" ht="14.25" customHeight="1" x14ac:dyDescent="0.25">
      <c r="A24" s="150"/>
      <c r="B24" s="150"/>
      <c r="C24" s="30" t="str">
        <f t="shared" si="7"/>
        <v/>
      </c>
      <c r="D24" s="147" t="str">
        <f>IFERROR(VLOOKUP($A24,Sheet1!$A$1:$B$80,2,0),"")</f>
        <v/>
      </c>
      <c r="E24" s="30" t="str">
        <f>IFERROR(VLOOKUP($A24,'Tổng Đơn'!$A$5:$E$52,5,0),"")</f>
        <v/>
      </c>
      <c r="F24" s="30" t="str">
        <f t="shared" si="8"/>
        <v/>
      </c>
      <c r="G24" s="155" t="str">
        <f>IF(AND($C24="",$C23&lt;&gt;""),"Tổng Cộng",IFERROR(VLOOKUP($A24,Sheet1!$A$1:$D$80,4,0),""))</f>
        <v/>
      </c>
      <c r="H24" s="148" t="str">
        <f>IF($C23=MAX($C$8:$C$56),SUM($H$8:$H23),IFERROR($G24*$F24,""))</f>
        <v/>
      </c>
      <c r="I24" s="54" t="str">
        <f t="shared" si="2"/>
        <v/>
      </c>
      <c r="L24" s="31"/>
    </row>
    <row r="25" spans="1:12" s="29" customFormat="1" ht="14.25" customHeight="1" x14ac:dyDescent="0.25">
      <c r="A25" s="150"/>
      <c r="B25" s="150"/>
      <c r="C25" s="30" t="str">
        <f t="shared" si="7"/>
        <v/>
      </c>
      <c r="D25" s="147" t="str">
        <f>IFERROR(VLOOKUP($A25,Sheet1!$A$1:$B$80,2,0),"")</f>
        <v/>
      </c>
      <c r="E25" s="30" t="str">
        <f>IFERROR(VLOOKUP($A25,'Tổng Đơn'!$A$5:$E$52,5,0),"")</f>
        <v/>
      </c>
      <c r="F25" s="30" t="str">
        <f t="shared" si="8"/>
        <v/>
      </c>
      <c r="G25" s="155" t="str">
        <f>IF(AND($C25="",$C24&lt;&gt;""),"Tổng Cộng",IFERROR(VLOOKUP($A25,Sheet1!$A$1:$D$80,4,0),""))</f>
        <v/>
      </c>
      <c r="H25" s="148" t="str">
        <f>IF($C24=MAX($C$8:$C$56),SUM($H$8:$H24),IFERROR($G25*$F25,""))</f>
        <v/>
      </c>
      <c r="I25" s="54" t="str">
        <f t="shared" si="2"/>
        <v/>
      </c>
      <c r="L25" s="31"/>
    </row>
    <row r="26" spans="1:12" s="29" customFormat="1" ht="14.25" customHeight="1" x14ac:dyDescent="0.25">
      <c r="A26" s="150"/>
      <c r="B26" s="150"/>
      <c r="C26" s="30" t="str">
        <f t="shared" si="7"/>
        <v/>
      </c>
      <c r="D26" s="147" t="str">
        <f>IFERROR(VLOOKUP($A26,Sheet1!$A$1:$B$80,2,0),"")</f>
        <v/>
      </c>
      <c r="E26" s="30" t="str">
        <f>IFERROR(VLOOKUP($A26,'Tổng Đơn'!$A$5:$E$52,5,0),"")</f>
        <v/>
      </c>
      <c r="F26" s="30" t="str">
        <f t="shared" si="8"/>
        <v/>
      </c>
      <c r="G26" s="155" t="str">
        <f>IF(AND($C26="",$C25&lt;&gt;""),"Tổng Cộng",IFERROR(VLOOKUP($A26,Sheet1!$A$1:$D$80,4,0),""))</f>
        <v/>
      </c>
      <c r="H26" s="148" t="str">
        <f>IF($C25=MAX($C$8:$C$56),SUM($H$8:$H25),IFERROR($G26*$F26,""))</f>
        <v/>
      </c>
      <c r="I26" s="54" t="str">
        <f t="shared" si="2"/>
        <v/>
      </c>
      <c r="L26" s="31"/>
    </row>
    <row r="27" spans="1:12" s="29" customFormat="1" ht="14.25" customHeight="1" x14ac:dyDescent="0.25">
      <c r="A27" s="150"/>
      <c r="B27" s="150"/>
      <c r="C27" s="30" t="str">
        <f t="shared" si="7"/>
        <v/>
      </c>
      <c r="D27" s="147" t="str">
        <f>IFERROR(VLOOKUP($A27,Sheet1!$A$1:$B$80,2,0),"")</f>
        <v/>
      </c>
      <c r="E27" s="30" t="str">
        <f>IFERROR(VLOOKUP($A27,'Tổng Đơn'!$A$5:$E$52,5,0),"")</f>
        <v/>
      </c>
      <c r="F27" s="30" t="str">
        <f t="shared" si="8"/>
        <v/>
      </c>
      <c r="G27" s="155" t="str">
        <f>IF(AND($C27="",$C26&lt;&gt;""),"Tổng Cộng",IFERROR(VLOOKUP($A27,Sheet1!$A$1:$D$80,4,0),""))</f>
        <v/>
      </c>
      <c r="H27" s="148" t="str">
        <f>IF($C26=MAX($C$8:$C$56),SUM($H$8:$H26),IFERROR($G27*$F27,""))</f>
        <v/>
      </c>
      <c r="I27" s="54" t="str">
        <f t="shared" si="2"/>
        <v/>
      </c>
      <c r="L27" s="31"/>
    </row>
    <row r="28" spans="1:12" s="29" customFormat="1" ht="14.25" customHeight="1" x14ac:dyDescent="0.25">
      <c r="A28" s="150"/>
      <c r="B28" s="150"/>
      <c r="C28" s="30" t="str">
        <f t="shared" si="7"/>
        <v/>
      </c>
      <c r="D28" s="147" t="str">
        <f>IFERROR(VLOOKUP($A28,Sheet1!$A$1:$B$80,2,0),"")</f>
        <v/>
      </c>
      <c r="E28" s="30" t="str">
        <f>IFERROR(VLOOKUP($A28,'Tổng Đơn'!$A$5:$E$52,5,0),"")</f>
        <v/>
      </c>
      <c r="F28" s="30" t="str">
        <f t="shared" si="8"/>
        <v/>
      </c>
      <c r="G28" s="155" t="str">
        <f>IF(AND($C28="",$C27&lt;&gt;""),"Tổng Cộng",IFERROR(VLOOKUP($A28,Sheet1!$A$1:$D$80,4,0),""))</f>
        <v/>
      </c>
      <c r="H28" s="148" t="str">
        <f>IF($C27=MAX($C$8:$C$56),SUM($H$8:$H27),IFERROR($G28*$F28,""))</f>
        <v/>
      </c>
      <c r="I28" s="54" t="str">
        <f t="shared" si="2"/>
        <v/>
      </c>
      <c r="L28" s="31"/>
    </row>
    <row r="29" spans="1:12" s="29" customFormat="1" ht="14.25" customHeight="1" x14ac:dyDescent="0.25">
      <c r="A29" s="150"/>
      <c r="B29" s="150"/>
      <c r="C29" s="30" t="str">
        <f t="shared" si="7"/>
        <v/>
      </c>
      <c r="D29" s="147" t="str">
        <f>IFERROR(VLOOKUP($A29,Sheet1!$A$1:$B$80,2,0),"")</f>
        <v/>
      </c>
      <c r="E29" s="30" t="str">
        <f>IFERROR(VLOOKUP($A29,'Tổng Đơn'!$A$5:$E$52,5,0),"")</f>
        <v/>
      </c>
      <c r="F29" s="30" t="str">
        <f t="shared" si="8"/>
        <v/>
      </c>
      <c r="G29" s="155" t="str">
        <f>IF(AND($C29="",$C28&lt;&gt;""),"Tổng Cộng",IFERROR(VLOOKUP($A29,Sheet1!$A$1:$D$80,4,0),""))</f>
        <v/>
      </c>
      <c r="H29" s="148" t="str">
        <f>IF($C28=MAX($C$8:$C$56),SUM($H$8:$H28),IFERROR($G29*$F29,""))</f>
        <v/>
      </c>
      <c r="I29" s="54" t="str">
        <f t="shared" si="2"/>
        <v/>
      </c>
      <c r="L29" s="31"/>
    </row>
    <row r="30" spans="1:12" s="29" customFormat="1" ht="14.25" customHeight="1" x14ac:dyDescent="0.25">
      <c r="A30" s="150"/>
      <c r="B30" s="150"/>
      <c r="C30" s="30" t="str">
        <f t="shared" si="7"/>
        <v/>
      </c>
      <c r="D30" s="147" t="str">
        <f>IFERROR(VLOOKUP($A30,Sheet1!$A$1:$B$80,2,0),"")</f>
        <v/>
      </c>
      <c r="E30" s="30" t="str">
        <f>IFERROR(VLOOKUP($A30,'Tổng Đơn'!$A$5:$E$52,5,0),"")</f>
        <v/>
      </c>
      <c r="F30" s="30" t="str">
        <f t="shared" si="8"/>
        <v/>
      </c>
      <c r="G30" s="155" t="str">
        <f>IF(AND($C30="",$C29&lt;&gt;""),"Tổng Cộng",IFERROR(VLOOKUP($A30,Sheet1!$A$1:$D$80,4,0),""))</f>
        <v/>
      </c>
      <c r="H30" s="148" t="str">
        <f>IF($C29=MAX($C$8:$C$56),SUM($H$8:$H29),IFERROR($G30*$F30,""))</f>
        <v/>
      </c>
      <c r="I30" s="54" t="str">
        <f t="shared" si="2"/>
        <v/>
      </c>
      <c r="L30" s="31"/>
    </row>
    <row r="31" spans="1:12" s="29" customFormat="1" ht="14.25" customHeight="1" x14ac:dyDescent="0.25">
      <c r="A31" s="150"/>
      <c r="B31" s="150"/>
      <c r="C31" s="30" t="str">
        <f t="shared" si="7"/>
        <v/>
      </c>
      <c r="D31" s="147" t="str">
        <f>IFERROR(VLOOKUP($A31,Sheet1!$A$1:$B$80,2,0),"")</f>
        <v/>
      </c>
      <c r="E31" s="30" t="str">
        <f>IFERROR(VLOOKUP($A31,'Tổng Đơn'!$A$5:$E$52,5,0),"")</f>
        <v/>
      </c>
      <c r="F31" s="30" t="str">
        <f t="shared" si="8"/>
        <v/>
      </c>
      <c r="G31" s="155" t="str">
        <f>IF(AND($C31="",$C30&lt;&gt;""),"Tổng Cộng",IFERROR(VLOOKUP($A31,Sheet1!$A$1:$D$80,4,0),""))</f>
        <v/>
      </c>
      <c r="H31" s="148" t="str">
        <f>IF($C30=MAX($C$8:$C$56),SUM($H$8:$H30),IFERROR($G31*$F31,""))</f>
        <v/>
      </c>
      <c r="I31" s="54" t="str">
        <f t="shared" si="2"/>
        <v/>
      </c>
      <c r="L31" s="31"/>
    </row>
    <row r="32" spans="1:12" s="29" customFormat="1" ht="14.25" customHeight="1" x14ac:dyDescent="0.25">
      <c r="A32" s="150"/>
      <c r="B32" s="150"/>
      <c r="C32" s="30" t="str">
        <f t="shared" si="7"/>
        <v/>
      </c>
      <c r="D32" s="147" t="str">
        <f>IFERROR(VLOOKUP($A32,Sheet1!$A$1:$B$80,2,0),"")</f>
        <v/>
      </c>
      <c r="E32" s="30" t="str">
        <f>IFERROR(VLOOKUP($A32,'Tổng Đơn'!$A$5:$E$52,5,0),"")</f>
        <v/>
      </c>
      <c r="F32" s="30" t="str">
        <f t="shared" si="8"/>
        <v/>
      </c>
      <c r="G32" s="155" t="str">
        <f>IF(AND($C32="",$C31&lt;&gt;""),"Tổng Cộng",IFERROR(VLOOKUP($A32,Sheet1!$A$1:$D$80,4,0),""))</f>
        <v/>
      </c>
      <c r="H32" s="148" t="str">
        <f>IF($C31=MAX($C$8:$C$56),SUM($H$8:$H31),IFERROR($G32*$F32,""))</f>
        <v/>
      </c>
      <c r="I32" s="54" t="str">
        <f t="shared" si="2"/>
        <v/>
      </c>
      <c r="L32" s="31"/>
    </row>
    <row r="33" spans="1:12" s="29" customFormat="1" ht="14.25" customHeight="1" x14ac:dyDescent="0.25">
      <c r="A33" s="150"/>
      <c r="B33" s="150"/>
      <c r="C33" s="30" t="str">
        <f t="shared" si="7"/>
        <v/>
      </c>
      <c r="D33" s="147" t="str">
        <f>IFERROR(VLOOKUP($A33,Sheet1!$A$1:$B$80,2,0),"")</f>
        <v/>
      </c>
      <c r="E33" s="30" t="str">
        <f>IFERROR(VLOOKUP($A33,'Tổng Đơn'!$A$5:$E$52,5,0),"")</f>
        <v/>
      </c>
      <c r="F33" s="30" t="str">
        <f t="shared" si="8"/>
        <v/>
      </c>
      <c r="G33" s="155" t="str">
        <f>IF(AND($C33="",$C32&lt;&gt;""),"Tổng Cộng",IFERROR(VLOOKUP($A33,Sheet1!$A$1:$D$80,4,0),""))</f>
        <v/>
      </c>
      <c r="H33" s="148" t="str">
        <f>IF($C32=MAX($C$8:$C$56),SUM($H$8:$H32),IFERROR($G33*$F33,""))</f>
        <v/>
      </c>
      <c r="I33" s="54" t="str">
        <f t="shared" si="2"/>
        <v/>
      </c>
      <c r="L33" s="31"/>
    </row>
    <row r="34" spans="1:12" s="29" customFormat="1" ht="14.25" customHeight="1" x14ac:dyDescent="0.25">
      <c r="A34" s="150"/>
      <c r="B34" s="150"/>
      <c r="C34" s="30" t="str">
        <f t="shared" si="7"/>
        <v/>
      </c>
      <c r="D34" s="147" t="str">
        <f>IFERROR(VLOOKUP($A34,Sheet1!$A$1:$B$80,2,0),"")</f>
        <v/>
      </c>
      <c r="E34" s="30" t="str">
        <f>IFERROR(VLOOKUP($A34,'Tổng Đơn'!$A$5:$E$52,5,0),"")</f>
        <v/>
      </c>
      <c r="F34" s="30" t="str">
        <f t="shared" si="8"/>
        <v/>
      </c>
      <c r="G34" s="155" t="str">
        <f>IF(AND($C34="",$C33&lt;&gt;""),"Tổng Cộng",IFERROR(VLOOKUP($A34,Sheet1!$A$1:$D$80,4,0),""))</f>
        <v/>
      </c>
      <c r="H34" s="148" t="str">
        <f>IF($C33=MAX($C$8:$C$56),SUM($H$8:$H33),IFERROR($G34*$F34,""))</f>
        <v/>
      </c>
      <c r="I34" s="54" t="str">
        <f t="shared" si="2"/>
        <v/>
      </c>
      <c r="L34" s="31"/>
    </row>
    <row r="35" spans="1:12" s="29" customFormat="1" ht="14.25" customHeight="1" x14ac:dyDescent="0.25">
      <c r="A35" s="150"/>
      <c r="B35" s="150"/>
      <c r="C35" s="30" t="str">
        <f t="shared" si="7"/>
        <v/>
      </c>
      <c r="D35" s="147" t="str">
        <f>IFERROR(VLOOKUP($A35,Sheet1!$A$1:$B$80,2,0),"")</f>
        <v/>
      </c>
      <c r="E35" s="30" t="str">
        <f>IFERROR(VLOOKUP($A35,'Tổng Đơn'!$A$5:$E$52,5,0),"")</f>
        <v/>
      </c>
      <c r="F35" s="30" t="str">
        <f t="shared" si="8"/>
        <v/>
      </c>
      <c r="G35" s="155" t="str">
        <f>IF(AND($C35="",$C34&lt;&gt;""),"Tổng Cộng",IFERROR(VLOOKUP($A35,Sheet1!$A$1:$D$80,4,0),""))</f>
        <v/>
      </c>
      <c r="H35" s="148" t="str">
        <f>IF($C34=MAX($C$8:$C$56),SUM($H$8:$H34),IFERROR($G35*$F35,""))</f>
        <v/>
      </c>
      <c r="I35" s="54" t="str">
        <f t="shared" si="2"/>
        <v/>
      </c>
      <c r="L35" s="31"/>
    </row>
    <row r="36" spans="1:12" s="29" customFormat="1" ht="14.25" customHeight="1" x14ac:dyDescent="0.25">
      <c r="A36" s="150"/>
      <c r="B36" s="150"/>
      <c r="C36" s="30" t="str">
        <f t="shared" si="7"/>
        <v/>
      </c>
      <c r="D36" s="147" t="str">
        <f>IFERROR(VLOOKUP($A36,Sheet1!$A$1:$B$80,2,0),"")</f>
        <v/>
      </c>
      <c r="E36" s="30" t="str">
        <f>IFERROR(VLOOKUP($A36,'Tổng Đơn'!$A$5:$E$52,5,0),"")</f>
        <v/>
      </c>
      <c r="F36" s="30" t="str">
        <f t="shared" si="8"/>
        <v/>
      </c>
      <c r="G36" s="155" t="str">
        <f>IF(AND($C36="",$C35&lt;&gt;""),"Tổng Cộng",IFERROR(VLOOKUP($A36,Sheet1!$A$1:$D$80,4,0),""))</f>
        <v/>
      </c>
      <c r="H36" s="148" t="str">
        <f>IF($C35=MAX($C$8:$C$56),SUM($H$8:$H35),IFERROR($G36*$F36,""))</f>
        <v/>
      </c>
      <c r="I36" s="54" t="str">
        <f t="shared" si="2"/>
        <v/>
      </c>
      <c r="L36" s="31"/>
    </row>
    <row r="37" spans="1:12" s="29" customFormat="1" ht="14.25" customHeight="1" x14ac:dyDescent="0.25">
      <c r="A37" s="150"/>
      <c r="B37" s="150"/>
      <c r="C37" s="30" t="str">
        <f t="shared" si="7"/>
        <v/>
      </c>
      <c r="D37" s="147" t="str">
        <f>IFERROR(VLOOKUP($A37,Sheet1!$A$1:$B$80,2,0),"")</f>
        <v/>
      </c>
      <c r="E37" s="30" t="str">
        <f>IFERROR(VLOOKUP($A37,'Tổng Đơn'!$A$5:$E$52,5,0),"")</f>
        <v/>
      </c>
      <c r="F37" s="30" t="str">
        <f t="shared" si="8"/>
        <v/>
      </c>
      <c r="G37" s="155" t="str">
        <f>IF(AND($C37="",$C36&lt;&gt;""),"Tổng Cộng",IFERROR(VLOOKUP($A37,Sheet1!$A$1:$D$80,4,0),""))</f>
        <v/>
      </c>
      <c r="H37" s="148" t="str">
        <f>IF($C36=MAX($C$8:$C$56),SUM($H$8:$H36),IFERROR($G37*$F37,""))</f>
        <v/>
      </c>
      <c r="I37" s="54" t="str">
        <f t="shared" si="2"/>
        <v/>
      </c>
      <c r="L37" s="31"/>
    </row>
    <row r="38" spans="1:12" s="29" customFormat="1" ht="14.25" customHeight="1" x14ac:dyDescent="0.25">
      <c r="A38" s="150"/>
      <c r="B38" s="150"/>
      <c r="C38" s="33"/>
      <c r="D38" s="34"/>
      <c r="E38" s="52"/>
      <c r="F38" s="30"/>
      <c r="G38" s="156" t="str">
        <f>IF(AND($C38="",$C37&lt;&gt;""),"Tổng Cộng",IFERROR(VLOOKUP($A38,Sheet1!$A$1:$D$80,4,0),""))</f>
        <v/>
      </c>
      <c r="H38" s="35" t="str">
        <f>IF($C37=MAX($C$8:$C$56),SUM($H$8:$H37),IFERROR($G38*$F38,""))</f>
        <v/>
      </c>
      <c r="I38" s="54"/>
      <c r="L38" s="31"/>
    </row>
    <row r="39" spans="1:12" ht="15" customHeight="1" x14ac:dyDescent="0.25">
      <c r="F39" s="36"/>
      <c r="G39" s="139"/>
      <c r="H39" s="37"/>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C38:E38 D23:E37 F23:H38">
    <cfRule type="expression" dxfId="599" priority="86">
      <formula>$C22=MAX($C$8:$C$37)</formula>
    </cfRule>
  </conditionalFormatting>
  <conditionalFormatting sqref="C23:C37">
    <cfRule type="expression" dxfId="598" priority="85">
      <formula>$C22=MAX($C$8:$C$37)</formula>
    </cfRule>
  </conditionalFormatting>
  <conditionalFormatting sqref="E23:E38">
    <cfRule type="expression" dxfId="597" priority="87">
      <formula>AND($A23="",$F23&lt;&gt;"")</formula>
    </cfRule>
  </conditionalFormatting>
  <conditionalFormatting sqref="F23:F38">
    <cfRule type="expression" dxfId="596" priority="88">
      <formula>AND($F23="",$A23&lt;&gt;"")</formula>
    </cfRule>
  </conditionalFormatting>
  <conditionalFormatting sqref="D20:H22">
    <cfRule type="expression" dxfId="595" priority="34">
      <formula>$C19=MAX($C$8:$C$37)</formula>
    </cfRule>
  </conditionalFormatting>
  <conditionalFormatting sqref="C20:C22">
    <cfRule type="expression" dxfId="594" priority="33">
      <formula>$C19=MAX($C$8:$C$37)</formula>
    </cfRule>
  </conditionalFormatting>
  <conditionalFormatting sqref="E20:E22">
    <cfRule type="expression" dxfId="593" priority="35">
      <formula>AND($A20="",$F20&lt;&gt;"")</formula>
    </cfRule>
  </conditionalFormatting>
  <conditionalFormatting sqref="F20:F22">
    <cfRule type="expression" dxfId="592" priority="36">
      <formula>AND($F20="",$A20&lt;&gt;"")</formula>
    </cfRule>
  </conditionalFormatting>
  <conditionalFormatting sqref="D15:H19 D12:F14 H12:H14">
    <cfRule type="expression" dxfId="591" priority="30">
      <formula>$C11=MAX($C$8:$C$37)</formula>
    </cfRule>
  </conditionalFormatting>
  <conditionalFormatting sqref="C12:C19">
    <cfRule type="expression" dxfId="590" priority="29">
      <formula>$C11=MAX($C$8:$C$37)</formula>
    </cfRule>
  </conditionalFormatting>
  <conditionalFormatting sqref="E12:E19">
    <cfRule type="expression" dxfId="589" priority="31">
      <formula>AND($A12="",$F12&lt;&gt;"")</formula>
    </cfRule>
  </conditionalFormatting>
  <conditionalFormatting sqref="F12:F19">
    <cfRule type="expression" dxfId="588" priority="32">
      <formula>AND($F12="",$A12&lt;&gt;"")</formula>
    </cfRule>
  </conditionalFormatting>
  <conditionalFormatting sqref="G12:G14">
    <cfRule type="expression" dxfId="587" priority="13">
      <formula>$C11=MAX($C$8:$C$37)</formula>
    </cfRule>
  </conditionalFormatting>
  <conditionalFormatting sqref="D9:F11 H9:H11">
    <cfRule type="expression" dxfId="586" priority="9">
      <formula>$C8=MAX($C$8:$C$37)</formula>
    </cfRule>
  </conditionalFormatting>
  <conditionalFormatting sqref="C9:C11">
    <cfRule type="expression" dxfId="585" priority="8">
      <formula>$C8=MAX($C$8:$C$37)</formula>
    </cfRule>
  </conditionalFormatting>
  <conditionalFormatting sqref="E9:E11">
    <cfRule type="expression" dxfId="584" priority="10">
      <formula>AND($A9="",$F9&lt;&gt;"")</formula>
    </cfRule>
  </conditionalFormatting>
  <conditionalFormatting sqref="F9:F11">
    <cfRule type="expression" dxfId="583" priority="11">
      <formula>AND($F9="",$A9&lt;&gt;"")</formula>
    </cfRule>
  </conditionalFormatting>
  <conditionalFormatting sqref="D8:F8">
    <cfRule type="expression" dxfId="582" priority="5">
      <formula>$C7=MAX($C$8:$C$37)</formula>
    </cfRule>
  </conditionalFormatting>
  <conditionalFormatting sqref="C8">
    <cfRule type="expression" dxfId="581" priority="4">
      <formula>$C7=MAX($C$8:$C$37)</formula>
    </cfRule>
  </conditionalFormatting>
  <conditionalFormatting sqref="E8">
    <cfRule type="expression" dxfId="580" priority="6">
      <formula>AND($A8="",$F8&lt;&gt;"")</formula>
    </cfRule>
  </conditionalFormatting>
  <conditionalFormatting sqref="F8">
    <cfRule type="expression" dxfId="579" priority="7">
      <formula>AND($F8="",$A8&lt;&gt;"")</formula>
    </cfRule>
  </conditionalFormatting>
  <conditionalFormatting sqref="H8">
    <cfRule type="expression" dxfId="578" priority="3">
      <formula>$C7=MAX($C$8:$C$37)</formula>
    </cfRule>
  </conditionalFormatting>
  <conditionalFormatting sqref="G9:G11">
    <cfRule type="expression" dxfId="577" priority="2">
      <formula>$C8=MAX($C$8:$C$37)</formula>
    </cfRule>
  </conditionalFormatting>
  <conditionalFormatting sqref="G8">
    <cfRule type="expression" dxfId="576" priority="1">
      <formula>$C7=MAX($C$8:$C$37)</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733185" r:id="rId4" name="Button 1">
              <controlPr defaultSize="0" print="0" autoFill="0" autoPict="0" macro="[0]!Macro4">
                <anchor moveWithCells="1" sizeWithCells="1">
                  <from>
                    <xdr:col>0</xdr:col>
                    <xdr:colOff>0</xdr:colOff>
                    <xdr:row>0</xdr:row>
                    <xdr:rowOff>0</xdr:rowOff>
                  </from>
                  <to>
                    <xdr:col>1</xdr:col>
                    <xdr:colOff>769620</xdr:colOff>
                    <xdr:row>7</xdr:row>
                    <xdr:rowOff>0</xdr:rowOff>
                  </to>
                </anchor>
              </controlPr>
            </control>
          </mc:Choice>
        </mc:AlternateContent>
      </controls>
    </mc:Choice>
  </mc:AlternateContent>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31FCA59-66C4-4C04-9A5C-8AE589AEAB03}">
  <sheetPr codeName="Sheet57">
    <tabColor theme="1"/>
    <pageSetUpPr fitToPage="1"/>
  </sheetPr>
  <dimension ref="A1:N53"/>
  <sheetViews>
    <sheetView zoomScaleNormal="100" workbookViewId="0">
      <pane ySplit="7" topLeftCell="A8" activePane="bottomLeft" state="frozen"/>
      <selection activeCell="Q2" sqref="Q2"/>
      <selection pane="bottomLeft" activeCell="H13" sqref="H13"/>
    </sheetView>
  </sheetViews>
  <sheetFormatPr defaultColWidth="9.09765625" defaultRowHeight="13.8" x14ac:dyDescent="0.25"/>
  <cols>
    <col min="1" max="1" width="11.69921875" style="14" customWidth="1"/>
    <col min="2" max="2" width="11.296875" style="14" customWidth="1"/>
    <col min="3" max="3" width="9.09765625" style="14"/>
    <col min="4" max="4" width="38.3984375" style="14" bestFit="1" customWidth="1"/>
    <col min="5" max="5" width="12.296875" style="53" bestFit="1" customWidth="1"/>
    <col min="6" max="6" width="11" style="14" customWidth="1"/>
    <col min="7" max="7" width="17.8984375" style="14" customWidth="1"/>
    <col min="8" max="8" width="17.8984375" style="15" customWidth="1"/>
    <col min="9" max="9" width="21.8984375" style="14" customWidth="1"/>
    <col min="10" max="10" width="10.09765625" style="14" customWidth="1"/>
    <col min="11" max="11" width="9.09765625" style="14"/>
    <col min="12" max="12" width="11.69921875" style="14" customWidth="1"/>
    <col min="13" max="14" width="10.09765625" style="14" bestFit="1" customWidth="1"/>
    <col min="15" max="16384" width="9.09765625" style="14"/>
  </cols>
  <sheetData>
    <row r="1" spans="1:14" ht="15.75" customHeight="1" x14ac:dyDescent="0.25">
      <c r="C1" s="268" t="s">
        <v>164</v>
      </c>
      <c r="D1" s="268"/>
      <c r="E1" s="268"/>
      <c r="F1" s="268"/>
      <c r="G1" s="268"/>
      <c r="H1" s="268"/>
    </row>
    <row r="2" spans="1:14" ht="15.75" customHeight="1" x14ac:dyDescent="0.25">
      <c r="C2" s="268"/>
      <c r="D2" s="268"/>
      <c r="E2" s="268"/>
      <c r="F2" s="268"/>
      <c r="G2" s="268"/>
      <c r="H2" s="268"/>
    </row>
    <row r="3" spans="1:14" ht="15" customHeight="1" x14ac:dyDescent="0.25">
      <c r="C3" s="269" t="s">
        <v>166</v>
      </c>
      <c r="D3" s="269"/>
      <c r="E3" s="269"/>
      <c r="F3" s="270" t="s">
        <v>168</v>
      </c>
      <c r="G3" s="270"/>
      <c r="H3" s="270"/>
    </row>
    <row r="4" spans="1:14" x14ac:dyDescent="0.25">
      <c r="C4" s="269" t="s">
        <v>167</v>
      </c>
      <c r="D4" s="269"/>
      <c r="E4" s="269"/>
      <c r="F4" s="271" t="s">
        <v>169</v>
      </c>
      <c r="G4" s="271"/>
      <c r="H4" s="271"/>
    </row>
    <row r="5" spans="1:14" s="140" customFormat="1" ht="21" customHeight="1" x14ac:dyDescent="0.25">
      <c r="C5" s="272" t="s">
        <v>165</v>
      </c>
      <c r="D5" s="272"/>
      <c r="E5" s="272"/>
      <c r="F5" s="272"/>
      <c r="G5" s="272"/>
      <c r="H5" s="272"/>
    </row>
    <row r="6" spans="1:14" s="140" customFormat="1" ht="16.5" customHeight="1" x14ac:dyDescent="0.25">
      <c r="C6" s="149" t="s">
        <v>170</v>
      </c>
      <c r="D6" s="152" t="s">
        <v>315</v>
      </c>
      <c r="E6" s="145"/>
      <c r="F6" s="145"/>
      <c r="G6" s="267" t="str">
        <f ca="1">"Ngày "&amp;DAY(TODAY())&amp;" Tháng "&amp;MONTH(TODAY())&amp;" Năm "&amp;YEAR(TODAY())</f>
        <v>Ngày 22 Tháng 1 Năm 2023</v>
      </c>
      <c r="H6" s="267"/>
    </row>
    <row r="7" spans="1:14" s="144" customFormat="1" ht="24" customHeight="1" x14ac:dyDescent="0.25">
      <c r="A7" s="141" t="s">
        <v>101</v>
      </c>
      <c r="B7" s="141" t="s">
        <v>15</v>
      </c>
      <c r="C7" s="142" t="s">
        <v>0</v>
      </c>
      <c r="D7" s="142" t="s">
        <v>16</v>
      </c>
      <c r="E7" s="146" t="str">
        <f>"Quy cách"&amp;CHAR(10)&amp;"(Kg)"</f>
        <v>Quy cách
(Kg)</v>
      </c>
      <c r="F7" s="142" t="s">
        <v>15</v>
      </c>
      <c r="G7" s="142" t="s">
        <v>17</v>
      </c>
      <c r="H7" s="142" t="s">
        <v>18</v>
      </c>
      <c r="I7" s="143">
        <f>SUBTOTAL(9,I8:I37)</f>
        <v>4.5</v>
      </c>
      <c r="L7" s="140"/>
    </row>
    <row r="8" spans="1:14" s="29" customFormat="1" ht="14.25" customHeight="1" x14ac:dyDescent="0.25">
      <c r="A8" s="150">
        <v>25</v>
      </c>
      <c r="B8" s="150">
        <v>1</v>
      </c>
      <c r="C8" s="30">
        <f t="shared" ref="C8:C37" si="0">IF(OR(SUM($C7,$A8&lt;&gt;"")=0,$A8=""),"",SUM($C7,$A8&lt;&gt;""))</f>
        <v>1</v>
      </c>
      <c r="D8" s="147" t="str">
        <f>IFERROR(VLOOKUP($A8,Sheet1!$A$1:$B$80,2,0),"")</f>
        <v>Đậu hủ phô mai EB</v>
      </c>
      <c r="E8" s="30">
        <f>IFERROR(VLOOKUP($A8,'Tổng Đơn'!$A$5:$E$52,5,0),"")</f>
        <v>0.5</v>
      </c>
      <c r="F8" s="30">
        <f t="shared" ref="F8:F37" si="1">IF($B8="","",B8)</f>
        <v>1</v>
      </c>
      <c r="G8" s="155">
        <f>IFERROR(VLOOKUP($A8,Sheet1!$A1:$D$80,4,0),"")</f>
        <v>80000</v>
      </c>
      <c r="H8" s="148">
        <f>IF($C7=MAX($C$8:$C$56),SUM($H7:$H$8),IFERROR($G8*$F8,""))</f>
        <v>80000</v>
      </c>
      <c r="I8" s="54">
        <f t="shared" ref="I8:I37" si="2">IF(TYPE($A8)&lt;&gt;1,"",IFERROR(F8*E8,""))</f>
        <v>0.5</v>
      </c>
      <c r="L8" s="32"/>
    </row>
    <row r="9" spans="1:14" s="29" customFormat="1" ht="14.25" customHeight="1" x14ac:dyDescent="0.25">
      <c r="A9" s="150">
        <v>34</v>
      </c>
      <c r="B9" s="150">
        <v>4</v>
      </c>
      <c r="C9" s="30">
        <f t="shared" si="0"/>
        <v>2</v>
      </c>
      <c r="D9" s="147" t="str">
        <f>IFERROR(VLOOKUP($A9,Sheet1!$A$1:$B$80,2,0),"")</f>
        <v>Cá viên KK</v>
      </c>
      <c r="E9" s="30">
        <f>IFERROR(VLOOKUP($A9,'Tổng Đơn'!$A$5:$E$52,5,0),"")</f>
        <v>0.5</v>
      </c>
      <c r="F9" s="30">
        <f t="shared" si="1"/>
        <v>4</v>
      </c>
      <c r="G9" s="155">
        <f>IF(AND($C9="",$C8&lt;&gt;""),"Tổng Cộng",IFERROR(VLOOKUP($A9,Sheet1!$A$1:$D$80,4,0),""))</f>
        <v>25000</v>
      </c>
      <c r="H9" s="148">
        <f>IF($C8=MAX($C$8:$C$56),SUM($H$8:$H8),IFERROR($G9*$F9,""))</f>
        <v>100000</v>
      </c>
      <c r="I9" s="54">
        <f t="shared" si="2"/>
        <v>2</v>
      </c>
      <c r="L9" s="31"/>
    </row>
    <row r="10" spans="1:14" s="29" customFormat="1" ht="14.25" customHeight="1" x14ac:dyDescent="0.25">
      <c r="A10" s="150">
        <v>38</v>
      </c>
      <c r="B10" s="150">
        <v>2</v>
      </c>
      <c r="C10" s="30">
        <f t="shared" si="0"/>
        <v>3</v>
      </c>
      <c r="D10" s="147" t="str">
        <f>IFERROR(VLOOKUP($A10,Sheet1!$A$1:$B$80,2,0),"")</f>
        <v>XX Đỏ KK</v>
      </c>
      <c r="E10" s="30">
        <f>IFERROR(VLOOKUP($A10,'Tổng Đơn'!$A$5:$E$52,5,0),"")</f>
        <v>0.5</v>
      </c>
      <c r="F10" s="30">
        <f t="shared" si="1"/>
        <v>2</v>
      </c>
      <c r="G10" s="155">
        <f>IF(AND($C10="",$C9&lt;&gt;""),"Tổng Cộng",IFERROR(VLOOKUP($A10,Sheet1!$A$1:$D$80,4,0),""))</f>
        <v>26000</v>
      </c>
      <c r="H10" s="148">
        <f>IF($C9=MAX($C$8:$C$56),SUM($H$8:$H9),IFERROR($G10*$F10,""))</f>
        <v>52000</v>
      </c>
      <c r="I10" s="54">
        <f t="shared" si="2"/>
        <v>1</v>
      </c>
      <c r="L10" s="31"/>
    </row>
    <row r="11" spans="1:14" s="29" customFormat="1" ht="14.25" customHeight="1" x14ac:dyDescent="0.25">
      <c r="A11" s="150">
        <v>39</v>
      </c>
      <c r="B11" s="150">
        <v>2</v>
      </c>
      <c r="C11" s="30">
        <f t="shared" si="0"/>
        <v>4</v>
      </c>
      <c r="D11" s="147" t="str">
        <f>IFERROR(VLOOKUP($A11,Sheet1!$A$1:$B$80,2,0),"")</f>
        <v>XX Đức KK</v>
      </c>
      <c r="E11" s="30">
        <f>IFERROR(VLOOKUP($A11,'Tổng Đơn'!$A$5:$E$52,5,0),"")</f>
        <v>0.5</v>
      </c>
      <c r="F11" s="30">
        <f t="shared" si="1"/>
        <v>2</v>
      </c>
      <c r="G11" s="155">
        <f>IF(AND($C11="",$C10&lt;&gt;""),"Tổng Cộng",IFERROR(VLOOKUP($A11,Sheet1!$A$1:$D$80,4,0),""))</f>
        <v>37000</v>
      </c>
      <c r="H11" s="148">
        <f>IF($C10=MAX($C$8:$C$56),SUM($H$8:$H10),IFERROR($G11*$F11,""))</f>
        <v>74000</v>
      </c>
      <c r="I11" s="54">
        <f t="shared" si="2"/>
        <v>1</v>
      </c>
      <c r="L11" s="31"/>
    </row>
    <row r="12" spans="1:14" s="29" customFormat="1" ht="14.25" customHeight="1" x14ac:dyDescent="0.25">
      <c r="A12" s="150">
        <v>1</v>
      </c>
      <c r="B12" s="150">
        <v>1</v>
      </c>
      <c r="C12" s="30">
        <f t="shared" si="0"/>
        <v>5</v>
      </c>
      <c r="D12" s="147" t="s">
        <v>312</v>
      </c>
      <c r="E12" s="30" t="s">
        <v>234</v>
      </c>
      <c r="F12" s="30" t="s">
        <v>234</v>
      </c>
      <c r="G12" s="155" t="s">
        <v>234</v>
      </c>
      <c r="H12" s="148">
        <f>-4*2000</f>
        <v>-8000</v>
      </c>
      <c r="I12" s="54" t="str">
        <f t="shared" si="2"/>
        <v/>
      </c>
      <c r="J12" s="125"/>
      <c r="L12" s="31"/>
      <c r="N12" s="126"/>
    </row>
    <row r="13" spans="1:14" s="29" customFormat="1" ht="14.25" customHeight="1" x14ac:dyDescent="0.25">
      <c r="A13" s="150" t="s">
        <v>310</v>
      </c>
      <c r="B13" s="150"/>
      <c r="C13" s="30" t="str">
        <f t="shared" si="0"/>
        <v/>
      </c>
      <c r="D13" s="147" t="str">
        <f>IFERROR(VLOOKUP($A13,Sheet1!$A$1:$B$80,2,0),"")</f>
        <v/>
      </c>
      <c r="E13" s="30" t="str">
        <f>IFERROR(VLOOKUP($A13,'Tổng Đơn'!$A$5:$E$52,5,0),"")</f>
        <v/>
      </c>
      <c r="F13" s="30" t="str">
        <f t="shared" si="1"/>
        <v/>
      </c>
      <c r="G13" s="155" t="str">
        <f>IF(AND($C13="",$C12&lt;&gt;""),"Tổng Cộng",IFERROR(VLOOKUP($A13,Sheet1!$A$1:$D$80,4,0),""))</f>
        <v>Tổng Cộng</v>
      </c>
      <c r="H13" s="148">
        <f>IF($C12=MAX($C$8:$C$56),SUM($H$8:$H12),IFERROR($G13*$F13,""))</f>
        <v>298000</v>
      </c>
      <c r="I13" s="54" t="str">
        <f t="shared" si="2"/>
        <v/>
      </c>
      <c r="L13" s="31"/>
    </row>
    <row r="14" spans="1:14" s="29" customFormat="1" ht="14.25" customHeight="1" x14ac:dyDescent="0.25">
      <c r="A14" s="150" t="s">
        <v>310</v>
      </c>
      <c r="B14" s="150"/>
      <c r="C14" s="30" t="str">
        <f t="shared" si="0"/>
        <v/>
      </c>
      <c r="D14" s="147" t="str">
        <f>IFERROR(VLOOKUP($A14,Sheet1!$A$1:$B$80,2,0),"")</f>
        <v/>
      </c>
      <c r="E14" s="30" t="str">
        <f>IFERROR(VLOOKUP($A14,'Tổng Đơn'!$A$5:$E$52,5,0),"")</f>
        <v/>
      </c>
      <c r="F14" s="30" t="str">
        <f t="shared" si="1"/>
        <v/>
      </c>
      <c r="G14" s="155" t="str">
        <f>IF(AND($C14="",$C13&lt;&gt;""),"Tổng Cộng",IFERROR(VLOOKUP($A14,Sheet1!$A$1:$D$80,4,0),""))</f>
        <v/>
      </c>
      <c r="H14" s="148" t="str">
        <f>IF($C13=MAX($C$8:$C$56),SUM($H$8:$H13),IFERROR($G14*$F14,""))</f>
        <v/>
      </c>
      <c r="I14" s="54" t="str">
        <f t="shared" si="2"/>
        <v/>
      </c>
      <c r="L14" s="31"/>
      <c r="M14" s="132"/>
    </row>
    <row r="15" spans="1:14" s="29" customFormat="1" ht="14.25" customHeight="1" x14ac:dyDescent="0.25">
      <c r="A15" s="150" t="s">
        <v>310</v>
      </c>
      <c r="B15" s="150"/>
      <c r="C15" s="30" t="str">
        <f t="shared" si="0"/>
        <v/>
      </c>
      <c r="D15" s="147" t="str">
        <f>IFERROR(VLOOKUP($A15,Sheet1!$A$1:$B$80,2,0),"")</f>
        <v/>
      </c>
      <c r="E15" s="30" t="str">
        <f>IFERROR(VLOOKUP($A15,'Tổng Đơn'!$A$5:$E$52,5,0),"")</f>
        <v/>
      </c>
      <c r="F15" s="30" t="str">
        <f t="shared" si="1"/>
        <v/>
      </c>
      <c r="G15" s="155" t="str">
        <f>IF(AND($C15="",$C14&lt;&gt;""),"Tổng Cộng",IFERROR(VLOOKUP($A15,Sheet1!$A$1:$D$80,4,0),""))</f>
        <v/>
      </c>
      <c r="H15" s="148" t="str">
        <f>IF($C14=MAX($C$8:$C$56),SUM($H$8:$H14),IFERROR($G15*$F15,""))</f>
        <v/>
      </c>
      <c r="I15" s="54" t="str">
        <f t="shared" si="2"/>
        <v/>
      </c>
      <c r="L15" s="31"/>
    </row>
    <row r="16" spans="1:14" s="29" customFormat="1" ht="14.25" customHeight="1" x14ac:dyDescent="0.25">
      <c r="A16" s="150" t="s">
        <v>310</v>
      </c>
      <c r="B16" s="150"/>
      <c r="C16" s="30" t="str">
        <f t="shared" si="0"/>
        <v/>
      </c>
      <c r="D16" s="147" t="str">
        <f>IFERROR(VLOOKUP($A16,Sheet1!$A$1:$B$80,2,0),"")</f>
        <v/>
      </c>
      <c r="E16" s="30" t="str">
        <f>IFERROR(VLOOKUP($A16,'Tổng Đơn'!$A$5:$E$52,5,0),"")</f>
        <v/>
      </c>
      <c r="F16" s="30" t="str">
        <f t="shared" si="1"/>
        <v/>
      </c>
      <c r="G16" s="155" t="str">
        <f>IF(AND($C16="",$C15&lt;&gt;""),"Tổng Cộng",IFERROR(VLOOKUP($A16,Sheet1!$A$1:$D$80,4,0),""))</f>
        <v/>
      </c>
      <c r="H16" s="148" t="str">
        <f>IF($C15=MAX($C$8:$C$56),SUM($H$8:$H15),IFERROR($G16*$F16,""))</f>
        <v/>
      </c>
      <c r="I16" s="54" t="str">
        <f t="shared" si="2"/>
        <v/>
      </c>
      <c r="L16" s="31"/>
    </row>
    <row r="17" spans="1:12" s="29" customFormat="1" ht="14.25" customHeight="1" x14ac:dyDescent="0.25">
      <c r="A17" s="150" t="s">
        <v>310</v>
      </c>
      <c r="B17" s="150"/>
      <c r="C17" s="30" t="str">
        <f t="shared" si="0"/>
        <v/>
      </c>
      <c r="D17" s="147" t="str">
        <f>IFERROR(VLOOKUP($A17,Sheet1!$A$1:$B$80,2,0),"")</f>
        <v/>
      </c>
      <c r="E17" s="30" t="str">
        <f>IFERROR(VLOOKUP($A17,'Tổng Đơn'!$A$5:$E$52,5,0),"")</f>
        <v/>
      </c>
      <c r="F17" s="30" t="str">
        <f t="shared" si="1"/>
        <v/>
      </c>
      <c r="G17" s="155" t="str">
        <f>IF(AND($C17="",$C16&lt;&gt;""),"Tổng Cộng",IFERROR(VLOOKUP($A17,Sheet1!$A$1:$D$80,4,0),""))</f>
        <v/>
      </c>
      <c r="H17" s="148" t="str">
        <f>IF($C16=MAX($C$8:$C$56),SUM($H$8:$H16),IFERROR($G17*$F17,""))</f>
        <v/>
      </c>
      <c r="I17" s="54" t="str">
        <f t="shared" si="2"/>
        <v/>
      </c>
      <c r="L17" s="31"/>
    </row>
    <row r="18" spans="1:12" s="29" customFormat="1" ht="14.25" customHeight="1" x14ac:dyDescent="0.25">
      <c r="A18" s="150" t="s">
        <v>310</v>
      </c>
      <c r="B18" s="150"/>
      <c r="C18" s="30" t="str">
        <f t="shared" si="0"/>
        <v/>
      </c>
      <c r="D18" s="147" t="str">
        <f>IFERROR(VLOOKUP($A18,Sheet1!$A$1:$B$80,2,0),"")</f>
        <v/>
      </c>
      <c r="E18" s="30" t="str">
        <f>IFERROR(VLOOKUP($A18,'Tổng Đơn'!$A$5:$E$52,5,0),"")</f>
        <v/>
      </c>
      <c r="F18" s="30" t="str">
        <f t="shared" si="1"/>
        <v/>
      </c>
      <c r="G18" s="155" t="str">
        <f>IF(AND($C18="",$C17&lt;&gt;""),"Tổng Cộng",IFERROR(VLOOKUP($A18,Sheet1!$A$1:$D$80,4,0),""))</f>
        <v/>
      </c>
      <c r="H18" s="148" t="str">
        <f>IF($C17=MAX($C$8:$C$56),SUM($H$8:$H17),IFERROR($G18*$F18,""))</f>
        <v/>
      </c>
      <c r="I18" s="54" t="str">
        <f t="shared" si="2"/>
        <v/>
      </c>
      <c r="L18" s="31"/>
    </row>
    <row r="19" spans="1:12" s="29" customFormat="1" ht="14.25" customHeight="1" x14ac:dyDescent="0.25">
      <c r="A19" s="150" t="s">
        <v>310</v>
      </c>
      <c r="B19" s="150"/>
      <c r="C19" s="30" t="str">
        <f t="shared" si="0"/>
        <v/>
      </c>
      <c r="D19" s="147" t="str">
        <f>IFERROR(VLOOKUP($A19,Sheet1!$A$1:$B$80,2,0),"")</f>
        <v/>
      </c>
      <c r="E19" s="30" t="str">
        <f>IFERROR(VLOOKUP($A19,'Tổng Đơn'!$A$5:$E$52,5,0),"")</f>
        <v/>
      </c>
      <c r="F19" s="30" t="str">
        <f t="shared" si="1"/>
        <v/>
      </c>
      <c r="G19" s="155" t="str">
        <f>IF(AND($C19="",$C18&lt;&gt;""),"Tổng Cộng",IFERROR(VLOOKUP($A19,Sheet1!$A$1:$D$80,4,0),""))</f>
        <v/>
      </c>
      <c r="H19" s="148" t="str">
        <f>IF($C18=MAX($C$8:$C$56),SUM($H$8:$H18),IFERROR($G19*$F19,""))</f>
        <v/>
      </c>
      <c r="I19" s="54" t="str">
        <f t="shared" si="2"/>
        <v/>
      </c>
      <c r="L19" s="31"/>
    </row>
    <row r="20" spans="1:12" s="29" customFormat="1" ht="14.25" customHeight="1" x14ac:dyDescent="0.25">
      <c r="A20" s="150" t="s">
        <v>310</v>
      </c>
      <c r="B20" s="150"/>
      <c r="C20" s="30" t="str">
        <f t="shared" si="0"/>
        <v/>
      </c>
      <c r="D20" s="147" t="str">
        <f>IFERROR(VLOOKUP($A20,Sheet1!$A$1:$B$80,2,0),"")</f>
        <v/>
      </c>
      <c r="E20" s="30" t="str">
        <f>IFERROR(VLOOKUP($A20,'Tổng Đơn'!$A$5:$E$52,5,0),"")</f>
        <v/>
      </c>
      <c r="F20" s="30" t="str">
        <f t="shared" si="1"/>
        <v/>
      </c>
      <c r="G20" s="155" t="str">
        <f>IF(AND($C20="",$C19&lt;&gt;""),"Tổng Cộng",IFERROR(VLOOKUP($A20,Sheet1!$A$1:$D$80,4,0),""))</f>
        <v/>
      </c>
      <c r="H20" s="148" t="str">
        <f>IF($C19=MAX($C$8:$C$56),SUM($H$8:$H19),IFERROR($G20*$F20,""))</f>
        <v/>
      </c>
      <c r="I20" s="54" t="str">
        <f t="shared" si="2"/>
        <v/>
      </c>
      <c r="L20" s="31"/>
    </row>
    <row r="21" spans="1:12" s="29" customFormat="1" ht="14.25" customHeight="1" x14ac:dyDescent="0.25">
      <c r="A21" s="150" t="s">
        <v>310</v>
      </c>
      <c r="B21" s="150"/>
      <c r="C21" s="30" t="str">
        <f t="shared" si="0"/>
        <v/>
      </c>
      <c r="D21" s="147" t="str">
        <f>IFERROR(VLOOKUP($A21,Sheet1!$A$1:$B$80,2,0),"")</f>
        <v/>
      </c>
      <c r="E21" s="30" t="str">
        <f>IFERROR(VLOOKUP($A21,'Tổng Đơn'!$A$5:$E$52,5,0),"")</f>
        <v/>
      </c>
      <c r="F21" s="30" t="str">
        <f t="shared" si="1"/>
        <v/>
      </c>
      <c r="G21" s="155" t="str">
        <f>IF(AND($C21="",$C20&lt;&gt;""),"Tổng Cộng",IFERROR(VLOOKUP($A21,Sheet1!$A$1:$D$80,4,0),""))</f>
        <v/>
      </c>
      <c r="H21" s="148" t="str">
        <f>IF($C20=MAX($C$8:$C$56),SUM($H$8:$H20),IFERROR($G21*$F21,""))</f>
        <v/>
      </c>
      <c r="I21" s="54" t="str">
        <f t="shared" si="2"/>
        <v/>
      </c>
      <c r="L21" s="31"/>
    </row>
    <row r="22" spans="1:12" s="29" customFormat="1" ht="14.25" customHeight="1" x14ac:dyDescent="0.25">
      <c r="A22" s="150" t="s">
        <v>310</v>
      </c>
      <c r="B22" s="150"/>
      <c r="C22" s="30" t="str">
        <f t="shared" si="0"/>
        <v/>
      </c>
      <c r="D22" s="147" t="str">
        <f>IFERROR(VLOOKUP($A22,Sheet1!$A$1:$B$80,2,0),"")</f>
        <v/>
      </c>
      <c r="E22" s="30" t="str">
        <f>IFERROR(VLOOKUP($A22,'Tổng Đơn'!$A$5:$E$52,5,0),"")</f>
        <v/>
      </c>
      <c r="F22" s="30" t="str">
        <f t="shared" si="1"/>
        <v/>
      </c>
      <c r="G22" s="155" t="str">
        <f>IF(AND($C22="",$C21&lt;&gt;""),"Tổng Cộng",IFERROR(VLOOKUP($A22,Sheet1!$A$1:$D$80,4,0),""))</f>
        <v/>
      </c>
      <c r="H22" s="148" t="str">
        <f>IF($C21=MAX($C$8:$C$56),SUM($H$8:$H21),IFERROR($G22*$F22,""))</f>
        <v/>
      </c>
      <c r="I22" s="54" t="str">
        <f t="shared" si="2"/>
        <v/>
      </c>
      <c r="L22" s="31"/>
    </row>
    <row r="23" spans="1:12" s="29" customFormat="1" ht="14.25" customHeight="1" x14ac:dyDescent="0.25">
      <c r="A23" s="150" t="s">
        <v>310</v>
      </c>
      <c r="B23" s="150"/>
      <c r="C23" s="30" t="str">
        <f t="shared" si="0"/>
        <v/>
      </c>
      <c r="D23" s="147" t="str">
        <f>IFERROR(VLOOKUP($A23,Sheet1!$A$1:$B$80,2,0),"")</f>
        <v/>
      </c>
      <c r="E23" s="30" t="str">
        <f>IFERROR(VLOOKUP($A23,'Tổng Đơn'!$A$5:$E$52,5,0),"")</f>
        <v/>
      </c>
      <c r="F23" s="30" t="str">
        <f t="shared" si="1"/>
        <v/>
      </c>
      <c r="G23" s="155" t="str">
        <f>IF(AND($C23="",$C22&lt;&gt;""),"Tổng Cộng",IFERROR(VLOOKUP($A23,Sheet1!$A$1:$D$80,4,0),""))</f>
        <v/>
      </c>
      <c r="H23" s="148" t="str">
        <f>IF($C22=MAX($C$8:$C$56),SUM($H$8:$H22),IFERROR($G23*$F23,""))</f>
        <v/>
      </c>
      <c r="I23" s="54" t="str">
        <f t="shared" si="2"/>
        <v/>
      </c>
      <c r="L23" s="31"/>
    </row>
    <row r="24" spans="1:12" s="29" customFormat="1" ht="14.25" customHeight="1" x14ac:dyDescent="0.25">
      <c r="A24" s="150" t="s">
        <v>310</v>
      </c>
      <c r="B24" s="150"/>
      <c r="C24" s="30" t="str">
        <f t="shared" si="0"/>
        <v/>
      </c>
      <c r="D24" s="147" t="str">
        <f>IFERROR(VLOOKUP($A24,Sheet1!$A$1:$B$80,2,0),"")</f>
        <v/>
      </c>
      <c r="E24" s="30" t="str">
        <f>IFERROR(VLOOKUP($A24,'Tổng Đơn'!$A$5:$E$52,5,0),"")</f>
        <v/>
      </c>
      <c r="F24" s="30" t="str">
        <f t="shared" si="1"/>
        <v/>
      </c>
      <c r="G24" s="155" t="str">
        <f>IF(AND($C24="",$C23&lt;&gt;""),"Tổng Cộng",IFERROR(VLOOKUP($A24,Sheet1!$A$1:$D$80,4,0),""))</f>
        <v/>
      </c>
      <c r="H24" s="148" t="str">
        <f>IF($C23=MAX($C$8:$C$56),SUM($H$8:$H23),IFERROR($G24*$F24,""))</f>
        <v/>
      </c>
      <c r="I24" s="54" t="str">
        <f t="shared" si="2"/>
        <v/>
      </c>
      <c r="L24" s="31"/>
    </row>
    <row r="25" spans="1:12" s="29" customFormat="1" ht="14.25" customHeight="1" x14ac:dyDescent="0.25">
      <c r="A25" s="150" t="s">
        <v>310</v>
      </c>
      <c r="B25" s="150"/>
      <c r="C25" s="30" t="str">
        <f t="shared" si="0"/>
        <v/>
      </c>
      <c r="D25" s="147" t="str">
        <f>IFERROR(VLOOKUP($A25,Sheet1!$A$1:$B$80,2,0),"")</f>
        <v/>
      </c>
      <c r="E25" s="30" t="str">
        <f>IFERROR(VLOOKUP($A25,'Tổng Đơn'!$A$5:$E$52,5,0),"")</f>
        <v/>
      </c>
      <c r="F25" s="30" t="str">
        <f t="shared" si="1"/>
        <v/>
      </c>
      <c r="G25" s="155" t="str">
        <f>IF(AND($C25="",$C24&lt;&gt;""),"Tổng Cộng",IFERROR(VLOOKUP($A25,Sheet1!$A$1:$D$80,4,0),""))</f>
        <v/>
      </c>
      <c r="H25" s="148" t="str">
        <f>IF($C24=MAX($C$8:$C$56),SUM($H$8:$H24),IFERROR($G25*$F25,""))</f>
        <v/>
      </c>
      <c r="I25" s="54" t="str">
        <f t="shared" si="2"/>
        <v/>
      </c>
      <c r="L25" s="31"/>
    </row>
    <row r="26" spans="1:12" s="29" customFormat="1" ht="14.25" customHeight="1" x14ac:dyDescent="0.25">
      <c r="A26" s="150" t="s">
        <v>310</v>
      </c>
      <c r="B26" s="150"/>
      <c r="C26" s="30" t="str">
        <f t="shared" si="0"/>
        <v/>
      </c>
      <c r="D26" s="147" t="str">
        <f>IFERROR(VLOOKUP($A26,Sheet1!$A$1:$B$80,2,0),"")</f>
        <v/>
      </c>
      <c r="E26" s="30" t="str">
        <f>IFERROR(VLOOKUP($A26,'Tổng Đơn'!$A$5:$E$52,5,0),"")</f>
        <v/>
      </c>
      <c r="F26" s="30" t="str">
        <f t="shared" si="1"/>
        <v/>
      </c>
      <c r="G26" s="155" t="str">
        <f>IF(AND($C26="",$C25&lt;&gt;""),"Tổng Cộng",IFERROR(VLOOKUP($A26,Sheet1!$A$1:$D$80,4,0),""))</f>
        <v/>
      </c>
      <c r="H26" s="148" t="str">
        <f>IF($C25=MAX($C$8:$C$56),SUM($H$8:$H25),IFERROR($G26*$F26,""))</f>
        <v/>
      </c>
      <c r="I26" s="54" t="str">
        <f t="shared" si="2"/>
        <v/>
      </c>
      <c r="L26" s="31"/>
    </row>
    <row r="27" spans="1:12" s="29" customFormat="1" ht="14.25" customHeight="1" x14ac:dyDescent="0.25">
      <c r="A27" s="150" t="s">
        <v>310</v>
      </c>
      <c r="B27" s="150"/>
      <c r="C27" s="30" t="str">
        <f t="shared" si="0"/>
        <v/>
      </c>
      <c r="D27" s="147" t="str">
        <f>IFERROR(VLOOKUP($A27,Sheet1!$A$1:$B$80,2,0),"")</f>
        <v/>
      </c>
      <c r="E27" s="30" t="str">
        <f>IFERROR(VLOOKUP($A27,'Tổng Đơn'!$A$5:$E$52,5,0),"")</f>
        <v/>
      </c>
      <c r="F27" s="30" t="str">
        <f t="shared" si="1"/>
        <v/>
      </c>
      <c r="G27" s="155" t="str">
        <f>IF(AND($C27="",$C26&lt;&gt;""),"Tổng Cộng",IFERROR(VLOOKUP($A27,Sheet1!$A$1:$D$80,4,0),""))</f>
        <v/>
      </c>
      <c r="H27" s="148" t="str">
        <f>IF($C26=MAX($C$8:$C$56),SUM($H$8:$H26),IFERROR($G27*$F27,""))</f>
        <v/>
      </c>
      <c r="I27" s="54" t="str">
        <f t="shared" si="2"/>
        <v/>
      </c>
      <c r="L27" s="31"/>
    </row>
    <row r="28" spans="1:12" s="29" customFormat="1" ht="14.25" customHeight="1" x14ac:dyDescent="0.25">
      <c r="A28" s="150" t="s">
        <v>310</v>
      </c>
      <c r="B28" s="150"/>
      <c r="C28" s="30" t="str">
        <f t="shared" si="0"/>
        <v/>
      </c>
      <c r="D28" s="147" t="str">
        <f>IFERROR(VLOOKUP($A28,Sheet1!$A$1:$B$80,2,0),"")</f>
        <v/>
      </c>
      <c r="E28" s="30" t="str">
        <f>IFERROR(VLOOKUP($A28,'Tổng Đơn'!$A$5:$E$52,5,0),"")</f>
        <v/>
      </c>
      <c r="F28" s="30" t="str">
        <f t="shared" si="1"/>
        <v/>
      </c>
      <c r="G28" s="155" t="str">
        <f>IF(AND($C28="",$C27&lt;&gt;""),"Tổng Cộng",IFERROR(VLOOKUP($A28,Sheet1!$A$1:$D$80,4,0),""))</f>
        <v/>
      </c>
      <c r="H28" s="148" t="str">
        <f>IF($C27=MAX($C$8:$C$56),SUM($H$8:$H27),IFERROR($G28*$F28,""))</f>
        <v/>
      </c>
      <c r="I28" s="54" t="str">
        <f t="shared" si="2"/>
        <v/>
      </c>
      <c r="L28" s="31"/>
    </row>
    <row r="29" spans="1:12" s="29" customFormat="1" ht="14.25" customHeight="1" x14ac:dyDescent="0.25">
      <c r="A29" s="150" t="s">
        <v>310</v>
      </c>
      <c r="B29" s="150"/>
      <c r="C29" s="30" t="str">
        <f t="shared" si="0"/>
        <v/>
      </c>
      <c r="D29" s="147" t="str">
        <f>IFERROR(VLOOKUP($A29,Sheet1!$A$1:$B$80,2,0),"")</f>
        <v/>
      </c>
      <c r="E29" s="30" t="str">
        <f>IFERROR(VLOOKUP($A29,'Tổng Đơn'!$A$5:$E$52,5,0),"")</f>
        <v/>
      </c>
      <c r="F29" s="30" t="str">
        <f t="shared" si="1"/>
        <v/>
      </c>
      <c r="G29" s="155" t="str">
        <f>IF(AND($C29="",$C28&lt;&gt;""),"Tổng Cộng",IFERROR(VLOOKUP($A29,Sheet1!$A$1:$D$80,4,0),""))</f>
        <v/>
      </c>
      <c r="H29" s="148" t="str">
        <f>IF($C28=MAX($C$8:$C$56),SUM($H$8:$H28),IFERROR($G29*$F29,""))</f>
        <v/>
      </c>
      <c r="I29" s="54" t="str">
        <f t="shared" si="2"/>
        <v/>
      </c>
      <c r="L29" s="31"/>
    </row>
    <row r="30" spans="1:12" s="29" customFormat="1" ht="14.25" customHeight="1" x14ac:dyDescent="0.25">
      <c r="A30" s="150" t="s">
        <v>310</v>
      </c>
      <c r="B30" s="150"/>
      <c r="C30" s="30" t="str">
        <f t="shared" si="0"/>
        <v/>
      </c>
      <c r="D30" s="147" t="str">
        <f>IFERROR(VLOOKUP($A30,Sheet1!$A$1:$B$80,2,0),"")</f>
        <v/>
      </c>
      <c r="E30" s="30" t="str">
        <f>IFERROR(VLOOKUP($A30,'Tổng Đơn'!$A$5:$E$52,5,0),"")</f>
        <v/>
      </c>
      <c r="F30" s="30" t="str">
        <f t="shared" si="1"/>
        <v/>
      </c>
      <c r="G30" s="155" t="str">
        <f>IF(AND($C30="",$C29&lt;&gt;""),"Tổng Cộng",IFERROR(VLOOKUP($A30,Sheet1!$A$1:$D$80,4,0),""))</f>
        <v/>
      </c>
      <c r="H30" s="148" t="str">
        <f>IF($C29=MAX($C$8:$C$56),SUM($H$8:$H29),IFERROR($G30*$F30,""))</f>
        <v/>
      </c>
      <c r="I30" s="54" t="str">
        <f t="shared" si="2"/>
        <v/>
      </c>
      <c r="L30" s="31"/>
    </row>
    <row r="31" spans="1:12" s="29" customFormat="1" ht="14.25" customHeight="1" x14ac:dyDescent="0.25">
      <c r="A31" s="150" t="s">
        <v>310</v>
      </c>
      <c r="B31" s="150"/>
      <c r="C31" s="30" t="str">
        <f t="shared" si="0"/>
        <v/>
      </c>
      <c r="D31" s="147" t="str">
        <f>IFERROR(VLOOKUP($A31,Sheet1!$A$1:$B$80,2,0),"")</f>
        <v/>
      </c>
      <c r="E31" s="30" t="str">
        <f>IFERROR(VLOOKUP($A31,'Tổng Đơn'!$A$5:$E$52,5,0),"")</f>
        <v/>
      </c>
      <c r="F31" s="30" t="str">
        <f t="shared" si="1"/>
        <v/>
      </c>
      <c r="G31" s="155" t="str">
        <f>IF(AND($C31="",$C30&lt;&gt;""),"Tổng Cộng",IFERROR(VLOOKUP($A31,Sheet1!$A$1:$D$80,4,0),""))</f>
        <v/>
      </c>
      <c r="H31" s="148" t="str">
        <f>IF($C30=MAX($C$8:$C$56),SUM($H$8:$H30),IFERROR($G31*$F31,""))</f>
        <v/>
      </c>
      <c r="I31" s="54" t="str">
        <f t="shared" si="2"/>
        <v/>
      </c>
      <c r="L31" s="31"/>
    </row>
    <row r="32" spans="1:12" s="29" customFormat="1" ht="14.25" customHeight="1" x14ac:dyDescent="0.25">
      <c r="A32" s="150" t="s">
        <v>310</v>
      </c>
      <c r="B32" s="150"/>
      <c r="C32" s="30" t="str">
        <f t="shared" si="0"/>
        <v/>
      </c>
      <c r="D32" s="147" t="str">
        <f>IFERROR(VLOOKUP($A32,Sheet1!$A$1:$B$80,2,0),"")</f>
        <v/>
      </c>
      <c r="E32" s="30" t="str">
        <f>IFERROR(VLOOKUP($A32,'Tổng Đơn'!$A$5:$E$52,5,0),"")</f>
        <v/>
      </c>
      <c r="F32" s="30" t="str">
        <f t="shared" si="1"/>
        <v/>
      </c>
      <c r="G32" s="155" t="str">
        <f>IF(AND($C32="",$C31&lt;&gt;""),"Tổng Cộng",IFERROR(VLOOKUP($A32,Sheet1!$A$1:$D$80,4,0),""))</f>
        <v/>
      </c>
      <c r="H32" s="148" t="str">
        <f>IF($C31=MAX($C$8:$C$56),SUM($H$8:$H31),IFERROR($G32*$F32,""))</f>
        <v/>
      </c>
      <c r="I32" s="54" t="str">
        <f t="shared" si="2"/>
        <v/>
      </c>
      <c r="L32" s="31"/>
    </row>
    <row r="33" spans="1:12" s="29" customFormat="1" ht="14.25" customHeight="1" x14ac:dyDescent="0.25">
      <c r="A33" s="150" t="s">
        <v>310</v>
      </c>
      <c r="B33" s="150"/>
      <c r="C33" s="30" t="str">
        <f t="shared" si="0"/>
        <v/>
      </c>
      <c r="D33" s="147" t="str">
        <f>IFERROR(VLOOKUP($A33,Sheet1!$A$1:$B$80,2,0),"")</f>
        <v/>
      </c>
      <c r="E33" s="30" t="str">
        <f>IFERROR(VLOOKUP($A33,'Tổng Đơn'!$A$5:$E$52,5,0),"")</f>
        <v/>
      </c>
      <c r="F33" s="30" t="str">
        <f t="shared" si="1"/>
        <v/>
      </c>
      <c r="G33" s="155" t="str">
        <f>IF(AND($C33="",$C32&lt;&gt;""),"Tổng Cộng",IFERROR(VLOOKUP($A33,Sheet1!$A$1:$D$80,4,0),""))</f>
        <v/>
      </c>
      <c r="H33" s="148" t="str">
        <f>IF($C32=MAX($C$8:$C$56),SUM($H$8:$H32),IFERROR($G33*$F33,""))</f>
        <v/>
      </c>
      <c r="I33" s="54" t="str">
        <f t="shared" si="2"/>
        <v/>
      </c>
      <c r="L33" s="31"/>
    </row>
    <row r="34" spans="1:12" s="29" customFormat="1" ht="14.25" customHeight="1" x14ac:dyDescent="0.25">
      <c r="A34" s="150" t="s">
        <v>310</v>
      </c>
      <c r="B34" s="150"/>
      <c r="C34" s="30" t="str">
        <f t="shared" si="0"/>
        <v/>
      </c>
      <c r="D34" s="147" t="str">
        <f>IFERROR(VLOOKUP($A34,Sheet1!$A$1:$B$80,2,0),"")</f>
        <v/>
      </c>
      <c r="E34" s="30" t="str">
        <f>IFERROR(VLOOKUP($A34,'Tổng Đơn'!$A$5:$E$52,5,0),"")</f>
        <v/>
      </c>
      <c r="F34" s="30" t="str">
        <f t="shared" si="1"/>
        <v/>
      </c>
      <c r="G34" s="155" t="str">
        <f>IF(AND($C34="",$C33&lt;&gt;""),"Tổng Cộng",IFERROR(VLOOKUP($A34,Sheet1!$A$1:$D$80,4,0),""))</f>
        <v/>
      </c>
      <c r="H34" s="148" t="str">
        <f>IF($C33=MAX($C$8:$C$56),SUM($H$8:$H33),IFERROR($G34*$F34,""))</f>
        <v/>
      </c>
      <c r="I34" s="54" t="str">
        <f t="shared" si="2"/>
        <v/>
      </c>
      <c r="L34" s="31"/>
    </row>
    <row r="35" spans="1:12" s="29" customFormat="1" ht="14.25" customHeight="1" x14ac:dyDescent="0.25">
      <c r="A35" s="150" t="s">
        <v>310</v>
      </c>
      <c r="B35" s="150"/>
      <c r="C35" s="30" t="str">
        <f t="shared" si="0"/>
        <v/>
      </c>
      <c r="D35" s="147" t="str">
        <f>IFERROR(VLOOKUP($A35,Sheet1!$A$1:$B$80,2,0),"")</f>
        <v/>
      </c>
      <c r="E35" s="30" t="str">
        <f>IFERROR(VLOOKUP($A35,'Tổng Đơn'!$A$5:$E$52,5,0),"")</f>
        <v/>
      </c>
      <c r="F35" s="30" t="str">
        <f t="shared" si="1"/>
        <v/>
      </c>
      <c r="G35" s="155" t="str">
        <f>IF(AND($C35="",$C34&lt;&gt;""),"Tổng Cộng",IFERROR(VLOOKUP($A35,Sheet1!$A$1:$D$80,4,0),""))</f>
        <v/>
      </c>
      <c r="H35" s="148" t="str">
        <f>IF($C34=MAX($C$8:$C$56),SUM($H$8:$H34),IFERROR($G35*$F35,""))</f>
        <v/>
      </c>
      <c r="I35" s="54" t="str">
        <f t="shared" si="2"/>
        <v/>
      </c>
      <c r="L35" s="31"/>
    </row>
    <row r="36" spans="1:12" s="29" customFormat="1" ht="14.25" customHeight="1" x14ac:dyDescent="0.25">
      <c r="A36" s="150" t="s">
        <v>310</v>
      </c>
      <c r="B36" s="150"/>
      <c r="C36" s="30" t="str">
        <f t="shared" si="0"/>
        <v/>
      </c>
      <c r="D36" s="147" t="str">
        <f>IFERROR(VLOOKUP($A36,Sheet1!$A$1:$B$80,2,0),"")</f>
        <v/>
      </c>
      <c r="E36" s="30" t="str">
        <f>IFERROR(VLOOKUP($A36,'Tổng Đơn'!$A$5:$E$52,5,0),"")</f>
        <v/>
      </c>
      <c r="F36" s="30" t="str">
        <f t="shared" si="1"/>
        <v/>
      </c>
      <c r="G36" s="155" t="str">
        <f>IF(AND($C36="",$C35&lt;&gt;""),"Tổng Cộng",IFERROR(VLOOKUP($A36,Sheet1!$A$1:$D$80,4,0),""))</f>
        <v/>
      </c>
      <c r="H36" s="148" t="str">
        <f>IF($C35=MAX($C$8:$C$56),SUM($H$8:$H35),IFERROR($G36*$F36,""))</f>
        <v/>
      </c>
      <c r="I36" s="54" t="str">
        <f t="shared" si="2"/>
        <v/>
      </c>
      <c r="L36" s="31"/>
    </row>
    <row r="37" spans="1:12" s="29" customFormat="1" ht="14.25" customHeight="1" x14ac:dyDescent="0.25">
      <c r="A37" s="150" t="s">
        <v>310</v>
      </c>
      <c r="B37" s="150"/>
      <c r="C37" s="30" t="str">
        <f t="shared" si="0"/>
        <v/>
      </c>
      <c r="D37" s="147" t="str">
        <f>IFERROR(VLOOKUP($A37,Sheet1!$A$1:$B$80,2,0),"")</f>
        <v/>
      </c>
      <c r="E37" s="30" t="str">
        <f>IFERROR(VLOOKUP($A37,'Tổng Đơn'!$A$5:$E$52,5,0),"")</f>
        <v/>
      </c>
      <c r="F37" s="30" t="str">
        <f t="shared" si="1"/>
        <v/>
      </c>
      <c r="G37" s="155" t="str">
        <f>IF(AND($C37="",$C36&lt;&gt;""),"Tổng Cộng",IFERROR(VLOOKUP($A37,Sheet1!$A$1:$D$80,4,0),""))</f>
        <v/>
      </c>
      <c r="H37" s="148" t="str">
        <f>IF($C36=MAX($C$8:$C$56),SUM($H$8:$H36),IFERROR($G37*$F37,""))</f>
        <v/>
      </c>
      <c r="I37" s="54" t="str">
        <f t="shared" si="2"/>
        <v/>
      </c>
      <c r="L37" s="31"/>
    </row>
    <row r="38" spans="1:12" s="29" customFormat="1" ht="14.25" customHeight="1" x14ac:dyDescent="0.25">
      <c r="A38" s="150"/>
      <c r="B38" s="150"/>
      <c r="C38" s="33"/>
      <c r="D38" s="34"/>
      <c r="E38" s="52"/>
      <c r="F38" s="30"/>
      <c r="G38" s="156" t="str">
        <f>IF(AND($C38="",$C37&lt;&gt;""),"Tổng Cộng",IFERROR(VLOOKUP($A38,Sheet1!$A$1:$D$80,4,0),""))</f>
        <v/>
      </c>
      <c r="H38" s="35" t="str">
        <f>IF($C37=MAX($C$8:$C$56),SUM($H$8:$H37),IFERROR($G38*$F38,""))</f>
        <v/>
      </c>
      <c r="I38" s="54"/>
      <c r="L38" s="31"/>
    </row>
    <row r="39" spans="1:12" ht="15" customHeight="1" x14ac:dyDescent="0.25">
      <c r="F39" s="36"/>
      <c r="G39" s="139"/>
      <c r="H39" s="37"/>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C38:E38 D23:E37 F23:H38">
    <cfRule type="expression" dxfId="575" priority="22">
      <formula>$C22=MAX($C$8:$C$37)</formula>
    </cfRule>
  </conditionalFormatting>
  <conditionalFormatting sqref="C23:C37">
    <cfRule type="expression" dxfId="574" priority="21">
      <formula>$C22=MAX($C$8:$C$37)</formula>
    </cfRule>
  </conditionalFormatting>
  <conditionalFormatting sqref="E23:E38">
    <cfRule type="expression" dxfId="573" priority="23">
      <formula>AND($A23="",$F23&lt;&gt;"")</formula>
    </cfRule>
  </conditionalFormatting>
  <conditionalFormatting sqref="F23:F38">
    <cfRule type="expression" dxfId="572" priority="24">
      <formula>AND($F23="",$A23&lt;&gt;"")</formula>
    </cfRule>
  </conditionalFormatting>
  <conditionalFormatting sqref="D20:H22">
    <cfRule type="expression" dxfId="571" priority="18">
      <formula>$C19=MAX($C$8:$C$37)</formula>
    </cfRule>
  </conditionalFormatting>
  <conditionalFormatting sqref="C20:C22">
    <cfRule type="expression" dxfId="570" priority="17">
      <formula>$C19=MAX($C$8:$C$37)</formula>
    </cfRule>
  </conditionalFormatting>
  <conditionalFormatting sqref="E20:E22">
    <cfRule type="expression" dxfId="569" priority="19">
      <formula>AND($A20="",$F20&lt;&gt;"")</formula>
    </cfRule>
  </conditionalFormatting>
  <conditionalFormatting sqref="F20:F22">
    <cfRule type="expression" dxfId="568" priority="20">
      <formula>AND($F20="",$A20&lt;&gt;"")</formula>
    </cfRule>
  </conditionalFormatting>
  <conditionalFormatting sqref="D15:H19 D12:F14 H12:H14">
    <cfRule type="expression" dxfId="567" priority="14">
      <formula>$C11=MAX($C$8:$C$37)</formula>
    </cfRule>
  </conditionalFormatting>
  <conditionalFormatting sqref="C12:C19">
    <cfRule type="expression" dxfId="566" priority="13">
      <formula>$C11=MAX($C$8:$C$37)</formula>
    </cfRule>
  </conditionalFormatting>
  <conditionalFormatting sqref="E12:E19">
    <cfRule type="expression" dxfId="565" priority="15">
      <formula>AND($A12="",$F12&lt;&gt;"")</formula>
    </cfRule>
  </conditionalFormatting>
  <conditionalFormatting sqref="F12:F19">
    <cfRule type="expression" dxfId="564" priority="16">
      <formula>AND($F12="",$A12&lt;&gt;"")</formula>
    </cfRule>
  </conditionalFormatting>
  <conditionalFormatting sqref="G12:G14">
    <cfRule type="expression" dxfId="563" priority="12">
      <formula>$C11=MAX($C$8:$C$37)</formula>
    </cfRule>
  </conditionalFormatting>
  <conditionalFormatting sqref="D9:F11 H9:H11">
    <cfRule type="expression" dxfId="562" priority="9">
      <formula>$C8=MAX($C$8:$C$37)</formula>
    </cfRule>
  </conditionalFormatting>
  <conditionalFormatting sqref="C9:C11">
    <cfRule type="expression" dxfId="561" priority="8">
      <formula>$C8=MAX($C$8:$C$37)</formula>
    </cfRule>
  </conditionalFormatting>
  <conditionalFormatting sqref="E9:E11">
    <cfRule type="expression" dxfId="560" priority="10">
      <formula>AND($A9="",$F9&lt;&gt;"")</formula>
    </cfRule>
  </conditionalFormatting>
  <conditionalFormatting sqref="F9:F11">
    <cfRule type="expression" dxfId="559" priority="11">
      <formula>AND($F9="",$A9&lt;&gt;"")</formula>
    </cfRule>
  </conditionalFormatting>
  <conditionalFormatting sqref="D8:F8">
    <cfRule type="expression" dxfId="558" priority="5">
      <formula>$C7=MAX($C$8:$C$37)</formula>
    </cfRule>
  </conditionalFormatting>
  <conditionalFormatting sqref="C8">
    <cfRule type="expression" dxfId="557" priority="4">
      <formula>$C7=MAX($C$8:$C$37)</formula>
    </cfRule>
  </conditionalFormatting>
  <conditionalFormatting sqref="E8">
    <cfRule type="expression" dxfId="556" priority="6">
      <formula>AND($A8="",$F8&lt;&gt;"")</formula>
    </cfRule>
  </conditionalFormatting>
  <conditionalFormatting sqref="F8">
    <cfRule type="expression" dxfId="555" priority="7">
      <formula>AND($F8="",$A8&lt;&gt;"")</formula>
    </cfRule>
  </conditionalFormatting>
  <conditionalFormatting sqref="H8">
    <cfRule type="expression" dxfId="554" priority="3">
      <formula>$C7=MAX($C$8:$C$37)</formula>
    </cfRule>
  </conditionalFormatting>
  <conditionalFormatting sqref="G9:G11">
    <cfRule type="expression" dxfId="553" priority="2">
      <formula>$C8=MAX($C$8:$C$37)</formula>
    </cfRule>
  </conditionalFormatting>
  <conditionalFormatting sqref="G8">
    <cfRule type="expression" dxfId="552" priority="1">
      <formula>$C7=MAX($C$8:$C$37)</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1553409" r:id="rId4" name="Button 1">
              <controlPr defaultSize="0" print="0" autoFill="0" autoPict="0" macro="[0]!Macro4">
                <anchor moveWithCells="1" sizeWithCells="1">
                  <from>
                    <xdr:col>0</xdr:col>
                    <xdr:colOff>0</xdr:colOff>
                    <xdr:row>0</xdr:row>
                    <xdr:rowOff>0</xdr:rowOff>
                  </from>
                  <to>
                    <xdr:col>1</xdr:col>
                    <xdr:colOff>769620</xdr:colOff>
                    <xdr:row>7</xdr:row>
                    <xdr:rowOff>0</xdr:rowOff>
                  </to>
                </anchor>
              </controlPr>
            </control>
          </mc:Choice>
        </mc:AlternateContent>
      </controls>
    </mc:Choice>
  </mc:AlternateContent>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3985BF2-444C-4BBC-B76C-D908BE9599CC}">
  <sheetPr codeName="Sheet56">
    <tabColor theme="1"/>
    <pageSetUpPr fitToPage="1"/>
  </sheetPr>
  <dimension ref="A1:N53"/>
  <sheetViews>
    <sheetView zoomScaleNormal="100" workbookViewId="0">
      <pane ySplit="7" topLeftCell="A8" activePane="bottomLeft" state="frozen"/>
      <selection activeCell="Q2" sqref="Q2"/>
      <selection pane="bottomLeft" activeCell="D7" sqref="D7"/>
    </sheetView>
  </sheetViews>
  <sheetFormatPr defaultColWidth="9.09765625" defaultRowHeight="13.8" x14ac:dyDescent="0.25"/>
  <cols>
    <col min="1" max="1" width="11.69921875" style="14" customWidth="1"/>
    <col min="2" max="2" width="11.296875" style="14" customWidth="1"/>
    <col min="3" max="3" width="9.09765625" style="14"/>
    <col min="4" max="4" width="38.3984375" style="14" bestFit="1" customWidth="1"/>
    <col min="5" max="5" width="12.296875" style="53" bestFit="1" customWidth="1"/>
    <col min="6" max="6" width="11" style="14" customWidth="1"/>
    <col min="7" max="7" width="17.8984375" style="14" customWidth="1"/>
    <col min="8" max="8" width="17.8984375" style="15" customWidth="1"/>
    <col min="9" max="9" width="21.8984375" style="14" customWidth="1"/>
    <col min="10" max="10" width="10.09765625" style="14" customWidth="1"/>
    <col min="11" max="11" width="9.09765625" style="14"/>
    <col min="12" max="12" width="11.69921875" style="14" customWidth="1"/>
    <col min="13" max="14" width="10.09765625" style="14" bestFit="1" customWidth="1"/>
    <col min="15" max="16384" width="9.09765625" style="14"/>
  </cols>
  <sheetData>
    <row r="1" spans="1:14" ht="15.75" customHeight="1" x14ac:dyDescent="0.25">
      <c r="C1" s="268" t="s">
        <v>164</v>
      </c>
      <c r="D1" s="268"/>
      <c r="E1" s="268"/>
      <c r="F1" s="268"/>
      <c r="G1" s="268"/>
      <c r="H1" s="268"/>
    </row>
    <row r="2" spans="1:14" ht="15.75" customHeight="1" x14ac:dyDescent="0.25">
      <c r="C2" s="268"/>
      <c r="D2" s="268"/>
      <c r="E2" s="268"/>
      <c r="F2" s="268"/>
      <c r="G2" s="268"/>
      <c r="H2" s="268"/>
    </row>
    <row r="3" spans="1:14" ht="15" customHeight="1" x14ac:dyDescent="0.25">
      <c r="C3" s="269" t="s">
        <v>166</v>
      </c>
      <c r="D3" s="269"/>
      <c r="E3" s="269"/>
      <c r="F3" s="270" t="s">
        <v>168</v>
      </c>
      <c r="G3" s="270"/>
      <c r="H3" s="270"/>
    </row>
    <row r="4" spans="1:14" x14ac:dyDescent="0.25">
      <c r="C4" s="269" t="s">
        <v>167</v>
      </c>
      <c r="D4" s="269"/>
      <c r="E4" s="269"/>
      <c r="F4" s="271" t="s">
        <v>169</v>
      </c>
      <c r="G4" s="271"/>
      <c r="H4" s="271"/>
    </row>
    <row r="5" spans="1:14" s="140" customFormat="1" ht="21" customHeight="1" x14ac:dyDescent="0.25">
      <c r="C5" s="272" t="s">
        <v>165</v>
      </c>
      <c r="D5" s="272"/>
      <c r="E5" s="272"/>
      <c r="F5" s="272"/>
      <c r="G5" s="272"/>
      <c r="H5" s="272"/>
    </row>
    <row r="6" spans="1:14" s="140" customFormat="1" ht="16.5" customHeight="1" x14ac:dyDescent="0.25">
      <c r="C6" s="149" t="s">
        <v>170</v>
      </c>
      <c r="D6" s="152" t="s">
        <v>322</v>
      </c>
      <c r="E6" s="145"/>
      <c r="F6" s="145"/>
      <c r="G6" s="267" t="str">
        <f ca="1">"Ngày "&amp;DAY(TODAY())&amp;" Tháng "&amp;MONTH(TODAY())&amp;" Năm "&amp;YEAR(TODAY())</f>
        <v>Ngày 22 Tháng 1 Năm 2023</v>
      </c>
      <c r="H6" s="267"/>
    </row>
    <row r="7" spans="1:14" s="144" customFormat="1" ht="24" customHeight="1" x14ac:dyDescent="0.25">
      <c r="A7" s="141" t="s">
        <v>101</v>
      </c>
      <c r="B7" s="141" t="s">
        <v>15</v>
      </c>
      <c r="C7" s="142" t="s">
        <v>0</v>
      </c>
      <c r="D7" s="142" t="s">
        <v>16</v>
      </c>
      <c r="E7" s="146" t="str">
        <f>"Quy cách"&amp;CHAR(10)&amp;"(Kg)"</f>
        <v>Quy cách
(Kg)</v>
      </c>
      <c r="F7" s="142" t="s">
        <v>15</v>
      </c>
      <c r="G7" s="142" t="s">
        <v>17</v>
      </c>
      <c r="H7" s="142" t="s">
        <v>18</v>
      </c>
      <c r="I7" s="143">
        <f>SUBTOTAL(9,I8:I37)</f>
        <v>0.5</v>
      </c>
      <c r="L7" s="140"/>
    </row>
    <row r="8" spans="1:14" s="29" customFormat="1" ht="14.25" customHeight="1" x14ac:dyDescent="0.25">
      <c r="A8" s="150">
        <v>39</v>
      </c>
      <c r="B8" s="150">
        <v>1</v>
      </c>
      <c r="C8" s="30">
        <f t="shared" ref="C8:C37" si="0">IF(OR(SUM($C7,$A8&lt;&gt;"")=0,$A8=""),"",SUM($C7,$A8&lt;&gt;""))</f>
        <v>1</v>
      </c>
      <c r="D8" s="147" t="str">
        <f>IFERROR(VLOOKUP($A8,Sheet1!$A$1:$B$80,2,0),"")</f>
        <v>XX Đức KK</v>
      </c>
      <c r="E8" s="30">
        <f>IFERROR(VLOOKUP($A8,'Tổng Đơn'!$A$5:$E$52,5,0),"")</f>
        <v>0.5</v>
      </c>
      <c r="F8" s="30">
        <f t="shared" ref="F8:F37" si="1">IF($B8="","",B8)</f>
        <v>1</v>
      </c>
      <c r="G8" s="155">
        <f>IFERROR(VLOOKUP($A8,Sheet1!$A1:$D$80,4,0),"")</f>
        <v>37000</v>
      </c>
      <c r="H8" s="148">
        <f>IF($C7=MAX($C$8:$C$56),SUM($H7:$H$8),IFERROR($G8*$F8,""))</f>
        <v>37000</v>
      </c>
      <c r="I8" s="54">
        <f t="shared" ref="I8:I37" si="2">IF(TYPE($A8)&lt;&gt;1,"",IFERROR(F8*E8,""))</f>
        <v>0.5</v>
      </c>
      <c r="L8" s="32"/>
    </row>
    <row r="9" spans="1:14" s="29" customFormat="1" ht="14.25" customHeight="1" x14ac:dyDescent="0.25">
      <c r="A9" s="150" t="s">
        <v>310</v>
      </c>
      <c r="B9" s="150"/>
      <c r="C9" s="30" t="str">
        <f t="shared" si="0"/>
        <v/>
      </c>
      <c r="D9" s="147" t="str">
        <f>IFERROR(VLOOKUP($A9,Sheet1!$A$1:$B$80,2,0),"")</f>
        <v/>
      </c>
      <c r="E9" s="30" t="str">
        <f>IFERROR(VLOOKUP($A9,'Tổng Đơn'!$A$5:$E$52,5,0),"")</f>
        <v/>
      </c>
      <c r="F9" s="30" t="str">
        <f t="shared" si="1"/>
        <v/>
      </c>
      <c r="G9" s="155" t="str">
        <f>IF(AND($C9="",$C8&lt;&gt;""),"Tổng Cộng",IFERROR(VLOOKUP($A9,Sheet1!$A$1:$D$80,4,0),""))</f>
        <v>Tổng Cộng</v>
      </c>
      <c r="H9" s="148">
        <f>IF($C8=MAX($C$8:$C$56),SUM($H$8:$H8),IFERROR($G9*$F9,""))</f>
        <v>37000</v>
      </c>
      <c r="I9" s="54" t="str">
        <f t="shared" si="2"/>
        <v/>
      </c>
      <c r="L9" s="31"/>
    </row>
    <row r="10" spans="1:14" s="29" customFormat="1" ht="14.25" customHeight="1" x14ac:dyDescent="0.25">
      <c r="A10" s="150" t="s">
        <v>310</v>
      </c>
      <c r="B10" s="150"/>
      <c r="C10" s="30" t="str">
        <f t="shared" si="0"/>
        <v/>
      </c>
      <c r="D10" s="147" t="str">
        <f>IFERROR(VLOOKUP($A10,Sheet1!$A$1:$B$80,2,0),"")</f>
        <v/>
      </c>
      <c r="E10" s="30" t="str">
        <f>IFERROR(VLOOKUP($A10,'Tổng Đơn'!$A$5:$E$52,5,0),"")</f>
        <v/>
      </c>
      <c r="F10" s="30" t="str">
        <f t="shared" si="1"/>
        <v/>
      </c>
      <c r="G10" s="155" t="str">
        <f>IF(AND($C10="",$C9&lt;&gt;""),"Tổng Cộng",IFERROR(VLOOKUP($A10,Sheet1!$A$1:$D$80,4,0),""))</f>
        <v/>
      </c>
      <c r="H10" s="148" t="str">
        <f>IF($C9=MAX($C$8:$C$56),SUM($H$8:$H9),IFERROR($G10*$F10,""))</f>
        <v/>
      </c>
      <c r="I10" s="54" t="str">
        <f t="shared" si="2"/>
        <v/>
      </c>
      <c r="L10" s="31"/>
    </row>
    <row r="11" spans="1:14" s="29" customFormat="1" ht="14.25" customHeight="1" x14ac:dyDescent="0.25">
      <c r="A11" s="150" t="s">
        <v>310</v>
      </c>
      <c r="B11" s="150"/>
      <c r="C11" s="30" t="str">
        <f t="shared" si="0"/>
        <v/>
      </c>
      <c r="D11" s="147" t="str">
        <f>IFERROR(VLOOKUP($A11,Sheet1!$A$1:$B$80,2,0),"")</f>
        <v/>
      </c>
      <c r="E11" s="30" t="str">
        <f>IFERROR(VLOOKUP($A11,'Tổng Đơn'!$A$5:$E$52,5,0),"")</f>
        <v/>
      </c>
      <c r="F11" s="30" t="str">
        <f t="shared" si="1"/>
        <v/>
      </c>
      <c r="G11" s="155" t="str">
        <f>IF(AND($C11="",$C10&lt;&gt;""),"Tổng Cộng",IFERROR(VLOOKUP($A11,Sheet1!$A$1:$D$80,4,0),""))</f>
        <v/>
      </c>
      <c r="H11" s="148" t="str">
        <f>IF($C10=MAX($C$8:$C$56),SUM($H$8:$H10),IFERROR($G11*$F11,""))</f>
        <v/>
      </c>
      <c r="I11" s="54" t="str">
        <f t="shared" si="2"/>
        <v/>
      </c>
      <c r="L11" s="31"/>
    </row>
    <row r="12" spans="1:14" s="29" customFormat="1" ht="14.25" customHeight="1" x14ac:dyDescent="0.25">
      <c r="A12" s="150" t="s">
        <v>310</v>
      </c>
      <c r="B12" s="150"/>
      <c r="C12" s="30" t="str">
        <f t="shared" si="0"/>
        <v/>
      </c>
      <c r="D12" s="147" t="str">
        <f>IFERROR(VLOOKUP($A12,Sheet1!$A$1:$B$80,2,0),"")</f>
        <v/>
      </c>
      <c r="E12" s="30" t="str">
        <f>IFERROR(VLOOKUP($A12,'Tổng Đơn'!$A$5:$E$52,5,0),"")</f>
        <v/>
      </c>
      <c r="F12" s="30" t="str">
        <f t="shared" si="1"/>
        <v/>
      </c>
      <c r="G12" s="155" t="str">
        <f>IF(AND($C12="",$C11&lt;&gt;""),"Tổng Cộng",IFERROR(VLOOKUP($A12,Sheet1!$A$1:$D$80,4,0),""))</f>
        <v/>
      </c>
      <c r="H12" s="148" t="str">
        <f>IF($C11=MAX($C$8:$C$56),SUM($H$8:$H11),IFERROR($G12*$F12,""))</f>
        <v/>
      </c>
      <c r="I12" s="54" t="str">
        <f t="shared" si="2"/>
        <v/>
      </c>
      <c r="J12" s="125"/>
      <c r="L12" s="31"/>
      <c r="N12" s="126"/>
    </row>
    <row r="13" spans="1:14" s="29" customFormat="1" ht="14.25" customHeight="1" x14ac:dyDescent="0.25">
      <c r="A13" s="150" t="s">
        <v>310</v>
      </c>
      <c r="B13" s="150"/>
      <c r="C13" s="30" t="str">
        <f t="shared" si="0"/>
        <v/>
      </c>
      <c r="D13" s="147" t="str">
        <f>IFERROR(VLOOKUP($A13,Sheet1!$A$1:$B$80,2,0),"")</f>
        <v/>
      </c>
      <c r="E13" s="30" t="str">
        <f>IFERROR(VLOOKUP($A13,'Tổng Đơn'!$A$5:$E$52,5,0),"")</f>
        <v/>
      </c>
      <c r="F13" s="30" t="str">
        <f t="shared" si="1"/>
        <v/>
      </c>
      <c r="G13" s="155" t="str">
        <f>IF(AND($C13="",$C12&lt;&gt;""),"Tổng Cộng",IFERROR(VLOOKUP($A13,Sheet1!$A$1:$D$80,4,0),""))</f>
        <v/>
      </c>
      <c r="H13" s="148" t="str">
        <f>IF($C12=MAX($C$8:$C$56),SUM($H$8:$H12),IFERROR($G13*$F13,""))</f>
        <v/>
      </c>
      <c r="I13" s="54" t="str">
        <f t="shared" si="2"/>
        <v/>
      </c>
      <c r="L13" s="31"/>
    </row>
    <row r="14" spans="1:14" s="29" customFormat="1" ht="14.25" customHeight="1" x14ac:dyDescent="0.25">
      <c r="A14" s="150" t="s">
        <v>310</v>
      </c>
      <c r="B14" s="150"/>
      <c r="C14" s="30" t="str">
        <f t="shared" si="0"/>
        <v/>
      </c>
      <c r="D14" s="147" t="str">
        <f>IFERROR(VLOOKUP($A14,Sheet1!$A$1:$B$80,2,0),"")</f>
        <v/>
      </c>
      <c r="E14" s="30" t="str">
        <f>IFERROR(VLOOKUP($A14,'Tổng Đơn'!$A$5:$E$52,5,0),"")</f>
        <v/>
      </c>
      <c r="F14" s="30" t="str">
        <f t="shared" si="1"/>
        <v/>
      </c>
      <c r="G14" s="155" t="str">
        <f>IF(AND($C14="",$C13&lt;&gt;""),"Tổng Cộng",IFERROR(VLOOKUP($A14,Sheet1!$A$1:$D$80,4,0),""))</f>
        <v/>
      </c>
      <c r="H14" s="148" t="str">
        <f>IF($C13=MAX($C$8:$C$56),SUM($H$8:$H13),IFERROR($G14*$F14,""))</f>
        <v/>
      </c>
      <c r="I14" s="54" t="str">
        <f t="shared" si="2"/>
        <v/>
      </c>
      <c r="L14" s="31"/>
      <c r="M14" s="132"/>
    </row>
    <row r="15" spans="1:14" s="29" customFormat="1" ht="14.25" customHeight="1" x14ac:dyDescent="0.25">
      <c r="A15" s="150" t="s">
        <v>310</v>
      </c>
      <c r="B15" s="150"/>
      <c r="C15" s="30" t="str">
        <f t="shared" si="0"/>
        <v/>
      </c>
      <c r="D15" s="147" t="str">
        <f>IFERROR(VLOOKUP($A15,Sheet1!$A$1:$B$80,2,0),"")</f>
        <v/>
      </c>
      <c r="E15" s="30" t="str">
        <f>IFERROR(VLOOKUP($A15,'Tổng Đơn'!$A$5:$E$52,5,0),"")</f>
        <v/>
      </c>
      <c r="F15" s="30" t="str">
        <f t="shared" si="1"/>
        <v/>
      </c>
      <c r="G15" s="155" t="str">
        <f>IF(AND($C15="",$C14&lt;&gt;""),"Tổng Cộng",IFERROR(VLOOKUP($A15,Sheet1!$A$1:$D$80,4,0),""))</f>
        <v/>
      </c>
      <c r="H15" s="148" t="str">
        <f>IF($C14=MAX($C$8:$C$56),SUM($H$8:$H14),IFERROR($G15*$F15,""))</f>
        <v/>
      </c>
      <c r="I15" s="54" t="str">
        <f t="shared" si="2"/>
        <v/>
      </c>
      <c r="L15" s="31"/>
    </row>
    <row r="16" spans="1:14" s="29" customFormat="1" ht="14.25" customHeight="1" x14ac:dyDescent="0.25">
      <c r="A16" s="150" t="s">
        <v>310</v>
      </c>
      <c r="B16" s="150"/>
      <c r="C16" s="30" t="str">
        <f t="shared" si="0"/>
        <v/>
      </c>
      <c r="D16" s="147" t="str">
        <f>IFERROR(VLOOKUP($A16,Sheet1!$A$1:$B$80,2,0),"")</f>
        <v/>
      </c>
      <c r="E16" s="30" t="str">
        <f>IFERROR(VLOOKUP($A16,'Tổng Đơn'!$A$5:$E$52,5,0),"")</f>
        <v/>
      </c>
      <c r="F16" s="30" t="str">
        <f t="shared" si="1"/>
        <v/>
      </c>
      <c r="G16" s="155" t="str">
        <f>IF(AND($C16="",$C15&lt;&gt;""),"Tổng Cộng",IFERROR(VLOOKUP($A16,Sheet1!$A$1:$D$80,4,0),""))</f>
        <v/>
      </c>
      <c r="H16" s="148" t="str">
        <f>IF($C15=MAX($C$8:$C$56),SUM($H$8:$H15),IFERROR($G16*$F16,""))</f>
        <v/>
      </c>
      <c r="I16" s="54" t="str">
        <f t="shared" si="2"/>
        <v/>
      </c>
      <c r="L16" s="31"/>
    </row>
    <row r="17" spans="1:12" s="29" customFormat="1" ht="14.25" customHeight="1" x14ac:dyDescent="0.25">
      <c r="A17" s="150" t="s">
        <v>310</v>
      </c>
      <c r="B17" s="150"/>
      <c r="C17" s="30" t="str">
        <f t="shared" si="0"/>
        <v/>
      </c>
      <c r="D17" s="147" t="str">
        <f>IFERROR(VLOOKUP($A17,Sheet1!$A$1:$B$80,2,0),"")</f>
        <v/>
      </c>
      <c r="E17" s="30" t="str">
        <f>IFERROR(VLOOKUP($A17,'Tổng Đơn'!$A$5:$E$52,5,0),"")</f>
        <v/>
      </c>
      <c r="F17" s="30" t="str">
        <f t="shared" si="1"/>
        <v/>
      </c>
      <c r="G17" s="155" t="str">
        <f>IF(AND($C17="",$C16&lt;&gt;""),"Tổng Cộng",IFERROR(VLOOKUP($A17,Sheet1!$A$1:$D$80,4,0),""))</f>
        <v/>
      </c>
      <c r="H17" s="148" t="str">
        <f>IF($C16=MAX($C$8:$C$56),SUM($H$8:$H16),IFERROR($G17*$F17,""))</f>
        <v/>
      </c>
      <c r="I17" s="54" t="str">
        <f t="shared" si="2"/>
        <v/>
      </c>
      <c r="L17" s="31"/>
    </row>
    <row r="18" spans="1:12" s="29" customFormat="1" ht="14.25" customHeight="1" x14ac:dyDescent="0.25">
      <c r="A18" s="150" t="s">
        <v>310</v>
      </c>
      <c r="B18" s="150"/>
      <c r="C18" s="30" t="str">
        <f t="shared" si="0"/>
        <v/>
      </c>
      <c r="D18" s="147" t="str">
        <f>IFERROR(VLOOKUP($A18,Sheet1!$A$1:$B$80,2,0),"")</f>
        <v/>
      </c>
      <c r="E18" s="30" t="str">
        <f>IFERROR(VLOOKUP($A18,'Tổng Đơn'!$A$5:$E$52,5,0),"")</f>
        <v/>
      </c>
      <c r="F18" s="30" t="str">
        <f t="shared" si="1"/>
        <v/>
      </c>
      <c r="G18" s="155" t="str">
        <f>IF(AND($C18="",$C17&lt;&gt;""),"Tổng Cộng",IFERROR(VLOOKUP($A18,Sheet1!$A$1:$D$80,4,0),""))</f>
        <v/>
      </c>
      <c r="H18" s="148" t="str">
        <f>IF($C17=MAX($C$8:$C$56),SUM($H$8:$H17),IFERROR($G18*$F18,""))</f>
        <v/>
      </c>
      <c r="I18" s="54" t="str">
        <f t="shared" si="2"/>
        <v/>
      </c>
      <c r="L18" s="31"/>
    </row>
    <row r="19" spans="1:12" s="29" customFormat="1" ht="14.25" customHeight="1" x14ac:dyDescent="0.25">
      <c r="A19" s="150" t="s">
        <v>310</v>
      </c>
      <c r="B19" s="150"/>
      <c r="C19" s="30" t="str">
        <f t="shared" si="0"/>
        <v/>
      </c>
      <c r="D19" s="147" t="str">
        <f>IFERROR(VLOOKUP($A19,Sheet1!$A$1:$B$80,2,0),"")</f>
        <v/>
      </c>
      <c r="E19" s="30" t="str">
        <f>IFERROR(VLOOKUP($A19,'Tổng Đơn'!$A$5:$E$52,5,0),"")</f>
        <v/>
      </c>
      <c r="F19" s="30" t="str">
        <f t="shared" si="1"/>
        <v/>
      </c>
      <c r="G19" s="155" t="str">
        <f>IF(AND($C19="",$C18&lt;&gt;""),"Tổng Cộng",IFERROR(VLOOKUP($A19,Sheet1!$A$1:$D$80,4,0),""))</f>
        <v/>
      </c>
      <c r="H19" s="148" t="str">
        <f>IF($C18=MAX($C$8:$C$56),SUM($H$8:$H18),IFERROR($G19*$F19,""))</f>
        <v/>
      </c>
      <c r="I19" s="54" t="str">
        <f t="shared" si="2"/>
        <v/>
      </c>
      <c r="L19" s="31"/>
    </row>
    <row r="20" spans="1:12" s="29" customFormat="1" ht="14.25" customHeight="1" x14ac:dyDescent="0.25">
      <c r="A20" s="150" t="s">
        <v>310</v>
      </c>
      <c r="B20" s="150"/>
      <c r="C20" s="30" t="str">
        <f t="shared" si="0"/>
        <v/>
      </c>
      <c r="D20" s="147" t="str">
        <f>IFERROR(VLOOKUP($A20,Sheet1!$A$1:$B$80,2,0),"")</f>
        <v/>
      </c>
      <c r="E20" s="30" t="str">
        <f>IFERROR(VLOOKUP($A20,'Tổng Đơn'!$A$5:$E$52,5,0),"")</f>
        <v/>
      </c>
      <c r="F20" s="30" t="str">
        <f t="shared" si="1"/>
        <v/>
      </c>
      <c r="G20" s="155" t="str">
        <f>IF(AND($C20="",$C19&lt;&gt;""),"Tổng Cộng",IFERROR(VLOOKUP($A20,Sheet1!$A$1:$D$80,4,0),""))</f>
        <v/>
      </c>
      <c r="H20" s="148" t="str">
        <f>IF($C19=MAX($C$8:$C$56),SUM($H$8:$H19),IFERROR($G20*$F20,""))</f>
        <v/>
      </c>
      <c r="I20" s="54" t="str">
        <f t="shared" si="2"/>
        <v/>
      </c>
      <c r="L20" s="31"/>
    </row>
    <row r="21" spans="1:12" s="29" customFormat="1" ht="14.25" customHeight="1" x14ac:dyDescent="0.25">
      <c r="A21" s="150" t="s">
        <v>310</v>
      </c>
      <c r="B21" s="150"/>
      <c r="C21" s="30" t="str">
        <f t="shared" si="0"/>
        <v/>
      </c>
      <c r="D21" s="147" t="str">
        <f>IFERROR(VLOOKUP($A21,Sheet1!$A$1:$B$80,2,0),"")</f>
        <v/>
      </c>
      <c r="E21" s="30" t="str">
        <f>IFERROR(VLOOKUP($A21,'Tổng Đơn'!$A$5:$E$52,5,0),"")</f>
        <v/>
      </c>
      <c r="F21" s="30" t="str">
        <f t="shared" si="1"/>
        <v/>
      </c>
      <c r="G21" s="155" t="str">
        <f>IF(AND($C21="",$C20&lt;&gt;""),"Tổng Cộng",IFERROR(VLOOKUP($A21,Sheet1!$A$1:$D$80,4,0),""))</f>
        <v/>
      </c>
      <c r="H21" s="148" t="str">
        <f>IF($C20=MAX($C$8:$C$56),SUM($H$8:$H20),IFERROR($G21*$F21,""))</f>
        <v/>
      </c>
      <c r="I21" s="54" t="str">
        <f t="shared" si="2"/>
        <v/>
      </c>
      <c r="L21" s="31"/>
    </row>
    <row r="22" spans="1:12" s="29" customFormat="1" ht="14.25" customHeight="1" x14ac:dyDescent="0.25">
      <c r="A22" s="150" t="s">
        <v>310</v>
      </c>
      <c r="B22" s="150"/>
      <c r="C22" s="30" t="str">
        <f t="shared" si="0"/>
        <v/>
      </c>
      <c r="D22" s="147" t="str">
        <f>IFERROR(VLOOKUP($A22,Sheet1!$A$1:$B$80,2,0),"")</f>
        <v/>
      </c>
      <c r="E22" s="30" t="str">
        <f>IFERROR(VLOOKUP($A22,'Tổng Đơn'!$A$5:$E$52,5,0),"")</f>
        <v/>
      </c>
      <c r="F22" s="30" t="str">
        <f t="shared" si="1"/>
        <v/>
      </c>
      <c r="G22" s="155" t="str">
        <f>IF(AND($C22="",$C21&lt;&gt;""),"Tổng Cộng",IFERROR(VLOOKUP($A22,Sheet1!$A$1:$D$80,4,0),""))</f>
        <v/>
      </c>
      <c r="H22" s="148" t="str">
        <f>IF($C21=MAX($C$8:$C$56),SUM($H$8:$H21),IFERROR($G22*$F22,""))</f>
        <v/>
      </c>
      <c r="I22" s="54" t="str">
        <f t="shared" si="2"/>
        <v/>
      </c>
      <c r="L22" s="31"/>
    </row>
    <row r="23" spans="1:12" s="29" customFormat="1" ht="14.25" customHeight="1" x14ac:dyDescent="0.25">
      <c r="A23" s="150" t="s">
        <v>310</v>
      </c>
      <c r="B23" s="150"/>
      <c r="C23" s="30" t="str">
        <f t="shared" si="0"/>
        <v/>
      </c>
      <c r="D23" s="147" t="str">
        <f>IFERROR(VLOOKUP($A23,Sheet1!$A$1:$B$80,2,0),"")</f>
        <v/>
      </c>
      <c r="E23" s="30" t="str">
        <f>IFERROR(VLOOKUP($A23,'Tổng Đơn'!$A$5:$E$52,5,0),"")</f>
        <v/>
      </c>
      <c r="F23" s="30" t="str">
        <f t="shared" si="1"/>
        <v/>
      </c>
      <c r="G23" s="155" t="str">
        <f>IF(AND($C23="",$C22&lt;&gt;""),"Tổng Cộng",IFERROR(VLOOKUP($A23,Sheet1!$A$1:$D$80,4,0),""))</f>
        <v/>
      </c>
      <c r="H23" s="148" t="str">
        <f>IF($C22=MAX($C$8:$C$56),SUM($H$8:$H22),IFERROR($G23*$F23,""))</f>
        <v/>
      </c>
      <c r="I23" s="54" t="str">
        <f t="shared" si="2"/>
        <v/>
      </c>
      <c r="L23" s="31"/>
    </row>
    <row r="24" spans="1:12" s="29" customFormat="1" ht="14.25" customHeight="1" x14ac:dyDescent="0.25">
      <c r="A24" s="150" t="s">
        <v>310</v>
      </c>
      <c r="B24" s="150"/>
      <c r="C24" s="30" t="str">
        <f t="shared" si="0"/>
        <v/>
      </c>
      <c r="D24" s="147" t="str">
        <f>IFERROR(VLOOKUP($A24,Sheet1!$A$1:$B$80,2,0),"")</f>
        <v/>
      </c>
      <c r="E24" s="30" t="str">
        <f>IFERROR(VLOOKUP($A24,'Tổng Đơn'!$A$5:$E$52,5,0),"")</f>
        <v/>
      </c>
      <c r="F24" s="30" t="str">
        <f t="shared" si="1"/>
        <v/>
      </c>
      <c r="G24" s="155" t="str">
        <f>IF(AND($C24="",$C23&lt;&gt;""),"Tổng Cộng",IFERROR(VLOOKUP($A24,Sheet1!$A$1:$D$80,4,0),""))</f>
        <v/>
      </c>
      <c r="H24" s="148" t="str">
        <f>IF($C23=MAX($C$8:$C$56),SUM($H$8:$H23),IFERROR($G24*$F24,""))</f>
        <v/>
      </c>
      <c r="I24" s="54" t="str">
        <f t="shared" si="2"/>
        <v/>
      </c>
      <c r="L24" s="31"/>
    </row>
    <row r="25" spans="1:12" s="29" customFormat="1" ht="14.25" customHeight="1" x14ac:dyDescent="0.25">
      <c r="A25" s="150" t="s">
        <v>310</v>
      </c>
      <c r="B25" s="150"/>
      <c r="C25" s="30" t="str">
        <f t="shared" si="0"/>
        <v/>
      </c>
      <c r="D25" s="147" t="str">
        <f>IFERROR(VLOOKUP($A25,Sheet1!$A$1:$B$80,2,0),"")</f>
        <v/>
      </c>
      <c r="E25" s="30" t="str">
        <f>IFERROR(VLOOKUP($A25,'Tổng Đơn'!$A$5:$E$52,5,0),"")</f>
        <v/>
      </c>
      <c r="F25" s="30" t="str">
        <f t="shared" si="1"/>
        <v/>
      </c>
      <c r="G25" s="155" t="str">
        <f>IF(AND($C25="",$C24&lt;&gt;""),"Tổng Cộng",IFERROR(VLOOKUP($A25,Sheet1!$A$1:$D$80,4,0),""))</f>
        <v/>
      </c>
      <c r="H25" s="148" t="str">
        <f>IF($C24=MAX($C$8:$C$56),SUM($H$8:$H24),IFERROR($G25*$F25,""))</f>
        <v/>
      </c>
      <c r="I25" s="54" t="str">
        <f t="shared" si="2"/>
        <v/>
      </c>
      <c r="L25" s="31"/>
    </row>
    <row r="26" spans="1:12" s="29" customFormat="1" ht="14.25" customHeight="1" x14ac:dyDescent="0.25">
      <c r="A26" s="150" t="s">
        <v>310</v>
      </c>
      <c r="B26" s="150"/>
      <c r="C26" s="30" t="str">
        <f t="shared" si="0"/>
        <v/>
      </c>
      <c r="D26" s="147" t="str">
        <f>IFERROR(VLOOKUP($A26,Sheet1!$A$1:$B$80,2,0),"")</f>
        <v/>
      </c>
      <c r="E26" s="30" t="str">
        <f>IFERROR(VLOOKUP($A26,'Tổng Đơn'!$A$5:$E$52,5,0),"")</f>
        <v/>
      </c>
      <c r="F26" s="30" t="str">
        <f t="shared" si="1"/>
        <v/>
      </c>
      <c r="G26" s="155" t="str">
        <f>IF(AND($C26="",$C25&lt;&gt;""),"Tổng Cộng",IFERROR(VLOOKUP($A26,Sheet1!$A$1:$D$80,4,0),""))</f>
        <v/>
      </c>
      <c r="H26" s="148" t="str">
        <f>IF($C25=MAX($C$8:$C$56),SUM($H$8:$H25),IFERROR($G26*$F26,""))</f>
        <v/>
      </c>
      <c r="I26" s="54" t="str">
        <f t="shared" si="2"/>
        <v/>
      </c>
      <c r="L26" s="31"/>
    </row>
    <row r="27" spans="1:12" s="29" customFormat="1" ht="14.25" customHeight="1" x14ac:dyDescent="0.25">
      <c r="A27" s="150" t="s">
        <v>310</v>
      </c>
      <c r="B27" s="150"/>
      <c r="C27" s="30" t="str">
        <f t="shared" si="0"/>
        <v/>
      </c>
      <c r="D27" s="147" t="str">
        <f>IFERROR(VLOOKUP($A27,Sheet1!$A$1:$B$80,2,0),"")</f>
        <v/>
      </c>
      <c r="E27" s="30" t="str">
        <f>IFERROR(VLOOKUP($A27,'Tổng Đơn'!$A$5:$E$52,5,0),"")</f>
        <v/>
      </c>
      <c r="F27" s="30" t="str">
        <f t="shared" si="1"/>
        <v/>
      </c>
      <c r="G27" s="155" t="str">
        <f>IF(AND($C27="",$C26&lt;&gt;""),"Tổng Cộng",IFERROR(VLOOKUP($A27,Sheet1!$A$1:$D$80,4,0),""))</f>
        <v/>
      </c>
      <c r="H27" s="148" t="str">
        <f>IF($C26=MAX($C$8:$C$56),SUM($H$8:$H26),IFERROR($G27*$F27,""))</f>
        <v/>
      </c>
      <c r="I27" s="54" t="str">
        <f t="shared" si="2"/>
        <v/>
      </c>
      <c r="L27" s="31"/>
    </row>
    <row r="28" spans="1:12" s="29" customFormat="1" ht="14.25" customHeight="1" x14ac:dyDescent="0.25">
      <c r="A28" s="150" t="s">
        <v>310</v>
      </c>
      <c r="B28" s="150"/>
      <c r="C28" s="30" t="str">
        <f t="shared" si="0"/>
        <v/>
      </c>
      <c r="D28" s="147" t="str">
        <f>IFERROR(VLOOKUP($A28,Sheet1!$A$1:$B$80,2,0),"")</f>
        <v/>
      </c>
      <c r="E28" s="30" t="str">
        <f>IFERROR(VLOOKUP($A28,'Tổng Đơn'!$A$5:$E$52,5,0),"")</f>
        <v/>
      </c>
      <c r="F28" s="30" t="str">
        <f t="shared" si="1"/>
        <v/>
      </c>
      <c r="G28" s="155" t="str">
        <f>IF(AND($C28="",$C27&lt;&gt;""),"Tổng Cộng",IFERROR(VLOOKUP($A28,Sheet1!$A$1:$D$80,4,0),""))</f>
        <v/>
      </c>
      <c r="H28" s="148" t="str">
        <f>IF($C27=MAX($C$8:$C$56),SUM($H$8:$H27),IFERROR($G28*$F28,""))</f>
        <v/>
      </c>
      <c r="I28" s="54" t="str">
        <f t="shared" si="2"/>
        <v/>
      </c>
      <c r="L28" s="31"/>
    </row>
    <row r="29" spans="1:12" s="29" customFormat="1" ht="14.25" customHeight="1" x14ac:dyDescent="0.25">
      <c r="A29" s="150" t="s">
        <v>310</v>
      </c>
      <c r="B29" s="150"/>
      <c r="C29" s="30" t="str">
        <f t="shared" si="0"/>
        <v/>
      </c>
      <c r="D29" s="147" t="str">
        <f>IFERROR(VLOOKUP($A29,Sheet1!$A$1:$B$80,2,0),"")</f>
        <v/>
      </c>
      <c r="E29" s="30" t="str">
        <f>IFERROR(VLOOKUP($A29,'Tổng Đơn'!$A$5:$E$52,5,0),"")</f>
        <v/>
      </c>
      <c r="F29" s="30" t="str">
        <f t="shared" si="1"/>
        <v/>
      </c>
      <c r="G29" s="155" t="str">
        <f>IF(AND($C29="",$C28&lt;&gt;""),"Tổng Cộng",IFERROR(VLOOKUP($A29,Sheet1!$A$1:$D$80,4,0),""))</f>
        <v/>
      </c>
      <c r="H29" s="148" t="str">
        <f>IF($C28=MAX($C$8:$C$56),SUM($H$8:$H28),IFERROR($G29*$F29,""))</f>
        <v/>
      </c>
      <c r="I29" s="54" t="str">
        <f t="shared" si="2"/>
        <v/>
      </c>
      <c r="L29" s="31"/>
    </row>
    <row r="30" spans="1:12" s="29" customFormat="1" ht="14.25" customHeight="1" x14ac:dyDescent="0.25">
      <c r="A30" s="150" t="s">
        <v>310</v>
      </c>
      <c r="B30" s="150"/>
      <c r="C30" s="30" t="str">
        <f t="shared" si="0"/>
        <v/>
      </c>
      <c r="D30" s="147" t="str">
        <f>IFERROR(VLOOKUP($A30,Sheet1!$A$1:$B$80,2,0),"")</f>
        <v/>
      </c>
      <c r="E30" s="30" t="str">
        <f>IFERROR(VLOOKUP($A30,'Tổng Đơn'!$A$5:$E$52,5,0),"")</f>
        <v/>
      </c>
      <c r="F30" s="30" t="str">
        <f t="shared" si="1"/>
        <v/>
      </c>
      <c r="G30" s="155" t="str">
        <f>IF(AND($C30="",$C29&lt;&gt;""),"Tổng Cộng",IFERROR(VLOOKUP($A30,Sheet1!$A$1:$D$80,4,0),""))</f>
        <v/>
      </c>
      <c r="H30" s="148" t="str">
        <f>IF($C29=MAX($C$8:$C$56),SUM($H$8:$H29),IFERROR($G30*$F30,""))</f>
        <v/>
      </c>
      <c r="I30" s="54" t="str">
        <f t="shared" si="2"/>
        <v/>
      </c>
      <c r="L30" s="31"/>
    </row>
    <row r="31" spans="1:12" s="29" customFormat="1" ht="14.25" customHeight="1" x14ac:dyDescent="0.25">
      <c r="A31" s="150" t="s">
        <v>310</v>
      </c>
      <c r="B31" s="150"/>
      <c r="C31" s="30" t="str">
        <f t="shared" si="0"/>
        <v/>
      </c>
      <c r="D31" s="147" t="str">
        <f>IFERROR(VLOOKUP($A31,Sheet1!$A$1:$B$80,2,0),"")</f>
        <v/>
      </c>
      <c r="E31" s="30" t="str">
        <f>IFERROR(VLOOKUP($A31,'Tổng Đơn'!$A$5:$E$52,5,0),"")</f>
        <v/>
      </c>
      <c r="F31" s="30" t="str">
        <f t="shared" si="1"/>
        <v/>
      </c>
      <c r="G31" s="155" t="str">
        <f>IF(AND($C31="",$C30&lt;&gt;""),"Tổng Cộng",IFERROR(VLOOKUP($A31,Sheet1!$A$1:$D$80,4,0),""))</f>
        <v/>
      </c>
      <c r="H31" s="148" t="str">
        <f>IF($C30=MAX($C$8:$C$56),SUM($H$8:$H30),IFERROR($G31*$F31,""))</f>
        <v/>
      </c>
      <c r="I31" s="54" t="str">
        <f t="shared" si="2"/>
        <v/>
      </c>
      <c r="L31" s="31"/>
    </row>
    <row r="32" spans="1:12" s="29" customFormat="1" ht="14.25" customHeight="1" x14ac:dyDescent="0.25">
      <c r="A32" s="150" t="s">
        <v>310</v>
      </c>
      <c r="B32" s="150"/>
      <c r="C32" s="30" t="str">
        <f t="shared" si="0"/>
        <v/>
      </c>
      <c r="D32" s="147" t="str">
        <f>IFERROR(VLOOKUP($A32,Sheet1!$A$1:$B$80,2,0),"")</f>
        <v/>
      </c>
      <c r="E32" s="30" t="str">
        <f>IFERROR(VLOOKUP($A32,'Tổng Đơn'!$A$5:$E$52,5,0),"")</f>
        <v/>
      </c>
      <c r="F32" s="30" t="str">
        <f t="shared" si="1"/>
        <v/>
      </c>
      <c r="G32" s="155" t="str">
        <f>IF(AND($C32="",$C31&lt;&gt;""),"Tổng Cộng",IFERROR(VLOOKUP($A32,Sheet1!$A$1:$D$80,4,0),""))</f>
        <v/>
      </c>
      <c r="H32" s="148" t="str">
        <f>IF($C31=MAX($C$8:$C$56),SUM($H$8:$H31),IFERROR($G32*$F32,""))</f>
        <v/>
      </c>
      <c r="I32" s="54" t="str">
        <f t="shared" si="2"/>
        <v/>
      </c>
      <c r="L32" s="31"/>
    </row>
    <row r="33" spans="1:12" s="29" customFormat="1" ht="14.25" customHeight="1" x14ac:dyDescent="0.25">
      <c r="A33" s="150" t="s">
        <v>310</v>
      </c>
      <c r="B33" s="150"/>
      <c r="C33" s="30" t="str">
        <f t="shared" si="0"/>
        <v/>
      </c>
      <c r="D33" s="147" t="str">
        <f>IFERROR(VLOOKUP($A33,Sheet1!$A$1:$B$80,2,0),"")</f>
        <v/>
      </c>
      <c r="E33" s="30" t="str">
        <f>IFERROR(VLOOKUP($A33,'Tổng Đơn'!$A$5:$E$52,5,0),"")</f>
        <v/>
      </c>
      <c r="F33" s="30" t="str">
        <f t="shared" si="1"/>
        <v/>
      </c>
      <c r="G33" s="155" t="str">
        <f>IF(AND($C33="",$C32&lt;&gt;""),"Tổng Cộng",IFERROR(VLOOKUP($A33,Sheet1!$A$1:$D$80,4,0),""))</f>
        <v/>
      </c>
      <c r="H33" s="148" t="str">
        <f>IF($C32=MAX($C$8:$C$56),SUM($H$8:$H32),IFERROR($G33*$F33,""))</f>
        <v/>
      </c>
      <c r="I33" s="54" t="str">
        <f t="shared" si="2"/>
        <v/>
      </c>
      <c r="L33" s="31"/>
    </row>
    <row r="34" spans="1:12" s="29" customFormat="1" ht="14.25" customHeight="1" x14ac:dyDescent="0.25">
      <c r="A34" s="150" t="s">
        <v>310</v>
      </c>
      <c r="B34" s="150"/>
      <c r="C34" s="30" t="str">
        <f t="shared" si="0"/>
        <v/>
      </c>
      <c r="D34" s="147" t="str">
        <f>IFERROR(VLOOKUP($A34,Sheet1!$A$1:$B$80,2,0),"")</f>
        <v/>
      </c>
      <c r="E34" s="30" t="str">
        <f>IFERROR(VLOOKUP($A34,'Tổng Đơn'!$A$5:$E$52,5,0),"")</f>
        <v/>
      </c>
      <c r="F34" s="30" t="str">
        <f t="shared" si="1"/>
        <v/>
      </c>
      <c r="G34" s="155" t="str">
        <f>IF(AND($C34="",$C33&lt;&gt;""),"Tổng Cộng",IFERROR(VLOOKUP($A34,Sheet1!$A$1:$D$80,4,0),""))</f>
        <v/>
      </c>
      <c r="H34" s="148" t="str">
        <f>IF($C33=MAX($C$8:$C$56),SUM($H$8:$H33),IFERROR($G34*$F34,""))</f>
        <v/>
      </c>
      <c r="I34" s="54" t="str">
        <f t="shared" si="2"/>
        <v/>
      </c>
      <c r="L34" s="31"/>
    </row>
    <row r="35" spans="1:12" s="29" customFormat="1" ht="14.25" customHeight="1" x14ac:dyDescent="0.25">
      <c r="A35" s="150" t="s">
        <v>310</v>
      </c>
      <c r="B35" s="150"/>
      <c r="C35" s="30" t="str">
        <f t="shared" si="0"/>
        <v/>
      </c>
      <c r="D35" s="147" t="str">
        <f>IFERROR(VLOOKUP($A35,Sheet1!$A$1:$B$80,2,0),"")</f>
        <v/>
      </c>
      <c r="E35" s="30" t="str">
        <f>IFERROR(VLOOKUP($A35,'Tổng Đơn'!$A$5:$E$52,5,0),"")</f>
        <v/>
      </c>
      <c r="F35" s="30" t="str">
        <f t="shared" si="1"/>
        <v/>
      </c>
      <c r="G35" s="155" t="str">
        <f>IF(AND($C35="",$C34&lt;&gt;""),"Tổng Cộng",IFERROR(VLOOKUP($A35,Sheet1!$A$1:$D$80,4,0),""))</f>
        <v/>
      </c>
      <c r="H35" s="148" t="str">
        <f>IF($C34=MAX($C$8:$C$56),SUM($H$8:$H34),IFERROR($G35*$F35,""))</f>
        <v/>
      </c>
      <c r="I35" s="54" t="str">
        <f t="shared" si="2"/>
        <v/>
      </c>
      <c r="L35" s="31"/>
    </row>
    <row r="36" spans="1:12" s="29" customFormat="1" ht="14.25" customHeight="1" x14ac:dyDescent="0.25">
      <c r="A36" s="150" t="s">
        <v>310</v>
      </c>
      <c r="B36" s="150"/>
      <c r="C36" s="30" t="str">
        <f t="shared" si="0"/>
        <v/>
      </c>
      <c r="D36" s="147" t="str">
        <f>IFERROR(VLOOKUP($A36,Sheet1!$A$1:$B$80,2,0),"")</f>
        <v/>
      </c>
      <c r="E36" s="30" t="str">
        <f>IFERROR(VLOOKUP($A36,'Tổng Đơn'!$A$5:$E$52,5,0),"")</f>
        <v/>
      </c>
      <c r="F36" s="30" t="str">
        <f t="shared" si="1"/>
        <v/>
      </c>
      <c r="G36" s="155" t="str">
        <f>IF(AND($C36="",$C35&lt;&gt;""),"Tổng Cộng",IFERROR(VLOOKUP($A36,Sheet1!$A$1:$D$80,4,0),""))</f>
        <v/>
      </c>
      <c r="H36" s="148" t="str">
        <f>IF($C35=MAX($C$8:$C$56),SUM($H$8:$H35),IFERROR($G36*$F36,""))</f>
        <v/>
      </c>
      <c r="I36" s="54" t="str">
        <f t="shared" si="2"/>
        <v/>
      </c>
      <c r="L36" s="31"/>
    </row>
    <row r="37" spans="1:12" s="29" customFormat="1" ht="14.25" customHeight="1" x14ac:dyDescent="0.25">
      <c r="A37" s="150" t="s">
        <v>310</v>
      </c>
      <c r="B37" s="150"/>
      <c r="C37" s="30" t="str">
        <f t="shared" si="0"/>
        <v/>
      </c>
      <c r="D37" s="147" t="str">
        <f>IFERROR(VLOOKUP($A37,Sheet1!$A$1:$B$80,2,0),"")</f>
        <v/>
      </c>
      <c r="E37" s="30" t="str">
        <f>IFERROR(VLOOKUP($A37,'Tổng Đơn'!$A$5:$E$52,5,0),"")</f>
        <v/>
      </c>
      <c r="F37" s="30" t="str">
        <f t="shared" si="1"/>
        <v/>
      </c>
      <c r="G37" s="155" t="str">
        <f>IF(AND($C37="",$C36&lt;&gt;""),"Tổng Cộng",IFERROR(VLOOKUP($A37,Sheet1!$A$1:$D$80,4,0),""))</f>
        <v/>
      </c>
      <c r="H37" s="148" t="str">
        <f>IF($C36=MAX($C$8:$C$56),SUM($H$8:$H36),IFERROR($G37*$F37,""))</f>
        <v/>
      </c>
      <c r="I37" s="54" t="str">
        <f t="shared" si="2"/>
        <v/>
      </c>
      <c r="L37" s="31"/>
    </row>
    <row r="38" spans="1:12" s="29" customFormat="1" ht="14.25" customHeight="1" x14ac:dyDescent="0.25">
      <c r="A38" s="150"/>
      <c r="B38" s="150"/>
      <c r="C38" s="33"/>
      <c r="D38" s="34"/>
      <c r="E38" s="52"/>
      <c r="F38" s="30"/>
      <c r="G38" s="156" t="str">
        <f>IF(AND($C38="",$C37&lt;&gt;""),"Tổng Cộng",IFERROR(VLOOKUP($A38,Sheet1!$A$1:$D$80,4,0),""))</f>
        <v/>
      </c>
      <c r="H38" s="35" t="str">
        <f>IF($C37=MAX($C$8:$C$56),SUM($H$8:$H37),IFERROR($G38*$F38,""))</f>
        <v/>
      </c>
      <c r="I38" s="54"/>
      <c r="L38" s="31"/>
    </row>
    <row r="39" spans="1:12" ht="15" customHeight="1" x14ac:dyDescent="0.25">
      <c r="F39" s="36"/>
      <c r="G39" s="139"/>
      <c r="H39" s="37"/>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C38:E38 D23:E37 F23:H38">
    <cfRule type="expression" dxfId="551" priority="22">
      <formula>$C22=MAX($C$8:$C$37)</formula>
    </cfRule>
  </conditionalFormatting>
  <conditionalFormatting sqref="C23:C37">
    <cfRule type="expression" dxfId="550" priority="21">
      <formula>$C22=MAX($C$8:$C$37)</formula>
    </cfRule>
  </conditionalFormatting>
  <conditionalFormatting sqref="E23:E38">
    <cfRule type="expression" dxfId="549" priority="23">
      <formula>AND($A23="",$F23&lt;&gt;"")</formula>
    </cfRule>
  </conditionalFormatting>
  <conditionalFormatting sqref="F23:F38">
    <cfRule type="expression" dxfId="548" priority="24">
      <formula>AND($F23="",$A23&lt;&gt;"")</formula>
    </cfRule>
  </conditionalFormatting>
  <conditionalFormatting sqref="D20:H22">
    <cfRule type="expression" dxfId="547" priority="18">
      <formula>$C19=MAX($C$8:$C$37)</formula>
    </cfRule>
  </conditionalFormatting>
  <conditionalFormatting sqref="C20:C22">
    <cfRule type="expression" dxfId="546" priority="17">
      <formula>$C19=MAX($C$8:$C$37)</formula>
    </cfRule>
  </conditionalFormatting>
  <conditionalFormatting sqref="E20:E22">
    <cfRule type="expression" dxfId="545" priority="19">
      <formula>AND($A20="",$F20&lt;&gt;"")</formula>
    </cfRule>
  </conditionalFormatting>
  <conditionalFormatting sqref="F20:F22">
    <cfRule type="expression" dxfId="544" priority="20">
      <formula>AND($F20="",$A20&lt;&gt;"")</formula>
    </cfRule>
  </conditionalFormatting>
  <conditionalFormatting sqref="D15:H19 D12:F14 H12:H14">
    <cfRule type="expression" dxfId="543" priority="14">
      <formula>$C11=MAX($C$8:$C$37)</formula>
    </cfRule>
  </conditionalFormatting>
  <conditionalFormatting sqref="C12:C19">
    <cfRule type="expression" dxfId="542" priority="13">
      <formula>$C11=MAX($C$8:$C$37)</formula>
    </cfRule>
  </conditionalFormatting>
  <conditionalFormatting sqref="E12:E19">
    <cfRule type="expression" dxfId="541" priority="15">
      <formula>AND($A12="",$F12&lt;&gt;"")</formula>
    </cfRule>
  </conditionalFormatting>
  <conditionalFormatting sqref="F12:F19">
    <cfRule type="expression" dxfId="540" priority="16">
      <formula>AND($F12="",$A12&lt;&gt;"")</formula>
    </cfRule>
  </conditionalFormatting>
  <conditionalFormatting sqref="G12:G14">
    <cfRule type="expression" dxfId="539" priority="12">
      <formula>$C11=MAX($C$8:$C$37)</formula>
    </cfRule>
  </conditionalFormatting>
  <conditionalFormatting sqref="D9:F11 H9:H11">
    <cfRule type="expression" dxfId="538" priority="9">
      <formula>$C8=MAX($C$8:$C$37)</formula>
    </cfRule>
  </conditionalFormatting>
  <conditionalFormatting sqref="C9:C11">
    <cfRule type="expression" dxfId="537" priority="8">
      <formula>$C8=MAX($C$8:$C$37)</formula>
    </cfRule>
  </conditionalFormatting>
  <conditionalFormatting sqref="E9:E11">
    <cfRule type="expression" dxfId="536" priority="10">
      <formula>AND($A9="",$F9&lt;&gt;"")</formula>
    </cfRule>
  </conditionalFormatting>
  <conditionalFormatting sqref="F9:F11">
    <cfRule type="expression" dxfId="535" priority="11">
      <formula>AND($F9="",$A9&lt;&gt;"")</formula>
    </cfRule>
  </conditionalFormatting>
  <conditionalFormatting sqref="D8:F8">
    <cfRule type="expression" dxfId="534" priority="5">
      <formula>$C7=MAX($C$8:$C$37)</formula>
    </cfRule>
  </conditionalFormatting>
  <conditionalFormatting sqref="C8">
    <cfRule type="expression" dxfId="533" priority="4">
      <formula>$C7=MAX($C$8:$C$37)</formula>
    </cfRule>
  </conditionalFormatting>
  <conditionalFormatting sqref="E8">
    <cfRule type="expression" dxfId="532" priority="6">
      <formula>AND($A8="",$F8&lt;&gt;"")</formula>
    </cfRule>
  </conditionalFormatting>
  <conditionalFormatting sqref="F8">
    <cfRule type="expression" dxfId="531" priority="7">
      <formula>AND($F8="",$A8&lt;&gt;"")</formula>
    </cfRule>
  </conditionalFormatting>
  <conditionalFormatting sqref="H8">
    <cfRule type="expression" dxfId="530" priority="3">
      <formula>$C7=MAX($C$8:$C$37)</formula>
    </cfRule>
  </conditionalFormatting>
  <conditionalFormatting sqref="G9:G11">
    <cfRule type="expression" dxfId="529" priority="2">
      <formula>$C8=MAX($C$8:$C$37)</formula>
    </cfRule>
  </conditionalFormatting>
  <conditionalFormatting sqref="G8">
    <cfRule type="expression" dxfId="528" priority="1">
      <formula>$C7=MAX($C$8:$C$37)</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1552385" r:id="rId4" name="Button 1">
              <controlPr defaultSize="0" print="0" autoFill="0" autoPict="0" macro="[0]!Macro4">
                <anchor moveWithCells="1" sizeWithCells="1">
                  <from>
                    <xdr:col>0</xdr:col>
                    <xdr:colOff>0</xdr:colOff>
                    <xdr:row>0</xdr:row>
                    <xdr:rowOff>0</xdr:rowOff>
                  </from>
                  <to>
                    <xdr:col>1</xdr:col>
                    <xdr:colOff>769620</xdr:colOff>
                    <xdr:row>7</xdr:row>
                    <xdr:rowOff>0</xdr:rowOff>
                  </to>
                </anchor>
              </controlPr>
            </control>
          </mc:Choice>
        </mc:AlternateContent>
      </controls>
    </mc:Choice>
  </mc:AlternateContent>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F6AAD5C-3B2B-44DC-83C4-CB8BBE6D7D1F}">
  <sheetPr codeName="Sheet55">
    <tabColor theme="1"/>
    <pageSetUpPr fitToPage="1"/>
  </sheetPr>
  <dimension ref="A1:N53"/>
  <sheetViews>
    <sheetView zoomScaleNormal="100" workbookViewId="0">
      <pane ySplit="7" topLeftCell="A8" activePane="bottomLeft" state="frozen"/>
      <selection activeCell="Q2" sqref="Q2"/>
      <selection pane="bottomLeft" activeCell="H10" sqref="H10"/>
    </sheetView>
  </sheetViews>
  <sheetFormatPr defaultColWidth="9.09765625" defaultRowHeight="13.8" x14ac:dyDescent="0.25"/>
  <cols>
    <col min="1" max="1" width="11.69921875" style="14" customWidth="1"/>
    <col min="2" max="2" width="11.296875" style="14" customWidth="1"/>
    <col min="3" max="3" width="9.09765625" style="14"/>
    <col min="4" max="4" width="38.3984375" style="14" bestFit="1" customWidth="1"/>
    <col min="5" max="5" width="12.296875" style="53" bestFit="1" customWidth="1"/>
    <col min="6" max="6" width="11" style="14" customWidth="1"/>
    <col min="7" max="7" width="17.8984375" style="14" customWidth="1"/>
    <col min="8" max="8" width="17.8984375" style="15" customWidth="1"/>
    <col min="9" max="9" width="21.8984375" style="14" customWidth="1"/>
    <col min="10" max="10" width="10.09765625" style="14" customWidth="1"/>
    <col min="11" max="11" width="9.09765625" style="14"/>
    <col min="12" max="12" width="11.69921875" style="14" customWidth="1"/>
    <col min="13" max="14" width="10.09765625" style="14" bestFit="1" customWidth="1"/>
    <col min="15" max="16384" width="9.09765625" style="14"/>
  </cols>
  <sheetData>
    <row r="1" spans="1:14" ht="15.75" customHeight="1" x14ac:dyDescent="0.25">
      <c r="C1" s="268" t="s">
        <v>164</v>
      </c>
      <c r="D1" s="268"/>
      <c r="E1" s="268"/>
      <c r="F1" s="268"/>
      <c r="G1" s="268"/>
      <c r="H1" s="268"/>
    </row>
    <row r="2" spans="1:14" ht="15.75" customHeight="1" x14ac:dyDescent="0.25">
      <c r="C2" s="268"/>
      <c r="D2" s="268"/>
      <c r="E2" s="268"/>
      <c r="F2" s="268"/>
      <c r="G2" s="268"/>
      <c r="H2" s="268"/>
    </row>
    <row r="3" spans="1:14" ht="15" customHeight="1" x14ac:dyDescent="0.25">
      <c r="C3" s="269" t="s">
        <v>166</v>
      </c>
      <c r="D3" s="269"/>
      <c r="E3" s="269"/>
      <c r="F3" s="270" t="s">
        <v>168</v>
      </c>
      <c r="G3" s="270"/>
      <c r="H3" s="270"/>
    </row>
    <row r="4" spans="1:14" x14ac:dyDescent="0.25">
      <c r="C4" s="269" t="s">
        <v>167</v>
      </c>
      <c r="D4" s="269"/>
      <c r="E4" s="269"/>
      <c r="F4" s="271" t="s">
        <v>169</v>
      </c>
      <c r="G4" s="271"/>
      <c r="H4" s="271"/>
    </row>
    <row r="5" spans="1:14" s="140" customFormat="1" ht="21" customHeight="1" x14ac:dyDescent="0.25">
      <c r="C5" s="272" t="s">
        <v>165</v>
      </c>
      <c r="D5" s="272"/>
      <c r="E5" s="272"/>
      <c r="F5" s="272"/>
      <c r="G5" s="272"/>
      <c r="H5" s="272"/>
    </row>
    <row r="6" spans="1:14" s="140" customFormat="1" ht="16.5" customHeight="1" x14ac:dyDescent="0.25">
      <c r="C6" s="149" t="s">
        <v>170</v>
      </c>
      <c r="D6" s="152" t="s">
        <v>321</v>
      </c>
      <c r="E6" s="145"/>
      <c r="F6" s="145"/>
      <c r="G6" s="267" t="str">
        <f ca="1">"Ngày "&amp;DAY(TODAY())&amp;" Tháng "&amp;MONTH(TODAY())&amp;" Năm "&amp;YEAR(TODAY())</f>
        <v>Ngày 22 Tháng 1 Năm 2023</v>
      </c>
      <c r="H6" s="267"/>
    </row>
    <row r="7" spans="1:14" s="144" customFormat="1" ht="24" customHeight="1" x14ac:dyDescent="0.25">
      <c r="A7" s="141" t="s">
        <v>101</v>
      </c>
      <c r="B7" s="141" t="s">
        <v>15</v>
      </c>
      <c r="C7" s="142" t="s">
        <v>0</v>
      </c>
      <c r="D7" s="142" t="s">
        <v>16</v>
      </c>
      <c r="E7" s="146" t="str">
        <f>"Quy cách"&amp;CHAR(10)&amp;"(Kg)"</f>
        <v>Quy cách
(Kg)</v>
      </c>
      <c r="F7" s="142" t="s">
        <v>15</v>
      </c>
      <c r="G7" s="142" t="s">
        <v>17</v>
      </c>
      <c r="H7" s="142" t="s">
        <v>18</v>
      </c>
      <c r="I7" s="143">
        <f>SUBTOTAL(9,I8:I37)</f>
        <v>2</v>
      </c>
      <c r="L7" s="140"/>
    </row>
    <row r="8" spans="1:14" s="29" customFormat="1" ht="14.25" customHeight="1" x14ac:dyDescent="0.25">
      <c r="A8" s="150">
        <v>34</v>
      </c>
      <c r="B8" s="150">
        <v>4</v>
      </c>
      <c r="C8" s="30">
        <f t="shared" ref="C8:C37" si="0">IF(OR(SUM($C7,$A8&lt;&gt;"")=0,$A8=""),"",SUM($C7,$A8&lt;&gt;""))</f>
        <v>1</v>
      </c>
      <c r="D8" s="147" t="str">
        <f>IFERROR(VLOOKUP($A8,Sheet1!$A$1:$B$80,2,0),"")</f>
        <v>Cá viên KK</v>
      </c>
      <c r="E8" s="30">
        <f>IFERROR(VLOOKUP($A8,'Tổng Đơn'!$A$5:$E$52,5,0),"")</f>
        <v>0.5</v>
      </c>
      <c r="F8" s="30">
        <f t="shared" ref="F8:F37" si="1">IF($B8="","",B8)</f>
        <v>4</v>
      </c>
      <c r="G8" s="155">
        <f>IFERROR(VLOOKUP($A8,Sheet1!$A1:$D$80,4,0),"")</f>
        <v>25000</v>
      </c>
      <c r="H8" s="148">
        <f>IF($C7=MAX($C$8:$C$56),SUM($H7:$H$8),IFERROR($G8*$F8,""))</f>
        <v>100000</v>
      </c>
      <c r="I8" s="54">
        <f t="shared" ref="I8:I37" si="2">IF(TYPE($A8)&lt;&gt;1,"",IFERROR(F8*E8,""))</f>
        <v>2</v>
      </c>
      <c r="L8" s="32"/>
    </row>
    <row r="9" spans="1:14" s="29" customFormat="1" ht="14.25" customHeight="1" x14ac:dyDescent="0.25">
      <c r="A9" s="150">
        <v>1</v>
      </c>
      <c r="B9" s="150">
        <v>1</v>
      </c>
      <c r="C9" s="30">
        <f t="shared" si="0"/>
        <v>2</v>
      </c>
      <c r="D9" s="147" t="s">
        <v>312</v>
      </c>
      <c r="E9" s="30" t="s">
        <v>234</v>
      </c>
      <c r="F9" s="30" t="s">
        <v>234</v>
      </c>
      <c r="G9" s="155" t="s">
        <v>234</v>
      </c>
      <c r="H9" s="148">
        <f>-4*2000</f>
        <v>-8000</v>
      </c>
      <c r="I9" s="54" t="str">
        <f t="shared" si="2"/>
        <v/>
      </c>
      <c r="L9" s="31"/>
    </row>
    <row r="10" spans="1:14" s="29" customFormat="1" ht="14.25" customHeight="1" x14ac:dyDescent="0.25">
      <c r="A10" s="150" t="s">
        <v>310</v>
      </c>
      <c r="B10" s="150"/>
      <c r="C10" s="30" t="str">
        <f t="shared" si="0"/>
        <v/>
      </c>
      <c r="D10" s="147" t="str">
        <f>IFERROR(VLOOKUP($A10,Sheet1!$A$1:$B$80,2,0),"")</f>
        <v/>
      </c>
      <c r="E10" s="30" t="str">
        <f>IFERROR(VLOOKUP($A10,'Tổng Đơn'!$A$5:$E$52,5,0),"")</f>
        <v/>
      </c>
      <c r="F10" s="30" t="str">
        <f t="shared" si="1"/>
        <v/>
      </c>
      <c r="G10" s="155" t="str">
        <f>IF(AND($C10="",$C9&lt;&gt;""),"Tổng Cộng",IFERROR(VLOOKUP($A10,Sheet1!$A$1:$D$80,4,0),""))</f>
        <v>Tổng Cộng</v>
      </c>
      <c r="H10" s="148">
        <f>IF($C9=MAX($C$8:$C$56),SUM($H$8:$H9),IFERROR($G10*$F10,""))</f>
        <v>92000</v>
      </c>
      <c r="I10" s="54" t="str">
        <f t="shared" si="2"/>
        <v/>
      </c>
      <c r="L10" s="31"/>
    </row>
    <row r="11" spans="1:14" s="29" customFormat="1" ht="14.25" customHeight="1" x14ac:dyDescent="0.25">
      <c r="A11" s="150" t="s">
        <v>310</v>
      </c>
      <c r="B11" s="150"/>
      <c r="C11" s="30" t="str">
        <f t="shared" si="0"/>
        <v/>
      </c>
      <c r="D11" s="147" t="str">
        <f>IFERROR(VLOOKUP($A11,Sheet1!$A$1:$B$80,2,0),"")</f>
        <v/>
      </c>
      <c r="E11" s="30" t="str">
        <f>IFERROR(VLOOKUP($A11,'Tổng Đơn'!$A$5:$E$52,5,0),"")</f>
        <v/>
      </c>
      <c r="F11" s="30" t="str">
        <f t="shared" si="1"/>
        <v/>
      </c>
      <c r="G11" s="155" t="str">
        <f>IF(AND($C11="",$C10&lt;&gt;""),"Tổng Cộng",IFERROR(VLOOKUP($A11,Sheet1!$A$1:$D$80,4,0),""))</f>
        <v/>
      </c>
      <c r="H11" s="148" t="str">
        <f>IF($C10=MAX($C$8:$C$56),SUM($H$8:$H10),IFERROR($G11*$F11,""))</f>
        <v/>
      </c>
      <c r="I11" s="54" t="str">
        <f t="shared" si="2"/>
        <v/>
      </c>
      <c r="L11" s="31"/>
    </row>
    <row r="12" spans="1:14" s="29" customFormat="1" ht="14.25" customHeight="1" x14ac:dyDescent="0.25">
      <c r="A12" s="150" t="s">
        <v>310</v>
      </c>
      <c r="B12" s="150"/>
      <c r="C12" s="30" t="str">
        <f t="shared" si="0"/>
        <v/>
      </c>
      <c r="D12" s="147" t="str">
        <f>IFERROR(VLOOKUP($A12,Sheet1!$A$1:$B$80,2,0),"")</f>
        <v/>
      </c>
      <c r="E12" s="30" t="str">
        <f>IFERROR(VLOOKUP($A12,'Tổng Đơn'!$A$5:$E$52,5,0),"")</f>
        <v/>
      </c>
      <c r="F12" s="30" t="str">
        <f t="shared" si="1"/>
        <v/>
      </c>
      <c r="G12" s="155" t="str">
        <f>IF(AND($C12="",$C11&lt;&gt;""),"Tổng Cộng",IFERROR(VLOOKUP($A12,Sheet1!$A$1:$D$80,4,0),""))</f>
        <v/>
      </c>
      <c r="H12" s="148" t="str">
        <f>IF($C11=MAX($C$8:$C$56),SUM($H$8:$H11),IFERROR($G12*$F12,""))</f>
        <v/>
      </c>
      <c r="I12" s="54" t="str">
        <f t="shared" si="2"/>
        <v/>
      </c>
      <c r="J12" s="125"/>
      <c r="L12" s="31"/>
      <c r="N12" s="126"/>
    </row>
    <row r="13" spans="1:14" s="29" customFormat="1" ht="14.25" customHeight="1" x14ac:dyDescent="0.25">
      <c r="A13" s="150" t="s">
        <v>310</v>
      </c>
      <c r="B13" s="150"/>
      <c r="C13" s="30" t="str">
        <f t="shared" si="0"/>
        <v/>
      </c>
      <c r="D13" s="147" t="str">
        <f>IFERROR(VLOOKUP($A13,Sheet1!$A$1:$B$80,2,0),"")</f>
        <v/>
      </c>
      <c r="E13" s="30" t="str">
        <f>IFERROR(VLOOKUP($A13,'Tổng Đơn'!$A$5:$E$52,5,0),"")</f>
        <v/>
      </c>
      <c r="F13" s="30" t="str">
        <f t="shared" si="1"/>
        <v/>
      </c>
      <c r="G13" s="155" t="str">
        <f>IF(AND($C13="",$C12&lt;&gt;""),"Tổng Cộng",IFERROR(VLOOKUP($A13,Sheet1!$A$1:$D$80,4,0),""))</f>
        <v/>
      </c>
      <c r="H13" s="148" t="str">
        <f>IF($C12=MAX($C$8:$C$56),SUM($H$8:$H12),IFERROR($G13*$F13,""))</f>
        <v/>
      </c>
      <c r="I13" s="54" t="str">
        <f t="shared" si="2"/>
        <v/>
      </c>
      <c r="L13" s="31"/>
    </row>
    <row r="14" spans="1:14" s="29" customFormat="1" ht="14.25" customHeight="1" x14ac:dyDescent="0.25">
      <c r="A14" s="150" t="s">
        <v>310</v>
      </c>
      <c r="B14" s="150"/>
      <c r="C14" s="30" t="str">
        <f t="shared" si="0"/>
        <v/>
      </c>
      <c r="D14" s="147" t="str">
        <f>IFERROR(VLOOKUP($A14,Sheet1!$A$1:$B$80,2,0),"")</f>
        <v/>
      </c>
      <c r="E14" s="30" t="str">
        <f>IFERROR(VLOOKUP($A14,'Tổng Đơn'!$A$5:$E$52,5,0),"")</f>
        <v/>
      </c>
      <c r="F14" s="30" t="str">
        <f t="shared" si="1"/>
        <v/>
      </c>
      <c r="G14" s="155" t="str">
        <f>IF(AND($C14="",$C13&lt;&gt;""),"Tổng Cộng",IFERROR(VLOOKUP($A14,Sheet1!$A$1:$D$80,4,0),""))</f>
        <v/>
      </c>
      <c r="H14" s="148" t="str">
        <f>IF($C13=MAX($C$8:$C$56),SUM($H$8:$H13),IFERROR($G14*$F14,""))</f>
        <v/>
      </c>
      <c r="I14" s="54" t="str">
        <f t="shared" si="2"/>
        <v/>
      </c>
      <c r="L14" s="31"/>
      <c r="M14" s="132"/>
    </row>
    <row r="15" spans="1:14" s="29" customFormat="1" ht="14.25" customHeight="1" x14ac:dyDescent="0.25">
      <c r="A15" s="150" t="s">
        <v>310</v>
      </c>
      <c r="B15" s="150"/>
      <c r="C15" s="30" t="str">
        <f t="shared" si="0"/>
        <v/>
      </c>
      <c r="D15" s="147" t="str">
        <f>IFERROR(VLOOKUP($A15,Sheet1!$A$1:$B$80,2,0),"")</f>
        <v/>
      </c>
      <c r="E15" s="30" t="str">
        <f>IFERROR(VLOOKUP($A15,'Tổng Đơn'!$A$5:$E$52,5,0),"")</f>
        <v/>
      </c>
      <c r="F15" s="30" t="str">
        <f t="shared" si="1"/>
        <v/>
      </c>
      <c r="G15" s="155" t="str">
        <f>IF(AND($C15="",$C14&lt;&gt;""),"Tổng Cộng",IFERROR(VLOOKUP($A15,Sheet1!$A$1:$D$80,4,0),""))</f>
        <v/>
      </c>
      <c r="H15" s="148" t="str">
        <f>IF($C14=MAX($C$8:$C$56),SUM($H$8:$H14),IFERROR($G15*$F15,""))</f>
        <v/>
      </c>
      <c r="I15" s="54" t="str">
        <f t="shared" si="2"/>
        <v/>
      </c>
      <c r="L15" s="31"/>
    </row>
    <row r="16" spans="1:14" s="29" customFormat="1" ht="14.25" customHeight="1" x14ac:dyDescent="0.25">
      <c r="A16" s="150" t="s">
        <v>310</v>
      </c>
      <c r="B16" s="150"/>
      <c r="C16" s="30" t="str">
        <f t="shared" si="0"/>
        <v/>
      </c>
      <c r="D16" s="147" t="str">
        <f>IFERROR(VLOOKUP($A16,Sheet1!$A$1:$B$80,2,0),"")</f>
        <v/>
      </c>
      <c r="E16" s="30" t="str">
        <f>IFERROR(VLOOKUP($A16,'Tổng Đơn'!$A$5:$E$52,5,0),"")</f>
        <v/>
      </c>
      <c r="F16" s="30" t="str">
        <f t="shared" si="1"/>
        <v/>
      </c>
      <c r="G16" s="155" t="str">
        <f>IF(AND($C16="",$C15&lt;&gt;""),"Tổng Cộng",IFERROR(VLOOKUP($A16,Sheet1!$A$1:$D$80,4,0),""))</f>
        <v/>
      </c>
      <c r="H16" s="148" t="str">
        <f>IF($C15=MAX($C$8:$C$56),SUM($H$8:$H15),IFERROR($G16*$F16,""))</f>
        <v/>
      </c>
      <c r="I16" s="54" t="str">
        <f t="shared" si="2"/>
        <v/>
      </c>
      <c r="L16" s="31"/>
    </row>
    <row r="17" spans="1:12" s="29" customFormat="1" ht="14.25" customHeight="1" x14ac:dyDescent="0.25">
      <c r="A17" s="150" t="s">
        <v>310</v>
      </c>
      <c r="B17" s="150"/>
      <c r="C17" s="30" t="str">
        <f t="shared" si="0"/>
        <v/>
      </c>
      <c r="D17" s="147" t="str">
        <f>IFERROR(VLOOKUP($A17,Sheet1!$A$1:$B$80,2,0),"")</f>
        <v/>
      </c>
      <c r="E17" s="30" t="str">
        <f>IFERROR(VLOOKUP($A17,'Tổng Đơn'!$A$5:$E$52,5,0),"")</f>
        <v/>
      </c>
      <c r="F17" s="30" t="str">
        <f t="shared" si="1"/>
        <v/>
      </c>
      <c r="G17" s="155" t="str">
        <f>IF(AND($C17="",$C16&lt;&gt;""),"Tổng Cộng",IFERROR(VLOOKUP($A17,Sheet1!$A$1:$D$80,4,0),""))</f>
        <v/>
      </c>
      <c r="H17" s="148" t="str">
        <f>IF($C16=MAX($C$8:$C$56),SUM($H$8:$H16),IFERROR($G17*$F17,""))</f>
        <v/>
      </c>
      <c r="I17" s="54" t="str">
        <f t="shared" si="2"/>
        <v/>
      </c>
      <c r="L17" s="31"/>
    </row>
    <row r="18" spans="1:12" s="29" customFormat="1" ht="14.25" customHeight="1" x14ac:dyDescent="0.25">
      <c r="A18" s="150" t="s">
        <v>310</v>
      </c>
      <c r="B18" s="150"/>
      <c r="C18" s="30" t="str">
        <f t="shared" si="0"/>
        <v/>
      </c>
      <c r="D18" s="147" t="str">
        <f>IFERROR(VLOOKUP($A18,Sheet1!$A$1:$B$80,2,0),"")</f>
        <v/>
      </c>
      <c r="E18" s="30" t="str">
        <f>IFERROR(VLOOKUP($A18,'Tổng Đơn'!$A$5:$E$52,5,0),"")</f>
        <v/>
      </c>
      <c r="F18" s="30" t="str">
        <f t="shared" si="1"/>
        <v/>
      </c>
      <c r="G18" s="155" t="str">
        <f>IF(AND($C18="",$C17&lt;&gt;""),"Tổng Cộng",IFERROR(VLOOKUP($A18,Sheet1!$A$1:$D$80,4,0),""))</f>
        <v/>
      </c>
      <c r="H18" s="148" t="str">
        <f>IF($C17=MAX($C$8:$C$56),SUM($H$8:$H17),IFERROR($G18*$F18,""))</f>
        <v/>
      </c>
      <c r="I18" s="54" t="str">
        <f t="shared" si="2"/>
        <v/>
      </c>
      <c r="L18" s="31"/>
    </row>
    <row r="19" spans="1:12" s="29" customFormat="1" ht="14.25" customHeight="1" x14ac:dyDescent="0.25">
      <c r="A19" s="150" t="s">
        <v>310</v>
      </c>
      <c r="B19" s="150"/>
      <c r="C19" s="30" t="str">
        <f t="shared" si="0"/>
        <v/>
      </c>
      <c r="D19" s="147" t="str">
        <f>IFERROR(VLOOKUP($A19,Sheet1!$A$1:$B$80,2,0),"")</f>
        <v/>
      </c>
      <c r="E19" s="30" t="str">
        <f>IFERROR(VLOOKUP($A19,'Tổng Đơn'!$A$5:$E$52,5,0),"")</f>
        <v/>
      </c>
      <c r="F19" s="30" t="str">
        <f t="shared" si="1"/>
        <v/>
      </c>
      <c r="G19" s="155" t="str">
        <f>IF(AND($C19="",$C18&lt;&gt;""),"Tổng Cộng",IFERROR(VLOOKUP($A19,Sheet1!$A$1:$D$80,4,0),""))</f>
        <v/>
      </c>
      <c r="H19" s="148" t="str">
        <f>IF($C18=MAX($C$8:$C$56),SUM($H$8:$H18),IFERROR($G19*$F19,""))</f>
        <v/>
      </c>
      <c r="I19" s="54" t="str">
        <f t="shared" si="2"/>
        <v/>
      </c>
      <c r="L19" s="31"/>
    </row>
    <row r="20" spans="1:12" s="29" customFormat="1" ht="14.25" customHeight="1" x14ac:dyDescent="0.25">
      <c r="A20" s="150" t="s">
        <v>310</v>
      </c>
      <c r="B20" s="150"/>
      <c r="C20" s="30" t="str">
        <f t="shared" si="0"/>
        <v/>
      </c>
      <c r="D20" s="147" t="str">
        <f>IFERROR(VLOOKUP($A20,Sheet1!$A$1:$B$80,2,0),"")</f>
        <v/>
      </c>
      <c r="E20" s="30" t="str">
        <f>IFERROR(VLOOKUP($A20,'Tổng Đơn'!$A$5:$E$52,5,0),"")</f>
        <v/>
      </c>
      <c r="F20" s="30" t="str">
        <f t="shared" si="1"/>
        <v/>
      </c>
      <c r="G20" s="155" t="str">
        <f>IF(AND($C20="",$C19&lt;&gt;""),"Tổng Cộng",IFERROR(VLOOKUP($A20,Sheet1!$A$1:$D$80,4,0),""))</f>
        <v/>
      </c>
      <c r="H20" s="148" t="str">
        <f>IF($C19=MAX($C$8:$C$56),SUM($H$8:$H19),IFERROR($G20*$F20,""))</f>
        <v/>
      </c>
      <c r="I20" s="54" t="str">
        <f t="shared" si="2"/>
        <v/>
      </c>
      <c r="L20" s="31"/>
    </row>
    <row r="21" spans="1:12" s="29" customFormat="1" ht="14.25" customHeight="1" x14ac:dyDescent="0.25">
      <c r="A21" s="150" t="s">
        <v>310</v>
      </c>
      <c r="B21" s="150"/>
      <c r="C21" s="30" t="str">
        <f t="shared" si="0"/>
        <v/>
      </c>
      <c r="D21" s="147" t="str">
        <f>IFERROR(VLOOKUP($A21,Sheet1!$A$1:$B$80,2,0),"")</f>
        <v/>
      </c>
      <c r="E21" s="30" t="str">
        <f>IFERROR(VLOOKUP($A21,'Tổng Đơn'!$A$5:$E$52,5,0),"")</f>
        <v/>
      </c>
      <c r="F21" s="30" t="str">
        <f t="shared" si="1"/>
        <v/>
      </c>
      <c r="G21" s="155" t="str">
        <f>IF(AND($C21="",$C20&lt;&gt;""),"Tổng Cộng",IFERROR(VLOOKUP($A21,Sheet1!$A$1:$D$80,4,0),""))</f>
        <v/>
      </c>
      <c r="H21" s="148" t="str">
        <f>IF($C20=MAX($C$8:$C$56),SUM($H$8:$H20),IFERROR($G21*$F21,""))</f>
        <v/>
      </c>
      <c r="I21" s="54" t="str">
        <f t="shared" si="2"/>
        <v/>
      </c>
      <c r="L21" s="31"/>
    </row>
    <row r="22" spans="1:12" s="29" customFormat="1" ht="14.25" customHeight="1" x14ac:dyDescent="0.25">
      <c r="A22" s="150" t="s">
        <v>310</v>
      </c>
      <c r="B22" s="150"/>
      <c r="C22" s="30" t="str">
        <f t="shared" si="0"/>
        <v/>
      </c>
      <c r="D22" s="147" t="str">
        <f>IFERROR(VLOOKUP($A22,Sheet1!$A$1:$B$80,2,0),"")</f>
        <v/>
      </c>
      <c r="E22" s="30" t="str">
        <f>IFERROR(VLOOKUP($A22,'Tổng Đơn'!$A$5:$E$52,5,0),"")</f>
        <v/>
      </c>
      <c r="F22" s="30" t="str">
        <f t="shared" si="1"/>
        <v/>
      </c>
      <c r="G22" s="155" t="str">
        <f>IF(AND($C22="",$C21&lt;&gt;""),"Tổng Cộng",IFERROR(VLOOKUP($A22,Sheet1!$A$1:$D$80,4,0),""))</f>
        <v/>
      </c>
      <c r="H22" s="148" t="str">
        <f>IF($C21=MAX($C$8:$C$56),SUM($H$8:$H21),IFERROR($G22*$F22,""))</f>
        <v/>
      </c>
      <c r="I22" s="54" t="str">
        <f t="shared" si="2"/>
        <v/>
      </c>
      <c r="L22" s="31"/>
    </row>
    <row r="23" spans="1:12" s="29" customFormat="1" ht="14.25" customHeight="1" x14ac:dyDescent="0.25">
      <c r="A23" s="150" t="s">
        <v>310</v>
      </c>
      <c r="B23" s="150"/>
      <c r="C23" s="30" t="str">
        <f t="shared" si="0"/>
        <v/>
      </c>
      <c r="D23" s="147" t="str">
        <f>IFERROR(VLOOKUP($A23,Sheet1!$A$1:$B$80,2,0),"")</f>
        <v/>
      </c>
      <c r="E23" s="30" t="str">
        <f>IFERROR(VLOOKUP($A23,'Tổng Đơn'!$A$5:$E$52,5,0),"")</f>
        <v/>
      </c>
      <c r="F23" s="30" t="str">
        <f t="shared" si="1"/>
        <v/>
      </c>
      <c r="G23" s="155" t="str">
        <f>IF(AND($C23="",$C22&lt;&gt;""),"Tổng Cộng",IFERROR(VLOOKUP($A23,Sheet1!$A$1:$D$80,4,0),""))</f>
        <v/>
      </c>
      <c r="H23" s="148" t="str">
        <f>IF($C22=MAX($C$8:$C$56),SUM($H$8:$H22),IFERROR($G23*$F23,""))</f>
        <v/>
      </c>
      <c r="I23" s="54" t="str">
        <f t="shared" si="2"/>
        <v/>
      </c>
      <c r="L23" s="31"/>
    </row>
    <row r="24" spans="1:12" s="29" customFormat="1" ht="14.25" customHeight="1" x14ac:dyDescent="0.25">
      <c r="A24" s="150" t="s">
        <v>310</v>
      </c>
      <c r="B24" s="150"/>
      <c r="C24" s="30" t="str">
        <f t="shared" si="0"/>
        <v/>
      </c>
      <c r="D24" s="147" t="str">
        <f>IFERROR(VLOOKUP($A24,Sheet1!$A$1:$B$80,2,0),"")</f>
        <v/>
      </c>
      <c r="E24" s="30" t="str">
        <f>IFERROR(VLOOKUP($A24,'Tổng Đơn'!$A$5:$E$52,5,0),"")</f>
        <v/>
      </c>
      <c r="F24" s="30" t="str">
        <f t="shared" si="1"/>
        <v/>
      </c>
      <c r="G24" s="155" t="str">
        <f>IF(AND($C24="",$C23&lt;&gt;""),"Tổng Cộng",IFERROR(VLOOKUP($A24,Sheet1!$A$1:$D$80,4,0),""))</f>
        <v/>
      </c>
      <c r="H24" s="148" t="str">
        <f>IF($C23=MAX($C$8:$C$56),SUM($H$8:$H23),IFERROR($G24*$F24,""))</f>
        <v/>
      </c>
      <c r="I24" s="54" t="str">
        <f t="shared" si="2"/>
        <v/>
      </c>
      <c r="L24" s="31"/>
    </row>
    <row r="25" spans="1:12" s="29" customFormat="1" ht="14.25" customHeight="1" x14ac:dyDescent="0.25">
      <c r="A25" s="150" t="s">
        <v>310</v>
      </c>
      <c r="B25" s="150"/>
      <c r="C25" s="30" t="str">
        <f t="shared" si="0"/>
        <v/>
      </c>
      <c r="D25" s="147" t="str">
        <f>IFERROR(VLOOKUP($A25,Sheet1!$A$1:$B$80,2,0),"")</f>
        <v/>
      </c>
      <c r="E25" s="30" t="str">
        <f>IFERROR(VLOOKUP($A25,'Tổng Đơn'!$A$5:$E$52,5,0),"")</f>
        <v/>
      </c>
      <c r="F25" s="30" t="str">
        <f t="shared" si="1"/>
        <v/>
      </c>
      <c r="G25" s="155" t="str">
        <f>IF(AND($C25="",$C24&lt;&gt;""),"Tổng Cộng",IFERROR(VLOOKUP($A25,Sheet1!$A$1:$D$80,4,0),""))</f>
        <v/>
      </c>
      <c r="H25" s="148" t="str">
        <f>IF($C24=MAX($C$8:$C$56),SUM($H$8:$H24),IFERROR($G25*$F25,""))</f>
        <v/>
      </c>
      <c r="I25" s="54" t="str">
        <f t="shared" si="2"/>
        <v/>
      </c>
      <c r="L25" s="31"/>
    </row>
    <row r="26" spans="1:12" s="29" customFormat="1" ht="14.25" customHeight="1" x14ac:dyDescent="0.25">
      <c r="A26" s="150" t="s">
        <v>310</v>
      </c>
      <c r="B26" s="150"/>
      <c r="C26" s="30" t="str">
        <f t="shared" si="0"/>
        <v/>
      </c>
      <c r="D26" s="147" t="str">
        <f>IFERROR(VLOOKUP($A26,Sheet1!$A$1:$B$80,2,0),"")</f>
        <v/>
      </c>
      <c r="E26" s="30" t="str">
        <f>IFERROR(VLOOKUP($A26,'Tổng Đơn'!$A$5:$E$52,5,0),"")</f>
        <v/>
      </c>
      <c r="F26" s="30" t="str">
        <f t="shared" si="1"/>
        <v/>
      </c>
      <c r="G26" s="155" t="str">
        <f>IF(AND($C26="",$C25&lt;&gt;""),"Tổng Cộng",IFERROR(VLOOKUP($A26,Sheet1!$A$1:$D$80,4,0),""))</f>
        <v/>
      </c>
      <c r="H26" s="148" t="str">
        <f>IF($C25=MAX($C$8:$C$56),SUM($H$8:$H25),IFERROR($G26*$F26,""))</f>
        <v/>
      </c>
      <c r="I26" s="54" t="str">
        <f t="shared" si="2"/>
        <v/>
      </c>
      <c r="L26" s="31"/>
    </row>
    <row r="27" spans="1:12" s="29" customFormat="1" ht="14.25" customHeight="1" x14ac:dyDescent="0.25">
      <c r="A27" s="150" t="s">
        <v>310</v>
      </c>
      <c r="B27" s="150"/>
      <c r="C27" s="30" t="str">
        <f t="shared" si="0"/>
        <v/>
      </c>
      <c r="D27" s="147" t="str">
        <f>IFERROR(VLOOKUP($A27,Sheet1!$A$1:$B$80,2,0),"")</f>
        <v/>
      </c>
      <c r="E27" s="30" t="str">
        <f>IFERROR(VLOOKUP($A27,'Tổng Đơn'!$A$5:$E$52,5,0),"")</f>
        <v/>
      </c>
      <c r="F27" s="30" t="str">
        <f t="shared" si="1"/>
        <v/>
      </c>
      <c r="G27" s="155" t="str">
        <f>IF(AND($C27="",$C26&lt;&gt;""),"Tổng Cộng",IFERROR(VLOOKUP($A27,Sheet1!$A$1:$D$80,4,0),""))</f>
        <v/>
      </c>
      <c r="H27" s="148" t="str">
        <f>IF($C26=MAX($C$8:$C$56),SUM($H$8:$H26),IFERROR($G27*$F27,""))</f>
        <v/>
      </c>
      <c r="I27" s="54" t="str">
        <f t="shared" si="2"/>
        <v/>
      </c>
      <c r="L27" s="31"/>
    </row>
    <row r="28" spans="1:12" s="29" customFormat="1" ht="14.25" customHeight="1" x14ac:dyDescent="0.25">
      <c r="A28" s="150" t="s">
        <v>310</v>
      </c>
      <c r="B28" s="150"/>
      <c r="C28" s="30" t="str">
        <f t="shared" si="0"/>
        <v/>
      </c>
      <c r="D28" s="147" t="str">
        <f>IFERROR(VLOOKUP($A28,Sheet1!$A$1:$B$80,2,0),"")</f>
        <v/>
      </c>
      <c r="E28" s="30" t="str">
        <f>IFERROR(VLOOKUP($A28,'Tổng Đơn'!$A$5:$E$52,5,0),"")</f>
        <v/>
      </c>
      <c r="F28" s="30" t="str">
        <f t="shared" si="1"/>
        <v/>
      </c>
      <c r="G28" s="155" t="str">
        <f>IF(AND($C28="",$C27&lt;&gt;""),"Tổng Cộng",IFERROR(VLOOKUP($A28,Sheet1!$A$1:$D$80,4,0),""))</f>
        <v/>
      </c>
      <c r="H28" s="148" t="str">
        <f>IF($C27=MAX($C$8:$C$56),SUM($H$8:$H27),IFERROR($G28*$F28,""))</f>
        <v/>
      </c>
      <c r="I28" s="54" t="str">
        <f t="shared" si="2"/>
        <v/>
      </c>
      <c r="L28" s="31"/>
    </row>
    <row r="29" spans="1:12" s="29" customFormat="1" ht="14.25" customHeight="1" x14ac:dyDescent="0.25">
      <c r="A29" s="150" t="s">
        <v>310</v>
      </c>
      <c r="B29" s="150"/>
      <c r="C29" s="30" t="str">
        <f t="shared" si="0"/>
        <v/>
      </c>
      <c r="D29" s="147" t="str">
        <f>IFERROR(VLOOKUP($A29,Sheet1!$A$1:$B$80,2,0),"")</f>
        <v/>
      </c>
      <c r="E29" s="30" t="str">
        <f>IFERROR(VLOOKUP($A29,'Tổng Đơn'!$A$5:$E$52,5,0),"")</f>
        <v/>
      </c>
      <c r="F29" s="30" t="str">
        <f t="shared" si="1"/>
        <v/>
      </c>
      <c r="G29" s="155" t="str">
        <f>IF(AND($C29="",$C28&lt;&gt;""),"Tổng Cộng",IFERROR(VLOOKUP($A29,Sheet1!$A$1:$D$80,4,0),""))</f>
        <v/>
      </c>
      <c r="H29" s="148" t="str">
        <f>IF($C28=MAX($C$8:$C$56),SUM($H$8:$H28),IFERROR($G29*$F29,""))</f>
        <v/>
      </c>
      <c r="I29" s="54" t="str">
        <f t="shared" si="2"/>
        <v/>
      </c>
      <c r="L29" s="31"/>
    </row>
    <row r="30" spans="1:12" s="29" customFormat="1" ht="14.25" customHeight="1" x14ac:dyDescent="0.25">
      <c r="A30" s="150" t="s">
        <v>310</v>
      </c>
      <c r="B30" s="150"/>
      <c r="C30" s="30" t="str">
        <f t="shared" si="0"/>
        <v/>
      </c>
      <c r="D30" s="147" t="str">
        <f>IFERROR(VLOOKUP($A30,Sheet1!$A$1:$B$80,2,0),"")</f>
        <v/>
      </c>
      <c r="E30" s="30" t="str">
        <f>IFERROR(VLOOKUP($A30,'Tổng Đơn'!$A$5:$E$52,5,0),"")</f>
        <v/>
      </c>
      <c r="F30" s="30" t="str">
        <f t="shared" si="1"/>
        <v/>
      </c>
      <c r="G30" s="155" t="str">
        <f>IF(AND($C30="",$C29&lt;&gt;""),"Tổng Cộng",IFERROR(VLOOKUP($A30,Sheet1!$A$1:$D$80,4,0),""))</f>
        <v/>
      </c>
      <c r="H30" s="148" t="str">
        <f>IF($C29=MAX($C$8:$C$56),SUM($H$8:$H29),IFERROR($G30*$F30,""))</f>
        <v/>
      </c>
      <c r="I30" s="54" t="str">
        <f t="shared" si="2"/>
        <v/>
      </c>
      <c r="L30" s="31"/>
    </row>
    <row r="31" spans="1:12" s="29" customFormat="1" ht="14.25" customHeight="1" x14ac:dyDescent="0.25">
      <c r="A31" s="150" t="s">
        <v>310</v>
      </c>
      <c r="B31" s="150"/>
      <c r="C31" s="30" t="str">
        <f t="shared" si="0"/>
        <v/>
      </c>
      <c r="D31" s="147" t="str">
        <f>IFERROR(VLOOKUP($A31,Sheet1!$A$1:$B$80,2,0),"")</f>
        <v/>
      </c>
      <c r="E31" s="30" t="str">
        <f>IFERROR(VLOOKUP($A31,'Tổng Đơn'!$A$5:$E$52,5,0),"")</f>
        <v/>
      </c>
      <c r="F31" s="30" t="str">
        <f t="shared" si="1"/>
        <v/>
      </c>
      <c r="G31" s="155" t="str">
        <f>IF(AND($C31="",$C30&lt;&gt;""),"Tổng Cộng",IFERROR(VLOOKUP($A31,Sheet1!$A$1:$D$80,4,0),""))</f>
        <v/>
      </c>
      <c r="H31" s="148" t="str">
        <f>IF($C30=MAX($C$8:$C$56),SUM($H$8:$H30),IFERROR($G31*$F31,""))</f>
        <v/>
      </c>
      <c r="I31" s="54" t="str">
        <f t="shared" si="2"/>
        <v/>
      </c>
      <c r="L31" s="31"/>
    </row>
    <row r="32" spans="1:12" s="29" customFormat="1" ht="14.25" customHeight="1" x14ac:dyDescent="0.25">
      <c r="A32" s="150" t="s">
        <v>310</v>
      </c>
      <c r="B32" s="150"/>
      <c r="C32" s="30" t="str">
        <f t="shared" si="0"/>
        <v/>
      </c>
      <c r="D32" s="147" t="str">
        <f>IFERROR(VLOOKUP($A32,Sheet1!$A$1:$B$80,2,0),"")</f>
        <v/>
      </c>
      <c r="E32" s="30" t="str">
        <f>IFERROR(VLOOKUP($A32,'Tổng Đơn'!$A$5:$E$52,5,0),"")</f>
        <v/>
      </c>
      <c r="F32" s="30" t="str">
        <f t="shared" si="1"/>
        <v/>
      </c>
      <c r="G32" s="155" t="str">
        <f>IF(AND($C32="",$C31&lt;&gt;""),"Tổng Cộng",IFERROR(VLOOKUP($A32,Sheet1!$A$1:$D$80,4,0),""))</f>
        <v/>
      </c>
      <c r="H32" s="148" t="str">
        <f>IF($C31=MAX($C$8:$C$56),SUM($H$8:$H31),IFERROR($G32*$F32,""))</f>
        <v/>
      </c>
      <c r="I32" s="54" t="str">
        <f t="shared" si="2"/>
        <v/>
      </c>
      <c r="L32" s="31"/>
    </row>
    <row r="33" spans="1:12" s="29" customFormat="1" ht="14.25" customHeight="1" x14ac:dyDescent="0.25">
      <c r="A33" s="150" t="s">
        <v>310</v>
      </c>
      <c r="B33" s="150"/>
      <c r="C33" s="30" t="str">
        <f t="shared" si="0"/>
        <v/>
      </c>
      <c r="D33" s="147" t="str">
        <f>IFERROR(VLOOKUP($A33,Sheet1!$A$1:$B$80,2,0),"")</f>
        <v/>
      </c>
      <c r="E33" s="30" t="str">
        <f>IFERROR(VLOOKUP($A33,'Tổng Đơn'!$A$5:$E$52,5,0),"")</f>
        <v/>
      </c>
      <c r="F33" s="30" t="str">
        <f t="shared" si="1"/>
        <v/>
      </c>
      <c r="G33" s="155" t="str">
        <f>IF(AND($C33="",$C32&lt;&gt;""),"Tổng Cộng",IFERROR(VLOOKUP($A33,Sheet1!$A$1:$D$80,4,0),""))</f>
        <v/>
      </c>
      <c r="H33" s="148" t="str">
        <f>IF($C32=MAX($C$8:$C$56),SUM($H$8:$H32),IFERROR($G33*$F33,""))</f>
        <v/>
      </c>
      <c r="I33" s="54" t="str">
        <f t="shared" si="2"/>
        <v/>
      </c>
      <c r="L33" s="31"/>
    </row>
    <row r="34" spans="1:12" s="29" customFormat="1" ht="14.25" customHeight="1" x14ac:dyDescent="0.25">
      <c r="A34" s="150" t="s">
        <v>310</v>
      </c>
      <c r="B34" s="150"/>
      <c r="C34" s="30" t="str">
        <f t="shared" si="0"/>
        <v/>
      </c>
      <c r="D34" s="147" t="str">
        <f>IFERROR(VLOOKUP($A34,Sheet1!$A$1:$B$80,2,0),"")</f>
        <v/>
      </c>
      <c r="E34" s="30" t="str">
        <f>IFERROR(VLOOKUP($A34,'Tổng Đơn'!$A$5:$E$52,5,0),"")</f>
        <v/>
      </c>
      <c r="F34" s="30" t="str">
        <f t="shared" si="1"/>
        <v/>
      </c>
      <c r="G34" s="155" t="str">
        <f>IF(AND($C34="",$C33&lt;&gt;""),"Tổng Cộng",IFERROR(VLOOKUP($A34,Sheet1!$A$1:$D$80,4,0),""))</f>
        <v/>
      </c>
      <c r="H34" s="148" t="str">
        <f>IF($C33=MAX($C$8:$C$56),SUM($H$8:$H33),IFERROR($G34*$F34,""))</f>
        <v/>
      </c>
      <c r="I34" s="54" t="str">
        <f t="shared" si="2"/>
        <v/>
      </c>
      <c r="L34" s="31"/>
    </row>
    <row r="35" spans="1:12" s="29" customFormat="1" ht="14.25" customHeight="1" x14ac:dyDescent="0.25">
      <c r="A35" s="150" t="s">
        <v>310</v>
      </c>
      <c r="B35" s="150"/>
      <c r="C35" s="30" t="str">
        <f t="shared" si="0"/>
        <v/>
      </c>
      <c r="D35" s="147" t="str">
        <f>IFERROR(VLOOKUP($A35,Sheet1!$A$1:$B$80,2,0),"")</f>
        <v/>
      </c>
      <c r="E35" s="30" t="str">
        <f>IFERROR(VLOOKUP($A35,'Tổng Đơn'!$A$5:$E$52,5,0),"")</f>
        <v/>
      </c>
      <c r="F35" s="30" t="str">
        <f t="shared" si="1"/>
        <v/>
      </c>
      <c r="G35" s="155" t="str">
        <f>IF(AND($C35="",$C34&lt;&gt;""),"Tổng Cộng",IFERROR(VLOOKUP($A35,Sheet1!$A$1:$D$80,4,0),""))</f>
        <v/>
      </c>
      <c r="H35" s="148" t="str">
        <f>IF($C34=MAX($C$8:$C$56),SUM($H$8:$H34),IFERROR($G35*$F35,""))</f>
        <v/>
      </c>
      <c r="I35" s="54" t="str">
        <f t="shared" si="2"/>
        <v/>
      </c>
      <c r="L35" s="31"/>
    </row>
    <row r="36" spans="1:12" s="29" customFormat="1" ht="14.25" customHeight="1" x14ac:dyDescent="0.25">
      <c r="A36" s="150" t="s">
        <v>310</v>
      </c>
      <c r="B36" s="150"/>
      <c r="C36" s="30" t="str">
        <f t="shared" si="0"/>
        <v/>
      </c>
      <c r="D36" s="147" t="str">
        <f>IFERROR(VLOOKUP($A36,Sheet1!$A$1:$B$80,2,0),"")</f>
        <v/>
      </c>
      <c r="E36" s="30" t="str">
        <f>IFERROR(VLOOKUP($A36,'Tổng Đơn'!$A$5:$E$52,5,0),"")</f>
        <v/>
      </c>
      <c r="F36" s="30" t="str">
        <f t="shared" si="1"/>
        <v/>
      </c>
      <c r="G36" s="155" t="str">
        <f>IF(AND($C36="",$C35&lt;&gt;""),"Tổng Cộng",IFERROR(VLOOKUP($A36,Sheet1!$A$1:$D$80,4,0),""))</f>
        <v/>
      </c>
      <c r="H36" s="148" t="str">
        <f>IF($C35=MAX($C$8:$C$56),SUM($H$8:$H35),IFERROR($G36*$F36,""))</f>
        <v/>
      </c>
      <c r="I36" s="54" t="str">
        <f t="shared" si="2"/>
        <v/>
      </c>
      <c r="L36" s="31"/>
    </row>
    <row r="37" spans="1:12" s="29" customFormat="1" ht="14.25" customHeight="1" x14ac:dyDescent="0.25">
      <c r="A37" s="150" t="s">
        <v>310</v>
      </c>
      <c r="B37" s="150"/>
      <c r="C37" s="30" t="str">
        <f t="shared" si="0"/>
        <v/>
      </c>
      <c r="D37" s="147" t="str">
        <f>IFERROR(VLOOKUP($A37,Sheet1!$A$1:$B$80,2,0),"")</f>
        <v/>
      </c>
      <c r="E37" s="30" t="str">
        <f>IFERROR(VLOOKUP($A37,'Tổng Đơn'!$A$5:$E$52,5,0),"")</f>
        <v/>
      </c>
      <c r="F37" s="30" t="str">
        <f t="shared" si="1"/>
        <v/>
      </c>
      <c r="G37" s="155" t="str">
        <f>IF(AND($C37="",$C36&lt;&gt;""),"Tổng Cộng",IFERROR(VLOOKUP($A37,Sheet1!$A$1:$D$80,4,0),""))</f>
        <v/>
      </c>
      <c r="H37" s="148" t="str">
        <f>IF($C36=MAX($C$8:$C$56),SUM($H$8:$H36),IFERROR($G37*$F37,""))</f>
        <v/>
      </c>
      <c r="I37" s="54" t="str">
        <f t="shared" si="2"/>
        <v/>
      </c>
      <c r="L37" s="31"/>
    </row>
    <row r="38" spans="1:12" s="29" customFormat="1" ht="14.25" customHeight="1" x14ac:dyDescent="0.25">
      <c r="A38" s="150"/>
      <c r="B38" s="150"/>
      <c r="C38" s="33"/>
      <c r="D38" s="34"/>
      <c r="E38" s="52"/>
      <c r="F38" s="30"/>
      <c r="G38" s="156" t="str">
        <f>IF(AND($C38="",$C37&lt;&gt;""),"Tổng Cộng",IFERROR(VLOOKUP($A38,Sheet1!$A$1:$D$80,4,0),""))</f>
        <v/>
      </c>
      <c r="H38" s="35" t="str">
        <f>IF($C37=MAX($C$8:$C$56),SUM($H$8:$H37),IFERROR($G38*$F38,""))</f>
        <v/>
      </c>
      <c r="I38" s="54"/>
      <c r="L38" s="31"/>
    </row>
    <row r="39" spans="1:12" ht="15" customHeight="1" x14ac:dyDescent="0.25">
      <c r="F39" s="36"/>
      <c r="G39" s="139"/>
      <c r="H39" s="37"/>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C38:E38 D23:E37 F23:H38">
    <cfRule type="expression" dxfId="527" priority="22">
      <formula>$C22=MAX($C$8:$C$37)</formula>
    </cfRule>
  </conditionalFormatting>
  <conditionalFormatting sqref="C23:C37">
    <cfRule type="expression" dxfId="526" priority="21">
      <formula>$C22=MAX($C$8:$C$37)</formula>
    </cfRule>
  </conditionalFormatting>
  <conditionalFormatting sqref="E23:E38">
    <cfRule type="expression" dxfId="525" priority="23">
      <formula>AND($A23="",$F23&lt;&gt;"")</formula>
    </cfRule>
  </conditionalFormatting>
  <conditionalFormatting sqref="F23:F38">
    <cfRule type="expression" dxfId="524" priority="24">
      <formula>AND($F23="",$A23&lt;&gt;"")</formula>
    </cfRule>
  </conditionalFormatting>
  <conditionalFormatting sqref="D20:H22">
    <cfRule type="expression" dxfId="523" priority="18">
      <formula>$C19=MAX($C$8:$C$37)</formula>
    </cfRule>
  </conditionalFormatting>
  <conditionalFormatting sqref="C20:C22">
    <cfRule type="expression" dxfId="522" priority="17">
      <formula>$C19=MAX($C$8:$C$37)</formula>
    </cfRule>
  </conditionalFormatting>
  <conditionalFormatting sqref="E20:E22">
    <cfRule type="expression" dxfId="521" priority="19">
      <formula>AND($A20="",$F20&lt;&gt;"")</formula>
    </cfRule>
  </conditionalFormatting>
  <conditionalFormatting sqref="F20:F22">
    <cfRule type="expression" dxfId="520" priority="20">
      <formula>AND($F20="",$A20&lt;&gt;"")</formula>
    </cfRule>
  </conditionalFormatting>
  <conditionalFormatting sqref="D15:H19 D12:F14 H12:H14">
    <cfRule type="expression" dxfId="519" priority="14">
      <formula>$C11=MAX($C$8:$C$37)</formula>
    </cfRule>
  </conditionalFormatting>
  <conditionalFormatting sqref="C12:C19">
    <cfRule type="expression" dxfId="518" priority="13">
      <formula>$C11=MAX($C$8:$C$37)</formula>
    </cfRule>
  </conditionalFormatting>
  <conditionalFormatting sqref="E12:E19">
    <cfRule type="expression" dxfId="517" priority="15">
      <formula>AND($A12="",$F12&lt;&gt;"")</formula>
    </cfRule>
  </conditionalFormatting>
  <conditionalFormatting sqref="F12:F19">
    <cfRule type="expression" dxfId="516" priority="16">
      <formula>AND($F12="",$A12&lt;&gt;"")</formula>
    </cfRule>
  </conditionalFormatting>
  <conditionalFormatting sqref="G12:G14">
    <cfRule type="expression" dxfId="515" priority="12">
      <formula>$C11=MAX($C$8:$C$37)</formula>
    </cfRule>
  </conditionalFormatting>
  <conditionalFormatting sqref="D9:F11 H9:H11">
    <cfRule type="expression" dxfId="514" priority="9">
      <formula>$C8=MAX($C$8:$C$37)</formula>
    </cfRule>
  </conditionalFormatting>
  <conditionalFormatting sqref="C9:C11">
    <cfRule type="expression" dxfId="513" priority="8">
      <formula>$C8=MAX($C$8:$C$37)</formula>
    </cfRule>
  </conditionalFormatting>
  <conditionalFormatting sqref="E9:E11">
    <cfRule type="expression" dxfId="512" priority="10">
      <formula>AND($A9="",$F9&lt;&gt;"")</formula>
    </cfRule>
  </conditionalFormatting>
  <conditionalFormatting sqref="F9:F11">
    <cfRule type="expression" dxfId="511" priority="11">
      <formula>AND($F9="",$A9&lt;&gt;"")</formula>
    </cfRule>
  </conditionalFormatting>
  <conditionalFormatting sqref="D8:F8">
    <cfRule type="expression" dxfId="510" priority="5">
      <formula>$C7=MAX($C$8:$C$37)</formula>
    </cfRule>
  </conditionalFormatting>
  <conditionalFormatting sqref="C8">
    <cfRule type="expression" dxfId="509" priority="4">
      <formula>$C7=MAX($C$8:$C$37)</formula>
    </cfRule>
  </conditionalFormatting>
  <conditionalFormatting sqref="E8">
    <cfRule type="expression" dxfId="508" priority="6">
      <formula>AND($A8="",$F8&lt;&gt;"")</formula>
    </cfRule>
  </conditionalFormatting>
  <conditionalFormatting sqref="F8">
    <cfRule type="expression" dxfId="507" priority="7">
      <formula>AND($F8="",$A8&lt;&gt;"")</formula>
    </cfRule>
  </conditionalFormatting>
  <conditionalFormatting sqref="H8">
    <cfRule type="expression" dxfId="506" priority="3">
      <formula>$C7=MAX($C$8:$C$37)</formula>
    </cfRule>
  </conditionalFormatting>
  <conditionalFormatting sqref="G9:G11">
    <cfRule type="expression" dxfId="505" priority="2">
      <formula>$C8=MAX($C$8:$C$37)</formula>
    </cfRule>
  </conditionalFormatting>
  <conditionalFormatting sqref="G8">
    <cfRule type="expression" dxfId="504" priority="1">
      <formula>$C7=MAX($C$8:$C$37)</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1551361" r:id="rId4" name="Button 1">
              <controlPr defaultSize="0" print="0" autoFill="0" autoPict="0" macro="[0]!Macro4">
                <anchor moveWithCells="1" sizeWithCells="1">
                  <from>
                    <xdr:col>0</xdr:col>
                    <xdr:colOff>0</xdr:colOff>
                    <xdr:row>0</xdr:row>
                    <xdr:rowOff>0</xdr:rowOff>
                  </from>
                  <to>
                    <xdr:col>1</xdr:col>
                    <xdr:colOff>769620</xdr:colOff>
                    <xdr:row>7</xdr:row>
                    <xdr:rowOff>0</xdr:rowOff>
                  </to>
                </anchor>
              </controlPr>
            </control>
          </mc:Choice>
        </mc:AlternateContent>
      </controls>
    </mc:Choice>
  </mc:AlternateContent>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046AF19-EB9E-44BF-A9CE-FA8ABDCC1315}">
  <sheetPr codeName="Sheet54">
    <tabColor theme="1"/>
    <pageSetUpPr fitToPage="1"/>
  </sheetPr>
  <dimension ref="A1:N53"/>
  <sheetViews>
    <sheetView zoomScaleNormal="100" workbookViewId="0">
      <pane ySplit="7" topLeftCell="A8" activePane="bottomLeft" state="frozen"/>
      <selection activeCell="Q2" sqref="Q2"/>
      <selection pane="bottomLeft" activeCell="H15" sqref="H15"/>
    </sheetView>
  </sheetViews>
  <sheetFormatPr defaultColWidth="9.09765625" defaultRowHeight="13.8" x14ac:dyDescent="0.25"/>
  <cols>
    <col min="1" max="1" width="11.69921875" style="14" customWidth="1"/>
    <col min="2" max="2" width="11.296875" style="14" customWidth="1"/>
    <col min="3" max="3" width="9.09765625" style="14"/>
    <col min="4" max="4" width="38.3984375" style="14" bestFit="1" customWidth="1"/>
    <col min="5" max="5" width="12.296875" style="53" bestFit="1" customWidth="1"/>
    <col min="6" max="6" width="11" style="14" customWidth="1"/>
    <col min="7" max="7" width="17.8984375" style="14" customWidth="1"/>
    <col min="8" max="8" width="17.8984375" style="15" customWidth="1"/>
    <col min="9" max="9" width="21.8984375" style="14" customWidth="1"/>
    <col min="10" max="10" width="10.09765625" style="14" customWidth="1"/>
    <col min="11" max="11" width="9.09765625" style="14"/>
    <col min="12" max="12" width="11.69921875" style="14" customWidth="1"/>
    <col min="13" max="14" width="10.09765625" style="14" bestFit="1" customWidth="1"/>
    <col min="15" max="16384" width="9.09765625" style="14"/>
  </cols>
  <sheetData>
    <row r="1" spans="1:14" ht="15.75" customHeight="1" x14ac:dyDescent="0.25">
      <c r="C1" s="268" t="s">
        <v>164</v>
      </c>
      <c r="D1" s="268"/>
      <c r="E1" s="268"/>
      <c r="F1" s="268"/>
      <c r="G1" s="268"/>
      <c r="H1" s="268"/>
    </row>
    <row r="2" spans="1:14" ht="15.75" customHeight="1" x14ac:dyDescent="0.25">
      <c r="C2" s="268"/>
      <c r="D2" s="268"/>
      <c r="E2" s="268"/>
      <c r="F2" s="268"/>
      <c r="G2" s="268"/>
      <c r="H2" s="268"/>
    </row>
    <row r="3" spans="1:14" ht="15" customHeight="1" x14ac:dyDescent="0.25">
      <c r="C3" s="269" t="s">
        <v>166</v>
      </c>
      <c r="D3" s="269"/>
      <c r="E3" s="269"/>
      <c r="F3" s="270" t="s">
        <v>168</v>
      </c>
      <c r="G3" s="270"/>
      <c r="H3" s="270"/>
    </row>
    <row r="4" spans="1:14" x14ac:dyDescent="0.25">
      <c r="C4" s="269" t="s">
        <v>167</v>
      </c>
      <c r="D4" s="269"/>
      <c r="E4" s="269"/>
      <c r="F4" s="271" t="s">
        <v>169</v>
      </c>
      <c r="G4" s="271"/>
      <c r="H4" s="271"/>
    </row>
    <row r="5" spans="1:14" s="140" customFormat="1" ht="21" customHeight="1" x14ac:dyDescent="0.25">
      <c r="C5" s="272" t="s">
        <v>165</v>
      </c>
      <c r="D5" s="272"/>
      <c r="E5" s="272"/>
      <c r="F5" s="272"/>
      <c r="G5" s="272"/>
      <c r="H5" s="272"/>
    </row>
    <row r="6" spans="1:14" s="140" customFormat="1" ht="16.5" customHeight="1" x14ac:dyDescent="0.25">
      <c r="C6" s="149" t="s">
        <v>170</v>
      </c>
      <c r="D6" s="152" t="s">
        <v>313</v>
      </c>
      <c r="E6" s="145"/>
      <c r="F6" s="145"/>
      <c r="G6" s="267" t="str">
        <f ca="1">"Ngày "&amp;DAY(TODAY())&amp;" Tháng "&amp;MONTH(TODAY())&amp;" Năm "&amp;YEAR(TODAY())</f>
        <v>Ngày 22 Tháng 1 Năm 2023</v>
      </c>
      <c r="H6" s="267"/>
    </row>
    <row r="7" spans="1:14" s="144" customFormat="1" ht="24" customHeight="1" x14ac:dyDescent="0.25">
      <c r="A7" s="141" t="s">
        <v>101</v>
      </c>
      <c r="B7" s="141" t="s">
        <v>15</v>
      </c>
      <c r="C7" s="142" t="s">
        <v>0</v>
      </c>
      <c r="D7" s="142" t="s">
        <v>16</v>
      </c>
      <c r="E7" s="146" t="str">
        <f>"Quy cách"&amp;CHAR(10)&amp;"(Kg)"</f>
        <v>Quy cách
(Kg)</v>
      </c>
      <c r="F7" s="142" t="s">
        <v>15</v>
      </c>
      <c r="G7" s="142" t="s">
        <v>17</v>
      </c>
      <c r="H7" s="142" t="s">
        <v>18</v>
      </c>
      <c r="I7" s="143">
        <f>SUBTOTAL(9,I8:I37)</f>
        <v>8</v>
      </c>
      <c r="L7" s="140"/>
    </row>
    <row r="8" spans="1:14" s="29" customFormat="1" ht="14.25" customHeight="1" x14ac:dyDescent="0.25">
      <c r="A8" s="150">
        <v>14</v>
      </c>
      <c r="B8" s="150">
        <v>2</v>
      </c>
      <c r="C8" s="30">
        <f t="shared" ref="C8:C37" si="0">IF(OR(SUM($C7,$A8&lt;&gt;"")=0,$A8=""),"",SUM($C7,$A8&lt;&gt;""))</f>
        <v>1</v>
      </c>
      <c r="D8" s="147" t="str">
        <f>IFERROR(VLOOKUP($A8,Sheet1!$A$1:$B$80,2,0),"")</f>
        <v>Phô mai viên (35v)</v>
      </c>
      <c r="E8" s="30">
        <f>IFERROR(VLOOKUP($A8,'Tổng Đơn'!$A$5:$E$52,5,0),"")</f>
        <v>0.5</v>
      </c>
      <c r="F8" s="30">
        <f t="shared" ref="F8:F37" si="1">IF($B8="","",B8)</f>
        <v>2</v>
      </c>
      <c r="G8" s="155">
        <f>IFERROR(VLOOKUP($A8,Sheet1!$A1:$D$80,4,0),"")</f>
        <v>40000</v>
      </c>
      <c r="H8" s="148">
        <f>IF($C7=MAX($C$8:$C$56),SUM($H7:$H$8),IFERROR($G8*$F8,""))</f>
        <v>80000</v>
      </c>
      <c r="I8" s="54">
        <f t="shared" ref="I8:I37" si="2">IF(TYPE($A8)&lt;&gt;1,"",IFERROR(F8*E8,""))</f>
        <v>1</v>
      </c>
      <c r="L8" s="32"/>
    </row>
    <row r="9" spans="1:14" s="29" customFormat="1" ht="14.25" customHeight="1" x14ac:dyDescent="0.25">
      <c r="A9" s="150">
        <v>24</v>
      </c>
      <c r="B9" s="150">
        <v>1</v>
      </c>
      <c r="C9" s="30">
        <f t="shared" si="0"/>
        <v>2</v>
      </c>
      <c r="D9" s="147" t="str">
        <f>IFERROR(VLOOKUP($A9,Sheet1!$A$1:$B$80,2,0),"")</f>
        <v>Khoai tây</v>
      </c>
      <c r="E9" s="30">
        <f>IFERROR(VLOOKUP($A9,'Tổng Đơn'!$A$5:$E$52,5,0),"")</f>
        <v>1</v>
      </c>
      <c r="F9" s="30">
        <f t="shared" si="1"/>
        <v>1</v>
      </c>
      <c r="G9" s="155">
        <f>IF(AND($C9="",$C8&lt;&gt;""),"Tổng Cộng",IFERROR(VLOOKUP($A9,Sheet1!$A$1:$D$80,4,0),""))</f>
        <v>65000</v>
      </c>
      <c r="H9" s="148">
        <f>IF($C8=MAX($C$8:$C$56),SUM($H$8:$H8),IFERROR($G9*$F9,""))</f>
        <v>65000</v>
      </c>
      <c r="I9" s="54">
        <f t="shared" si="2"/>
        <v>1</v>
      </c>
      <c r="L9" s="31"/>
    </row>
    <row r="10" spans="1:14" s="29" customFormat="1" ht="14.25" customHeight="1" x14ac:dyDescent="0.25">
      <c r="A10" s="150">
        <v>34</v>
      </c>
      <c r="B10" s="150">
        <v>5</v>
      </c>
      <c r="C10" s="30">
        <f t="shared" si="0"/>
        <v>3</v>
      </c>
      <c r="D10" s="147" t="str">
        <f>IFERROR(VLOOKUP($A10,Sheet1!$A$1:$B$80,2,0),"")</f>
        <v>Cá viên KK</v>
      </c>
      <c r="E10" s="30">
        <f>IFERROR(VLOOKUP($A10,'Tổng Đơn'!$A$5:$E$52,5,0),"")</f>
        <v>0.5</v>
      </c>
      <c r="F10" s="30">
        <f t="shared" si="1"/>
        <v>5</v>
      </c>
      <c r="G10" s="155">
        <f>IF(AND($C10="",$C9&lt;&gt;""),"Tổng Cộng",IFERROR(VLOOKUP($A10,Sheet1!$A$1:$D$80,4,0),""))</f>
        <v>25000</v>
      </c>
      <c r="H10" s="148">
        <f>IF($C9=MAX($C$8:$C$56),SUM($H$8:$H9),IFERROR($G10*$F10,""))</f>
        <v>125000</v>
      </c>
      <c r="I10" s="54">
        <f t="shared" si="2"/>
        <v>2.5</v>
      </c>
      <c r="L10" s="31"/>
    </row>
    <row r="11" spans="1:14" s="29" customFormat="1" ht="14.25" customHeight="1" x14ac:dyDescent="0.25">
      <c r="A11" s="150">
        <v>39</v>
      </c>
      <c r="B11" s="150">
        <v>5</v>
      </c>
      <c r="C11" s="30">
        <f t="shared" si="0"/>
        <v>4</v>
      </c>
      <c r="D11" s="147" t="str">
        <f>IFERROR(VLOOKUP($A11,Sheet1!$A$1:$B$80,2,0),"")</f>
        <v>XX Đức KK</v>
      </c>
      <c r="E11" s="30">
        <f>IFERROR(VLOOKUP($A11,'Tổng Đơn'!$A$5:$E$52,5,0),"")</f>
        <v>0.5</v>
      </c>
      <c r="F11" s="30">
        <f t="shared" si="1"/>
        <v>5</v>
      </c>
      <c r="G11" s="155">
        <f>IF(AND($C11="",$C10&lt;&gt;""),"Tổng Cộng",IFERROR(VLOOKUP($A11,Sheet1!$A$1:$D$80,4,0),""))</f>
        <v>37000</v>
      </c>
      <c r="H11" s="148">
        <f>IF($C10=MAX($C$8:$C$56),SUM($H$8:$H10),IFERROR($G11*$F11,""))</f>
        <v>185000</v>
      </c>
      <c r="I11" s="54">
        <f t="shared" si="2"/>
        <v>2.5</v>
      </c>
      <c r="L11" s="31"/>
    </row>
    <row r="12" spans="1:14" s="29" customFormat="1" ht="14.25" customHeight="1" x14ac:dyDescent="0.25">
      <c r="A12" s="150">
        <v>41</v>
      </c>
      <c r="B12" s="150">
        <v>2</v>
      </c>
      <c r="C12" s="30">
        <f t="shared" si="0"/>
        <v>5</v>
      </c>
      <c r="D12" s="147" t="str">
        <f>IFERROR(VLOOKUP($A12,Sheet1!$A$1:$B$80,2,0),"")</f>
        <v>Bánh bao thả lẩu Trứng cá KK</v>
      </c>
      <c r="E12" s="30">
        <f>IFERROR(VLOOKUP($A12,'Tổng Đơn'!$A$5:$E$52,5,0),"")</f>
        <v>0.5</v>
      </c>
      <c r="F12" s="30">
        <f t="shared" si="1"/>
        <v>2</v>
      </c>
      <c r="G12" s="155">
        <f>IF(AND($C12="",$C11&lt;&gt;""),"Tổng Cộng",IFERROR(VLOOKUP($A12,Sheet1!$A$1:$D$80,4,0),""))</f>
        <v>45000</v>
      </c>
      <c r="H12" s="148">
        <f>IF($C11=MAX($C$8:$C$56),SUM($H$8:$H11),IFERROR($G12*$F12,""))</f>
        <v>90000</v>
      </c>
      <c r="I12" s="54">
        <f t="shared" si="2"/>
        <v>1</v>
      </c>
      <c r="J12" s="125"/>
      <c r="L12" s="31"/>
      <c r="N12" s="126"/>
    </row>
    <row r="13" spans="1:14" s="29" customFormat="1" ht="14.25" customHeight="1" x14ac:dyDescent="0.25">
      <c r="A13" s="150" t="s">
        <v>281</v>
      </c>
      <c r="B13" s="150">
        <v>3</v>
      </c>
      <c r="C13" s="30">
        <f t="shared" si="0"/>
        <v>6</v>
      </c>
      <c r="D13" s="147" t="str">
        <f>IFERROR(VLOOKUP($A13,Sheet1!$A$1:$B$80,2,0),"")</f>
        <v>0-Gà viên</v>
      </c>
      <c r="E13" s="30">
        <f>IFERROR(VLOOKUP($A13,'Tổng Đơn'!$A$5:$E$52,5,0),"")</f>
        <v>0.5</v>
      </c>
      <c r="F13" s="30">
        <f t="shared" si="1"/>
        <v>3</v>
      </c>
      <c r="G13" s="155">
        <f>IF(AND($C13="",$C12&lt;&gt;""),"Tổng Cộng",IFERROR(VLOOKUP($A13,Sheet1!$A$1:$D$80,4,0),""))</f>
        <v>43000</v>
      </c>
      <c r="H13" s="148">
        <f>IF($C12=MAX($C$8:$C$56),SUM($H$8:$H12),IFERROR($G13*$F13,""))</f>
        <v>129000</v>
      </c>
      <c r="I13" s="54" t="str">
        <f t="shared" si="2"/>
        <v/>
      </c>
      <c r="L13" s="31"/>
    </row>
    <row r="14" spans="1:14" s="29" customFormat="1" ht="14.25" customHeight="1" x14ac:dyDescent="0.25">
      <c r="A14" s="150">
        <v>1</v>
      </c>
      <c r="B14" s="150">
        <v>1</v>
      </c>
      <c r="C14" s="30">
        <f t="shared" si="0"/>
        <v>7</v>
      </c>
      <c r="D14" s="147" t="s">
        <v>312</v>
      </c>
      <c r="E14" s="30" t="s">
        <v>234</v>
      </c>
      <c r="F14" s="30" t="s">
        <v>234</v>
      </c>
      <c r="G14" s="155" t="s">
        <v>234</v>
      </c>
      <c r="H14" s="148">
        <f>-5*2000-5000</f>
        <v>-15000</v>
      </c>
      <c r="I14" s="54" t="str">
        <f t="shared" si="2"/>
        <v/>
      </c>
      <c r="L14" s="31"/>
      <c r="M14" s="132"/>
    </row>
    <row r="15" spans="1:14" s="29" customFormat="1" ht="14.25" customHeight="1" x14ac:dyDescent="0.25">
      <c r="A15" s="150" t="s">
        <v>310</v>
      </c>
      <c r="B15" s="150"/>
      <c r="C15" s="30" t="str">
        <f t="shared" si="0"/>
        <v/>
      </c>
      <c r="D15" s="147" t="str">
        <f>IFERROR(VLOOKUP($A15,Sheet1!$A$1:$B$80,2,0),"")</f>
        <v/>
      </c>
      <c r="E15" s="30" t="str">
        <f>IFERROR(VLOOKUP($A15,'Tổng Đơn'!$A$5:$E$52,5,0),"")</f>
        <v/>
      </c>
      <c r="F15" s="30" t="str">
        <f t="shared" si="1"/>
        <v/>
      </c>
      <c r="G15" s="155" t="str">
        <f>IF(AND($C15="",$C14&lt;&gt;""),"Tổng Cộng",IFERROR(VLOOKUP($A15,Sheet1!$A$1:$D$80,4,0),""))</f>
        <v>Tổng Cộng</v>
      </c>
      <c r="H15" s="148">
        <f>IF($C14=MAX($C$8:$C$56),SUM($H$8:$H14),IFERROR($G15*$F15,""))</f>
        <v>659000</v>
      </c>
      <c r="I15" s="54" t="str">
        <f t="shared" si="2"/>
        <v/>
      </c>
      <c r="L15" s="31"/>
    </row>
    <row r="16" spans="1:14" s="29" customFormat="1" ht="14.25" customHeight="1" x14ac:dyDescent="0.25">
      <c r="A16" s="150" t="s">
        <v>310</v>
      </c>
      <c r="B16" s="150"/>
      <c r="C16" s="30" t="str">
        <f t="shared" si="0"/>
        <v/>
      </c>
      <c r="D16" s="147" t="str">
        <f>IFERROR(VLOOKUP($A16,Sheet1!$A$1:$B$80,2,0),"")</f>
        <v/>
      </c>
      <c r="E16" s="30" t="str">
        <f>IFERROR(VLOOKUP($A16,'Tổng Đơn'!$A$5:$E$52,5,0),"")</f>
        <v/>
      </c>
      <c r="F16" s="30" t="str">
        <f t="shared" si="1"/>
        <v/>
      </c>
      <c r="G16" s="155" t="str">
        <f>IF(AND($C16="",$C15&lt;&gt;""),"Tổng Cộng",IFERROR(VLOOKUP($A16,Sheet1!$A$1:$D$80,4,0),""))</f>
        <v/>
      </c>
      <c r="H16" s="148" t="str">
        <f>IF($C15=MAX($C$8:$C$56),SUM($H$8:$H15),IFERROR($G16*$F16,""))</f>
        <v/>
      </c>
      <c r="I16" s="54" t="str">
        <f t="shared" si="2"/>
        <v/>
      </c>
      <c r="L16" s="31"/>
    </row>
    <row r="17" spans="1:12" s="29" customFormat="1" ht="14.25" customHeight="1" x14ac:dyDescent="0.25">
      <c r="A17" s="150" t="s">
        <v>310</v>
      </c>
      <c r="B17" s="150"/>
      <c r="C17" s="30" t="str">
        <f t="shared" si="0"/>
        <v/>
      </c>
      <c r="D17" s="147" t="str">
        <f>IFERROR(VLOOKUP($A17,Sheet1!$A$1:$B$80,2,0),"")</f>
        <v/>
      </c>
      <c r="E17" s="30" t="str">
        <f>IFERROR(VLOOKUP($A17,'Tổng Đơn'!$A$5:$E$52,5,0),"")</f>
        <v/>
      </c>
      <c r="F17" s="30" t="str">
        <f t="shared" si="1"/>
        <v/>
      </c>
      <c r="G17" s="155" t="str">
        <f>IF(AND($C17="",$C16&lt;&gt;""),"Tổng Cộng",IFERROR(VLOOKUP($A17,Sheet1!$A$1:$D$80,4,0),""))</f>
        <v/>
      </c>
      <c r="H17" s="148" t="str">
        <f>IF($C16=MAX($C$8:$C$56),SUM($H$8:$H16),IFERROR($G17*$F17,""))</f>
        <v/>
      </c>
      <c r="I17" s="54" t="str">
        <f t="shared" si="2"/>
        <v/>
      </c>
      <c r="L17" s="31"/>
    </row>
    <row r="18" spans="1:12" s="29" customFormat="1" ht="14.25" customHeight="1" x14ac:dyDescent="0.25">
      <c r="A18" s="150" t="s">
        <v>310</v>
      </c>
      <c r="B18" s="150"/>
      <c r="C18" s="30" t="str">
        <f t="shared" si="0"/>
        <v/>
      </c>
      <c r="D18" s="147" t="str">
        <f>IFERROR(VLOOKUP($A18,Sheet1!$A$1:$B$80,2,0),"")</f>
        <v/>
      </c>
      <c r="E18" s="30" t="str">
        <f>IFERROR(VLOOKUP($A18,'Tổng Đơn'!$A$5:$E$52,5,0),"")</f>
        <v/>
      </c>
      <c r="F18" s="30" t="str">
        <f t="shared" si="1"/>
        <v/>
      </c>
      <c r="G18" s="155" t="str">
        <f>IF(AND($C18="",$C17&lt;&gt;""),"Tổng Cộng",IFERROR(VLOOKUP($A18,Sheet1!$A$1:$D$80,4,0),""))</f>
        <v/>
      </c>
      <c r="H18" s="148" t="str">
        <f>IF($C17=MAX($C$8:$C$56),SUM($H$8:$H17),IFERROR($G18*$F18,""))</f>
        <v/>
      </c>
      <c r="I18" s="54" t="str">
        <f t="shared" si="2"/>
        <v/>
      </c>
      <c r="L18" s="31"/>
    </row>
    <row r="19" spans="1:12" s="29" customFormat="1" ht="14.25" customHeight="1" x14ac:dyDescent="0.25">
      <c r="A19" s="150" t="s">
        <v>310</v>
      </c>
      <c r="B19" s="150"/>
      <c r="C19" s="30" t="str">
        <f t="shared" si="0"/>
        <v/>
      </c>
      <c r="D19" s="147" t="str">
        <f>IFERROR(VLOOKUP($A19,Sheet1!$A$1:$B$80,2,0),"")</f>
        <v/>
      </c>
      <c r="E19" s="30" t="str">
        <f>IFERROR(VLOOKUP($A19,'Tổng Đơn'!$A$5:$E$52,5,0),"")</f>
        <v/>
      </c>
      <c r="F19" s="30" t="str">
        <f t="shared" si="1"/>
        <v/>
      </c>
      <c r="G19" s="155" t="str">
        <f>IF(AND($C19="",$C18&lt;&gt;""),"Tổng Cộng",IFERROR(VLOOKUP($A19,Sheet1!$A$1:$D$80,4,0),""))</f>
        <v/>
      </c>
      <c r="H19" s="148" t="str">
        <f>IF($C18=MAX($C$8:$C$56),SUM($H$8:$H18),IFERROR($G19*$F19,""))</f>
        <v/>
      </c>
      <c r="I19" s="54" t="str">
        <f t="shared" si="2"/>
        <v/>
      </c>
      <c r="L19" s="31"/>
    </row>
    <row r="20" spans="1:12" s="29" customFormat="1" ht="14.25" customHeight="1" x14ac:dyDescent="0.25">
      <c r="A20" s="150" t="s">
        <v>310</v>
      </c>
      <c r="B20" s="150"/>
      <c r="C20" s="30" t="str">
        <f t="shared" si="0"/>
        <v/>
      </c>
      <c r="D20" s="147" t="str">
        <f>IFERROR(VLOOKUP($A20,Sheet1!$A$1:$B$80,2,0),"")</f>
        <v/>
      </c>
      <c r="E20" s="30" t="str">
        <f>IFERROR(VLOOKUP($A20,'Tổng Đơn'!$A$5:$E$52,5,0),"")</f>
        <v/>
      </c>
      <c r="F20" s="30" t="str">
        <f t="shared" si="1"/>
        <v/>
      </c>
      <c r="G20" s="155" t="str">
        <f>IF(AND($C20="",$C19&lt;&gt;""),"Tổng Cộng",IFERROR(VLOOKUP($A20,Sheet1!$A$1:$D$80,4,0),""))</f>
        <v/>
      </c>
      <c r="H20" s="148" t="str">
        <f>IF($C19=MAX($C$8:$C$56),SUM($H$8:$H19),IFERROR($G20*$F20,""))</f>
        <v/>
      </c>
      <c r="I20" s="54" t="str">
        <f t="shared" si="2"/>
        <v/>
      </c>
      <c r="L20" s="31"/>
    </row>
    <row r="21" spans="1:12" s="29" customFormat="1" ht="14.25" customHeight="1" x14ac:dyDescent="0.25">
      <c r="A21" s="150" t="s">
        <v>310</v>
      </c>
      <c r="B21" s="150"/>
      <c r="C21" s="30" t="str">
        <f t="shared" si="0"/>
        <v/>
      </c>
      <c r="D21" s="147" t="str">
        <f>IFERROR(VLOOKUP($A21,Sheet1!$A$1:$B$80,2,0),"")</f>
        <v/>
      </c>
      <c r="E21" s="30" t="str">
        <f>IFERROR(VLOOKUP($A21,'Tổng Đơn'!$A$5:$E$52,5,0),"")</f>
        <v/>
      </c>
      <c r="F21" s="30" t="str">
        <f t="shared" si="1"/>
        <v/>
      </c>
      <c r="G21" s="155" t="str">
        <f>IF(AND($C21="",$C20&lt;&gt;""),"Tổng Cộng",IFERROR(VLOOKUP($A21,Sheet1!$A$1:$D$80,4,0),""))</f>
        <v/>
      </c>
      <c r="H21" s="148" t="str">
        <f>IF($C20=MAX($C$8:$C$56),SUM($H$8:$H20),IFERROR($G21*$F21,""))</f>
        <v/>
      </c>
      <c r="I21" s="54" t="str">
        <f t="shared" si="2"/>
        <v/>
      </c>
      <c r="L21" s="31"/>
    </row>
    <row r="22" spans="1:12" s="29" customFormat="1" ht="14.25" customHeight="1" x14ac:dyDescent="0.25">
      <c r="A22" s="150" t="s">
        <v>310</v>
      </c>
      <c r="B22" s="150"/>
      <c r="C22" s="30" t="str">
        <f t="shared" si="0"/>
        <v/>
      </c>
      <c r="D22" s="147" t="str">
        <f>IFERROR(VLOOKUP($A22,Sheet1!$A$1:$B$80,2,0),"")</f>
        <v/>
      </c>
      <c r="E22" s="30" t="str">
        <f>IFERROR(VLOOKUP($A22,'Tổng Đơn'!$A$5:$E$52,5,0),"")</f>
        <v/>
      </c>
      <c r="F22" s="30" t="str">
        <f t="shared" si="1"/>
        <v/>
      </c>
      <c r="G22" s="155" t="str">
        <f>IF(AND($C22="",$C21&lt;&gt;""),"Tổng Cộng",IFERROR(VLOOKUP($A22,Sheet1!$A$1:$D$80,4,0),""))</f>
        <v/>
      </c>
      <c r="H22" s="148" t="str">
        <f>IF($C21=MAX($C$8:$C$56),SUM($H$8:$H21),IFERROR($G22*$F22,""))</f>
        <v/>
      </c>
      <c r="I22" s="54" t="str">
        <f t="shared" si="2"/>
        <v/>
      </c>
      <c r="L22" s="31"/>
    </row>
    <row r="23" spans="1:12" s="29" customFormat="1" ht="14.25" customHeight="1" x14ac:dyDescent="0.25">
      <c r="A23" s="150" t="s">
        <v>310</v>
      </c>
      <c r="B23" s="150"/>
      <c r="C23" s="30" t="str">
        <f t="shared" si="0"/>
        <v/>
      </c>
      <c r="D23" s="147" t="str">
        <f>IFERROR(VLOOKUP($A23,Sheet1!$A$1:$B$80,2,0),"")</f>
        <v/>
      </c>
      <c r="E23" s="30" t="str">
        <f>IFERROR(VLOOKUP($A23,'Tổng Đơn'!$A$5:$E$52,5,0),"")</f>
        <v/>
      </c>
      <c r="F23" s="30" t="str">
        <f t="shared" si="1"/>
        <v/>
      </c>
      <c r="G23" s="155" t="str">
        <f>IF(AND($C23="",$C22&lt;&gt;""),"Tổng Cộng",IFERROR(VLOOKUP($A23,Sheet1!$A$1:$D$80,4,0),""))</f>
        <v/>
      </c>
      <c r="H23" s="148" t="str">
        <f>IF($C22=MAX($C$8:$C$56),SUM($H$8:$H22),IFERROR($G23*$F23,""))</f>
        <v/>
      </c>
      <c r="I23" s="54" t="str">
        <f t="shared" si="2"/>
        <v/>
      </c>
      <c r="L23" s="31"/>
    </row>
    <row r="24" spans="1:12" s="29" customFormat="1" ht="14.25" customHeight="1" x14ac:dyDescent="0.25">
      <c r="A24" s="150" t="s">
        <v>310</v>
      </c>
      <c r="B24" s="150"/>
      <c r="C24" s="30" t="str">
        <f t="shared" si="0"/>
        <v/>
      </c>
      <c r="D24" s="147" t="str">
        <f>IFERROR(VLOOKUP($A24,Sheet1!$A$1:$B$80,2,0),"")</f>
        <v/>
      </c>
      <c r="E24" s="30" t="str">
        <f>IFERROR(VLOOKUP($A24,'Tổng Đơn'!$A$5:$E$52,5,0),"")</f>
        <v/>
      </c>
      <c r="F24" s="30" t="str">
        <f t="shared" si="1"/>
        <v/>
      </c>
      <c r="G24" s="155" t="str">
        <f>IF(AND($C24="",$C23&lt;&gt;""),"Tổng Cộng",IFERROR(VLOOKUP($A24,Sheet1!$A$1:$D$80,4,0),""))</f>
        <v/>
      </c>
      <c r="H24" s="148" t="str">
        <f>IF($C23=MAX($C$8:$C$56),SUM($H$8:$H23),IFERROR($G24*$F24,""))</f>
        <v/>
      </c>
      <c r="I24" s="54" t="str">
        <f t="shared" si="2"/>
        <v/>
      </c>
      <c r="L24" s="31"/>
    </row>
    <row r="25" spans="1:12" s="29" customFormat="1" ht="14.25" customHeight="1" x14ac:dyDescent="0.25">
      <c r="A25" s="150" t="s">
        <v>310</v>
      </c>
      <c r="B25" s="150"/>
      <c r="C25" s="30" t="str">
        <f t="shared" si="0"/>
        <v/>
      </c>
      <c r="D25" s="147" t="str">
        <f>IFERROR(VLOOKUP($A25,Sheet1!$A$1:$B$80,2,0),"")</f>
        <v/>
      </c>
      <c r="E25" s="30" t="str">
        <f>IFERROR(VLOOKUP($A25,'Tổng Đơn'!$A$5:$E$52,5,0),"")</f>
        <v/>
      </c>
      <c r="F25" s="30" t="str">
        <f t="shared" si="1"/>
        <v/>
      </c>
      <c r="G25" s="155" t="str">
        <f>IF(AND($C25="",$C24&lt;&gt;""),"Tổng Cộng",IFERROR(VLOOKUP($A25,Sheet1!$A$1:$D$80,4,0),""))</f>
        <v/>
      </c>
      <c r="H25" s="148" t="str">
        <f>IF($C24=MAX($C$8:$C$56),SUM($H$8:$H24),IFERROR($G25*$F25,""))</f>
        <v/>
      </c>
      <c r="I25" s="54" t="str">
        <f t="shared" si="2"/>
        <v/>
      </c>
      <c r="L25" s="31"/>
    </row>
    <row r="26" spans="1:12" s="29" customFormat="1" ht="14.25" customHeight="1" x14ac:dyDescent="0.25">
      <c r="A26" s="150" t="s">
        <v>310</v>
      </c>
      <c r="B26" s="150"/>
      <c r="C26" s="30" t="str">
        <f t="shared" si="0"/>
        <v/>
      </c>
      <c r="D26" s="147" t="str">
        <f>IFERROR(VLOOKUP($A26,Sheet1!$A$1:$B$80,2,0),"")</f>
        <v/>
      </c>
      <c r="E26" s="30" t="str">
        <f>IFERROR(VLOOKUP($A26,'Tổng Đơn'!$A$5:$E$52,5,0),"")</f>
        <v/>
      </c>
      <c r="F26" s="30" t="str">
        <f t="shared" si="1"/>
        <v/>
      </c>
      <c r="G26" s="155" t="str">
        <f>IF(AND($C26="",$C25&lt;&gt;""),"Tổng Cộng",IFERROR(VLOOKUP($A26,Sheet1!$A$1:$D$80,4,0),""))</f>
        <v/>
      </c>
      <c r="H26" s="148" t="str">
        <f>IF($C25=MAX($C$8:$C$56),SUM($H$8:$H25),IFERROR($G26*$F26,""))</f>
        <v/>
      </c>
      <c r="I26" s="54" t="str">
        <f t="shared" si="2"/>
        <v/>
      </c>
      <c r="L26" s="31"/>
    </row>
    <row r="27" spans="1:12" s="29" customFormat="1" ht="14.25" customHeight="1" x14ac:dyDescent="0.25">
      <c r="A27" s="150" t="s">
        <v>310</v>
      </c>
      <c r="B27" s="150"/>
      <c r="C27" s="30" t="str">
        <f t="shared" si="0"/>
        <v/>
      </c>
      <c r="D27" s="147" t="str">
        <f>IFERROR(VLOOKUP($A27,Sheet1!$A$1:$B$80,2,0),"")</f>
        <v/>
      </c>
      <c r="E27" s="30" t="str">
        <f>IFERROR(VLOOKUP($A27,'Tổng Đơn'!$A$5:$E$52,5,0),"")</f>
        <v/>
      </c>
      <c r="F27" s="30" t="str">
        <f t="shared" si="1"/>
        <v/>
      </c>
      <c r="G27" s="155" t="str">
        <f>IF(AND($C27="",$C26&lt;&gt;""),"Tổng Cộng",IFERROR(VLOOKUP($A27,Sheet1!$A$1:$D$80,4,0),""))</f>
        <v/>
      </c>
      <c r="H27" s="148" t="str">
        <f>IF($C26=MAX($C$8:$C$56),SUM($H$8:$H26),IFERROR($G27*$F27,""))</f>
        <v/>
      </c>
      <c r="I27" s="54" t="str">
        <f t="shared" si="2"/>
        <v/>
      </c>
      <c r="L27" s="31"/>
    </row>
    <row r="28" spans="1:12" s="29" customFormat="1" ht="14.25" customHeight="1" x14ac:dyDescent="0.25">
      <c r="A28" s="150" t="s">
        <v>310</v>
      </c>
      <c r="B28" s="150"/>
      <c r="C28" s="30" t="str">
        <f t="shared" si="0"/>
        <v/>
      </c>
      <c r="D28" s="147" t="str">
        <f>IFERROR(VLOOKUP($A28,Sheet1!$A$1:$B$80,2,0),"")</f>
        <v/>
      </c>
      <c r="E28" s="30" t="str">
        <f>IFERROR(VLOOKUP($A28,'Tổng Đơn'!$A$5:$E$52,5,0),"")</f>
        <v/>
      </c>
      <c r="F28" s="30" t="str">
        <f t="shared" si="1"/>
        <v/>
      </c>
      <c r="G28" s="155" t="str">
        <f>IF(AND($C28="",$C27&lt;&gt;""),"Tổng Cộng",IFERROR(VLOOKUP($A28,Sheet1!$A$1:$D$80,4,0),""))</f>
        <v/>
      </c>
      <c r="H28" s="148" t="str">
        <f>IF($C27=MAX($C$8:$C$56),SUM($H$8:$H27),IFERROR($G28*$F28,""))</f>
        <v/>
      </c>
      <c r="I28" s="54" t="str">
        <f t="shared" si="2"/>
        <v/>
      </c>
      <c r="L28" s="31"/>
    </row>
    <row r="29" spans="1:12" s="29" customFormat="1" ht="14.25" customHeight="1" x14ac:dyDescent="0.25">
      <c r="A29" s="150" t="s">
        <v>310</v>
      </c>
      <c r="B29" s="150"/>
      <c r="C29" s="30" t="str">
        <f t="shared" si="0"/>
        <v/>
      </c>
      <c r="D29" s="147" t="str">
        <f>IFERROR(VLOOKUP($A29,Sheet1!$A$1:$B$80,2,0),"")</f>
        <v/>
      </c>
      <c r="E29" s="30" t="str">
        <f>IFERROR(VLOOKUP($A29,'Tổng Đơn'!$A$5:$E$52,5,0),"")</f>
        <v/>
      </c>
      <c r="F29" s="30" t="str">
        <f t="shared" si="1"/>
        <v/>
      </c>
      <c r="G29" s="155" t="str">
        <f>IF(AND($C29="",$C28&lt;&gt;""),"Tổng Cộng",IFERROR(VLOOKUP($A29,Sheet1!$A$1:$D$80,4,0),""))</f>
        <v/>
      </c>
      <c r="H29" s="148" t="str">
        <f>IF($C28=MAX($C$8:$C$56),SUM($H$8:$H28),IFERROR($G29*$F29,""))</f>
        <v/>
      </c>
      <c r="I29" s="54" t="str">
        <f t="shared" si="2"/>
        <v/>
      </c>
      <c r="L29" s="31"/>
    </row>
    <row r="30" spans="1:12" s="29" customFormat="1" ht="14.25" customHeight="1" x14ac:dyDescent="0.25">
      <c r="A30" s="150" t="s">
        <v>310</v>
      </c>
      <c r="B30" s="150"/>
      <c r="C30" s="30" t="str">
        <f t="shared" si="0"/>
        <v/>
      </c>
      <c r="D30" s="147" t="str">
        <f>IFERROR(VLOOKUP($A30,Sheet1!$A$1:$B$80,2,0),"")</f>
        <v/>
      </c>
      <c r="E30" s="30" t="str">
        <f>IFERROR(VLOOKUP($A30,'Tổng Đơn'!$A$5:$E$52,5,0),"")</f>
        <v/>
      </c>
      <c r="F30" s="30" t="str">
        <f t="shared" si="1"/>
        <v/>
      </c>
      <c r="G30" s="155" t="str">
        <f>IF(AND($C30="",$C29&lt;&gt;""),"Tổng Cộng",IFERROR(VLOOKUP($A30,Sheet1!$A$1:$D$80,4,0),""))</f>
        <v/>
      </c>
      <c r="H30" s="148" t="str">
        <f>IF($C29=MAX($C$8:$C$56),SUM($H$8:$H29),IFERROR($G30*$F30,""))</f>
        <v/>
      </c>
      <c r="I30" s="54" t="str">
        <f t="shared" si="2"/>
        <v/>
      </c>
      <c r="L30" s="31"/>
    </row>
    <row r="31" spans="1:12" s="29" customFormat="1" ht="14.25" customHeight="1" x14ac:dyDescent="0.25">
      <c r="A31" s="150" t="s">
        <v>310</v>
      </c>
      <c r="B31" s="150"/>
      <c r="C31" s="30" t="str">
        <f t="shared" si="0"/>
        <v/>
      </c>
      <c r="D31" s="147" t="str">
        <f>IFERROR(VLOOKUP($A31,Sheet1!$A$1:$B$80,2,0),"")</f>
        <v/>
      </c>
      <c r="E31" s="30" t="str">
        <f>IFERROR(VLOOKUP($A31,'Tổng Đơn'!$A$5:$E$52,5,0),"")</f>
        <v/>
      </c>
      <c r="F31" s="30" t="str">
        <f t="shared" si="1"/>
        <v/>
      </c>
      <c r="G31" s="155" t="str">
        <f>IF(AND($C31="",$C30&lt;&gt;""),"Tổng Cộng",IFERROR(VLOOKUP($A31,Sheet1!$A$1:$D$80,4,0),""))</f>
        <v/>
      </c>
      <c r="H31" s="148" t="str">
        <f>IF($C30=MAX($C$8:$C$56),SUM($H$8:$H30),IFERROR($G31*$F31,""))</f>
        <v/>
      </c>
      <c r="I31" s="54" t="str">
        <f t="shared" si="2"/>
        <v/>
      </c>
      <c r="L31" s="31"/>
    </row>
    <row r="32" spans="1:12" s="29" customFormat="1" ht="14.25" customHeight="1" x14ac:dyDescent="0.25">
      <c r="A32" s="150" t="s">
        <v>310</v>
      </c>
      <c r="B32" s="150"/>
      <c r="C32" s="30" t="str">
        <f t="shared" si="0"/>
        <v/>
      </c>
      <c r="D32" s="147" t="str">
        <f>IFERROR(VLOOKUP($A32,Sheet1!$A$1:$B$80,2,0),"")</f>
        <v/>
      </c>
      <c r="E32" s="30" t="str">
        <f>IFERROR(VLOOKUP($A32,'Tổng Đơn'!$A$5:$E$52,5,0),"")</f>
        <v/>
      </c>
      <c r="F32" s="30" t="str">
        <f t="shared" si="1"/>
        <v/>
      </c>
      <c r="G32" s="155" t="str">
        <f>IF(AND($C32="",$C31&lt;&gt;""),"Tổng Cộng",IFERROR(VLOOKUP($A32,Sheet1!$A$1:$D$80,4,0),""))</f>
        <v/>
      </c>
      <c r="H32" s="148" t="str">
        <f>IF($C31=MAX($C$8:$C$56),SUM($H$8:$H31),IFERROR($G32*$F32,""))</f>
        <v/>
      </c>
      <c r="I32" s="54" t="str">
        <f t="shared" si="2"/>
        <v/>
      </c>
      <c r="L32" s="31"/>
    </row>
    <row r="33" spans="1:12" s="29" customFormat="1" ht="14.25" customHeight="1" x14ac:dyDescent="0.25">
      <c r="A33" s="150" t="s">
        <v>310</v>
      </c>
      <c r="B33" s="150"/>
      <c r="C33" s="30" t="str">
        <f t="shared" si="0"/>
        <v/>
      </c>
      <c r="D33" s="147" t="str">
        <f>IFERROR(VLOOKUP($A33,Sheet1!$A$1:$B$80,2,0),"")</f>
        <v/>
      </c>
      <c r="E33" s="30" t="str">
        <f>IFERROR(VLOOKUP($A33,'Tổng Đơn'!$A$5:$E$52,5,0),"")</f>
        <v/>
      </c>
      <c r="F33" s="30" t="str">
        <f t="shared" si="1"/>
        <v/>
      </c>
      <c r="G33" s="155" t="str">
        <f>IF(AND($C33="",$C32&lt;&gt;""),"Tổng Cộng",IFERROR(VLOOKUP($A33,Sheet1!$A$1:$D$80,4,0),""))</f>
        <v/>
      </c>
      <c r="H33" s="148" t="str">
        <f>IF($C32=MAX($C$8:$C$56),SUM($H$8:$H32),IFERROR($G33*$F33,""))</f>
        <v/>
      </c>
      <c r="I33" s="54" t="str">
        <f t="shared" si="2"/>
        <v/>
      </c>
      <c r="L33" s="31"/>
    </row>
    <row r="34" spans="1:12" s="29" customFormat="1" ht="14.25" customHeight="1" x14ac:dyDescent="0.25">
      <c r="A34" s="150" t="s">
        <v>310</v>
      </c>
      <c r="B34" s="150"/>
      <c r="C34" s="30" t="str">
        <f t="shared" si="0"/>
        <v/>
      </c>
      <c r="D34" s="147" t="str">
        <f>IFERROR(VLOOKUP($A34,Sheet1!$A$1:$B$80,2,0),"")</f>
        <v/>
      </c>
      <c r="E34" s="30" t="str">
        <f>IFERROR(VLOOKUP($A34,'Tổng Đơn'!$A$5:$E$52,5,0),"")</f>
        <v/>
      </c>
      <c r="F34" s="30" t="str">
        <f t="shared" si="1"/>
        <v/>
      </c>
      <c r="G34" s="155" t="str">
        <f>IF(AND($C34="",$C33&lt;&gt;""),"Tổng Cộng",IFERROR(VLOOKUP($A34,Sheet1!$A$1:$D$80,4,0),""))</f>
        <v/>
      </c>
      <c r="H34" s="148" t="str">
        <f>IF($C33=MAX($C$8:$C$56),SUM($H$8:$H33),IFERROR($G34*$F34,""))</f>
        <v/>
      </c>
      <c r="I34" s="54" t="str">
        <f t="shared" si="2"/>
        <v/>
      </c>
      <c r="L34" s="31"/>
    </row>
    <row r="35" spans="1:12" s="29" customFormat="1" ht="14.25" customHeight="1" x14ac:dyDescent="0.25">
      <c r="A35" s="150" t="s">
        <v>310</v>
      </c>
      <c r="B35" s="150"/>
      <c r="C35" s="30" t="str">
        <f t="shared" si="0"/>
        <v/>
      </c>
      <c r="D35" s="147" t="str">
        <f>IFERROR(VLOOKUP($A35,Sheet1!$A$1:$B$80,2,0),"")</f>
        <v/>
      </c>
      <c r="E35" s="30" t="str">
        <f>IFERROR(VLOOKUP($A35,'Tổng Đơn'!$A$5:$E$52,5,0),"")</f>
        <v/>
      </c>
      <c r="F35" s="30" t="str">
        <f t="shared" si="1"/>
        <v/>
      </c>
      <c r="G35" s="155" t="str">
        <f>IF(AND($C35="",$C34&lt;&gt;""),"Tổng Cộng",IFERROR(VLOOKUP($A35,Sheet1!$A$1:$D$80,4,0),""))</f>
        <v/>
      </c>
      <c r="H35" s="148" t="str">
        <f>IF($C34=MAX($C$8:$C$56),SUM($H$8:$H34),IFERROR($G35*$F35,""))</f>
        <v/>
      </c>
      <c r="I35" s="54" t="str">
        <f t="shared" si="2"/>
        <v/>
      </c>
      <c r="L35" s="31"/>
    </row>
    <row r="36" spans="1:12" s="29" customFormat="1" ht="14.25" customHeight="1" x14ac:dyDescent="0.25">
      <c r="A36" s="150" t="s">
        <v>310</v>
      </c>
      <c r="B36" s="150"/>
      <c r="C36" s="30" t="str">
        <f t="shared" si="0"/>
        <v/>
      </c>
      <c r="D36" s="147" t="str">
        <f>IFERROR(VLOOKUP($A36,Sheet1!$A$1:$B$80,2,0),"")</f>
        <v/>
      </c>
      <c r="E36" s="30" t="str">
        <f>IFERROR(VLOOKUP($A36,'Tổng Đơn'!$A$5:$E$52,5,0),"")</f>
        <v/>
      </c>
      <c r="F36" s="30" t="str">
        <f t="shared" si="1"/>
        <v/>
      </c>
      <c r="G36" s="155" t="str">
        <f>IF(AND($C36="",$C35&lt;&gt;""),"Tổng Cộng",IFERROR(VLOOKUP($A36,Sheet1!$A$1:$D$80,4,0),""))</f>
        <v/>
      </c>
      <c r="H36" s="148" t="str">
        <f>IF($C35=MAX($C$8:$C$56),SUM($H$8:$H35),IFERROR($G36*$F36,""))</f>
        <v/>
      </c>
      <c r="I36" s="54" t="str">
        <f t="shared" si="2"/>
        <v/>
      </c>
      <c r="L36" s="31"/>
    </row>
    <row r="37" spans="1:12" s="29" customFormat="1" ht="14.25" customHeight="1" x14ac:dyDescent="0.25">
      <c r="A37" s="150" t="s">
        <v>310</v>
      </c>
      <c r="B37" s="150"/>
      <c r="C37" s="30" t="str">
        <f t="shared" si="0"/>
        <v/>
      </c>
      <c r="D37" s="147" t="str">
        <f>IFERROR(VLOOKUP($A37,Sheet1!$A$1:$B$80,2,0),"")</f>
        <v/>
      </c>
      <c r="E37" s="30" t="str">
        <f>IFERROR(VLOOKUP($A37,'Tổng Đơn'!$A$5:$E$52,5,0),"")</f>
        <v/>
      </c>
      <c r="F37" s="30" t="str">
        <f t="shared" si="1"/>
        <v/>
      </c>
      <c r="G37" s="155" t="str">
        <f>IF(AND($C37="",$C36&lt;&gt;""),"Tổng Cộng",IFERROR(VLOOKUP($A37,Sheet1!$A$1:$D$80,4,0),""))</f>
        <v/>
      </c>
      <c r="H37" s="148" t="str">
        <f>IF($C36=MAX($C$8:$C$56),SUM($H$8:$H36),IFERROR($G37*$F37,""))</f>
        <v/>
      </c>
      <c r="I37" s="54" t="str">
        <f t="shared" si="2"/>
        <v/>
      </c>
      <c r="L37" s="31"/>
    </row>
    <row r="38" spans="1:12" s="29" customFormat="1" ht="14.25" customHeight="1" x14ac:dyDescent="0.25">
      <c r="A38" s="150"/>
      <c r="B38" s="150"/>
      <c r="C38" s="33"/>
      <c r="D38" s="34"/>
      <c r="E38" s="52"/>
      <c r="F38" s="30"/>
      <c r="G38" s="156" t="str">
        <f>IF(AND($C38="",$C37&lt;&gt;""),"Tổng Cộng",IFERROR(VLOOKUP($A38,Sheet1!$A$1:$D$80,4,0),""))</f>
        <v/>
      </c>
      <c r="H38" s="35" t="str">
        <f>IF($C37=MAX($C$8:$C$56),SUM($H$8:$H37),IFERROR($G38*$F38,""))</f>
        <v/>
      </c>
      <c r="I38" s="54"/>
      <c r="L38" s="31"/>
    </row>
    <row r="39" spans="1:12" ht="15" customHeight="1" x14ac:dyDescent="0.25">
      <c r="F39" s="36"/>
      <c r="G39" s="139"/>
      <c r="H39" s="37"/>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C38:E38 D23:E37 F23:H38">
    <cfRule type="expression" dxfId="503" priority="22">
      <formula>$C22=MAX($C$8:$C$37)</formula>
    </cfRule>
  </conditionalFormatting>
  <conditionalFormatting sqref="C23:C37">
    <cfRule type="expression" dxfId="502" priority="21">
      <formula>$C22=MAX($C$8:$C$37)</formula>
    </cfRule>
  </conditionalFormatting>
  <conditionalFormatting sqref="E23:E38">
    <cfRule type="expression" dxfId="501" priority="23">
      <formula>AND($A23="",$F23&lt;&gt;"")</formula>
    </cfRule>
  </conditionalFormatting>
  <conditionalFormatting sqref="F23:F38">
    <cfRule type="expression" dxfId="500" priority="24">
      <formula>AND($F23="",$A23&lt;&gt;"")</formula>
    </cfRule>
  </conditionalFormatting>
  <conditionalFormatting sqref="D20:H22">
    <cfRule type="expression" dxfId="499" priority="18">
      <formula>$C19=MAX($C$8:$C$37)</formula>
    </cfRule>
  </conditionalFormatting>
  <conditionalFormatting sqref="C20:C22">
    <cfRule type="expression" dxfId="498" priority="17">
      <formula>$C19=MAX($C$8:$C$37)</formula>
    </cfRule>
  </conditionalFormatting>
  <conditionalFormatting sqref="E20:E22">
    <cfRule type="expression" dxfId="497" priority="19">
      <formula>AND($A20="",$F20&lt;&gt;"")</formula>
    </cfRule>
  </conditionalFormatting>
  <conditionalFormatting sqref="F20:F22">
    <cfRule type="expression" dxfId="496" priority="20">
      <formula>AND($F20="",$A20&lt;&gt;"")</formula>
    </cfRule>
  </conditionalFormatting>
  <conditionalFormatting sqref="D15:H19 D12:F14 H12:H14">
    <cfRule type="expression" dxfId="495" priority="14">
      <formula>$C11=MAX($C$8:$C$37)</formula>
    </cfRule>
  </conditionalFormatting>
  <conditionalFormatting sqref="C12:C19">
    <cfRule type="expression" dxfId="494" priority="13">
      <formula>$C11=MAX($C$8:$C$37)</formula>
    </cfRule>
  </conditionalFormatting>
  <conditionalFormatting sqref="E12:E19">
    <cfRule type="expression" dxfId="493" priority="15">
      <formula>AND($A12="",$F12&lt;&gt;"")</formula>
    </cfRule>
  </conditionalFormatting>
  <conditionalFormatting sqref="F12:F19">
    <cfRule type="expression" dxfId="492" priority="16">
      <formula>AND($F12="",$A12&lt;&gt;"")</formula>
    </cfRule>
  </conditionalFormatting>
  <conditionalFormatting sqref="G12:G14">
    <cfRule type="expression" dxfId="491" priority="12">
      <formula>$C11=MAX($C$8:$C$37)</formula>
    </cfRule>
  </conditionalFormatting>
  <conditionalFormatting sqref="D9:F11 H9:H11">
    <cfRule type="expression" dxfId="490" priority="9">
      <formula>$C8=MAX($C$8:$C$37)</formula>
    </cfRule>
  </conditionalFormatting>
  <conditionalFormatting sqref="C9:C11">
    <cfRule type="expression" dxfId="489" priority="8">
      <formula>$C8=MAX($C$8:$C$37)</formula>
    </cfRule>
  </conditionalFormatting>
  <conditionalFormatting sqref="E9:E11">
    <cfRule type="expression" dxfId="488" priority="10">
      <formula>AND($A9="",$F9&lt;&gt;"")</formula>
    </cfRule>
  </conditionalFormatting>
  <conditionalFormatting sqref="F9:F11">
    <cfRule type="expression" dxfId="487" priority="11">
      <formula>AND($F9="",$A9&lt;&gt;"")</formula>
    </cfRule>
  </conditionalFormatting>
  <conditionalFormatting sqref="D8:F8">
    <cfRule type="expression" dxfId="486" priority="5">
      <formula>$C7=MAX($C$8:$C$37)</formula>
    </cfRule>
  </conditionalFormatting>
  <conditionalFormatting sqref="C8">
    <cfRule type="expression" dxfId="485" priority="4">
      <formula>$C7=MAX($C$8:$C$37)</formula>
    </cfRule>
  </conditionalFormatting>
  <conditionalFormatting sqref="E8">
    <cfRule type="expression" dxfId="484" priority="6">
      <formula>AND($A8="",$F8&lt;&gt;"")</formula>
    </cfRule>
  </conditionalFormatting>
  <conditionalFormatting sqref="F8">
    <cfRule type="expression" dxfId="483" priority="7">
      <formula>AND($F8="",$A8&lt;&gt;"")</formula>
    </cfRule>
  </conditionalFormatting>
  <conditionalFormatting sqref="H8">
    <cfRule type="expression" dxfId="482" priority="3">
      <formula>$C7=MAX($C$8:$C$37)</formula>
    </cfRule>
  </conditionalFormatting>
  <conditionalFormatting sqref="G9:G11">
    <cfRule type="expression" dxfId="481" priority="2">
      <formula>$C8=MAX($C$8:$C$37)</formula>
    </cfRule>
  </conditionalFormatting>
  <conditionalFormatting sqref="G8">
    <cfRule type="expression" dxfId="480" priority="1">
      <formula>$C7=MAX($C$8:$C$37)</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1550337" r:id="rId4" name="Button 1">
              <controlPr defaultSize="0" print="0" autoFill="0" autoPict="0" macro="[0]!Macro4">
                <anchor moveWithCells="1" sizeWithCells="1">
                  <from>
                    <xdr:col>0</xdr:col>
                    <xdr:colOff>0</xdr:colOff>
                    <xdr:row>0</xdr:row>
                    <xdr:rowOff>0</xdr:rowOff>
                  </from>
                  <to>
                    <xdr:col>1</xdr:col>
                    <xdr:colOff>769620</xdr:colOff>
                    <xdr:row>7</xdr:row>
                    <xdr:rowOff>0</xdr:rowOff>
                  </to>
                </anchor>
              </controlPr>
            </control>
          </mc:Choice>
        </mc:AlternateContent>
      </controls>
    </mc:Choice>
  </mc:AlternateContent>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35570D1-8B15-45EB-9FE4-AF4C6CAD1121}">
  <sheetPr codeName="Sheet53">
    <tabColor theme="1"/>
    <pageSetUpPr fitToPage="1"/>
  </sheetPr>
  <dimension ref="A1:N53"/>
  <sheetViews>
    <sheetView zoomScaleNormal="100" workbookViewId="0">
      <pane ySplit="7" topLeftCell="A8" activePane="bottomLeft" state="frozen"/>
      <selection activeCell="Q2" sqref="Q2"/>
      <selection pane="bottomLeft" activeCell="H12" sqref="H12"/>
    </sheetView>
  </sheetViews>
  <sheetFormatPr defaultColWidth="9.09765625" defaultRowHeight="13.8" x14ac:dyDescent="0.25"/>
  <cols>
    <col min="1" max="1" width="11.69921875" style="14" customWidth="1"/>
    <col min="2" max="2" width="11.296875" style="14" customWidth="1"/>
    <col min="3" max="3" width="9.09765625" style="14"/>
    <col min="4" max="4" width="38.3984375" style="14" bestFit="1" customWidth="1"/>
    <col min="5" max="5" width="12.296875" style="53" bestFit="1" customWidth="1"/>
    <col min="6" max="6" width="11" style="14" customWidth="1"/>
    <col min="7" max="7" width="17.8984375" style="14" customWidth="1"/>
    <col min="8" max="8" width="17.8984375" style="15" customWidth="1"/>
    <col min="9" max="9" width="21.8984375" style="14" customWidth="1"/>
    <col min="10" max="10" width="10.09765625" style="14" customWidth="1"/>
    <col min="11" max="11" width="9.09765625" style="14"/>
    <col min="12" max="12" width="11.69921875" style="14" customWidth="1"/>
    <col min="13" max="14" width="10.09765625" style="14" bestFit="1" customWidth="1"/>
    <col min="15" max="16384" width="9.09765625" style="14"/>
  </cols>
  <sheetData>
    <row r="1" spans="1:14" ht="15.75" customHeight="1" x14ac:dyDescent="0.25">
      <c r="C1" s="268" t="s">
        <v>164</v>
      </c>
      <c r="D1" s="268"/>
      <c r="E1" s="268"/>
      <c r="F1" s="268"/>
      <c r="G1" s="268"/>
      <c r="H1" s="268"/>
    </row>
    <row r="2" spans="1:14" ht="15.75" customHeight="1" x14ac:dyDescent="0.25">
      <c r="C2" s="268"/>
      <c r="D2" s="268"/>
      <c r="E2" s="268"/>
      <c r="F2" s="268"/>
      <c r="G2" s="268"/>
      <c r="H2" s="268"/>
    </row>
    <row r="3" spans="1:14" ht="15" customHeight="1" x14ac:dyDescent="0.25">
      <c r="C3" s="269" t="s">
        <v>166</v>
      </c>
      <c r="D3" s="269"/>
      <c r="E3" s="269"/>
      <c r="F3" s="270" t="s">
        <v>168</v>
      </c>
      <c r="G3" s="270"/>
      <c r="H3" s="270"/>
    </row>
    <row r="4" spans="1:14" x14ac:dyDescent="0.25">
      <c r="C4" s="269" t="s">
        <v>167</v>
      </c>
      <c r="D4" s="269"/>
      <c r="E4" s="269"/>
      <c r="F4" s="271" t="s">
        <v>169</v>
      </c>
      <c r="G4" s="271"/>
      <c r="H4" s="271"/>
    </row>
    <row r="5" spans="1:14" s="140" customFormat="1" ht="21" customHeight="1" x14ac:dyDescent="0.25">
      <c r="C5" s="272" t="s">
        <v>165</v>
      </c>
      <c r="D5" s="272"/>
      <c r="E5" s="272"/>
      <c r="F5" s="272"/>
      <c r="G5" s="272"/>
      <c r="H5" s="272"/>
    </row>
    <row r="6" spans="1:14" s="140" customFormat="1" ht="16.5" customHeight="1" x14ac:dyDescent="0.25">
      <c r="C6" s="149" t="s">
        <v>170</v>
      </c>
      <c r="D6" s="152" t="s">
        <v>320</v>
      </c>
      <c r="E6" s="145"/>
      <c r="F6" s="145"/>
      <c r="G6" s="267" t="str">
        <f ca="1">"Ngày "&amp;DAY(TODAY())&amp;" Tháng "&amp;MONTH(TODAY())&amp;" Năm "&amp;YEAR(TODAY())</f>
        <v>Ngày 22 Tháng 1 Năm 2023</v>
      </c>
      <c r="H6" s="267"/>
    </row>
    <row r="7" spans="1:14" s="144" customFormat="1" ht="24" customHeight="1" x14ac:dyDescent="0.25">
      <c r="A7" s="141" t="s">
        <v>101</v>
      </c>
      <c r="B7" s="141" t="s">
        <v>15</v>
      </c>
      <c r="C7" s="142" t="s">
        <v>0</v>
      </c>
      <c r="D7" s="142" t="s">
        <v>16</v>
      </c>
      <c r="E7" s="146" t="str">
        <f>"Quy cách"&amp;CHAR(10)&amp;"(Kg)"</f>
        <v>Quy cách
(Kg)</v>
      </c>
      <c r="F7" s="142" t="s">
        <v>15</v>
      </c>
      <c r="G7" s="142" t="s">
        <v>17</v>
      </c>
      <c r="H7" s="142" t="s">
        <v>18</v>
      </c>
      <c r="I7" s="143">
        <f>SUBTOTAL(9,I8:I37)</f>
        <v>10</v>
      </c>
      <c r="L7" s="140"/>
    </row>
    <row r="8" spans="1:14" s="29" customFormat="1" ht="14.25" customHeight="1" x14ac:dyDescent="0.25">
      <c r="A8" s="150">
        <v>13</v>
      </c>
      <c r="B8" s="150">
        <v>10</v>
      </c>
      <c r="C8" s="30">
        <f t="shared" ref="C8:C37" si="0">IF(OR(SUM($C7,$A8&lt;&gt;"")=0,$A8=""),"",SUM($C7,$A8&lt;&gt;""))</f>
        <v>1</v>
      </c>
      <c r="D8" s="147" t="str">
        <f>IFERROR(VLOOKUP($A8,Sheet1!$A$1:$B$80,2,0),"")</f>
        <v>Phô mai que (13 que)</v>
      </c>
      <c r="E8" s="30">
        <f>IFERROR(VLOOKUP($A8,'Tổng Đơn'!$A$5:$E$52,5,0),"")</f>
        <v>0.5</v>
      </c>
      <c r="F8" s="30">
        <f t="shared" ref="F8:F37" si="1">IF($B8="","",B8)</f>
        <v>10</v>
      </c>
      <c r="G8" s="155">
        <f>IFERROR(VLOOKUP($A8,Sheet1!$A1:$D$80,4,0),"")</f>
        <v>40000</v>
      </c>
      <c r="H8" s="148">
        <f>IF($C7=MAX($C$8:$C$56),SUM($H7:$H$8),IFERROR($G8*$F8,""))</f>
        <v>400000</v>
      </c>
      <c r="I8" s="54">
        <f t="shared" ref="I8:I37" si="2">IF(TYPE($A8)&lt;&gt;1,"",IFERROR(F8*E8,""))</f>
        <v>5</v>
      </c>
      <c r="L8" s="32"/>
    </row>
    <row r="9" spans="1:14" s="29" customFormat="1" ht="14.25" customHeight="1" x14ac:dyDescent="0.25">
      <c r="A9" s="150">
        <v>41</v>
      </c>
      <c r="B9" s="150">
        <v>10</v>
      </c>
      <c r="C9" s="30">
        <f t="shared" si="0"/>
        <v>2</v>
      </c>
      <c r="D9" s="147" t="str">
        <f>IFERROR(VLOOKUP($A9,Sheet1!$A$1:$B$80,2,0),"")</f>
        <v>Bánh bao thả lẩu Trứng cá KK</v>
      </c>
      <c r="E9" s="30">
        <f>IFERROR(VLOOKUP($A9,'Tổng Đơn'!$A$5:$E$52,5,0),"")</f>
        <v>0.5</v>
      </c>
      <c r="F9" s="30">
        <f t="shared" si="1"/>
        <v>10</v>
      </c>
      <c r="G9" s="155">
        <f>IF(AND($C9="",$C8&lt;&gt;""),"Tổng Cộng",IFERROR(VLOOKUP($A9,Sheet1!$A$1:$D$80,4,0),""))</f>
        <v>45000</v>
      </c>
      <c r="H9" s="148">
        <f>IF($C8=MAX($C$8:$C$56),SUM($H$8:$H8),IFERROR($G9*$F9,""))</f>
        <v>450000</v>
      </c>
      <c r="I9" s="54">
        <f t="shared" si="2"/>
        <v>5</v>
      </c>
      <c r="L9" s="31"/>
    </row>
    <row r="10" spans="1:14" s="29" customFormat="1" ht="14.25" customHeight="1" x14ac:dyDescent="0.25">
      <c r="A10" s="150" t="s">
        <v>277</v>
      </c>
      <c r="B10" s="150">
        <v>5</v>
      </c>
      <c r="C10" s="30">
        <f t="shared" si="0"/>
        <v>3</v>
      </c>
      <c r="D10" s="147" t="str">
        <f>IFERROR(VLOOKUP($A10,Sheet1!$A$1:$B$80,2,0),"")</f>
        <v>0-Đùi gà Rán 10C lớn</v>
      </c>
      <c r="E10" s="30">
        <f>IFERROR(VLOOKUP($A10,'Tổng Đơn'!$A$5:$E$52,5,0),"")</f>
        <v>1.5</v>
      </c>
      <c r="F10" s="30">
        <f t="shared" si="1"/>
        <v>5</v>
      </c>
      <c r="G10" s="155">
        <f>IF(AND($C10="",$C9&lt;&gt;""),"Tổng Cộng",IFERROR(VLOOKUP($A10,Sheet1!$A$1:$D$80,4,0),""))</f>
        <v>122000</v>
      </c>
      <c r="H10" s="148">
        <f>IF($C9=MAX($C$8:$C$56),SUM($H$8:$H9),IFERROR($G10*$F10,""))</f>
        <v>610000</v>
      </c>
      <c r="I10" s="54" t="str">
        <f t="shared" si="2"/>
        <v/>
      </c>
      <c r="L10" s="31"/>
    </row>
    <row r="11" spans="1:14" s="29" customFormat="1" ht="14.25" customHeight="1" x14ac:dyDescent="0.25">
      <c r="A11" s="150">
        <v>1</v>
      </c>
      <c r="B11" s="150">
        <v>1</v>
      </c>
      <c r="C11" s="30">
        <f t="shared" si="0"/>
        <v>4</v>
      </c>
      <c r="D11" s="147" t="s">
        <v>312</v>
      </c>
      <c r="E11" s="30" t="s">
        <v>234</v>
      </c>
      <c r="F11" s="30" t="s">
        <v>234</v>
      </c>
      <c r="G11" s="155" t="s">
        <v>234</v>
      </c>
      <c r="H11" s="148">
        <f>-10*2500-10*3000-5*4000</f>
        <v>-75000</v>
      </c>
      <c r="I11" s="54" t="str">
        <f t="shared" si="2"/>
        <v/>
      </c>
      <c r="L11" s="31"/>
    </row>
    <row r="12" spans="1:14" s="29" customFormat="1" ht="14.25" customHeight="1" x14ac:dyDescent="0.25">
      <c r="A12" s="150" t="s">
        <v>310</v>
      </c>
      <c r="B12" s="150"/>
      <c r="C12" s="30" t="str">
        <f t="shared" si="0"/>
        <v/>
      </c>
      <c r="D12" s="147" t="str">
        <f>IFERROR(VLOOKUP($A12,Sheet1!$A$1:$B$80,2,0),"")</f>
        <v/>
      </c>
      <c r="E12" s="30" t="str">
        <f>IFERROR(VLOOKUP($A12,'Tổng Đơn'!$A$5:$E$52,5,0),"")</f>
        <v/>
      </c>
      <c r="F12" s="30" t="str">
        <f t="shared" si="1"/>
        <v/>
      </c>
      <c r="G12" s="155" t="str">
        <f>IF(AND($C12="",$C11&lt;&gt;""),"Tổng Cộng",IFERROR(VLOOKUP($A12,Sheet1!$A$1:$D$80,4,0),""))</f>
        <v>Tổng Cộng</v>
      </c>
      <c r="H12" s="148">
        <f>IF($C11=MAX($C$8:$C$56),SUM($H$8:$H11),IFERROR($G12*$F12,""))</f>
        <v>1385000</v>
      </c>
      <c r="I12" s="54" t="str">
        <f t="shared" si="2"/>
        <v/>
      </c>
      <c r="J12" s="125"/>
      <c r="L12" s="31"/>
      <c r="N12" s="126"/>
    </row>
    <row r="13" spans="1:14" s="29" customFormat="1" ht="14.25" customHeight="1" x14ac:dyDescent="0.25">
      <c r="A13" s="150" t="s">
        <v>310</v>
      </c>
      <c r="B13" s="150"/>
      <c r="C13" s="30" t="str">
        <f t="shared" si="0"/>
        <v/>
      </c>
      <c r="D13" s="147" t="str">
        <f>IFERROR(VLOOKUP($A13,Sheet1!$A$1:$B$80,2,0),"")</f>
        <v/>
      </c>
      <c r="E13" s="30" t="str">
        <f>IFERROR(VLOOKUP($A13,'Tổng Đơn'!$A$5:$E$52,5,0),"")</f>
        <v/>
      </c>
      <c r="F13" s="30" t="str">
        <f t="shared" si="1"/>
        <v/>
      </c>
      <c r="G13" s="155" t="str">
        <f>IF(AND($C13="",$C12&lt;&gt;""),"Tổng Cộng",IFERROR(VLOOKUP($A13,Sheet1!$A$1:$D$80,4,0),""))</f>
        <v/>
      </c>
      <c r="H13" s="148" t="str">
        <f>IF($C12=MAX($C$8:$C$56),SUM($H$8:$H12),IFERROR($G13*$F13,""))</f>
        <v/>
      </c>
      <c r="I13" s="54" t="str">
        <f t="shared" si="2"/>
        <v/>
      </c>
      <c r="L13" s="31"/>
    </row>
    <row r="14" spans="1:14" s="29" customFormat="1" ht="14.25" customHeight="1" x14ac:dyDescent="0.25">
      <c r="A14" s="150" t="s">
        <v>310</v>
      </c>
      <c r="B14" s="150"/>
      <c r="C14" s="30" t="str">
        <f t="shared" si="0"/>
        <v/>
      </c>
      <c r="D14" s="147" t="str">
        <f>IFERROR(VLOOKUP($A14,Sheet1!$A$1:$B$80,2,0),"")</f>
        <v/>
      </c>
      <c r="E14" s="30" t="str">
        <f>IFERROR(VLOOKUP($A14,'Tổng Đơn'!$A$5:$E$52,5,0),"")</f>
        <v/>
      </c>
      <c r="F14" s="30" t="str">
        <f t="shared" si="1"/>
        <v/>
      </c>
      <c r="G14" s="155" t="str">
        <f>IF(AND($C14="",$C13&lt;&gt;""),"Tổng Cộng",IFERROR(VLOOKUP($A14,Sheet1!$A$1:$D$80,4,0),""))</f>
        <v/>
      </c>
      <c r="H14" s="148" t="str">
        <f>IF($C13=MAX($C$8:$C$56),SUM($H$8:$H13),IFERROR($G14*$F14,""))</f>
        <v/>
      </c>
      <c r="I14" s="54" t="str">
        <f t="shared" si="2"/>
        <v/>
      </c>
      <c r="L14" s="31"/>
      <c r="M14" s="132"/>
    </row>
    <row r="15" spans="1:14" s="29" customFormat="1" ht="14.25" customHeight="1" x14ac:dyDescent="0.25">
      <c r="A15" s="150" t="s">
        <v>310</v>
      </c>
      <c r="B15" s="150"/>
      <c r="C15" s="30" t="str">
        <f t="shared" si="0"/>
        <v/>
      </c>
      <c r="D15" s="147" t="str">
        <f>IFERROR(VLOOKUP($A15,Sheet1!$A$1:$B$80,2,0),"")</f>
        <v/>
      </c>
      <c r="E15" s="30" t="str">
        <f>IFERROR(VLOOKUP($A15,'Tổng Đơn'!$A$5:$E$52,5,0),"")</f>
        <v/>
      </c>
      <c r="F15" s="30" t="str">
        <f t="shared" si="1"/>
        <v/>
      </c>
      <c r="G15" s="155" t="str">
        <f>IF(AND($C15="",$C14&lt;&gt;""),"Tổng Cộng",IFERROR(VLOOKUP($A15,Sheet1!$A$1:$D$80,4,0),""))</f>
        <v/>
      </c>
      <c r="H15" s="148" t="str">
        <f>IF($C14=MAX($C$8:$C$56),SUM($H$8:$H14),IFERROR($G15*$F15,""))</f>
        <v/>
      </c>
      <c r="I15" s="54" t="str">
        <f t="shared" si="2"/>
        <v/>
      </c>
      <c r="L15" s="31"/>
    </row>
    <row r="16" spans="1:14" s="29" customFormat="1" ht="14.25" customHeight="1" x14ac:dyDescent="0.25">
      <c r="A16" s="150" t="s">
        <v>310</v>
      </c>
      <c r="B16" s="150"/>
      <c r="C16" s="30" t="str">
        <f t="shared" si="0"/>
        <v/>
      </c>
      <c r="D16" s="147" t="str">
        <f>IFERROR(VLOOKUP($A16,Sheet1!$A$1:$B$80,2,0),"")</f>
        <v/>
      </c>
      <c r="E16" s="30" t="str">
        <f>IFERROR(VLOOKUP($A16,'Tổng Đơn'!$A$5:$E$52,5,0),"")</f>
        <v/>
      </c>
      <c r="F16" s="30" t="str">
        <f t="shared" si="1"/>
        <v/>
      </c>
      <c r="G16" s="155" t="str">
        <f>IF(AND($C16="",$C15&lt;&gt;""),"Tổng Cộng",IFERROR(VLOOKUP($A16,Sheet1!$A$1:$D$80,4,0),""))</f>
        <v/>
      </c>
      <c r="H16" s="148" t="str">
        <f>IF($C15=MAX($C$8:$C$56),SUM($H$8:$H15),IFERROR($G16*$F16,""))</f>
        <v/>
      </c>
      <c r="I16" s="54" t="str">
        <f t="shared" si="2"/>
        <v/>
      </c>
      <c r="L16" s="31"/>
    </row>
    <row r="17" spans="1:12" s="29" customFormat="1" ht="14.25" customHeight="1" x14ac:dyDescent="0.25">
      <c r="A17" s="150" t="s">
        <v>310</v>
      </c>
      <c r="B17" s="150"/>
      <c r="C17" s="30" t="str">
        <f t="shared" si="0"/>
        <v/>
      </c>
      <c r="D17" s="147" t="str">
        <f>IFERROR(VLOOKUP($A17,Sheet1!$A$1:$B$80,2,0),"")</f>
        <v/>
      </c>
      <c r="E17" s="30" t="str">
        <f>IFERROR(VLOOKUP($A17,'Tổng Đơn'!$A$5:$E$52,5,0),"")</f>
        <v/>
      </c>
      <c r="F17" s="30" t="str">
        <f t="shared" si="1"/>
        <v/>
      </c>
      <c r="G17" s="155" t="str">
        <f>IF(AND($C17="",$C16&lt;&gt;""),"Tổng Cộng",IFERROR(VLOOKUP($A17,Sheet1!$A$1:$D$80,4,0),""))</f>
        <v/>
      </c>
      <c r="H17" s="148" t="str">
        <f>IF($C16=MAX($C$8:$C$56),SUM($H$8:$H16),IFERROR($G17*$F17,""))</f>
        <v/>
      </c>
      <c r="I17" s="54" t="str">
        <f t="shared" si="2"/>
        <v/>
      </c>
      <c r="L17" s="31"/>
    </row>
    <row r="18" spans="1:12" s="29" customFormat="1" ht="14.25" customHeight="1" x14ac:dyDescent="0.25">
      <c r="A18" s="150" t="s">
        <v>310</v>
      </c>
      <c r="B18" s="150"/>
      <c r="C18" s="30" t="str">
        <f t="shared" si="0"/>
        <v/>
      </c>
      <c r="D18" s="147" t="str">
        <f>IFERROR(VLOOKUP($A18,Sheet1!$A$1:$B$80,2,0),"")</f>
        <v/>
      </c>
      <c r="E18" s="30" t="str">
        <f>IFERROR(VLOOKUP($A18,'Tổng Đơn'!$A$5:$E$52,5,0),"")</f>
        <v/>
      </c>
      <c r="F18" s="30" t="str">
        <f t="shared" si="1"/>
        <v/>
      </c>
      <c r="G18" s="155" t="str">
        <f>IF(AND($C18="",$C17&lt;&gt;""),"Tổng Cộng",IFERROR(VLOOKUP($A18,Sheet1!$A$1:$D$80,4,0),""))</f>
        <v/>
      </c>
      <c r="H18" s="148" t="str">
        <f>IF($C17=MAX($C$8:$C$56),SUM($H$8:$H17),IFERROR($G18*$F18,""))</f>
        <v/>
      </c>
      <c r="I18" s="54" t="str">
        <f t="shared" si="2"/>
        <v/>
      </c>
      <c r="L18" s="31"/>
    </row>
    <row r="19" spans="1:12" s="29" customFormat="1" ht="14.25" customHeight="1" x14ac:dyDescent="0.25">
      <c r="A19" s="150" t="s">
        <v>310</v>
      </c>
      <c r="B19" s="150"/>
      <c r="C19" s="30" t="str">
        <f t="shared" si="0"/>
        <v/>
      </c>
      <c r="D19" s="147" t="str">
        <f>IFERROR(VLOOKUP($A19,Sheet1!$A$1:$B$80,2,0),"")</f>
        <v/>
      </c>
      <c r="E19" s="30" t="str">
        <f>IFERROR(VLOOKUP($A19,'Tổng Đơn'!$A$5:$E$52,5,0),"")</f>
        <v/>
      </c>
      <c r="F19" s="30" t="str">
        <f t="shared" si="1"/>
        <v/>
      </c>
      <c r="G19" s="155" t="str">
        <f>IF(AND($C19="",$C18&lt;&gt;""),"Tổng Cộng",IFERROR(VLOOKUP($A19,Sheet1!$A$1:$D$80,4,0),""))</f>
        <v/>
      </c>
      <c r="H19" s="148" t="str">
        <f>IF($C18=MAX($C$8:$C$56),SUM($H$8:$H18),IFERROR($G19*$F19,""))</f>
        <v/>
      </c>
      <c r="I19" s="54" t="str">
        <f t="shared" si="2"/>
        <v/>
      </c>
      <c r="L19" s="31"/>
    </row>
    <row r="20" spans="1:12" s="29" customFormat="1" ht="14.25" customHeight="1" x14ac:dyDescent="0.25">
      <c r="A20" s="150" t="s">
        <v>310</v>
      </c>
      <c r="B20" s="150"/>
      <c r="C20" s="30" t="str">
        <f t="shared" si="0"/>
        <v/>
      </c>
      <c r="D20" s="147" t="str">
        <f>IFERROR(VLOOKUP($A20,Sheet1!$A$1:$B$80,2,0),"")</f>
        <v/>
      </c>
      <c r="E20" s="30" t="str">
        <f>IFERROR(VLOOKUP($A20,'Tổng Đơn'!$A$5:$E$52,5,0),"")</f>
        <v/>
      </c>
      <c r="F20" s="30" t="str">
        <f t="shared" si="1"/>
        <v/>
      </c>
      <c r="G20" s="155" t="str">
        <f>IF(AND($C20="",$C19&lt;&gt;""),"Tổng Cộng",IFERROR(VLOOKUP($A20,Sheet1!$A$1:$D$80,4,0),""))</f>
        <v/>
      </c>
      <c r="H20" s="148" t="str">
        <f>IF($C19=MAX($C$8:$C$56),SUM($H$8:$H19),IFERROR($G20*$F20,""))</f>
        <v/>
      </c>
      <c r="I20" s="54" t="str">
        <f t="shared" si="2"/>
        <v/>
      </c>
      <c r="L20" s="31"/>
    </row>
    <row r="21" spans="1:12" s="29" customFormat="1" ht="14.25" customHeight="1" x14ac:dyDescent="0.25">
      <c r="A21" s="150" t="s">
        <v>310</v>
      </c>
      <c r="B21" s="150"/>
      <c r="C21" s="30" t="str">
        <f t="shared" si="0"/>
        <v/>
      </c>
      <c r="D21" s="147" t="str">
        <f>IFERROR(VLOOKUP($A21,Sheet1!$A$1:$B$80,2,0),"")</f>
        <v/>
      </c>
      <c r="E21" s="30" t="str">
        <f>IFERROR(VLOOKUP($A21,'Tổng Đơn'!$A$5:$E$52,5,0),"")</f>
        <v/>
      </c>
      <c r="F21" s="30" t="str">
        <f t="shared" si="1"/>
        <v/>
      </c>
      <c r="G21" s="155" t="str">
        <f>IF(AND($C21="",$C20&lt;&gt;""),"Tổng Cộng",IFERROR(VLOOKUP($A21,Sheet1!$A$1:$D$80,4,0),""))</f>
        <v/>
      </c>
      <c r="H21" s="148" t="str">
        <f>IF($C20=MAX($C$8:$C$56),SUM($H$8:$H20),IFERROR($G21*$F21,""))</f>
        <v/>
      </c>
      <c r="I21" s="54" t="str">
        <f t="shared" si="2"/>
        <v/>
      </c>
      <c r="L21" s="31"/>
    </row>
    <row r="22" spans="1:12" s="29" customFormat="1" ht="14.25" customHeight="1" x14ac:dyDescent="0.25">
      <c r="A22" s="150" t="s">
        <v>310</v>
      </c>
      <c r="B22" s="150"/>
      <c r="C22" s="30" t="str">
        <f t="shared" si="0"/>
        <v/>
      </c>
      <c r="D22" s="147" t="str">
        <f>IFERROR(VLOOKUP($A22,Sheet1!$A$1:$B$80,2,0),"")</f>
        <v/>
      </c>
      <c r="E22" s="30" t="str">
        <f>IFERROR(VLOOKUP($A22,'Tổng Đơn'!$A$5:$E$52,5,0),"")</f>
        <v/>
      </c>
      <c r="F22" s="30" t="str">
        <f t="shared" si="1"/>
        <v/>
      </c>
      <c r="G22" s="155" t="str">
        <f>IF(AND($C22="",$C21&lt;&gt;""),"Tổng Cộng",IFERROR(VLOOKUP($A22,Sheet1!$A$1:$D$80,4,0),""))</f>
        <v/>
      </c>
      <c r="H22" s="148" t="str">
        <f>IF($C21=MAX($C$8:$C$56),SUM($H$8:$H21),IFERROR($G22*$F22,""))</f>
        <v/>
      </c>
      <c r="I22" s="54" t="str">
        <f t="shared" si="2"/>
        <v/>
      </c>
      <c r="L22" s="31"/>
    </row>
    <row r="23" spans="1:12" s="29" customFormat="1" ht="14.25" customHeight="1" x14ac:dyDescent="0.25">
      <c r="A23" s="150" t="s">
        <v>310</v>
      </c>
      <c r="B23" s="150"/>
      <c r="C23" s="30" t="str">
        <f t="shared" si="0"/>
        <v/>
      </c>
      <c r="D23" s="147" t="str">
        <f>IFERROR(VLOOKUP($A23,Sheet1!$A$1:$B$80,2,0),"")</f>
        <v/>
      </c>
      <c r="E23" s="30" t="str">
        <f>IFERROR(VLOOKUP($A23,'Tổng Đơn'!$A$5:$E$52,5,0),"")</f>
        <v/>
      </c>
      <c r="F23" s="30" t="str">
        <f t="shared" si="1"/>
        <v/>
      </c>
      <c r="G23" s="155" t="str">
        <f>IF(AND($C23="",$C22&lt;&gt;""),"Tổng Cộng",IFERROR(VLOOKUP($A23,Sheet1!$A$1:$D$80,4,0),""))</f>
        <v/>
      </c>
      <c r="H23" s="148" t="str">
        <f>IF($C22=MAX($C$8:$C$56),SUM($H$8:$H22),IFERROR($G23*$F23,""))</f>
        <v/>
      </c>
      <c r="I23" s="54" t="str">
        <f t="shared" si="2"/>
        <v/>
      </c>
      <c r="L23" s="31"/>
    </row>
    <row r="24" spans="1:12" s="29" customFormat="1" ht="14.25" customHeight="1" x14ac:dyDescent="0.25">
      <c r="A24" s="150" t="s">
        <v>310</v>
      </c>
      <c r="B24" s="150"/>
      <c r="C24" s="30" t="str">
        <f t="shared" si="0"/>
        <v/>
      </c>
      <c r="D24" s="147" t="str">
        <f>IFERROR(VLOOKUP($A24,Sheet1!$A$1:$B$80,2,0),"")</f>
        <v/>
      </c>
      <c r="E24" s="30" t="str">
        <f>IFERROR(VLOOKUP($A24,'Tổng Đơn'!$A$5:$E$52,5,0),"")</f>
        <v/>
      </c>
      <c r="F24" s="30" t="str">
        <f t="shared" si="1"/>
        <v/>
      </c>
      <c r="G24" s="155" t="str">
        <f>IF(AND($C24="",$C23&lt;&gt;""),"Tổng Cộng",IFERROR(VLOOKUP($A24,Sheet1!$A$1:$D$80,4,0),""))</f>
        <v/>
      </c>
      <c r="H24" s="148" t="str">
        <f>IF($C23=MAX($C$8:$C$56),SUM($H$8:$H23),IFERROR($G24*$F24,""))</f>
        <v/>
      </c>
      <c r="I24" s="54" t="str">
        <f t="shared" si="2"/>
        <v/>
      </c>
      <c r="L24" s="31"/>
    </row>
    <row r="25" spans="1:12" s="29" customFormat="1" ht="14.25" customHeight="1" x14ac:dyDescent="0.25">
      <c r="A25" s="150" t="s">
        <v>310</v>
      </c>
      <c r="B25" s="150"/>
      <c r="C25" s="30" t="str">
        <f t="shared" si="0"/>
        <v/>
      </c>
      <c r="D25" s="147" t="str">
        <f>IFERROR(VLOOKUP($A25,Sheet1!$A$1:$B$80,2,0),"")</f>
        <v/>
      </c>
      <c r="E25" s="30" t="str">
        <f>IFERROR(VLOOKUP($A25,'Tổng Đơn'!$A$5:$E$52,5,0),"")</f>
        <v/>
      </c>
      <c r="F25" s="30" t="str">
        <f t="shared" si="1"/>
        <v/>
      </c>
      <c r="G25" s="155" t="str">
        <f>IF(AND($C25="",$C24&lt;&gt;""),"Tổng Cộng",IFERROR(VLOOKUP($A25,Sheet1!$A$1:$D$80,4,0),""))</f>
        <v/>
      </c>
      <c r="H25" s="148" t="str">
        <f>IF($C24=MAX($C$8:$C$56),SUM($H$8:$H24),IFERROR($G25*$F25,""))</f>
        <v/>
      </c>
      <c r="I25" s="54" t="str">
        <f t="shared" si="2"/>
        <v/>
      </c>
      <c r="L25" s="31"/>
    </row>
    <row r="26" spans="1:12" s="29" customFormat="1" ht="14.25" customHeight="1" x14ac:dyDescent="0.25">
      <c r="A26" s="150" t="s">
        <v>310</v>
      </c>
      <c r="B26" s="150"/>
      <c r="C26" s="30" t="str">
        <f t="shared" si="0"/>
        <v/>
      </c>
      <c r="D26" s="147" t="str">
        <f>IFERROR(VLOOKUP($A26,Sheet1!$A$1:$B$80,2,0),"")</f>
        <v/>
      </c>
      <c r="E26" s="30" t="str">
        <f>IFERROR(VLOOKUP($A26,'Tổng Đơn'!$A$5:$E$52,5,0),"")</f>
        <v/>
      </c>
      <c r="F26" s="30" t="str">
        <f t="shared" si="1"/>
        <v/>
      </c>
      <c r="G26" s="155" t="str">
        <f>IF(AND($C26="",$C25&lt;&gt;""),"Tổng Cộng",IFERROR(VLOOKUP($A26,Sheet1!$A$1:$D$80,4,0),""))</f>
        <v/>
      </c>
      <c r="H26" s="148" t="str">
        <f>IF($C25=MAX($C$8:$C$56),SUM($H$8:$H25),IFERROR($G26*$F26,""))</f>
        <v/>
      </c>
      <c r="I26" s="54" t="str">
        <f t="shared" si="2"/>
        <v/>
      </c>
      <c r="L26" s="31"/>
    </row>
    <row r="27" spans="1:12" s="29" customFormat="1" ht="14.25" customHeight="1" x14ac:dyDescent="0.25">
      <c r="A27" s="150" t="s">
        <v>310</v>
      </c>
      <c r="B27" s="150"/>
      <c r="C27" s="30" t="str">
        <f t="shared" si="0"/>
        <v/>
      </c>
      <c r="D27" s="147" t="str">
        <f>IFERROR(VLOOKUP($A27,Sheet1!$A$1:$B$80,2,0),"")</f>
        <v/>
      </c>
      <c r="E27" s="30" t="str">
        <f>IFERROR(VLOOKUP($A27,'Tổng Đơn'!$A$5:$E$52,5,0),"")</f>
        <v/>
      </c>
      <c r="F27" s="30" t="str">
        <f t="shared" si="1"/>
        <v/>
      </c>
      <c r="G27" s="155" t="str">
        <f>IF(AND($C27="",$C26&lt;&gt;""),"Tổng Cộng",IFERROR(VLOOKUP($A27,Sheet1!$A$1:$D$80,4,0),""))</f>
        <v/>
      </c>
      <c r="H27" s="148" t="str">
        <f>IF($C26=MAX($C$8:$C$56),SUM($H$8:$H26),IFERROR($G27*$F27,""))</f>
        <v/>
      </c>
      <c r="I27" s="54" t="str">
        <f t="shared" si="2"/>
        <v/>
      </c>
      <c r="L27" s="31"/>
    </row>
    <row r="28" spans="1:12" s="29" customFormat="1" ht="14.25" customHeight="1" x14ac:dyDescent="0.25">
      <c r="A28" s="150" t="s">
        <v>310</v>
      </c>
      <c r="B28" s="150"/>
      <c r="C28" s="30" t="str">
        <f t="shared" si="0"/>
        <v/>
      </c>
      <c r="D28" s="147" t="str">
        <f>IFERROR(VLOOKUP($A28,Sheet1!$A$1:$B$80,2,0),"")</f>
        <v/>
      </c>
      <c r="E28" s="30" t="str">
        <f>IFERROR(VLOOKUP($A28,'Tổng Đơn'!$A$5:$E$52,5,0),"")</f>
        <v/>
      </c>
      <c r="F28" s="30" t="str">
        <f t="shared" si="1"/>
        <v/>
      </c>
      <c r="G28" s="155" t="str">
        <f>IF(AND($C28="",$C27&lt;&gt;""),"Tổng Cộng",IFERROR(VLOOKUP($A28,Sheet1!$A$1:$D$80,4,0),""))</f>
        <v/>
      </c>
      <c r="H28" s="148" t="str">
        <f>IF($C27=MAX($C$8:$C$56),SUM($H$8:$H27),IFERROR($G28*$F28,""))</f>
        <v/>
      </c>
      <c r="I28" s="54" t="str">
        <f t="shared" si="2"/>
        <v/>
      </c>
      <c r="L28" s="31"/>
    </row>
    <row r="29" spans="1:12" s="29" customFormat="1" ht="14.25" customHeight="1" x14ac:dyDescent="0.25">
      <c r="A29" s="150" t="s">
        <v>310</v>
      </c>
      <c r="B29" s="150"/>
      <c r="C29" s="30" t="str">
        <f t="shared" si="0"/>
        <v/>
      </c>
      <c r="D29" s="147" t="str">
        <f>IFERROR(VLOOKUP($A29,Sheet1!$A$1:$B$80,2,0),"")</f>
        <v/>
      </c>
      <c r="E29" s="30" t="str">
        <f>IFERROR(VLOOKUP($A29,'Tổng Đơn'!$A$5:$E$52,5,0),"")</f>
        <v/>
      </c>
      <c r="F29" s="30" t="str">
        <f t="shared" si="1"/>
        <v/>
      </c>
      <c r="G29" s="155" t="str">
        <f>IF(AND($C29="",$C28&lt;&gt;""),"Tổng Cộng",IFERROR(VLOOKUP($A29,Sheet1!$A$1:$D$80,4,0),""))</f>
        <v/>
      </c>
      <c r="H29" s="148" t="str">
        <f>IF($C28=MAX($C$8:$C$56),SUM($H$8:$H28),IFERROR($G29*$F29,""))</f>
        <v/>
      </c>
      <c r="I29" s="54" t="str">
        <f t="shared" si="2"/>
        <v/>
      </c>
      <c r="L29" s="31"/>
    </row>
    <row r="30" spans="1:12" s="29" customFormat="1" ht="14.25" customHeight="1" x14ac:dyDescent="0.25">
      <c r="A30" s="150" t="s">
        <v>310</v>
      </c>
      <c r="B30" s="150"/>
      <c r="C30" s="30" t="str">
        <f t="shared" si="0"/>
        <v/>
      </c>
      <c r="D30" s="147" t="str">
        <f>IFERROR(VLOOKUP($A30,Sheet1!$A$1:$B$80,2,0),"")</f>
        <v/>
      </c>
      <c r="E30" s="30" t="str">
        <f>IFERROR(VLOOKUP($A30,'Tổng Đơn'!$A$5:$E$52,5,0),"")</f>
        <v/>
      </c>
      <c r="F30" s="30" t="str">
        <f t="shared" si="1"/>
        <v/>
      </c>
      <c r="G30" s="155" t="str">
        <f>IF(AND($C30="",$C29&lt;&gt;""),"Tổng Cộng",IFERROR(VLOOKUP($A30,Sheet1!$A$1:$D$80,4,0),""))</f>
        <v/>
      </c>
      <c r="H30" s="148" t="str">
        <f>IF($C29=MAX($C$8:$C$56),SUM($H$8:$H29),IFERROR($G30*$F30,""))</f>
        <v/>
      </c>
      <c r="I30" s="54" t="str">
        <f t="shared" si="2"/>
        <v/>
      </c>
      <c r="L30" s="31"/>
    </row>
    <row r="31" spans="1:12" s="29" customFormat="1" ht="14.25" customHeight="1" x14ac:dyDescent="0.25">
      <c r="A31" s="150" t="s">
        <v>310</v>
      </c>
      <c r="B31" s="150"/>
      <c r="C31" s="30" t="str">
        <f t="shared" si="0"/>
        <v/>
      </c>
      <c r="D31" s="147" t="str">
        <f>IFERROR(VLOOKUP($A31,Sheet1!$A$1:$B$80,2,0),"")</f>
        <v/>
      </c>
      <c r="E31" s="30" t="str">
        <f>IFERROR(VLOOKUP($A31,'Tổng Đơn'!$A$5:$E$52,5,0),"")</f>
        <v/>
      </c>
      <c r="F31" s="30" t="str">
        <f t="shared" si="1"/>
        <v/>
      </c>
      <c r="G31" s="155" t="str">
        <f>IF(AND($C31="",$C30&lt;&gt;""),"Tổng Cộng",IFERROR(VLOOKUP($A31,Sheet1!$A$1:$D$80,4,0),""))</f>
        <v/>
      </c>
      <c r="H31" s="148" t="str">
        <f>IF($C30=MAX($C$8:$C$56),SUM($H$8:$H30),IFERROR($G31*$F31,""))</f>
        <v/>
      </c>
      <c r="I31" s="54" t="str">
        <f t="shared" si="2"/>
        <v/>
      </c>
      <c r="L31" s="31"/>
    </row>
    <row r="32" spans="1:12" s="29" customFormat="1" ht="14.25" customHeight="1" x14ac:dyDescent="0.25">
      <c r="A32" s="150" t="s">
        <v>310</v>
      </c>
      <c r="B32" s="150"/>
      <c r="C32" s="30" t="str">
        <f t="shared" si="0"/>
        <v/>
      </c>
      <c r="D32" s="147" t="str">
        <f>IFERROR(VLOOKUP($A32,Sheet1!$A$1:$B$80,2,0),"")</f>
        <v/>
      </c>
      <c r="E32" s="30" t="str">
        <f>IFERROR(VLOOKUP($A32,'Tổng Đơn'!$A$5:$E$52,5,0),"")</f>
        <v/>
      </c>
      <c r="F32" s="30" t="str">
        <f t="shared" si="1"/>
        <v/>
      </c>
      <c r="G32" s="155" t="str">
        <f>IF(AND($C32="",$C31&lt;&gt;""),"Tổng Cộng",IFERROR(VLOOKUP($A32,Sheet1!$A$1:$D$80,4,0),""))</f>
        <v/>
      </c>
      <c r="H32" s="148" t="str">
        <f>IF($C31=MAX($C$8:$C$56),SUM($H$8:$H31),IFERROR($G32*$F32,""))</f>
        <v/>
      </c>
      <c r="I32" s="54" t="str">
        <f t="shared" si="2"/>
        <v/>
      </c>
      <c r="L32" s="31"/>
    </row>
    <row r="33" spans="1:12" s="29" customFormat="1" ht="14.25" customHeight="1" x14ac:dyDescent="0.25">
      <c r="A33" s="150" t="s">
        <v>310</v>
      </c>
      <c r="B33" s="150"/>
      <c r="C33" s="30" t="str">
        <f t="shared" si="0"/>
        <v/>
      </c>
      <c r="D33" s="147" t="str">
        <f>IFERROR(VLOOKUP($A33,Sheet1!$A$1:$B$80,2,0),"")</f>
        <v/>
      </c>
      <c r="E33" s="30" t="str">
        <f>IFERROR(VLOOKUP($A33,'Tổng Đơn'!$A$5:$E$52,5,0),"")</f>
        <v/>
      </c>
      <c r="F33" s="30" t="str">
        <f t="shared" si="1"/>
        <v/>
      </c>
      <c r="G33" s="155" t="str">
        <f>IF(AND($C33="",$C32&lt;&gt;""),"Tổng Cộng",IFERROR(VLOOKUP($A33,Sheet1!$A$1:$D$80,4,0),""))</f>
        <v/>
      </c>
      <c r="H33" s="148" t="str">
        <f>IF($C32=MAX($C$8:$C$56),SUM($H$8:$H32),IFERROR($G33*$F33,""))</f>
        <v/>
      </c>
      <c r="I33" s="54" t="str">
        <f t="shared" si="2"/>
        <v/>
      </c>
      <c r="L33" s="31"/>
    </row>
    <row r="34" spans="1:12" s="29" customFormat="1" ht="14.25" customHeight="1" x14ac:dyDescent="0.25">
      <c r="A34" s="150" t="s">
        <v>310</v>
      </c>
      <c r="B34" s="150"/>
      <c r="C34" s="30" t="str">
        <f t="shared" si="0"/>
        <v/>
      </c>
      <c r="D34" s="147" t="str">
        <f>IFERROR(VLOOKUP($A34,Sheet1!$A$1:$B$80,2,0),"")</f>
        <v/>
      </c>
      <c r="E34" s="30" t="str">
        <f>IFERROR(VLOOKUP($A34,'Tổng Đơn'!$A$5:$E$52,5,0),"")</f>
        <v/>
      </c>
      <c r="F34" s="30" t="str">
        <f t="shared" si="1"/>
        <v/>
      </c>
      <c r="G34" s="155" t="str">
        <f>IF(AND($C34="",$C33&lt;&gt;""),"Tổng Cộng",IFERROR(VLOOKUP($A34,Sheet1!$A$1:$D$80,4,0),""))</f>
        <v/>
      </c>
      <c r="H34" s="148" t="str">
        <f>IF($C33=MAX($C$8:$C$56),SUM($H$8:$H33),IFERROR($G34*$F34,""))</f>
        <v/>
      </c>
      <c r="I34" s="54" t="str">
        <f t="shared" si="2"/>
        <v/>
      </c>
      <c r="L34" s="31"/>
    </row>
    <row r="35" spans="1:12" s="29" customFormat="1" ht="14.25" customHeight="1" x14ac:dyDescent="0.25">
      <c r="A35" s="150" t="s">
        <v>310</v>
      </c>
      <c r="B35" s="150"/>
      <c r="C35" s="30" t="str">
        <f t="shared" si="0"/>
        <v/>
      </c>
      <c r="D35" s="147" t="str">
        <f>IFERROR(VLOOKUP($A35,Sheet1!$A$1:$B$80,2,0),"")</f>
        <v/>
      </c>
      <c r="E35" s="30" t="str">
        <f>IFERROR(VLOOKUP($A35,'Tổng Đơn'!$A$5:$E$52,5,0),"")</f>
        <v/>
      </c>
      <c r="F35" s="30" t="str">
        <f t="shared" si="1"/>
        <v/>
      </c>
      <c r="G35" s="155" t="str">
        <f>IF(AND($C35="",$C34&lt;&gt;""),"Tổng Cộng",IFERROR(VLOOKUP($A35,Sheet1!$A$1:$D$80,4,0),""))</f>
        <v/>
      </c>
      <c r="H35" s="148" t="str">
        <f>IF($C34=MAX($C$8:$C$56),SUM($H$8:$H34),IFERROR($G35*$F35,""))</f>
        <v/>
      </c>
      <c r="I35" s="54" t="str">
        <f t="shared" si="2"/>
        <v/>
      </c>
      <c r="L35" s="31"/>
    </row>
    <row r="36" spans="1:12" s="29" customFormat="1" ht="14.25" customHeight="1" x14ac:dyDescent="0.25">
      <c r="A36" s="150" t="s">
        <v>310</v>
      </c>
      <c r="B36" s="150"/>
      <c r="C36" s="30" t="str">
        <f t="shared" si="0"/>
        <v/>
      </c>
      <c r="D36" s="147" t="str">
        <f>IFERROR(VLOOKUP($A36,Sheet1!$A$1:$B$80,2,0),"")</f>
        <v/>
      </c>
      <c r="E36" s="30" t="str">
        <f>IFERROR(VLOOKUP($A36,'Tổng Đơn'!$A$5:$E$52,5,0),"")</f>
        <v/>
      </c>
      <c r="F36" s="30" t="str">
        <f t="shared" si="1"/>
        <v/>
      </c>
      <c r="G36" s="155" t="str">
        <f>IF(AND($C36="",$C35&lt;&gt;""),"Tổng Cộng",IFERROR(VLOOKUP($A36,Sheet1!$A$1:$D$80,4,0),""))</f>
        <v/>
      </c>
      <c r="H36" s="148" t="str">
        <f>IF($C35=MAX($C$8:$C$56),SUM($H$8:$H35),IFERROR($G36*$F36,""))</f>
        <v/>
      </c>
      <c r="I36" s="54" t="str">
        <f t="shared" si="2"/>
        <v/>
      </c>
      <c r="L36" s="31"/>
    </row>
    <row r="37" spans="1:12" s="29" customFormat="1" ht="14.25" customHeight="1" x14ac:dyDescent="0.25">
      <c r="A37" s="150" t="s">
        <v>310</v>
      </c>
      <c r="B37" s="150"/>
      <c r="C37" s="30" t="str">
        <f t="shared" si="0"/>
        <v/>
      </c>
      <c r="D37" s="147" t="str">
        <f>IFERROR(VLOOKUP($A37,Sheet1!$A$1:$B$80,2,0),"")</f>
        <v/>
      </c>
      <c r="E37" s="30" t="str">
        <f>IFERROR(VLOOKUP($A37,'Tổng Đơn'!$A$5:$E$52,5,0),"")</f>
        <v/>
      </c>
      <c r="F37" s="30" t="str">
        <f t="shared" si="1"/>
        <v/>
      </c>
      <c r="G37" s="155" t="str">
        <f>IF(AND($C37="",$C36&lt;&gt;""),"Tổng Cộng",IFERROR(VLOOKUP($A37,Sheet1!$A$1:$D$80,4,0),""))</f>
        <v/>
      </c>
      <c r="H37" s="148" t="str">
        <f>IF($C36=MAX($C$8:$C$56),SUM($H$8:$H36),IFERROR($G37*$F37,""))</f>
        <v/>
      </c>
      <c r="I37" s="54" t="str">
        <f t="shared" si="2"/>
        <v/>
      </c>
      <c r="L37" s="31"/>
    </row>
    <row r="38" spans="1:12" s="29" customFormat="1" ht="14.25" customHeight="1" x14ac:dyDescent="0.25">
      <c r="A38" s="150"/>
      <c r="B38" s="150"/>
      <c r="C38" s="33"/>
      <c r="D38" s="34"/>
      <c r="E38" s="52"/>
      <c r="F38" s="30"/>
      <c r="G38" s="156" t="str">
        <f>IF(AND($C38="",$C37&lt;&gt;""),"Tổng Cộng",IFERROR(VLOOKUP($A38,Sheet1!$A$1:$D$80,4,0),""))</f>
        <v/>
      </c>
      <c r="H38" s="35" t="str">
        <f>IF($C37=MAX($C$8:$C$56),SUM($H$8:$H37),IFERROR($G38*$F38,""))</f>
        <v/>
      </c>
      <c r="I38" s="54"/>
      <c r="L38" s="31"/>
    </row>
    <row r="39" spans="1:12" ht="15" customHeight="1" x14ac:dyDescent="0.25">
      <c r="F39" s="36"/>
      <c r="G39" s="139"/>
      <c r="H39" s="37"/>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C38:E38 D23:E37 F23:H38">
    <cfRule type="expression" dxfId="479" priority="22">
      <formula>$C22=MAX($C$8:$C$37)</formula>
    </cfRule>
  </conditionalFormatting>
  <conditionalFormatting sqref="C23:C37">
    <cfRule type="expression" dxfId="478" priority="21">
      <formula>$C22=MAX($C$8:$C$37)</formula>
    </cfRule>
  </conditionalFormatting>
  <conditionalFormatting sqref="E23:E38">
    <cfRule type="expression" dxfId="477" priority="23">
      <formula>AND($A23="",$F23&lt;&gt;"")</formula>
    </cfRule>
  </conditionalFormatting>
  <conditionalFormatting sqref="F23:F38">
    <cfRule type="expression" dxfId="476" priority="24">
      <formula>AND($F23="",$A23&lt;&gt;"")</formula>
    </cfRule>
  </conditionalFormatting>
  <conditionalFormatting sqref="D20:H22">
    <cfRule type="expression" dxfId="475" priority="18">
      <formula>$C19=MAX($C$8:$C$37)</formula>
    </cfRule>
  </conditionalFormatting>
  <conditionalFormatting sqref="C20:C22">
    <cfRule type="expression" dxfId="474" priority="17">
      <formula>$C19=MAX($C$8:$C$37)</formula>
    </cfRule>
  </conditionalFormatting>
  <conditionalFormatting sqref="E20:E22">
    <cfRule type="expression" dxfId="473" priority="19">
      <formula>AND($A20="",$F20&lt;&gt;"")</formula>
    </cfRule>
  </conditionalFormatting>
  <conditionalFormatting sqref="F20:F22">
    <cfRule type="expression" dxfId="472" priority="20">
      <formula>AND($F20="",$A20&lt;&gt;"")</formula>
    </cfRule>
  </conditionalFormatting>
  <conditionalFormatting sqref="D15:H19 D12:F14 H12:H14">
    <cfRule type="expression" dxfId="471" priority="14">
      <formula>$C11=MAX($C$8:$C$37)</formula>
    </cfRule>
  </conditionalFormatting>
  <conditionalFormatting sqref="C12:C19">
    <cfRule type="expression" dxfId="470" priority="13">
      <formula>$C11=MAX($C$8:$C$37)</formula>
    </cfRule>
  </conditionalFormatting>
  <conditionalFormatting sqref="E12:E19">
    <cfRule type="expression" dxfId="469" priority="15">
      <formula>AND($A12="",$F12&lt;&gt;"")</formula>
    </cfRule>
  </conditionalFormatting>
  <conditionalFormatting sqref="F12:F19">
    <cfRule type="expression" dxfId="468" priority="16">
      <formula>AND($F12="",$A12&lt;&gt;"")</formula>
    </cfRule>
  </conditionalFormatting>
  <conditionalFormatting sqref="G12:G14">
    <cfRule type="expression" dxfId="467" priority="12">
      <formula>$C11=MAX($C$8:$C$37)</formula>
    </cfRule>
  </conditionalFormatting>
  <conditionalFormatting sqref="D9:F11 H9:H11">
    <cfRule type="expression" dxfId="466" priority="9">
      <formula>$C8=MAX($C$8:$C$37)</formula>
    </cfRule>
  </conditionalFormatting>
  <conditionalFormatting sqref="C9:C11">
    <cfRule type="expression" dxfId="465" priority="8">
      <formula>$C8=MAX($C$8:$C$37)</formula>
    </cfRule>
  </conditionalFormatting>
  <conditionalFormatting sqref="E9:E11">
    <cfRule type="expression" dxfId="464" priority="10">
      <formula>AND($A9="",$F9&lt;&gt;"")</formula>
    </cfRule>
  </conditionalFormatting>
  <conditionalFormatting sqref="F9:F11">
    <cfRule type="expression" dxfId="463" priority="11">
      <formula>AND($F9="",$A9&lt;&gt;"")</formula>
    </cfRule>
  </conditionalFormatting>
  <conditionalFormatting sqref="D8:F8">
    <cfRule type="expression" dxfId="462" priority="5">
      <formula>$C7=MAX($C$8:$C$37)</formula>
    </cfRule>
  </conditionalFormatting>
  <conditionalFormatting sqref="C8">
    <cfRule type="expression" dxfId="461" priority="4">
      <formula>$C7=MAX($C$8:$C$37)</formula>
    </cfRule>
  </conditionalFormatting>
  <conditionalFormatting sqref="E8">
    <cfRule type="expression" dxfId="460" priority="6">
      <formula>AND($A8="",$F8&lt;&gt;"")</formula>
    </cfRule>
  </conditionalFormatting>
  <conditionalFormatting sqref="F8">
    <cfRule type="expression" dxfId="459" priority="7">
      <formula>AND($F8="",$A8&lt;&gt;"")</formula>
    </cfRule>
  </conditionalFormatting>
  <conditionalFormatting sqref="H8">
    <cfRule type="expression" dxfId="458" priority="3">
      <formula>$C7=MAX($C$8:$C$37)</formula>
    </cfRule>
  </conditionalFormatting>
  <conditionalFormatting sqref="G9:G11">
    <cfRule type="expression" dxfId="457" priority="2">
      <formula>$C8=MAX($C$8:$C$37)</formula>
    </cfRule>
  </conditionalFormatting>
  <conditionalFormatting sqref="G8">
    <cfRule type="expression" dxfId="456" priority="1">
      <formula>$C7=MAX($C$8:$C$37)</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1549313" r:id="rId4" name="Button 1">
              <controlPr defaultSize="0" print="0" autoFill="0" autoPict="0" macro="[0]!Macro4">
                <anchor moveWithCells="1" sizeWithCells="1">
                  <from>
                    <xdr:col>0</xdr:col>
                    <xdr:colOff>0</xdr:colOff>
                    <xdr:row>0</xdr:row>
                    <xdr:rowOff>0</xdr:rowOff>
                  </from>
                  <to>
                    <xdr:col>1</xdr:col>
                    <xdr:colOff>769620</xdr:colOff>
                    <xdr:row>7</xdr:row>
                    <xdr:rowOff>0</xdr:rowOff>
                  </to>
                </anchor>
              </controlPr>
            </control>
          </mc:Choice>
        </mc:AlternateContent>
      </controls>
    </mc:Choice>
  </mc:AlternateContent>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B57A73A-CDC5-4C90-8E86-A0C4CE45C3A2}">
  <sheetPr codeName="Sheet52">
    <tabColor theme="1"/>
    <pageSetUpPr fitToPage="1"/>
  </sheetPr>
  <dimension ref="A1:N53"/>
  <sheetViews>
    <sheetView zoomScaleNormal="100" workbookViewId="0">
      <pane ySplit="7" topLeftCell="A8" activePane="bottomLeft" state="frozen"/>
      <selection activeCell="Q2" sqref="Q2"/>
      <selection pane="bottomLeft" activeCell="H14" sqref="H14"/>
    </sheetView>
  </sheetViews>
  <sheetFormatPr defaultColWidth="9.09765625" defaultRowHeight="13.8" x14ac:dyDescent="0.25"/>
  <cols>
    <col min="1" max="1" width="11.69921875" style="14" customWidth="1"/>
    <col min="2" max="2" width="11.296875" style="14" customWidth="1"/>
    <col min="3" max="3" width="9.09765625" style="14"/>
    <col min="4" max="4" width="38.3984375" style="14" bestFit="1" customWidth="1"/>
    <col min="5" max="5" width="12.296875" style="53" bestFit="1" customWidth="1"/>
    <col min="6" max="6" width="11" style="14" customWidth="1"/>
    <col min="7" max="7" width="17.8984375" style="14" customWidth="1"/>
    <col min="8" max="8" width="17.8984375" style="15" customWidth="1"/>
    <col min="9" max="9" width="21.8984375" style="14" customWidth="1"/>
    <col min="10" max="10" width="10.09765625" style="14" customWidth="1"/>
    <col min="11" max="11" width="9.09765625" style="14"/>
    <col min="12" max="12" width="11.69921875" style="14" customWidth="1"/>
    <col min="13" max="14" width="10.09765625" style="14" bestFit="1" customWidth="1"/>
    <col min="15" max="16384" width="9.09765625" style="14"/>
  </cols>
  <sheetData>
    <row r="1" spans="1:14" ht="15.75" customHeight="1" x14ac:dyDescent="0.25">
      <c r="C1" s="268" t="s">
        <v>164</v>
      </c>
      <c r="D1" s="268"/>
      <c r="E1" s="268"/>
      <c r="F1" s="268"/>
      <c r="G1" s="268"/>
      <c r="H1" s="268"/>
    </row>
    <row r="2" spans="1:14" ht="15.75" customHeight="1" x14ac:dyDescent="0.25">
      <c r="C2" s="268"/>
      <c r="D2" s="268"/>
      <c r="E2" s="268"/>
      <c r="F2" s="268"/>
      <c r="G2" s="268"/>
      <c r="H2" s="268"/>
    </row>
    <row r="3" spans="1:14" ht="15" customHeight="1" x14ac:dyDescent="0.25">
      <c r="C3" s="269" t="s">
        <v>166</v>
      </c>
      <c r="D3" s="269"/>
      <c r="E3" s="269"/>
      <c r="F3" s="270" t="s">
        <v>168</v>
      </c>
      <c r="G3" s="270"/>
      <c r="H3" s="270"/>
    </row>
    <row r="4" spans="1:14" x14ac:dyDescent="0.25">
      <c r="C4" s="269" t="s">
        <v>167</v>
      </c>
      <c r="D4" s="269"/>
      <c r="E4" s="269"/>
      <c r="F4" s="271" t="s">
        <v>169</v>
      </c>
      <c r="G4" s="271"/>
      <c r="H4" s="271"/>
    </row>
    <row r="5" spans="1:14" s="140" customFormat="1" ht="21" customHeight="1" x14ac:dyDescent="0.25">
      <c r="C5" s="272" t="s">
        <v>165</v>
      </c>
      <c r="D5" s="272"/>
      <c r="E5" s="272"/>
      <c r="F5" s="272"/>
      <c r="G5" s="272"/>
      <c r="H5" s="272"/>
    </row>
    <row r="6" spans="1:14" s="140" customFormat="1" ht="16.5" customHeight="1" x14ac:dyDescent="0.25">
      <c r="C6" s="149" t="s">
        <v>170</v>
      </c>
      <c r="D6" s="152" t="s">
        <v>313</v>
      </c>
      <c r="E6" s="145"/>
      <c r="F6" s="145"/>
      <c r="G6" s="267" t="str">
        <f ca="1">"Ngày "&amp;DAY(TODAY())&amp;" Tháng "&amp;MONTH(TODAY())&amp;" Năm "&amp;YEAR(TODAY())</f>
        <v>Ngày 22 Tháng 1 Năm 2023</v>
      </c>
      <c r="H6" s="267"/>
    </row>
    <row r="7" spans="1:14" s="144" customFormat="1" ht="24" customHeight="1" x14ac:dyDescent="0.25">
      <c r="A7" s="141" t="s">
        <v>101</v>
      </c>
      <c r="B7" s="141" t="s">
        <v>15</v>
      </c>
      <c r="C7" s="142" t="s">
        <v>0</v>
      </c>
      <c r="D7" s="142" t="s">
        <v>16</v>
      </c>
      <c r="E7" s="146" t="str">
        <f>"Quy cách"&amp;CHAR(10)&amp;"(Kg)"</f>
        <v>Quy cách
(Kg)</v>
      </c>
      <c r="F7" s="142" t="s">
        <v>15</v>
      </c>
      <c r="G7" s="142" t="s">
        <v>17</v>
      </c>
      <c r="H7" s="142" t="s">
        <v>18</v>
      </c>
      <c r="I7" s="143">
        <f>SUBTOTAL(9,I8:I37)</f>
        <v>2.2000000000000002</v>
      </c>
      <c r="L7" s="140"/>
    </row>
    <row r="8" spans="1:14" s="29" customFormat="1" ht="14.25" customHeight="1" x14ac:dyDescent="0.25">
      <c r="A8" s="150">
        <v>7</v>
      </c>
      <c r="B8" s="150">
        <v>1</v>
      </c>
      <c r="C8" s="30">
        <f t="shared" ref="C8:C37" si="0">IF(OR(SUM($C7,$A8&lt;&gt;"")=0,$A8=""),"",SUM($C7,$A8&lt;&gt;""))</f>
        <v>1</v>
      </c>
      <c r="D8" s="147" t="str">
        <f>IFERROR(VLOOKUP($A8,Sheet1!$A$1:$B$80,2,0),"")</f>
        <v>Hải sản sốt cam LC</v>
      </c>
      <c r="E8" s="30">
        <f>IFERROR(VLOOKUP($A8,'Tổng Đơn'!$A$5:$E$52,5,0),"")</f>
        <v>0.5</v>
      </c>
      <c r="F8" s="30">
        <f t="shared" ref="F8:F37" si="1">IF($B8="","",B8)</f>
        <v>1</v>
      </c>
      <c r="G8" s="155">
        <f>IFERROR(VLOOKUP($A8,Sheet1!$A1:$D$80,4,0),"")</f>
        <v>45000</v>
      </c>
      <c r="H8" s="148">
        <f>IF($C7=MAX($C$8:$C$56),SUM($H7:$H$8),IFERROR($G8*$F8,""))</f>
        <v>45000</v>
      </c>
      <c r="I8" s="54">
        <f t="shared" ref="I8:I37" si="2">IF(TYPE($A8)&lt;&gt;1,"",IFERROR(F8*E8,""))</f>
        <v>0.5</v>
      </c>
      <c r="L8" s="32"/>
    </row>
    <row r="9" spans="1:14" s="29" customFormat="1" ht="14.25" customHeight="1" x14ac:dyDescent="0.25">
      <c r="A9" s="150">
        <v>28</v>
      </c>
      <c r="B9" s="150">
        <v>1</v>
      </c>
      <c r="C9" s="30">
        <f t="shared" si="0"/>
        <v>2</v>
      </c>
      <c r="D9" s="147" t="str">
        <f>IFERROR(VLOOKUP($A9,Sheet1!$A$1:$B$80,2,0),"")</f>
        <v>Há cảo Mini</v>
      </c>
      <c r="E9" s="30">
        <f>IFERROR(VLOOKUP($A9,'Tổng Đơn'!$A$5:$E$52,5,0),"")</f>
        <v>0.2</v>
      </c>
      <c r="F9" s="30">
        <f t="shared" si="1"/>
        <v>1</v>
      </c>
      <c r="G9" s="155">
        <f>IF(AND($C9="",$C8&lt;&gt;""),"Tổng Cộng",IFERROR(VLOOKUP($A9,Sheet1!$A$1:$D$80,4,0),""))</f>
        <v>38000</v>
      </c>
      <c r="H9" s="148">
        <f>IF($C8=MAX($C$8:$C$56),SUM($H$8:$H8),IFERROR($G9*$F9,""))</f>
        <v>38000</v>
      </c>
      <c r="I9" s="54">
        <f t="shared" si="2"/>
        <v>0.2</v>
      </c>
      <c r="L9" s="31"/>
    </row>
    <row r="10" spans="1:14" s="29" customFormat="1" ht="14.25" customHeight="1" x14ac:dyDescent="0.25">
      <c r="A10" s="150">
        <v>34</v>
      </c>
      <c r="B10" s="150">
        <v>1</v>
      </c>
      <c r="C10" s="30">
        <f t="shared" si="0"/>
        <v>3</v>
      </c>
      <c r="D10" s="147" t="str">
        <f>IFERROR(VLOOKUP($A10,Sheet1!$A$1:$B$80,2,0),"")</f>
        <v>Cá viên KK</v>
      </c>
      <c r="E10" s="30">
        <f>IFERROR(VLOOKUP($A10,'Tổng Đơn'!$A$5:$E$52,5,0),"")</f>
        <v>0.5</v>
      </c>
      <c r="F10" s="30">
        <f t="shared" si="1"/>
        <v>1</v>
      </c>
      <c r="G10" s="155">
        <f>IF(AND($C10="",$C9&lt;&gt;""),"Tổng Cộng",IFERROR(VLOOKUP($A10,Sheet1!$A$1:$D$80,4,0),""))</f>
        <v>25000</v>
      </c>
      <c r="H10" s="148">
        <f>IF($C9=MAX($C$8:$C$56),SUM($H$8:$H9),IFERROR($G10*$F10,""))</f>
        <v>25000</v>
      </c>
      <c r="I10" s="54">
        <f t="shared" si="2"/>
        <v>0.5</v>
      </c>
      <c r="L10" s="31"/>
    </row>
    <row r="11" spans="1:14" s="29" customFormat="1" ht="14.25" customHeight="1" x14ac:dyDescent="0.25">
      <c r="A11" s="150">
        <v>38</v>
      </c>
      <c r="B11" s="150">
        <v>1</v>
      </c>
      <c r="C11" s="30">
        <f t="shared" si="0"/>
        <v>4</v>
      </c>
      <c r="D11" s="147" t="str">
        <f>IFERROR(VLOOKUP($A11,Sheet1!$A$1:$B$80,2,0),"")</f>
        <v>XX Đỏ KK</v>
      </c>
      <c r="E11" s="30">
        <f>IFERROR(VLOOKUP($A11,'Tổng Đơn'!$A$5:$E$52,5,0),"")</f>
        <v>0.5</v>
      </c>
      <c r="F11" s="30">
        <f t="shared" si="1"/>
        <v>1</v>
      </c>
      <c r="G11" s="155">
        <f>IF(AND($C11="",$C10&lt;&gt;""),"Tổng Cộng",IFERROR(VLOOKUP($A11,Sheet1!$A$1:$D$80,4,0),""))</f>
        <v>26000</v>
      </c>
      <c r="H11" s="148">
        <f>IF($C10=MAX($C$8:$C$56),SUM($H$8:$H10),IFERROR($G11*$F11,""))</f>
        <v>26000</v>
      </c>
      <c r="I11" s="54">
        <f t="shared" si="2"/>
        <v>0.5</v>
      </c>
      <c r="L11" s="31"/>
    </row>
    <row r="12" spans="1:14" s="29" customFormat="1" ht="14.25" customHeight="1" x14ac:dyDescent="0.25">
      <c r="A12" s="150">
        <v>41</v>
      </c>
      <c r="B12" s="150">
        <v>1</v>
      </c>
      <c r="C12" s="30">
        <f t="shared" si="0"/>
        <v>5</v>
      </c>
      <c r="D12" s="147" t="str">
        <f>IFERROR(VLOOKUP($A12,Sheet1!$A$1:$B$80,2,0),"")</f>
        <v>Bánh bao thả lẩu Trứng cá KK</v>
      </c>
      <c r="E12" s="30">
        <f>IFERROR(VLOOKUP($A12,'Tổng Đơn'!$A$5:$E$52,5,0),"")</f>
        <v>0.5</v>
      </c>
      <c r="F12" s="30">
        <f t="shared" si="1"/>
        <v>1</v>
      </c>
      <c r="G12" s="155">
        <f>IF(AND($C12="",$C11&lt;&gt;""),"Tổng Cộng",IFERROR(VLOOKUP($A12,Sheet1!$A$1:$D$80,4,0),""))</f>
        <v>45000</v>
      </c>
      <c r="H12" s="148">
        <f>IF($C11=MAX($C$8:$C$56),SUM($H$8:$H11),IFERROR($G12*$F12,""))</f>
        <v>45000</v>
      </c>
      <c r="I12" s="54">
        <f t="shared" si="2"/>
        <v>0.5</v>
      </c>
      <c r="J12" s="125"/>
      <c r="L12" s="31"/>
      <c r="N12" s="126"/>
    </row>
    <row r="13" spans="1:14" s="29" customFormat="1" ht="14.25" customHeight="1" x14ac:dyDescent="0.25">
      <c r="A13" s="150">
        <v>1</v>
      </c>
      <c r="B13" s="150">
        <v>1</v>
      </c>
      <c r="C13" s="30">
        <f t="shared" si="0"/>
        <v>6</v>
      </c>
      <c r="D13" s="147" t="s">
        <v>312</v>
      </c>
      <c r="E13" s="30" t="s">
        <v>234</v>
      </c>
      <c r="F13" s="30" t="s">
        <v>234</v>
      </c>
      <c r="G13" s="155" t="s">
        <v>234</v>
      </c>
      <c r="H13" s="148">
        <v>1000</v>
      </c>
      <c r="I13" s="54" t="str">
        <f t="shared" si="2"/>
        <v/>
      </c>
      <c r="L13" s="31"/>
    </row>
    <row r="14" spans="1:14" s="29" customFormat="1" ht="14.25" customHeight="1" x14ac:dyDescent="0.25">
      <c r="A14" s="150" t="s">
        <v>310</v>
      </c>
      <c r="B14" s="150"/>
      <c r="C14" s="30" t="str">
        <f t="shared" si="0"/>
        <v/>
      </c>
      <c r="D14" s="147" t="str">
        <f>IFERROR(VLOOKUP($A14,Sheet1!$A$1:$B$80,2,0),"")</f>
        <v/>
      </c>
      <c r="E14" s="30" t="str">
        <f>IFERROR(VLOOKUP($A14,'Tổng Đơn'!$A$5:$E$52,5,0),"")</f>
        <v/>
      </c>
      <c r="F14" s="30" t="str">
        <f t="shared" si="1"/>
        <v/>
      </c>
      <c r="G14" s="155" t="str">
        <f>IF(AND($C14="",$C13&lt;&gt;""),"Tổng Cộng",IFERROR(VLOOKUP($A14,Sheet1!$A$1:$D$80,4,0),""))</f>
        <v>Tổng Cộng</v>
      </c>
      <c r="H14" s="148">
        <f>IF($C13=MAX($C$8:$C$56),SUM($H$8:$H13),IFERROR($G14*$F14,""))</f>
        <v>180000</v>
      </c>
      <c r="I14" s="54" t="str">
        <f t="shared" si="2"/>
        <v/>
      </c>
      <c r="L14" s="31"/>
      <c r="M14" s="132"/>
    </row>
    <row r="15" spans="1:14" s="29" customFormat="1" ht="14.25" customHeight="1" x14ac:dyDescent="0.25">
      <c r="A15" s="150" t="s">
        <v>310</v>
      </c>
      <c r="B15" s="150"/>
      <c r="C15" s="30" t="str">
        <f t="shared" si="0"/>
        <v/>
      </c>
      <c r="D15" s="147" t="str">
        <f>IFERROR(VLOOKUP($A15,Sheet1!$A$1:$B$80,2,0),"")</f>
        <v/>
      </c>
      <c r="E15" s="30" t="str">
        <f>IFERROR(VLOOKUP($A15,'Tổng Đơn'!$A$5:$E$52,5,0),"")</f>
        <v/>
      </c>
      <c r="F15" s="30" t="str">
        <f t="shared" si="1"/>
        <v/>
      </c>
      <c r="G15" s="155" t="str">
        <f>IF(AND($C15="",$C14&lt;&gt;""),"Tổng Cộng",IFERROR(VLOOKUP($A15,Sheet1!$A$1:$D$80,4,0),""))</f>
        <v/>
      </c>
      <c r="H15" s="148" t="str">
        <f>IF($C14=MAX($C$8:$C$56),SUM($H$8:$H14),IFERROR($G15*$F15,""))</f>
        <v/>
      </c>
      <c r="I15" s="54" t="str">
        <f t="shared" si="2"/>
        <v/>
      </c>
      <c r="L15" s="31"/>
    </row>
    <row r="16" spans="1:14" s="29" customFormat="1" ht="14.25" customHeight="1" x14ac:dyDescent="0.25">
      <c r="A16" s="150" t="s">
        <v>310</v>
      </c>
      <c r="B16" s="150"/>
      <c r="C16" s="30" t="str">
        <f t="shared" si="0"/>
        <v/>
      </c>
      <c r="D16" s="147" t="str">
        <f>IFERROR(VLOOKUP($A16,Sheet1!$A$1:$B$80,2,0),"")</f>
        <v/>
      </c>
      <c r="E16" s="30" t="str">
        <f>IFERROR(VLOOKUP($A16,'Tổng Đơn'!$A$5:$E$52,5,0),"")</f>
        <v/>
      </c>
      <c r="F16" s="30" t="str">
        <f t="shared" si="1"/>
        <v/>
      </c>
      <c r="G16" s="155" t="str">
        <f>IF(AND($C16="",$C15&lt;&gt;""),"Tổng Cộng",IFERROR(VLOOKUP($A16,Sheet1!$A$1:$D$80,4,0),""))</f>
        <v/>
      </c>
      <c r="H16" s="148" t="str">
        <f>IF($C15=MAX($C$8:$C$56),SUM($H$8:$H15),IFERROR($G16*$F16,""))</f>
        <v/>
      </c>
      <c r="I16" s="54" t="str">
        <f t="shared" si="2"/>
        <v/>
      </c>
      <c r="L16" s="31"/>
    </row>
    <row r="17" spans="1:12" s="29" customFormat="1" ht="14.25" customHeight="1" x14ac:dyDescent="0.25">
      <c r="A17" s="150" t="s">
        <v>310</v>
      </c>
      <c r="B17" s="150"/>
      <c r="C17" s="30" t="str">
        <f t="shared" si="0"/>
        <v/>
      </c>
      <c r="D17" s="147" t="str">
        <f>IFERROR(VLOOKUP($A17,Sheet1!$A$1:$B$80,2,0),"")</f>
        <v/>
      </c>
      <c r="E17" s="30" t="str">
        <f>IFERROR(VLOOKUP($A17,'Tổng Đơn'!$A$5:$E$52,5,0),"")</f>
        <v/>
      </c>
      <c r="F17" s="30" t="str">
        <f t="shared" si="1"/>
        <v/>
      </c>
      <c r="G17" s="155" t="str">
        <f>IF(AND($C17="",$C16&lt;&gt;""),"Tổng Cộng",IFERROR(VLOOKUP($A17,Sheet1!$A$1:$D$80,4,0),""))</f>
        <v/>
      </c>
      <c r="H17" s="148" t="str">
        <f>IF($C16=MAX($C$8:$C$56),SUM($H$8:$H16),IFERROR($G17*$F17,""))</f>
        <v/>
      </c>
      <c r="I17" s="54" t="str">
        <f t="shared" si="2"/>
        <v/>
      </c>
      <c r="L17" s="31"/>
    </row>
    <row r="18" spans="1:12" s="29" customFormat="1" ht="14.25" customHeight="1" x14ac:dyDescent="0.25">
      <c r="A18" s="150" t="s">
        <v>310</v>
      </c>
      <c r="B18" s="150"/>
      <c r="C18" s="30" t="str">
        <f t="shared" si="0"/>
        <v/>
      </c>
      <c r="D18" s="147" t="str">
        <f>IFERROR(VLOOKUP($A18,Sheet1!$A$1:$B$80,2,0),"")</f>
        <v/>
      </c>
      <c r="E18" s="30" t="str">
        <f>IFERROR(VLOOKUP($A18,'Tổng Đơn'!$A$5:$E$52,5,0),"")</f>
        <v/>
      </c>
      <c r="F18" s="30" t="str">
        <f t="shared" si="1"/>
        <v/>
      </c>
      <c r="G18" s="155" t="str">
        <f>IF(AND($C18="",$C17&lt;&gt;""),"Tổng Cộng",IFERROR(VLOOKUP($A18,Sheet1!$A$1:$D$80,4,0),""))</f>
        <v/>
      </c>
      <c r="H18" s="148" t="str">
        <f>IF($C17=MAX($C$8:$C$56),SUM($H$8:$H17),IFERROR($G18*$F18,""))</f>
        <v/>
      </c>
      <c r="I18" s="54" t="str">
        <f t="shared" si="2"/>
        <v/>
      </c>
      <c r="L18" s="31"/>
    </row>
    <row r="19" spans="1:12" s="29" customFormat="1" ht="14.25" customHeight="1" x14ac:dyDescent="0.25">
      <c r="A19" s="150" t="s">
        <v>310</v>
      </c>
      <c r="B19" s="150"/>
      <c r="C19" s="30" t="str">
        <f t="shared" si="0"/>
        <v/>
      </c>
      <c r="D19" s="147" t="str">
        <f>IFERROR(VLOOKUP($A19,Sheet1!$A$1:$B$80,2,0),"")</f>
        <v/>
      </c>
      <c r="E19" s="30" t="str">
        <f>IFERROR(VLOOKUP($A19,'Tổng Đơn'!$A$5:$E$52,5,0),"")</f>
        <v/>
      </c>
      <c r="F19" s="30" t="str">
        <f t="shared" si="1"/>
        <v/>
      </c>
      <c r="G19" s="155" t="str">
        <f>IF(AND($C19="",$C18&lt;&gt;""),"Tổng Cộng",IFERROR(VLOOKUP($A19,Sheet1!$A$1:$D$80,4,0),""))</f>
        <v/>
      </c>
      <c r="H19" s="148" t="str">
        <f>IF($C18=MAX($C$8:$C$56),SUM($H$8:$H18),IFERROR($G19*$F19,""))</f>
        <v/>
      </c>
      <c r="I19" s="54" t="str">
        <f t="shared" si="2"/>
        <v/>
      </c>
      <c r="L19" s="31"/>
    </row>
    <row r="20" spans="1:12" s="29" customFormat="1" ht="14.25" customHeight="1" x14ac:dyDescent="0.25">
      <c r="A20" s="150" t="s">
        <v>310</v>
      </c>
      <c r="B20" s="150"/>
      <c r="C20" s="30" t="str">
        <f t="shared" si="0"/>
        <v/>
      </c>
      <c r="D20" s="147" t="str">
        <f>IFERROR(VLOOKUP($A20,Sheet1!$A$1:$B$80,2,0),"")</f>
        <v/>
      </c>
      <c r="E20" s="30" t="str">
        <f>IFERROR(VLOOKUP($A20,'Tổng Đơn'!$A$5:$E$52,5,0),"")</f>
        <v/>
      </c>
      <c r="F20" s="30" t="str">
        <f t="shared" si="1"/>
        <v/>
      </c>
      <c r="G20" s="155" t="str">
        <f>IF(AND($C20="",$C19&lt;&gt;""),"Tổng Cộng",IFERROR(VLOOKUP($A20,Sheet1!$A$1:$D$80,4,0),""))</f>
        <v/>
      </c>
      <c r="H20" s="148" t="str">
        <f>IF($C19=MAX($C$8:$C$56),SUM($H$8:$H19),IFERROR($G20*$F20,""))</f>
        <v/>
      </c>
      <c r="I20" s="54" t="str">
        <f t="shared" si="2"/>
        <v/>
      </c>
      <c r="L20" s="31"/>
    </row>
    <row r="21" spans="1:12" s="29" customFormat="1" ht="14.25" customHeight="1" x14ac:dyDescent="0.25">
      <c r="A21" s="150" t="s">
        <v>310</v>
      </c>
      <c r="B21" s="150"/>
      <c r="C21" s="30" t="str">
        <f t="shared" si="0"/>
        <v/>
      </c>
      <c r="D21" s="147" t="str">
        <f>IFERROR(VLOOKUP($A21,Sheet1!$A$1:$B$80,2,0),"")</f>
        <v/>
      </c>
      <c r="E21" s="30" t="str">
        <f>IFERROR(VLOOKUP($A21,'Tổng Đơn'!$A$5:$E$52,5,0),"")</f>
        <v/>
      </c>
      <c r="F21" s="30" t="str">
        <f t="shared" si="1"/>
        <v/>
      </c>
      <c r="G21" s="155" t="str">
        <f>IF(AND($C21="",$C20&lt;&gt;""),"Tổng Cộng",IFERROR(VLOOKUP($A21,Sheet1!$A$1:$D$80,4,0),""))</f>
        <v/>
      </c>
      <c r="H21" s="148" t="str">
        <f>IF($C20=MAX($C$8:$C$56),SUM($H$8:$H20),IFERROR($G21*$F21,""))</f>
        <v/>
      </c>
      <c r="I21" s="54" t="str">
        <f t="shared" si="2"/>
        <v/>
      </c>
      <c r="L21" s="31"/>
    </row>
    <row r="22" spans="1:12" s="29" customFormat="1" ht="14.25" customHeight="1" x14ac:dyDescent="0.25">
      <c r="A22" s="150" t="s">
        <v>310</v>
      </c>
      <c r="B22" s="150"/>
      <c r="C22" s="30" t="str">
        <f t="shared" si="0"/>
        <v/>
      </c>
      <c r="D22" s="147" t="str">
        <f>IFERROR(VLOOKUP($A22,Sheet1!$A$1:$B$80,2,0),"")</f>
        <v/>
      </c>
      <c r="E22" s="30" t="str">
        <f>IFERROR(VLOOKUP($A22,'Tổng Đơn'!$A$5:$E$52,5,0),"")</f>
        <v/>
      </c>
      <c r="F22" s="30" t="str">
        <f t="shared" si="1"/>
        <v/>
      </c>
      <c r="G22" s="155" t="str">
        <f>IF(AND($C22="",$C21&lt;&gt;""),"Tổng Cộng",IFERROR(VLOOKUP($A22,Sheet1!$A$1:$D$80,4,0),""))</f>
        <v/>
      </c>
      <c r="H22" s="148" t="str">
        <f>IF($C21=MAX($C$8:$C$56),SUM($H$8:$H21),IFERROR($G22*$F22,""))</f>
        <v/>
      </c>
      <c r="I22" s="54" t="str">
        <f t="shared" si="2"/>
        <v/>
      </c>
      <c r="L22" s="31"/>
    </row>
    <row r="23" spans="1:12" s="29" customFormat="1" ht="14.25" customHeight="1" x14ac:dyDescent="0.25">
      <c r="A23" s="150" t="s">
        <v>310</v>
      </c>
      <c r="B23" s="150"/>
      <c r="C23" s="30" t="str">
        <f t="shared" si="0"/>
        <v/>
      </c>
      <c r="D23" s="147" t="str">
        <f>IFERROR(VLOOKUP($A23,Sheet1!$A$1:$B$80,2,0),"")</f>
        <v/>
      </c>
      <c r="E23" s="30" t="str">
        <f>IFERROR(VLOOKUP($A23,'Tổng Đơn'!$A$5:$E$52,5,0),"")</f>
        <v/>
      </c>
      <c r="F23" s="30" t="str">
        <f t="shared" si="1"/>
        <v/>
      </c>
      <c r="G23" s="155" t="str">
        <f>IF(AND($C23="",$C22&lt;&gt;""),"Tổng Cộng",IFERROR(VLOOKUP($A23,Sheet1!$A$1:$D$80,4,0),""))</f>
        <v/>
      </c>
      <c r="H23" s="148" t="str">
        <f>IF($C22=MAX($C$8:$C$56),SUM($H$8:$H22),IFERROR($G23*$F23,""))</f>
        <v/>
      </c>
      <c r="I23" s="54" t="str">
        <f t="shared" si="2"/>
        <v/>
      </c>
      <c r="L23" s="31"/>
    </row>
    <row r="24" spans="1:12" s="29" customFormat="1" ht="14.25" customHeight="1" x14ac:dyDescent="0.25">
      <c r="A24" s="150" t="s">
        <v>310</v>
      </c>
      <c r="B24" s="150"/>
      <c r="C24" s="30" t="str">
        <f t="shared" si="0"/>
        <v/>
      </c>
      <c r="D24" s="147" t="str">
        <f>IFERROR(VLOOKUP($A24,Sheet1!$A$1:$B$80,2,0),"")</f>
        <v/>
      </c>
      <c r="E24" s="30" t="str">
        <f>IFERROR(VLOOKUP($A24,'Tổng Đơn'!$A$5:$E$52,5,0),"")</f>
        <v/>
      </c>
      <c r="F24" s="30" t="str">
        <f t="shared" si="1"/>
        <v/>
      </c>
      <c r="G24" s="155" t="str">
        <f>IF(AND($C24="",$C23&lt;&gt;""),"Tổng Cộng",IFERROR(VLOOKUP($A24,Sheet1!$A$1:$D$80,4,0),""))</f>
        <v/>
      </c>
      <c r="H24" s="148" t="str">
        <f>IF($C23=MAX($C$8:$C$56),SUM($H$8:$H23),IFERROR($G24*$F24,""))</f>
        <v/>
      </c>
      <c r="I24" s="54" t="str">
        <f t="shared" si="2"/>
        <v/>
      </c>
      <c r="L24" s="31"/>
    </row>
    <row r="25" spans="1:12" s="29" customFormat="1" ht="14.25" customHeight="1" x14ac:dyDescent="0.25">
      <c r="A25" s="150" t="s">
        <v>310</v>
      </c>
      <c r="B25" s="150"/>
      <c r="C25" s="30" t="str">
        <f t="shared" si="0"/>
        <v/>
      </c>
      <c r="D25" s="147" t="str">
        <f>IFERROR(VLOOKUP($A25,Sheet1!$A$1:$B$80,2,0),"")</f>
        <v/>
      </c>
      <c r="E25" s="30" t="str">
        <f>IFERROR(VLOOKUP($A25,'Tổng Đơn'!$A$5:$E$52,5,0),"")</f>
        <v/>
      </c>
      <c r="F25" s="30" t="str">
        <f t="shared" si="1"/>
        <v/>
      </c>
      <c r="G25" s="155" t="str">
        <f>IF(AND($C25="",$C24&lt;&gt;""),"Tổng Cộng",IFERROR(VLOOKUP($A25,Sheet1!$A$1:$D$80,4,0),""))</f>
        <v/>
      </c>
      <c r="H25" s="148" t="str">
        <f>IF($C24=MAX($C$8:$C$56),SUM($H$8:$H24),IFERROR($G25*$F25,""))</f>
        <v/>
      </c>
      <c r="I25" s="54" t="str">
        <f t="shared" si="2"/>
        <v/>
      </c>
      <c r="L25" s="31"/>
    </row>
    <row r="26" spans="1:12" s="29" customFormat="1" ht="14.25" customHeight="1" x14ac:dyDescent="0.25">
      <c r="A26" s="150" t="s">
        <v>310</v>
      </c>
      <c r="B26" s="150"/>
      <c r="C26" s="30" t="str">
        <f t="shared" si="0"/>
        <v/>
      </c>
      <c r="D26" s="147" t="str">
        <f>IFERROR(VLOOKUP($A26,Sheet1!$A$1:$B$80,2,0),"")</f>
        <v/>
      </c>
      <c r="E26" s="30" t="str">
        <f>IFERROR(VLOOKUP($A26,'Tổng Đơn'!$A$5:$E$52,5,0),"")</f>
        <v/>
      </c>
      <c r="F26" s="30" t="str">
        <f t="shared" si="1"/>
        <v/>
      </c>
      <c r="G26" s="155" t="str">
        <f>IF(AND($C26="",$C25&lt;&gt;""),"Tổng Cộng",IFERROR(VLOOKUP($A26,Sheet1!$A$1:$D$80,4,0),""))</f>
        <v/>
      </c>
      <c r="H26" s="148" t="str">
        <f>IF($C25=MAX($C$8:$C$56),SUM($H$8:$H25),IFERROR($G26*$F26,""))</f>
        <v/>
      </c>
      <c r="I26" s="54" t="str">
        <f t="shared" si="2"/>
        <v/>
      </c>
      <c r="L26" s="31"/>
    </row>
    <row r="27" spans="1:12" s="29" customFormat="1" ht="14.25" customHeight="1" x14ac:dyDescent="0.25">
      <c r="A27" s="150" t="s">
        <v>310</v>
      </c>
      <c r="B27" s="150"/>
      <c r="C27" s="30" t="str">
        <f t="shared" si="0"/>
        <v/>
      </c>
      <c r="D27" s="147" t="str">
        <f>IFERROR(VLOOKUP($A27,Sheet1!$A$1:$B$80,2,0),"")</f>
        <v/>
      </c>
      <c r="E27" s="30" t="str">
        <f>IFERROR(VLOOKUP($A27,'Tổng Đơn'!$A$5:$E$52,5,0),"")</f>
        <v/>
      </c>
      <c r="F27" s="30" t="str">
        <f t="shared" si="1"/>
        <v/>
      </c>
      <c r="G27" s="155" t="str">
        <f>IF(AND($C27="",$C26&lt;&gt;""),"Tổng Cộng",IFERROR(VLOOKUP($A27,Sheet1!$A$1:$D$80,4,0),""))</f>
        <v/>
      </c>
      <c r="H27" s="148" t="str">
        <f>IF($C26=MAX($C$8:$C$56),SUM($H$8:$H26),IFERROR($G27*$F27,""))</f>
        <v/>
      </c>
      <c r="I27" s="54" t="str">
        <f t="shared" si="2"/>
        <v/>
      </c>
      <c r="L27" s="31"/>
    </row>
    <row r="28" spans="1:12" s="29" customFormat="1" ht="14.25" customHeight="1" x14ac:dyDescent="0.25">
      <c r="A28" s="150" t="s">
        <v>310</v>
      </c>
      <c r="B28" s="150"/>
      <c r="C28" s="30" t="str">
        <f t="shared" si="0"/>
        <v/>
      </c>
      <c r="D28" s="147" t="str">
        <f>IFERROR(VLOOKUP($A28,Sheet1!$A$1:$B$80,2,0),"")</f>
        <v/>
      </c>
      <c r="E28" s="30" t="str">
        <f>IFERROR(VLOOKUP($A28,'Tổng Đơn'!$A$5:$E$52,5,0),"")</f>
        <v/>
      </c>
      <c r="F28" s="30" t="str">
        <f t="shared" si="1"/>
        <v/>
      </c>
      <c r="G28" s="155" t="str">
        <f>IF(AND($C28="",$C27&lt;&gt;""),"Tổng Cộng",IFERROR(VLOOKUP($A28,Sheet1!$A$1:$D$80,4,0),""))</f>
        <v/>
      </c>
      <c r="H28" s="148" t="str">
        <f>IF($C27=MAX($C$8:$C$56),SUM($H$8:$H27),IFERROR($G28*$F28,""))</f>
        <v/>
      </c>
      <c r="I28" s="54" t="str">
        <f t="shared" si="2"/>
        <v/>
      </c>
      <c r="L28" s="31"/>
    </row>
    <row r="29" spans="1:12" s="29" customFormat="1" ht="14.25" customHeight="1" x14ac:dyDescent="0.25">
      <c r="A29" s="150" t="s">
        <v>310</v>
      </c>
      <c r="B29" s="150"/>
      <c r="C29" s="30" t="str">
        <f t="shared" si="0"/>
        <v/>
      </c>
      <c r="D29" s="147" t="str">
        <f>IFERROR(VLOOKUP($A29,Sheet1!$A$1:$B$80,2,0),"")</f>
        <v/>
      </c>
      <c r="E29" s="30" t="str">
        <f>IFERROR(VLOOKUP($A29,'Tổng Đơn'!$A$5:$E$52,5,0),"")</f>
        <v/>
      </c>
      <c r="F29" s="30" t="str">
        <f t="shared" si="1"/>
        <v/>
      </c>
      <c r="G29" s="155" t="str">
        <f>IF(AND($C29="",$C28&lt;&gt;""),"Tổng Cộng",IFERROR(VLOOKUP($A29,Sheet1!$A$1:$D$80,4,0),""))</f>
        <v/>
      </c>
      <c r="H29" s="148" t="str">
        <f>IF($C28=MAX($C$8:$C$56),SUM($H$8:$H28),IFERROR($G29*$F29,""))</f>
        <v/>
      </c>
      <c r="I29" s="54" t="str">
        <f t="shared" si="2"/>
        <v/>
      </c>
      <c r="L29" s="31"/>
    </row>
    <row r="30" spans="1:12" s="29" customFormat="1" ht="14.25" customHeight="1" x14ac:dyDescent="0.25">
      <c r="A30" s="150" t="s">
        <v>310</v>
      </c>
      <c r="B30" s="150"/>
      <c r="C30" s="30" t="str">
        <f t="shared" si="0"/>
        <v/>
      </c>
      <c r="D30" s="147" t="str">
        <f>IFERROR(VLOOKUP($A30,Sheet1!$A$1:$B$80,2,0),"")</f>
        <v/>
      </c>
      <c r="E30" s="30" t="str">
        <f>IFERROR(VLOOKUP($A30,'Tổng Đơn'!$A$5:$E$52,5,0),"")</f>
        <v/>
      </c>
      <c r="F30" s="30" t="str">
        <f t="shared" si="1"/>
        <v/>
      </c>
      <c r="G30" s="155" t="str">
        <f>IF(AND($C30="",$C29&lt;&gt;""),"Tổng Cộng",IFERROR(VLOOKUP($A30,Sheet1!$A$1:$D$80,4,0),""))</f>
        <v/>
      </c>
      <c r="H30" s="148" t="str">
        <f>IF($C29=MAX($C$8:$C$56),SUM($H$8:$H29),IFERROR($G30*$F30,""))</f>
        <v/>
      </c>
      <c r="I30" s="54" t="str">
        <f t="shared" si="2"/>
        <v/>
      </c>
      <c r="L30" s="31"/>
    </row>
    <row r="31" spans="1:12" s="29" customFormat="1" ht="14.25" customHeight="1" x14ac:dyDescent="0.25">
      <c r="A31" s="150" t="s">
        <v>310</v>
      </c>
      <c r="B31" s="150"/>
      <c r="C31" s="30" t="str">
        <f t="shared" si="0"/>
        <v/>
      </c>
      <c r="D31" s="147" t="str">
        <f>IFERROR(VLOOKUP($A31,Sheet1!$A$1:$B$80,2,0),"")</f>
        <v/>
      </c>
      <c r="E31" s="30" t="str">
        <f>IFERROR(VLOOKUP($A31,'Tổng Đơn'!$A$5:$E$52,5,0),"")</f>
        <v/>
      </c>
      <c r="F31" s="30" t="str">
        <f t="shared" si="1"/>
        <v/>
      </c>
      <c r="G31" s="155" t="str">
        <f>IF(AND($C31="",$C30&lt;&gt;""),"Tổng Cộng",IFERROR(VLOOKUP($A31,Sheet1!$A$1:$D$80,4,0),""))</f>
        <v/>
      </c>
      <c r="H31" s="148" t="str">
        <f>IF($C30=MAX($C$8:$C$56),SUM($H$8:$H30),IFERROR($G31*$F31,""))</f>
        <v/>
      </c>
      <c r="I31" s="54" t="str">
        <f t="shared" si="2"/>
        <v/>
      </c>
      <c r="L31" s="31"/>
    </row>
    <row r="32" spans="1:12" s="29" customFormat="1" ht="14.25" customHeight="1" x14ac:dyDescent="0.25">
      <c r="A32" s="150" t="s">
        <v>310</v>
      </c>
      <c r="B32" s="150"/>
      <c r="C32" s="30" t="str">
        <f t="shared" si="0"/>
        <v/>
      </c>
      <c r="D32" s="147" t="str">
        <f>IFERROR(VLOOKUP($A32,Sheet1!$A$1:$B$80,2,0),"")</f>
        <v/>
      </c>
      <c r="E32" s="30" t="str">
        <f>IFERROR(VLOOKUP($A32,'Tổng Đơn'!$A$5:$E$52,5,0),"")</f>
        <v/>
      </c>
      <c r="F32" s="30" t="str">
        <f t="shared" si="1"/>
        <v/>
      </c>
      <c r="G32" s="155" t="str">
        <f>IF(AND($C32="",$C31&lt;&gt;""),"Tổng Cộng",IFERROR(VLOOKUP($A32,Sheet1!$A$1:$D$80,4,0),""))</f>
        <v/>
      </c>
      <c r="H32" s="148" t="str">
        <f>IF($C31=MAX($C$8:$C$56),SUM($H$8:$H31),IFERROR($G32*$F32,""))</f>
        <v/>
      </c>
      <c r="I32" s="54" t="str">
        <f t="shared" si="2"/>
        <v/>
      </c>
      <c r="L32" s="31"/>
    </row>
    <row r="33" spans="1:12" s="29" customFormat="1" ht="14.25" customHeight="1" x14ac:dyDescent="0.25">
      <c r="A33" s="150" t="s">
        <v>310</v>
      </c>
      <c r="B33" s="150"/>
      <c r="C33" s="30" t="str">
        <f t="shared" si="0"/>
        <v/>
      </c>
      <c r="D33" s="147" t="str">
        <f>IFERROR(VLOOKUP($A33,Sheet1!$A$1:$B$80,2,0),"")</f>
        <v/>
      </c>
      <c r="E33" s="30" t="str">
        <f>IFERROR(VLOOKUP($A33,'Tổng Đơn'!$A$5:$E$52,5,0),"")</f>
        <v/>
      </c>
      <c r="F33" s="30" t="str">
        <f t="shared" si="1"/>
        <v/>
      </c>
      <c r="G33" s="155" t="str">
        <f>IF(AND($C33="",$C32&lt;&gt;""),"Tổng Cộng",IFERROR(VLOOKUP($A33,Sheet1!$A$1:$D$80,4,0),""))</f>
        <v/>
      </c>
      <c r="H33" s="148" t="str">
        <f>IF($C32=MAX($C$8:$C$56),SUM($H$8:$H32),IFERROR($G33*$F33,""))</f>
        <v/>
      </c>
      <c r="I33" s="54" t="str">
        <f t="shared" si="2"/>
        <v/>
      </c>
      <c r="L33" s="31"/>
    </row>
    <row r="34" spans="1:12" s="29" customFormat="1" ht="14.25" customHeight="1" x14ac:dyDescent="0.25">
      <c r="A34" s="150" t="s">
        <v>310</v>
      </c>
      <c r="B34" s="150"/>
      <c r="C34" s="30" t="str">
        <f t="shared" si="0"/>
        <v/>
      </c>
      <c r="D34" s="147" t="str">
        <f>IFERROR(VLOOKUP($A34,Sheet1!$A$1:$B$80,2,0),"")</f>
        <v/>
      </c>
      <c r="E34" s="30" t="str">
        <f>IFERROR(VLOOKUP($A34,'Tổng Đơn'!$A$5:$E$52,5,0),"")</f>
        <v/>
      </c>
      <c r="F34" s="30" t="str">
        <f t="shared" si="1"/>
        <v/>
      </c>
      <c r="G34" s="155" t="str">
        <f>IF(AND($C34="",$C33&lt;&gt;""),"Tổng Cộng",IFERROR(VLOOKUP($A34,Sheet1!$A$1:$D$80,4,0),""))</f>
        <v/>
      </c>
      <c r="H34" s="148" t="str">
        <f>IF($C33=MAX($C$8:$C$56),SUM($H$8:$H33),IFERROR($G34*$F34,""))</f>
        <v/>
      </c>
      <c r="I34" s="54" t="str">
        <f t="shared" si="2"/>
        <v/>
      </c>
      <c r="L34" s="31"/>
    </row>
    <row r="35" spans="1:12" s="29" customFormat="1" ht="14.25" customHeight="1" x14ac:dyDescent="0.25">
      <c r="A35" s="150" t="s">
        <v>310</v>
      </c>
      <c r="B35" s="150"/>
      <c r="C35" s="30" t="str">
        <f t="shared" si="0"/>
        <v/>
      </c>
      <c r="D35" s="147" t="str">
        <f>IFERROR(VLOOKUP($A35,Sheet1!$A$1:$B$80,2,0),"")</f>
        <v/>
      </c>
      <c r="E35" s="30" t="str">
        <f>IFERROR(VLOOKUP($A35,'Tổng Đơn'!$A$5:$E$52,5,0),"")</f>
        <v/>
      </c>
      <c r="F35" s="30" t="str">
        <f t="shared" si="1"/>
        <v/>
      </c>
      <c r="G35" s="155" t="str">
        <f>IF(AND($C35="",$C34&lt;&gt;""),"Tổng Cộng",IFERROR(VLOOKUP($A35,Sheet1!$A$1:$D$80,4,0),""))</f>
        <v/>
      </c>
      <c r="H35" s="148" t="str">
        <f>IF($C34=MAX($C$8:$C$56),SUM($H$8:$H34),IFERROR($G35*$F35,""))</f>
        <v/>
      </c>
      <c r="I35" s="54" t="str">
        <f t="shared" si="2"/>
        <v/>
      </c>
      <c r="L35" s="31"/>
    </row>
    <row r="36" spans="1:12" s="29" customFormat="1" ht="14.25" customHeight="1" x14ac:dyDescent="0.25">
      <c r="A36" s="150" t="s">
        <v>310</v>
      </c>
      <c r="B36" s="150"/>
      <c r="C36" s="30" t="str">
        <f t="shared" si="0"/>
        <v/>
      </c>
      <c r="D36" s="147" t="str">
        <f>IFERROR(VLOOKUP($A36,Sheet1!$A$1:$B$80,2,0),"")</f>
        <v/>
      </c>
      <c r="E36" s="30" t="str">
        <f>IFERROR(VLOOKUP($A36,'Tổng Đơn'!$A$5:$E$52,5,0),"")</f>
        <v/>
      </c>
      <c r="F36" s="30" t="str">
        <f t="shared" si="1"/>
        <v/>
      </c>
      <c r="G36" s="155" t="str">
        <f>IF(AND($C36="",$C35&lt;&gt;""),"Tổng Cộng",IFERROR(VLOOKUP($A36,Sheet1!$A$1:$D$80,4,0),""))</f>
        <v/>
      </c>
      <c r="H36" s="148" t="str">
        <f>IF($C35=MAX($C$8:$C$56),SUM($H$8:$H35),IFERROR($G36*$F36,""))</f>
        <v/>
      </c>
      <c r="I36" s="54" t="str">
        <f t="shared" si="2"/>
        <v/>
      </c>
      <c r="L36" s="31"/>
    </row>
    <row r="37" spans="1:12" s="29" customFormat="1" ht="14.25" customHeight="1" x14ac:dyDescent="0.25">
      <c r="A37" s="150" t="s">
        <v>310</v>
      </c>
      <c r="B37" s="150"/>
      <c r="C37" s="30" t="str">
        <f t="shared" si="0"/>
        <v/>
      </c>
      <c r="D37" s="147" t="str">
        <f>IFERROR(VLOOKUP($A37,Sheet1!$A$1:$B$80,2,0),"")</f>
        <v/>
      </c>
      <c r="E37" s="30" t="str">
        <f>IFERROR(VLOOKUP($A37,'Tổng Đơn'!$A$5:$E$52,5,0),"")</f>
        <v/>
      </c>
      <c r="F37" s="30" t="str">
        <f t="shared" si="1"/>
        <v/>
      </c>
      <c r="G37" s="155" t="str">
        <f>IF(AND($C37="",$C36&lt;&gt;""),"Tổng Cộng",IFERROR(VLOOKUP($A37,Sheet1!$A$1:$D$80,4,0),""))</f>
        <v/>
      </c>
      <c r="H37" s="148" t="str">
        <f>IF($C36=MAX($C$8:$C$56),SUM($H$8:$H36),IFERROR($G37*$F37,""))</f>
        <v/>
      </c>
      <c r="I37" s="54" t="str">
        <f t="shared" si="2"/>
        <v/>
      </c>
      <c r="L37" s="31"/>
    </row>
    <row r="38" spans="1:12" s="29" customFormat="1" ht="14.25" customHeight="1" x14ac:dyDescent="0.25">
      <c r="A38" s="150"/>
      <c r="B38" s="150"/>
      <c r="C38" s="33"/>
      <c r="D38" s="34"/>
      <c r="E38" s="52"/>
      <c r="F38" s="30"/>
      <c r="G38" s="156" t="str">
        <f>IF(AND($C38="",$C37&lt;&gt;""),"Tổng Cộng",IFERROR(VLOOKUP($A38,Sheet1!$A$1:$D$80,4,0),""))</f>
        <v/>
      </c>
      <c r="H38" s="35" t="str">
        <f>IF($C37=MAX($C$8:$C$56),SUM($H$8:$H37),IFERROR($G38*$F38,""))</f>
        <v/>
      </c>
      <c r="I38" s="54"/>
      <c r="L38" s="31"/>
    </row>
    <row r="39" spans="1:12" ht="15" customHeight="1" x14ac:dyDescent="0.25">
      <c r="F39" s="36"/>
      <c r="G39" s="139"/>
      <c r="H39" s="37"/>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C38:E38 D23:E37 F23:H38">
    <cfRule type="expression" dxfId="455" priority="22">
      <formula>$C22=MAX($C$8:$C$37)</formula>
    </cfRule>
  </conditionalFormatting>
  <conditionalFormatting sqref="C23:C37">
    <cfRule type="expression" dxfId="454" priority="21">
      <formula>$C22=MAX($C$8:$C$37)</formula>
    </cfRule>
  </conditionalFormatting>
  <conditionalFormatting sqref="E23:E38">
    <cfRule type="expression" dxfId="453" priority="23">
      <formula>AND($A23="",$F23&lt;&gt;"")</formula>
    </cfRule>
  </conditionalFormatting>
  <conditionalFormatting sqref="F23:F38">
    <cfRule type="expression" dxfId="452" priority="24">
      <formula>AND($F23="",$A23&lt;&gt;"")</formula>
    </cfRule>
  </conditionalFormatting>
  <conditionalFormatting sqref="D20:H22">
    <cfRule type="expression" dxfId="451" priority="18">
      <formula>$C19=MAX($C$8:$C$37)</formula>
    </cfRule>
  </conditionalFormatting>
  <conditionalFormatting sqref="C20:C22">
    <cfRule type="expression" dxfId="450" priority="17">
      <formula>$C19=MAX($C$8:$C$37)</formula>
    </cfRule>
  </conditionalFormatting>
  <conditionalFormatting sqref="E20:E22">
    <cfRule type="expression" dxfId="449" priority="19">
      <formula>AND($A20="",$F20&lt;&gt;"")</formula>
    </cfRule>
  </conditionalFormatting>
  <conditionalFormatting sqref="F20:F22">
    <cfRule type="expression" dxfId="448" priority="20">
      <formula>AND($F20="",$A20&lt;&gt;"")</formula>
    </cfRule>
  </conditionalFormatting>
  <conditionalFormatting sqref="D15:H19 D12:F14 H12:H14">
    <cfRule type="expression" dxfId="447" priority="14">
      <formula>$C11=MAX($C$8:$C$37)</formula>
    </cfRule>
  </conditionalFormatting>
  <conditionalFormatting sqref="C12:C19">
    <cfRule type="expression" dxfId="446" priority="13">
      <formula>$C11=MAX($C$8:$C$37)</formula>
    </cfRule>
  </conditionalFormatting>
  <conditionalFormatting sqref="E12:E19">
    <cfRule type="expression" dxfId="445" priority="15">
      <formula>AND($A12="",$F12&lt;&gt;"")</formula>
    </cfRule>
  </conditionalFormatting>
  <conditionalFormatting sqref="F12:F19">
    <cfRule type="expression" dxfId="444" priority="16">
      <formula>AND($F12="",$A12&lt;&gt;"")</formula>
    </cfRule>
  </conditionalFormatting>
  <conditionalFormatting sqref="G12:G14">
    <cfRule type="expression" dxfId="443" priority="12">
      <formula>$C11=MAX($C$8:$C$37)</formula>
    </cfRule>
  </conditionalFormatting>
  <conditionalFormatting sqref="D9:F11 H9:H11">
    <cfRule type="expression" dxfId="442" priority="9">
      <formula>$C8=MAX($C$8:$C$37)</formula>
    </cfRule>
  </conditionalFormatting>
  <conditionalFormatting sqref="C9:C11">
    <cfRule type="expression" dxfId="441" priority="8">
      <formula>$C8=MAX($C$8:$C$37)</formula>
    </cfRule>
  </conditionalFormatting>
  <conditionalFormatting sqref="E9:E11">
    <cfRule type="expression" dxfId="440" priority="10">
      <formula>AND($A9="",$F9&lt;&gt;"")</formula>
    </cfRule>
  </conditionalFormatting>
  <conditionalFormatting sqref="F9:F11">
    <cfRule type="expression" dxfId="439" priority="11">
      <formula>AND($F9="",$A9&lt;&gt;"")</formula>
    </cfRule>
  </conditionalFormatting>
  <conditionalFormatting sqref="D8:F8">
    <cfRule type="expression" dxfId="438" priority="5">
      <formula>$C7=MAX($C$8:$C$37)</formula>
    </cfRule>
  </conditionalFormatting>
  <conditionalFormatting sqref="C8">
    <cfRule type="expression" dxfId="437" priority="4">
      <formula>$C7=MAX($C$8:$C$37)</formula>
    </cfRule>
  </conditionalFormatting>
  <conditionalFormatting sqref="E8">
    <cfRule type="expression" dxfId="436" priority="6">
      <formula>AND($A8="",$F8&lt;&gt;"")</formula>
    </cfRule>
  </conditionalFormatting>
  <conditionalFormatting sqref="F8">
    <cfRule type="expression" dxfId="435" priority="7">
      <formula>AND($F8="",$A8&lt;&gt;"")</formula>
    </cfRule>
  </conditionalFormatting>
  <conditionalFormatting sqref="H8">
    <cfRule type="expression" dxfId="434" priority="3">
      <formula>$C7=MAX($C$8:$C$37)</formula>
    </cfRule>
  </conditionalFormatting>
  <conditionalFormatting sqref="G9:G11">
    <cfRule type="expression" dxfId="433" priority="2">
      <formula>$C8=MAX($C$8:$C$37)</formula>
    </cfRule>
  </conditionalFormatting>
  <conditionalFormatting sqref="G8">
    <cfRule type="expression" dxfId="432" priority="1">
      <formula>$C7=MAX($C$8:$C$37)</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1548289" r:id="rId4" name="Button 1">
              <controlPr defaultSize="0" print="0" autoFill="0" autoPict="0" macro="[0]!Macro4">
                <anchor moveWithCells="1" sizeWithCells="1">
                  <from>
                    <xdr:col>0</xdr:col>
                    <xdr:colOff>0</xdr:colOff>
                    <xdr:row>0</xdr:row>
                    <xdr:rowOff>0</xdr:rowOff>
                  </from>
                  <to>
                    <xdr:col>1</xdr:col>
                    <xdr:colOff>769620</xdr:colOff>
                    <xdr:row>7</xdr:row>
                    <xdr:rowOff>0</xdr:rowOff>
                  </to>
                </anchor>
              </controlPr>
            </control>
          </mc:Choice>
        </mc:AlternateContent>
      </controls>
    </mc:Choice>
  </mc:AlternateContent>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03E6B52-6955-46F2-90CD-B8046E78CE4D}">
  <sheetPr codeName="Sheet51">
    <tabColor theme="1"/>
    <pageSetUpPr fitToPage="1"/>
  </sheetPr>
  <dimension ref="A1:N53"/>
  <sheetViews>
    <sheetView zoomScaleNormal="100" workbookViewId="0">
      <pane ySplit="7" topLeftCell="A8" activePane="bottomLeft" state="frozen"/>
      <selection activeCell="Q2" sqref="Q2"/>
      <selection pane="bottomLeft" activeCell="H10" sqref="H10"/>
    </sheetView>
  </sheetViews>
  <sheetFormatPr defaultColWidth="9.09765625" defaultRowHeight="13.8" x14ac:dyDescent="0.25"/>
  <cols>
    <col min="1" max="1" width="11.69921875" style="14" customWidth="1"/>
    <col min="2" max="2" width="11.296875" style="14" customWidth="1"/>
    <col min="3" max="3" width="9.09765625" style="14"/>
    <col min="4" max="4" width="38.3984375" style="14" bestFit="1" customWidth="1"/>
    <col min="5" max="5" width="12.296875" style="53" bestFit="1" customWidth="1"/>
    <col min="6" max="6" width="11" style="14" customWidth="1"/>
    <col min="7" max="7" width="17.8984375" style="14" customWidth="1"/>
    <col min="8" max="8" width="17.8984375" style="15" customWidth="1"/>
    <col min="9" max="9" width="21.8984375" style="14" customWidth="1"/>
    <col min="10" max="10" width="10.09765625" style="14" customWidth="1"/>
    <col min="11" max="11" width="9.09765625" style="14"/>
    <col min="12" max="12" width="11.69921875" style="14" customWidth="1"/>
    <col min="13" max="14" width="10.09765625" style="14" bestFit="1" customWidth="1"/>
    <col min="15" max="16384" width="9.09765625" style="14"/>
  </cols>
  <sheetData>
    <row r="1" spans="1:14" ht="15.75" customHeight="1" x14ac:dyDescent="0.25">
      <c r="C1" s="268" t="s">
        <v>164</v>
      </c>
      <c r="D1" s="268"/>
      <c r="E1" s="268"/>
      <c r="F1" s="268"/>
      <c r="G1" s="268"/>
      <c r="H1" s="268"/>
    </row>
    <row r="2" spans="1:14" ht="15.75" customHeight="1" x14ac:dyDescent="0.25">
      <c r="C2" s="268"/>
      <c r="D2" s="268"/>
      <c r="E2" s="268"/>
      <c r="F2" s="268"/>
      <c r="G2" s="268"/>
      <c r="H2" s="268"/>
    </row>
    <row r="3" spans="1:14" ht="15" customHeight="1" x14ac:dyDescent="0.25">
      <c r="C3" s="269" t="s">
        <v>166</v>
      </c>
      <c r="D3" s="269"/>
      <c r="E3" s="269"/>
      <c r="F3" s="270" t="s">
        <v>168</v>
      </c>
      <c r="G3" s="270"/>
      <c r="H3" s="270"/>
    </row>
    <row r="4" spans="1:14" x14ac:dyDescent="0.25">
      <c r="C4" s="269" t="s">
        <v>167</v>
      </c>
      <c r="D4" s="269"/>
      <c r="E4" s="269"/>
      <c r="F4" s="271" t="s">
        <v>169</v>
      </c>
      <c r="G4" s="271"/>
      <c r="H4" s="271"/>
    </row>
    <row r="5" spans="1:14" s="140" customFormat="1" ht="21" customHeight="1" x14ac:dyDescent="0.25">
      <c r="C5" s="272" t="s">
        <v>165</v>
      </c>
      <c r="D5" s="272"/>
      <c r="E5" s="272"/>
      <c r="F5" s="272"/>
      <c r="G5" s="272"/>
      <c r="H5" s="272"/>
    </row>
    <row r="6" spans="1:14" s="140" customFormat="1" ht="16.5" customHeight="1" x14ac:dyDescent="0.25">
      <c r="C6" s="149" t="s">
        <v>170</v>
      </c>
      <c r="D6" s="152" t="s">
        <v>252</v>
      </c>
      <c r="E6" s="145"/>
      <c r="F6" s="145"/>
      <c r="G6" s="267" t="str">
        <f ca="1">"Ngày "&amp;DAY(TODAY())&amp;" Tháng "&amp;MONTH(TODAY())&amp;" Năm "&amp;YEAR(TODAY())</f>
        <v>Ngày 22 Tháng 1 Năm 2023</v>
      </c>
      <c r="H6" s="267"/>
    </row>
    <row r="7" spans="1:14" s="144" customFormat="1" ht="24" customHeight="1" x14ac:dyDescent="0.25">
      <c r="A7" s="141" t="s">
        <v>101</v>
      </c>
      <c r="B7" s="141" t="s">
        <v>15</v>
      </c>
      <c r="C7" s="142" t="s">
        <v>0</v>
      </c>
      <c r="D7" s="142" t="s">
        <v>16</v>
      </c>
      <c r="E7" s="146" t="str">
        <f>"Quy cách"&amp;CHAR(10)&amp;"(Kg)"</f>
        <v>Quy cách
(Kg)</v>
      </c>
      <c r="F7" s="142" t="s">
        <v>15</v>
      </c>
      <c r="G7" s="142" t="s">
        <v>17</v>
      </c>
      <c r="H7" s="142" t="s">
        <v>18</v>
      </c>
      <c r="I7" s="143">
        <f>SUBTOTAL(9,I8:I37)</f>
        <v>5.5</v>
      </c>
      <c r="L7" s="140"/>
    </row>
    <row r="8" spans="1:14" s="29" customFormat="1" ht="14.25" customHeight="1" x14ac:dyDescent="0.25">
      <c r="A8" s="150">
        <v>35</v>
      </c>
      <c r="B8" s="150">
        <v>11</v>
      </c>
      <c r="C8" s="30">
        <f t="shared" ref="C8:C37" si="0">IF(OR(SUM($C7,$A8&lt;&gt;"")=0,$A8=""),"",SUM($C7,$A8&lt;&gt;""))</f>
        <v>1</v>
      </c>
      <c r="D8" s="147" t="str">
        <f>IFERROR(VLOOKUP($A8,Sheet1!$A$1:$B$80,2,0),"")</f>
        <v>Cá viên rau củ KK</v>
      </c>
      <c r="E8" s="30">
        <f>IFERROR(VLOOKUP($A8,'Tổng Đơn'!$A$5:$E$52,5,0),"")</f>
        <v>0.5</v>
      </c>
      <c r="F8" s="30">
        <f t="shared" ref="F8:F37" si="1">IF($B8="","",B8)</f>
        <v>11</v>
      </c>
      <c r="G8" s="155">
        <f>IFERROR(VLOOKUP($A8,Sheet1!$A1:$D$80,4,0),"")</f>
        <v>28000</v>
      </c>
      <c r="H8" s="148">
        <f>IF($C7=MAX($C$8:$C$56),SUM($H7:$H$8),IFERROR($G8*$F8,""))</f>
        <v>308000</v>
      </c>
      <c r="I8" s="54">
        <f t="shared" ref="I8:I37" si="2">IF(TYPE($A8)&lt;&gt;1,"",IFERROR(F8*E8,""))</f>
        <v>5.5</v>
      </c>
      <c r="L8" s="32"/>
    </row>
    <row r="9" spans="1:14" s="29" customFormat="1" ht="14.25" customHeight="1" x14ac:dyDescent="0.25">
      <c r="A9" s="150">
        <v>1</v>
      </c>
      <c r="B9" s="150">
        <v>1</v>
      </c>
      <c r="C9" s="30">
        <f t="shared" si="0"/>
        <v>2</v>
      </c>
      <c r="D9" s="147" t="s">
        <v>312</v>
      </c>
      <c r="E9" s="30" t="s">
        <v>234</v>
      </c>
      <c r="F9" s="30" t="s">
        <v>234</v>
      </c>
      <c r="G9" s="155" t="s">
        <v>234</v>
      </c>
      <c r="H9" s="148">
        <f>-5.5*8000</f>
        <v>-44000</v>
      </c>
      <c r="I9" s="54" t="str">
        <f t="shared" si="2"/>
        <v/>
      </c>
      <c r="L9" s="31"/>
    </row>
    <row r="10" spans="1:14" s="29" customFormat="1" ht="14.25" customHeight="1" x14ac:dyDescent="0.25">
      <c r="A10" s="150" t="s">
        <v>310</v>
      </c>
      <c r="B10" s="150"/>
      <c r="C10" s="30" t="str">
        <f t="shared" si="0"/>
        <v/>
      </c>
      <c r="D10" s="147" t="str">
        <f>IFERROR(VLOOKUP($A10,Sheet1!$A$1:$B$80,2,0),"")</f>
        <v/>
      </c>
      <c r="E10" s="30" t="str">
        <f>IFERROR(VLOOKUP($A10,'Tổng Đơn'!$A$5:$E$52,5,0),"")</f>
        <v/>
      </c>
      <c r="F10" s="30" t="str">
        <f t="shared" si="1"/>
        <v/>
      </c>
      <c r="G10" s="155" t="str">
        <f>IF(AND($C10="",$C9&lt;&gt;""),"Tổng Cộng",IFERROR(VLOOKUP($A10,Sheet1!$A$1:$D$80,4,0),""))</f>
        <v>Tổng Cộng</v>
      </c>
      <c r="H10" s="148">
        <f>IF($C9=MAX($C$8:$C$56),SUM($H$8:$H9),IFERROR($G10*$F10,""))</f>
        <v>264000</v>
      </c>
      <c r="I10" s="54" t="str">
        <f t="shared" si="2"/>
        <v/>
      </c>
      <c r="L10" s="31"/>
    </row>
    <row r="11" spans="1:14" s="29" customFormat="1" ht="14.25" customHeight="1" x14ac:dyDescent="0.25">
      <c r="A11" s="150" t="s">
        <v>310</v>
      </c>
      <c r="B11" s="150"/>
      <c r="C11" s="30" t="str">
        <f t="shared" si="0"/>
        <v/>
      </c>
      <c r="D11" s="147" t="str">
        <f>IFERROR(VLOOKUP($A11,Sheet1!$A$1:$B$80,2,0),"")</f>
        <v/>
      </c>
      <c r="E11" s="30" t="str">
        <f>IFERROR(VLOOKUP($A11,'Tổng Đơn'!$A$5:$E$52,5,0),"")</f>
        <v/>
      </c>
      <c r="F11" s="30" t="str">
        <f t="shared" si="1"/>
        <v/>
      </c>
      <c r="G11" s="155" t="str">
        <f>IF(AND($C11="",$C10&lt;&gt;""),"Tổng Cộng",IFERROR(VLOOKUP($A11,Sheet1!$A$1:$D$80,4,0),""))</f>
        <v/>
      </c>
      <c r="H11" s="148" t="str">
        <f>IF($C10=MAX($C$8:$C$56),SUM($H$8:$H10),IFERROR($G11*$F11,""))</f>
        <v/>
      </c>
      <c r="I11" s="54" t="str">
        <f t="shared" si="2"/>
        <v/>
      </c>
      <c r="L11" s="31"/>
    </row>
    <row r="12" spans="1:14" s="29" customFormat="1" ht="14.25" customHeight="1" x14ac:dyDescent="0.25">
      <c r="A12" s="150" t="s">
        <v>310</v>
      </c>
      <c r="B12" s="150"/>
      <c r="C12" s="30" t="str">
        <f t="shared" si="0"/>
        <v/>
      </c>
      <c r="D12" s="147" t="str">
        <f>IFERROR(VLOOKUP($A12,Sheet1!$A$1:$B$80,2,0),"")</f>
        <v/>
      </c>
      <c r="E12" s="30" t="str">
        <f>IFERROR(VLOOKUP($A12,'Tổng Đơn'!$A$5:$E$52,5,0),"")</f>
        <v/>
      </c>
      <c r="F12" s="30" t="str">
        <f t="shared" si="1"/>
        <v/>
      </c>
      <c r="G12" s="155" t="str">
        <f>IF(AND($C12="",$C11&lt;&gt;""),"Tổng Cộng",IFERROR(VLOOKUP($A12,Sheet1!$A$1:$D$80,4,0),""))</f>
        <v/>
      </c>
      <c r="H12" s="148" t="str">
        <f>IF($C11=MAX($C$8:$C$56),SUM($H$8:$H11),IFERROR($G12*$F12,""))</f>
        <v/>
      </c>
      <c r="I12" s="54" t="str">
        <f t="shared" si="2"/>
        <v/>
      </c>
      <c r="J12" s="125"/>
      <c r="L12" s="31"/>
      <c r="N12" s="126"/>
    </row>
    <row r="13" spans="1:14" s="29" customFormat="1" ht="14.25" customHeight="1" x14ac:dyDescent="0.25">
      <c r="A13" s="150" t="s">
        <v>310</v>
      </c>
      <c r="B13" s="150"/>
      <c r="C13" s="30" t="str">
        <f t="shared" si="0"/>
        <v/>
      </c>
      <c r="D13" s="147" t="str">
        <f>IFERROR(VLOOKUP($A13,Sheet1!$A$1:$B$80,2,0),"")</f>
        <v/>
      </c>
      <c r="E13" s="30" t="str">
        <f>IFERROR(VLOOKUP($A13,'Tổng Đơn'!$A$5:$E$52,5,0),"")</f>
        <v/>
      </c>
      <c r="F13" s="30" t="str">
        <f t="shared" si="1"/>
        <v/>
      </c>
      <c r="G13" s="155" t="str">
        <f>IF(AND($C13="",$C12&lt;&gt;""),"Tổng Cộng",IFERROR(VLOOKUP($A13,Sheet1!$A$1:$D$80,4,0),""))</f>
        <v/>
      </c>
      <c r="H13" s="148" t="str">
        <f>IF($C12=MAX($C$8:$C$56),SUM($H$8:$H12),IFERROR($G13*$F13,""))</f>
        <v/>
      </c>
      <c r="I13" s="54" t="str">
        <f t="shared" si="2"/>
        <v/>
      </c>
      <c r="L13" s="31"/>
    </row>
    <row r="14" spans="1:14" s="29" customFormat="1" ht="14.25" customHeight="1" x14ac:dyDescent="0.25">
      <c r="A14" s="150" t="s">
        <v>310</v>
      </c>
      <c r="B14" s="150"/>
      <c r="C14" s="30" t="str">
        <f t="shared" si="0"/>
        <v/>
      </c>
      <c r="D14" s="147" t="str">
        <f>IFERROR(VLOOKUP($A14,Sheet1!$A$1:$B$80,2,0),"")</f>
        <v/>
      </c>
      <c r="E14" s="30" t="str">
        <f>IFERROR(VLOOKUP($A14,'Tổng Đơn'!$A$5:$E$52,5,0),"")</f>
        <v/>
      </c>
      <c r="F14" s="30" t="str">
        <f t="shared" si="1"/>
        <v/>
      </c>
      <c r="G14" s="155" t="str">
        <f>IF(AND($C14="",$C13&lt;&gt;""),"Tổng Cộng",IFERROR(VLOOKUP($A14,Sheet1!$A$1:$D$80,4,0),""))</f>
        <v/>
      </c>
      <c r="H14" s="148" t="str">
        <f>IF($C13=MAX($C$8:$C$56),SUM($H$8:$H13),IFERROR($G14*$F14,""))</f>
        <v/>
      </c>
      <c r="I14" s="54" t="str">
        <f t="shared" si="2"/>
        <v/>
      </c>
      <c r="L14" s="31"/>
      <c r="M14" s="132"/>
    </row>
    <row r="15" spans="1:14" s="29" customFormat="1" ht="14.25" customHeight="1" x14ac:dyDescent="0.25">
      <c r="A15" s="150" t="s">
        <v>310</v>
      </c>
      <c r="B15" s="150"/>
      <c r="C15" s="30" t="str">
        <f t="shared" si="0"/>
        <v/>
      </c>
      <c r="D15" s="147" t="str">
        <f>IFERROR(VLOOKUP($A15,Sheet1!$A$1:$B$80,2,0),"")</f>
        <v/>
      </c>
      <c r="E15" s="30" t="str">
        <f>IFERROR(VLOOKUP($A15,'Tổng Đơn'!$A$5:$E$52,5,0),"")</f>
        <v/>
      </c>
      <c r="F15" s="30" t="str">
        <f t="shared" si="1"/>
        <v/>
      </c>
      <c r="G15" s="155" t="str">
        <f>IF(AND($C15="",$C14&lt;&gt;""),"Tổng Cộng",IFERROR(VLOOKUP($A15,Sheet1!$A$1:$D$80,4,0),""))</f>
        <v/>
      </c>
      <c r="H15" s="148" t="str">
        <f>IF($C14=MAX($C$8:$C$56),SUM($H$8:$H14),IFERROR($G15*$F15,""))</f>
        <v/>
      </c>
      <c r="I15" s="54" t="str">
        <f t="shared" si="2"/>
        <v/>
      </c>
      <c r="L15" s="31"/>
    </row>
    <row r="16" spans="1:14" s="29" customFormat="1" ht="14.25" customHeight="1" x14ac:dyDescent="0.25">
      <c r="A16" s="150" t="s">
        <v>310</v>
      </c>
      <c r="B16" s="150"/>
      <c r="C16" s="30" t="str">
        <f t="shared" si="0"/>
        <v/>
      </c>
      <c r="D16" s="147" t="str">
        <f>IFERROR(VLOOKUP($A16,Sheet1!$A$1:$B$80,2,0),"")</f>
        <v/>
      </c>
      <c r="E16" s="30" t="str">
        <f>IFERROR(VLOOKUP($A16,'Tổng Đơn'!$A$5:$E$52,5,0),"")</f>
        <v/>
      </c>
      <c r="F16" s="30" t="str">
        <f t="shared" si="1"/>
        <v/>
      </c>
      <c r="G16" s="155" t="str">
        <f>IF(AND($C16="",$C15&lt;&gt;""),"Tổng Cộng",IFERROR(VLOOKUP($A16,Sheet1!$A$1:$D$80,4,0),""))</f>
        <v/>
      </c>
      <c r="H16" s="148" t="str">
        <f>IF($C15=MAX($C$8:$C$56),SUM($H$8:$H15),IFERROR($G16*$F16,""))</f>
        <v/>
      </c>
      <c r="I16" s="54" t="str">
        <f t="shared" si="2"/>
        <v/>
      </c>
      <c r="L16" s="31"/>
    </row>
    <row r="17" spans="1:12" s="29" customFormat="1" ht="14.25" customHeight="1" x14ac:dyDescent="0.25">
      <c r="A17" s="150" t="s">
        <v>310</v>
      </c>
      <c r="B17" s="150"/>
      <c r="C17" s="30" t="str">
        <f t="shared" si="0"/>
        <v/>
      </c>
      <c r="D17" s="147" t="str">
        <f>IFERROR(VLOOKUP($A17,Sheet1!$A$1:$B$80,2,0),"")</f>
        <v/>
      </c>
      <c r="E17" s="30" t="str">
        <f>IFERROR(VLOOKUP($A17,'Tổng Đơn'!$A$5:$E$52,5,0),"")</f>
        <v/>
      </c>
      <c r="F17" s="30" t="str">
        <f t="shared" si="1"/>
        <v/>
      </c>
      <c r="G17" s="155" t="str">
        <f>IF(AND($C17="",$C16&lt;&gt;""),"Tổng Cộng",IFERROR(VLOOKUP($A17,Sheet1!$A$1:$D$80,4,0),""))</f>
        <v/>
      </c>
      <c r="H17" s="148" t="str">
        <f>IF($C16=MAX($C$8:$C$56),SUM($H$8:$H16),IFERROR($G17*$F17,""))</f>
        <v/>
      </c>
      <c r="I17" s="54" t="str">
        <f t="shared" si="2"/>
        <v/>
      </c>
      <c r="L17" s="31"/>
    </row>
    <row r="18" spans="1:12" s="29" customFormat="1" ht="14.25" customHeight="1" x14ac:dyDescent="0.25">
      <c r="A18" s="150" t="s">
        <v>310</v>
      </c>
      <c r="B18" s="150"/>
      <c r="C18" s="30" t="str">
        <f t="shared" si="0"/>
        <v/>
      </c>
      <c r="D18" s="147" t="str">
        <f>IFERROR(VLOOKUP($A18,Sheet1!$A$1:$B$80,2,0),"")</f>
        <v/>
      </c>
      <c r="E18" s="30" t="str">
        <f>IFERROR(VLOOKUP($A18,'Tổng Đơn'!$A$5:$E$52,5,0),"")</f>
        <v/>
      </c>
      <c r="F18" s="30" t="str">
        <f t="shared" si="1"/>
        <v/>
      </c>
      <c r="G18" s="155" t="str">
        <f>IF(AND($C18="",$C17&lt;&gt;""),"Tổng Cộng",IFERROR(VLOOKUP($A18,Sheet1!$A$1:$D$80,4,0),""))</f>
        <v/>
      </c>
      <c r="H18" s="148" t="str">
        <f>IF($C17=MAX($C$8:$C$56),SUM($H$8:$H17),IFERROR($G18*$F18,""))</f>
        <v/>
      </c>
      <c r="I18" s="54" t="str">
        <f t="shared" si="2"/>
        <v/>
      </c>
      <c r="L18" s="31"/>
    </row>
    <row r="19" spans="1:12" s="29" customFormat="1" ht="14.25" customHeight="1" x14ac:dyDescent="0.25">
      <c r="A19" s="150" t="s">
        <v>310</v>
      </c>
      <c r="B19" s="150"/>
      <c r="C19" s="30" t="str">
        <f t="shared" si="0"/>
        <v/>
      </c>
      <c r="D19" s="147" t="str">
        <f>IFERROR(VLOOKUP($A19,Sheet1!$A$1:$B$80,2,0),"")</f>
        <v/>
      </c>
      <c r="E19" s="30" t="str">
        <f>IFERROR(VLOOKUP($A19,'Tổng Đơn'!$A$5:$E$52,5,0),"")</f>
        <v/>
      </c>
      <c r="F19" s="30" t="str">
        <f t="shared" si="1"/>
        <v/>
      </c>
      <c r="G19" s="155" t="str">
        <f>IF(AND($C19="",$C18&lt;&gt;""),"Tổng Cộng",IFERROR(VLOOKUP($A19,Sheet1!$A$1:$D$80,4,0),""))</f>
        <v/>
      </c>
      <c r="H19" s="148" t="str">
        <f>IF($C18=MAX($C$8:$C$56),SUM($H$8:$H18),IFERROR($G19*$F19,""))</f>
        <v/>
      </c>
      <c r="I19" s="54" t="str">
        <f t="shared" si="2"/>
        <v/>
      </c>
      <c r="L19" s="31"/>
    </row>
    <row r="20" spans="1:12" s="29" customFormat="1" ht="14.25" customHeight="1" x14ac:dyDescent="0.25">
      <c r="A20" s="150" t="s">
        <v>310</v>
      </c>
      <c r="B20" s="150"/>
      <c r="C20" s="30" t="str">
        <f t="shared" si="0"/>
        <v/>
      </c>
      <c r="D20" s="147" t="str">
        <f>IFERROR(VLOOKUP($A20,Sheet1!$A$1:$B$80,2,0),"")</f>
        <v/>
      </c>
      <c r="E20" s="30" t="str">
        <f>IFERROR(VLOOKUP($A20,'Tổng Đơn'!$A$5:$E$52,5,0),"")</f>
        <v/>
      </c>
      <c r="F20" s="30" t="str">
        <f t="shared" si="1"/>
        <v/>
      </c>
      <c r="G20" s="155" t="str">
        <f>IF(AND($C20="",$C19&lt;&gt;""),"Tổng Cộng",IFERROR(VLOOKUP($A20,Sheet1!$A$1:$D$80,4,0),""))</f>
        <v/>
      </c>
      <c r="H20" s="148" t="str">
        <f>IF($C19=MAX($C$8:$C$56),SUM($H$8:$H19),IFERROR($G20*$F20,""))</f>
        <v/>
      </c>
      <c r="I20" s="54" t="str">
        <f t="shared" si="2"/>
        <v/>
      </c>
      <c r="L20" s="31"/>
    </row>
    <row r="21" spans="1:12" s="29" customFormat="1" ht="14.25" customHeight="1" x14ac:dyDescent="0.25">
      <c r="A21" s="150" t="s">
        <v>310</v>
      </c>
      <c r="B21" s="150"/>
      <c r="C21" s="30" t="str">
        <f t="shared" si="0"/>
        <v/>
      </c>
      <c r="D21" s="147" t="str">
        <f>IFERROR(VLOOKUP($A21,Sheet1!$A$1:$B$80,2,0),"")</f>
        <v/>
      </c>
      <c r="E21" s="30" t="str">
        <f>IFERROR(VLOOKUP($A21,'Tổng Đơn'!$A$5:$E$52,5,0),"")</f>
        <v/>
      </c>
      <c r="F21" s="30" t="str">
        <f t="shared" si="1"/>
        <v/>
      </c>
      <c r="G21" s="155" t="str">
        <f>IF(AND($C21="",$C20&lt;&gt;""),"Tổng Cộng",IFERROR(VLOOKUP($A21,Sheet1!$A$1:$D$80,4,0),""))</f>
        <v/>
      </c>
      <c r="H21" s="148" t="str">
        <f>IF($C20=MAX($C$8:$C$56),SUM($H$8:$H20),IFERROR($G21*$F21,""))</f>
        <v/>
      </c>
      <c r="I21" s="54" t="str">
        <f t="shared" si="2"/>
        <v/>
      </c>
      <c r="L21" s="31"/>
    </row>
    <row r="22" spans="1:12" s="29" customFormat="1" ht="14.25" customHeight="1" x14ac:dyDescent="0.25">
      <c r="A22" s="150" t="s">
        <v>310</v>
      </c>
      <c r="B22" s="150"/>
      <c r="C22" s="30" t="str">
        <f t="shared" si="0"/>
        <v/>
      </c>
      <c r="D22" s="147" t="str">
        <f>IFERROR(VLOOKUP($A22,Sheet1!$A$1:$B$80,2,0),"")</f>
        <v/>
      </c>
      <c r="E22" s="30" t="str">
        <f>IFERROR(VLOOKUP($A22,'Tổng Đơn'!$A$5:$E$52,5,0),"")</f>
        <v/>
      </c>
      <c r="F22" s="30" t="str">
        <f t="shared" si="1"/>
        <v/>
      </c>
      <c r="G22" s="155" t="str">
        <f>IF(AND($C22="",$C21&lt;&gt;""),"Tổng Cộng",IFERROR(VLOOKUP($A22,Sheet1!$A$1:$D$80,4,0),""))</f>
        <v/>
      </c>
      <c r="H22" s="148" t="str">
        <f>IF($C21=MAX($C$8:$C$56),SUM($H$8:$H21),IFERROR($G22*$F22,""))</f>
        <v/>
      </c>
      <c r="I22" s="54" t="str">
        <f t="shared" si="2"/>
        <v/>
      </c>
      <c r="L22" s="31"/>
    </row>
    <row r="23" spans="1:12" s="29" customFormat="1" ht="14.25" customHeight="1" x14ac:dyDescent="0.25">
      <c r="A23" s="150" t="s">
        <v>310</v>
      </c>
      <c r="B23" s="150"/>
      <c r="C23" s="30" t="str">
        <f t="shared" si="0"/>
        <v/>
      </c>
      <c r="D23" s="147" t="str">
        <f>IFERROR(VLOOKUP($A23,Sheet1!$A$1:$B$80,2,0),"")</f>
        <v/>
      </c>
      <c r="E23" s="30" t="str">
        <f>IFERROR(VLOOKUP($A23,'Tổng Đơn'!$A$5:$E$52,5,0),"")</f>
        <v/>
      </c>
      <c r="F23" s="30" t="str">
        <f t="shared" si="1"/>
        <v/>
      </c>
      <c r="G23" s="155" t="str">
        <f>IF(AND($C23="",$C22&lt;&gt;""),"Tổng Cộng",IFERROR(VLOOKUP($A23,Sheet1!$A$1:$D$80,4,0),""))</f>
        <v/>
      </c>
      <c r="H23" s="148" t="str">
        <f>IF($C22=MAX($C$8:$C$56),SUM($H$8:$H22),IFERROR($G23*$F23,""))</f>
        <v/>
      </c>
      <c r="I23" s="54" t="str">
        <f t="shared" si="2"/>
        <v/>
      </c>
      <c r="L23" s="31"/>
    </row>
    <row r="24" spans="1:12" s="29" customFormat="1" ht="14.25" customHeight="1" x14ac:dyDescent="0.25">
      <c r="A24" s="150" t="s">
        <v>310</v>
      </c>
      <c r="B24" s="150"/>
      <c r="C24" s="30" t="str">
        <f t="shared" si="0"/>
        <v/>
      </c>
      <c r="D24" s="147" t="str">
        <f>IFERROR(VLOOKUP($A24,Sheet1!$A$1:$B$80,2,0),"")</f>
        <v/>
      </c>
      <c r="E24" s="30" t="str">
        <f>IFERROR(VLOOKUP($A24,'Tổng Đơn'!$A$5:$E$52,5,0),"")</f>
        <v/>
      </c>
      <c r="F24" s="30" t="str">
        <f t="shared" si="1"/>
        <v/>
      </c>
      <c r="G24" s="155" t="str">
        <f>IF(AND($C24="",$C23&lt;&gt;""),"Tổng Cộng",IFERROR(VLOOKUP($A24,Sheet1!$A$1:$D$80,4,0),""))</f>
        <v/>
      </c>
      <c r="H24" s="148" t="str">
        <f>IF($C23=MAX($C$8:$C$56),SUM($H$8:$H23),IFERROR($G24*$F24,""))</f>
        <v/>
      </c>
      <c r="I24" s="54" t="str">
        <f t="shared" si="2"/>
        <v/>
      </c>
      <c r="L24" s="31"/>
    </row>
    <row r="25" spans="1:12" s="29" customFormat="1" ht="14.25" customHeight="1" x14ac:dyDescent="0.25">
      <c r="A25" s="150" t="s">
        <v>310</v>
      </c>
      <c r="B25" s="150"/>
      <c r="C25" s="30" t="str">
        <f t="shared" si="0"/>
        <v/>
      </c>
      <c r="D25" s="147" t="str">
        <f>IFERROR(VLOOKUP($A25,Sheet1!$A$1:$B$80,2,0),"")</f>
        <v/>
      </c>
      <c r="E25" s="30" t="str">
        <f>IFERROR(VLOOKUP($A25,'Tổng Đơn'!$A$5:$E$52,5,0),"")</f>
        <v/>
      </c>
      <c r="F25" s="30" t="str">
        <f t="shared" si="1"/>
        <v/>
      </c>
      <c r="G25" s="155" t="str">
        <f>IF(AND($C25="",$C24&lt;&gt;""),"Tổng Cộng",IFERROR(VLOOKUP($A25,Sheet1!$A$1:$D$80,4,0),""))</f>
        <v/>
      </c>
      <c r="H25" s="148" t="str">
        <f>IF($C24=MAX($C$8:$C$56),SUM($H$8:$H24),IFERROR($G25*$F25,""))</f>
        <v/>
      </c>
      <c r="I25" s="54" t="str">
        <f t="shared" si="2"/>
        <v/>
      </c>
      <c r="L25" s="31"/>
    </row>
    <row r="26" spans="1:12" s="29" customFormat="1" ht="14.25" customHeight="1" x14ac:dyDescent="0.25">
      <c r="A26" s="150" t="s">
        <v>310</v>
      </c>
      <c r="B26" s="150"/>
      <c r="C26" s="30" t="str">
        <f t="shared" si="0"/>
        <v/>
      </c>
      <c r="D26" s="147" t="str">
        <f>IFERROR(VLOOKUP($A26,Sheet1!$A$1:$B$80,2,0),"")</f>
        <v/>
      </c>
      <c r="E26" s="30" t="str">
        <f>IFERROR(VLOOKUP($A26,'Tổng Đơn'!$A$5:$E$52,5,0),"")</f>
        <v/>
      </c>
      <c r="F26" s="30" t="str">
        <f t="shared" si="1"/>
        <v/>
      </c>
      <c r="G26" s="155" t="str">
        <f>IF(AND($C26="",$C25&lt;&gt;""),"Tổng Cộng",IFERROR(VLOOKUP($A26,Sheet1!$A$1:$D$80,4,0),""))</f>
        <v/>
      </c>
      <c r="H26" s="148" t="str">
        <f>IF($C25=MAX($C$8:$C$56),SUM($H$8:$H25),IFERROR($G26*$F26,""))</f>
        <v/>
      </c>
      <c r="I26" s="54" t="str">
        <f t="shared" si="2"/>
        <v/>
      </c>
      <c r="L26" s="31"/>
    </row>
    <row r="27" spans="1:12" s="29" customFormat="1" ht="14.25" customHeight="1" x14ac:dyDescent="0.25">
      <c r="A27" s="150" t="s">
        <v>310</v>
      </c>
      <c r="B27" s="150"/>
      <c r="C27" s="30" t="str">
        <f t="shared" si="0"/>
        <v/>
      </c>
      <c r="D27" s="147" t="str">
        <f>IFERROR(VLOOKUP($A27,Sheet1!$A$1:$B$80,2,0),"")</f>
        <v/>
      </c>
      <c r="E27" s="30" t="str">
        <f>IFERROR(VLOOKUP($A27,'Tổng Đơn'!$A$5:$E$52,5,0),"")</f>
        <v/>
      </c>
      <c r="F27" s="30" t="str">
        <f t="shared" si="1"/>
        <v/>
      </c>
      <c r="G27" s="155" t="str">
        <f>IF(AND($C27="",$C26&lt;&gt;""),"Tổng Cộng",IFERROR(VLOOKUP($A27,Sheet1!$A$1:$D$80,4,0),""))</f>
        <v/>
      </c>
      <c r="H27" s="148" t="str">
        <f>IF($C26=MAX($C$8:$C$56),SUM($H$8:$H26),IFERROR($G27*$F27,""))</f>
        <v/>
      </c>
      <c r="I27" s="54" t="str">
        <f t="shared" si="2"/>
        <v/>
      </c>
      <c r="L27" s="31"/>
    </row>
    <row r="28" spans="1:12" s="29" customFormat="1" ht="14.25" customHeight="1" x14ac:dyDescent="0.25">
      <c r="A28" s="150" t="s">
        <v>310</v>
      </c>
      <c r="B28" s="150"/>
      <c r="C28" s="30" t="str">
        <f t="shared" si="0"/>
        <v/>
      </c>
      <c r="D28" s="147" t="str">
        <f>IFERROR(VLOOKUP($A28,Sheet1!$A$1:$B$80,2,0),"")</f>
        <v/>
      </c>
      <c r="E28" s="30" t="str">
        <f>IFERROR(VLOOKUP($A28,'Tổng Đơn'!$A$5:$E$52,5,0),"")</f>
        <v/>
      </c>
      <c r="F28" s="30" t="str">
        <f t="shared" si="1"/>
        <v/>
      </c>
      <c r="G28" s="155" t="str">
        <f>IF(AND($C28="",$C27&lt;&gt;""),"Tổng Cộng",IFERROR(VLOOKUP($A28,Sheet1!$A$1:$D$80,4,0),""))</f>
        <v/>
      </c>
      <c r="H28" s="148" t="str">
        <f>IF($C27=MAX($C$8:$C$56),SUM($H$8:$H27),IFERROR($G28*$F28,""))</f>
        <v/>
      </c>
      <c r="I28" s="54" t="str">
        <f t="shared" si="2"/>
        <v/>
      </c>
      <c r="L28" s="31"/>
    </row>
    <row r="29" spans="1:12" s="29" customFormat="1" ht="14.25" customHeight="1" x14ac:dyDescent="0.25">
      <c r="A29" s="150" t="s">
        <v>310</v>
      </c>
      <c r="B29" s="150"/>
      <c r="C29" s="30" t="str">
        <f t="shared" si="0"/>
        <v/>
      </c>
      <c r="D29" s="147" t="str">
        <f>IFERROR(VLOOKUP($A29,Sheet1!$A$1:$B$80,2,0),"")</f>
        <v/>
      </c>
      <c r="E29" s="30" t="str">
        <f>IFERROR(VLOOKUP($A29,'Tổng Đơn'!$A$5:$E$52,5,0),"")</f>
        <v/>
      </c>
      <c r="F29" s="30" t="str">
        <f t="shared" si="1"/>
        <v/>
      </c>
      <c r="G29" s="155" t="str">
        <f>IF(AND($C29="",$C28&lt;&gt;""),"Tổng Cộng",IFERROR(VLOOKUP($A29,Sheet1!$A$1:$D$80,4,0),""))</f>
        <v/>
      </c>
      <c r="H29" s="148" t="str">
        <f>IF($C28=MAX($C$8:$C$56),SUM($H$8:$H28),IFERROR($G29*$F29,""))</f>
        <v/>
      </c>
      <c r="I29" s="54" t="str">
        <f t="shared" si="2"/>
        <v/>
      </c>
      <c r="L29" s="31"/>
    </row>
    <row r="30" spans="1:12" s="29" customFormat="1" ht="14.25" customHeight="1" x14ac:dyDescent="0.25">
      <c r="A30" s="150" t="s">
        <v>310</v>
      </c>
      <c r="B30" s="150"/>
      <c r="C30" s="30" t="str">
        <f t="shared" si="0"/>
        <v/>
      </c>
      <c r="D30" s="147" t="str">
        <f>IFERROR(VLOOKUP($A30,Sheet1!$A$1:$B$80,2,0),"")</f>
        <v/>
      </c>
      <c r="E30" s="30" t="str">
        <f>IFERROR(VLOOKUP($A30,'Tổng Đơn'!$A$5:$E$52,5,0),"")</f>
        <v/>
      </c>
      <c r="F30" s="30" t="str">
        <f t="shared" si="1"/>
        <v/>
      </c>
      <c r="G30" s="155" t="str">
        <f>IF(AND($C30="",$C29&lt;&gt;""),"Tổng Cộng",IFERROR(VLOOKUP($A30,Sheet1!$A$1:$D$80,4,0),""))</f>
        <v/>
      </c>
      <c r="H30" s="148" t="str">
        <f>IF($C29=MAX($C$8:$C$56),SUM($H$8:$H29),IFERROR($G30*$F30,""))</f>
        <v/>
      </c>
      <c r="I30" s="54" t="str">
        <f t="shared" si="2"/>
        <v/>
      </c>
      <c r="L30" s="31"/>
    </row>
    <row r="31" spans="1:12" s="29" customFormat="1" ht="14.25" customHeight="1" x14ac:dyDescent="0.25">
      <c r="A31" s="150" t="s">
        <v>310</v>
      </c>
      <c r="B31" s="150"/>
      <c r="C31" s="30" t="str">
        <f t="shared" si="0"/>
        <v/>
      </c>
      <c r="D31" s="147" t="str">
        <f>IFERROR(VLOOKUP($A31,Sheet1!$A$1:$B$80,2,0),"")</f>
        <v/>
      </c>
      <c r="E31" s="30" t="str">
        <f>IFERROR(VLOOKUP($A31,'Tổng Đơn'!$A$5:$E$52,5,0),"")</f>
        <v/>
      </c>
      <c r="F31" s="30" t="str">
        <f t="shared" si="1"/>
        <v/>
      </c>
      <c r="G31" s="155" t="str">
        <f>IF(AND($C31="",$C30&lt;&gt;""),"Tổng Cộng",IFERROR(VLOOKUP($A31,Sheet1!$A$1:$D$80,4,0),""))</f>
        <v/>
      </c>
      <c r="H31" s="148" t="str">
        <f>IF($C30=MAX($C$8:$C$56),SUM($H$8:$H30),IFERROR($G31*$F31,""))</f>
        <v/>
      </c>
      <c r="I31" s="54" t="str">
        <f t="shared" si="2"/>
        <v/>
      </c>
      <c r="L31" s="31"/>
    </row>
    <row r="32" spans="1:12" s="29" customFormat="1" ht="14.25" customHeight="1" x14ac:dyDescent="0.25">
      <c r="A32" s="150" t="s">
        <v>310</v>
      </c>
      <c r="B32" s="150"/>
      <c r="C32" s="30" t="str">
        <f t="shared" si="0"/>
        <v/>
      </c>
      <c r="D32" s="147" t="str">
        <f>IFERROR(VLOOKUP($A32,Sheet1!$A$1:$B$80,2,0),"")</f>
        <v/>
      </c>
      <c r="E32" s="30" t="str">
        <f>IFERROR(VLOOKUP($A32,'Tổng Đơn'!$A$5:$E$52,5,0),"")</f>
        <v/>
      </c>
      <c r="F32" s="30" t="str">
        <f t="shared" si="1"/>
        <v/>
      </c>
      <c r="G32" s="155" t="str">
        <f>IF(AND($C32="",$C31&lt;&gt;""),"Tổng Cộng",IFERROR(VLOOKUP($A32,Sheet1!$A$1:$D$80,4,0),""))</f>
        <v/>
      </c>
      <c r="H32" s="148" t="str">
        <f>IF($C31=MAX($C$8:$C$56),SUM($H$8:$H31),IFERROR($G32*$F32,""))</f>
        <v/>
      </c>
      <c r="I32" s="54" t="str">
        <f t="shared" si="2"/>
        <v/>
      </c>
      <c r="L32" s="31"/>
    </row>
    <row r="33" spans="1:12" s="29" customFormat="1" ht="14.25" customHeight="1" x14ac:dyDescent="0.25">
      <c r="A33" s="150" t="s">
        <v>310</v>
      </c>
      <c r="B33" s="150"/>
      <c r="C33" s="30" t="str">
        <f t="shared" si="0"/>
        <v/>
      </c>
      <c r="D33" s="147" t="str">
        <f>IFERROR(VLOOKUP($A33,Sheet1!$A$1:$B$80,2,0),"")</f>
        <v/>
      </c>
      <c r="E33" s="30" t="str">
        <f>IFERROR(VLOOKUP($A33,'Tổng Đơn'!$A$5:$E$52,5,0),"")</f>
        <v/>
      </c>
      <c r="F33" s="30" t="str">
        <f t="shared" si="1"/>
        <v/>
      </c>
      <c r="G33" s="155" t="str">
        <f>IF(AND($C33="",$C32&lt;&gt;""),"Tổng Cộng",IFERROR(VLOOKUP($A33,Sheet1!$A$1:$D$80,4,0),""))</f>
        <v/>
      </c>
      <c r="H33" s="148" t="str">
        <f>IF($C32=MAX($C$8:$C$56),SUM($H$8:$H32),IFERROR($G33*$F33,""))</f>
        <v/>
      </c>
      <c r="I33" s="54" t="str">
        <f t="shared" si="2"/>
        <v/>
      </c>
      <c r="L33" s="31"/>
    </row>
    <row r="34" spans="1:12" s="29" customFormat="1" ht="14.25" customHeight="1" x14ac:dyDescent="0.25">
      <c r="A34" s="150" t="s">
        <v>310</v>
      </c>
      <c r="B34" s="150"/>
      <c r="C34" s="30" t="str">
        <f t="shared" si="0"/>
        <v/>
      </c>
      <c r="D34" s="147" t="str">
        <f>IFERROR(VLOOKUP($A34,Sheet1!$A$1:$B$80,2,0),"")</f>
        <v/>
      </c>
      <c r="E34" s="30" t="str">
        <f>IFERROR(VLOOKUP($A34,'Tổng Đơn'!$A$5:$E$52,5,0),"")</f>
        <v/>
      </c>
      <c r="F34" s="30" t="str">
        <f t="shared" si="1"/>
        <v/>
      </c>
      <c r="G34" s="155" t="str">
        <f>IF(AND($C34="",$C33&lt;&gt;""),"Tổng Cộng",IFERROR(VLOOKUP($A34,Sheet1!$A$1:$D$80,4,0),""))</f>
        <v/>
      </c>
      <c r="H34" s="148" t="str">
        <f>IF($C33=MAX($C$8:$C$56),SUM($H$8:$H33),IFERROR($G34*$F34,""))</f>
        <v/>
      </c>
      <c r="I34" s="54" t="str">
        <f t="shared" si="2"/>
        <v/>
      </c>
      <c r="L34" s="31"/>
    </row>
    <row r="35" spans="1:12" s="29" customFormat="1" ht="14.25" customHeight="1" x14ac:dyDescent="0.25">
      <c r="A35" s="150" t="s">
        <v>310</v>
      </c>
      <c r="B35" s="150"/>
      <c r="C35" s="30" t="str">
        <f t="shared" si="0"/>
        <v/>
      </c>
      <c r="D35" s="147" t="str">
        <f>IFERROR(VLOOKUP($A35,Sheet1!$A$1:$B$80,2,0),"")</f>
        <v/>
      </c>
      <c r="E35" s="30" t="str">
        <f>IFERROR(VLOOKUP($A35,'Tổng Đơn'!$A$5:$E$52,5,0),"")</f>
        <v/>
      </c>
      <c r="F35" s="30" t="str">
        <f t="shared" si="1"/>
        <v/>
      </c>
      <c r="G35" s="155" t="str">
        <f>IF(AND($C35="",$C34&lt;&gt;""),"Tổng Cộng",IFERROR(VLOOKUP($A35,Sheet1!$A$1:$D$80,4,0),""))</f>
        <v/>
      </c>
      <c r="H35" s="148" t="str">
        <f>IF($C34=MAX($C$8:$C$56),SUM($H$8:$H34),IFERROR($G35*$F35,""))</f>
        <v/>
      </c>
      <c r="I35" s="54" t="str">
        <f t="shared" si="2"/>
        <v/>
      </c>
      <c r="L35" s="31"/>
    </row>
    <row r="36" spans="1:12" s="29" customFormat="1" ht="14.25" customHeight="1" x14ac:dyDescent="0.25">
      <c r="A36" s="150" t="s">
        <v>310</v>
      </c>
      <c r="B36" s="150"/>
      <c r="C36" s="30" t="str">
        <f t="shared" si="0"/>
        <v/>
      </c>
      <c r="D36" s="147" t="str">
        <f>IFERROR(VLOOKUP($A36,Sheet1!$A$1:$B$80,2,0),"")</f>
        <v/>
      </c>
      <c r="E36" s="30" t="str">
        <f>IFERROR(VLOOKUP($A36,'Tổng Đơn'!$A$5:$E$52,5,0),"")</f>
        <v/>
      </c>
      <c r="F36" s="30" t="str">
        <f t="shared" si="1"/>
        <v/>
      </c>
      <c r="G36" s="155" t="str">
        <f>IF(AND($C36="",$C35&lt;&gt;""),"Tổng Cộng",IFERROR(VLOOKUP($A36,Sheet1!$A$1:$D$80,4,0),""))</f>
        <v/>
      </c>
      <c r="H36" s="148" t="str">
        <f>IF($C35=MAX($C$8:$C$56),SUM($H$8:$H35),IFERROR($G36*$F36,""))</f>
        <v/>
      </c>
      <c r="I36" s="54" t="str">
        <f t="shared" si="2"/>
        <v/>
      </c>
      <c r="L36" s="31"/>
    </row>
    <row r="37" spans="1:12" s="29" customFormat="1" ht="14.25" customHeight="1" x14ac:dyDescent="0.25">
      <c r="A37" s="150" t="s">
        <v>310</v>
      </c>
      <c r="B37" s="150"/>
      <c r="C37" s="30" t="str">
        <f t="shared" si="0"/>
        <v/>
      </c>
      <c r="D37" s="147" t="str">
        <f>IFERROR(VLOOKUP($A37,Sheet1!$A$1:$B$80,2,0),"")</f>
        <v/>
      </c>
      <c r="E37" s="30" t="str">
        <f>IFERROR(VLOOKUP($A37,'Tổng Đơn'!$A$5:$E$52,5,0),"")</f>
        <v/>
      </c>
      <c r="F37" s="30" t="str">
        <f t="shared" si="1"/>
        <v/>
      </c>
      <c r="G37" s="155" t="str">
        <f>IF(AND($C37="",$C36&lt;&gt;""),"Tổng Cộng",IFERROR(VLOOKUP($A37,Sheet1!$A$1:$D$80,4,0),""))</f>
        <v/>
      </c>
      <c r="H37" s="148" t="str">
        <f>IF($C36=MAX($C$8:$C$56),SUM($H$8:$H36),IFERROR($G37*$F37,""))</f>
        <v/>
      </c>
      <c r="I37" s="54" t="str">
        <f t="shared" si="2"/>
        <v/>
      </c>
      <c r="L37" s="31"/>
    </row>
    <row r="38" spans="1:12" s="29" customFormat="1" ht="14.25" customHeight="1" x14ac:dyDescent="0.25">
      <c r="A38" s="150"/>
      <c r="B38" s="150"/>
      <c r="C38" s="33"/>
      <c r="D38" s="34"/>
      <c r="E38" s="52"/>
      <c r="F38" s="30"/>
      <c r="G38" s="156" t="str">
        <f>IF(AND($C38="",$C37&lt;&gt;""),"Tổng Cộng",IFERROR(VLOOKUP($A38,Sheet1!$A$1:$D$80,4,0),""))</f>
        <v/>
      </c>
      <c r="H38" s="35" t="str">
        <f>IF($C37=MAX($C$8:$C$56),SUM($H$8:$H37),IFERROR($G38*$F38,""))</f>
        <v/>
      </c>
      <c r="I38" s="54"/>
      <c r="L38" s="31"/>
    </row>
    <row r="39" spans="1:12" ht="15" customHeight="1" x14ac:dyDescent="0.25">
      <c r="F39" s="36"/>
      <c r="G39" s="139"/>
      <c r="H39" s="37"/>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C38:E38 D23:E37 F23:H38">
    <cfRule type="expression" dxfId="431" priority="22">
      <formula>$C22=MAX($C$8:$C$37)</formula>
    </cfRule>
  </conditionalFormatting>
  <conditionalFormatting sqref="C23:C37">
    <cfRule type="expression" dxfId="430" priority="21">
      <formula>$C22=MAX($C$8:$C$37)</formula>
    </cfRule>
  </conditionalFormatting>
  <conditionalFormatting sqref="E23:E38">
    <cfRule type="expression" dxfId="429" priority="23">
      <formula>AND($A23="",$F23&lt;&gt;"")</formula>
    </cfRule>
  </conditionalFormatting>
  <conditionalFormatting sqref="F23:F38">
    <cfRule type="expression" dxfId="428" priority="24">
      <formula>AND($F23="",$A23&lt;&gt;"")</formula>
    </cfRule>
  </conditionalFormatting>
  <conditionalFormatting sqref="D20:H22">
    <cfRule type="expression" dxfId="427" priority="18">
      <formula>$C19=MAX($C$8:$C$37)</formula>
    </cfRule>
  </conditionalFormatting>
  <conditionalFormatting sqref="C20:C22">
    <cfRule type="expression" dxfId="426" priority="17">
      <formula>$C19=MAX($C$8:$C$37)</formula>
    </cfRule>
  </conditionalFormatting>
  <conditionalFormatting sqref="E20:E22">
    <cfRule type="expression" dxfId="425" priority="19">
      <formula>AND($A20="",$F20&lt;&gt;"")</formula>
    </cfRule>
  </conditionalFormatting>
  <conditionalFormatting sqref="F20:F22">
    <cfRule type="expression" dxfId="424" priority="20">
      <formula>AND($F20="",$A20&lt;&gt;"")</formula>
    </cfRule>
  </conditionalFormatting>
  <conditionalFormatting sqref="D15:H19 D12:F14 H12:H14">
    <cfRule type="expression" dxfId="423" priority="14">
      <formula>$C11=MAX($C$8:$C$37)</formula>
    </cfRule>
  </conditionalFormatting>
  <conditionalFormatting sqref="C12:C19">
    <cfRule type="expression" dxfId="422" priority="13">
      <formula>$C11=MAX($C$8:$C$37)</formula>
    </cfRule>
  </conditionalFormatting>
  <conditionalFormatting sqref="E12:E19">
    <cfRule type="expression" dxfId="421" priority="15">
      <formula>AND($A12="",$F12&lt;&gt;"")</formula>
    </cfRule>
  </conditionalFormatting>
  <conditionalFormatting sqref="F12:F19">
    <cfRule type="expression" dxfId="420" priority="16">
      <formula>AND($F12="",$A12&lt;&gt;"")</formula>
    </cfRule>
  </conditionalFormatting>
  <conditionalFormatting sqref="G12:G14">
    <cfRule type="expression" dxfId="419" priority="12">
      <formula>$C11=MAX($C$8:$C$37)</formula>
    </cfRule>
  </conditionalFormatting>
  <conditionalFormatting sqref="D9:F11 H9:H11">
    <cfRule type="expression" dxfId="418" priority="9">
      <formula>$C8=MAX($C$8:$C$37)</formula>
    </cfRule>
  </conditionalFormatting>
  <conditionalFormatting sqref="C9:C11">
    <cfRule type="expression" dxfId="417" priority="8">
      <formula>$C8=MAX($C$8:$C$37)</formula>
    </cfRule>
  </conditionalFormatting>
  <conditionalFormatting sqref="E9:E11">
    <cfRule type="expression" dxfId="416" priority="10">
      <formula>AND($A9="",$F9&lt;&gt;"")</formula>
    </cfRule>
  </conditionalFormatting>
  <conditionalFormatting sqref="F9:F11">
    <cfRule type="expression" dxfId="415" priority="11">
      <formula>AND($F9="",$A9&lt;&gt;"")</formula>
    </cfRule>
  </conditionalFormatting>
  <conditionalFormatting sqref="D8:F8">
    <cfRule type="expression" dxfId="414" priority="5">
      <formula>$C7=MAX($C$8:$C$37)</formula>
    </cfRule>
  </conditionalFormatting>
  <conditionalFormatting sqref="C8">
    <cfRule type="expression" dxfId="413" priority="4">
      <formula>$C7=MAX($C$8:$C$37)</formula>
    </cfRule>
  </conditionalFormatting>
  <conditionalFormatting sqref="E8">
    <cfRule type="expression" dxfId="412" priority="6">
      <formula>AND($A8="",$F8&lt;&gt;"")</formula>
    </cfRule>
  </conditionalFormatting>
  <conditionalFormatting sqref="F8">
    <cfRule type="expression" dxfId="411" priority="7">
      <formula>AND($F8="",$A8&lt;&gt;"")</formula>
    </cfRule>
  </conditionalFormatting>
  <conditionalFormatting sqref="H8">
    <cfRule type="expression" dxfId="410" priority="3">
      <formula>$C7=MAX($C$8:$C$37)</formula>
    </cfRule>
  </conditionalFormatting>
  <conditionalFormatting sqref="G9:G11">
    <cfRule type="expression" dxfId="409" priority="2">
      <formula>$C8=MAX($C$8:$C$37)</formula>
    </cfRule>
  </conditionalFormatting>
  <conditionalFormatting sqref="G8">
    <cfRule type="expression" dxfId="408" priority="1">
      <formula>$C7=MAX($C$8:$C$37)</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1547265" r:id="rId4" name="Button 1">
              <controlPr defaultSize="0" print="0" autoFill="0" autoPict="0" macro="[0]!Macro4">
                <anchor moveWithCells="1" sizeWithCells="1">
                  <from>
                    <xdr:col>0</xdr:col>
                    <xdr:colOff>0</xdr:colOff>
                    <xdr:row>0</xdr:row>
                    <xdr:rowOff>0</xdr:rowOff>
                  </from>
                  <to>
                    <xdr:col>1</xdr:col>
                    <xdr:colOff>769620</xdr:colOff>
                    <xdr:row>7</xdr:row>
                    <xdr:rowOff>0</xdr:rowOff>
                  </to>
                </anchor>
              </controlPr>
            </control>
          </mc:Choice>
        </mc:AlternateContent>
      </controls>
    </mc:Choice>
  </mc:AlternateContent>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D4580D5-34FC-4044-9825-904C684F3A69}">
  <sheetPr codeName="Sheet50">
    <tabColor theme="1"/>
    <pageSetUpPr fitToPage="1"/>
  </sheetPr>
  <dimension ref="A1:N53"/>
  <sheetViews>
    <sheetView zoomScaleNormal="100" workbookViewId="0">
      <pane ySplit="7" topLeftCell="A8" activePane="bottomLeft" state="frozen"/>
      <selection activeCell="Q2" sqref="Q2"/>
      <selection pane="bottomLeft" activeCell="D7" sqref="D7"/>
    </sheetView>
  </sheetViews>
  <sheetFormatPr defaultColWidth="9.09765625" defaultRowHeight="13.8" x14ac:dyDescent="0.25"/>
  <cols>
    <col min="1" max="1" width="11.69921875" style="14" customWidth="1"/>
    <col min="2" max="2" width="11.296875" style="14" customWidth="1"/>
    <col min="3" max="3" width="9.09765625" style="14"/>
    <col min="4" max="4" width="38.3984375" style="14" bestFit="1" customWidth="1"/>
    <col min="5" max="5" width="12.296875" style="53" bestFit="1" customWidth="1"/>
    <col min="6" max="6" width="11" style="14" customWidth="1"/>
    <col min="7" max="7" width="17.8984375" style="14" customWidth="1"/>
    <col min="8" max="8" width="17.8984375" style="15" customWidth="1"/>
    <col min="9" max="9" width="21.8984375" style="14" customWidth="1"/>
    <col min="10" max="10" width="10.09765625" style="14" customWidth="1"/>
    <col min="11" max="11" width="9.09765625" style="14"/>
    <col min="12" max="12" width="11.69921875" style="14" customWidth="1"/>
    <col min="13" max="14" width="10.09765625" style="14" bestFit="1" customWidth="1"/>
    <col min="15" max="16384" width="9.09765625" style="14"/>
  </cols>
  <sheetData>
    <row r="1" spans="1:14" ht="15.75" customHeight="1" x14ac:dyDescent="0.25">
      <c r="C1" s="268" t="s">
        <v>164</v>
      </c>
      <c r="D1" s="268"/>
      <c r="E1" s="268"/>
      <c r="F1" s="268"/>
      <c r="G1" s="268"/>
      <c r="H1" s="268"/>
    </row>
    <row r="2" spans="1:14" ht="15.75" customHeight="1" x14ac:dyDescent="0.25">
      <c r="C2" s="268"/>
      <c r="D2" s="268"/>
      <c r="E2" s="268"/>
      <c r="F2" s="268"/>
      <c r="G2" s="268"/>
      <c r="H2" s="268"/>
    </row>
    <row r="3" spans="1:14" ht="15" customHeight="1" x14ac:dyDescent="0.25">
      <c r="C3" s="269" t="s">
        <v>166</v>
      </c>
      <c r="D3" s="269"/>
      <c r="E3" s="269"/>
      <c r="F3" s="270" t="s">
        <v>168</v>
      </c>
      <c r="G3" s="270"/>
      <c r="H3" s="270"/>
    </row>
    <row r="4" spans="1:14" x14ac:dyDescent="0.25">
      <c r="C4" s="269" t="s">
        <v>167</v>
      </c>
      <c r="D4" s="269"/>
      <c r="E4" s="269"/>
      <c r="F4" s="271" t="s">
        <v>169</v>
      </c>
      <c r="G4" s="271"/>
      <c r="H4" s="271"/>
    </row>
    <row r="5" spans="1:14" s="140" customFormat="1" ht="21" customHeight="1" x14ac:dyDescent="0.25">
      <c r="C5" s="272" t="s">
        <v>165</v>
      </c>
      <c r="D5" s="272"/>
      <c r="E5" s="272"/>
      <c r="F5" s="272"/>
      <c r="G5" s="272"/>
      <c r="H5" s="272"/>
    </row>
    <row r="6" spans="1:14" s="140" customFormat="1" ht="16.5" customHeight="1" x14ac:dyDescent="0.25">
      <c r="C6" s="149" t="s">
        <v>170</v>
      </c>
      <c r="D6" s="152" t="s">
        <v>313</v>
      </c>
      <c r="E6" s="145"/>
      <c r="F6" s="145"/>
      <c r="G6" s="267" t="str">
        <f ca="1">"Ngày "&amp;DAY(TODAY())&amp;" Tháng "&amp;MONTH(TODAY())&amp;" Năm "&amp;YEAR(TODAY())</f>
        <v>Ngày 22 Tháng 1 Năm 2023</v>
      </c>
      <c r="H6" s="267"/>
    </row>
    <row r="7" spans="1:14" s="144" customFormat="1" ht="24" customHeight="1" x14ac:dyDescent="0.25">
      <c r="A7" s="141" t="s">
        <v>101</v>
      </c>
      <c r="B7" s="141" t="s">
        <v>15</v>
      </c>
      <c r="C7" s="142" t="s">
        <v>0</v>
      </c>
      <c r="D7" s="142" t="s">
        <v>16</v>
      </c>
      <c r="E7" s="146" t="str">
        <f>"Quy cách"&amp;CHAR(10)&amp;"(Kg)"</f>
        <v>Quy cách
(Kg)</v>
      </c>
      <c r="F7" s="142" t="s">
        <v>15</v>
      </c>
      <c r="G7" s="142" t="s">
        <v>17</v>
      </c>
      <c r="H7" s="142" t="s">
        <v>18</v>
      </c>
      <c r="I7" s="143">
        <f>SUBTOTAL(9,I8:I37)</f>
        <v>0.5</v>
      </c>
      <c r="L7" s="140"/>
    </row>
    <row r="8" spans="1:14" s="29" customFormat="1" ht="14.25" customHeight="1" x14ac:dyDescent="0.25">
      <c r="A8" s="150">
        <v>34</v>
      </c>
      <c r="B8" s="150">
        <v>1</v>
      </c>
      <c r="C8" s="30">
        <f t="shared" ref="C8:C37" si="0">IF(OR(SUM($C7,$A8&lt;&gt;"")=0,$A8=""),"",SUM($C7,$A8&lt;&gt;""))</f>
        <v>1</v>
      </c>
      <c r="D8" s="147" t="str">
        <f>IFERROR(VLOOKUP($A8,Sheet1!$A$1:$B$80,2,0),"")</f>
        <v>Cá viên KK</v>
      </c>
      <c r="E8" s="30">
        <f>IFERROR(VLOOKUP($A8,'Tổng Đơn'!$A$5:$E$52,5,0),"")</f>
        <v>0.5</v>
      </c>
      <c r="F8" s="30">
        <f t="shared" ref="F8:F37" si="1">IF($B8="","",B8)</f>
        <v>1</v>
      </c>
      <c r="G8" s="155">
        <f>IFERROR(VLOOKUP($A8,Sheet1!$A1:$D$80,4,0),"")</f>
        <v>25000</v>
      </c>
      <c r="H8" s="148">
        <f>IF($C7=MAX($C$8:$C$56),SUM($H7:$H$8),IFERROR($G8*$F8,""))</f>
        <v>25000</v>
      </c>
      <c r="I8" s="54">
        <f t="shared" ref="I8:I37" si="2">IF(TYPE($A8)&lt;&gt;1,"",IFERROR(F8*E8,""))</f>
        <v>0.5</v>
      </c>
      <c r="L8" s="32"/>
    </row>
    <row r="9" spans="1:14" s="29" customFormat="1" ht="14.25" customHeight="1" x14ac:dyDescent="0.25">
      <c r="A9" s="150" t="s">
        <v>310</v>
      </c>
      <c r="B9" s="150"/>
      <c r="C9" s="30" t="str">
        <f t="shared" si="0"/>
        <v/>
      </c>
      <c r="D9" s="147" t="str">
        <f>IFERROR(VLOOKUP($A9,Sheet1!$A$1:$B$80,2,0),"")</f>
        <v/>
      </c>
      <c r="E9" s="30" t="str">
        <f>IFERROR(VLOOKUP($A9,'Tổng Đơn'!$A$5:$E$52,5,0),"")</f>
        <v/>
      </c>
      <c r="F9" s="30" t="str">
        <f t="shared" si="1"/>
        <v/>
      </c>
      <c r="G9" s="155" t="str">
        <f>IF(AND($C9="",$C8&lt;&gt;""),"Tổng Cộng",IFERROR(VLOOKUP($A9,Sheet1!$A$1:$D$80,4,0),""))</f>
        <v>Tổng Cộng</v>
      </c>
      <c r="H9" s="148">
        <f>IF($C8=MAX($C$8:$C$56),SUM($H$8:$H8),IFERROR($G9*$F9,""))</f>
        <v>25000</v>
      </c>
      <c r="I9" s="54" t="str">
        <f t="shared" si="2"/>
        <v/>
      </c>
      <c r="L9" s="31"/>
    </row>
    <row r="10" spans="1:14" s="29" customFormat="1" ht="14.25" customHeight="1" x14ac:dyDescent="0.25">
      <c r="A10" s="150" t="s">
        <v>310</v>
      </c>
      <c r="B10" s="150"/>
      <c r="C10" s="30" t="str">
        <f t="shared" si="0"/>
        <v/>
      </c>
      <c r="D10" s="147" t="str">
        <f>IFERROR(VLOOKUP($A10,Sheet1!$A$1:$B$80,2,0),"")</f>
        <v/>
      </c>
      <c r="E10" s="30" t="str">
        <f>IFERROR(VLOOKUP($A10,'Tổng Đơn'!$A$5:$E$52,5,0),"")</f>
        <v/>
      </c>
      <c r="F10" s="30" t="str">
        <f t="shared" si="1"/>
        <v/>
      </c>
      <c r="G10" s="155" t="str">
        <f>IF(AND($C10="",$C9&lt;&gt;""),"Tổng Cộng",IFERROR(VLOOKUP($A10,Sheet1!$A$1:$D$80,4,0),""))</f>
        <v/>
      </c>
      <c r="H10" s="148" t="str">
        <f>IF($C9=MAX($C$8:$C$56),SUM($H$8:$H9),IFERROR($G10*$F10,""))</f>
        <v/>
      </c>
      <c r="I10" s="54" t="str">
        <f t="shared" si="2"/>
        <v/>
      </c>
      <c r="L10" s="31"/>
    </row>
    <row r="11" spans="1:14" s="29" customFormat="1" ht="14.25" customHeight="1" x14ac:dyDescent="0.25">
      <c r="A11" s="150" t="s">
        <v>310</v>
      </c>
      <c r="B11" s="150"/>
      <c r="C11" s="30" t="str">
        <f t="shared" si="0"/>
        <v/>
      </c>
      <c r="D11" s="147" t="str">
        <f>IFERROR(VLOOKUP($A11,Sheet1!$A$1:$B$80,2,0),"")</f>
        <v/>
      </c>
      <c r="E11" s="30" t="str">
        <f>IFERROR(VLOOKUP($A11,'Tổng Đơn'!$A$5:$E$52,5,0),"")</f>
        <v/>
      </c>
      <c r="F11" s="30" t="str">
        <f t="shared" si="1"/>
        <v/>
      </c>
      <c r="G11" s="155" t="str">
        <f>IF(AND($C11="",$C10&lt;&gt;""),"Tổng Cộng",IFERROR(VLOOKUP($A11,Sheet1!$A$1:$D$80,4,0),""))</f>
        <v/>
      </c>
      <c r="H11" s="148" t="str">
        <f>IF($C10=MAX($C$8:$C$56),SUM($H$8:$H10),IFERROR($G11*$F11,""))</f>
        <v/>
      </c>
      <c r="I11" s="54" t="str">
        <f t="shared" si="2"/>
        <v/>
      </c>
      <c r="L11" s="31"/>
    </row>
    <row r="12" spans="1:14" s="29" customFormat="1" ht="14.25" customHeight="1" x14ac:dyDescent="0.25">
      <c r="A12" s="150" t="s">
        <v>310</v>
      </c>
      <c r="B12" s="150"/>
      <c r="C12" s="30" t="str">
        <f t="shared" si="0"/>
        <v/>
      </c>
      <c r="D12" s="147" t="str">
        <f>IFERROR(VLOOKUP($A12,Sheet1!$A$1:$B$80,2,0),"")</f>
        <v/>
      </c>
      <c r="E12" s="30" t="str">
        <f>IFERROR(VLOOKUP($A12,'Tổng Đơn'!$A$5:$E$52,5,0),"")</f>
        <v/>
      </c>
      <c r="F12" s="30" t="str">
        <f t="shared" si="1"/>
        <v/>
      </c>
      <c r="G12" s="155" t="str">
        <f>IF(AND($C12="",$C11&lt;&gt;""),"Tổng Cộng",IFERROR(VLOOKUP($A12,Sheet1!$A$1:$D$80,4,0),""))</f>
        <v/>
      </c>
      <c r="H12" s="148" t="str">
        <f>IF($C11=MAX($C$8:$C$56),SUM($H$8:$H11),IFERROR($G12*$F12,""))</f>
        <v/>
      </c>
      <c r="I12" s="54" t="str">
        <f t="shared" si="2"/>
        <v/>
      </c>
      <c r="J12" s="125"/>
      <c r="L12" s="31"/>
      <c r="N12" s="126"/>
    </row>
    <row r="13" spans="1:14" s="29" customFormat="1" ht="14.25" customHeight="1" x14ac:dyDescent="0.25">
      <c r="A13" s="150" t="s">
        <v>310</v>
      </c>
      <c r="B13" s="150"/>
      <c r="C13" s="30" t="str">
        <f t="shared" si="0"/>
        <v/>
      </c>
      <c r="D13" s="147" t="str">
        <f>IFERROR(VLOOKUP($A13,Sheet1!$A$1:$B$80,2,0),"")</f>
        <v/>
      </c>
      <c r="E13" s="30" t="str">
        <f>IFERROR(VLOOKUP($A13,'Tổng Đơn'!$A$5:$E$52,5,0),"")</f>
        <v/>
      </c>
      <c r="F13" s="30" t="str">
        <f t="shared" si="1"/>
        <v/>
      </c>
      <c r="G13" s="155" t="str">
        <f>IF(AND($C13="",$C12&lt;&gt;""),"Tổng Cộng",IFERROR(VLOOKUP($A13,Sheet1!$A$1:$D$80,4,0),""))</f>
        <v/>
      </c>
      <c r="H13" s="148" t="str">
        <f>IF($C12=MAX($C$8:$C$56),SUM($H$8:$H12),IFERROR($G13*$F13,""))</f>
        <v/>
      </c>
      <c r="I13" s="54" t="str">
        <f t="shared" si="2"/>
        <v/>
      </c>
      <c r="L13" s="31"/>
    </row>
    <row r="14" spans="1:14" s="29" customFormat="1" ht="14.25" customHeight="1" x14ac:dyDescent="0.25">
      <c r="A14" s="150" t="s">
        <v>310</v>
      </c>
      <c r="B14" s="150"/>
      <c r="C14" s="30" t="str">
        <f t="shared" si="0"/>
        <v/>
      </c>
      <c r="D14" s="147" t="str">
        <f>IFERROR(VLOOKUP($A14,Sheet1!$A$1:$B$80,2,0),"")</f>
        <v/>
      </c>
      <c r="E14" s="30" t="str">
        <f>IFERROR(VLOOKUP($A14,'Tổng Đơn'!$A$5:$E$52,5,0),"")</f>
        <v/>
      </c>
      <c r="F14" s="30" t="str">
        <f t="shared" si="1"/>
        <v/>
      </c>
      <c r="G14" s="155" t="str">
        <f>IF(AND($C14="",$C13&lt;&gt;""),"Tổng Cộng",IFERROR(VLOOKUP($A14,Sheet1!$A$1:$D$80,4,0),""))</f>
        <v/>
      </c>
      <c r="H14" s="148" t="str">
        <f>IF($C13=MAX($C$8:$C$56),SUM($H$8:$H13),IFERROR($G14*$F14,""))</f>
        <v/>
      </c>
      <c r="I14" s="54" t="str">
        <f t="shared" si="2"/>
        <v/>
      </c>
      <c r="L14" s="31"/>
      <c r="M14" s="132"/>
    </row>
    <row r="15" spans="1:14" s="29" customFormat="1" ht="14.25" customHeight="1" x14ac:dyDescent="0.25">
      <c r="A15" s="150" t="s">
        <v>310</v>
      </c>
      <c r="B15" s="150"/>
      <c r="C15" s="30" t="str">
        <f t="shared" si="0"/>
        <v/>
      </c>
      <c r="D15" s="147" t="str">
        <f>IFERROR(VLOOKUP($A15,Sheet1!$A$1:$B$80,2,0),"")</f>
        <v/>
      </c>
      <c r="E15" s="30" t="str">
        <f>IFERROR(VLOOKUP($A15,'Tổng Đơn'!$A$5:$E$52,5,0),"")</f>
        <v/>
      </c>
      <c r="F15" s="30" t="str">
        <f t="shared" si="1"/>
        <v/>
      </c>
      <c r="G15" s="155" t="str">
        <f>IF(AND($C15="",$C14&lt;&gt;""),"Tổng Cộng",IFERROR(VLOOKUP($A15,Sheet1!$A$1:$D$80,4,0),""))</f>
        <v/>
      </c>
      <c r="H15" s="148" t="str">
        <f>IF($C14=MAX($C$8:$C$56),SUM($H$8:$H14),IFERROR($G15*$F15,""))</f>
        <v/>
      </c>
      <c r="I15" s="54" t="str">
        <f t="shared" si="2"/>
        <v/>
      </c>
      <c r="L15" s="31"/>
    </row>
    <row r="16" spans="1:14" s="29" customFormat="1" ht="14.25" customHeight="1" x14ac:dyDescent="0.25">
      <c r="A16" s="150" t="s">
        <v>310</v>
      </c>
      <c r="B16" s="150"/>
      <c r="C16" s="30" t="str">
        <f t="shared" si="0"/>
        <v/>
      </c>
      <c r="D16" s="147" t="str">
        <f>IFERROR(VLOOKUP($A16,Sheet1!$A$1:$B$80,2,0),"")</f>
        <v/>
      </c>
      <c r="E16" s="30" t="str">
        <f>IFERROR(VLOOKUP($A16,'Tổng Đơn'!$A$5:$E$52,5,0),"")</f>
        <v/>
      </c>
      <c r="F16" s="30" t="str">
        <f t="shared" si="1"/>
        <v/>
      </c>
      <c r="G16" s="155" t="str">
        <f>IF(AND($C16="",$C15&lt;&gt;""),"Tổng Cộng",IFERROR(VLOOKUP($A16,Sheet1!$A$1:$D$80,4,0),""))</f>
        <v/>
      </c>
      <c r="H16" s="148" t="str">
        <f>IF($C15=MAX($C$8:$C$56),SUM($H$8:$H15),IFERROR($G16*$F16,""))</f>
        <v/>
      </c>
      <c r="I16" s="54" t="str">
        <f t="shared" si="2"/>
        <v/>
      </c>
      <c r="L16" s="31"/>
    </row>
    <row r="17" spans="1:12" s="29" customFormat="1" ht="14.25" customHeight="1" x14ac:dyDescent="0.25">
      <c r="A17" s="150" t="s">
        <v>310</v>
      </c>
      <c r="B17" s="150"/>
      <c r="C17" s="30" t="str">
        <f t="shared" si="0"/>
        <v/>
      </c>
      <c r="D17" s="147" t="str">
        <f>IFERROR(VLOOKUP($A17,Sheet1!$A$1:$B$80,2,0),"")</f>
        <v/>
      </c>
      <c r="E17" s="30" t="str">
        <f>IFERROR(VLOOKUP($A17,'Tổng Đơn'!$A$5:$E$52,5,0),"")</f>
        <v/>
      </c>
      <c r="F17" s="30" t="str">
        <f t="shared" si="1"/>
        <v/>
      </c>
      <c r="G17" s="155" t="str">
        <f>IF(AND($C17="",$C16&lt;&gt;""),"Tổng Cộng",IFERROR(VLOOKUP($A17,Sheet1!$A$1:$D$80,4,0),""))</f>
        <v/>
      </c>
      <c r="H17" s="148" t="str">
        <f>IF($C16=MAX($C$8:$C$56),SUM($H$8:$H16),IFERROR($G17*$F17,""))</f>
        <v/>
      </c>
      <c r="I17" s="54" t="str">
        <f t="shared" si="2"/>
        <v/>
      </c>
      <c r="L17" s="31"/>
    </row>
    <row r="18" spans="1:12" s="29" customFormat="1" ht="14.25" customHeight="1" x14ac:dyDescent="0.25">
      <c r="A18" s="150" t="s">
        <v>310</v>
      </c>
      <c r="B18" s="150"/>
      <c r="C18" s="30" t="str">
        <f t="shared" si="0"/>
        <v/>
      </c>
      <c r="D18" s="147" t="str">
        <f>IFERROR(VLOOKUP($A18,Sheet1!$A$1:$B$80,2,0),"")</f>
        <v/>
      </c>
      <c r="E18" s="30" t="str">
        <f>IFERROR(VLOOKUP($A18,'Tổng Đơn'!$A$5:$E$52,5,0),"")</f>
        <v/>
      </c>
      <c r="F18" s="30" t="str">
        <f t="shared" si="1"/>
        <v/>
      </c>
      <c r="G18" s="155" t="str">
        <f>IF(AND($C18="",$C17&lt;&gt;""),"Tổng Cộng",IFERROR(VLOOKUP($A18,Sheet1!$A$1:$D$80,4,0),""))</f>
        <v/>
      </c>
      <c r="H18" s="148" t="str">
        <f>IF($C17=MAX($C$8:$C$56),SUM($H$8:$H17),IFERROR($G18*$F18,""))</f>
        <v/>
      </c>
      <c r="I18" s="54" t="str">
        <f t="shared" si="2"/>
        <v/>
      </c>
      <c r="L18" s="31"/>
    </row>
    <row r="19" spans="1:12" s="29" customFormat="1" ht="14.25" customHeight="1" x14ac:dyDescent="0.25">
      <c r="A19" s="150" t="s">
        <v>310</v>
      </c>
      <c r="B19" s="150"/>
      <c r="C19" s="30" t="str">
        <f t="shared" si="0"/>
        <v/>
      </c>
      <c r="D19" s="147" t="str">
        <f>IFERROR(VLOOKUP($A19,Sheet1!$A$1:$B$80,2,0),"")</f>
        <v/>
      </c>
      <c r="E19" s="30" t="str">
        <f>IFERROR(VLOOKUP($A19,'Tổng Đơn'!$A$5:$E$52,5,0),"")</f>
        <v/>
      </c>
      <c r="F19" s="30" t="str">
        <f t="shared" si="1"/>
        <v/>
      </c>
      <c r="G19" s="155" t="str">
        <f>IF(AND($C19="",$C18&lt;&gt;""),"Tổng Cộng",IFERROR(VLOOKUP($A19,Sheet1!$A$1:$D$80,4,0),""))</f>
        <v/>
      </c>
      <c r="H19" s="148" t="str">
        <f>IF($C18=MAX($C$8:$C$56),SUM($H$8:$H18),IFERROR($G19*$F19,""))</f>
        <v/>
      </c>
      <c r="I19" s="54" t="str">
        <f t="shared" si="2"/>
        <v/>
      </c>
      <c r="L19" s="31"/>
    </row>
    <row r="20" spans="1:12" s="29" customFormat="1" ht="14.25" customHeight="1" x14ac:dyDescent="0.25">
      <c r="A20" s="150" t="s">
        <v>310</v>
      </c>
      <c r="B20" s="150"/>
      <c r="C20" s="30" t="str">
        <f t="shared" si="0"/>
        <v/>
      </c>
      <c r="D20" s="147" t="str">
        <f>IFERROR(VLOOKUP($A20,Sheet1!$A$1:$B$80,2,0),"")</f>
        <v/>
      </c>
      <c r="E20" s="30" t="str">
        <f>IFERROR(VLOOKUP($A20,'Tổng Đơn'!$A$5:$E$52,5,0),"")</f>
        <v/>
      </c>
      <c r="F20" s="30" t="str">
        <f t="shared" si="1"/>
        <v/>
      </c>
      <c r="G20" s="155" t="str">
        <f>IF(AND($C20="",$C19&lt;&gt;""),"Tổng Cộng",IFERROR(VLOOKUP($A20,Sheet1!$A$1:$D$80,4,0),""))</f>
        <v/>
      </c>
      <c r="H20" s="148" t="str">
        <f>IF($C19=MAX($C$8:$C$56),SUM($H$8:$H19),IFERROR($G20*$F20,""))</f>
        <v/>
      </c>
      <c r="I20" s="54" t="str">
        <f t="shared" si="2"/>
        <v/>
      </c>
      <c r="L20" s="31"/>
    </row>
    <row r="21" spans="1:12" s="29" customFormat="1" ht="14.25" customHeight="1" x14ac:dyDescent="0.25">
      <c r="A21" s="150" t="s">
        <v>310</v>
      </c>
      <c r="B21" s="150"/>
      <c r="C21" s="30" t="str">
        <f t="shared" si="0"/>
        <v/>
      </c>
      <c r="D21" s="147" t="str">
        <f>IFERROR(VLOOKUP($A21,Sheet1!$A$1:$B$80,2,0),"")</f>
        <v/>
      </c>
      <c r="E21" s="30" t="str">
        <f>IFERROR(VLOOKUP($A21,'Tổng Đơn'!$A$5:$E$52,5,0),"")</f>
        <v/>
      </c>
      <c r="F21" s="30" t="str">
        <f t="shared" si="1"/>
        <v/>
      </c>
      <c r="G21" s="155" t="str">
        <f>IF(AND($C21="",$C20&lt;&gt;""),"Tổng Cộng",IFERROR(VLOOKUP($A21,Sheet1!$A$1:$D$80,4,0),""))</f>
        <v/>
      </c>
      <c r="H21" s="148" t="str">
        <f>IF($C20=MAX($C$8:$C$56),SUM($H$8:$H20),IFERROR($G21*$F21,""))</f>
        <v/>
      </c>
      <c r="I21" s="54" t="str">
        <f t="shared" si="2"/>
        <v/>
      </c>
      <c r="L21" s="31"/>
    </row>
    <row r="22" spans="1:12" s="29" customFormat="1" ht="14.25" customHeight="1" x14ac:dyDescent="0.25">
      <c r="A22" s="150" t="s">
        <v>310</v>
      </c>
      <c r="B22" s="150"/>
      <c r="C22" s="30" t="str">
        <f t="shared" si="0"/>
        <v/>
      </c>
      <c r="D22" s="147" t="str">
        <f>IFERROR(VLOOKUP($A22,Sheet1!$A$1:$B$80,2,0),"")</f>
        <v/>
      </c>
      <c r="E22" s="30" t="str">
        <f>IFERROR(VLOOKUP($A22,'Tổng Đơn'!$A$5:$E$52,5,0),"")</f>
        <v/>
      </c>
      <c r="F22" s="30" t="str">
        <f t="shared" si="1"/>
        <v/>
      </c>
      <c r="G22" s="155" t="str">
        <f>IF(AND($C22="",$C21&lt;&gt;""),"Tổng Cộng",IFERROR(VLOOKUP($A22,Sheet1!$A$1:$D$80,4,0),""))</f>
        <v/>
      </c>
      <c r="H22" s="148" t="str">
        <f>IF($C21=MAX($C$8:$C$56),SUM($H$8:$H21),IFERROR($G22*$F22,""))</f>
        <v/>
      </c>
      <c r="I22" s="54" t="str">
        <f t="shared" si="2"/>
        <v/>
      </c>
      <c r="L22" s="31"/>
    </row>
    <row r="23" spans="1:12" s="29" customFormat="1" ht="14.25" customHeight="1" x14ac:dyDescent="0.25">
      <c r="A23" s="150" t="s">
        <v>310</v>
      </c>
      <c r="B23" s="150"/>
      <c r="C23" s="30" t="str">
        <f t="shared" si="0"/>
        <v/>
      </c>
      <c r="D23" s="147" t="str">
        <f>IFERROR(VLOOKUP($A23,Sheet1!$A$1:$B$80,2,0),"")</f>
        <v/>
      </c>
      <c r="E23" s="30" t="str">
        <f>IFERROR(VLOOKUP($A23,'Tổng Đơn'!$A$5:$E$52,5,0),"")</f>
        <v/>
      </c>
      <c r="F23" s="30" t="str">
        <f t="shared" si="1"/>
        <v/>
      </c>
      <c r="G23" s="155" t="str">
        <f>IF(AND($C23="",$C22&lt;&gt;""),"Tổng Cộng",IFERROR(VLOOKUP($A23,Sheet1!$A$1:$D$80,4,0),""))</f>
        <v/>
      </c>
      <c r="H23" s="148" t="str">
        <f>IF($C22=MAX($C$8:$C$56),SUM($H$8:$H22),IFERROR($G23*$F23,""))</f>
        <v/>
      </c>
      <c r="I23" s="54" t="str">
        <f t="shared" si="2"/>
        <v/>
      </c>
      <c r="L23" s="31"/>
    </row>
    <row r="24" spans="1:12" s="29" customFormat="1" ht="14.25" customHeight="1" x14ac:dyDescent="0.25">
      <c r="A24" s="150" t="s">
        <v>310</v>
      </c>
      <c r="B24" s="150"/>
      <c r="C24" s="30" t="str">
        <f t="shared" si="0"/>
        <v/>
      </c>
      <c r="D24" s="147" t="str">
        <f>IFERROR(VLOOKUP($A24,Sheet1!$A$1:$B$80,2,0),"")</f>
        <v/>
      </c>
      <c r="E24" s="30" t="str">
        <f>IFERROR(VLOOKUP($A24,'Tổng Đơn'!$A$5:$E$52,5,0),"")</f>
        <v/>
      </c>
      <c r="F24" s="30" t="str">
        <f t="shared" si="1"/>
        <v/>
      </c>
      <c r="G24" s="155" t="str">
        <f>IF(AND($C24="",$C23&lt;&gt;""),"Tổng Cộng",IFERROR(VLOOKUP($A24,Sheet1!$A$1:$D$80,4,0),""))</f>
        <v/>
      </c>
      <c r="H24" s="148" t="str">
        <f>IF($C23=MAX($C$8:$C$56),SUM($H$8:$H23),IFERROR($G24*$F24,""))</f>
        <v/>
      </c>
      <c r="I24" s="54" t="str">
        <f t="shared" si="2"/>
        <v/>
      </c>
      <c r="L24" s="31"/>
    </row>
    <row r="25" spans="1:12" s="29" customFormat="1" ht="14.25" customHeight="1" x14ac:dyDescent="0.25">
      <c r="A25" s="150" t="s">
        <v>310</v>
      </c>
      <c r="B25" s="150"/>
      <c r="C25" s="30" t="str">
        <f t="shared" si="0"/>
        <v/>
      </c>
      <c r="D25" s="147" t="str">
        <f>IFERROR(VLOOKUP($A25,Sheet1!$A$1:$B$80,2,0),"")</f>
        <v/>
      </c>
      <c r="E25" s="30" t="str">
        <f>IFERROR(VLOOKUP($A25,'Tổng Đơn'!$A$5:$E$52,5,0),"")</f>
        <v/>
      </c>
      <c r="F25" s="30" t="str">
        <f t="shared" si="1"/>
        <v/>
      </c>
      <c r="G25" s="155" t="str">
        <f>IF(AND($C25="",$C24&lt;&gt;""),"Tổng Cộng",IFERROR(VLOOKUP($A25,Sheet1!$A$1:$D$80,4,0),""))</f>
        <v/>
      </c>
      <c r="H25" s="148" t="str">
        <f>IF($C24=MAX($C$8:$C$56),SUM($H$8:$H24),IFERROR($G25*$F25,""))</f>
        <v/>
      </c>
      <c r="I25" s="54" t="str">
        <f t="shared" si="2"/>
        <v/>
      </c>
      <c r="L25" s="31"/>
    </row>
    <row r="26" spans="1:12" s="29" customFormat="1" ht="14.25" customHeight="1" x14ac:dyDescent="0.25">
      <c r="A26" s="150" t="s">
        <v>310</v>
      </c>
      <c r="B26" s="150"/>
      <c r="C26" s="30" t="str">
        <f t="shared" si="0"/>
        <v/>
      </c>
      <c r="D26" s="147" t="str">
        <f>IFERROR(VLOOKUP($A26,Sheet1!$A$1:$B$80,2,0),"")</f>
        <v/>
      </c>
      <c r="E26" s="30" t="str">
        <f>IFERROR(VLOOKUP($A26,'Tổng Đơn'!$A$5:$E$52,5,0),"")</f>
        <v/>
      </c>
      <c r="F26" s="30" t="str">
        <f t="shared" si="1"/>
        <v/>
      </c>
      <c r="G26" s="155" t="str">
        <f>IF(AND($C26="",$C25&lt;&gt;""),"Tổng Cộng",IFERROR(VLOOKUP($A26,Sheet1!$A$1:$D$80,4,0),""))</f>
        <v/>
      </c>
      <c r="H26" s="148" t="str">
        <f>IF($C25=MAX($C$8:$C$56),SUM($H$8:$H25),IFERROR($G26*$F26,""))</f>
        <v/>
      </c>
      <c r="I26" s="54" t="str">
        <f t="shared" si="2"/>
        <v/>
      </c>
      <c r="L26" s="31"/>
    </row>
    <row r="27" spans="1:12" s="29" customFormat="1" ht="14.25" customHeight="1" x14ac:dyDescent="0.25">
      <c r="A27" s="150" t="s">
        <v>310</v>
      </c>
      <c r="B27" s="150"/>
      <c r="C27" s="30" t="str">
        <f t="shared" si="0"/>
        <v/>
      </c>
      <c r="D27" s="147" t="str">
        <f>IFERROR(VLOOKUP($A27,Sheet1!$A$1:$B$80,2,0),"")</f>
        <v/>
      </c>
      <c r="E27" s="30" t="str">
        <f>IFERROR(VLOOKUP($A27,'Tổng Đơn'!$A$5:$E$52,5,0),"")</f>
        <v/>
      </c>
      <c r="F27" s="30" t="str">
        <f t="shared" si="1"/>
        <v/>
      </c>
      <c r="G27" s="155" t="str">
        <f>IF(AND($C27="",$C26&lt;&gt;""),"Tổng Cộng",IFERROR(VLOOKUP($A27,Sheet1!$A$1:$D$80,4,0),""))</f>
        <v/>
      </c>
      <c r="H27" s="148" t="str">
        <f>IF($C26=MAX($C$8:$C$56),SUM($H$8:$H26),IFERROR($G27*$F27,""))</f>
        <v/>
      </c>
      <c r="I27" s="54" t="str">
        <f t="shared" si="2"/>
        <v/>
      </c>
      <c r="L27" s="31"/>
    </row>
    <row r="28" spans="1:12" s="29" customFormat="1" ht="14.25" customHeight="1" x14ac:dyDescent="0.25">
      <c r="A28" s="150" t="s">
        <v>310</v>
      </c>
      <c r="B28" s="150"/>
      <c r="C28" s="30" t="str">
        <f t="shared" si="0"/>
        <v/>
      </c>
      <c r="D28" s="147" t="str">
        <f>IFERROR(VLOOKUP($A28,Sheet1!$A$1:$B$80,2,0),"")</f>
        <v/>
      </c>
      <c r="E28" s="30" t="str">
        <f>IFERROR(VLOOKUP($A28,'Tổng Đơn'!$A$5:$E$52,5,0),"")</f>
        <v/>
      </c>
      <c r="F28" s="30" t="str">
        <f t="shared" si="1"/>
        <v/>
      </c>
      <c r="G28" s="155" t="str">
        <f>IF(AND($C28="",$C27&lt;&gt;""),"Tổng Cộng",IFERROR(VLOOKUP($A28,Sheet1!$A$1:$D$80,4,0),""))</f>
        <v/>
      </c>
      <c r="H28" s="148" t="str">
        <f>IF($C27=MAX($C$8:$C$56),SUM($H$8:$H27),IFERROR($G28*$F28,""))</f>
        <v/>
      </c>
      <c r="I28" s="54" t="str">
        <f t="shared" si="2"/>
        <v/>
      </c>
      <c r="L28" s="31"/>
    </row>
    <row r="29" spans="1:12" s="29" customFormat="1" ht="14.25" customHeight="1" x14ac:dyDescent="0.25">
      <c r="A29" s="150" t="s">
        <v>310</v>
      </c>
      <c r="B29" s="150"/>
      <c r="C29" s="30" t="str">
        <f t="shared" si="0"/>
        <v/>
      </c>
      <c r="D29" s="147" t="str">
        <f>IFERROR(VLOOKUP($A29,Sheet1!$A$1:$B$80,2,0),"")</f>
        <v/>
      </c>
      <c r="E29" s="30" t="str">
        <f>IFERROR(VLOOKUP($A29,'Tổng Đơn'!$A$5:$E$52,5,0),"")</f>
        <v/>
      </c>
      <c r="F29" s="30" t="str">
        <f t="shared" si="1"/>
        <v/>
      </c>
      <c r="G29" s="155" t="str">
        <f>IF(AND($C29="",$C28&lt;&gt;""),"Tổng Cộng",IFERROR(VLOOKUP($A29,Sheet1!$A$1:$D$80,4,0),""))</f>
        <v/>
      </c>
      <c r="H29" s="148" t="str">
        <f>IF($C28=MAX($C$8:$C$56),SUM($H$8:$H28),IFERROR($G29*$F29,""))</f>
        <v/>
      </c>
      <c r="I29" s="54" t="str">
        <f t="shared" si="2"/>
        <v/>
      </c>
      <c r="L29" s="31"/>
    </row>
    <row r="30" spans="1:12" s="29" customFormat="1" ht="14.25" customHeight="1" x14ac:dyDescent="0.25">
      <c r="A30" s="150" t="s">
        <v>310</v>
      </c>
      <c r="B30" s="150"/>
      <c r="C30" s="30" t="str">
        <f t="shared" si="0"/>
        <v/>
      </c>
      <c r="D30" s="147" t="str">
        <f>IFERROR(VLOOKUP($A30,Sheet1!$A$1:$B$80,2,0),"")</f>
        <v/>
      </c>
      <c r="E30" s="30" t="str">
        <f>IFERROR(VLOOKUP($A30,'Tổng Đơn'!$A$5:$E$52,5,0),"")</f>
        <v/>
      </c>
      <c r="F30" s="30" t="str">
        <f t="shared" si="1"/>
        <v/>
      </c>
      <c r="G30" s="155" t="str">
        <f>IF(AND($C30="",$C29&lt;&gt;""),"Tổng Cộng",IFERROR(VLOOKUP($A30,Sheet1!$A$1:$D$80,4,0),""))</f>
        <v/>
      </c>
      <c r="H30" s="148" t="str">
        <f>IF($C29=MAX($C$8:$C$56),SUM($H$8:$H29),IFERROR($G30*$F30,""))</f>
        <v/>
      </c>
      <c r="I30" s="54" t="str">
        <f t="shared" si="2"/>
        <v/>
      </c>
      <c r="L30" s="31"/>
    </row>
    <row r="31" spans="1:12" s="29" customFormat="1" ht="14.25" customHeight="1" x14ac:dyDescent="0.25">
      <c r="A31" s="150" t="s">
        <v>310</v>
      </c>
      <c r="B31" s="150"/>
      <c r="C31" s="30" t="str">
        <f t="shared" si="0"/>
        <v/>
      </c>
      <c r="D31" s="147" t="str">
        <f>IFERROR(VLOOKUP($A31,Sheet1!$A$1:$B$80,2,0),"")</f>
        <v/>
      </c>
      <c r="E31" s="30" t="str">
        <f>IFERROR(VLOOKUP($A31,'Tổng Đơn'!$A$5:$E$52,5,0),"")</f>
        <v/>
      </c>
      <c r="F31" s="30" t="str">
        <f t="shared" si="1"/>
        <v/>
      </c>
      <c r="G31" s="155" t="str">
        <f>IF(AND($C31="",$C30&lt;&gt;""),"Tổng Cộng",IFERROR(VLOOKUP($A31,Sheet1!$A$1:$D$80,4,0),""))</f>
        <v/>
      </c>
      <c r="H31" s="148" t="str">
        <f>IF($C30=MAX($C$8:$C$56),SUM($H$8:$H30),IFERROR($G31*$F31,""))</f>
        <v/>
      </c>
      <c r="I31" s="54" t="str">
        <f t="shared" si="2"/>
        <v/>
      </c>
      <c r="L31" s="31"/>
    </row>
    <row r="32" spans="1:12" s="29" customFormat="1" ht="14.25" customHeight="1" x14ac:dyDescent="0.25">
      <c r="A32" s="150" t="s">
        <v>310</v>
      </c>
      <c r="B32" s="150"/>
      <c r="C32" s="30" t="str">
        <f t="shared" si="0"/>
        <v/>
      </c>
      <c r="D32" s="147" t="str">
        <f>IFERROR(VLOOKUP($A32,Sheet1!$A$1:$B$80,2,0),"")</f>
        <v/>
      </c>
      <c r="E32" s="30" t="str">
        <f>IFERROR(VLOOKUP($A32,'Tổng Đơn'!$A$5:$E$52,5,0),"")</f>
        <v/>
      </c>
      <c r="F32" s="30" t="str">
        <f t="shared" si="1"/>
        <v/>
      </c>
      <c r="G32" s="155" t="str">
        <f>IF(AND($C32="",$C31&lt;&gt;""),"Tổng Cộng",IFERROR(VLOOKUP($A32,Sheet1!$A$1:$D$80,4,0),""))</f>
        <v/>
      </c>
      <c r="H32" s="148" t="str">
        <f>IF($C31=MAX($C$8:$C$56),SUM($H$8:$H31),IFERROR($G32*$F32,""))</f>
        <v/>
      </c>
      <c r="I32" s="54" t="str">
        <f t="shared" si="2"/>
        <v/>
      </c>
      <c r="L32" s="31"/>
    </row>
    <row r="33" spans="1:12" s="29" customFormat="1" ht="14.25" customHeight="1" x14ac:dyDescent="0.25">
      <c r="A33" s="150" t="s">
        <v>310</v>
      </c>
      <c r="B33" s="150"/>
      <c r="C33" s="30" t="str">
        <f t="shared" si="0"/>
        <v/>
      </c>
      <c r="D33" s="147" t="str">
        <f>IFERROR(VLOOKUP($A33,Sheet1!$A$1:$B$80,2,0),"")</f>
        <v/>
      </c>
      <c r="E33" s="30" t="str">
        <f>IFERROR(VLOOKUP($A33,'Tổng Đơn'!$A$5:$E$52,5,0),"")</f>
        <v/>
      </c>
      <c r="F33" s="30" t="str">
        <f t="shared" si="1"/>
        <v/>
      </c>
      <c r="G33" s="155" t="str">
        <f>IF(AND($C33="",$C32&lt;&gt;""),"Tổng Cộng",IFERROR(VLOOKUP($A33,Sheet1!$A$1:$D$80,4,0),""))</f>
        <v/>
      </c>
      <c r="H33" s="148" t="str">
        <f>IF($C32=MAX($C$8:$C$56),SUM($H$8:$H32),IFERROR($G33*$F33,""))</f>
        <v/>
      </c>
      <c r="I33" s="54" t="str">
        <f t="shared" si="2"/>
        <v/>
      </c>
      <c r="L33" s="31"/>
    </row>
    <row r="34" spans="1:12" s="29" customFormat="1" ht="14.25" customHeight="1" x14ac:dyDescent="0.25">
      <c r="A34" s="150" t="s">
        <v>310</v>
      </c>
      <c r="B34" s="150"/>
      <c r="C34" s="30" t="str">
        <f t="shared" si="0"/>
        <v/>
      </c>
      <c r="D34" s="147" t="str">
        <f>IFERROR(VLOOKUP($A34,Sheet1!$A$1:$B$80,2,0),"")</f>
        <v/>
      </c>
      <c r="E34" s="30" t="str">
        <f>IFERROR(VLOOKUP($A34,'Tổng Đơn'!$A$5:$E$52,5,0),"")</f>
        <v/>
      </c>
      <c r="F34" s="30" t="str">
        <f t="shared" si="1"/>
        <v/>
      </c>
      <c r="G34" s="155" t="str">
        <f>IF(AND($C34="",$C33&lt;&gt;""),"Tổng Cộng",IFERROR(VLOOKUP($A34,Sheet1!$A$1:$D$80,4,0),""))</f>
        <v/>
      </c>
      <c r="H34" s="148" t="str">
        <f>IF($C33=MAX($C$8:$C$56),SUM($H$8:$H33),IFERROR($G34*$F34,""))</f>
        <v/>
      </c>
      <c r="I34" s="54" t="str">
        <f t="shared" si="2"/>
        <v/>
      </c>
      <c r="L34" s="31"/>
    </row>
    <row r="35" spans="1:12" s="29" customFormat="1" ht="14.25" customHeight="1" x14ac:dyDescent="0.25">
      <c r="A35" s="150" t="s">
        <v>310</v>
      </c>
      <c r="B35" s="150"/>
      <c r="C35" s="30" t="str">
        <f t="shared" si="0"/>
        <v/>
      </c>
      <c r="D35" s="147" t="str">
        <f>IFERROR(VLOOKUP($A35,Sheet1!$A$1:$B$80,2,0),"")</f>
        <v/>
      </c>
      <c r="E35" s="30" t="str">
        <f>IFERROR(VLOOKUP($A35,'Tổng Đơn'!$A$5:$E$52,5,0),"")</f>
        <v/>
      </c>
      <c r="F35" s="30" t="str">
        <f t="shared" si="1"/>
        <v/>
      </c>
      <c r="G35" s="155" t="str">
        <f>IF(AND($C35="",$C34&lt;&gt;""),"Tổng Cộng",IFERROR(VLOOKUP($A35,Sheet1!$A$1:$D$80,4,0),""))</f>
        <v/>
      </c>
      <c r="H35" s="148" t="str">
        <f>IF($C34=MAX($C$8:$C$56),SUM($H$8:$H34),IFERROR($G35*$F35,""))</f>
        <v/>
      </c>
      <c r="I35" s="54" t="str">
        <f t="shared" si="2"/>
        <v/>
      </c>
      <c r="L35" s="31"/>
    </row>
    <row r="36" spans="1:12" s="29" customFormat="1" ht="14.25" customHeight="1" x14ac:dyDescent="0.25">
      <c r="A36" s="150" t="s">
        <v>310</v>
      </c>
      <c r="B36" s="150"/>
      <c r="C36" s="30" t="str">
        <f t="shared" si="0"/>
        <v/>
      </c>
      <c r="D36" s="147" t="str">
        <f>IFERROR(VLOOKUP($A36,Sheet1!$A$1:$B$80,2,0),"")</f>
        <v/>
      </c>
      <c r="E36" s="30" t="str">
        <f>IFERROR(VLOOKUP($A36,'Tổng Đơn'!$A$5:$E$52,5,0),"")</f>
        <v/>
      </c>
      <c r="F36" s="30" t="str">
        <f t="shared" si="1"/>
        <v/>
      </c>
      <c r="G36" s="155" t="str">
        <f>IF(AND($C36="",$C35&lt;&gt;""),"Tổng Cộng",IFERROR(VLOOKUP($A36,Sheet1!$A$1:$D$80,4,0),""))</f>
        <v/>
      </c>
      <c r="H36" s="148" t="str">
        <f>IF($C35=MAX($C$8:$C$56),SUM($H$8:$H35),IFERROR($G36*$F36,""))</f>
        <v/>
      </c>
      <c r="I36" s="54" t="str">
        <f t="shared" si="2"/>
        <v/>
      </c>
      <c r="L36" s="31"/>
    </row>
    <row r="37" spans="1:12" s="29" customFormat="1" ht="14.25" customHeight="1" x14ac:dyDescent="0.25">
      <c r="A37" s="150" t="s">
        <v>310</v>
      </c>
      <c r="B37" s="150"/>
      <c r="C37" s="30" t="str">
        <f t="shared" si="0"/>
        <v/>
      </c>
      <c r="D37" s="147" t="str">
        <f>IFERROR(VLOOKUP($A37,Sheet1!$A$1:$B$80,2,0),"")</f>
        <v/>
      </c>
      <c r="E37" s="30" t="str">
        <f>IFERROR(VLOOKUP($A37,'Tổng Đơn'!$A$5:$E$52,5,0),"")</f>
        <v/>
      </c>
      <c r="F37" s="30" t="str">
        <f t="shared" si="1"/>
        <v/>
      </c>
      <c r="G37" s="155" t="str">
        <f>IF(AND($C37="",$C36&lt;&gt;""),"Tổng Cộng",IFERROR(VLOOKUP($A37,Sheet1!$A$1:$D$80,4,0),""))</f>
        <v/>
      </c>
      <c r="H37" s="148" t="str">
        <f>IF($C36=MAX($C$8:$C$56),SUM($H$8:$H36),IFERROR($G37*$F37,""))</f>
        <v/>
      </c>
      <c r="I37" s="54" t="str">
        <f t="shared" si="2"/>
        <v/>
      </c>
      <c r="L37" s="31"/>
    </row>
    <row r="38" spans="1:12" s="29" customFormat="1" ht="14.25" customHeight="1" x14ac:dyDescent="0.25">
      <c r="A38" s="150"/>
      <c r="B38" s="150"/>
      <c r="C38" s="33"/>
      <c r="D38" s="34"/>
      <c r="E38" s="52"/>
      <c r="F38" s="30"/>
      <c r="G38" s="156" t="str">
        <f>IF(AND($C38="",$C37&lt;&gt;""),"Tổng Cộng",IFERROR(VLOOKUP($A38,Sheet1!$A$1:$D$80,4,0),""))</f>
        <v/>
      </c>
      <c r="H38" s="35" t="str">
        <f>IF($C37=MAX($C$8:$C$56),SUM($H$8:$H37),IFERROR($G38*$F38,""))</f>
        <v/>
      </c>
      <c r="I38" s="54"/>
      <c r="L38" s="31"/>
    </row>
    <row r="39" spans="1:12" ht="15" customHeight="1" x14ac:dyDescent="0.25">
      <c r="F39" s="36"/>
      <c r="G39" s="139"/>
      <c r="H39" s="37"/>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C38:E38 D23:E37 F23:H38">
    <cfRule type="expression" dxfId="407" priority="22">
      <formula>$C22=MAX($C$8:$C$37)</formula>
    </cfRule>
  </conditionalFormatting>
  <conditionalFormatting sqref="C23:C37">
    <cfRule type="expression" dxfId="406" priority="21">
      <formula>$C22=MAX($C$8:$C$37)</formula>
    </cfRule>
  </conditionalFormatting>
  <conditionalFormatting sqref="E23:E38">
    <cfRule type="expression" dxfId="405" priority="23">
      <formula>AND($A23="",$F23&lt;&gt;"")</formula>
    </cfRule>
  </conditionalFormatting>
  <conditionalFormatting sqref="F23:F38">
    <cfRule type="expression" dxfId="404" priority="24">
      <formula>AND($F23="",$A23&lt;&gt;"")</formula>
    </cfRule>
  </conditionalFormatting>
  <conditionalFormatting sqref="D20:H22">
    <cfRule type="expression" dxfId="403" priority="18">
      <formula>$C19=MAX($C$8:$C$37)</formula>
    </cfRule>
  </conditionalFormatting>
  <conditionalFormatting sqref="C20:C22">
    <cfRule type="expression" dxfId="402" priority="17">
      <formula>$C19=MAX($C$8:$C$37)</formula>
    </cfRule>
  </conditionalFormatting>
  <conditionalFormatting sqref="E20:E22">
    <cfRule type="expression" dxfId="401" priority="19">
      <formula>AND($A20="",$F20&lt;&gt;"")</formula>
    </cfRule>
  </conditionalFormatting>
  <conditionalFormatting sqref="F20:F22">
    <cfRule type="expression" dxfId="400" priority="20">
      <formula>AND($F20="",$A20&lt;&gt;"")</formula>
    </cfRule>
  </conditionalFormatting>
  <conditionalFormatting sqref="D15:H19 D12:F14 H12:H14">
    <cfRule type="expression" dxfId="399" priority="14">
      <formula>$C11=MAX($C$8:$C$37)</formula>
    </cfRule>
  </conditionalFormatting>
  <conditionalFormatting sqref="C12:C19">
    <cfRule type="expression" dxfId="398" priority="13">
      <formula>$C11=MAX($C$8:$C$37)</formula>
    </cfRule>
  </conditionalFormatting>
  <conditionalFormatting sqref="E12:E19">
    <cfRule type="expression" dxfId="397" priority="15">
      <formula>AND($A12="",$F12&lt;&gt;"")</formula>
    </cfRule>
  </conditionalFormatting>
  <conditionalFormatting sqref="F12:F19">
    <cfRule type="expression" dxfId="396" priority="16">
      <formula>AND($F12="",$A12&lt;&gt;"")</formula>
    </cfRule>
  </conditionalFormatting>
  <conditionalFormatting sqref="G12:G14">
    <cfRule type="expression" dxfId="395" priority="12">
      <formula>$C11=MAX($C$8:$C$37)</formula>
    </cfRule>
  </conditionalFormatting>
  <conditionalFormatting sqref="D9:F11 H9:H11">
    <cfRule type="expression" dxfId="394" priority="9">
      <formula>$C8=MAX($C$8:$C$37)</formula>
    </cfRule>
  </conditionalFormatting>
  <conditionalFormatting sqref="C9:C11">
    <cfRule type="expression" dxfId="393" priority="8">
      <formula>$C8=MAX($C$8:$C$37)</formula>
    </cfRule>
  </conditionalFormatting>
  <conditionalFormatting sqref="E9:E11">
    <cfRule type="expression" dxfId="392" priority="10">
      <formula>AND($A9="",$F9&lt;&gt;"")</formula>
    </cfRule>
  </conditionalFormatting>
  <conditionalFormatting sqref="F9:F11">
    <cfRule type="expression" dxfId="391" priority="11">
      <formula>AND($F9="",$A9&lt;&gt;"")</formula>
    </cfRule>
  </conditionalFormatting>
  <conditionalFormatting sqref="D8:F8">
    <cfRule type="expression" dxfId="390" priority="5">
      <formula>$C7=MAX($C$8:$C$37)</formula>
    </cfRule>
  </conditionalFormatting>
  <conditionalFormatting sqref="C8">
    <cfRule type="expression" dxfId="389" priority="4">
      <formula>$C7=MAX($C$8:$C$37)</formula>
    </cfRule>
  </conditionalFormatting>
  <conditionalFormatting sqref="E8">
    <cfRule type="expression" dxfId="388" priority="6">
      <formula>AND($A8="",$F8&lt;&gt;"")</formula>
    </cfRule>
  </conditionalFormatting>
  <conditionalFormatting sqref="F8">
    <cfRule type="expression" dxfId="387" priority="7">
      <formula>AND($F8="",$A8&lt;&gt;"")</formula>
    </cfRule>
  </conditionalFormatting>
  <conditionalFormatting sqref="H8">
    <cfRule type="expression" dxfId="386" priority="3">
      <formula>$C7=MAX($C$8:$C$37)</formula>
    </cfRule>
  </conditionalFormatting>
  <conditionalFormatting sqref="G9:G11">
    <cfRule type="expression" dxfId="385" priority="2">
      <formula>$C8=MAX($C$8:$C$37)</formula>
    </cfRule>
  </conditionalFormatting>
  <conditionalFormatting sqref="G8">
    <cfRule type="expression" dxfId="384" priority="1">
      <formula>$C7=MAX($C$8:$C$37)</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1546241" r:id="rId4" name="Button 1">
              <controlPr defaultSize="0" print="0" autoFill="0" autoPict="0" macro="[0]!Macro4">
                <anchor moveWithCells="1" sizeWithCells="1">
                  <from>
                    <xdr:col>0</xdr:col>
                    <xdr:colOff>0</xdr:colOff>
                    <xdr:row>0</xdr:row>
                    <xdr:rowOff>0</xdr:rowOff>
                  </from>
                  <to>
                    <xdr:col>1</xdr:col>
                    <xdr:colOff>769620</xdr:colOff>
                    <xdr:row>7</xdr:row>
                    <xdr:rowOff>0</xdr:rowOff>
                  </to>
                </anchor>
              </controlPr>
            </control>
          </mc:Choice>
        </mc:AlternateContent>
      </controls>
    </mc:Choice>
  </mc:AlternateContent>
</worksheet>
</file>

<file path=xl/worksheets/sheet1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704DC5F-B2F5-477F-A1DD-41D3E9CD09DA}">
  <sheetPr codeName="Sheet49">
    <tabColor theme="1"/>
    <pageSetUpPr fitToPage="1"/>
  </sheetPr>
  <dimension ref="A1:N53"/>
  <sheetViews>
    <sheetView zoomScaleNormal="100" workbookViewId="0">
      <pane ySplit="7" topLeftCell="A8" activePane="bottomLeft" state="frozen"/>
      <selection activeCell="Q2" sqref="Q2"/>
      <selection pane="bottomLeft" activeCell="D7" sqref="D7"/>
    </sheetView>
  </sheetViews>
  <sheetFormatPr defaultColWidth="9.09765625" defaultRowHeight="13.8" x14ac:dyDescent="0.25"/>
  <cols>
    <col min="1" max="1" width="11.69921875" style="14" customWidth="1"/>
    <col min="2" max="2" width="11.296875" style="14" customWidth="1"/>
    <col min="3" max="3" width="9.09765625" style="14"/>
    <col min="4" max="4" width="38.3984375" style="14" bestFit="1" customWidth="1"/>
    <col min="5" max="5" width="12.296875" style="53" bestFit="1" customWidth="1"/>
    <col min="6" max="6" width="11" style="14" customWidth="1"/>
    <col min="7" max="7" width="17.8984375" style="14" customWidth="1"/>
    <col min="8" max="8" width="17.8984375" style="15" customWidth="1"/>
    <col min="9" max="9" width="21.8984375" style="14" customWidth="1"/>
    <col min="10" max="10" width="10.09765625" style="14" customWidth="1"/>
    <col min="11" max="11" width="9.09765625" style="14"/>
    <col min="12" max="12" width="11.69921875" style="14" customWidth="1"/>
    <col min="13" max="14" width="10.09765625" style="14" bestFit="1" customWidth="1"/>
    <col min="15" max="16384" width="9.09765625" style="14"/>
  </cols>
  <sheetData>
    <row r="1" spans="1:14" ht="15.75" customHeight="1" x14ac:dyDescent="0.25">
      <c r="C1" s="268" t="s">
        <v>164</v>
      </c>
      <c r="D1" s="268"/>
      <c r="E1" s="268"/>
      <c r="F1" s="268"/>
      <c r="G1" s="268"/>
      <c r="H1" s="268"/>
    </row>
    <row r="2" spans="1:14" ht="15.75" customHeight="1" x14ac:dyDescent="0.25">
      <c r="C2" s="268"/>
      <c r="D2" s="268"/>
      <c r="E2" s="268"/>
      <c r="F2" s="268"/>
      <c r="G2" s="268"/>
      <c r="H2" s="268"/>
    </row>
    <row r="3" spans="1:14" ht="15" customHeight="1" x14ac:dyDescent="0.25">
      <c r="C3" s="269" t="s">
        <v>166</v>
      </c>
      <c r="D3" s="269"/>
      <c r="E3" s="269"/>
      <c r="F3" s="270" t="s">
        <v>168</v>
      </c>
      <c r="G3" s="270"/>
      <c r="H3" s="270"/>
    </row>
    <row r="4" spans="1:14" x14ac:dyDescent="0.25">
      <c r="C4" s="269" t="s">
        <v>167</v>
      </c>
      <c r="D4" s="269"/>
      <c r="E4" s="269"/>
      <c r="F4" s="271" t="s">
        <v>169</v>
      </c>
      <c r="G4" s="271"/>
      <c r="H4" s="271"/>
    </row>
    <row r="5" spans="1:14" s="140" customFormat="1" ht="21" customHeight="1" x14ac:dyDescent="0.25">
      <c r="C5" s="272" t="s">
        <v>165</v>
      </c>
      <c r="D5" s="272"/>
      <c r="E5" s="272"/>
      <c r="F5" s="272"/>
      <c r="G5" s="272"/>
      <c r="H5" s="272"/>
    </row>
    <row r="6" spans="1:14" s="140" customFormat="1" ht="16.5" customHeight="1" x14ac:dyDescent="0.25">
      <c r="C6" s="149" t="s">
        <v>170</v>
      </c>
      <c r="D6" s="152" t="s">
        <v>319</v>
      </c>
      <c r="E6" s="145"/>
      <c r="F6" s="145"/>
      <c r="G6" s="267" t="str">
        <f ca="1">"Ngày "&amp;DAY(TODAY())&amp;" Tháng "&amp;MONTH(TODAY())&amp;" Năm "&amp;YEAR(TODAY())</f>
        <v>Ngày 22 Tháng 1 Năm 2023</v>
      </c>
      <c r="H6" s="267"/>
    </row>
    <row r="7" spans="1:14" s="144" customFormat="1" ht="24" customHeight="1" x14ac:dyDescent="0.25">
      <c r="A7" s="141" t="s">
        <v>101</v>
      </c>
      <c r="B7" s="141" t="s">
        <v>15</v>
      </c>
      <c r="C7" s="142" t="s">
        <v>0</v>
      </c>
      <c r="D7" s="142" t="s">
        <v>16</v>
      </c>
      <c r="E7" s="146" t="str">
        <f>"Quy cách"&amp;CHAR(10)&amp;"(Kg)"</f>
        <v>Quy cách
(Kg)</v>
      </c>
      <c r="F7" s="142" t="s">
        <v>15</v>
      </c>
      <c r="G7" s="142" t="s">
        <v>17</v>
      </c>
      <c r="H7" s="142" t="s">
        <v>18</v>
      </c>
      <c r="I7" s="143">
        <f>SUBTOTAL(9,I8:I37)</f>
        <v>2</v>
      </c>
      <c r="L7" s="140"/>
    </row>
    <row r="8" spans="1:14" s="29" customFormat="1" ht="14.25" customHeight="1" x14ac:dyDescent="0.25">
      <c r="A8" s="150">
        <v>34</v>
      </c>
      <c r="B8" s="150">
        <v>4</v>
      </c>
      <c r="C8" s="30">
        <f t="shared" ref="C8:C37" si="0">IF(OR(SUM($C7,$A8&lt;&gt;"")=0,$A8=""),"",SUM($C7,$A8&lt;&gt;""))</f>
        <v>1</v>
      </c>
      <c r="D8" s="147" t="str">
        <f>IFERROR(VLOOKUP($A8,Sheet1!$A$1:$B$80,2,0),"")</f>
        <v>Cá viên KK</v>
      </c>
      <c r="E8" s="30">
        <f>IFERROR(VLOOKUP($A8,'Tổng Đơn'!$A$5:$E$52,5,0),"")</f>
        <v>0.5</v>
      </c>
      <c r="F8" s="30">
        <f t="shared" ref="F8:F37" si="1">IF($B8="","",B8)</f>
        <v>4</v>
      </c>
      <c r="G8" s="155">
        <f>IFERROR(VLOOKUP($A8,Sheet1!$A1:$D$80,4,0),"")</f>
        <v>25000</v>
      </c>
      <c r="H8" s="148">
        <f>IF($C7=MAX($C$8:$C$56),SUM($H7:$H$8),IFERROR($G8*$F8,""))</f>
        <v>100000</v>
      </c>
      <c r="I8" s="54">
        <f t="shared" ref="I8:I37" si="2">IF(TYPE($A8)&lt;&gt;1,"",IFERROR(F8*E8,""))</f>
        <v>2</v>
      </c>
      <c r="L8" s="32"/>
    </row>
    <row r="9" spans="1:14" s="29" customFormat="1" ht="14.25" customHeight="1" x14ac:dyDescent="0.25">
      <c r="A9" s="150" t="s">
        <v>310</v>
      </c>
      <c r="B9" s="150"/>
      <c r="C9" s="30" t="str">
        <f t="shared" si="0"/>
        <v/>
      </c>
      <c r="D9" s="147" t="str">
        <f>IFERROR(VLOOKUP($A9,Sheet1!$A$1:$B$80,2,0),"")</f>
        <v/>
      </c>
      <c r="E9" s="30" t="str">
        <f>IFERROR(VLOOKUP($A9,'Tổng Đơn'!$A$5:$E$52,5,0),"")</f>
        <v/>
      </c>
      <c r="F9" s="30" t="str">
        <f t="shared" si="1"/>
        <v/>
      </c>
      <c r="G9" s="155" t="str">
        <f>IF(AND($C9="",$C8&lt;&gt;""),"Tổng Cộng",IFERROR(VLOOKUP($A9,Sheet1!$A$1:$D$80,4,0),""))</f>
        <v>Tổng Cộng</v>
      </c>
      <c r="H9" s="148">
        <f>IF($C8=MAX($C$8:$C$56),SUM($H$8:$H8),IFERROR($G9*$F9,""))</f>
        <v>100000</v>
      </c>
      <c r="I9" s="54" t="str">
        <f t="shared" si="2"/>
        <v/>
      </c>
      <c r="L9" s="31"/>
    </row>
    <row r="10" spans="1:14" s="29" customFormat="1" ht="14.25" customHeight="1" x14ac:dyDescent="0.25">
      <c r="A10" s="150" t="s">
        <v>310</v>
      </c>
      <c r="B10" s="150"/>
      <c r="C10" s="30" t="str">
        <f t="shared" si="0"/>
        <v/>
      </c>
      <c r="D10" s="147" t="str">
        <f>IFERROR(VLOOKUP($A10,Sheet1!$A$1:$B$80,2,0),"")</f>
        <v/>
      </c>
      <c r="E10" s="30" t="str">
        <f>IFERROR(VLOOKUP($A10,'Tổng Đơn'!$A$5:$E$52,5,0),"")</f>
        <v/>
      </c>
      <c r="F10" s="30" t="str">
        <f t="shared" si="1"/>
        <v/>
      </c>
      <c r="G10" s="155" t="str">
        <f>IF(AND($C10="",$C9&lt;&gt;""),"Tổng Cộng",IFERROR(VLOOKUP($A10,Sheet1!$A$1:$D$80,4,0),""))</f>
        <v/>
      </c>
      <c r="H10" s="148" t="str">
        <f>IF($C9=MAX($C$8:$C$56),SUM($H$8:$H9),IFERROR($G10*$F10,""))</f>
        <v/>
      </c>
      <c r="I10" s="54" t="str">
        <f t="shared" si="2"/>
        <v/>
      </c>
      <c r="L10" s="31"/>
    </row>
    <row r="11" spans="1:14" s="29" customFormat="1" ht="14.25" customHeight="1" x14ac:dyDescent="0.25">
      <c r="A11" s="150" t="s">
        <v>310</v>
      </c>
      <c r="B11" s="150"/>
      <c r="C11" s="30" t="str">
        <f t="shared" si="0"/>
        <v/>
      </c>
      <c r="D11" s="147" t="str">
        <f>IFERROR(VLOOKUP($A11,Sheet1!$A$1:$B$80,2,0),"")</f>
        <v/>
      </c>
      <c r="E11" s="30" t="str">
        <f>IFERROR(VLOOKUP($A11,'Tổng Đơn'!$A$5:$E$52,5,0),"")</f>
        <v/>
      </c>
      <c r="F11" s="30" t="str">
        <f t="shared" si="1"/>
        <v/>
      </c>
      <c r="G11" s="155" t="str">
        <f>IF(AND($C11="",$C10&lt;&gt;""),"Tổng Cộng",IFERROR(VLOOKUP($A11,Sheet1!$A$1:$D$80,4,0),""))</f>
        <v/>
      </c>
      <c r="H11" s="148" t="str">
        <f>IF($C10=MAX($C$8:$C$56),SUM($H$8:$H10),IFERROR($G11*$F11,""))</f>
        <v/>
      </c>
      <c r="I11" s="54" t="str">
        <f t="shared" si="2"/>
        <v/>
      </c>
      <c r="L11" s="31"/>
    </row>
    <row r="12" spans="1:14" s="29" customFormat="1" ht="14.25" customHeight="1" x14ac:dyDescent="0.25">
      <c r="A12" s="150" t="s">
        <v>310</v>
      </c>
      <c r="B12" s="150"/>
      <c r="C12" s="30" t="str">
        <f t="shared" si="0"/>
        <v/>
      </c>
      <c r="D12" s="147" t="str">
        <f>IFERROR(VLOOKUP($A12,Sheet1!$A$1:$B$80,2,0),"")</f>
        <v/>
      </c>
      <c r="E12" s="30" t="str">
        <f>IFERROR(VLOOKUP($A12,'Tổng Đơn'!$A$5:$E$52,5,0),"")</f>
        <v/>
      </c>
      <c r="F12" s="30" t="str">
        <f t="shared" si="1"/>
        <v/>
      </c>
      <c r="G12" s="155" t="str">
        <f>IF(AND($C12="",$C11&lt;&gt;""),"Tổng Cộng",IFERROR(VLOOKUP($A12,Sheet1!$A$1:$D$80,4,0),""))</f>
        <v/>
      </c>
      <c r="H12" s="148" t="str">
        <f>IF($C11=MAX($C$8:$C$56),SUM($H$8:$H11),IFERROR($G12*$F12,""))</f>
        <v/>
      </c>
      <c r="I12" s="54" t="str">
        <f t="shared" si="2"/>
        <v/>
      </c>
      <c r="J12" s="125"/>
      <c r="L12" s="31"/>
      <c r="N12" s="126"/>
    </row>
    <row r="13" spans="1:14" s="29" customFormat="1" ht="14.25" customHeight="1" x14ac:dyDescent="0.25">
      <c r="A13" s="150" t="s">
        <v>310</v>
      </c>
      <c r="B13" s="150"/>
      <c r="C13" s="30" t="str">
        <f t="shared" si="0"/>
        <v/>
      </c>
      <c r="D13" s="147" t="str">
        <f>IFERROR(VLOOKUP($A13,Sheet1!$A$1:$B$80,2,0),"")</f>
        <v/>
      </c>
      <c r="E13" s="30" t="str">
        <f>IFERROR(VLOOKUP($A13,'Tổng Đơn'!$A$5:$E$52,5,0),"")</f>
        <v/>
      </c>
      <c r="F13" s="30" t="str">
        <f t="shared" si="1"/>
        <v/>
      </c>
      <c r="G13" s="155" t="str">
        <f>IF(AND($C13="",$C12&lt;&gt;""),"Tổng Cộng",IFERROR(VLOOKUP($A13,Sheet1!$A$1:$D$80,4,0),""))</f>
        <v/>
      </c>
      <c r="H13" s="148" t="str">
        <f>IF($C12=MAX($C$8:$C$56),SUM($H$8:$H12),IFERROR($G13*$F13,""))</f>
        <v/>
      </c>
      <c r="I13" s="54" t="str">
        <f t="shared" si="2"/>
        <v/>
      </c>
      <c r="L13" s="31"/>
    </row>
    <row r="14" spans="1:14" s="29" customFormat="1" ht="14.25" customHeight="1" x14ac:dyDescent="0.25">
      <c r="A14" s="150" t="s">
        <v>310</v>
      </c>
      <c r="B14" s="150"/>
      <c r="C14" s="30" t="str">
        <f t="shared" si="0"/>
        <v/>
      </c>
      <c r="D14" s="147" t="str">
        <f>IFERROR(VLOOKUP($A14,Sheet1!$A$1:$B$80,2,0),"")</f>
        <v/>
      </c>
      <c r="E14" s="30" t="str">
        <f>IFERROR(VLOOKUP($A14,'Tổng Đơn'!$A$5:$E$52,5,0),"")</f>
        <v/>
      </c>
      <c r="F14" s="30" t="str">
        <f t="shared" si="1"/>
        <v/>
      </c>
      <c r="G14" s="155" t="str">
        <f>IF(AND($C14="",$C13&lt;&gt;""),"Tổng Cộng",IFERROR(VLOOKUP($A14,Sheet1!$A$1:$D$80,4,0),""))</f>
        <v/>
      </c>
      <c r="H14" s="148" t="str">
        <f>IF($C13=MAX($C$8:$C$56),SUM($H$8:$H13),IFERROR($G14*$F14,""))</f>
        <v/>
      </c>
      <c r="I14" s="54" t="str">
        <f t="shared" si="2"/>
        <v/>
      </c>
      <c r="L14" s="31"/>
      <c r="M14" s="132"/>
    </row>
    <row r="15" spans="1:14" s="29" customFormat="1" ht="14.25" customHeight="1" x14ac:dyDescent="0.25">
      <c r="A15" s="150" t="s">
        <v>310</v>
      </c>
      <c r="B15" s="150"/>
      <c r="C15" s="30" t="str">
        <f t="shared" si="0"/>
        <v/>
      </c>
      <c r="D15" s="147" t="str">
        <f>IFERROR(VLOOKUP($A15,Sheet1!$A$1:$B$80,2,0),"")</f>
        <v/>
      </c>
      <c r="E15" s="30" t="str">
        <f>IFERROR(VLOOKUP($A15,'Tổng Đơn'!$A$5:$E$52,5,0),"")</f>
        <v/>
      </c>
      <c r="F15" s="30" t="str">
        <f t="shared" si="1"/>
        <v/>
      </c>
      <c r="G15" s="155" t="str">
        <f>IF(AND($C15="",$C14&lt;&gt;""),"Tổng Cộng",IFERROR(VLOOKUP($A15,Sheet1!$A$1:$D$80,4,0),""))</f>
        <v/>
      </c>
      <c r="H15" s="148" t="str">
        <f>IF($C14=MAX($C$8:$C$56),SUM($H$8:$H14),IFERROR($G15*$F15,""))</f>
        <v/>
      </c>
      <c r="I15" s="54" t="str">
        <f t="shared" si="2"/>
        <v/>
      </c>
      <c r="L15" s="31"/>
    </row>
    <row r="16" spans="1:14" s="29" customFormat="1" ht="14.25" customHeight="1" x14ac:dyDescent="0.25">
      <c r="A16" s="150" t="s">
        <v>310</v>
      </c>
      <c r="B16" s="150"/>
      <c r="C16" s="30" t="str">
        <f t="shared" si="0"/>
        <v/>
      </c>
      <c r="D16" s="147" t="str">
        <f>IFERROR(VLOOKUP($A16,Sheet1!$A$1:$B$80,2,0),"")</f>
        <v/>
      </c>
      <c r="E16" s="30" t="str">
        <f>IFERROR(VLOOKUP($A16,'Tổng Đơn'!$A$5:$E$52,5,0),"")</f>
        <v/>
      </c>
      <c r="F16" s="30" t="str">
        <f t="shared" si="1"/>
        <v/>
      </c>
      <c r="G16" s="155" t="str">
        <f>IF(AND($C16="",$C15&lt;&gt;""),"Tổng Cộng",IFERROR(VLOOKUP($A16,Sheet1!$A$1:$D$80,4,0),""))</f>
        <v/>
      </c>
      <c r="H16" s="148" t="str">
        <f>IF($C15=MAX($C$8:$C$56),SUM($H$8:$H15),IFERROR($G16*$F16,""))</f>
        <v/>
      </c>
      <c r="I16" s="54" t="str">
        <f t="shared" si="2"/>
        <v/>
      </c>
      <c r="L16" s="31"/>
    </row>
    <row r="17" spans="1:12" s="29" customFormat="1" ht="14.25" customHeight="1" x14ac:dyDescent="0.25">
      <c r="A17" s="150" t="s">
        <v>310</v>
      </c>
      <c r="B17" s="150"/>
      <c r="C17" s="30" t="str">
        <f t="shared" si="0"/>
        <v/>
      </c>
      <c r="D17" s="147" t="str">
        <f>IFERROR(VLOOKUP($A17,Sheet1!$A$1:$B$80,2,0),"")</f>
        <v/>
      </c>
      <c r="E17" s="30" t="str">
        <f>IFERROR(VLOOKUP($A17,'Tổng Đơn'!$A$5:$E$52,5,0),"")</f>
        <v/>
      </c>
      <c r="F17" s="30" t="str">
        <f t="shared" si="1"/>
        <v/>
      </c>
      <c r="G17" s="155" t="str">
        <f>IF(AND($C17="",$C16&lt;&gt;""),"Tổng Cộng",IFERROR(VLOOKUP($A17,Sheet1!$A$1:$D$80,4,0),""))</f>
        <v/>
      </c>
      <c r="H17" s="148" t="str">
        <f>IF($C16=MAX($C$8:$C$56),SUM($H$8:$H16),IFERROR($G17*$F17,""))</f>
        <v/>
      </c>
      <c r="I17" s="54" t="str">
        <f t="shared" si="2"/>
        <v/>
      </c>
      <c r="L17" s="31"/>
    </row>
    <row r="18" spans="1:12" s="29" customFormat="1" ht="14.25" customHeight="1" x14ac:dyDescent="0.25">
      <c r="A18" s="150" t="s">
        <v>310</v>
      </c>
      <c r="B18" s="150"/>
      <c r="C18" s="30" t="str">
        <f t="shared" si="0"/>
        <v/>
      </c>
      <c r="D18" s="147" t="str">
        <f>IFERROR(VLOOKUP($A18,Sheet1!$A$1:$B$80,2,0),"")</f>
        <v/>
      </c>
      <c r="E18" s="30" t="str">
        <f>IFERROR(VLOOKUP($A18,'Tổng Đơn'!$A$5:$E$52,5,0),"")</f>
        <v/>
      </c>
      <c r="F18" s="30" t="str">
        <f t="shared" si="1"/>
        <v/>
      </c>
      <c r="G18" s="155" t="str">
        <f>IF(AND($C18="",$C17&lt;&gt;""),"Tổng Cộng",IFERROR(VLOOKUP($A18,Sheet1!$A$1:$D$80,4,0),""))</f>
        <v/>
      </c>
      <c r="H18" s="148" t="str">
        <f>IF($C17=MAX($C$8:$C$56),SUM($H$8:$H17),IFERROR($G18*$F18,""))</f>
        <v/>
      </c>
      <c r="I18" s="54" t="str">
        <f t="shared" si="2"/>
        <v/>
      </c>
      <c r="L18" s="31"/>
    </row>
    <row r="19" spans="1:12" s="29" customFormat="1" ht="14.25" customHeight="1" x14ac:dyDescent="0.25">
      <c r="A19" s="150" t="s">
        <v>310</v>
      </c>
      <c r="B19" s="150"/>
      <c r="C19" s="30" t="str">
        <f t="shared" si="0"/>
        <v/>
      </c>
      <c r="D19" s="147" t="str">
        <f>IFERROR(VLOOKUP($A19,Sheet1!$A$1:$B$80,2,0),"")</f>
        <v/>
      </c>
      <c r="E19" s="30" t="str">
        <f>IFERROR(VLOOKUP($A19,'Tổng Đơn'!$A$5:$E$52,5,0),"")</f>
        <v/>
      </c>
      <c r="F19" s="30" t="str">
        <f t="shared" si="1"/>
        <v/>
      </c>
      <c r="G19" s="155" t="str">
        <f>IF(AND($C19="",$C18&lt;&gt;""),"Tổng Cộng",IFERROR(VLOOKUP($A19,Sheet1!$A$1:$D$80,4,0),""))</f>
        <v/>
      </c>
      <c r="H19" s="148" t="str">
        <f>IF($C18=MAX($C$8:$C$56),SUM($H$8:$H18),IFERROR($G19*$F19,""))</f>
        <v/>
      </c>
      <c r="I19" s="54" t="str">
        <f t="shared" si="2"/>
        <v/>
      </c>
      <c r="L19" s="31"/>
    </row>
    <row r="20" spans="1:12" s="29" customFormat="1" ht="14.25" customHeight="1" x14ac:dyDescent="0.25">
      <c r="A20" s="150" t="s">
        <v>310</v>
      </c>
      <c r="B20" s="150"/>
      <c r="C20" s="30" t="str">
        <f t="shared" si="0"/>
        <v/>
      </c>
      <c r="D20" s="147" t="str">
        <f>IFERROR(VLOOKUP($A20,Sheet1!$A$1:$B$80,2,0),"")</f>
        <v/>
      </c>
      <c r="E20" s="30" t="str">
        <f>IFERROR(VLOOKUP($A20,'Tổng Đơn'!$A$5:$E$52,5,0),"")</f>
        <v/>
      </c>
      <c r="F20" s="30" t="str">
        <f t="shared" si="1"/>
        <v/>
      </c>
      <c r="G20" s="155" t="str">
        <f>IF(AND($C20="",$C19&lt;&gt;""),"Tổng Cộng",IFERROR(VLOOKUP($A20,Sheet1!$A$1:$D$80,4,0),""))</f>
        <v/>
      </c>
      <c r="H20" s="148" t="str">
        <f>IF($C19=MAX($C$8:$C$56),SUM($H$8:$H19),IFERROR($G20*$F20,""))</f>
        <v/>
      </c>
      <c r="I20" s="54" t="str">
        <f t="shared" si="2"/>
        <v/>
      </c>
      <c r="L20" s="31"/>
    </row>
    <row r="21" spans="1:12" s="29" customFormat="1" ht="14.25" customHeight="1" x14ac:dyDescent="0.25">
      <c r="A21" s="150" t="s">
        <v>310</v>
      </c>
      <c r="B21" s="150"/>
      <c r="C21" s="30" t="str">
        <f t="shared" si="0"/>
        <v/>
      </c>
      <c r="D21" s="147" t="str">
        <f>IFERROR(VLOOKUP($A21,Sheet1!$A$1:$B$80,2,0),"")</f>
        <v/>
      </c>
      <c r="E21" s="30" t="str">
        <f>IFERROR(VLOOKUP($A21,'Tổng Đơn'!$A$5:$E$52,5,0),"")</f>
        <v/>
      </c>
      <c r="F21" s="30" t="str">
        <f t="shared" si="1"/>
        <v/>
      </c>
      <c r="G21" s="155" t="str">
        <f>IF(AND($C21="",$C20&lt;&gt;""),"Tổng Cộng",IFERROR(VLOOKUP($A21,Sheet1!$A$1:$D$80,4,0),""))</f>
        <v/>
      </c>
      <c r="H21" s="148" t="str">
        <f>IF($C20=MAX($C$8:$C$56),SUM($H$8:$H20),IFERROR($G21*$F21,""))</f>
        <v/>
      </c>
      <c r="I21" s="54" t="str">
        <f t="shared" si="2"/>
        <v/>
      </c>
      <c r="L21" s="31"/>
    </row>
    <row r="22" spans="1:12" s="29" customFormat="1" ht="14.25" customHeight="1" x14ac:dyDescent="0.25">
      <c r="A22" s="150" t="s">
        <v>310</v>
      </c>
      <c r="B22" s="150"/>
      <c r="C22" s="30" t="str">
        <f t="shared" si="0"/>
        <v/>
      </c>
      <c r="D22" s="147" t="str">
        <f>IFERROR(VLOOKUP($A22,Sheet1!$A$1:$B$80,2,0),"")</f>
        <v/>
      </c>
      <c r="E22" s="30" t="str">
        <f>IFERROR(VLOOKUP($A22,'Tổng Đơn'!$A$5:$E$52,5,0),"")</f>
        <v/>
      </c>
      <c r="F22" s="30" t="str">
        <f t="shared" si="1"/>
        <v/>
      </c>
      <c r="G22" s="155" t="str">
        <f>IF(AND($C22="",$C21&lt;&gt;""),"Tổng Cộng",IFERROR(VLOOKUP($A22,Sheet1!$A$1:$D$80,4,0),""))</f>
        <v/>
      </c>
      <c r="H22" s="148" t="str">
        <f>IF($C21=MAX($C$8:$C$56),SUM($H$8:$H21),IFERROR($G22*$F22,""))</f>
        <v/>
      </c>
      <c r="I22" s="54" t="str">
        <f t="shared" si="2"/>
        <v/>
      </c>
      <c r="L22" s="31"/>
    </row>
    <row r="23" spans="1:12" s="29" customFormat="1" ht="14.25" customHeight="1" x14ac:dyDescent="0.25">
      <c r="A23" s="150" t="s">
        <v>310</v>
      </c>
      <c r="B23" s="150"/>
      <c r="C23" s="30" t="str">
        <f t="shared" si="0"/>
        <v/>
      </c>
      <c r="D23" s="147" t="str">
        <f>IFERROR(VLOOKUP($A23,Sheet1!$A$1:$B$80,2,0),"")</f>
        <v/>
      </c>
      <c r="E23" s="30" t="str">
        <f>IFERROR(VLOOKUP($A23,'Tổng Đơn'!$A$5:$E$52,5,0),"")</f>
        <v/>
      </c>
      <c r="F23" s="30" t="str">
        <f t="shared" si="1"/>
        <v/>
      </c>
      <c r="G23" s="155" t="str">
        <f>IF(AND($C23="",$C22&lt;&gt;""),"Tổng Cộng",IFERROR(VLOOKUP($A23,Sheet1!$A$1:$D$80,4,0),""))</f>
        <v/>
      </c>
      <c r="H23" s="148" t="str">
        <f>IF($C22=MAX($C$8:$C$56),SUM($H$8:$H22),IFERROR($G23*$F23,""))</f>
        <v/>
      </c>
      <c r="I23" s="54" t="str">
        <f t="shared" si="2"/>
        <v/>
      </c>
      <c r="L23" s="31"/>
    </row>
    <row r="24" spans="1:12" s="29" customFormat="1" ht="14.25" customHeight="1" x14ac:dyDescent="0.25">
      <c r="A24" s="150" t="s">
        <v>310</v>
      </c>
      <c r="B24" s="150"/>
      <c r="C24" s="30" t="str">
        <f t="shared" si="0"/>
        <v/>
      </c>
      <c r="D24" s="147" t="str">
        <f>IFERROR(VLOOKUP($A24,Sheet1!$A$1:$B$80,2,0),"")</f>
        <v/>
      </c>
      <c r="E24" s="30" t="str">
        <f>IFERROR(VLOOKUP($A24,'Tổng Đơn'!$A$5:$E$52,5,0),"")</f>
        <v/>
      </c>
      <c r="F24" s="30" t="str">
        <f t="shared" si="1"/>
        <v/>
      </c>
      <c r="G24" s="155" t="str">
        <f>IF(AND($C24="",$C23&lt;&gt;""),"Tổng Cộng",IFERROR(VLOOKUP($A24,Sheet1!$A$1:$D$80,4,0),""))</f>
        <v/>
      </c>
      <c r="H24" s="148" t="str">
        <f>IF($C23=MAX($C$8:$C$56),SUM($H$8:$H23),IFERROR($G24*$F24,""))</f>
        <v/>
      </c>
      <c r="I24" s="54" t="str">
        <f t="shared" si="2"/>
        <v/>
      </c>
      <c r="L24" s="31"/>
    </row>
    <row r="25" spans="1:12" s="29" customFormat="1" ht="14.25" customHeight="1" x14ac:dyDescent="0.25">
      <c r="A25" s="150" t="s">
        <v>310</v>
      </c>
      <c r="B25" s="150"/>
      <c r="C25" s="30" t="str">
        <f t="shared" si="0"/>
        <v/>
      </c>
      <c r="D25" s="147" t="str">
        <f>IFERROR(VLOOKUP($A25,Sheet1!$A$1:$B$80,2,0),"")</f>
        <v/>
      </c>
      <c r="E25" s="30" t="str">
        <f>IFERROR(VLOOKUP($A25,'Tổng Đơn'!$A$5:$E$52,5,0),"")</f>
        <v/>
      </c>
      <c r="F25" s="30" t="str">
        <f t="shared" si="1"/>
        <v/>
      </c>
      <c r="G25" s="155" t="str">
        <f>IF(AND($C25="",$C24&lt;&gt;""),"Tổng Cộng",IFERROR(VLOOKUP($A25,Sheet1!$A$1:$D$80,4,0),""))</f>
        <v/>
      </c>
      <c r="H25" s="148" t="str">
        <f>IF($C24=MAX($C$8:$C$56),SUM($H$8:$H24),IFERROR($G25*$F25,""))</f>
        <v/>
      </c>
      <c r="I25" s="54" t="str">
        <f t="shared" si="2"/>
        <v/>
      </c>
      <c r="L25" s="31"/>
    </row>
    <row r="26" spans="1:12" s="29" customFormat="1" ht="14.25" customHeight="1" x14ac:dyDescent="0.25">
      <c r="A26" s="150" t="s">
        <v>310</v>
      </c>
      <c r="B26" s="150"/>
      <c r="C26" s="30" t="str">
        <f t="shared" si="0"/>
        <v/>
      </c>
      <c r="D26" s="147" t="str">
        <f>IFERROR(VLOOKUP($A26,Sheet1!$A$1:$B$80,2,0),"")</f>
        <v/>
      </c>
      <c r="E26" s="30" t="str">
        <f>IFERROR(VLOOKUP($A26,'Tổng Đơn'!$A$5:$E$52,5,0),"")</f>
        <v/>
      </c>
      <c r="F26" s="30" t="str">
        <f t="shared" si="1"/>
        <v/>
      </c>
      <c r="G26" s="155" t="str">
        <f>IF(AND($C26="",$C25&lt;&gt;""),"Tổng Cộng",IFERROR(VLOOKUP($A26,Sheet1!$A$1:$D$80,4,0),""))</f>
        <v/>
      </c>
      <c r="H26" s="148" t="str">
        <f>IF($C25=MAX($C$8:$C$56),SUM($H$8:$H25),IFERROR($G26*$F26,""))</f>
        <v/>
      </c>
      <c r="I26" s="54" t="str">
        <f t="shared" si="2"/>
        <v/>
      </c>
      <c r="L26" s="31"/>
    </row>
    <row r="27" spans="1:12" s="29" customFormat="1" ht="14.25" customHeight="1" x14ac:dyDescent="0.25">
      <c r="A27" s="150" t="s">
        <v>310</v>
      </c>
      <c r="B27" s="150"/>
      <c r="C27" s="30" t="str">
        <f t="shared" si="0"/>
        <v/>
      </c>
      <c r="D27" s="147" t="str">
        <f>IFERROR(VLOOKUP($A27,Sheet1!$A$1:$B$80,2,0),"")</f>
        <v/>
      </c>
      <c r="E27" s="30" t="str">
        <f>IFERROR(VLOOKUP($A27,'Tổng Đơn'!$A$5:$E$52,5,0),"")</f>
        <v/>
      </c>
      <c r="F27" s="30" t="str">
        <f t="shared" si="1"/>
        <v/>
      </c>
      <c r="G27" s="155" t="str">
        <f>IF(AND($C27="",$C26&lt;&gt;""),"Tổng Cộng",IFERROR(VLOOKUP($A27,Sheet1!$A$1:$D$80,4,0),""))</f>
        <v/>
      </c>
      <c r="H27" s="148" t="str">
        <f>IF($C26=MAX($C$8:$C$56),SUM($H$8:$H26),IFERROR($G27*$F27,""))</f>
        <v/>
      </c>
      <c r="I27" s="54" t="str">
        <f t="shared" si="2"/>
        <v/>
      </c>
      <c r="L27" s="31"/>
    </row>
    <row r="28" spans="1:12" s="29" customFormat="1" ht="14.25" customHeight="1" x14ac:dyDescent="0.25">
      <c r="A28" s="150" t="s">
        <v>310</v>
      </c>
      <c r="B28" s="150"/>
      <c r="C28" s="30" t="str">
        <f t="shared" si="0"/>
        <v/>
      </c>
      <c r="D28" s="147" t="str">
        <f>IFERROR(VLOOKUP($A28,Sheet1!$A$1:$B$80,2,0),"")</f>
        <v/>
      </c>
      <c r="E28" s="30" t="str">
        <f>IFERROR(VLOOKUP($A28,'Tổng Đơn'!$A$5:$E$52,5,0),"")</f>
        <v/>
      </c>
      <c r="F28" s="30" t="str">
        <f t="shared" si="1"/>
        <v/>
      </c>
      <c r="G28" s="155" t="str">
        <f>IF(AND($C28="",$C27&lt;&gt;""),"Tổng Cộng",IFERROR(VLOOKUP($A28,Sheet1!$A$1:$D$80,4,0),""))</f>
        <v/>
      </c>
      <c r="H28" s="148" t="str">
        <f>IF($C27=MAX($C$8:$C$56),SUM($H$8:$H27),IFERROR($G28*$F28,""))</f>
        <v/>
      </c>
      <c r="I28" s="54" t="str">
        <f t="shared" si="2"/>
        <v/>
      </c>
      <c r="L28" s="31"/>
    </row>
    <row r="29" spans="1:12" s="29" customFormat="1" ht="14.25" customHeight="1" x14ac:dyDescent="0.25">
      <c r="A29" s="150" t="s">
        <v>310</v>
      </c>
      <c r="B29" s="150"/>
      <c r="C29" s="30" t="str">
        <f t="shared" si="0"/>
        <v/>
      </c>
      <c r="D29" s="147" t="str">
        <f>IFERROR(VLOOKUP($A29,Sheet1!$A$1:$B$80,2,0),"")</f>
        <v/>
      </c>
      <c r="E29" s="30" t="str">
        <f>IFERROR(VLOOKUP($A29,'Tổng Đơn'!$A$5:$E$52,5,0),"")</f>
        <v/>
      </c>
      <c r="F29" s="30" t="str">
        <f t="shared" si="1"/>
        <v/>
      </c>
      <c r="G29" s="155" t="str">
        <f>IF(AND($C29="",$C28&lt;&gt;""),"Tổng Cộng",IFERROR(VLOOKUP($A29,Sheet1!$A$1:$D$80,4,0),""))</f>
        <v/>
      </c>
      <c r="H29" s="148" t="str">
        <f>IF($C28=MAX($C$8:$C$56),SUM($H$8:$H28),IFERROR($G29*$F29,""))</f>
        <v/>
      </c>
      <c r="I29" s="54" t="str">
        <f t="shared" si="2"/>
        <v/>
      </c>
      <c r="L29" s="31"/>
    </row>
    <row r="30" spans="1:12" s="29" customFormat="1" ht="14.25" customHeight="1" x14ac:dyDescent="0.25">
      <c r="A30" s="150" t="s">
        <v>310</v>
      </c>
      <c r="B30" s="150"/>
      <c r="C30" s="30" t="str">
        <f t="shared" si="0"/>
        <v/>
      </c>
      <c r="D30" s="147" t="str">
        <f>IFERROR(VLOOKUP($A30,Sheet1!$A$1:$B$80,2,0),"")</f>
        <v/>
      </c>
      <c r="E30" s="30" t="str">
        <f>IFERROR(VLOOKUP($A30,'Tổng Đơn'!$A$5:$E$52,5,0),"")</f>
        <v/>
      </c>
      <c r="F30" s="30" t="str">
        <f t="shared" si="1"/>
        <v/>
      </c>
      <c r="G30" s="155" t="str">
        <f>IF(AND($C30="",$C29&lt;&gt;""),"Tổng Cộng",IFERROR(VLOOKUP($A30,Sheet1!$A$1:$D$80,4,0),""))</f>
        <v/>
      </c>
      <c r="H30" s="148" t="str">
        <f>IF($C29=MAX($C$8:$C$56),SUM($H$8:$H29),IFERROR($G30*$F30,""))</f>
        <v/>
      </c>
      <c r="I30" s="54" t="str">
        <f t="shared" si="2"/>
        <v/>
      </c>
      <c r="L30" s="31"/>
    </row>
    <row r="31" spans="1:12" s="29" customFormat="1" ht="14.25" customHeight="1" x14ac:dyDescent="0.25">
      <c r="A31" s="150" t="s">
        <v>310</v>
      </c>
      <c r="B31" s="150"/>
      <c r="C31" s="30" t="str">
        <f t="shared" si="0"/>
        <v/>
      </c>
      <c r="D31" s="147" t="str">
        <f>IFERROR(VLOOKUP($A31,Sheet1!$A$1:$B$80,2,0),"")</f>
        <v/>
      </c>
      <c r="E31" s="30" t="str">
        <f>IFERROR(VLOOKUP($A31,'Tổng Đơn'!$A$5:$E$52,5,0),"")</f>
        <v/>
      </c>
      <c r="F31" s="30" t="str">
        <f t="shared" si="1"/>
        <v/>
      </c>
      <c r="G31" s="155" t="str">
        <f>IF(AND($C31="",$C30&lt;&gt;""),"Tổng Cộng",IFERROR(VLOOKUP($A31,Sheet1!$A$1:$D$80,4,0),""))</f>
        <v/>
      </c>
      <c r="H31" s="148" t="str">
        <f>IF($C30=MAX($C$8:$C$56),SUM($H$8:$H30),IFERROR($G31*$F31,""))</f>
        <v/>
      </c>
      <c r="I31" s="54" t="str">
        <f t="shared" si="2"/>
        <v/>
      </c>
      <c r="L31" s="31"/>
    </row>
    <row r="32" spans="1:12" s="29" customFormat="1" ht="14.25" customHeight="1" x14ac:dyDescent="0.25">
      <c r="A32" s="150" t="s">
        <v>310</v>
      </c>
      <c r="B32" s="150"/>
      <c r="C32" s="30" t="str">
        <f t="shared" si="0"/>
        <v/>
      </c>
      <c r="D32" s="147" t="str">
        <f>IFERROR(VLOOKUP($A32,Sheet1!$A$1:$B$80,2,0),"")</f>
        <v/>
      </c>
      <c r="E32" s="30" t="str">
        <f>IFERROR(VLOOKUP($A32,'Tổng Đơn'!$A$5:$E$52,5,0),"")</f>
        <v/>
      </c>
      <c r="F32" s="30" t="str">
        <f t="shared" si="1"/>
        <v/>
      </c>
      <c r="G32" s="155" t="str">
        <f>IF(AND($C32="",$C31&lt;&gt;""),"Tổng Cộng",IFERROR(VLOOKUP($A32,Sheet1!$A$1:$D$80,4,0),""))</f>
        <v/>
      </c>
      <c r="H32" s="148" t="str">
        <f>IF($C31=MAX($C$8:$C$56),SUM($H$8:$H31),IFERROR($G32*$F32,""))</f>
        <v/>
      </c>
      <c r="I32" s="54" t="str">
        <f t="shared" si="2"/>
        <v/>
      </c>
      <c r="L32" s="31"/>
    </row>
    <row r="33" spans="1:12" s="29" customFormat="1" ht="14.25" customHeight="1" x14ac:dyDescent="0.25">
      <c r="A33" s="150" t="s">
        <v>310</v>
      </c>
      <c r="B33" s="150"/>
      <c r="C33" s="30" t="str">
        <f t="shared" si="0"/>
        <v/>
      </c>
      <c r="D33" s="147" t="str">
        <f>IFERROR(VLOOKUP($A33,Sheet1!$A$1:$B$80,2,0),"")</f>
        <v/>
      </c>
      <c r="E33" s="30" t="str">
        <f>IFERROR(VLOOKUP($A33,'Tổng Đơn'!$A$5:$E$52,5,0),"")</f>
        <v/>
      </c>
      <c r="F33" s="30" t="str">
        <f t="shared" si="1"/>
        <v/>
      </c>
      <c r="G33" s="155" t="str">
        <f>IF(AND($C33="",$C32&lt;&gt;""),"Tổng Cộng",IFERROR(VLOOKUP($A33,Sheet1!$A$1:$D$80,4,0),""))</f>
        <v/>
      </c>
      <c r="H33" s="148" t="str">
        <f>IF($C32=MAX($C$8:$C$56),SUM($H$8:$H32),IFERROR($G33*$F33,""))</f>
        <v/>
      </c>
      <c r="I33" s="54" t="str">
        <f t="shared" si="2"/>
        <v/>
      </c>
      <c r="L33" s="31"/>
    </row>
    <row r="34" spans="1:12" s="29" customFormat="1" ht="14.25" customHeight="1" x14ac:dyDescent="0.25">
      <c r="A34" s="150" t="s">
        <v>310</v>
      </c>
      <c r="B34" s="150"/>
      <c r="C34" s="30" t="str">
        <f t="shared" si="0"/>
        <v/>
      </c>
      <c r="D34" s="147" t="str">
        <f>IFERROR(VLOOKUP($A34,Sheet1!$A$1:$B$80,2,0),"")</f>
        <v/>
      </c>
      <c r="E34" s="30" t="str">
        <f>IFERROR(VLOOKUP($A34,'Tổng Đơn'!$A$5:$E$52,5,0),"")</f>
        <v/>
      </c>
      <c r="F34" s="30" t="str">
        <f t="shared" si="1"/>
        <v/>
      </c>
      <c r="G34" s="155" t="str">
        <f>IF(AND($C34="",$C33&lt;&gt;""),"Tổng Cộng",IFERROR(VLOOKUP($A34,Sheet1!$A$1:$D$80,4,0),""))</f>
        <v/>
      </c>
      <c r="H34" s="148" t="str">
        <f>IF($C33=MAX($C$8:$C$56),SUM($H$8:$H33),IFERROR($G34*$F34,""))</f>
        <v/>
      </c>
      <c r="I34" s="54" t="str">
        <f t="shared" si="2"/>
        <v/>
      </c>
      <c r="L34" s="31"/>
    </row>
    <row r="35" spans="1:12" s="29" customFormat="1" ht="14.25" customHeight="1" x14ac:dyDescent="0.25">
      <c r="A35" s="150" t="s">
        <v>310</v>
      </c>
      <c r="B35" s="150"/>
      <c r="C35" s="30" t="str">
        <f t="shared" si="0"/>
        <v/>
      </c>
      <c r="D35" s="147" t="str">
        <f>IFERROR(VLOOKUP($A35,Sheet1!$A$1:$B$80,2,0),"")</f>
        <v/>
      </c>
      <c r="E35" s="30" t="str">
        <f>IFERROR(VLOOKUP($A35,'Tổng Đơn'!$A$5:$E$52,5,0),"")</f>
        <v/>
      </c>
      <c r="F35" s="30" t="str">
        <f t="shared" si="1"/>
        <v/>
      </c>
      <c r="G35" s="155" t="str">
        <f>IF(AND($C35="",$C34&lt;&gt;""),"Tổng Cộng",IFERROR(VLOOKUP($A35,Sheet1!$A$1:$D$80,4,0),""))</f>
        <v/>
      </c>
      <c r="H35" s="148" t="str">
        <f>IF($C34=MAX($C$8:$C$56),SUM($H$8:$H34),IFERROR($G35*$F35,""))</f>
        <v/>
      </c>
      <c r="I35" s="54" t="str">
        <f t="shared" si="2"/>
        <v/>
      </c>
      <c r="L35" s="31"/>
    </row>
    <row r="36" spans="1:12" s="29" customFormat="1" ht="14.25" customHeight="1" x14ac:dyDescent="0.25">
      <c r="A36" s="150" t="s">
        <v>310</v>
      </c>
      <c r="B36" s="150"/>
      <c r="C36" s="30" t="str">
        <f t="shared" si="0"/>
        <v/>
      </c>
      <c r="D36" s="147" t="str">
        <f>IFERROR(VLOOKUP($A36,Sheet1!$A$1:$B$80,2,0),"")</f>
        <v/>
      </c>
      <c r="E36" s="30" t="str">
        <f>IFERROR(VLOOKUP($A36,'Tổng Đơn'!$A$5:$E$52,5,0),"")</f>
        <v/>
      </c>
      <c r="F36" s="30" t="str">
        <f t="shared" si="1"/>
        <v/>
      </c>
      <c r="G36" s="155" t="str">
        <f>IF(AND($C36="",$C35&lt;&gt;""),"Tổng Cộng",IFERROR(VLOOKUP($A36,Sheet1!$A$1:$D$80,4,0),""))</f>
        <v/>
      </c>
      <c r="H36" s="148" t="str">
        <f>IF($C35=MAX($C$8:$C$56),SUM($H$8:$H35),IFERROR($G36*$F36,""))</f>
        <v/>
      </c>
      <c r="I36" s="54" t="str">
        <f t="shared" si="2"/>
        <v/>
      </c>
      <c r="L36" s="31"/>
    </row>
    <row r="37" spans="1:12" s="29" customFormat="1" ht="14.25" customHeight="1" x14ac:dyDescent="0.25">
      <c r="A37" s="150" t="s">
        <v>310</v>
      </c>
      <c r="B37" s="150"/>
      <c r="C37" s="30" t="str">
        <f t="shared" si="0"/>
        <v/>
      </c>
      <c r="D37" s="147" t="str">
        <f>IFERROR(VLOOKUP($A37,Sheet1!$A$1:$B$80,2,0),"")</f>
        <v/>
      </c>
      <c r="E37" s="30" t="str">
        <f>IFERROR(VLOOKUP($A37,'Tổng Đơn'!$A$5:$E$52,5,0),"")</f>
        <v/>
      </c>
      <c r="F37" s="30" t="str">
        <f t="shared" si="1"/>
        <v/>
      </c>
      <c r="G37" s="155" t="str">
        <f>IF(AND($C37="",$C36&lt;&gt;""),"Tổng Cộng",IFERROR(VLOOKUP($A37,Sheet1!$A$1:$D$80,4,0),""))</f>
        <v/>
      </c>
      <c r="H37" s="148" t="str">
        <f>IF($C36=MAX($C$8:$C$56),SUM($H$8:$H36),IFERROR($G37*$F37,""))</f>
        <v/>
      </c>
      <c r="I37" s="54" t="str">
        <f t="shared" si="2"/>
        <v/>
      </c>
      <c r="L37" s="31"/>
    </row>
    <row r="38" spans="1:12" s="29" customFormat="1" ht="14.25" customHeight="1" x14ac:dyDescent="0.25">
      <c r="A38" s="150"/>
      <c r="B38" s="150"/>
      <c r="C38" s="33"/>
      <c r="D38" s="34"/>
      <c r="E38" s="52"/>
      <c r="F38" s="30"/>
      <c r="G38" s="156" t="str">
        <f>IF(AND($C38="",$C37&lt;&gt;""),"Tổng Cộng",IFERROR(VLOOKUP($A38,Sheet1!$A$1:$D$80,4,0),""))</f>
        <v/>
      </c>
      <c r="H38" s="35" t="str">
        <f>IF($C37=MAX($C$8:$C$56),SUM($H$8:$H37),IFERROR($G38*$F38,""))</f>
        <v/>
      </c>
      <c r="I38" s="54"/>
      <c r="L38" s="31"/>
    </row>
    <row r="39" spans="1:12" ht="15" customHeight="1" x14ac:dyDescent="0.25">
      <c r="F39" s="36"/>
      <c r="G39" s="139"/>
      <c r="H39" s="37"/>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C38:E38 D23:E37 F23:H38">
    <cfRule type="expression" dxfId="383" priority="22">
      <formula>$C22=MAX($C$8:$C$37)</formula>
    </cfRule>
  </conditionalFormatting>
  <conditionalFormatting sqref="C23:C37">
    <cfRule type="expression" dxfId="382" priority="21">
      <formula>$C22=MAX($C$8:$C$37)</formula>
    </cfRule>
  </conditionalFormatting>
  <conditionalFormatting sqref="E23:E38">
    <cfRule type="expression" dxfId="381" priority="23">
      <formula>AND($A23="",$F23&lt;&gt;"")</formula>
    </cfRule>
  </conditionalFormatting>
  <conditionalFormatting sqref="F23:F38">
    <cfRule type="expression" dxfId="380" priority="24">
      <formula>AND($F23="",$A23&lt;&gt;"")</formula>
    </cfRule>
  </conditionalFormatting>
  <conditionalFormatting sqref="D20:H22">
    <cfRule type="expression" dxfId="379" priority="18">
      <formula>$C19=MAX($C$8:$C$37)</formula>
    </cfRule>
  </conditionalFormatting>
  <conditionalFormatting sqref="C20:C22">
    <cfRule type="expression" dxfId="378" priority="17">
      <formula>$C19=MAX($C$8:$C$37)</formula>
    </cfRule>
  </conditionalFormatting>
  <conditionalFormatting sqref="E20:E22">
    <cfRule type="expression" dxfId="377" priority="19">
      <formula>AND($A20="",$F20&lt;&gt;"")</formula>
    </cfRule>
  </conditionalFormatting>
  <conditionalFormatting sqref="F20:F22">
    <cfRule type="expression" dxfId="376" priority="20">
      <formula>AND($F20="",$A20&lt;&gt;"")</formula>
    </cfRule>
  </conditionalFormatting>
  <conditionalFormatting sqref="D15:H19 D12:F14 H12:H14">
    <cfRule type="expression" dxfId="375" priority="14">
      <formula>$C11=MAX($C$8:$C$37)</formula>
    </cfRule>
  </conditionalFormatting>
  <conditionalFormatting sqref="C12:C19">
    <cfRule type="expression" dxfId="374" priority="13">
      <formula>$C11=MAX($C$8:$C$37)</formula>
    </cfRule>
  </conditionalFormatting>
  <conditionalFormatting sqref="E12:E19">
    <cfRule type="expression" dxfId="373" priority="15">
      <formula>AND($A12="",$F12&lt;&gt;"")</formula>
    </cfRule>
  </conditionalFormatting>
  <conditionalFormatting sqref="F12:F19">
    <cfRule type="expression" dxfId="372" priority="16">
      <formula>AND($F12="",$A12&lt;&gt;"")</formula>
    </cfRule>
  </conditionalFormatting>
  <conditionalFormatting sqref="G12:G14">
    <cfRule type="expression" dxfId="371" priority="12">
      <formula>$C11=MAX($C$8:$C$37)</formula>
    </cfRule>
  </conditionalFormatting>
  <conditionalFormatting sqref="D9:F11 H9:H11">
    <cfRule type="expression" dxfId="370" priority="9">
      <formula>$C8=MAX($C$8:$C$37)</formula>
    </cfRule>
  </conditionalFormatting>
  <conditionalFormatting sqref="C9:C11">
    <cfRule type="expression" dxfId="369" priority="8">
      <formula>$C8=MAX($C$8:$C$37)</formula>
    </cfRule>
  </conditionalFormatting>
  <conditionalFormatting sqref="E9:E11">
    <cfRule type="expression" dxfId="368" priority="10">
      <formula>AND($A9="",$F9&lt;&gt;"")</formula>
    </cfRule>
  </conditionalFormatting>
  <conditionalFormatting sqref="F9:F11">
    <cfRule type="expression" dxfId="367" priority="11">
      <formula>AND($F9="",$A9&lt;&gt;"")</formula>
    </cfRule>
  </conditionalFormatting>
  <conditionalFormatting sqref="D8:F8">
    <cfRule type="expression" dxfId="366" priority="5">
      <formula>$C7=MAX($C$8:$C$37)</formula>
    </cfRule>
  </conditionalFormatting>
  <conditionalFormatting sqref="C8">
    <cfRule type="expression" dxfId="365" priority="4">
      <formula>$C7=MAX($C$8:$C$37)</formula>
    </cfRule>
  </conditionalFormatting>
  <conditionalFormatting sqref="E8">
    <cfRule type="expression" dxfId="364" priority="6">
      <formula>AND($A8="",$F8&lt;&gt;"")</formula>
    </cfRule>
  </conditionalFormatting>
  <conditionalFormatting sqref="F8">
    <cfRule type="expression" dxfId="363" priority="7">
      <formula>AND($F8="",$A8&lt;&gt;"")</formula>
    </cfRule>
  </conditionalFormatting>
  <conditionalFormatting sqref="H8">
    <cfRule type="expression" dxfId="362" priority="3">
      <formula>$C7=MAX($C$8:$C$37)</formula>
    </cfRule>
  </conditionalFormatting>
  <conditionalFormatting sqref="G9:G11">
    <cfRule type="expression" dxfId="361" priority="2">
      <formula>$C8=MAX($C$8:$C$37)</formula>
    </cfRule>
  </conditionalFormatting>
  <conditionalFormatting sqref="G8">
    <cfRule type="expression" dxfId="360" priority="1">
      <formula>$C7=MAX($C$8:$C$37)</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1545217" r:id="rId4" name="Button 1">
              <controlPr defaultSize="0" print="0" autoFill="0" autoPict="0" macro="[0]!Macro4">
                <anchor moveWithCells="1" sizeWithCells="1">
                  <from>
                    <xdr:col>0</xdr:col>
                    <xdr:colOff>0</xdr:colOff>
                    <xdr:row>0</xdr:row>
                    <xdr:rowOff>0</xdr:rowOff>
                  </from>
                  <to>
                    <xdr:col>1</xdr:col>
                    <xdr:colOff>769620</xdr:colOff>
                    <xdr:row>7</xdr:row>
                    <xdr:rowOff>0</xdr:rowOff>
                  </to>
                </anchor>
              </controlPr>
            </control>
          </mc:Choice>
        </mc:AlternateContent>
      </controls>
    </mc:Choice>
  </mc:AlternateContent>
</worksheet>
</file>

<file path=xl/worksheets/sheet2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2729B91-0038-4766-9FB9-F4FA8D42A943}">
  <sheetPr codeName="Sheet48">
    <tabColor theme="1"/>
    <pageSetUpPr fitToPage="1"/>
  </sheetPr>
  <dimension ref="A1:N53"/>
  <sheetViews>
    <sheetView zoomScaleNormal="100" workbookViewId="0">
      <pane ySplit="7" topLeftCell="A8" activePane="bottomLeft" state="frozen"/>
      <selection activeCell="Q2" sqref="Q2"/>
      <selection pane="bottomLeft" activeCell="H12" sqref="H12"/>
    </sheetView>
  </sheetViews>
  <sheetFormatPr defaultColWidth="9.09765625" defaultRowHeight="13.8" x14ac:dyDescent="0.25"/>
  <cols>
    <col min="1" max="1" width="11.69921875" style="14" customWidth="1"/>
    <col min="2" max="2" width="11.296875" style="14" customWidth="1"/>
    <col min="3" max="3" width="9.09765625" style="14"/>
    <col min="4" max="4" width="38.3984375" style="14" bestFit="1" customWidth="1"/>
    <col min="5" max="5" width="12.296875" style="53" bestFit="1" customWidth="1"/>
    <col min="6" max="6" width="11" style="14" customWidth="1"/>
    <col min="7" max="7" width="17.8984375" style="14" customWidth="1"/>
    <col min="8" max="8" width="17.8984375" style="15" customWidth="1"/>
    <col min="9" max="9" width="21.8984375" style="14" customWidth="1"/>
    <col min="10" max="10" width="10.09765625" style="14" customWidth="1"/>
    <col min="11" max="11" width="9.09765625" style="14"/>
    <col min="12" max="12" width="11.69921875" style="14" customWidth="1"/>
    <col min="13" max="14" width="10.09765625" style="14" bestFit="1" customWidth="1"/>
    <col min="15" max="16384" width="9.09765625" style="14"/>
  </cols>
  <sheetData>
    <row r="1" spans="1:14" ht="15.75" customHeight="1" x14ac:dyDescent="0.25">
      <c r="C1" s="268" t="s">
        <v>164</v>
      </c>
      <c r="D1" s="268"/>
      <c r="E1" s="268"/>
      <c r="F1" s="268"/>
      <c r="G1" s="268"/>
      <c r="H1" s="268"/>
    </row>
    <row r="2" spans="1:14" ht="15.75" customHeight="1" x14ac:dyDescent="0.25">
      <c r="C2" s="268"/>
      <c r="D2" s="268"/>
      <c r="E2" s="268"/>
      <c r="F2" s="268"/>
      <c r="G2" s="268"/>
      <c r="H2" s="268"/>
    </row>
    <row r="3" spans="1:14" ht="15" customHeight="1" x14ac:dyDescent="0.25">
      <c r="C3" s="269" t="s">
        <v>166</v>
      </c>
      <c r="D3" s="269"/>
      <c r="E3" s="269"/>
      <c r="F3" s="270" t="s">
        <v>168</v>
      </c>
      <c r="G3" s="270"/>
      <c r="H3" s="270"/>
    </row>
    <row r="4" spans="1:14" x14ac:dyDescent="0.25">
      <c r="C4" s="269" t="s">
        <v>167</v>
      </c>
      <c r="D4" s="269"/>
      <c r="E4" s="269"/>
      <c r="F4" s="271" t="s">
        <v>169</v>
      </c>
      <c r="G4" s="271"/>
      <c r="H4" s="271"/>
    </row>
    <row r="5" spans="1:14" s="140" customFormat="1" ht="21" customHeight="1" x14ac:dyDescent="0.25">
      <c r="C5" s="272" t="s">
        <v>165</v>
      </c>
      <c r="D5" s="272"/>
      <c r="E5" s="272"/>
      <c r="F5" s="272"/>
      <c r="G5" s="272"/>
      <c r="H5" s="272"/>
    </row>
    <row r="6" spans="1:14" s="140" customFormat="1" ht="16.5" customHeight="1" x14ac:dyDescent="0.25">
      <c r="C6" s="149" t="s">
        <v>170</v>
      </c>
      <c r="D6" s="152" t="s">
        <v>317</v>
      </c>
      <c r="E6" s="145"/>
      <c r="F6" s="145"/>
      <c r="G6" s="267" t="str">
        <f ca="1">"Ngày "&amp;DAY(TODAY())&amp;" Tháng "&amp;MONTH(TODAY())&amp;" Năm "&amp;YEAR(TODAY())</f>
        <v>Ngày 22 Tháng 1 Năm 2023</v>
      </c>
      <c r="H6" s="267"/>
    </row>
    <row r="7" spans="1:14" s="144" customFormat="1" ht="24" customHeight="1" x14ac:dyDescent="0.25">
      <c r="A7" s="141" t="s">
        <v>101</v>
      </c>
      <c r="B7" s="141" t="s">
        <v>15</v>
      </c>
      <c r="C7" s="142" t="s">
        <v>0</v>
      </c>
      <c r="D7" s="142" t="s">
        <v>16</v>
      </c>
      <c r="E7" s="146" t="str">
        <f>"Quy cách"&amp;CHAR(10)&amp;"(Kg)"</f>
        <v>Quy cách
(Kg)</v>
      </c>
      <c r="F7" s="142" t="s">
        <v>15</v>
      </c>
      <c r="G7" s="142" t="s">
        <v>17</v>
      </c>
      <c r="H7" s="142" t="s">
        <v>18</v>
      </c>
      <c r="I7" s="143">
        <f>SUBTOTAL(9,I8:I37)</f>
        <v>2.5</v>
      </c>
      <c r="L7" s="140"/>
    </row>
    <row r="8" spans="1:14" s="29" customFormat="1" ht="14.25" customHeight="1" x14ac:dyDescent="0.25">
      <c r="A8" s="150">
        <v>24</v>
      </c>
      <c r="B8" s="150">
        <v>1</v>
      </c>
      <c r="C8" s="30">
        <f t="shared" ref="C8:C37" si="0">IF(OR(SUM($C7,$A8&lt;&gt;"")=0,$A8=""),"",SUM($C7,$A8&lt;&gt;""))</f>
        <v>1</v>
      </c>
      <c r="D8" s="147" t="str">
        <f>IFERROR(VLOOKUP($A8,Sheet1!$A$1:$B$80,2,0),"")</f>
        <v>Khoai tây</v>
      </c>
      <c r="E8" s="30">
        <f>IFERROR(VLOOKUP($A8,'Tổng Đơn'!$A$5:$E$52,5,0),"")</f>
        <v>1</v>
      </c>
      <c r="F8" s="30">
        <f t="shared" ref="F8:F37" si="1">IF($B8="","",B8)</f>
        <v>1</v>
      </c>
      <c r="G8" s="155">
        <f>IFERROR(VLOOKUP($A8,Sheet1!$A1:$D$80,4,0),"")</f>
        <v>65000</v>
      </c>
      <c r="H8" s="148">
        <f>IF($C7=MAX($C$8:$C$56),SUM($H7:$H$8),IFERROR($G8*$F8,""))</f>
        <v>65000</v>
      </c>
      <c r="I8" s="54">
        <f t="shared" ref="I8:I37" si="2">IF(TYPE($A8)&lt;&gt;1,"",IFERROR(F8*E8,""))</f>
        <v>1</v>
      </c>
      <c r="L8" s="32"/>
    </row>
    <row r="9" spans="1:14" s="29" customFormat="1" ht="14.25" customHeight="1" x14ac:dyDescent="0.25">
      <c r="A9" s="150">
        <v>34</v>
      </c>
      <c r="B9" s="150">
        <v>2</v>
      </c>
      <c r="C9" s="30">
        <f t="shared" si="0"/>
        <v>2</v>
      </c>
      <c r="D9" s="147" t="str">
        <f>IFERROR(VLOOKUP($A9,Sheet1!$A$1:$B$80,2,0),"")</f>
        <v>Cá viên KK</v>
      </c>
      <c r="E9" s="30">
        <f>IFERROR(VLOOKUP($A9,'Tổng Đơn'!$A$5:$E$52,5,0),"")</f>
        <v>0.5</v>
      </c>
      <c r="F9" s="30">
        <f t="shared" si="1"/>
        <v>2</v>
      </c>
      <c r="G9" s="155">
        <f>IF(AND($C9="",$C8&lt;&gt;""),"Tổng Cộng",IFERROR(VLOOKUP($A9,Sheet1!$A$1:$D$80,4,0),""))</f>
        <v>25000</v>
      </c>
      <c r="H9" s="148">
        <f>IF($C8=MAX($C$8:$C$56),SUM($H$8:$H8),IFERROR($G9*$F9,""))</f>
        <v>50000</v>
      </c>
      <c r="I9" s="54">
        <f t="shared" si="2"/>
        <v>1</v>
      </c>
      <c r="L9" s="31"/>
    </row>
    <row r="10" spans="1:14" s="29" customFormat="1" ht="14.25" customHeight="1" x14ac:dyDescent="0.25">
      <c r="A10" s="150">
        <v>38</v>
      </c>
      <c r="B10" s="150">
        <v>1</v>
      </c>
      <c r="C10" s="30">
        <f t="shared" si="0"/>
        <v>3</v>
      </c>
      <c r="D10" s="147" t="str">
        <f>IFERROR(VLOOKUP($A10,Sheet1!$A$1:$B$80,2,0),"")</f>
        <v>XX Đỏ KK</v>
      </c>
      <c r="E10" s="30">
        <f>IFERROR(VLOOKUP($A10,'Tổng Đơn'!$A$5:$E$52,5,0),"")</f>
        <v>0.5</v>
      </c>
      <c r="F10" s="30">
        <f t="shared" si="1"/>
        <v>1</v>
      </c>
      <c r="G10" s="155">
        <f>IF(AND($C10="",$C9&lt;&gt;""),"Tổng Cộng",IFERROR(VLOOKUP($A10,Sheet1!$A$1:$D$80,4,0),""))</f>
        <v>26000</v>
      </c>
      <c r="H10" s="148">
        <f>IF($C9=MAX($C$8:$C$56),SUM($H$8:$H9),IFERROR($G10*$F10,""))</f>
        <v>26000</v>
      </c>
      <c r="I10" s="54">
        <f t="shared" si="2"/>
        <v>0.5</v>
      </c>
      <c r="L10" s="31"/>
    </row>
    <row r="11" spans="1:14" s="29" customFormat="1" ht="14.25" customHeight="1" x14ac:dyDescent="0.25">
      <c r="A11" s="150">
        <v>1</v>
      </c>
      <c r="B11" s="150">
        <v>1</v>
      </c>
      <c r="C11" s="30">
        <f t="shared" si="0"/>
        <v>4</v>
      </c>
      <c r="D11" s="147" t="s">
        <v>312</v>
      </c>
      <c r="E11" s="30" t="s">
        <v>234</v>
      </c>
      <c r="F11" s="30" t="s">
        <v>234</v>
      </c>
      <c r="G11" s="155" t="s">
        <v>234</v>
      </c>
      <c r="H11" s="148">
        <v>-1000</v>
      </c>
      <c r="I11" s="54" t="str">
        <f t="shared" si="2"/>
        <v/>
      </c>
      <c r="L11" s="31"/>
    </row>
    <row r="12" spans="1:14" s="29" customFormat="1" ht="14.25" customHeight="1" x14ac:dyDescent="0.25">
      <c r="A12" s="150" t="s">
        <v>310</v>
      </c>
      <c r="B12" s="150"/>
      <c r="C12" s="30" t="str">
        <f t="shared" si="0"/>
        <v/>
      </c>
      <c r="D12" s="147" t="str">
        <f>IFERROR(VLOOKUP($A12,Sheet1!$A$1:$B$80,2,0),"")</f>
        <v/>
      </c>
      <c r="E12" s="30" t="str">
        <f>IFERROR(VLOOKUP($A12,'Tổng Đơn'!$A$5:$E$52,5,0),"")</f>
        <v/>
      </c>
      <c r="F12" s="30" t="str">
        <f t="shared" si="1"/>
        <v/>
      </c>
      <c r="G12" s="155" t="str">
        <f>IF(AND($C12="",$C11&lt;&gt;""),"Tổng Cộng",IFERROR(VLOOKUP($A12,Sheet1!$A$1:$D$80,4,0),""))</f>
        <v>Tổng Cộng</v>
      </c>
      <c r="H12" s="148">
        <f>IF($C11=MAX($C$8:$C$56),SUM($H$8:$H11),IFERROR($G12*$F12,""))</f>
        <v>140000</v>
      </c>
      <c r="I12" s="54" t="str">
        <f t="shared" si="2"/>
        <v/>
      </c>
      <c r="J12" s="125"/>
      <c r="L12" s="31"/>
      <c r="N12" s="126"/>
    </row>
    <row r="13" spans="1:14" s="29" customFormat="1" ht="14.25" customHeight="1" x14ac:dyDescent="0.25">
      <c r="A13" s="150" t="s">
        <v>310</v>
      </c>
      <c r="B13" s="150"/>
      <c r="C13" s="30" t="str">
        <f t="shared" si="0"/>
        <v/>
      </c>
      <c r="D13" s="147" t="str">
        <f>IFERROR(VLOOKUP($A13,Sheet1!$A$1:$B$80,2,0),"")</f>
        <v/>
      </c>
      <c r="E13" s="30" t="str">
        <f>IFERROR(VLOOKUP($A13,'Tổng Đơn'!$A$5:$E$52,5,0),"")</f>
        <v/>
      </c>
      <c r="F13" s="30" t="str">
        <f t="shared" si="1"/>
        <v/>
      </c>
      <c r="G13" s="155" t="str">
        <f>IF(AND($C13="",$C12&lt;&gt;""),"Tổng Cộng",IFERROR(VLOOKUP($A13,Sheet1!$A$1:$D$80,4,0),""))</f>
        <v/>
      </c>
      <c r="H13" s="148" t="str">
        <f>IF($C12=MAX($C$8:$C$56),SUM($H$8:$H12),IFERROR($G13*$F13,""))</f>
        <v/>
      </c>
      <c r="I13" s="54" t="str">
        <f t="shared" si="2"/>
        <v/>
      </c>
      <c r="L13" s="31"/>
    </row>
    <row r="14" spans="1:14" s="29" customFormat="1" ht="14.25" customHeight="1" x14ac:dyDescent="0.25">
      <c r="A14" s="150" t="s">
        <v>310</v>
      </c>
      <c r="B14" s="150"/>
      <c r="C14" s="30" t="str">
        <f t="shared" si="0"/>
        <v/>
      </c>
      <c r="D14" s="147" t="str">
        <f>IFERROR(VLOOKUP($A14,Sheet1!$A$1:$B$80,2,0),"")</f>
        <v/>
      </c>
      <c r="E14" s="30" t="str">
        <f>IFERROR(VLOOKUP($A14,'Tổng Đơn'!$A$5:$E$52,5,0),"")</f>
        <v/>
      </c>
      <c r="F14" s="30" t="str">
        <f t="shared" si="1"/>
        <v/>
      </c>
      <c r="G14" s="155" t="str">
        <f>IF(AND($C14="",$C13&lt;&gt;""),"Tổng Cộng",IFERROR(VLOOKUP($A14,Sheet1!$A$1:$D$80,4,0),""))</f>
        <v/>
      </c>
      <c r="H14" s="148" t="str">
        <f>IF($C13=MAX($C$8:$C$56),SUM($H$8:$H13),IFERROR($G14*$F14,""))</f>
        <v/>
      </c>
      <c r="I14" s="54" t="str">
        <f t="shared" si="2"/>
        <v/>
      </c>
      <c r="L14" s="31"/>
      <c r="M14" s="132"/>
    </row>
    <row r="15" spans="1:14" s="29" customFormat="1" ht="14.25" customHeight="1" x14ac:dyDescent="0.25">
      <c r="A15" s="150" t="s">
        <v>310</v>
      </c>
      <c r="B15" s="150"/>
      <c r="C15" s="30" t="str">
        <f t="shared" si="0"/>
        <v/>
      </c>
      <c r="D15" s="147" t="str">
        <f>IFERROR(VLOOKUP($A15,Sheet1!$A$1:$B$80,2,0),"")</f>
        <v/>
      </c>
      <c r="E15" s="30" t="str">
        <f>IFERROR(VLOOKUP($A15,'Tổng Đơn'!$A$5:$E$52,5,0),"")</f>
        <v/>
      </c>
      <c r="F15" s="30" t="str">
        <f t="shared" si="1"/>
        <v/>
      </c>
      <c r="G15" s="155" t="str">
        <f>IF(AND($C15="",$C14&lt;&gt;""),"Tổng Cộng",IFERROR(VLOOKUP($A15,Sheet1!$A$1:$D$80,4,0),""))</f>
        <v/>
      </c>
      <c r="H15" s="148" t="str">
        <f>IF($C14=MAX($C$8:$C$56),SUM($H$8:$H14),IFERROR($G15*$F15,""))</f>
        <v/>
      </c>
      <c r="I15" s="54" t="str">
        <f t="shared" si="2"/>
        <v/>
      </c>
      <c r="L15" s="31"/>
    </row>
    <row r="16" spans="1:14" s="29" customFormat="1" ht="14.25" customHeight="1" x14ac:dyDescent="0.25">
      <c r="A16" s="150" t="s">
        <v>310</v>
      </c>
      <c r="B16" s="150"/>
      <c r="C16" s="30" t="str">
        <f t="shared" si="0"/>
        <v/>
      </c>
      <c r="D16" s="147" t="str">
        <f>IFERROR(VLOOKUP($A16,Sheet1!$A$1:$B$80,2,0),"")</f>
        <v/>
      </c>
      <c r="E16" s="30" t="str">
        <f>IFERROR(VLOOKUP($A16,'Tổng Đơn'!$A$5:$E$52,5,0),"")</f>
        <v/>
      </c>
      <c r="F16" s="30" t="str">
        <f t="shared" si="1"/>
        <v/>
      </c>
      <c r="G16" s="155" t="str">
        <f>IF(AND($C16="",$C15&lt;&gt;""),"Tổng Cộng",IFERROR(VLOOKUP($A16,Sheet1!$A$1:$D$80,4,0),""))</f>
        <v/>
      </c>
      <c r="H16" s="148" t="str">
        <f>IF($C15=MAX($C$8:$C$56),SUM($H$8:$H15),IFERROR($G16*$F16,""))</f>
        <v/>
      </c>
      <c r="I16" s="54" t="str">
        <f t="shared" si="2"/>
        <v/>
      </c>
      <c r="L16" s="31"/>
    </row>
    <row r="17" spans="1:12" s="29" customFormat="1" ht="14.25" customHeight="1" x14ac:dyDescent="0.25">
      <c r="A17" s="150" t="s">
        <v>310</v>
      </c>
      <c r="B17" s="150"/>
      <c r="C17" s="30" t="str">
        <f t="shared" si="0"/>
        <v/>
      </c>
      <c r="D17" s="147" t="str">
        <f>IFERROR(VLOOKUP($A17,Sheet1!$A$1:$B$80,2,0),"")</f>
        <v/>
      </c>
      <c r="E17" s="30" t="str">
        <f>IFERROR(VLOOKUP($A17,'Tổng Đơn'!$A$5:$E$52,5,0),"")</f>
        <v/>
      </c>
      <c r="F17" s="30" t="str">
        <f t="shared" si="1"/>
        <v/>
      </c>
      <c r="G17" s="155" t="str">
        <f>IF(AND($C17="",$C16&lt;&gt;""),"Tổng Cộng",IFERROR(VLOOKUP($A17,Sheet1!$A$1:$D$80,4,0),""))</f>
        <v/>
      </c>
      <c r="H17" s="148" t="str">
        <f>IF($C16=MAX($C$8:$C$56),SUM($H$8:$H16),IFERROR($G17*$F17,""))</f>
        <v/>
      </c>
      <c r="I17" s="54" t="str">
        <f t="shared" si="2"/>
        <v/>
      </c>
      <c r="L17" s="31"/>
    </row>
    <row r="18" spans="1:12" s="29" customFormat="1" ht="14.25" customHeight="1" x14ac:dyDescent="0.25">
      <c r="A18" s="150" t="s">
        <v>310</v>
      </c>
      <c r="B18" s="150"/>
      <c r="C18" s="30" t="str">
        <f t="shared" si="0"/>
        <v/>
      </c>
      <c r="D18" s="147" t="str">
        <f>IFERROR(VLOOKUP($A18,Sheet1!$A$1:$B$80,2,0),"")</f>
        <v/>
      </c>
      <c r="E18" s="30" t="str">
        <f>IFERROR(VLOOKUP($A18,'Tổng Đơn'!$A$5:$E$52,5,0),"")</f>
        <v/>
      </c>
      <c r="F18" s="30" t="str">
        <f t="shared" si="1"/>
        <v/>
      </c>
      <c r="G18" s="155" t="str">
        <f>IF(AND($C18="",$C17&lt;&gt;""),"Tổng Cộng",IFERROR(VLOOKUP($A18,Sheet1!$A$1:$D$80,4,0),""))</f>
        <v/>
      </c>
      <c r="H18" s="148" t="str">
        <f>IF($C17=MAX($C$8:$C$56),SUM($H$8:$H17),IFERROR($G18*$F18,""))</f>
        <v/>
      </c>
      <c r="I18" s="54" t="str">
        <f t="shared" si="2"/>
        <v/>
      </c>
      <c r="L18" s="31"/>
    </row>
    <row r="19" spans="1:12" s="29" customFormat="1" ht="14.25" customHeight="1" x14ac:dyDescent="0.25">
      <c r="A19" s="150" t="s">
        <v>310</v>
      </c>
      <c r="B19" s="150"/>
      <c r="C19" s="30" t="str">
        <f t="shared" si="0"/>
        <v/>
      </c>
      <c r="D19" s="147" t="str">
        <f>IFERROR(VLOOKUP($A19,Sheet1!$A$1:$B$80,2,0),"")</f>
        <v/>
      </c>
      <c r="E19" s="30" t="str">
        <f>IFERROR(VLOOKUP($A19,'Tổng Đơn'!$A$5:$E$52,5,0),"")</f>
        <v/>
      </c>
      <c r="F19" s="30" t="str">
        <f t="shared" si="1"/>
        <v/>
      </c>
      <c r="G19" s="155" t="str">
        <f>IF(AND($C19="",$C18&lt;&gt;""),"Tổng Cộng",IFERROR(VLOOKUP($A19,Sheet1!$A$1:$D$80,4,0),""))</f>
        <v/>
      </c>
      <c r="H19" s="148" t="str">
        <f>IF($C18=MAX($C$8:$C$56),SUM($H$8:$H18),IFERROR($G19*$F19,""))</f>
        <v/>
      </c>
      <c r="I19" s="54" t="str">
        <f t="shared" si="2"/>
        <v/>
      </c>
      <c r="L19" s="31"/>
    </row>
    <row r="20" spans="1:12" s="29" customFormat="1" ht="14.25" customHeight="1" x14ac:dyDescent="0.25">
      <c r="A20" s="150" t="s">
        <v>310</v>
      </c>
      <c r="B20" s="150"/>
      <c r="C20" s="30" t="str">
        <f t="shared" si="0"/>
        <v/>
      </c>
      <c r="D20" s="147" t="str">
        <f>IFERROR(VLOOKUP($A20,Sheet1!$A$1:$B$80,2,0),"")</f>
        <v/>
      </c>
      <c r="E20" s="30" t="str">
        <f>IFERROR(VLOOKUP($A20,'Tổng Đơn'!$A$5:$E$52,5,0),"")</f>
        <v/>
      </c>
      <c r="F20" s="30" t="str">
        <f t="shared" si="1"/>
        <v/>
      </c>
      <c r="G20" s="155" t="str">
        <f>IF(AND($C20="",$C19&lt;&gt;""),"Tổng Cộng",IFERROR(VLOOKUP($A20,Sheet1!$A$1:$D$80,4,0),""))</f>
        <v/>
      </c>
      <c r="H20" s="148" t="str">
        <f>IF($C19=MAX($C$8:$C$56),SUM($H$8:$H19),IFERROR($G20*$F20,""))</f>
        <v/>
      </c>
      <c r="I20" s="54" t="str">
        <f t="shared" si="2"/>
        <v/>
      </c>
      <c r="L20" s="31"/>
    </row>
    <row r="21" spans="1:12" s="29" customFormat="1" ht="14.25" customHeight="1" x14ac:dyDescent="0.25">
      <c r="A21" s="150" t="s">
        <v>310</v>
      </c>
      <c r="B21" s="150"/>
      <c r="C21" s="30" t="str">
        <f t="shared" si="0"/>
        <v/>
      </c>
      <c r="D21" s="147" t="str">
        <f>IFERROR(VLOOKUP($A21,Sheet1!$A$1:$B$80,2,0),"")</f>
        <v/>
      </c>
      <c r="E21" s="30" t="str">
        <f>IFERROR(VLOOKUP($A21,'Tổng Đơn'!$A$5:$E$52,5,0),"")</f>
        <v/>
      </c>
      <c r="F21" s="30" t="str">
        <f t="shared" si="1"/>
        <v/>
      </c>
      <c r="G21" s="155" t="str">
        <f>IF(AND($C21="",$C20&lt;&gt;""),"Tổng Cộng",IFERROR(VLOOKUP($A21,Sheet1!$A$1:$D$80,4,0),""))</f>
        <v/>
      </c>
      <c r="H21" s="148" t="str">
        <f>IF($C20=MAX($C$8:$C$56),SUM($H$8:$H20),IFERROR($G21*$F21,""))</f>
        <v/>
      </c>
      <c r="I21" s="54" t="str">
        <f t="shared" si="2"/>
        <v/>
      </c>
      <c r="L21" s="31"/>
    </row>
    <row r="22" spans="1:12" s="29" customFormat="1" ht="14.25" customHeight="1" x14ac:dyDescent="0.25">
      <c r="A22" s="150" t="s">
        <v>310</v>
      </c>
      <c r="B22" s="150"/>
      <c r="C22" s="30" t="str">
        <f t="shared" si="0"/>
        <v/>
      </c>
      <c r="D22" s="147" t="str">
        <f>IFERROR(VLOOKUP($A22,Sheet1!$A$1:$B$80,2,0),"")</f>
        <v/>
      </c>
      <c r="E22" s="30" t="str">
        <f>IFERROR(VLOOKUP($A22,'Tổng Đơn'!$A$5:$E$52,5,0),"")</f>
        <v/>
      </c>
      <c r="F22" s="30" t="str">
        <f t="shared" si="1"/>
        <v/>
      </c>
      <c r="G22" s="155" t="str">
        <f>IF(AND($C22="",$C21&lt;&gt;""),"Tổng Cộng",IFERROR(VLOOKUP($A22,Sheet1!$A$1:$D$80,4,0),""))</f>
        <v/>
      </c>
      <c r="H22" s="148" t="str">
        <f>IF($C21=MAX($C$8:$C$56),SUM($H$8:$H21),IFERROR($G22*$F22,""))</f>
        <v/>
      </c>
      <c r="I22" s="54" t="str">
        <f t="shared" si="2"/>
        <v/>
      </c>
      <c r="L22" s="31"/>
    </row>
    <row r="23" spans="1:12" s="29" customFormat="1" ht="14.25" customHeight="1" x14ac:dyDescent="0.25">
      <c r="A23" s="150" t="s">
        <v>310</v>
      </c>
      <c r="B23" s="150"/>
      <c r="C23" s="30" t="str">
        <f t="shared" si="0"/>
        <v/>
      </c>
      <c r="D23" s="147" t="str">
        <f>IFERROR(VLOOKUP($A23,Sheet1!$A$1:$B$80,2,0),"")</f>
        <v/>
      </c>
      <c r="E23" s="30" t="str">
        <f>IFERROR(VLOOKUP($A23,'Tổng Đơn'!$A$5:$E$52,5,0),"")</f>
        <v/>
      </c>
      <c r="F23" s="30" t="str">
        <f t="shared" si="1"/>
        <v/>
      </c>
      <c r="G23" s="155" t="str">
        <f>IF(AND($C23="",$C22&lt;&gt;""),"Tổng Cộng",IFERROR(VLOOKUP($A23,Sheet1!$A$1:$D$80,4,0),""))</f>
        <v/>
      </c>
      <c r="H23" s="148" t="str">
        <f>IF($C22=MAX($C$8:$C$56),SUM($H$8:$H22),IFERROR($G23*$F23,""))</f>
        <v/>
      </c>
      <c r="I23" s="54" t="str">
        <f t="shared" si="2"/>
        <v/>
      </c>
      <c r="L23" s="31"/>
    </row>
    <row r="24" spans="1:12" s="29" customFormat="1" ht="14.25" customHeight="1" x14ac:dyDescent="0.25">
      <c r="A24" s="150" t="s">
        <v>310</v>
      </c>
      <c r="B24" s="150"/>
      <c r="C24" s="30" t="str">
        <f t="shared" si="0"/>
        <v/>
      </c>
      <c r="D24" s="147" t="str">
        <f>IFERROR(VLOOKUP($A24,Sheet1!$A$1:$B$80,2,0),"")</f>
        <v/>
      </c>
      <c r="E24" s="30" t="str">
        <f>IFERROR(VLOOKUP($A24,'Tổng Đơn'!$A$5:$E$52,5,0),"")</f>
        <v/>
      </c>
      <c r="F24" s="30" t="str">
        <f t="shared" si="1"/>
        <v/>
      </c>
      <c r="G24" s="155" t="str">
        <f>IF(AND($C24="",$C23&lt;&gt;""),"Tổng Cộng",IFERROR(VLOOKUP($A24,Sheet1!$A$1:$D$80,4,0),""))</f>
        <v/>
      </c>
      <c r="H24" s="148" t="str">
        <f>IF($C23=MAX($C$8:$C$56),SUM($H$8:$H23),IFERROR($G24*$F24,""))</f>
        <v/>
      </c>
      <c r="I24" s="54" t="str">
        <f t="shared" si="2"/>
        <v/>
      </c>
      <c r="L24" s="31"/>
    </row>
    <row r="25" spans="1:12" s="29" customFormat="1" ht="14.25" customHeight="1" x14ac:dyDescent="0.25">
      <c r="A25" s="150" t="s">
        <v>310</v>
      </c>
      <c r="B25" s="150"/>
      <c r="C25" s="30" t="str">
        <f t="shared" si="0"/>
        <v/>
      </c>
      <c r="D25" s="147" t="str">
        <f>IFERROR(VLOOKUP($A25,Sheet1!$A$1:$B$80,2,0),"")</f>
        <v/>
      </c>
      <c r="E25" s="30" t="str">
        <f>IFERROR(VLOOKUP($A25,'Tổng Đơn'!$A$5:$E$52,5,0),"")</f>
        <v/>
      </c>
      <c r="F25" s="30" t="str">
        <f t="shared" si="1"/>
        <v/>
      </c>
      <c r="G25" s="155" t="str">
        <f>IF(AND($C25="",$C24&lt;&gt;""),"Tổng Cộng",IFERROR(VLOOKUP($A25,Sheet1!$A$1:$D$80,4,0),""))</f>
        <v/>
      </c>
      <c r="H25" s="148" t="str">
        <f>IF($C24=MAX($C$8:$C$56),SUM($H$8:$H24),IFERROR($G25*$F25,""))</f>
        <v/>
      </c>
      <c r="I25" s="54" t="str">
        <f t="shared" si="2"/>
        <v/>
      </c>
      <c r="L25" s="31"/>
    </row>
    <row r="26" spans="1:12" s="29" customFormat="1" ht="14.25" customHeight="1" x14ac:dyDescent="0.25">
      <c r="A26" s="150" t="s">
        <v>310</v>
      </c>
      <c r="B26" s="150"/>
      <c r="C26" s="30" t="str">
        <f t="shared" si="0"/>
        <v/>
      </c>
      <c r="D26" s="147" t="str">
        <f>IFERROR(VLOOKUP($A26,Sheet1!$A$1:$B$80,2,0),"")</f>
        <v/>
      </c>
      <c r="E26" s="30" t="str">
        <f>IFERROR(VLOOKUP($A26,'Tổng Đơn'!$A$5:$E$52,5,0),"")</f>
        <v/>
      </c>
      <c r="F26" s="30" t="str">
        <f t="shared" si="1"/>
        <v/>
      </c>
      <c r="G26" s="155" t="str">
        <f>IF(AND($C26="",$C25&lt;&gt;""),"Tổng Cộng",IFERROR(VLOOKUP($A26,Sheet1!$A$1:$D$80,4,0),""))</f>
        <v/>
      </c>
      <c r="H26" s="148" t="str">
        <f>IF($C25=MAX($C$8:$C$56),SUM($H$8:$H25),IFERROR($G26*$F26,""))</f>
        <v/>
      </c>
      <c r="I26" s="54" t="str">
        <f t="shared" si="2"/>
        <v/>
      </c>
      <c r="L26" s="31"/>
    </row>
    <row r="27" spans="1:12" s="29" customFormat="1" ht="14.25" customHeight="1" x14ac:dyDescent="0.25">
      <c r="A27" s="150" t="s">
        <v>310</v>
      </c>
      <c r="B27" s="150"/>
      <c r="C27" s="30" t="str">
        <f t="shared" si="0"/>
        <v/>
      </c>
      <c r="D27" s="147" t="str">
        <f>IFERROR(VLOOKUP($A27,Sheet1!$A$1:$B$80,2,0),"")</f>
        <v/>
      </c>
      <c r="E27" s="30" t="str">
        <f>IFERROR(VLOOKUP($A27,'Tổng Đơn'!$A$5:$E$52,5,0),"")</f>
        <v/>
      </c>
      <c r="F27" s="30" t="str">
        <f t="shared" si="1"/>
        <v/>
      </c>
      <c r="G27" s="155" t="str">
        <f>IF(AND($C27="",$C26&lt;&gt;""),"Tổng Cộng",IFERROR(VLOOKUP($A27,Sheet1!$A$1:$D$80,4,0),""))</f>
        <v/>
      </c>
      <c r="H27" s="148" t="str">
        <f>IF($C26=MAX($C$8:$C$56),SUM($H$8:$H26),IFERROR($G27*$F27,""))</f>
        <v/>
      </c>
      <c r="I27" s="54" t="str">
        <f t="shared" si="2"/>
        <v/>
      </c>
      <c r="L27" s="31"/>
    </row>
    <row r="28" spans="1:12" s="29" customFormat="1" ht="14.25" customHeight="1" x14ac:dyDescent="0.25">
      <c r="A28" s="150" t="s">
        <v>310</v>
      </c>
      <c r="B28" s="150"/>
      <c r="C28" s="30" t="str">
        <f t="shared" si="0"/>
        <v/>
      </c>
      <c r="D28" s="147" t="str">
        <f>IFERROR(VLOOKUP($A28,Sheet1!$A$1:$B$80,2,0),"")</f>
        <v/>
      </c>
      <c r="E28" s="30" t="str">
        <f>IFERROR(VLOOKUP($A28,'Tổng Đơn'!$A$5:$E$52,5,0),"")</f>
        <v/>
      </c>
      <c r="F28" s="30" t="str">
        <f t="shared" si="1"/>
        <v/>
      </c>
      <c r="G28" s="155" t="str">
        <f>IF(AND($C28="",$C27&lt;&gt;""),"Tổng Cộng",IFERROR(VLOOKUP($A28,Sheet1!$A$1:$D$80,4,0),""))</f>
        <v/>
      </c>
      <c r="H28" s="148" t="str">
        <f>IF($C27=MAX($C$8:$C$56),SUM($H$8:$H27),IFERROR($G28*$F28,""))</f>
        <v/>
      </c>
      <c r="I28" s="54" t="str">
        <f t="shared" si="2"/>
        <v/>
      </c>
      <c r="L28" s="31"/>
    </row>
    <row r="29" spans="1:12" s="29" customFormat="1" ht="14.25" customHeight="1" x14ac:dyDescent="0.25">
      <c r="A29" s="150" t="s">
        <v>310</v>
      </c>
      <c r="B29" s="150"/>
      <c r="C29" s="30" t="str">
        <f t="shared" si="0"/>
        <v/>
      </c>
      <c r="D29" s="147" t="str">
        <f>IFERROR(VLOOKUP($A29,Sheet1!$A$1:$B$80,2,0),"")</f>
        <v/>
      </c>
      <c r="E29" s="30" t="str">
        <f>IFERROR(VLOOKUP($A29,'Tổng Đơn'!$A$5:$E$52,5,0),"")</f>
        <v/>
      </c>
      <c r="F29" s="30" t="str">
        <f t="shared" si="1"/>
        <v/>
      </c>
      <c r="G29" s="155" t="str">
        <f>IF(AND($C29="",$C28&lt;&gt;""),"Tổng Cộng",IFERROR(VLOOKUP($A29,Sheet1!$A$1:$D$80,4,0),""))</f>
        <v/>
      </c>
      <c r="H29" s="148" t="str">
        <f>IF($C28=MAX($C$8:$C$56),SUM($H$8:$H28),IFERROR($G29*$F29,""))</f>
        <v/>
      </c>
      <c r="I29" s="54" t="str">
        <f t="shared" si="2"/>
        <v/>
      </c>
      <c r="L29" s="31"/>
    </row>
    <row r="30" spans="1:12" s="29" customFormat="1" ht="14.25" customHeight="1" x14ac:dyDescent="0.25">
      <c r="A30" s="150" t="s">
        <v>310</v>
      </c>
      <c r="B30" s="150"/>
      <c r="C30" s="30" t="str">
        <f t="shared" si="0"/>
        <v/>
      </c>
      <c r="D30" s="147" t="str">
        <f>IFERROR(VLOOKUP($A30,Sheet1!$A$1:$B$80,2,0),"")</f>
        <v/>
      </c>
      <c r="E30" s="30" t="str">
        <f>IFERROR(VLOOKUP($A30,'Tổng Đơn'!$A$5:$E$52,5,0),"")</f>
        <v/>
      </c>
      <c r="F30" s="30" t="str">
        <f t="shared" si="1"/>
        <v/>
      </c>
      <c r="G30" s="155" t="str">
        <f>IF(AND($C30="",$C29&lt;&gt;""),"Tổng Cộng",IFERROR(VLOOKUP($A30,Sheet1!$A$1:$D$80,4,0),""))</f>
        <v/>
      </c>
      <c r="H30" s="148" t="str">
        <f>IF($C29=MAX($C$8:$C$56),SUM($H$8:$H29),IFERROR($G30*$F30,""))</f>
        <v/>
      </c>
      <c r="I30" s="54" t="str">
        <f t="shared" si="2"/>
        <v/>
      </c>
      <c r="L30" s="31"/>
    </row>
    <row r="31" spans="1:12" s="29" customFormat="1" ht="14.25" customHeight="1" x14ac:dyDescent="0.25">
      <c r="A31" s="150" t="s">
        <v>310</v>
      </c>
      <c r="B31" s="150"/>
      <c r="C31" s="30" t="str">
        <f t="shared" si="0"/>
        <v/>
      </c>
      <c r="D31" s="147" t="str">
        <f>IFERROR(VLOOKUP($A31,Sheet1!$A$1:$B$80,2,0),"")</f>
        <v/>
      </c>
      <c r="E31" s="30" t="str">
        <f>IFERROR(VLOOKUP($A31,'Tổng Đơn'!$A$5:$E$52,5,0),"")</f>
        <v/>
      </c>
      <c r="F31" s="30" t="str">
        <f t="shared" si="1"/>
        <v/>
      </c>
      <c r="G31" s="155" t="str">
        <f>IF(AND($C31="",$C30&lt;&gt;""),"Tổng Cộng",IFERROR(VLOOKUP($A31,Sheet1!$A$1:$D$80,4,0),""))</f>
        <v/>
      </c>
      <c r="H31" s="148" t="str">
        <f>IF($C30=MAX($C$8:$C$56),SUM($H$8:$H30),IFERROR($G31*$F31,""))</f>
        <v/>
      </c>
      <c r="I31" s="54" t="str">
        <f t="shared" si="2"/>
        <v/>
      </c>
      <c r="L31" s="31"/>
    </row>
    <row r="32" spans="1:12" s="29" customFormat="1" ht="14.25" customHeight="1" x14ac:dyDescent="0.25">
      <c r="A32" s="150" t="s">
        <v>310</v>
      </c>
      <c r="B32" s="150"/>
      <c r="C32" s="30" t="str">
        <f t="shared" si="0"/>
        <v/>
      </c>
      <c r="D32" s="147" t="str">
        <f>IFERROR(VLOOKUP($A32,Sheet1!$A$1:$B$80,2,0),"")</f>
        <v/>
      </c>
      <c r="E32" s="30" t="str">
        <f>IFERROR(VLOOKUP($A32,'Tổng Đơn'!$A$5:$E$52,5,0),"")</f>
        <v/>
      </c>
      <c r="F32" s="30" t="str">
        <f t="shared" si="1"/>
        <v/>
      </c>
      <c r="G32" s="155" t="str">
        <f>IF(AND($C32="",$C31&lt;&gt;""),"Tổng Cộng",IFERROR(VLOOKUP($A32,Sheet1!$A$1:$D$80,4,0),""))</f>
        <v/>
      </c>
      <c r="H32" s="148" t="str">
        <f>IF($C31=MAX($C$8:$C$56),SUM($H$8:$H31),IFERROR($G32*$F32,""))</f>
        <v/>
      </c>
      <c r="I32" s="54" t="str">
        <f t="shared" si="2"/>
        <v/>
      </c>
      <c r="L32" s="31"/>
    </row>
    <row r="33" spans="1:12" s="29" customFormat="1" ht="14.25" customHeight="1" x14ac:dyDescent="0.25">
      <c r="A33" s="150" t="s">
        <v>310</v>
      </c>
      <c r="B33" s="150"/>
      <c r="C33" s="30" t="str">
        <f t="shared" si="0"/>
        <v/>
      </c>
      <c r="D33" s="147" t="str">
        <f>IFERROR(VLOOKUP($A33,Sheet1!$A$1:$B$80,2,0),"")</f>
        <v/>
      </c>
      <c r="E33" s="30" t="str">
        <f>IFERROR(VLOOKUP($A33,'Tổng Đơn'!$A$5:$E$52,5,0),"")</f>
        <v/>
      </c>
      <c r="F33" s="30" t="str">
        <f t="shared" si="1"/>
        <v/>
      </c>
      <c r="G33" s="155" t="str">
        <f>IF(AND($C33="",$C32&lt;&gt;""),"Tổng Cộng",IFERROR(VLOOKUP($A33,Sheet1!$A$1:$D$80,4,0),""))</f>
        <v/>
      </c>
      <c r="H33" s="148" t="str">
        <f>IF($C32=MAX($C$8:$C$56),SUM($H$8:$H32),IFERROR($G33*$F33,""))</f>
        <v/>
      </c>
      <c r="I33" s="54" t="str">
        <f t="shared" si="2"/>
        <v/>
      </c>
      <c r="L33" s="31"/>
    </row>
    <row r="34" spans="1:12" s="29" customFormat="1" ht="14.25" customHeight="1" x14ac:dyDescent="0.25">
      <c r="A34" s="150" t="s">
        <v>310</v>
      </c>
      <c r="B34" s="150"/>
      <c r="C34" s="30" t="str">
        <f t="shared" si="0"/>
        <v/>
      </c>
      <c r="D34" s="147" t="str">
        <f>IFERROR(VLOOKUP($A34,Sheet1!$A$1:$B$80,2,0),"")</f>
        <v/>
      </c>
      <c r="E34" s="30" t="str">
        <f>IFERROR(VLOOKUP($A34,'Tổng Đơn'!$A$5:$E$52,5,0),"")</f>
        <v/>
      </c>
      <c r="F34" s="30" t="str">
        <f t="shared" si="1"/>
        <v/>
      </c>
      <c r="G34" s="155" t="str">
        <f>IF(AND($C34="",$C33&lt;&gt;""),"Tổng Cộng",IFERROR(VLOOKUP($A34,Sheet1!$A$1:$D$80,4,0),""))</f>
        <v/>
      </c>
      <c r="H34" s="148" t="str">
        <f>IF($C33=MAX($C$8:$C$56),SUM($H$8:$H33),IFERROR($G34*$F34,""))</f>
        <v/>
      </c>
      <c r="I34" s="54" t="str">
        <f t="shared" si="2"/>
        <v/>
      </c>
      <c r="L34" s="31"/>
    </row>
    <row r="35" spans="1:12" s="29" customFormat="1" ht="14.25" customHeight="1" x14ac:dyDescent="0.25">
      <c r="A35" s="150" t="s">
        <v>310</v>
      </c>
      <c r="B35" s="150"/>
      <c r="C35" s="30" t="str">
        <f t="shared" si="0"/>
        <v/>
      </c>
      <c r="D35" s="147" t="str">
        <f>IFERROR(VLOOKUP($A35,Sheet1!$A$1:$B$80,2,0),"")</f>
        <v/>
      </c>
      <c r="E35" s="30" t="str">
        <f>IFERROR(VLOOKUP($A35,'Tổng Đơn'!$A$5:$E$52,5,0),"")</f>
        <v/>
      </c>
      <c r="F35" s="30" t="str">
        <f t="shared" si="1"/>
        <v/>
      </c>
      <c r="G35" s="155" t="str">
        <f>IF(AND($C35="",$C34&lt;&gt;""),"Tổng Cộng",IFERROR(VLOOKUP($A35,Sheet1!$A$1:$D$80,4,0),""))</f>
        <v/>
      </c>
      <c r="H35" s="148" t="str">
        <f>IF($C34=MAX($C$8:$C$56),SUM($H$8:$H34),IFERROR($G35*$F35,""))</f>
        <v/>
      </c>
      <c r="I35" s="54" t="str">
        <f t="shared" si="2"/>
        <v/>
      </c>
      <c r="L35" s="31"/>
    </row>
    <row r="36" spans="1:12" s="29" customFormat="1" ht="14.25" customHeight="1" x14ac:dyDescent="0.25">
      <c r="A36" s="150" t="s">
        <v>310</v>
      </c>
      <c r="B36" s="150"/>
      <c r="C36" s="30" t="str">
        <f t="shared" si="0"/>
        <v/>
      </c>
      <c r="D36" s="147" t="str">
        <f>IFERROR(VLOOKUP($A36,Sheet1!$A$1:$B$80,2,0),"")</f>
        <v/>
      </c>
      <c r="E36" s="30" t="str">
        <f>IFERROR(VLOOKUP($A36,'Tổng Đơn'!$A$5:$E$52,5,0),"")</f>
        <v/>
      </c>
      <c r="F36" s="30" t="str">
        <f t="shared" si="1"/>
        <v/>
      </c>
      <c r="G36" s="155" t="str">
        <f>IF(AND($C36="",$C35&lt;&gt;""),"Tổng Cộng",IFERROR(VLOOKUP($A36,Sheet1!$A$1:$D$80,4,0),""))</f>
        <v/>
      </c>
      <c r="H36" s="148" t="str">
        <f>IF($C35=MAX($C$8:$C$56),SUM($H$8:$H35),IFERROR($G36*$F36,""))</f>
        <v/>
      </c>
      <c r="I36" s="54" t="str">
        <f t="shared" si="2"/>
        <v/>
      </c>
      <c r="L36" s="31"/>
    </row>
    <row r="37" spans="1:12" s="29" customFormat="1" ht="14.25" customHeight="1" x14ac:dyDescent="0.25">
      <c r="A37" s="150" t="s">
        <v>310</v>
      </c>
      <c r="B37" s="150"/>
      <c r="C37" s="30" t="str">
        <f t="shared" si="0"/>
        <v/>
      </c>
      <c r="D37" s="147" t="str">
        <f>IFERROR(VLOOKUP($A37,Sheet1!$A$1:$B$80,2,0),"")</f>
        <v/>
      </c>
      <c r="E37" s="30" t="str">
        <f>IFERROR(VLOOKUP($A37,'Tổng Đơn'!$A$5:$E$52,5,0),"")</f>
        <v/>
      </c>
      <c r="F37" s="30" t="str">
        <f t="shared" si="1"/>
        <v/>
      </c>
      <c r="G37" s="155" t="str">
        <f>IF(AND($C37="",$C36&lt;&gt;""),"Tổng Cộng",IFERROR(VLOOKUP($A37,Sheet1!$A$1:$D$80,4,0),""))</f>
        <v/>
      </c>
      <c r="H37" s="148" t="str">
        <f>IF($C36=MAX($C$8:$C$56),SUM($H$8:$H36),IFERROR($G37*$F37,""))</f>
        <v/>
      </c>
      <c r="I37" s="54" t="str">
        <f t="shared" si="2"/>
        <v/>
      </c>
      <c r="L37" s="31"/>
    </row>
    <row r="38" spans="1:12" s="29" customFormat="1" ht="14.25" customHeight="1" x14ac:dyDescent="0.25">
      <c r="A38" s="150"/>
      <c r="B38" s="150"/>
      <c r="C38" s="33"/>
      <c r="D38" s="34"/>
      <c r="E38" s="52"/>
      <c r="F38" s="30"/>
      <c r="G38" s="156" t="str">
        <f>IF(AND($C38="",$C37&lt;&gt;""),"Tổng Cộng",IFERROR(VLOOKUP($A38,Sheet1!$A$1:$D$80,4,0),""))</f>
        <v/>
      </c>
      <c r="H38" s="35" t="str">
        <f>IF($C37=MAX($C$8:$C$56),SUM($H$8:$H37),IFERROR($G38*$F38,""))</f>
        <v/>
      </c>
      <c r="I38" s="54"/>
      <c r="L38" s="31"/>
    </row>
    <row r="39" spans="1:12" ht="15" customHeight="1" x14ac:dyDescent="0.25">
      <c r="F39" s="36"/>
      <c r="G39" s="139"/>
      <c r="H39" s="37"/>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C38:E38 D23:E37 F23:H38">
    <cfRule type="expression" dxfId="359" priority="22">
      <formula>$C22=MAX($C$8:$C$37)</formula>
    </cfRule>
  </conditionalFormatting>
  <conditionalFormatting sqref="C23:C37">
    <cfRule type="expression" dxfId="358" priority="21">
      <formula>$C22=MAX($C$8:$C$37)</formula>
    </cfRule>
  </conditionalFormatting>
  <conditionalFormatting sqref="E23:E38">
    <cfRule type="expression" dxfId="357" priority="23">
      <formula>AND($A23="",$F23&lt;&gt;"")</formula>
    </cfRule>
  </conditionalFormatting>
  <conditionalFormatting sqref="F23:F38">
    <cfRule type="expression" dxfId="356" priority="24">
      <formula>AND($F23="",$A23&lt;&gt;"")</formula>
    </cfRule>
  </conditionalFormatting>
  <conditionalFormatting sqref="D20:H22">
    <cfRule type="expression" dxfId="355" priority="18">
      <formula>$C19=MAX($C$8:$C$37)</formula>
    </cfRule>
  </conditionalFormatting>
  <conditionalFormatting sqref="C20:C22">
    <cfRule type="expression" dxfId="354" priority="17">
      <formula>$C19=MAX($C$8:$C$37)</formula>
    </cfRule>
  </conditionalFormatting>
  <conditionalFormatting sqref="E20:E22">
    <cfRule type="expression" dxfId="353" priority="19">
      <formula>AND($A20="",$F20&lt;&gt;"")</formula>
    </cfRule>
  </conditionalFormatting>
  <conditionalFormatting sqref="F20:F22">
    <cfRule type="expression" dxfId="352" priority="20">
      <formula>AND($F20="",$A20&lt;&gt;"")</formula>
    </cfRule>
  </conditionalFormatting>
  <conditionalFormatting sqref="D15:H19 D12:F14 H12:H14">
    <cfRule type="expression" dxfId="351" priority="14">
      <formula>$C11=MAX($C$8:$C$37)</formula>
    </cfRule>
  </conditionalFormatting>
  <conditionalFormatting sqref="C12:C19">
    <cfRule type="expression" dxfId="350" priority="13">
      <formula>$C11=MAX($C$8:$C$37)</formula>
    </cfRule>
  </conditionalFormatting>
  <conditionalFormatting sqref="E12:E19">
    <cfRule type="expression" dxfId="349" priority="15">
      <formula>AND($A12="",$F12&lt;&gt;"")</formula>
    </cfRule>
  </conditionalFormatting>
  <conditionalFormatting sqref="F12:F19">
    <cfRule type="expression" dxfId="348" priority="16">
      <formula>AND($F12="",$A12&lt;&gt;"")</formula>
    </cfRule>
  </conditionalFormatting>
  <conditionalFormatting sqref="G12:G14">
    <cfRule type="expression" dxfId="347" priority="12">
      <formula>$C11=MAX($C$8:$C$37)</formula>
    </cfRule>
  </conditionalFormatting>
  <conditionalFormatting sqref="D9:F11 H9:H11">
    <cfRule type="expression" dxfId="346" priority="9">
      <formula>$C8=MAX($C$8:$C$37)</formula>
    </cfRule>
  </conditionalFormatting>
  <conditionalFormatting sqref="C9:C11">
    <cfRule type="expression" dxfId="345" priority="8">
      <formula>$C8=MAX($C$8:$C$37)</formula>
    </cfRule>
  </conditionalFormatting>
  <conditionalFormatting sqref="E9:E11">
    <cfRule type="expression" dxfId="344" priority="10">
      <formula>AND($A9="",$F9&lt;&gt;"")</formula>
    </cfRule>
  </conditionalFormatting>
  <conditionalFormatting sqref="F9:F11">
    <cfRule type="expression" dxfId="343" priority="11">
      <formula>AND($F9="",$A9&lt;&gt;"")</formula>
    </cfRule>
  </conditionalFormatting>
  <conditionalFormatting sqref="D8:F8">
    <cfRule type="expression" dxfId="342" priority="5">
      <formula>$C7=MAX($C$8:$C$37)</formula>
    </cfRule>
  </conditionalFormatting>
  <conditionalFormatting sqref="C8">
    <cfRule type="expression" dxfId="341" priority="4">
      <formula>$C7=MAX($C$8:$C$37)</formula>
    </cfRule>
  </conditionalFormatting>
  <conditionalFormatting sqref="E8">
    <cfRule type="expression" dxfId="340" priority="6">
      <formula>AND($A8="",$F8&lt;&gt;"")</formula>
    </cfRule>
  </conditionalFormatting>
  <conditionalFormatting sqref="F8">
    <cfRule type="expression" dxfId="339" priority="7">
      <formula>AND($F8="",$A8&lt;&gt;"")</formula>
    </cfRule>
  </conditionalFormatting>
  <conditionalFormatting sqref="H8">
    <cfRule type="expression" dxfId="338" priority="3">
      <formula>$C7=MAX($C$8:$C$37)</formula>
    </cfRule>
  </conditionalFormatting>
  <conditionalFormatting sqref="G9:G11">
    <cfRule type="expression" dxfId="337" priority="2">
      <formula>$C8=MAX($C$8:$C$37)</formula>
    </cfRule>
  </conditionalFormatting>
  <conditionalFormatting sqref="G8">
    <cfRule type="expression" dxfId="336" priority="1">
      <formula>$C7=MAX($C$8:$C$37)</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1544193" r:id="rId4" name="Button 1">
              <controlPr defaultSize="0" print="0" autoFill="0" autoPict="0" macro="[0]!Macro4">
                <anchor moveWithCells="1" sizeWithCells="1">
                  <from>
                    <xdr:col>0</xdr:col>
                    <xdr:colOff>0</xdr:colOff>
                    <xdr:row>0</xdr:row>
                    <xdr:rowOff>0</xdr:rowOff>
                  </from>
                  <to>
                    <xdr:col>1</xdr:col>
                    <xdr:colOff>769620</xdr:colOff>
                    <xdr:row>7</xdr:row>
                    <xdr:rowOff>0</xdr:rowOff>
                  </to>
                </anchor>
              </controlPr>
            </control>
          </mc:Choice>
        </mc:AlternateContent>
      </controls>
    </mc:Choice>
  </mc:AlternateContent>
</worksheet>
</file>

<file path=xl/worksheets/sheet2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59050DE-EB4A-4E82-977E-7D9C395B476D}">
  <sheetPr codeName="Sheet47">
    <tabColor theme="1"/>
    <pageSetUpPr fitToPage="1"/>
  </sheetPr>
  <dimension ref="A1:N53"/>
  <sheetViews>
    <sheetView zoomScaleNormal="100" workbookViewId="0">
      <pane ySplit="7" topLeftCell="A8" activePane="bottomLeft" state="frozen"/>
      <selection activeCell="Q2" sqref="Q2"/>
      <selection pane="bottomLeft" activeCell="D7" sqref="D7"/>
    </sheetView>
  </sheetViews>
  <sheetFormatPr defaultColWidth="9.09765625" defaultRowHeight="13.8" x14ac:dyDescent="0.25"/>
  <cols>
    <col min="1" max="1" width="11.69921875" style="14" customWidth="1"/>
    <col min="2" max="2" width="11.296875" style="14" customWidth="1"/>
    <col min="3" max="3" width="9.09765625" style="14"/>
    <col min="4" max="4" width="38.3984375" style="14" bestFit="1" customWidth="1"/>
    <col min="5" max="5" width="12.296875" style="53" bestFit="1" customWidth="1"/>
    <col min="6" max="6" width="11" style="14" customWidth="1"/>
    <col min="7" max="7" width="17.8984375" style="14" customWidth="1"/>
    <col min="8" max="8" width="17.8984375" style="15" customWidth="1"/>
    <col min="9" max="9" width="21.8984375" style="14" customWidth="1"/>
    <col min="10" max="10" width="10.09765625" style="14" customWidth="1"/>
    <col min="11" max="11" width="9.09765625" style="14"/>
    <col min="12" max="12" width="11.69921875" style="14" customWidth="1"/>
    <col min="13" max="14" width="10.09765625" style="14" bestFit="1" customWidth="1"/>
    <col min="15" max="16384" width="9.09765625" style="14"/>
  </cols>
  <sheetData>
    <row r="1" spans="1:14" ht="15.75" customHeight="1" x14ac:dyDescent="0.25">
      <c r="C1" s="268" t="s">
        <v>164</v>
      </c>
      <c r="D1" s="268"/>
      <c r="E1" s="268"/>
      <c r="F1" s="268"/>
      <c r="G1" s="268"/>
      <c r="H1" s="268"/>
    </row>
    <row r="2" spans="1:14" ht="15.75" customHeight="1" x14ac:dyDescent="0.25">
      <c r="C2" s="268"/>
      <c r="D2" s="268"/>
      <c r="E2" s="268"/>
      <c r="F2" s="268"/>
      <c r="G2" s="268"/>
      <c r="H2" s="268"/>
    </row>
    <row r="3" spans="1:14" ht="15" customHeight="1" x14ac:dyDescent="0.25">
      <c r="C3" s="269" t="s">
        <v>166</v>
      </c>
      <c r="D3" s="269"/>
      <c r="E3" s="269"/>
      <c r="F3" s="270" t="s">
        <v>168</v>
      </c>
      <c r="G3" s="270"/>
      <c r="H3" s="270"/>
    </row>
    <row r="4" spans="1:14" x14ac:dyDescent="0.25">
      <c r="C4" s="269" t="s">
        <v>167</v>
      </c>
      <c r="D4" s="269"/>
      <c r="E4" s="269"/>
      <c r="F4" s="271" t="s">
        <v>169</v>
      </c>
      <c r="G4" s="271"/>
      <c r="H4" s="271"/>
    </row>
    <row r="5" spans="1:14" s="140" customFormat="1" ht="21" customHeight="1" x14ac:dyDescent="0.25">
      <c r="C5" s="272" t="s">
        <v>165</v>
      </c>
      <c r="D5" s="272"/>
      <c r="E5" s="272"/>
      <c r="F5" s="272"/>
      <c r="G5" s="272"/>
      <c r="H5" s="272"/>
    </row>
    <row r="6" spans="1:14" s="140" customFormat="1" ht="16.5" customHeight="1" x14ac:dyDescent="0.25">
      <c r="C6" s="149" t="s">
        <v>170</v>
      </c>
      <c r="D6" s="152" t="s">
        <v>313</v>
      </c>
      <c r="E6" s="145"/>
      <c r="F6" s="145"/>
      <c r="G6" s="267" t="str">
        <f ca="1">"Ngày "&amp;DAY(TODAY())&amp;" Tháng "&amp;MONTH(TODAY())&amp;" Năm "&amp;YEAR(TODAY())</f>
        <v>Ngày 22 Tháng 1 Năm 2023</v>
      </c>
      <c r="H6" s="267"/>
    </row>
    <row r="7" spans="1:14" s="144" customFormat="1" ht="24" customHeight="1" x14ac:dyDescent="0.25">
      <c r="A7" s="141" t="s">
        <v>101</v>
      </c>
      <c r="B7" s="141" t="s">
        <v>15</v>
      </c>
      <c r="C7" s="142" t="s">
        <v>0</v>
      </c>
      <c r="D7" s="142" t="s">
        <v>16</v>
      </c>
      <c r="E7" s="146" t="str">
        <f>"Quy cách"&amp;CHAR(10)&amp;"(Kg)"</f>
        <v>Quy cách
(Kg)</v>
      </c>
      <c r="F7" s="142" t="s">
        <v>15</v>
      </c>
      <c r="G7" s="142" t="s">
        <v>17</v>
      </c>
      <c r="H7" s="142" t="s">
        <v>18</v>
      </c>
      <c r="I7" s="143">
        <f>SUBTOTAL(9,I8:I37)</f>
        <v>1</v>
      </c>
      <c r="L7" s="140"/>
    </row>
    <row r="8" spans="1:14" s="29" customFormat="1" ht="14.25" customHeight="1" x14ac:dyDescent="0.25">
      <c r="A8" s="150">
        <v>4</v>
      </c>
      <c r="B8" s="150">
        <v>1</v>
      </c>
      <c r="C8" s="30">
        <f t="shared" ref="C8:C37" si="0">IF(OR(SUM($C7,$A8&lt;&gt;"")=0,$A8=""),"",SUM($C7,$A8&lt;&gt;""))</f>
        <v>1</v>
      </c>
      <c r="D8" s="147" t="str">
        <f>IFERROR(VLOOKUP($A8,Sheet1!$A$1:$B$80,2,0),"")</f>
        <v>Phô mai que AN</v>
      </c>
      <c r="E8" s="30">
        <f>IFERROR(VLOOKUP($A8,'Tổng Đơn'!$A$5:$E$52,5,0),"")</f>
        <v>0.5</v>
      </c>
      <c r="F8" s="30">
        <f t="shared" ref="F8:F37" si="1">IF($B8="","",B8)</f>
        <v>1</v>
      </c>
      <c r="G8" s="155">
        <f>IFERROR(VLOOKUP($A8,Sheet1!$A1:$D$80,4,0),"")</f>
        <v>45000</v>
      </c>
      <c r="H8" s="148">
        <f>IF($C7=MAX($C$8:$C$56),SUM($H7:$H$8),IFERROR($G8*$F8,""))</f>
        <v>45000</v>
      </c>
      <c r="I8" s="54">
        <f t="shared" ref="I8:I37" si="2">IF(TYPE($A8)&lt;&gt;1,"",IFERROR(F8*E8,""))</f>
        <v>0.5</v>
      </c>
      <c r="L8" s="32"/>
    </row>
    <row r="9" spans="1:14" s="29" customFormat="1" ht="14.25" customHeight="1" x14ac:dyDescent="0.25">
      <c r="A9" s="150">
        <v>34</v>
      </c>
      <c r="B9" s="150">
        <v>1</v>
      </c>
      <c r="C9" s="30">
        <f t="shared" si="0"/>
        <v>2</v>
      </c>
      <c r="D9" s="147" t="str">
        <f>IFERROR(VLOOKUP($A9,Sheet1!$A$1:$B$80,2,0),"")</f>
        <v>Cá viên KK</v>
      </c>
      <c r="E9" s="30">
        <f>IFERROR(VLOOKUP($A9,'Tổng Đơn'!$A$5:$E$52,5,0),"")</f>
        <v>0.5</v>
      </c>
      <c r="F9" s="30">
        <f t="shared" si="1"/>
        <v>1</v>
      </c>
      <c r="G9" s="155">
        <f>IF(AND($C9="",$C8&lt;&gt;""),"Tổng Cộng",IFERROR(VLOOKUP($A9,Sheet1!$A$1:$D$80,4,0),""))</f>
        <v>25000</v>
      </c>
      <c r="H9" s="148">
        <f>IF($C8=MAX($C$8:$C$56),SUM($H$8:$H8),IFERROR($G9*$F9,""))</f>
        <v>25000</v>
      </c>
      <c r="I9" s="54">
        <f t="shared" si="2"/>
        <v>0.5</v>
      </c>
      <c r="L9" s="31"/>
    </row>
    <row r="10" spans="1:14" s="29" customFormat="1" ht="14.25" customHeight="1" x14ac:dyDescent="0.25">
      <c r="A10" s="150" t="s">
        <v>310</v>
      </c>
      <c r="B10" s="150"/>
      <c r="C10" s="30" t="str">
        <f t="shared" si="0"/>
        <v/>
      </c>
      <c r="D10" s="147" t="str">
        <f>IFERROR(VLOOKUP($A10,Sheet1!$A$1:$B$80,2,0),"")</f>
        <v/>
      </c>
      <c r="E10" s="30" t="str">
        <f>IFERROR(VLOOKUP($A10,'Tổng Đơn'!$A$5:$E$52,5,0),"")</f>
        <v/>
      </c>
      <c r="F10" s="30" t="str">
        <f t="shared" si="1"/>
        <v/>
      </c>
      <c r="G10" s="155" t="str">
        <f>IF(AND($C10="",$C9&lt;&gt;""),"Tổng Cộng",IFERROR(VLOOKUP($A10,Sheet1!$A$1:$D$80,4,0),""))</f>
        <v>Tổng Cộng</v>
      </c>
      <c r="H10" s="148">
        <f>IF($C9=MAX($C$8:$C$56),SUM($H$8:$H9),IFERROR($G10*$F10,""))</f>
        <v>70000</v>
      </c>
      <c r="I10" s="54" t="str">
        <f t="shared" si="2"/>
        <v/>
      </c>
      <c r="L10" s="31"/>
    </row>
    <row r="11" spans="1:14" s="29" customFormat="1" ht="14.25" customHeight="1" x14ac:dyDescent="0.25">
      <c r="A11" s="150" t="s">
        <v>310</v>
      </c>
      <c r="B11" s="150"/>
      <c r="C11" s="30" t="str">
        <f t="shared" si="0"/>
        <v/>
      </c>
      <c r="D11" s="147" t="str">
        <f>IFERROR(VLOOKUP($A11,Sheet1!$A$1:$B$80,2,0),"")</f>
        <v/>
      </c>
      <c r="E11" s="30" t="str">
        <f>IFERROR(VLOOKUP($A11,'Tổng Đơn'!$A$5:$E$52,5,0),"")</f>
        <v/>
      </c>
      <c r="F11" s="30" t="str">
        <f t="shared" si="1"/>
        <v/>
      </c>
      <c r="G11" s="155" t="str">
        <f>IF(AND($C11="",$C10&lt;&gt;""),"Tổng Cộng",IFERROR(VLOOKUP($A11,Sheet1!$A$1:$D$80,4,0),""))</f>
        <v/>
      </c>
      <c r="H11" s="148" t="str">
        <f>IF($C10=MAX($C$8:$C$56),SUM($H$8:$H10),IFERROR($G11*$F11,""))</f>
        <v/>
      </c>
      <c r="I11" s="54" t="str">
        <f t="shared" si="2"/>
        <v/>
      </c>
      <c r="L11" s="31"/>
    </row>
    <row r="12" spans="1:14" s="29" customFormat="1" ht="14.25" customHeight="1" x14ac:dyDescent="0.25">
      <c r="A12" s="150" t="s">
        <v>310</v>
      </c>
      <c r="B12" s="150"/>
      <c r="C12" s="30" t="str">
        <f t="shared" si="0"/>
        <v/>
      </c>
      <c r="D12" s="147" t="str">
        <f>IFERROR(VLOOKUP($A12,Sheet1!$A$1:$B$80,2,0),"")</f>
        <v/>
      </c>
      <c r="E12" s="30" t="str">
        <f>IFERROR(VLOOKUP($A12,'Tổng Đơn'!$A$5:$E$52,5,0),"")</f>
        <v/>
      </c>
      <c r="F12" s="30" t="str">
        <f t="shared" si="1"/>
        <v/>
      </c>
      <c r="G12" s="155" t="str">
        <f>IF(AND($C12="",$C11&lt;&gt;""),"Tổng Cộng",IFERROR(VLOOKUP($A12,Sheet1!$A$1:$D$80,4,0),""))</f>
        <v/>
      </c>
      <c r="H12" s="148" t="str">
        <f>IF($C11=MAX($C$8:$C$56),SUM($H$8:$H11),IFERROR($G12*$F12,""))</f>
        <v/>
      </c>
      <c r="I12" s="54" t="str">
        <f t="shared" si="2"/>
        <v/>
      </c>
      <c r="J12" s="125"/>
      <c r="L12" s="31"/>
      <c r="N12" s="126"/>
    </row>
    <row r="13" spans="1:14" s="29" customFormat="1" ht="14.25" customHeight="1" x14ac:dyDescent="0.25">
      <c r="A13" s="150" t="s">
        <v>310</v>
      </c>
      <c r="B13" s="150"/>
      <c r="C13" s="30" t="str">
        <f t="shared" si="0"/>
        <v/>
      </c>
      <c r="D13" s="147" t="str">
        <f>IFERROR(VLOOKUP($A13,Sheet1!$A$1:$B$80,2,0),"")</f>
        <v/>
      </c>
      <c r="E13" s="30" t="str">
        <f>IFERROR(VLOOKUP($A13,'Tổng Đơn'!$A$5:$E$52,5,0),"")</f>
        <v/>
      </c>
      <c r="F13" s="30" t="str">
        <f t="shared" si="1"/>
        <v/>
      </c>
      <c r="G13" s="155" t="str">
        <f>IF(AND($C13="",$C12&lt;&gt;""),"Tổng Cộng",IFERROR(VLOOKUP($A13,Sheet1!$A$1:$D$80,4,0),""))</f>
        <v/>
      </c>
      <c r="H13" s="148" t="str">
        <f>IF($C12=MAX($C$8:$C$56),SUM($H$8:$H12),IFERROR($G13*$F13,""))</f>
        <v/>
      </c>
      <c r="I13" s="54" t="str">
        <f t="shared" si="2"/>
        <v/>
      </c>
      <c r="L13" s="31"/>
    </row>
    <row r="14" spans="1:14" s="29" customFormat="1" ht="14.25" customHeight="1" x14ac:dyDescent="0.25">
      <c r="A14" s="150" t="s">
        <v>310</v>
      </c>
      <c r="B14" s="150"/>
      <c r="C14" s="30" t="str">
        <f t="shared" si="0"/>
        <v/>
      </c>
      <c r="D14" s="147" t="str">
        <f>IFERROR(VLOOKUP($A14,Sheet1!$A$1:$B$80,2,0),"")</f>
        <v/>
      </c>
      <c r="E14" s="30" t="str">
        <f>IFERROR(VLOOKUP($A14,'Tổng Đơn'!$A$5:$E$52,5,0),"")</f>
        <v/>
      </c>
      <c r="F14" s="30" t="str">
        <f t="shared" si="1"/>
        <v/>
      </c>
      <c r="G14" s="155" t="str">
        <f>IF(AND($C14="",$C13&lt;&gt;""),"Tổng Cộng",IFERROR(VLOOKUP($A14,Sheet1!$A$1:$D$80,4,0),""))</f>
        <v/>
      </c>
      <c r="H14" s="148" t="str">
        <f>IF($C13=MAX($C$8:$C$56),SUM($H$8:$H13),IFERROR($G14*$F14,""))</f>
        <v/>
      </c>
      <c r="I14" s="54" t="str">
        <f t="shared" si="2"/>
        <v/>
      </c>
      <c r="L14" s="31"/>
      <c r="M14" s="132"/>
    </row>
    <row r="15" spans="1:14" s="29" customFormat="1" ht="14.25" customHeight="1" x14ac:dyDescent="0.25">
      <c r="A15" s="150" t="s">
        <v>310</v>
      </c>
      <c r="B15" s="150"/>
      <c r="C15" s="30" t="str">
        <f t="shared" si="0"/>
        <v/>
      </c>
      <c r="D15" s="147" t="str">
        <f>IFERROR(VLOOKUP($A15,Sheet1!$A$1:$B$80,2,0),"")</f>
        <v/>
      </c>
      <c r="E15" s="30" t="str">
        <f>IFERROR(VLOOKUP($A15,'Tổng Đơn'!$A$5:$E$52,5,0),"")</f>
        <v/>
      </c>
      <c r="F15" s="30" t="str">
        <f t="shared" si="1"/>
        <v/>
      </c>
      <c r="G15" s="155" t="str">
        <f>IF(AND($C15="",$C14&lt;&gt;""),"Tổng Cộng",IFERROR(VLOOKUP($A15,Sheet1!$A$1:$D$80,4,0),""))</f>
        <v/>
      </c>
      <c r="H15" s="148" t="str">
        <f>IF($C14=MAX($C$8:$C$56),SUM($H$8:$H14),IFERROR($G15*$F15,""))</f>
        <v/>
      </c>
      <c r="I15" s="54" t="str">
        <f t="shared" si="2"/>
        <v/>
      </c>
      <c r="L15" s="31"/>
    </row>
    <row r="16" spans="1:14" s="29" customFormat="1" ht="14.25" customHeight="1" x14ac:dyDescent="0.25">
      <c r="A16" s="150" t="s">
        <v>310</v>
      </c>
      <c r="B16" s="150"/>
      <c r="C16" s="30" t="str">
        <f t="shared" si="0"/>
        <v/>
      </c>
      <c r="D16" s="147" t="str">
        <f>IFERROR(VLOOKUP($A16,Sheet1!$A$1:$B$80,2,0),"")</f>
        <v/>
      </c>
      <c r="E16" s="30" t="str">
        <f>IFERROR(VLOOKUP($A16,'Tổng Đơn'!$A$5:$E$52,5,0),"")</f>
        <v/>
      </c>
      <c r="F16" s="30" t="str">
        <f t="shared" si="1"/>
        <v/>
      </c>
      <c r="G16" s="155" t="str">
        <f>IF(AND($C16="",$C15&lt;&gt;""),"Tổng Cộng",IFERROR(VLOOKUP($A16,Sheet1!$A$1:$D$80,4,0),""))</f>
        <v/>
      </c>
      <c r="H16" s="148" t="str">
        <f>IF($C15=MAX($C$8:$C$56),SUM($H$8:$H15),IFERROR($G16*$F16,""))</f>
        <v/>
      </c>
      <c r="I16" s="54" t="str">
        <f t="shared" si="2"/>
        <v/>
      </c>
      <c r="L16" s="31"/>
    </row>
    <row r="17" spans="1:12" s="29" customFormat="1" ht="14.25" customHeight="1" x14ac:dyDescent="0.25">
      <c r="A17" s="150" t="s">
        <v>310</v>
      </c>
      <c r="B17" s="150"/>
      <c r="C17" s="30" t="str">
        <f t="shared" si="0"/>
        <v/>
      </c>
      <c r="D17" s="147" t="str">
        <f>IFERROR(VLOOKUP($A17,Sheet1!$A$1:$B$80,2,0),"")</f>
        <v/>
      </c>
      <c r="E17" s="30" t="str">
        <f>IFERROR(VLOOKUP($A17,'Tổng Đơn'!$A$5:$E$52,5,0),"")</f>
        <v/>
      </c>
      <c r="F17" s="30" t="str">
        <f t="shared" si="1"/>
        <v/>
      </c>
      <c r="G17" s="155" t="str">
        <f>IF(AND($C17="",$C16&lt;&gt;""),"Tổng Cộng",IFERROR(VLOOKUP($A17,Sheet1!$A$1:$D$80,4,0),""))</f>
        <v/>
      </c>
      <c r="H17" s="148" t="str">
        <f>IF($C16=MAX($C$8:$C$56),SUM($H$8:$H16),IFERROR($G17*$F17,""))</f>
        <v/>
      </c>
      <c r="I17" s="54" t="str">
        <f t="shared" si="2"/>
        <v/>
      </c>
      <c r="L17" s="31"/>
    </row>
    <row r="18" spans="1:12" s="29" customFormat="1" ht="14.25" customHeight="1" x14ac:dyDescent="0.25">
      <c r="A18" s="150" t="s">
        <v>310</v>
      </c>
      <c r="B18" s="150"/>
      <c r="C18" s="30" t="str">
        <f t="shared" si="0"/>
        <v/>
      </c>
      <c r="D18" s="147" t="str">
        <f>IFERROR(VLOOKUP($A18,Sheet1!$A$1:$B$80,2,0),"")</f>
        <v/>
      </c>
      <c r="E18" s="30" t="str">
        <f>IFERROR(VLOOKUP($A18,'Tổng Đơn'!$A$5:$E$52,5,0),"")</f>
        <v/>
      </c>
      <c r="F18" s="30" t="str">
        <f t="shared" si="1"/>
        <v/>
      </c>
      <c r="G18" s="155" t="str">
        <f>IF(AND($C18="",$C17&lt;&gt;""),"Tổng Cộng",IFERROR(VLOOKUP($A18,Sheet1!$A$1:$D$80,4,0),""))</f>
        <v/>
      </c>
      <c r="H18" s="148" t="str">
        <f>IF($C17=MAX($C$8:$C$56),SUM($H$8:$H17),IFERROR($G18*$F18,""))</f>
        <v/>
      </c>
      <c r="I18" s="54" t="str">
        <f t="shared" si="2"/>
        <v/>
      </c>
      <c r="L18" s="31"/>
    </row>
    <row r="19" spans="1:12" s="29" customFormat="1" ht="14.25" customHeight="1" x14ac:dyDescent="0.25">
      <c r="A19" s="150" t="s">
        <v>310</v>
      </c>
      <c r="B19" s="150"/>
      <c r="C19" s="30" t="str">
        <f t="shared" si="0"/>
        <v/>
      </c>
      <c r="D19" s="147" t="str">
        <f>IFERROR(VLOOKUP($A19,Sheet1!$A$1:$B$80,2,0),"")</f>
        <v/>
      </c>
      <c r="E19" s="30" t="str">
        <f>IFERROR(VLOOKUP($A19,'Tổng Đơn'!$A$5:$E$52,5,0),"")</f>
        <v/>
      </c>
      <c r="F19" s="30" t="str">
        <f t="shared" si="1"/>
        <v/>
      </c>
      <c r="G19" s="155" t="str">
        <f>IF(AND($C19="",$C18&lt;&gt;""),"Tổng Cộng",IFERROR(VLOOKUP($A19,Sheet1!$A$1:$D$80,4,0),""))</f>
        <v/>
      </c>
      <c r="H19" s="148" t="str">
        <f>IF($C18=MAX($C$8:$C$56),SUM($H$8:$H18),IFERROR($G19*$F19,""))</f>
        <v/>
      </c>
      <c r="I19" s="54" t="str">
        <f t="shared" si="2"/>
        <v/>
      </c>
      <c r="L19" s="31"/>
    </row>
    <row r="20" spans="1:12" s="29" customFormat="1" ht="14.25" customHeight="1" x14ac:dyDescent="0.25">
      <c r="A20" s="150" t="s">
        <v>310</v>
      </c>
      <c r="B20" s="150"/>
      <c r="C20" s="30" t="str">
        <f t="shared" si="0"/>
        <v/>
      </c>
      <c r="D20" s="147" t="str">
        <f>IFERROR(VLOOKUP($A20,Sheet1!$A$1:$B$80,2,0),"")</f>
        <v/>
      </c>
      <c r="E20" s="30" t="str">
        <f>IFERROR(VLOOKUP($A20,'Tổng Đơn'!$A$5:$E$52,5,0),"")</f>
        <v/>
      </c>
      <c r="F20" s="30" t="str">
        <f t="shared" si="1"/>
        <v/>
      </c>
      <c r="G20" s="155" t="str">
        <f>IF(AND($C20="",$C19&lt;&gt;""),"Tổng Cộng",IFERROR(VLOOKUP($A20,Sheet1!$A$1:$D$80,4,0),""))</f>
        <v/>
      </c>
      <c r="H20" s="148" t="str">
        <f>IF($C19=MAX($C$8:$C$56),SUM($H$8:$H19),IFERROR($G20*$F20,""))</f>
        <v/>
      </c>
      <c r="I20" s="54" t="str">
        <f t="shared" si="2"/>
        <v/>
      </c>
      <c r="L20" s="31"/>
    </row>
    <row r="21" spans="1:12" s="29" customFormat="1" ht="14.25" customHeight="1" x14ac:dyDescent="0.25">
      <c r="A21" s="150" t="s">
        <v>310</v>
      </c>
      <c r="B21" s="150"/>
      <c r="C21" s="30" t="str">
        <f t="shared" si="0"/>
        <v/>
      </c>
      <c r="D21" s="147" t="str">
        <f>IFERROR(VLOOKUP($A21,Sheet1!$A$1:$B$80,2,0),"")</f>
        <v/>
      </c>
      <c r="E21" s="30" t="str">
        <f>IFERROR(VLOOKUP($A21,'Tổng Đơn'!$A$5:$E$52,5,0),"")</f>
        <v/>
      </c>
      <c r="F21" s="30" t="str">
        <f t="shared" si="1"/>
        <v/>
      </c>
      <c r="G21" s="155" t="str">
        <f>IF(AND($C21="",$C20&lt;&gt;""),"Tổng Cộng",IFERROR(VLOOKUP($A21,Sheet1!$A$1:$D$80,4,0),""))</f>
        <v/>
      </c>
      <c r="H21" s="148" t="str">
        <f>IF($C20=MAX($C$8:$C$56),SUM($H$8:$H20),IFERROR($G21*$F21,""))</f>
        <v/>
      </c>
      <c r="I21" s="54" t="str">
        <f t="shared" si="2"/>
        <v/>
      </c>
      <c r="L21" s="31"/>
    </row>
    <row r="22" spans="1:12" s="29" customFormat="1" ht="14.25" customHeight="1" x14ac:dyDescent="0.25">
      <c r="A22" s="150" t="s">
        <v>310</v>
      </c>
      <c r="B22" s="150"/>
      <c r="C22" s="30" t="str">
        <f t="shared" si="0"/>
        <v/>
      </c>
      <c r="D22" s="147" t="str">
        <f>IFERROR(VLOOKUP($A22,Sheet1!$A$1:$B$80,2,0),"")</f>
        <v/>
      </c>
      <c r="E22" s="30" t="str">
        <f>IFERROR(VLOOKUP($A22,'Tổng Đơn'!$A$5:$E$52,5,0),"")</f>
        <v/>
      </c>
      <c r="F22" s="30" t="str">
        <f t="shared" si="1"/>
        <v/>
      </c>
      <c r="G22" s="155" t="str">
        <f>IF(AND($C22="",$C21&lt;&gt;""),"Tổng Cộng",IFERROR(VLOOKUP($A22,Sheet1!$A$1:$D$80,4,0),""))</f>
        <v/>
      </c>
      <c r="H22" s="148" t="str">
        <f>IF($C21=MAX($C$8:$C$56),SUM($H$8:$H21),IFERROR($G22*$F22,""))</f>
        <v/>
      </c>
      <c r="I22" s="54" t="str">
        <f t="shared" si="2"/>
        <v/>
      </c>
      <c r="L22" s="31"/>
    </row>
    <row r="23" spans="1:12" s="29" customFormat="1" ht="14.25" customHeight="1" x14ac:dyDescent="0.25">
      <c r="A23" s="150" t="s">
        <v>310</v>
      </c>
      <c r="B23" s="150"/>
      <c r="C23" s="30" t="str">
        <f t="shared" si="0"/>
        <v/>
      </c>
      <c r="D23" s="147" t="str">
        <f>IFERROR(VLOOKUP($A23,Sheet1!$A$1:$B$80,2,0),"")</f>
        <v/>
      </c>
      <c r="E23" s="30" t="str">
        <f>IFERROR(VLOOKUP($A23,'Tổng Đơn'!$A$5:$E$52,5,0),"")</f>
        <v/>
      </c>
      <c r="F23" s="30" t="str">
        <f t="shared" si="1"/>
        <v/>
      </c>
      <c r="G23" s="155" t="str">
        <f>IF(AND($C23="",$C22&lt;&gt;""),"Tổng Cộng",IFERROR(VLOOKUP($A23,Sheet1!$A$1:$D$80,4,0),""))</f>
        <v/>
      </c>
      <c r="H23" s="148" t="str">
        <f>IF($C22=MAX($C$8:$C$56),SUM($H$8:$H22),IFERROR($G23*$F23,""))</f>
        <v/>
      </c>
      <c r="I23" s="54" t="str">
        <f t="shared" si="2"/>
        <v/>
      </c>
      <c r="L23" s="31"/>
    </row>
    <row r="24" spans="1:12" s="29" customFormat="1" ht="14.25" customHeight="1" x14ac:dyDescent="0.25">
      <c r="A24" s="150" t="s">
        <v>310</v>
      </c>
      <c r="B24" s="150"/>
      <c r="C24" s="30" t="str">
        <f t="shared" si="0"/>
        <v/>
      </c>
      <c r="D24" s="147" t="str">
        <f>IFERROR(VLOOKUP($A24,Sheet1!$A$1:$B$80,2,0),"")</f>
        <v/>
      </c>
      <c r="E24" s="30" t="str">
        <f>IFERROR(VLOOKUP($A24,'Tổng Đơn'!$A$5:$E$52,5,0),"")</f>
        <v/>
      </c>
      <c r="F24" s="30" t="str">
        <f t="shared" si="1"/>
        <v/>
      </c>
      <c r="G24" s="155" t="str">
        <f>IF(AND($C24="",$C23&lt;&gt;""),"Tổng Cộng",IFERROR(VLOOKUP($A24,Sheet1!$A$1:$D$80,4,0),""))</f>
        <v/>
      </c>
      <c r="H24" s="148" t="str">
        <f>IF($C23=MAX($C$8:$C$56),SUM($H$8:$H23),IFERROR($G24*$F24,""))</f>
        <v/>
      </c>
      <c r="I24" s="54" t="str">
        <f t="shared" si="2"/>
        <v/>
      </c>
      <c r="L24" s="31"/>
    </row>
    <row r="25" spans="1:12" s="29" customFormat="1" ht="14.25" customHeight="1" x14ac:dyDescent="0.25">
      <c r="A25" s="150" t="s">
        <v>310</v>
      </c>
      <c r="B25" s="150"/>
      <c r="C25" s="30" t="str">
        <f t="shared" si="0"/>
        <v/>
      </c>
      <c r="D25" s="147" t="str">
        <f>IFERROR(VLOOKUP($A25,Sheet1!$A$1:$B$80,2,0),"")</f>
        <v/>
      </c>
      <c r="E25" s="30" t="str">
        <f>IFERROR(VLOOKUP($A25,'Tổng Đơn'!$A$5:$E$52,5,0),"")</f>
        <v/>
      </c>
      <c r="F25" s="30" t="str">
        <f t="shared" si="1"/>
        <v/>
      </c>
      <c r="G25" s="155" t="str">
        <f>IF(AND($C25="",$C24&lt;&gt;""),"Tổng Cộng",IFERROR(VLOOKUP($A25,Sheet1!$A$1:$D$80,4,0),""))</f>
        <v/>
      </c>
      <c r="H25" s="148" t="str">
        <f>IF($C24=MAX($C$8:$C$56),SUM($H$8:$H24),IFERROR($G25*$F25,""))</f>
        <v/>
      </c>
      <c r="I25" s="54" t="str">
        <f t="shared" si="2"/>
        <v/>
      </c>
      <c r="L25" s="31"/>
    </row>
    <row r="26" spans="1:12" s="29" customFormat="1" ht="14.25" customHeight="1" x14ac:dyDescent="0.25">
      <c r="A26" s="150" t="s">
        <v>310</v>
      </c>
      <c r="B26" s="150"/>
      <c r="C26" s="30" t="str">
        <f t="shared" si="0"/>
        <v/>
      </c>
      <c r="D26" s="147" t="str">
        <f>IFERROR(VLOOKUP($A26,Sheet1!$A$1:$B$80,2,0),"")</f>
        <v/>
      </c>
      <c r="E26" s="30" t="str">
        <f>IFERROR(VLOOKUP($A26,'Tổng Đơn'!$A$5:$E$52,5,0),"")</f>
        <v/>
      </c>
      <c r="F26" s="30" t="str">
        <f t="shared" si="1"/>
        <v/>
      </c>
      <c r="G26" s="155" t="str">
        <f>IF(AND($C26="",$C25&lt;&gt;""),"Tổng Cộng",IFERROR(VLOOKUP($A26,Sheet1!$A$1:$D$80,4,0),""))</f>
        <v/>
      </c>
      <c r="H26" s="148" t="str">
        <f>IF($C25=MAX($C$8:$C$56),SUM($H$8:$H25),IFERROR($G26*$F26,""))</f>
        <v/>
      </c>
      <c r="I26" s="54" t="str">
        <f t="shared" si="2"/>
        <v/>
      </c>
      <c r="L26" s="31"/>
    </row>
    <row r="27" spans="1:12" s="29" customFormat="1" ht="14.25" customHeight="1" x14ac:dyDescent="0.25">
      <c r="A27" s="150" t="s">
        <v>310</v>
      </c>
      <c r="B27" s="150"/>
      <c r="C27" s="30" t="str">
        <f t="shared" si="0"/>
        <v/>
      </c>
      <c r="D27" s="147" t="str">
        <f>IFERROR(VLOOKUP($A27,Sheet1!$A$1:$B$80,2,0),"")</f>
        <v/>
      </c>
      <c r="E27" s="30" t="str">
        <f>IFERROR(VLOOKUP($A27,'Tổng Đơn'!$A$5:$E$52,5,0),"")</f>
        <v/>
      </c>
      <c r="F27" s="30" t="str">
        <f t="shared" si="1"/>
        <v/>
      </c>
      <c r="G27" s="155" t="str">
        <f>IF(AND($C27="",$C26&lt;&gt;""),"Tổng Cộng",IFERROR(VLOOKUP($A27,Sheet1!$A$1:$D$80,4,0),""))</f>
        <v/>
      </c>
      <c r="H27" s="148" t="str">
        <f>IF($C26=MAX($C$8:$C$56),SUM($H$8:$H26),IFERROR($G27*$F27,""))</f>
        <v/>
      </c>
      <c r="I27" s="54" t="str">
        <f t="shared" si="2"/>
        <v/>
      </c>
      <c r="L27" s="31"/>
    </row>
    <row r="28" spans="1:12" s="29" customFormat="1" ht="14.25" customHeight="1" x14ac:dyDescent="0.25">
      <c r="A28" s="150" t="s">
        <v>310</v>
      </c>
      <c r="B28" s="150"/>
      <c r="C28" s="30" t="str">
        <f t="shared" si="0"/>
        <v/>
      </c>
      <c r="D28" s="147" t="str">
        <f>IFERROR(VLOOKUP($A28,Sheet1!$A$1:$B$80,2,0),"")</f>
        <v/>
      </c>
      <c r="E28" s="30" t="str">
        <f>IFERROR(VLOOKUP($A28,'Tổng Đơn'!$A$5:$E$52,5,0),"")</f>
        <v/>
      </c>
      <c r="F28" s="30" t="str">
        <f t="shared" si="1"/>
        <v/>
      </c>
      <c r="G28" s="155" t="str">
        <f>IF(AND($C28="",$C27&lt;&gt;""),"Tổng Cộng",IFERROR(VLOOKUP($A28,Sheet1!$A$1:$D$80,4,0),""))</f>
        <v/>
      </c>
      <c r="H28" s="148" t="str">
        <f>IF($C27=MAX($C$8:$C$56),SUM($H$8:$H27),IFERROR($G28*$F28,""))</f>
        <v/>
      </c>
      <c r="I28" s="54" t="str">
        <f t="shared" si="2"/>
        <v/>
      </c>
      <c r="L28" s="31"/>
    </row>
    <row r="29" spans="1:12" s="29" customFormat="1" ht="14.25" customHeight="1" x14ac:dyDescent="0.25">
      <c r="A29" s="150" t="s">
        <v>310</v>
      </c>
      <c r="B29" s="150"/>
      <c r="C29" s="30" t="str">
        <f t="shared" si="0"/>
        <v/>
      </c>
      <c r="D29" s="147" t="str">
        <f>IFERROR(VLOOKUP($A29,Sheet1!$A$1:$B$80,2,0),"")</f>
        <v/>
      </c>
      <c r="E29" s="30" t="str">
        <f>IFERROR(VLOOKUP($A29,'Tổng Đơn'!$A$5:$E$52,5,0),"")</f>
        <v/>
      </c>
      <c r="F29" s="30" t="str">
        <f t="shared" si="1"/>
        <v/>
      </c>
      <c r="G29" s="155" t="str">
        <f>IF(AND($C29="",$C28&lt;&gt;""),"Tổng Cộng",IFERROR(VLOOKUP($A29,Sheet1!$A$1:$D$80,4,0),""))</f>
        <v/>
      </c>
      <c r="H29" s="148" t="str">
        <f>IF($C28=MAX($C$8:$C$56),SUM($H$8:$H28),IFERROR($G29*$F29,""))</f>
        <v/>
      </c>
      <c r="I29" s="54" t="str">
        <f t="shared" si="2"/>
        <v/>
      </c>
      <c r="L29" s="31"/>
    </row>
    <row r="30" spans="1:12" s="29" customFormat="1" ht="14.25" customHeight="1" x14ac:dyDescent="0.25">
      <c r="A30" s="150" t="s">
        <v>310</v>
      </c>
      <c r="B30" s="150"/>
      <c r="C30" s="30" t="str">
        <f t="shared" si="0"/>
        <v/>
      </c>
      <c r="D30" s="147" t="str">
        <f>IFERROR(VLOOKUP($A30,Sheet1!$A$1:$B$80,2,0),"")</f>
        <v/>
      </c>
      <c r="E30" s="30" t="str">
        <f>IFERROR(VLOOKUP($A30,'Tổng Đơn'!$A$5:$E$52,5,0),"")</f>
        <v/>
      </c>
      <c r="F30" s="30" t="str">
        <f t="shared" si="1"/>
        <v/>
      </c>
      <c r="G30" s="155" t="str">
        <f>IF(AND($C30="",$C29&lt;&gt;""),"Tổng Cộng",IFERROR(VLOOKUP($A30,Sheet1!$A$1:$D$80,4,0),""))</f>
        <v/>
      </c>
      <c r="H30" s="148" t="str">
        <f>IF($C29=MAX($C$8:$C$56),SUM($H$8:$H29),IFERROR($G30*$F30,""))</f>
        <v/>
      </c>
      <c r="I30" s="54" t="str">
        <f t="shared" si="2"/>
        <v/>
      </c>
      <c r="L30" s="31"/>
    </row>
    <row r="31" spans="1:12" s="29" customFormat="1" ht="14.25" customHeight="1" x14ac:dyDescent="0.25">
      <c r="A31" s="150" t="s">
        <v>310</v>
      </c>
      <c r="B31" s="150"/>
      <c r="C31" s="30" t="str">
        <f t="shared" si="0"/>
        <v/>
      </c>
      <c r="D31" s="147" t="str">
        <f>IFERROR(VLOOKUP($A31,Sheet1!$A$1:$B$80,2,0),"")</f>
        <v/>
      </c>
      <c r="E31" s="30" t="str">
        <f>IFERROR(VLOOKUP($A31,'Tổng Đơn'!$A$5:$E$52,5,0),"")</f>
        <v/>
      </c>
      <c r="F31" s="30" t="str">
        <f t="shared" si="1"/>
        <v/>
      </c>
      <c r="G31" s="155" t="str">
        <f>IF(AND($C31="",$C30&lt;&gt;""),"Tổng Cộng",IFERROR(VLOOKUP($A31,Sheet1!$A$1:$D$80,4,0),""))</f>
        <v/>
      </c>
      <c r="H31" s="148" t="str">
        <f>IF($C30=MAX($C$8:$C$56),SUM($H$8:$H30),IFERROR($G31*$F31,""))</f>
        <v/>
      </c>
      <c r="I31" s="54" t="str">
        <f t="shared" si="2"/>
        <v/>
      </c>
      <c r="L31" s="31"/>
    </row>
    <row r="32" spans="1:12" s="29" customFormat="1" ht="14.25" customHeight="1" x14ac:dyDescent="0.25">
      <c r="A32" s="150" t="s">
        <v>310</v>
      </c>
      <c r="B32" s="150"/>
      <c r="C32" s="30" t="str">
        <f t="shared" si="0"/>
        <v/>
      </c>
      <c r="D32" s="147" t="str">
        <f>IFERROR(VLOOKUP($A32,Sheet1!$A$1:$B$80,2,0),"")</f>
        <v/>
      </c>
      <c r="E32" s="30" t="str">
        <f>IFERROR(VLOOKUP($A32,'Tổng Đơn'!$A$5:$E$52,5,0),"")</f>
        <v/>
      </c>
      <c r="F32" s="30" t="str">
        <f t="shared" si="1"/>
        <v/>
      </c>
      <c r="G32" s="155" t="str">
        <f>IF(AND($C32="",$C31&lt;&gt;""),"Tổng Cộng",IFERROR(VLOOKUP($A32,Sheet1!$A$1:$D$80,4,0),""))</f>
        <v/>
      </c>
      <c r="H32" s="148" t="str">
        <f>IF($C31=MAX($C$8:$C$56),SUM($H$8:$H31),IFERROR($G32*$F32,""))</f>
        <v/>
      </c>
      <c r="I32" s="54" t="str">
        <f t="shared" si="2"/>
        <v/>
      </c>
      <c r="L32" s="31"/>
    </row>
    <row r="33" spans="1:12" s="29" customFormat="1" ht="14.25" customHeight="1" x14ac:dyDescent="0.25">
      <c r="A33" s="150" t="s">
        <v>310</v>
      </c>
      <c r="B33" s="150"/>
      <c r="C33" s="30" t="str">
        <f t="shared" si="0"/>
        <v/>
      </c>
      <c r="D33" s="147" t="str">
        <f>IFERROR(VLOOKUP($A33,Sheet1!$A$1:$B$80,2,0),"")</f>
        <v/>
      </c>
      <c r="E33" s="30" t="str">
        <f>IFERROR(VLOOKUP($A33,'Tổng Đơn'!$A$5:$E$52,5,0),"")</f>
        <v/>
      </c>
      <c r="F33" s="30" t="str">
        <f t="shared" si="1"/>
        <v/>
      </c>
      <c r="G33" s="155" t="str">
        <f>IF(AND($C33="",$C32&lt;&gt;""),"Tổng Cộng",IFERROR(VLOOKUP($A33,Sheet1!$A$1:$D$80,4,0),""))</f>
        <v/>
      </c>
      <c r="H33" s="148" t="str">
        <f>IF($C32=MAX($C$8:$C$56),SUM($H$8:$H32),IFERROR($G33*$F33,""))</f>
        <v/>
      </c>
      <c r="I33" s="54" t="str">
        <f t="shared" si="2"/>
        <v/>
      </c>
      <c r="L33" s="31"/>
    </row>
    <row r="34" spans="1:12" s="29" customFormat="1" ht="14.25" customHeight="1" x14ac:dyDescent="0.25">
      <c r="A34" s="150" t="s">
        <v>310</v>
      </c>
      <c r="B34" s="150"/>
      <c r="C34" s="30" t="str">
        <f t="shared" si="0"/>
        <v/>
      </c>
      <c r="D34" s="147" t="str">
        <f>IFERROR(VLOOKUP($A34,Sheet1!$A$1:$B$80,2,0),"")</f>
        <v/>
      </c>
      <c r="E34" s="30" t="str">
        <f>IFERROR(VLOOKUP($A34,'Tổng Đơn'!$A$5:$E$52,5,0),"")</f>
        <v/>
      </c>
      <c r="F34" s="30" t="str">
        <f t="shared" si="1"/>
        <v/>
      </c>
      <c r="G34" s="155" t="str">
        <f>IF(AND($C34="",$C33&lt;&gt;""),"Tổng Cộng",IFERROR(VLOOKUP($A34,Sheet1!$A$1:$D$80,4,0),""))</f>
        <v/>
      </c>
      <c r="H34" s="148" t="str">
        <f>IF($C33=MAX($C$8:$C$56),SUM($H$8:$H33),IFERROR($G34*$F34,""))</f>
        <v/>
      </c>
      <c r="I34" s="54" t="str">
        <f t="shared" si="2"/>
        <v/>
      </c>
      <c r="L34" s="31"/>
    </row>
    <row r="35" spans="1:12" s="29" customFormat="1" ht="14.25" customHeight="1" x14ac:dyDescent="0.25">
      <c r="A35" s="150" t="s">
        <v>310</v>
      </c>
      <c r="B35" s="150"/>
      <c r="C35" s="30" t="str">
        <f t="shared" si="0"/>
        <v/>
      </c>
      <c r="D35" s="147" t="str">
        <f>IFERROR(VLOOKUP($A35,Sheet1!$A$1:$B$80,2,0),"")</f>
        <v/>
      </c>
      <c r="E35" s="30" t="str">
        <f>IFERROR(VLOOKUP($A35,'Tổng Đơn'!$A$5:$E$52,5,0),"")</f>
        <v/>
      </c>
      <c r="F35" s="30" t="str">
        <f t="shared" si="1"/>
        <v/>
      </c>
      <c r="G35" s="155" t="str">
        <f>IF(AND($C35="",$C34&lt;&gt;""),"Tổng Cộng",IFERROR(VLOOKUP($A35,Sheet1!$A$1:$D$80,4,0),""))</f>
        <v/>
      </c>
      <c r="H35" s="148" t="str">
        <f>IF($C34=MAX($C$8:$C$56),SUM($H$8:$H34),IFERROR($G35*$F35,""))</f>
        <v/>
      </c>
      <c r="I35" s="54" t="str">
        <f t="shared" si="2"/>
        <v/>
      </c>
      <c r="L35" s="31"/>
    </row>
    <row r="36" spans="1:12" s="29" customFormat="1" ht="14.25" customHeight="1" x14ac:dyDescent="0.25">
      <c r="A36" s="150" t="s">
        <v>310</v>
      </c>
      <c r="B36" s="150"/>
      <c r="C36" s="30" t="str">
        <f t="shared" si="0"/>
        <v/>
      </c>
      <c r="D36" s="147" t="str">
        <f>IFERROR(VLOOKUP($A36,Sheet1!$A$1:$B$80,2,0),"")</f>
        <v/>
      </c>
      <c r="E36" s="30" t="str">
        <f>IFERROR(VLOOKUP($A36,'Tổng Đơn'!$A$5:$E$52,5,0),"")</f>
        <v/>
      </c>
      <c r="F36" s="30" t="str">
        <f t="shared" si="1"/>
        <v/>
      </c>
      <c r="G36" s="155" t="str">
        <f>IF(AND($C36="",$C35&lt;&gt;""),"Tổng Cộng",IFERROR(VLOOKUP($A36,Sheet1!$A$1:$D$80,4,0),""))</f>
        <v/>
      </c>
      <c r="H36" s="148" t="str">
        <f>IF($C35=MAX($C$8:$C$56),SUM($H$8:$H35),IFERROR($G36*$F36,""))</f>
        <v/>
      </c>
      <c r="I36" s="54" t="str">
        <f t="shared" si="2"/>
        <v/>
      </c>
      <c r="L36" s="31"/>
    </row>
    <row r="37" spans="1:12" s="29" customFormat="1" ht="14.25" customHeight="1" x14ac:dyDescent="0.25">
      <c r="A37" s="150" t="s">
        <v>310</v>
      </c>
      <c r="B37" s="150"/>
      <c r="C37" s="30" t="str">
        <f t="shared" si="0"/>
        <v/>
      </c>
      <c r="D37" s="147" t="str">
        <f>IFERROR(VLOOKUP($A37,Sheet1!$A$1:$B$80,2,0),"")</f>
        <v/>
      </c>
      <c r="E37" s="30" t="str">
        <f>IFERROR(VLOOKUP($A37,'Tổng Đơn'!$A$5:$E$52,5,0),"")</f>
        <v/>
      </c>
      <c r="F37" s="30" t="str">
        <f t="shared" si="1"/>
        <v/>
      </c>
      <c r="G37" s="155" t="str">
        <f>IF(AND($C37="",$C36&lt;&gt;""),"Tổng Cộng",IFERROR(VLOOKUP($A37,Sheet1!$A$1:$D$80,4,0),""))</f>
        <v/>
      </c>
      <c r="H37" s="148" t="str">
        <f>IF($C36=MAX($C$8:$C$56),SUM($H$8:$H36),IFERROR($G37*$F37,""))</f>
        <v/>
      </c>
      <c r="I37" s="54" t="str">
        <f t="shared" si="2"/>
        <v/>
      </c>
      <c r="L37" s="31"/>
    </row>
    <row r="38" spans="1:12" s="29" customFormat="1" ht="14.25" customHeight="1" x14ac:dyDescent="0.25">
      <c r="A38" s="150"/>
      <c r="B38" s="150"/>
      <c r="C38" s="33"/>
      <c r="D38" s="34"/>
      <c r="E38" s="52"/>
      <c r="F38" s="30"/>
      <c r="G38" s="156" t="str">
        <f>IF(AND($C38="",$C37&lt;&gt;""),"Tổng Cộng",IFERROR(VLOOKUP($A38,Sheet1!$A$1:$D$80,4,0),""))</f>
        <v/>
      </c>
      <c r="H38" s="35" t="str">
        <f>IF($C37=MAX($C$8:$C$56),SUM($H$8:$H37),IFERROR($G38*$F38,""))</f>
        <v/>
      </c>
      <c r="I38" s="54"/>
      <c r="L38" s="31"/>
    </row>
    <row r="39" spans="1:12" ht="15" customHeight="1" x14ac:dyDescent="0.25">
      <c r="F39" s="36"/>
      <c r="G39" s="139"/>
      <c r="H39" s="37"/>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C38:E38 D23:E37 F23:H38">
    <cfRule type="expression" dxfId="335" priority="22">
      <formula>$C22=MAX($C$8:$C$37)</formula>
    </cfRule>
  </conditionalFormatting>
  <conditionalFormatting sqref="C23:C37">
    <cfRule type="expression" dxfId="334" priority="21">
      <formula>$C22=MAX($C$8:$C$37)</formula>
    </cfRule>
  </conditionalFormatting>
  <conditionalFormatting sqref="E23:E38">
    <cfRule type="expression" dxfId="333" priority="23">
      <formula>AND($A23="",$F23&lt;&gt;"")</formula>
    </cfRule>
  </conditionalFormatting>
  <conditionalFormatting sqref="F23:F38">
    <cfRule type="expression" dxfId="332" priority="24">
      <formula>AND($F23="",$A23&lt;&gt;"")</formula>
    </cfRule>
  </conditionalFormatting>
  <conditionalFormatting sqref="D20:H22">
    <cfRule type="expression" dxfId="331" priority="18">
      <formula>$C19=MAX($C$8:$C$37)</formula>
    </cfRule>
  </conditionalFormatting>
  <conditionalFormatting sqref="C20:C22">
    <cfRule type="expression" dxfId="330" priority="17">
      <formula>$C19=MAX($C$8:$C$37)</formula>
    </cfRule>
  </conditionalFormatting>
  <conditionalFormatting sqref="E20:E22">
    <cfRule type="expression" dxfId="329" priority="19">
      <formula>AND($A20="",$F20&lt;&gt;"")</formula>
    </cfRule>
  </conditionalFormatting>
  <conditionalFormatting sqref="F20:F22">
    <cfRule type="expression" dxfId="328" priority="20">
      <formula>AND($F20="",$A20&lt;&gt;"")</formula>
    </cfRule>
  </conditionalFormatting>
  <conditionalFormatting sqref="D15:H19 D12:F14 H12:H14">
    <cfRule type="expression" dxfId="327" priority="14">
      <formula>$C11=MAX($C$8:$C$37)</formula>
    </cfRule>
  </conditionalFormatting>
  <conditionalFormatting sqref="C12:C19">
    <cfRule type="expression" dxfId="326" priority="13">
      <formula>$C11=MAX($C$8:$C$37)</formula>
    </cfRule>
  </conditionalFormatting>
  <conditionalFormatting sqref="E12:E19">
    <cfRule type="expression" dxfId="325" priority="15">
      <formula>AND($A12="",$F12&lt;&gt;"")</formula>
    </cfRule>
  </conditionalFormatting>
  <conditionalFormatting sqref="F12:F19">
    <cfRule type="expression" dxfId="324" priority="16">
      <formula>AND($F12="",$A12&lt;&gt;"")</formula>
    </cfRule>
  </conditionalFormatting>
  <conditionalFormatting sqref="G12:G14">
    <cfRule type="expression" dxfId="323" priority="12">
      <formula>$C11=MAX($C$8:$C$37)</formula>
    </cfRule>
  </conditionalFormatting>
  <conditionalFormatting sqref="D9:F11 H9:H11">
    <cfRule type="expression" dxfId="322" priority="9">
      <formula>$C8=MAX($C$8:$C$37)</formula>
    </cfRule>
  </conditionalFormatting>
  <conditionalFormatting sqref="C9:C11">
    <cfRule type="expression" dxfId="321" priority="8">
      <formula>$C8=MAX($C$8:$C$37)</formula>
    </cfRule>
  </conditionalFormatting>
  <conditionalFormatting sqref="E9:E11">
    <cfRule type="expression" dxfId="320" priority="10">
      <formula>AND($A9="",$F9&lt;&gt;"")</formula>
    </cfRule>
  </conditionalFormatting>
  <conditionalFormatting sqref="F9:F11">
    <cfRule type="expression" dxfId="319" priority="11">
      <formula>AND($F9="",$A9&lt;&gt;"")</formula>
    </cfRule>
  </conditionalFormatting>
  <conditionalFormatting sqref="D8:F8">
    <cfRule type="expression" dxfId="318" priority="5">
      <formula>$C7=MAX($C$8:$C$37)</formula>
    </cfRule>
  </conditionalFormatting>
  <conditionalFormatting sqref="C8">
    <cfRule type="expression" dxfId="317" priority="4">
      <formula>$C7=MAX($C$8:$C$37)</formula>
    </cfRule>
  </conditionalFormatting>
  <conditionalFormatting sqref="E8">
    <cfRule type="expression" dxfId="316" priority="6">
      <formula>AND($A8="",$F8&lt;&gt;"")</formula>
    </cfRule>
  </conditionalFormatting>
  <conditionalFormatting sqref="F8">
    <cfRule type="expression" dxfId="315" priority="7">
      <formula>AND($F8="",$A8&lt;&gt;"")</formula>
    </cfRule>
  </conditionalFormatting>
  <conditionalFormatting sqref="H8">
    <cfRule type="expression" dxfId="314" priority="3">
      <formula>$C7=MAX($C$8:$C$37)</formula>
    </cfRule>
  </conditionalFormatting>
  <conditionalFormatting sqref="G9:G11">
    <cfRule type="expression" dxfId="313" priority="2">
      <formula>$C8=MAX($C$8:$C$37)</formula>
    </cfRule>
  </conditionalFormatting>
  <conditionalFormatting sqref="G8">
    <cfRule type="expression" dxfId="312" priority="1">
      <formula>$C7=MAX($C$8:$C$37)</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1543169" r:id="rId4" name="Button 1">
              <controlPr defaultSize="0" print="0" autoFill="0" autoPict="0" macro="[0]!Macro4">
                <anchor moveWithCells="1" sizeWithCells="1">
                  <from>
                    <xdr:col>0</xdr:col>
                    <xdr:colOff>0</xdr:colOff>
                    <xdr:row>0</xdr:row>
                    <xdr:rowOff>0</xdr:rowOff>
                  </from>
                  <to>
                    <xdr:col>1</xdr:col>
                    <xdr:colOff>769620</xdr:colOff>
                    <xdr:row>7</xdr:row>
                    <xdr:rowOff>0</xdr:rowOff>
                  </to>
                </anchor>
              </controlPr>
            </control>
          </mc:Choice>
        </mc:AlternateContent>
      </controls>
    </mc:Choice>
  </mc:AlternateContent>
</worksheet>
</file>

<file path=xl/worksheets/sheet2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822A68B-9FEE-49E9-9E6B-946427A7E41D}">
  <sheetPr codeName="Sheet46">
    <tabColor theme="1"/>
    <pageSetUpPr fitToPage="1"/>
  </sheetPr>
  <dimension ref="A1:N53"/>
  <sheetViews>
    <sheetView zoomScaleNormal="100" workbookViewId="0">
      <pane ySplit="7" topLeftCell="A8" activePane="bottomLeft" state="frozen"/>
      <selection activeCell="Q2" sqref="Q2"/>
      <selection pane="bottomLeft" activeCell="D7" sqref="D7"/>
    </sheetView>
  </sheetViews>
  <sheetFormatPr defaultColWidth="9.09765625" defaultRowHeight="13.8" x14ac:dyDescent="0.25"/>
  <cols>
    <col min="1" max="1" width="11.69921875" style="14" customWidth="1"/>
    <col min="2" max="2" width="11.296875" style="14" customWidth="1"/>
    <col min="3" max="3" width="9.09765625" style="14"/>
    <col min="4" max="4" width="38.3984375" style="14" bestFit="1" customWidth="1"/>
    <col min="5" max="5" width="12.296875" style="53" bestFit="1" customWidth="1"/>
    <col min="6" max="6" width="11" style="14" customWidth="1"/>
    <col min="7" max="7" width="17.8984375" style="14" customWidth="1"/>
    <col min="8" max="8" width="17.8984375" style="15" customWidth="1"/>
    <col min="9" max="9" width="21.8984375" style="14" customWidth="1"/>
    <col min="10" max="10" width="10.09765625" style="14" customWidth="1"/>
    <col min="11" max="11" width="9.09765625" style="14"/>
    <col min="12" max="12" width="11.69921875" style="14" customWidth="1"/>
    <col min="13" max="14" width="10.09765625" style="14" bestFit="1" customWidth="1"/>
    <col min="15" max="16384" width="9.09765625" style="14"/>
  </cols>
  <sheetData>
    <row r="1" spans="1:14" ht="15.75" customHeight="1" x14ac:dyDescent="0.25">
      <c r="C1" s="268" t="s">
        <v>164</v>
      </c>
      <c r="D1" s="268"/>
      <c r="E1" s="268"/>
      <c r="F1" s="268"/>
      <c r="G1" s="268"/>
      <c r="H1" s="268"/>
    </row>
    <row r="2" spans="1:14" ht="15.75" customHeight="1" x14ac:dyDescent="0.25">
      <c r="C2" s="268"/>
      <c r="D2" s="268"/>
      <c r="E2" s="268"/>
      <c r="F2" s="268"/>
      <c r="G2" s="268"/>
      <c r="H2" s="268"/>
    </row>
    <row r="3" spans="1:14" ht="15" customHeight="1" x14ac:dyDescent="0.25">
      <c r="C3" s="269" t="s">
        <v>166</v>
      </c>
      <c r="D3" s="269"/>
      <c r="E3" s="269"/>
      <c r="F3" s="270" t="s">
        <v>168</v>
      </c>
      <c r="G3" s="270"/>
      <c r="H3" s="270"/>
    </row>
    <row r="4" spans="1:14" x14ac:dyDescent="0.25">
      <c r="C4" s="269" t="s">
        <v>167</v>
      </c>
      <c r="D4" s="269"/>
      <c r="E4" s="269"/>
      <c r="F4" s="271" t="s">
        <v>169</v>
      </c>
      <c r="G4" s="271"/>
      <c r="H4" s="271"/>
    </row>
    <row r="5" spans="1:14" s="140" customFormat="1" ht="21" customHeight="1" x14ac:dyDescent="0.25">
      <c r="C5" s="272" t="s">
        <v>165</v>
      </c>
      <c r="D5" s="272"/>
      <c r="E5" s="272"/>
      <c r="F5" s="272"/>
      <c r="G5" s="272"/>
      <c r="H5" s="272"/>
    </row>
    <row r="6" spans="1:14" s="140" customFormat="1" ht="16.5" customHeight="1" x14ac:dyDescent="0.25">
      <c r="C6" s="149" t="s">
        <v>170</v>
      </c>
      <c r="D6" s="152" t="s">
        <v>318</v>
      </c>
      <c r="E6" s="145"/>
      <c r="F6" s="145"/>
      <c r="G6" s="267" t="str">
        <f ca="1">"Ngày "&amp;DAY(TODAY())&amp;" Tháng "&amp;MONTH(TODAY())&amp;" Năm "&amp;YEAR(TODAY())</f>
        <v>Ngày 22 Tháng 1 Năm 2023</v>
      </c>
      <c r="H6" s="267"/>
    </row>
    <row r="7" spans="1:14" s="144" customFormat="1" ht="24" customHeight="1" x14ac:dyDescent="0.25">
      <c r="A7" s="141" t="s">
        <v>101</v>
      </c>
      <c r="B7" s="141" t="s">
        <v>15</v>
      </c>
      <c r="C7" s="142" t="s">
        <v>0</v>
      </c>
      <c r="D7" s="142" t="s">
        <v>16</v>
      </c>
      <c r="E7" s="146" t="str">
        <f>"Quy cách"&amp;CHAR(10)&amp;"(Kg)"</f>
        <v>Quy cách
(Kg)</v>
      </c>
      <c r="F7" s="142" t="s">
        <v>15</v>
      </c>
      <c r="G7" s="142" t="s">
        <v>17</v>
      </c>
      <c r="H7" s="142" t="s">
        <v>18</v>
      </c>
      <c r="I7" s="143">
        <f>SUBTOTAL(9,I8:I37)</f>
        <v>5</v>
      </c>
      <c r="L7" s="140"/>
    </row>
    <row r="8" spans="1:14" s="29" customFormat="1" ht="14.25" customHeight="1" x14ac:dyDescent="0.25">
      <c r="A8" s="150">
        <v>16</v>
      </c>
      <c r="B8" s="150">
        <v>10</v>
      </c>
      <c r="C8" s="30">
        <f t="shared" ref="C8:C37" si="0">IF(OR(SUM($C7,$A8&lt;&gt;"")=0,$A8=""),"",SUM($C7,$A8&lt;&gt;""))</f>
        <v>1</v>
      </c>
      <c r="D8" s="147" t="str">
        <f>IFERROR(VLOOKUP($A8,Sheet1!$A$1:$B$80,2,0),"")</f>
        <v>XX Đức HS ĐNA</v>
      </c>
      <c r="E8" s="30">
        <f>IFERROR(VLOOKUP($A8,'Tổng Đơn'!$A$5:$E$52,5,0),"")</f>
        <v>0.5</v>
      </c>
      <c r="F8" s="30">
        <f t="shared" ref="F8:F37" si="1">IF($B8="","",B8)</f>
        <v>10</v>
      </c>
      <c r="G8" s="155">
        <f>IFERROR(VLOOKUP($A8,Sheet1!$A1:$D$80,4,0),"")</f>
        <v>35000</v>
      </c>
      <c r="H8" s="148">
        <f>IF($C7=MAX($C$8:$C$56),SUM($H7:$H$8),IFERROR($G8*$F8,""))</f>
        <v>350000</v>
      </c>
      <c r="I8" s="54">
        <f t="shared" ref="I8:I37" si="2">IF(TYPE($A8)&lt;&gt;1,"",IFERROR(F8*E8,""))</f>
        <v>5</v>
      </c>
      <c r="L8" s="32"/>
    </row>
    <row r="9" spans="1:14" s="29" customFormat="1" ht="14.25" customHeight="1" x14ac:dyDescent="0.25">
      <c r="A9" s="150" t="s">
        <v>310</v>
      </c>
      <c r="B9" s="150"/>
      <c r="C9" s="30" t="str">
        <f t="shared" si="0"/>
        <v/>
      </c>
      <c r="D9" s="147" t="str">
        <f>IFERROR(VLOOKUP($A9,Sheet1!$A$1:$B$80,2,0),"")</f>
        <v/>
      </c>
      <c r="E9" s="30" t="str">
        <f>IFERROR(VLOOKUP($A9,'Tổng Đơn'!$A$5:$E$52,5,0),"")</f>
        <v/>
      </c>
      <c r="F9" s="30" t="str">
        <f t="shared" si="1"/>
        <v/>
      </c>
      <c r="G9" s="155" t="str">
        <f>IF(AND($C9="",$C8&lt;&gt;""),"Tổng Cộng",IFERROR(VLOOKUP($A9,Sheet1!$A$1:$D$80,4,0),""))</f>
        <v>Tổng Cộng</v>
      </c>
      <c r="H9" s="148">
        <f>IF($C8=MAX($C$8:$C$56),SUM($H$8:$H8),IFERROR($G9*$F9,""))</f>
        <v>350000</v>
      </c>
      <c r="I9" s="54" t="str">
        <f t="shared" si="2"/>
        <v/>
      </c>
      <c r="L9" s="31"/>
    </row>
    <row r="10" spans="1:14" s="29" customFormat="1" ht="14.25" customHeight="1" x14ac:dyDescent="0.25">
      <c r="A10" s="150" t="s">
        <v>310</v>
      </c>
      <c r="B10" s="150"/>
      <c r="C10" s="30" t="str">
        <f t="shared" si="0"/>
        <v/>
      </c>
      <c r="D10" s="147" t="str">
        <f>IFERROR(VLOOKUP($A10,Sheet1!$A$1:$B$80,2,0),"")</f>
        <v/>
      </c>
      <c r="E10" s="30" t="str">
        <f>IFERROR(VLOOKUP($A10,'Tổng Đơn'!$A$5:$E$52,5,0),"")</f>
        <v/>
      </c>
      <c r="F10" s="30" t="str">
        <f t="shared" si="1"/>
        <v/>
      </c>
      <c r="G10" s="155" t="str">
        <f>IF(AND($C10="",$C9&lt;&gt;""),"Tổng Cộng",IFERROR(VLOOKUP($A10,Sheet1!$A$1:$D$80,4,0),""))</f>
        <v/>
      </c>
      <c r="H10" s="148" t="str">
        <f>IF($C9=MAX($C$8:$C$56),SUM($H$8:$H9),IFERROR($G10*$F10,""))</f>
        <v/>
      </c>
      <c r="I10" s="54" t="str">
        <f t="shared" si="2"/>
        <v/>
      </c>
      <c r="L10" s="31"/>
    </row>
    <row r="11" spans="1:14" s="29" customFormat="1" ht="14.25" customHeight="1" x14ac:dyDescent="0.25">
      <c r="A11" s="150" t="s">
        <v>310</v>
      </c>
      <c r="B11" s="150"/>
      <c r="C11" s="30" t="str">
        <f t="shared" si="0"/>
        <v/>
      </c>
      <c r="D11" s="147" t="str">
        <f>IFERROR(VLOOKUP($A11,Sheet1!$A$1:$B$80,2,0),"")</f>
        <v/>
      </c>
      <c r="E11" s="30" t="str">
        <f>IFERROR(VLOOKUP($A11,'Tổng Đơn'!$A$5:$E$52,5,0),"")</f>
        <v/>
      </c>
      <c r="F11" s="30" t="str">
        <f t="shared" si="1"/>
        <v/>
      </c>
      <c r="G11" s="155" t="str">
        <f>IF(AND($C11="",$C10&lt;&gt;""),"Tổng Cộng",IFERROR(VLOOKUP($A11,Sheet1!$A$1:$D$80,4,0),""))</f>
        <v/>
      </c>
      <c r="H11" s="148" t="str">
        <f>IF($C10=MAX($C$8:$C$56),SUM($H$8:$H10),IFERROR($G11*$F11,""))</f>
        <v/>
      </c>
      <c r="I11" s="54" t="str">
        <f t="shared" si="2"/>
        <v/>
      </c>
      <c r="L11" s="31"/>
    </row>
    <row r="12" spans="1:14" s="29" customFormat="1" ht="14.25" customHeight="1" x14ac:dyDescent="0.25">
      <c r="A12" s="150" t="s">
        <v>310</v>
      </c>
      <c r="B12" s="150"/>
      <c r="C12" s="30" t="str">
        <f t="shared" si="0"/>
        <v/>
      </c>
      <c r="D12" s="147" t="str">
        <f>IFERROR(VLOOKUP($A12,Sheet1!$A$1:$B$80,2,0),"")</f>
        <v/>
      </c>
      <c r="E12" s="30" t="str">
        <f>IFERROR(VLOOKUP($A12,'Tổng Đơn'!$A$5:$E$52,5,0),"")</f>
        <v/>
      </c>
      <c r="F12" s="30" t="str">
        <f t="shared" si="1"/>
        <v/>
      </c>
      <c r="G12" s="155" t="str">
        <f>IF(AND($C12="",$C11&lt;&gt;""),"Tổng Cộng",IFERROR(VLOOKUP($A12,Sheet1!$A$1:$D$80,4,0),""))</f>
        <v/>
      </c>
      <c r="H12" s="148" t="str">
        <f>IF($C11=MAX($C$8:$C$56),SUM($H$8:$H11),IFERROR($G12*$F12,""))</f>
        <v/>
      </c>
      <c r="I12" s="54" t="str">
        <f t="shared" si="2"/>
        <v/>
      </c>
      <c r="J12" s="125"/>
      <c r="L12" s="31"/>
      <c r="N12" s="126"/>
    </row>
    <row r="13" spans="1:14" s="29" customFormat="1" ht="14.25" customHeight="1" x14ac:dyDescent="0.25">
      <c r="A13" s="150" t="s">
        <v>310</v>
      </c>
      <c r="B13" s="150"/>
      <c r="C13" s="30" t="str">
        <f t="shared" si="0"/>
        <v/>
      </c>
      <c r="D13" s="147" t="str">
        <f>IFERROR(VLOOKUP($A13,Sheet1!$A$1:$B$80,2,0),"")</f>
        <v/>
      </c>
      <c r="E13" s="30" t="str">
        <f>IFERROR(VLOOKUP($A13,'Tổng Đơn'!$A$5:$E$52,5,0),"")</f>
        <v/>
      </c>
      <c r="F13" s="30" t="str">
        <f t="shared" si="1"/>
        <v/>
      </c>
      <c r="G13" s="155" t="str">
        <f>IF(AND($C13="",$C12&lt;&gt;""),"Tổng Cộng",IFERROR(VLOOKUP($A13,Sheet1!$A$1:$D$80,4,0),""))</f>
        <v/>
      </c>
      <c r="H13" s="148" t="str">
        <f>IF($C12=MAX($C$8:$C$56),SUM($H$8:$H12),IFERROR($G13*$F13,""))</f>
        <v/>
      </c>
      <c r="I13" s="54" t="str">
        <f t="shared" si="2"/>
        <v/>
      </c>
      <c r="L13" s="31"/>
    </row>
    <row r="14" spans="1:14" s="29" customFormat="1" ht="14.25" customHeight="1" x14ac:dyDescent="0.25">
      <c r="A14" s="150" t="s">
        <v>310</v>
      </c>
      <c r="B14" s="150"/>
      <c r="C14" s="30" t="str">
        <f t="shared" si="0"/>
        <v/>
      </c>
      <c r="D14" s="147" t="str">
        <f>IFERROR(VLOOKUP($A14,Sheet1!$A$1:$B$80,2,0),"")</f>
        <v/>
      </c>
      <c r="E14" s="30" t="str">
        <f>IFERROR(VLOOKUP($A14,'Tổng Đơn'!$A$5:$E$52,5,0),"")</f>
        <v/>
      </c>
      <c r="F14" s="30" t="str">
        <f t="shared" si="1"/>
        <v/>
      </c>
      <c r="G14" s="155" t="str">
        <f>IF(AND($C14="",$C13&lt;&gt;""),"Tổng Cộng",IFERROR(VLOOKUP($A14,Sheet1!$A$1:$D$80,4,0),""))</f>
        <v/>
      </c>
      <c r="H14" s="148" t="str">
        <f>IF($C13=MAX($C$8:$C$56),SUM($H$8:$H13),IFERROR($G14*$F14,""))</f>
        <v/>
      </c>
      <c r="I14" s="54" t="str">
        <f t="shared" si="2"/>
        <v/>
      </c>
      <c r="L14" s="31"/>
      <c r="M14" s="132"/>
    </row>
    <row r="15" spans="1:14" s="29" customFormat="1" ht="14.25" customHeight="1" x14ac:dyDescent="0.25">
      <c r="A15" s="150" t="s">
        <v>310</v>
      </c>
      <c r="B15" s="150"/>
      <c r="C15" s="30" t="str">
        <f t="shared" si="0"/>
        <v/>
      </c>
      <c r="D15" s="147" t="str">
        <f>IFERROR(VLOOKUP($A15,Sheet1!$A$1:$B$80,2,0),"")</f>
        <v/>
      </c>
      <c r="E15" s="30" t="str">
        <f>IFERROR(VLOOKUP($A15,'Tổng Đơn'!$A$5:$E$52,5,0),"")</f>
        <v/>
      </c>
      <c r="F15" s="30" t="str">
        <f t="shared" si="1"/>
        <v/>
      </c>
      <c r="G15" s="155" t="str">
        <f>IF(AND($C15="",$C14&lt;&gt;""),"Tổng Cộng",IFERROR(VLOOKUP($A15,Sheet1!$A$1:$D$80,4,0),""))</f>
        <v/>
      </c>
      <c r="H15" s="148" t="str">
        <f>IF($C14=MAX($C$8:$C$56),SUM($H$8:$H14),IFERROR($G15*$F15,""))</f>
        <v/>
      </c>
      <c r="I15" s="54" t="str">
        <f t="shared" si="2"/>
        <v/>
      </c>
      <c r="L15" s="31"/>
    </row>
    <row r="16" spans="1:14" s="29" customFormat="1" ht="14.25" customHeight="1" x14ac:dyDescent="0.25">
      <c r="A16" s="150" t="s">
        <v>310</v>
      </c>
      <c r="B16" s="150"/>
      <c r="C16" s="30" t="str">
        <f t="shared" si="0"/>
        <v/>
      </c>
      <c r="D16" s="147" t="str">
        <f>IFERROR(VLOOKUP($A16,Sheet1!$A$1:$B$80,2,0),"")</f>
        <v/>
      </c>
      <c r="E16" s="30" t="str">
        <f>IFERROR(VLOOKUP($A16,'Tổng Đơn'!$A$5:$E$52,5,0),"")</f>
        <v/>
      </c>
      <c r="F16" s="30" t="str">
        <f t="shared" si="1"/>
        <v/>
      </c>
      <c r="G16" s="155" t="str">
        <f>IF(AND($C16="",$C15&lt;&gt;""),"Tổng Cộng",IFERROR(VLOOKUP($A16,Sheet1!$A$1:$D$80,4,0),""))</f>
        <v/>
      </c>
      <c r="H16" s="148" t="str">
        <f>IF($C15=MAX($C$8:$C$56),SUM($H$8:$H15),IFERROR($G16*$F16,""))</f>
        <v/>
      </c>
      <c r="I16" s="54" t="str">
        <f t="shared" si="2"/>
        <v/>
      </c>
      <c r="L16" s="31"/>
    </row>
    <row r="17" spans="1:12" s="29" customFormat="1" ht="14.25" customHeight="1" x14ac:dyDescent="0.25">
      <c r="A17" s="150" t="s">
        <v>310</v>
      </c>
      <c r="B17" s="150"/>
      <c r="C17" s="30" t="str">
        <f t="shared" si="0"/>
        <v/>
      </c>
      <c r="D17" s="147" t="str">
        <f>IFERROR(VLOOKUP($A17,Sheet1!$A$1:$B$80,2,0),"")</f>
        <v/>
      </c>
      <c r="E17" s="30" t="str">
        <f>IFERROR(VLOOKUP($A17,'Tổng Đơn'!$A$5:$E$52,5,0),"")</f>
        <v/>
      </c>
      <c r="F17" s="30" t="str">
        <f t="shared" si="1"/>
        <v/>
      </c>
      <c r="G17" s="155" t="str">
        <f>IF(AND($C17="",$C16&lt;&gt;""),"Tổng Cộng",IFERROR(VLOOKUP($A17,Sheet1!$A$1:$D$80,4,0),""))</f>
        <v/>
      </c>
      <c r="H17" s="148" t="str">
        <f>IF($C16=MAX($C$8:$C$56),SUM($H$8:$H16),IFERROR($G17*$F17,""))</f>
        <v/>
      </c>
      <c r="I17" s="54" t="str">
        <f t="shared" si="2"/>
        <v/>
      </c>
      <c r="L17" s="31"/>
    </row>
    <row r="18" spans="1:12" s="29" customFormat="1" ht="14.25" customHeight="1" x14ac:dyDescent="0.25">
      <c r="A18" s="150" t="s">
        <v>310</v>
      </c>
      <c r="B18" s="150"/>
      <c r="C18" s="30" t="str">
        <f t="shared" si="0"/>
        <v/>
      </c>
      <c r="D18" s="147" t="str">
        <f>IFERROR(VLOOKUP($A18,Sheet1!$A$1:$B$80,2,0),"")</f>
        <v/>
      </c>
      <c r="E18" s="30" t="str">
        <f>IFERROR(VLOOKUP($A18,'Tổng Đơn'!$A$5:$E$52,5,0),"")</f>
        <v/>
      </c>
      <c r="F18" s="30" t="str">
        <f t="shared" si="1"/>
        <v/>
      </c>
      <c r="G18" s="155" t="str">
        <f>IF(AND($C18="",$C17&lt;&gt;""),"Tổng Cộng",IFERROR(VLOOKUP($A18,Sheet1!$A$1:$D$80,4,0),""))</f>
        <v/>
      </c>
      <c r="H18" s="148" t="str">
        <f>IF($C17=MAX($C$8:$C$56),SUM($H$8:$H17),IFERROR($G18*$F18,""))</f>
        <v/>
      </c>
      <c r="I18" s="54" t="str">
        <f t="shared" si="2"/>
        <v/>
      </c>
      <c r="L18" s="31"/>
    </row>
    <row r="19" spans="1:12" s="29" customFormat="1" ht="14.25" customHeight="1" x14ac:dyDescent="0.25">
      <c r="A19" s="150" t="s">
        <v>310</v>
      </c>
      <c r="B19" s="150"/>
      <c r="C19" s="30" t="str">
        <f t="shared" si="0"/>
        <v/>
      </c>
      <c r="D19" s="147" t="str">
        <f>IFERROR(VLOOKUP($A19,Sheet1!$A$1:$B$80,2,0),"")</f>
        <v/>
      </c>
      <c r="E19" s="30" t="str">
        <f>IFERROR(VLOOKUP($A19,'Tổng Đơn'!$A$5:$E$52,5,0),"")</f>
        <v/>
      </c>
      <c r="F19" s="30" t="str">
        <f t="shared" si="1"/>
        <v/>
      </c>
      <c r="G19" s="155" t="str">
        <f>IF(AND($C19="",$C18&lt;&gt;""),"Tổng Cộng",IFERROR(VLOOKUP($A19,Sheet1!$A$1:$D$80,4,0),""))</f>
        <v/>
      </c>
      <c r="H19" s="148" t="str">
        <f>IF($C18=MAX($C$8:$C$56),SUM($H$8:$H18),IFERROR($G19*$F19,""))</f>
        <v/>
      </c>
      <c r="I19" s="54" t="str">
        <f t="shared" si="2"/>
        <v/>
      </c>
      <c r="L19" s="31"/>
    </row>
    <row r="20" spans="1:12" s="29" customFormat="1" ht="14.25" customHeight="1" x14ac:dyDescent="0.25">
      <c r="A20" s="150" t="s">
        <v>310</v>
      </c>
      <c r="B20" s="150"/>
      <c r="C20" s="30" t="str">
        <f t="shared" si="0"/>
        <v/>
      </c>
      <c r="D20" s="147" t="str">
        <f>IFERROR(VLOOKUP($A20,Sheet1!$A$1:$B$80,2,0),"")</f>
        <v/>
      </c>
      <c r="E20" s="30" t="str">
        <f>IFERROR(VLOOKUP($A20,'Tổng Đơn'!$A$5:$E$52,5,0),"")</f>
        <v/>
      </c>
      <c r="F20" s="30" t="str">
        <f t="shared" si="1"/>
        <v/>
      </c>
      <c r="G20" s="155" t="str">
        <f>IF(AND($C20="",$C19&lt;&gt;""),"Tổng Cộng",IFERROR(VLOOKUP($A20,Sheet1!$A$1:$D$80,4,0),""))</f>
        <v/>
      </c>
      <c r="H20" s="148" t="str">
        <f>IF($C19=MAX($C$8:$C$56),SUM($H$8:$H19),IFERROR($G20*$F20,""))</f>
        <v/>
      </c>
      <c r="I20" s="54" t="str">
        <f t="shared" si="2"/>
        <v/>
      </c>
      <c r="L20" s="31"/>
    </row>
    <row r="21" spans="1:12" s="29" customFormat="1" ht="14.25" customHeight="1" x14ac:dyDescent="0.25">
      <c r="A21" s="150" t="s">
        <v>310</v>
      </c>
      <c r="B21" s="150"/>
      <c r="C21" s="30" t="str">
        <f t="shared" si="0"/>
        <v/>
      </c>
      <c r="D21" s="147" t="str">
        <f>IFERROR(VLOOKUP($A21,Sheet1!$A$1:$B$80,2,0),"")</f>
        <v/>
      </c>
      <c r="E21" s="30" t="str">
        <f>IFERROR(VLOOKUP($A21,'Tổng Đơn'!$A$5:$E$52,5,0),"")</f>
        <v/>
      </c>
      <c r="F21" s="30" t="str">
        <f t="shared" si="1"/>
        <v/>
      </c>
      <c r="G21" s="155" t="str">
        <f>IF(AND($C21="",$C20&lt;&gt;""),"Tổng Cộng",IFERROR(VLOOKUP($A21,Sheet1!$A$1:$D$80,4,0),""))</f>
        <v/>
      </c>
      <c r="H21" s="148" t="str">
        <f>IF($C20=MAX($C$8:$C$56),SUM($H$8:$H20),IFERROR($G21*$F21,""))</f>
        <v/>
      </c>
      <c r="I21" s="54" t="str">
        <f t="shared" si="2"/>
        <v/>
      </c>
      <c r="L21" s="31"/>
    </row>
    <row r="22" spans="1:12" s="29" customFormat="1" ht="14.25" customHeight="1" x14ac:dyDescent="0.25">
      <c r="A22" s="150" t="s">
        <v>310</v>
      </c>
      <c r="B22" s="150"/>
      <c r="C22" s="30" t="str">
        <f t="shared" si="0"/>
        <v/>
      </c>
      <c r="D22" s="147" t="str">
        <f>IFERROR(VLOOKUP($A22,Sheet1!$A$1:$B$80,2,0),"")</f>
        <v/>
      </c>
      <c r="E22" s="30" t="str">
        <f>IFERROR(VLOOKUP($A22,'Tổng Đơn'!$A$5:$E$52,5,0),"")</f>
        <v/>
      </c>
      <c r="F22" s="30" t="str">
        <f t="shared" si="1"/>
        <v/>
      </c>
      <c r="G22" s="155" t="str">
        <f>IF(AND($C22="",$C21&lt;&gt;""),"Tổng Cộng",IFERROR(VLOOKUP($A22,Sheet1!$A$1:$D$80,4,0),""))</f>
        <v/>
      </c>
      <c r="H22" s="148" t="str">
        <f>IF($C21=MAX($C$8:$C$56),SUM($H$8:$H21),IFERROR($G22*$F22,""))</f>
        <v/>
      </c>
      <c r="I22" s="54" t="str">
        <f t="shared" si="2"/>
        <v/>
      </c>
      <c r="L22" s="31"/>
    </row>
    <row r="23" spans="1:12" s="29" customFormat="1" ht="14.25" customHeight="1" x14ac:dyDescent="0.25">
      <c r="A23" s="150" t="s">
        <v>310</v>
      </c>
      <c r="B23" s="150"/>
      <c r="C23" s="30" t="str">
        <f t="shared" si="0"/>
        <v/>
      </c>
      <c r="D23" s="147" t="str">
        <f>IFERROR(VLOOKUP($A23,Sheet1!$A$1:$B$80,2,0),"")</f>
        <v/>
      </c>
      <c r="E23" s="30" t="str">
        <f>IFERROR(VLOOKUP($A23,'Tổng Đơn'!$A$5:$E$52,5,0),"")</f>
        <v/>
      </c>
      <c r="F23" s="30" t="str">
        <f t="shared" si="1"/>
        <v/>
      </c>
      <c r="G23" s="155" t="str">
        <f>IF(AND($C23="",$C22&lt;&gt;""),"Tổng Cộng",IFERROR(VLOOKUP($A23,Sheet1!$A$1:$D$80,4,0),""))</f>
        <v/>
      </c>
      <c r="H23" s="148" t="str">
        <f>IF($C22=MAX($C$8:$C$56),SUM($H$8:$H22),IFERROR($G23*$F23,""))</f>
        <v/>
      </c>
      <c r="I23" s="54" t="str">
        <f t="shared" si="2"/>
        <v/>
      </c>
      <c r="L23" s="31"/>
    </row>
    <row r="24" spans="1:12" s="29" customFormat="1" ht="14.25" customHeight="1" x14ac:dyDescent="0.25">
      <c r="A24" s="150" t="s">
        <v>310</v>
      </c>
      <c r="B24" s="150"/>
      <c r="C24" s="30" t="str">
        <f t="shared" si="0"/>
        <v/>
      </c>
      <c r="D24" s="147" t="str">
        <f>IFERROR(VLOOKUP($A24,Sheet1!$A$1:$B$80,2,0),"")</f>
        <v/>
      </c>
      <c r="E24" s="30" t="str">
        <f>IFERROR(VLOOKUP($A24,'Tổng Đơn'!$A$5:$E$52,5,0),"")</f>
        <v/>
      </c>
      <c r="F24" s="30" t="str">
        <f t="shared" si="1"/>
        <v/>
      </c>
      <c r="G24" s="155" t="str">
        <f>IF(AND($C24="",$C23&lt;&gt;""),"Tổng Cộng",IFERROR(VLOOKUP($A24,Sheet1!$A$1:$D$80,4,0),""))</f>
        <v/>
      </c>
      <c r="H24" s="148" t="str">
        <f>IF($C23=MAX($C$8:$C$56),SUM($H$8:$H23),IFERROR($G24*$F24,""))</f>
        <v/>
      </c>
      <c r="I24" s="54" t="str">
        <f t="shared" si="2"/>
        <v/>
      </c>
      <c r="L24" s="31"/>
    </row>
    <row r="25" spans="1:12" s="29" customFormat="1" ht="14.25" customHeight="1" x14ac:dyDescent="0.25">
      <c r="A25" s="150" t="s">
        <v>310</v>
      </c>
      <c r="B25" s="150"/>
      <c r="C25" s="30" t="str">
        <f t="shared" si="0"/>
        <v/>
      </c>
      <c r="D25" s="147" t="str">
        <f>IFERROR(VLOOKUP($A25,Sheet1!$A$1:$B$80,2,0),"")</f>
        <v/>
      </c>
      <c r="E25" s="30" t="str">
        <f>IFERROR(VLOOKUP($A25,'Tổng Đơn'!$A$5:$E$52,5,0),"")</f>
        <v/>
      </c>
      <c r="F25" s="30" t="str">
        <f t="shared" si="1"/>
        <v/>
      </c>
      <c r="G25" s="155" t="str">
        <f>IF(AND($C25="",$C24&lt;&gt;""),"Tổng Cộng",IFERROR(VLOOKUP($A25,Sheet1!$A$1:$D$80,4,0),""))</f>
        <v/>
      </c>
      <c r="H25" s="148" t="str">
        <f>IF($C24=MAX($C$8:$C$56),SUM($H$8:$H24),IFERROR($G25*$F25,""))</f>
        <v/>
      </c>
      <c r="I25" s="54" t="str">
        <f t="shared" si="2"/>
        <v/>
      </c>
      <c r="L25" s="31"/>
    </row>
    <row r="26" spans="1:12" s="29" customFormat="1" ht="14.25" customHeight="1" x14ac:dyDescent="0.25">
      <c r="A26" s="150" t="s">
        <v>310</v>
      </c>
      <c r="B26" s="150"/>
      <c r="C26" s="30" t="str">
        <f t="shared" si="0"/>
        <v/>
      </c>
      <c r="D26" s="147" t="str">
        <f>IFERROR(VLOOKUP($A26,Sheet1!$A$1:$B$80,2,0),"")</f>
        <v/>
      </c>
      <c r="E26" s="30" t="str">
        <f>IFERROR(VLOOKUP($A26,'Tổng Đơn'!$A$5:$E$52,5,0),"")</f>
        <v/>
      </c>
      <c r="F26" s="30" t="str">
        <f t="shared" si="1"/>
        <v/>
      </c>
      <c r="G26" s="155" t="str">
        <f>IF(AND($C26="",$C25&lt;&gt;""),"Tổng Cộng",IFERROR(VLOOKUP($A26,Sheet1!$A$1:$D$80,4,0),""))</f>
        <v/>
      </c>
      <c r="H26" s="148" t="str">
        <f>IF($C25=MAX($C$8:$C$56),SUM($H$8:$H25),IFERROR($G26*$F26,""))</f>
        <v/>
      </c>
      <c r="I26" s="54" t="str">
        <f t="shared" si="2"/>
        <v/>
      </c>
      <c r="L26" s="31"/>
    </row>
    <row r="27" spans="1:12" s="29" customFormat="1" ht="14.25" customHeight="1" x14ac:dyDescent="0.25">
      <c r="A27" s="150" t="s">
        <v>310</v>
      </c>
      <c r="B27" s="150"/>
      <c r="C27" s="30" t="str">
        <f t="shared" si="0"/>
        <v/>
      </c>
      <c r="D27" s="147" t="str">
        <f>IFERROR(VLOOKUP($A27,Sheet1!$A$1:$B$80,2,0),"")</f>
        <v/>
      </c>
      <c r="E27" s="30" t="str">
        <f>IFERROR(VLOOKUP($A27,'Tổng Đơn'!$A$5:$E$52,5,0),"")</f>
        <v/>
      </c>
      <c r="F27" s="30" t="str">
        <f t="shared" si="1"/>
        <v/>
      </c>
      <c r="G27" s="155" t="str">
        <f>IF(AND($C27="",$C26&lt;&gt;""),"Tổng Cộng",IFERROR(VLOOKUP($A27,Sheet1!$A$1:$D$80,4,0),""))</f>
        <v/>
      </c>
      <c r="H27" s="148" t="str">
        <f>IF($C26=MAX($C$8:$C$56),SUM($H$8:$H26),IFERROR($G27*$F27,""))</f>
        <v/>
      </c>
      <c r="I27" s="54" t="str">
        <f t="shared" si="2"/>
        <v/>
      </c>
      <c r="L27" s="31"/>
    </row>
    <row r="28" spans="1:12" s="29" customFormat="1" ht="14.25" customHeight="1" x14ac:dyDescent="0.25">
      <c r="A28" s="150" t="s">
        <v>310</v>
      </c>
      <c r="B28" s="150"/>
      <c r="C28" s="30" t="str">
        <f t="shared" si="0"/>
        <v/>
      </c>
      <c r="D28" s="147" t="str">
        <f>IFERROR(VLOOKUP($A28,Sheet1!$A$1:$B$80,2,0),"")</f>
        <v/>
      </c>
      <c r="E28" s="30" t="str">
        <f>IFERROR(VLOOKUP($A28,'Tổng Đơn'!$A$5:$E$52,5,0),"")</f>
        <v/>
      </c>
      <c r="F28" s="30" t="str">
        <f t="shared" si="1"/>
        <v/>
      </c>
      <c r="G28" s="155" t="str">
        <f>IF(AND($C28="",$C27&lt;&gt;""),"Tổng Cộng",IFERROR(VLOOKUP($A28,Sheet1!$A$1:$D$80,4,0),""))</f>
        <v/>
      </c>
      <c r="H28" s="148" t="str">
        <f>IF($C27=MAX($C$8:$C$56),SUM($H$8:$H27),IFERROR($G28*$F28,""))</f>
        <v/>
      </c>
      <c r="I28" s="54" t="str">
        <f t="shared" si="2"/>
        <v/>
      </c>
      <c r="L28" s="31"/>
    </row>
    <row r="29" spans="1:12" s="29" customFormat="1" ht="14.25" customHeight="1" x14ac:dyDescent="0.25">
      <c r="A29" s="150" t="s">
        <v>310</v>
      </c>
      <c r="B29" s="150"/>
      <c r="C29" s="30" t="str">
        <f t="shared" si="0"/>
        <v/>
      </c>
      <c r="D29" s="147" t="str">
        <f>IFERROR(VLOOKUP($A29,Sheet1!$A$1:$B$80,2,0),"")</f>
        <v/>
      </c>
      <c r="E29" s="30" t="str">
        <f>IFERROR(VLOOKUP($A29,'Tổng Đơn'!$A$5:$E$52,5,0),"")</f>
        <v/>
      </c>
      <c r="F29" s="30" t="str">
        <f t="shared" si="1"/>
        <v/>
      </c>
      <c r="G29" s="155" t="str">
        <f>IF(AND($C29="",$C28&lt;&gt;""),"Tổng Cộng",IFERROR(VLOOKUP($A29,Sheet1!$A$1:$D$80,4,0),""))</f>
        <v/>
      </c>
      <c r="H29" s="148" t="str">
        <f>IF($C28=MAX($C$8:$C$56),SUM($H$8:$H28),IFERROR($G29*$F29,""))</f>
        <v/>
      </c>
      <c r="I29" s="54" t="str">
        <f t="shared" si="2"/>
        <v/>
      </c>
      <c r="L29" s="31"/>
    </row>
    <row r="30" spans="1:12" s="29" customFormat="1" ht="14.25" customHeight="1" x14ac:dyDescent="0.25">
      <c r="A30" s="150" t="s">
        <v>310</v>
      </c>
      <c r="B30" s="150"/>
      <c r="C30" s="30" t="str">
        <f t="shared" si="0"/>
        <v/>
      </c>
      <c r="D30" s="147" t="str">
        <f>IFERROR(VLOOKUP($A30,Sheet1!$A$1:$B$80,2,0),"")</f>
        <v/>
      </c>
      <c r="E30" s="30" t="str">
        <f>IFERROR(VLOOKUP($A30,'Tổng Đơn'!$A$5:$E$52,5,0),"")</f>
        <v/>
      </c>
      <c r="F30" s="30" t="str">
        <f t="shared" si="1"/>
        <v/>
      </c>
      <c r="G30" s="155" t="str">
        <f>IF(AND($C30="",$C29&lt;&gt;""),"Tổng Cộng",IFERROR(VLOOKUP($A30,Sheet1!$A$1:$D$80,4,0),""))</f>
        <v/>
      </c>
      <c r="H30" s="148" t="str">
        <f>IF($C29=MAX($C$8:$C$56),SUM($H$8:$H29),IFERROR($G30*$F30,""))</f>
        <v/>
      </c>
      <c r="I30" s="54" t="str">
        <f t="shared" si="2"/>
        <v/>
      </c>
      <c r="L30" s="31"/>
    </row>
    <row r="31" spans="1:12" s="29" customFormat="1" ht="14.25" customHeight="1" x14ac:dyDescent="0.25">
      <c r="A31" s="150" t="s">
        <v>310</v>
      </c>
      <c r="B31" s="150"/>
      <c r="C31" s="30" t="str">
        <f t="shared" si="0"/>
        <v/>
      </c>
      <c r="D31" s="147" t="str">
        <f>IFERROR(VLOOKUP($A31,Sheet1!$A$1:$B$80,2,0),"")</f>
        <v/>
      </c>
      <c r="E31" s="30" t="str">
        <f>IFERROR(VLOOKUP($A31,'Tổng Đơn'!$A$5:$E$52,5,0),"")</f>
        <v/>
      </c>
      <c r="F31" s="30" t="str">
        <f t="shared" si="1"/>
        <v/>
      </c>
      <c r="G31" s="155" t="str">
        <f>IF(AND($C31="",$C30&lt;&gt;""),"Tổng Cộng",IFERROR(VLOOKUP($A31,Sheet1!$A$1:$D$80,4,0),""))</f>
        <v/>
      </c>
      <c r="H31" s="148" t="str">
        <f>IF($C30=MAX($C$8:$C$56),SUM($H$8:$H30),IFERROR($G31*$F31,""))</f>
        <v/>
      </c>
      <c r="I31" s="54" t="str">
        <f t="shared" si="2"/>
        <v/>
      </c>
      <c r="L31" s="31"/>
    </row>
    <row r="32" spans="1:12" s="29" customFormat="1" ht="14.25" customHeight="1" x14ac:dyDescent="0.25">
      <c r="A32" s="150" t="s">
        <v>310</v>
      </c>
      <c r="B32" s="150"/>
      <c r="C32" s="30" t="str">
        <f t="shared" si="0"/>
        <v/>
      </c>
      <c r="D32" s="147" t="str">
        <f>IFERROR(VLOOKUP($A32,Sheet1!$A$1:$B$80,2,0),"")</f>
        <v/>
      </c>
      <c r="E32" s="30" t="str">
        <f>IFERROR(VLOOKUP($A32,'Tổng Đơn'!$A$5:$E$52,5,0),"")</f>
        <v/>
      </c>
      <c r="F32" s="30" t="str">
        <f t="shared" si="1"/>
        <v/>
      </c>
      <c r="G32" s="155" t="str">
        <f>IF(AND($C32="",$C31&lt;&gt;""),"Tổng Cộng",IFERROR(VLOOKUP($A32,Sheet1!$A$1:$D$80,4,0),""))</f>
        <v/>
      </c>
      <c r="H32" s="148" t="str">
        <f>IF($C31=MAX($C$8:$C$56),SUM($H$8:$H31),IFERROR($G32*$F32,""))</f>
        <v/>
      </c>
      <c r="I32" s="54" t="str">
        <f t="shared" si="2"/>
        <v/>
      </c>
      <c r="L32" s="31"/>
    </row>
    <row r="33" spans="1:12" s="29" customFormat="1" ht="14.25" customHeight="1" x14ac:dyDescent="0.25">
      <c r="A33" s="150" t="s">
        <v>310</v>
      </c>
      <c r="B33" s="150"/>
      <c r="C33" s="30" t="str">
        <f t="shared" si="0"/>
        <v/>
      </c>
      <c r="D33" s="147" t="str">
        <f>IFERROR(VLOOKUP($A33,Sheet1!$A$1:$B$80,2,0),"")</f>
        <v/>
      </c>
      <c r="E33" s="30" t="str">
        <f>IFERROR(VLOOKUP($A33,'Tổng Đơn'!$A$5:$E$52,5,0),"")</f>
        <v/>
      </c>
      <c r="F33" s="30" t="str">
        <f t="shared" si="1"/>
        <v/>
      </c>
      <c r="G33" s="155" t="str">
        <f>IF(AND($C33="",$C32&lt;&gt;""),"Tổng Cộng",IFERROR(VLOOKUP($A33,Sheet1!$A$1:$D$80,4,0),""))</f>
        <v/>
      </c>
      <c r="H33" s="148" t="str">
        <f>IF($C32=MAX($C$8:$C$56),SUM($H$8:$H32),IFERROR($G33*$F33,""))</f>
        <v/>
      </c>
      <c r="I33" s="54" t="str">
        <f t="shared" si="2"/>
        <v/>
      </c>
      <c r="L33" s="31"/>
    </row>
    <row r="34" spans="1:12" s="29" customFormat="1" ht="14.25" customHeight="1" x14ac:dyDescent="0.25">
      <c r="A34" s="150" t="s">
        <v>310</v>
      </c>
      <c r="B34" s="150"/>
      <c r="C34" s="30" t="str">
        <f t="shared" si="0"/>
        <v/>
      </c>
      <c r="D34" s="147" t="str">
        <f>IFERROR(VLOOKUP($A34,Sheet1!$A$1:$B$80,2,0),"")</f>
        <v/>
      </c>
      <c r="E34" s="30" t="str">
        <f>IFERROR(VLOOKUP($A34,'Tổng Đơn'!$A$5:$E$52,5,0),"")</f>
        <v/>
      </c>
      <c r="F34" s="30" t="str">
        <f t="shared" si="1"/>
        <v/>
      </c>
      <c r="G34" s="155" t="str">
        <f>IF(AND($C34="",$C33&lt;&gt;""),"Tổng Cộng",IFERROR(VLOOKUP($A34,Sheet1!$A$1:$D$80,4,0),""))</f>
        <v/>
      </c>
      <c r="H34" s="148" t="str">
        <f>IF($C33=MAX($C$8:$C$56),SUM($H$8:$H33),IFERROR($G34*$F34,""))</f>
        <v/>
      </c>
      <c r="I34" s="54" t="str">
        <f t="shared" si="2"/>
        <v/>
      </c>
      <c r="L34" s="31"/>
    </row>
    <row r="35" spans="1:12" s="29" customFormat="1" ht="14.25" customHeight="1" x14ac:dyDescent="0.25">
      <c r="A35" s="150" t="s">
        <v>310</v>
      </c>
      <c r="B35" s="150"/>
      <c r="C35" s="30" t="str">
        <f t="shared" si="0"/>
        <v/>
      </c>
      <c r="D35" s="147" t="str">
        <f>IFERROR(VLOOKUP($A35,Sheet1!$A$1:$B$80,2,0),"")</f>
        <v/>
      </c>
      <c r="E35" s="30" t="str">
        <f>IFERROR(VLOOKUP($A35,'Tổng Đơn'!$A$5:$E$52,5,0),"")</f>
        <v/>
      </c>
      <c r="F35" s="30" t="str">
        <f t="shared" si="1"/>
        <v/>
      </c>
      <c r="G35" s="155" t="str">
        <f>IF(AND($C35="",$C34&lt;&gt;""),"Tổng Cộng",IFERROR(VLOOKUP($A35,Sheet1!$A$1:$D$80,4,0),""))</f>
        <v/>
      </c>
      <c r="H35" s="148" t="str">
        <f>IF($C34=MAX($C$8:$C$56),SUM($H$8:$H34),IFERROR($G35*$F35,""))</f>
        <v/>
      </c>
      <c r="I35" s="54" t="str">
        <f t="shared" si="2"/>
        <v/>
      </c>
      <c r="L35" s="31"/>
    </row>
    <row r="36" spans="1:12" s="29" customFormat="1" ht="14.25" customHeight="1" x14ac:dyDescent="0.25">
      <c r="A36" s="150" t="s">
        <v>310</v>
      </c>
      <c r="B36" s="150"/>
      <c r="C36" s="30" t="str">
        <f t="shared" si="0"/>
        <v/>
      </c>
      <c r="D36" s="147" t="str">
        <f>IFERROR(VLOOKUP($A36,Sheet1!$A$1:$B$80,2,0),"")</f>
        <v/>
      </c>
      <c r="E36" s="30" t="str">
        <f>IFERROR(VLOOKUP($A36,'Tổng Đơn'!$A$5:$E$52,5,0),"")</f>
        <v/>
      </c>
      <c r="F36" s="30" t="str">
        <f t="shared" si="1"/>
        <v/>
      </c>
      <c r="G36" s="155" t="str">
        <f>IF(AND($C36="",$C35&lt;&gt;""),"Tổng Cộng",IFERROR(VLOOKUP($A36,Sheet1!$A$1:$D$80,4,0),""))</f>
        <v/>
      </c>
      <c r="H36" s="148" t="str">
        <f>IF($C35=MAX($C$8:$C$56),SUM($H$8:$H35),IFERROR($G36*$F36,""))</f>
        <v/>
      </c>
      <c r="I36" s="54" t="str">
        <f t="shared" si="2"/>
        <v/>
      </c>
      <c r="L36" s="31"/>
    </row>
    <row r="37" spans="1:12" s="29" customFormat="1" ht="14.25" customHeight="1" x14ac:dyDescent="0.25">
      <c r="A37" s="150" t="s">
        <v>310</v>
      </c>
      <c r="B37" s="150"/>
      <c r="C37" s="30" t="str">
        <f t="shared" si="0"/>
        <v/>
      </c>
      <c r="D37" s="147" t="str">
        <f>IFERROR(VLOOKUP($A37,Sheet1!$A$1:$B$80,2,0),"")</f>
        <v/>
      </c>
      <c r="E37" s="30" t="str">
        <f>IFERROR(VLOOKUP($A37,'Tổng Đơn'!$A$5:$E$52,5,0),"")</f>
        <v/>
      </c>
      <c r="F37" s="30" t="str">
        <f t="shared" si="1"/>
        <v/>
      </c>
      <c r="G37" s="155" t="str">
        <f>IF(AND($C37="",$C36&lt;&gt;""),"Tổng Cộng",IFERROR(VLOOKUP($A37,Sheet1!$A$1:$D$80,4,0),""))</f>
        <v/>
      </c>
      <c r="H37" s="148" t="str">
        <f>IF($C36=MAX($C$8:$C$56),SUM($H$8:$H36),IFERROR($G37*$F37,""))</f>
        <v/>
      </c>
      <c r="I37" s="54" t="str">
        <f t="shared" si="2"/>
        <v/>
      </c>
      <c r="L37" s="31"/>
    </row>
    <row r="38" spans="1:12" s="29" customFormat="1" ht="14.25" customHeight="1" x14ac:dyDescent="0.25">
      <c r="A38" s="150"/>
      <c r="B38" s="150"/>
      <c r="C38" s="33"/>
      <c r="D38" s="34"/>
      <c r="E38" s="52"/>
      <c r="F38" s="30"/>
      <c r="G38" s="156" t="str">
        <f>IF(AND($C38="",$C37&lt;&gt;""),"Tổng Cộng",IFERROR(VLOOKUP($A38,Sheet1!$A$1:$D$80,4,0),""))</f>
        <v/>
      </c>
      <c r="H38" s="35" t="str">
        <f>IF($C37=MAX($C$8:$C$56),SUM($H$8:$H37),IFERROR($G38*$F38,""))</f>
        <v/>
      </c>
      <c r="I38" s="54"/>
      <c r="L38" s="31"/>
    </row>
    <row r="39" spans="1:12" ht="15" customHeight="1" x14ac:dyDescent="0.25">
      <c r="F39" s="36"/>
      <c r="G39" s="139"/>
      <c r="H39" s="37"/>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C38:E38 D23:E37 F23:H38">
    <cfRule type="expression" dxfId="311" priority="22">
      <formula>$C22=MAX($C$8:$C$37)</formula>
    </cfRule>
  </conditionalFormatting>
  <conditionalFormatting sqref="C23:C37">
    <cfRule type="expression" dxfId="310" priority="21">
      <formula>$C22=MAX($C$8:$C$37)</formula>
    </cfRule>
  </conditionalFormatting>
  <conditionalFormatting sqref="E23:E38">
    <cfRule type="expression" dxfId="309" priority="23">
      <formula>AND($A23="",$F23&lt;&gt;"")</formula>
    </cfRule>
  </conditionalFormatting>
  <conditionalFormatting sqref="F23:F38">
    <cfRule type="expression" dxfId="308" priority="24">
      <formula>AND($F23="",$A23&lt;&gt;"")</formula>
    </cfRule>
  </conditionalFormatting>
  <conditionalFormatting sqref="D20:H22">
    <cfRule type="expression" dxfId="307" priority="18">
      <formula>$C19=MAX($C$8:$C$37)</formula>
    </cfRule>
  </conditionalFormatting>
  <conditionalFormatting sqref="C20:C22">
    <cfRule type="expression" dxfId="306" priority="17">
      <formula>$C19=MAX($C$8:$C$37)</formula>
    </cfRule>
  </conditionalFormatting>
  <conditionalFormatting sqref="E20:E22">
    <cfRule type="expression" dxfId="305" priority="19">
      <formula>AND($A20="",$F20&lt;&gt;"")</formula>
    </cfRule>
  </conditionalFormatting>
  <conditionalFormatting sqref="F20:F22">
    <cfRule type="expression" dxfId="304" priority="20">
      <formula>AND($F20="",$A20&lt;&gt;"")</formula>
    </cfRule>
  </conditionalFormatting>
  <conditionalFormatting sqref="D15:H19 D12:F14 H12:H14">
    <cfRule type="expression" dxfId="303" priority="14">
      <formula>$C11=MAX($C$8:$C$37)</formula>
    </cfRule>
  </conditionalFormatting>
  <conditionalFormatting sqref="C12:C19">
    <cfRule type="expression" dxfId="302" priority="13">
      <formula>$C11=MAX($C$8:$C$37)</formula>
    </cfRule>
  </conditionalFormatting>
  <conditionalFormatting sqref="E12:E19">
    <cfRule type="expression" dxfId="301" priority="15">
      <formula>AND($A12="",$F12&lt;&gt;"")</formula>
    </cfRule>
  </conditionalFormatting>
  <conditionalFormatting sqref="F12:F19">
    <cfRule type="expression" dxfId="300" priority="16">
      <formula>AND($F12="",$A12&lt;&gt;"")</formula>
    </cfRule>
  </conditionalFormatting>
  <conditionalFormatting sqref="G12:G14">
    <cfRule type="expression" dxfId="299" priority="12">
      <formula>$C11=MAX($C$8:$C$37)</formula>
    </cfRule>
  </conditionalFormatting>
  <conditionalFormatting sqref="D9:F11 H9:H11">
    <cfRule type="expression" dxfId="298" priority="9">
      <formula>$C8=MAX($C$8:$C$37)</formula>
    </cfRule>
  </conditionalFormatting>
  <conditionalFormatting sqref="C9:C11">
    <cfRule type="expression" dxfId="297" priority="8">
      <formula>$C8=MAX($C$8:$C$37)</formula>
    </cfRule>
  </conditionalFormatting>
  <conditionalFormatting sqref="E9:E11">
    <cfRule type="expression" dxfId="296" priority="10">
      <formula>AND($A9="",$F9&lt;&gt;"")</formula>
    </cfRule>
  </conditionalFormatting>
  <conditionalFormatting sqref="F9:F11">
    <cfRule type="expression" dxfId="295" priority="11">
      <formula>AND($F9="",$A9&lt;&gt;"")</formula>
    </cfRule>
  </conditionalFormatting>
  <conditionalFormatting sqref="D8:F8">
    <cfRule type="expression" dxfId="294" priority="5">
      <formula>$C7=MAX($C$8:$C$37)</formula>
    </cfRule>
  </conditionalFormatting>
  <conditionalFormatting sqref="C8">
    <cfRule type="expression" dxfId="293" priority="4">
      <formula>$C7=MAX($C$8:$C$37)</formula>
    </cfRule>
  </conditionalFormatting>
  <conditionalFormatting sqref="E8">
    <cfRule type="expression" dxfId="292" priority="6">
      <formula>AND($A8="",$F8&lt;&gt;"")</formula>
    </cfRule>
  </conditionalFormatting>
  <conditionalFormatting sqref="F8">
    <cfRule type="expression" dxfId="291" priority="7">
      <formula>AND($F8="",$A8&lt;&gt;"")</formula>
    </cfRule>
  </conditionalFormatting>
  <conditionalFormatting sqref="H8">
    <cfRule type="expression" dxfId="290" priority="3">
      <formula>$C7=MAX($C$8:$C$37)</formula>
    </cfRule>
  </conditionalFormatting>
  <conditionalFormatting sqref="G9:G11">
    <cfRule type="expression" dxfId="289" priority="2">
      <formula>$C8=MAX($C$8:$C$37)</formula>
    </cfRule>
  </conditionalFormatting>
  <conditionalFormatting sqref="G8">
    <cfRule type="expression" dxfId="288" priority="1">
      <formula>$C7=MAX($C$8:$C$37)</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1542145" r:id="rId4" name="Button 1">
              <controlPr defaultSize="0" print="0" autoFill="0" autoPict="0" macro="[0]!Macro4">
                <anchor moveWithCells="1" sizeWithCells="1">
                  <from>
                    <xdr:col>0</xdr:col>
                    <xdr:colOff>0</xdr:colOff>
                    <xdr:row>0</xdr:row>
                    <xdr:rowOff>0</xdr:rowOff>
                  </from>
                  <to>
                    <xdr:col>1</xdr:col>
                    <xdr:colOff>769620</xdr:colOff>
                    <xdr:row>7</xdr:row>
                    <xdr:rowOff>0</xdr:rowOff>
                  </to>
                </anchor>
              </controlPr>
            </control>
          </mc:Choice>
        </mc:AlternateContent>
      </controls>
    </mc:Choice>
  </mc:AlternateContent>
</worksheet>
</file>

<file path=xl/worksheets/sheet2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9BA8732-2710-4E04-A95D-396AFD4B8C40}">
  <sheetPr codeName="Sheet45">
    <tabColor theme="1"/>
    <pageSetUpPr fitToPage="1"/>
  </sheetPr>
  <dimension ref="A1:N53"/>
  <sheetViews>
    <sheetView zoomScaleNormal="100" workbookViewId="0">
      <pane ySplit="7" topLeftCell="A8" activePane="bottomLeft" state="frozen"/>
      <selection activeCell="Q2" sqref="Q2"/>
      <selection pane="bottomLeft" activeCell="H10" sqref="H10"/>
    </sheetView>
  </sheetViews>
  <sheetFormatPr defaultColWidth="9.09765625" defaultRowHeight="13.8" x14ac:dyDescent="0.25"/>
  <cols>
    <col min="1" max="1" width="11.69921875" style="14" customWidth="1"/>
    <col min="2" max="2" width="11.296875" style="14" customWidth="1"/>
    <col min="3" max="3" width="9.09765625" style="14"/>
    <col min="4" max="4" width="38.3984375" style="14" bestFit="1" customWidth="1"/>
    <col min="5" max="5" width="12.296875" style="53" bestFit="1" customWidth="1"/>
    <col min="6" max="6" width="11" style="14" customWidth="1"/>
    <col min="7" max="7" width="17.8984375" style="14" customWidth="1"/>
    <col min="8" max="8" width="17.8984375" style="15" customWidth="1"/>
    <col min="9" max="9" width="21.8984375" style="14" customWidth="1"/>
    <col min="10" max="10" width="10.09765625" style="14" customWidth="1"/>
    <col min="11" max="11" width="9.09765625" style="14"/>
    <col min="12" max="12" width="11.69921875" style="14" customWidth="1"/>
    <col min="13" max="14" width="10.09765625" style="14" bestFit="1" customWidth="1"/>
    <col min="15" max="16384" width="9.09765625" style="14"/>
  </cols>
  <sheetData>
    <row r="1" spans="1:14" ht="15.75" customHeight="1" x14ac:dyDescent="0.25">
      <c r="C1" s="268" t="s">
        <v>164</v>
      </c>
      <c r="D1" s="268"/>
      <c r="E1" s="268"/>
      <c r="F1" s="268"/>
      <c r="G1" s="268"/>
      <c r="H1" s="268"/>
    </row>
    <row r="2" spans="1:14" ht="15.75" customHeight="1" x14ac:dyDescent="0.25">
      <c r="C2" s="268"/>
      <c r="D2" s="268"/>
      <c r="E2" s="268"/>
      <c r="F2" s="268"/>
      <c r="G2" s="268"/>
      <c r="H2" s="268"/>
    </row>
    <row r="3" spans="1:14" ht="15" customHeight="1" x14ac:dyDescent="0.25">
      <c r="C3" s="269" t="s">
        <v>166</v>
      </c>
      <c r="D3" s="269"/>
      <c r="E3" s="269"/>
      <c r="F3" s="270" t="s">
        <v>168</v>
      </c>
      <c r="G3" s="270"/>
      <c r="H3" s="270"/>
    </row>
    <row r="4" spans="1:14" x14ac:dyDescent="0.25">
      <c r="C4" s="269" t="s">
        <v>167</v>
      </c>
      <c r="D4" s="269"/>
      <c r="E4" s="269"/>
      <c r="F4" s="271" t="s">
        <v>169</v>
      </c>
      <c r="G4" s="271"/>
      <c r="H4" s="271"/>
    </row>
    <row r="5" spans="1:14" s="140" customFormat="1" ht="21" customHeight="1" x14ac:dyDescent="0.25">
      <c r="C5" s="272" t="s">
        <v>165</v>
      </c>
      <c r="D5" s="272"/>
      <c r="E5" s="272"/>
      <c r="F5" s="272"/>
      <c r="G5" s="272"/>
      <c r="H5" s="272"/>
    </row>
    <row r="6" spans="1:14" s="140" customFormat="1" ht="16.5" customHeight="1" x14ac:dyDescent="0.25">
      <c r="C6" s="149" t="s">
        <v>170</v>
      </c>
      <c r="D6" s="152" t="s">
        <v>313</v>
      </c>
      <c r="E6" s="145"/>
      <c r="F6" s="145"/>
      <c r="G6" s="267" t="str">
        <f ca="1">"Ngày "&amp;DAY(TODAY())&amp;" Tháng "&amp;MONTH(TODAY())&amp;" Năm "&amp;YEAR(TODAY())</f>
        <v>Ngày 22 Tháng 1 Năm 2023</v>
      </c>
      <c r="H6" s="267"/>
    </row>
    <row r="7" spans="1:14" s="144" customFormat="1" ht="24" customHeight="1" x14ac:dyDescent="0.25">
      <c r="A7" s="141" t="s">
        <v>101</v>
      </c>
      <c r="B7" s="141" t="s">
        <v>15</v>
      </c>
      <c r="C7" s="142" t="s">
        <v>0</v>
      </c>
      <c r="D7" s="142" t="s">
        <v>16</v>
      </c>
      <c r="E7" s="146" t="str">
        <f>"Quy cách"&amp;CHAR(10)&amp;"(Kg)"</f>
        <v>Quy cách
(Kg)</v>
      </c>
      <c r="F7" s="142" t="s">
        <v>15</v>
      </c>
      <c r="G7" s="142" t="s">
        <v>17</v>
      </c>
      <c r="H7" s="142" t="s">
        <v>18</v>
      </c>
      <c r="I7" s="143">
        <f>SUBTOTAL(9,I8:I37)</f>
        <v>2</v>
      </c>
      <c r="L7" s="140"/>
    </row>
    <row r="8" spans="1:14" s="29" customFormat="1" ht="14.25" customHeight="1" x14ac:dyDescent="0.25">
      <c r="A8" s="150">
        <v>34</v>
      </c>
      <c r="B8" s="150">
        <v>4</v>
      </c>
      <c r="C8" s="30">
        <f t="shared" ref="C8:C37" si="0">IF(OR(SUM($C7,$A8&lt;&gt;"")=0,$A8=""),"",SUM($C7,$A8&lt;&gt;""))</f>
        <v>1</v>
      </c>
      <c r="D8" s="147" t="str">
        <f>IFERROR(VLOOKUP($A8,Sheet1!$A$1:$B$80,2,0),"")</f>
        <v>Cá viên KK</v>
      </c>
      <c r="E8" s="30">
        <f>IFERROR(VLOOKUP($A8,'Tổng Đơn'!$A$5:$E$52,5,0),"")</f>
        <v>0.5</v>
      </c>
      <c r="F8" s="30">
        <f t="shared" ref="F8:F37" si="1">IF($B8="","",B8)</f>
        <v>4</v>
      </c>
      <c r="G8" s="155">
        <f>IFERROR(VLOOKUP($A8,Sheet1!$A1:$D$80,4,0),"")</f>
        <v>25000</v>
      </c>
      <c r="H8" s="148">
        <f>IF($C7=MAX($C$8:$C$56),SUM($H7:$H$8),IFERROR($G8*$F8,""))</f>
        <v>100000</v>
      </c>
      <c r="I8" s="54">
        <f t="shared" ref="I8:I37" si="2">IF(TYPE($A8)&lt;&gt;1,"",IFERROR(F8*E8,""))</f>
        <v>2</v>
      </c>
      <c r="L8" s="32"/>
    </row>
    <row r="9" spans="1:14" s="29" customFormat="1" ht="14.25" customHeight="1" x14ac:dyDescent="0.25">
      <c r="A9" s="150">
        <v>1</v>
      </c>
      <c r="B9" s="150">
        <v>1</v>
      </c>
      <c r="C9" s="30">
        <f t="shared" si="0"/>
        <v>2</v>
      </c>
      <c r="D9" s="147" t="s">
        <v>312</v>
      </c>
      <c r="E9" s="30" t="s">
        <v>234</v>
      </c>
      <c r="F9" s="30" t="s">
        <v>234</v>
      </c>
      <c r="G9" s="155" t="s">
        <v>234</v>
      </c>
      <c r="H9" s="148">
        <f>-4*2000</f>
        <v>-8000</v>
      </c>
      <c r="I9" s="54" t="str">
        <f t="shared" si="2"/>
        <v/>
      </c>
      <c r="L9" s="31"/>
    </row>
    <row r="10" spans="1:14" s="29" customFormat="1" ht="14.25" customHeight="1" x14ac:dyDescent="0.25">
      <c r="A10" s="150" t="s">
        <v>310</v>
      </c>
      <c r="B10" s="150"/>
      <c r="C10" s="30" t="str">
        <f t="shared" si="0"/>
        <v/>
      </c>
      <c r="D10" s="147" t="str">
        <f>IFERROR(VLOOKUP($A10,Sheet1!$A$1:$B$80,2,0),"")</f>
        <v/>
      </c>
      <c r="E10" s="30" t="str">
        <f>IFERROR(VLOOKUP($A10,'Tổng Đơn'!$A$5:$E$52,5,0),"")</f>
        <v/>
      </c>
      <c r="F10" s="30" t="str">
        <f t="shared" si="1"/>
        <v/>
      </c>
      <c r="G10" s="155" t="str">
        <f>IF(AND($C10="",$C9&lt;&gt;""),"Tổng Cộng",IFERROR(VLOOKUP($A10,Sheet1!$A$1:$D$80,4,0),""))</f>
        <v>Tổng Cộng</v>
      </c>
      <c r="H10" s="148">
        <f>IF($C9=MAX($C$8:$C$56),SUM($H$8:$H9),IFERROR($G10*$F10,""))</f>
        <v>92000</v>
      </c>
      <c r="I10" s="54" t="str">
        <f t="shared" si="2"/>
        <v/>
      </c>
      <c r="L10" s="31"/>
    </row>
    <row r="11" spans="1:14" s="29" customFormat="1" ht="14.25" customHeight="1" x14ac:dyDescent="0.25">
      <c r="A11" s="150" t="s">
        <v>310</v>
      </c>
      <c r="B11" s="150"/>
      <c r="C11" s="30" t="str">
        <f t="shared" si="0"/>
        <v/>
      </c>
      <c r="D11" s="147" t="str">
        <f>IFERROR(VLOOKUP($A11,Sheet1!$A$1:$B$80,2,0),"")</f>
        <v/>
      </c>
      <c r="E11" s="30" t="str">
        <f>IFERROR(VLOOKUP($A11,'Tổng Đơn'!$A$5:$E$52,5,0),"")</f>
        <v/>
      </c>
      <c r="F11" s="30" t="str">
        <f t="shared" si="1"/>
        <v/>
      </c>
      <c r="G11" s="155" t="str">
        <f>IF(AND($C11="",$C10&lt;&gt;""),"Tổng Cộng",IFERROR(VLOOKUP($A11,Sheet1!$A$1:$D$80,4,0),""))</f>
        <v/>
      </c>
      <c r="H11" s="148" t="str">
        <f>IF($C10=MAX($C$8:$C$56),SUM($H$8:$H10),IFERROR($G11*$F11,""))</f>
        <v/>
      </c>
      <c r="I11" s="54" t="str">
        <f t="shared" si="2"/>
        <v/>
      </c>
      <c r="L11" s="31"/>
    </row>
    <row r="12" spans="1:14" s="29" customFormat="1" ht="14.25" customHeight="1" x14ac:dyDescent="0.25">
      <c r="A12" s="150" t="s">
        <v>310</v>
      </c>
      <c r="B12" s="150"/>
      <c r="C12" s="30" t="str">
        <f t="shared" si="0"/>
        <v/>
      </c>
      <c r="D12" s="147" t="str">
        <f>IFERROR(VLOOKUP($A12,Sheet1!$A$1:$B$80,2,0),"")</f>
        <v/>
      </c>
      <c r="E12" s="30" t="str">
        <f>IFERROR(VLOOKUP($A12,'Tổng Đơn'!$A$5:$E$52,5,0),"")</f>
        <v/>
      </c>
      <c r="F12" s="30" t="str">
        <f t="shared" si="1"/>
        <v/>
      </c>
      <c r="G12" s="155" t="str">
        <f>IF(AND($C12="",$C11&lt;&gt;""),"Tổng Cộng",IFERROR(VLOOKUP($A12,Sheet1!$A$1:$D$80,4,0),""))</f>
        <v/>
      </c>
      <c r="H12" s="148" t="str">
        <f>IF($C11=MAX($C$8:$C$56),SUM($H$8:$H11),IFERROR($G12*$F12,""))</f>
        <v/>
      </c>
      <c r="I12" s="54" t="str">
        <f t="shared" si="2"/>
        <v/>
      </c>
      <c r="J12" s="125"/>
      <c r="L12" s="31"/>
      <c r="N12" s="126"/>
    </row>
    <row r="13" spans="1:14" s="29" customFormat="1" ht="14.25" customHeight="1" x14ac:dyDescent="0.25">
      <c r="A13" s="150" t="s">
        <v>310</v>
      </c>
      <c r="B13" s="150"/>
      <c r="C13" s="30" t="str">
        <f t="shared" si="0"/>
        <v/>
      </c>
      <c r="D13" s="147" t="str">
        <f>IFERROR(VLOOKUP($A13,Sheet1!$A$1:$B$80,2,0),"")</f>
        <v/>
      </c>
      <c r="E13" s="30" t="str">
        <f>IFERROR(VLOOKUP($A13,'Tổng Đơn'!$A$5:$E$52,5,0),"")</f>
        <v/>
      </c>
      <c r="F13" s="30" t="str">
        <f t="shared" si="1"/>
        <v/>
      </c>
      <c r="G13" s="155" t="str">
        <f>IF(AND($C13="",$C12&lt;&gt;""),"Tổng Cộng",IFERROR(VLOOKUP($A13,Sheet1!$A$1:$D$80,4,0),""))</f>
        <v/>
      </c>
      <c r="H13" s="148" t="str">
        <f>IF($C12=MAX($C$8:$C$56),SUM($H$8:$H12),IFERROR($G13*$F13,""))</f>
        <v/>
      </c>
      <c r="I13" s="54" t="str">
        <f t="shared" si="2"/>
        <v/>
      </c>
      <c r="L13" s="31"/>
    </row>
    <row r="14" spans="1:14" s="29" customFormat="1" ht="14.25" customHeight="1" x14ac:dyDescent="0.25">
      <c r="A14" s="150" t="s">
        <v>310</v>
      </c>
      <c r="B14" s="150"/>
      <c r="C14" s="30" t="str">
        <f t="shared" si="0"/>
        <v/>
      </c>
      <c r="D14" s="147" t="str">
        <f>IFERROR(VLOOKUP($A14,Sheet1!$A$1:$B$80,2,0),"")</f>
        <v/>
      </c>
      <c r="E14" s="30" t="str">
        <f>IFERROR(VLOOKUP($A14,'Tổng Đơn'!$A$5:$E$52,5,0),"")</f>
        <v/>
      </c>
      <c r="F14" s="30" t="str">
        <f t="shared" si="1"/>
        <v/>
      </c>
      <c r="G14" s="155" t="str">
        <f>IF(AND($C14="",$C13&lt;&gt;""),"Tổng Cộng",IFERROR(VLOOKUP($A14,Sheet1!$A$1:$D$80,4,0),""))</f>
        <v/>
      </c>
      <c r="H14" s="148" t="str">
        <f>IF($C13=MAX($C$8:$C$56),SUM($H$8:$H13),IFERROR($G14*$F14,""))</f>
        <v/>
      </c>
      <c r="I14" s="54" t="str">
        <f t="shared" si="2"/>
        <v/>
      </c>
      <c r="L14" s="31"/>
      <c r="M14" s="132"/>
    </row>
    <row r="15" spans="1:14" s="29" customFormat="1" ht="14.25" customHeight="1" x14ac:dyDescent="0.25">
      <c r="A15" s="150" t="s">
        <v>310</v>
      </c>
      <c r="B15" s="150"/>
      <c r="C15" s="30" t="str">
        <f t="shared" si="0"/>
        <v/>
      </c>
      <c r="D15" s="147" t="str">
        <f>IFERROR(VLOOKUP($A15,Sheet1!$A$1:$B$80,2,0),"")</f>
        <v/>
      </c>
      <c r="E15" s="30" t="str">
        <f>IFERROR(VLOOKUP($A15,'Tổng Đơn'!$A$5:$E$52,5,0),"")</f>
        <v/>
      </c>
      <c r="F15" s="30" t="str">
        <f t="shared" si="1"/>
        <v/>
      </c>
      <c r="G15" s="155" t="str">
        <f>IF(AND($C15="",$C14&lt;&gt;""),"Tổng Cộng",IFERROR(VLOOKUP($A15,Sheet1!$A$1:$D$80,4,0),""))</f>
        <v/>
      </c>
      <c r="H15" s="148" t="str">
        <f>IF($C14=MAX($C$8:$C$56),SUM($H$8:$H14),IFERROR($G15*$F15,""))</f>
        <v/>
      </c>
      <c r="I15" s="54" t="str">
        <f t="shared" si="2"/>
        <v/>
      </c>
      <c r="L15" s="31"/>
    </row>
    <row r="16" spans="1:14" s="29" customFormat="1" ht="14.25" customHeight="1" x14ac:dyDescent="0.25">
      <c r="A16" s="150" t="s">
        <v>310</v>
      </c>
      <c r="B16" s="150"/>
      <c r="C16" s="30" t="str">
        <f t="shared" si="0"/>
        <v/>
      </c>
      <c r="D16" s="147" t="str">
        <f>IFERROR(VLOOKUP($A16,Sheet1!$A$1:$B$80,2,0),"")</f>
        <v/>
      </c>
      <c r="E16" s="30" t="str">
        <f>IFERROR(VLOOKUP($A16,'Tổng Đơn'!$A$5:$E$52,5,0),"")</f>
        <v/>
      </c>
      <c r="F16" s="30" t="str">
        <f t="shared" si="1"/>
        <v/>
      </c>
      <c r="G16" s="155" t="str">
        <f>IF(AND($C16="",$C15&lt;&gt;""),"Tổng Cộng",IFERROR(VLOOKUP($A16,Sheet1!$A$1:$D$80,4,0),""))</f>
        <v/>
      </c>
      <c r="H16" s="148" t="str">
        <f>IF($C15=MAX($C$8:$C$56),SUM($H$8:$H15),IFERROR($G16*$F16,""))</f>
        <v/>
      </c>
      <c r="I16" s="54" t="str">
        <f t="shared" si="2"/>
        <v/>
      </c>
      <c r="L16" s="31"/>
    </row>
    <row r="17" spans="1:12" s="29" customFormat="1" ht="14.25" customHeight="1" x14ac:dyDescent="0.25">
      <c r="A17" s="150" t="s">
        <v>310</v>
      </c>
      <c r="B17" s="150"/>
      <c r="C17" s="30" t="str">
        <f t="shared" si="0"/>
        <v/>
      </c>
      <c r="D17" s="147" t="str">
        <f>IFERROR(VLOOKUP($A17,Sheet1!$A$1:$B$80,2,0),"")</f>
        <v/>
      </c>
      <c r="E17" s="30" t="str">
        <f>IFERROR(VLOOKUP($A17,'Tổng Đơn'!$A$5:$E$52,5,0),"")</f>
        <v/>
      </c>
      <c r="F17" s="30" t="str">
        <f t="shared" si="1"/>
        <v/>
      </c>
      <c r="G17" s="155" t="str">
        <f>IF(AND($C17="",$C16&lt;&gt;""),"Tổng Cộng",IFERROR(VLOOKUP($A17,Sheet1!$A$1:$D$80,4,0),""))</f>
        <v/>
      </c>
      <c r="H17" s="148" t="str">
        <f>IF($C16=MAX($C$8:$C$56),SUM($H$8:$H16),IFERROR($G17*$F17,""))</f>
        <v/>
      </c>
      <c r="I17" s="54" t="str">
        <f t="shared" si="2"/>
        <v/>
      </c>
      <c r="L17" s="31"/>
    </row>
    <row r="18" spans="1:12" s="29" customFormat="1" ht="14.25" customHeight="1" x14ac:dyDescent="0.25">
      <c r="A18" s="150" t="s">
        <v>310</v>
      </c>
      <c r="B18" s="150"/>
      <c r="C18" s="30" t="str">
        <f t="shared" si="0"/>
        <v/>
      </c>
      <c r="D18" s="147" t="str">
        <f>IFERROR(VLOOKUP($A18,Sheet1!$A$1:$B$80,2,0),"")</f>
        <v/>
      </c>
      <c r="E18" s="30" t="str">
        <f>IFERROR(VLOOKUP($A18,'Tổng Đơn'!$A$5:$E$52,5,0),"")</f>
        <v/>
      </c>
      <c r="F18" s="30" t="str">
        <f t="shared" si="1"/>
        <v/>
      </c>
      <c r="G18" s="155" t="str">
        <f>IF(AND($C18="",$C17&lt;&gt;""),"Tổng Cộng",IFERROR(VLOOKUP($A18,Sheet1!$A$1:$D$80,4,0),""))</f>
        <v/>
      </c>
      <c r="H18" s="148" t="str">
        <f>IF($C17=MAX($C$8:$C$56),SUM($H$8:$H17),IFERROR($G18*$F18,""))</f>
        <v/>
      </c>
      <c r="I18" s="54" t="str">
        <f t="shared" si="2"/>
        <v/>
      </c>
      <c r="L18" s="31"/>
    </row>
    <row r="19" spans="1:12" s="29" customFormat="1" ht="14.25" customHeight="1" x14ac:dyDescent="0.25">
      <c r="A19" s="150" t="s">
        <v>310</v>
      </c>
      <c r="B19" s="150"/>
      <c r="C19" s="30" t="str">
        <f t="shared" si="0"/>
        <v/>
      </c>
      <c r="D19" s="147" t="str">
        <f>IFERROR(VLOOKUP($A19,Sheet1!$A$1:$B$80,2,0),"")</f>
        <v/>
      </c>
      <c r="E19" s="30" t="str">
        <f>IFERROR(VLOOKUP($A19,'Tổng Đơn'!$A$5:$E$52,5,0),"")</f>
        <v/>
      </c>
      <c r="F19" s="30" t="str">
        <f t="shared" si="1"/>
        <v/>
      </c>
      <c r="G19" s="155" t="str">
        <f>IF(AND($C19="",$C18&lt;&gt;""),"Tổng Cộng",IFERROR(VLOOKUP($A19,Sheet1!$A$1:$D$80,4,0),""))</f>
        <v/>
      </c>
      <c r="H19" s="148" t="str">
        <f>IF($C18=MAX($C$8:$C$56),SUM($H$8:$H18),IFERROR($G19*$F19,""))</f>
        <v/>
      </c>
      <c r="I19" s="54" t="str">
        <f t="shared" si="2"/>
        <v/>
      </c>
      <c r="L19" s="31"/>
    </row>
    <row r="20" spans="1:12" s="29" customFormat="1" ht="14.25" customHeight="1" x14ac:dyDescent="0.25">
      <c r="A20" s="150" t="s">
        <v>310</v>
      </c>
      <c r="B20" s="150"/>
      <c r="C20" s="30" t="str">
        <f t="shared" si="0"/>
        <v/>
      </c>
      <c r="D20" s="147" t="str">
        <f>IFERROR(VLOOKUP($A20,Sheet1!$A$1:$B$80,2,0),"")</f>
        <v/>
      </c>
      <c r="E20" s="30" t="str">
        <f>IFERROR(VLOOKUP($A20,'Tổng Đơn'!$A$5:$E$52,5,0),"")</f>
        <v/>
      </c>
      <c r="F20" s="30" t="str">
        <f t="shared" si="1"/>
        <v/>
      </c>
      <c r="G20" s="155" t="str">
        <f>IF(AND($C20="",$C19&lt;&gt;""),"Tổng Cộng",IFERROR(VLOOKUP($A20,Sheet1!$A$1:$D$80,4,0),""))</f>
        <v/>
      </c>
      <c r="H20" s="148" t="str">
        <f>IF($C19=MAX($C$8:$C$56),SUM($H$8:$H19),IFERROR($G20*$F20,""))</f>
        <v/>
      </c>
      <c r="I20" s="54" t="str">
        <f t="shared" si="2"/>
        <v/>
      </c>
      <c r="L20" s="31"/>
    </row>
    <row r="21" spans="1:12" s="29" customFormat="1" ht="14.25" customHeight="1" x14ac:dyDescent="0.25">
      <c r="A21" s="150" t="s">
        <v>310</v>
      </c>
      <c r="B21" s="150"/>
      <c r="C21" s="30" t="str">
        <f t="shared" si="0"/>
        <v/>
      </c>
      <c r="D21" s="147" t="str">
        <f>IFERROR(VLOOKUP($A21,Sheet1!$A$1:$B$80,2,0),"")</f>
        <v/>
      </c>
      <c r="E21" s="30" t="str">
        <f>IFERROR(VLOOKUP($A21,'Tổng Đơn'!$A$5:$E$52,5,0),"")</f>
        <v/>
      </c>
      <c r="F21" s="30" t="str">
        <f t="shared" si="1"/>
        <v/>
      </c>
      <c r="G21" s="155" t="str">
        <f>IF(AND($C21="",$C20&lt;&gt;""),"Tổng Cộng",IFERROR(VLOOKUP($A21,Sheet1!$A$1:$D$80,4,0),""))</f>
        <v/>
      </c>
      <c r="H21" s="148" t="str">
        <f>IF($C20=MAX($C$8:$C$56),SUM($H$8:$H20),IFERROR($G21*$F21,""))</f>
        <v/>
      </c>
      <c r="I21" s="54" t="str">
        <f t="shared" si="2"/>
        <v/>
      </c>
      <c r="L21" s="31"/>
    </row>
    <row r="22" spans="1:12" s="29" customFormat="1" ht="14.25" customHeight="1" x14ac:dyDescent="0.25">
      <c r="A22" s="150" t="s">
        <v>310</v>
      </c>
      <c r="B22" s="150"/>
      <c r="C22" s="30" t="str">
        <f t="shared" si="0"/>
        <v/>
      </c>
      <c r="D22" s="147" t="str">
        <f>IFERROR(VLOOKUP($A22,Sheet1!$A$1:$B$80,2,0),"")</f>
        <v/>
      </c>
      <c r="E22" s="30" t="str">
        <f>IFERROR(VLOOKUP($A22,'Tổng Đơn'!$A$5:$E$52,5,0),"")</f>
        <v/>
      </c>
      <c r="F22" s="30" t="str">
        <f t="shared" si="1"/>
        <v/>
      </c>
      <c r="G22" s="155" t="str">
        <f>IF(AND($C22="",$C21&lt;&gt;""),"Tổng Cộng",IFERROR(VLOOKUP($A22,Sheet1!$A$1:$D$80,4,0),""))</f>
        <v/>
      </c>
      <c r="H22" s="148" t="str">
        <f>IF($C21=MAX($C$8:$C$56),SUM($H$8:$H21),IFERROR($G22*$F22,""))</f>
        <v/>
      </c>
      <c r="I22" s="54" t="str">
        <f t="shared" si="2"/>
        <v/>
      </c>
      <c r="L22" s="31"/>
    </row>
    <row r="23" spans="1:12" s="29" customFormat="1" ht="14.25" customHeight="1" x14ac:dyDescent="0.25">
      <c r="A23" s="150" t="s">
        <v>310</v>
      </c>
      <c r="B23" s="150"/>
      <c r="C23" s="30" t="str">
        <f t="shared" si="0"/>
        <v/>
      </c>
      <c r="D23" s="147" t="str">
        <f>IFERROR(VLOOKUP($A23,Sheet1!$A$1:$B$80,2,0),"")</f>
        <v/>
      </c>
      <c r="E23" s="30" t="str">
        <f>IFERROR(VLOOKUP($A23,'Tổng Đơn'!$A$5:$E$52,5,0),"")</f>
        <v/>
      </c>
      <c r="F23" s="30" t="str">
        <f t="shared" si="1"/>
        <v/>
      </c>
      <c r="G23" s="155" t="str">
        <f>IF(AND($C23="",$C22&lt;&gt;""),"Tổng Cộng",IFERROR(VLOOKUP($A23,Sheet1!$A$1:$D$80,4,0),""))</f>
        <v/>
      </c>
      <c r="H23" s="148" t="str">
        <f>IF($C22=MAX($C$8:$C$56),SUM($H$8:$H22),IFERROR($G23*$F23,""))</f>
        <v/>
      </c>
      <c r="I23" s="54" t="str">
        <f t="shared" si="2"/>
        <v/>
      </c>
      <c r="L23" s="31"/>
    </row>
    <row r="24" spans="1:12" s="29" customFormat="1" ht="14.25" customHeight="1" x14ac:dyDescent="0.25">
      <c r="A24" s="150" t="s">
        <v>310</v>
      </c>
      <c r="B24" s="150"/>
      <c r="C24" s="30" t="str">
        <f t="shared" si="0"/>
        <v/>
      </c>
      <c r="D24" s="147" t="str">
        <f>IFERROR(VLOOKUP($A24,Sheet1!$A$1:$B$80,2,0),"")</f>
        <v/>
      </c>
      <c r="E24" s="30" t="str">
        <f>IFERROR(VLOOKUP($A24,'Tổng Đơn'!$A$5:$E$52,5,0),"")</f>
        <v/>
      </c>
      <c r="F24" s="30" t="str">
        <f t="shared" si="1"/>
        <v/>
      </c>
      <c r="G24" s="155" t="str">
        <f>IF(AND($C24="",$C23&lt;&gt;""),"Tổng Cộng",IFERROR(VLOOKUP($A24,Sheet1!$A$1:$D$80,4,0),""))</f>
        <v/>
      </c>
      <c r="H24" s="148" t="str">
        <f>IF($C23=MAX($C$8:$C$56),SUM($H$8:$H23),IFERROR($G24*$F24,""))</f>
        <v/>
      </c>
      <c r="I24" s="54" t="str">
        <f t="shared" si="2"/>
        <v/>
      </c>
      <c r="L24" s="31"/>
    </row>
    <row r="25" spans="1:12" s="29" customFormat="1" ht="14.25" customHeight="1" x14ac:dyDescent="0.25">
      <c r="A25" s="150" t="s">
        <v>310</v>
      </c>
      <c r="B25" s="150"/>
      <c r="C25" s="30" t="str">
        <f t="shared" si="0"/>
        <v/>
      </c>
      <c r="D25" s="147" t="str">
        <f>IFERROR(VLOOKUP($A25,Sheet1!$A$1:$B$80,2,0),"")</f>
        <v/>
      </c>
      <c r="E25" s="30" t="str">
        <f>IFERROR(VLOOKUP($A25,'Tổng Đơn'!$A$5:$E$52,5,0),"")</f>
        <v/>
      </c>
      <c r="F25" s="30" t="str">
        <f t="shared" si="1"/>
        <v/>
      </c>
      <c r="G25" s="155" t="str">
        <f>IF(AND($C25="",$C24&lt;&gt;""),"Tổng Cộng",IFERROR(VLOOKUP($A25,Sheet1!$A$1:$D$80,4,0),""))</f>
        <v/>
      </c>
      <c r="H25" s="148" t="str">
        <f>IF($C24=MAX($C$8:$C$56),SUM($H$8:$H24),IFERROR($G25*$F25,""))</f>
        <v/>
      </c>
      <c r="I25" s="54" t="str">
        <f t="shared" si="2"/>
        <v/>
      </c>
      <c r="L25" s="31"/>
    </row>
    <row r="26" spans="1:12" s="29" customFormat="1" ht="14.25" customHeight="1" x14ac:dyDescent="0.25">
      <c r="A26" s="150" t="s">
        <v>310</v>
      </c>
      <c r="B26" s="150"/>
      <c r="C26" s="30" t="str">
        <f t="shared" si="0"/>
        <v/>
      </c>
      <c r="D26" s="147" t="str">
        <f>IFERROR(VLOOKUP($A26,Sheet1!$A$1:$B$80,2,0),"")</f>
        <v/>
      </c>
      <c r="E26" s="30" t="str">
        <f>IFERROR(VLOOKUP($A26,'Tổng Đơn'!$A$5:$E$52,5,0),"")</f>
        <v/>
      </c>
      <c r="F26" s="30" t="str">
        <f t="shared" si="1"/>
        <v/>
      </c>
      <c r="G26" s="155" t="str">
        <f>IF(AND($C26="",$C25&lt;&gt;""),"Tổng Cộng",IFERROR(VLOOKUP($A26,Sheet1!$A$1:$D$80,4,0),""))</f>
        <v/>
      </c>
      <c r="H26" s="148" t="str">
        <f>IF($C25=MAX($C$8:$C$56),SUM($H$8:$H25),IFERROR($G26*$F26,""))</f>
        <v/>
      </c>
      <c r="I26" s="54" t="str">
        <f t="shared" si="2"/>
        <v/>
      </c>
      <c r="L26" s="31"/>
    </row>
    <row r="27" spans="1:12" s="29" customFormat="1" ht="14.25" customHeight="1" x14ac:dyDescent="0.25">
      <c r="A27" s="150" t="s">
        <v>310</v>
      </c>
      <c r="B27" s="150"/>
      <c r="C27" s="30" t="str">
        <f t="shared" si="0"/>
        <v/>
      </c>
      <c r="D27" s="147" t="str">
        <f>IFERROR(VLOOKUP($A27,Sheet1!$A$1:$B$80,2,0),"")</f>
        <v/>
      </c>
      <c r="E27" s="30" t="str">
        <f>IFERROR(VLOOKUP($A27,'Tổng Đơn'!$A$5:$E$52,5,0),"")</f>
        <v/>
      </c>
      <c r="F27" s="30" t="str">
        <f t="shared" si="1"/>
        <v/>
      </c>
      <c r="G27" s="155" t="str">
        <f>IF(AND($C27="",$C26&lt;&gt;""),"Tổng Cộng",IFERROR(VLOOKUP($A27,Sheet1!$A$1:$D$80,4,0),""))</f>
        <v/>
      </c>
      <c r="H27" s="148" t="str">
        <f>IF($C26=MAX($C$8:$C$56),SUM($H$8:$H26),IFERROR($G27*$F27,""))</f>
        <v/>
      </c>
      <c r="I27" s="54" t="str">
        <f t="shared" si="2"/>
        <v/>
      </c>
      <c r="L27" s="31"/>
    </row>
    <row r="28" spans="1:12" s="29" customFormat="1" ht="14.25" customHeight="1" x14ac:dyDescent="0.25">
      <c r="A28" s="150" t="s">
        <v>310</v>
      </c>
      <c r="B28" s="150"/>
      <c r="C28" s="30" t="str">
        <f t="shared" si="0"/>
        <v/>
      </c>
      <c r="D28" s="147" t="str">
        <f>IFERROR(VLOOKUP($A28,Sheet1!$A$1:$B$80,2,0),"")</f>
        <v/>
      </c>
      <c r="E28" s="30" t="str">
        <f>IFERROR(VLOOKUP($A28,'Tổng Đơn'!$A$5:$E$52,5,0),"")</f>
        <v/>
      </c>
      <c r="F28" s="30" t="str">
        <f t="shared" si="1"/>
        <v/>
      </c>
      <c r="G28" s="155" t="str">
        <f>IF(AND($C28="",$C27&lt;&gt;""),"Tổng Cộng",IFERROR(VLOOKUP($A28,Sheet1!$A$1:$D$80,4,0),""))</f>
        <v/>
      </c>
      <c r="H28" s="148" t="str">
        <f>IF($C27=MAX($C$8:$C$56),SUM($H$8:$H27),IFERROR($G28*$F28,""))</f>
        <v/>
      </c>
      <c r="I28" s="54" t="str">
        <f t="shared" si="2"/>
        <v/>
      </c>
      <c r="L28" s="31"/>
    </row>
    <row r="29" spans="1:12" s="29" customFormat="1" ht="14.25" customHeight="1" x14ac:dyDescent="0.25">
      <c r="A29" s="150" t="s">
        <v>310</v>
      </c>
      <c r="B29" s="150"/>
      <c r="C29" s="30" t="str">
        <f t="shared" si="0"/>
        <v/>
      </c>
      <c r="D29" s="147" t="str">
        <f>IFERROR(VLOOKUP($A29,Sheet1!$A$1:$B$80,2,0),"")</f>
        <v/>
      </c>
      <c r="E29" s="30" t="str">
        <f>IFERROR(VLOOKUP($A29,'Tổng Đơn'!$A$5:$E$52,5,0),"")</f>
        <v/>
      </c>
      <c r="F29" s="30" t="str">
        <f t="shared" si="1"/>
        <v/>
      </c>
      <c r="G29" s="155" t="str">
        <f>IF(AND($C29="",$C28&lt;&gt;""),"Tổng Cộng",IFERROR(VLOOKUP($A29,Sheet1!$A$1:$D$80,4,0),""))</f>
        <v/>
      </c>
      <c r="H29" s="148" t="str">
        <f>IF($C28=MAX($C$8:$C$56),SUM($H$8:$H28),IFERROR($G29*$F29,""))</f>
        <v/>
      </c>
      <c r="I29" s="54" t="str">
        <f t="shared" si="2"/>
        <v/>
      </c>
      <c r="L29" s="31"/>
    </row>
    <row r="30" spans="1:12" s="29" customFormat="1" ht="14.25" customHeight="1" x14ac:dyDescent="0.25">
      <c r="A30" s="150" t="s">
        <v>310</v>
      </c>
      <c r="B30" s="150"/>
      <c r="C30" s="30" t="str">
        <f t="shared" si="0"/>
        <v/>
      </c>
      <c r="D30" s="147" t="str">
        <f>IFERROR(VLOOKUP($A30,Sheet1!$A$1:$B$80,2,0),"")</f>
        <v/>
      </c>
      <c r="E30" s="30" t="str">
        <f>IFERROR(VLOOKUP($A30,'Tổng Đơn'!$A$5:$E$52,5,0),"")</f>
        <v/>
      </c>
      <c r="F30" s="30" t="str">
        <f t="shared" si="1"/>
        <v/>
      </c>
      <c r="G30" s="155" t="str">
        <f>IF(AND($C30="",$C29&lt;&gt;""),"Tổng Cộng",IFERROR(VLOOKUP($A30,Sheet1!$A$1:$D$80,4,0),""))</f>
        <v/>
      </c>
      <c r="H30" s="148" t="str">
        <f>IF($C29=MAX($C$8:$C$56),SUM($H$8:$H29),IFERROR($G30*$F30,""))</f>
        <v/>
      </c>
      <c r="I30" s="54" t="str">
        <f t="shared" si="2"/>
        <v/>
      </c>
      <c r="L30" s="31"/>
    </row>
    <row r="31" spans="1:12" s="29" customFormat="1" ht="14.25" customHeight="1" x14ac:dyDescent="0.25">
      <c r="A31" s="150" t="s">
        <v>310</v>
      </c>
      <c r="B31" s="150"/>
      <c r="C31" s="30" t="str">
        <f t="shared" si="0"/>
        <v/>
      </c>
      <c r="D31" s="147" t="str">
        <f>IFERROR(VLOOKUP($A31,Sheet1!$A$1:$B$80,2,0),"")</f>
        <v/>
      </c>
      <c r="E31" s="30" t="str">
        <f>IFERROR(VLOOKUP($A31,'Tổng Đơn'!$A$5:$E$52,5,0),"")</f>
        <v/>
      </c>
      <c r="F31" s="30" t="str">
        <f t="shared" si="1"/>
        <v/>
      </c>
      <c r="G31" s="155" t="str">
        <f>IF(AND($C31="",$C30&lt;&gt;""),"Tổng Cộng",IFERROR(VLOOKUP($A31,Sheet1!$A$1:$D$80,4,0),""))</f>
        <v/>
      </c>
      <c r="H31" s="148" t="str">
        <f>IF($C30=MAX($C$8:$C$56),SUM($H$8:$H30),IFERROR($G31*$F31,""))</f>
        <v/>
      </c>
      <c r="I31" s="54" t="str">
        <f t="shared" si="2"/>
        <v/>
      </c>
      <c r="L31" s="31"/>
    </row>
    <row r="32" spans="1:12" s="29" customFormat="1" ht="14.25" customHeight="1" x14ac:dyDescent="0.25">
      <c r="A32" s="150" t="s">
        <v>310</v>
      </c>
      <c r="B32" s="150"/>
      <c r="C32" s="30" t="str">
        <f t="shared" si="0"/>
        <v/>
      </c>
      <c r="D32" s="147" t="str">
        <f>IFERROR(VLOOKUP($A32,Sheet1!$A$1:$B$80,2,0),"")</f>
        <v/>
      </c>
      <c r="E32" s="30" t="str">
        <f>IFERROR(VLOOKUP($A32,'Tổng Đơn'!$A$5:$E$52,5,0),"")</f>
        <v/>
      </c>
      <c r="F32" s="30" t="str">
        <f t="shared" si="1"/>
        <v/>
      </c>
      <c r="G32" s="155" t="str">
        <f>IF(AND($C32="",$C31&lt;&gt;""),"Tổng Cộng",IFERROR(VLOOKUP($A32,Sheet1!$A$1:$D$80,4,0),""))</f>
        <v/>
      </c>
      <c r="H32" s="148" t="str">
        <f>IF($C31=MAX($C$8:$C$56),SUM($H$8:$H31),IFERROR($G32*$F32,""))</f>
        <v/>
      </c>
      <c r="I32" s="54" t="str">
        <f t="shared" si="2"/>
        <v/>
      </c>
      <c r="L32" s="31"/>
    </row>
    <row r="33" spans="1:12" s="29" customFormat="1" ht="14.25" customHeight="1" x14ac:dyDescent="0.25">
      <c r="A33" s="150" t="s">
        <v>310</v>
      </c>
      <c r="B33" s="150"/>
      <c r="C33" s="30" t="str">
        <f t="shared" si="0"/>
        <v/>
      </c>
      <c r="D33" s="147" t="str">
        <f>IFERROR(VLOOKUP($A33,Sheet1!$A$1:$B$80,2,0),"")</f>
        <v/>
      </c>
      <c r="E33" s="30" t="str">
        <f>IFERROR(VLOOKUP($A33,'Tổng Đơn'!$A$5:$E$52,5,0),"")</f>
        <v/>
      </c>
      <c r="F33" s="30" t="str">
        <f t="shared" si="1"/>
        <v/>
      </c>
      <c r="G33" s="155" t="str">
        <f>IF(AND($C33="",$C32&lt;&gt;""),"Tổng Cộng",IFERROR(VLOOKUP($A33,Sheet1!$A$1:$D$80,4,0),""))</f>
        <v/>
      </c>
      <c r="H33" s="148" t="str">
        <f>IF($C32=MAX($C$8:$C$56),SUM($H$8:$H32),IFERROR($G33*$F33,""))</f>
        <v/>
      </c>
      <c r="I33" s="54" t="str">
        <f t="shared" si="2"/>
        <v/>
      </c>
      <c r="L33" s="31"/>
    </row>
    <row r="34" spans="1:12" s="29" customFormat="1" ht="14.25" customHeight="1" x14ac:dyDescent="0.25">
      <c r="A34" s="150" t="s">
        <v>310</v>
      </c>
      <c r="B34" s="150"/>
      <c r="C34" s="30" t="str">
        <f t="shared" si="0"/>
        <v/>
      </c>
      <c r="D34" s="147" t="str">
        <f>IFERROR(VLOOKUP($A34,Sheet1!$A$1:$B$80,2,0),"")</f>
        <v/>
      </c>
      <c r="E34" s="30" t="str">
        <f>IFERROR(VLOOKUP($A34,'Tổng Đơn'!$A$5:$E$52,5,0),"")</f>
        <v/>
      </c>
      <c r="F34" s="30" t="str">
        <f t="shared" si="1"/>
        <v/>
      </c>
      <c r="G34" s="155" t="str">
        <f>IF(AND($C34="",$C33&lt;&gt;""),"Tổng Cộng",IFERROR(VLOOKUP($A34,Sheet1!$A$1:$D$80,4,0),""))</f>
        <v/>
      </c>
      <c r="H34" s="148" t="str">
        <f>IF($C33=MAX($C$8:$C$56),SUM($H$8:$H33),IFERROR($G34*$F34,""))</f>
        <v/>
      </c>
      <c r="I34" s="54" t="str">
        <f t="shared" si="2"/>
        <v/>
      </c>
      <c r="L34" s="31"/>
    </row>
    <row r="35" spans="1:12" s="29" customFormat="1" ht="14.25" customHeight="1" x14ac:dyDescent="0.25">
      <c r="A35" s="150" t="s">
        <v>310</v>
      </c>
      <c r="B35" s="150"/>
      <c r="C35" s="30" t="str">
        <f t="shared" si="0"/>
        <v/>
      </c>
      <c r="D35" s="147" t="str">
        <f>IFERROR(VLOOKUP($A35,Sheet1!$A$1:$B$80,2,0),"")</f>
        <v/>
      </c>
      <c r="E35" s="30" t="str">
        <f>IFERROR(VLOOKUP($A35,'Tổng Đơn'!$A$5:$E$52,5,0),"")</f>
        <v/>
      </c>
      <c r="F35" s="30" t="str">
        <f t="shared" si="1"/>
        <v/>
      </c>
      <c r="G35" s="155" t="str">
        <f>IF(AND($C35="",$C34&lt;&gt;""),"Tổng Cộng",IFERROR(VLOOKUP($A35,Sheet1!$A$1:$D$80,4,0),""))</f>
        <v/>
      </c>
      <c r="H35" s="148" t="str">
        <f>IF($C34=MAX($C$8:$C$56),SUM($H$8:$H34),IFERROR($G35*$F35,""))</f>
        <v/>
      </c>
      <c r="I35" s="54" t="str">
        <f t="shared" si="2"/>
        <v/>
      </c>
      <c r="L35" s="31"/>
    </row>
    <row r="36" spans="1:12" s="29" customFormat="1" ht="14.25" customHeight="1" x14ac:dyDescent="0.25">
      <c r="A36" s="150" t="s">
        <v>310</v>
      </c>
      <c r="B36" s="150"/>
      <c r="C36" s="30" t="str">
        <f t="shared" si="0"/>
        <v/>
      </c>
      <c r="D36" s="147" t="str">
        <f>IFERROR(VLOOKUP($A36,Sheet1!$A$1:$B$80,2,0),"")</f>
        <v/>
      </c>
      <c r="E36" s="30" t="str">
        <f>IFERROR(VLOOKUP($A36,'Tổng Đơn'!$A$5:$E$52,5,0),"")</f>
        <v/>
      </c>
      <c r="F36" s="30" t="str">
        <f t="shared" si="1"/>
        <v/>
      </c>
      <c r="G36" s="155" t="str">
        <f>IF(AND($C36="",$C35&lt;&gt;""),"Tổng Cộng",IFERROR(VLOOKUP($A36,Sheet1!$A$1:$D$80,4,0),""))</f>
        <v/>
      </c>
      <c r="H36" s="148" t="str">
        <f>IF($C35=MAX($C$8:$C$56),SUM($H$8:$H35),IFERROR($G36*$F36,""))</f>
        <v/>
      </c>
      <c r="I36" s="54" t="str">
        <f t="shared" si="2"/>
        <v/>
      </c>
      <c r="L36" s="31"/>
    </row>
    <row r="37" spans="1:12" s="29" customFormat="1" ht="14.25" customHeight="1" x14ac:dyDescent="0.25">
      <c r="A37" s="150" t="s">
        <v>310</v>
      </c>
      <c r="B37" s="150"/>
      <c r="C37" s="30" t="str">
        <f t="shared" si="0"/>
        <v/>
      </c>
      <c r="D37" s="147" t="str">
        <f>IFERROR(VLOOKUP($A37,Sheet1!$A$1:$B$80,2,0),"")</f>
        <v/>
      </c>
      <c r="E37" s="30" t="str">
        <f>IFERROR(VLOOKUP($A37,'Tổng Đơn'!$A$5:$E$52,5,0),"")</f>
        <v/>
      </c>
      <c r="F37" s="30" t="str">
        <f t="shared" si="1"/>
        <v/>
      </c>
      <c r="G37" s="155" t="str">
        <f>IF(AND($C37="",$C36&lt;&gt;""),"Tổng Cộng",IFERROR(VLOOKUP($A37,Sheet1!$A$1:$D$80,4,0),""))</f>
        <v/>
      </c>
      <c r="H37" s="148" t="str">
        <f>IF($C36=MAX($C$8:$C$56),SUM($H$8:$H36),IFERROR($G37*$F37,""))</f>
        <v/>
      </c>
      <c r="I37" s="54" t="str">
        <f t="shared" si="2"/>
        <v/>
      </c>
      <c r="L37" s="31"/>
    </row>
    <row r="38" spans="1:12" s="29" customFormat="1" ht="14.25" customHeight="1" x14ac:dyDescent="0.25">
      <c r="A38" s="150"/>
      <c r="B38" s="150"/>
      <c r="C38" s="33"/>
      <c r="D38" s="34"/>
      <c r="E38" s="52"/>
      <c r="F38" s="30"/>
      <c r="G38" s="156" t="str">
        <f>IF(AND($C38="",$C37&lt;&gt;""),"Tổng Cộng",IFERROR(VLOOKUP($A38,Sheet1!$A$1:$D$80,4,0),""))</f>
        <v/>
      </c>
      <c r="H38" s="35" t="str">
        <f>IF($C37=MAX($C$8:$C$56),SUM($H$8:$H37),IFERROR($G38*$F38,""))</f>
        <v/>
      </c>
      <c r="I38" s="54"/>
      <c r="L38" s="31"/>
    </row>
    <row r="39" spans="1:12" ht="15" customHeight="1" x14ac:dyDescent="0.25">
      <c r="F39" s="36"/>
      <c r="G39" s="139"/>
      <c r="H39" s="37"/>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C38:E38 D23:E37 F23:H38">
    <cfRule type="expression" dxfId="287" priority="22">
      <formula>$C22=MAX($C$8:$C$37)</formula>
    </cfRule>
  </conditionalFormatting>
  <conditionalFormatting sqref="C23:C37">
    <cfRule type="expression" dxfId="286" priority="21">
      <formula>$C22=MAX($C$8:$C$37)</formula>
    </cfRule>
  </conditionalFormatting>
  <conditionalFormatting sqref="E23:E38">
    <cfRule type="expression" dxfId="285" priority="23">
      <formula>AND($A23="",$F23&lt;&gt;"")</formula>
    </cfRule>
  </conditionalFormatting>
  <conditionalFormatting sqref="F23:F38">
    <cfRule type="expression" dxfId="284" priority="24">
      <formula>AND($F23="",$A23&lt;&gt;"")</formula>
    </cfRule>
  </conditionalFormatting>
  <conditionalFormatting sqref="D20:H22">
    <cfRule type="expression" dxfId="283" priority="18">
      <formula>$C19=MAX($C$8:$C$37)</formula>
    </cfRule>
  </conditionalFormatting>
  <conditionalFormatting sqref="C20:C22">
    <cfRule type="expression" dxfId="282" priority="17">
      <formula>$C19=MAX($C$8:$C$37)</formula>
    </cfRule>
  </conditionalFormatting>
  <conditionalFormatting sqref="E20:E22">
    <cfRule type="expression" dxfId="281" priority="19">
      <formula>AND($A20="",$F20&lt;&gt;"")</formula>
    </cfRule>
  </conditionalFormatting>
  <conditionalFormatting sqref="F20:F22">
    <cfRule type="expression" dxfId="280" priority="20">
      <formula>AND($F20="",$A20&lt;&gt;"")</formula>
    </cfRule>
  </conditionalFormatting>
  <conditionalFormatting sqref="D15:H19 D12:F14 H12:H14">
    <cfRule type="expression" dxfId="279" priority="14">
      <formula>$C11=MAX($C$8:$C$37)</formula>
    </cfRule>
  </conditionalFormatting>
  <conditionalFormatting sqref="C12:C19">
    <cfRule type="expression" dxfId="278" priority="13">
      <formula>$C11=MAX($C$8:$C$37)</formula>
    </cfRule>
  </conditionalFormatting>
  <conditionalFormatting sqref="E12:E19">
    <cfRule type="expression" dxfId="277" priority="15">
      <formula>AND($A12="",$F12&lt;&gt;"")</formula>
    </cfRule>
  </conditionalFormatting>
  <conditionalFormatting sqref="F12:F19">
    <cfRule type="expression" dxfId="276" priority="16">
      <formula>AND($F12="",$A12&lt;&gt;"")</formula>
    </cfRule>
  </conditionalFormatting>
  <conditionalFormatting sqref="G12:G14">
    <cfRule type="expression" dxfId="275" priority="12">
      <formula>$C11=MAX($C$8:$C$37)</formula>
    </cfRule>
  </conditionalFormatting>
  <conditionalFormatting sqref="D9:F11 H9:H11">
    <cfRule type="expression" dxfId="274" priority="9">
      <formula>$C8=MAX($C$8:$C$37)</formula>
    </cfRule>
  </conditionalFormatting>
  <conditionalFormatting sqref="C9:C11">
    <cfRule type="expression" dxfId="273" priority="8">
      <formula>$C8=MAX($C$8:$C$37)</formula>
    </cfRule>
  </conditionalFormatting>
  <conditionalFormatting sqref="E9:E11">
    <cfRule type="expression" dxfId="272" priority="10">
      <formula>AND($A9="",$F9&lt;&gt;"")</formula>
    </cfRule>
  </conditionalFormatting>
  <conditionalFormatting sqref="F9:F11">
    <cfRule type="expression" dxfId="271" priority="11">
      <formula>AND($F9="",$A9&lt;&gt;"")</formula>
    </cfRule>
  </conditionalFormatting>
  <conditionalFormatting sqref="D8:F8">
    <cfRule type="expression" dxfId="270" priority="5">
      <formula>$C7=MAX($C$8:$C$37)</formula>
    </cfRule>
  </conditionalFormatting>
  <conditionalFormatting sqref="C8">
    <cfRule type="expression" dxfId="269" priority="4">
      <formula>$C7=MAX($C$8:$C$37)</formula>
    </cfRule>
  </conditionalFormatting>
  <conditionalFormatting sqref="E8">
    <cfRule type="expression" dxfId="268" priority="6">
      <formula>AND($A8="",$F8&lt;&gt;"")</formula>
    </cfRule>
  </conditionalFormatting>
  <conditionalFormatting sqref="F8">
    <cfRule type="expression" dxfId="267" priority="7">
      <formula>AND($F8="",$A8&lt;&gt;"")</formula>
    </cfRule>
  </conditionalFormatting>
  <conditionalFormatting sqref="H8">
    <cfRule type="expression" dxfId="266" priority="3">
      <formula>$C7=MAX($C$8:$C$37)</formula>
    </cfRule>
  </conditionalFormatting>
  <conditionalFormatting sqref="G9:G11">
    <cfRule type="expression" dxfId="265" priority="2">
      <formula>$C8=MAX($C$8:$C$37)</formula>
    </cfRule>
  </conditionalFormatting>
  <conditionalFormatting sqref="G8">
    <cfRule type="expression" dxfId="264" priority="1">
      <formula>$C7=MAX($C$8:$C$37)</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1541121" r:id="rId4" name="Button 1">
              <controlPr defaultSize="0" print="0" autoFill="0" autoPict="0" macro="[0]!Macro4">
                <anchor moveWithCells="1" sizeWithCells="1">
                  <from>
                    <xdr:col>0</xdr:col>
                    <xdr:colOff>0</xdr:colOff>
                    <xdr:row>0</xdr:row>
                    <xdr:rowOff>0</xdr:rowOff>
                  </from>
                  <to>
                    <xdr:col>1</xdr:col>
                    <xdr:colOff>769620</xdr:colOff>
                    <xdr:row>7</xdr:row>
                    <xdr:rowOff>0</xdr:rowOff>
                  </to>
                </anchor>
              </controlPr>
            </control>
          </mc:Choice>
        </mc:AlternateContent>
      </controls>
    </mc:Choice>
  </mc:AlternateContent>
</worksheet>
</file>

<file path=xl/worksheets/sheet2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40EB6C3-CE28-4376-9A36-41F3F8B9D65E}">
  <sheetPr codeName="Sheet44">
    <tabColor theme="1"/>
    <pageSetUpPr fitToPage="1"/>
  </sheetPr>
  <dimension ref="A1:N53"/>
  <sheetViews>
    <sheetView zoomScaleNormal="100" workbookViewId="0">
      <pane ySplit="7" topLeftCell="A8" activePane="bottomLeft" state="frozen"/>
      <selection activeCell="Q2" sqref="Q2"/>
      <selection pane="bottomLeft" activeCell="H11" sqref="H11"/>
    </sheetView>
  </sheetViews>
  <sheetFormatPr defaultColWidth="9.09765625" defaultRowHeight="13.8" x14ac:dyDescent="0.25"/>
  <cols>
    <col min="1" max="1" width="11.69921875" style="14" customWidth="1"/>
    <col min="2" max="2" width="11.296875" style="14" customWidth="1"/>
    <col min="3" max="3" width="9.09765625" style="14"/>
    <col min="4" max="4" width="38.3984375" style="14" bestFit="1" customWidth="1"/>
    <col min="5" max="5" width="12.296875" style="53" bestFit="1" customWidth="1"/>
    <col min="6" max="6" width="11" style="14" customWidth="1"/>
    <col min="7" max="7" width="17.8984375" style="14" customWidth="1"/>
    <col min="8" max="8" width="17.8984375" style="15" customWidth="1"/>
    <col min="9" max="9" width="21.8984375" style="14" customWidth="1"/>
    <col min="10" max="10" width="10.09765625" style="14" customWidth="1"/>
    <col min="11" max="11" width="9.09765625" style="14"/>
    <col min="12" max="12" width="11.69921875" style="14" customWidth="1"/>
    <col min="13" max="14" width="10.09765625" style="14" bestFit="1" customWidth="1"/>
    <col min="15" max="16384" width="9.09765625" style="14"/>
  </cols>
  <sheetData>
    <row r="1" spans="1:14" ht="15.75" customHeight="1" x14ac:dyDescent="0.25">
      <c r="C1" s="268" t="s">
        <v>164</v>
      </c>
      <c r="D1" s="268"/>
      <c r="E1" s="268"/>
      <c r="F1" s="268"/>
      <c r="G1" s="268"/>
      <c r="H1" s="268"/>
    </row>
    <row r="2" spans="1:14" ht="15.75" customHeight="1" x14ac:dyDescent="0.25">
      <c r="C2" s="268"/>
      <c r="D2" s="268"/>
      <c r="E2" s="268"/>
      <c r="F2" s="268"/>
      <c r="G2" s="268"/>
      <c r="H2" s="268"/>
    </row>
    <row r="3" spans="1:14" ht="15" customHeight="1" x14ac:dyDescent="0.25">
      <c r="C3" s="269" t="s">
        <v>166</v>
      </c>
      <c r="D3" s="269"/>
      <c r="E3" s="269"/>
      <c r="F3" s="270" t="s">
        <v>168</v>
      </c>
      <c r="G3" s="270"/>
      <c r="H3" s="270"/>
    </row>
    <row r="4" spans="1:14" x14ac:dyDescent="0.25">
      <c r="C4" s="269" t="s">
        <v>167</v>
      </c>
      <c r="D4" s="269"/>
      <c r="E4" s="269"/>
      <c r="F4" s="271" t="s">
        <v>169</v>
      </c>
      <c r="G4" s="271"/>
      <c r="H4" s="271"/>
    </row>
    <row r="5" spans="1:14" s="140" customFormat="1" ht="21" customHeight="1" x14ac:dyDescent="0.25">
      <c r="C5" s="272" t="s">
        <v>165</v>
      </c>
      <c r="D5" s="272"/>
      <c r="E5" s="272"/>
      <c r="F5" s="272"/>
      <c r="G5" s="272"/>
      <c r="H5" s="272"/>
    </row>
    <row r="6" spans="1:14" s="140" customFormat="1" ht="16.5" customHeight="1" x14ac:dyDescent="0.25">
      <c r="C6" s="149" t="s">
        <v>170</v>
      </c>
      <c r="D6" s="152" t="s">
        <v>313</v>
      </c>
      <c r="E6" s="145"/>
      <c r="F6" s="145"/>
      <c r="G6" s="267" t="str">
        <f ca="1">"Ngày "&amp;DAY(TODAY())&amp;" Tháng "&amp;MONTH(TODAY())&amp;" Năm "&amp;YEAR(TODAY())</f>
        <v>Ngày 22 Tháng 1 Năm 2023</v>
      </c>
      <c r="H6" s="267"/>
    </row>
    <row r="7" spans="1:14" s="144" customFormat="1" ht="24" customHeight="1" x14ac:dyDescent="0.25">
      <c r="A7" s="141" t="s">
        <v>101</v>
      </c>
      <c r="B7" s="141" t="s">
        <v>15</v>
      </c>
      <c r="C7" s="142" t="s">
        <v>0</v>
      </c>
      <c r="D7" s="142" t="s">
        <v>16</v>
      </c>
      <c r="E7" s="146" t="str">
        <f>"Quy cách"&amp;CHAR(10)&amp;"(Kg)"</f>
        <v>Quy cách
(Kg)</v>
      </c>
      <c r="F7" s="142" t="s">
        <v>15</v>
      </c>
      <c r="G7" s="142" t="s">
        <v>17</v>
      </c>
      <c r="H7" s="142" t="s">
        <v>18</v>
      </c>
      <c r="I7" s="143">
        <f>SUBTOTAL(9,I8:I37)</f>
        <v>0.5</v>
      </c>
      <c r="L7" s="140"/>
    </row>
    <row r="8" spans="1:14" s="29" customFormat="1" ht="14.25" customHeight="1" x14ac:dyDescent="0.25">
      <c r="A8" s="150">
        <v>20</v>
      </c>
      <c r="B8" s="150">
        <v>1</v>
      </c>
      <c r="C8" s="30">
        <f t="shared" ref="C8:C37" si="0">IF(OR(SUM($C7,$A8&lt;&gt;"")=0,$A8=""),"",SUM($C7,$A8&lt;&gt;""))</f>
        <v>1</v>
      </c>
      <c r="D8" s="147" t="str">
        <f>IFERROR(VLOOKUP($A8,Sheet1!$A$1:$B$80,2,0),"")</f>
        <v>0-Bò cuộn Excel Canada</v>
      </c>
      <c r="E8" s="30">
        <f>IFERROR(VLOOKUP($A8,'Tổng Đơn'!$A$5:$E$52,5,0),"")</f>
        <v>0.5</v>
      </c>
      <c r="F8" s="30">
        <f t="shared" ref="F8:F37" si="1">IF($B8="","",B8)</f>
        <v>1</v>
      </c>
      <c r="G8" s="155">
        <f>IFERROR(VLOOKUP($A8,Sheet1!$A1:$D$80,4,0),"")</f>
        <v>105000</v>
      </c>
      <c r="H8" s="148">
        <f>IF($C7=MAX($C$8:$C$56),SUM($H7:$H$8),IFERROR($G8*$F8,""))</f>
        <v>105000</v>
      </c>
      <c r="I8" s="54">
        <f t="shared" ref="I8:I37" si="2">IF(TYPE($A8)&lt;&gt;1,"",IFERROR(F8*E8,""))</f>
        <v>0.5</v>
      </c>
      <c r="L8" s="32"/>
    </row>
    <row r="9" spans="1:14" s="29" customFormat="1" ht="14.25" customHeight="1" x14ac:dyDescent="0.25">
      <c r="A9" s="150" t="s">
        <v>277</v>
      </c>
      <c r="B9" s="150">
        <v>1</v>
      </c>
      <c r="C9" s="30">
        <f t="shared" si="0"/>
        <v>2</v>
      </c>
      <c r="D9" s="147" t="str">
        <f>IFERROR(VLOOKUP($A9,Sheet1!$A$1:$B$80,2,0),"")</f>
        <v>0-Đùi gà Rán 10C lớn</v>
      </c>
      <c r="E9" s="30">
        <f>IFERROR(VLOOKUP($A9,'Tổng Đơn'!$A$5:$E$52,5,0),"")</f>
        <v>1.5</v>
      </c>
      <c r="F9" s="30">
        <f t="shared" si="1"/>
        <v>1</v>
      </c>
      <c r="G9" s="155">
        <f>IF(AND($C9="",$C8&lt;&gt;""),"Tổng Cộng",IFERROR(VLOOKUP($A9,Sheet1!$A$1:$D$80,4,0),""))</f>
        <v>122000</v>
      </c>
      <c r="H9" s="148">
        <f>IF($C8=MAX($C$8:$C$56),SUM($H$8:$H8),IFERROR($G9*$F9,""))</f>
        <v>122000</v>
      </c>
      <c r="I9" s="54" t="str">
        <f t="shared" si="2"/>
        <v/>
      </c>
      <c r="L9" s="31"/>
    </row>
    <row r="10" spans="1:14" s="29" customFormat="1" ht="14.25" customHeight="1" x14ac:dyDescent="0.25">
      <c r="A10" s="150">
        <v>1</v>
      </c>
      <c r="B10" s="150">
        <v>1</v>
      </c>
      <c r="C10" s="30">
        <f t="shared" si="0"/>
        <v>3</v>
      </c>
      <c r="D10" s="147" t="s">
        <v>312</v>
      </c>
      <c r="E10" s="30" t="s">
        <v>234</v>
      </c>
      <c r="F10" s="30" t="s">
        <v>234</v>
      </c>
      <c r="G10" s="155" t="s">
        <v>234</v>
      </c>
      <c r="H10" s="148">
        <v>3000</v>
      </c>
      <c r="I10" s="54" t="str">
        <f t="shared" si="2"/>
        <v/>
      </c>
      <c r="L10" s="31"/>
    </row>
    <row r="11" spans="1:14" s="29" customFormat="1" ht="14.25" customHeight="1" x14ac:dyDescent="0.25">
      <c r="A11" s="150" t="s">
        <v>310</v>
      </c>
      <c r="B11" s="150"/>
      <c r="C11" s="30" t="str">
        <f t="shared" si="0"/>
        <v/>
      </c>
      <c r="D11" s="147" t="str">
        <f>IFERROR(VLOOKUP($A11,Sheet1!$A$1:$B$80,2,0),"")</f>
        <v/>
      </c>
      <c r="E11" s="30" t="str">
        <f>IFERROR(VLOOKUP($A11,'Tổng Đơn'!$A$5:$E$52,5,0),"")</f>
        <v/>
      </c>
      <c r="F11" s="30" t="str">
        <f t="shared" si="1"/>
        <v/>
      </c>
      <c r="G11" s="155" t="str">
        <f>IF(AND($C11="",$C10&lt;&gt;""),"Tổng Cộng",IFERROR(VLOOKUP($A11,Sheet1!$A$1:$D$80,4,0),""))</f>
        <v>Tổng Cộng</v>
      </c>
      <c r="H11" s="148">
        <f>IF($C10=MAX($C$8:$C$56),SUM($H$8:$H10),IFERROR($G11*$F11,""))</f>
        <v>230000</v>
      </c>
      <c r="I11" s="54" t="str">
        <f t="shared" si="2"/>
        <v/>
      </c>
      <c r="L11" s="31"/>
    </row>
    <row r="12" spans="1:14" s="29" customFormat="1" ht="14.25" customHeight="1" x14ac:dyDescent="0.25">
      <c r="A12" s="150" t="s">
        <v>310</v>
      </c>
      <c r="B12" s="150"/>
      <c r="C12" s="30" t="str">
        <f t="shared" si="0"/>
        <v/>
      </c>
      <c r="D12" s="147" t="str">
        <f>IFERROR(VLOOKUP($A12,Sheet1!$A$1:$B$80,2,0),"")</f>
        <v/>
      </c>
      <c r="E12" s="30" t="str">
        <f>IFERROR(VLOOKUP($A12,'Tổng Đơn'!$A$5:$E$52,5,0),"")</f>
        <v/>
      </c>
      <c r="F12" s="30" t="str">
        <f t="shared" si="1"/>
        <v/>
      </c>
      <c r="G12" s="155" t="str">
        <f>IF(AND($C12="",$C11&lt;&gt;""),"Tổng Cộng",IFERROR(VLOOKUP($A12,Sheet1!$A$1:$D$80,4,0),""))</f>
        <v/>
      </c>
      <c r="H12" s="148" t="str">
        <f>IF($C11=MAX($C$8:$C$56),SUM($H$8:$H11),IFERROR($G12*$F12,""))</f>
        <v/>
      </c>
      <c r="I12" s="54" t="str">
        <f t="shared" si="2"/>
        <v/>
      </c>
      <c r="J12" s="125"/>
      <c r="L12" s="31"/>
      <c r="N12" s="126"/>
    </row>
    <row r="13" spans="1:14" s="29" customFormat="1" ht="14.25" customHeight="1" x14ac:dyDescent="0.25">
      <c r="A13" s="150" t="s">
        <v>310</v>
      </c>
      <c r="B13" s="150"/>
      <c r="C13" s="30" t="str">
        <f t="shared" si="0"/>
        <v/>
      </c>
      <c r="D13" s="147" t="str">
        <f>IFERROR(VLOOKUP($A13,Sheet1!$A$1:$B$80,2,0),"")</f>
        <v/>
      </c>
      <c r="E13" s="30" t="str">
        <f>IFERROR(VLOOKUP($A13,'Tổng Đơn'!$A$5:$E$52,5,0),"")</f>
        <v/>
      </c>
      <c r="F13" s="30" t="str">
        <f t="shared" si="1"/>
        <v/>
      </c>
      <c r="G13" s="155" t="str">
        <f>IF(AND($C13="",$C12&lt;&gt;""),"Tổng Cộng",IFERROR(VLOOKUP($A13,Sheet1!$A$1:$D$80,4,0),""))</f>
        <v/>
      </c>
      <c r="H13" s="148" t="str">
        <f>IF($C12=MAX($C$8:$C$56),SUM($H$8:$H12),IFERROR($G13*$F13,""))</f>
        <v/>
      </c>
      <c r="I13" s="54" t="str">
        <f t="shared" si="2"/>
        <v/>
      </c>
      <c r="L13" s="31"/>
    </row>
    <row r="14" spans="1:14" s="29" customFormat="1" ht="14.25" customHeight="1" x14ac:dyDescent="0.25">
      <c r="A14" s="150" t="s">
        <v>310</v>
      </c>
      <c r="B14" s="150"/>
      <c r="C14" s="30" t="str">
        <f t="shared" si="0"/>
        <v/>
      </c>
      <c r="D14" s="147" t="str">
        <f>IFERROR(VLOOKUP($A14,Sheet1!$A$1:$B$80,2,0),"")</f>
        <v/>
      </c>
      <c r="E14" s="30" t="str">
        <f>IFERROR(VLOOKUP($A14,'Tổng Đơn'!$A$5:$E$52,5,0),"")</f>
        <v/>
      </c>
      <c r="F14" s="30" t="str">
        <f t="shared" si="1"/>
        <v/>
      </c>
      <c r="G14" s="155" t="str">
        <f>IF(AND($C14="",$C13&lt;&gt;""),"Tổng Cộng",IFERROR(VLOOKUP($A14,Sheet1!$A$1:$D$80,4,0),""))</f>
        <v/>
      </c>
      <c r="H14" s="148" t="str">
        <f>IF($C13=MAX($C$8:$C$56),SUM($H$8:$H13),IFERROR($G14*$F14,""))</f>
        <v/>
      </c>
      <c r="I14" s="54" t="str">
        <f t="shared" si="2"/>
        <v/>
      </c>
      <c r="L14" s="31"/>
      <c r="M14" s="132"/>
    </row>
    <row r="15" spans="1:14" s="29" customFormat="1" ht="14.25" customHeight="1" x14ac:dyDescent="0.25">
      <c r="A15" s="150" t="s">
        <v>310</v>
      </c>
      <c r="B15" s="150"/>
      <c r="C15" s="30" t="str">
        <f t="shared" si="0"/>
        <v/>
      </c>
      <c r="D15" s="147" t="str">
        <f>IFERROR(VLOOKUP($A15,Sheet1!$A$1:$B$80,2,0),"")</f>
        <v/>
      </c>
      <c r="E15" s="30" t="str">
        <f>IFERROR(VLOOKUP($A15,'Tổng Đơn'!$A$5:$E$52,5,0),"")</f>
        <v/>
      </c>
      <c r="F15" s="30" t="str">
        <f t="shared" si="1"/>
        <v/>
      </c>
      <c r="G15" s="155" t="str">
        <f>IF(AND($C15="",$C14&lt;&gt;""),"Tổng Cộng",IFERROR(VLOOKUP($A15,Sheet1!$A$1:$D$80,4,0),""))</f>
        <v/>
      </c>
      <c r="H15" s="148" t="str">
        <f>IF($C14=MAX($C$8:$C$56),SUM($H$8:$H14),IFERROR($G15*$F15,""))</f>
        <v/>
      </c>
      <c r="I15" s="54" t="str">
        <f t="shared" si="2"/>
        <v/>
      </c>
      <c r="L15" s="31"/>
    </row>
    <row r="16" spans="1:14" s="29" customFormat="1" ht="14.25" customHeight="1" x14ac:dyDescent="0.25">
      <c r="A16" s="150" t="s">
        <v>310</v>
      </c>
      <c r="B16" s="150"/>
      <c r="C16" s="30" t="str">
        <f t="shared" si="0"/>
        <v/>
      </c>
      <c r="D16" s="147" t="str">
        <f>IFERROR(VLOOKUP($A16,Sheet1!$A$1:$B$80,2,0),"")</f>
        <v/>
      </c>
      <c r="E16" s="30" t="str">
        <f>IFERROR(VLOOKUP($A16,'Tổng Đơn'!$A$5:$E$52,5,0),"")</f>
        <v/>
      </c>
      <c r="F16" s="30" t="str">
        <f t="shared" si="1"/>
        <v/>
      </c>
      <c r="G16" s="155" t="str">
        <f>IF(AND($C16="",$C15&lt;&gt;""),"Tổng Cộng",IFERROR(VLOOKUP($A16,Sheet1!$A$1:$D$80,4,0),""))</f>
        <v/>
      </c>
      <c r="H16" s="148" t="str">
        <f>IF($C15=MAX($C$8:$C$56),SUM($H$8:$H15),IFERROR($G16*$F16,""))</f>
        <v/>
      </c>
      <c r="I16" s="54" t="str">
        <f t="shared" si="2"/>
        <v/>
      </c>
      <c r="L16" s="31"/>
    </row>
    <row r="17" spans="1:12" s="29" customFormat="1" ht="14.25" customHeight="1" x14ac:dyDescent="0.25">
      <c r="A17" s="150" t="s">
        <v>310</v>
      </c>
      <c r="B17" s="150"/>
      <c r="C17" s="30" t="str">
        <f t="shared" si="0"/>
        <v/>
      </c>
      <c r="D17" s="147" t="str">
        <f>IFERROR(VLOOKUP($A17,Sheet1!$A$1:$B$80,2,0),"")</f>
        <v/>
      </c>
      <c r="E17" s="30" t="str">
        <f>IFERROR(VLOOKUP($A17,'Tổng Đơn'!$A$5:$E$52,5,0),"")</f>
        <v/>
      </c>
      <c r="F17" s="30" t="str">
        <f t="shared" si="1"/>
        <v/>
      </c>
      <c r="G17" s="155" t="str">
        <f>IF(AND($C17="",$C16&lt;&gt;""),"Tổng Cộng",IFERROR(VLOOKUP($A17,Sheet1!$A$1:$D$80,4,0),""))</f>
        <v/>
      </c>
      <c r="H17" s="148" t="str">
        <f>IF($C16=MAX($C$8:$C$56),SUM($H$8:$H16),IFERROR($G17*$F17,""))</f>
        <v/>
      </c>
      <c r="I17" s="54" t="str">
        <f t="shared" si="2"/>
        <v/>
      </c>
      <c r="L17" s="31"/>
    </row>
    <row r="18" spans="1:12" s="29" customFormat="1" ht="14.25" customHeight="1" x14ac:dyDescent="0.25">
      <c r="A18" s="150" t="s">
        <v>310</v>
      </c>
      <c r="B18" s="150"/>
      <c r="C18" s="30" t="str">
        <f t="shared" si="0"/>
        <v/>
      </c>
      <c r="D18" s="147" t="str">
        <f>IFERROR(VLOOKUP($A18,Sheet1!$A$1:$B$80,2,0),"")</f>
        <v/>
      </c>
      <c r="E18" s="30" t="str">
        <f>IFERROR(VLOOKUP($A18,'Tổng Đơn'!$A$5:$E$52,5,0),"")</f>
        <v/>
      </c>
      <c r="F18" s="30" t="str">
        <f t="shared" si="1"/>
        <v/>
      </c>
      <c r="G18" s="155" t="str">
        <f>IF(AND($C18="",$C17&lt;&gt;""),"Tổng Cộng",IFERROR(VLOOKUP($A18,Sheet1!$A$1:$D$80,4,0),""))</f>
        <v/>
      </c>
      <c r="H18" s="148" t="str">
        <f>IF($C17=MAX($C$8:$C$56),SUM($H$8:$H17),IFERROR($G18*$F18,""))</f>
        <v/>
      </c>
      <c r="I18" s="54" t="str">
        <f t="shared" si="2"/>
        <v/>
      </c>
      <c r="L18" s="31"/>
    </row>
    <row r="19" spans="1:12" s="29" customFormat="1" ht="14.25" customHeight="1" x14ac:dyDescent="0.25">
      <c r="A19" s="150" t="s">
        <v>310</v>
      </c>
      <c r="B19" s="150"/>
      <c r="C19" s="30" t="str">
        <f t="shared" si="0"/>
        <v/>
      </c>
      <c r="D19" s="147" t="str">
        <f>IFERROR(VLOOKUP($A19,Sheet1!$A$1:$B$80,2,0),"")</f>
        <v/>
      </c>
      <c r="E19" s="30" t="str">
        <f>IFERROR(VLOOKUP($A19,'Tổng Đơn'!$A$5:$E$52,5,0),"")</f>
        <v/>
      </c>
      <c r="F19" s="30" t="str">
        <f t="shared" si="1"/>
        <v/>
      </c>
      <c r="G19" s="155" t="str">
        <f>IF(AND($C19="",$C18&lt;&gt;""),"Tổng Cộng",IFERROR(VLOOKUP($A19,Sheet1!$A$1:$D$80,4,0),""))</f>
        <v/>
      </c>
      <c r="H19" s="148" t="str">
        <f>IF($C18=MAX($C$8:$C$56),SUM($H$8:$H18),IFERROR($G19*$F19,""))</f>
        <v/>
      </c>
      <c r="I19" s="54" t="str">
        <f t="shared" si="2"/>
        <v/>
      </c>
      <c r="L19" s="31"/>
    </row>
    <row r="20" spans="1:12" s="29" customFormat="1" ht="14.25" customHeight="1" x14ac:dyDescent="0.25">
      <c r="A20" s="150" t="s">
        <v>310</v>
      </c>
      <c r="B20" s="150"/>
      <c r="C20" s="30" t="str">
        <f t="shared" si="0"/>
        <v/>
      </c>
      <c r="D20" s="147" t="str">
        <f>IFERROR(VLOOKUP($A20,Sheet1!$A$1:$B$80,2,0),"")</f>
        <v/>
      </c>
      <c r="E20" s="30" t="str">
        <f>IFERROR(VLOOKUP($A20,'Tổng Đơn'!$A$5:$E$52,5,0),"")</f>
        <v/>
      </c>
      <c r="F20" s="30" t="str">
        <f t="shared" si="1"/>
        <v/>
      </c>
      <c r="G20" s="155" t="str">
        <f>IF(AND($C20="",$C19&lt;&gt;""),"Tổng Cộng",IFERROR(VLOOKUP($A20,Sheet1!$A$1:$D$80,4,0),""))</f>
        <v/>
      </c>
      <c r="H20" s="148" t="str">
        <f>IF($C19=MAX($C$8:$C$56),SUM($H$8:$H19),IFERROR($G20*$F20,""))</f>
        <v/>
      </c>
      <c r="I20" s="54" t="str">
        <f t="shared" si="2"/>
        <v/>
      </c>
      <c r="L20" s="31"/>
    </row>
    <row r="21" spans="1:12" s="29" customFormat="1" ht="14.25" customHeight="1" x14ac:dyDescent="0.25">
      <c r="A21" s="150" t="s">
        <v>310</v>
      </c>
      <c r="B21" s="150"/>
      <c r="C21" s="30" t="str">
        <f t="shared" si="0"/>
        <v/>
      </c>
      <c r="D21" s="147" t="str">
        <f>IFERROR(VLOOKUP($A21,Sheet1!$A$1:$B$80,2,0),"")</f>
        <v/>
      </c>
      <c r="E21" s="30" t="str">
        <f>IFERROR(VLOOKUP($A21,'Tổng Đơn'!$A$5:$E$52,5,0),"")</f>
        <v/>
      </c>
      <c r="F21" s="30" t="str">
        <f t="shared" si="1"/>
        <v/>
      </c>
      <c r="G21" s="155" t="str">
        <f>IF(AND($C21="",$C20&lt;&gt;""),"Tổng Cộng",IFERROR(VLOOKUP($A21,Sheet1!$A$1:$D$80,4,0),""))</f>
        <v/>
      </c>
      <c r="H21" s="148" t="str">
        <f>IF($C20=MAX($C$8:$C$56),SUM($H$8:$H20),IFERROR($G21*$F21,""))</f>
        <v/>
      </c>
      <c r="I21" s="54" t="str">
        <f t="shared" si="2"/>
        <v/>
      </c>
      <c r="L21" s="31"/>
    </row>
    <row r="22" spans="1:12" s="29" customFormat="1" ht="14.25" customHeight="1" x14ac:dyDescent="0.25">
      <c r="A22" s="150" t="s">
        <v>310</v>
      </c>
      <c r="B22" s="150"/>
      <c r="C22" s="30" t="str">
        <f t="shared" si="0"/>
        <v/>
      </c>
      <c r="D22" s="147" t="str">
        <f>IFERROR(VLOOKUP($A22,Sheet1!$A$1:$B$80,2,0),"")</f>
        <v/>
      </c>
      <c r="E22" s="30" t="str">
        <f>IFERROR(VLOOKUP($A22,'Tổng Đơn'!$A$5:$E$52,5,0),"")</f>
        <v/>
      </c>
      <c r="F22" s="30" t="str">
        <f t="shared" si="1"/>
        <v/>
      </c>
      <c r="G22" s="155" t="str">
        <f>IF(AND($C22="",$C21&lt;&gt;""),"Tổng Cộng",IFERROR(VLOOKUP($A22,Sheet1!$A$1:$D$80,4,0),""))</f>
        <v/>
      </c>
      <c r="H22" s="148" t="str">
        <f>IF($C21=MAX($C$8:$C$56),SUM($H$8:$H21),IFERROR($G22*$F22,""))</f>
        <v/>
      </c>
      <c r="I22" s="54" t="str">
        <f t="shared" si="2"/>
        <v/>
      </c>
      <c r="L22" s="31"/>
    </row>
    <row r="23" spans="1:12" s="29" customFormat="1" ht="14.25" customHeight="1" x14ac:dyDescent="0.25">
      <c r="A23" s="150" t="s">
        <v>310</v>
      </c>
      <c r="B23" s="150"/>
      <c r="C23" s="30" t="str">
        <f t="shared" si="0"/>
        <v/>
      </c>
      <c r="D23" s="147" t="str">
        <f>IFERROR(VLOOKUP($A23,Sheet1!$A$1:$B$80,2,0),"")</f>
        <v/>
      </c>
      <c r="E23" s="30" t="str">
        <f>IFERROR(VLOOKUP($A23,'Tổng Đơn'!$A$5:$E$52,5,0),"")</f>
        <v/>
      </c>
      <c r="F23" s="30" t="str">
        <f t="shared" si="1"/>
        <v/>
      </c>
      <c r="G23" s="155" t="str">
        <f>IF(AND($C23="",$C22&lt;&gt;""),"Tổng Cộng",IFERROR(VLOOKUP($A23,Sheet1!$A$1:$D$80,4,0),""))</f>
        <v/>
      </c>
      <c r="H23" s="148" t="str">
        <f>IF($C22=MAX($C$8:$C$56),SUM($H$8:$H22),IFERROR($G23*$F23,""))</f>
        <v/>
      </c>
      <c r="I23" s="54" t="str">
        <f t="shared" si="2"/>
        <v/>
      </c>
      <c r="L23" s="31"/>
    </row>
    <row r="24" spans="1:12" s="29" customFormat="1" ht="14.25" customHeight="1" x14ac:dyDescent="0.25">
      <c r="A24" s="150" t="s">
        <v>310</v>
      </c>
      <c r="B24" s="150"/>
      <c r="C24" s="30" t="str">
        <f t="shared" si="0"/>
        <v/>
      </c>
      <c r="D24" s="147" t="str">
        <f>IFERROR(VLOOKUP($A24,Sheet1!$A$1:$B$80,2,0),"")</f>
        <v/>
      </c>
      <c r="E24" s="30" t="str">
        <f>IFERROR(VLOOKUP($A24,'Tổng Đơn'!$A$5:$E$52,5,0),"")</f>
        <v/>
      </c>
      <c r="F24" s="30" t="str">
        <f t="shared" si="1"/>
        <v/>
      </c>
      <c r="G24" s="155" t="str">
        <f>IF(AND($C24="",$C23&lt;&gt;""),"Tổng Cộng",IFERROR(VLOOKUP($A24,Sheet1!$A$1:$D$80,4,0),""))</f>
        <v/>
      </c>
      <c r="H24" s="148" t="str">
        <f>IF($C23=MAX($C$8:$C$56),SUM($H$8:$H23),IFERROR($G24*$F24,""))</f>
        <v/>
      </c>
      <c r="I24" s="54" t="str">
        <f t="shared" si="2"/>
        <v/>
      </c>
      <c r="L24" s="31"/>
    </row>
    <row r="25" spans="1:12" s="29" customFormat="1" ht="14.25" customHeight="1" x14ac:dyDescent="0.25">
      <c r="A25" s="150" t="s">
        <v>310</v>
      </c>
      <c r="B25" s="150"/>
      <c r="C25" s="30" t="str">
        <f t="shared" si="0"/>
        <v/>
      </c>
      <c r="D25" s="147" t="str">
        <f>IFERROR(VLOOKUP($A25,Sheet1!$A$1:$B$80,2,0),"")</f>
        <v/>
      </c>
      <c r="E25" s="30" t="str">
        <f>IFERROR(VLOOKUP($A25,'Tổng Đơn'!$A$5:$E$52,5,0),"")</f>
        <v/>
      </c>
      <c r="F25" s="30" t="str">
        <f t="shared" si="1"/>
        <v/>
      </c>
      <c r="G25" s="155" t="str">
        <f>IF(AND($C25="",$C24&lt;&gt;""),"Tổng Cộng",IFERROR(VLOOKUP($A25,Sheet1!$A$1:$D$80,4,0),""))</f>
        <v/>
      </c>
      <c r="H25" s="148" t="str">
        <f>IF($C24=MAX($C$8:$C$56),SUM($H$8:$H24),IFERROR($G25*$F25,""))</f>
        <v/>
      </c>
      <c r="I25" s="54" t="str">
        <f t="shared" si="2"/>
        <v/>
      </c>
      <c r="L25" s="31"/>
    </row>
    <row r="26" spans="1:12" s="29" customFormat="1" ht="14.25" customHeight="1" x14ac:dyDescent="0.25">
      <c r="A26" s="150" t="s">
        <v>310</v>
      </c>
      <c r="B26" s="150"/>
      <c r="C26" s="30" t="str">
        <f t="shared" si="0"/>
        <v/>
      </c>
      <c r="D26" s="147" t="str">
        <f>IFERROR(VLOOKUP($A26,Sheet1!$A$1:$B$80,2,0),"")</f>
        <v/>
      </c>
      <c r="E26" s="30" t="str">
        <f>IFERROR(VLOOKUP($A26,'Tổng Đơn'!$A$5:$E$52,5,0),"")</f>
        <v/>
      </c>
      <c r="F26" s="30" t="str">
        <f t="shared" si="1"/>
        <v/>
      </c>
      <c r="G26" s="155" t="str">
        <f>IF(AND($C26="",$C25&lt;&gt;""),"Tổng Cộng",IFERROR(VLOOKUP($A26,Sheet1!$A$1:$D$80,4,0),""))</f>
        <v/>
      </c>
      <c r="H26" s="148" t="str">
        <f>IF($C25=MAX($C$8:$C$56),SUM($H$8:$H25),IFERROR($G26*$F26,""))</f>
        <v/>
      </c>
      <c r="I26" s="54" t="str">
        <f t="shared" si="2"/>
        <v/>
      </c>
      <c r="L26" s="31"/>
    </row>
    <row r="27" spans="1:12" s="29" customFormat="1" ht="14.25" customHeight="1" x14ac:dyDescent="0.25">
      <c r="A27" s="150" t="s">
        <v>310</v>
      </c>
      <c r="B27" s="150"/>
      <c r="C27" s="30" t="str">
        <f t="shared" si="0"/>
        <v/>
      </c>
      <c r="D27" s="147" t="str">
        <f>IFERROR(VLOOKUP($A27,Sheet1!$A$1:$B$80,2,0),"")</f>
        <v/>
      </c>
      <c r="E27" s="30" t="str">
        <f>IFERROR(VLOOKUP($A27,'Tổng Đơn'!$A$5:$E$52,5,0),"")</f>
        <v/>
      </c>
      <c r="F27" s="30" t="str">
        <f t="shared" si="1"/>
        <v/>
      </c>
      <c r="G27" s="155" t="str">
        <f>IF(AND($C27="",$C26&lt;&gt;""),"Tổng Cộng",IFERROR(VLOOKUP($A27,Sheet1!$A$1:$D$80,4,0),""))</f>
        <v/>
      </c>
      <c r="H27" s="148" t="str">
        <f>IF($C26=MAX($C$8:$C$56),SUM($H$8:$H26),IFERROR($G27*$F27,""))</f>
        <v/>
      </c>
      <c r="I27" s="54" t="str">
        <f t="shared" si="2"/>
        <v/>
      </c>
      <c r="L27" s="31"/>
    </row>
    <row r="28" spans="1:12" s="29" customFormat="1" ht="14.25" customHeight="1" x14ac:dyDescent="0.25">
      <c r="A28" s="150" t="s">
        <v>310</v>
      </c>
      <c r="B28" s="150"/>
      <c r="C28" s="30" t="str">
        <f t="shared" si="0"/>
        <v/>
      </c>
      <c r="D28" s="147" t="str">
        <f>IFERROR(VLOOKUP($A28,Sheet1!$A$1:$B$80,2,0),"")</f>
        <v/>
      </c>
      <c r="E28" s="30" t="str">
        <f>IFERROR(VLOOKUP($A28,'Tổng Đơn'!$A$5:$E$52,5,0),"")</f>
        <v/>
      </c>
      <c r="F28" s="30" t="str">
        <f t="shared" si="1"/>
        <v/>
      </c>
      <c r="G28" s="155" t="str">
        <f>IF(AND($C28="",$C27&lt;&gt;""),"Tổng Cộng",IFERROR(VLOOKUP($A28,Sheet1!$A$1:$D$80,4,0),""))</f>
        <v/>
      </c>
      <c r="H28" s="148" t="str">
        <f>IF($C27=MAX($C$8:$C$56),SUM($H$8:$H27),IFERROR($G28*$F28,""))</f>
        <v/>
      </c>
      <c r="I28" s="54" t="str">
        <f t="shared" si="2"/>
        <v/>
      </c>
      <c r="L28" s="31"/>
    </row>
    <row r="29" spans="1:12" s="29" customFormat="1" ht="14.25" customHeight="1" x14ac:dyDescent="0.25">
      <c r="A29" s="150" t="s">
        <v>310</v>
      </c>
      <c r="B29" s="150"/>
      <c r="C29" s="30" t="str">
        <f t="shared" si="0"/>
        <v/>
      </c>
      <c r="D29" s="147" t="str">
        <f>IFERROR(VLOOKUP($A29,Sheet1!$A$1:$B$80,2,0),"")</f>
        <v/>
      </c>
      <c r="E29" s="30" t="str">
        <f>IFERROR(VLOOKUP($A29,'Tổng Đơn'!$A$5:$E$52,5,0),"")</f>
        <v/>
      </c>
      <c r="F29" s="30" t="str">
        <f t="shared" si="1"/>
        <v/>
      </c>
      <c r="G29" s="155" t="str">
        <f>IF(AND($C29="",$C28&lt;&gt;""),"Tổng Cộng",IFERROR(VLOOKUP($A29,Sheet1!$A$1:$D$80,4,0),""))</f>
        <v/>
      </c>
      <c r="H29" s="148" t="str">
        <f>IF($C28=MAX($C$8:$C$56),SUM($H$8:$H28),IFERROR($G29*$F29,""))</f>
        <v/>
      </c>
      <c r="I29" s="54" t="str">
        <f t="shared" si="2"/>
        <v/>
      </c>
      <c r="L29" s="31"/>
    </row>
    <row r="30" spans="1:12" s="29" customFormat="1" ht="14.25" customHeight="1" x14ac:dyDescent="0.25">
      <c r="A30" s="150" t="s">
        <v>310</v>
      </c>
      <c r="B30" s="150"/>
      <c r="C30" s="30" t="str">
        <f t="shared" si="0"/>
        <v/>
      </c>
      <c r="D30" s="147" t="str">
        <f>IFERROR(VLOOKUP($A30,Sheet1!$A$1:$B$80,2,0),"")</f>
        <v/>
      </c>
      <c r="E30" s="30" t="str">
        <f>IFERROR(VLOOKUP($A30,'Tổng Đơn'!$A$5:$E$52,5,0),"")</f>
        <v/>
      </c>
      <c r="F30" s="30" t="str">
        <f t="shared" si="1"/>
        <v/>
      </c>
      <c r="G30" s="155" t="str">
        <f>IF(AND($C30="",$C29&lt;&gt;""),"Tổng Cộng",IFERROR(VLOOKUP($A30,Sheet1!$A$1:$D$80,4,0),""))</f>
        <v/>
      </c>
      <c r="H30" s="148" t="str">
        <f>IF($C29=MAX($C$8:$C$56),SUM($H$8:$H29),IFERROR($G30*$F30,""))</f>
        <v/>
      </c>
      <c r="I30" s="54" t="str">
        <f t="shared" si="2"/>
        <v/>
      </c>
      <c r="L30" s="31"/>
    </row>
    <row r="31" spans="1:12" s="29" customFormat="1" ht="14.25" customHeight="1" x14ac:dyDescent="0.25">
      <c r="A31" s="150" t="s">
        <v>310</v>
      </c>
      <c r="B31" s="150"/>
      <c r="C31" s="30" t="str">
        <f t="shared" si="0"/>
        <v/>
      </c>
      <c r="D31" s="147" t="str">
        <f>IFERROR(VLOOKUP($A31,Sheet1!$A$1:$B$80,2,0),"")</f>
        <v/>
      </c>
      <c r="E31" s="30" t="str">
        <f>IFERROR(VLOOKUP($A31,'Tổng Đơn'!$A$5:$E$52,5,0),"")</f>
        <v/>
      </c>
      <c r="F31" s="30" t="str">
        <f t="shared" si="1"/>
        <v/>
      </c>
      <c r="G31" s="155" t="str">
        <f>IF(AND($C31="",$C30&lt;&gt;""),"Tổng Cộng",IFERROR(VLOOKUP($A31,Sheet1!$A$1:$D$80,4,0),""))</f>
        <v/>
      </c>
      <c r="H31" s="148" t="str">
        <f>IF($C30=MAX($C$8:$C$56),SUM($H$8:$H30),IFERROR($G31*$F31,""))</f>
        <v/>
      </c>
      <c r="I31" s="54" t="str">
        <f t="shared" si="2"/>
        <v/>
      </c>
      <c r="L31" s="31"/>
    </row>
    <row r="32" spans="1:12" s="29" customFormat="1" ht="14.25" customHeight="1" x14ac:dyDescent="0.25">
      <c r="A32" s="150" t="s">
        <v>310</v>
      </c>
      <c r="B32" s="150"/>
      <c r="C32" s="30" t="str">
        <f t="shared" si="0"/>
        <v/>
      </c>
      <c r="D32" s="147" t="str">
        <f>IFERROR(VLOOKUP($A32,Sheet1!$A$1:$B$80,2,0),"")</f>
        <v/>
      </c>
      <c r="E32" s="30" t="str">
        <f>IFERROR(VLOOKUP($A32,'Tổng Đơn'!$A$5:$E$52,5,0),"")</f>
        <v/>
      </c>
      <c r="F32" s="30" t="str">
        <f t="shared" si="1"/>
        <v/>
      </c>
      <c r="G32" s="155" t="str">
        <f>IF(AND($C32="",$C31&lt;&gt;""),"Tổng Cộng",IFERROR(VLOOKUP($A32,Sheet1!$A$1:$D$80,4,0),""))</f>
        <v/>
      </c>
      <c r="H32" s="148" t="str">
        <f>IF($C31=MAX($C$8:$C$56),SUM($H$8:$H31),IFERROR($G32*$F32,""))</f>
        <v/>
      </c>
      <c r="I32" s="54" t="str">
        <f t="shared" si="2"/>
        <v/>
      </c>
      <c r="L32" s="31"/>
    </row>
    <row r="33" spans="1:12" s="29" customFormat="1" ht="14.25" customHeight="1" x14ac:dyDescent="0.25">
      <c r="A33" s="150" t="s">
        <v>310</v>
      </c>
      <c r="B33" s="150"/>
      <c r="C33" s="30" t="str">
        <f t="shared" si="0"/>
        <v/>
      </c>
      <c r="D33" s="147" t="str">
        <f>IFERROR(VLOOKUP($A33,Sheet1!$A$1:$B$80,2,0),"")</f>
        <v/>
      </c>
      <c r="E33" s="30" t="str">
        <f>IFERROR(VLOOKUP($A33,'Tổng Đơn'!$A$5:$E$52,5,0),"")</f>
        <v/>
      </c>
      <c r="F33" s="30" t="str">
        <f t="shared" si="1"/>
        <v/>
      </c>
      <c r="G33" s="155" t="str">
        <f>IF(AND($C33="",$C32&lt;&gt;""),"Tổng Cộng",IFERROR(VLOOKUP($A33,Sheet1!$A$1:$D$80,4,0),""))</f>
        <v/>
      </c>
      <c r="H33" s="148" t="str">
        <f>IF($C32=MAX($C$8:$C$56),SUM($H$8:$H32),IFERROR($G33*$F33,""))</f>
        <v/>
      </c>
      <c r="I33" s="54" t="str">
        <f t="shared" si="2"/>
        <v/>
      </c>
      <c r="L33" s="31"/>
    </row>
    <row r="34" spans="1:12" s="29" customFormat="1" ht="14.25" customHeight="1" x14ac:dyDescent="0.25">
      <c r="A34" s="150" t="s">
        <v>310</v>
      </c>
      <c r="B34" s="150"/>
      <c r="C34" s="30" t="str">
        <f t="shared" si="0"/>
        <v/>
      </c>
      <c r="D34" s="147" t="str">
        <f>IFERROR(VLOOKUP($A34,Sheet1!$A$1:$B$80,2,0),"")</f>
        <v/>
      </c>
      <c r="E34" s="30" t="str">
        <f>IFERROR(VLOOKUP($A34,'Tổng Đơn'!$A$5:$E$52,5,0),"")</f>
        <v/>
      </c>
      <c r="F34" s="30" t="str">
        <f t="shared" si="1"/>
        <v/>
      </c>
      <c r="G34" s="155" t="str">
        <f>IF(AND($C34="",$C33&lt;&gt;""),"Tổng Cộng",IFERROR(VLOOKUP($A34,Sheet1!$A$1:$D$80,4,0),""))</f>
        <v/>
      </c>
      <c r="H34" s="148" t="str">
        <f>IF($C33=MAX($C$8:$C$56),SUM($H$8:$H33),IFERROR($G34*$F34,""))</f>
        <v/>
      </c>
      <c r="I34" s="54" t="str">
        <f t="shared" si="2"/>
        <v/>
      </c>
      <c r="L34" s="31"/>
    </row>
    <row r="35" spans="1:12" s="29" customFormat="1" ht="14.25" customHeight="1" x14ac:dyDescent="0.25">
      <c r="A35" s="150" t="s">
        <v>310</v>
      </c>
      <c r="B35" s="150"/>
      <c r="C35" s="30" t="str">
        <f t="shared" si="0"/>
        <v/>
      </c>
      <c r="D35" s="147" t="str">
        <f>IFERROR(VLOOKUP($A35,Sheet1!$A$1:$B$80,2,0),"")</f>
        <v/>
      </c>
      <c r="E35" s="30" t="str">
        <f>IFERROR(VLOOKUP($A35,'Tổng Đơn'!$A$5:$E$52,5,0),"")</f>
        <v/>
      </c>
      <c r="F35" s="30" t="str">
        <f t="shared" si="1"/>
        <v/>
      </c>
      <c r="G35" s="155" t="str">
        <f>IF(AND($C35="",$C34&lt;&gt;""),"Tổng Cộng",IFERROR(VLOOKUP($A35,Sheet1!$A$1:$D$80,4,0),""))</f>
        <v/>
      </c>
      <c r="H35" s="148" t="str">
        <f>IF($C34=MAX($C$8:$C$56),SUM($H$8:$H34),IFERROR($G35*$F35,""))</f>
        <v/>
      </c>
      <c r="I35" s="54" t="str">
        <f t="shared" si="2"/>
        <v/>
      </c>
      <c r="L35" s="31"/>
    </row>
    <row r="36" spans="1:12" s="29" customFormat="1" ht="14.25" customHeight="1" x14ac:dyDescent="0.25">
      <c r="A36" s="150" t="s">
        <v>310</v>
      </c>
      <c r="B36" s="150"/>
      <c r="C36" s="30" t="str">
        <f t="shared" si="0"/>
        <v/>
      </c>
      <c r="D36" s="147" t="str">
        <f>IFERROR(VLOOKUP($A36,Sheet1!$A$1:$B$80,2,0),"")</f>
        <v/>
      </c>
      <c r="E36" s="30" t="str">
        <f>IFERROR(VLOOKUP($A36,'Tổng Đơn'!$A$5:$E$52,5,0),"")</f>
        <v/>
      </c>
      <c r="F36" s="30" t="str">
        <f t="shared" si="1"/>
        <v/>
      </c>
      <c r="G36" s="155" t="str">
        <f>IF(AND($C36="",$C35&lt;&gt;""),"Tổng Cộng",IFERROR(VLOOKUP($A36,Sheet1!$A$1:$D$80,4,0),""))</f>
        <v/>
      </c>
      <c r="H36" s="148" t="str">
        <f>IF($C35=MAX($C$8:$C$56),SUM($H$8:$H35),IFERROR($G36*$F36,""))</f>
        <v/>
      </c>
      <c r="I36" s="54" t="str">
        <f t="shared" si="2"/>
        <v/>
      </c>
      <c r="L36" s="31"/>
    </row>
    <row r="37" spans="1:12" s="29" customFormat="1" ht="14.25" customHeight="1" x14ac:dyDescent="0.25">
      <c r="A37" s="150" t="s">
        <v>310</v>
      </c>
      <c r="B37" s="150"/>
      <c r="C37" s="30" t="str">
        <f t="shared" si="0"/>
        <v/>
      </c>
      <c r="D37" s="147" t="str">
        <f>IFERROR(VLOOKUP($A37,Sheet1!$A$1:$B$80,2,0),"")</f>
        <v/>
      </c>
      <c r="E37" s="30" t="str">
        <f>IFERROR(VLOOKUP($A37,'Tổng Đơn'!$A$5:$E$52,5,0),"")</f>
        <v/>
      </c>
      <c r="F37" s="30" t="str">
        <f t="shared" si="1"/>
        <v/>
      </c>
      <c r="G37" s="155" t="str">
        <f>IF(AND($C37="",$C36&lt;&gt;""),"Tổng Cộng",IFERROR(VLOOKUP($A37,Sheet1!$A$1:$D$80,4,0),""))</f>
        <v/>
      </c>
      <c r="H37" s="148" t="str">
        <f>IF($C36=MAX($C$8:$C$56),SUM($H$8:$H36),IFERROR($G37*$F37,""))</f>
        <v/>
      </c>
      <c r="I37" s="54" t="str">
        <f t="shared" si="2"/>
        <v/>
      </c>
      <c r="L37" s="31"/>
    </row>
    <row r="38" spans="1:12" s="29" customFormat="1" ht="14.25" customHeight="1" x14ac:dyDescent="0.25">
      <c r="A38" s="150"/>
      <c r="B38" s="150"/>
      <c r="C38" s="33"/>
      <c r="D38" s="34"/>
      <c r="E38" s="52"/>
      <c r="F38" s="30"/>
      <c r="G38" s="156" t="str">
        <f>IF(AND($C38="",$C37&lt;&gt;""),"Tổng Cộng",IFERROR(VLOOKUP($A38,Sheet1!$A$1:$D$80,4,0),""))</f>
        <v/>
      </c>
      <c r="H38" s="35" t="str">
        <f>IF($C37=MAX($C$8:$C$56),SUM($H$8:$H37),IFERROR($G38*$F38,""))</f>
        <v/>
      </c>
      <c r="I38" s="54"/>
      <c r="L38" s="31"/>
    </row>
    <row r="39" spans="1:12" ht="15" customHeight="1" x14ac:dyDescent="0.25">
      <c r="F39" s="36"/>
      <c r="G39" s="139"/>
      <c r="H39" s="37"/>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C38:E38 D23:E37 F23:H38">
    <cfRule type="expression" dxfId="263" priority="22">
      <formula>$C22=MAX($C$8:$C$37)</formula>
    </cfRule>
  </conditionalFormatting>
  <conditionalFormatting sqref="C23:C37">
    <cfRule type="expression" dxfId="262" priority="21">
      <formula>$C22=MAX($C$8:$C$37)</formula>
    </cfRule>
  </conditionalFormatting>
  <conditionalFormatting sqref="E23:E38">
    <cfRule type="expression" dxfId="261" priority="23">
      <formula>AND($A23="",$F23&lt;&gt;"")</formula>
    </cfRule>
  </conditionalFormatting>
  <conditionalFormatting sqref="F23:F38">
    <cfRule type="expression" dxfId="260" priority="24">
      <formula>AND($F23="",$A23&lt;&gt;"")</formula>
    </cfRule>
  </conditionalFormatting>
  <conditionalFormatting sqref="D20:H22">
    <cfRule type="expression" dxfId="259" priority="18">
      <formula>$C19=MAX($C$8:$C$37)</formula>
    </cfRule>
  </conditionalFormatting>
  <conditionalFormatting sqref="C20:C22">
    <cfRule type="expression" dxfId="258" priority="17">
      <formula>$C19=MAX($C$8:$C$37)</formula>
    </cfRule>
  </conditionalFormatting>
  <conditionalFormatting sqref="E20:E22">
    <cfRule type="expression" dxfId="257" priority="19">
      <formula>AND($A20="",$F20&lt;&gt;"")</formula>
    </cfRule>
  </conditionalFormatting>
  <conditionalFormatting sqref="F20:F22">
    <cfRule type="expression" dxfId="256" priority="20">
      <formula>AND($F20="",$A20&lt;&gt;"")</formula>
    </cfRule>
  </conditionalFormatting>
  <conditionalFormatting sqref="D15:H19 D12:F14 H12:H14">
    <cfRule type="expression" dxfId="255" priority="14">
      <formula>$C11=MAX($C$8:$C$37)</formula>
    </cfRule>
  </conditionalFormatting>
  <conditionalFormatting sqref="C12:C19">
    <cfRule type="expression" dxfId="254" priority="13">
      <formula>$C11=MAX($C$8:$C$37)</formula>
    </cfRule>
  </conditionalFormatting>
  <conditionalFormatting sqref="E12:E19">
    <cfRule type="expression" dxfId="253" priority="15">
      <formula>AND($A12="",$F12&lt;&gt;"")</formula>
    </cfRule>
  </conditionalFormatting>
  <conditionalFormatting sqref="F12:F19">
    <cfRule type="expression" dxfId="252" priority="16">
      <formula>AND($F12="",$A12&lt;&gt;"")</formula>
    </cfRule>
  </conditionalFormatting>
  <conditionalFormatting sqref="G12:G14">
    <cfRule type="expression" dxfId="251" priority="12">
      <formula>$C11=MAX($C$8:$C$37)</formula>
    </cfRule>
  </conditionalFormatting>
  <conditionalFormatting sqref="D9:F11 H9:H11">
    <cfRule type="expression" dxfId="250" priority="9">
      <formula>$C8=MAX($C$8:$C$37)</formula>
    </cfRule>
  </conditionalFormatting>
  <conditionalFormatting sqref="C9:C11">
    <cfRule type="expression" dxfId="249" priority="8">
      <formula>$C8=MAX($C$8:$C$37)</formula>
    </cfRule>
  </conditionalFormatting>
  <conditionalFormatting sqref="E9:E11">
    <cfRule type="expression" dxfId="248" priority="10">
      <formula>AND($A9="",$F9&lt;&gt;"")</formula>
    </cfRule>
  </conditionalFormatting>
  <conditionalFormatting sqref="F9:F11">
    <cfRule type="expression" dxfId="247" priority="11">
      <formula>AND($F9="",$A9&lt;&gt;"")</formula>
    </cfRule>
  </conditionalFormatting>
  <conditionalFormatting sqref="D8:F8">
    <cfRule type="expression" dxfId="246" priority="5">
      <formula>$C7=MAX($C$8:$C$37)</formula>
    </cfRule>
  </conditionalFormatting>
  <conditionalFormatting sqref="C8">
    <cfRule type="expression" dxfId="245" priority="4">
      <formula>$C7=MAX($C$8:$C$37)</formula>
    </cfRule>
  </conditionalFormatting>
  <conditionalFormatting sqref="E8">
    <cfRule type="expression" dxfId="244" priority="6">
      <formula>AND($A8="",$F8&lt;&gt;"")</formula>
    </cfRule>
  </conditionalFormatting>
  <conditionalFormatting sqref="F8">
    <cfRule type="expression" dxfId="243" priority="7">
      <formula>AND($F8="",$A8&lt;&gt;"")</formula>
    </cfRule>
  </conditionalFormatting>
  <conditionalFormatting sqref="H8">
    <cfRule type="expression" dxfId="242" priority="3">
      <formula>$C7=MAX($C$8:$C$37)</formula>
    </cfRule>
  </conditionalFormatting>
  <conditionalFormatting sqref="G9:G11">
    <cfRule type="expression" dxfId="241" priority="2">
      <formula>$C8=MAX($C$8:$C$37)</formula>
    </cfRule>
  </conditionalFormatting>
  <conditionalFormatting sqref="G8">
    <cfRule type="expression" dxfId="240" priority="1">
      <formula>$C7=MAX($C$8:$C$37)</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1540097" r:id="rId4" name="Button 1">
              <controlPr defaultSize="0" print="0" autoFill="0" autoPict="0" macro="[0]!Macro4">
                <anchor moveWithCells="1" sizeWithCells="1">
                  <from>
                    <xdr:col>0</xdr:col>
                    <xdr:colOff>0</xdr:colOff>
                    <xdr:row>0</xdr:row>
                    <xdr:rowOff>0</xdr:rowOff>
                  </from>
                  <to>
                    <xdr:col>1</xdr:col>
                    <xdr:colOff>769620</xdr:colOff>
                    <xdr:row>7</xdr:row>
                    <xdr:rowOff>0</xdr:rowOff>
                  </to>
                </anchor>
              </controlPr>
            </control>
          </mc:Choice>
        </mc:AlternateContent>
      </controls>
    </mc:Choice>
  </mc:AlternateContent>
</worksheet>
</file>

<file path=xl/worksheets/sheet2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B3FCCFC-DAC7-4E51-A170-6172C99D3564}">
  <sheetPr codeName="Sheet43">
    <tabColor theme="1"/>
    <pageSetUpPr fitToPage="1"/>
  </sheetPr>
  <dimension ref="A1:N53"/>
  <sheetViews>
    <sheetView zoomScaleNormal="100" workbookViewId="0">
      <pane ySplit="7" topLeftCell="A8" activePane="bottomLeft" state="frozen"/>
      <selection activeCell="Q2" sqref="Q2"/>
      <selection pane="bottomLeft" activeCell="D7" sqref="D7"/>
    </sheetView>
  </sheetViews>
  <sheetFormatPr defaultColWidth="9.09765625" defaultRowHeight="13.8" x14ac:dyDescent="0.25"/>
  <cols>
    <col min="1" max="1" width="11.69921875" style="14" customWidth="1"/>
    <col min="2" max="2" width="11.296875" style="14" customWidth="1"/>
    <col min="3" max="3" width="9.09765625" style="14"/>
    <col min="4" max="4" width="38.3984375" style="14" bestFit="1" customWidth="1"/>
    <col min="5" max="5" width="12.296875" style="53" bestFit="1" customWidth="1"/>
    <col min="6" max="6" width="11" style="14" customWidth="1"/>
    <col min="7" max="7" width="17.8984375" style="14" customWidth="1"/>
    <col min="8" max="8" width="17.8984375" style="15" customWidth="1"/>
    <col min="9" max="9" width="21.8984375" style="14" customWidth="1"/>
    <col min="10" max="10" width="10.09765625" style="14" customWidth="1"/>
    <col min="11" max="11" width="9.09765625" style="14"/>
    <col min="12" max="12" width="11.69921875" style="14" customWidth="1"/>
    <col min="13" max="14" width="10.09765625" style="14" bestFit="1" customWidth="1"/>
    <col min="15" max="16384" width="9.09765625" style="14"/>
  </cols>
  <sheetData>
    <row r="1" spans="1:14" ht="15.75" customHeight="1" x14ac:dyDescent="0.25">
      <c r="C1" s="268" t="s">
        <v>164</v>
      </c>
      <c r="D1" s="268"/>
      <c r="E1" s="268"/>
      <c r="F1" s="268"/>
      <c r="G1" s="268"/>
      <c r="H1" s="268"/>
    </row>
    <row r="2" spans="1:14" ht="15.75" customHeight="1" x14ac:dyDescent="0.25">
      <c r="C2" s="268"/>
      <c r="D2" s="268"/>
      <c r="E2" s="268"/>
      <c r="F2" s="268"/>
      <c r="G2" s="268"/>
      <c r="H2" s="268"/>
    </row>
    <row r="3" spans="1:14" ht="15" customHeight="1" x14ac:dyDescent="0.25">
      <c r="C3" s="269" t="s">
        <v>166</v>
      </c>
      <c r="D3" s="269"/>
      <c r="E3" s="269"/>
      <c r="F3" s="270" t="s">
        <v>168</v>
      </c>
      <c r="G3" s="270"/>
      <c r="H3" s="270"/>
    </row>
    <row r="4" spans="1:14" x14ac:dyDescent="0.25">
      <c r="C4" s="269" t="s">
        <v>167</v>
      </c>
      <c r="D4" s="269"/>
      <c r="E4" s="269"/>
      <c r="F4" s="271" t="s">
        <v>169</v>
      </c>
      <c r="G4" s="271"/>
      <c r="H4" s="271"/>
    </row>
    <row r="5" spans="1:14" s="140" customFormat="1" ht="21" customHeight="1" x14ac:dyDescent="0.25">
      <c r="C5" s="272" t="s">
        <v>165</v>
      </c>
      <c r="D5" s="272"/>
      <c r="E5" s="272"/>
      <c r="F5" s="272"/>
      <c r="G5" s="272"/>
      <c r="H5" s="272"/>
    </row>
    <row r="6" spans="1:14" s="140" customFormat="1" ht="16.5" customHeight="1" x14ac:dyDescent="0.25">
      <c r="C6" s="149" t="s">
        <v>170</v>
      </c>
      <c r="D6" s="152" t="s">
        <v>313</v>
      </c>
      <c r="E6" s="145"/>
      <c r="F6" s="145"/>
      <c r="G6" s="267" t="str">
        <f ca="1">"Ngày "&amp;DAY(TODAY())&amp;" Tháng "&amp;MONTH(TODAY())&amp;" Năm "&amp;YEAR(TODAY())</f>
        <v>Ngày 22 Tháng 1 Năm 2023</v>
      </c>
      <c r="H6" s="267"/>
    </row>
    <row r="7" spans="1:14" s="144" customFormat="1" ht="24" customHeight="1" x14ac:dyDescent="0.25">
      <c r="A7" s="141" t="s">
        <v>101</v>
      </c>
      <c r="B7" s="141" t="s">
        <v>15</v>
      </c>
      <c r="C7" s="142" t="s">
        <v>0</v>
      </c>
      <c r="D7" s="142" t="s">
        <v>16</v>
      </c>
      <c r="E7" s="146" t="str">
        <f>"Quy cách"&amp;CHAR(10)&amp;"(Kg)"</f>
        <v>Quy cách
(Kg)</v>
      </c>
      <c r="F7" s="142" t="s">
        <v>15</v>
      </c>
      <c r="G7" s="142" t="s">
        <v>17</v>
      </c>
      <c r="H7" s="142" t="s">
        <v>18</v>
      </c>
      <c r="I7" s="143">
        <f>SUBTOTAL(9,I8:I37)</f>
        <v>6.2</v>
      </c>
      <c r="L7" s="140"/>
    </row>
    <row r="8" spans="1:14" s="29" customFormat="1" ht="14.25" customHeight="1" x14ac:dyDescent="0.25">
      <c r="A8" s="150">
        <v>14</v>
      </c>
      <c r="B8" s="150">
        <v>1</v>
      </c>
      <c r="C8" s="30">
        <f t="shared" ref="C8:C37" si="0">IF(OR(SUM($C7,$A8&lt;&gt;"")=0,$A8=""),"",SUM($C7,$A8&lt;&gt;""))</f>
        <v>1</v>
      </c>
      <c r="D8" s="147" t="str">
        <f>IFERROR(VLOOKUP($A8,Sheet1!$A$1:$B$80,2,0),"")</f>
        <v>Phô mai viên (35v)</v>
      </c>
      <c r="E8" s="30">
        <f>IFERROR(VLOOKUP($A8,'Tổng Đơn'!$A$5:$E$52,5,0),"")</f>
        <v>0.5</v>
      </c>
      <c r="F8" s="30">
        <f t="shared" ref="F8:F37" si="1">IF($B8="","",B8)</f>
        <v>1</v>
      </c>
      <c r="G8" s="155">
        <f>IFERROR(VLOOKUP($A8,Sheet1!$A1:$D$80,4,0),"")</f>
        <v>40000</v>
      </c>
      <c r="H8" s="148">
        <f>IF($C7=MAX($C$8:$C$56),SUM($H7:$H$8),IFERROR($G8*$F8,""))</f>
        <v>40000</v>
      </c>
      <c r="I8" s="54">
        <f t="shared" ref="I8:I37" si="2">IF(TYPE($A8)&lt;&gt;1,"",IFERROR(F8*E8,""))</f>
        <v>0.5</v>
      </c>
      <c r="L8" s="32"/>
    </row>
    <row r="9" spans="1:14" s="29" customFormat="1" ht="14.25" customHeight="1" x14ac:dyDescent="0.25">
      <c r="A9" s="150">
        <v>19</v>
      </c>
      <c r="B9" s="150">
        <v>2</v>
      </c>
      <c r="C9" s="30">
        <f t="shared" si="0"/>
        <v>2</v>
      </c>
      <c r="D9" s="147" t="str">
        <f>IFERROR(VLOOKUP($A9,Sheet1!$A$1:$B$80,2,0),"")</f>
        <v>XX Hotdog Phô mai</v>
      </c>
      <c r="E9" s="30">
        <f>IFERROR(VLOOKUP($A9,'Tổng Đơn'!$A$5:$E$52,5,0),"")</f>
        <v>0.5</v>
      </c>
      <c r="F9" s="30">
        <f t="shared" si="1"/>
        <v>2</v>
      </c>
      <c r="G9" s="155">
        <f>IF(AND($C9="",$C8&lt;&gt;""),"Tổng Cộng",IFERROR(VLOOKUP($A9,Sheet1!$A$1:$D$80,4,0),""))</f>
        <v>40000</v>
      </c>
      <c r="H9" s="148">
        <f>IF($C8=MAX($C$8:$C$56),SUM($H$8:$H8),IFERROR($G9*$F9,""))</f>
        <v>80000</v>
      </c>
      <c r="I9" s="54">
        <f t="shared" si="2"/>
        <v>1</v>
      </c>
      <c r="L9" s="31"/>
    </row>
    <row r="10" spans="1:14" s="29" customFormat="1" ht="14.25" customHeight="1" x14ac:dyDescent="0.25">
      <c r="A10" s="150">
        <v>24</v>
      </c>
      <c r="B10" s="150">
        <v>3</v>
      </c>
      <c r="C10" s="30">
        <f t="shared" si="0"/>
        <v>3</v>
      </c>
      <c r="D10" s="147" t="str">
        <f>IFERROR(VLOOKUP($A10,Sheet1!$A$1:$B$80,2,0),"")</f>
        <v>Khoai tây</v>
      </c>
      <c r="E10" s="30">
        <f>IFERROR(VLOOKUP($A10,'Tổng Đơn'!$A$5:$E$52,5,0),"")</f>
        <v>1</v>
      </c>
      <c r="F10" s="30">
        <f t="shared" si="1"/>
        <v>3</v>
      </c>
      <c r="G10" s="155">
        <f>IF(AND($C10="",$C9&lt;&gt;""),"Tổng Cộng",IFERROR(VLOOKUP($A10,Sheet1!$A$1:$D$80,4,0),""))</f>
        <v>65000</v>
      </c>
      <c r="H10" s="148">
        <f>IF($C9=MAX($C$8:$C$56),SUM($H$8:$H9),IFERROR($G10*$F10,""))</f>
        <v>195000</v>
      </c>
      <c r="I10" s="54">
        <f t="shared" si="2"/>
        <v>3</v>
      </c>
      <c r="L10" s="31"/>
    </row>
    <row r="11" spans="1:14" s="29" customFormat="1" ht="14.25" customHeight="1" x14ac:dyDescent="0.25">
      <c r="A11" s="150">
        <v>28</v>
      </c>
      <c r="B11" s="150">
        <v>1</v>
      </c>
      <c r="C11" s="30">
        <f t="shared" si="0"/>
        <v>4</v>
      </c>
      <c r="D11" s="147" t="str">
        <f>IFERROR(VLOOKUP($A11,Sheet1!$A$1:$B$80,2,0),"")</f>
        <v>Há cảo Mini</v>
      </c>
      <c r="E11" s="30">
        <f>IFERROR(VLOOKUP($A11,'Tổng Đơn'!$A$5:$E$52,5,0),"")</f>
        <v>0.2</v>
      </c>
      <c r="F11" s="30">
        <f t="shared" si="1"/>
        <v>1</v>
      </c>
      <c r="G11" s="155">
        <f>IF(AND($C11="",$C10&lt;&gt;""),"Tổng Cộng",IFERROR(VLOOKUP($A11,Sheet1!$A$1:$D$80,4,0),""))</f>
        <v>38000</v>
      </c>
      <c r="H11" s="148">
        <f>IF($C10=MAX($C$8:$C$56),SUM($H$8:$H10),IFERROR($G11*$F11,""))</f>
        <v>38000</v>
      </c>
      <c r="I11" s="54">
        <f t="shared" si="2"/>
        <v>0.2</v>
      </c>
      <c r="L11" s="31"/>
    </row>
    <row r="12" spans="1:14" s="29" customFormat="1" ht="14.25" customHeight="1" x14ac:dyDescent="0.25">
      <c r="A12" s="150">
        <v>36</v>
      </c>
      <c r="B12" s="150">
        <v>3</v>
      </c>
      <c r="C12" s="30">
        <f t="shared" si="0"/>
        <v>5</v>
      </c>
      <c r="D12" s="147" t="str">
        <f>IFERROR(VLOOKUP($A12,Sheet1!$A$1:$B$80,2,0),"")</f>
        <v>Bò viên KK</v>
      </c>
      <c r="E12" s="30">
        <f>IFERROR(VLOOKUP($A12,'Tổng Đơn'!$A$5:$E$52,5,0),"")</f>
        <v>0.5</v>
      </c>
      <c r="F12" s="30">
        <f t="shared" si="1"/>
        <v>3</v>
      </c>
      <c r="G12" s="155">
        <f>IF(AND($C12="",$C11&lt;&gt;""),"Tổng Cộng",IFERROR(VLOOKUP($A12,Sheet1!$A$1:$D$80,4,0),""))</f>
        <v>28000</v>
      </c>
      <c r="H12" s="148">
        <f>IF($C11=MAX($C$8:$C$56),SUM($H$8:$H11),IFERROR($G12*$F12,""))</f>
        <v>84000</v>
      </c>
      <c r="I12" s="54">
        <f t="shared" si="2"/>
        <v>1.5</v>
      </c>
      <c r="J12" s="125"/>
      <c r="L12" s="31"/>
      <c r="N12" s="126"/>
    </row>
    <row r="13" spans="1:14" s="29" customFormat="1" ht="14.25" customHeight="1" x14ac:dyDescent="0.25">
      <c r="A13" s="150" t="s">
        <v>310</v>
      </c>
      <c r="B13" s="150"/>
      <c r="C13" s="30" t="str">
        <f t="shared" si="0"/>
        <v/>
      </c>
      <c r="D13" s="147" t="str">
        <f>IFERROR(VLOOKUP($A13,Sheet1!$A$1:$B$80,2,0),"")</f>
        <v/>
      </c>
      <c r="E13" s="30" t="str">
        <f>IFERROR(VLOOKUP($A13,'Tổng Đơn'!$A$5:$E$52,5,0),"")</f>
        <v/>
      </c>
      <c r="F13" s="30" t="str">
        <f t="shared" si="1"/>
        <v/>
      </c>
      <c r="G13" s="155" t="str">
        <f>IF(AND($C13="",$C12&lt;&gt;""),"Tổng Cộng",IFERROR(VLOOKUP($A13,Sheet1!$A$1:$D$80,4,0),""))</f>
        <v>Tổng Cộng</v>
      </c>
      <c r="H13" s="148">
        <f>IF($C12=MAX($C$8:$C$56),SUM($H$8:$H12),IFERROR($G13*$F13,""))</f>
        <v>437000</v>
      </c>
      <c r="I13" s="54" t="str">
        <f t="shared" si="2"/>
        <v/>
      </c>
      <c r="L13" s="31"/>
    </row>
    <row r="14" spans="1:14" s="29" customFormat="1" ht="14.25" customHeight="1" x14ac:dyDescent="0.25">
      <c r="A14" s="150" t="s">
        <v>310</v>
      </c>
      <c r="B14" s="150"/>
      <c r="C14" s="30" t="str">
        <f t="shared" si="0"/>
        <v/>
      </c>
      <c r="D14" s="147" t="str">
        <f>IFERROR(VLOOKUP($A14,Sheet1!$A$1:$B$80,2,0),"")</f>
        <v/>
      </c>
      <c r="E14" s="30" t="str">
        <f>IFERROR(VLOOKUP($A14,'Tổng Đơn'!$A$5:$E$52,5,0),"")</f>
        <v/>
      </c>
      <c r="F14" s="30" t="str">
        <f t="shared" si="1"/>
        <v/>
      </c>
      <c r="G14" s="155" t="str">
        <f>IF(AND($C14="",$C13&lt;&gt;""),"Tổng Cộng",IFERROR(VLOOKUP($A14,Sheet1!$A$1:$D$80,4,0),""))</f>
        <v/>
      </c>
      <c r="H14" s="148" t="str">
        <f>IF($C13=MAX($C$8:$C$56),SUM($H$8:$H13),IFERROR($G14*$F14,""))</f>
        <v/>
      </c>
      <c r="I14" s="54" t="str">
        <f t="shared" si="2"/>
        <v/>
      </c>
      <c r="L14" s="31"/>
      <c r="M14" s="132"/>
    </row>
    <row r="15" spans="1:14" s="29" customFormat="1" ht="14.25" customHeight="1" x14ac:dyDescent="0.25">
      <c r="A15" s="150" t="s">
        <v>310</v>
      </c>
      <c r="B15" s="150"/>
      <c r="C15" s="30" t="str">
        <f t="shared" si="0"/>
        <v/>
      </c>
      <c r="D15" s="147" t="str">
        <f>IFERROR(VLOOKUP($A15,Sheet1!$A$1:$B$80,2,0),"")</f>
        <v/>
      </c>
      <c r="E15" s="30" t="str">
        <f>IFERROR(VLOOKUP($A15,'Tổng Đơn'!$A$5:$E$52,5,0),"")</f>
        <v/>
      </c>
      <c r="F15" s="30" t="str">
        <f t="shared" si="1"/>
        <v/>
      </c>
      <c r="G15" s="155" t="str">
        <f>IF(AND($C15="",$C14&lt;&gt;""),"Tổng Cộng",IFERROR(VLOOKUP($A15,Sheet1!$A$1:$D$80,4,0),""))</f>
        <v/>
      </c>
      <c r="H15" s="148" t="str">
        <f>IF($C14=MAX($C$8:$C$56),SUM($H$8:$H14),IFERROR($G15*$F15,""))</f>
        <v/>
      </c>
      <c r="I15" s="54" t="str">
        <f t="shared" si="2"/>
        <v/>
      </c>
      <c r="L15" s="31"/>
    </row>
    <row r="16" spans="1:14" s="29" customFormat="1" ht="14.25" customHeight="1" x14ac:dyDescent="0.25">
      <c r="A16" s="150" t="s">
        <v>310</v>
      </c>
      <c r="B16" s="150"/>
      <c r="C16" s="30" t="str">
        <f t="shared" si="0"/>
        <v/>
      </c>
      <c r="D16" s="147" t="str">
        <f>IFERROR(VLOOKUP($A16,Sheet1!$A$1:$B$80,2,0),"")</f>
        <v/>
      </c>
      <c r="E16" s="30" t="str">
        <f>IFERROR(VLOOKUP($A16,'Tổng Đơn'!$A$5:$E$52,5,0),"")</f>
        <v/>
      </c>
      <c r="F16" s="30" t="str">
        <f t="shared" si="1"/>
        <v/>
      </c>
      <c r="G16" s="155" t="str">
        <f>IF(AND($C16="",$C15&lt;&gt;""),"Tổng Cộng",IFERROR(VLOOKUP($A16,Sheet1!$A$1:$D$80,4,0),""))</f>
        <v/>
      </c>
      <c r="H16" s="148" t="str">
        <f>IF($C15=MAX($C$8:$C$56),SUM($H$8:$H15),IFERROR($G16*$F16,""))</f>
        <v/>
      </c>
      <c r="I16" s="54" t="str">
        <f t="shared" si="2"/>
        <v/>
      </c>
      <c r="L16" s="31"/>
    </row>
    <row r="17" spans="1:12" s="29" customFormat="1" ht="14.25" customHeight="1" x14ac:dyDescent="0.25">
      <c r="A17" s="150" t="s">
        <v>310</v>
      </c>
      <c r="B17" s="150"/>
      <c r="C17" s="30" t="str">
        <f t="shared" si="0"/>
        <v/>
      </c>
      <c r="D17" s="147" t="str">
        <f>IFERROR(VLOOKUP($A17,Sheet1!$A$1:$B$80,2,0),"")</f>
        <v/>
      </c>
      <c r="E17" s="30" t="str">
        <f>IFERROR(VLOOKUP($A17,'Tổng Đơn'!$A$5:$E$52,5,0),"")</f>
        <v/>
      </c>
      <c r="F17" s="30" t="str">
        <f t="shared" si="1"/>
        <v/>
      </c>
      <c r="G17" s="155" t="str">
        <f>IF(AND($C17="",$C16&lt;&gt;""),"Tổng Cộng",IFERROR(VLOOKUP($A17,Sheet1!$A$1:$D$80,4,0),""))</f>
        <v/>
      </c>
      <c r="H17" s="148" t="str">
        <f>IF($C16=MAX($C$8:$C$56),SUM($H$8:$H16),IFERROR($G17*$F17,""))</f>
        <v/>
      </c>
      <c r="I17" s="54" t="str">
        <f t="shared" si="2"/>
        <v/>
      </c>
      <c r="L17" s="31"/>
    </row>
    <row r="18" spans="1:12" s="29" customFormat="1" ht="14.25" customHeight="1" x14ac:dyDescent="0.25">
      <c r="A18" s="150" t="s">
        <v>310</v>
      </c>
      <c r="B18" s="150"/>
      <c r="C18" s="30" t="str">
        <f t="shared" si="0"/>
        <v/>
      </c>
      <c r="D18" s="147" t="str">
        <f>IFERROR(VLOOKUP($A18,Sheet1!$A$1:$B$80,2,0),"")</f>
        <v/>
      </c>
      <c r="E18" s="30" t="str">
        <f>IFERROR(VLOOKUP($A18,'Tổng Đơn'!$A$5:$E$52,5,0),"")</f>
        <v/>
      </c>
      <c r="F18" s="30" t="str">
        <f t="shared" si="1"/>
        <v/>
      </c>
      <c r="G18" s="155" t="str">
        <f>IF(AND($C18="",$C17&lt;&gt;""),"Tổng Cộng",IFERROR(VLOOKUP($A18,Sheet1!$A$1:$D$80,4,0),""))</f>
        <v/>
      </c>
      <c r="H18" s="148" t="str">
        <f>IF($C17=MAX($C$8:$C$56),SUM($H$8:$H17),IFERROR($G18*$F18,""))</f>
        <v/>
      </c>
      <c r="I18" s="54" t="str">
        <f t="shared" si="2"/>
        <v/>
      </c>
      <c r="L18" s="31"/>
    </row>
    <row r="19" spans="1:12" s="29" customFormat="1" ht="14.25" customHeight="1" x14ac:dyDescent="0.25">
      <c r="A19" s="150" t="s">
        <v>310</v>
      </c>
      <c r="B19" s="150"/>
      <c r="C19" s="30" t="str">
        <f t="shared" si="0"/>
        <v/>
      </c>
      <c r="D19" s="147" t="str">
        <f>IFERROR(VLOOKUP($A19,Sheet1!$A$1:$B$80,2,0),"")</f>
        <v/>
      </c>
      <c r="E19" s="30" t="str">
        <f>IFERROR(VLOOKUP($A19,'Tổng Đơn'!$A$5:$E$52,5,0),"")</f>
        <v/>
      </c>
      <c r="F19" s="30" t="str">
        <f t="shared" si="1"/>
        <v/>
      </c>
      <c r="G19" s="155" t="str">
        <f>IF(AND($C19="",$C18&lt;&gt;""),"Tổng Cộng",IFERROR(VLOOKUP($A19,Sheet1!$A$1:$D$80,4,0),""))</f>
        <v/>
      </c>
      <c r="H19" s="148" t="str">
        <f>IF($C18=MAX($C$8:$C$56),SUM($H$8:$H18),IFERROR($G19*$F19,""))</f>
        <v/>
      </c>
      <c r="I19" s="54" t="str">
        <f t="shared" si="2"/>
        <v/>
      </c>
      <c r="L19" s="31"/>
    </row>
    <row r="20" spans="1:12" s="29" customFormat="1" ht="14.25" customHeight="1" x14ac:dyDescent="0.25">
      <c r="A20" s="150" t="s">
        <v>310</v>
      </c>
      <c r="B20" s="150"/>
      <c r="C20" s="30" t="str">
        <f t="shared" si="0"/>
        <v/>
      </c>
      <c r="D20" s="147" t="str">
        <f>IFERROR(VLOOKUP($A20,Sheet1!$A$1:$B$80,2,0),"")</f>
        <v/>
      </c>
      <c r="E20" s="30" t="str">
        <f>IFERROR(VLOOKUP($A20,'Tổng Đơn'!$A$5:$E$52,5,0),"")</f>
        <v/>
      </c>
      <c r="F20" s="30" t="str">
        <f t="shared" si="1"/>
        <v/>
      </c>
      <c r="G20" s="155" t="str">
        <f>IF(AND($C20="",$C19&lt;&gt;""),"Tổng Cộng",IFERROR(VLOOKUP($A20,Sheet1!$A$1:$D$80,4,0),""))</f>
        <v/>
      </c>
      <c r="H20" s="148" t="str">
        <f>IF($C19=MAX($C$8:$C$56),SUM($H$8:$H19),IFERROR($G20*$F20,""))</f>
        <v/>
      </c>
      <c r="I20" s="54" t="str">
        <f t="shared" si="2"/>
        <v/>
      </c>
      <c r="L20" s="31"/>
    </row>
    <row r="21" spans="1:12" s="29" customFormat="1" ht="14.25" customHeight="1" x14ac:dyDescent="0.25">
      <c r="A21" s="150" t="s">
        <v>310</v>
      </c>
      <c r="B21" s="150"/>
      <c r="C21" s="30" t="str">
        <f t="shared" si="0"/>
        <v/>
      </c>
      <c r="D21" s="147" t="str">
        <f>IFERROR(VLOOKUP($A21,Sheet1!$A$1:$B$80,2,0),"")</f>
        <v/>
      </c>
      <c r="E21" s="30" t="str">
        <f>IFERROR(VLOOKUP($A21,'Tổng Đơn'!$A$5:$E$52,5,0),"")</f>
        <v/>
      </c>
      <c r="F21" s="30" t="str">
        <f t="shared" si="1"/>
        <v/>
      </c>
      <c r="G21" s="155" t="str">
        <f>IF(AND($C21="",$C20&lt;&gt;""),"Tổng Cộng",IFERROR(VLOOKUP($A21,Sheet1!$A$1:$D$80,4,0),""))</f>
        <v/>
      </c>
      <c r="H21" s="148" t="str">
        <f>IF($C20=MAX($C$8:$C$56),SUM($H$8:$H20),IFERROR($G21*$F21,""))</f>
        <v/>
      </c>
      <c r="I21" s="54" t="str">
        <f t="shared" si="2"/>
        <v/>
      </c>
      <c r="L21" s="31"/>
    </row>
    <row r="22" spans="1:12" s="29" customFormat="1" ht="14.25" customHeight="1" x14ac:dyDescent="0.25">
      <c r="A22" s="150" t="s">
        <v>310</v>
      </c>
      <c r="B22" s="150"/>
      <c r="C22" s="30" t="str">
        <f t="shared" si="0"/>
        <v/>
      </c>
      <c r="D22" s="147" t="str">
        <f>IFERROR(VLOOKUP($A22,Sheet1!$A$1:$B$80,2,0),"")</f>
        <v/>
      </c>
      <c r="E22" s="30" t="str">
        <f>IFERROR(VLOOKUP($A22,'Tổng Đơn'!$A$5:$E$52,5,0),"")</f>
        <v/>
      </c>
      <c r="F22" s="30" t="str">
        <f t="shared" si="1"/>
        <v/>
      </c>
      <c r="G22" s="155" t="str">
        <f>IF(AND($C22="",$C21&lt;&gt;""),"Tổng Cộng",IFERROR(VLOOKUP($A22,Sheet1!$A$1:$D$80,4,0),""))</f>
        <v/>
      </c>
      <c r="H22" s="148" t="str">
        <f>IF($C21=MAX($C$8:$C$56),SUM($H$8:$H21),IFERROR($G22*$F22,""))</f>
        <v/>
      </c>
      <c r="I22" s="54" t="str">
        <f t="shared" si="2"/>
        <v/>
      </c>
      <c r="L22" s="31"/>
    </row>
    <row r="23" spans="1:12" s="29" customFormat="1" ht="14.25" customHeight="1" x14ac:dyDescent="0.25">
      <c r="A23" s="150" t="s">
        <v>310</v>
      </c>
      <c r="B23" s="150"/>
      <c r="C23" s="30" t="str">
        <f t="shared" si="0"/>
        <v/>
      </c>
      <c r="D23" s="147" t="str">
        <f>IFERROR(VLOOKUP($A23,Sheet1!$A$1:$B$80,2,0),"")</f>
        <v/>
      </c>
      <c r="E23" s="30" t="str">
        <f>IFERROR(VLOOKUP($A23,'Tổng Đơn'!$A$5:$E$52,5,0),"")</f>
        <v/>
      </c>
      <c r="F23" s="30" t="str">
        <f t="shared" si="1"/>
        <v/>
      </c>
      <c r="G23" s="155" t="str">
        <f>IF(AND($C23="",$C22&lt;&gt;""),"Tổng Cộng",IFERROR(VLOOKUP($A23,Sheet1!$A$1:$D$80,4,0),""))</f>
        <v/>
      </c>
      <c r="H23" s="148" t="str">
        <f>IF($C22=MAX($C$8:$C$56),SUM($H$8:$H22),IFERROR($G23*$F23,""))</f>
        <v/>
      </c>
      <c r="I23" s="54" t="str">
        <f t="shared" si="2"/>
        <v/>
      </c>
      <c r="L23" s="31"/>
    </row>
    <row r="24" spans="1:12" s="29" customFormat="1" ht="14.25" customHeight="1" x14ac:dyDescent="0.25">
      <c r="A24" s="150" t="s">
        <v>310</v>
      </c>
      <c r="B24" s="150"/>
      <c r="C24" s="30" t="str">
        <f t="shared" si="0"/>
        <v/>
      </c>
      <c r="D24" s="147" t="str">
        <f>IFERROR(VLOOKUP($A24,Sheet1!$A$1:$B$80,2,0),"")</f>
        <v/>
      </c>
      <c r="E24" s="30" t="str">
        <f>IFERROR(VLOOKUP($A24,'Tổng Đơn'!$A$5:$E$52,5,0),"")</f>
        <v/>
      </c>
      <c r="F24" s="30" t="str">
        <f t="shared" si="1"/>
        <v/>
      </c>
      <c r="G24" s="155" t="str">
        <f>IF(AND($C24="",$C23&lt;&gt;""),"Tổng Cộng",IFERROR(VLOOKUP($A24,Sheet1!$A$1:$D$80,4,0),""))</f>
        <v/>
      </c>
      <c r="H24" s="148" t="str">
        <f>IF($C23=MAX($C$8:$C$56),SUM($H$8:$H23),IFERROR($G24*$F24,""))</f>
        <v/>
      </c>
      <c r="I24" s="54" t="str">
        <f t="shared" si="2"/>
        <v/>
      </c>
      <c r="L24" s="31"/>
    </row>
    <row r="25" spans="1:12" s="29" customFormat="1" ht="14.25" customHeight="1" x14ac:dyDescent="0.25">
      <c r="A25" s="150" t="s">
        <v>310</v>
      </c>
      <c r="B25" s="150"/>
      <c r="C25" s="30" t="str">
        <f t="shared" si="0"/>
        <v/>
      </c>
      <c r="D25" s="147" t="str">
        <f>IFERROR(VLOOKUP($A25,Sheet1!$A$1:$B$80,2,0),"")</f>
        <v/>
      </c>
      <c r="E25" s="30" t="str">
        <f>IFERROR(VLOOKUP($A25,'Tổng Đơn'!$A$5:$E$52,5,0),"")</f>
        <v/>
      </c>
      <c r="F25" s="30" t="str">
        <f t="shared" si="1"/>
        <v/>
      </c>
      <c r="G25" s="155" t="str">
        <f>IF(AND($C25="",$C24&lt;&gt;""),"Tổng Cộng",IFERROR(VLOOKUP($A25,Sheet1!$A$1:$D$80,4,0),""))</f>
        <v/>
      </c>
      <c r="H25" s="148" t="str">
        <f>IF($C24=MAX($C$8:$C$56),SUM($H$8:$H24),IFERROR($G25*$F25,""))</f>
        <v/>
      </c>
      <c r="I25" s="54" t="str">
        <f t="shared" si="2"/>
        <v/>
      </c>
      <c r="L25" s="31"/>
    </row>
    <row r="26" spans="1:12" s="29" customFormat="1" ht="14.25" customHeight="1" x14ac:dyDescent="0.25">
      <c r="A26" s="150" t="s">
        <v>310</v>
      </c>
      <c r="B26" s="150"/>
      <c r="C26" s="30" t="str">
        <f t="shared" si="0"/>
        <v/>
      </c>
      <c r="D26" s="147" t="str">
        <f>IFERROR(VLOOKUP($A26,Sheet1!$A$1:$B$80,2,0),"")</f>
        <v/>
      </c>
      <c r="E26" s="30" t="str">
        <f>IFERROR(VLOOKUP($A26,'Tổng Đơn'!$A$5:$E$52,5,0),"")</f>
        <v/>
      </c>
      <c r="F26" s="30" t="str">
        <f t="shared" si="1"/>
        <v/>
      </c>
      <c r="G26" s="155" t="str">
        <f>IF(AND($C26="",$C25&lt;&gt;""),"Tổng Cộng",IFERROR(VLOOKUP($A26,Sheet1!$A$1:$D$80,4,0),""))</f>
        <v/>
      </c>
      <c r="H26" s="148" t="str">
        <f>IF($C25=MAX($C$8:$C$56),SUM($H$8:$H25),IFERROR($G26*$F26,""))</f>
        <v/>
      </c>
      <c r="I26" s="54" t="str">
        <f t="shared" si="2"/>
        <v/>
      </c>
      <c r="L26" s="31"/>
    </row>
    <row r="27" spans="1:12" s="29" customFormat="1" ht="14.25" customHeight="1" x14ac:dyDescent="0.25">
      <c r="A27" s="150" t="s">
        <v>310</v>
      </c>
      <c r="B27" s="150"/>
      <c r="C27" s="30" t="str">
        <f t="shared" si="0"/>
        <v/>
      </c>
      <c r="D27" s="147" t="str">
        <f>IFERROR(VLOOKUP($A27,Sheet1!$A$1:$B$80,2,0),"")</f>
        <v/>
      </c>
      <c r="E27" s="30" t="str">
        <f>IFERROR(VLOOKUP($A27,'Tổng Đơn'!$A$5:$E$52,5,0),"")</f>
        <v/>
      </c>
      <c r="F27" s="30" t="str">
        <f t="shared" si="1"/>
        <v/>
      </c>
      <c r="G27" s="155" t="str">
        <f>IF(AND($C27="",$C26&lt;&gt;""),"Tổng Cộng",IFERROR(VLOOKUP($A27,Sheet1!$A$1:$D$80,4,0),""))</f>
        <v/>
      </c>
      <c r="H27" s="148" t="str">
        <f>IF($C26=MAX($C$8:$C$56),SUM($H$8:$H26),IFERROR($G27*$F27,""))</f>
        <v/>
      </c>
      <c r="I27" s="54" t="str">
        <f t="shared" si="2"/>
        <v/>
      </c>
      <c r="L27" s="31"/>
    </row>
    <row r="28" spans="1:12" s="29" customFormat="1" ht="14.25" customHeight="1" x14ac:dyDescent="0.25">
      <c r="A28" s="150" t="s">
        <v>310</v>
      </c>
      <c r="B28" s="150"/>
      <c r="C28" s="30" t="str">
        <f t="shared" si="0"/>
        <v/>
      </c>
      <c r="D28" s="147" t="str">
        <f>IFERROR(VLOOKUP($A28,Sheet1!$A$1:$B$80,2,0),"")</f>
        <v/>
      </c>
      <c r="E28" s="30" t="str">
        <f>IFERROR(VLOOKUP($A28,'Tổng Đơn'!$A$5:$E$52,5,0),"")</f>
        <v/>
      </c>
      <c r="F28" s="30" t="str">
        <f t="shared" si="1"/>
        <v/>
      </c>
      <c r="G28" s="155" t="str">
        <f>IF(AND($C28="",$C27&lt;&gt;""),"Tổng Cộng",IFERROR(VLOOKUP($A28,Sheet1!$A$1:$D$80,4,0),""))</f>
        <v/>
      </c>
      <c r="H28" s="148" t="str">
        <f>IF($C27=MAX($C$8:$C$56),SUM($H$8:$H27),IFERROR($G28*$F28,""))</f>
        <v/>
      </c>
      <c r="I28" s="54" t="str">
        <f t="shared" si="2"/>
        <v/>
      </c>
      <c r="L28" s="31"/>
    </row>
    <row r="29" spans="1:12" s="29" customFormat="1" ht="14.25" customHeight="1" x14ac:dyDescent="0.25">
      <c r="A29" s="150" t="s">
        <v>310</v>
      </c>
      <c r="B29" s="150"/>
      <c r="C29" s="30" t="str">
        <f t="shared" si="0"/>
        <v/>
      </c>
      <c r="D29" s="147" t="str">
        <f>IFERROR(VLOOKUP($A29,Sheet1!$A$1:$B$80,2,0),"")</f>
        <v/>
      </c>
      <c r="E29" s="30" t="str">
        <f>IFERROR(VLOOKUP($A29,'Tổng Đơn'!$A$5:$E$52,5,0),"")</f>
        <v/>
      </c>
      <c r="F29" s="30" t="str">
        <f t="shared" si="1"/>
        <v/>
      </c>
      <c r="G29" s="155" t="str">
        <f>IF(AND($C29="",$C28&lt;&gt;""),"Tổng Cộng",IFERROR(VLOOKUP($A29,Sheet1!$A$1:$D$80,4,0),""))</f>
        <v/>
      </c>
      <c r="H29" s="148" t="str">
        <f>IF($C28=MAX($C$8:$C$56),SUM($H$8:$H28),IFERROR($G29*$F29,""))</f>
        <v/>
      </c>
      <c r="I29" s="54" t="str">
        <f t="shared" si="2"/>
        <v/>
      </c>
      <c r="L29" s="31"/>
    </row>
    <row r="30" spans="1:12" s="29" customFormat="1" ht="14.25" customHeight="1" x14ac:dyDescent="0.25">
      <c r="A30" s="150" t="s">
        <v>310</v>
      </c>
      <c r="B30" s="150"/>
      <c r="C30" s="30" t="str">
        <f t="shared" si="0"/>
        <v/>
      </c>
      <c r="D30" s="147" t="str">
        <f>IFERROR(VLOOKUP($A30,Sheet1!$A$1:$B$80,2,0),"")</f>
        <v/>
      </c>
      <c r="E30" s="30" t="str">
        <f>IFERROR(VLOOKUP($A30,'Tổng Đơn'!$A$5:$E$52,5,0),"")</f>
        <v/>
      </c>
      <c r="F30" s="30" t="str">
        <f t="shared" si="1"/>
        <v/>
      </c>
      <c r="G30" s="155" t="str">
        <f>IF(AND($C30="",$C29&lt;&gt;""),"Tổng Cộng",IFERROR(VLOOKUP($A30,Sheet1!$A$1:$D$80,4,0),""))</f>
        <v/>
      </c>
      <c r="H30" s="148" t="str">
        <f>IF($C29=MAX($C$8:$C$56),SUM($H$8:$H29),IFERROR($G30*$F30,""))</f>
        <v/>
      </c>
      <c r="I30" s="54" t="str">
        <f t="shared" si="2"/>
        <v/>
      </c>
      <c r="L30" s="31"/>
    </row>
    <row r="31" spans="1:12" s="29" customFormat="1" ht="14.25" customHeight="1" x14ac:dyDescent="0.25">
      <c r="A31" s="150" t="s">
        <v>310</v>
      </c>
      <c r="B31" s="150"/>
      <c r="C31" s="30" t="str">
        <f t="shared" si="0"/>
        <v/>
      </c>
      <c r="D31" s="147" t="str">
        <f>IFERROR(VLOOKUP($A31,Sheet1!$A$1:$B$80,2,0),"")</f>
        <v/>
      </c>
      <c r="E31" s="30" t="str">
        <f>IFERROR(VLOOKUP($A31,'Tổng Đơn'!$A$5:$E$52,5,0),"")</f>
        <v/>
      </c>
      <c r="F31" s="30" t="str">
        <f t="shared" si="1"/>
        <v/>
      </c>
      <c r="G31" s="155" t="str">
        <f>IF(AND($C31="",$C30&lt;&gt;""),"Tổng Cộng",IFERROR(VLOOKUP($A31,Sheet1!$A$1:$D$80,4,0),""))</f>
        <v/>
      </c>
      <c r="H31" s="148" t="str">
        <f>IF($C30=MAX($C$8:$C$56),SUM($H$8:$H30),IFERROR($G31*$F31,""))</f>
        <v/>
      </c>
      <c r="I31" s="54" t="str">
        <f t="shared" si="2"/>
        <v/>
      </c>
      <c r="L31" s="31"/>
    </row>
    <row r="32" spans="1:12" s="29" customFormat="1" ht="14.25" customHeight="1" x14ac:dyDescent="0.25">
      <c r="A32" s="150" t="s">
        <v>310</v>
      </c>
      <c r="B32" s="150"/>
      <c r="C32" s="30" t="str">
        <f t="shared" si="0"/>
        <v/>
      </c>
      <c r="D32" s="147" t="str">
        <f>IFERROR(VLOOKUP($A32,Sheet1!$A$1:$B$80,2,0),"")</f>
        <v/>
      </c>
      <c r="E32" s="30" t="str">
        <f>IFERROR(VLOOKUP($A32,'Tổng Đơn'!$A$5:$E$52,5,0),"")</f>
        <v/>
      </c>
      <c r="F32" s="30" t="str">
        <f t="shared" si="1"/>
        <v/>
      </c>
      <c r="G32" s="155" t="str">
        <f>IF(AND($C32="",$C31&lt;&gt;""),"Tổng Cộng",IFERROR(VLOOKUP($A32,Sheet1!$A$1:$D$80,4,0),""))</f>
        <v/>
      </c>
      <c r="H32" s="148" t="str">
        <f>IF($C31=MAX($C$8:$C$56),SUM($H$8:$H31),IFERROR($G32*$F32,""))</f>
        <v/>
      </c>
      <c r="I32" s="54" t="str">
        <f t="shared" si="2"/>
        <v/>
      </c>
      <c r="L32" s="31"/>
    </row>
    <row r="33" spans="1:12" s="29" customFormat="1" ht="14.25" customHeight="1" x14ac:dyDescent="0.25">
      <c r="A33" s="150" t="s">
        <v>310</v>
      </c>
      <c r="B33" s="150"/>
      <c r="C33" s="30" t="str">
        <f t="shared" si="0"/>
        <v/>
      </c>
      <c r="D33" s="147" t="str">
        <f>IFERROR(VLOOKUP($A33,Sheet1!$A$1:$B$80,2,0),"")</f>
        <v/>
      </c>
      <c r="E33" s="30" t="str">
        <f>IFERROR(VLOOKUP($A33,'Tổng Đơn'!$A$5:$E$52,5,0),"")</f>
        <v/>
      </c>
      <c r="F33" s="30" t="str">
        <f t="shared" si="1"/>
        <v/>
      </c>
      <c r="G33" s="155" t="str">
        <f>IF(AND($C33="",$C32&lt;&gt;""),"Tổng Cộng",IFERROR(VLOOKUP($A33,Sheet1!$A$1:$D$80,4,0),""))</f>
        <v/>
      </c>
      <c r="H33" s="148" t="str">
        <f>IF($C32=MAX($C$8:$C$56),SUM($H$8:$H32),IFERROR($G33*$F33,""))</f>
        <v/>
      </c>
      <c r="I33" s="54" t="str">
        <f t="shared" si="2"/>
        <v/>
      </c>
      <c r="L33" s="31"/>
    </row>
    <row r="34" spans="1:12" s="29" customFormat="1" ht="14.25" customHeight="1" x14ac:dyDescent="0.25">
      <c r="A34" s="150" t="s">
        <v>310</v>
      </c>
      <c r="B34" s="150"/>
      <c r="C34" s="30" t="str">
        <f t="shared" si="0"/>
        <v/>
      </c>
      <c r="D34" s="147" t="str">
        <f>IFERROR(VLOOKUP($A34,Sheet1!$A$1:$B$80,2,0),"")</f>
        <v/>
      </c>
      <c r="E34" s="30" t="str">
        <f>IFERROR(VLOOKUP($A34,'Tổng Đơn'!$A$5:$E$52,5,0),"")</f>
        <v/>
      </c>
      <c r="F34" s="30" t="str">
        <f t="shared" si="1"/>
        <v/>
      </c>
      <c r="G34" s="155" t="str">
        <f>IF(AND($C34="",$C33&lt;&gt;""),"Tổng Cộng",IFERROR(VLOOKUP($A34,Sheet1!$A$1:$D$80,4,0),""))</f>
        <v/>
      </c>
      <c r="H34" s="148" t="str">
        <f>IF($C33=MAX($C$8:$C$56),SUM($H$8:$H33),IFERROR($G34*$F34,""))</f>
        <v/>
      </c>
      <c r="I34" s="54" t="str">
        <f t="shared" si="2"/>
        <v/>
      </c>
      <c r="L34" s="31"/>
    </row>
    <row r="35" spans="1:12" s="29" customFormat="1" ht="14.25" customHeight="1" x14ac:dyDescent="0.25">
      <c r="A35" s="150" t="s">
        <v>310</v>
      </c>
      <c r="B35" s="150"/>
      <c r="C35" s="30" t="str">
        <f t="shared" si="0"/>
        <v/>
      </c>
      <c r="D35" s="147" t="str">
        <f>IFERROR(VLOOKUP($A35,Sheet1!$A$1:$B$80,2,0),"")</f>
        <v/>
      </c>
      <c r="E35" s="30" t="str">
        <f>IFERROR(VLOOKUP($A35,'Tổng Đơn'!$A$5:$E$52,5,0),"")</f>
        <v/>
      </c>
      <c r="F35" s="30" t="str">
        <f t="shared" si="1"/>
        <v/>
      </c>
      <c r="G35" s="155" t="str">
        <f>IF(AND($C35="",$C34&lt;&gt;""),"Tổng Cộng",IFERROR(VLOOKUP($A35,Sheet1!$A$1:$D$80,4,0),""))</f>
        <v/>
      </c>
      <c r="H35" s="148" t="str">
        <f>IF($C34=MAX($C$8:$C$56),SUM($H$8:$H34),IFERROR($G35*$F35,""))</f>
        <v/>
      </c>
      <c r="I35" s="54" t="str">
        <f t="shared" si="2"/>
        <v/>
      </c>
      <c r="L35" s="31"/>
    </row>
    <row r="36" spans="1:12" s="29" customFormat="1" ht="14.25" customHeight="1" x14ac:dyDescent="0.25">
      <c r="A36" s="150" t="s">
        <v>310</v>
      </c>
      <c r="B36" s="150"/>
      <c r="C36" s="30" t="str">
        <f t="shared" si="0"/>
        <v/>
      </c>
      <c r="D36" s="147" t="str">
        <f>IFERROR(VLOOKUP($A36,Sheet1!$A$1:$B$80,2,0),"")</f>
        <v/>
      </c>
      <c r="E36" s="30" t="str">
        <f>IFERROR(VLOOKUP($A36,'Tổng Đơn'!$A$5:$E$52,5,0),"")</f>
        <v/>
      </c>
      <c r="F36" s="30" t="str">
        <f t="shared" si="1"/>
        <v/>
      </c>
      <c r="G36" s="155" t="str">
        <f>IF(AND($C36="",$C35&lt;&gt;""),"Tổng Cộng",IFERROR(VLOOKUP($A36,Sheet1!$A$1:$D$80,4,0),""))</f>
        <v/>
      </c>
      <c r="H36" s="148" t="str">
        <f>IF($C35=MAX($C$8:$C$56),SUM($H$8:$H35),IFERROR($G36*$F36,""))</f>
        <v/>
      </c>
      <c r="I36" s="54" t="str">
        <f t="shared" si="2"/>
        <v/>
      </c>
      <c r="L36" s="31"/>
    </row>
    <row r="37" spans="1:12" s="29" customFormat="1" ht="14.25" customHeight="1" x14ac:dyDescent="0.25">
      <c r="A37" s="150" t="s">
        <v>310</v>
      </c>
      <c r="B37" s="150"/>
      <c r="C37" s="30" t="str">
        <f t="shared" si="0"/>
        <v/>
      </c>
      <c r="D37" s="147" t="str">
        <f>IFERROR(VLOOKUP($A37,Sheet1!$A$1:$B$80,2,0),"")</f>
        <v/>
      </c>
      <c r="E37" s="30" t="str">
        <f>IFERROR(VLOOKUP($A37,'Tổng Đơn'!$A$5:$E$52,5,0),"")</f>
        <v/>
      </c>
      <c r="F37" s="30" t="str">
        <f t="shared" si="1"/>
        <v/>
      </c>
      <c r="G37" s="155" t="str">
        <f>IF(AND($C37="",$C36&lt;&gt;""),"Tổng Cộng",IFERROR(VLOOKUP($A37,Sheet1!$A$1:$D$80,4,0),""))</f>
        <v/>
      </c>
      <c r="H37" s="148" t="str">
        <f>IF($C36=MAX($C$8:$C$56),SUM($H$8:$H36),IFERROR($G37*$F37,""))</f>
        <v/>
      </c>
      <c r="I37" s="54" t="str">
        <f t="shared" si="2"/>
        <v/>
      </c>
      <c r="L37" s="31"/>
    </row>
    <row r="38" spans="1:12" s="29" customFormat="1" ht="14.25" customHeight="1" x14ac:dyDescent="0.25">
      <c r="A38" s="150"/>
      <c r="B38" s="150"/>
      <c r="C38" s="33"/>
      <c r="D38" s="34"/>
      <c r="E38" s="52"/>
      <c r="F38" s="30"/>
      <c r="G38" s="156" t="str">
        <f>IF(AND($C38="",$C37&lt;&gt;""),"Tổng Cộng",IFERROR(VLOOKUP($A38,Sheet1!$A$1:$D$80,4,0),""))</f>
        <v/>
      </c>
      <c r="H38" s="35" t="str">
        <f>IF($C37=MAX($C$8:$C$56),SUM($H$8:$H37),IFERROR($G38*$F38,""))</f>
        <v/>
      </c>
      <c r="I38" s="54"/>
      <c r="L38" s="31"/>
    </row>
    <row r="39" spans="1:12" ht="15" customHeight="1" x14ac:dyDescent="0.25">
      <c r="F39" s="36"/>
      <c r="G39" s="139"/>
      <c r="H39" s="37"/>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C38:E38 D23:E37 F23:H38">
    <cfRule type="expression" dxfId="239" priority="22">
      <formula>$C22=MAX($C$8:$C$37)</formula>
    </cfRule>
  </conditionalFormatting>
  <conditionalFormatting sqref="C23:C37">
    <cfRule type="expression" dxfId="238" priority="21">
      <formula>$C22=MAX($C$8:$C$37)</formula>
    </cfRule>
  </conditionalFormatting>
  <conditionalFormatting sqref="E23:E38">
    <cfRule type="expression" dxfId="237" priority="23">
      <formula>AND($A23="",$F23&lt;&gt;"")</formula>
    </cfRule>
  </conditionalFormatting>
  <conditionalFormatting sqref="F23:F38">
    <cfRule type="expression" dxfId="236" priority="24">
      <formula>AND($F23="",$A23&lt;&gt;"")</formula>
    </cfRule>
  </conditionalFormatting>
  <conditionalFormatting sqref="D20:H22">
    <cfRule type="expression" dxfId="235" priority="18">
      <formula>$C19=MAX($C$8:$C$37)</formula>
    </cfRule>
  </conditionalFormatting>
  <conditionalFormatting sqref="C20:C22">
    <cfRule type="expression" dxfId="234" priority="17">
      <formula>$C19=MAX($C$8:$C$37)</formula>
    </cfRule>
  </conditionalFormatting>
  <conditionalFormatting sqref="E20:E22">
    <cfRule type="expression" dxfId="233" priority="19">
      <formula>AND($A20="",$F20&lt;&gt;"")</formula>
    </cfRule>
  </conditionalFormatting>
  <conditionalFormatting sqref="F20:F22">
    <cfRule type="expression" dxfId="232" priority="20">
      <formula>AND($F20="",$A20&lt;&gt;"")</formula>
    </cfRule>
  </conditionalFormatting>
  <conditionalFormatting sqref="D15:H19 D12:F14 H12:H14">
    <cfRule type="expression" dxfId="231" priority="14">
      <formula>$C11=MAX($C$8:$C$37)</formula>
    </cfRule>
  </conditionalFormatting>
  <conditionalFormatting sqref="C12:C19">
    <cfRule type="expression" dxfId="230" priority="13">
      <formula>$C11=MAX($C$8:$C$37)</formula>
    </cfRule>
  </conditionalFormatting>
  <conditionalFormatting sqref="E12:E19">
    <cfRule type="expression" dxfId="229" priority="15">
      <formula>AND($A12="",$F12&lt;&gt;"")</formula>
    </cfRule>
  </conditionalFormatting>
  <conditionalFormatting sqref="F12:F19">
    <cfRule type="expression" dxfId="228" priority="16">
      <formula>AND($F12="",$A12&lt;&gt;"")</formula>
    </cfRule>
  </conditionalFormatting>
  <conditionalFormatting sqref="G12:G14">
    <cfRule type="expression" dxfId="227" priority="12">
      <formula>$C11=MAX($C$8:$C$37)</formula>
    </cfRule>
  </conditionalFormatting>
  <conditionalFormatting sqref="D9:F11 H9:H11">
    <cfRule type="expression" dxfId="226" priority="9">
      <formula>$C8=MAX($C$8:$C$37)</formula>
    </cfRule>
  </conditionalFormatting>
  <conditionalFormatting sqref="C9:C11">
    <cfRule type="expression" dxfId="225" priority="8">
      <formula>$C8=MAX($C$8:$C$37)</formula>
    </cfRule>
  </conditionalFormatting>
  <conditionalFormatting sqref="E9:E11">
    <cfRule type="expression" dxfId="224" priority="10">
      <formula>AND($A9="",$F9&lt;&gt;"")</formula>
    </cfRule>
  </conditionalFormatting>
  <conditionalFormatting sqref="F9:F11">
    <cfRule type="expression" dxfId="223" priority="11">
      <formula>AND($F9="",$A9&lt;&gt;"")</formula>
    </cfRule>
  </conditionalFormatting>
  <conditionalFormatting sqref="D8:F8">
    <cfRule type="expression" dxfId="222" priority="5">
      <formula>$C7=MAX($C$8:$C$37)</formula>
    </cfRule>
  </conditionalFormatting>
  <conditionalFormatting sqref="C8">
    <cfRule type="expression" dxfId="221" priority="4">
      <formula>$C7=MAX($C$8:$C$37)</formula>
    </cfRule>
  </conditionalFormatting>
  <conditionalFormatting sqref="E8">
    <cfRule type="expression" dxfId="220" priority="6">
      <formula>AND($A8="",$F8&lt;&gt;"")</formula>
    </cfRule>
  </conditionalFormatting>
  <conditionalFormatting sqref="F8">
    <cfRule type="expression" dxfId="219" priority="7">
      <formula>AND($F8="",$A8&lt;&gt;"")</formula>
    </cfRule>
  </conditionalFormatting>
  <conditionalFormatting sqref="H8">
    <cfRule type="expression" dxfId="218" priority="3">
      <formula>$C7=MAX($C$8:$C$37)</formula>
    </cfRule>
  </conditionalFormatting>
  <conditionalFormatting sqref="G9:G11">
    <cfRule type="expression" dxfId="217" priority="2">
      <formula>$C8=MAX($C$8:$C$37)</formula>
    </cfRule>
  </conditionalFormatting>
  <conditionalFormatting sqref="G8">
    <cfRule type="expression" dxfId="216" priority="1">
      <formula>$C7=MAX($C$8:$C$37)</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1539073" r:id="rId4" name="Button 1">
              <controlPr defaultSize="0" print="0" autoFill="0" autoPict="0" macro="[0]!Macro4">
                <anchor moveWithCells="1" sizeWithCells="1">
                  <from>
                    <xdr:col>0</xdr:col>
                    <xdr:colOff>0</xdr:colOff>
                    <xdr:row>0</xdr:row>
                    <xdr:rowOff>0</xdr:rowOff>
                  </from>
                  <to>
                    <xdr:col>1</xdr:col>
                    <xdr:colOff>769620</xdr:colOff>
                    <xdr:row>7</xdr:row>
                    <xdr:rowOff>0</xdr:rowOff>
                  </to>
                </anchor>
              </controlPr>
            </control>
          </mc:Choice>
        </mc:AlternateContent>
      </controls>
    </mc:Choice>
  </mc:AlternateContent>
</worksheet>
</file>

<file path=xl/worksheets/sheet2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F148A38-F875-45A2-BA38-D874AE4C126C}">
  <sheetPr codeName="Sheet42">
    <tabColor theme="1"/>
    <pageSetUpPr fitToPage="1"/>
  </sheetPr>
  <dimension ref="A1:N53"/>
  <sheetViews>
    <sheetView zoomScaleNormal="100" workbookViewId="0">
      <pane ySplit="7" topLeftCell="A8" activePane="bottomLeft" state="frozen"/>
      <selection activeCell="Q2" sqref="Q2"/>
      <selection pane="bottomLeft" activeCell="H12" sqref="H12"/>
    </sheetView>
  </sheetViews>
  <sheetFormatPr defaultColWidth="9.09765625" defaultRowHeight="13.8" x14ac:dyDescent="0.25"/>
  <cols>
    <col min="1" max="1" width="11.69921875" style="14" customWidth="1"/>
    <col min="2" max="2" width="11.296875" style="14" customWidth="1"/>
    <col min="3" max="3" width="9.09765625" style="14"/>
    <col min="4" max="4" width="38.3984375" style="14" bestFit="1" customWidth="1"/>
    <col min="5" max="5" width="12.296875" style="53" bestFit="1" customWidth="1"/>
    <col min="6" max="6" width="11" style="14" customWidth="1"/>
    <col min="7" max="7" width="17.8984375" style="14" customWidth="1"/>
    <col min="8" max="8" width="17.8984375" style="15" customWidth="1"/>
    <col min="9" max="9" width="21.8984375" style="14" customWidth="1"/>
    <col min="10" max="10" width="10.09765625" style="14" customWidth="1"/>
    <col min="11" max="11" width="9.09765625" style="14"/>
    <col min="12" max="12" width="11.69921875" style="14" customWidth="1"/>
    <col min="13" max="14" width="10.09765625" style="14" bestFit="1" customWidth="1"/>
    <col min="15" max="16384" width="9.09765625" style="14"/>
  </cols>
  <sheetData>
    <row r="1" spans="1:14" ht="15.75" customHeight="1" x14ac:dyDescent="0.25">
      <c r="C1" s="268" t="s">
        <v>164</v>
      </c>
      <c r="D1" s="268"/>
      <c r="E1" s="268"/>
      <c r="F1" s="268"/>
      <c r="G1" s="268"/>
      <c r="H1" s="268"/>
    </row>
    <row r="2" spans="1:14" ht="15.75" customHeight="1" x14ac:dyDescent="0.25">
      <c r="C2" s="268"/>
      <c r="D2" s="268"/>
      <c r="E2" s="268"/>
      <c r="F2" s="268"/>
      <c r="G2" s="268"/>
      <c r="H2" s="268"/>
    </row>
    <row r="3" spans="1:14" ht="15" customHeight="1" x14ac:dyDescent="0.25">
      <c r="C3" s="269" t="s">
        <v>166</v>
      </c>
      <c r="D3" s="269"/>
      <c r="E3" s="269"/>
      <c r="F3" s="270" t="s">
        <v>168</v>
      </c>
      <c r="G3" s="270"/>
      <c r="H3" s="270"/>
    </row>
    <row r="4" spans="1:14" x14ac:dyDescent="0.25">
      <c r="C4" s="269" t="s">
        <v>167</v>
      </c>
      <c r="D4" s="269"/>
      <c r="E4" s="269"/>
      <c r="F4" s="271" t="s">
        <v>169</v>
      </c>
      <c r="G4" s="271"/>
      <c r="H4" s="271"/>
    </row>
    <row r="5" spans="1:14" s="140" customFormat="1" ht="21" customHeight="1" x14ac:dyDescent="0.25">
      <c r="C5" s="272" t="s">
        <v>165</v>
      </c>
      <c r="D5" s="272"/>
      <c r="E5" s="272"/>
      <c r="F5" s="272"/>
      <c r="G5" s="272"/>
      <c r="H5" s="272"/>
    </row>
    <row r="6" spans="1:14" s="140" customFormat="1" ht="16.5" customHeight="1" x14ac:dyDescent="0.25">
      <c r="C6" s="149" t="s">
        <v>170</v>
      </c>
      <c r="D6" s="152" t="s">
        <v>252</v>
      </c>
      <c r="E6" s="145"/>
      <c r="F6" s="145"/>
      <c r="G6" s="267" t="str">
        <f ca="1">"Ngày "&amp;DAY(TODAY())&amp;" Tháng "&amp;MONTH(TODAY())&amp;" Năm "&amp;YEAR(TODAY())</f>
        <v>Ngày 22 Tháng 1 Năm 2023</v>
      </c>
      <c r="H6" s="267"/>
    </row>
    <row r="7" spans="1:14" s="144" customFormat="1" ht="24" customHeight="1" x14ac:dyDescent="0.25">
      <c r="A7" s="141" t="s">
        <v>101</v>
      </c>
      <c r="B7" s="141" t="s">
        <v>15</v>
      </c>
      <c r="C7" s="142" t="s">
        <v>0</v>
      </c>
      <c r="D7" s="142" t="s">
        <v>16</v>
      </c>
      <c r="E7" s="146" t="str">
        <f>"Quy cách"&amp;CHAR(10)&amp;"(Kg)"</f>
        <v>Quy cách
(Kg)</v>
      </c>
      <c r="F7" s="142" t="s">
        <v>15</v>
      </c>
      <c r="G7" s="142" t="s">
        <v>17</v>
      </c>
      <c r="H7" s="142" t="s">
        <v>18</v>
      </c>
      <c r="I7" s="143">
        <f>SUBTOTAL(9,I8:I37)</f>
        <v>12</v>
      </c>
      <c r="L7" s="140"/>
    </row>
    <row r="8" spans="1:14" s="29" customFormat="1" ht="14.25" customHeight="1" x14ac:dyDescent="0.25">
      <c r="A8" s="150">
        <v>25</v>
      </c>
      <c r="B8" s="150">
        <v>4</v>
      </c>
      <c r="C8" s="30">
        <f t="shared" ref="C8:C37" si="0">IF(OR(SUM($C7,$A8&lt;&gt;"")=0,$A8=""),"",SUM($C7,$A8&lt;&gt;""))</f>
        <v>1</v>
      </c>
      <c r="D8" s="147" t="str">
        <f>IFERROR(VLOOKUP($A8,Sheet1!$A$1:$B$80,2,0),"")</f>
        <v>Đậu hủ phô mai EB</v>
      </c>
      <c r="E8" s="30">
        <f>IFERROR(VLOOKUP($A8,'Tổng Đơn'!$A$5:$E$52,5,0),"")</f>
        <v>0.5</v>
      </c>
      <c r="F8" s="30">
        <f t="shared" ref="F8:F37" si="1">IF($B8="","",B8)</f>
        <v>4</v>
      </c>
      <c r="G8" s="155">
        <f>IFERROR(VLOOKUP($A8,Sheet1!$A1:$D$80,4,0),"")</f>
        <v>80000</v>
      </c>
      <c r="H8" s="148">
        <f>IF($C7=MAX($C$8:$C$56),SUM($H7:$H$8),IFERROR($G8*$F8,""))</f>
        <v>320000</v>
      </c>
      <c r="I8" s="54">
        <f t="shared" ref="I8:I37" si="2">IF(TYPE($A8)&lt;&gt;1,"",IFERROR(F8*E8,""))</f>
        <v>2</v>
      </c>
      <c r="L8" s="32"/>
    </row>
    <row r="9" spans="1:14" s="29" customFormat="1" ht="14.25" customHeight="1" x14ac:dyDescent="0.25">
      <c r="A9" s="150">
        <v>34</v>
      </c>
      <c r="B9" s="150">
        <v>10</v>
      </c>
      <c r="C9" s="30">
        <f t="shared" si="0"/>
        <v>2</v>
      </c>
      <c r="D9" s="147" t="str">
        <f>IFERROR(VLOOKUP($A9,Sheet1!$A$1:$B$80,2,0),"")</f>
        <v>Cá viên KK</v>
      </c>
      <c r="E9" s="30">
        <f>IFERROR(VLOOKUP($A9,'Tổng Đơn'!$A$5:$E$52,5,0),"")</f>
        <v>0.5</v>
      </c>
      <c r="F9" s="30">
        <f t="shared" si="1"/>
        <v>10</v>
      </c>
      <c r="G9" s="155">
        <f>IF(AND($C9="",$C8&lt;&gt;""),"Tổng Cộng",IFERROR(VLOOKUP($A9,Sheet1!$A$1:$D$80,4,0),""))</f>
        <v>25000</v>
      </c>
      <c r="H9" s="148">
        <f>IF($C8=MAX($C$8:$C$56),SUM($H$8:$H8),IFERROR($G9*$F9,""))</f>
        <v>250000</v>
      </c>
      <c r="I9" s="54">
        <f t="shared" si="2"/>
        <v>5</v>
      </c>
      <c r="L9" s="31"/>
    </row>
    <row r="10" spans="1:14" s="29" customFormat="1" ht="14.25" customHeight="1" x14ac:dyDescent="0.25">
      <c r="A10" s="150">
        <v>38</v>
      </c>
      <c r="B10" s="150">
        <v>10</v>
      </c>
      <c r="C10" s="30">
        <f t="shared" si="0"/>
        <v>3</v>
      </c>
      <c r="D10" s="147" t="str">
        <f>IFERROR(VLOOKUP($A10,Sheet1!$A$1:$B$80,2,0),"")</f>
        <v>XX Đỏ KK</v>
      </c>
      <c r="E10" s="30">
        <f>IFERROR(VLOOKUP($A10,'Tổng Đơn'!$A$5:$E$52,5,0),"")</f>
        <v>0.5</v>
      </c>
      <c r="F10" s="30">
        <f t="shared" si="1"/>
        <v>10</v>
      </c>
      <c r="G10" s="155">
        <f>IF(AND($C10="",$C9&lt;&gt;""),"Tổng Cộng",IFERROR(VLOOKUP($A10,Sheet1!$A$1:$D$80,4,0),""))</f>
        <v>26000</v>
      </c>
      <c r="H10" s="148">
        <f>IF($C9=MAX($C$8:$C$56),SUM($H$8:$H9),IFERROR($G10*$F10,""))</f>
        <v>260000</v>
      </c>
      <c r="I10" s="54">
        <f t="shared" si="2"/>
        <v>5</v>
      </c>
      <c r="L10" s="31"/>
    </row>
    <row r="11" spans="1:14" s="29" customFormat="1" ht="14.25" customHeight="1" x14ac:dyDescent="0.25">
      <c r="A11" s="150">
        <v>1</v>
      </c>
      <c r="B11" s="150">
        <v>1</v>
      </c>
      <c r="C11" s="30">
        <f t="shared" si="0"/>
        <v>4</v>
      </c>
      <c r="D11" s="147" t="s">
        <v>312</v>
      </c>
      <c r="E11" s="30" t="s">
        <v>234</v>
      </c>
      <c r="F11" s="30" t="s">
        <v>234</v>
      </c>
      <c r="G11" s="155" t="s">
        <v>234</v>
      </c>
      <c r="H11" s="148">
        <f>-2*8000-5*7000-5*4000</f>
        <v>-71000</v>
      </c>
      <c r="I11" s="54" t="str">
        <f t="shared" si="2"/>
        <v/>
      </c>
      <c r="L11" s="31"/>
    </row>
    <row r="12" spans="1:14" s="29" customFormat="1" ht="14.25" customHeight="1" x14ac:dyDescent="0.25">
      <c r="A12" s="150" t="s">
        <v>310</v>
      </c>
      <c r="B12" s="150"/>
      <c r="C12" s="30" t="str">
        <f t="shared" si="0"/>
        <v/>
      </c>
      <c r="D12" s="147" t="str">
        <f>IFERROR(VLOOKUP($A12,Sheet1!$A$1:$B$80,2,0),"")</f>
        <v/>
      </c>
      <c r="E12" s="30" t="str">
        <f>IFERROR(VLOOKUP($A12,'Tổng Đơn'!$A$5:$E$52,5,0),"")</f>
        <v/>
      </c>
      <c r="F12" s="30" t="str">
        <f t="shared" si="1"/>
        <v/>
      </c>
      <c r="G12" s="155" t="str">
        <f>IF(AND($C12="",$C11&lt;&gt;""),"Tổng Cộng",IFERROR(VLOOKUP($A12,Sheet1!$A$1:$D$80,4,0),""))</f>
        <v>Tổng Cộng</v>
      </c>
      <c r="H12" s="148">
        <f>IF($C11=MAX($C$8:$C$56),SUM($H$8:$H11),IFERROR($G12*$F12,""))</f>
        <v>759000</v>
      </c>
      <c r="I12" s="54" t="str">
        <f t="shared" si="2"/>
        <v/>
      </c>
      <c r="J12" s="125"/>
      <c r="L12" s="31"/>
      <c r="N12" s="126"/>
    </row>
    <row r="13" spans="1:14" s="29" customFormat="1" ht="14.25" customHeight="1" x14ac:dyDescent="0.25">
      <c r="A13" s="150" t="s">
        <v>310</v>
      </c>
      <c r="B13" s="150"/>
      <c r="C13" s="30" t="str">
        <f t="shared" si="0"/>
        <v/>
      </c>
      <c r="D13" s="147" t="str">
        <f>IFERROR(VLOOKUP($A13,Sheet1!$A$1:$B$80,2,0),"")</f>
        <v/>
      </c>
      <c r="E13" s="30" t="str">
        <f>IFERROR(VLOOKUP($A13,'Tổng Đơn'!$A$5:$E$52,5,0),"")</f>
        <v/>
      </c>
      <c r="F13" s="30" t="str">
        <f t="shared" si="1"/>
        <v/>
      </c>
      <c r="G13" s="155" t="str">
        <f>IF(AND($C13="",$C12&lt;&gt;""),"Tổng Cộng",IFERROR(VLOOKUP($A13,Sheet1!$A$1:$D$80,4,0),""))</f>
        <v/>
      </c>
      <c r="H13" s="148" t="str">
        <f>IF($C12=MAX($C$8:$C$56),SUM($H$8:$H12),IFERROR($G13*$F13,""))</f>
        <v/>
      </c>
      <c r="I13" s="54" t="str">
        <f t="shared" si="2"/>
        <v/>
      </c>
      <c r="L13" s="31"/>
    </row>
    <row r="14" spans="1:14" s="29" customFormat="1" ht="14.25" customHeight="1" x14ac:dyDescent="0.25">
      <c r="A14" s="150" t="s">
        <v>310</v>
      </c>
      <c r="B14" s="150"/>
      <c r="C14" s="30" t="str">
        <f t="shared" si="0"/>
        <v/>
      </c>
      <c r="D14" s="147" t="str">
        <f>IFERROR(VLOOKUP($A14,Sheet1!$A$1:$B$80,2,0),"")</f>
        <v/>
      </c>
      <c r="E14" s="30" t="str">
        <f>IFERROR(VLOOKUP($A14,'Tổng Đơn'!$A$5:$E$52,5,0),"")</f>
        <v/>
      </c>
      <c r="F14" s="30" t="str">
        <f t="shared" si="1"/>
        <v/>
      </c>
      <c r="G14" s="155" t="str">
        <f>IF(AND($C14="",$C13&lt;&gt;""),"Tổng Cộng",IFERROR(VLOOKUP($A14,Sheet1!$A$1:$D$80,4,0),""))</f>
        <v/>
      </c>
      <c r="H14" s="148" t="str">
        <f>IF($C13=MAX($C$8:$C$56),SUM($H$8:$H13),IFERROR($G14*$F14,""))</f>
        <v/>
      </c>
      <c r="I14" s="54" t="str">
        <f t="shared" si="2"/>
        <v/>
      </c>
      <c r="L14" s="31"/>
      <c r="M14" s="132"/>
    </row>
    <row r="15" spans="1:14" s="29" customFormat="1" ht="14.25" customHeight="1" x14ac:dyDescent="0.25">
      <c r="A15" s="150" t="s">
        <v>310</v>
      </c>
      <c r="B15" s="150"/>
      <c r="C15" s="30" t="str">
        <f t="shared" si="0"/>
        <v/>
      </c>
      <c r="D15" s="147" t="str">
        <f>IFERROR(VLOOKUP($A15,Sheet1!$A$1:$B$80,2,0),"")</f>
        <v/>
      </c>
      <c r="E15" s="30" t="str">
        <f>IFERROR(VLOOKUP($A15,'Tổng Đơn'!$A$5:$E$52,5,0),"")</f>
        <v/>
      </c>
      <c r="F15" s="30" t="str">
        <f t="shared" si="1"/>
        <v/>
      </c>
      <c r="G15" s="155" t="str">
        <f>IF(AND($C15="",$C14&lt;&gt;""),"Tổng Cộng",IFERROR(VLOOKUP($A15,Sheet1!$A$1:$D$80,4,0),""))</f>
        <v/>
      </c>
      <c r="H15" s="148" t="str">
        <f>IF($C14=MAX($C$8:$C$56),SUM($H$8:$H14),IFERROR($G15*$F15,""))</f>
        <v/>
      </c>
      <c r="I15" s="54" t="str">
        <f t="shared" si="2"/>
        <v/>
      </c>
      <c r="L15" s="31"/>
    </row>
    <row r="16" spans="1:14" s="29" customFormat="1" ht="14.25" customHeight="1" x14ac:dyDescent="0.25">
      <c r="A16" s="150" t="s">
        <v>310</v>
      </c>
      <c r="B16" s="150"/>
      <c r="C16" s="30" t="str">
        <f t="shared" si="0"/>
        <v/>
      </c>
      <c r="D16" s="147" t="str">
        <f>IFERROR(VLOOKUP($A16,Sheet1!$A$1:$B$80,2,0),"")</f>
        <v/>
      </c>
      <c r="E16" s="30" t="str">
        <f>IFERROR(VLOOKUP($A16,'Tổng Đơn'!$A$5:$E$52,5,0),"")</f>
        <v/>
      </c>
      <c r="F16" s="30" t="str">
        <f t="shared" si="1"/>
        <v/>
      </c>
      <c r="G16" s="155" t="str">
        <f>IF(AND($C16="",$C15&lt;&gt;""),"Tổng Cộng",IFERROR(VLOOKUP($A16,Sheet1!$A$1:$D$80,4,0),""))</f>
        <v/>
      </c>
      <c r="H16" s="148" t="str">
        <f>IF($C15=MAX($C$8:$C$56),SUM($H$8:$H15),IFERROR($G16*$F16,""))</f>
        <v/>
      </c>
      <c r="I16" s="54" t="str">
        <f t="shared" si="2"/>
        <v/>
      </c>
      <c r="L16" s="31"/>
    </row>
    <row r="17" spans="1:12" s="29" customFormat="1" ht="14.25" customHeight="1" x14ac:dyDescent="0.25">
      <c r="A17" s="150" t="s">
        <v>310</v>
      </c>
      <c r="B17" s="150"/>
      <c r="C17" s="30" t="str">
        <f t="shared" si="0"/>
        <v/>
      </c>
      <c r="D17" s="147" t="str">
        <f>IFERROR(VLOOKUP($A17,Sheet1!$A$1:$B$80,2,0),"")</f>
        <v/>
      </c>
      <c r="E17" s="30" t="str">
        <f>IFERROR(VLOOKUP($A17,'Tổng Đơn'!$A$5:$E$52,5,0),"")</f>
        <v/>
      </c>
      <c r="F17" s="30" t="str">
        <f t="shared" si="1"/>
        <v/>
      </c>
      <c r="G17" s="155" t="str">
        <f>IF(AND($C17="",$C16&lt;&gt;""),"Tổng Cộng",IFERROR(VLOOKUP($A17,Sheet1!$A$1:$D$80,4,0),""))</f>
        <v/>
      </c>
      <c r="H17" s="148" t="str">
        <f>IF($C16=MAX($C$8:$C$56),SUM($H$8:$H16),IFERROR($G17*$F17,""))</f>
        <v/>
      </c>
      <c r="I17" s="54" t="str">
        <f t="shared" si="2"/>
        <v/>
      </c>
      <c r="L17" s="31"/>
    </row>
    <row r="18" spans="1:12" s="29" customFormat="1" ht="14.25" customHeight="1" x14ac:dyDescent="0.25">
      <c r="A18" s="150" t="s">
        <v>310</v>
      </c>
      <c r="B18" s="150"/>
      <c r="C18" s="30" t="str">
        <f t="shared" si="0"/>
        <v/>
      </c>
      <c r="D18" s="147" t="str">
        <f>IFERROR(VLOOKUP($A18,Sheet1!$A$1:$B$80,2,0),"")</f>
        <v/>
      </c>
      <c r="E18" s="30" t="str">
        <f>IFERROR(VLOOKUP($A18,'Tổng Đơn'!$A$5:$E$52,5,0),"")</f>
        <v/>
      </c>
      <c r="F18" s="30" t="str">
        <f t="shared" si="1"/>
        <v/>
      </c>
      <c r="G18" s="155" t="str">
        <f>IF(AND($C18="",$C17&lt;&gt;""),"Tổng Cộng",IFERROR(VLOOKUP($A18,Sheet1!$A$1:$D$80,4,0),""))</f>
        <v/>
      </c>
      <c r="H18" s="148" t="str">
        <f>IF($C17=MAX($C$8:$C$56),SUM($H$8:$H17),IFERROR($G18*$F18,""))</f>
        <v/>
      </c>
      <c r="I18" s="54" t="str">
        <f t="shared" si="2"/>
        <v/>
      </c>
      <c r="L18" s="31"/>
    </row>
    <row r="19" spans="1:12" s="29" customFormat="1" ht="14.25" customHeight="1" x14ac:dyDescent="0.25">
      <c r="A19" s="150" t="s">
        <v>310</v>
      </c>
      <c r="B19" s="150"/>
      <c r="C19" s="30" t="str">
        <f t="shared" si="0"/>
        <v/>
      </c>
      <c r="D19" s="147" t="str">
        <f>IFERROR(VLOOKUP($A19,Sheet1!$A$1:$B$80,2,0),"")</f>
        <v/>
      </c>
      <c r="E19" s="30" t="str">
        <f>IFERROR(VLOOKUP($A19,'Tổng Đơn'!$A$5:$E$52,5,0),"")</f>
        <v/>
      </c>
      <c r="F19" s="30" t="str">
        <f t="shared" si="1"/>
        <v/>
      </c>
      <c r="G19" s="155" t="str">
        <f>IF(AND($C19="",$C18&lt;&gt;""),"Tổng Cộng",IFERROR(VLOOKUP($A19,Sheet1!$A$1:$D$80,4,0),""))</f>
        <v/>
      </c>
      <c r="H19" s="148" t="str">
        <f>IF($C18=MAX($C$8:$C$56),SUM($H$8:$H18),IFERROR($G19*$F19,""))</f>
        <v/>
      </c>
      <c r="I19" s="54" t="str">
        <f t="shared" si="2"/>
        <v/>
      </c>
      <c r="L19" s="31"/>
    </row>
    <row r="20" spans="1:12" s="29" customFormat="1" ht="14.25" customHeight="1" x14ac:dyDescent="0.25">
      <c r="A20" s="150" t="s">
        <v>310</v>
      </c>
      <c r="B20" s="150"/>
      <c r="C20" s="30" t="str">
        <f t="shared" si="0"/>
        <v/>
      </c>
      <c r="D20" s="147" t="str">
        <f>IFERROR(VLOOKUP($A20,Sheet1!$A$1:$B$80,2,0),"")</f>
        <v/>
      </c>
      <c r="E20" s="30" t="str">
        <f>IFERROR(VLOOKUP($A20,'Tổng Đơn'!$A$5:$E$52,5,0),"")</f>
        <v/>
      </c>
      <c r="F20" s="30" t="str">
        <f t="shared" si="1"/>
        <v/>
      </c>
      <c r="G20" s="155" t="str">
        <f>IF(AND($C20="",$C19&lt;&gt;""),"Tổng Cộng",IFERROR(VLOOKUP($A20,Sheet1!$A$1:$D$80,4,0),""))</f>
        <v/>
      </c>
      <c r="H20" s="148" t="str">
        <f>IF($C19=MAX($C$8:$C$56),SUM($H$8:$H19),IFERROR($G20*$F20,""))</f>
        <v/>
      </c>
      <c r="I20" s="54" t="str">
        <f t="shared" si="2"/>
        <v/>
      </c>
      <c r="L20" s="31"/>
    </row>
    <row r="21" spans="1:12" s="29" customFormat="1" ht="14.25" customHeight="1" x14ac:dyDescent="0.25">
      <c r="A21" s="150" t="s">
        <v>310</v>
      </c>
      <c r="B21" s="150"/>
      <c r="C21" s="30" t="str">
        <f t="shared" si="0"/>
        <v/>
      </c>
      <c r="D21" s="147" t="str">
        <f>IFERROR(VLOOKUP($A21,Sheet1!$A$1:$B$80,2,0),"")</f>
        <v/>
      </c>
      <c r="E21" s="30" t="str">
        <f>IFERROR(VLOOKUP($A21,'Tổng Đơn'!$A$5:$E$52,5,0),"")</f>
        <v/>
      </c>
      <c r="F21" s="30" t="str">
        <f t="shared" si="1"/>
        <v/>
      </c>
      <c r="G21" s="155" t="str">
        <f>IF(AND($C21="",$C20&lt;&gt;""),"Tổng Cộng",IFERROR(VLOOKUP($A21,Sheet1!$A$1:$D$80,4,0),""))</f>
        <v/>
      </c>
      <c r="H21" s="148" t="str">
        <f>IF($C20=MAX($C$8:$C$56),SUM($H$8:$H20),IFERROR($G21*$F21,""))</f>
        <v/>
      </c>
      <c r="I21" s="54" t="str">
        <f t="shared" si="2"/>
        <v/>
      </c>
      <c r="L21" s="31"/>
    </row>
    <row r="22" spans="1:12" s="29" customFormat="1" ht="14.25" customHeight="1" x14ac:dyDescent="0.25">
      <c r="A22" s="150" t="s">
        <v>310</v>
      </c>
      <c r="B22" s="150"/>
      <c r="C22" s="30" t="str">
        <f t="shared" si="0"/>
        <v/>
      </c>
      <c r="D22" s="147" t="str">
        <f>IFERROR(VLOOKUP($A22,Sheet1!$A$1:$B$80,2,0),"")</f>
        <v/>
      </c>
      <c r="E22" s="30" t="str">
        <f>IFERROR(VLOOKUP($A22,'Tổng Đơn'!$A$5:$E$52,5,0),"")</f>
        <v/>
      </c>
      <c r="F22" s="30" t="str">
        <f t="shared" si="1"/>
        <v/>
      </c>
      <c r="G22" s="155" t="str">
        <f>IF(AND($C22="",$C21&lt;&gt;""),"Tổng Cộng",IFERROR(VLOOKUP($A22,Sheet1!$A$1:$D$80,4,0),""))</f>
        <v/>
      </c>
      <c r="H22" s="148" t="str">
        <f>IF($C21=MAX($C$8:$C$56),SUM($H$8:$H21),IFERROR($G22*$F22,""))</f>
        <v/>
      </c>
      <c r="I22" s="54" t="str">
        <f t="shared" si="2"/>
        <v/>
      </c>
      <c r="L22" s="31"/>
    </row>
    <row r="23" spans="1:12" s="29" customFormat="1" ht="14.25" customHeight="1" x14ac:dyDescent="0.25">
      <c r="A23" s="150" t="s">
        <v>310</v>
      </c>
      <c r="B23" s="150"/>
      <c r="C23" s="30" t="str">
        <f t="shared" si="0"/>
        <v/>
      </c>
      <c r="D23" s="147" t="str">
        <f>IFERROR(VLOOKUP($A23,Sheet1!$A$1:$B$80,2,0),"")</f>
        <v/>
      </c>
      <c r="E23" s="30" t="str">
        <f>IFERROR(VLOOKUP($A23,'Tổng Đơn'!$A$5:$E$52,5,0),"")</f>
        <v/>
      </c>
      <c r="F23" s="30" t="str">
        <f t="shared" si="1"/>
        <v/>
      </c>
      <c r="G23" s="155" t="str">
        <f>IF(AND($C23="",$C22&lt;&gt;""),"Tổng Cộng",IFERROR(VLOOKUP($A23,Sheet1!$A$1:$D$80,4,0),""))</f>
        <v/>
      </c>
      <c r="H23" s="148" t="str">
        <f>IF($C22=MAX($C$8:$C$56),SUM($H$8:$H22),IFERROR($G23*$F23,""))</f>
        <v/>
      </c>
      <c r="I23" s="54" t="str">
        <f t="shared" si="2"/>
        <v/>
      </c>
      <c r="L23" s="31"/>
    </row>
    <row r="24" spans="1:12" s="29" customFormat="1" ht="14.25" customHeight="1" x14ac:dyDescent="0.25">
      <c r="A24" s="150" t="s">
        <v>310</v>
      </c>
      <c r="B24" s="150"/>
      <c r="C24" s="30" t="str">
        <f t="shared" si="0"/>
        <v/>
      </c>
      <c r="D24" s="147" t="str">
        <f>IFERROR(VLOOKUP($A24,Sheet1!$A$1:$B$80,2,0),"")</f>
        <v/>
      </c>
      <c r="E24" s="30" t="str">
        <f>IFERROR(VLOOKUP($A24,'Tổng Đơn'!$A$5:$E$52,5,0),"")</f>
        <v/>
      </c>
      <c r="F24" s="30" t="str">
        <f t="shared" si="1"/>
        <v/>
      </c>
      <c r="G24" s="155" t="str">
        <f>IF(AND($C24="",$C23&lt;&gt;""),"Tổng Cộng",IFERROR(VLOOKUP($A24,Sheet1!$A$1:$D$80,4,0),""))</f>
        <v/>
      </c>
      <c r="H24" s="148" t="str">
        <f>IF($C23=MAX($C$8:$C$56),SUM($H$8:$H23),IFERROR($G24*$F24,""))</f>
        <v/>
      </c>
      <c r="I24" s="54" t="str">
        <f t="shared" si="2"/>
        <v/>
      </c>
      <c r="L24" s="31"/>
    </row>
    <row r="25" spans="1:12" s="29" customFormat="1" ht="14.25" customHeight="1" x14ac:dyDescent="0.25">
      <c r="A25" s="150" t="s">
        <v>310</v>
      </c>
      <c r="B25" s="150"/>
      <c r="C25" s="30" t="str">
        <f t="shared" si="0"/>
        <v/>
      </c>
      <c r="D25" s="147" t="str">
        <f>IFERROR(VLOOKUP($A25,Sheet1!$A$1:$B$80,2,0),"")</f>
        <v/>
      </c>
      <c r="E25" s="30" t="str">
        <f>IFERROR(VLOOKUP($A25,'Tổng Đơn'!$A$5:$E$52,5,0),"")</f>
        <v/>
      </c>
      <c r="F25" s="30" t="str">
        <f t="shared" si="1"/>
        <v/>
      </c>
      <c r="G25" s="155" t="str">
        <f>IF(AND($C25="",$C24&lt;&gt;""),"Tổng Cộng",IFERROR(VLOOKUP($A25,Sheet1!$A$1:$D$80,4,0),""))</f>
        <v/>
      </c>
      <c r="H25" s="148" t="str">
        <f>IF($C24=MAX($C$8:$C$56),SUM($H$8:$H24),IFERROR($G25*$F25,""))</f>
        <v/>
      </c>
      <c r="I25" s="54" t="str">
        <f t="shared" si="2"/>
        <v/>
      </c>
      <c r="L25" s="31"/>
    </row>
    <row r="26" spans="1:12" s="29" customFormat="1" ht="14.25" customHeight="1" x14ac:dyDescent="0.25">
      <c r="A26" s="150" t="s">
        <v>310</v>
      </c>
      <c r="B26" s="150"/>
      <c r="C26" s="30" t="str">
        <f t="shared" si="0"/>
        <v/>
      </c>
      <c r="D26" s="147" t="str">
        <f>IFERROR(VLOOKUP($A26,Sheet1!$A$1:$B$80,2,0),"")</f>
        <v/>
      </c>
      <c r="E26" s="30" t="str">
        <f>IFERROR(VLOOKUP($A26,'Tổng Đơn'!$A$5:$E$52,5,0),"")</f>
        <v/>
      </c>
      <c r="F26" s="30" t="str">
        <f t="shared" si="1"/>
        <v/>
      </c>
      <c r="G26" s="155" t="str">
        <f>IF(AND($C26="",$C25&lt;&gt;""),"Tổng Cộng",IFERROR(VLOOKUP($A26,Sheet1!$A$1:$D$80,4,0),""))</f>
        <v/>
      </c>
      <c r="H26" s="148" t="str">
        <f>IF($C25=MAX($C$8:$C$56),SUM($H$8:$H25),IFERROR($G26*$F26,""))</f>
        <v/>
      </c>
      <c r="I26" s="54" t="str">
        <f t="shared" si="2"/>
        <v/>
      </c>
      <c r="L26" s="31"/>
    </row>
    <row r="27" spans="1:12" s="29" customFormat="1" ht="14.25" customHeight="1" x14ac:dyDescent="0.25">
      <c r="A27" s="150" t="s">
        <v>310</v>
      </c>
      <c r="B27" s="150"/>
      <c r="C27" s="30" t="str">
        <f t="shared" si="0"/>
        <v/>
      </c>
      <c r="D27" s="147" t="str">
        <f>IFERROR(VLOOKUP($A27,Sheet1!$A$1:$B$80,2,0),"")</f>
        <v/>
      </c>
      <c r="E27" s="30" t="str">
        <f>IFERROR(VLOOKUP($A27,'Tổng Đơn'!$A$5:$E$52,5,0),"")</f>
        <v/>
      </c>
      <c r="F27" s="30" t="str">
        <f t="shared" si="1"/>
        <v/>
      </c>
      <c r="G27" s="155" t="str">
        <f>IF(AND($C27="",$C26&lt;&gt;""),"Tổng Cộng",IFERROR(VLOOKUP($A27,Sheet1!$A$1:$D$80,4,0),""))</f>
        <v/>
      </c>
      <c r="H27" s="148" t="str">
        <f>IF($C26=MAX($C$8:$C$56),SUM($H$8:$H26),IFERROR($G27*$F27,""))</f>
        <v/>
      </c>
      <c r="I27" s="54" t="str">
        <f t="shared" si="2"/>
        <v/>
      </c>
      <c r="L27" s="31"/>
    </row>
    <row r="28" spans="1:12" s="29" customFormat="1" ht="14.25" customHeight="1" x14ac:dyDescent="0.25">
      <c r="A28" s="150" t="s">
        <v>310</v>
      </c>
      <c r="B28" s="150"/>
      <c r="C28" s="30" t="str">
        <f t="shared" si="0"/>
        <v/>
      </c>
      <c r="D28" s="147" t="str">
        <f>IFERROR(VLOOKUP($A28,Sheet1!$A$1:$B$80,2,0),"")</f>
        <v/>
      </c>
      <c r="E28" s="30" t="str">
        <f>IFERROR(VLOOKUP($A28,'Tổng Đơn'!$A$5:$E$52,5,0),"")</f>
        <v/>
      </c>
      <c r="F28" s="30" t="str">
        <f t="shared" si="1"/>
        <v/>
      </c>
      <c r="G28" s="155" t="str">
        <f>IF(AND($C28="",$C27&lt;&gt;""),"Tổng Cộng",IFERROR(VLOOKUP($A28,Sheet1!$A$1:$D$80,4,0),""))</f>
        <v/>
      </c>
      <c r="H28" s="148" t="str">
        <f>IF($C27=MAX($C$8:$C$56),SUM($H$8:$H27),IFERROR($G28*$F28,""))</f>
        <v/>
      </c>
      <c r="I28" s="54" t="str">
        <f t="shared" si="2"/>
        <v/>
      </c>
      <c r="L28" s="31"/>
    </row>
    <row r="29" spans="1:12" s="29" customFormat="1" ht="14.25" customHeight="1" x14ac:dyDescent="0.25">
      <c r="A29" s="150" t="s">
        <v>310</v>
      </c>
      <c r="B29" s="150"/>
      <c r="C29" s="30" t="str">
        <f t="shared" si="0"/>
        <v/>
      </c>
      <c r="D29" s="147" t="str">
        <f>IFERROR(VLOOKUP($A29,Sheet1!$A$1:$B$80,2,0),"")</f>
        <v/>
      </c>
      <c r="E29" s="30" t="str">
        <f>IFERROR(VLOOKUP($A29,'Tổng Đơn'!$A$5:$E$52,5,0),"")</f>
        <v/>
      </c>
      <c r="F29" s="30" t="str">
        <f t="shared" si="1"/>
        <v/>
      </c>
      <c r="G29" s="155" t="str">
        <f>IF(AND($C29="",$C28&lt;&gt;""),"Tổng Cộng",IFERROR(VLOOKUP($A29,Sheet1!$A$1:$D$80,4,0),""))</f>
        <v/>
      </c>
      <c r="H29" s="148" t="str">
        <f>IF($C28=MAX($C$8:$C$56),SUM($H$8:$H28),IFERROR($G29*$F29,""))</f>
        <v/>
      </c>
      <c r="I29" s="54" t="str">
        <f t="shared" si="2"/>
        <v/>
      </c>
      <c r="L29" s="31"/>
    </row>
    <row r="30" spans="1:12" s="29" customFormat="1" ht="14.25" customHeight="1" x14ac:dyDescent="0.25">
      <c r="A30" s="150" t="s">
        <v>310</v>
      </c>
      <c r="B30" s="150"/>
      <c r="C30" s="30" t="str">
        <f t="shared" si="0"/>
        <v/>
      </c>
      <c r="D30" s="147" t="str">
        <f>IFERROR(VLOOKUP($A30,Sheet1!$A$1:$B$80,2,0),"")</f>
        <v/>
      </c>
      <c r="E30" s="30" t="str">
        <f>IFERROR(VLOOKUP($A30,'Tổng Đơn'!$A$5:$E$52,5,0),"")</f>
        <v/>
      </c>
      <c r="F30" s="30" t="str">
        <f t="shared" si="1"/>
        <v/>
      </c>
      <c r="G30" s="155" t="str">
        <f>IF(AND($C30="",$C29&lt;&gt;""),"Tổng Cộng",IFERROR(VLOOKUP($A30,Sheet1!$A$1:$D$80,4,0),""))</f>
        <v/>
      </c>
      <c r="H30" s="148" t="str">
        <f>IF($C29=MAX($C$8:$C$56),SUM($H$8:$H29),IFERROR($G30*$F30,""))</f>
        <v/>
      </c>
      <c r="I30" s="54" t="str">
        <f t="shared" si="2"/>
        <v/>
      </c>
      <c r="L30" s="31"/>
    </row>
    <row r="31" spans="1:12" s="29" customFormat="1" ht="14.25" customHeight="1" x14ac:dyDescent="0.25">
      <c r="A31" s="150" t="s">
        <v>310</v>
      </c>
      <c r="B31" s="150"/>
      <c r="C31" s="30" t="str">
        <f t="shared" si="0"/>
        <v/>
      </c>
      <c r="D31" s="147" t="str">
        <f>IFERROR(VLOOKUP($A31,Sheet1!$A$1:$B$80,2,0),"")</f>
        <v/>
      </c>
      <c r="E31" s="30" t="str">
        <f>IFERROR(VLOOKUP($A31,'Tổng Đơn'!$A$5:$E$52,5,0),"")</f>
        <v/>
      </c>
      <c r="F31" s="30" t="str">
        <f t="shared" si="1"/>
        <v/>
      </c>
      <c r="G31" s="155" t="str">
        <f>IF(AND($C31="",$C30&lt;&gt;""),"Tổng Cộng",IFERROR(VLOOKUP($A31,Sheet1!$A$1:$D$80,4,0),""))</f>
        <v/>
      </c>
      <c r="H31" s="148" t="str">
        <f>IF($C30=MAX($C$8:$C$56),SUM($H$8:$H30),IFERROR($G31*$F31,""))</f>
        <v/>
      </c>
      <c r="I31" s="54" t="str">
        <f t="shared" si="2"/>
        <v/>
      </c>
      <c r="L31" s="31"/>
    </row>
    <row r="32" spans="1:12" s="29" customFormat="1" ht="14.25" customHeight="1" x14ac:dyDescent="0.25">
      <c r="A32" s="150" t="s">
        <v>310</v>
      </c>
      <c r="B32" s="150"/>
      <c r="C32" s="30" t="str">
        <f t="shared" si="0"/>
        <v/>
      </c>
      <c r="D32" s="147" t="str">
        <f>IFERROR(VLOOKUP($A32,Sheet1!$A$1:$B$80,2,0),"")</f>
        <v/>
      </c>
      <c r="E32" s="30" t="str">
        <f>IFERROR(VLOOKUP($A32,'Tổng Đơn'!$A$5:$E$52,5,0),"")</f>
        <v/>
      </c>
      <c r="F32" s="30" t="str">
        <f t="shared" si="1"/>
        <v/>
      </c>
      <c r="G32" s="155" t="str">
        <f>IF(AND($C32="",$C31&lt;&gt;""),"Tổng Cộng",IFERROR(VLOOKUP($A32,Sheet1!$A$1:$D$80,4,0),""))</f>
        <v/>
      </c>
      <c r="H32" s="148" t="str">
        <f>IF($C31=MAX($C$8:$C$56),SUM($H$8:$H31),IFERROR($G32*$F32,""))</f>
        <v/>
      </c>
      <c r="I32" s="54" t="str">
        <f t="shared" si="2"/>
        <v/>
      </c>
      <c r="L32" s="31"/>
    </row>
    <row r="33" spans="1:12" s="29" customFormat="1" ht="14.25" customHeight="1" x14ac:dyDescent="0.25">
      <c r="A33" s="150" t="s">
        <v>310</v>
      </c>
      <c r="B33" s="150"/>
      <c r="C33" s="30" t="str">
        <f t="shared" si="0"/>
        <v/>
      </c>
      <c r="D33" s="147" t="str">
        <f>IFERROR(VLOOKUP($A33,Sheet1!$A$1:$B$80,2,0),"")</f>
        <v/>
      </c>
      <c r="E33" s="30" t="str">
        <f>IFERROR(VLOOKUP($A33,'Tổng Đơn'!$A$5:$E$52,5,0),"")</f>
        <v/>
      </c>
      <c r="F33" s="30" t="str">
        <f t="shared" si="1"/>
        <v/>
      </c>
      <c r="G33" s="155" t="str">
        <f>IF(AND($C33="",$C32&lt;&gt;""),"Tổng Cộng",IFERROR(VLOOKUP($A33,Sheet1!$A$1:$D$80,4,0),""))</f>
        <v/>
      </c>
      <c r="H33" s="148" t="str">
        <f>IF($C32=MAX($C$8:$C$56),SUM($H$8:$H32),IFERROR($G33*$F33,""))</f>
        <v/>
      </c>
      <c r="I33" s="54" t="str">
        <f t="shared" si="2"/>
        <v/>
      </c>
      <c r="L33" s="31"/>
    </row>
    <row r="34" spans="1:12" s="29" customFormat="1" ht="14.25" customHeight="1" x14ac:dyDescent="0.25">
      <c r="A34" s="150" t="s">
        <v>310</v>
      </c>
      <c r="B34" s="150"/>
      <c r="C34" s="30" t="str">
        <f t="shared" si="0"/>
        <v/>
      </c>
      <c r="D34" s="147" t="str">
        <f>IFERROR(VLOOKUP($A34,Sheet1!$A$1:$B$80,2,0),"")</f>
        <v/>
      </c>
      <c r="E34" s="30" t="str">
        <f>IFERROR(VLOOKUP($A34,'Tổng Đơn'!$A$5:$E$52,5,0),"")</f>
        <v/>
      </c>
      <c r="F34" s="30" t="str">
        <f t="shared" si="1"/>
        <v/>
      </c>
      <c r="G34" s="155" t="str">
        <f>IF(AND($C34="",$C33&lt;&gt;""),"Tổng Cộng",IFERROR(VLOOKUP($A34,Sheet1!$A$1:$D$80,4,0),""))</f>
        <v/>
      </c>
      <c r="H34" s="148" t="str">
        <f>IF($C33=MAX($C$8:$C$56),SUM($H$8:$H33),IFERROR($G34*$F34,""))</f>
        <v/>
      </c>
      <c r="I34" s="54" t="str">
        <f t="shared" si="2"/>
        <v/>
      </c>
      <c r="L34" s="31"/>
    </row>
    <row r="35" spans="1:12" s="29" customFormat="1" ht="14.25" customHeight="1" x14ac:dyDescent="0.25">
      <c r="A35" s="150" t="s">
        <v>310</v>
      </c>
      <c r="B35" s="150"/>
      <c r="C35" s="30" t="str">
        <f t="shared" si="0"/>
        <v/>
      </c>
      <c r="D35" s="147" t="str">
        <f>IFERROR(VLOOKUP($A35,Sheet1!$A$1:$B$80,2,0),"")</f>
        <v/>
      </c>
      <c r="E35" s="30" t="str">
        <f>IFERROR(VLOOKUP($A35,'Tổng Đơn'!$A$5:$E$52,5,0),"")</f>
        <v/>
      </c>
      <c r="F35" s="30" t="str">
        <f t="shared" si="1"/>
        <v/>
      </c>
      <c r="G35" s="155" t="str">
        <f>IF(AND($C35="",$C34&lt;&gt;""),"Tổng Cộng",IFERROR(VLOOKUP($A35,Sheet1!$A$1:$D$80,4,0),""))</f>
        <v/>
      </c>
      <c r="H35" s="148" t="str">
        <f>IF($C34=MAX($C$8:$C$56),SUM($H$8:$H34),IFERROR($G35*$F35,""))</f>
        <v/>
      </c>
      <c r="I35" s="54" t="str">
        <f t="shared" si="2"/>
        <v/>
      </c>
      <c r="L35" s="31"/>
    </row>
    <row r="36" spans="1:12" s="29" customFormat="1" ht="14.25" customHeight="1" x14ac:dyDescent="0.25">
      <c r="A36" s="150" t="s">
        <v>310</v>
      </c>
      <c r="B36" s="150"/>
      <c r="C36" s="30" t="str">
        <f t="shared" si="0"/>
        <v/>
      </c>
      <c r="D36" s="147" t="str">
        <f>IFERROR(VLOOKUP($A36,Sheet1!$A$1:$B$80,2,0),"")</f>
        <v/>
      </c>
      <c r="E36" s="30" t="str">
        <f>IFERROR(VLOOKUP($A36,'Tổng Đơn'!$A$5:$E$52,5,0),"")</f>
        <v/>
      </c>
      <c r="F36" s="30" t="str">
        <f t="shared" si="1"/>
        <v/>
      </c>
      <c r="G36" s="155" t="str">
        <f>IF(AND($C36="",$C35&lt;&gt;""),"Tổng Cộng",IFERROR(VLOOKUP($A36,Sheet1!$A$1:$D$80,4,0),""))</f>
        <v/>
      </c>
      <c r="H36" s="148" t="str">
        <f>IF($C35=MAX($C$8:$C$56),SUM($H$8:$H35),IFERROR($G36*$F36,""))</f>
        <v/>
      </c>
      <c r="I36" s="54" t="str">
        <f t="shared" si="2"/>
        <v/>
      </c>
      <c r="L36" s="31"/>
    </row>
    <row r="37" spans="1:12" s="29" customFormat="1" ht="14.25" customHeight="1" x14ac:dyDescent="0.25">
      <c r="A37" s="150" t="s">
        <v>310</v>
      </c>
      <c r="B37" s="150"/>
      <c r="C37" s="30" t="str">
        <f t="shared" si="0"/>
        <v/>
      </c>
      <c r="D37" s="147" t="str">
        <f>IFERROR(VLOOKUP($A37,Sheet1!$A$1:$B$80,2,0),"")</f>
        <v/>
      </c>
      <c r="E37" s="30" t="str">
        <f>IFERROR(VLOOKUP($A37,'Tổng Đơn'!$A$5:$E$52,5,0),"")</f>
        <v/>
      </c>
      <c r="F37" s="30" t="str">
        <f t="shared" si="1"/>
        <v/>
      </c>
      <c r="G37" s="155" t="str">
        <f>IF(AND($C37="",$C36&lt;&gt;""),"Tổng Cộng",IFERROR(VLOOKUP($A37,Sheet1!$A$1:$D$80,4,0),""))</f>
        <v/>
      </c>
      <c r="H37" s="148" t="str">
        <f>IF($C36=MAX($C$8:$C$56),SUM($H$8:$H36),IFERROR($G37*$F37,""))</f>
        <v/>
      </c>
      <c r="I37" s="54" t="str">
        <f t="shared" si="2"/>
        <v/>
      </c>
      <c r="L37" s="31"/>
    </row>
    <row r="38" spans="1:12" s="29" customFormat="1" ht="14.25" customHeight="1" x14ac:dyDescent="0.25">
      <c r="A38" s="150"/>
      <c r="B38" s="150"/>
      <c r="C38" s="33"/>
      <c r="D38" s="34"/>
      <c r="E38" s="52"/>
      <c r="F38" s="30"/>
      <c r="G38" s="156" t="str">
        <f>IF(AND($C38="",$C37&lt;&gt;""),"Tổng Cộng",IFERROR(VLOOKUP($A38,Sheet1!$A$1:$D$80,4,0),""))</f>
        <v/>
      </c>
      <c r="H38" s="35" t="str">
        <f>IF($C37=MAX($C$8:$C$56),SUM($H$8:$H37),IFERROR($G38*$F38,""))</f>
        <v/>
      </c>
      <c r="I38" s="54"/>
      <c r="L38" s="31"/>
    </row>
    <row r="39" spans="1:12" ht="15" customHeight="1" x14ac:dyDescent="0.25">
      <c r="F39" s="36"/>
      <c r="G39" s="139"/>
      <c r="H39" s="37"/>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C38:E38 D23:E37 F23:H38">
    <cfRule type="expression" dxfId="215" priority="22">
      <formula>$C22=MAX($C$8:$C$37)</formula>
    </cfRule>
  </conditionalFormatting>
  <conditionalFormatting sqref="C23:C37">
    <cfRule type="expression" dxfId="214" priority="21">
      <formula>$C22=MAX($C$8:$C$37)</formula>
    </cfRule>
  </conditionalFormatting>
  <conditionalFormatting sqref="E23:E38">
    <cfRule type="expression" dxfId="213" priority="23">
      <formula>AND($A23="",$F23&lt;&gt;"")</formula>
    </cfRule>
  </conditionalFormatting>
  <conditionalFormatting sqref="F23:F38">
    <cfRule type="expression" dxfId="212" priority="24">
      <formula>AND($F23="",$A23&lt;&gt;"")</formula>
    </cfRule>
  </conditionalFormatting>
  <conditionalFormatting sqref="D20:H22">
    <cfRule type="expression" dxfId="211" priority="18">
      <formula>$C19=MAX($C$8:$C$37)</formula>
    </cfRule>
  </conditionalFormatting>
  <conditionalFormatting sqref="C20:C22">
    <cfRule type="expression" dxfId="210" priority="17">
      <formula>$C19=MAX($C$8:$C$37)</formula>
    </cfRule>
  </conditionalFormatting>
  <conditionalFormatting sqref="E20:E22">
    <cfRule type="expression" dxfId="209" priority="19">
      <formula>AND($A20="",$F20&lt;&gt;"")</formula>
    </cfRule>
  </conditionalFormatting>
  <conditionalFormatting sqref="F20:F22">
    <cfRule type="expression" dxfId="208" priority="20">
      <formula>AND($F20="",$A20&lt;&gt;"")</formula>
    </cfRule>
  </conditionalFormatting>
  <conditionalFormatting sqref="D15:H19 D12:F14 H12:H14">
    <cfRule type="expression" dxfId="207" priority="14">
      <formula>$C11=MAX($C$8:$C$37)</formula>
    </cfRule>
  </conditionalFormatting>
  <conditionalFormatting sqref="C12:C19">
    <cfRule type="expression" dxfId="206" priority="13">
      <formula>$C11=MAX($C$8:$C$37)</formula>
    </cfRule>
  </conditionalFormatting>
  <conditionalFormatting sqref="E12:E19">
    <cfRule type="expression" dxfId="205" priority="15">
      <formula>AND($A12="",$F12&lt;&gt;"")</formula>
    </cfRule>
  </conditionalFormatting>
  <conditionalFormatting sqref="F12:F19">
    <cfRule type="expression" dxfId="204" priority="16">
      <formula>AND($F12="",$A12&lt;&gt;"")</formula>
    </cfRule>
  </conditionalFormatting>
  <conditionalFormatting sqref="G12:G14">
    <cfRule type="expression" dxfId="203" priority="12">
      <formula>$C11=MAX($C$8:$C$37)</formula>
    </cfRule>
  </conditionalFormatting>
  <conditionalFormatting sqref="D9:F11 H9:H11">
    <cfRule type="expression" dxfId="202" priority="9">
      <formula>$C8=MAX($C$8:$C$37)</formula>
    </cfRule>
  </conditionalFormatting>
  <conditionalFormatting sqref="C9:C11">
    <cfRule type="expression" dxfId="201" priority="8">
      <formula>$C8=MAX($C$8:$C$37)</formula>
    </cfRule>
  </conditionalFormatting>
  <conditionalFormatting sqref="E9:E11">
    <cfRule type="expression" dxfId="200" priority="10">
      <formula>AND($A9="",$F9&lt;&gt;"")</formula>
    </cfRule>
  </conditionalFormatting>
  <conditionalFormatting sqref="F9:F11">
    <cfRule type="expression" dxfId="199" priority="11">
      <formula>AND($F9="",$A9&lt;&gt;"")</formula>
    </cfRule>
  </conditionalFormatting>
  <conditionalFormatting sqref="D8:F8">
    <cfRule type="expression" dxfId="198" priority="5">
      <formula>$C7=MAX($C$8:$C$37)</formula>
    </cfRule>
  </conditionalFormatting>
  <conditionalFormatting sqref="C8">
    <cfRule type="expression" dxfId="197" priority="4">
      <formula>$C7=MAX($C$8:$C$37)</formula>
    </cfRule>
  </conditionalFormatting>
  <conditionalFormatting sqref="E8">
    <cfRule type="expression" dxfId="196" priority="6">
      <formula>AND($A8="",$F8&lt;&gt;"")</formula>
    </cfRule>
  </conditionalFormatting>
  <conditionalFormatting sqref="F8">
    <cfRule type="expression" dxfId="195" priority="7">
      <formula>AND($F8="",$A8&lt;&gt;"")</formula>
    </cfRule>
  </conditionalFormatting>
  <conditionalFormatting sqref="H8">
    <cfRule type="expression" dxfId="194" priority="3">
      <formula>$C7=MAX($C$8:$C$37)</formula>
    </cfRule>
  </conditionalFormatting>
  <conditionalFormatting sqref="G9:G11">
    <cfRule type="expression" dxfId="193" priority="2">
      <formula>$C8=MAX($C$8:$C$37)</formula>
    </cfRule>
  </conditionalFormatting>
  <conditionalFormatting sqref="G8">
    <cfRule type="expression" dxfId="192" priority="1">
      <formula>$C7=MAX($C$8:$C$37)</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1538049" r:id="rId4" name="Button 1">
              <controlPr defaultSize="0" print="0" autoFill="0" autoPict="0" macro="[0]!Macro4">
                <anchor moveWithCells="1" sizeWithCells="1">
                  <from>
                    <xdr:col>0</xdr:col>
                    <xdr:colOff>0</xdr:colOff>
                    <xdr:row>0</xdr:row>
                    <xdr:rowOff>0</xdr:rowOff>
                  </from>
                  <to>
                    <xdr:col>1</xdr:col>
                    <xdr:colOff>769620</xdr:colOff>
                    <xdr:row>7</xdr:row>
                    <xdr:rowOff>0</xdr:rowOff>
                  </to>
                </anchor>
              </controlPr>
            </control>
          </mc:Choice>
        </mc:AlternateContent>
      </controls>
    </mc:Choice>
  </mc:AlternateContent>
</worksheet>
</file>

<file path=xl/worksheets/sheet2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399B61D-0382-4D36-A297-30A9C9C600AF}">
  <sheetPr codeName="Sheet41">
    <tabColor theme="1"/>
    <pageSetUpPr fitToPage="1"/>
  </sheetPr>
  <dimension ref="A1:N53"/>
  <sheetViews>
    <sheetView zoomScaleNormal="100" workbookViewId="0">
      <pane ySplit="7" topLeftCell="A8" activePane="bottomLeft" state="frozen"/>
      <selection activeCell="Q2" sqref="Q2"/>
      <selection pane="bottomLeft" activeCell="H12" sqref="H12"/>
    </sheetView>
  </sheetViews>
  <sheetFormatPr defaultColWidth="9.09765625" defaultRowHeight="13.8" x14ac:dyDescent="0.25"/>
  <cols>
    <col min="1" max="1" width="11.69921875" style="14" customWidth="1"/>
    <col min="2" max="2" width="11.296875" style="14" customWidth="1"/>
    <col min="3" max="3" width="9.09765625" style="14"/>
    <col min="4" max="4" width="38.3984375" style="14" bestFit="1" customWidth="1"/>
    <col min="5" max="5" width="12.296875" style="53" bestFit="1" customWidth="1"/>
    <col min="6" max="6" width="11" style="14" customWidth="1"/>
    <col min="7" max="7" width="17.8984375" style="14" customWidth="1"/>
    <col min="8" max="8" width="17.8984375" style="15" customWidth="1"/>
    <col min="9" max="9" width="21.8984375" style="14" customWidth="1"/>
    <col min="10" max="10" width="10.09765625" style="14" customWidth="1"/>
    <col min="11" max="11" width="9.09765625" style="14"/>
    <col min="12" max="12" width="11.69921875" style="14" customWidth="1"/>
    <col min="13" max="14" width="10.09765625" style="14" bestFit="1" customWidth="1"/>
    <col min="15" max="16384" width="9.09765625" style="14"/>
  </cols>
  <sheetData>
    <row r="1" spans="1:14" ht="15.75" customHeight="1" x14ac:dyDescent="0.25">
      <c r="C1" s="268" t="s">
        <v>164</v>
      </c>
      <c r="D1" s="268"/>
      <c r="E1" s="268"/>
      <c r="F1" s="268"/>
      <c r="G1" s="268"/>
      <c r="H1" s="268"/>
    </row>
    <row r="2" spans="1:14" ht="15.75" customHeight="1" x14ac:dyDescent="0.25">
      <c r="C2" s="268"/>
      <c r="D2" s="268"/>
      <c r="E2" s="268"/>
      <c r="F2" s="268"/>
      <c r="G2" s="268"/>
      <c r="H2" s="268"/>
    </row>
    <row r="3" spans="1:14" ht="15" customHeight="1" x14ac:dyDescent="0.25">
      <c r="C3" s="269" t="s">
        <v>166</v>
      </c>
      <c r="D3" s="269"/>
      <c r="E3" s="269"/>
      <c r="F3" s="270" t="s">
        <v>168</v>
      </c>
      <c r="G3" s="270"/>
      <c r="H3" s="270"/>
    </row>
    <row r="4" spans="1:14" x14ac:dyDescent="0.25">
      <c r="C4" s="269" t="s">
        <v>167</v>
      </c>
      <c r="D4" s="269"/>
      <c r="E4" s="269"/>
      <c r="F4" s="271" t="s">
        <v>169</v>
      </c>
      <c r="G4" s="271"/>
      <c r="H4" s="271"/>
    </row>
    <row r="5" spans="1:14" s="140" customFormat="1" ht="21" customHeight="1" x14ac:dyDescent="0.25">
      <c r="C5" s="272" t="s">
        <v>165</v>
      </c>
      <c r="D5" s="272"/>
      <c r="E5" s="272"/>
      <c r="F5" s="272"/>
      <c r="G5" s="272"/>
      <c r="H5" s="272"/>
    </row>
    <row r="6" spans="1:14" s="140" customFormat="1" ht="16.5" customHeight="1" x14ac:dyDescent="0.25">
      <c r="C6" s="149" t="s">
        <v>170</v>
      </c>
      <c r="D6" s="152" t="s">
        <v>252</v>
      </c>
      <c r="E6" s="145"/>
      <c r="F6" s="145"/>
      <c r="G6" s="267" t="str">
        <f ca="1">"Ngày "&amp;DAY(TODAY())&amp;" Tháng "&amp;MONTH(TODAY())&amp;" Năm "&amp;YEAR(TODAY())</f>
        <v>Ngày 22 Tháng 1 Năm 2023</v>
      </c>
      <c r="H6" s="267"/>
    </row>
    <row r="7" spans="1:14" s="144" customFormat="1" ht="24" customHeight="1" x14ac:dyDescent="0.25">
      <c r="A7" s="141" t="s">
        <v>101</v>
      </c>
      <c r="B7" s="141" t="s">
        <v>15</v>
      </c>
      <c r="C7" s="142" t="s">
        <v>0</v>
      </c>
      <c r="D7" s="142" t="s">
        <v>16</v>
      </c>
      <c r="E7" s="146" t="str">
        <f>"Quy cách"&amp;CHAR(10)&amp;"(Kg)"</f>
        <v>Quy cách
(Kg)</v>
      </c>
      <c r="F7" s="142" t="s">
        <v>15</v>
      </c>
      <c r="G7" s="142" t="s">
        <v>17</v>
      </c>
      <c r="H7" s="142" t="s">
        <v>18</v>
      </c>
      <c r="I7" s="143">
        <f>SUBTOTAL(9,I8:I37)</f>
        <v>15.5</v>
      </c>
      <c r="L7" s="140"/>
    </row>
    <row r="8" spans="1:14" s="29" customFormat="1" ht="14.25" customHeight="1" x14ac:dyDescent="0.25">
      <c r="A8" s="150">
        <v>19</v>
      </c>
      <c r="B8" s="150">
        <v>5</v>
      </c>
      <c r="C8" s="30">
        <f t="shared" ref="C8:C37" si="0">IF(OR(SUM($C7,$A8&lt;&gt;"")=0,$A8=""),"",SUM($C7,$A8&lt;&gt;""))</f>
        <v>1</v>
      </c>
      <c r="D8" s="147" t="str">
        <f>IFERROR(VLOOKUP($A8,Sheet1!$A$1:$B$80,2,0),"")</f>
        <v>XX Hotdog Phô mai</v>
      </c>
      <c r="E8" s="30">
        <f>IFERROR(VLOOKUP($A8,'Tổng Đơn'!$A$5:$E$52,5,0),"")</f>
        <v>0.5</v>
      </c>
      <c r="F8" s="30">
        <f t="shared" ref="F8:F37" si="1">IF($B8="","",B8)</f>
        <v>5</v>
      </c>
      <c r="G8" s="155">
        <f>IFERROR(VLOOKUP($A8,Sheet1!$A1:$D$80,4,0),"")</f>
        <v>40000</v>
      </c>
      <c r="H8" s="148">
        <f>IF($C7=MAX($C$8:$C$56),SUM($H7:$H$8),IFERROR($G8*$F8,""))</f>
        <v>200000</v>
      </c>
      <c r="I8" s="54">
        <f t="shared" ref="I8:I37" si="2">IF(TYPE($A8)&lt;&gt;1,"",IFERROR(F8*E8,""))</f>
        <v>2.5</v>
      </c>
      <c r="L8" s="32"/>
    </row>
    <row r="9" spans="1:14" s="29" customFormat="1" ht="14.25" customHeight="1" x14ac:dyDescent="0.25">
      <c r="A9" s="150">
        <v>34</v>
      </c>
      <c r="B9" s="150">
        <v>20</v>
      </c>
      <c r="C9" s="30">
        <f t="shared" si="0"/>
        <v>2</v>
      </c>
      <c r="D9" s="147" t="str">
        <f>IFERROR(VLOOKUP($A9,Sheet1!$A$1:$B$80,2,0),"")</f>
        <v>Cá viên KK</v>
      </c>
      <c r="E9" s="30">
        <f>IFERROR(VLOOKUP($A9,'Tổng Đơn'!$A$5:$E$52,5,0),"")</f>
        <v>0.5</v>
      </c>
      <c r="F9" s="30">
        <f t="shared" si="1"/>
        <v>20</v>
      </c>
      <c r="G9" s="155">
        <f>IF(AND($C9="",$C8&lt;&gt;""),"Tổng Cộng",IFERROR(VLOOKUP($A9,Sheet1!$A$1:$D$80,4,0),""))</f>
        <v>25000</v>
      </c>
      <c r="H9" s="148">
        <f>IF($C8=MAX($C$8:$C$56),SUM($H$8:$H8),IFERROR($G9*$F9,""))</f>
        <v>500000</v>
      </c>
      <c r="I9" s="54">
        <f t="shared" si="2"/>
        <v>10</v>
      </c>
      <c r="L9" s="31"/>
    </row>
    <row r="10" spans="1:14" s="29" customFormat="1" ht="14.25" customHeight="1" x14ac:dyDescent="0.25">
      <c r="A10" s="150">
        <v>37</v>
      </c>
      <c r="B10" s="150">
        <v>6</v>
      </c>
      <c r="C10" s="30">
        <f t="shared" si="0"/>
        <v>3</v>
      </c>
      <c r="D10" s="147" t="str">
        <f>IFERROR(VLOOKUP($A10,Sheet1!$A$1:$B$80,2,0),"")</f>
        <v>Tôm viên KK</v>
      </c>
      <c r="E10" s="30">
        <f>IFERROR(VLOOKUP($A10,'Tổng Đơn'!$A$5:$E$52,5,0),"")</f>
        <v>0.5</v>
      </c>
      <c r="F10" s="30">
        <f t="shared" si="1"/>
        <v>6</v>
      </c>
      <c r="G10" s="155">
        <f>IF(AND($C10="",$C9&lt;&gt;""),"Tổng Cộng",IFERROR(VLOOKUP($A10,Sheet1!$A$1:$D$80,4,0),""))</f>
        <v>28000</v>
      </c>
      <c r="H10" s="148">
        <f>IF($C9=MAX($C$8:$C$56),SUM($H$8:$H9),IFERROR($G10*$F10,""))</f>
        <v>168000</v>
      </c>
      <c r="I10" s="54">
        <f t="shared" si="2"/>
        <v>3</v>
      </c>
      <c r="L10" s="31"/>
    </row>
    <row r="11" spans="1:14" s="29" customFormat="1" ht="14.25" customHeight="1" x14ac:dyDescent="0.25">
      <c r="A11" s="150">
        <v>1</v>
      </c>
      <c r="B11" s="150">
        <v>1</v>
      </c>
      <c r="C11" s="30">
        <f t="shared" si="0"/>
        <v>4</v>
      </c>
      <c r="D11" s="147" t="s">
        <v>312</v>
      </c>
      <c r="E11" s="30" t="s">
        <v>234</v>
      </c>
      <c r="F11" s="30" t="s">
        <v>234</v>
      </c>
      <c r="G11" s="155" t="s">
        <v>234</v>
      </c>
      <c r="H11" s="148">
        <f>-10*7000-5*4000-3*9000</f>
        <v>-117000</v>
      </c>
      <c r="I11" s="54" t="str">
        <f t="shared" si="2"/>
        <v/>
      </c>
      <c r="L11" s="31"/>
    </row>
    <row r="12" spans="1:14" s="29" customFormat="1" ht="14.25" customHeight="1" x14ac:dyDescent="0.25">
      <c r="A12" s="150" t="s">
        <v>310</v>
      </c>
      <c r="B12" s="150"/>
      <c r="C12" s="30" t="str">
        <f t="shared" si="0"/>
        <v/>
      </c>
      <c r="D12" s="147" t="str">
        <f>IFERROR(VLOOKUP($A12,Sheet1!$A$1:$B$80,2,0),"")</f>
        <v/>
      </c>
      <c r="E12" s="30" t="str">
        <f>IFERROR(VLOOKUP($A12,'Tổng Đơn'!$A$5:$E$52,5,0),"")</f>
        <v/>
      </c>
      <c r="F12" s="30" t="str">
        <f t="shared" si="1"/>
        <v/>
      </c>
      <c r="G12" s="155" t="str">
        <f>IF(AND($C12="",$C11&lt;&gt;""),"Tổng Cộng",IFERROR(VLOOKUP($A12,Sheet1!$A$1:$D$80,4,0),""))</f>
        <v>Tổng Cộng</v>
      </c>
      <c r="H12" s="148">
        <f>IF($C11=MAX($C$8:$C$56),SUM($H$8:$H11),IFERROR($G12*$F12,""))</f>
        <v>751000</v>
      </c>
      <c r="I12" s="54" t="str">
        <f t="shared" si="2"/>
        <v/>
      </c>
      <c r="J12" s="125"/>
      <c r="L12" s="31"/>
      <c r="N12" s="126"/>
    </row>
    <row r="13" spans="1:14" s="29" customFormat="1" ht="14.25" customHeight="1" x14ac:dyDescent="0.25">
      <c r="A13" s="150" t="s">
        <v>310</v>
      </c>
      <c r="B13" s="150"/>
      <c r="C13" s="30" t="str">
        <f t="shared" si="0"/>
        <v/>
      </c>
      <c r="D13" s="147" t="str">
        <f>IFERROR(VLOOKUP($A13,Sheet1!$A$1:$B$80,2,0),"")</f>
        <v/>
      </c>
      <c r="E13" s="30" t="str">
        <f>IFERROR(VLOOKUP($A13,'Tổng Đơn'!$A$5:$E$52,5,0),"")</f>
        <v/>
      </c>
      <c r="F13" s="30" t="str">
        <f t="shared" si="1"/>
        <v/>
      </c>
      <c r="G13" s="155" t="str">
        <f>IF(AND($C13="",$C12&lt;&gt;""),"Tổng Cộng",IFERROR(VLOOKUP($A13,Sheet1!$A$1:$D$80,4,0),""))</f>
        <v/>
      </c>
      <c r="H13" s="148" t="str">
        <f>IF($C12=MAX($C$8:$C$56),SUM($H$8:$H12),IFERROR($G13*$F13,""))</f>
        <v/>
      </c>
      <c r="I13" s="54" t="str">
        <f t="shared" si="2"/>
        <v/>
      </c>
      <c r="L13" s="31"/>
    </row>
    <row r="14" spans="1:14" s="29" customFormat="1" ht="14.25" customHeight="1" x14ac:dyDescent="0.25">
      <c r="A14" s="150" t="s">
        <v>310</v>
      </c>
      <c r="B14" s="150"/>
      <c r="C14" s="30" t="str">
        <f t="shared" si="0"/>
        <v/>
      </c>
      <c r="D14" s="147" t="str">
        <f>IFERROR(VLOOKUP($A14,Sheet1!$A$1:$B$80,2,0),"")</f>
        <v/>
      </c>
      <c r="E14" s="30" t="str">
        <f>IFERROR(VLOOKUP($A14,'Tổng Đơn'!$A$5:$E$52,5,0),"")</f>
        <v/>
      </c>
      <c r="F14" s="30" t="str">
        <f t="shared" si="1"/>
        <v/>
      </c>
      <c r="G14" s="155" t="str">
        <f>IF(AND($C14="",$C13&lt;&gt;""),"Tổng Cộng",IFERROR(VLOOKUP($A14,Sheet1!$A$1:$D$80,4,0),""))</f>
        <v/>
      </c>
      <c r="H14" s="148" t="str">
        <f>IF($C13=MAX($C$8:$C$56),SUM($H$8:$H13),IFERROR($G14*$F14,""))</f>
        <v/>
      </c>
      <c r="I14" s="54" t="str">
        <f t="shared" si="2"/>
        <v/>
      </c>
      <c r="L14" s="31"/>
      <c r="M14" s="132"/>
    </row>
    <row r="15" spans="1:14" s="29" customFormat="1" ht="14.25" customHeight="1" x14ac:dyDescent="0.25">
      <c r="A15" s="150" t="s">
        <v>310</v>
      </c>
      <c r="B15" s="150"/>
      <c r="C15" s="30" t="str">
        <f t="shared" si="0"/>
        <v/>
      </c>
      <c r="D15" s="147" t="str">
        <f>IFERROR(VLOOKUP($A15,Sheet1!$A$1:$B$80,2,0),"")</f>
        <v/>
      </c>
      <c r="E15" s="30" t="str">
        <f>IFERROR(VLOOKUP($A15,'Tổng Đơn'!$A$5:$E$52,5,0),"")</f>
        <v/>
      </c>
      <c r="F15" s="30" t="str">
        <f t="shared" si="1"/>
        <v/>
      </c>
      <c r="G15" s="155" t="str">
        <f>IF(AND($C15="",$C14&lt;&gt;""),"Tổng Cộng",IFERROR(VLOOKUP($A15,Sheet1!$A$1:$D$80,4,0),""))</f>
        <v/>
      </c>
      <c r="H15" s="148" t="str">
        <f>IF($C14=MAX($C$8:$C$56),SUM($H$8:$H14),IFERROR($G15*$F15,""))</f>
        <v/>
      </c>
      <c r="I15" s="54" t="str">
        <f t="shared" si="2"/>
        <v/>
      </c>
      <c r="L15" s="31"/>
    </row>
    <row r="16" spans="1:14" s="29" customFormat="1" ht="14.25" customHeight="1" x14ac:dyDescent="0.25">
      <c r="A16" s="150" t="s">
        <v>310</v>
      </c>
      <c r="B16" s="150"/>
      <c r="C16" s="30" t="str">
        <f t="shared" si="0"/>
        <v/>
      </c>
      <c r="D16" s="147" t="str">
        <f>IFERROR(VLOOKUP($A16,Sheet1!$A$1:$B$80,2,0),"")</f>
        <v/>
      </c>
      <c r="E16" s="30" t="str">
        <f>IFERROR(VLOOKUP($A16,'Tổng Đơn'!$A$5:$E$52,5,0),"")</f>
        <v/>
      </c>
      <c r="F16" s="30" t="str">
        <f t="shared" si="1"/>
        <v/>
      </c>
      <c r="G16" s="155" t="str">
        <f>IF(AND($C16="",$C15&lt;&gt;""),"Tổng Cộng",IFERROR(VLOOKUP($A16,Sheet1!$A$1:$D$80,4,0),""))</f>
        <v/>
      </c>
      <c r="H16" s="148" t="str">
        <f>IF($C15=MAX($C$8:$C$56),SUM($H$8:$H15),IFERROR($G16*$F16,""))</f>
        <v/>
      </c>
      <c r="I16" s="54" t="str">
        <f t="shared" si="2"/>
        <v/>
      </c>
      <c r="L16" s="31"/>
    </row>
    <row r="17" spans="1:12" s="29" customFormat="1" ht="14.25" customHeight="1" x14ac:dyDescent="0.25">
      <c r="A17" s="150" t="s">
        <v>310</v>
      </c>
      <c r="B17" s="150"/>
      <c r="C17" s="30" t="str">
        <f t="shared" si="0"/>
        <v/>
      </c>
      <c r="D17" s="147" t="str">
        <f>IFERROR(VLOOKUP($A17,Sheet1!$A$1:$B$80,2,0),"")</f>
        <v/>
      </c>
      <c r="E17" s="30" t="str">
        <f>IFERROR(VLOOKUP($A17,'Tổng Đơn'!$A$5:$E$52,5,0),"")</f>
        <v/>
      </c>
      <c r="F17" s="30" t="str">
        <f t="shared" si="1"/>
        <v/>
      </c>
      <c r="G17" s="155" t="str">
        <f>IF(AND($C17="",$C16&lt;&gt;""),"Tổng Cộng",IFERROR(VLOOKUP($A17,Sheet1!$A$1:$D$80,4,0),""))</f>
        <v/>
      </c>
      <c r="H17" s="148" t="str">
        <f>IF($C16=MAX($C$8:$C$56),SUM($H$8:$H16),IFERROR($G17*$F17,""))</f>
        <v/>
      </c>
      <c r="I17" s="54" t="str">
        <f t="shared" si="2"/>
        <v/>
      </c>
      <c r="L17" s="31"/>
    </row>
    <row r="18" spans="1:12" s="29" customFormat="1" ht="14.25" customHeight="1" x14ac:dyDescent="0.25">
      <c r="A18" s="150" t="s">
        <v>310</v>
      </c>
      <c r="B18" s="150"/>
      <c r="C18" s="30" t="str">
        <f t="shared" si="0"/>
        <v/>
      </c>
      <c r="D18" s="147" t="str">
        <f>IFERROR(VLOOKUP($A18,Sheet1!$A$1:$B$80,2,0),"")</f>
        <v/>
      </c>
      <c r="E18" s="30" t="str">
        <f>IFERROR(VLOOKUP($A18,'Tổng Đơn'!$A$5:$E$52,5,0),"")</f>
        <v/>
      </c>
      <c r="F18" s="30" t="str">
        <f t="shared" si="1"/>
        <v/>
      </c>
      <c r="G18" s="155" t="str">
        <f>IF(AND($C18="",$C17&lt;&gt;""),"Tổng Cộng",IFERROR(VLOOKUP($A18,Sheet1!$A$1:$D$80,4,0),""))</f>
        <v/>
      </c>
      <c r="H18" s="148" t="str">
        <f>IF($C17=MAX($C$8:$C$56),SUM($H$8:$H17),IFERROR($G18*$F18,""))</f>
        <v/>
      </c>
      <c r="I18" s="54" t="str">
        <f t="shared" si="2"/>
        <v/>
      </c>
      <c r="L18" s="31"/>
    </row>
    <row r="19" spans="1:12" s="29" customFormat="1" ht="14.25" customHeight="1" x14ac:dyDescent="0.25">
      <c r="A19" s="150" t="s">
        <v>310</v>
      </c>
      <c r="B19" s="150"/>
      <c r="C19" s="30" t="str">
        <f t="shared" si="0"/>
        <v/>
      </c>
      <c r="D19" s="147" t="str">
        <f>IFERROR(VLOOKUP($A19,Sheet1!$A$1:$B$80,2,0),"")</f>
        <v/>
      </c>
      <c r="E19" s="30" t="str">
        <f>IFERROR(VLOOKUP($A19,'Tổng Đơn'!$A$5:$E$52,5,0),"")</f>
        <v/>
      </c>
      <c r="F19" s="30" t="str">
        <f t="shared" si="1"/>
        <v/>
      </c>
      <c r="G19" s="155" t="str">
        <f>IF(AND($C19="",$C18&lt;&gt;""),"Tổng Cộng",IFERROR(VLOOKUP($A19,Sheet1!$A$1:$D$80,4,0),""))</f>
        <v/>
      </c>
      <c r="H19" s="148" t="str">
        <f>IF($C18=MAX($C$8:$C$56),SUM($H$8:$H18),IFERROR($G19*$F19,""))</f>
        <v/>
      </c>
      <c r="I19" s="54" t="str">
        <f t="shared" si="2"/>
        <v/>
      </c>
      <c r="L19" s="31"/>
    </row>
    <row r="20" spans="1:12" s="29" customFormat="1" ht="14.25" customHeight="1" x14ac:dyDescent="0.25">
      <c r="A20" s="150" t="s">
        <v>310</v>
      </c>
      <c r="B20" s="150"/>
      <c r="C20" s="30" t="str">
        <f t="shared" si="0"/>
        <v/>
      </c>
      <c r="D20" s="147" t="str">
        <f>IFERROR(VLOOKUP($A20,Sheet1!$A$1:$B$80,2,0),"")</f>
        <v/>
      </c>
      <c r="E20" s="30" t="str">
        <f>IFERROR(VLOOKUP($A20,'Tổng Đơn'!$A$5:$E$52,5,0),"")</f>
        <v/>
      </c>
      <c r="F20" s="30" t="str">
        <f t="shared" si="1"/>
        <v/>
      </c>
      <c r="G20" s="155" t="str">
        <f>IF(AND($C20="",$C19&lt;&gt;""),"Tổng Cộng",IFERROR(VLOOKUP($A20,Sheet1!$A$1:$D$80,4,0),""))</f>
        <v/>
      </c>
      <c r="H20" s="148" t="str">
        <f>IF($C19=MAX($C$8:$C$56),SUM($H$8:$H19),IFERROR($G20*$F20,""))</f>
        <v/>
      </c>
      <c r="I20" s="54" t="str">
        <f t="shared" si="2"/>
        <v/>
      </c>
      <c r="L20" s="31"/>
    </row>
    <row r="21" spans="1:12" s="29" customFormat="1" ht="14.25" customHeight="1" x14ac:dyDescent="0.25">
      <c r="A21" s="150" t="s">
        <v>310</v>
      </c>
      <c r="B21" s="150"/>
      <c r="C21" s="30" t="str">
        <f t="shared" si="0"/>
        <v/>
      </c>
      <c r="D21" s="147" t="str">
        <f>IFERROR(VLOOKUP($A21,Sheet1!$A$1:$B$80,2,0),"")</f>
        <v/>
      </c>
      <c r="E21" s="30" t="str">
        <f>IFERROR(VLOOKUP($A21,'Tổng Đơn'!$A$5:$E$52,5,0),"")</f>
        <v/>
      </c>
      <c r="F21" s="30" t="str">
        <f t="shared" si="1"/>
        <v/>
      </c>
      <c r="G21" s="155" t="str">
        <f>IF(AND($C21="",$C20&lt;&gt;""),"Tổng Cộng",IFERROR(VLOOKUP($A21,Sheet1!$A$1:$D$80,4,0),""))</f>
        <v/>
      </c>
      <c r="H21" s="148" t="str">
        <f>IF($C20=MAX($C$8:$C$56),SUM($H$8:$H20),IFERROR($G21*$F21,""))</f>
        <v/>
      </c>
      <c r="I21" s="54" t="str">
        <f t="shared" si="2"/>
        <v/>
      </c>
      <c r="L21" s="31"/>
    </row>
    <row r="22" spans="1:12" s="29" customFormat="1" ht="14.25" customHeight="1" x14ac:dyDescent="0.25">
      <c r="A22" s="150" t="s">
        <v>310</v>
      </c>
      <c r="B22" s="150"/>
      <c r="C22" s="30" t="str">
        <f t="shared" si="0"/>
        <v/>
      </c>
      <c r="D22" s="147" t="str">
        <f>IFERROR(VLOOKUP($A22,Sheet1!$A$1:$B$80,2,0),"")</f>
        <v/>
      </c>
      <c r="E22" s="30" t="str">
        <f>IFERROR(VLOOKUP($A22,'Tổng Đơn'!$A$5:$E$52,5,0),"")</f>
        <v/>
      </c>
      <c r="F22" s="30" t="str">
        <f t="shared" si="1"/>
        <v/>
      </c>
      <c r="G22" s="155" t="str">
        <f>IF(AND($C22="",$C21&lt;&gt;""),"Tổng Cộng",IFERROR(VLOOKUP($A22,Sheet1!$A$1:$D$80,4,0),""))</f>
        <v/>
      </c>
      <c r="H22" s="148" t="str">
        <f>IF($C21=MAX($C$8:$C$56),SUM($H$8:$H21),IFERROR($G22*$F22,""))</f>
        <v/>
      </c>
      <c r="I22" s="54" t="str">
        <f t="shared" si="2"/>
        <v/>
      </c>
      <c r="L22" s="31"/>
    </row>
    <row r="23" spans="1:12" s="29" customFormat="1" ht="14.25" customHeight="1" x14ac:dyDescent="0.25">
      <c r="A23" s="150" t="s">
        <v>310</v>
      </c>
      <c r="B23" s="150"/>
      <c r="C23" s="30" t="str">
        <f t="shared" si="0"/>
        <v/>
      </c>
      <c r="D23" s="147" t="str">
        <f>IFERROR(VLOOKUP($A23,Sheet1!$A$1:$B$80,2,0),"")</f>
        <v/>
      </c>
      <c r="E23" s="30" t="str">
        <f>IFERROR(VLOOKUP($A23,'Tổng Đơn'!$A$5:$E$52,5,0),"")</f>
        <v/>
      </c>
      <c r="F23" s="30" t="str">
        <f t="shared" si="1"/>
        <v/>
      </c>
      <c r="G23" s="155" t="str">
        <f>IF(AND($C23="",$C22&lt;&gt;""),"Tổng Cộng",IFERROR(VLOOKUP($A23,Sheet1!$A$1:$D$80,4,0),""))</f>
        <v/>
      </c>
      <c r="H23" s="148" t="str">
        <f>IF($C22=MAX($C$8:$C$56),SUM($H$8:$H22),IFERROR($G23*$F23,""))</f>
        <v/>
      </c>
      <c r="I23" s="54" t="str">
        <f t="shared" si="2"/>
        <v/>
      </c>
      <c r="L23" s="31"/>
    </row>
    <row r="24" spans="1:12" s="29" customFormat="1" ht="14.25" customHeight="1" x14ac:dyDescent="0.25">
      <c r="A24" s="150" t="s">
        <v>310</v>
      </c>
      <c r="B24" s="150"/>
      <c r="C24" s="30" t="str">
        <f t="shared" si="0"/>
        <v/>
      </c>
      <c r="D24" s="147" t="str">
        <f>IFERROR(VLOOKUP($A24,Sheet1!$A$1:$B$80,2,0),"")</f>
        <v/>
      </c>
      <c r="E24" s="30" t="str">
        <f>IFERROR(VLOOKUP($A24,'Tổng Đơn'!$A$5:$E$52,5,0),"")</f>
        <v/>
      </c>
      <c r="F24" s="30" t="str">
        <f t="shared" si="1"/>
        <v/>
      </c>
      <c r="G24" s="155" t="str">
        <f>IF(AND($C24="",$C23&lt;&gt;""),"Tổng Cộng",IFERROR(VLOOKUP($A24,Sheet1!$A$1:$D$80,4,0),""))</f>
        <v/>
      </c>
      <c r="H24" s="148" t="str">
        <f>IF($C23=MAX($C$8:$C$56),SUM($H$8:$H23),IFERROR($G24*$F24,""))</f>
        <v/>
      </c>
      <c r="I24" s="54" t="str">
        <f t="shared" si="2"/>
        <v/>
      </c>
      <c r="L24" s="31"/>
    </row>
    <row r="25" spans="1:12" s="29" customFormat="1" ht="14.25" customHeight="1" x14ac:dyDescent="0.25">
      <c r="A25" s="150" t="s">
        <v>310</v>
      </c>
      <c r="B25" s="150"/>
      <c r="C25" s="30" t="str">
        <f t="shared" si="0"/>
        <v/>
      </c>
      <c r="D25" s="147" t="str">
        <f>IFERROR(VLOOKUP($A25,Sheet1!$A$1:$B$80,2,0),"")</f>
        <v/>
      </c>
      <c r="E25" s="30" t="str">
        <f>IFERROR(VLOOKUP($A25,'Tổng Đơn'!$A$5:$E$52,5,0),"")</f>
        <v/>
      </c>
      <c r="F25" s="30" t="str">
        <f t="shared" si="1"/>
        <v/>
      </c>
      <c r="G25" s="155" t="str">
        <f>IF(AND($C25="",$C24&lt;&gt;""),"Tổng Cộng",IFERROR(VLOOKUP($A25,Sheet1!$A$1:$D$80,4,0),""))</f>
        <v/>
      </c>
      <c r="H25" s="148" t="str">
        <f>IF($C24=MAX($C$8:$C$56),SUM($H$8:$H24),IFERROR($G25*$F25,""))</f>
        <v/>
      </c>
      <c r="I25" s="54" t="str">
        <f t="shared" si="2"/>
        <v/>
      </c>
      <c r="L25" s="31"/>
    </row>
    <row r="26" spans="1:12" s="29" customFormat="1" ht="14.25" customHeight="1" x14ac:dyDescent="0.25">
      <c r="A26" s="150" t="s">
        <v>310</v>
      </c>
      <c r="B26" s="150"/>
      <c r="C26" s="30" t="str">
        <f t="shared" si="0"/>
        <v/>
      </c>
      <c r="D26" s="147" t="str">
        <f>IFERROR(VLOOKUP($A26,Sheet1!$A$1:$B$80,2,0),"")</f>
        <v/>
      </c>
      <c r="E26" s="30" t="str">
        <f>IFERROR(VLOOKUP($A26,'Tổng Đơn'!$A$5:$E$52,5,0),"")</f>
        <v/>
      </c>
      <c r="F26" s="30" t="str">
        <f t="shared" si="1"/>
        <v/>
      </c>
      <c r="G26" s="155" t="str">
        <f>IF(AND($C26="",$C25&lt;&gt;""),"Tổng Cộng",IFERROR(VLOOKUP($A26,Sheet1!$A$1:$D$80,4,0),""))</f>
        <v/>
      </c>
      <c r="H26" s="148" t="str">
        <f>IF($C25=MAX($C$8:$C$56),SUM($H$8:$H25),IFERROR($G26*$F26,""))</f>
        <v/>
      </c>
      <c r="I26" s="54" t="str">
        <f t="shared" si="2"/>
        <v/>
      </c>
      <c r="L26" s="31"/>
    </row>
    <row r="27" spans="1:12" s="29" customFormat="1" ht="14.25" customHeight="1" x14ac:dyDescent="0.25">
      <c r="A27" s="150" t="s">
        <v>310</v>
      </c>
      <c r="B27" s="150"/>
      <c r="C27" s="30" t="str">
        <f t="shared" si="0"/>
        <v/>
      </c>
      <c r="D27" s="147" t="str">
        <f>IFERROR(VLOOKUP($A27,Sheet1!$A$1:$B$80,2,0),"")</f>
        <v/>
      </c>
      <c r="E27" s="30" t="str">
        <f>IFERROR(VLOOKUP($A27,'Tổng Đơn'!$A$5:$E$52,5,0),"")</f>
        <v/>
      </c>
      <c r="F27" s="30" t="str">
        <f t="shared" si="1"/>
        <v/>
      </c>
      <c r="G27" s="155" t="str">
        <f>IF(AND($C27="",$C26&lt;&gt;""),"Tổng Cộng",IFERROR(VLOOKUP($A27,Sheet1!$A$1:$D$80,4,0),""))</f>
        <v/>
      </c>
      <c r="H27" s="148" t="str">
        <f>IF($C26=MAX($C$8:$C$56),SUM($H$8:$H26),IFERROR($G27*$F27,""))</f>
        <v/>
      </c>
      <c r="I27" s="54" t="str">
        <f t="shared" si="2"/>
        <v/>
      </c>
      <c r="L27" s="31"/>
    </row>
    <row r="28" spans="1:12" s="29" customFormat="1" ht="14.25" customHeight="1" x14ac:dyDescent="0.25">
      <c r="A28" s="150" t="s">
        <v>310</v>
      </c>
      <c r="B28" s="150"/>
      <c r="C28" s="30" t="str">
        <f t="shared" si="0"/>
        <v/>
      </c>
      <c r="D28" s="147" t="str">
        <f>IFERROR(VLOOKUP($A28,Sheet1!$A$1:$B$80,2,0),"")</f>
        <v/>
      </c>
      <c r="E28" s="30" t="str">
        <f>IFERROR(VLOOKUP($A28,'Tổng Đơn'!$A$5:$E$52,5,0),"")</f>
        <v/>
      </c>
      <c r="F28" s="30" t="str">
        <f t="shared" si="1"/>
        <v/>
      </c>
      <c r="G28" s="155" t="str">
        <f>IF(AND($C28="",$C27&lt;&gt;""),"Tổng Cộng",IFERROR(VLOOKUP($A28,Sheet1!$A$1:$D$80,4,0),""))</f>
        <v/>
      </c>
      <c r="H28" s="148" t="str">
        <f>IF($C27=MAX($C$8:$C$56),SUM($H$8:$H27),IFERROR($G28*$F28,""))</f>
        <v/>
      </c>
      <c r="I28" s="54" t="str">
        <f t="shared" si="2"/>
        <v/>
      </c>
      <c r="L28" s="31"/>
    </row>
    <row r="29" spans="1:12" s="29" customFormat="1" ht="14.25" customHeight="1" x14ac:dyDescent="0.25">
      <c r="A29" s="150" t="s">
        <v>310</v>
      </c>
      <c r="B29" s="150"/>
      <c r="C29" s="30" t="str">
        <f t="shared" si="0"/>
        <v/>
      </c>
      <c r="D29" s="147" t="str">
        <f>IFERROR(VLOOKUP($A29,Sheet1!$A$1:$B$80,2,0),"")</f>
        <v/>
      </c>
      <c r="E29" s="30" t="str">
        <f>IFERROR(VLOOKUP($A29,'Tổng Đơn'!$A$5:$E$52,5,0),"")</f>
        <v/>
      </c>
      <c r="F29" s="30" t="str">
        <f t="shared" si="1"/>
        <v/>
      </c>
      <c r="G29" s="155" t="str">
        <f>IF(AND($C29="",$C28&lt;&gt;""),"Tổng Cộng",IFERROR(VLOOKUP($A29,Sheet1!$A$1:$D$80,4,0),""))</f>
        <v/>
      </c>
      <c r="H29" s="148" t="str">
        <f>IF($C28=MAX($C$8:$C$56),SUM($H$8:$H28),IFERROR($G29*$F29,""))</f>
        <v/>
      </c>
      <c r="I29" s="54" t="str">
        <f t="shared" si="2"/>
        <v/>
      </c>
      <c r="L29" s="31"/>
    </row>
    <row r="30" spans="1:12" s="29" customFormat="1" ht="14.25" customHeight="1" x14ac:dyDescent="0.25">
      <c r="A30" s="150" t="s">
        <v>310</v>
      </c>
      <c r="B30" s="150"/>
      <c r="C30" s="30" t="str">
        <f t="shared" si="0"/>
        <v/>
      </c>
      <c r="D30" s="147" t="str">
        <f>IFERROR(VLOOKUP($A30,Sheet1!$A$1:$B$80,2,0),"")</f>
        <v/>
      </c>
      <c r="E30" s="30" t="str">
        <f>IFERROR(VLOOKUP($A30,'Tổng Đơn'!$A$5:$E$52,5,0),"")</f>
        <v/>
      </c>
      <c r="F30" s="30" t="str">
        <f t="shared" si="1"/>
        <v/>
      </c>
      <c r="G30" s="155" t="str">
        <f>IF(AND($C30="",$C29&lt;&gt;""),"Tổng Cộng",IFERROR(VLOOKUP($A30,Sheet1!$A$1:$D$80,4,0),""))</f>
        <v/>
      </c>
      <c r="H30" s="148" t="str">
        <f>IF($C29=MAX($C$8:$C$56),SUM($H$8:$H29),IFERROR($G30*$F30,""))</f>
        <v/>
      </c>
      <c r="I30" s="54" t="str">
        <f t="shared" si="2"/>
        <v/>
      </c>
      <c r="L30" s="31"/>
    </row>
    <row r="31" spans="1:12" s="29" customFormat="1" ht="14.25" customHeight="1" x14ac:dyDescent="0.25">
      <c r="A31" s="150" t="s">
        <v>310</v>
      </c>
      <c r="B31" s="150"/>
      <c r="C31" s="30" t="str">
        <f t="shared" si="0"/>
        <v/>
      </c>
      <c r="D31" s="147" t="str">
        <f>IFERROR(VLOOKUP($A31,Sheet1!$A$1:$B$80,2,0),"")</f>
        <v/>
      </c>
      <c r="E31" s="30" t="str">
        <f>IFERROR(VLOOKUP($A31,'Tổng Đơn'!$A$5:$E$52,5,0),"")</f>
        <v/>
      </c>
      <c r="F31" s="30" t="str">
        <f t="shared" si="1"/>
        <v/>
      </c>
      <c r="G31" s="155" t="str">
        <f>IF(AND($C31="",$C30&lt;&gt;""),"Tổng Cộng",IFERROR(VLOOKUP($A31,Sheet1!$A$1:$D$80,4,0),""))</f>
        <v/>
      </c>
      <c r="H31" s="148" t="str">
        <f>IF($C30=MAX($C$8:$C$56),SUM($H$8:$H30),IFERROR($G31*$F31,""))</f>
        <v/>
      </c>
      <c r="I31" s="54" t="str">
        <f t="shared" si="2"/>
        <v/>
      </c>
      <c r="L31" s="31"/>
    </row>
    <row r="32" spans="1:12" s="29" customFormat="1" ht="14.25" customHeight="1" x14ac:dyDescent="0.25">
      <c r="A32" s="150" t="s">
        <v>310</v>
      </c>
      <c r="B32" s="150"/>
      <c r="C32" s="30" t="str">
        <f t="shared" si="0"/>
        <v/>
      </c>
      <c r="D32" s="147" t="str">
        <f>IFERROR(VLOOKUP($A32,Sheet1!$A$1:$B$80,2,0),"")</f>
        <v/>
      </c>
      <c r="E32" s="30" t="str">
        <f>IFERROR(VLOOKUP($A32,'Tổng Đơn'!$A$5:$E$52,5,0),"")</f>
        <v/>
      </c>
      <c r="F32" s="30" t="str">
        <f t="shared" si="1"/>
        <v/>
      </c>
      <c r="G32" s="155" t="str">
        <f>IF(AND($C32="",$C31&lt;&gt;""),"Tổng Cộng",IFERROR(VLOOKUP($A32,Sheet1!$A$1:$D$80,4,0),""))</f>
        <v/>
      </c>
      <c r="H32" s="148" t="str">
        <f>IF($C31=MAX($C$8:$C$56),SUM($H$8:$H31),IFERROR($G32*$F32,""))</f>
        <v/>
      </c>
      <c r="I32" s="54" t="str">
        <f t="shared" si="2"/>
        <v/>
      </c>
      <c r="L32" s="31"/>
    </row>
    <row r="33" spans="1:12" s="29" customFormat="1" ht="14.25" customHeight="1" x14ac:dyDescent="0.25">
      <c r="A33" s="150" t="s">
        <v>310</v>
      </c>
      <c r="B33" s="150"/>
      <c r="C33" s="30" t="str">
        <f t="shared" si="0"/>
        <v/>
      </c>
      <c r="D33" s="147" t="str">
        <f>IFERROR(VLOOKUP($A33,Sheet1!$A$1:$B$80,2,0),"")</f>
        <v/>
      </c>
      <c r="E33" s="30" t="str">
        <f>IFERROR(VLOOKUP($A33,'Tổng Đơn'!$A$5:$E$52,5,0),"")</f>
        <v/>
      </c>
      <c r="F33" s="30" t="str">
        <f t="shared" si="1"/>
        <v/>
      </c>
      <c r="G33" s="155" t="str">
        <f>IF(AND($C33="",$C32&lt;&gt;""),"Tổng Cộng",IFERROR(VLOOKUP($A33,Sheet1!$A$1:$D$80,4,0),""))</f>
        <v/>
      </c>
      <c r="H33" s="148" t="str">
        <f>IF($C32=MAX($C$8:$C$56),SUM($H$8:$H32),IFERROR($G33*$F33,""))</f>
        <v/>
      </c>
      <c r="I33" s="54" t="str">
        <f t="shared" si="2"/>
        <v/>
      </c>
      <c r="L33" s="31"/>
    </row>
    <row r="34" spans="1:12" s="29" customFormat="1" ht="14.25" customHeight="1" x14ac:dyDescent="0.25">
      <c r="A34" s="150" t="s">
        <v>310</v>
      </c>
      <c r="B34" s="150"/>
      <c r="C34" s="30" t="str">
        <f t="shared" si="0"/>
        <v/>
      </c>
      <c r="D34" s="147" t="str">
        <f>IFERROR(VLOOKUP($A34,Sheet1!$A$1:$B$80,2,0),"")</f>
        <v/>
      </c>
      <c r="E34" s="30" t="str">
        <f>IFERROR(VLOOKUP($A34,'Tổng Đơn'!$A$5:$E$52,5,0),"")</f>
        <v/>
      </c>
      <c r="F34" s="30" t="str">
        <f t="shared" si="1"/>
        <v/>
      </c>
      <c r="G34" s="155" t="str">
        <f>IF(AND($C34="",$C33&lt;&gt;""),"Tổng Cộng",IFERROR(VLOOKUP($A34,Sheet1!$A$1:$D$80,4,0),""))</f>
        <v/>
      </c>
      <c r="H34" s="148" t="str">
        <f>IF($C33=MAX($C$8:$C$56),SUM($H$8:$H33),IFERROR($G34*$F34,""))</f>
        <v/>
      </c>
      <c r="I34" s="54" t="str">
        <f t="shared" si="2"/>
        <v/>
      </c>
      <c r="L34" s="31"/>
    </row>
    <row r="35" spans="1:12" s="29" customFormat="1" ht="14.25" customHeight="1" x14ac:dyDescent="0.25">
      <c r="A35" s="150" t="s">
        <v>310</v>
      </c>
      <c r="B35" s="150"/>
      <c r="C35" s="30" t="str">
        <f t="shared" si="0"/>
        <v/>
      </c>
      <c r="D35" s="147" t="str">
        <f>IFERROR(VLOOKUP($A35,Sheet1!$A$1:$B$80,2,0),"")</f>
        <v/>
      </c>
      <c r="E35" s="30" t="str">
        <f>IFERROR(VLOOKUP($A35,'Tổng Đơn'!$A$5:$E$52,5,0),"")</f>
        <v/>
      </c>
      <c r="F35" s="30" t="str">
        <f t="shared" si="1"/>
        <v/>
      </c>
      <c r="G35" s="155" t="str">
        <f>IF(AND($C35="",$C34&lt;&gt;""),"Tổng Cộng",IFERROR(VLOOKUP($A35,Sheet1!$A$1:$D$80,4,0),""))</f>
        <v/>
      </c>
      <c r="H35" s="148" t="str">
        <f>IF($C34=MAX($C$8:$C$56),SUM($H$8:$H34),IFERROR($G35*$F35,""))</f>
        <v/>
      </c>
      <c r="I35" s="54" t="str">
        <f t="shared" si="2"/>
        <v/>
      </c>
      <c r="L35" s="31"/>
    </row>
    <row r="36" spans="1:12" s="29" customFormat="1" ht="14.25" customHeight="1" x14ac:dyDescent="0.25">
      <c r="A36" s="150" t="s">
        <v>310</v>
      </c>
      <c r="B36" s="150"/>
      <c r="C36" s="30" t="str">
        <f t="shared" si="0"/>
        <v/>
      </c>
      <c r="D36" s="147" t="str">
        <f>IFERROR(VLOOKUP($A36,Sheet1!$A$1:$B$80,2,0),"")</f>
        <v/>
      </c>
      <c r="E36" s="30" t="str">
        <f>IFERROR(VLOOKUP($A36,'Tổng Đơn'!$A$5:$E$52,5,0),"")</f>
        <v/>
      </c>
      <c r="F36" s="30" t="str">
        <f t="shared" si="1"/>
        <v/>
      </c>
      <c r="G36" s="155" t="str">
        <f>IF(AND($C36="",$C35&lt;&gt;""),"Tổng Cộng",IFERROR(VLOOKUP($A36,Sheet1!$A$1:$D$80,4,0),""))</f>
        <v/>
      </c>
      <c r="H36" s="148" t="str">
        <f>IF($C35=MAX($C$8:$C$56),SUM($H$8:$H35),IFERROR($G36*$F36,""))</f>
        <v/>
      </c>
      <c r="I36" s="54" t="str">
        <f t="shared" si="2"/>
        <v/>
      </c>
      <c r="L36" s="31"/>
    </row>
    <row r="37" spans="1:12" s="29" customFormat="1" ht="14.25" customHeight="1" x14ac:dyDescent="0.25">
      <c r="A37" s="150" t="s">
        <v>310</v>
      </c>
      <c r="B37" s="150"/>
      <c r="C37" s="30" t="str">
        <f t="shared" si="0"/>
        <v/>
      </c>
      <c r="D37" s="147" t="str">
        <f>IFERROR(VLOOKUP($A37,Sheet1!$A$1:$B$80,2,0),"")</f>
        <v/>
      </c>
      <c r="E37" s="30" t="str">
        <f>IFERROR(VLOOKUP($A37,'Tổng Đơn'!$A$5:$E$52,5,0),"")</f>
        <v/>
      </c>
      <c r="F37" s="30" t="str">
        <f t="shared" si="1"/>
        <v/>
      </c>
      <c r="G37" s="155" t="str">
        <f>IF(AND($C37="",$C36&lt;&gt;""),"Tổng Cộng",IFERROR(VLOOKUP($A37,Sheet1!$A$1:$D$80,4,0),""))</f>
        <v/>
      </c>
      <c r="H37" s="148" t="str">
        <f>IF($C36=MAX($C$8:$C$56),SUM($H$8:$H36),IFERROR($G37*$F37,""))</f>
        <v/>
      </c>
      <c r="I37" s="54" t="str">
        <f t="shared" si="2"/>
        <v/>
      </c>
      <c r="L37" s="31"/>
    </row>
    <row r="38" spans="1:12" s="29" customFormat="1" ht="14.25" customHeight="1" x14ac:dyDescent="0.25">
      <c r="A38" s="150"/>
      <c r="B38" s="150"/>
      <c r="C38" s="33"/>
      <c r="D38" s="34"/>
      <c r="E38" s="52"/>
      <c r="F38" s="30"/>
      <c r="G38" s="156" t="str">
        <f>IF(AND($C38="",$C37&lt;&gt;""),"Tổng Cộng",IFERROR(VLOOKUP($A38,Sheet1!$A$1:$D$80,4,0),""))</f>
        <v/>
      </c>
      <c r="H38" s="35" t="str">
        <f>IF($C37=MAX($C$8:$C$56),SUM($H$8:$H37),IFERROR($G38*$F38,""))</f>
        <v/>
      </c>
      <c r="I38" s="54"/>
      <c r="L38" s="31"/>
    </row>
    <row r="39" spans="1:12" ht="15" customHeight="1" x14ac:dyDescent="0.25">
      <c r="F39" s="36"/>
      <c r="G39" s="139"/>
      <c r="H39" s="37"/>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C38:E38 D23:E37 F23:H38">
    <cfRule type="expression" dxfId="191" priority="22">
      <formula>$C22=MAX($C$8:$C$37)</formula>
    </cfRule>
  </conditionalFormatting>
  <conditionalFormatting sqref="C23:C37">
    <cfRule type="expression" dxfId="190" priority="21">
      <formula>$C22=MAX($C$8:$C$37)</formula>
    </cfRule>
  </conditionalFormatting>
  <conditionalFormatting sqref="E23:E38">
    <cfRule type="expression" dxfId="189" priority="23">
      <formula>AND($A23="",$F23&lt;&gt;"")</formula>
    </cfRule>
  </conditionalFormatting>
  <conditionalFormatting sqref="F23:F38">
    <cfRule type="expression" dxfId="188" priority="24">
      <formula>AND($F23="",$A23&lt;&gt;"")</formula>
    </cfRule>
  </conditionalFormatting>
  <conditionalFormatting sqref="D20:H22">
    <cfRule type="expression" dxfId="187" priority="18">
      <formula>$C19=MAX($C$8:$C$37)</formula>
    </cfRule>
  </conditionalFormatting>
  <conditionalFormatting sqref="C20:C22">
    <cfRule type="expression" dxfId="186" priority="17">
      <formula>$C19=MAX($C$8:$C$37)</formula>
    </cfRule>
  </conditionalFormatting>
  <conditionalFormatting sqref="E20:E22">
    <cfRule type="expression" dxfId="185" priority="19">
      <formula>AND($A20="",$F20&lt;&gt;"")</formula>
    </cfRule>
  </conditionalFormatting>
  <conditionalFormatting sqref="F20:F22">
    <cfRule type="expression" dxfId="184" priority="20">
      <formula>AND($F20="",$A20&lt;&gt;"")</formula>
    </cfRule>
  </conditionalFormatting>
  <conditionalFormatting sqref="D15:H19 D12:F14 H12:H14">
    <cfRule type="expression" dxfId="183" priority="14">
      <formula>$C11=MAX($C$8:$C$37)</formula>
    </cfRule>
  </conditionalFormatting>
  <conditionalFormatting sqref="C12:C19">
    <cfRule type="expression" dxfId="182" priority="13">
      <formula>$C11=MAX($C$8:$C$37)</formula>
    </cfRule>
  </conditionalFormatting>
  <conditionalFormatting sqref="E12:E19">
    <cfRule type="expression" dxfId="181" priority="15">
      <formula>AND($A12="",$F12&lt;&gt;"")</formula>
    </cfRule>
  </conditionalFormatting>
  <conditionalFormatting sqref="F12:F19">
    <cfRule type="expression" dxfId="180" priority="16">
      <formula>AND($F12="",$A12&lt;&gt;"")</formula>
    </cfRule>
  </conditionalFormatting>
  <conditionalFormatting sqref="G12:G14">
    <cfRule type="expression" dxfId="179" priority="12">
      <formula>$C11=MAX($C$8:$C$37)</formula>
    </cfRule>
  </conditionalFormatting>
  <conditionalFormatting sqref="D9:F11 H9:H11">
    <cfRule type="expression" dxfId="178" priority="9">
      <formula>$C8=MAX($C$8:$C$37)</formula>
    </cfRule>
  </conditionalFormatting>
  <conditionalFormatting sqref="C9:C11">
    <cfRule type="expression" dxfId="177" priority="8">
      <formula>$C8=MAX($C$8:$C$37)</formula>
    </cfRule>
  </conditionalFormatting>
  <conditionalFormatting sqref="E9:E11">
    <cfRule type="expression" dxfId="176" priority="10">
      <formula>AND($A9="",$F9&lt;&gt;"")</formula>
    </cfRule>
  </conditionalFormatting>
  <conditionalFormatting sqref="F9:F11">
    <cfRule type="expression" dxfId="175" priority="11">
      <formula>AND($F9="",$A9&lt;&gt;"")</formula>
    </cfRule>
  </conditionalFormatting>
  <conditionalFormatting sqref="D8:F8">
    <cfRule type="expression" dxfId="174" priority="5">
      <formula>$C7=MAX($C$8:$C$37)</formula>
    </cfRule>
  </conditionalFormatting>
  <conditionalFormatting sqref="C8">
    <cfRule type="expression" dxfId="173" priority="4">
      <formula>$C7=MAX($C$8:$C$37)</formula>
    </cfRule>
  </conditionalFormatting>
  <conditionalFormatting sqref="E8">
    <cfRule type="expression" dxfId="172" priority="6">
      <formula>AND($A8="",$F8&lt;&gt;"")</formula>
    </cfRule>
  </conditionalFormatting>
  <conditionalFormatting sqref="F8">
    <cfRule type="expression" dxfId="171" priority="7">
      <formula>AND($F8="",$A8&lt;&gt;"")</formula>
    </cfRule>
  </conditionalFormatting>
  <conditionalFormatting sqref="H8">
    <cfRule type="expression" dxfId="170" priority="3">
      <formula>$C7=MAX($C$8:$C$37)</formula>
    </cfRule>
  </conditionalFormatting>
  <conditionalFormatting sqref="G9:G11">
    <cfRule type="expression" dxfId="169" priority="2">
      <formula>$C8=MAX($C$8:$C$37)</formula>
    </cfRule>
  </conditionalFormatting>
  <conditionalFormatting sqref="G8">
    <cfRule type="expression" dxfId="168" priority="1">
      <formula>$C7=MAX($C$8:$C$37)</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1537025" r:id="rId4" name="Button 1">
              <controlPr defaultSize="0" print="0" autoFill="0" autoPict="0" macro="[0]!Macro4">
                <anchor moveWithCells="1" sizeWithCells="1">
                  <from>
                    <xdr:col>0</xdr:col>
                    <xdr:colOff>0</xdr:colOff>
                    <xdr:row>0</xdr:row>
                    <xdr:rowOff>0</xdr:rowOff>
                  </from>
                  <to>
                    <xdr:col>1</xdr:col>
                    <xdr:colOff>769620</xdr:colOff>
                    <xdr:row>7</xdr:row>
                    <xdr:rowOff>0</xdr:rowOff>
                  </to>
                </anchor>
              </controlPr>
            </control>
          </mc:Choice>
        </mc:AlternateContent>
      </controls>
    </mc:Choice>
  </mc:AlternateContent>
</worksheet>
</file>

<file path=xl/worksheets/sheet2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62ED647-2370-4600-A36A-C293BAC9D094}">
  <sheetPr codeName="Sheet40">
    <tabColor theme="1"/>
    <pageSetUpPr fitToPage="1"/>
  </sheetPr>
  <dimension ref="A1:N53"/>
  <sheetViews>
    <sheetView zoomScaleNormal="100" workbookViewId="0">
      <pane ySplit="7" topLeftCell="A8" activePane="bottomLeft" state="frozen"/>
      <selection activeCell="Q2" sqref="Q2"/>
      <selection pane="bottomLeft" activeCell="H19" sqref="H19"/>
    </sheetView>
  </sheetViews>
  <sheetFormatPr defaultColWidth="9.09765625" defaultRowHeight="13.8" x14ac:dyDescent="0.25"/>
  <cols>
    <col min="1" max="1" width="11.69921875" style="14" customWidth="1"/>
    <col min="2" max="2" width="11.296875" style="14" customWidth="1"/>
    <col min="3" max="3" width="9.09765625" style="14"/>
    <col min="4" max="4" width="38.3984375" style="14" bestFit="1" customWidth="1"/>
    <col min="5" max="5" width="12.296875" style="53" bestFit="1" customWidth="1"/>
    <col min="6" max="6" width="11" style="14" customWidth="1"/>
    <col min="7" max="7" width="17.8984375" style="14" customWidth="1"/>
    <col min="8" max="8" width="17.8984375" style="15" customWidth="1"/>
    <col min="9" max="9" width="21.8984375" style="14" customWidth="1"/>
    <col min="10" max="10" width="10.09765625" style="14" customWidth="1"/>
    <col min="11" max="11" width="9.09765625" style="14"/>
    <col min="12" max="12" width="11.69921875" style="14" customWidth="1"/>
    <col min="13" max="14" width="10.09765625" style="14" bestFit="1" customWidth="1"/>
    <col min="15" max="16384" width="9.09765625" style="14"/>
  </cols>
  <sheetData>
    <row r="1" spans="1:14" ht="15.75" customHeight="1" x14ac:dyDescent="0.25">
      <c r="C1" s="268" t="s">
        <v>164</v>
      </c>
      <c r="D1" s="268"/>
      <c r="E1" s="268"/>
      <c r="F1" s="268"/>
      <c r="G1" s="268"/>
      <c r="H1" s="268"/>
    </row>
    <row r="2" spans="1:14" ht="15.75" customHeight="1" x14ac:dyDescent="0.25">
      <c r="C2" s="268"/>
      <c r="D2" s="268"/>
      <c r="E2" s="268"/>
      <c r="F2" s="268"/>
      <c r="G2" s="268"/>
      <c r="H2" s="268"/>
    </row>
    <row r="3" spans="1:14" ht="15" customHeight="1" x14ac:dyDescent="0.25">
      <c r="C3" s="269" t="s">
        <v>166</v>
      </c>
      <c r="D3" s="269"/>
      <c r="E3" s="269"/>
      <c r="F3" s="270" t="s">
        <v>168</v>
      </c>
      <c r="G3" s="270"/>
      <c r="H3" s="270"/>
    </row>
    <row r="4" spans="1:14" x14ac:dyDescent="0.25">
      <c r="C4" s="269" t="s">
        <v>167</v>
      </c>
      <c r="D4" s="269"/>
      <c r="E4" s="269"/>
      <c r="F4" s="271" t="s">
        <v>169</v>
      </c>
      <c r="G4" s="271"/>
      <c r="H4" s="271"/>
    </row>
    <row r="5" spans="1:14" s="140" customFormat="1" ht="21" customHeight="1" x14ac:dyDescent="0.25">
      <c r="C5" s="272" t="s">
        <v>165</v>
      </c>
      <c r="D5" s="272"/>
      <c r="E5" s="272"/>
      <c r="F5" s="272"/>
      <c r="G5" s="272"/>
      <c r="H5" s="272"/>
    </row>
    <row r="6" spans="1:14" s="140" customFormat="1" ht="16.5" customHeight="1" x14ac:dyDescent="0.25">
      <c r="C6" s="149" t="s">
        <v>170</v>
      </c>
      <c r="D6" s="152" t="s">
        <v>311</v>
      </c>
      <c r="E6" s="145"/>
      <c r="F6" s="145"/>
      <c r="G6" s="267" t="str">
        <f ca="1">"Ngày "&amp;DAY(TODAY())&amp;" Tháng "&amp;MONTH(TODAY())&amp;" Năm "&amp;YEAR(TODAY())</f>
        <v>Ngày 22 Tháng 1 Năm 2023</v>
      </c>
      <c r="H6" s="267"/>
    </row>
    <row r="7" spans="1:14" s="144" customFormat="1" ht="24" customHeight="1" x14ac:dyDescent="0.25">
      <c r="A7" s="141" t="s">
        <v>101</v>
      </c>
      <c r="B7" s="141" t="s">
        <v>15</v>
      </c>
      <c r="C7" s="142" t="s">
        <v>0</v>
      </c>
      <c r="D7" s="142" t="s">
        <v>16</v>
      </c>
      <c r="E7" s="146" t="str">
        <f>"Quy cách"&amp;CHAR(10)&amp;"(Kg)"</f>
        <v>Quy cách
(Kg)</v>
      </c>
      <c r="F7" s="142" t="s">
        <v>15</v>
      </c>
      <c r="G7" s="142" t="s">
        <v>17</v>
      </c>
      <c r="H7" s="142" t="s">
        <v>18</v>
      </c>
      <c r="I7" s="143">
        <f>SUBTOTAL(9,I8:I37)</f>
        <v>13.9</v>
      </c>
      <c r="L7" s="140"/>
    </row>
    <row r="8" spans="1:14" s="29" customFormat="1" ht="14.25" customHeight="1" x14ac:dyDescent="0.25">
      <c r="A8" s="150">
        <v>7</v>
      </c>
      <c r="B8" s="150">
        <v>2</v>
      </c>
      <c r="C8" s="30">
        <f t="shared" ref="C8:C37" si="0">IF(OR(SUM($C7,$A8&lt;&gt;"")=0,$A8=""),"",SUM($C7,$A8&lt;&gt;""))</f>
        <v>1</v>
      </c>
      <c r="D8" s="147" t="str">
        <f>IFERROR(VLOOKUP($A8,Sheet1!$A$1:$B$80,2,0),"")</f>
        <v>Hải sản sốt cam LC</v>
      </c>
      <c r="E8" s="30">
        <f>IFERROR(VLOOKUP($A8,'Tổng Đơn'!$A$5:$E$52,5,0),"")</f>
        <v>0.5</v>
      </c>
      <c r="F8" s="30">
        <f t="shared" ref="F8:F37" si="1">IF($B8="","",B8)</f>
        <v>2</v>
      </c>
      <c r="G8" s="155">
        <f>IFERROR(VLOOKUP($A8,Sheet1!$A1:$D$80,4,0),"")</f>
        <v>45000</v>
      </c>
      <c r="H8" s="148">
        <f>IF($C7=MAX($C$8:$C$56),SUM($H7:$H$8),IFERROR($G8*$F8,""))</f>
        <v>90000</v>
      </c>
      <c r="I8" s="54">
        <f t="shared" ref="I8:I37" si="2">IF(TYPE($A8)&lt;&gt;1,"",IFERROR(F8*E8,""))</f>
        <v>1</v>
      </c>
      <c r="L8" s="32"/>
    </row>
    <row r="9" spans="1:14" s="29" customFormat="1" ht="14.25" customHeight="1" x14ac:dyDescent="0.25">
      <c r="A9" s="150">
        <v>16</v>
      </c>
      <c r="B9" s="150">
        <v>3</v>
      </c>
      <c r="C9" s="30">
        <f t="shared" si="0"/>
        <v>2</v>
      </c>
      <c r="D9" s="147" t="str">
        <f>IFERROR(VLOOKUP($A9,Sheet1!$A$1:$B$80,2,0),"")</f>
        <v>XX Đức HS ĐNA</v>
      </c>
      <c r="E9" s="30">
        <f>IFERROR(VLOOKUP($A9,'Tổng Đơn'!$A$5:$E$52,5,0),"")</f>
        <v>0.5</v>
      </c>
      <c r="F9" s="30">
        <f t="shared" si="1"/>
        <v>3</v>
      </c>
      <c r="G9" s="155">
        <f>IF(AND($C9="",$C8&lt;&gt;""),"Tổng Cộng",IFERROR(VLOOKUP($A9,Sheet1!$A$1:$D$80,4,0),""))</f>
        <v>35000</v>
      </c>
      <c r="H9" s="148">
        <f>IF($C8=MAX($C$8:$C$56),SUM($H$8:$H8),IFERROR($G9*$F9,""))</f>
        <v>105000</v>
      </c>
      <c r="I9" s="54">
        <f t="shared" si="2"/>
        <v>1.5</v>
      </c>
      <c r="L9" s="31"/>
    </row>
    <row r="10" spans="1:14" s="29" customFormat="1" ht="14.25" customHeight="1" x14ac:dyDescent="0.25">
      <c r="A10" s="150">
        <v>21</v>
      </c>
      <c r="B10" s="150">
        <v>3</v>
      </c>
      <c r="C10" s="30">
        <f t="shared" si="0"/>
        <v>3</v>
      </c>
      <c r="D10" s="147" t="str">
        <f>IFERROR(VLOOKUP($A10,Sheet1!$A$1:$B$80,2,0),"")</f>
        <v>Bò lá lốt</v>
      </c>
      <c r="E10" s="30">
        <f>IFERROR(VLOOKUP($A10,'Tổng Đơn'!$A$5:$E$52,5,0),"")</f>
        <v>0.5</v>
      </c>
      <c r="F10" s="30">
        <f t="shared" si="1"/>
        <v>3</v>
      </c>
      <c r="G10" s="155">
        <f>IF(AND($C10="",$C9&lt;&gt;""),"Tổng Cộng",IFERROR(VLOOKUP($A10,Sheet1!$A$1:$D$80,4,0),""))</f>
        <v>42000</v>
      </c>
      <c r="H10" s="148">
        <f>IF($C9=MAX($C$8:$C$56),SUM($H$8:$H9),IFERROR($G10*$F10,""))</f>
        <v>126000</v>
      </c>
      <c r="I10" s="54">
        <f t="shared" si="2"/>
        <v>1.5</v>
      </c>
      <c r="L10" s="31"/>
    </row>
    <row r="11" spans="1:14" s="29" customFormat="1" ht="14.25" customHeight="1" x14ac:dyDescent="0.25">
      <c r="A11" s="150">
        <v>25</v>
      </c>
      <c r="B11" s="150">
        <v>3</v>
      </c>
      <c r="C11" s="30">
        <f t="shared" si="0"/>
        <v>4</v>
      </c>
      <c r="D11" s="147" t="str">
        <f>IFERROR(VLOOKUP($A11,Sheet1!$A$1:$B$80,2,0),"")</f>
        <v>Đậu hủ phô mai EB</v>
      </c>
      <c r="E11" s="30">
        <f>IFERROR(VLOOKUP($A11,'Tổng Đơn'!$A$5:$E$52,5,0),"")</f>
        <v>0.5</v>
      </c>
      <c r="F11" s="30">
        <f t="shared" si="1"/>
        <v>3</v>
      </c>
      <c r="G11" s="155">
        <f>IF(AND($C11="",$C10&lt;&gt;""),"Tổng Cộng",IFERROR(VLOOKUP($A11,Sheet1!$A$1:$D$80,4,0),""))</f>
        <v>80000</v>
      </c>
      <c r="H11" s="148">
        <f>IF($C10=MAX($C$8:$C$56),SUM($H$8:$H10),IFERROR($G11*$F11,""))</f>
        <v>240000</v>
      </c>
      <c r="I11" s="54">
        <f t="shared" si="2"/>
        <v>1.5</v>
      </c>
      <c r="L11" s="31"/>
    </row>
    <row r="12" spans="1:14" s="29" customFormat="1" ht="14.25" customHeight="1" x14ac:dyDescent="0.25">
      <c r="A12" s="150">
        <v>29</v>
      </c>
      <c r="B12" s="150">
        <v>2</v>
      </c>
      <c r="C12" s="30">
        <f t="shared" si="0"/>
        <v>5</v>
      </c>
      <c r="D12" s="147" t="str">
        <f>IFERROR(VLOOKUP($A12,Sheet1!$A$1:$B$80,2,0),"")</f>
        <v>Thanh cua dài Liên Anh</v>
      </c>
      <c r="E12" s="30">
        <f>IFERROR(VLOOKUP($A12,'Tổng Đơn'!$A$5:$E$52,5,0),"")</f>
        <v>0.5</v>
      </c>
      <c r="F12" s="30">
        <f t="shared" si="1"/>
        <v>2</v>
      </c>
      <c r="G12" s="155">
        <f>IF(AND($C12="",$C11&lt;&gt;""),"Tổng Cộng",IFERROR(VLOOKUP($A12,Sheet1!$A$1:$D$80,4,0),""))</f>
        <v>70000</v>
      </c>
      <c r="H12" s="148">
        <f>IF($C11=MAX($C$8:$C$56),SUM($H$8:$H11),IFERROR($G12*$F12,""))</f>
        <v>140000</v>
      </c>
      <c r="I12" s="54">
        <f t="shared" si="2"/>
        <v>1</v>
      </c>
      <c r="J12" s="125"/>
      <c r="L12" s="31"/>
      <c r="N12" s="126"/>
    </row>
    <row r="13" spans="1:14" s="29" customFormat="1" ht="14.25" customHeight="1" x14ac:dyDescent="0.25">
      <c r="A13" s="150">
        <v>31</v>
      </c>
      <c r="B13" s="150">
        <v>2</v>
      </c>
      <c r="C13" s="30">
        <f t="shared" si="0"/>
        <v>6</v>
      </c>
      <c r="D13" s="147" t="str">
        <f>IFERROR(VLOOKUP($A13,Sheet1!$A$1:$B$80,2,0),"")</f>
        <v xml:space="preserve">Viên thả lẩu Cam-Trứng cá </v>
      </c>
      <c r="E13" s="30">
        <f>IFERROR(VLOOKUP($A13,'Tổng Đơn'!$A$5:$E$52,5,0),"")</f>
        <v>0.5</v>
      </c>
      <c r="F13" s="30">
        <f t="shared" si="1"/>
        <v>2</v>
      </c>
      <c r="G13" s="155">
        <f>IF(AND($C13="",$C12&lt;&gt;""),"Tổng Cộng",IFERROR(VLOOKUP($A13,Sheet1!$A$1:$D$80,4,0),""))</f>
        <v>47000</v>
      </c>
      <c r="H13" s="148">
        <f>IF($C12=MAX($C$8:$C$56),SUM($H$8:$H12),IFERROR($G13*$F13,""))</f>
        <v>94000</v>
      </c>
      <c r="I13" s="54">
        <f t="shared" si="2"/>
        <v>1</v>
      </c>
      <c r="L13" s="31"/>
    </row>
    <row r="14" spans="1:14" s="29" customFormat="1" ht="14.25" customHeight="1" x14ac:dyDescent="0.25">
      <c r="A14" s="150">
        <v>34</v>
      </c>
      <c r="B14" s="150">
        <v>6</v>
      </c>
      <c r="C14" s="30">
        <f t="shared" si="0"/>
        <v>7</v>
      </c>
      <c r="D14" s="147" t="str">
        <f>IFERROR(VLOOKUP($A14,Sheet1!$A$1:$B$80,2,0),"")</f>
        <v>Cá viên KK</v>
      </c>
      <c r="E14" s="30">
        <f>IFERROR(VLOOKUP($A14,'Tổng Đơn'!$A$5:$E$52,5,0),"")</f>
        <v>0.5</v>
      </c>
      <c r="F14" s="30">
        <f t="shared" si="1"/>
        <v>6</v>
      </c>
      <c r="G14" s="155">
        <f>IF(AND($C14="",$C13&lt;&gt;""),"Tổng Cộng",IFERROR(VLOOKUP($A14,Sheet1!$A$1:$D$80,4,0),""))</f>
        <v>25000</v>
      </c>
      <c r="H14" s="148">
        <f>IF($C13=MAX($C$8:$C$56),SUM($H$8:$H13),IFERROR($G14*$F14,""))</f>
        <v>150000</v>
      </c>
      <c r="I14" s="54">
        <f t="shared" si="2"/>
        <v>3</v>
      </c>
      <c r="L14" s="31"/>
      <c r="M14" s="132"/>
    </row>
    <row r="15" spans="1:14" s="29" customFormat="1" ht="14.25" customHeight="1" x14ac:dyDescent="0.25">
      <c r="A15" s="150">
        <v>38</v>
      </c>
      <c r="B15" s="150">
        <v>3</v>
      </c>
      <c r="C15" s="30">
        <f t="shared" si="0"/>
        <v>8</v>
      </c>
      <c r="D15" s="147" t="str">
        <f>IFERROR(VLOOKUP($A15,Sheet1!$A$1:$B$80,2,0),"")</f>
        <v>XX Đỏ KK</v>
      </c>
      <c r="E15" s="30">
        <f>IFERROR(VLOOKUP($A15,'Tổng Đơn'!$A$5:$E$52,5,0),"")</f>
        <v>0.5</v>
      </c>
      <c r="F15" s="30">
        <f t="shared" si="1"/>
        <v>3</v>
      </c>
      <c r="G15" s="155">
        <f>IF(AND($C15="",$C14&lt;&gt;""),"Tổng Cộng",IFERROR(VLOOKUP($A15,Sheet1!$A$1:$D$80,4,0),""))</f>
        <v>26000</v>
      </c>
      <c r="H15" s="148">
        <f>IF($C14=MAX($C$8:$C$56),SUM($H$8:$H14),IFERROR($G15*$F15,""))</f>
        <v>78000</v>
      </c>
      <c r="I15" s="54">
        <f t="shared" si="2"/>
        <v>1.5</v>
      </c>
      <c r="L15" s="31"/>
    </row>
    <row r="16" spans="1:14" s="29" customFormat="1" ht="14.25" customHeight="1" x14ac:dyDescent="0.25">
      <c r="A16" s="150">
        <v>40</v>
      </c>
      <c r="B16" s="150">
        <v>2</v>
      </c>
      <c r="C16" s="30">
        <f t="shared" si="0"/>
        <v>9</v>
      </c>
      <c r="D16" s="147" t="str">
        <f>IFERROR(VLOOKUP($A16,Sheet1!$A$1:$B$80,2,0),"")</f>
        <v>Hồ lô KK</v>
      </c>
      <c r="E16" s="30">
        <f>IFERROR(VLOOKUP($A16,'Tổng Đơn'!$A$5:$E$52,5,0),"")</f>
        <v>0.5</v>
      </c>
      <c r="F16" s="30">
        <f t="shared" si="1"/>
        <v>2</v>
      </c>
      <c r="G16" s="155">
        <f>IF(AND($C16="",$C15&lt;&gt;""),"Tổng Cộng",IFERROR(VLOOKUP($A16,Sheet1!$A$1:$D$80,4,0),""))</f>
        <v>42000</v>
      </c>
      <c r="H16" s="148">
        <f>IF($C15=MAX($C$8:$C$56),SUM($H$8:$H15),IFERROR($G16*$F16,""))</f>
        <v>84000</v>
      </c>
      <c r="I16" s="54">
        <f t="shared" si="2"/>
        <v>1</v>
      </c>
      <c r="L16" s="31"/>
    </row>
    <row r="17" spans="1:12" s="29" customFormat="1" ht="14.25" customHeight="1" x14ac:dyDescent="0.25">
      <c r="A17" s="150">
        <v>42</v>
      </c>
      <c r="B17" s="150">
        <v>3</v>
      </c>
      <c r="C17" s="30">
        <f t="shared" si="0"/>
        <v>10</v>
      </c>
      <c r="D17" s="147" t="str">
        <f>IFERROR(VLOOKUP($A17,Sheet1!$A$1:$B$80,2,0),"")</f>
        <v>Mực khoanh KK</v>
      </c>
      <c r="E17" s="30">
        <f>IFERROR(VLOOKUP($A17,'Tổng Đơn'!$A$5:$E$52,5,0),"")</f>
        <v>0.3</v>
      </c>
      <c r="F17" s="30">
        <f t="shared" si="1"/>
        <v>3</v>
      </c>
      <c r="G17" s="155">
        <f>IF(AND($C17="",$C16&lt;&gt;""),"Tổng Cộng",IFERROR(VLOOKUP($A17,Sheet1!$A$1:$D$80,4,0),""))</f>
        <v>26000</v>
      </c>
      <c r="H17" s="148">
        <f>IF($C16=MAX($C$8:$C$56),SUM($H$8:$H16),IFERROR($G17*$F17,""))</f>
        <v>78000</v>
      </c>
      <c r="I17" s="54">
        <f t="shared" si="2"/>
        <v>0.89999999999999991</v>
      </c>
      <c r="L17" s="31"/>
    </row>
    <row r="18" spans="1:12" s="29" customFormat="1" ht="14.25" customHeight="1" x14ac:dyDescent="0.25">
      <c r="A18" s="150">
        <v>1</v>
      </c>
      <c r="B18" s="150">
        <v>1</v>
      </c>
      <c r="C18" s="30">
        <f t="shared" si="0"/>
        <v>11</v>
      </c>
      <c r="D18" s="147" t="s">
        <v>312</v>
      </c>
      <c r="E18" s="30" t="s">
        <v>234</v>
      </c>
      <c r="F18" s="30" t="s">
        <v>234</v>
      </c>
      <c r="G18" s="155" t="s">
        <v>234</v>
      </c>
      <c r="H18" s="148">
        <f>-6*2000-3000</f>
        <v>-15000</v>
      </c>
      <c r="I18" s="54" t="str">
        <f t="shared" si="2"/>
        <v/>
      </c>
      <c r="L18" s="31"/>
    </row>
    <row r="19" spans="1:12" s="29" customFormat="1" ht="14.25" customHeight="1" x14ac:dyDescent="0.25">
      <c r="A19" s="150" t="s">
        <v>310</v>
      </c>
      <c r="B19" s="150"/>
      <c r="C19" s="30" t="str">
        <f t="shared" si="0"/>
        <v/>
      </c>
      <c r="D19" s="147" t="str">
        <f>IFERROR(VLOOKUP($A19,Sheet1!$A$1:$B$80,2,0),"")</f>
        <v/>
      </c>
      <c r="E19" s="30" t="str">
        <f>IFERROR(VLOOKUP($A19,'Tổng Đơn'!$A$5:$E$52,5,0),"")</f>
        <v/>
      </c>
      <c r="F19" s="30" t="str">
        <f t="shared" si="1"/>
        <v/>
      </c>
      <c r="G19" s="155" t="str">
        <f>IF(AND($C19="",$C18&lt;&gt;""),"Tổng Cộng",IFERROR(VLOOKUP($A19,Sheet1!$A$1:$D$80,4,0),""))</f>
        <v>Tổng Cộng</v>
      </c>
      <c r="H19" s="148">
        <f>IF($C18=MAX($C$8:$C$56),SUM($H$8:$H18),IFERROR($G19*$F19,""))</f>
        <v>1170000</v>
      </c>
      <c r="I19" s="54" t="str">
        <f t="shared" si="2"/>
        <v/>
      </c>
      <c r="L19" s="31"/>
    </row>
    <row r="20" spans="1:12" s="29" customFormat="1" ht="14.25" customHeight="1" x14ac:dyDescent="0.25">
      <c r="A20" s="150" t="s">
        <v>310</v>
      </c>
      <c r="B20" s="150"/>
      <c r="C20" s="30" t="str">
        <f t="shared" si="0"/>
        <v/>
      </c>
      <c r="D20" s="147" t="str">
        <f>IFERROR(VLOOKUP($A20,Sheet1!$A$1:$B$80,2,0),"")</f>
        <v/>
      </c>
      <c r="E20" s="30" t="str">
        <f>IFERROR(VLOOKUP($A20,'Tổng Đơn'!$A$5:$E$52,5,0),"")</f>
        <v/>
      </c>
      <c r="F20" s="30" t="str">
        <f t="shared" si="1"/>
        <v/>
      </c>
      <c r="G20" s="155" t="str">
        <f>IF(AND($C20="",$C19&lt;&gt;""),"Tổng Cộng",IFERROR(VLOOKUP($A20,Sheet1!$A$1:$D$80,4,0),""))</f>
        <v/>
      </c>
      <c r="H20" s="148" t="str">
        <f>IF($C19=MAX($C$8:$C$56),SUM($H$8:$H19),IFERROR($G20*$F20,""))</f>
        <v/>
      </c>
      <c r="I20" s="54" t="str">
        <f t="shared" si="2"/>
        <v/>
      </c>
      <c r="L20" s="31"/>
    </row>
    <row r="21" spans="1:12" s="29" customFormat="1" ht="14.25" customHeight="1" x14ac:dyDescent="0.25">
      <c r="A21" s="150" t="s">
        <v>310</v>
      </c>
      <c r="B21" s="150"/>
      <c r="C21" s="30" t="str">
        <f t="shared" si="0"/>
        <v/>
      </c>
      <c r="D21" s="147" t="str">
        <f>IFERROR(VLOOKUP($A21,Sheet1!$A$1:$B$80,2,0),"")</f>
        <v/>
      </c>
      <c r="E21" s="30" t="str">
        <f>IFERROR(VLOOKUP($A21,'Tổng Đơn'!$A$5:$E$52,5,0),"")</f>
        <v/>
      </c>
      <c r="F21" s="30" t="str">
        <f t="shared" si="1"/>
        <v/>
      </c>
      <c r="G21" s="155" t="str">
        <f>IF(AND($C21="",$C20&lt;&gt;""),"Tổng Cộng",IFERROR(VLOOKUP($A21,Sheet1!$A$1:$D$80,4,0),""))</f>
        <v/>
      </c>
      <c r="H21" s="148" t="str">
        <f>IF($C20=MAX($C$8:$C$56),SUM($H$8:$H20),IFERROR($G21*$F21,""))</f>
        <v/>
      </c>
      <c r="I21" s="54" t="str">
        <f t="shared" si="2"/>
        <v/>
      </c>
      <c r="L21" s="31"/>
    </row>
    <row r="22" spans="1:12" s="29" customFormat="1" ht="14.25" customHeight="1" x14ac:dyDescent="0.25">
      <c r="A22" s="150" t="s">
        <v>310</v>
      </c>
      <c r="B22" s="150"/>
      <c r="C22" s="30" t="str">
        <f t="shared" si="0"/>
        <v/>
      </c>
      <c r="D22" s="147" t="str">
        <f>IFERROR(VLOOKUP($A22,Sheet1!$A$1:$B$80,2,0),"")</f>
        <v/>
      </c>
      <c r="E22" s="30" t="str">
        <f>IFERROR(VLOOKUP($A22,'Tổng Đơn'!$A$5:$E$52,5,0),"")</f>
        <v/>
      </c>
      <c r="F22" s="30" t="str">
        <f t="shared" si="1"/>
        <v/>
      </c>
      <c r="G22" s="155" t="str">
        <f>IF(AND($C22="",$C21&lt;&gt;""),"Tổng Cộng",IFERROR(VLOOKUP($A22,Sheet1!$A$1:$D$80,4,0),""))</f>
        <v/>
      </c>
      <c r="H22" s="148" t="str">
        <f>IF($C21=MAX($C$8:$C$56),SUM($H$8:$H21),IFERROR($G22*$F22,""))</f>
        <v/>
      </c>
      <c r="I22" s="54" t="str">
        <f t="shared" si="2"/>
        <v/>
      </c>
      <c r="L22" s="31"/>
    </row>
    <row r="23" spans="1:12" s="29" customFormat="1" ht="14.25" customHeight="1" x14ac:dyDescent="0.25">
      <c r="A23" s="150" t="s">
        <v>310</v>
      </c>
      <c r="B23" s="150"/>
      <c r="C23" s="30" t="str">
        <f t="shared" si="0"/>
        <v/>
      </c>
      <c r="D23" s="147" t="str">
        <f>IFERROR(VLOOKUP($A23,Sheet1!$A$1:$B$80,2,0),"")</f>
        <v/>
      </c>
      <c r="E23" s="30" t="str">
        <f>IFERROR(VLOOKUP($A23,'Tổng Đơn'!$A$5:$E$52,5,0),"")</f>
        <v/>
      </c>
      <c r="F23" s="30" t="str">
        <f t="shared" si="1"/>
        <v/>
      </c>
      <c r="G23" s="155" t="str">
        <f>IF(AND($C23="",$C22&lt;&gt;""),"Tổng Cộng",IFERROR(VLOOKUP($A23,Sheet1!$A$1:$D$80,4,0),""))</f>
        <v/>
      </c>
      <c r="H23" s="148" t="str">
        <f>IF($C22=MAX($C$8:$C$56),SUM($H$8:$H22),IFERROR($G23*$F23,""))</f>
        <v/>
      </c>
      <c r="I23" s="54" t="str">
        <f t="shared" si="2"/>
        <v/>
      </c>
      <c r="L23" s="31"/>
    </row>
    <row r="24" spans="1:12" s="29" customFormat="1" ht="14.25" customHeight="1" x14ac:dyDescent="0.25">
      <c r="A24" s="150" t="s">
        <v>310</v>
      </c>
      <c r="B24" s="150"/>
      <c r="C24" s="30" t="str">
        <f t="shared" si="0"/>
        <v/>
      </c>
      <c r="D24" s="147" t="str">
        <f>IFERROR(VLOOKUP($A24,Sheet1!$A$1:$B$80,2,0),"")</f>
        <v/>
      </c>
      <c r="E24" s="30" t="str">
        <f>IFERROR(VLOOKUP($A24,'Tổng Đơn'!$A$5:$E$52,5,0),"")</f>
        <v/>
      </c>
      <c r="F24" s="30" t="str">
        <f t="shared" si="1"/>
        <v/>
      </c>
      <c r="G24" s="155" t="str">
        <f>IF(AND($C24="",$C23&lt;&gt;""),"Tổng Cộng",IFERROR(VLOOKUP($A24,Sheet1!$A$1:$D$80,4,0),""))</f>
        <v/>
      </c>
      <c r="H24" s="148" t="str">
        <f>IF($C23=MAX($C$8:$C$56),SUM($H$8:$H23),IFERROR($G24*$F24,""))</f>
        <v/>
      </c>
      <c r="I24" s="54" t="str">
        <f t="shared" si="2"/>
        <v/>
      </c>
      <c r="L24" s="31"/>
    </row>
    <row r="25" spans="1:12" s="29" customFormat="1" ht="14.25" customHeight="1" x14ac:dyDescent="0.25">
      <c r="A25" s="150" t="s">
        <v>310</v>
      </c>
      <c r="B25" s="150"/>
      <c r="C25" s="30" t="str">
        <f t="shared" si="0"/>
        <v/>
      </c>
      <c r="D25" s="147" t="str">
        <f>IFERROR(VLOOKUP($A25,Sheet1!$A$1:$B$80,2,0),"")</f>
        <v/>
      </c>
      <c r="E25" s="30" t="str">
        <f>IFERROR(VLOOKUP($A25,'Tổng Đơn'!$A$5:$E$52,5,0),"")</f>
        <v/>
      </c>
      <c r="F25" s="30" t="str">
        <f t="shared" si="1"/>
        <v/>
      </c>
      <c r="G25" s="155" t="str">
        <f>IF(AND($C25="",$C24&lt;&gt;""),"Tổng Cộng",IFERROR(VLOOKUP($A25,Sheet1!$A$1:$D$80,4,0),""))</f>
        <v/>
      </c>
      <c r="H25" s="148" t="str">
        <f>IF($C24=MAX($C$8:$C$56),SUM($H$8:$H24),IFERROR($G25*$F25,""))</f>
        <v/>
      </c>
      <c r="I25" s="54" t="str">
        <f t="shared" si="2"/>
        <v/>
      </c>
      <c r="L25" s="31"/>
    </row>
    <row r="26" spans="1:12" s="29" customFormat="1" ht="14.25" customHeight="1" x14ac:dyDescent="0.25">
      <c r="A26" s="150" t="s">
        <v>310</v>
      </c>
      <c r="B26" s="150"/>
      <c r="C26" s="30" t="str">
        <f t="shared" si="0"/>
        <v/>
      </c>
      <c r="D26" s="147" t="str">
        <f>IFERROR(VLOOKUP($A26,Sheet1!$A$1:$B$80,2,0),"")</f>
        <v/>
      </c>
      <c r="E26" s="30" t="str">
        <f>IFERROR(VLOOKUP($A26,'Tổng Đơn'!$A$5:$E$52,5,0),"")</f>
        <v/>
      </c>
      <c r="F26" s="30" t="str">
        <f t="shared" si="1"/>
        <v/>
      </c>
      <c r="G26" s="155" t="str">
        <f>IF(AND($C26="",$C25&lt;&gt;""),"Tổng Cộng",IFERROR(VLOOKUP($A26,Sheet1!$A$1:$D$80,4,0),""))</f>
        <v/>
      </c>
      <c r="H26" s="148" t="str">
        <f>IF($C25=MAX($C$8:$C$56),SUM($H$8:$H25),IFERROR($G26*$F26,""))</f>
        <v/>
      </c>
      <c r="I26" s="54" t="str">
        <f t="shared" si="2"/>
        <v/>
      </c>
      <c r="L26" s="31"/>
    </row>
    <row r="27" spans="1:12" s="29" customFormat="1" ht="14.25" customHeight="1" x14ac:dyDescent="0.25">
      <c r="A27" s="150" t="s">
        <v>310</v>
      </c>
      <c r="B27" s="150"/>
      <c r="C27" s="30" t="str">
        <f t="shared" si="0"/>
        <v/>
      </c>
      <c r="D27" s="147" t="str">
        <f>IFERROR(VLOOKUP($A27,Sheet1!$A$1:$B$80,2,0),"")</f>
        <v/>
      </c>
      <c r="E27" s="30" t="str">
        <f>IFERROR(VLOOKUP($A27,'Tổng Đơn'!$A$5:$E$52,5,0),"")</f>
        <v/>
      </c>
      <c r="F27" s="30" t="str">
        <f t="shared" si="1"/>
        <v/>
      </c>
      <c r="G27" s="155" t="str">
        <f>IF(AND($C27="",$C26&lt;&gt;""),"Tổng Cộng",IFERROR(VLOOKUP($A27,Sheet1!$A$1:$D$80,4,0),""))</f>
        <v/>
      </c>
      <c r="H27" s="148" t="str">
        <f>IF($C26=MAX($C$8:$C$56),SUM($H$8:$H26),IFERROR($G27*$F27,""))</f>
        <v/>
      </c>
      <c r="I27" s="54" t="str">
        <f t="shared" si="2"/>
        <v/>
      </c>
      <c r="L27" s="31"/>
    </row>
    <row r="28" spans="1:12" s="29" customFormat="1" ht="14.25" customHeight="1" x14ac:dyDescent="0.25">
      <c r="A28" s="150" t="s">
        <v>310</v>
      </c>
      <c r="B28" s="150"/>
      <c r="C28" s="30" t="str">
        <f t="shared" si="0"/>
        <v/>
      </c>
      <c r="D28" s="147" t="str">
        <f>IFERROR(VLOOKUP($A28,Sheet1!$A$1:$B$80,2,0),"")</f>
        <v/>
      </c>
      <c r="E28" s="30" t="str">
        <f>IFERROR(VLOOKUP($A28,'Tổng Đơn'!$A$5:$E$52,5,0),"")</f>
        <v/>
      </c>
      <c r="F28" s="30" t="str">
        <f t="shared" si="1"/>
        <v/>
      </c>
      <c r="G28" s="155" t="str">
        <f>IF(AND($C28="",$C27&lt;&gt;""),"Tổng Cộng",IFERROR(VLOOKUP($A28,Sheet1!$A$1:$D$80,4,0),""))</f>
        <v/>
      </c>
      <c r="H28" s="148" t="str">
        <f>IF($C27=MAX($C$8:$C$56),SUM($H$8:$H27),IFERROR($G28*$F28,""))</f>
        <v/>
      </c>
      <c r="I28" s="54" t="str">
        <f t="shared" si="2"/>
        <v/>
      </c>
      <c r="L28" s="31"/>
    </row>
    <row r="29" spans="1:12" s="29" customFormat="1" ht="14.25" customHeight="1" x14ac:dyDescent="0.25">
      <c r="A29" s="150" t="s">
        <v>310</v>
      </c>
      <c r="B29" s="150"/>
      <c r="C29" s="30" t="str">
        <f t="shared" si="0"/>
        <v/>
      </c>
      <c r="D29" s="147" t="str">
        <f>IFERROR(VLOOKUP($A29,Sheet1!$A$1:$B$80,2,0),"")</f>
        <v/>
      </c>
      <c r="E29" s="30" t="str">
        <f>IFERROR(VLOOKUP($A29,'Tổng Đơn'!$A$5:$E$52,5,0),"")</f>
        <v/>
      </c>
      <c r="F29" s="30" t="str">
        <f t="shared" si="1"/>
        <v/>
      </c>
      <c r="G29" s="155" t="str">
        <f>IF(AND($C29="",$C28&lt;&gt;""),"Tổng Cộng",IFERROR(VLOOKUP($A29,Sheet1!$A$1:$D$80,4,0),""))</f>
        <v/>
      </c>
      <c r="H29" s="148" t="str">
        <f>IF($C28=MAX($C$8:$C$56),SUM($H$8:$H28),IFERROR($G29*$F29,""))</f>
        <v/>
      </c>
      <c r="I29" s="54" t="str">
        <f t="shared" si="2"/>
        <v/>
      </c>
      <c r="L29" s="31"/>
    </row>
    <row r="30" spans="1:12" s="29" customFormat="1" ht="14.25" customHeight="1" x14ac:dyDescent="0.25">
      <c r="A30" s="150" t="s">
        <v>310</v>
      </c>
      <c r="B30" s="150"/>
      <c r="C30" s="30" t="str">
        <f t="shared" si="0"/>
        <v/>
      </c>
      <c r="D30" s="147" t="str">
        <f>IFERROR(VLOOKUP($A30,Sheet1!$A$1:$B$80,2,0),"")</f>
        <v/>
      </c>
      <c r="E30" s="30" t="str">
        <f>IFERROR(VLOOKUP($A30,'Tổng Đơn'!$A$5:$E$52,5,0),"")</f>
        <v/>
      </c>
      <c r="F30" s="30" t="str">
        <f t="shared" si="1"/>
        <v/>
      </c>
      <c r="G30" s="155" t="str">
        <f>IF(AND($C30="",$C29&lt;&gt;""),"Tổng Cộng",IFERROR(VLOOKUP($A30,Sheet1!$A$1:$D$80,4,0),""))</f>
        <v/>
      </c>
      <c r="H30" s="148" t="str">
        <f>IF($C29=MAX($C$8:$C$56),SUM($H$8:$H29),IFERROR($G30*$F30,""))</f>
        <v/>
      </c>
      <c r="I30" s="54" t="str">
        <f t="shared" si="2"/>
        <v/>
      </c>
      <c r="L30" s="31"/>
    </row>
    <row r="31" spans="1:12" s="29" customFormat="1" ht="14.25" customHeight="1" x14ac:dyDescent="0.25">
      <c r="A31" s="150" t="s">
        <v>310</v>
      </c>
      <c r="B31" s="150"/>
      <c r="C31" s="30" t="str">
        <f t="shared" si="0"/>
        <v/>
      </c>
      <c r="D31" s="147" t="str">
        <f>IFERROR(VLOOKUP($A31,Sheet1!$A$1:$B$80,2,0),"")</f>
        <v/>
      </c>
      <c r="E31" s="30" t="str">
        <f>IFERROR(VLOOKUP($A31,'Tổng Đơn'!$A$5:$E$52,5,0),"")</f>
        <v/>
      </c>
      <c r="F31" s="30" t="str">
        <f t="shared" si="1"/>
        <v/>
      </c>
      <c r="G31" s="155" t="str">
        <f>IF(AND($C31="",$C30&lt;&gt;""),"Tổng Cộng",IFERROR(VLOOKUP($A31,Sheet1!$A$1:$D$80,4,0),""))</f>
        <v/>
      </c>
      <c r="H31" s="148" t="str">
        <f>IF($C30=MAX($C$8:$C$56),SUM($H$8:$H30),IFERROR($G31*$F31,""))</f>
        <v/>
      </c>
      <c r="I31" s="54" t="str">
        <f t="shared" si="2"/>
        <v/>
      </c>
      <c r="L31" s="31"/>
    </row>
    <row r="32" spans="1:12" s="29" customFormat="1" ht="14.25" customHeight="1" x14ac:dyDescent="0.25">
      <c r="A32" s="150" t="s">
        <v>310</v>
      </c>
      <c r="B32" s="150"/>
      <c r="C32" s="30" t="str">
        <f t="shared" si="0"/>
        <v/>
      </c>
      <c r="D32" s="147" t="str">
        <f>IFERROR(VLOOKUP($A32,Sheet1!$A$1:$B$80,2,0),"")</f>
        <v/>
      </c>
      <c r="E32" s="30" t="str">
        <f>IFERROR(VLOOKUP($A32,'Tổng Đơn'!$A$5:$E$52,5,0),"")</f>
        <v/>
      </c>
      <c r="F32" s="30" t="str">
        <f t="shared" si="1"/>
        <v/>
      </c>
      <c r="G32" s="155" t="str">
        <f>IF(AND($C32="",$C31&lt;&gt;""),"Tổng Cộng",IFERROR(VLOOKUP($A32,Sheet1!$A$1:$D$80,4,0),""))</f>
        <v/>
      </c>
      <c r="H32" s="148" t="str">
        <f>IF($C31=MAX($C$8:$C$56),SUM($H$8:$H31),IFERROR($G32*$F32,""))</f>
        <v/>
      </c>
      <c r="I32" s="54" t="str">
        <f t="shared" si="2"/>
        <v/>
      </c>
      <c r="L32" s="31"/>
    </row>
    <row r="33" spans="1:12" s="29" customFormat="1" ht="14.25" customHeight="1" x14ac:dyDescent="0.25">
      <c r="A33" s="150" t="s">
        <v>310</v>
      </c>
      <c r="B33" s="150"/>
      <c r="C33" s="30" t="str">
        <f t="shared" si="0"/>
        <v/>
      </c>
      <c r="D33" s="147" t="str">
        <f>IFERROR(VLOOKUP($A33,Sheet1!$A$1:$B$80,2,0),"")</f>
        <v/>
      </c>
      <c r="E33" s="30" t="str">
        <f>IFERROR(VLOOKUP($A33,'Tổng Đơn'!$A$5:$E$52,5,0),"")</f>
        <v/>
      </c>
      <c r="F33" s="30" t="str">
        <f t="shared" si="1"/>
        <v/>
      </c>
      <c r="G33" s="155" t="str">
        <f>IF(AND($C33="",$C32&lt;&gt;""),"Tổng Cộng",IFERROR(VLOOKUP($A33,Sheet1!$A$1:$D$80,4,0),""))</f>
        <v/>
      </c>
      <c r="H33" s="148" t="str">
        <f>IF($C32=MAX($C$8:$C$56),SUM($H$8:$H32),IFERROR($G33*$F33,""))</f>
        <v/>
      </c>
      <c r="I33" s="54" t="str">
        <f t="shared" si="2"/>
        <v/>
      </c>
      <c r="L33" s="31"/>
    </row>
    <row r="34" spans="1:12" s="29" customFormat="1" ht="14.25" customHeight="1" x14ac:dyDescent="0.25">
      <c r="A34" s="150" t="s">
        <v>310</v>
      </c>
      <c r="B34" s="150"/>
      <c r="C34" s="30" t="str">
        <f t="shared" si="0"/>
        <v/>
      </c>
      <c r="D34" s="147" t="str">
        <f>IFERROR(VLOOKUP($A34,Sheet1!$A$1:$B$80,2,0),"")</f>
        <v/>
      </c>
      <c r="E34" s="30" t="str">
        <f>IFERROR(VLOOKUP($A34,'Tổng Đơn'!$A$5:$E$52,5,0),"")</f>
        <v/>
      </c>
      <c r="F34" s="30" t="str">
        <f t="shared" si="1"/>
        <v/>
      </c>
      <c r="G34" s="155" t="str">
        <f>IF(AND($C34="",$C33&lt;&gt;""),"Tổng Cộng",IFERROR(VLOOKUP($A34,Sheet1!$A$1:$D$80,4,0),""))</f>
        <v/>
      </c>
      <c r="H34" s="148" t="str">
        <f>IF($C33=MAX($C$8:$C$56),SUM($H$8:$H33),IFERROR($G34*$F34,""))</f>
        <v/>
      </c>
      <c r="I34" s="54" t="str">
        <f t="shared" si="2"/>
        <v/>
      </c>
      <c r="L34" s="31"/>
    </row>
    <row r="35" spans="1:12" s="29" customFormat="1" ht="14.25" customHeight="1" x14ac:dyDescent="0.25">
      <c r="A35" s="150" t="s">
        <v>310</v>
      </c>
      <c r="B35" s="150"/>
      <c r="C35" s="30" t="str">
        <f t="shared" si="0"/>
        <v/>
      </c>
      <c r="D35" s="147" t="str">
        <f>IFERROR(VLOOKUP($A35,Sheet1!$A$1:$B$80,2,0),"")</f>
        <v/>
      </c>
      <c r="E35" s="30" t="str">
        <f>IFERROR(VLOOKUP($A35,'Tổng Đơn'!$A$5:$E$52,5,0),"")</f>
        <v/>
      </c>
      <c r="F35" s="30" t="str">
        <f t="shared" si="1"/>
        <v/>
      </c>
      <c r="G35" s="155" t="str">
        <f>IF(AND($C35="",$C34&lt;&gt;""),"Tổng Cộng",IFERROR(VLOOKUP($A35,Sheet1!$A$1:$D$80,4,0),""))</f>
        <v/>
      </c>
      <c r="H35" s="148" t="str">
        <f>IF($C34=MAX($C$8:$C$56),SUM($H$8:$H34),IFERROR($G35*$F35,""))</f>
        <v/>
      </c>
      <c r="I35" s="54" t="str">
        <f t="shared" si="2"/>
        <v/>
      </c>
      <c r="L35" s="31"/>
    </row>
    <row r="36" spans="1:12" s="29" customFormat="1" ht="14.25" customHeight="1" x14ac:dyDescent="0.25">
      <c r="A36" s="150" t="s">
        <v>310</v>
      </c>
      <c r="B36" s="150"/>
      <c r="C36" s="30" t="str">
        <f t="shared" si="0"/>
        <v/>
      </c>
      <c r="D36" s="147" t="str">
        <f>IFERROR(VLOOKUP($A36,Sheet1!$A$1:$B$80,2,0),"")</f>
        <v/>
      </c>
      <c r="E36" s="30" t="str">
        <f>IFERROR(VLOOKUP($A36,'Tổng Đơn'!$A$5:$E$52,5,0),"")</f>
        <v/>
      </c>
      <c r="F36" s="30" t="str">
        <f t="shared" si="1"/>
        <v/>
      </c>
      <c r="G36" s="155" t="str">
        <f>IF(AND($C36="",$C35&lt;&gt;""),"Tổng Cộng",IFERROR(VLOOKUP($A36,Sheet1!$A$1:$D$80,4,0),""))</f>
        <v/>
      </c>
      <c r="H36" s="148" t="str">
        <f>IF($C35=MAX($C$8:$C$56),SUM($H$8:$H35),IFERROR($G36*$F36,""))</f>
        <v/>
      </c>
      <c r="I36" s="54" t="str">
        <f t="shared" si="2"/>
        <v/>
      </c>
      <c r="L36" s="31"/>
    </row>
    <row r="37" spans="1:12" s="29" customFormat="1" ht="14.25" customHeight="1" x14ac:dyDescent="0.25">
      <c r="A37" s="150" t="s">
        <v>310</v>
      </c>
      <c r="B37" s="150"/>
      <c r="C37" s="30" t="str">
        <f t="shared" si="0"/>
        <v/>
      </c>
      <c r="D37" s="147" t="str">
        <f>IFERROR(VLOOKUP($A37,Sheet1!$A$1:$B$80,2,0),"")</f>
        <v/>
      </c>
      <c r="E37" s="30" t="str">
        <f>IFERROR(VLOOKUP($A37,'Tổng Đơn'!$A$5:$E$52,5,0),"")</f>
        <v/>
      </c>
      <c r="F37" s="30" t="str">
        <f t="shared" si="1"/>
        <v/>
      </c>
      <c r="G37" s="155" t="str">
        <f>IF(AND($C37="",$C36&lt;&gt;""),"Tổng Cộng",IFERROR(VLOOKUP($A37,Sheet1!$A$1:$D$80,4,0),""))</f>
        <v/>
      </c>
      <c r="H37" s="148" t="str">
        <f>IF($C36=MAX($C$8:$C$56),SUM($H$8:$H36),IFERROR($G37*$F37,""))</f>
        <v/>
      </c>
      <c r="I37" s="54" t="str">
        <f t="shared" si="2"/>
        <v/>
      </c>
      <c r="L37" s="31"/>
    </row>
    <row r="38" spans="1:12" s="29" customFormat="1" ht="14.25" customHeight="1" x14ac:dyDescent="0.25">
      <c r="A38" s="150"/>
      <c r="B38" s="150"/>
      <c r="C38" s="33"/>
      <c r="D38" s="34"/>
      <c r="E38" s="52"/>
      <c r="F38" s="30"/>
      <c r="G38" s="156" t="str">
        <f>IF(AND($C38="",$C37&lt;&gt;""),"Tổng Cộng",IFERROR(VLOOKUP($A38,Sheet1!$A$1:$D$80,4,0),""))</f>
        <v/>
      </c>
      <c r="H38" s="35" t="str">
        <f>IF($C37=MAX($C$8:$C$56),SUM($H$8:$H37),IFERROR($G38*$F38,""))</f>
        <v/>
      </c>
      <c r="I38" s="54"/>
      <c r="L38" s="31"/>
    </row>
    <row r="39" spans="1:12" ht="15" customHeight="1" x14ac:dyDescent="0.25">
      <c r="F39" s="36"/>
      <c r="G39" s="139"/>
      <c r="H39" s="37"/>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C38:E38 D23:E37 F23:H38">
    <cfRule type="expression" dxfId="167" priority="22">
      <formula>$C22=MAX($C$8:$C$37)</formula>
    </cfRule>
  </conditionalFormatting>
  <conditionalFormatting sqref="C23:C37">
    <cfRule type="expression" dxfId="166" priority="21">
      <formula>$C22=MAX($C$8:$C$37)</formula>
    </cfRule>
  </conditionalFormatting>
  <conditionalFormatting sqref="E23:E38">
    <cfRule type="expression" dxfId="165" priority="23">
      <formula>AND($A23="",$F23&lt;&gt;"")</formula>
    </cfRule>
  </conditionalFormatting>
  <conditionalFormatting sqref="F23:F38">
    <cfRule type="expression" dxfId="164" priority="24">
      <formula>AND($F23="",$A23&lt;&gt;"")</formula>
    </cfRule>
  </conditionalFormatting>
  <conditionalFormatting sqref="D20:H22">
    <cfRule type="expression" dxfId="163" priority="18">
      <formula>$C19=MAX($C$8:$C$37)</formula>
    </cfRule>
  </conditionalFormatting>
  <conditionalFormatting sqref="C20:C22">
    <cfRule type="expression" dxfId="162" priority="17">
      <formula>$C19=MAX($C$8:$C$37)</formula>
    </cfRule>
  </conditionalFormatting>
  <conditionalFormatting sqref="E20:E22">
    <cfRule type="expression" dxfId="161" priority="19">
      <formula>AND($A20="",$F20&lt;&gt;"")</formula>
    </cfRule>
  </conditionalFormatting>
  <conditionalFormatting sqref="F20:F22">
    <cfRule type="expression" dxfId="160" priority="20">
      <formula>AND($F20="",$A20&lt;&gt;"")</formula>
    </cfRule>
  </conditionalFormatting>
  <conditionalFormatting sqref="D15:H19 D12:F14 H12:H14">
    <cfRule type="expression" dxfId="159" priority="14">
      <formula>$C11=MAX($C$8:$C$37)</formula>
    </cfRule>
  </conditionalFormatting>
  <conditionalFormatting sqref="C12:C19">
    <cfRule type="expression" dxfId="158" priority="13">
      <formula>$C11=MAX($C$8:$C$37)</formula>
    </cfRule>
  </conditionalFormatting>
  <conditionalFormatting sqref="E12:E19">
    <cfRule type="expression" dxfId="157" priority="15">
      <formula>AND($A12="",$F12&lt;&gt;"")</formula>
    </cfRule>
  </conditionalFormatting>
  <conditionalFormatting sqref="F12:F19">
    <cfRule type="expression" dxfId="156" priority="16">
      <formula>AND($F12="",$A12&lt;&gt;"")</formula>
    </cfRule>
  </conditionalFormatting>
  <conditionalFormatting sqref="G12:G14">
    <cfRule type="expression" dxfId="155" priority="12">
      <formula>$C11=MAX($C$8:$C$37)</formula>
    </cfRule>
  </conditionalFormatting>
  <conditionalFormatting sqref="D9:F11 H9:H11">
    <cfRule type="expression" dxfId="154" priority="9">
      <formula>$C8=MAX($C$8:$C$37)</formula>
    </cfRule>
  </conditionalFormatting>
  <conditionalFormatting sqref="C9:C11">
    <cfRule type="expression" dxfId="153" priority="8">
      <formula>$C8=MAX($C$8:$C$37)</formula>
    </cfRule>
  </conditionalFormatting>
  <conditionalFormatting sqref="E9:E11">
    <cfRule type="expression" dxfId="152" priority="10">
      <formula>AND($A9="",$F9&lt;&gt;"")</formula>
    </cfRule>
  </conditionalFormatting>
  <conditionalFormatting sqref="F9:F11">
    <cfRule type="expression" dxfId="151" priority="11">
      <formula>AND($F9="",$A9&lt;&gt;"")</formula>
    </cfRule>
  </conditionalFormatting>
  <conditionalFormatting sqref="D8:F8">
    <cfRule type="expression" dxfId="150" priority="5">
      <formula>$C7=MAX($C$8:$C$37)</formula>
    </cfRule>
  </conditionalFormatting>
  <conditionalFormatting sqref="C8">
    <cfRule type="expression" dxfId="149" priority="4">
      <formula>$C7=MAX($C$8:$C$37)</formula>
    </cfRule>
  </conditionalFormatting>
  <conditionalFormatting sqref="E8">
    <cfRule type="expression" dxfId="148" priority="6">
      <formula>AND($A8="",$F8&lt;&gt;"")</formula>
    </cfRule>
  </conditionalFormatting>
  <conditionalFormatting sqref="F8">
    <cfRule type="expression" dxfId="147" priority="7">
      <formula>AND($F8="",$A8&lt;&gt;"")</formula>
    </cfRule>
  </conditionalFormatting>
  <conditionalFormatting sqref="H8">
    <cfRule type="expression" dxfId="146" priority="3">
      <formula>$C7=MAX($C$8:$C$37)</formula>
    </cfRule>
  </conditionalFormatting>
  <conditionalFormatting sqref="G9:G11">
    <cfRule type="expression" dxfId="145" priority="2">
      <formula>$C8=MAX($C$8:$C$37)</formula>
    </cfRule>
  </conditionalFormatting>
  <conditionalFormatting sqref="G8">
    <cfRule type="expression" dxfId="144" priority="1">
      <formula>$C7=MAX($C$8:$C$37)</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1536001" r:id="rId4" name="Button 1">
              <controlPr defaultSize="0" print="0" autoFill="0" autoPict="0" macro="[0]!Macro4">
                <anchor moveWithCells="1" sizeWithCells="1">
                  <from>
                    <xdr:col>0</xdr:col>
                    <xdr:colOff>0</xdr:colOff>
                    <xdr:row>0</xdr:row>
                    <xdr:rowOff>0</xdr:rowOff>
                  </from>
                  <to>
                    <xdr:col>1</xdr:col>
                    <xdr:colOff>769620</xdr:colOff>
                    <xdr:row>7</xdr:row>
                    <xdr:rowOff>0</xdr:rowOff>
                  </to>
                </anchor>
              </controlPr>
            </control>
          </mc:Choice>
        </mc:AlternateContent>
      </controls>
    </mc:Choice>
  </mc:AlternateContent>
</worksheet>
</file>

<file path=xl/worksheets/sheet2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0FC814A-3A8B-457E-B4FC-1016AFDC0CA9}">
  <sheetPr codeName="Sheet39">
    <tabColor theme="1"/>
    <pageSetUpPr fitToPage="1"/>
  </sheetPr>
  <dimension ref="A1:N53"/>
  <sheetViews>
    <sheetView zoomScaleNormal="100" workbookViewId="0">
      <pane ySplit="7" topLeftCell="A8" activePane="bottomLeft" state="frozen"/>
      <selection activeCell="Q2" sqref="Q2"/>
      <selection pane="bottomLeft" activeCell="D7" sqref="D7"/>
    </sheetView>
  </sheetViews>
  <sheetFormatPr defaultColWidth="9.09765625" defaultRowHeight="13.8" x14ac:dyDescent="0.25"/>
  <cols>
    <col min="1" max="1" width="11.69921875" style="14" customWidth="1"/>
    <col min="2" max="2" width="11.296875" style="14" customWidth="1"/>
    <col min="3" max="3" width="9.09765625" style="14"/>
    <col min="4" max="4" width="38.3984375" style="14" bestFit="1" customWidth="1"/>
    <col min="5" max="5" width="12.296875" style="53" bestFit="1" customWidth="1"/>
    <col min="6" max="6" width="11" style="14" customWidth="1"/>
    <col min="7" max="7" width="17.8984375" style="14" customWidth="1"/>
    <col min="8" max="8" width="17.8984375" style="15" customWidth="1"/>
    <col min="9" max="9" width="21.8984375" style="14" customWidth="1"/>
    <col min="10" max="10" width="10.09765625" style="14" customWidth="1"/>
    <col min="11" max="11" width="9.09765625" style="14"/>
    <col min="12" max="12" width="11.69921875" style="14" customWidth="1"/>
    <col min="13" max="14" width="10.09765625" style="14" bestFit="1" customWidth="1"/>
    <col min="15" max="16384" width="9.09765625" style="14"/>
  </cols>
  <sheetData>
    <row r="1" spans="1:14" ht="15.75" customHeight="1" x14ac:dyDescent="0.25">
      <c r="C1" s="268" t="s">
        <v>164</v>
      </c>
      <c r="D1" s="268"/>
      <c r="E1" s="268"/>
      <c r="F1" s="268"/>
      <c r="G1" s="268"/>
      <c r="H1" s="268"/>
    </row>
    <row r="2" spans="1:14" ht="15.75" customHeight="1" x14ac:dyDescent="0.25">
      <c r="C2" s="268"/>
      <c r="D2" s="268"/>
      <c r="E2" s="268"/>
      <c r="F2" s="268"/>
      <c r="G2" s="268"/>
      <c r="H2" s="268"/>
    </row>
    <row r="3" spans="1:14" ht="15" customHeight="1" x14ac:dyDescent="0.25">
      <c r="C3" s="269" t="s">
        <v>166</v>
      </c>
      <c r="D3" s="269"/>
      <c r="E3" s="269"/>
      <c r="F3" s="270" t="s">
        <v>168</v>
      </c>
      <c r="G3" s="270"/>
      <c r="H3" s="270"/>
    </row>
    <row r="4" spans="1:14" x14ac:dyDescent="0.25">
      <c r="C4" s="269" t="s">
        <v>167</v>
      </c>
      <c r="D4" s="269"/>
      <c r="E4" s="269"/>
      <c r="F4" s="271" t="s">
        <v>169</v>
      </c>
      <c r="G4" s="271"/>
      <c r="H4" s="271"/>
    </row>
    <row r="5" spans="1:14" s="140" customFormat="1" ht="21" customHeight="1" x14ac:dyDescent="0.25">
      <c r="C5" s="272" t="s">
        <v>165</v>
      </c>
      <c r="D5" s="272"/>
      <c r="E5" s="272"/>
      <c r="F5" s="272"/>
      <c r="G5" s="272"/>
      <c r="H5" s="272"/>
    </row>
    <row r="6" spans="1:14" s="140" customFormat="1" ht="16.5" customHeight="1" x14ac:dyDescent="0.25">
      <c r="C6" s="149" t="s">
        <v>170</v>
      </c>
      <c r="D6" s="152" t="s">
        <v>314</v>
      </c>
      <c r="E6" s="145"/>
      <c r="F6" s="145"/>
      <c r="G6" s="267" t="str">
        <f ca="1">"Ngày "&amp;DAY(TODAY())&amp;" Tháng "&amp;MONTH(TODAY())&amp;" Năm "&amp;YEAR(TODAY())</f>
        <v>Ngày 22 Tháng 1 Năm 2023</v>
      </c>
      <c r="H6" s="267"/>
    </row>
    <row r="7" spans="1:14" s="144" customFormat="1" ht="24" customHeight="1" x14ac:dyDescent="0.25">
      <c r="A7" s="141" t="s">
        <v>101</v>
      </c>
      <c r="B7" s="141" t="s">
        <v>15</v>
      </c>
      <c r="C7" s="142" t="s">
        <v>0</v>
      </c>
      <c r="D7" s="142" t="s">
        <v>16</v>
      </c>
      <c r="E7" s="146" t="str">
        <f>"Quy cách"&amp;CHAR(10)&amp;"(Kg)"</f>
        <v>Quy cách
(Kg)</v>
      </c>
      <c r="F7" s="142" t="s">
        <v>15</v>
      </c>
      <c r="G7" s="142" t="s">
        <v>17</v>
      </c>
      <c r="H7" s="142" t="s">
        <v>18</v>
      </c>
      <c r="I7" s="143">
        <f>SUBTOTAL(9,I8:I37)</f>
        <v>1</v>
      </c>
      <c r="L7" s="140"/>
    </row>
    <row r="8" spans="1:14" s="29" customFormat="1" ht="14.25" customHeight="1" x14ac:dyDescent="0.25">
      <c r="A8" s="150">
        <v>34</v>
      </c>
      <c r="B8" s="150">
        <v>1</v>
      </c>
      <c r="C8" s="30">
        <f t="shared" ref="C8:C37" si="0">IF(OR(SUM($C7,$A8&lt;&gt;"")=0,$A8=""),"",SUM($C7,$A8&lt;&gt;""))</f>
        <v>1</v>
      </c>
      <c r="D8" s="147" t="str">
        <f>IFERROR(VLOOKUP($A8,Sheet1!$A$1:$B$80,2,0),"")</f>
        <v>Cá viên KK</v>
      </c>
      <c r="E8" s="30">
        <f>IFERROR(VLOOKUP($A8,'Tổng Đơn'!$A$5:$E$52,5,0),"")</f>
        <v>0.5</v>
      </c>
      <c r="F8" s="30">
        <f t="shared" ref="F8:F37" si="1">IF($B8="","",B8)</f>
        <v>1</v>
      </c>
      <c r="G8" s="155">
        <f>IFERROR(VLOOKUP($A8,Sheet1!$A1:$D$80,4,0),"")</f>
        <v>25000</v>
      </c>
      <c r="H8" s="148">
        <f>IF($C7=MAX($C$8:$C$56),SUM($H7:$H$8),IFERROR($G8*$F8,""))</f>
        <v>25000</v>
      </c>
      <c r="I8" s="54">
        <f t="shared" ref="I8:I37" si="2">IF(TYPE($A8)&lt;&gt;1,"",IFERROR(F8*E8,""))</f>
        <v>0.5</v>
      </c>
      <c r="L8" s="32"/>
    </row>
    <row r="9" spans="1:14" s="29" customFormat="1" ht="14.25" customHeight="1" x14ac:dyDescent="0.25">
      <c r="A9" s="150">
        <v>38</v>
      </c>
      <c r="B9" s="150">
        <v>1</v>
      </c>
      <c r="C9" s="30">
        <f t="shared" si="0"/>
        <v>2</v>
      </c>
      <c r="D9" s="147" t="str">
        <f>IFERROR(VLOOKUP($A9,Sheet1!$A$1:$B$80,2,0),"")</f>
        <v>XX Đỏ KK</v>
      </c>
      <c r="E9" s="30">
        <f>IFERROR(VLOOKUP($A9,'Tổng Đơn'!$A$5:$E$52,5,0),"")</f>
        <v>0.5</v>
      </c>
      <c r="F9" s="30">
        <f t="shared" si="1"/>
        <v>1</v>
      </c>
      <c r="G9" s="155">
        <f>IF(AND($C9="",$C8&lt;&gt;""),"Tổng Cộng",IFERROR(VLOOKUP($A9,Sheet1!$A$1:$D$80,4,0),""))</f>
        <v>26000</v>
      </c>
      <c r="H9" s="148">
        <f>IF($C8=MAX($C$8:$C$56),SUM($H$8:$H8),IFERROR($G9*$F9,""))</f>
        <v>26000</v>
      </c>
      <c r="I9" s="54">
        <f t="shared" si="2"/>
        <v>0.5</v>
      </c>
      <c r="L9" s="31"/>
    </row>
    <row r="10" spans="1:14" s="29" customFormat="1" ht="14.25" customHeight="1" x14ac:dyDescent="0.25">
      <c r="A10" s="150" t="s">
        <v>310</v>
      </c>
      <c r="B10" s="150"/>
      <c r="C10" s="30" t="str">
        <f t="shared" si="0"/>
        <v/>
      </c>
      <c r="D10" s="147" t="str">
        <f>IFERROR(VLOOKUP($A10,Sheet1!$A$1:$B$80,2,0),"")</f>
        <v/>
      </c>
      <c r="E10" s="30" t="str">
        <f>IFERROR(VLOOKUP($A10,'Tổng Đơn'!$A$5:$E$52,5,0),"")</f>
        <v/>
      </c>
      <c r="F10" s="30" t="str">
        <f t="shared" si="1"/>
        <v/>
      </c>
      <c r="G10" s="155" t="str">
        <f>IF(AND($C10="",$C9&lt;&gt;""),"Tổng Cộng",IFERROR(VLOOKUP($A10,Sheet1!$A$1:$D$80,4,0),""))</f>
        <v>Tổng Cộng</v>
      </c>
      <c r="H10" s="148">
        <f>IF($C9=MAX($C$8:$C$56),SUM($H$8:$H9),IFERROR($G10*$F10,""))</f>
        <v>51000</v>
      </c>
      <c r="I10" s="54" t="str">
        <f t="shared" si="2"/>
        <v/>
      </c>
      <c r="L10" s="31"/>
    </row>
    <row r="11" spans="1:14" s="29" customFormat="1" ht="14.25" customHeight="1" x14ac:dyDescent="0.25">
      <c r="A11" s="150" t="s">
        <v>310</v>
      </c>
      <c r="B11" s="150"/>
      <c r="C11" s="30" t="str">
        <f t="shared" si="0"/>
        <v/>
      </c>
      <c r="D11" s="147" t="str">
        <f>IFERROR(VLOOKUP($A11,Sheet1!$A$1:$B$80,2,0),"")</f>
        <v/>
      </c>
      <c r="E11" s="30" t="str">
        <f>IFERROR(VLOOKUP($A11,'Tổng Đơn'!$A$5:$E$52,5,0),"")</f>
        <v/>
      </c>
      <c r="F11" s="30" t="str">
        <f t="shared" si="1"/>
        <v/>
      </c>
      <c r="G11" s="155" t="str">
        <f>IF(AND($C11="",$C10&lt;&gt;""),"Tổng Cộng",IFERROR(VLOOKUP($A11,Sheet1!$A$1:$D$80,4,0),""))</f>
        <v/>
      </c>
      <c r="H11" s="148" t="str">
        <f>IF($C10=MAX($C$8:$C$56),SUM($H$8:$H10),IFERROR($G11*$F11,""))</f>
        <v/>
      </c>
      <c r="I11" s="54" t="str">
        <f t="shared" si="2"/>
        <v/>
      </c>
      <c r="L11" s="31"/>
    </row>
    <row r="12" spans="1:14" s="29" customFormat="1" ht="14.25" customHeight="1" x14ac:dyDescent="0.25">
      <c r="A12" s="150" t="s">
        <v>310</v>
      </c>
      <c r="B12" s="150"/>
      <c r="C12" s="30" t="str">
        <f t="shared" si="0"/>
        <v/>
      </c>
      <c r="D12" s="147" t="str">
        <f>IFERROR(VLOOKUP($A12,Sheet1!$A$1:$B$80,2,0),"")</f>
        <v/>
      </c>
      <c r="E12" s="30" t="str">
        <f>IFERROR(VLOOKUP($A12,'Tổng Đơn'!$A$5:$E$52,5,0),"")</f>
        <v/>
      </c>
      <c r="F12" s="30" t="str">
        <f t="shared" si="1"/>
        <v/>
      </c>
      <c r="G12" s="155" t="str">
        <f>IF(AND($C12="",$C11&lt;&gt;""),"Tổng Cộng",IFERROR(VLOOKUP($A12,Sheet1!$A$1:$D$80,4,0),""))</f>
        <v/>
      </c>
      <c r="H12" s="148" t="str">
        <f>IF($C11=MAX($C$8:$C$56),SUM($H$8:$H11),IFERROR($G12*$F12,""))</f>
        <v/>
      </c>
      <c r="I12" s="54" t="str">
        <f t="shared" si="2"/>
        <v/>
      </c>
      <c r="J12" s="125"/>
      <c r="L12" s="31"/>
      <c r="N12" s="126"/>
    </row>
    <row r="13" spans="1:14" s="29" customFormat="1" ht="14.25" customHeight="1" x14ac:dyDescent="0.25">
      <c r="A13" s="150" t="s">
        <v>310</v>
      </c>
      <c r="B13" s="150"/>
      <c r="C13" s="30" t="str">
        <f t="shared" si="0"/>
        <v/>
      </c>
      <c r="D13" s="147" t="str">
        <f>IFERROR(VLOOKUP($A13,Sheet1!$A$1:$B$80,2,0),"")</f>
        <v/>
      </c>
      <c r="E13" s="30" t="str">
        <f>IFERROR(VLOOKUP($A13,'Tổng Đơn'!$A$5:$E$52,5,0),"")</f>
        <v/>
      </c>
      <c r="F13" s="30" t="str">
        <f t="shared" si="1"/>
        <v/>
      </c>
      <c r="G13" s="155" t="str">
        <f>IF(AND($C13="",$C12&lt;&gt;""),"Tổng Cộng",IFERROR(VLOOKUP($A13,Sheet1!$A$1:$D$80,4,0),""))</f>
        <v/>
      </c>
      <c r="H13" s="148" t="str">
        <f>IF($C12=MAX($C$8:$C$56),SUM($H$8:$H12),IFERROR($G13*$F13,""))</f>
        <v/>
      </c>
      <c r="I13" s="54" t="str">
        <f t="shared" si="2"/>
        <v/>
      </c>
      <c r="L13" s="31"/>
    </row>
    <row r="14" spans="1:14" s="29" customFormat="1" ht="14.25" customHeight="1" x14ac:dyDescent="0.25">
      <c r="A14" s="150" t="s">
        <v>310</v>
      </c>
      <c r="B14" s="150"/>
      <c r="C14" s="30" t="str">
        <f t="shared" si="0"/>
        <v/>
      </c>
      <c r="D14" s="147" t="str">
        <f>IFERROR(VLOOKUP($A14,Sheet1!$A$1:$B$80,2,0),"")</f>
        <v/>
      </c>
      <c r="E14" s="30" t="str">
        <f>IFERROR(VLOOKUP($A14,'Tổng Đơn'!$A$5:$E$52,5,0),"")</f>
        <v/>
      </c>
      <c r="F14" s="30" t="str">
        <f t="shared" si="1"/>
        <v/>
      </c>
      <c r="G14" s="155" t="str">
        <f>IF(AND($C14="",$C13&lt;&gt;""),"Tổng Cộng",IFERROR(VLOOKUP($A14,Sheet1!$A$1:$D$80,4,0),""))</f>
        <v/>
      </c>
      <c r="H14" s="148" t="str">
        <f>IF($C13=MAX($C$8:$C$56),SUM($H$8:$H13),IFERROR($G14*$F14,""))</f>
        <v/>
      </c>
      <c r="I14" s="54" t="str">
        <f t="shared" si="2"/>
        <v/>
      </c>
      <c r="L14" s="31"/>
      <c r="M14" s="132"/>
    </row>
    <row r="15" spans="1:14" s="29" customFormat="1" ht="14.25" customHeight="1" x14ac:dyDescent="0.25">
      <c r="A15" s="150" t="s">
        <v>310</v>
      </c>
      <c r="B15" s="150"/>
      <c r="C15" s="30" t="str">
        <f t="shared" si="0"/>
        <v/>
      </c>
      <c r="D15" s="147" t="str">
        <f>IFERROR(VLOOKUP($A15,Sheet1!$A$1:$B$80,2,0),"")</f>
        <v/>
      </c>
      <c r="E15" s="30" t="str">
        <f>IFERROR(VLOOKUP($A15,'Tổng Đơn'!$A$5:$E$52,5,0),"")</f>
        <v/>
      </c>
      <c r="F15" s="30" t="str">
        <f t="shared" si="1"/>
        <v/>
      </c>
      <c r="G15" s="155" t="str">
        <f>IF(AND($C15="",$C14&lt;&gt;""),"Tổng Cộng",IFERROR(VLOOKUP($A15,Sheet1!$A$1:$D$80,4,0),""))</f>
        <v/>
      </c>
      <c r="H15" s="148" t="str">
        <f>IF($C14=MAX($C$8:$C$56),SUM($H$8:$H14),IFERROR($G15*$F15,""))</f>
        <v/>
      </c>
      <c r="I15" s="54" t="str">
        <f t="shared" si="2"/>
        <v/>
      </c>
      <c r="L15" s="31"/>
    </row>
    <row r="16" spans="1:14" s="29" customFormat="1" ht="14.25" customHeight="1" x14ac:dyDescent="0.25">
      <c r="A16" s="150" t="s">
        <v>310</v>
      </c>
      <c r="B16" s="150"/>
      <c r="C16" s="30" t="str">
        <f t="shared" si="0"/>
        <v/>
      </c>
      <c r="D16" s="147" t="str">
        <f>IFERROR(VLOOKUP($A16,Sheet1!$A$1:$B$80,2,0),"")</f>
        <v/>
      </c>
      <c r="E16" s="30" t="str">
        <f>IFERROR(VLOOKUP($A16,'Tổng Đơn'!$A$5:$E$52,5,0),"")</f>
        <v/>
      </c>
      <c r="F16" s="30" t="str">
        <f t="shared" si="1"/>
        <v/>
      </c>
      <c r="G16" s="155" t="str">
        <f>IF(AND($C16="",$C15&lt;&gt;""),"Tổng Cộng",IFERROR(VLOOKUP($A16,Sheet1!$A$1:$D$80,4,0),""))</f>
        <v/>
      </c>
      <c r="H16" s="148" t="str">
        <f>IF($C15=MAX($C$8:$C$56),SUM($H$8:$H15),IFERROR($G16*$F16,""))</f>
        <v/>
      </c>
      <c r="I16" s="54" t="str">
        <f t="shared" si="2"/>
        <v/>
      </c>
      <c r="L16" s="31"/>
    </row>
    <row r="17" spans="1:12" s="29" customFormat="1" ht="14.25" customHeight="1" x14ac:dyDescent="0.25">
      <c r="A17" s="150" t="s">
        <v>310</v>
      </c>
      <c r="B17" s="150"/>
      <c r="C17" s="30" t="str">
        <f t="shared" si="0"/>
        <v/>
      </c>
      <c r="D17" s="147" t="str">
        <f>IFERROR(VLOOKUP($A17,Sheet1!$A$1:$B$80,2,0),"")</f>
        <v/>
      </c>
      <c r="E17" s="30" t="str">
        <f>IFERROR(VLOOKUP($A17,'Tổng Đơn'!$A$5:$E$52,5,0),"")</f>
        <v/>
      </c>
      <c r="F17" s="30" t="str">
        <f t="shared" si="1"/>
        <v/>
      </c>
      <c r="G17" s="155" t="str">
        <f>IF(AND($C17="",$C16&lt;&gt;""),"Tổng Cộng",IFERROR(VLOOKUP($A17,Sheet1!$A$1:$D$80,4,0),""))</f>
        <v/>
      </c>
      <c r="H17" s="148" t="str">
        <f>IF($C16=MAX($C$8:$C$56),SUM($H$8:$H16),IFERROR($G17*$F17,""))</f>
        <v/>
      </c>
      <c r="I17" s="54" t="str">
        <f t="shared" si="2"/>
        <v/>
      </c>
      <c r="L17" s="31"/>
    </row>
    <row r="18" spans="1:12" s="29" customFormat="1" ht="14.25" customHeight="1" x14ac:dyDescent="0.25">
      <c r="A18" s="150" t="s">
        <v>310</v>
      </c>
      <c r="B18" s="150"/>
      <c r="C18" s="30" t="str">
        <f t="shared" si="0"/>
        <v/>
      </c>
      <c r="D18" s="147" t="str">
        <f>IFERROR(VLOOKUP($A18,Sheet1!$A$1:$B$80,2,0),"")</f>
        <v/>
      </c>
      <c r="E18" s="30" t="str">
        <f>IFERROR(VLOOKUP($A18,'Tổng Đơn'!$A$5:$E$52,5,0),"")</f>
        <v/>
      </c>
      <c r="F18" s="30" t="str">
        <f t="shared" si="1"/>
        <v/>
      </c>
      <c r="G18" s="155" t="str">
        <f>IF(AND($C18="",$C17&lt;&gt;""),"Tổng Cộng",IFERROR(VLOOKUP($A18,Sheet1!$A$1:$D$80,4,0),""))</f>
        <v/>
      </c>
      <c r="H18" s="148" t="str">
        <f>IF($C17=MAX($C$8:$C$56),SUM($H$8:$H17),IFERROR($G18*$F18,""))</f>
        <v/>
      </c>
      <c r="I18" s="54" t="str">
        <f t="shared" si="2"/>
        <v/>
      </c>
      <c r="L18" s="31"/>
    </row>
    <row r="19" spans="1:12" s="29" customFormat="1" ht="14.25" customHeight="1" x14ac:dyDescent="0.25">
      <c r="A19" s="150" t="s">
        <v>310</v>
      </c>
      <c r="B19" s="150"/>
      <c r="C19" s="30" t="str">
        <f t="shared" si="0"/>
        <v/>
      </c>
      <c r="D19" s="147" t="str">
        <f>IFERROR(VLOOKUP($A19,Sheet1!$A$1:$B$80,2,0),"")</f>
        <v/>
      </c>
      <c r="E19" s="30" t="str">
        <f>IFERROR(VLOOKUP($A19,'Tổng Đơn'!$A$5:$E$52,5,0),"")</f>
        <v/>
      </c>
      <c r="F19" s="30" t="str">
        <f t="shared" si="1"/>
        <v/>
      </c>
      <c r="G19" s="155" t="str">
        <f>IF(AND($C19="",$C18&lt;&gt;""),"Tổng Cộng",IFERROR(VLOOKUP($A19,Sheet1!$A$1:$D$80,4,0),""))</f>
        <v/>
      </c>
      <c r="H19" s="148" t="str">
        <f>IF($C18=MAX($C$8:$C$56),SUM($H$8:$H18),IFERROR($G19*$F19,""))</f>
        <v/>
      </c>
      <c r="I19" s="54" t="str">
        <f t="shared" si="2"/>
        <v/>
      </c>
      <c r="L19" s="31"/>
    </row>
    <row r="20" spans="1:12" s="29" customFormat="1" ht="14.25" customHeight="1" x14ac:dyDescent="0.25">
      <c r="A20" s="150" t="s">
        <v>310</v>
      </c>
      <c r="B20" s="150"/>
      <c r="C20" s="30" t="str">
        <f t="shared" si="0"/>
        <v/>
      </c>
      <c r="D20" s="147" t="str">
        <f>IFERROR(VLOOKUP($A20,Sheet1!$A$1:$B$80,2,0),"")</f>
        <v/>
      </c>
      <c r="E20" s="30" t="str">
        <f>IFERROR(VLOOKUP($A20,'Tổng Đơn'!$A$5:$E$52,5,0),"")</f>
        <v/>
      </c>
      <c r="F20" s="30" t="str">
        <f t="shared" si="1"/>
        <v/>
      </c>
      <c r="G20" s="155" t="str">
        <f>IF(AND($C20="",$C19&lt;&gt;""),"Tổng Cộng",IFERROR(VLOOKUP($A20,Sheet1!$A$1:$D$80,4,0),""))</f>
        <v/>
      </c>
      <c r="H20" s="148" t="str">
        <f>IF($C19=MAX($C$8:$C$56),SUM($H$8:$H19),IFERROR($G20*$F20,""))</f>
        <v/>
      </c>
      <c r="I20" s="54" t="str">
        <f t="shared" si="2"/>
        <v/>
      </c>
      <c r="L20" s="31"/>
    </row>
    <row r="21" spans="1:12" s="29" customFormat="1" ht="14.25" customHeight="1" x14ac:dyDescent="0.25">
      <c r="A21" s="150" t="s">
        <v>310</v>
      </c>
      <c r="B21" s="150"/>
      <c r="C21" s="30" t="str">
        <f t="shared" si="0"/>
        <v/>
      </c>
      <c r="D21" s="147" t="str">
        <f>IFERROR(VLOOKUP($A21,Sheet1!$A$1:$B$80,2,0),"")</f>
        <v/>
      </c>
      <c r="E21" s="30" t="str">
        <f>IFERROR(VLOOKUP($A21,'Tổng Đơn'!$A$5:$E$52,5,0),"")</f>
        <v/>
      </c>
      <c r="F21" s="30" t="str">
        <f t="shared" si="1"/>
        <v/>
      </c>
      <c r="G21" s="155" t="str">
        <f>IF(AND($C21="",$C20&lt;&gt;""),"Tổng Cộng",IFERROR(VLOOKUP($A21,Sheet1!$A$1:$D$80,4,0),""))</f>
        <v/>
      </c>
      <c r="H21" s="148" t="str">
        <f>IF($C20=MAX($C$8:$C$56),SUM($H$8:$H20),IFERROR($G21*$F21,""))</f>
        <v/>
      </c>
      <c r="I21" s="54" t="str">
        <f t="shared" si="2"/>
        <v/>
      </c>
      <c r="L21" s="31"/>
    </row>
    <row r="22" spans="1:12" s="29" customFormat="1" ht="14.25" customHeight="1" x14ac:dyDescent="0.25">
      <c r="A22" s="150" t="s">
        <v>310</v>
      </c>
      <c r="B22" s="150"/>
      <c r="C22" s="30" t="str">
        <f t="shared" si="0"/>
        <v/>
      </c>
      <c r="D22" s="147" t="str">
        <f>IFERROR(VLOOKUP($A22,Sheet1!$A$1:$B$80,2,0),"")</f>
        <v/>
      </c>
      <c r="E22" s="30" t="str">
        <f>IFERROR(VLOOKUP($A22,'Tổng Đơn'!$A$5:$E$52,5,0),"")</f>
        <v/>
      </c>
      <c r="F22" s="30" t="str">
        <f t="shared" si="1"/>
        <v/>
      </c>
      <c r="G22" s="155" t="str">
        <f>IF(AND($C22="",$C21&lt;&gt;""),"Tổng Cộng",IFERROR(VLOOKUP($A22,Sheet1!$A$1:$D$80,4,0),""))</f>
        <v/>
      </c>
      <c r="H22" s="148" t="str">
        <f>IF($C21=MAX($C$8:$C$56),SUM($H$8:$H21),IFERROR($G22*$F22,""))</f>
        <v/>
      </c>
      <c r="I22" s="54" t="str">
        <f t="shared" si="2"/>
        <v/>
      </c>
      <c r="L22" s="31"/>
    </row>
    <row r="23" spans="1:12" s="29" customFormat="1" ht="14.25" customHeight="1" x14ac:dyDescent="0.25">
      <c r="A23" s="150" t="s">
        <v>310</v>
      </c>
      <c r="B23" s="150"/>
      <c r="C23" s="30" t="str">
        <f t="shared" si="0"/>
        <v/>
      </c>
      <c r="D23" s="147" t="str">
        <f>IFERROR(VLOOKUP($A23,Sheet1!$A$1:$B$80,2,0),"")</f>
        <v/>
      </c>
      <c r="E23" s="30" t="str">
        <f>IFERROR(VLOOKUP($A23,'Tổng Đơn'!$A$5:$E$52,5,0),"")</f>
        <v/>
      </c>
      <c r="F23" s="30" t="str">
        <f t="shared" si="1"/>
        <v/>
      </c>
      <c r="G23" s="155" t="str">
        <f>IF(AND($C23="",$C22&lt;&gt;""),"Tổng Cộng",IFERROR(VLOOKUP($A23,Sheet1!$A$1:$D$80,4,0),""))</f>
        <v/>
      </c>
      <c r="H23" s="148" t="str">
        <f>IF($C22=MAX($C$8:$C$56),SUM($H$8:$H22),IFERROR($G23*$F23,""))</f>
        <v/>
      </c>
      <c r="I23" s="54" t="str">
        <f t="shared" si="2"/>
        <v/>
      </c>
      <c r="L23" s="31"/>
    </row>
    <row r="24" spans="1:12" s="29" customFormat="1" ht="14.25" customHeight="1" x14ac:dyDescent="0.25">
      <c r="A24" s="150" t="s">
        <v>310</v>
      </c>
      <c r="B24" s="150"/>
      <c r="C24" s="30" t="str">
        <f t="shared" si="0"/>
        <v/>
      </c>
      <c r="D24" s="147" t="str">
        <f>IFERROR(VLOOKUP($A24,Sheet1!$A$1:$B$80,2,0),"")</f>
        <v/>
      </c>
      <c r="E24" s="30" t="str">
        <f>IFERROR(VLOOKUP($A24,'Tổng Đơn'!$A$5:$E$52,5,0),"")</f>
        <v/>
      </c>
      <c r="F24" s="30" t="str">
        <f t="shared" si="1"/>
        <v/>
      </c>
      <c r="G24" s="155" t="str">
        <f>IF(AND($C24="",$C23&lt;&gt;""),"Tổng Cộng",IFERROR(VLOOKUP($A24,Sheet1!$A$1:$D$80,4,0),""))</f>
        <v/>
      </c>
      <c r="H24" s="148" t="str">
        <f>IF($C23=MAX($C$8:$C$56),SUM($H$8:$H23),IFERROR($G24*$F24,""))</f>
        <v/>
      </c>
      <c r="I24" s="54" t="str">
        <f t="shared" si="2"/>
        <v/>
      </c>
      <c r="L24" s="31"/>
    </row>
    <row r="25" spans="1:12" s="29" customFormat="1" ht="14.25" customHeight="1" x14ac:dyDescent="0.25">
      <c r="A25" s="150" t="s">
        <v>310</v>
      </c>
      <c r="B25" s="150"/>
      <c r="C25" s="30" t="str">
        <f t="shared" si="0"/>
        <v/>
      </c>
      <c r="D25" s="147" t="str">
        <f>IFERROR(VLOOKUP($A25,Sheet1!$A$1:$B$80,2,0),"")</f>
        <v/>
      </c>
      <c r="E25" s="30" t="str">
        <f>IFERROR(VLOOKUP($A25,'Tổng Đơn'!$A$5:$E$52,5,0),"")</f>
        <v/>
      </c>
      <c r="F25" s="30" t="str">
        <f t="shared" si="1"/>
        <v/>
      </c>
      <c r="G25" s="155" t="str">
        <f>IF(AND($C25="",$C24&lt;&gt;""),"Tổng Cộng",IFERROR(VLOOKUP($A25,Sheet1!$A$1:$D$80,4,0),""))</f>
        <v/>
      </c>
      <c r="H25" s="148" t="str">
        <f>IF($C24=MAX($C$8:$C$56),SUM($H$8:$H24),IFERROR($G25*$F25,""))</f>
        <v/>
      </c>
      <c r="I25" s="54" t="str">
        <f t="shared" si="2"/>
        <v/>
      </c>
      <c r="L25" s="31"/>
    </row>
    <row r="26" spans="1:12" s="29" customFormat="1" ht="14.25" customHeight="1" x14ac:dyDescent="0.25">
      <c r="A26" s="150" t="s">
        <v>310</v>
      </c>
      <c r="B26" s="150"/>
      <c r="C26" s="30" t="str">
        <f t="shared" si="0"/>
        <v/>
      </c>
      <c r="D26" s="147" t="str">
        <f>IFERROR(VLOOKUP($A26,Sheet1!$A$1:$B$80,2,0),"")</f>
        <v/>
      </c>
      <c r="E26" s="30" t="str">
        <f>IFERROR(VLOOKUP($A26,'Tổng Đơn'!$A$5:$E$52,5,0),"")</f>
        <v/>
      </c>
      <c r="F26" s="30" t="str">
        <f t="shared" si="1"/>
        <v/>
      </c>
      <c r="G26" s="155" t="str">
        <f>IF(AND($C26="",$C25&lt;&gt;""),"Tổng Cộng",IFERROR(VLOOKUP($A26,Sheet1!$A$1:$D$80,4,0),""))</f>
        <v/>
      </c>
      <c r="H26" s="148" t="str">
        <f>IF($C25=MAX($C$8:$C$56),SUM($H$8:$H25),IFERROR($G26*$F26,""))</f>
        <v/>
      </c>
      <c r="I26" s="54" t="str">
        <f t="shared" si="2"/>
        <v/>
      </c>
      <c r="L26" s="31"/>
    </row>
    <row r="27" spans="1:12" s="29" customFormat="1" ht="14.25" customHeight="1" x14ac:dyDescent="0.25">
      <c r="A27" s="150" t="s">
        <v>310</v>
      </c>
      <c r="B27" s="150"/>
      <c r="C27" s="30" t="str">
        <f t="shared" si="0"/>
        <v/>
      </c>
      <c r="D27" s="147" t="str">
        <f>IFERROR(VLOOKUP($A27,Sheet1!$A$1:$B$80,2,0),"")</f>
        <v/>
      </c>
      <c r="E27" s="30" t="str">
        <f>IFERROR(VLOOKUP($A27,'Tổng Đơn'!$A$5:$E$52,5,0),"")</f>
        <v/>
      </c>
      <c r="F27" s="30" t="str">
        <f t="shared" si="1"/>
        <v/>
      </c>
      <c r="G27" s="155" t="str">
        <f>IF(AND($C27="",$C26&lt;&gt;""),"Tổng Cộng",IFERROR(VLOOKUP($A27,Sheet1!$A$1:$D$80,4,0),""))</f>
        <v/>
      </c>
      <c r="H27" s="148" t="str">
        <f>IF($C26=MAX($C$8:$C$56),SUM($H$8:$H26),IFERROR($G27*$F27,""))</f>
        <v/>
      </c>
      <c r="I27" s="54" t="str">
        <f t="shared" si="2"/>
        <v/>
      </c>
      <c r="L27" s="31"/>
    </row>
    <row r="28" spans="1:12" s="29" customFormat="1" ht="14.25" customHeight="1" x14ac:dyDescent="0.25">
      <c r="A28" s="150" t="s">
        <v>310</v>
      </c>
      <c r="B28" s="150"/>
      <c r="C28" s="30" t="str">
        <f t="shared" si="0"/>
        <v/>
      </c>
      <c r="D28" s="147" t="str">
        <f>IFERROR(VLOOKUP($A28,Sheet1!$A$1:$B$80,2,0),"")</f>
        <v/>
      </c>
      <c r="E28" s="30" t="str">
        <f>IFERROR(VLOOKUP($A28,'Tổng Đơn'!$A$5:$E$52,5,0),"")</f>
        <v/>
      </c>
      <c r="F28" s="30" t="str">
        <f t="shared" si="1"/>
        <v/>
      </c>
      <c r="G28" s="155" t="str">
        <f>IF(AND($C28="",$C27&lt;&gt;""),"Tổng Cộng",IFERROR(VLOOKUP($A28,Sheet1!$A$1:$D$80,4,0),""))</f>
        <v/>
      </c>
      <c r="H28" s="148" t="str">
        <f>IF($C27=MAX($C$8:$C$56),SUM($H$8:$H27),IFERROR($G28*$F28,""))</f>
        <v/>
      </c>
      <c r="I28" s="54" t="str">
        <f t="shared" si="2"/>
        <v/>
      </c>
      <c r="L28" s="31"/>
    </row>
    <row r="29" spans="1:12" s="29" customFormat="1" ht="14.25" customHeight="1" x14ac:dyDescent="0.25">
      <c r="A29" s="150" t="s">
        <v>310</v>
      </c>
      <c r="B29" s="150"/>
      <c r="C29" s="30" t="str">
        <f t="shared" si="0"/>
        <v/>
      </c>
      <c r="D29" s="147" t="str">
        <f>IFERROR(VLOOKUP($A29,Sheet1!$A$1:$B$80,2,0),"")</f>
        <v/>
      </c>
      <c r="E29" s="30" t="str">
        <f>IFERROR(VLOOKUP($A29,'Tổng Đơn'!$A$5:$E$52,5,0),"")</f>
        <v/>
      </c>
      <c r="F29" s="30" t="str">
        <f t="shared" si="1"/>
        <v/>
      </c>
      <c r="G29" s="155" t="str">
        <f>IF(AND($C29="",$C28&lt;&gt;""),"Tổng Cộng",IFERROR(VLOOKUP($A29,Sheet1!$A$1:$D$80,4,0),""))</f>
        <v/>
      </c>
      <c r="H29" s="148" t="str">
        <f>IF($C28=MAX($C$8:$C$56),SUM($H$8:$H28),IFERROR($G29*$F29,""))</f>
        <v/>
      </c>
      <c r="I29" s="54" t="str">
        <f t="shared" si="2"/>
        <v/>
      </c>
      <c r="L29" s="31"/>
    </row>
    <row r="30" spans="1:12" s="29" customFormat="1" ht="14.25" customHeight="1" x14ac:dyDescent="0.25">
      <c r="A30" s="150" t="s">
        <v>310</v>
      </c>
      <c r="B30" s="150"/>
      <c r="C30" s="30" t="str">
        <f t="shared" si="0"/>
        <v/>
      </c>
      <c r="D30" s="147" t="str">
        <f>IFERROR(VLOOKUP($A30,Sheet1!$A$1:$B$80,2,0),"")</f>
        <v/>
      </c>
      <c r="E30" s="30" t="str">
        <f>IFERROR(VLOOKUP($A30,'Tổng Đơn'!$A$5:$E$52,5,0),"")</f>
        <v/>
      </c>
      <c r="F30" s="30" t="str">
        <f t="shared" si="1"/>
        <v/>
      </c>
      <c r="G30" s="155" t="str">
        <f>IF(AND($C30="",$C29&lt;&gt;""),"Tổng Cộng",IFERROR(VLOOKUP($A30,Sheet1!$A$1:$D$80,4,0),""))</f>
        <v/>
      </c>
      <c r="H30" s="148" t="str">
        <f>IF($C29=MAX($C$8:$C$56),SUM($H$8:$H29),IFERROR($G30*$F30,""))</f>
        <v/>
      </c>
      <c r="I30" s="54" t="str">
        <f t="shared" si="2"/>
        <v/>
      </c>
      <c r="L30" s="31"/>
    </row>
    <row r="31" spans="1:12" s="29" customFormat="1" ht="14.25" customHeight="1" x14ac:dyDescent="0.25">
      <c r="A31" s="150" t="s">
        <v>310</v>
      </c>
      <c r="B31" s="150"/>
      <c r="C31" s="30" t="str">
        <f t="shared" si="0"/>
        <v/>
      </c>
      <c r="D31" s="147" t="str">
        <f>IFERROR(VLOOKUP($A31,Sheet1!$A$1:$B$80,2,0),"")</f>
        <v/>
      </c>
      <c r="E31" s="30" t="str">
        <f>IFERROR(VLOOKUP($A31,'Tổng Đơn'!$A$5:$E$52,5,0),"")</f>
        <v/>
      </c>
      <c r="F31" s="30" t="str">
        <f t="shared" si="1"/>
        <v/>
      </c>
      <c r="G31" s="155" t="str">
        <f>IF(AND($C31="",$C30&lt;&gt;""),"Tổng Cộng",IFERROR(VLOOKUP($A31,Sheet1!$A$1:$D$80,4,0),""))</f>
        <v/>
      </c>
      <c r="H31" s="148" t="str">
        <f>IF($C30=MAX($C$8:$C$56),SUM($H$8:$H30),IFERROR($G31*$F31,""))</f>
        <v/>
      </c>
      <c r="I31" s="54" t="str">
        <f t="shared" si="2"/>
        <v/>
      </c>
      <c r="L31" s="31"/>
    </row>
    <row r="32" spans="1:12" s="29" customFormat="1" ht="14.25" customHeight="1" x14ac:dyDescent="0.25">
      <c r="A32" s="150" t="s">
        <v>310</v>
      </c>
      <c r="B32" s="150"/>
      <c r="C32" s="30" t="str">
        <f t="shared" si="0"/>
        <v/>
      </c>
      <c r="D32" s="147" t="str">
        <f>IFERROR(VLOOKUP($A32,Sheet1!$A$1:$B$80,2,0),"")</f>
        <v/>
      </c>
      <c r="E32" s="30" t="str">
        <f>IFERROR(VLOOKUP($A32,'Tổng Đơn'!$A$5:$E$52,5,0),"")</f>
        <v/>
      </c>
      <c r="F32" s="30" t="str">
        <f t="shared" si="1"/>
        <v/>
      </c>
      <c r="G32" s="155" t="str">
        <f>IF(AND($C32="",$C31&lt;&gt;""),"Tổng Cộng",IFERROR(VLOOKUP($A32,Sheet1!$A$1:$D$80,4,0),""))</f>
        <v/>
      </c>
      <c r="H32" s="148" t="str">
        <f>IF($C31=MAX($C$8:$C$56),SUM($H$8:$H31),IFERROR($G32*$F32,""))</f>
        <v/>
      </c>
      <c r="I32" s="54" t="str">
        <f t="shared" si="2"/>
        <v/>
      </c>
      <c r="L32" s="31"/>
    </row>
    <row r="33" spans="1:12" s="29" customFormat="1" ht="14.25" customHeight="1" x14ac:dyDescent="0.25">
      <c r="A33" s="150" t="s">
        <v>310</v>
      </c>
      <c r="B33" s="150"/>
      <c r="C33" s="30" t="str">
        <f t="shared" si="0"/>
        <v/>
      </c>
      <c r="D33" s="147" t="str">
        <f>IFERROR(VLOOKUP($A33,Sheet1!$A$1:$B$80,2,0),"")</f>
        <v/>
      </c>
      <c r="E33" s="30" t="str">
        <f>IFERROR(VLOOKUP($A33,'Tổng Đơn'!$A$5:$E$52,5,0),"")</f>
        <v/>
      </c>
      <c r="F33" s="30" t="str">
        <f t="shared" si="1"/>
        <v/>
      </c>
      <c r="G33" s="155" t="str">
        <f>IF(AND($C33="",$C32&lt;&gt;""),"Tổng Cộng",IFERROR(VLOOKUP($A33,Sheet1!$A$1:$D$80,4,0),""))</f>
        <v/>
      </c>
      <c r="H33" s="148" t="str">
        <f>IF($C32=MAX($C$8:$C$56),SUM($H$8:$H32),IFERROR($G33*$F33,""))</f>
        <v/>
      </c>
      <c r="I33" s="54" t="str">
        <f t="shared" si="2"/>
        <v/>
      </c>
      <c r="L33" s="31"/>
    </row>
    <row r="34" spans="1:12" s="29" customFormat="1" ht="14.25" customHeight="1" x14ac:dyDescent="0.25">
      <c r="A34" s="150" t="s">
        <v>310</v>
      </c>
      <c r="B34" s="150"/>
      <c r="C34" s="30" t="str">
        <f t="shared" si="0"/>
        <v/>
      </c>
      <c r="D34" s="147" t="str">
        <f>IFERROR(VLOOKUP($A34,Sheet1!$A$1:$B$80,2,0),"")</f>
        <v/>
      </c>
      <c r="E34" s="30" t="str">
        <f>IFERROR(VLOOKUP($A34,'Tổng Đơn'!$A$5:$E$52,5,0),"")</f>
        <v/>
      </c>
      <c r="F34" s="30" t="str">
        <f t="shared" si="1"/>
        <v/>
      </c>
      <c r="G34" s="155" t="str">
        <f>IF(AND($C34="",$C33&lt;&gt;""),"Tổng Cộng",IFERROR(VLOOKUP($A34,Sheet1!$A$1:$D$80,4,0),""))</f>
        <v/>
      </c>
      <c r="H34" s="148" t="str">
        <f>IF($C33=MAX($C$8:$C$56),SUM($H$8:$H33),IFERROR($G34*$F34,""))</f>
        <v/>
      </c>
      <c r="I34" s="54" t="str">
        <f t="shared" si="2"/>
        <v/>
      </c>
      <c r="L34" s="31"/>
    </row>
    <row r="35" spans="1:12" s="29" customFormat="1" ht="14.25" customHeight="1" x14ac:dyDescent="0.25">
      <c r="A35" s="150" t="s">
        <v>310</v>
      </c>
      <c r="B35" s="150"/>
      <c r="C35" s="30" t="str">
        <f t="shared" si="0"/>
        <v/>
      </c>
      <c r="D35" s="147" t="str">
        <f>IFERROR(VLOOKUP($A35,Sheet1!$A$1:$B$80,2,0),"")</f>
        <v/>
      </c>
      <c r="E35" s="30" t="str">
        <f>IFERROR(VLOOKUP($A35,'Tổng Đơn'!$A$5:$E$52,5,0),"")</f>
        <v/>
      </c>
      <c r="F35" s="30" t="str">
        <f t="shared" si="1"/>
        <v/>
      </c>
      <c r="G35" s="155" t="str">
        <f>IF(AND($C35="",$C34&lt;&gt;""),"Tổng Cộng",IFERROR(VLOOKUP($A35,Sheet1!$A$1:$D$80,4,0),""))</f>
        <v/>
      </c>
      <c r="H35" s="148" t="str">
        <f>IF($C34=MAX($C$8:$C$56),SUM($H$8:$H34),IFERROR($G35*$F35,""))</f>
        <v/>
      </c>
      <c r="I35" s="54" t="str">
        <f t="shared" si="2"/>
        <v/>
      </c>
      <c r="L35" s="31"/>
    </row>
    <row r="36" spans="1:12" s="29" customFormat="1" ht="14.25" customHeight="1" x14ac:dyDescent="0.25">
      <c r="A36" s="150" t="s">
        <v>310</v>
      </c>
      <c r="B36" s="150"/>
      <c r="C36" s="30" t="str">
        <f t="shared" si="0"/>
        <v/>
      </c>
      <c r="D36" s="147" t="str">
        <f>IFERROR(VLOOKUP($A36,Sheet1!$A$1:$B$80,2,0),"")</f>
        <v/>
      </c>
      <c r="E36" s="30" t="str">
        <f>IFERROR(VLOOKUP($A36,'Tổng Đơn'!$A$5:$E$52,5,0),"")</f>
        <v/>
      </c>
      <c r="F36" s="30" t="str">
        <f t="shared" si="1"/>
        <v/>
      </c>
      <c r="G36" s="155" t="str">
        <f>IF(AND($C36="",$C35&lt;&gt;""),"Tổng Cộng",IFERROR(VLOOKUP($A36,Sheet1!$A$1:$D$80,4,0),""))</f>
        <v/>
      </c>
      <c r="H36" s="148" t="str">
        <f>IF($C35=MAX($C$8:$C$56),SUM($H$8:$H35),IFERROR($G36*$F36,""))</f>
        <v/>
      </c>
      <c r="I36" s="54" t="str">
        <f t="shared" si="2"/>
        <v/>
      </c>
      <c r="L36" s="31"/>
    </row>
    <row r="37" spans="1:12" s="29" customFormat="1" ht="14.25" customHeight="1" x14ac:dyDescent="0.25">
      <c r="A37" s="150" t="s">
        <v>310</v>
      </c>
      <c r="B37" s="150"/>
      <c r="C37" s="30" t="str">
        <f t="shared" si="0"/>
        <v/>
      </c>
      <c r="D37" s="147" t="str">
        <f>IFERROR(VLOOKUP($A37,Sheet1!$A$1:$B$80,2,0),"")</f>
        <v/>
      </c>
      <c r="E37" s="30" t="str">
        <f>IFERROR(VLOOKUP($A37,'Tổng Đơn'!$A$5:$E$52,5,0),"")</f>
        <v/>
      </c>
      <c r="F37" s="30" t="str">
        <f t="shared" si="1"/>
        <v/>
      </c>
      <c r="G37" s="155" t="str">
        <f>IF(AND($C37="",$C36&lt;&gt;""),"Tổng Cộng",IFERROR(VLOOKUP($A37,Sheet1!$A$1:$D$80,4,0),""))</f>
        <v/>
      </c>
      <c r="H37" s="148" t="str">
        <f>IF($C36=MAX($C$8:$C$56),SUM($H$8:$H36),IFERROR($G37*$F37,""))</f>
        <v/>
      </c>
      <c r="I37" s="54" t="str">
        <f t="shared" si="2"/>
        <v/>
      </c>
      <c r="L37" s="31"/>
    </row>
    <row r="38" spans="1:12" s="29" customFormat="1" ht="14.25" customHeight="1" x14ac:dyDescent="0.25">
      <c r="A38" s="150"/>
      <c r="B38" s="150"/>
      <c r="C38" s="33"/>
      <c r="D38" s="34"/>
      <c r="E38" s="52"/>
      <c r="F38" s="30"/>
      <c r="G38" s="156" t="str">
        <f>IF(AND($C38="",$C37&lt;&gt;""),"Tổng Cộng",IFERROR(VLOOKUP($A38,Sheet1!$A$1:$D$80,4,0),""))</f>
        <v/>
      </c>
      <c r="H38" s="35" t="str">
        <f>IF($C37=MAX($C$8:$C$56),SUM($H$8:$H37),IFERROR($G38*$F38,""))</f>
        <v/>
      </c>
      <c r="I38" s="54"/>
      <c r="L38" s="31"/>
    </row>
    <row r="39" spans="1:12" ht="15" customHeight="1" x14ac:dyDescent="0.25">
      <c r="F39" s="36"/>
      <c r="G39" s="139"/>
      <c r="H39" s="37"/>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C38:E38 D23:E37 F23:H38">
    <cfRule type="expression" dxfId="143" priority="22">
      <formula>$C22=MAX($C$8:$C$37)</formula>
    </cfRule>
  </conditionalFormatting>
  <conditionalFormatting sqref="C23:C37">
    <cfRule type="expression" dxfId="142" priority="21">
      <formula>$C22=MAX($C$8:$C$37)</formula>
    </cfRule>
  </conditionalFormatting>
  <conditionalFormatting sqref="E23:E38">
    <cfRule type="expression" dxfId="141" priority="23">
      <formula>AND($A23="",$F23&lt;&gt;"")</formula>
    </cfRule>
  </conditionalFormatting>
  <conditionalFormatting sqref="F23:F38">
    <cfRule type="expression" dxfId="140" priority="24">
      <formula>AND($F23="",$A23&lt;&gt;"")</formula>
    </cfRule>
  </conditionalFormatting>
  <conditionalFormatting sqref="D20:H22">
    <cfRule type="expression" dxfId="139" priority="18">
      <formula>$C19=MAX($C$8:$C$37)</formula>
    </cfRule>
  </conditionalFormatting>
  <conditionalFormatting sqref="C20:C22">
    <cfRule type="expression" dxfId="138" priority="17">
      <formula>$C19=MAX($C$8:$C$37)</formula>
    </cfRule>
  </conditionalFormatting>
  <conditionalFormatting sqref="E20:E22">
    <cfRule type="expression" dxfId="137" priority="19">
      <formula>AND($A20="",$F20&lt;&gt;"")</formula>
    </cfRule>
  </conditionalFormatting>
  <conditionalFormatting sqref="F20:F22">
    <cfRule type="expression" dxfId="136" priority="20">
      <formula>AND($F20="",$A20&lt;&gt;"")</formula>
    </cfRule>
  </conditionalFormatting>
  <conditionalFormatting sqref="D15:H19 D12:F14 H12:H14">
    <cfRule type="expression" dxfId="135" priority="14">
      <formula>$C11=MAX($C$8:$C$37)</formula>
    </cfRule>
  </conditionalFormatting>
  <conditionalFormatting sqref="C12:C19">
    <cfRule type="expression" dxfId="134" priority="13">
      <formula>$C11=MAX($C$8:$C$37)</formula>
    </cfRule>
  </conditionalFormatting>
  <conditionalFormatting sqref="E12:E19">
    <cfRule type="expression" dxfId="133" priority="15">
      <formula>AND($A12="",$F12&lt;&gt;"")</formula>
    </cfRule>
  </conditionalFormatting>
  <conditionalFormatting sqref="F12:F19">
    <cfRule type="expression" dxfId="132" priority="16">
      <formula>AND($F12="",$A12&lt;&gt;"")</formula>
    </cfRule>
  </conditionalFormatting>
  <conditionalFormatting sqref="G12:G14">
    <cfRule type="expression" dxfId="131" priority="12">
      <formula>$C11=MAX($C$8:$C$37)</formula>
    </cfRule>
  </conditionalFormatting>
  <conditionalFormatting sqref="D9:F11 H9:H11">
    <cfRule type="expression" dxfId="130" priority="9">
      <formula>$C8=MAX($C$8:$C$37)</formula>
    </cfRule>
  </conditionalFormatting>
  <conditionalFormatting sqref="C9:C11">
    <cfRule type="expression" dxfId="129" priority="8">
      <formula>$C8=MAX($C$8:$C$37)</formula>
    </cfRule>
  </conditionalFormatting>
  <conditionalFormatting sqref="E9:E11">
    <cfRule type="expression" dxfId="128" priority="10">
      <formula>AND($A9="",$F9&lt;&gt;"")</formula>
    </cfRule>
  </conditionalFormatting>
  <conditionalFormatting sqref="F9:F11">
    <cfRule type="expression" dxfId="127" priority="11">
      <formula>AND($F9="",$A9&lt;&gt;"")</formula>
    </cfRule>
  </conditionalFormatting>
  <conditionalFormatting sqref="D8:F8">
    <cfRule type="expression" dxfId="126" priority="5">
      <formula>$C7=MAX($C$8:$C$37)</formula>
    </cfRule>
  </conditionalFormatting>
  <conditionalFormatting sqref="C8">
    <cfRule type="expression" dxfId="125" priority="4">
      <formula>$C7=MAX($C$8:$C$37)</formula>
    </cfRule>
  </conditionalFormatting>
  <conditionalFormatting sqref="E8">
    <cfRule type="expression" dxfId="124" priority="6">
      <formula>AND($A8="",$F8&lt;&gt;"")</formula>
    </cfRule>
  </conditionalFormatting>
  <conditionalFormatting sqref="F8">
    <cfRule type="expression" dxfId="123" priority="7">
      <formula>AND($F8="",$A8&lt;&gt;"")</formula>
    </cfRule>
  </conditionalFormatting>
  <conditionalFormatting sqref="H8">
    <cfRule type="expression" dxfId="122" priority="3">
      <formula>$C7=MAX($C$8:$C$37)</formula>
    </cfRule>
  </conditionalFormatting>
  <conditionalFormatting sqref="G9:G11">
    <cfRule type="expression" dxfId="121" priority="2">
      <formula>$C8=MAX($C$8:$C$37)</formula>
    </cfRule>
  </conditionalFormatting>
  <conditionalFormatting sqref="G8">
    <cfRule type="expression" dxfId="120" priority="1">
      <formula>$C7=MAX($C$8:$C$37)</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1534977" r:id="rId4" name="Button 1">
              <controlPr defaultSize="0" print="0" autoFill="0" autoPict="0" macro="[0]!Macro4">
                <anchor moveWithCells="1" sizeWithCells="1">
                  <from>
                    <xdr:col>0</xdr:col>
                    <xdr:colOff>0</xdr:colOff>
                    <xdr:row>0</xdr:row>
                    <xdr:rowOff>0</xdr:rowOff>
                  </from>
                  <to>
                    <xdr:col>1</xdr:col>
                    <xdr:colOff>769620</xdr:colOff>
                    <xdr:row>7</xdr:row>
                    <xdr:rowOff>0</xdr:rowOff>
                  </to>
                </anchor>
              </controlPr>
            </control>
          </mc:Choice>
        </mc:AlternateContent>
      </controls>
    </mc:Choice>
  </mc:AlternateContent>
</worksheet>
</file>

<file path=xl/worksheets/sheet3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1937328-D476-401E-BCD8-2DBE7E329468}">
  <sheetPr codeName="Sheet38">
    <tabColor theme="1"/>
    <pageSetUpPr fitToPage="1"/>
  </sheetPr>
  <dimension ref="A1:N53"/>
  <sheetViews>
    <sheetView zoomScaleNormal="100" workbookViewId="0">
      <pane ySplit="7" topLeftCell="A8" activePane="bottomLeft" state="frozen"/>
      <selection activeCell="Q2" sqref="Q2"/>
      <selection pane="bottomLeft" activeCell="H14" sqref="H14"/>
    </sheetView>
  </sheetViews>
  <sheetFormatPr defaultColWidth="9.09765625" defaultRowHeight="13.8" x14ac:dyDescent="0.25"/>
  <cols>
    <col min="1" max="1" width="11.69921875" style="14" customWidth="1"/>
    <col min="2" max="2" width="11.296875" style="14" customWidth="1"/>
    <col min="3" max="3" width="9.09765625" style="14"/>
    <col min="4" max="4" width="38.3984375" style="14" bestFit="1" customWidth="1"/>
    <col min="5" max="5" width="12.296875" style="53" bestFit="1" customWidth="1"/>
    <col min="6" max="6" width="11" style="14" customWidth="1"/>
    <col min="7" max="7" width="17.8984375" style="14" customWidth="1"/>
    <col min="8" max="8" width="17.8984375" style="15" customWidth="1"/>
    <col min="9" max="9" width="21.8984375" style="14" customWidth="1"/>
    <col min="10" max="10" width="10.09765625" style="14" customWidth="1"/>
    <col min="11" max="11" width="9.09765625" style="14"/>
    <col min="12" max="12" width="11.69921875" style="14" customWidth="1"/>
    <col min="13" max="14" width="10.09765625" style="14" bestFit="1" customWidth="1"/>
    <col min="15" max="16384" width="9.09765625" style="14"/>
  </cols>
  <sheetData>
    <row r="1" spans="1:14" ht="15.75" customHeight="1" x14ac:dyDescent="0.25">
      <c r="C1" s="268" t="s">
        <v>164</v>
      </c>
      <c r="D1" s="268"/>
      <c r="E1" s="268"/>
      <c r="F1" s="268"/>
      <c r="G1" s="268"/>
      <c r="H1" s="268"/>
    </row>
    <row r="2" spans="1:14" ht="15.75" customHeight="1" x14ac:dyDescent="0.25">
      <c r="C2" s="268"/>
      <c r="D2" s="268"/>
      <c r="E2" s="268"/>
      <c r="F2" s="268"/>
      <c r="G2" s="268"/>
      <c r="H2" s="268"/>
    </row>
    <row r="3" spans="1:14" ht="15" customHeight="1" x14ac:dyDescent="0.25">
      <c r="C3" s="269" t="s">
        <v>166</v>
      </c>
      <c r="D3" s="269"/>
      <c r="E3" s="269"/>
      <c r="F3" s="270" t="s">
        <v>168</v>
      </c>
      <c r="G3" s="270"/>
      <c r="H3" s="270"/>
    </row>
    <row r="4" spans="1:14" x14ac:dyDescent="0.25">
      <c r="C4" s="269" t="s">
        <v>167</v>
      </c>
      <c r="D4" s="269"/>
      <c r="E4" s="269"/>
      <c r="F4" s="271" t="s">
        <v>169</v>
      </c>
      <c r="G4" s="271"/>
      <c r="H4" s="271"/>
    </row>
    <row r="5" spans="1:14" s="140" customFormat="1" ht="21" customHeight="1" x14ac:dyDescent="0.25">
      <c r="C5" s="272" t="s">
        <v>165</v>
      </c>
      <c r="D5" s="272"/>
      <c r="E5" s="272"/>
      <c r="F5" s="272"/>
      <c r="G5" s="272"/>
      <c r="H5" s="272"/>
    </row>
    <row r="6" spans="1:14" s="140" customFormat="1" ht="16.5" customHeight="1" x14ac:dyDescent="0.25">
      <c r="C6" s="149" t="s">
        <v>170</v>
      </c>
      <c r="D6" s="152" t="s">
        <v>252</v>
      </c>
      <c r="E6" s="145"/>
      <c r="F6" s="145"/>
      <c r="G6" s="267" t="str">
        <f ca="1">"Ngày "&amp;DAY(TODAY())&amp;" Tháng "&amp;MONTH(TODAY())&amp;" Năm "&amp;YEAR(TODAY())</f>
        <v>Ngày 22 Tháng 1 Năm 2023</v>
      </c>
      <c r="H6" s="267"/>
    </row>
    <row r="7" spans="1:14" s="144" customFormat="1" ht="24" customHeight="1" x14ac:dyDescent="0.25">
      <c r="A7" s="141" t="s">
        <v>101</v>
      </c>
      <c r="B7" s="141" t="s">
        <v>15</v>
      </c>
      <c r="C7" s="142" t="s">
        <v>0</v>
      </c>
      <c r="D7" s="142" t="s">
        <v>16</v>
      </c>
      <c r="E7" s="146" t="str">
        <f>"Quy cách"&amp;CHAR(10)&amp;"(Kg)"</f>
        <v>Quy cách
(Kg)</v>
      </c>
      <c r="F7" s="142" t="s">
        <v>15</v>
      </c>
      <c r="G7" s="142" t="s">
        <v>17</v>
      </c>
      <c r="H7" s="142" t="s">
        <v>18</v>
      </c>
      <c r="I7" s="143">
        <f>SUBTOTAL(9,I8:I37)</f>
        <v>35.1</v>
      </c>
      <c r="L7" s="140"/>
    </row>
    <row r="8" spans="1:14" s="29" customFormat="1" ht="14.25" customHeight="1" x14ac:dyDescent="0.25">
      <c r="A8" s="150">
        <v>16</v>
      </c>
      <c r="B8" s="150">
        <v>30</v>
      </c>
      <c r="C8" s="30">
        <f t="shared" ref="C8:C37" si="0">IF(OR(SUM($C7,$A8&lt;&gt;"")=0,$A8=""),"",SUM($C7,$A8&lt;&gt;""))</f>
        <v>1</v>
      </c>
      <c r="D8" s="147" t="str">
        <f>IFERROR(VLOOKUP($A8,Sheet1!$A$1:$B$80,2,0),"")</f>
        <v>XX Đức HS ĐNA</v>
      </c>
      <c r="E8" s="30">
        <f>IFERROR(VLOOKUP($A8,'Tổng Đơn'!$A$5:$E$52,5,0),"")</f>
        <v>0.5</v>
      </c>
      <c r="F8" s="30">
        <f t="shared" ref="F8:F37" si="1">IF($B8="","",B8)</f>
        <v>30</v>
      </c>
      <c r="G8" s="155">
        <f>IFERROR(VLOOKUP($A8,Sheet1!$A1:$D$80,4,0),"")</f>
        <v>35000</v>
      </c>
      <c r="H8" s="148">
        <f>IF($C7=MAX($C$8:$C$56),SUM($H7:$H$8),IFERROR($G8*$F8,""))</f>
        <v>1050000</v>
      </c>
      <c r="I8" s="54">
        <f t="shared" ref="I8:I37" si="2">IF(TYPE($A8)&lt;&gt;1,"",IFERROR(F8*E8,""))</f>
        <v>15</v>
      </c>
      <c r="L8" s="32"/>
    </row>
    <row r="9" spans="1:14" s="29" customFormat="1" ht="14.25" customHeight="1" x14ac:dyDescent="0.25">
      <c r="A9" s="150">
        <v>34</v>
      </c>
      <c r="B9" s="150">
        <v>20</v>
      </c>
      <c r="C9" s="30">
        <f t="shared" si="0"/>
        <v>2</v>
      </c>
      <c r="D9" s="147" t="str">
        <f>IFERROR(VLOOKUP($A9,Sheet1!$A$1:$B$80,2,0),"")</f>
        <v>Cá viên KK</v>
      </c>
      <c r="E9" s="30">
        <f>IFERROR(VLOOKUP($A9,'Tổng Đơn'!$A$5:$E$52,5,0),"")</f>
        <v>0.5</v>
      </c>
      <c r="F9" s="30">
        <f t="shared" si="1"/>
        <v>20</v>
      </c>
      <c r="G9" s="155">
        <f>IF(AND($C9="",$C8&lt;&gt;""),"Tổng Cộng",IFERROR(VLOOKUP($A9,Sheet1!$A$1:$D$80,4,0),""))</f>
        <v>25000</v>
      </c>
      <c r="H9" s="148">
        <f>IF($C8=MAX($C$8:$C$56),SUM($H$8:$H8),IFERROR($G9*$F9,""))</f>
        <v>500000</v>
      </c>
      <c r="I9" s="54">
        <f t="shared" si="2"/>
        <v>10</v>
      </c>
      <c r="L9" s="31"/>
    </row>
    <row r="10" spans="1:14" s="29" customFormat="1" ht="14.25" customHeight="1" x14ac:dyDescent="0.25">
      <c r="A10" s="150">
        <v>38</v>
      </c>
      <c r="B10" s="150">
        <v>10</v>
      </c>
      <c r="C10" s="30">
        <f t="shared" si="0"/>
        <v>3</v>
      </c>
      <c r="D10" s="147" t="str">
        <f>IFERROR(VLOOKUP($A10,Sheet1!$A$1:$B$80,2,0),"")</f>
        <v>XX Đỏ KK</v>
      </c>
      <c r="E10" s="30">
        <f>IFERROR(VLOOKUP($A10,'Tổng Đơn'!$A$5:$E$52,5,0),"")</f>
        <v>0.5</v>
      </c>
      <c r="F10" s="30">
        <f t="shared" si="1"/>
        <v>10</v>
      </c>
      <c r="G10" s="155">
        <f>IF(AND($C10="",$C9&lt;&gt;""),"Tổng Cộng",IFERROR(VLOOKUP($A10,Sheet1!$A$1:$D$80,4,0),""))</f>
        <v>26000</v>
      </c>
      <c r="H10" s="148">
        <f>IF($C9=MAX($C$8:$C$56),SUM($H$8:$H9),IFERROR($G10*$F10,""))</f>
        <v>260000</v>
      </c>
      <c r="I10" s="54">
        <f t="shared" si="2"/>
        <v>5</v>
      </c>
      <c r="L10" s="31"/>
    </row>
    <row r="11" spans="1:14" s="29" customFormat="1" ht="14.25" customHeight="1" x14ac:dyDescent="0.25">
      <c r="A11" s="150">
        <v>41</v>
      </c>
      <c r="B11" s="150">
        <v>6</v>
      </c>
      <c r="C11" s="30">
        <f t="shared" si="0"/>
        <v>4</v>
      </c>
      <c r="D11" s="147" t="str">
        <f>IFERROR(VLOOKUP($A11,Sheet1!$A$1:$B$80,2,0),"")</f>
        <v>Bánh bao thả lẩu Trứng cá KK</v>
      </c>
      <c r="E11" s="30">
        <f>IFERROR(VLOOKUP($A11,'Tổng Đơn'!$A$5:$E$52,5,0),"")</f>
        <v>0.5</v>
      </c>
      <c r="F11" s="30">
        <f t="shared" si="1"/>
        <v>6</v>
      </c>
      <c r="G11" s="155">
        <f>IF(AND($C11="",$C10&lt;&gt;""),"Tổng Cộng",IFERROR(VLOOKUP($A11,Sheet1!$A$1:$D$80,4,0),""))</f>
        <v>45000</v>
      </c>
      <c r="H11" s="148">
        <f>IF($C10=MAX($C$8:$C$56),SUM($H$8:$H10),IFERROR($G11*$F11,""))</f>
        <v>270000</v>
      </c>
      <c r="I11" s="54">
        <f t="shared" si="2"/>
        <v>3</v>
      </c>
      <c r="L11" s="31"/>
    </row>
    <row r="12" spans="1:14" s="29" customFormat="1" ht="14.25" customHeight="1" x14ac:dyDescent="0.25">
      <c r="A12" s="150">
        <v>42</v>
      </c>
      <c r="B12" s="150">
        <v>7</v>
      </c>
      <c r="C12" s="30">
        <f t="shared" si="0"/>
        <v>5</v>
      </c>
      <c r="D12" s="147" t="str">
        <f>IFERROR(VLOOKUP($A12,Sheet1!$A$1:$B$80,2,0),"")</f>
        <v>Mực khoanh KK</v>
      </c>
      <c r="E12" s="30">
        <f>IFERROR(VLOOKUP($A12,'Tổng Đơn'!$A$5:$E$52,5,0),"")</f>
        <v>0.3</v>
      </c>
      <c r="F12" s="30">
        <f t="shared" si="1"/>
        <v>7</v>
      </c>
      <c r="G12" s="155">
        <f>IF(AND($C12="",$C11&lt;&gt;""),"Tổng Cộng",IFERROR(VLOOKUP($A12,Sheet1!$A$1:$D$80,4,0),""))</f>
        <v>26000</v>
      </c>
      <c r="H12" s="148">
        <f>IF($C11=MAX($C$8:$C$56),SUM($H$8:$H11),IFERROR($G12*$F12,""))</f>
        <v>182000</v>
      </c>
      <c r="I12" s="54">
        <f t="shared" si="2"/>
        <v>2.1</v>
      </c>
      <c r="J12" s="125"/>
      <c r="L12" s="31"/>
      <c r="N12" s="126"/>
    </row>
    <row r="13" spans="1:14" s="29" customFormat="1" ht="14.25" customHeight="1" x14ac:dyDescent="0.25">
      <c r="A13" s="150">
        <v>1</v>
      </c>
      <c r="B13" s="150">
        <v>1</v>
      </c>
      <c r="C13" s="30">
        <f t="shared" si="0"/>
        <v>6</v>
      </c>
      <c r="D13" s="147" t="s">
        <v>312</v>
      </c>
      <c r="E13" s="30" t="s">
        <v>234</v>
      </c>
      <c r="F13" s="30" t="s">
        <v>234</v>
      </c>
      <c r="G13" s="155" t="s">
        <v>234</v>
      </c>
      <c r="H13" s="148">
        <f>-15*8000-10*7000-5*4000-3*7000-7*2000</f>
        <v>-245000</v>
      </c>
      <c r="I13" s="54" t="str">
        <f t="shared" si="2"/>
        <v/>
      </c>
      <c r="L13" s="31"/>
    </row>
    <row r="14" spans="1:14" s="29" customFormat="1" ht="14.25" customHeight="1" x14ac:dyDescent="0.25">
      <c r="A14" s="150" t="s">
        <v>310</v>
      </c>
      <c r="B14" s="150"/>
      <c r="C14" s="30" t="str">
        <f t="shared" si="0"/>
        <v/>
      </c>
      <c r="D14" s="147" t="str">
        <f>IFERROR(VLOOKUP($A14,Sheet1!$A$1:$B$80,2,0),"")</f>
        <v/>
      </c>
      <c r="E14" s="30" t="str">
        <f>IFERROR(VLOOKUP($A14,'Tổng Đơn'!$A$5:$E$52,5,0),"")</f>
        <v/>
      </c>
      <c r="F14" s="30" t="str">
        <f t="shared" si="1"/>
        <v/>
      </c>
      <c r="G14" s="155" t="str">
        <f>IF(AND($C14="",$C13&lt;&gt;""),"Tổng Cộng",IFERROR(VLOOKUP($A14,Sheet1!$A$1:$D$80,4,0),""))</f>
        <v>Tổng Cộng</v>
      </c>
      <c r="H14" s="148">
        <f>IF($C13=MAX($C$8:$C$56),SUM($H$8:$H13),IFERROR($G14*$F14,""))</f>
        <v>2017000</v>
      </c>
      <c r="I14" s="54" t="str">
        <f t="shared" si="2"/>
        <v/>
      </c>
      <c r="L14" s="31"/>
      <c r="M14" s="132"/>
    </row>
    <row r="15" spans="1:14" s="29" customFormat="1" ht="14.25" customHeight="1" x14ac:dyDescent="0.25">
      <c r="A15" s="150" t="s">
        <v>310</v>
      </c>
      <c r="B15" s="150"/>
      <c r="C15" s="30" t="str">
        <f t="shared" si="0"/>
        <v/>
      </c>
      <c r="D15" s="147" t="str">
        <f>IFERROR(VLOOKUP($A15,Sheet1!$A$1:$B$80,2,0),"")</f>
        <v/>
      </c>
      <c r="E15" s="30" t="str">
        <f>IFERROR(VLOOKUP($A15,'Tổng Đơn'!$A$5:$E$52,5,0),"")</f>
        <v/>
      </c>
      <c r="F15" s="30" t="str">
        <f t="shared" si="1"/>
        <v/>
      </c>
      <c r="G15" s="155" t="str">
        <f>IF(AND($C15="",$C14&lt;&gt;""),"Tổng Cộng",IFERROR(VLOOKUP($A15,Sheet1!$A$1:$D$80,4,0),""))</f>
        <v/>
      </c>
      <c r="H15" s="148" t="str">
        <f>IF($C14=MAX($C$8:$C$56),SUM($H$8:$H14),IFERROR($G15*$F15,""))</f>
        <v/>
      </c>
      <c r="I15" s="54" t="str">
        <f t="shared" si="2"/>
        <v/>
      </c>
      <c r="L15" s="31"/>
    </row>
    <row r="16" spans="1:14" s="29" customFormat="1" ht="14.25" customHeight="1" x14ac:dyDescent="0.25">
      <c r="A16" s="150" t="s">
        <v>310</v>
      </c>
      <c r="B16" s="150"/>
      <c r="C16" s="30" t="str">
        <f t="shared" si="0"/>
        <v/>
      </c>
      <c r="D16" s="147" t="str">
        <f>IFERROR(VLOOKUP($A16,Sheet1!$A$1:$B$80,2,0),"")</f>
        <v/>
      </c>
      <c r="E16" s="30" t="str">
        <f>IFERROR(VLOOKUP($A16,'Tổng Đơn'!$A$5:$E$52,5,0),"")</f>
        <v/>
      </c>
      <c r="F16" s="30" t="str">
        <f t="shared" si="1"/>
        <v/>
      </c>
      <c r="G16" s="155" t="str">
        <f>IF(AND($C16="",$C15&lt;&gt;""),"Tổng Cộng",IFERROR(VLOOKUP($A16,Sheet1!$A$1:$D$80,4,0),""))</f>
        <v/>
      </c>
      <c r="H16" s="148" t="str">
        <f>IF($C15=MAX($C$8:$C$56),SUM($H$8:$H15),IFERROR($G16*$F16,""))</f>
        <v/>
      </c>
      <c r="I16" s="54" t="str">
        <f t="shared" si="2"/>
        <v/>
      </c>
      <c r="L16" s="31"/>
    </row>
    <row r="17" spans="1:12" s="29" customFormat="1" ht="14.25" customHeight="1" x14ac:dyDescent="0.25">
      <c r="A17" s="150" t="s">
        <v>310</v>
      </c>
      <c r="B17" s="150"/>
      <c r="C17" s="30" t="str">
        <f t="shared" si="0"/>
        <v/>
      </c>
      <c r="D17" s="147" t="str">
        <f>IFERROR(VLOOKUP($A17,Sheet1!$A$1:$B$80,2,0),"")</f>
        <v/>
      </c>
      <c r="E17" s="30" t="str">
        <f>IFERROR(VLOOKUP($A17,'Tổng Đơn'!$A$5:$E$52,5,0),"")</f>
        <v/>
      </c>
      <c r="F17" s="30" t="str">
        <f t="shared" si="1"/>
        <v/>
      </c>
      <c r="G17" s="155" t="str">
        <f>IF(AND($C17="",$C16&lt;&gt;""),"Tổng Cộng",IFERROR(VLOOKUP($A17,Sheet1!$A$1:$D$80,4,0),""))</f>
        <v/>
      </c>
      <c r="H17" s="148" t="str">
        <f>IF($C16=MAX($C$8:$C$56),SUM($H$8:$H16),IFERROR($G17*$F17,""))</f>
        <v/>
      </c>
      <c r="I17" s="54" t="str">
        <f t="shared" si="2"/>
        <v/>
      </c>
      <c r="L17" s="31"/>
    </row>
    <row r="18" spans="1:12" s="29" customFormat="1" ht="14.25" customHeight="1" x14ac:dyDescent="0.25">
      <c r="A18" s="150" t="s">
        <v>310</v>
      </c>
      <c r="B18" s="150"/>
      <c r="C18" s="30" t="str">
        <f t="shared" si="0"/>
        <v/>
      </c>
      <c r="D18" s="147" t="str">
        <f>IFERROR(VLOOKUP($A18,Sheet1!$A$1:$B$80,2,0),"")</f>
        <v/>
      </c>
      <c r="E18" s="30" t="str">
        <f>IFERROR(VLOOKUP($A18,'Tổng Đơn'!$A$5:$E$52,5,0),"")</f>
        <v/>
      </c>
      <c r="F18" s="30" t="str">
        <f t="shared" si="1"/>
        <v/>
      </c>
      <c r="G18" s="155" t="str">
        <f>IF(AND($C18="",$C17&lt;&gt;""),"Tổng Cộng",IFERROR(VLOOKUP($A18,Sheet1!$A$1:$D$80,4,0),""))</f>
        <v/>
      </c>
      <c r="H18" s="148" t="str">
        <f>IF($C17=MAX($C$8:$C$56),SUM($H$8:$H17),IFERROR($G18*$F18,""))</f>
        <v/>
      </c>
      <c r="I18" s="54" t="str">
        <f t="shared" si="2"/>
        <v/>
      </c>
      <c r="L18" s="31"/>
    </row>
    <row r="19" spans="1:12" s="29" customFormat="1" ht="14.25" customHeight="1" x14ac:dyDescent="0.25">
      <c r="A19" s="150" t="s">
        <v>310</v>
      </c>
      <c r="B19" s="150"/>
      <c r="C19" s="30" t="str">
        <f t="shared" si="0"/>
        <v/>
      </c>
      <c r="D19" s="147" t="str">
        <f>IFERROR(VLOOKUP($A19,Sheet1!$A$1:$B$80,2,0),"")</f>
        <v/>
      </c>
      <c r="E19" s="30" t="str">
        <f>IFERROR(VLOOKUP($A19,'Tổng Đơn'!$A$5:$E$52,5,0),"")</f>
        <v/>
      </c>
      <c r="F19" s="30" t="str">
        <f t="shared" si="1"/>
        <v/>
      </c>
      <c r="G19" s="155" t="str">
        <f>IF(AND($C19="",$C18&lt;&gt;""),"Tổng Cộng",IFERROR(VLOOKUP($A19,Sheet1!$A$1:$D$80,4,0),""))</f>
        <v/>
      </c>
      <c r="H19" s="148" t="str">
        <f>IF($C18=MAX($C$8:$C$56),SUM($H$8:$H18),IFERROR($G19*$F19,""))</f>
        <v/>
      </c>
      <c r="I19" s="54" t="str">
        <f t="shared" si="2"/>
        <v/>
      </c>
      <c r="L19" s="31"/>
    </row>
    <row r="20" spans="1:12" s="29" customFormat="1" ht="14.25" customHeight="1" x14ac:dyDescent="0.25">
      <c r="A20" s="150" t="s">
        <v>310</v>
      </c>
      <c r="B20" s="150"/>
      <c r="C20" s="30" t="str">
        <f t="shared" si="0"/>
        <v/>
      </c>
      <c r="D20" s="147" t="str">
        <f>IFERROR(VLOOKUP($A20,Sheet1!$A$1:$B$80,2,0),"")</f>
        <v/>
      </c>
      <c r="E20" s="30" t="str">
        <f>IFERROR(VLOOKUP($A20,'Tổng Đơn'!$A$5:$E$52,5,0),"")</f>
        <v/>
      </c>
      <c r="F20" s="30" t="str">
        <f t="shared" si="1"/>
        <v/>
      </c>
      <c r="G20" s="155" t="str">
        <f>IF(AND($C20="",$C19&lt;&gt;""),"Tổng Cộng",IFERROR(VLOOKUP($A20,Sheet1!$A$1:$D$80,4,0),""))</f>
        <v/>
      </c>
      <c r="H20" s="148" t="str">
        <f>IF($C19=MAX($C$8:$C$56),SUM($H$8:$H19),IFERROR($G20*$F20,""))</f>
        <v/>
      </c>
      <c r="I20" s="54" t="str">
        <f t="shared" si="2"/>
        <v/>
      </c>
      <c r="L20" s="31"/>
    </row>
    <row r="21" spans="1:12" s="29" customFormat="1" ht="14.25" customHeight="1" x14ac:dyDescent="0.25">
      <c r="A21" s="150" t="s">
        <v>310</v>
      </c>
      <c r="B21" s="150"/>
      <c r="C21" s="30" t="str">
        <f t="shared" si="0"/>
        <v/>
      </c>
      <c r="D21" s="147" t="str">
        <f>IFERROR(VLOOKUP($A21,Sheet1!$A$1:$B$80,2,0),"")</f>
        <v/>
      </c>
      <c r="E21" s="30" t="str">
        <f>IFERROR(VLOOKUP($A21,'Tổng Đơn'!$A$5:$E$52,5,0),"")</f>
        <v/>
      </c>
      <c r="F21" s="30" t="str">
        <f t="shared" si="1"/>
        <v/>
      </c>
      <c r="G21" s="155" t="str">
        <f>IF(AND($C21="",$C20&lt;&gt;""),"Tổng Cộng",IFERROR(VLOOKUP($A21,Sheet1!$A$1:$D$80,4,0),""))</f>
        <v/>
      </c>
      <c r="H21" s="148" t="str">
        <f>IF($C20=MAX($C$8:$C$56),SUM($H$8:$H20),IFERROR($G21*$F21,""))</f>
        <v/>
      </c>
      <c r="I21" s="54" t="str">
        <f t="shared" si="2"/>
        <v/>
      </c>
      <c r="L21" s="31"/>
    </row>
    <row r="22" spans="1:12" s="29" customFormat="1" ht="14.25" customHeight="1" x14ac:dyDescent="0.25">
      <c r="A22" s="150" t="s">
        <v>310</v>
      </c>
      <c r="B22" s="150"/>
      <c r="C22" s="30" t="str">
        <f t="shared" si="0"/>
        <v/>
      </c>
      <c r="D22" s="147" t="str">
        <f>IFERROR(VLOOKUP($A22,Sheet1!$A$1:$B$80,2,0),"")</f>
        <v/>
      </c>
      <c r="E22" s="30" t="str">
        <f>IFERROR(VLOOKUP($A22,'Tổng Đơn'!$A$5:$E$52,5,0),"")</f>
        <v/>
      </c>
      <c r="F22" s="30" t="str">
        <f t="shared" si="1"/>
        <v/>
      </c>
      <c r="G22" s="155" t="str">
        <f>IF(AND($C22="",$C21&lt;&gt;""),"Tổng Cộng",IFERROR(VLOOKUP($A22,Sheet1!$A$1:$D$80,4,0),""))</f>
        <v/>
      </c>
      <c r="H22" s="148" t="str">
        <f>IF($C21=MAX($C$8:$C$56),SUM($H$8:$H21),IFERROR($G22*$F22,""))</f>
        <v/>
      </c>
      <c r="I22" s="54" t="str">
        <f t="shared" si="2"/>
        <v/>
      </c>
      <c r="L22" s="31"/>
    </row>
    <row r="23" spans="1:12" s="29" customFormat="1" ht="14.25" customHeight="1" x14ac:dyDescent="0.25">
      <c r="A23" s="150" t="s">
        <v>310</v>
      </c>
      <c r="B23" s="150"/>
      <c r="C23" s="30" t="str">
        <f t="shared" si="0"/>
        <v/>
      </c>
      <c r="D23" s="147" t="str">
        <f>IFERROR(VLOOKUP($A23,Sheet1!$A$1:$B$80,2,0),"")</f>
        <v/>
      </c>
      <c r="E23" s="30" t="str">
        <f>IFERROR(VLOOKUP($A23,'Tổng Đơn'!$A$5:$E$52,5,0),"")</f>
        <v/>
      </c>
      <c r="F23" s="30" t="str">
        <f t="shared" si="1"/>
        <v/>
      </c>
      <c r="G23" s="155" t="str">
        <f>IF(AND($C23="",$C22&lt;&gt;""),"Tổng Cộng",IFERROR(VLOOKUP($A23,Sheet1!$A$1:$D$80,4,0),""))</f>
        <v/>
      </c>
      <c r="H23" s="148" t="str">
        <f>IF($C22=MAX($C$8:$C$56),SUM($H$8:$H22),IFERROR($G23*$F23,""))</f>
        <v/>
      </c>
      <c r="I23" s="54" t="str">
        <f t="shared" si="2"/>
        <v/>
      </c>
      <c r="L23" s="31"/>
    </row>
    <row r="24" spans="1:12" s="29" customFormat="1" ht="14.25" customHeight="1" x14ac:dyDescent="0.25">
      <c r="A24" s="150" t="s">
        <v>310</v>
      </c>
      <c r="B24" s="150"/>
      <c r="C24" s="30" t="str">
        <f t="shared" si="0"/>
        <v/>
      </c>
      <c r="D24" s="147" t="str">
        <f>IFERROR(VLOOKUP($A24,Sheet1!$A$1:$B$80,2,0),"")</f>
        <v/>
      </c>
      <c r="E24" s="30" t="str">
        <f>IFERROR(VLOOKUP($A24,'Tổng Đơn'!$A$5:$E$52,5,0),"")</f>
        <v/>
      </c>
      <c r="F24" s="30" t="str">
        <f t="shared" si="1"/>
        <v/>
      </c>
      <c r="G24" s="155" t="str">
        <f>IF(AND($C24="",$C23&lt;&gt;""),"Tổng Cộng",IFERROR(VLOOKUP($A24,Sheet1!$A$1:$D$80,4,0),""))</f>
        <v/>
      </c>
      <c r="H24" s="148" t="str">
        <f>IF($C23=MAX($C$8:$C$56),SUM($H$8:$H23),IFERROR($G24*$F24,""))</f>
        <v/>
      </c>
      <c r="I24" s="54" t="str">
        <f t="shared" si="2"/>
        <v/>
      </c>
      <c r="L24" s="31"/>
    </row>
    <row r="25" spans="1:12" s="29" customFormat="1" ht="14.25" customHeight="1" x14ac:dyDescent="0.25">
      <c r="A25" s="150" t="s">
        <v>310</v>
      </c>
      <c r="B25" s="150"/>
      <c r="C25" s="30" t="str">
        <f t="shared" si="0"/>
        <v/>
      </c>
      <c r="D25" s="147" t="str">
        <f>IFERROR(VLOOKUP($A25,Sheet1!$A$1:$B$80,2,0),"")</f>
        <v/>
      </c>
      <c r="E25" s="30" t="str">
        <f>IFERROR(VLOOKUP($A25,'Tổng Đơn'!$A$5:$E$52,5,0),"")</f>
        <v/>
      </c>
      <c r="F25" s="30" t="str">
        <f t="shared" si="1"/>
        <v/>
      </c>
      <c r="G25" s="155" t="str">
        <f>IF(AND($C25="",$C24&lt;&gt;""),"Tổng Cộng",IFERROR(VLOOKUP($A25,Sheet1!$A$1:$D$80,4,0),""))</f>
        <v/>
      </c>
      <c r="H25" s="148" t="str">
        <f>IF($C24=MAX($C$8:$C$56),SUM($H$8:$H24),IFERROR($G25*$F25,""))</f>
        <v/>
      </c>
      <c r="I25" s="54" t="str">
        <f t="shared" si="2"/>
        <v/>
      </c>
      <c r="L25" s="31"/>
    </row>
    <row r="26" spans="1:12" s="29" customFormat="1" ht="14.25" customHeight="1" x14ac:dyDescent="0.25">
      <c r="A26" s="150" t="s">
        <v>310</v>
      </c>
      <c r="B26" s="150"/>
      <c r="C26" s="30" t="str">
        <f t="shared" si="0"/>
        <v/>
      </c>
      <c r="D26" s="147" t="str">
        <f>IFERROR(VLOOKUP($A26,Sheet1!$A$1:$B$80,2,0),"")</f>
        <v/>
      </c>
      <c r="E26" s="30" t="str">
        <f>IFERROR(VLOOKUP($A26,'Tổng Đơn'!$A$5:$E$52,5,0),"")</f>
        <v/>
      </c>
      <c r="F26" s="30" t="str">
        <f t="shared" si="1"/>
        <v/>
      </c>
      <c r="G26" s="155" t="str">
        <f>IF(AND($C26="",$C25&lt;&gt;""),"Tổng Cộng",IFERROR(VLOOKUP($A26,Sheet1!$A$1:$D$80,4,0),""))</f>
        <v/>
      </c>
      <c r="H26" s="148" t="str">
        <f>IF($C25=MAX($C$8:$C$56),SUM($H$8:$H25),IFERROR($G26*$F26,""))</f>
        <v/>
      </c>
      <c r="I26" s="54" t="str">
        <f t="shared" si="2"/>
        <v/>
      </c>
      <c r="L26" s="31"/>
    </row>
    <row r="27" spans="1:12" s="29" customFormat="1" ht="14.25" customHeight="1" x14ac:dyDescent="0.25">
      <c r="A27" s="150" t="s">
        <v>310</v>
      </c>
      <c r="B27" s="150"/>
      <c r="C27" s="30" t="str">
        <f t="shared" si="0"/>
        <v/>
      </c>
      <c r="D27" s="147" t="str">
        <f>IFERROR(VLOOKUP($A27,Sheet1!$A$1:$B$80,2,0),"")</f>
        <v/>
      </c>
      <c r="E27" s="30" t="str">
        <f>IFERROR(VLOOKUP($A27,'Tổng Đơn'!$A$5:$E$52,5,0),"")</f>
        <v/>
      </c>
      <c r="F27" s="30" t="str">
        <f t="shared" si="1"/>
        <v/>
      </c>
      <c r="G27" s="155" t="str">
        <f>IF(AND($C27="",$C26&lt;&gt;""),"Tổng Cộng",IFERROR(VLOOKUP($A27,Sheet1!$A$1:$D$80,4,0),""))</f>
        <v/>
      </c>
      <c r="H27" s="148" t="str">
        <f>IF($C26=MAX($C$8:$C$56),SUM($H$8:$H26),IFERROR($G27*$F27,""))</f>
        <v/>
      </c>
      <c r="I27" s="54" t="str">
        <f t="shared" si="2"/>
        <v/>
      </c>
      <c r="L27" s="31"/>
    </row>
    <row r="28" spans="1:12" s="29" customFormat="1" ht="14.25" customHeight="1" x14ac:dyDescent="0.25">
      <c r="A28" s="150" t="s">
        <v>310</v>
      </c>
      <c r="B28" s="150"/>
      <c r="C28" s="30" t="str">
        <f t="shared" si="0"/>
        <v/>
      </c>
      <c r="D28" s="147" t="str">
        <f>IFERROR(VLOOKUP($A28,Sheet1!$A$1:$B$80,2,0),"")</f>
        <v/>
      </c>
      <c r="E28" s="30" t="str">
        <f>IFERROR(VLOOKUP($A28,'Tổng Đơn'!$A$5:$E$52,5,0),"")</f>
        <v/>
      </c>
      <c r="F28" s="30" t="str">
        <f t="shared" si="1"/>
        <v/>
      </c>
      <c r="G28" s="155" t="str">
        <f>IF(AND($C28="",$C27&lt;&gt;""),"Tổng Cộng",IFERROR(VLOOKUP($A28,Sheet1!$A$1:$D$80,4,0),""))</f>
        <v/>
      </c>
      <c r="H28" s="148" t="str">
        <f>IF($C27=MAX($C$8:$C$56),SUM($H$8:$H27),IFERROR($G28*$F28,""))</f>
        <v/>
      </c>
      <c r="I28" s="54" t="str">
        <f t="shared" si="2"/>
        <v/>
      </c>
      <c r="L28" s="31"/>
    </row>
    <row r="29" spans="1:12" s="29" customFormat="1" ht="14.25" customHeight="1" x14ac:dyDescent="0.25">
      <c r="A29" s="150" t="s">
        <v>310</v>
      </c>
      <c r="B29" s="150"/>
      <c r="C29" s="30" t="str">
        <f t="shared" si="0"/>
        <v/>
      </c>
      <c r="D29" s="147" t="str">
        <f>IFERROR(VLOOKUP($A29,Sheet1!$A$1:$B$80,2,0),"")</f>
        <v/>
      </c>
      <c r="E29" s="30" t="str">
        <f>IFERROR(VLOOKUP($A29,'Tổng Đơn'!$A$5:$E$52,5,0),"")</f>
        <v/>
      </c>
      <c r="F29" s="30" t="str">
        <f t="shared" si="1"/>
        <v/>
      </c>
      <c r="G29" s="155" t="str">
        <f>IF(AND($C29="",$C28&lt;&gt;""),"Tổng Cộng",IFERROR(VLOOKUP($A29,Sheet1!$A$1:$D$80,4,0),""))</f>
        <v/>
      </c>
      <c r="H29" s="148" t="str">
        <f>IF($C28=MAX($C$8:$C$56),SUM($H$8:$H28),IFERROR($G29*$F29,""))</f>
        <v/>
      </c>
      <c r="I29" s="54" t="str">
        <f t="shared" si="2"/>
        <v/>
      </c>
      <c r="L29" s="31"/>
    </row>
    <row r="30" spans="1:12" s="29" customFormat="1" ht="14.25" customHeight="1" x14ac:dyDescent="0.25">
      <c r="A30" s="150" t="s">
        <v>310</v>
      </c>
      <c r="B30" s="150"/>
      <c r="C30" s="30" t="str">
        <f t="shared" si="0"/>
        <v/>
      </c>
      <c r="D30" s="147" t="str">
        <f>IFERROR(VLOOKUP($A30,Sheet1!$A$1:$B$80,2,0),"")</f>
        <v/>
      </c>
      <c r="E30" s="30" t="str">
        <f>IFERROR(VLOOKUP($A30,'Tổng Đơn'!$A$5:$E$52,5,0),"")</f>
        <v/>
      </c>
      <c r="F30" s="30" t="str">
        <f t="shared" si="1"/>
        <v/>
      </c>
      <c r="G30" s="155" t="str">
        <f>IF(AND($C30="",$C29&lt;&gt;""),"Tổng Cộng",IFERROR(VLOOKUP($A30,Sheet1!$A$1:$D$80,4,0),""))</f>
        <v/>
      </c>
      <c r="H30" s="148" t="str">
        <f>IF($C29=MAX($C$8:$C$56),SUM($H$8:$H29),IFERROR($G30*$F30,""))</f>
        <v/>
      </c>
      <c r="I30" s="54" t="str">
        <f t="shared" si="2"/>
        <v/>
      </c>
      <c r="L30" s="31"/>
    </row>
    <row r="31" spans="1:12" s="29" customFormat="1" ht="14.25" customHeight="1" x14ac:dyDescent="0.25">
      <c r="A31" s="150" t="s">
        <v>310</v>
      </c>
      <c r="B31" s="150"/>
      <c r="C31" s="30" t="str">
        <f t="shared" si="0"/>
        <v/>
      </c>
      <c r="D31" s="147" t="str">
        <f>IFERROR(VLOOKUP($A31,Sheet1!$A$1:$B$80,2,0),"")</f>
        <v/>
      </c>
      <c r="E31" s="30" t="str">
        <f>IFERROR(VLOOKUP($A31,'Tổng Đơn'!$A$5:$E$52,5,0),"")</f>
        <v/>
      </c>
      <c r="F31" s="30" t="str">
        <f t="shared" si="1"/>
        <v/>
      </c>
      <c r="G31" s="155" t="str">
        <f>IF(AND($C31="",$C30&lt;&gt;""),"Tổng Cộng",IFERROR(VLOOKUP($A31,Sheet1!$A$1:$D$80,4,0),""))</f>
        <v/>
      </c>
      <c r="H31" s="148" t="str">
        <f>IF($C30=MAX($C$8:$C$56),SUM($H$8:$H30),IFERROR($G31*$F31,""))</f>
        <v/>
      </c>
      <c r="I31" s="54" t="str">
        <f t="shared" si="2"/>
        <v/>
      </c>
      <c r="L31" s="31"/>
    </row>
    <row r="32" spans="1:12" s="29" customFormat="1" ht="14.25" customHeight="1" x14ac:dyDescent="0.25">
      <c r="A32" s="150" t="s">
        <v>310</v>
      </c>
      <c r="B32" s="150"/>
      <c r="C32" s="30" t="str">
        <f t="shared" si="0"/>
        <v/>
      </c>
      <c r="D32" s="147" t="str">
        <f>IFERROR(VLOOKUP($A32,Sheet1!$A$1:$B$80,2,0),"")</f>
        <v/>
      </c>
      <c r="E32" s="30" t="str">
        <f>IFERROR(VLOOKUP($A32,'Tổng Đơn'!$A$5:$E$52,5,0),"")</f>
        <v/>
      </c>
      <c r="F32" s="30" t="str">
        <f t="shared" si="1"/>
        <v/>
      </c>
      <c r="G32" s="155" t="str">
        <f>IF(AND($C32="",$C31&lt;&gt;""),"Tổng Cộng",IFERROR(VLOOKUP($A32,Sheet1!$A$1:$D$80,4,0),""))</f>
        <v/>
      </c>
      <c r="H32" s="148" t="str">
        <f>IF($C31=MAX($C$8:$C$56),SUM($H$8:$H31),IFERROR($G32*$F32,""))</f>
        <v/>
      </c>
      <c r="I32" s="54" t="str">
        <f t="shared" si="2"/>
        <v/>
      </c>
      <c r="L32" s="31"/>
    </row>
    <row r="33" spans="1:12" s="29" customFormat="1" ht="14.25" customHeight="1" x14ac:dyDescent="0.25">
      <c r="A33" s="150" t="s">
        <v>310</v>
      </c>
      <c r="B33" s="150"/>
      <c r="C33" s="30" t="str">
        <f t="shared" si="0"/>
        <v/>
      </c>
      <c r="D33" s="147" t="str">
        <f>IFERROR(VLOOKUP($A33,Sheet1!$A$1:$B$80,2,0),"")</f>
        <v/>
      </c>
      <c r="E33" s="30" t="str">
        <f>IFERROR(VLOOKUP($A33,'Tổng Đơn'!$A$5:$E$52,5,0),"")</f>
        <v/>
      </c>
      <c r="F33" s="30" t="str">
        <f t="shared" si="1"/>
        <v/>
      </c>
      <c r="G33" s="155" t="str">
        <f>IF(AND($C33="",$C32&lt;&gt;""),"Tổng Cộng",IFERROR(VLOOKUP($A33,Sheet1!$A$1:$D$80,4,0),""))</f>
        <v/>
      </c>
      <c r="H33" s="148" t="str">
        <f>IF($C32=MAX($C$8:$C$56),SUM($H$8:$H32),IFERROR($G33*$F33,""))</f>
        <v/>
      </c>
      <c r="I33" s="54" t="str">
        <f t="shared" si="2"/>
        <v/>
      </c>
      <c r="L33" s="31"/>
    </row>
    <row r="34" spans="1:12" s="29" customFormat="1" ht="14.25" customHeight="1" x14ac:dyDescent="0.25">
      <c r="A34" s="150" t="s">
        <v>310</v>
      </c>
      <c r="B34" s="150"/>
      <c r="C34" s="30" t="str">
        <f t="shared" si="0"/>
        <v/>
      </c>
      <c r="D34" s="147" t="str">
        <f>IFERROR(VLOOKUP($A34,Sheet1!$A$1:$B$80,2,0),"")</f>
        <v/>
      </c>
      <c r="E34" s="30" t="str">
        <f>IFERROR(VLOOKUP($A34,'Tổng Đơn'!$A$5:$E$52,5,0),"")</f>
        <v/>
      </c>
      <c r="F34" s="30" t="str">
        <f t="shared" si="1"/>
        <v/>
      </c>
      <c r="G34" s="155" t="str">
        <f>IF(AND($C34="",$C33&lt;&gt;""),"Tổng Cộng",IFERROR(VLOOKUP($A34,Sheet1!$A$1:$D$80,4,0),""))</f>
        <v/>
      </c>
      <c r="H34" s="148" t="str">
        <f>IF($C33=MAX($C$8:$C$56),SUM($H$8:$H33),IFERROR($G34*$F34,""))</f>
        <v/>
      </c>
      <c r="I34" s="54" t="str">
        <f t="shared" si="2"/>
        <v/>
      </c>
      <c r="L34" s="31"/>
    </row>
    <row r="35" spans="1:12" s="29" customFormat="1" ht="14.25" customHeight="1" x14ac:dyDescent="0.25">
      <c r="A35" s="150" t="s">
        <v>310</v>
      </c>
      <c r="B35" s="150"/>
      <c r="C35" s="30" t="str">
        <f t="shared" si="0"/>
        <v/>
      </c>
      <c r="D35" s="147" t="str">
        <f>IFERROR(VLOOKUP($A35,Sheet1!$A$1:$B$80,2,0),"")</f>
        <v/>
      </c>
      <c r="E35" s="30" t="str">
        <f>IFERROR(VLOOKUP($A35,'Tổng Đơn'!$A$5:$E$52,5,0),"")</f>
        <v/>
      </c>
      <c r="F35" s="30" t="str">
        <f t="shared" si="1"/>
        <v/>
      </c>
      <c r="G35" s="155" t="str">
        <f>IF(AND($C35="",$C34&lt;&gt;""),"Tổng Cộng",IFERROR(VLOOKUP($A35,Sheet1!$A$1:$D$80,4,0),""))</f>
        <v/>
      </c>
      <c r="H35" s="148" t="str">
        <f>IF($C34=MAX($C$8:$C$56),SUM($H$8:$H34),IFERROR($G35*$F35,""))</f>
        <v/>
      </c>
      <c r="I35" s="54" t="str">
        <f t="shared" si="2"/>
        <v/>
      </c>
      <c r="L35" s="31"/>
    </row>
    <row r="36" spans="1:12" s="29" customFormat="1" ht="14.25" customHeight="1" x14ac:dyDescent="0.25">
      <c r="A36" s="150" t="s">
        <v>310</v>
      </c>
      <c r="B36" s="150"/>
      <c r="C36" s="30" t="str">
        <f t="shared" si="0"/>
        <v/>
      </c>
      <c r="D36" s="147" t="str">
        <f>IFERROR(VLOOKUP($A36,Sheet1!$A$1:$B$80,2,0),"")</f>
        <v/>
      </c>
      <c r="E36" s="30" t="str">
        <f>IFERROR(VLOOKUP($A36,'Tổng Đơn'!$A$5:$E$52,5,0),"")</f>
        <v/>
      </c>
      <c r="F36" s="30" t="str">
        <f t="shared" si="1"/>
        <v/>
      </c>
      <c r="G36" s="155" t="str">
        <f>IF(AND($C36="",$C35&lt;&gt;""),"Tổng Cộng",IFERROR(VLOOKUP($A36,Sheet1!$A$1:$D$80,4,0),""))</f>
        <v/>
      </c>
      <c r="H36" s="148" t="str">
        <f>IF($C35=MAX($C$8:$C$56),SUM($H$8:$H35),IFERROR($G36*$F36,""))</f>
        <v/>
      </c>
      <c r="I36" s="54" t="str">
        <f t="shared" si="2"/>
        <v/>
      </c>
      <c r="L36" s="31"/>
    </row>
    <row r="37" spans="1:12" s="29" customFormat="1" ht="14.25" customHeight="1" x14ac:dyDescent="0.25">
      <c r="A37" s="150" t="s">
        <v>310</v>
      </c>
      <c r="B37" s="150"/>
      <c r="C37" s="30" t="str">
        <f t="shared" si="0"/>
        <v/>
      </c>
      <c r="D37" s="147" t="str">
        <f>IFERROR(VLOOKUP($A37,Sheet1!$A$1:$B$80,2,0),"")</f>
        <v/>
      </c>
      <c r="E37" s="30" t="str">
        <f>IFERROR(VLOOKUP($A37,'Tổng Đơn'!$A$5:$E$52,5,0),"")</f>
        <v/>
      </c>
      <c r="F37" s="30" t="str">
        <f t="shared" si="1"/>
        <v/>
      </c>
      <c r="G37" s="155" t="str">
        <f>IF(AND($C37="",$C36&lt;&gt;""),"Tổng Cộng",IFERROR(VLOOKUP($A37,Sheet1!$A$1:$D$80,4,0),""))</f>
        <v/>
      </c>
      <c r="H37" s="148" t="str">
        <f>IF($C36=MAX($C$8:$C$56),SUM($H$8:$H36),IFERROR($G37*$F37,""))</f>
        <v/>
      </c>
      <c r="I37" s="54" t="str">
        <f t="shared" si="2"/>
        <v/>
      </c>
      <c r="L37" s="31"/>
    </row>
    <row r="38" spans="1:12" s="29" customFormat="1" ht="14.25" customHeight="1" x14ac:dyDescent="0.25">
      <c r="A38" s="150"/>
      <c r="B38" s="150"/>
      <c r="C38" s="33"/>
      <c r="D38" s="34"/>
      <c r="E38" s="52"/>
      <c r="F38" s="30"/>
      <c r="G38" s="156" t="str">
        <f>IF(AND($C38="",$C37&lt;&gt;""),"Tổng Cộng",IFERROR(VLOOKUP($A38,Sheet1!$A$1:$D$80,4,0),""))</f>
        <v/>
      </c>
      <c r="H38" s="35" t="str">
        <f>IF($C37=MAX($C$8:$C$56),SUM($H$8:$H37),IFERROR($G38*$F38,""))</f>
        <v/>
      </c>
      <c r="I38" s="54"/>
      <c r="L38" s="31"/>
    </row>
    <row r="39" spans="1:12" ht="15" customHeight="1" x14ac:dyDescent="0.25">
      <c r="F39" s="36"/>
      <c r="G39" s="139"/>
      <c r="H39" s="37"/>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C38:E38 D23:E37 F23:H38">
    <cfRule type="expression" dxfId="119" priority="22">
      <formula>$C22=MAX($C$8:$C$37)</formula>
    </cfRule>
  </conditionalFormatting>
  <conditionalFormatting sqref="C23:C37">
    <cfRule type="expression" dxfId="118" priority="21">
      <formula>$C22=MAX($C$8:$C$37)</formula>
    </cfRule>
  </conditionalFormatting>
  <conditionalFormatting sqref="E23:E38">
    <cfRule type="expression" dxfId="117" priority="23">
      <formula>AND($A23="",$F23&lt;&gt;"")</formula>
    </cfRule>
  </conditionalFormatting>
  <conditionalFormatting sqref="F23:F38">
    <cfRule type="expression" dxfId="116" priority="24">
      <formula>AND($F23="",$A23&lt;&gt;"")</formula>
    </cfRule>
  </conditionalFormatting>
  <conditionalFormatting sqref="D20:H22">
    <cfRule type="expression" dxfId="115" priority="18">
      <formula>$C19=MAX($C$8:$C$37)</formula>
    </cfRule>
  </conditionalFormatting>
  <conditionalFormatting sqref="C20:C22">
    <cfRule type="expression" dxfId="114" priority="17">
      <formula>$C19=MAX($C$8:$C$37)</formula>
    </cfRule>
  </conditionalFormatting>
  <conditionalFormatting sqref="E20:E22">
    <cfRule type="expression" dxfId="113" priority="19">
      <formula>AND($A20="",$F20&lt;&gt;"")</formula>
    </cfRule>
  </conditionalFormatting>
  <conditionalFormatting sqref="F20:F22">
    <cfRule type="expression" dxfId="112" priority="20">
      <formula>AND($F20="",$A20&lt;&gt;"")</formula>
    </cfRule>
  </conditionalFormatting>
  <conditionalFormatting sqref="D15:H19 D12:F14 H12:H14">
    <cfRule type="expression" dxfId="111" priority="14">
      <formula>$C11=MAX($C$8:$C$37)</formula>
    </cfRule>
  </conditionalFormatting>
  <conditionalFormatting sqref="C12:C19">
    <cfRule type="expression" dxfId="110" priority="13">
      <formula>$C11=MAX($C$8:$C$37)</formula>
    </cfRule>
  </conditionalFormatting>
  <conditionalFormatting sqref="E12:E19">
    <cfRule type="expression" dxfId="109" priority="15">
      <formula>AND($A12="",$F12&lt;&gt;"")</formula>
    </cfRule>
  </conditionalFormatting>
  <conditionalFormatting sqref="F12:F19">
    <cfRule type="expression" dxfId="108" priority="16">
      <formula>AND($F12="",$A12&lt;&gt;"")</formula>
    </cfRule>
  </conditionalFormatting>
  <conditionalFormatting sqref="G12:G14">
    <cfRule type="expression" dxfId="107" priority="12">
      <formula>$C11=MAX($C$8:$C$37)</formula>
    </cfRule>
  </conditionalFormatting>
  <conditionalFormatting sqref="D9:F11 H9:H11">
    <cfRule type="expression" dxfId="106" priority="9">
      <formula>$C8=MAX($C$8:$C$37)</formula>
    </cfRule>
  </conditionalFormatting>
  <conditionalFormatting sqref="C9:C11">
    <cfRule type="expression" dxfId="105" priority="8">
      <formula>$C8=MAX($C$8:$C$37)</formula>
    </cfRule>
  </conditionalFormatting>
  <conditionalFormatting sqref="E9:E11">
    <cfRule type="expression" dxfId="104" priority="10">
      <formula>AND($A9="",$F9&lt;&gt;"")</formula>
    </cfRule>
  </conditionalFormatting>
  <conditionalFormatting sqref="F9:F11">
    <cfRule type="expression" dxfId="103" priority="11">
      <formula>AND($F9="",$A9&lt;&gt;"")</formula>
    </cfRule>
  </conditionalFormatting>
  <conditionalFormatting sqref="D8:F8">
    <cfRule type="expression" dxfId="102" priority="5">
      <formula>$C7=MAX($C$8:$C$37)</formula>
    </cfRule>
  </conditionalFormatting>
  <conditionalFormatting sqref="C8">
    <cfRule type="expression" dxfId="101" priority="4">
      <formula>$C7=MAX($C$8:$C$37)</formula>
    </cfRule>
  </conditionalFormatting>
  <conditionalFormatting sqref="E8">
    <cfRule type="expression" dxfId="100" priority="6">
      <formula>AND($A8="",$F8&lt;&gt;"")</formula>
    </cfRule>
  </conditionalFormatting>
  <conditionalFormatting sqref="F8">
    <cfRule type="expression" dxfId="99" priority="7">
      <formula>AND($F8="",$A8&lt;&gt;"")</formula>
    </cfRule>
  </conditionalFormatting>
  <conditionalFormatting sqref="H8">
    <cfRule type="expression" dxfId="98" priority="3">
      <formula>$C7=MAX($C$8:$C$37)</formula>
    </cfRule>
  </conditionalFormatting>
  <conditionalFormatting sqref="G9:G11">
    <cfRule type="expression" dxfId="97" priority="2">
      <formula>$C8=MAX($C$8:$C$37)</formula>
    </cfRule>
  </conditionalFormatting>
  <conditionalFormatting sqref="G8">
    <cfRule type="expression" dxfId="96" priority="1">
      <formula>$C7=MAX($C$8:$C$37)</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1533953" r:id="rId4" name="Button 1">
              <controlPr defaultSize="0" print="0" autoFill="0" autoPict="0" macro="[0]!Macro4">
                <anchor moveWithCells="1" sizeWithCells="1">
                  <from>
                    <xdr:col>0</xdr:col>
                    <xdr:colOff>0</xdr:colOff>
                    <xdr:row>0</xdr:row>
                    <xdr:rowOff>0</xdr:rowOff>
                  </from>
                  <to>
                    <xdr:col>1</xdr:col>
                    <xdr:colOff>769620</xdr:colOff>
                    <xdr:row>7</xdr:row>
                    <xdr:rowOff>0</xdr:rowOff>
                  </to>
                </anchor>
              </controlPr>
            </control>
          </mc:Choice>
        </mc:AlternateContent>
      </controls>
    </mc:Choice>
  </mc:AlternateContent>
</worksheet>
</file>

<file path=xl/worksheets/sheet3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BFDA81B-F179-4CF9-9688-F4E1C96836BD}">
  <sheetPr codeName="Sheet37">
    <tabColor theme="1"/>
    <pageSetUpPr fitToPage="1"/>
  </sheetPr>
  <dimension ref="A1:N53"/>
  <sheetViews>
    <sheetView zoomScaleNormal="100" workbookViewId="0">
      <pane ySplit="7" topLeftCell="A8" activePane="bottomLeft" state="frozen"/>
      <selection activeCell="Q2" sqref="Q2"/>
      <selection pane="bottomLeft" activeCell="D7" sqref="D7"/>
    </sheetView>
  </sheetViews>
  <sheetFormatPr defaultColWidth="9.09765625" defaultRowHeight="13.8" x14ac:dyDescent="0.25"/>
  <cols>
    <col min="1" max="1" width="11.69921875" style="14" customWidth="1"/>
    <col min="2" max="2" width="11.296875" style="14" customWidth="1"/>
    <col min="3" max="3" width="9.09765625" style="14"/>
    <col min="4" max="4" width="38.3984375" style="14" bestFit="1" customWidth="1"/>
    <col min="5" max="5" width="12.296875" style="53" bestFit="1" customWidth="1"/>
    <col min="6" max="6" width="11" style="14" customWidth="1"/>
    <col min="7" max="7" width="17.8984375" style="14" customWidth="1"/>
    <col min="8" max="8" width="17.8984375" style="15" customWidth="1"/>
    <col min="9" max="9" width="21.8984375" style="14" customWidth="1"/>
    <col min="10" max="10" width="10.09765625" style="14" customWidth="1"/>
    <col min="11" max="11" width="9.09765625" style="14"/>
    <col min="12" max="12" width="11.69921875" style="14" customWidth="1"/>
    <col min="13" max="14" width="10.09765625" style="14" bestFit="1" customWidth="1"/>
    <col min="15" max="16384" width="9.09765625" style="14"/>
  </cols>
  <sheetData>
    <row r="1" spans="1:14" ht="15.75" customHeight="1" x14ac:dyDescent="0.25">
      <c r="C1" s="268" t="s">
        <v>164</v>
      </c>
      <c r="D1" s="268"/>
      <c r="E1" s="268"/>
      <c r="F1" s="268"/>
      <c r="G1" s="268"/>
      <c r="H1" s="268"/>
    </row>
    <row r="2" spans="1:14" ht="15.75" customHeight="1" x14ac:dyDescent="0.25">
      <c r="C2" s="268"/>
      <c r="D2" s="268"/>
      <c r="E2" s="268"/>
      <c r="F2" s="268"/>
      <c r="G2" s="268"/>
      <c r="H2" s="268"/>
    </row>
    <row r="3" spans="1:14" ht="15" customHeight="1" x14ac:dyDescent="0.25">
      <c r="C3" s="269" t="s">
        <v>166</v>
      </c>
      <c r="D3" s="269"/>
      <c r="E3" s="269"/>
      <c r="F3" s="270" t="s">
        <v>168</v>
      </c>
      <c r="G3" s="270"/>
      <c r="H3" s="270"/>
    </row>
    <row r="4" spans="1:14" x14ac:dyDescent="0.25">
      <c r="C4" s="269" t="s">
        <v>167</v>
      </c>
      <c r="D4" s="269"/>
      <c r="E4" s="269"/>
      <c r="F4" s="271" t="s">
        <v>169</v>
      </c>
      <c r="G4" s="271"/>
      <c r="H4" s="271"/>
    </row>
    <row r="5" spans="1:14" s="140" customFormat="1" ht="21" customHeight="1" x14ac:dyDescent="0.25">
      <c r="C5" s="272" t="s">
        <v>165</v>
      </c>
      <c r="D5" s="272"/>
      <c r="E5" s="272"/>
      <c r="F5" s="272"/>
      <c r="G5" s="272"/>
      <c r="H5" s="272"/>
    </row>
    <row r="6" spans="1:14" s="140" customFormat="1" ht="16.5" customHeight="1" x14ac:dyDescent="0.25">
      <c r="C6" s="149" t="s">
        <v>170</v>
      </c>
      <c r="D6" s="152" t="s">
        <v>313</v>
      </c>
      <c r="E6" s="145"/>
      <c r="F6" s="145"/>
      <c r="G6" s="267" t="str">
        <f ca="1">"Ngày "&amp;DAY(TODAY())&amp;" Tháng "&amp;MONTH(TODAY())&amp;" Năm "&amp;YEAR(TODAY())</f>
        <v>Ngày 22 Tháng 1 Năm 2023</v>
      </c>
      <c r="H6" s="267"/>
    </row>
    <row r="7" spans="1:14" s="144" customFormat="1" ht="24" customHeight="1" x14ac:dyDescent="0.25">
      <c r="A7" s="141" t="s">
        <v>101</v>
      </c>
      <c r="B7" s="141" t="s">
        <v>15</v>
      </c>
      <c r="C7" s="142" t="s">
        <v>0</v>
      </c>
      <c r="D7" s="142" t="s">
        <v>16</v>
      </c>
      <c r="E7" s="146" t="str">
        <f>"Quy cách"&amp;CHAR(10)&amp;"(Kg)"</f>
        <v>Quy cách
(Kg)</v>
      </c>
      <c r="F7" s="142" t="s">
        <v>15</v>
      </c>
      <c r="G7" s="142" t="s">
        <v>17</v>
      </c>
      <c r="H7" s="142" t="s">
        <v>18</v>
      </c>
      <c r="I7" s="143">
        <f>SUBTOTAL(9,I8:I37)</f>
        <v>0.5</v>
      </c>
      <c r="L7" s="140"/>
    </row>
    <row r="8" spans="1:14" s="29" customFormat="1" ht="14.25" customHeight="1" x14ac:dyDescent="0.25">
      <c r="A8" s="150">
        <v>18</v>
      </c>
      <c r="B8" s="150">
        <v>1</v>
      </c>
      <c r="C8" s="30">
        <f t="shared" ref="C8:C37" si="0">IF(OR(SUM($C7,$A8&lt;&gt;"")=0,$A8=""),"",SUM($C7,$A8&lt;&gt;""))</f>
        <v>1</v>
      </c>
      <c r="D8" s="147" t="str">
        <f>IFERROR(VLOOKUP($A8,Sheet1!$A$1:$B$80,2,0),"")</f>
        <v>Chả giò Rế tôm mực LC</v>
      </c>
      <c r="E8" s="30">
        <f>IFERROR(VLOOKUP($A8,'Tổng Đơn'!$A$5:$E$52,5,0),"")</f>
        <v>0.5</v>
      </c>
      <c r="F8" s="30">
        <f t="shared" ref="F8:F37" si="1">IF($B8="","",B8)</f>
        <v>1</v>
      </c>
      <c r="G8" s="155">
        <f>IFERROR(VLOOKUP($A8,Sheet1!$A1:$D$80,4,0),"")</f>
        <v>50000</v>
      </c>
      <c r="H8" s="148">
        <f>IF($C7=MAX($C$8:$C$56),SUM($H7:$H$8),IFERROR($G8*$F8,""))</f>
        <v>50000</v>
      </c>
      <c r="I8" s="54">
        <f t="shared" ref="I8:I37" si="2">IF(TYPE($A8)&lt;&gt;1,"",IFERROR(F8*E8,""))</f>
        <v>0.5</v>
      </c>
      <c r="L8" s="32"/>
    </row>
    <row r="9" spans="1:14" s="29" customFormat="1" ht="14.25" customHeight="1" x14ac:dyDescent="0.25">
      <c r="A9" s="150" t="s">
        <v>310</v>
      </c>
      <c r="B9" s="150"/>
      <c r="C9" s="30" t="str">
        <f t="shared" si="0"/>
        <v/>
      </c>
      <c r="D9" s="147" t="str">
        <f>IFERROR(VLOOKUP($A9,Sheet1!$A$1:$B$80,2,0),"")</f>
        <v/>
      </c>
      <c r="E9" s="30" t="str">
        <f>IFERROR(VLOOKUP($A9,'Tổng Đơn'!$A$5:$E$52,5,0),"")</f>
        <v/>
      </c>
      <c r="F9" s="30" t="str">
        <f t="shared" si="1"/>
        <v/>
      </c>
      <c r="G9" s="155" t="str">
        <f>IF(AND($C9="",$C8&lt;&gt;""),"Tổng Cộng",IFERROR(VLOOKUP($A9,Sheet1!$A$1:$D$80,4,0),""))</f>
        <v>Tổng Cộng</v>
      </c>
      <c r="H9" s="148">
        <f>IF($C8=MAX($C$8:$C$56),SUM($H$8:$H8),IFERROR($G9*$F9,""))</f>
        <v>50000</v>
      </c>
      <c r="I9" s="54" t="str">
        <f t="shared" si="2"/>
        <v/>
      </c>
      <c r="L9" s="31"/>
    </row>
    <row r="10" spans="1:14" s="29" customFormat="1" ht="14.25" customHeight="1" x14ac:dyDescent="0.25">
      <c r="A10" s="150" t="s">
        <v>310</v>
      </c>
      <c r="B10" s="150"/>
      <c r="C10" s="30" t="str">
        <f t="shared" si="0"/>
        <v/>
      </c>
      <c r="D10" s="147" t="str">
        <f>IFERROR(VLOOKUP($A10,Sheet1!$A$1:$B$80,2,0),"")</f>
        <v/>
      </c>
      <c r="E10" s="30" t="str">
        <f>IFERROR(VLOOKUP($A10,'Tổng Đơn'!$A$5:$E$52,5,0),"")</f>
        <v/>
      </c>
      <c r="F10" s="30" t="str">
        <f t="shared" si="1"/>
        <v/>
      </c>
      <c r="G10" s="155" t="str">
        <f>IF(AND($C10="",$C9&lt;&gt;""),"Tổng Cộng",IFERROR(VLOOKUP($A10,Sheet1!$A$1:$D$80,4,0),""))</f>
        <v/>
      </c>
      <c r="H10" s="148" t="str">
        <f>IF($C9=MAX($C$8:$C$56),SUM($H$8:$H9),IFERROR($G10*$F10,""))</f>
        <v/>
      </c>
      <c r="I10" s="54" t="str">
        <f t="shared" si="2"/>
        <v/>
      </c>
      <c r="L10" s="31"/>
    </row>
    <row r="11" spans="1:14" s="29" customFormat="1" ht="14.25" customHeight="1" x14ac:dyDescent="0.25">
      <c r="A11" s="150" t="s">
        <v>310</v>
      </c>
      <c r="B11" s="150"/>
      <c r="C11" s="30" t="str">
        <f t="shared" si="0"/>
        <v/>
      </c>
      <c r="D11" s="147" t="str">
        <f>IFERROR(VLOOKUP($A11,Sheet1!$A$1:$B$80,2,0),"")</f>
        <v/>
      </c>
      <c r="E11" s="30" t="str">
        <f>IFERROR(VLOOKUP($A11,'Tổng Đơn'!$A$5:$E$52,5,0),"")</f>
        <v/>
      </c>
      <c r="F11" s="30" t="str">
        <f t="shared" si="1"/>
        <v/>
      </c>
      <c r="G11" s="155" t="str">
        <f>IF(AND($C11="",$C10&lt;&gt;""),"Tổng Cộng",IFERROR(VLOOKUP($A11,Sheet1!$A$1:$D$80,4,0),""))</f>
        <v/>
      </c>
      <c r="H11" s="148" t="str">
        <f>IF($C10=MAX($C$8:$C$56),SUM($H$8:$H10),IFERROR($G11*$F11,""))</f>
        <v/>
      </c>
      <c r="I11" s="54" t="str">
        <f t="shared" si="2"/>
        <v/>
      </c>
      <c r="L11" s="31"/>
    </row>
    <row r="12" spans="1:14" s="29" customFormat="1" ht="14.25" customHeight="1" x14ac:dyDescent="0.25">
      <c r="A12" s="150" t="s">
        <v>310</v>
      </c>
      <c r="B12" s="150"/>
      <c r="C12" s="30" t="str">
        <f t="shared" si="0"/>
        <v/>
      </c>
      <c r="D12" s="147" t="str">
        <f>IFERROR(VLOOKUP($A12,Sheet1!$A$1:$B$80,2,0),"")</f>
        <v/>
      </c>
      <c r="E12" s="30" t="str">
        <f>IFERROR(VLOOKUP($A12,'Tổng Đơn'!$A$5:$E$52,5,0),"")</f>
        <v/>
      </c>
      <c r="F12" s="30" t="str">
        <f t="shared" si="1"/>
        <v/>
      </c>
      <c r="G12" s="155" t="str">
        <f>IF(AND($C12="",$C11&lt;&gt;""),"Tổng Cộng",IFERROR(VLOOKUP($A12,Sheet1!$A$1:$D$80,4,0),""))</f>
        <v/>
      </c>
      <c r="H12" s="148" t="str">
        <f>IF($C11=MAX($C$8:$C$56),SUM($H$8:$H11),IFERROR($G12*$F12,""))</f>
        <v/>
      </c>
      <c r="I12" s="54" t="str">
        <f t="shared" si="2"/>
        <v/>
      </c>
      <c r="J12" s="125"/>
      <c r="L12" s="31"/>
      <c r="N12" s="126"/>
    </row>
    <row r="13" spans="1:14" s="29" customFormat="1" ht="14.25" customHeight="1" x14ac:dyDescent="0.25">
      <c r="A13" s="150" t="s">
        <v>310</v>
      </c>
      <c r="B13" s="150"/>
      <c r="C13" s="30" t="str">
        <f t="shared" si="0"/>
        <v/>
      </c>
      <c r="D13" s="147" t="str">
        <f>IFERROR(VLOOKUP($A13,Sheet1!$A$1:$B$80,2,0),"")</f>
        <v/>
      </c>
      <c r="E13" s="30" t="str">
        <f>IFERROR(VLOOKUP($A13,'Tổng Đơn'!$A$5:$E$52,5,0),"")</f>
        <v/>
      </c>
      <c r="F13" s="30" t="str">
        <f t="shared" si="1"/>
        <v/>
      </c>
      <c r="G13" s="155" t="str">
        <f>IF(AND($C13="",$C12&lt;&gt;""),"Tổng Cộng",IFERROR(VLOOKUP($A13,Sheet1!$A$1:$D$80,4,0),""))</f>
        <v/>
      </c>
      <c r="H13" s="148" t="str">
        <f>IF($C12=MAX($C$8:$C$56),SUM($H$8:$H12),IFERROR($G13*$F13,""))</f>
        <v/>
      </c>
      <c r="I13" s="54" t="str">
        <f t="shared" si="2"/>
        <v/>
      </c>
      <c r="L13" s="31"/>
    </row>
    <row r="14" spans="1:14" s="29" customFormat="1" ht="14.25" customHeight="1" x14ac:dyDescent="0.25">
      <c r="A14" s="150" t="s">
        <v>310</v>
      </c>
      <c r="B14" s="150"/>
      <c r="C14" s="30" t="str">
        <f t="shared" si="0"/>
        <v/>
      </c>
      <c r="D14" s="147" t="str">
        <f>IFERROR(VLOOKUP($A14,Sheet1!$A$1:$B$80,2,0),"")</f>
        <v/>
      </c>
      <c r="E14" s="30" t="str">
        <f>IFERROR(VLOOKUP($A14,'Tổng Đơn'!$A$5:$E$52,5,0),"")</f>
        <v/>
      </c>
      <c r="F14" s="30" t="str">
        <f t="shared" si="1"/>
        <v/>
      </c>
      <c r="G14" s="155" t="str">
        <f>IF(AND($C14="",$C13&lt;&gt;""),"Tổng Cộng",IFERROR(VLOOKUP($A14,Sheet1!$A$1:$D$80,4,0),""))</f>
        <v/>
      </c>
      <c r="H14" s="148" t="str">
        <f>IF($C13=MAX($C$8:$C$56),SUM($H$8:$H13),IFERROR($G14*$F14,""))</f>
        <v/>
      </c>
      <c r="I14" s="54" t="str">
        <f t="shared" si="2"/>
        <v/>
      </c>
      <c r="L14" s="31"/>
      <c r="M14" s="132"/>
    </row>
    <row r="15" spans="1:14" s="29" customFormat="1" ht="14.25" customHeight="1" x14ac:dyDescent="0.25">
      <c r="A15" s="150" t="s">
        <v>310</v>
      </c>
      <c r="B15" s="150"/>
      <c r="C15" s="30" t="str">
        <f t="shared" si="0"/>
        <v/>
      </c>
      <c r="D15" s="147" t="str">
        <f>IFERROR(VLOOKUP($A15,Sheet1!$A$1:$B$80,2,0),"")</f>
        <v/>
      </c>
      <c r="E15" s="30" t="str">
        <f>IFERROR(VLOOKUP($A15,'Tổng Đơn'!$A$5:$E$52,5,0),"")</f>
        <v/>
      </c>
      <c r="F15" s="30" t="str">
        <f t="shared" si="1"/>
        <v/>
      </c>
      <c r="G15" s="155" t="str">
        <f>IF(AND($C15="",$C14&lt;&gt;""),"Tổng Cộng",IFERROR(VLOOKUP($A15,Sheet1!$A$1:$D$80,4,0),""))</f>
        <v/>
      </c>
      <c r="H15" s="148" t="str">
        <f>IF($C14=MAX($C$8:$C$56),SUM($H$8:$H14),IFERROR($G15*$F15,""))</f>
        <v/>
      </c>
      <c r="I15" s="54" t="str">
        <f t="shared" si="2"/>
        <v/>
      </c>
      <c r="L15" s="31"/>
    </row>
    <row r="16" spans="1:14" s="29" customFormat="1" ht="14.25" customHeight="1" x14ac:dyDescent="0.25">
      <c r="A16" s="150" t="s">
        <v>310</v>
      </c>
      <c r="B16" s="150"/>
      <c r="C16" s="30" t="str">
        <f t="shared" si="0"/>
        <v/>
      </c>
      <c r="D16" s="147" t="str">
        <f>IFERROR(VLOOKUP($A16,Sheet1!$A$1:$B$80,2,0),"")</f>
        <v/>
      </c>
      <c r="E16" s="30" t="str">
        <f>IFERROR(VLOOKUP($A16,'Tổng Đơn'!$A$5:$E$52,5,0),"")</f>
        <v/>
      </c>
      <c r="F16" s="30" t="str">
        <f t="shared" si="1"/>
        <v/>
      </c>
      <c r="G16" s="155" t="str">
        <f>IF(AND($C16="",$C15&lt;&gt;""),"Tổng Cộng",IFERROR(VLOOKUP($A16,Sheet1!$A$1:$D$80,4,0),""))</f>
        <v/>
      </c>
      <c r="H16" s="148" t="str">
        <f>IF($C15=MAX($C$8:$C$56),SUM($H$8:$H15),IFERROR($G16*$F16,""))</f>
        <v/>
      </c>
      <c r="I16" s="54" t="str">
        <f t="shared" si="2"/>
        <v/>
      </c>
      <c r="L16" s="31"/>
    </row>
    <row r="17" spans="1:12" s="29" customFormat="1" ht="14.25" customHeight="1" x14ac:dyDescent="0.25">
      <c r="A17" s="150" t="s">
        <v>310</v>
      </c>
      <c r="B17" s="150"/>
      <c r="C17" s="30" t="str">
        <f t="shared" si="0"/>
        <v/>
      </c>
      <c r="D17" s="147" t="str">
        <f>IFERROR(VLOOKUP($A17,Sheet1!$A$1:$B$80,2,0),"")</f>
        <v/>
      </c>
      <c r="E17" s="30" t="str">
        <f>IFERROR(VLOOKUP($A17,'Tổng Đơn'!$A$5:$E$52,5,0),"")</f>
        <v/>
      </c>
      <c r="F17" s="30" t="str">
        <f t="shared" si="1"/>
        <v/>
      </c>
      <c r="G17" s="155" t="str">
        <f>IF(AND($C17="",$C16&lt;&gt;""),"Tổng Cộng",IFERROR(VLOOKUP($A17,Sheet1!$A$1:$D$80,4,0),""))</f>
        <v/>
      </c>
      <c r="H17" s="148" t="str">
        <f>IF($C16=MAX($C$8:$C$56),SUM($H$8:$H16),IFERROR($G17*$F17,""))</f>
        <v/>
      </c>
      <c r="I17" s="54" t="str">
        <f t="shared" si="2"/>
        <v/>
      </c>
      <c r="L17" s="31"/>
    </row>
    <row r="18" spans="1:12" s="29" customFormat="1" ht="14.25" customHeight="1" x14ac:dyDescent="0.25">
      <c r="A18" s="150" t="s">
        <v>310</v>
      </c>
      <c r="B18" s="150"/>
      <c r="C18" s="30" t="str">
        <f t="shared" si="0"/>
        <v/>
      </c>
      <c r="D18" s="147" t="str">
        <f>IFERROR(VLOOKUP($A18,Sheet1!$A$1:$B$80,2,0),"")</f>
        <v/>
      </c>
      <c r="E18" s="30" t="str">
        <f>IFERROR(VLOOKUP($A18,'Tổng Đơn'!$A$5:$E$52,5,0),"")</f>
        <v/>
      </c>
      <c r="F18" s="30" t="str">
        <f t="shared" si="1"/>
        <v/>
      </c>
      <c r="G18" s="155" t="str">
        <f>IF(AND($C18="",$C17&lt;&gt;""),"Tổng Cộng",IFERROR(VLOOKUP($A18,Sheet1!$A$1:$D$80,4,0),""))</f>
        <v/>
      </c>
      <c r="H18" s="148" t="str">
        <f>IF($C17=MAX($C$8:$C$56),SUM($H$8:$H17),IFERROR($G18*$F18,""))</f>
        <v/>
      </c>
      <c r="I18" s="54" t="str">
        <f t="shared" si="2"/>
        <v/>
      </c>
      <c r="L18" s="31"/>
    </row>
    <row r="19" spans="1:12" s="29" customFormat="1" ht="14.25" customHeight="1" x14ac:dyDescent="0.25">
      <c r="A19" s="150" t="s">
        <v>310</v>
      </c>
      <c r="B19" s="150"/>
      <c r="C19" s="30" t="str">
        <f t="shared" si="0"/>
        <v/>
      </c>
      <c r="D19" s="147" t="str">
        <f>IFERROR(VLOOKUP($A19,Sheet1!$A$1:$B$80,2,0),"")</f>
        <v/>
      </c>
      <c r="E19" s="30" t="str">
        <f>IFERROR(VLOOKUP($A19,'Tổng Đơn'!$A$5:$E$52,5,0),"")</f>
        <v/>
      </c>
      <c r="F19" s="30" t="str">
        <f t="shared" si="1"/>
        <v/>
      </c>
      <c r="G19" s="155" t="str">
        <f>IF(AND($C19="",$C18&lt;&gt;""),"Tổng Cộng",IFERROR(VLOOKUP($A19,Sheet1!$A$1:$D$80,4,0),""))</f>
        <v/>
      </c>
      <c r="H19" s="148" t="str">
        <f>IF($C18=MAX($C$8:$C$56),SUM($H$8:$H18),IFERROR($G19*$F19,""))</f>
        <v/>
      </c>
      <c r="I19" s="54" t="str">
        <f t="shared" si="2"/>
        <v/>
      </c>
      <c r="L19" s="31"/>
    </row>
    <row r="20" spans="1:12" s="29" customFormat="1" ht="14.25" customHeight="1" x14ac:dyDescent="0.25">
      <c r="A20" s="150" t="s">
        <v>310</v>
      </c>
      <c r="B20" s="150"/>
      <c r="C20" s="30" t="str">
        <f t="shared" si="0"/>
        <v/>
      </c>
      <c r="D20" s="147" t="str">
        <f>IFERROR(VLOOKUP($A20,Sheet1!$A$1:$B$80,2,0),"")</f>
        <v/>
      </c>
      <c r="E20" s="30" t="str">
        <f>IFERROR(VLOOKUP($A20,'Tổng Đơn'!$A$5:$E$52,5,0),"")</f>
        <v/>
      </c>
      <c r="F20" s="30" t="str">
        <f t="shared" si="1"/>
        <v/>
      </c>
      <c r="G20" s="155" t="str">
        <f>IF(AND($C20="",$C19&lt;&gt;""),"Tổng Cộng",IFERROR(VLOOKUP($A20,Sheet1!$A$1:$D$80,4,0),""))</f>
        <v/>
      </c>
      <c r="H20" s="148" t="str">
        <f>IF($C19=MAX($C$8:$C$56),SUM($H$8:$H19),IFERROR($G20*$F20,""))</f>
        <v/>
      </c>
      <c r="I20" s="54" t="str">
        <f t="shared" si="2"/>
        <v/>
      </c>
      <c r="L20" s="31"/>
    </row>
    <row r="21" spans="1:12" s="29" customFormat="1" ht="14.25" customHeight="1" x14ac:dyDescent="0.25">
      <c r="A21" s="150" t="s">
        <v>310</v>
      </c>
      <c r="B21" s="150"/>
      <c r="C21" s="30" t="str">
        <f t="shared" si="0"/>
        <v/>
      </c>
      <c r="D21" s="147" t="str">
        <f>IFERROR(VLOOKUP($A21,Sheet1!$A$1:$B$80,2,0),"")</f>
        <v/>
      </c>
      <c r="E21" s="30" t="str">
        <f>IFERROR(VLOOKUP($A21,'Tổng Đơn'!$A$5:$E$52,5,0),"")</f>
        <v/>
      </c>
      <c r="F21" s="30" t="str">
        <f t="shared" si="1"/>
        <v/>
      </c>
      <c r="G21" s="155" t="str">
        <f>IF(AND($C21="",$C20&lt;&gt;""),"Tổng Cộng",IFERROR(VLOOKUP($A21,Sheet1!$A$1:$D$80,4,0),""))</f>
        <v/>
      </c>
      <c r="H21" s="148" t="str">
        <f>IF($C20=MAX($C$8:$C$56),SUM($H$8:$H20),IFERROR($G21*$F21,""))</f>
        <v/>
      </c>
      <c r="I21" s="54" t="str">
        <f t="shared" si="2"/>
        <v/>
      </c>
      <c r="L21" s="31"/>
    </row>
    <row r="22" spans="1:12" s="29" customFormat="1" ht="14.25" customHeight="1" x14ac:dyDescent="0.25">
      <c r="A22" s="150" t="s">
        <v>310</v>
      </c>
      <c r="B22" s="150"/>
      <c r="C22" s="30" t="str">
        <f t="shared" si="0"/>
        <v/>
      </c>
      <c r="D22" s="147" t="str">
        <f>IFERROR(VLOOKUP($A22,Sheet1!$A$1:$B$80,2,0),"")</f>
        <v/>
      </c>
      <c r="E22" s="30" t="str">
        <f>IFERROR(VLOOKUP($A22,'Tổng Đơn'!$A$5:$E$52,5,0),"")</f>
        <v/>
      </c>
      <c r="F22" s="30" t="str">
        <f t="shared" si="1"/>
        <v/>
      </c>
      <c r="G22" s="155" t="str">
        <f>IF(AND($C22="",$C21&lt;&gt;""),"Tổng Cộng",IFERROR(VLOOKUP($A22,Sheet1!$A$1:$D$80,4,0),""))</f>
        <v/>
      </c>
      <c r="H22" s="148" t="str">
        <f>IF($C21=MAX($C$8:$C$56),SUM($H$8:$H21),IFERROR($G22*$F22,""))</f>
        <v/>
      </c>
      <c r="I22" s="54" t="str">
        <f t="shared" si="2"/>
        <v/>
      </c>
      <c r="L22" s="31"/>
    </row>
    <row r="23" spans="1:12" s="29" customFormat="1" ht="14.25" customHeight="1" x14ac:dyDescent="0.25">
      <c r="A23" s="150" t="s">
        <v>310</v>
      </c>
      <c r="B23" s="150"/>
      <c r="C23" s="30" t="str">
        <f t="shared" si="0"/>
        <v/>
      </c>
      <c r="D23" s="147" t="str">
        <f>IFERROR(VLOOKUP($A23,Sheet1!$A$1:$B$80,2,0),"")</f>
        <v/>
      </c>
      <c r="E23" s="30" t="str">
        <f>IFERROR(VLOOKUP($A23,'Tổng Đơn'!$A$5:$E$52,5,0),"")</f>
        <v/>
      </c>
      <c r="F23" s="30" t="str">
        <f t="shared" si="1"/>
        <v/>
      </c>
      <c r="G23" s="155" t="str">
        <f>IF(AND($C23="",$C22&lt;&gt;""),"Tổng Cộng",IFERROR(VLOOKUP($A23,Sheet1!$A$1:$D$80,4,0),""))</f>
        <v/>
      </c>
      <c r="H23" s="148" t="str">
        <f>IF($C22=MAX($C$8:$C$56),SUM($H$8:$H22),IFERROR($G23*$F23,""))</f>
        <v/>
      </c>
      <c r="I23" s="54" t="str">
        <f t="shared" si="2"/>
        <v/>
      </c>
      <c r="L23" s="31"/>
    </row>
    <row r="24" spans="1:12" s="29" customFormat="1" ht="14.25" customHeight="1" x14ac:dyDescent="0.25">
      <c r="A24" s="150" t="s">
        <v>310</v>
      </c>
      <c r="B24" s="150"/>
      <c r="C24" s="30" t="str">
        <f t="shared" si="0"/>
        <v/>
      </c>
      <c r="D24" s="147" t="str">
        <f>IFERROR(VLOOKUP($A24,Sheet1!$A$1:$B$80,2,0),"")</f>
        <v/>
      </c>
      <c r="E24" s="30" t="str">
        <f>IFERROR(VLOOKUP($A24,'Tổng Đơn'!$A$5:$E$52,5,0),"")</f>
        <v/>
      </c>
      <c r="F24" s="30" t="str">
        <f t="shared" si="1"/>
        <v/>
      </c>
      <c r="G24" s="155" t="str">
        <f>IF(AND($C24="",$C23&lt;&gt;""),"Tổng Cộng",IFERROR(VLOOKUP($A24,Sheet1!$A$1:$D$80,4,0),""))</f>
        <v/>
      </c>
      <c r="H24" s="148" t="str">
        <f>IF($C23=MAX($C$8:$C$56),SUM($H$8:$H23),IFERROR($G24*$F24,""))</f>
        <v/>
      </c>
      <c r="I24" s="54" t="str">
        <f t="shared" si="2"/>
        <v/>
      </c>
      <c r="L24" s="31"/>
    </row>
    <row r="25" spans="1:12" s="29" customFormat="1" ht="14.25" customHeight="1" x14ac:dyDescent="0.25">
      <c r="A25" s="150" t="s">
        <v>310</v>
      </c>
      <c r="B25" s="150"/>
      <c r="C25" s="30" t="str">
        <f t="shared" si="0"/>
        <v/>
      </c>
      <c r="D25" s="147" t="str">
        <f>IFERROR(VLOOKUP($A25,Sheet1!$A$1:$B$80,2,0),"")</f>
        <v/>
      </c>
      <c r="E25" s="30" t="str">
        <f>IFERROR(VLOOKUP($A25,'Tổng Đơn'!$A$5:$E$52,5,0),"")</f>
        <v/>
      </c>
      <c r="F25" s="30" t="str">
        <f t="shared" si="1"/>
        <v/>
      </c>
      <c r="G25" s="155" t="str">
        <f>IF(AND($C25="",$C24&lt;&gt;""),"Tổng Cộng",IFERROR(VLOOKUP($A25,Sheet1!$A$1:$D$80,4,0),""))</f>
        <v/>
      </c>
      <c r="H25" s="148" t="str">
        <f>IF($C24=MAX($C$8:$C$56),SUM($H$8:$H24),IFERROR($G25*$F25,""))</f>
        <v/>
      </c>
      <c r="I25" s="54" t="str">
        <f t="shared" si="2"/>
        <v/>
      </c>
      <c r="L25" s="31"/>
    </row>
    <row r="26" spans="1:12" s="29" customFormat="1" ht="14.25" customHeight="1" x14ac:dyDescent="0.25">
      <c r="A26" s="150" t="s">
        <v>310</v>
      </c>
      <c r="B26" s="150"/>
      <c r="C26" s="30" t="str">
        <f t="shared" si="0"/>
        <v/>
      </c>
      <c r="D26" s="147" t="str">
        <f>IFERROR(VLOOKUP($A26,Sheet1!$A$1:$B$80,2,0),"")</f>
        <v/>
      </c>
      <c r="E26" s="30" t="str">
        <f>IFERROR(VLOOKUP($A26,'Tổng Đơn'!$A$5:$E$52,5,0),"")</f>
        <v/>
      </c>
      <c r="F26" s="30" t="str">
        <f t="shared" si="1"/>
        <v/>
      </c>
      <c r="G26" s="155" t="str">
        <f>IF(AND($C26="",$C25&lt;&gt;""),"Tổng Cộng",IFERROR(VLOOKUP($A26,Sheet1!$A$1:$D$80,4,0),""))</f>
        <v/>
      </c>
      <c r="H26" s="148" t="str">
        <f>IF($C25=MAX($C$8:$C$56),SUM($H$8:$H25),IFERROR($G26*$F26,""))</f>
        <v/>
      </c>
      <c r="I26" s="54" t="str">
        <f t="shared" si="2"/>
        <v/>
      </c>
      <c r="L26" s="31"/>
    </row>
    <row r="27" spans="1:12" s="29" customFormat="1" ht="14.25" customHeight="1" x14ac:dyDescent="0.25">
      <c r="A27" s="150" t="s">
        <v>310</v>
      </c>
      <c r="B27" s="150"/>
      <c r="C27" s="30" t="str">
        <f t="shared" si="0"/>
        <v/>
      </c>
      <c r="D27" s="147" t="str">
        <f>IFERROR(VLOOKUP($A27,Sheet1!$A$1:$B$80,2,0),"")</f>
        <v/>
      </c>
      <c r="E27" s="30" t="str">
        <f>IFERROR(VLOOKUP($A27,'Tổng Đơn'!$A$5:$E$52,5,0),"")</f>
        <v/>
      </c>
      <c r="F27" s="30" t="str">
        <f t="shared" si="1"/>
        <v/>
      </c>
      <c r="G27" s="155" t="str">
        <f>IF(AND($C27="",$C26&lt;&gt;""),"Tổng Cộng",IFERROR(VLOOKUP($A27,Sheet1!$A$1:$D$80,4,0),""))</f>
        <v/>
      </c>
      <c r="H27" s="148" t="str">
        <f>IF($C26=MAX($C$8:$C$56),SUM($H$8:$H26),IFERROR($G27*$F27,""))</f>
        <v/>
      </c>
      <c r="I27" s="54" t="str">
        <f t="shared" si="2"/>
        <v/>
      </c>
      <c r="L27" s="31"/>
    </row>
    <row r="28" spans="1:12" s="29" customFormat="1" ht="14.25" customHeight="1" x14ac:dyDescent="0.25">
      <c r="A28" s="150" t="s">
        <v>310</v>
      </c>
      <c r="B28" s="150"/>
      <c r="C28" s="30" t="str">
        <f t="shared" si="0"/>
        <v/>
      </c>
      <c r="D28" s="147" t="str">
        <f>IFERROR(VLOOKUP($A28,Sheet1!$A$1:$B$80,2,0),"")</f>
        <v/>
      </c>
      <c r="E28" s="30" t="str">
        <f>IFERROR(VLOOKUP($A28,'Tổng Đơn'!$A$5:$E$52,5,0),"")</f>
        <v/>
      </c>
      <c r="F28" s="30" t="str">
        <f t="shared" si="1"/>
        <v/>
      </c>
      <c r="G28" s="155" t="str">
        <f>IF(AND($C28="",$C27&lt;&gt;""),"Tổng Cộng",IFERROR(VLOOKUP($A28,Sheet1!$A$1:$D$80,4,0),""))</f>
        <v/>
      </c>
      <c r="H28" s="148" t="str">
        <f>IF($C27=MAX($C$8:$C$56),SUM($H$8:$H27),IFERROR($G28*$F28,""))</f>
        <v/>
      </c>
      <c r="I28" s="54" t="str">
        <f t="shared" si="2"/>
        <v/>
      </c>
      <c r="L28" s="31"/>
    </row>
    <row r="29" spans="1:12" s="29" customFormat="1" ht="14.25" customHeight="1" x14ac:dyDescent="0.25">
      <c r="A29" s="150" t="s">
        <v>310</v>
      </c>
      <c r="B29" s="150"/>
      <c r="C29" s="30" t="str">
        <f t="shared" si="0"/>
        <v/>
      </c>
      <c r="D29" s="147" t="str">
        <f>IFERROR(VLOOKUP($A29,Sheet1!$A$1:$B$80,2,0),"")</f>
        <v/>
      </c>
      <c r="E29" s="30" t="str">
        <f>IFERROR(VLOOKUP($A29,'Tổng Đơn'!$A$5:$E$52,5,0),"")</f>
        <v/>
      </c>
      <c r="F29" s="30" t="str">
        <f t="shared" si="1"/>
        <v/>
      </c>
      <c r="G29" s="155" t="str">
        <f>IF(AND($C29="",$C28&lt;&gt;""),"Tổng Cộng",IFERROR(VLOOKUP($A29,Sheet1!$A$1:$D$80,4,0),""))</f>
        <v/>
      </c>
      <c r="H29" s="148" t="str">
        <f>IF($C28=MAX($C$8:$C$56),SUM($H$8:$H28),IFERROR($G29*$F29,""))</f>
        <v/>
      </c>
      <c r="I29" s="54" t="str">
        <f t="shared" si="2"/>
        <v/>
      </c>
      <c r="L29" s="31"/>
    </row>
    <row r="30" spans="1:12" s="29" customFormat="1" ht="14.25" customHeight="1" x14ac:dyDescent="0.25">
      <c r="A30" s="150" t="s">
        <v>310</v>
      </c>
      <c r="B30" s="150"/>
      <c r="C30" s="30" t="str">
        <f t="shared" si="0"/>
        <v/>
      </c>
      <c r="D30" s="147" t="str">
        <f>IFERROR(VLOOKUP($A30,Sheet1!$A$1:$B$80,2,0),"")</f>
        <v/>
      </c>
      <c r="E30" s="30" t="str">
        <f>IFERROR(VLOOKUP($A30,'Tổng Đơn'!$A$5:$E$52,5,0),"")</f>
        <v/>
      </c>
      <c r="F30" s="30" t="str">
        <f t="shared" si="1"/>
        <v/>
      </c>
      <c r="G30" s="155" t="str">
        <f>IF(AND($C30="",$C29&lt;&gt;""),"Tổng Cộng",IFERROR(VLOOKUP($A30,Sheet1!$A$1:$D$80,4,0),""))</f>
        <v/>
      </c>
      <c r="H30" s="148" t="str">
        <f>IF($C29=MAX($C$8:$C$56),SUM($H$8:$H29),IFERROR($G30*$F30,""))</f>
        <v/>
      </c>
      <c r="I30" s="54" t="str">
        <f t="shared" si="2"/>
        <v/>
      </c>
      <c r="L30" s="31"/>
    </row>
    <row r="31" spans="1:12" s="29" customFormat="1" ht="14.25" customHeight="1" x14ac:dyDescent="0.25">
      <c r="A31" s="150" t="s">
        <v>310</v>
      </c>
      <c r="B31" s="150"/>
      <c r="C31" s="30" t="str">
        <f t="shared" si="0"/>
        <v/>
      </c>
      <c r="D31" s="147" t="str">
        <f>IFERROR(VLOOKUP($A31,Sheet1!$A$1:$B$80,2,0),"")</f>
        <v/>
      </c>
      <c r="E31" s="30" t="str">
        <f>IFERROR(VLOOKUP($A31,'Tổng Đơn'!$A$5:$E$52,5,0),"")</f>
        <v/>
      </c>
      <c r="F31" s="30" t="str">
        <f t="shared" si="1"/>
        <v/>
      </c>
      <c r="G31" s="155" t="str">
        <f>IF(AND($C31="",$C30&lt;&gt;""),"Tổng Cộng",IFERROR(VLOOKUP($A31,Sheet1!$A$1:$D$80,4,0),""))</f>
        <v/>
      </c>
      <c r="H31" s="148" t="str">
        <f>IF($C30=MAX($C$8:$C$56),SUM($H$8:$H30),IFERROR($G31*$F31,""))</f>
        <v/>
      </c>
      <c r="I31" s="54" t="str">
        <f t="shared" si="2"/>
        <v/>
      </c>
      <c r="L31" s="31"/>
    </row>
    <row r="32" spans="1:12" s="29" customFormat="1" ht="14.25" customHeight="1" x14ac:dyDescent="0.25">
      <c r="A32" s="150" t="s">
        <v>310</v>
      </c>
      <c r="B32" s="150"/>
      <c r="C32" s="30" t="str">
        <f t="shared" si="0"/>
        <v/>
      </c>
      <c r="D32" s="147" t="str">
        <f>IFERROR(VLOOKUP($A32,Sheet1!$A$1:$B$80,2,0),"")</f>
        <v/>
      </c>
      <c r="E32" s="30" t="str">
        <f>IFERROR(VLOOKUP($A32,'Tổng Đơn'!$A$5:$E$52,5,0),"")</f>
        <v/>
      </c>
      <c r="F32" s="30" t="str">
        <f t="shared" si="1"/>
        <v/>
      </c>
      <c r="G32" s="155" t="str">
        <f>IF(AND($C32="",$C31&lt;&gt;""),"Tổng Cộng",IFERROR(VLOOKUP($A32,Sheet1!$A$1:$D$80,4,0),""))</f>
        <v/>
      </c>
      <c r="H32" s="148" t="str">
        <f>IF($C31=MAX($C$8:$C$56),SUM($H$8:$H31),IFERROR($G32*$F32,""))</f>
        <v/>
      </c>
      <c r="I32" s="54" t="str">
        <f t="shared" si="2"/>
        <v/>
      </c>
      <c r="L32" s="31"/>
    </row>
    <row r="33" spans="1:12" s="29" customFormat="1" ht="14.25" customHeight="1" x14ac:dyDescent="0.25">
      <c r="A33" s="150" t="s">
        <v>310</v>
      </c>
      <c r="B33" s="150"/>
      <c r="C33" s="30" t="str">
        <f t="shared" si="0"/>
        <v/>
      </c>
      <c r="D33" s="147" t="str">
        <f>IFERROR(VLOOKUP($A33,Sheet1!$A$1:$B$80,2,0),"")</f>
        <v/>
      </c>
      <c r="E33" s="30" t="str">
        <f>IFERROR(VLOOKUP($A33,'Tổng Đơn'!$A$5:$E$52,5,0),"")</f>
        <v/>
      </c>
      <c r="F33" s="30" t="str">
        <f t="shared" si="1"/>
        <v/>
      </c>
      <c r="G33" s="155" t="str">
        <f>IF(AND($C33="",$C32&lt;&gt;""),"Tổng Cộng",IFERROR(VLOOKUP($A33,Sheet1!$A$1:$D$80,4,0),""))</f>
        <v/>
      </c>
      <c r="H33" s="148" t="str">
        <f>IF($C32=MAX($C$8:$C$56),SUM($H$8:$H32),IFERROR($G33*$F33,""))</f>
        <v/>
      </c>
      <c r="I33" s="54" t="str">
        <f t="shared" si="2"/>
        <v/>
      </c>
      <c r="L33" s="31"/>
    </row>
    <row r="34" spans="1:12" s="29" customFormat="1" ht="14.25" customHeight="1" x14ac:dyDescent="0.25">
      <c r="A34" s="150" t="s">
        <v>310</v>
      </c>
      <c r="B34" s="150"/>
      <c r="C34" s="30" t="str">
        <f t="shared" si="0"/>
        <v/>
      </c>
      <c r="D34" s="147" t="str">
        <f>IFERROR(VLOOKUP($A34,Sheet1!$A$1:$B$80,2,0),"")</f>
        <v/>
      </c>
      <c r="E34" s="30" t="str">
        <f>IFERROR(VLOOKUP($A34,'Tổng Đơn'!$A$5:$E$52,5,0),"")</f>
        <v/>
      </c>
      <c r="F34" s="30" t="str">
        <f t="shared" si="1"/>
        <v/>
      </c>
      <c r="G34" s="155" t="str">
        <f>IF(AND($C34="",$C33&lt;&gt;""),"Tổng Cộng",IFERROR(VLOOKUP($A34,Sheet1!$A$1:$D$80,4,0),""))</f>
        <v/>
      </c>
      <c r="H34" s="148" t="str">
        <f>IF($C33=MAX($C$8:$C$56),SUM($H$8:$H33),IFERROR($G34*$F34,""))</f>
        <v/>
      </c>
      <c r="I34" s="54" t="str">
        <f t="shared" si="2"/>
        <v/>
      </c>
      <c r="L34" s="31"/>
    </row>
    <row r="35" spans="1:12" s="29" customFormat="1" ht="14.25" customHeight="1" x14ac:dyDescent="0.25">
      <c r="A35" s="150" t="s">
        <v>310</v>
      </c>
      <c r="B35" s="150"/>
      <c r="C35" s="30" t="str">
        <f t="shared" si="0"/>
        <v/>
      </c>
      <c r="D35" s="147" t="str">
        <f>IFERROR(VLOOKUP($A35,Sheet1!$A$1:$B$80,2,0),"")</f>
        <v/>
      </c>
      <c r="E35" s="30" t="str">
        <f>IFERROR(VLOOKUP($A35,'Tổng Đơn'!$A$5:$E$52,5,0),"")</f>
        <v/>
      </c>
      <c r="F35" s="30" t="str">
        <f t="shared" si="1"/>
        <v/>
      </c>
      <c r="G35" s="155" t="str">
        <f>IF(AND($C35="",$C34&lt;&gt;""),"Tổng Cộng",IFERROR(VLOOKUP($A35,Sheet1!$A$1:$D$80,4,0),""))</f>
        <v/>
      </c>
      <c r="H35" s="148" t="str">
        <f>IF($C34=MAX($C$8:$C$56),SUM($H$8:$H34),IFERROR($G35*$F35,""))</f>
        <v/>
      </c>
      <c r="I35" s="54" t="str">
        <f t="shared" si="2"/>
        <v/>
      </c>
      <c r="L35" s="31"/>
    </row>
    <row r="36" spans="1:12" s="29" customFormat="1" ht="14.25" customHeight="1" x14ac:dyDescent="0.25">
      <c r="A36" s="150" t="s">
        <v>310</v>
      </c>
      <c r="B36" s="150"/>
      <c r="C36" s="30" t="str">
        <f t="shared" si="0"/>
        <v/>
      </c>
      <c r="D36" s="147" t="str">
        <f>IFERROR(VLOOKUP($A36,Sheet1!$A$1:$B$80,2,0),"")</f>
        <v/>
      </c>
      <c r="E36" s="30" t="str">
        <f>IFERROR(VLOOKUP($A36,'Tổng Đơn'!$A$5:$E$52,5,0),"")</f>
        <v/>
      </c>
      <c r="F36" s="30" t="str">
        <f t="shared" si="1"/>
        <v/>
      </c>
      <c r="G36" s="155" t="str">
        <f>IF(AND($C36="",$C35&lt;&gt;""),"Tổng Cộng",IFERROR(VLOOKUP($A36,Sheet1!$A$1:$D$80,4,0),""))</f>
        <v/>
      </c>
      <c r="H36" s="148" t="str">
        <f>IF($C35=MAX($C$8:$C$56),SUM($H$8:$H35),IFERROR($G36*$F36,""))</f>
        <v/>
      </c>
      <c r="I36" s="54" t="str">
        <f t="shared" si="2"/>
        <v/>
      </c>
      <c r="L36" s="31"/>
    </row>
    <row r="37" spans="1:12" s="29" customFormat="1" ht="14.25" customHeight="1" x14ac:dyDescent="0.25">
      <c r="A37" s="150" t="s">
        <v>310</v>
      </c>
      <c r="B37" s="150"/>
      <c r="C37" s="30" t="str">
        <f t="shared" si="0"/>
        <v/>
      </c>
      <c r="D37" s="147" t="str">
        <f>IFERROR(VLOOKUP($A37,Sheet1!$A$1:$B$80,2,0),"")</f>
        <v/>
      </c>
      <c r="E37" s="30" t="str">
        <f>IFERROR(VLOOKUP($A37,'Tổng Đơn'!$A$5:$E$52,5,0),"")</f>
        <v/>
      </c>
      <c r="F37" s="30" t="str">
        <f t="shared" si="1"/>
        <v/>
      </c>
      <c r="G37" s="155" t="str">
        <f>IF(AND($C37="",$C36&lt;&gt;""),"Tổng Cộng",IFERROR(VLOOKUP($A37,Sheet1!$A$1:$D$80,4,0),""))</f>
        <v/>
      </c>
      <c r="H37" s="148" t="str">
        <f>IF($C36=MAX($C$8:$C$56),SUM($H$8:$H36),IFERROR($G37*$F37,""))</f>
        <v/>
      </c>
      <c r="I37" s="54" t="str">
        <f t="shared" si="2"/>
        <v/>
      </c>
      <c r="L37" s="31"/>
    </row>
    <row r="38" spans="1:12" s="29" customFormat="1" ht="14.25" customHeight="1" x14ac:dyDescent="0.25">
      <c r="A38" s="150"/>
      <c r="B38" s="150"/>
      <c r="C38" s="33"/>
      <c r="D38" s="34"/>
      <c r="E38" s="52"/>
      <c r="F38" s="30"/>
      <c r="G38" s="156" t="str">
        <f>IF(AND($C38="",$C37&lt;&gt;""),"Tổng Cộng",IFERROR(VLOOKUP($A38,Sheet1!$A$1:$D$80,4,0),""))</f>
        <v/>
      </c>
      <c r="H38" s="35" t="str">
        <f>IF($C37=MAX($C$8:$C$56),SUM($H$8:$H37),IFERROR($G38*$F38,""))</f>
        <v/>
      </c>
      <c r="I38" s="54"/>
      <c r="L38" s="31"/>
    </row>
    <row r="39" spans="1:12" ht="15" customHeight="1" x14ac:dyDescent="0.25">
      <c r="F39" s="36"/>
      <c r="G39" s="139"/>
      <c r="H39" s="37"/>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C38:E38 D23:E37 F23:H38">
    <cfRule type="expression" dxfId="95" priority="22">
      <formula>$C22=MAX($C$8:$C$37)</formula>
    </cfRule>
  </conditionalFormatting>
  <conditionalFormatting sqref="C23:C37">
    <cfRule type="expression" dxfId="94" priority="21">
      <formula>$C22=MAX($C$8:$C$37)</formula>
    </cfRule>
  </conditionalFormatting>
  <conditionalFormatting sqref="E23:E38">
    <cfRule type="expression" dxfId="93" priority="23">
      <formula>AND($A23="",$F23&lt;&gt;"")</formula>
    </cfRule>
  </conditionalFormatting>
  <conditionalFormatting sqref="F23:F38">
    <cfRule type="expression" dxfId="92" priority="24">
      <formula>AND($F23="",$A23&lt;&gt;"")</formula>
    </cfRule>
  </conditionalFormatting>
  <conditionalFormatting sqref="D20:H22">
    <cfRule type="expression" dxfId="91" priority="18">
      <formula>$C19=MAX($C$8:$C$37)</formula>
    </cfRule>
  </conditionalFormatting>
  <conditionalFormatting sqref="C20:C22">
    <cfRule type="expression" dxfId="90" priority="17">
      <formula>$C19=MAX($C$8:$C$37)</formula>
    </cfRule>
  </conditionalFormatting>
  <conditionalFormatting sqref="E20:E22">
    <cfRule type="expression" dxfId="89" priority="19">
      <formula>AND($A20="",$F20&lt;&gt;"")</formula>
    </cfRule>
  </conditionalFormatting>
  <conditionalFormatting sqref="F20:F22">
    <cfRule type="expression" dxfId="88" priority="20">
      <formula>AND($F20="",$A20&lt;&gt;"")</formula>
    </cfRule>
  </conditionalFormatting>
  <conditionalFormatting sqref="D15:H19 D12:F14 H12:H14">
    <cfRule type="expression" dxfId="87" priority="14">
      <formula>$C11=MAX($C$8:$C$37)</formula>
    </cfRule>
  </conditionalFormatting>
  <conditionalFormatting sqref="C12:C19">
    <cfRule type="expression" dxfId="86" priority="13">
      <formula>$C11=MAX($C$8:$C$37)</formula>
    </cfRule>
  </conditionalFormatting>
  <conditionalFormatting sqref="E12:E19">
    <cfRule type="expression" dxfId="85" priority="15">
      <formula>AND($A12="",$F12&lt;&gt;"")</formula>
    </cfRule>
  </conditionalFormatting>
  <conditionalFormatting sqref="F12:F19">
    <cfRule type="expression" dxfId="84" priority="16">
      <formula>AND($F12="",$A12&lt;&gt;"")</formula>
    </cfRule>
  </conditionalFormatting>
  <conditionalFormatting sqref="G12:G14">
    <cfRule type="expression" dxfId="83" priority="12">
      <formula>$C11=MAX($C$8:$C$37)</formula>
    </cfRule>
  </conditionalFormatting>
  <conditionalFormatting sqref="D9:F11 H9:H11">
    <cfRule type="expression" dxfId="82" priority="9">
      <formula>$C8=MAX($C$8:$C$37)</formula>
    </cfRule>
  </conditionalFormatting>
  <conditionalFormatting sqref="C9:C11">
    <cfRule type="expression" dxfId="81" priority="8">
      <formula>$C8=MAX($C$8:$C$37)</formula>
    </cfRule>
  </conditionalFormatting>
  <conditionalFormatting sqref="E9:E11">
    <cfRule type="expression" dxfId="80" priority="10">
      <formula>AND($A9="",$F9&lt;&gt;"")</formula>
    </cfRule>
  </conditionalFormatting>
  <conditionalFormatting sqref="F9:F11">
    <cfRule type="expression" dxfId="79" priority="11">
      <formula>AND($F9="",$A9&lt;&gt;"")</formula>
    </cfRule>
  </conditionalFormatting>
  <conditionalFormatting sqref="D8:F8">
    <cfRule type="expression" dxfId="78" priority="5">
      <formula>$C7=MAX($C$8:$C$37)</formula>
    </cfRule>
  </conditionalFormatting>
  <conditionalFormatting sqref="C8">
    <cfRule type="expression" dxfId="77" priority="4">
      <formula>$C7=MAX($C$8:$C$37)</formula>
    </cfRule>
  </conditionalFormatting>
  <conditionalFormatting sqref="E8">
    <cfRule type="expression" dxfId="76" priority="6">
      <formula>AND($A8="",$F8&lt;&gt;"")</formula>
    </cfRule>
  </conditionalFormatting>
  <conditionalFormatting sqref="F8">
    <cfRule type="expression" dxfId="75" priority="7">
      <formula>AND($F8="",$A8&lt;&gt;"")</formula>
    </cfRule>
  </conditionalFormatting>
  <conditionalFormatting sqref="H8">
    <cfRule type="expression" dxfId="74" priority="3">
      <formula>$C7=MAX($C$8:$C$37)</formula>
    </cfRule>
  </conditionalFormatting>
  <conditionalFormatting sqref="G9:G11">
    <cfRule type="expression" dxfId="73" priority="2">
      <formula>$C8=MAX($C$8:$C$37)</formula>
    </cfRule>
  </conditionalFormatting>
  <conditionalFormatting sqref="G8">
    <cfRule type="expression" dxfId="72" priority="1">
      <formula>$C7=MAX($C$8:$C$37)</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1532929" r:id="rId4" name="Button 1">
              <controlPr defaultSize="0" print="0" autoFill="0" autoPict="0" macro="[0]!Macro4">
                <anchor moveWithCells="1" sizeWithCells="1">
                  <from>
                    <xdr:col>0</xdr:col>
                    <xdr:colOff>0</xdr:colOff>
                    <xdr:row>0</xdr:row>
                    <xdr:rowOff>0</xdr:rowOff>
                  </from>
                  <to>
                    <xdr:col>1</xdr:col>
                    <xdr:colOff>769620</xdr:colOff>
                    <xdr:row>7</xdr:row>
                    <xdr:rowOff>0</xdr:rowOff>
                  </to>
                </anchor>
              </controlPr>
            </control>
          </mc:Choice>
        </mc:AlternateContent>
      </controls>
    </mc:Choice>
  </mc:AlternateContent>
</worksheet>
</file>

<file path=xl/worksheets/sheet3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8BE5CA1-D283-4C80-A0EA-50F9AA7B221E}">
  <sheetPr codeName="Sheet36">
    <tabColor theme="1"/>
    <pageSetUpPr fitToPage="1"/>
  </sheetPr>
  <dimension ref="A1:N53"/>
  <sheetViews>
    <sheetView zoomScaleNormal="100" workbookViewId="0">
      <pane ySplit="7" topLeftCell="A8" activePane="bottomLeft" state="frozen"/>
      <selection activeCell="Q2" sqref="Q2"/>
      <selection pane="bottomLeft" activeCell="D7" sqref="D7"/>
    </sheetView>
  </sheetViews>
  <sheetFormatPr defaultColWidth="9.09765625" defaultRowHeight="13.8" x14ac:dyDescent="0.25"/>
  <cols>
    <col min="1" max="1" width="11.69921875" style="14" customWidth="1"/>
    <col min="2" max="2" width="11.296875" style="14" customWidth="1"/>
    <col min="3" max="3" width="9.09765625" style="14"/>
    <col min="4" max="4" width="38.3984375" style="14" bestFit="1" customWidth="1"/>
    <col min="5" max="5" width="12.296875" style="53" bestFit="1" customWidth="1"/>
    <col min="6" max="6" width="11" style="14" customWidth="1"/>
    <col min="7" max="7" width="17.8984375" style="14" customWidth="1"/>
    <col min="8" max="8" width="17.8984375" style="15" customWidth="1"/>
    <col min="9" max="9" width="21.8984375" style="14" customWidth="1"/>
    <col min="10" max="10" width="10.09765625" style="14" customWidth="1"/>
    <col min="11" max="11" width="9.09765625" style="14"/>
    <col min="12" max="12" width="11.69921875" style="14" customWidth="1"/>
    <col min="13" max="14" width="10.09765625" style="14" bestFit="1" customWidth="1"/>
    <col min="15" max="16384" width="9.09765625" style="14"/>
  </cols>
  <sheetData>
    <row r="1" spans="1:14" ht="15.75" customHeight="1" x14ac:dyDescent="0.25">
      <c r="C1" s="268" t="s">
        <v>164</v>
      </c>
      <c r="D1" s="268"/>
      <c r="E1" s="268"/>
      <c r="F1" s="268"/>
      <c r="G1" s="268"/>
      <c r="H1" s="268"/>
    </row>
    <row r="2" spans="1:14" ht="15.75" customHeight="1" x14ac:dyDescent="0.25">
      <c r="C2" s="268"/>
      <c r="D2" s="268"/>
      <c r="E2" s="268"/>
      <c r="F2" s="268"/>
      <c r="G2" s="268"/>
      <c r="H2" s="268"/>
    </row>
    <row r="3" spans="1:14" ht="15" customHeight="1" x14ac:dyDescent="0.25">
      <c r="C3" s="269" t="s">
        <v>166</v>
      </c>
      <c r="D3" s="269"/>
      <c r="E3" s="269"/>
      <c r="F3" s="270" t="s">
        <v>168</v>
      </c>
      <c r="G3" s="270"/>
      <c r="H3" s="270"/>
    </row>
    <row r="4" spans="1:14" x14ac:dyDescent="0.25">
      <c r="C4" s="269" t="s">
        <v>167</v>
      </c>
      <c r="D4" s="269"/>
      <c r="E4" s="269"/>
      <c r="F4" s="271" t="s">
        <v>169</v>
      </c>
      <c r="G4" s="271"/>
      <c r="H4" s="271"/>
    </row>
    <row r="5" spans="1:14" s="140" customFormat="1" ht="21" customHeight="1" x14ac:dyDescent="0.25">
      <c r="C5" s="272" t="s">
        <v>165</v>
      </c>
      <c r="D5" s="272"/>
      <c r="E5" s="272"/>
      <c r="F5" s="272"/>
      <c r="G5" s="272"/>
      <c r="H5" s="272"/>
    </row>
    <row r="6" spans="1:14" s="140" customFormat="1" ht="16.5" customHeight="1" x14ac:dyDescent="0.25">
      <c r="C6" s="149" t="s">
        <v>170</v>
      </c>
      <c r="D6" s="152" t="s">
        <v>317</v>
      </c>
      <c r="E6" s="145"/>
      <c r="F6" s="145"/>
      <c r="G6" s="267" t="str">
        <f ca="1">"Ngày "&amp;DAY(TODAY())&amp;" Tháng "&amp;MONTH(TODAY())&amp;" Năm "&amp;YEAR(TODAY())</f>
        <v>Ngày 22 Tháng 1 Năm 2023</v>
      </c>
      <c r="H6" s="267"/>
    </row>
    <row r="7" spans="1:14" s="144" customFormat="1" ht="24" customHeight="1" x14ac:dyDescent="0.25">
      <c r="A7" s="141" t="s">
        <v>101</v>
      </c>
      <c r="B7" s="141" t="s">
        <v>15</v>
      </c>
      <c r="C7" s="142" t="s">
        <v>0</v>
      </c>
      <c r="D7" s="142" t="s">
        <v>16</v>
      </c>
      <c r="E7" s="146" t="str">
        <f>"Quy cách"&amp;CHAR(10)&amp;"(Kg)"</f>
        <v>Quy cách
(Kg)</v>
      </c>
      <c r="F7" s="142" t="s">
        <v>15</v>
      </c>
      <c r="G7" s="142" t="s">
        <v>17</v>
      </c>
      <c r="H7" s="142" t="s">
        <v>18</v>
      </c>
      <c r="I7" s="143">
        <f>SUBTOTAL(9,I8:I37)</f>
        <v>1</v>
      </c>
      <c r="L7" s="140"/>
    </row>
    <row r="8" spans="1:14" s="29" customFormat="1" ht="14.25" customHeight="1" x14ac:dyDescent="0.25">
      <c r="A8" s="150">
        <v>34</v>
      </c>
      <c r="B8" s="150">
        <v>2</v>
      </c>
      <c r="C8" s="30">
        <f t="shared" ref="C8:C37" si="0">IF(OR(SUM($C7,$A8&lt;&gt;"")=0,$A8=""),"",SUM($C7,$A8&lt;&gt;""))</f>
        <v>1</v>
      </c>
      <c r="D8" s="147" t="str">
        <f>IFERROR(VLOOKUP($A8,Sheet1!$A$1:$B$80,2,0),"")</f>
        <v>Cá viên KK</v>
      </c>
      <c r="E8" s="30">
        <f>IFERROR(VLOOKUP($A8,'Tổng Đơn'!$A$5:$E$52,5,0),"")</f>
        <v>0.5</v>
      </c>
      <c r="F8" s="30">
        <f t="shared" ref="F8:F37" si="1">IF($B8="","",B8)</f>
        <v>2</v>
      </c>
      <c r="G8" s="155">
        <f>IFERROR(VLOOKUP($A8,Sheet1!$A1:$D$80,4,0),"")</f>
        <v>25000</v>
      </c>
      <c r="H8" s="148">
        <f>IF($C7=MAX($C$8:$C$56),SUM($H7:$H$8),IFERROR($G8*$F8,""))</f>
        <v>50000</v>
      </c>
      <c r="I8" s="54">
        <f t="shared" ref="I8:I37" si="2">IF(TYPE($A8)&lt;&gt;1,"",IFERROR(F8*E8,""))</f>
        <v>1</v>
      </c>
      <c r="L8" s="32"/>
    </row>
    <row r="9" spans="1:14" s="29" customFormat="1" ht="14.25" customHeight="1" x14ac:dyDescent="0.25">
      <c r="A9" s="150" t="s">
        <v>310</v>
      </c>
      <c r="B9" s="150"/>
      <c r="C9" s="30" t="str">
        <f t="shared" si="0"/>
        <v/>
      </c>
      <c r="D9" s="147" t="str">
        <f>IFERROR(VLOOKUP($A9,Sheet1!$A$1:$B$80,2,0),"")</f>
        <v/>
      </c>
      <c r="E9" s="30" t="str">
        <f>IFERROR(VLOOKUP($A9,'Tổng Đơn'!$A$5:$E$52,5,0),"")</f>
        <v/>
      </c>
      <c r="F9" s="30" t="str">
        <f t="shared" si="1"/>
        <v/>
      </c>
      <c r="G9" s="155" t="str">
        <f>IF(AND($C9="",$C8&lt;&gt;""),"Tổng Cộng",IFERROR(VLOOKUP($A9,Sheet1!$A$1:$D$80,4,0),""))</f>
        <v>Tổng Cộng</v>
      </c>
      <c r="H9" s="148">
        <f>IF($C8=MAX($C$8:$C$56),SUM($H$8:$H8),IFERROR($G9*$F9,""))</f>
        <v>50000</v>
      </c>
      <c r="I9" s="54" t="str">
        <f t="shared" si="2"/>
        <v/>
      </c>
      <c r="L9" s="31"/>
    </row>
    <row r="10" spans="1:14" s="29" customFormat="1" ht="14.25" customHeight="1" x14ac:dyDescent="0.25">
      <c r="A10" s="150" t="s">
        <v>310</v>
      </c>
      <c r="B10" s="150"/>
      <c r="C10" s="30" t="str">
        <f t="shared" si="0"/>
        <v/>
      </c>
      <c r="D10" s="147" t="str">
        <f>IFERROR(VLOOKUP($A10,Sheet1!$A$1:$B$80,2,0),"")</f>
        <v/>
      </c>
      <c r="E10" s="30" t="str">
        <f>IFERROR(VLOOKUP($A10,'Tổng Đơn'!$A$5:$E$52,5,0),"")</f>
        <v/>
      </c>
      <c r="F10" s="30" t="str">
        <f t="shared" si="1"/>
        <v/>
      </c>
      <c r="G10" s="155" t="str">
        <f>IF(AND($C10="",$C9&lt;&gt;""),"Tổng Cộng",IFERROR(VLOOKUP($A10,Sheet1!$A$1:$D$80,4,0),""))</f>
        <v/>
      </c>
      <c r="H10" s="148" t="str">
        <f>IF($C9=MAX($C$8:$C$56),SUM($H$8:$H9),IFERROR($G10*$F10,""))</f>
        <v/>
      </c>
      <c r="I10" s="54" t="str">
        <f t="shared" si="2"/>
        <v/>
      </c>
      <c r="L10" s="31"/>
    </row>
    <row r="11" spans="1:14" s="29" customFormat="1" ht="14.25" customHeight="1" x14ac:dyDescent="0.25">
      <c r="A11" s="150" t="s">
        <v>310</v>
      </c>
      <c r="B11" s="150"/>
      <c r="C11" s="30" t="str">
        <f t="shared" si="0"/>
        <v/>
      </c>
      <c r="D11" s="147" t="str">
        <f>IFERROR(VLOOKUP($A11,Sheet1!$A$1:$B$80,2,0),"")</f>
        <v/>
      </c>
      <c r="E11" s="30" t="str">
        <f>IFERROR(VLOOKUP($A11,'Tổng Đơn'!$A$5:$E$52,5,0),"")</f>
        <v/>
      </c>
      <c r="F11" s="30" t="str">
        <f t="shared" si="1"/>
        <v/>
      </c>
      <c r="G11" s="155" t="str">
        <f>IF(AND($C11="",$C10&lt;&gt;""),"Tổng Cộng",IFERROR(VLOOKUP($A11,Sheet1!$A$1:$D$80,4,0),""))</f>
        <v/>
      </c>
      <c r="H11" s="148" t="str">
        <f>IF($C10=MAX($C$8:$C$56),SUM($H$8:$H10),IFERROR($G11*$F11,""))</f>
        <v/>
      </c>
      <c r="I11" s="54" t="str">
        <f t="shared" si="2"/>
        <v/>
      </c>
      <c r="L11" s="31"/>
    </row>
    <row r="12" spans="1:14" s="29" customFormat="1" ht="14.25" customHeight="1" x14ac:dyDescent="0.25">
      <c r="A12" s="150" t="s">
        <v>310</v>
      </c>
      <c r="B12" s="150"/>
      <c r="C12" s="30" t="str">
        <f t="shared" si="0"/>
        <v/>
      </c>
      <c r="D12" s="147" t="str">
        <f>IFERROR(VLOOKUP($A12,Sheet1!$A$1:$B$80,2,0),"")</f>
        <v/>
      </c>
      <c r="E12" s="30" t="str">
        <f>IFERROR(VLOOKUP($A12,'Tổng Đơn'!$A$5:$E$52,5,0),"")</f>
        <v/>
      </c>
      <c r="F12" s="30" t="str">
        <f t="shared" si="1"/>
        <v/>
      </c>
      <c r="G12" s="155" t="str">
        <f>IF(AND($C12="",$C11&lt;&gt;""),"Tổng Cộng",IFERROR(VLOOKUP($A12,Sheet1!$A$1:$D$80,4,0),""))</f>
        <v/>
      </c>
      <c r="H12" s="148" t="str">
        <f>IF($C11=MAX($C$8:$C$56),SUM($H$8:$H11),IFERROR($G12*$F12,""))</f>
        <v/>
      </c>
      <c r="I12" s="54" t="str">
        <f t="shared" si="2"/>
        <v/>
      </c>
      <c r="J12" s="125"/>
      <c r="L12" s="31"/>
      <c r="N12" s="126"/>
    </row>
    <row r="13" spans="1:14" s="29" customFormat="1" ht="14.25" customHeight="1" x14ac:dyDescent="0.25">
      <c r="A13" s="150" t="s">
        <v>310</v>
      </c>
      <c r="B13" s="150"/>
      <c r="C13" s="30" t="str">
        <f t="shared" si="0"/>
        <v/>
      </c>
      <c r="D13" s="147" t="str">
        <f>IFERROR(VLOOKUP($A13,Sheet1!$A$1:$B$80,2,0),"")</f>
        <v/>
      </c>
      <c r="E13" s="30" t="str">
        <f>IFERROR(VLOOKUP($A13,'Tổng Đơn'!$A$5:$E$52,5,0),"")</f>
        <v/>
      </c>
      <c r="F13" s="30" t="str">
        <f t="shared" si="1"/>
        <v/>
      </c>
      <c r="G13" s="155" t="str">
        <f>IF(AND($C13="",$C12&lt;&gt;""),"Tổng Cộng",IFERROR(VLOOKUP($A13,Sheet1!$A$1:$D$80,4,0),""))</f>
        <v/>
      </c>
      <c r="H13" s="148" t="str">
        <f>IF($C12=MAX($C$8:$C$56),SUM($H$8:$H12),IFERROR($G13*$F13,""))</f>
        <v/>
      </c>
      <c r="I13" s="54" t="str">
        <f t="shared" si="2"/>
        <v/>
      </c>
      <c r="L13" s="31"/>
    </row>
    <row r="14" spans="1:14" s="29" customFormat="1" ht="14.25" customHeight="1" x14ac:dyDescent="0.25">
      <c r="A14" s="150" t="s">
        <v>310</v>
      </c>
      <c r="B14" s="150"/>
      <c r="C14" s="30" t="str">
        <f t="shared" si="0"/>
        <v/>
      </c>
      <c r="D14" s="147" t="str">
        <f>IFERROR(VLOOKUP($A14,Sheet1!$A$1:$B$80,2,0),"")</f>
        <v/>
      </c>
      <c r="E14" s="30" t="str">
        <f>IFERROR(VLOOKUP($A14,'Tổng Đơn'!$A$5:$E$52,5,0),"")</f>
        <v/>
      </c>
      <c r="F14" s="30" t="str">
        <f t="shared" si="1"/>
        <v/>
      </c>
      <c r="G14" s="155" t="str">
        <f>IF(AND($C14="",$C13&lt;&gt;""),"Tổng Cộng",IFERROR(VLOOKUP($A14,Sheet1!$A$1:$D$80,4,0),""))</f>
        <v/>
      </c>
      <c r="H14" s="148" t="str">
        <f>IF($C13=MAX($C$8:$C$56),SUM($H$8:$H13),IFERROR($G14*$F14,""))</f>
        <v/>
      </c>
      <c r="I14" s="54" t="str">
        <f t="shared" si="2"/>
        <v/>
      </c>
      <c r="L14" s="31"/>
      <c r="M14" s="132"/>
    </row>
    <row r="15" spans="1:14" s="29" customFormat="1" ht="14.25" customHeight="1" x14ac:dyDescent="0.25">
      <c r="A15" s="150" t="s">
        <v>310</v>
      </c>
      <c r="B15" s="150"/>
      <c r="C15" s="30" t="str">
        <f t="shared" si="0"/>
        <v/>
      </c>
      <c r="D15" s="147" t="str">
        <f>IFERROR(VLOOKUP($A15,Sheet1!$A$1:$B$80,2,0),"")</f>
        <v/>
      </c>
      <c r="E15" s="30" t="str">
        <f>IFERROR(VLOOKUP($A15,'Tổng Đơn'!$A$5:$E$52,5,0),"")</f>
        <v/>
      </c>
      <c r="F15" s="30" t="str">
        <f t="shared" si="1"/>
        <v/>
      </c>
      <c r="G15" s="155" t="str">
        <f>IF(AND($C15="",$C14&lt;&gt;""),"Tổng Cộng",IFERROR(VLOOKUP($A15,Sheet1!$A$1:$D$80,4,0),""))</f>
        <v/>
      </c>
      <c r="H15" s="148" t="str">
        <f>IF($C14=MAX($C$8:$C$56),SUM($H$8:$H14),IFERROR($G15*$F15,""))</f>
        <v/>
      </c>
      <c r="I15" s="54" t="str">
        <f t="shared" si="2"/>
        <v/>
      </c>
      <c r="L15" s="31"/>
    </row>
    <row r="16" spans="1:14" s="29" customFormat="1" ht="14.25" customHeight="1" x14ac:dyDescent="0.25">
      <c r="A16" s="150" t="s">
        <v>310</v>
      </c>
      <c r="B16" s="150"/>
      <c r="C16" s="30" t="str">
        <f t="shared" si="0"/>
        <v/>
      </c>
      <c r="D16" s="147" t="str">
        <f>IFERROR(VLOOKUP($A16,Sheet1!$A$1:$B$80,2,0),"")</f>
        <v/>
      </c>
      <c r="E16" s="30" t="str">
        <f>IFERROR(VLOOKUP($A16,'Tổng Đơn'!$A$5:$E$52,5,0),"")</f>
        <v/>
      </c>
      <c r="F16" s="30" t="str">
        <f t="shared" si="1"/>
        <v/>
      </c>
      <c r="G16" s="155" t="str">
        <f>IF(AND($C16="",$C15&lt;&gt;""),"Tổng Cộng",IFERROR(VLOOKUP($A16,Sheet1!$A$1:$D$80,4,0),""))</f>
        <v/>
      </c>
      <c r="H16" s="148" t="str">
        <f>IF($C15=MAX($C$8:$C$56),SUM($H$8:$H15),IFERROR($G16*$F16,""))</f>
        <v/>
      </c>
      <c r="I16" s="54" t="str">
        <f t="shared" si="2"/>
        <v/>
      </c>
      <c r="L16" s="31"/>
    </row>
    <row r="17" spans="1:12" s="29" customFormat="1" ht="14.25" customHeight="1" x14ac:dyDescent="0.25">
      <c r="A17" s="150" t="s">
        <v>310</v>
      </c>
      <c r="B17" s="150"/>
      <c r="C17" s="30" t="str">
        <f t="shared" si="0"/>
        <v/>
      </c>
      <c r="D17" s="147" t="str">
        <f>IFERROR(VLOOKUP($A17,Sheet1!$A$1:$B$80,2,0),"")</f>
        <v/>
      </c>
      <c r="E17" s="30" t="str">
        <f>IFERROR(VLOOKUP($A17,'Tổng Đơn'!$A$5:$E$52,5,0),"")</f>
        <v/>
      </c>
      <c r="F17" s="30" t="str">
        <f t="shared" si="1"/>
        <v/>
      </c>
      <c r="G17" s="155" t="str">
        <f>IF(AND($C17="",$C16&lt;&gt;""),"Tổng Cộng",IFERROR(VLOOKUP($A17,Sheet1!$A$1:$D$80,4,0),""))</f>
        <v/>
      </c>
      <c r="H17" s="148" t="str">
        <f>IF($C16=MAX($C$8:$C$56),SUM($H$8:$H16),IFERROR($G17*$F17,""))</f>
        <v/>
      </c>
      <c r="I17" s="54" t="str">
        <f t="shared" si="2"/>
        <v/>
      </c>
      <c r="L17" s="31"/>
    </row>
    <row r="18" spans="1:12" s="29" customFormat="1" ht="14.25" customHeight="1" x14ac:dyDescent="0.25">
      <c r="A18" s="150" t="s">
        <v>310</v>
      </c>
      <c r="B18" s="150"/>
      <c r="C18" s="30" t="str">
        <f t="shared" si="0"/>
        <v/>
      </c>
      <c r="D18" s="147" t="str">
        <f>IFERROR(VLOOKUP($A18,Sheet1!$A$1:$B$80,2,0),"")</f>
        <v/>
      </c>
      <c r="E18" s="30" t="str">
        <f>IFERROR(VLOOKUP($A18,'Tổng Đơn'!$A$5:$E$52,5,0),"")</f>
        <v/>
      </c>
      <c r="F18" s="30" t="str">
        <f t="shared" si="1"/>
        <v/>
      </c>
      <c r="G18" s="155" t="str">
        <f>IF(AND($C18="",$C17&lt;&gt;""),"Tổng Cộng",IFERROR(VLOOKUP($A18,Sheet1!$A$1:$D$80,4,0),""))</f>
        <v/>
      </c>
      <c r="H18" s="148" t="str">
        <f>IF($C17=MAX($C$8:$C$56),SUM($H$8:$H17),IFERROR($G18*$F18,""))</f>
        <v/>
      </c>
      <c r="I18" s="54" t="str">
        <f t="shared" si="2"/>
        <v/>
      </c>
      <c r="L18" s="31"/>
    </row>
    <row r="19" spans="1:12" s="29" customFormat="1" ht="14.25" customHeight="1" x14ac:dyDescent="0.25">
      <c r="A19" s="150" t="s">
        <v>310</v>
      </c>
      <c r="B19" s="150"/>
      <c r="C19" s="30" t="str">
        <f t="shared" si="0"/>
        <v/>
      </c>
      <c r="D19" s="147" t="str">
        <f>IFERROR(VLOOKUP($A19,Sheet1!$A$1:$B$80,2,0),"")</f>
        <v/>
      </c>
      <c r="E19" s="30" t="str">
        <f>IFERROR(VLOOKUP($A19,'Tổng Đơn'!$A$5:$E$52,5,0),"")</f>
        <v/>
      </c>
      <c r="F19" s="30" t="str">
        <f t="shared" si="1"/>
        <v/>
      </c>
      <c r="G19" s="155" t="str">
        <f>IF(AND($C19="",$C18&lt;&gt;""),"Tổng Cộng",IFERROR(VLOOKUP($A19,Sheet1!$A$1:$D$80,4,0),""))</f>
        <v/>
      </c>
      <c r="H19" s="148" t="str">
        <f>IF($C18=MAX($C$8:$C$56),SUM($H$8:$H18),IFERROR($G19*$F19,""))</f>
        <v/>
      </c>
      <c r="I19" s="54" t="str">
        <f t="shared" si="2"/>
        <v/>
      </c>
      <c r="L19" s="31"/>
    </row>
    <row r="20" spans="1:12" s="29" customFormat="1" ht="14.25" customHeight="1" x14ac:dyDescent="0.25">
      <c r="A20" s="150" t="s">
        <v>310</v>
      </c>
      <c r="B20" s="150"/>
      <c r="C20" s="30" t="str">
        <f t="shared" si="0"/>
        <v/>
      </c>
      <c r="D20" s="147" t="str">
        <f>IFERROR(VLOOKUP($A20,Sheet1!$A$1:$B$80,2,0),"")</f>
        <v/>
      </c>
      <c r="E20" s="30" t="str">
        <f>IFERROR(VLOOKUP($A20,'Tổng Đơn'!$A$5:$E$52,5,0),"")</f>
        <v/>
      </c>
      <c r="F20" s="30" t="str">
        <f t="shared" si="1"/>
        <v/>
      </c>
      <c r="G20" s="155" t="str">
        <f>IF(AND($C20="",$C19&lt;&gt;""),"Tổng Cộng",IFERROR(VLOOKUP($A20,Sheet1!$A$1:$D$80,4,0),""))</f>
        <v/>
      </c>
      <c r="H20" s="148" t="str">
        <f>IF($C19=MAX($C$8:$C$56),SUM($H$8:$H19),IFERROR($G20*$F20,""))</f>
        <v/>
      </c>
      <c r="I20" s="54" t="str">
        <f t="shared" si="2"/>
        <v/>
      </c>
      <c r="L20" s="31"/>
    </row>
    <row r="21" spans="1:12" s="29" customFormat="1" ht="14.25" customHeight="1" x14ac:dyDescent="0.25">
      <c r="A21" s="150" t="s">
        <v>310</v>
      </c>
      <c r="B21" s="150"/>
      <c r="C21" s="30" t="str">
        <f t="shared" si="0"/>
        <v/>
      </c>
      <c r="D21" s="147" t="str">
        <f>IFERROR(VLOOKUP($A21,Sheet1!$A$1:$B$80,2,0),"")</f>
        <v/>
      </c>
      <c r="E21" s="30" t="str">
        <f>IFERROR(VLOOKUP($A21,'Tổng Đơn'!$A$5:$E$52,5,0),"")</f>
        <v/>
      </c>
      <c r="F21" s="30" t="str">
        <f t="shared" si="1"/>
        <v/>
      </c>
      <c r="G21" s="155" t="str">
        <f>IF(AND($C21="",$C20&lt;&gt;""),"Tổng Cộng",IFERROR(VLOOKUP($A21,Sheet1!$A$1:$D$80,4,0),""))</f>
        <v/>
      </c>
      <c r="H21" s="148" t="str">
        <f>IF($C20=MAX($C$8:$C$56),SUM($H$8:$H20),IFERROR($G21*$F21,""))</f>
        <v/>
      </c>
      <c r="I21" s="54" t="str">
        <f t="shared" si="2"/>
        <v/>
      </c>
      <c r="L21" s="31"/>
    </row>
    <row r="22" spans="1:12" s="29" customFormat="1" ht="14.25" customHeight="1" x14ac:dyDescent="0.25">
      <c r="A22" s="150" t="s">
        <v>310</v>
      </c>
      <c r="B22" s="150"/>
      <c r="C22" s="30" t="str">
        <f t="shared" si="0"/>
        <v/>
      </c>
      <c r="D22" s="147" t="str">
        <f>IFERROR(VLOOKUP($A22,Sheet1!$A$1:$B$80,2,0),"")</f>
        <v/>
      </c>
      <c r="E22" s="30" t="str">
        <f>IFERROR(VLOOKUP($A22,'Tổng Đơn'!$A$5:$E$52,5,0),"")</f>
        <v/>
      </c>
      <c r="F22" s="30" t="str">
        <f t="shared" si="1"/>
        <v/>
      </c>
      <c r="G22" s="155" t="str">
        <f>IF(AND($C22="",$C21&lt;&gt;""),"Tổng Cộng",IFERROR(VLOOKUP($A22,Sheet1!$A$1:$D$80,4,0),""))</f>
        <v/>
      </c>
      <c r="H22" s="148" t="str">
        <f>IF($C21=MAX($C$8:$C$56),SUM($H$8:$H21),IFERROR($G22*$F22,""))</f>
        <v/>
      </c>
      <c r="I22" s="54" t="str">
        <f t="shared" si="2"/>
        <v/>
      </c>
      <c r="L22" s="31"/>
    </row>
    <row r="23" spans="1:12" s="29" customFormat="1" ht="14.25" customHeight="1" x14ac:dyDescent="0.25">
      <c r="A23" s="150" t="s">
        <v>310</v>
      </c>
      <c r="B23" s="150"/>
      <c r="C23" s="30" t="str">
        <f t="shared" si="0"/>
        <v/>
      </c>
      <c r="D23" s="147" t="str">
        <f>IFERROR(VLOOKUP($A23,Sheet1!$A$1:$B$80,2,0),"")</f>
        <v/>
      </c>
      <c r="E23" s="30" t="str">
        <f>IFERROR(VLOOKUP($A23,'Tổng Đơn'!$A$5:$E$52,5,0),"")</f>
        <v/>
      </c>
      <c r="F23" s="30" t="str">
        <f t="shared" si="1"/>
        <v/>
      </c>
      <c r="G23" s="155" t="str">
        <f>IF(AND($C23="",$C22&lt;&gt;""),"Tổng Cộng",IFERROR(VLOOKUP($A23,Sheet1!$A$1:$D$80,4,0),""))</f>
        <v/>
      </c>
      <c r="H23" s="148" t="str">
        <f>IF($C22=MAX($C$8:$C$56),SUM($H$8:$H22),IFERROR($G23*$F23,""))</f>
        <v/>
      </c>
      <c r="I23" s="54" t="str">
        <f t="shared" si="2"/>
        <v/>
      </c>
      <c r="L23" s="31"/>
    </row>
    <row r="24" spans="1:12" s="29" customFormat="1" ht="14.25" customHeight="1" x14ac:dyDescent="0.25">
      <c r="A24" s="150" t="s">
        <v>310</v>
      </c>
      <c r="B24" s="150"/>
      <c r="C24" s="30" t="str">
        <f t="shared" si="0"/>
        <v/>
      </c>
      <c r="D24" s="147" t="str">
        <f>IFERROR(VLOOKUP($A24,Sheet1!$A$1:$B$80,2,0),"")</f>
        <v/>
      </c>
      <c r="E24" s="30" t="str">
        <f>IFERROR(VLOOKUP($A24,'Tổng Đơn'!$A$5:$E$52,5,0),"")</f>
        <v/>
      </c>
      <c r="F24" s="30" t="str">
        <f t="shared" si="1"/>
        <v/>
      </c>
      <c r="G24" s="155" t="str">
        <f>IF(AND($C24="",$C23&lt;&gt;""),"Tổng Cộng",IFERROR(VLOOKUP($A24,Sheet1!$A$1:$D$80,4,0),""))</f>
        <v/>
      </c>
      <c r="H24" s="148" t="str">
        <f>IF($C23=MAX($C$8:$C$56),SUM($H$8:$H23),IFERROR($G24*$F24,""))</f>
        <v/>
      </c>
      <c r="I24" s="54" t="str">
        <f t="shared" si="2"/>
        <v/>
      </c>
      <c r="L24" s="31"/>
    </row>
    <row r="25" spans="1:12" s="29" customFormat="1" ht="14.25" customHeight="1" x14ac:dyDescent="0.25">
      <c r="A25" s="150" t="s">
        <v>310</v>
      </c>
      <c r="B25" s="150"/>
      <c r="C25" s="30" t="str">
        <f t="shared" si="0"/>
        <v/>
      </c>
      <c r="D25" s="147" t="str">
        <f>IFERROR(VLOOKUP($A25,Sheet1!$A$1:$B$80,2,0),"")</f>
        <v/>
      </c>
      <c r="E25" s="30" t="str">
        <f>IFERROR(VLOOKUP($A25,'Tổng Đơn'!$A$5:$E$52,5,0),"")</f>
        <v/>
      </c>
      <c r="F25" s="30" t="str">
        <f t="shared" si="1"/>
        <v/>
      </c>
      <c r="G25" s="155" t="str">
        <f>IF(AND($C25="",$C24&lt;&gt;""),"Tổng Cộng",IFERROR(VLOOKUP($A25,Sheet1!$A$1:$D$80,4,0),""))</f>
        <v/>
      </c>
      <c r="H25" s="148" t="str">
        <f>IF($C24=MAX($C$8:$C$56),SUM($H$8:$H24),IFERROR($G25*$F25,""))</f>
        <v/>
      </c>
      <c r="I25" s="54" t="str">
        <f t="shared" si="2"/>
        <v/>
      </c>
      <c r="L25" s="31"/>
    </row>
    <row r="26" spans="1:12" s="29" customFormat="1" ht="14.25" customHeight="1" x14ac:dyDescent="0.25">
      <c r="A26" s="150" t="s">
        <v>310</v>
      </c>
      <c r="B26" s="150"/>
      <c r="C26" s="30" t="str">
        <f t="shared" si="0"/>
        <v/>
      </c>
      <c r="D26" s="147" t="str">
        <f>IFERROR(VLOOKUP($A26,Sheet1!$A$1:$B$80,2,0),"")</f>
        <v/>
      </c>
      <c r="E26" s="30" t="str">
        <f>IFERROR(VLOOKUP($A26,'Tổng Đơn'!$A$5:$E$52,5,0),"")</f>
        <v/>
      </c>
      <c r="F26" s="30" t="str">
        <f t="shared" si="1"/>
        <v/>
      </c>
      <c r="G26" s="155" t="str">
        <f>IF(AND($C26="",$C25&lt;&gt;""),"Tổng Cộng",IFERROR(VLOOKUP($A26,Sheet1!$A$1:$D$80,4,0),""))</f>
        <v/>
      </c>
      <c r="H26" s="148" t="str">
        <f>IF($C25=MAX($C$8:$C$56),SUM($H$8:$H25),IFERROR($G26*$F26,""))</f>
        <v/>
      </c>
      <c r="I26" s="54" t="str">
        <f t="shared" si="2"/>
        <v/>
      </c>
      <c r="L26" s="31"/>
    </row>
    <row r="27" spans="1:12" s="29" customFormat="1" ht="14.25" customHeight="1" x14ac:dyDescent="0.25">
      <c r="A27" s="150" t="s">
        <v>310</v>
      </c>
      <c r="B27" s="150"/>
      <c r="C27" s="30" t="str">
        <f t="shared" si="0"/>
        <v/>
      </c>
      <c r="D27" s="147" t="str">
        <f>IFERROR(VLOOKUP($A27,Sheet1!$A$1:$B$80,2,0),"")</f>
        <v/>
      </c>
      <c r="E27" s="30" t="str">
        <f>IFERROR(VLOOKUP($A27,'Tổng Đơn'!$A$5:$E$52,5,0),"")</f>
        <v/>
      </c>
      <c r="F27" s="30" t="str">
        <f t="shared" si="1"/>
        <v/>
      </c>
      <c r="G27" s="155" t="str">
        <f>IF(AND($C27="",$C26&lt;&gt;""),"Tổng Cộng",IFERROR(VLOOKUP($A27,Sheet1!$A$1:$D$80,4,0),""))</f>
        <v/>
      </c>
      <c r="H27" s="148" t="str">
        <f>IF($C26=MAX($C$8:$C$56),SUM($H$8:$H26),IFERROR($G27*$F27,""))</f>
        <v/>
      </c>
      <c r="I27" s="54" t="str">
        <f t="shared" si="2"/>
        <v/>
      </c>
      <c r="L27" s="31"/>
    </row>
    <row r="28" spans="1:12" s="29" customFormat="1" ht="14.25" customHeight="1" x14ac:dyDescent="0.25">
      <c r="A28" s="150" t="s">
        <v>310</v>
      </c>
      <c r="B28" s="150"/>
      <c r="C28" s="30" t="str">
        <f t="shared" si="0"/>
        <v/>
      </c>
      <c r="D28" s="147" t="str">
        <f>IFERROR(VLOOKUP($A28,Sheet1!$A$1:$B$80,2,0),"")</f>
        <v/>
      </c>
      <c r="E28" s="30" t="str">
        <f>IFERROR(VLOOKUP($A28,'Tổng Đơn'!$A$5:$E$52,5,0),"")</f>
        <v/>
      </c>
      <c r="F28" s="30" t="str">
        <f t="shared" si="1"/>
        <v/>
      </c>
      <c r="G28" s="155" t="str">
        <f>IF(AND($C28="",$C27&lt;&gt;""),"Tổng Cộng",IFERROR(VLOOKUP($A28,Sheet1!$A$1:$D$80,4,0),""))</f>
        <v/>
      </c>
      <c r="H28" s="148" t="str">
        <f>IF($C27=MAX($C$8:$C$56),SUM($H$8:$H27),IFERROR($G28*$F28,""))</f>
        <v/>
      </c>
      <c r="I28" s="54" t="str">
        <f t="shared" si="2"/>
        <v/>
      </c>
      <c r="L28" s="31"/>
    </row>
    <row r="29" spans="1:12" s="29" customFormat="1" ht="14.25" customHeight="1" x14ac:dyDescent="0.25">
      <c r="A29" s="150" t="s">
        <v>310</v>
      </c>
      <c r="B29" s="150"/>
      <c r="C29" s="30" t="str">
        <f t="shared" si="0"/>
        <v/>
      </c>
      <c r="D29" s="147" t="str">
        <f>IFERROR(VLOOKUP($A29,Sheet1!$A$1:$B$80,2,0),"")</f>
        <v/>
      </c>
      <c r="E29" s="30" t="str">
        <f>IFERROR(VLOOKUP($A29,'Tổng Đơn'!$A$5:$E$52,5,0),"")</f>
        <v/>
      </c>
      <c r="F29" s="30" t="str">
        <f t="shared" si="1"/>
        <v/>
      </c>
      <c r="G29" s="155" t="str">
        <f>IF(AND($C29="",$C28&lt;&gt;""),"Tổng Cộng",IFERROR(VLOOKUP($A29,Sheet1!$A$1:$D$80,4,0),""))</f>
        <v/>
      </c>
      <c r="H29" s="148" t="str">
        <f>IF($C28=MAX($C$8:$C$56),SUM($H$8:$H28),IFERROR($G29*$F29,""))</f>
        <v/>
      </c>
      <c r="I29" s="54" t="str">
        <f t="shared" si="2"/>
        <v/>
      </c>
      <c r="L29" s="31"/>
    </row>
    <row r="30" spans="1:12" s="29" customFormat="1" ht="14.25" customHeight="1" x14ac:dyDescent="0.25">
      <c r="A30" s="150" t="s">
        <v>310</v>
      </c>
      <c r="B30" s="150"/>
      <c r="C30" s="30" t="str">
        <f t="shared" si="0"/>
        <v/>
      </c>
      <c r="D30" s="147" t="str">
        <f>IFERROR(VLOOKUP($A30,Sheet1!$A$1:$B$80,2,0),"")</f>
        <v/>
      </c>
      <c r="E30" s="30" t="str">
        <f>IFERROR(VLOOKUP($A30,'Tổng Đơn'!$A$5:$E$52,5,0),"")</f>
        <v/>
      </c>
      <c r="F30" s="30" t="str">
        <f t="shared" si="1"/>
        <v/>
      </c>
      <c r="G30" s="155" t="str">
        <f>IF(AND($C30="",$C29&lt;&gt;""),"Tổng Cộng",IFERROR(VLOOKUP($A30,Sheet1!$A$1:$D$80,4,0),""))</f>
        <v/>
      </c>
      <c r="H30" s="148" t="str">
        <f>IF($C29=MAX($C$8:$C$56),SUM($H$8:$H29),IFERROR($G30*$F30,""))</f>
        <v/>
      </c>
      <c r="I30" s="54" t="str">
        <f t="shared" si="2"/>
        <v/>
      </c>
      <c r="L30" s="31"/>
    </row>
    <row r="31" spans="1:12" s="29" customFormat="1" ht="14.25" customHeight="1" x14ac:dyDescent="0.25">
      <c r="A31" s="150" t="s">
        <v>310</v>
      </c>
      <c r="B31" s="150"/>
      <c r="C31" s="30" t="str">
        <f t="shared" si="0"/>
        <v/>
      </c>
      <c r="D31" s="147" t="str">
        <f>IFERROR(VLOOKUP($A31,Sheet1!$A$1:$B$80,2,0),"")</f>
        <v/>
      </c>
      <c r="E31" s="30" t="str">
        <f>IFERROR(VLOOKUP($A31,'Tổng Đơn'!$A$5:$E$52,5,0),"")</f>
        <v/>
      </c>
      <c r="F31" s="30" t="str">
        <f t="shared" si="1"/>
        <v/>
      </c>
      <c r="G31" s="155" t="str">
        <f>IF(AND($C31="",$C30&lt;&gt;""),"Tổng Cộng",IFERROR(VLOOKUP($A31,Sheet1!$A$1:$D$80,4,0),""))</f>
        <v/>
      </c>
      <c r="H31" s="148" t="str">
        <f>IF($C30=MAX($C$8:$C$56),SUM($H$8:$H30),IFERROR($G31*$F31,""))</f>
        <v/>
      </c>
      <c r="I31" s="54" t="str">
        <f t="shared" si="2"/>
        <v/>
      </c>
      <c r="L31" s="31"/>
    </row>
    <row r="32" spans="1:12" s="29" customFormat="1" ht="14.25" customHeight="1" x14ac:dyDescent="0.25">
      <c r="A32" s="150" t="s">
        <v>310</v>
      </c>
      <c r="B32" s="150"/>
      <c r="C32" s="30" t="str">
        <f t="shared" si="0"/>
        <v/>
      </c>
      <c r="D32" s="147" t="str">
        <f>IFERROR(VLOOKUP($A32,Sheet1!$A$1:$B$80,2,0),"")</f>
        <v/>
      </c>
      <c r="E32" s="30" t="str">
        <f>IFERROR(VLOOKUP($A32,'Tổng Đơn'!$A$5:$E$52,5,0),"")</f>
        <v/>
      </c>
      <c r="F32" s="30" t="str">
        <f t="shared" si="1"/>
        <v/>
      </c>
      <c r="G32" s="155" t="str">
        <f>IF(AND($C32="",$C31&lt;&gt;""),"Tổng Cộng",IFERROR(VLOOKUP($A32,Sheet1!$A$1:$D$80,4,0),""))</f>
        <v/>
      </c>
      <c r="H32" s="148" t="str">
        <f>IF($C31=MAX($C$8:$C$56),SUM($H$8:$H31),IFERROR($G32*$F32,""))</f>
        <v/>
      </c>
      <c r="I32" s="54" t="str">
        <f t="shared" si="2"/>
        <v/>
      </c>
      <c r="L32" s="31"/>
    </row>
    <row r="33" spans="1:12" s="29" customFormat="1" ht="14.25" customHeight="1" x14ac:dyDescent="0.25">
      <c r="A33" s="150" t="s">
        <v>310</v>
      </c>
      <c r="B33" s="150"/>
      <c r="C33" s="30" t="str">
        <f t="shared" si="0"/>
        <v/>
      </c>
      <c r="D33" s="147" t="str">
        <f>IFERROR(VLOOKUP($A33,Sheet1!$A$1:$B$80,2,0),"")</f>
        <v/>
      </c>
      <c r="E33" s="30" t="str">
        <f>IFERROR(VLOOKUP($A33,'Tổng Đơn'!$A$5:$E$52,5,0),"")</f>
        <v/>
      </c>
      <c r="F33" s="30" t="str">
        <f t="shared" si="1"/>
        <v/>
      </c>
      <c r="G33" s="155" t="str">
        <f>IF(AND($C33="",$C32&lt;&gt;""),"Tổng Cộng",IFERROR(VLOOKUP($A33,Sheet1!$A$1:$D$80,4,0),""))</f>
        <v/>
      </c>
      <c r="H33" s="148" t="str">
        <f>IF($C32=MAX($C$8:$C$56),SUM($H$8:$H32),IFERROR($G33*$F33,""))</f>
        <v/>
      </c>
      <c r="I33" s="54" t="str">
        <f t="shared" si="2"/>
        <v/>
      </c>
      <c r="L33" s="31"/>
    </row>
    <row r="34" spans="1:12" s="29" customFormat="1" ht="14.25" customHeight="1" x14ac:dyDescent="0.25">
      <c r="A34" s="150" t="s">
        <v>310</v>
      </c>
      <c r="B34" s="150"/>
      <c r="C34" s="30" t="str">
        <f t="shared" si="0"/>
        <v/>
      </c>
      <c r="D34" s="147" t="str">
        <f>IFERROR(VLOOKUP($A34,Sheet1!$A$1:$B$80,2,0),"")</f>
        <v/>
      </c>
      <c r="E34" s="30" t="str">
        <f>IFERROR(VLOOKUP($A34,'Tổng Đơn'!$A$5:$E$52,5,0),"")</f>
        <v/>
      </c>
      <c r="F34" s="30" t="str">
        <f t="shared" si="1"/>
        <v/>
      </c>
      <c r="G34" s="155" t="str">
        <f>IF(AND($C34="",$C33&lt;&gt;""),"Tổng Cộng",IFERROR(VLOOKUP($A34,Sheet1!$A$1:$D$80,4,0),""))</f>
        <v/>
      </c>
      <c r="H34" s="148" t="str">
        <f>IF($C33=MAX($C$8:$C$56),SUM($H$8:$H33),IFERROR($G34*$F34,""))</f>
        <v/>
      </c>
      <c r="I34" s="54" t="str">
        <f t="shared" si="2"/>
        <v/>
      </c>
      <c r="L34" s="31"/>
    </row>
    <row r="35" spans="1:12" s="29" customFormat="1" ht="14.25" customHeight="1" x14ac:dyDescent="0.25">
      <c r="A35" s="150" t="s">
        <v>310</v>
      </c>
      <c r="B35" s="150"/>
      <c r="C35" s="30" t="str">
        <f t="shared" si="0"/>
        <v/>
      </c>
      <c r="D35" s="147" t="str">
        <f>IFERROR(VLOOKUP($A35,Sheet1!$A$1:$B$80,2,0),"")</f>
        <v/>
      </c>
      <c r="E35" s="30" t="str">
        <f>IFERROR(VLOOKUP($A35,'Tổng Đơn'!$A$5:$E$52,5,0),"")</f>
        <v/>
      </c>
      <c r="F35" s="30" t="str">
        <f t="shared" si="1"/>
        <v/>
      </c>
      <c r="G35" s="155" t="str">
        <f>IF(AND($C35="",$C34&lt;&gt;""),"Tổng Cộng",IFERROR(VLOOKUP($A35,Sheet1!$A$1:$D$80,4,0),""))</f>
        <v/>
      </c>
      <c r="H35" s="148" t="str">
        <f>IF($C34=MAX($C$8:$C$56),SUM($H$8:$H34),IFERROR($G35*$F35,""))</f>
        <v/>
      </c>
      <c r="I35" s="54" t="str">
        <f t="shared" si="2"/>
        <v/>
      </c>
      <c r="L35" s="31"/>
    </row>
    <row r="36" spans="1:12" s="29" customFormat="1" ht="14.25" customHeight="1" x14ac:dyDescent="0.25">
      <c r="A36" s="150" t="s">
        <v>310</v>
      </c>
      <c r="B36" s="150"/>
      <c r="C36" s="30" t="str">
        <f t="shared" si="0"/>
        <v/>
      </c>
      <c r="D36" s="147" t="str">
        <f>IFERROR(VLOOKUP($A36,Sheet1!$A$1:$B$80,2,0),"")</f>
        <v/>
      </c>
      <c r="E36" s="30" t="str">
        <f>IFERROR(VLOOKUP($A36,'Tổng Đơn'!$A$5:$E$52,5,0),"")</f>
        <v/>
      </c>
      <c r="F36" s="30" t="str">
        <f t="shared" si="1"/>
        <v/>
      </c>
      <c r="G36" s="155" t="str">
        <f>IF(AND($C36="",$C35&lt;&gt;""),"Tổng Cộng",IFERROR(VLOOKUP($A36,Sheet1!$A$1:$D$80,4,0),""))</f>
        <v/>
      </c>
      <c r="H36" s="148" t="str">
        <f>IF($C35=MAX($C$8:$C$56),SUM($H$8:$H35),IFERROR($G36*$F36,""))</f>
        <v/>
      </c>
      <c r="I36" s="54" t="str">
        <f t="shared" si="2"/>
        <v/>
      </c>
      <c r="L36" s="31"/>
    </row>
    <row r="37" spans="1:12" s="29" customFormat="1" ht="14.25" customHeight="1" x14ac:dyDescent="0.25">
      <c r="A37" s="150" t="s">
        <v>310</v>
      </c>
      <c r="B37" s="150"/>
      <c r="C37" s="30" t="str">
        <f t="shared" si="0"/>
        <v/>
      </c>
      <c r="D37" s="147" t="str">
        <f>IFERROR(VLOOKUP($A37,Sheet1!$A$1:$B$80,2,0),"")</f>
        <v/>
      </c>
      <c r="E37" s="30" t="str">
        <f>IFERROR(VLOOKUP($A37,'Tổng Đơn'!$A$5:$E$52,5,0),"")</f>
        <v/>
      </c>
      <c r="F37" s="30" t="str">
        <f t="shared" si="1"/>
        <v/>
      </c>
      <c r="G37" s="155" t="str">
        <f>IF(AND($C37="",$C36&lt;&gt;""),"Tổng Cộng",IFERROR(VLOOKUP($A37,Sheet1!$A$1:$D$80,4,0),""))</f>
        <v/>
      </c>
      <c r="H37" s="148" t="str">
        <f>IF($C36=MAX($C$8:$C$56),SUM($H$8:$H36),IFERROR($G37*$F37,""))</f>
        <v/>
      </c>
      <c r="I37" s="54" t="str">
        <f t="shared" si="2"/>
        <v/>
      </c>
      <c r="L37" s="31"/>
    </row>
    <row r="38" spans="1:12" s="29" customFormat="1" ht="14.25" customHeight="1" x14ac:dyDescent="0.25">
      <c r="A38" s="150"/>
      <c r="B38" s="150"/>
      <c r="C38" s="33"/>
      <c r="D38" s="34"/>
      <c r="E38" s="52"/>
      <c r="F38" s="30"/>
      <c r="G38" s="156" t="str">
        <f>IF(AND($C38="",$C37&lt;&gt;""),"Tổng Cộng",IFERROR(VLOOKUP($A38,Sheet1!$A$1:$D$80,4,0),""))</f>
        <v/>
      </c>
      <c r="H38" s="35" t="str">
        <f>IF($C37=MAX($C$8:$C$56),SUM($H$8:$H37),IFERROR($G38*$F38,""))</f>
        <v/>
      </c>
      <c r="I38" s="54"/>
      <c r="L38" s="31"/>
    </row>
    <row r="39" spans="1:12" ht="15" customHeight="1" x14ac:dyDescent="0.25">
      <c r="F39" s="36"/>
      <c r="G39" s="139"/>
      <c r="H39" s="37"/>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C38:E38 D23:E37 F23:H38">
    <cfRule type="expression" dxfId="71" priority="22">
      <formula>$C22=MAX($C$8:$C$37)</formula>
    </cfRule>
  </conditionalFormatting>
  <conditionalFormatting sqref="C23:C37">
    <cfRule type="expression" dxfId="70" priority="21">
      <formula>$C22=MAX($C$8:$C$37)</formula>
    </cfRule>
  </conditionalFormatting>
  <conditionalFormatting sqref="E23:E38">
    <cfRule type="expression" dxfId="69" priority="23">
      <formula>AND($A23="",$F23&lt;&gt;"")</formula>
    </cfRule>
  </conditionalFormatting>
  <conditionalFormatting sqref="F23:F38">
    <cfRule type="expression" dxfId="68" priority="24">
      <formula>AND($F23="",$A23&lt;&gt;"")</formula>
    </cfRule>
  </conditionalFormatting>
  <conditionalFormatting sqref="D20:H22">
    <cfRule type="expression" dxfId="67" priority="18">
      <formula>$C19=MAX($C$8:$C$37)</formula>
    </cfRule>
  </conditionalFormatting>
  <conditionalFormatting sqref="C20:C22">
    <cfRule type="expression" dxfId="66" priority="17">
      <formula>$C19=MAX($C$8:$C$37)</formula>
    </cfRule>
  </conditionalFormatting>
  <conditionalFormatting sqref="E20:E22">
    <cfRule type="expression" dxfId="65" priority="19">
      <formula>AND($A20="",$F20&lt;&gt;"")</formula>
    </cfRule>
  </conditionalFormatting>
  <conditionalFormatting sqref="F20:F22">
    <cfRule type="expression" dxfId="64" priority="20">
      <formula>AND($F20="",$A20&lt;&gt;"")</formula>
    </cfRule>
  </conditionalFormatting>
  <conditionalFormatting sqref="D15:H19 D12:F14 H12:H14">
    <cfRule type="expression" dxfId="63" priority="14">
      <formula>$C11=MAX($C$8:$C$37)</formula>
    </cfRule>
  </conditionalFormatting>
  <conditionalFormatting sqref="C12:C19">
    <cfRule type="expression" dxfId="62" priority="13">
      <formula>$C11=MAX($C$8:$C$37)</formula>
    </cfRule>
  </conditionalFormatting>
  <conditionalFormatting sqref="E12:E19">
    <cfRule type="expression" dxfId="61" priority="15">
      <formula>AND($A12="",$F12&lt;&gt;"")</formula>
    </cfRule>
  </conditionalFormatting>
  <conditionalFormatting sqref="F12:F19">
    <cfRule type="expression" dxfId="60" priority="16">
      <formula>AND($F12="",$A12&lt;&gt;"")</formula>
    </cfRule>
  </conditionalFormatting>
  <conditionalFormatting sqref="G12:G14">
    <cfRule type="expression" dxfId="59" priority="12">
      <formula>$C11=MAX($C$8:$C$37)</formula>
    </cfRule>
  </conditionalFormatting>
  <conditionalFormatting sqref="D9:F11 H9:H11">
    <cfRule type="expression" dxfId="58" priority="9">
      <formula>$C8=MAX($C$8:$C$37)</formula>
    </cfRule>
  </conditionalFormatting>
  <conditionalFormatting sqref="C9:C11">
    <cfRule type="expression" dxfId="57" priority="8">
      <formula>$C8=MAX($C$8:$C$37)</formula>
    </cfRule>
  </conditionalFormatting>
  <conditionalFormatting sqref="E9:E11">
    <cfRule type="expression" dxfId="56" priority="10">
      <formula>AND($A9="",$F9&lt;&gt;"")</formula>
    </cfRule>
  </conditionalFormatting>
  <conditionalFormatting sqref="F9:F11">
    <cfRule type="expression" dxfId="55" priority="11">
      <formula>AND($F9="",$A9&lt;&gt;"")</formula>
    </cfRule>
  </conditionalFormatting>
  <conditionalFormatting sqref="D8:F8">
    <cfRule type="expression" dxfId="54" priority="5">
      <formula>$C7=MAX($C$8:$C$37)</formula>
    </cfRule>
  </conditionalFormatting>
  <conditionalFormatting sqref="C8">
    <cfRule type="expression" dxfId="53" priority="4">
      <formula>$C7=MAX($C$8:$C$37)</formula>
    </cfRule>
  </conditionalFormatting>
  <conditionalFormatting sqref="E8">
    <cfRule type="expression" dxfId="52" priority="6">
      <formula>AND($A8="",$F8&lt;&gt;"")</formula>
    </cfRule>
  </conditionalFormatting>
  <conditionalFormatting sqref="F8">
    <cfRule type="expression" dxfId="51" priority="7">
      <formula>AND($F8="",$A8&lt;&gt;"")</formula>
    </cfRule>
  </conditionalFormatting>
  <conditionalFormatting sqref="H8">
    <cfRule type="expression" dxfId="50" priority="3">
      <formula>$C7=MAX($C$8:$C$37)</formula>
    </cfRule>
  </conditionalFormatting>
  <conditionalFormatting sqref="G9:G11">
    <cfRule type="expression" dxfId="49" priority="2">
      <formula>$C8=MAX($C$8:$C$37)</formula>
    </cfRule>
  </conditionalFormatting>
  <conditionalFormatting sqref="G8">
    <cfRule type="expression" dxfId="48" priority="1">
      <formula>$C7=MAX($C$8:$C$37)</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1531905" r:id="rId4" name="Button 1">
              <controlPr defaultSize="0" print="0" autoFill="0" autoPict="0" macro="[0]!Macro4">
                <anchor moveWithCells="1" sizeWithCells="1">
                  <from>
                    <xdr:col>0</xdr:col>
                    <xdr:colOff>0</xdr:colOff>
                    <xdr:row>0</xdr:row>
                    <xdr:rowOff>0</xdr:rowOff>
                  </from>
                  <to>
                    <xdr:col>1</xdr:col>
                    <xdr:colOff>769620</xdr:colOff>
                    <xdr:row>7</xdr:row>
                    <xdr:rowOff>0</xdr:rowOff>
                  </to>
                </anchor>
              </controlPr>
            </control>
          </mc:Choice>
        </mc:AlternateContent>
      </controls>
    </mc:Choice>
  </mc:AlternateContent>
</worksheet>
</file>

<file path=xl/worksheets/sheet3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3410F10-B089-4279-B01B-94B3D807567F}">
  <sheetPr codeName="Sheet35">
    <tabColor theme="1"/>
    <pageSetUpPr fitToPage="1"/>
  </sheetPr>
  <dimension ref="A1:N53"/>
  <sheetViews>
    <sheetView zoomScaleNormal="100" workbookViewId="0">
      <pane ySplit="7" topLeftCell="A8" activePane="bottomLeft" state="frozen"/>
      <selection activeCell="Q2" sqref="Q2"/>
      <selection pane="bottomLeft" activeCell="H10" sqref="H10"/>
    </sheetView>
  </sheetViews>
  <sheetFormatPr defaultColWidth="9.09765625" defaultRowHeight="13.8" x14ac:dyDescent="0.25"/>
  <cols>
    <col min="1" max="1" width="11.69921875" style="14" customWidth="1"/>
    <col min="2" max="2" width="11.296875" style="14" customWidth="1"/>
    <col min="3" max="3" width="9.09765625" style="14"/>
    <col min="4" max="4" width="38.3984375" style="14" bestFit="1" customWidth="1"/>
    <col min="5" max="5" width="12.296875" style="53" bestFit="1" customWidth="1"/>
    <col min="6" max="6" width="11" style="14" customWidth="1"/>
    <col min="7" max="7" width="17.8984375" style="14" customWidth="1"/>
    <col min="8" max="8" width="17.8984375" style="15" customWidth="1"/>
    <col min="9" max="9" width="21.8984375" style="14" customWidth="1"/>
    <col min="10" max="10" width="10.09765625" style="14" customWidth="1"/>
    <col min="11" max="11" width="9.09765625" style="14"/>
    <col min="12" max="12" width="11.69921875" style="14" customWidth="1"/>
    <col min="13" max="14" width="10.09765625" style="14" bestFit="1" customWidth="1"/>
    <col min="15" max="16384" width="9.09765625" style="14"/>
  </cols>
  <sheetData>
    <row r="1" spans="1:14" ht="15.75" customHeight="1" x14ac:dyDescent="0.25">
      <c r="C1" s="268" t="s">
        <v>164</v>
      </c>
      <c r="D1" s="268"/>
      <c r="E1" s="268"/>
      <c r="F1" s="268"/>
      <c r="G1" s="268"/>
      <c r="H1" s="268"/>
    </row>
    <row r="2" spans="1:14" ht="15.75" customHeight="1" x14ac:dyDescent="0.25">
      <c r="C2" s="268"/>
      <c r="D2" s="268"/>
      <c r="E2" s="268"/>
      <c r="F2" s="268"/>
      <c r="G2" s="268"/>
      <c r="H2" s="268"/>
    </row>
    <row r="3" spans="1:14" ht="15" customHeight="1" x14ac:dyDescent="0.25">
      <c r="C3" s="269" t="s">
        <v>166</v>
      </c>
      <c r="D3" s="269"/>
      <c r="E3" s="269"/>
      <c r="F3" s="270" t="s">
        <v>168</v>
      </c>
      <c r="G3" s="270"/>
      <c r="H3" s="270"/>
    </row>
    <row r="4" spans="1:14" x14ac:dyDescent="0.25">
      <c r="C4" s="269" t="s">
        <v>167</v>
      </c>
      <c r="D4" s="269"/>
      <c r="E4" s="269"/>
      <c r="F4" s="271" t="s">
        <v>169</v>
      </c>
      <c r="G4" s="271"/>
      <c r="H4" s="271"/>
    </row>
    <row r="5" spans="1:14" s="140" customFormat="1" ht="21" customHeight="1" x14ac:dyDescent="0.25">
      <c r="C5" s="272" t="s">
        <v>165</v>
      </c>
      <c r="D5" s="272"/>
      <c r="E5" s="272"/>
      <c r="F5" s="272"/>
      <c r="G5" s="272"/>
      <c r="H5" s="272"/>
    </row>
    <row r="6" spans="1:14" s="140" customFormat="1" ht="16.5" customHeight="1" x14ac:dyDescent="0.25">
      <c r="C6" s="149" t="s">
        <v>170</v>
      </c>
      <c r="D6" s="152" t="s">
        <v>252</v>
      </c>
      <c r="E6" s="145"/>
      <c r="F6" s="145"/>
      <c r="G6" s="267" t="str">
        <f ca="1">"Ngày "&amp;DAY(TODAY())&amp;" Tháng "&amp;MONTH(TODAY())&amp;" Năm "&amp;YEAR(TODAY())</f>
        <v>Ngày 22 Tháng 1 Năm 2023</v>
      </c>
      <c r="H6" s="267"/>
    </row>
    <row r="7" spans="1:14" s="144" customFormat="1" ht="24" customHeight="1" x14ac:dyDescent="0.25">
      <c r="A7" s="141" t="s">
        <v>101</v>
      </c>
      <c r="B7" s="141" t="s">
        <v>15</v>
      </c>
      <c r="C7" s="142" t="s">
        <v>0</v>
      </c>
      <c r="D7" s="142" t="s">
        <v>16</v>
      </c>
      <c r="E7" s="146" t="str">
        <f>"Quy cách"&amp;CHAR(10)&amp;"(Kg)"</f>
        <v>Quy cách
(Kg)</v>
      </c>
      <c r="F7" s="142" t="s">
        <v>15</v>
      </c>
      <c r="G7" s="142" t="s">
        <v>17</v>
      </c>
      <c r="H7" s="142" t="s">
        <v>18</v>
      </c>
      <c r="I7" s="143">
        <f>SUBTOTAL(9,I8:I37)</f>
        <v>4</v>
      </c>
      <c r="L7" s="140"/>
    </row>
    <row r="8" spans="1:14" s="29" customFormat="1" ht="14.25" customHeight="1" x14ac:dyDescent="0.25">
      <c r="A8" s="150">
        <v>37</v>
      </c>
      <c r="B8" s="150">
        <v>8</v>
      </c>
      <c r="C8" s="30">
        <f t="shared" ref="C8:C37" si="0">IF(OR(SUM($C7,$A8&lt;&gt;"")=0,$A8=""),"",SUM($C7,$A8&lt;&gt;""))</f>
        <v>1</v>
      </c>
      <c r="D8" s="147" t="str">
        <f>IFERROR(VLOOKUP($A8,Sheet1!$A$1:$B$80,2,0),"")</f>
        <v>Tôm viên KK</v>
      </c>
      <c r="E8" s="30">
        <f>IFERROR(VLOOKUP($A8,'Tổng Đơn'!$A$5:$E$52,5,0),"")</f>
        <v>0.5</v>
      </c>
      <c r="F8" s="30">
        <f t="shared" ref="F8:F37" si="1">IF($B8="","",B8)</f>
        <v>8</v>
      </c>
      <c r="G8" s="155">
        <f>IFERROR(VLOOKUP($A8,Sheet1!$A1:$D$80,4,0),"")</f>
        <v>28000</v>
      </c>
      <c r="H8" s="148">
        <f>IF($C7=MAX($C$8:$C$56),SUM($H7:$H$8),IFERROR($G8*$F8,""))</f>
        <v>224000</v>
      </c>
      <c r="I8" s="54">
        <f t="shared" ref="I8:I37" si="2">IF(TYPE($A8)&lt;&gt;1,"",IFERROR(F8*E8,""))</f>
        <v>4</v>
      </c>
      <c r="L8" s="32"/>
    </row>
    <row r="9" spans="1:14" s="29" customFormat="1" ht="14.25" customHeight="1" x14ac:dyDescent="0.25">
      <c r="A9" s="150">
        <v>1</v>
      </c>
      <c r="B9" s="150">
        <v>1</v>
      </c>
      <c r="C9" s="30">
        <f t="shared" si="0"/>
        <v>2</v>
      </c>
      <c r="D9" s="147" t="s">
        <v>312</v>
      </c>
      <c r="E9" s="30" t="s">
        <v>234</v>
      </c>
      <c r="F9" s="30" t="s">
        <v>234</v>
      </c>
      <c r="G9" s="155" t="s">
        <v>234</v>
      </c>
      <c r="H9" s="148">
        <f>-4*9000</f>
        <v>-36000</v>
      </c>
      <c r="I9" s="54" t="str">
        <f t="shared" si="2"/>
        <v/>
      </c>
      <c r="L9" s="31"/>
    </row>
    <row r="10" spans="1:14" s="29" customFormat="1" ht="14.25" customHeight="1" x14ac:dyDescent="0.25">
      <c r="A10" s="150" t="s">
        <v>310</v>
      </c>
      <c r="B10" s="150"/>
      <c r="C10" s="30" t="str">
        <f t="shared" si="0"/>
        <v/>
      </c>
      <c r="D10" s="147" t="str">
        <f>IFERROR(VLOOKUP($A10,Sheet1!$A$1:$B$80,2,0),"")</f>
        <v/>
      </c>
      <c r="E10" s="30" t="str">
        <f>IFERROR(VLOOKUP($A10,'Tổng Đơn'!$A$5:$E$52,5,0),"")</f>
        <v/>
      </c>
      <c r="F10" s="30" t="str">
        <f t="shared" si="1"/>
        <v/>
      </c>
      <c r="G10" s="155" t="str">
        <f>IF(AND($C10="",$C9&lt;&gt;""),"Tổng Cộng",IFERROR(VLOOKUP($A10,Sheet1!$A$1:$D$80,4,0),""))</f>
        <v>Tổng Cộng</v>
      </c>
      <c r="H10" s="148">
        <f>IF($C9=MAX($C$8:$C$56),SUM($H$8:$H9),IFERROR($G10*$F10,""))</f>
        <v>188000</v>
      </c>
      <c r="I10" s="54" t="str">
        <f t="shared" si="2"/>
        <v/>
      </c>
      <c r="L10" s="31"/>
    </row>
    <row r="11" spans="1:14" s="29" customFormat="1" ht="14.25" customHeight="1" x14ac:dyDescent="0.25">
      <c r="A11" s="150" t="s">
        <v>310</v>
      </c>
      <c r="B11" s="150"/>
      <c r="C11" s="30" t="str">
        <f t="shared" si="0"/>
        <v/>
      </c>
      <c r="D11" s="147" t="str">
        <f>IFERROR(VLOOKUP($A11,Sheet1!$A$1:$B$80,2,0),"")</f>
        <v/>
      </c>
      <c r="E11" s="30" t="str">
        <f>IFERROR(VLOOKUP($A11,'Tổng Đơn'!$A$5:$E$52,5,0),"")</f>
        <v/>
      </c>
      <c r="F11" s="30" t="str">
        <f t="shared" si="1"/>
        <v/>
      </c>
      <c r="G11" s="155" t="str">
        <f>IF(AND($C11="",$C10&lt;&gt;""),"Tổng Cộng",IFERROR(VLOOKUP($A11,Sheet1!$A$1:$D$80,4,0),""))</f>
        <v/>
      </c>
      <c r="H11" s="148" t="str">
        <f>IF($C10=MAX($C$8:$C$56),SUM($H$8:$H10),IFERROR($G11*$F11,""))</f>
        <v/>
      </c>
      <c r="I11" s="54" t="str">
        <f t="shared" si="2"/>
        <v/>
      </c>
      <c r="L11" s="31"/>
    </row>
    <row r="12" spans="1:14" s="29" customFormat="1" ht="14.25" customHeight="1" x14ac:dyDescent="0.25">
      <c r="A12" s="150" t="s">
        <v>310</v>
      </c>
      <c r="B12" s="150"/>
      <c r="C12" s="30" t="str">
        <f t="shared" si="0"/>
        <v/>
      </c>
      <c r="D12" s="147" t="str">
        <f>IFERROR(VLOOKUP($A12,Sheet1!$A$1:$B$80,2,0),"")</f>
        <v/>
      </c>
      <c r="E12" s="30" t="str">
        <f>IFERROR(VLOOKUP($A12,'Tổng Đơn'!$A$5:$E$52,5,0),"")</f>
        <v/>
      </c>
      <c r="F12" s="30" t="str">
        <f t="shared" si="1"/>
        <v/>
      </c>
      <c r="G12" s="155" t="str">
        <f>IF(AND($C12="",$C11&lt;&gt;""),"Tổng Cộng",IFERROR(VLOOKUP($A12,Sheet1!$A$1:$D$80,4,0),""))</f>
        <v/>
      </c>
      <c r="H12" s="148" t="str">
        <f>IF($C11=MAX($C$8:$C$56),SUM($H$8:$H11),IFERROR($G12*$F12,""))</f>
        <v/>
      </c>
      <c r="I12" s="54" t="str">
        <f t="shared" si="2"/>
        <v/>
      </c>
      <c r="J12" s="125"/>
      <c r="L12" s="31"/>
      <c r="N12" s="126"/>
    </row>
    <row r="13" spans="1:14" s="29" customFormat="1" ht="14.25" customHeight="1" x14ac:dyDescent="0.25">
      <c r="A13" s="150" t="s">
        <v>310</v>
      </c>
      <c r="B13" s="150"/>
      <c r="C13" s="30" t="str">
        <f t="shared" si="0"/>
        <v/>
      </c>
      <c r="D13" s="147" t="str">
        <f>IFERROR(VLOOKUP($A13,Sheet1!$A$1:$B$80,2,0),"")</f>
        <v/>
      </c>
      <c r="E13" s="30" t="str">
        <f>IFERROR(VLOOKUP($A13,'Tổng Đơn'!$A$5:$E$52,5,0),"")</f>
        <v/>
      </c>
      <c r="F13" s="30" t="str">
        <f t="shared" si="1"/>
        <v/>
      </c>
      <c r="G13" s="155" t="str">
        <f>IF(AND($C13="",$C12&lt;&gt;""),"Tổng Cộng",IFERROR(VLOOKUP($A13,Sheet1!$A$1:$D$80,4,0),""))</f>
        <v/>
      </c>
      <c r="H13" s="148" t="str">
        <f>IF($C12=MAX($C$8:$C$56),SUM($H$8:$H12),IFERROR($G13*$F13,""))</f>
        <v/>
      </c>
      <c r="I13" s="54" t="str">
        <f t="shared" si="2"/>
        <v/>
      </c>
      <c r="L13" s="31"/>
    </row>
    <row r="14" spans="1:14" s="29" customFormat="1" ht="14.25" customHeight="1" x14ac:dyDescent="0.25">
      <c r="A14" s="150" t="s">
        <v>310</v>
      </c>
      <c r="B14" s="150"/>
      <c r="C14" s="30" t="str">
        <f t="shared" si="0"/>
        <v/>
      </c>
      <c r="D14" s="147" t="str">
        <f>IFERROR(VLOOKUP($A14,Sheet1!$A$1:$B$80,2,0),"")</f>
        <v/>
      </c>
      <c r="E14" s="30" t="str">
        <f>IFERROR(VLOOKUP($A14,'Tổng Đơn'!$A$5:$E$52,5,0),"")</f>
        <v/>
      </c>
      <c r="F14" s="30" t="str">
        <f t="shared" si="1"/>
        <v/>
      </c>
      <c r="G14" s="155" t="str">
        <f>IF(AND($C14="",$C13&lt;&gt;""),"Tổng Cộng",IFERROR(VLOOKUP($A14,Sheet1!$A$1:$D$80,4,0),""))</f>
        <v/>
      </c>
      <c r="H14" s="148" t="str">
        <f>IF($C13=MAX($C$8:$C$56),SUM($H$8:$H13),IFERROR($G14*$F14,""))</f>
        <v/>
      </c>
      <c r="I14" s="54" t="str">
        <f t="shared" si="2"/>
        <v/>
      </c>
      <c r="L14" s="31"/>
      <c r="M14" s="132"/>
    </row>
    <row r="15" spans="1:14" s="29" customFormat="1" ht="14.25" customHeight="1" x14ac:dyDescent="0.25">
      <c r="A15" s="150" t="s">
        <v>310</v>
      </c>
      <c r="B15" s="150"/>
      <c r="C15" s="30" t="str">
        <f t="shared" si="0"/>
        <v/>
      </c>
      <c r="D15" s="147" t="str">
        <f>IFERROR(VLOOKUP($A15,Sheet1!$A$1:$B$80,2,0),"")</f>
        <v/>
      </c>
      <c r="E15" s="30" t="str">
        <f>IFERROR(VLOOKUP($A15,'Tổng Đơn'!$A$5:$E$52,5,0),"")</f>
        <v/>
      </c>
      <c r="F15" s="30" t="str">
        <f t="shared" si="1"/>
        <v/>
      </c>
      <c r="G15" s="155" t="str">
        <f>IF(AND($C15="",$C14&lt;&gt;""),"Tổng Cộng",IFERROR(VLOOKUP($A15,Sheet1!$A$1:$D$80,4,0),""))</f>
        <v/>
      </c>
      <c r="H15" s="148" t="str">
        <f>IF($C14=MAX($C$8:$C$56),SUM($H$8:$H14),IFERROR($G15*$F15,""))</f>
        <v/>
      </c>
      <c r="I15" s="54" t="str">
        <f t="shared" si="2"/>
        <v/>
      </c>
      <c r="L15" s="31"/>
    </row>
    <row r="16" spans="1:14" s="29" customFormat="1" ht="14.25" customHeight="1" x14ac:dyDescent="0.25">
      <c r="A16" s="150" t="s">
        <v>310</v>
      </c>
      <c r="B16" s="150"/>
      <c r="C16" s="30" t="str">
        <f t="shared" si="0"/>
        <v/>
      </c>
      <c r="D16" s="147" t="str">
        <f>IFERROR(VLOOKUP($A16,Sheet1!$A$1:$B$80,2,0),"")</f>
        <v/>
      </c>
      <c r="E16" s="30" t="str">
        <f>IFERROR(VLOOKUP($A16,'Tổng Đơn'!$A$5:$E$52,5,0),"")</f>
        <v/>
      </c>
      <c r="F16" s="30" t="str">
        <f t="shared" si="1"/>
        <v/>
      </c>
      <c r="G16" s="155" t="str">
        <f>IF(AND($C16="",$C15&lt;&gt;""),"Tổng Cộng",IFERROR(VLOOKUP($A16,Sheet1!$A$1:$D$80,4,0),""))</f>
        <v/>
      </c>
      <c r="H16" s="148" t="str">
        <f>IF($C15=MAX($C$8:$C$56),SUM($H$8:$H15),IFERROR($G16*$F16,""))</f>
        <v/>
      </c>
      <c r="I16" s="54" t="str">
        <f t="shared" si="2"/>
        <v/>
      </c>
      <c r="L16" s="31"/>
    </row>
    <row r="17" spans="1:12" s="29" customFormat="1" ht="14.25" customHeight="1" x14ac:dyDescent="0.25">
      <c r="A17" s="150" t="s">
        <v>310</v>
      </c>
      <c r="B17" s="150"/>
      <c r="C17" s="30" t="str">
        <f t="shared" si="0"/>
        <v/>
      </c>
      <c r="D17" s="147" t="str">
        <f>IFERROR(VLOOKUP($A17,Sheet1!$A$1:$B$80,2,0),"")</f>
        <v/>
      </c>
      <c r="E17" s="30" t="str">
        <f>IFERROR(VLOOKUP($A17,'Tổng Đơn'!$A$5:$E$52,5,0),"")</f>
        <v/>
      </c>
      <c r="F17" s="30" t="str">
        <f t="shared" si="1"/>
        <v/>
      </c>
      <c r="G17" s="155" t="str">
        <f>IF(AND($C17="",$C16&lt;&gt;""),"Tổng Cộng",IFERROR(VLOOKUP($A17,Sheet1!$A$1:$D$80,4,0),""))</f>
        <v/>
      </c>
      <c r="H17" s="148" t="str">
        <f>IF($C16=MAX($C$8:$C$56),SUM($H$8:$H16),IFERROR($G17*$F17,""))</f>
        <v/>
      </c>
      <c r="I17" s="54" t="str">
        <f t="shared" si="2"/>
        <v/>
      </c>
      <c r="L17" s="31"/>
    </row>
    <row r="18" spans="1:12" s="29" customFormat="1" ht="14.25" customHeight="1" x14ac:dyDescent="0.25">
      <c r="A18" s="150" t="s">
        <v>310</v>
      </c>
      <c r="B18" s="150"/>
      <c r="C18" s="30" t="str">
        <f t="shared" si="0"/>
        <v/>
      </c>
      <c r="D18" s="147" t="str">
        <f>IFERROR(VLOOKUP($A18,Sheet1!$A$1:$B$80,2,0),"")</f>
        <v/>
      </c>
      <c r="E18" s="30" t="str">
        <f>IFERROR(VLOOKUP($A18,'Tổng Đơn'!$A$5:$E$52,5,0),"")</f>
        <v/>
      </c>
      <c r="F18" s="30" t="str">
        <f t="shared" si="1"/>
        <v/>
      </c>
      <c r="G18" s="155" t="str">
        <f>IF(AND($C18="",$C17&lt;&gt;""),"Tổng Cộng",IFERROR(VLOOKUP($A18,Sheet1!$A$1:$D$80,4,0),""))</f>
        <v/>
      </c>
      <c r="H18" s="148" t="str">
        <f>IF($C17=MAX($C$8:$C$56),SUM($H$8:$H17),IFERROR($G18*$F18,""))</f>
        <v/>
      </c>
      <c r="I18" s="54" t="str">
        <f t="shared" si="2"/>
        <v/>
      </c>
      <c r="L18" s="31"/>
    </row>
    <row r="19" spans="1:12" s="29" customFormat="1" ht="14.25" customHeight="1" x14ac:dyDescent="0.25">
      <c r="A19" s="150" t="s">
        <v>310</v>
      </c>
      <c r="B19" s="150"/>
      <c r="C19" s="30" t="str">
        <f t="shared" si="0"/>
        <v/>
      </c>
      <c r="D19" s="147" t="str">
        <f>IFERROR(VLOOKUP($A19,Sheet1!$A$1:$B$80,2,0),"")</f>
        <v/>
      </c>
      <c r="E19" s="30" t="str">
        <f>IFERROR(VLOOKUP($A19,'Tổng Đơn'!$A$5:$E$52,5,0),"")</f>
        <v/>
      </c>
      <c r="F19" s="30" t="str">
        <f t="shared" si="1"/>
        <v/>
      </c>
      <c r="G19" s="155" t="str">
        <f>IF(AND($C19="",$C18&lt;&gt;""),"Tổng Cộng",IFERROR(VLOOKUP($A19,Sheet1!$A$1:$D$80,4,0),""))</f>
        <v/>
      </c>
      <c r="H19" s="148" t="str">
        <f>IF($C18=MAX($C$8:$C$56),SUM($H$8:$H18),IFERROR($G19*$F19,""))</f>
        <v/>
      </c>
      <c r="I19" s="54" t="str">
        <f t="shared" si="2"/>
        <v/>
      </c>
      <c r="L19" s="31"/>
    </row>
    <row r="20" spans="1:12" s="29" customFormat="1" ht="14.25" customHeight="1" x14ac:dyDescent="0.25">
      <c r="A20" s="150" t="s">
        <v>310</v>
      </c>
      <c r="B20" s="150"/>
      <c r="C20" s="30" t="str">
        <f t="shared" si="0"/>
        <v/>
      </c>
      <c r="D20" s="147" t="str">
        <f>IFERROR(VLOOKUP($A20,Sheet1!$A$1:$B$80,2,0),"")</f>
        <v/>
      </c>
      <c r="E20" s="30" t="str">
        <f>IFERROR(VLOOKUP($A20,'Tổng Đơn'!$A$5:$E$52,5,0),"")</f>
        <v/>
      </c>
      <c r="F20" s="30" t="str">
        <f t="shared" si="1"/>
        <v/>
      </c>
      <c r="G20" s="155" t="str">
        <f>IF(AND($C20="",$C19&lt;&gt;""),"Tổng Cộng",IFERROR(VLOOKUP($A20,Sheet1!$A$1:$D$80,4,0),""))</f>
        <v/>
      </c>
      <c r="H20" s="148" t="str">
        <f>IF($C19=MAX($C$8:$C$56),SUM($H$8:$H19),IFERROR($G20*$F20,""))</f>
        <v/>
      </c>
      <c r="I20" s="54" t="str">
        <f t="shared" si="2"/>
        <v/>
      </c>
      <c r="L20" s="31"/>
    </row>
    <row r="21" spans="1:12" s="29" customFormat="1" ht="14.25" customHeight="1" x14ac:dyDescent="0.25">
      <c r="A21" s="150" t="s">
        <v>310</v>
      </c>
      <c r="B21" s="150"/>
      <c r="C21" s="30" t="str">
        <f t="shared" si="0"/>
        <v/>
      </c>
      <c r="D21" s="147" t="str">
        <f>IFERROR(VLOOKUP($A21,Sheet1!$A$1:$B$80,2,0),"")</f>
        <v/>
      </c>
      <c r="E21" s="30" t="str">
        <f>IFERROR(VLOOKUP($A21,'Tổng Đơn'!$A$5:$E$52,5,0),"")</f>
        <v/>
      </c>
      <c r="F21" s="30" t="str">
        <f t="shared" si="1"/>
        <v/>
      </c>
      <c r="G21" s="155" t="str">
        <f>IF(AND($C21="",$C20&lt;&gt;""),"Tổng Cộng",IFERROR(VLOOKUP($A21,Sheet1!$A$1:$D$80,4,0),""))</f>
        <v/>
      </c>
      <c r="H21" s="148" t="str">
        <f>IF($C20=MAX($C$8:$C$56),SUM($H$8:$H20),IFERROR($G21*$F21,""))</f>
        <v/>
      </c>
      <c r="I21" s="54" t="str">
        <f t="shared" si="2"/>
        <v/>
      </c>
      <c r="L21" s="31"/>
    </row>
    <row r="22" spans="1:12" s="29" customFormat="1" ht="14.25" customHeight="1" x14ac:dyDescent="0.25">
      <c r="A22" s="150" t="s">
        <v>310</v>
      </c>
      <c r="B22" s="150"/>
      <c r="C22" s="30" t="str">
        <f t="shared" si="0"/>
        <v/>
      </c>
      <c r="D22" s="147" t="str">
        <f>IFERROR(VLOOKUP($A22,Sheet1!$A$1:$B$80,2,0),"")</f>
        <v/>
      </c>
      <c r="E22" s="30" t="str">
        <f>IFERROR(VLOOKUP($A22,'Tổng Đơn'!$A$5:$E$52,5,0),"")</f>
        <v/>
      </c>
      <c r="F22" s="30" t="str">
        <f t="shared" si="1"/>
        <v/>
      </c>
      <c r="G22" s="155" t="str">
        <f>IF(AND($C22="",$C21&lt;&gt;""),"Tổng Cộng",IFERROR(VLOOKUP($A22,Sheet1!$A$1:$D$80,4,0),""))</f>
        <v/>
      </c>
      <c r="H22" s="148" t="str">
        <f>IF($C21=MAX($C$8:$C$56),SUM($H$8:$H21),IFERROR($G22*$F22,""))</f>
        <v/>
      </c>
      <c r="I22" s="54" t="str">
        <f t="shared" si="2"/>
        <v/>
      </c>
      <c r="L22" s="31"/>
    </row>
    <row r="23" spans="1:12" s="29" customFormat="1" ht="14.25" customHeight="1" x14ac:dyDescent="0.25">
      <c r="A23" s="150" t="s">
        <v>310</v>
      </c>
      <c r="B23" s="150"/>
      <c r="C23" s="30" t="str">
        <f t="shared" si="0"/>
        <v/>
      </c>
      <c r="D23" s="147" t="str">
        <f>IFERROR(VLOOKUP($A23,Sheet1!$A$1:$B$80,2,0),"")</f>
        <v/>
      </c>
      <c r="E23" s="30" t="str">
        <f>IFERROR(VLOOKUP($A23,'Tổng Đơn'!$A$5:$E$52,5,0),"")</f>
        <v/>
      </c>
      <c r="F23" s="30" t="str">
        <f t="shared" si="1"/>
        <v/>
      </c>
      <c r="G23" s="155" t="str">
        <f>IF(AND($C23="",$C22&lt;&gt;""),"Tổng Cộng",IFERROR(VLOOKUP($A23,Sheet1!$A$1:$D$80,4,0),""))</f>
        <v/>
      </c>
      <c r="H23" s="148" t="str">
        <f>IF($C22=MAX($C$8:$C$56),SUM($H$8:$H22),IFERROR($G23*$F23,""))</f>
        <v/>
      </c>
      <c r="I23" s="54" t="str">
        <f t="shared" si="2"/>
        <v/>
      </c>
      <c r="L23" s="31"/>
    </row>
    <row r="24" spans="1:12" s="29" customFormat="1" ht="14.25" customHeight="1" x14ac:dyDescent="0.25">
      <c r="A24" s="150" t="s">
        <v>310</v>
      </c>
      <c r="B24" s="150"/>
      <c r="C24" s="30" t="str">
        <f t="shared" si="0"/>
        <v/>
      </c>
      <c r="D24" s="147" t="str">
        <f>IFERROR(VLOOKUP($A24,Sheet1!$A$1:$B$80,2,0),"")</f>
        <v/>
      </c>
      <c r="E24" s="30" t="str">
        <f>IFERROR(VLOOKUP($A24,'Tổng Đơn'!$A$5:$E$52,5,0),"")</f>
        <v/>
      </c>
      <c r="F24" s="30" t="str">
        <f t="shared" si="1"/>
        <v/>
      </c>
      <c r="G24" s="155" t="str">
        <f>IF(AND($C24="",$C23&lt;&gt;""),"Tổng Cộng",IFERROR(VLOOKUP($A24,Sheet1!$A$1:$D$80,4,0),""))</f>
        <v/>
      </c>
      <c r="H24" s="148" t="str">
        <f>IF($C23=MAX($C$8:$C$56),SUM($H$8:$H23),IFERROR($G24*$F24,""))</f>
        <v/>
      </c>
      <c r="I24" s="54" t="str">
        <f t="shared" si="2"/>
        <v/>
      </c>
      <c r="L24" s="31"/>
    </row>
    <row r="25" spans="1:12" s="29" customFormat="1" ht="14.25" customHeight="1" x14ac:dyDescent="0.25">
      <c r="A25" s="150" t="s">
        <v>310</v>
      </c>
      <c r="B25" s="150"/>
      <c r="C25" s="30" t="str">
        <f t="shared" si="0"/>
        <v/>
      </c>
      <c r="D25" s="147" t="str">
        <f>IFERROR(VLOOKUP($A25,Sheet1!$A$1:$B$80,2,0),"")</f>
        <v/>
      </c>
      <c r="E25" s="30" t="str">
        <f>IFERROR(VLOOKUP($A25,'Tổng Đơn'!$A$5:$E$52,5,0),"")</f>
        <v/>
      </c>
      <c r="F25" s="30" t="str">
        <f t="shared" si="1"/>
        <v/>
      </c>
      <c r="G25" s="155" t="str">
        <f>IF(AND($C25="",$C24&lt;&gt;""),"Tổng Cộng",IFERROR(VLOOKUP($A25,Sheet1!$A$1:$D$80,4,0),""))</f>
        <v/>
      </c>
      <c r="H25" s="148" t="str">
        <f>IF($C24=MAX($C$8:$C$56),SUM($H$8:$H24),IFERROR($G25*$F25,""))</f>
        <v/>
      </c>
      <c r="I25" s="54" t="str">
        <f t="shared" si="2"/>
        <v/>
      </c>
      <c r="L25" s="31"/>
    </row>
    <row r="26" spans="1:12" s="29" customFormat="1" ht="14.25" customHeight="1" x14ac:dyDescent="0.25">
      <c r="A26" s="150" t="s">
        <v>310</v>
      </c>
      <c r="B26" s="150"/>
      <c r="C26" s="30" t="str">
        <f t="shared" si="0"/>
        <v/>
      </c>
      <c r="D26" s="147" t="str">
        <f>IFERROR(VLOOKUP($A26,Sheet1!$A$1:$B$80,2,0),"")</f>
        <v/>
      </c>
      <c r="E26" s="30" t="str">
        <f>IFERROR(VLOOKUP($A26,'Tổng Đơn'!$A$5:$E$52,5,0),"")</f>
        <v/>
      </c>
      <c r="F26" s="30" t="str">
        <f t="shared" si="1"/>
        <v/>
      </c>
      <c r="G26" s="155" t="str">
        <f>IF(AND($C26="",$C25&lt;&gt;""),"Tổng Cộng",IFERROR(VLOOKUP($A26,Sheet1!$A$1:$D$80,4,0),""))</f>
        <v/>
      </c>
      <c r="H26" s="148" t="str">
        <f>IF($C25=MAX($C$8:$C$56),SUM($H$8:$H25),IFERROR($G26*$F26,""))</f>
        <v/>
      </c>
      <c r="I26" s="54" t="str">
        <f t="shared" si="2"/>
        <v/>
      </c>
      <c r="L26" s="31"/>
    </row>
    <row r="27" spans="1:12" s="29" customFormat="1" ht="14.25" customHeight="1" x14ac:dyDescent="0.25">
      <c r="A27" s="150" t="s">
        <v>310</v>
      </c>
      <c r="B27" s="150"/>
      <c r="C27" s="30" t="str">
        <f t="shared" si="0"/>
        <v/>
      </c>
      <c r="D27" s="147" t="str">
        <f>IFERROR(VLOOKUP($A27,Sheet1!$A$1:$B$80,2,0),"")</f>
        <v/>
      </c>
      <c r="E27" s="30" t="str">
        <f>IFERROR(VLOOKUP($A27,'Tổng Đơn'!$A$5:$E$52,5,0),"")</f>
        <v/>
      </c>
      <c r="F27" s="30" t="str">
        <f t="shared" si="1"/>
        <v/>
      </c>
      <c r="G27" s="155" t="str">
        <f>IF(AND($C27="",$C26&lt;&gt;""),"Tổng Cộng",IFERROR(VLOOKUP($A27,Sheet1!$A$1:$D$80,4,0),""))</f>
        <v/>
      </c>
      <c r="H27" s="148" t="str">
        <f>IF($C26=MAX($C$8:$C$56),SUM($H$8:$H26),IFERROR($G27*$F27,""))</f>
        <v/>
      </c>
      <c r="I27" s="54" t="str">
        <f t="shared" si="2"/>
        <v/>
      </c>
      <c r="L27" s="31"/>
    </row>
    <row r="28" spans="1:12" s="29" customFormat="1" ht="14.25" customHeight="1" x14ac:dyDescent="0.25">
      <c r="A28" s="150" t="s">
        <v>310</v>
      </c>
      <c r="B28" s="150"/>
      <c r="C28" s="30" t="str">
        <f t="shared" si="0"/>
        <v/>
      </c>
      <c r="D28" s="147" t="str">
        <f>IFERROR(VLOOKUP($A28,Sheet1!$A$1:$B$80,2,0),"")</f>
        <v/>
      </c>
      <c r="E28" s="30" t="str">
        <f>IFERROR(VLOOKUP($A28,'Tổng Đơn'!$A$5:$E$52,5,0),"")</f>
        <v/>
      </c>
      <c r="F28" s="30" t="str">
        <f t="shared" si="1"/>
        <v/>
      </c>
      <c r="G28" s="155" t="str">
        <f>IF(AND($C28="",$C27&lt;&gt;""),"Tổng Cộng",IFERROR(VLOOKUP($A28,Sheet1!$A$1:$D$80,4,0),""))</f>
        <v/>
      </c>
      <c r="H28" s="148" t="str">
        <f>IF($C27=MAX($C$8:$C$56),SUM($H$8:$H27),IFERROR($G28*$F28,""))</f>
        <v/>
      </c>
      <c r="I28" s="54" t="str">
        <f t="shared" si="2"/>
        <v/>
      </c>
      <c r="L28" s="31"/>
    </row>
    <row r="29" spans="1:12" s="29" customFormat="1" ht="14.25" customHeight="1" x14ac:dyDescent="0.25">
      <c r="A29" s="150" t="s">
        <v>310</v>
      </c>
      <c r="B29" s="150"/>
      <c r="C29" s="30" t="str">
        <f t="shared" si="0"/>
        <v/>
      </c>
      <c r="D29" s="147" t="str">
        <f>IFERROR(VLOOKUP($A29,Sheet1!$A$1:$B$80,2,0),"")</f>
        <v/>
      </c>
      <c r="E29" s="30" t="str">
        <f>IFERROR(VLOOKUP($A29,'Tổng Đơn'!$A$5:$E$52,5,0),"")</f>
        <v/>
      </c>
      <c r="F29" s="30" t="str">
        <f t="shared" si="1"/>
        <v/>
      </c>
      <c r="G29" s="155" t="str">
        <f>IF(AND($C29="",$C28&lt;&gt;""),"Tổng Cộng",IFERROR(VLOOKUP($A29,Sheet1!$A$1:$D$80,4,0),""))</f>
        <v/>
      </c>
      <c r="H29" s="148" t="str">
        <f>IF($C28=MAX($C$8:$C$56),SUM($H$8:$H28),IFERROR($G29*$F29,""))</f>
        <v/>
      </c>
      <c r="I29" s="54" t="str">
        <f t="shared" si="2"/>
        <v/>
      </c>
      <c r="L29" s="31"/>
    </row>
    <row r="30" spans="1:12" s="29" customFormat="1" ht="14.25" customHeight="1" x14ac:dyDescent="0.25">
      <c r="A30" s="150" t="s">
        <v>310</v>
      </c>
      <c r="B30" s="150"/>
      <c r="C30" s="30" t="str">
        <f t="shared" si="0"/>
        <v/>
      </c>
      <c r="D30" s="147" t="str">
        <f>IFERROR(VLOOKUP($A30,Sheet1!$A$1:$B$80,2,0),"")</f>
        <v/>
      </c>
      <c r="E30" s="30" t="str">
        <f>IFERROR(VLOOKUP($A30,'Tổng Đơn'!$A$5:$E$52,5,0),"")</f>
        <v/>
      </c>
      <c r="F30" s="30" t="str">
        <f t="shared" si="1"/>
        <v/>
      </c>
      <c r="G30" s="155" t="str">
        <f>IF(AND($C30="",$C29&lt;&gt;""),"Tổng Cộng",IFERROR(VLOOKUP($A30,Sheet1!$A$1:$D$80,4,0),""))</f>
        <v/>
      </c>
      <c r="H30" s="148" t="str">
        <f>IF($C29=MAX($C$8:$C$56),SUM($H$8:$H29),IFERROR($G30*$F30,""))</f>
        <v/>
      </c>
      <c r="I30" s="54" t="str">
        <f t="shared" si="2"/>
        <v/>
      </c>
      <c r="L30" s="31"/>
    </row>
    <row r="31" spans="1:12" s="29" customFormat="1" ht="14.25" customHeight="1" x14ac:dyDescent="0.25">
      <c r="A31" s="150" t="s">
        <v>310</v>
      </c>
      <c r="B31" s="150"/>
      <c r="C31" s="30" t="str">
        <f t="shared" si="0"/>
        <v/>
      </c>
      <c r="D31" s="147" t="str">
        <f>IFERROR(VLOOKUP($A31,Sheet1!$A$1:$B$80,2,0),"")</f>
        <v/>
      </c>
      <c r="E31" s="30" t="str">
        <f>IFERROR(VLOOKUP($A31,'Tổng Đơn'!$A$5:$E$52,5,0),"")</f>
        <v/>
      </c>
      <c r="F31" s="30" t="str">
        <f t="shared" si="1"/>
        <v/>
      </c>
      <c r="G31" s="155" t="str">
        <f>IF(AND($C31="",$C30&lt;&gt;""),"Tổng Cộng",IFERROR(VLOOKUP($A31,Sheet1!$A$1:$D$80,4,0),""))</f>
        <v/>
      </c>
      <c r="H31" s="148" t="str">
        <f>IF($C30=MAX($C$8:$C$56),SUM($H$8:$H30),IFERROR($G31*$F31,""))</f>
        <v/>
      </c>
      <c r="I31" s="54" t="str">
        <f t="shared" si="2"/>
        <v/>
      </c>
      <c r="L31" s="31"/>
    </row>
    <row r="32" spans="1:12" s="29" customFormat="1" ht="14.25" customHeight="1" x14ac:dyDescent="0.25">
      <c r="A32" s="150" t="s">
        <v>310</v>
      </c>
      <c r="B32" s="150"/>
      <c r="C32" s="30" t="str">
        <f t="shared" si="0"/>
        <v/>
      </c>
      <c r="D32" s="147" t="str">
        <f>IFERROR(VLOOKUP($A32,Sheet1!$A$1:$B$80,2,0),"")</f>
        <v/>
      </c>
      <c r="E32" s="30" t="str">
        <f>IFERROR(VLOOKUP($A32,'Tổng Đơn'!$A$5:$E$52,5,0),"")</f>
        <v/>
      </c>
      <c r="F32" s="30" t="str">
        <f t="shared" si="1"/>
        <v/>
      </c>
      <c r="G32" s="155" t="str">
        <f>IF(AND($C32="",$C31&lt;&gt;""),"Tổng Cộng",IFERROR(VLOOKUP($A32,Sheet1!$A$1:$D$80,4,0),""))</f>
        <v/>
      </c>
      <c r="H32" s="148" t="str">
        <f>IF($C31=MAX($C$8:$C$56),SUM($H$8:$H31),IFERROR($G32*$F32,""))</f>
        <v/>
      </c>
      <c r="I32" s="54" t="str">
        <f t="shared" si="2"/>
        <v/>
      </c>
      <c r="L32" s="31"/>
    </row>
    <row r="33" spans="1:12" s="29" customFormat="1" ht="14.25" customHeight="1" x14ac:dyDescent="0.25">
      <c r="A33" s="150" t="s">
        <v>310</v>
      </c>
      <c r="B33" s="150"/>
      <c r="C33" s="30" t="str">
        <f t="shared" si="0"/>
        <v/>
      </c>
      <c r="D33" s="147" t="str">
        <f>IFERROR(VLOOKUP($A33,Sheet1!$A$1:$B$80,2,0),"")</f>
        <v/>
      </c>
      <c r="E33" s="30" t="str">
        <f>IFERROR(VLOOKUP($A33,'Tổng Đơn'!$A$5:$E$52,5,0),"")</f>
        <v/>
      </c>
      <c r="F33" s="30" t="str">
        <f t="shared" si="1"/>
        <v/>
      </c>
      <c r="G33" s="155" t="str">
        <f>IF(AND($C33="",$C32&lt;&gt;""),"Tổng Cộng",IFERROR(VLOOKUP($A33,Sheet1!$A$1:$D$80,4,0),""))</f>
        <v/>
      </c>
      <c r="H33" s="148" t="str">
        <f>IF($C32=MAX($C$8:$C$56),SUM($H$8:$H32),IFERROR($G33*$F33,""))</f>
        <v/>
      </c>
      <c r="I33" s="54" t="str">
        <f t="shared" si="2"/>
        <v/>
      </c>
      <c r="L33" s="31"/>
    </row>
    <row r="34" spans="1:12" s="29" customFormat="1" ht="14.25" customHeight="1" x14ac:dyDescent="0.25">
      <c r="A34" s="150" t="s">
        <v>310</v>
      </c>
      <c r="B34" s="150"/>
      <c r="C34" s="30" t="str">
        <f t="shared" si="0"/>
        <v/>
      </c>
      <c r="D34" s="147" t="str">
        <f>IFERROR(VLOOKUP($A34,Sheet1!$A$1:$B$80,2,0),"")</f>
        <v/>
      </c>
      <c r="E34" s="30" t="str">
        <f>IFERROR(VLOOKUP($A34,'Tổng Đơn'!$A$5:$E$52,5,0),"")</f>
        <v/>
      </c>
      <c r="F34" s="30" t="str">
        <f t="shared" si="1"/>
        <v/>
      </c>
      <c r="G34" s="155" t="str">
        <f>IF(AND($C34="",$C33&lt;&gt;""),"Tổng Cộng",IFERROR(VLOOKUP($A34,Sheet1!$A$1:$D$80,4,0),""))</f>
        <v/>
      </c>
      <c r="H34" s="148" t="str">
        <f>IF($C33=MAX($C$8:$C$56),SUM($H$8:$H33),IFERROR($G34*$F34,""))</f>
        <v/>
      </c>
      <c r="I34" s="54" t="str">
        <f t="shared" si="2"/>
        <v/>
      </c>
      <c r="L34" s="31"/>
    </row>
    <row r="35" spans="1:12" s="29" customFormat="1" ht="14.25" customHeight="1" x14ac:dyDescent="0.25">
      <c r="A35" s="150" t="s">
        <v>310</v>
      </c>
      <c r="B35" s="150"/>
      <c r="C35" s="30" t="str">
        <f t="shared" si="0"/>
        <v/>
      </c>
      <c r="D35" s="147" t="str">
        <f>IFERROR(VLOOKUP($A35,Sheet1!$A$1:$B$80,2,0),"")</f>
        <v/>
      </c>
      <c r="E35" s="30" t="str">
        <f>IFERROR(VLOOKUP($A35,'Tổng Đơn'!$A$5:$E$52,5,0),"")</f>
        <v/>
      </c>
      <c r="F35" s="30" t="str">
        <f t="shared" si="1"/>
        <v/>
      </c>
      <c r="G35" s="155" t="str">
        <f>IF(AND($C35="",$C34&lt;&gt;""),"Tổng Cộng",IFERROR(VLOOKUP($A35,Sheet1!$A$1:$D$80,4,0),""))</f>
        <v/>
      </c>
      <c r="H35" s="148" t="str">
        <f>IF($C34=MAX($C$8:$C$56),SUM($H$8:$H34),IFERROR($G35*$F35,""))</f>
        <v/>
      </c>
      <c r="I35" s="54" t="str">
        <f t="shared" si="2"/>
        <v/>
      </c>
      <c r="L35" s="31"/>
    </row>
    <row r="36" spans="1:12" s="29" customFormat="1" ht="14.25" customHeight="1" x14ac:dyDescent="0.25">
      <c r="A36" s="150" t="s">
        <v>310</v>
      </c>
      <c r="B36" s="150"/>
      <c r="C36" s="30" t="str">
        <f t="shared" si="0"/>
        <v/>
      </c>
      <c r="D36" s="147" t="str">
        <f>IFERROR(VLOOKUP($A36,Sheet1!$A$1:$B$80,2,0),"")</f>
        <v/>
      </c>
      <c r="E36" s="30" t="str">
        <f>IFERROR(VLOOKUP($A36,'Tổng Đơn'!$A$5:$E$52,5,0),"")</f>
        <v/>
      </c>
      <c r="F36" s="30" t="str">
        <f t="shared" si="1"/>
        <v/>
      </c>
      <c r="G36" s="155" t="str">
        <f>IF(AND($C36="",$C35&lt;&gt;""),"Tổng Cộng",IFERROR(VLOOKUP($A36,Sheet1!$A$1:$D$80,4,0),""))</f>
        <v/>
      </c>
      <c r="H36" s="148" t="str">
        <f>IF($C35=MAX($C$8:$C$56),SUM($H$8:$H35),IFERROR($G36*$F36,""))</f>
        <v/>
      </c>
      <c r="I36" s="54" t="str">
        <f t="shared" si="2"/>
        <v/>
      </c>
      <c r="L36" s="31"/>
    </row>
    <row r="37" spans="1:12" s="29" customFormat="1" ht="14.25" customHeight="1" x14ac:dyDescent="0.25">
      <c r="A37" s="150" t="s">
        <v>310</v>
      </c>
      <c r="B37" s="150"/>
      <c r="C37" s="30" t="str">
        <f t="shared" si="0"/>
        <v/>
      </c>
      <c r="D37" s="147" t="str">
        <f>IFERROR(VLOOKUP($A37,Sheet1!$A$1:$B$80,2,0),"")</f>
        <v/>
      </c>
      <c r="E37" s="30" t="str">
        <f>IFERROR(VLOOKUP($A37,'Tổng Đơn'!$A$5:$E$52,5,0),"")</f>
        <v/>
      </c>
      <c r="F37" s="30" t="str">
        <f t="shared" si="1"/>
        <v/>
      </c>
      <c r="G37" s="155" t="str">
        <f>IF(AND($C37="",$C36&lt;&gt;""),"Tổng Cộng",IFERROR(VLOOKUP($A37,Sheet1!$A$1:$D$80,4,0),""))</f>
        <v/>
      </c>
      <c r="H37" s="148" t="str">
        <f>IF($C36=MAX($C$8:$C$56),SUM($H$8:$H36),IFERROR($G37*$F37,""))</f>
        <v/>
      </c>
      <c r="I37" s="54" t="str">
        <f t="shared" si="2"/>
        <v/>
      </c>
      <c r="L37" s="31"/>
    </row>
    <row r="38" spans="1:12" s="29" customFormat="1" ht="14.25" customHeight="1" x14ac:dyDescent="0.25">
      <c r="A38" s="150"/>
      <c r="B38" s="150"/>
      <c r="C38" s="33"/>
      <c r="D38" s="34"/>
      <c r="E38" s="52"/>
      <c r="F38" s="30"/>
      <c r="G38" s="156" t="str">
        <f>IF(AND($C38="",$C37&lt;&gt;""),"Tổng Cộng",IFERROR(VLOOKUP($A38,Sheet1!$A$1:$D$80,4,0),""))</f>
        <v/>
      </c>
      <c r="H38" s="35" t="str">
        <f>IF($C37=MAX($C$8:$C$56),SUM($H$8:$H37),IFERROR($G38*$F38,""))</f>
        <v/>
      </c>
      <c r="I38" s="54"/>
      <c r="L38" s="31"/>
    </row>
    <row r="39" spans="1:12" ht="15" customHeight="1" x14ac:dyDescent="0.25">
      <c r="F39" s="36"/>
      <c r="G39" s="139"/>
      <c r="H39" s="37"/>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C38:E38 D23:E37 F23:H38">
    <cfRule type="expression" dxfId="47" priority="22">
      <formula>$C22=MAX($C$8:$C$37)</formula>
    </cfRule>
  </conditionalFormatting>
  <conditionalFormatting sqref="C23:C37">
    <cfRule type="expression" dxfId="46" priority="21">
      <formula>$C22=MAX($C$8:$C$37)</formula>
    </cfRule>
  </conditionalFormatting>
  <conditionalFormatting sqref="E23:E38">
    <cfRule type="expression" dxfId="45" priority="23">
      <formula>AND($A23="",$F23&lt;&gt;"")</formula>
    </cfRule>
  </conditionalFormatting>
  <conditionalFormatting sqref="F23:F38">
    <cfRule type="expression" dxfId="44" priority="24">
      <formula>AND($F23="",$A23&lt;&gt;"")</formula>
    </cfRule>
  </conditionalFormatting>
  <conditionalFormatting sqref="D20:H22">
    <cfRule type="expression" dxfId="43" priority="18">
      <formula>$C19=MAX($C$8:$C$37)</formula>
    </cfRule>
  </conditionalFormatting>
  <conditionalFormatting sqref="C20:C22">
    <cfRule type="expression" dxfId="42" priority="17">
      <formula>$C19=MAX($C$8:$C$37)</formula>
    </cfRule>
  </conditionalFormatting>
  <conditionalFormatting sqref="E20:E22">
    <cfRule type="expression" dxfId="41" priority="19">
      <formula>AND($A20="",$F20&lt;&gt;"")</formula>
    </cfRule>
  </conditionalFormatting>
  <conditionalFormatting sqref="F20:F22">
    <cfRule type="expression" dxfId="40" priority="20">
      <formula>AND($F20="",$A20&lt;&gt;"")</formula>
    </cfRule>
  </conditionalFormatting>
  <conditionalFormatting sqref="D15:H19 D12:F14 H12:H14">
    <cfRule type="expression" dxfId="39" priority="14">
      <formula>$C11=MAX($C$8:$C$37)</formula>
    </cfRule>
  </conditionalFormatting>
  <conditionalFormatting sqref="C12:C19">
    <cfRule type="expression" dxfId="38" priority="13">
      <formula>$C11=MAX($C$8:$C$37)</formula>
    </cfRule>
  </conditionalFormatting>
  <conditionalFormatting sqref="E12:E19">
    <cfRule type="expression" dxfId="37" priority="15">
      <formula>AND($A12="",$F12&lt;&gt;"")</formula>
    </cfRule>
  </conditionalFormatting>
  <conditionalFormatting sqref="F12:F19">
    <cfRule type="expression" dxfId="36" priority="16">
      <formula>AND($F12="",$A12&lt;&gt;"")</formula>
    </cfRule>
  </conditionalFormatting>
  <conditionalFormatting sqref="G12:G14">
    <cfRule type="expression" dxfId="35" priority="12">
      <formula>$C11=MAX($C$8:$C$37)</formula>
    </cfRule>
  </conditionalFormatting>
  <conditionalFormatting sqref="D9:F11 H9:H11">
    <cfRule type="expression" dxfId="34" priority="9">
      <formula>$C8=MAX($C$8:$C$37)</formula>
    </cfRule>
  </conditionalFormatting>
  <conditionalFormatting sqref="C9:C11">
    <cfRule type="expression" dxfId="33" priority="8">
      <formula>$C8=MAX($C$8:$C$37)</formula>
    </cfRule>
  </conditionalFormatting>
  <conditionalFormatting sqref="E9:E11">
    <cfRule type="expression" dxfId="32" priority="10">
      <formula>AND($A9="",$F9&lt;&gt;"")</formula>
    </cfRule>
  </conditionalFormatting>
  <conditionalFormatting sqref="F9:F11">
    <cfRule type="expression" dxfId="31" priority="11">
      <formula>AND($F9="",$A9&lt;&gt;"")</formula>
    </cfRule>
  </conditionalFormatting>
  <conditionalFormatting sqref="D8:F8">
    <cfRule type="expression" dxfId="30" priority="5">
      <formula>$C7=MAX($C$8:$C$37)</formula>
    </cfRule>
  </conditionalFormatting>
  <conditionalFormatting sqref="C8">
    <cfRule type="expression" dxfId="29" priority="4">
      <formula>$C7=MAX($C$8:$C$37)</formula>
    </cfRule>
  </conditionalFormatting>
  <conditionalFormatting sqref="E8">
    <cfRule type="expression" dxfId="28" priority="6">
      <formula>AND($A8="",$F8&lt;&gt;"")</formula>
    </cfRule>
  </conditionalFormatting>
  <conditionalFormatting sqref="F8">
    <cfRule type="expression" dxfId="27" priority="7">
      <formula>AND($F8="",$A8&lt;&gt;"")</formula>
    </cfRule>
  </conditionalFormatting>
  <conditionalFormatting sqref="H8">
    <cfRule type="expression" dxfId="26" priority="3">
      <formula>$C7=MAX($C$8:$C$37)</formula>
    </cfRule>
  </conditionalFormatting>
  <conditionalFormatting sqref="G9:G11">
    <cfRule type="expression" dxfId="25" priority="2">
      <formula>$C8=MAX($C$8:$C$37)</formula>
    </cfRule>
  </conditionalFormatting>
  <conditionalFormatting sqref="G8">
    <cfRule type="expression" dxfId="24" priority="1">
      <formula>$C7=MAX($C$8:$C$37)</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1530881" r:id="rId4" name="Button 1">
              <controlPr defaultSize="0" print="0" autoFill="0" autoPict="0" macro="[0]!Macro4">
                <anchor moveWithCells="1" sizeWithCells="1">
                  <from>
                    <xdr:col>0</xdr:col>
                    <xdr:colOff>0</xdr:colOff>
                    <xdr:row>0</xdr:row>
                    <xdr:rowOff>0</xdr:rowOff>
                  </from>
                  <to>
                    <xdr:col>1</xdr:col>
                    <xdr:colOff>769620</xdr:colOff>
                    <xdr:row>7</xdr:row>
                    <xdr:rowOff>0</xdr:rowOff>
                  </to>
                </anchor>
              </controlPr>
            </control>
          </mc:Choice>
        </mc:AlternateContent>
      </controls>
    </mc:Choice>
  </mc:AlternateContent>
</worksheet>
</file>

<file path=xl/worksheets/sheet3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4C76421-546E-4B75-8B3F-67F556E65C62}">
  <sheetPr codeName="Sheet34">
    <tabColor theme="1"/>
    <pageSetUpPr fitToPage="1"/>
  </sheetPr>
  <dimension ref="A1:N53"/>
  <sheetViews>
    <sheetView zoomScaleNormal="100" workbookViewId="0">
      <pane ySplit="7" topLeftCell="A8" activePane="bottomLeft" state="frozen"/>
      <selection activeCell="Q2" sqref="Q2"/>
      <selection pane="bottomLeft" activeCell="H11" sqref="H11"/>
    </sheetView>
  </sheetViews>
  <sheetFormatPr defaultColWidth="9.09765625" defaultRowHeight="13.8" x14ac:dyDescent="0.25"/>
  <cols>
    <col min="1" max="1" width="11.69921875" style="14" customWidth="1"/>
    <col min="2" max="2" width="11.296875" style="14" customWidth="1"/>
    <col min="3" max="3" width="9.09765625" style="14"/>
    <col min="4" max="4" width="38.3984375" style="14" bestFit="1" customWidth="1"/>
    <col min="5" max="5" width="12.296875" style="53" bestFit="1" customWidth="1"/>
    <col min="6" max="6" width="11" style="14" customWidth="1"/>
    <col min="7" max="7" width="17.8984375" style="14" customWidth="1"/>
    <col min="8" max="8" width="17.8984375" style="15" customWidth="1"/>
    <col min="9" max="9" width="21.8984375" style="14" customWidth="1"/>
    <col min="10" max="10" width="10.09765625" style="14" customWidth="1"/>
    <col min="11" max="11" width="9.09765625" style="14"/>
    <col min="12" max="12" width="11.69921875" style="14" customWidth="1"/>
    <col min="13" max="14" width="10.09765625" style="14" bestFit="1" customWidth="1"/>
    <col min="15" max="16384" width="9.09765625" style="14"/>
  </cols>
  <sheetData>
    <row r="1" spans="1:14" ht="15.75" customHeight="1" x14ac:dyDescent="0.25">
      <c r="C1" s="268" t="s">
        <v>164</v>
      </c>
      <c r="D1" s="268"/>
      <c r="E1" s="268"/>
      <c r="F1" s="268"/>
      <c r="G1" s="268"/>
      <c r="H1" s="268"/>
    </row>
    <row r="2" spans="1:14" ht="15.75" customHeight="1" x14ac:dyDescent="0.25">
      <c r="C2" s="268"/>
      <c r="D2" s="268"/>
      <c r="E2" s="268"/>
      <c r="F2" s="268"/>
      <c r="G2" s="268"/>
      <c r="H2" s="268"/>
    </row>
    <row r="3" spans="1:14" ht="15" customHeight="1" x14ac:dyDescent="0.25">
      <c r="C3" s="269" t="s">
        <v>166</v>
      </c>
      <c r="D3" s="269"/>
      <c r="E3" s="269"/>
      <c r="F3" s="270" t="s">
        <v>168</v>
      </c>
      <c r="G3" s="270"/>
      <c r="H3" s="270"/>
    </row>
    <row r="4" spans="1:14" x14ac:dyDescent="0.25">
      <c r="C4" s="269" t="s">
        <v>167</v>
      </c>
      <c r="D4" s="269"/>
      <c r="E4" s="269"/>
      <c r="F4" s="271" t="s">
        <v>169</v>
      </c>
      <c r="G4" s="271"/>
      <c r="H4" s="271"/>
    </row>
    <row r="5" spans="1:14" s="140" customFormat="1" ht="21" customHeight="1" x14ac:dyDescent="0.25">
      <c r="C5" s="272" t="s">
        <v>165</v>
      </c>
      <c r="D5" s="272"/>
      <c r="E5" s="272"/>
      <c r="F5" s="272"/>
      <c r="G5" s="272"/>
      <c r="H5" s="272"/>
    </row>
    <row r="6" spans="1:14" s="140" customFormat="1" ht="16.5" customHeight="1" x14ac:dyDescent="0.25">
      <c r="C6" s="149" t="s">
        <v>170</v>
      </c>
      <c r="D6" s="152" t="s">
        <v>316</v>
      </c>
      <c r="E6" s="145"/>
      <c r="F6" s="145"/>
      <c r="G6" s="267" t="str">
        <f ca="1">"Ngày "&amp;DAY(TODAY())&amp;" Tháng "&amp;MONTH(TODAY())&amp;" Năm "&amp;YEAR(TODAY())</f>
        <v>Ngày 22 Tháng 1 Năm 2023</v>
      </c>
      <c r="H6" s="267"/>
    </row>
    <row r="7" spans="1:14" s="144" customFormat="1" ht="24" customHeight="1" x14ac:dyDescent="0.25">
      <c r="A7" s="141" t="s">
        <v>101</v>
      </c>
      <c r="B7" s="141" t="s">
        <v>15</v>
      </c>
      <c r="C7" s="142" t="s">
        <v>0</v>
      </c>
      <c r="D7" s="142" t="s">
        <v>16</v>
      </c>
      <c r="E7" s="146" t="str">
        <f>"Quy cách"&amp;CHAR(10)&amp;"(Kg)"</f>
        <v>Quy cách
(Kg)</v>
      </c>
      <c r="F7" s="142" t="s">
        <v>15</v>
      </c>
      <c r="G7" s="142" t="s">
        <v>17</v>
      </c>
      <c r="H7" s="142" t="s">
        <v>18</v>
      </c>
      <c r="I7" s="143">
        <f>SUBTOTAL(9,I8:I37)</f>
        <v>4</v>
      </c>
      <c r="L7" s="140"/>
    </row>
    <row r="8" spans="1:14" s="29" customFormat="1" ht="14.25" customHeight="1" x14ac:dyDescent="0.25">
      <c r="A8" s="150">
        <v>34</v>
      </c>
      <c r="B8" s="150">
        <v>4</v>
      </c>
      <c r="C8" s="30">
        <f t="shared" ref="C8:C37" si="0">IF(OR(SUM($C7,$A8&lt;&gt;"")=0,$A8=""),"",SUM($C7,$A8&lt;&gt;""))</f>
        <v>1</v>
      </c>
      <c r="D8" s="147" t="str">
        <f>IFERROR(VLOOKUP($A8,Sheet1!$A$1:$B$80,2,0),"")</f>
        <v>Cá viên KK</v>
      </c>
      <c r="E8" s="30">
        <f>IFERROR(VLOOKUP($A8,'Tổng Đơn'!$A$5:$E$52,5,0),"")</f>
        <v>0.5</v>
      </c>
      <c r="F8" s="30">
        <f t="shared" ref="F8:F37" si="1">IF($B8="","",B8)</f>
        <v>4</v>
      </c>
      <c r="G8" s="155">
        <f>IFERROR(VLOOKUP($A8,Sheet1!$A1:$D$80,4,0),"")</f>
        <v>25000</v>
      </c>
      <c r="H8" s="148">
        <f>IF($C7=MAX($C$8:$C$56),SUM($H7:$H$8),IFERROR($G8*$F8,""))</f>
        <v>100000</v>
      </c>
      <c r="I8" s="54">
        <f t="shared" ref="I8:I37" si="2">IF(TYPE($A8)&lt;&gt;1,"",IFERROR(F8*E8,""))</f>
        <v>2</v>
      </c>
      <c r="L8" s="32"/>
    </row>
    <row r="9" spans="1:14" s="29" customFormat="1" ht="14.25" customHeight="1" x14ac:dyDescent="0.25">
      <c r="A9" s="150">
        <v>39</v>
      </c>
      <c r="B9" s="150">
        <v>4</v>
      </c>
      <c r="C9" s="30">
        <f t="shared" si="0"/>
        <v>2</v>
      </c>
      <c r="D9" s="147" t="str">
        <f>IFERROR(VLOOKUP($A9,Sheet1!$A$1:$B$80,2,0),"")</f>
        <v>XX Đức KK</v>
      </c>
      <c r="E9" s="30">
        <f>IFERROR(VLOOKUP($A9,'Tổng Đơn'!$A$5:$E$52,5,0),"")</f>
        <v>0.5</v>
      </c>
      <c r="F9" s="30">
        <f t="shared" si="1"/>
        <v>4</v>
      </c>
      <c r="G9" s="155">
        <f>IF(AND($C9="",$C8&lt;&gt;""),"Tổng Cộng",IFERROR(VLOOKUP($A9,Sheet1!$A$1:$D$80,4,0),""))</f>
        <v>37000</v>
      </c>
      <c r="H9" s="148">
        <f>IF($C8=MAX($C$8:$C$56),SUM($H$8:$H8),IFERROR($G9*$F9,""))</f>
        <v>148000</v>
      </c>
      <c r="I9" s="54">
        <f t="shared" si="2"/>
        <v>2</v>
      </c>
      <c r="L9" s="31"/>
    </row>
    <row r="10" spans="1:14" s="29" customFormat="1" ht="14.25" customHeight="1" x14ac:dyDescent="0.25">
      <c r="A10" s="150">
        <v>1</v>
      </c>
      <c r="B10" s="150">
        <v>1</v>
      </c>
      <c r="C10" s="30">
        <f t="shared" si="0"/>
        <v>3</v>
      </c>
      <c r="D10" s="147" t="s">
        <v>312</v>
      </c>
      <c r="E10" s="30" t="s">
        <v>234</v>
      </c>
      <c r="F10" s="30" t="s">
        <v>234</v>
      </c>
      <c r="G10" s="155" t="s">
        <v>234</v>
      </c>
      <c r="H10" s="148">
        <f>-4*2500</f>
        <v>-10000</v>
      </c>
      <c r="I10" s="54" t="str">
        <f t="shared" si="2"/>
        <v/>
      </c>
      <c r="L10" s="31"/>
    </row>
    <row r="11" spans="1:14" s="29" customFormat="1" ht="14.25" customHeight="1" x14ac:dyDescent="0.25">
      <c r="A11" s="150" t="s">
        <v>310</v>
      </c>
      <c r="B11" s="150"/>
      <c r="C11" s="30" t="str">
        <f t="shared" si="0"/>
        <v/>
      </c>
      <c r="D11" s="147" t="str">
        <f>IFERROR(VLOOKUP($A11,Sheet1!$A$1:$B$80,2,0),"")</f>
        <v/>
      </c>
      <c r="E11" s="30" t="str">
        <f>IFERROR(VLOOKUP($A11,'Tổng Đơn'!$A$5:$E$52,5,0),"")</f>
        <v/>
      </c>
      <c r="F11" s="30" t="str">
        <f t="shared" si="1"/>
        <v/>
      </c>
      <c r="G11" s="155" t="str">
        <f>IF(AND($C11="",$C10&lt;&gt;""),"Tổng Cộng",IFERROR(VLOOKUP($A11,Sheet1!$A$1:$D$80,4,0),""))</f>
        <v>Tổng Cộng</v>
      </c>
      <c r="H11" s="148">
        <f>IF($C10=MAX($C$8:$C$56),SUM($H$8:$H10),IFERROR($G11*$F11,""))</f>
        <v>238000</v>
      </c>
      <c r="I11" s="54" t="str">
        <f t="shared" si="2"/>
        <v/>
      </c>
      <c r="L11" s="31"/>
    </row>
    <row r="12" spans="1:14" s="29" customFormat="1" ht="14.25" customHeight="1" x14ac:dyDescent="0.25">
      <c r="A12" s="150" t="s">
        <v>310</v>
      </c>
      <c r="B12" s="150"/>
      <c r="C12" s="30" t="str">
        <f t="shared" si="0"/>
        <v/>
      </c>
      <c r="D12" s="147" t="str">
        <f>IFERROR(VLOOKUP($A12,Sheet1!$A$1:$B$80,2,0),"")</f>
        <v/>
      </c>
      <c r="E12" s="30" t="str">
        <f>IFERROR(VLOOKUP($A12,'Tổng Đơn'!$A$5:$E$52,5,0),"")</f>
        <v/>
      </c>
      <c r="F12" s="30" t="str">
        <f t="shared" si="1"/>
        <v/>
      </c>
      <c r="G12" s="155" t="str">
        <f>IF(AND($C12="",$C11&lt;&gt;""),"Tổng Cộng",IFERROR(VLOOKUP($A12,Sheet1!$A$1:$D$80,4,0),""))</f>
        <v/>
      </c>
      <c r="H12" s="148" t="str">
        <f>IF($C11=MAX($C$8:$C$56),SUM($H$8:$H11),IFERROR($G12*$F12,""))</f>
        <v/>
      </c>
      <c r="I12" s="54" t="str">
        <f t="shared" si="2"/>
        <v/>
      </c>
      <c r="J12" s="125"/>
      <c r="L12" s="31"/>
      <c r="N12" s="126"/>
    </row>
    <row r="13" spans="1:14" s="29" customFormat="1" ht="14.25" customHeight="1" x14ac:dyDescent="0.25">
      <c r="A13" s="150" t="s">
        <v>310</v>
      </c>
      <c r="B13" s="150"/>
      <c r="C13" s="30" t="str">
        <f t="shared" si="0"/>
        <v/>
      </c>
      <c r="D13" s="147" t="str">
        <f>IFERROR(VLOOKUP($A13,Sheet1!$A$1:$B$80,2,0),"")</f>
        <v/>
      </c>
      <c r="E13" s="30" t="str">
        <f>IFERROR(VLOOKUP($A13,'Tổng Đơn'!$A$5:$E$52,5,0),"")</f>
        <v/>
      </c>
      <c r="F13" s="30" t="str">
        <f t="shared" si="1"/>
        <v/>
      </c>
      <c r="G13" s="155" t="str">
        <f>IF(AND($C13="",$C12&lt;&gt;""),"Tổng Cộng",IFERROR(VLOOKUP($A13,Sheet1!$A$1:$D$80,4,0),""))</f>
        <v/>
      </c>
      <c r="H13" s="148" t="str">
        <f>IF($C12=MAX($C$8:$C$56),SUM($H$8:$H12),IFERROR($G13*$F13,""))</f>
        <v/>
      </c>
      <c r="I13" s="54" t="str">
        <f t="shared" si="2"/>
        <v/>
      </c>
      <c r="L13" s="31"/>
    </row>
    <row r="14" spans="1:14" s="29" customFormat="1" ht="14.25" customHeight="1" x14ac:dyDescent="0.25">
      <c r="A14" s="150" t="s">
        <v>310</v>
      </c>
      <c r="B14" s="150"/>
      <c r="C14" s="30" t="str">
        <f t="shared" si="0"/>
        <v/>
      </c>
      <c r="D14" s="147" t="str">
        <f>IFERROR(VLOOKUP($A14,Sheet1!$A$1:$B$80,2,0),"")</f>
        <v/>
      </c>
      <c r="E14" s="30" t="str">
        <f>IFERROR(VLOOKUP($A14,'Tổng Đơn'!$A$5:$E$52,5,0),"")</f>
        <v/>
      </c>
      <c r="F14" s="30" t="str">
        <f t="shared" si="1"/>
        <v/>
      </c>
      <c r="G14" s="155" t="str">
        <f>IF(AND($C14="",$C13&lt;&gt;""),"Tổng Cộng",IFERROR(VLOOKUP($A14,Sheet1!$A$1:$D$80,4,0),""))</f>
        <v/>
      </c>
      <c r="H14" s="148" t="str">
        <f>IF($C13=MAX($C$8:$C$56),SUM($H$8:$H13),IFERROR($G14*$F14,""))</f>
        <v/>
      </c>
      <c r="I14" s="54" t="str">
        <f t="shared" si="2"/>
        <v/>
      </c>
      <c r="L14" s="31"/>
      <c r="M14" s="132"/>
    </row>
    <row r="15" spans="1:14" s="29" customFormat="1" ht="14.25" customHeight="1" x14ac:dyDescent="0.25">
      <c r="A15" s="150" t="s">
        <v>310</v>
      </c>
      <c r="B15" s="150"/>
      <c r="C15" s="30" t="str">
        <f t="shared" si="0"/>
        <v/>
      </c>
      <c r="D15" s="147" t="str">
        <f>IFERROR(VLOOKUP($A15,Sheet1!$A$1:$B$80,2,0),"")</f>
        <v/>
      </c>
      <c r="E15" s="30" t="str">
        <f>IFERROR(VLOOKUP($A15,'Tổng Đơn'!$A$5:$E$52,5,0),"")</f>
        <v/>
      </c>
      <c r="F15" s="30" t="str">
        <f t="shared" si="1"/>
        <v/>
      </c>
      <c r="G15" s="155" t="str">
        <f>IF(AND($C15="",$C14&lt;&gt;""),"Tổng Cộng",IFERROR(VLOOKUP($A15,Sheet1!$A$1:$D$80,4,0),""))</f>
        <v/>
      </c>
      <c r="H15" s="148" t="str">
        <f>IF($C14=MAX($C$8:$C$56),SUM($H$8:$H14),IFERROR($G15*$F15,""))</f>
        <v/>
      </c>
      <c r="I15" s="54" t="str">
        <f t="shared" si="2"/>
        <v/>
      </c>
      <c r="L15" s="31"/>
    </row>
    <row r="16" spans="1:14" s="29" customFormat="1" ht="14.25" customHeight="1" x14ac:dyDescent="0.25">
      <c r="A16" s="150" t="s">
        <v>310</v>
      </c>
      <c r="B16" s="150"/>
      <c r="C16" s="30" t="str">
        <f t="shared" si="0"/>
        <v/>
      </c>
      <c r="D16" s="147" t="str">
        <f>IFERROR(VLOOKUP($A16,Sheet1!$A$1:$B$80,2,0),"")</f>
        <v/>
      </c>
      <c r="E16" s="30" t="str">
        <f>IFERROR(VLOOKUP($A16,'Tổng Đơn'!$A$5:$E$52,5,0),"")</f>
        <v/>
      </c>
      <c r="F16" s="30" t="str">
        <f t="shared" si="1"/>
        <v/>
      </c>
      <c r="G16" s="155" t="str">
        <f>IF(AND($C16="",$C15&lt;&gt;""),"Tổng Cộng",IFERROR(VLOOKUP($A16,Sheet1!$A$1:$D$80,4,0),""))</f>
        <v/>
      </c>
      <c r="H16" s="148" t="str">
        <f>IF($C15=MAX($C$8:$C$56),SUM($H$8:$H15),IFERROR($G16*$F16,""))</f>
        <v/>
      </c>
      <c r="I16" s="54" t="str">
        <f t="shared" si="2"/>
        <v/>
      </c>
      <c r="L16" s="31"/>
    </row>
    <row r="17" spans="1:12" s="29" customFormat="1" ht="14.25" customHeight="1" x14ac:dyDescent="0.25">
      <c r="A17" s="150" t="s">
        <v>310</v>
      </c>
      <c r="B17" s="150"/>
      <c r="C17" s="30" t="str">
        <f t="shared" si="0"/>
        <v/>
      </c>
      <c r="D17" s="147" t="str">
        <f>IFERROR(VLOOKUP($A17,Sheet1!$A$1:$B$80,2,0),"")</f>
        <v/>
      </c>
      <c r="E17" s="30" t="str">
        <f>IFERROR(VLOOKUP($A17,'Tổng Đơn'!$A$5:$E$52,5,0),"")</f>
        <v/>
      </c>
      <c r="F17" s="30" t="str">
        <f t="shared" si="1"/>
        <v/>
      </c>
      <c r="G17" s="155" t="str">
        <f>IF(AND($C17="",$C16&lt;&gt;""),"Tổng Cộng",IFERROR(VLOOKUP($A17,Sheet1!$A$1:$D$80,4,0),""))</f>
        <v/>
      </c>
      <c r="H17" s="148" t="str">
        <f>IF($C16=MAX($C$8:$C$56),SUM($H$8:$H16),IFERROR($G17*$F17,""))</f>
        <v/>
      </c>
      <c r="I17" s="54" t="str">
        <f t="shared" si="2"/>
        <v/>
      </c>
      <c r="L17" s="31"/>
    </row>
    <row r="18" spans="1:12" s="29" customFormat="1" ht="14.25" customHeight="1" x14ac:dyDescent="0.25">
      <c r="A18" s="150" t="s">
        <v>310</v>
      </c>
      <c r="B18" s="150"/>
      <c r="C18" s="30" t="str">
        <f t="shared" si="0"/>
        <v/>
      </c>
      <c r="D18" s="147" t="str">
        <f>IFERROR(VLOOKUP($A18,Sheet1!$A$1:$B$80,2,0),"")</f>
        <v/>
      </c>
      <c r="E18" s="30" t="str">
        <f>IFERROR(VLOOKUP($A18,'Tổng Đơn'!$A$5:$E$52,5,0),"")</f>
        <v/>
      </c>
      <c r="F18" s="30" t="str">
        <f t="shared" si="1"/>
        <v/>
      </c>
      <c r="G18" s="155" t="str">
        <f>IF(AND($C18="",$C17&lt;&gt;""),"Tổng Cộng",IFERROR(VLOOKUP($A18,Sheet1!$A$1:$D$80,4,0),""))</f>
        <v/>
      </c>
      <c r="H18" s="148" t="str">
        <f>IF($C17=MAX($C$8:$C$56),SUM($H$8:$H17),IFERROR($G18*$F18,""))</f>
        <v/>
      </c>
      <c r="I18" s="54" t="str">
        <f t="shared" si="2"/>
        <v/>
      </c>
      <c r="L18" s="31"/>
    </row>
    <row r="19" spans="1:12" s="29" customFormat="1" ht="14.25" customHeight="1" x14ac:dyDescent="0.25">
      <c r="A19" s="150" t="s">
        <v>310</v>
      </c>
      <c r="B19" s="150"/>
      <c r="C19" s="30" t="str">
        <f t="shared" si="0"/>
        <v/>
      </c>
      <c r="D19" s="147" t="str">
        <f>IFERROR(VLOOKUP($A19,Sheet1!$A$1:$B$80,2,0),"")</f>
        <v/>
      </c>
      <c r="E19" s="30" t="str">
        <f>IFERROR(VLOOKUP($A19,'Tổng Đơn'!$A$5:$E$52,5,0),"")</f>
        <v/>
      </c>
      <c r="F19" s="30" t="str">
        <f t="shared" si="1"/>
        <v/>
      </c>
      <c r="G19" s="155" t="str">
        <f>IF(AND($C19="",$C18&lt;&gt;""),"Tổng Cộng",IFERROR(VLOOKUP($A19,Sheet1!$A$1:$D$80,4,0),""))</f>
        <v/>
      </c>
      <c r="H19" s="148" t="str">
        <f>IF($C18=MAX($C$8:$C$56),SUM($H$8:$H18),IFERROR($G19*$F19,""))</f>
        <v/>
      </c>
      <c r="I19" s="54" t="str">
        <f t="shared" si="2"/>
        <v/>
      </c>
      <c r="L19" s="31"/>
    </row>
    <row r="20" spans="1:12" s="29" customFormat="1" ht="14.25" customHeight="1" x14ac:dyDescent="0.25">
      <c r="A20" s="150" t="s">
        <v>310</v>
      </c>
      <c r="B20" s="150"/>
      <c r="C20" s="30" t="str">
        <f t="shared" si="0"/>
        <v/>
      </c>
      <c r="D20" s="147" t="str">
        <f>IFERROR(VLOOKUP($A20,Sheet1!$A$1:$B$80,2,0),"")</f>
        <v/>
      </c>
      <c r="E20" s="30" t="str">
        <f>IFERROR(VLOOKUP($A20,'Tổng Đơn'!$A$5:$E$52,5,0),"")</f>
        <v/>
      </c>
      <c r="F20" s="30" t="str">
        <f t="shared" si="1"/>
        <v/>
      </c>
      <c r="G20" s="155" t="str">
        <f>IF(AND($C20="",$C19&lt;&gt;""),"Tổng Cộng",IFERROR(VLOOKUP($A20,Sheet1!$A$1:$D$80,4,0),""))</f>
        <v/>
      </c>
      <c r="H20" s="148" t="str">
        <f>IF($C19=MAX($C$8:$C$56),SUM($H$8:$H19),IFERROR($G20*$F20,""))</f>
        <v/>
      </c>
      <c r="I20" s="54" t="str">
        <f t="shared" si="2"/>
        <v/>
      </c>
      <c r="L20" s="31"/>
    </row>
    <row r="21" spans="1:12" s="29" customFormat="1" ht="14.25" customHeight="1" x14ac:dyDescent="0.25">
      <c r="A21" s="150" t="s">
        <v>310</v>
      </c>
      <c r="B21" s="150"/>
      <c r="C21" s="30" t="str">
        <f t="shared" si="0"/>
        <v/>
      </c>
      <c r="D21" s="147" t="str">
        <f>IFERROR(VLOOKUP($A21,Sheet1!$A$1:$B$80,2,0),"")</f>
        <v/>
      </c>
      <c r="E21" s="30" t="str">
        <f>IFERROR(VLOOKUP($A21,'Tổng Đơn'!$A$5:$E$52,5,0),"")</f>
        <v/>
      </c>
      <c r="F21" s="30" t="str">
        <f t="shared" si="1"/>
        <v/>
      </c>
      <c r="G21" s="155" t="str">
        <f>IF(AND($C21="",$C20&lt;&gt;""),"Tổng Cộng",IFERROR(VLOOKUP($A21,Sheet1!$A$1:$D$80,4,0),""))</f>
        <v/>
      </c>
      <c r="H21" s="148" t="str">
        <f>IF($C20=MAX($C$8:$C$56),SUM($H$8:$H20),IFERROR($G21*$F21,""))</f>
        <v/>
      </c>
      <c r="I21" s="54" t="str">
        <f t="shared" si="2"/>
        <v/>
      </c>
      <c r="L21" s="31"/>
    </row>
    <row r="22" spans="1:12" s="29" customFormat="1" ht="14.25" customHeight="1" x14ac:dyDescent="0.25">
      <c r="A22" s="150" t="s">
        <v>310</v>
      </c>
      <c r="B22" s="150"/>
      <c r="C22" s="30" t="str">
        <f t="shared" si="0"/>
        <v/>
      </c>
      <c r="D22" s="147" t="str">
        <f>IFERROR(VLOOKUP($A22,Sheet1!$A$1:$B$80,2,0),"")</f>
        <v/>
      </c>
      <c r="E22" s="30" t="str">
        <f>IFERROR(VLOOKUP($A22,'Tổng Đơn'!$A$5:$E$52,5,0),"")</f>
        <v/>
      </c>
      <c r="F22" s="30" t="str">
        <f t="shared" si="1"/>
        <v/>
      </c>
      <c r="G22" s="155" t="str">
        <f>IF(AND($C22="",$C21&lt;&gt;""),"Tổng Cộng",IFERROR(VLOOKUP($A22,Sheet1!$A$1:$D$80,4,0),""))</f>
        <v/>
      </c>
      <c r="H22" s="148" t="str">
        <f>IF($C21=MAX($C$8:$C$56),SUM($H$8:$H21),IFERROR($G22*$F22,""))</f>
        <v/>
      </c>
      <c r="I22" s="54" t="str">
        <f t="shared" si="2"/>
        <v/>
      </c>
      <c r="L22" s="31"/>
    </row>
    <row r="23" spans="1:12" s="29" customFormat="1" ht="14.25" customHeight="1" x14ac:dyDescent="0.25">
      <c r="A23" s="150" t="s">
        <v>310</v>
      </c>
      <c r="B23" s="150"/>
      <c r="C23" s="30" t="str">
        <f t="shared" si="0"/>
        <v/>
      </c>
      <c r="D23" s="147" t="str">
        <f>IFERROR(VLOOKUP($A23,Sheet1!$A$1:$B$80,2,0),"")</f>
        <v/>
      </c>
      <c r="E23" s="30" t="str">
        <f>IFERROR(VLOOKUP($A23,'Tổng Đơn'!$A$5:$E$52,5,0),"")</f>
        <v/>
      </c>
      <c r="F23" s="30" t="str">
        <f t="shared" si="1"/>
        <v/>
      </c>
      <c r="G23" s="155" t="str">
        <f>IF(AND($C23="",$C22&lt;&gt;""),"Tổng Cộng",IFERROR(VLOOKUP($A23,Sheet1!$A$1:$D$80,4,0),""))</f>
        <v/>
      </c>
      <c r="H23" s="148" t="str">
        <f>IF($C22=MAX($C$8:$C$56),SUM($H$8:$H22),IFERROR($G23*$F23,""))</f>
        <v/>
      </c>
      <c r="I23" s="54" t="str">
        <f t="shared" si="2"/>
        <v/>
      </c>
      <c r="L23" s="31"/>
    </row>
    <row r="24" spans="1:12" s="29" customFormat="1" ht="14.25" customHeight="1" x14ac:dyDescent="0.25">
      <c r="A24" s="150" t="s">
        <v>310</v>
      </c>
      <c r="B24" s="150"/>
      <c r="C24" s="30" t="str">
        <f t="shared" si="0"/>
        <v/>
      </c>
      <c r="D24" s="147" t="str">
        <f>IFERROR(VLOOKUP($A24,Sheet1!$A$1:$B$80,2,0),"")</f>
        <v/>
      </c>
      <c r="E24" s="30" t="str">
        <f>IFERROR(VLOOKUP($A24,'Tổng Đơn'!$A$5:$E$52,5,0),"")</f>
        <v/>
      </c>
      <c r="F24" s="30" t="str">
        <f t="shared" si="1"/>
        <v/>
      </c>
      <c r="G24" s="155" t="str">
        <f>IF(AND($C24="",$C23&lt;&gt;""),"Tổng Cộng",IFERROR(VLOOKUP($A24,Sheet1!$A$1:$D$80,4,0),""))</f>
        <v/>
      </c>
      <c r="H24" s="148" t="str">
        <f>IF($C23=MAX($C$8:$C$56),SUM($H$8:$H23),IFERROR($G24*$F24,""))</f>
        <v/>
      </c>
      <c r="I24" s="54" t="str">
        <f t="shared" si="2"/>
        <v/>
      </c>
      <c r="L24" s="31"/>
    </row>
    <row r="25" spans="1:12" s="29" customFormat="1" ht="14.25" customHeight="1" x14ac:dyDescent="0.25">
      <c r="A25" s="150" t="s">
        <v>310</v>
      </c>
      <c r="B25" s="150"/>
      <c r="C25" s="30" t="str">
        <f t="shared" si="0"/>
        <v/>
      </c>
      <c r="D25" s="147" t="str">
        <f>IFERROR(VLOOKUP($A25,Sheet1!$A$1:$B$80,2,0),"")</f>
        <v/>
      </c>
      <c r="E25" s="30" t="str">
        <f>IFERROR(VLOOKUP($A25,'Tổng Đơn'!$A$5:$E$52,5,0),"")</f>
        <v/>
      </c>
      <c r="F25" s="30" t="str">
        <f t="shared" si="1"/>
        <v/>
      </c>
      <c r="G25" s="155" t="str">
        <f>IF(AND($C25="",$C24&lt;&gt;""),"Tổng Cộng",IFERROR(VLOOKUP($A25,Sheet1!$A$1:$D$80,4,0),""))</f>
        <v/>
      </c>
      <c r="H25" s="148" t="str">
        <f>IF($C24=MAX($C$8:$C$56),SUM($H$8:$H24),IFERROR($G25*$F25,""))</f>
        <v/>
      </c>
      <c r="I25" s="54" t="str">
        <f t="shared" si="2"/>
        <v/>
      </c>
      <c r="L25" s="31"/>
    </row>
    <row r="26" spans="1:12" s="29" customFormat="1" ht="14.25" customHeight="1" x14ac:dyDescent="0.25">
      <c r="A26" s="150" t="s">
        <v>310</v>
      </c>
      <c r="B26" s="150"/>
      <c r="C26" s="30" t="str">
        <f t="shared" si="0"/>
        <v/>
      </c>
      <c r="D26" s="147" t="str">
        <f>IFERROR(VLOOKUP($A26,Sheet1!$A$1:$B$80,2,0),"")</f>
        <v/>
      </c>
      <c r="E26" s="30" t="str">
        <f>IFERROR(VLOOKUP($A26,'Tổng Đơn'!$A$5:$E$52,5,0),"")</f>
        <v/>
      </c>
      <c r="F26" s="30" t="str">
        <f t="shared" si="1"/>
        <v/>
      </c>
      <c r="G26" s="155" t="str">
        <f>IF(AND($C26="",$C25&lt;&gt;""),"Tổng Cộng",IFERROR(VLOOKUP($A26,Sheet1!$A$1:$D$80,4,0),""))</f>
        <v/>
      </c>
      <c r="H26" s="148" t="str">
        <f>IF($C25=MAX($C$8:$C$56),SUM($H$8:$H25),IFERROR($G26*$F26,""))</f>
        <v/>
      </c>
      <c r="I26" s="54" t="str">
        <f t="shared" si="2"/>
        <v/>
      </c>
      <c r="L26" s="31"/>
    </row>
    <row r="27" spans="1:12" s="29" customFormat="1" ht="14.25" customHeight="1" x14ac:dyDescent="0.25">
      <c r="A27" s="150" t="s">
        <v>310</v>
      </c>
      <c r="B27" s="150"/>
      <c r="C27" s="30" t="str">
        <f t="shared" si="0"/>
        <v/>
      </c>
      <c r="D27" s="147" t="str">
        <f>IFERROR(VLOOKUP($A27,Sheet1!$A$1:$B$80,2,0),"")</f>
        <v/>
      </c>
      <c r="E27" s="30" t="str">
        <f>IFERROR(VLOOKUP($A27,'Tổng Đơn'!$A$5:$E$52,5,0),"")</f>
        <v/>
      </c>
      <c r="F27" s="30" t="str">
        <f t="shared" si="1"/>
        <v/>
      </c>
      <c r="G27" s="155" t="str">
        <f>IF(AND($C27="",$C26&lt;&gt;""),"Tổng Cộng",IFERROR(VLOOKUP($A27,Sheet1!$A$1:$D$80,4,0),""))</f>
        <v/>
      </c>
      <c r="H27" s="148" t="str">
        <f>IF($C26=MAX($C$8:$C$56),SUM($H$8:$H26),IFERROR($G27*$F27,""))</f>
        <v/>
      </c>
      <c r="I27" s="54" t="str">
        <f t="shared" si="2"/>
        <v/>
      </c>
      <c r="L27" s="31"/>
    </row>
    <row r="28" spans="1:12" s="29" customFormat="1" ht="14.25" customHeight="1" x14ac:dyDescent="0.25">
      <c r="A28" s="150" t="s">
        <v>310</v>
      </c>
      <c r="B28" s="150"/>
      <c r="C28" s="30" t="str">
        <f t="shared" si="0"/>
        <v/>
      </c>
      <c r="D28" s="147" t="str">
        <f>IFERROR(VLOOKUP($A28,Sheet1!$A$1:$B$80,2,0),"")</f>
        <v/>
      </c>
      <c r="E28" s="30" t="str">
        <f>IFERROR(VLOOKUP($A28,'Tổng Đơn'!$A$5:$E$52,5,0),"")</f>
        <v/>
      </c>
      <c r="F28" s="30" t="str">
        <f t="shared" si="1"/>
        <v/>
      </c>
      <c r="G28" s="155" t="str">
        <f>IF(AND($C28="",$C27&lt;&gt;""),"Tổng Cộng",IFERROR(VLOOKUP($A28,Sheet1!$A$1:$D$80,4,0),""))</f>
        <v/>
      </c>
      <c r="H28" s="148" t="str">
        <f>IF($C27=MAX($C$8:$C$56),SUM($H$8:$H27),IFERROR($G28*$F28,""))</f>
        <v/>
      </c>
      <c r="I28" s="54" t="str">
        <f t="shared" si="2"/>
        <v/>
      </c>
      <c r="L28" s="31"/>
    </row>
    <row r="29" spans="1:12" s="29" customFormat="1" ht="14.25" customHeight="1" x14ac:dyDescent="0.25">
      <c r="A29" s="150" t="s">
        <v>310</v>
      </c>
      <c r="B29" s="150"/>
      <c r="C29" s="30" t="str">
        <f t="shared" si="0"/>
        <v/>
      </c>
      <c r="D29" s="147" t="str">
        <f>IFERROR(VLOOKUP($A29,Sheet1!$A$1:$B$80,2,0),"")</f>
        <v/>
      </c>
      <c r="E29" s="30" t="str">
        <f>IFERROR(VLOOKUP($A29,'Tổng Đơn'!$A$5:$E$52,5,0),"")</f>
        <v/>
      </c>
      <c r="F29" s="30" t="str">
        <f t="shared" si="1"/>
        <v/>
      </c>
      <c r="G29" s="155" t="str">
        <f>IF(AND($C29="",$C28&lt;&gt;""),"Tổng Cộng",IFERROR(VLOOKUP($A29,Sheet1!$A$1:$D$80,4,0),""))</f>
        <v/>
      </c>
      <c r="H29" s="148" t="str">
        <f>IF($C28=MAX($C$8:$C$56),SUM($H$8:$H28),IFERROR($G29*$F29,""))</f>
        <v/>
      </c>
      <c r="I29" s="54" t="str">
        <f t="shared" si="2"/>
        <v/>
      </c>
      <c r="L29" s="31"/>
    </row>
    <row r="30" spans="1:12" s="29" customFormat="1" ht="14.25" customHeight="1" x14ac:dyDescent="0.25">
      <c r="A30" s="150" t="s">
        <v>310</v>
      </c>
      <c r="B30" s="150"/>
      <c r="C30" s="30" t="str">
        <f t="shared" si="0"/>
        <v/>
      </c>
      <c r="D30" s="147" t="str">
        <f>IFERROR(VLOOKUP($A30,Sheet1!$A$1:$B$80,2,0),"")</f>
        <v/>
      </c>
      <c r="E30" s="30" t="str">
        <f>IFERROR(VLOOKUP($A30,'Tổng Đơn'!$A$5:$E$52,5,0),"")</f>
        <v/>
      </c>
      <c r="F30" s="30" t="str">
        <f t="shared" si="1"/>
        <v/>
      </c>
      <c r="G30" s="155" t="str">
        <f>IF(AND($C30="",$C29&lt;&gt;""),"Tổng Cộng",IFERROR(VLOOKUP($A30,Sheet1!$A$1:$D$80,4,0),""))</f>
        <v/>
      </c>
      <c r="H30" s="148" t="str">
        <f>IF($C29=MAX($C$8:$C$56),SUM($H$8:$H29),IFERROR($G30*$F30,""))</f>
        <v/>
      </c>
      <c r="I30" s="54" t="str">
        <f t="shared" si="2"/>
        <v/>
      </c>
      <c r="L30" s="31"/>
    </row>
    <row r="31" spans="1:12" s="29" customFormat="1" ht="14.25" customHeight="1" x14ac:dyDescent="0.25">
      <c r="A31" s="150" t="s">
        <v>310</v>
      </c>
      <c r="B31" s="150"/>
      <c r="C31" s="30" t="str">
        <f t="shared" si="0"/>
        <v/>
      </c>
      <c r="D31" s="147" t="str">
        <f>IFERROR(VLOOKUP($A31,Sheet1!$A$1:$B$80,2,0),"")</f>
        <v/>
      </c>
      <c r="E31" s="30" t="str">
        <f>IFERROR(VLOOKUP($A31,'Tổng Đơn'!$A$5:$E$52,5,0),"")</f>
        <v/>
      </c>
      <c r="F31" s="30" t="str">
        <f t="shared" si="1"/>
        <v/>
      </c>
      <c r="G31" s="155" t="str">
        <f>IF(AND($C31="",$C30&lt;&gt;""),"Tổng Cộng",IFERROR(VLOOKUP($A31,Sheet1!$A$1:$D$80,4,0),""))</f>
        <v/>
      </c>
      <c r="H31" s="148" t="str">
        <f>IF($C30=MAX($C$8:$C$56),SUM($H$8:$H30),IFERROR($G31*$F31,""))</f>
        <v/>
      </c>
      <c r="I31" s="54" t="str">
        <f t="shared" si="2"/>
        <v/>
      </c>
      <c r="L31" s="31"/>
    </row>
    <row r="32" spans="1:12" s="29" customFormat="1" ht="14.25" customHeight="1" x14ac:dyDescent="0.25">
      <c r="A32" s="150" t="s">
        <v>310</v>
      </c>
      <c r="B32" s="150"/>
      <c r="C32" s="30" t="str">
        <f t="shared" si="0"/>
        <v/>
      </c>
      <c r="D32" s="147" t="str">
        <f>IFERROR(VLOOKUP($A32,Sheet1!$A$1:$B$80,2,0),"")</f>
        <v/>
      </c>
      <c r="E32" s="30" t="str">
        <f>IFERROR(VLOOKUP($A32,'Tổng Đơn'!$A$5:$E$52,5,0),"")</f>
        <v/>
      </c>
      <c r="F32" s="30" t="str">
        <f t="shared" si="1"/>
        <v/>
      </c>
      <c r="G32" s="155" t="str">
        <f>IF(AND($C32="",$C31&lt;&gt;""),"Tổng Cộng",IFERROR(VLOOKUP($A32,Sheet1!$A$1:$D$80,4,0),""))</f>
        <v/>
      </c>
      <c r="H32" s="148" t="str">
        <f>IF($C31=MAX($C$8:$C$56),SUM($H$8:$H31),IFERROR($G32*$F32,""))</f>
        <v/>
      </c>
      <c r="I32" s="54" t="str">
        <f t="shared" si="2"/>
        <v/>
      </c>
      <c r="L32" s="31"/>
    </row>
    <row r="33" spans="1:12" s="29" customFormat="1" ht="14.25" customHeight="1" x14ac:dyDescent="0.25">
      <c r="A33" s="150" t="s">
        <v>310</v>
      </c>
      <c r="B33" s="150"/>
      <c r="C33" s="30" t="str">
        <f t="shared" si="0"/>
        <v/>
      </c>
      <c r="D33" s="147" t="str">
        <f>IFERROR(VLOOKUP($A33,Sheet1!$A$1:$B$80,2,0),"")</f>
        <v/>
      </c>
      <c r="E33" s="30" t="str">
        <f>IFERROR(VLOOKUP($A33,'Tổng Đơn'!$A$5:$E$52,5,0),"")</f>
        <v/>
      </c>
      <c r="F33" s="30" t="str">
        <f t="shared" si="1"/>
        <v/>
      </c>
      <c r="G33" s="155" t="str">
        <f>IF(AND($C33="",$C32&lt;&gt;""),"Tổng Cộng",IFERROR(VLOOKUP($A33,Sheet1!$A$1:$D$80,4,0),""))</f>
        <v/>
      </c>
      <c r="H33" s="148" t="str">
        <f>IF($C32=MAX($C$8:$C$56),SUM($H$8:$H32),IFERROR($G33*$F33,""))</f>
        <v/>
      </c>
      <c r="I33" s="54" t="str">
        <f t="shared" si="2"/>
        <v/>
      </c>
      <c r="L33" s="31"/>
    </row>
    <row r="34" spans="1:12" s="29" customFormat="1" ht="14.25" customHeight="1" x14ac:dyDescent="0.25">
      <c r="A34" s="150" t="s">
        <v>310</v>
      </c>
      <c r="B34" s="150"/>
      <c r="C34" s="30" t="str">
        <f t="shared" si="0"/>
        <v/>
      </c>
      <c r="D34" s="147" t="str">
        <f>IFERROR(VLOOKUP($A34,Sheet1!$A$1:$B$80,2,0),"")</f>
        <v/>
      </c>
      <c r="E34" s="30" t="str">
        <f>IFERROR(VLOOKUP($A34,'Tổng Đơn'!$A$5:$E$52,5,0),"")</f>
        <v/>
      </c>
      <c r="F34" s="30" t="str">
        <f t="shared" si="1"/>
        <v/>
      </c>
      <c r="G34" s="155" t="str">
        <f>IF(AND($C34="",$C33&lt;&gt;""),"Tổng Cộng",IFERROR(VLOOKUP($A34,Sheet1!$A$1:$D$80,4,0),""))</f>
        <v/>
      </c>
      <c r="H34" s="148" t="str">
        <f>IF($C33=MAX($C$8:$C$56),SUM($H$8:$H33),IFERROR($G34*$F34,""))</f>
        <v/>
      </c>
      <c r="I34" s="54" t="str">
        <f t="shared" si="2"/>
        <v/>
      </c>
      <c r="L34" s="31"/>
    </row>
    <row r="35" spans="1:12" s="29" customFormat="1" ht="14.25" customHeight="1" x14ac:dyDescent="0.25">
      <c r="A35" s="150" t="s">
        <v>310</v>
      </c>
      <c r="B35" s="150"/>
      <c r="C35" s="30" t="str">
        <f t="shared" si="0"/>
        <v/>
      </c>
      <c r="D35" s="147" t="str">
        <f>IFERROR(VLOOKUP($A35,Sheet1!$A$1:$B$80,2,0),"")</f>
        <v/>
      </c>
      <c r="E35" s="30" t="str">
        <f>IFERROR(VLOOKUP($A35,'Tổng Đơn'!$A$5:$E$52,5,0),"")</f>
        <v/>
      </c>
      <c r="F35" s="30" t="str">
        <f t="shared" si="1"/>
        <v/>
      </c>
      <c r="G35" s="155" t="str">
        <f>IF(AND($C35="",$C34&lt;&gt;""),"Tổng Cộng",IFERROR(VLOOKUP($A35,Sheet1!$A$1:$D$80,4,0),""))</f>
        <v/>
      </c>
      <c r="H35" s="148" t="str">
        <f>IF($C34=MAX($C$8:$C$56),SUM($H$8:$H34),IFERROR($G35*$F35,""))</f>
        <v/>
      </c>
      <c r="I35" s="54" t="str">
        <f t="shared" si="2"/>
        <v/>
      </c>
      <c r="L35" s="31"/>
    </row>
    <row r="36" spans="1:12" s="29" customFormat="1" ht="14.25" customHeight="1" x14ac:dyDescent="0.25">
      <c r="A36" s="150" t="s">
        <v>310</v>
      </c>
      <c r="B36" s="150"/>
      <c r="C36" s="30" t="str">
        <f t="shared" si="0"/>
        <v/>
      </c>
      <c r="D36" s="147" t="str">
        <f>IFERROR(VLOOKUP($A36,Sheet1!$A$1:$B$80,2,0),"")</f>
        <v/>
      </c>
      <c r="E36" s="30" t="str">
        <f>IFERROR(VLOOKUP($A36,'Tổng Đơn'!$A$5:$E$52,5,0),"")</f>
        <v/>
      </c>
      <c r="F36" s="30" t="str">
        <f t="shared" si="1"/>
        <v/>
      </c>
      <c r="G36" s="155" t="str">
        <f>IF(AND($C36="",$C35&lt;&gt;""),"Tổng Cộng",IFERROR(VLOOKUP($A36,Sheet1!$A$1:$D$80,4,0),""))</f>
        <v/>
      </c>
      <c r="H36" s="148" t="str">
        <f>IF($C35=MAX($C$8:$C$56),SUM($H$8:$H35),IFERROR($G36*$F36,""))</f>
        <v/>
      </c>
      <c r="I36" s="54" t="str">
        <f t="shared" si="2"/>
        <v/>
      </c>
      <c r="L36" s="31"/>
    </row>
    <row r="37" spans="1:12" s="29" customFormat="1" ht="14.25" customHeight="1" x14ac:dyDescent="0.25">
      <c r="A37" s="150" t="s">
        <v>310</v>
      </c>
      <c r="B37" s="150"/>
      <c r="C37" s="30" t="str">
        <f t="shared" si="0"/>
        <v/>
      </c>
      <c r="D37" s="147" t="str">
        <f>IFERROR(VLOOKUP($A37,Sheet1!$A$1:$B$80,2,0),"")</f>
        <v/>
      </c>
      <c r="E37" s="30" t="str">
        <f>IFERROR(VLOOKUP($A37,'Tổng Đơn'!$A$5:$E$52,5,0),"")</f>
        <v/>
      </c>
      <c r="F37" s="30" t="str">
        <f t="shared" si="1"/>
        <v/>
      </c>
      <c r="G37" s="155" t="str">
        <f>IF(AND($C37="",$C36&lt;&gt;""),"Tổng Cộng",IFERROR(VLOOKUP($A37,Sheet1!$A$1:$D$80,4,0),""))</f>
        <v/>
      </c>
      <c r="H37" s="148" t="str">
        <f>IF($C36=MAX($C$8:$C$56),SUM($H$8:$H36),IFERROR($G37*$F37,""))</f>
        <v/>
      </c>
      <c r="I37" s="54" t="str">
        <f t="shared" si="2"/>
        <v/>
      </c>
      <c r="L37" s="31"/>
    </row>
    <row r="38" spans="1:12" s="29" customFormat="1" ht="14.25" customHeight="1" x14ac:dyDescent="0.25">
      <c r="A38" s="150"/>
      <c r="B38" s="150"/>
      <c r="C38" s="33"/>
      <c r="D38" s="34"/>
      <c r="E38" s="52"/>
      <c r="F38" s="30"/>
      <c r="G38" s="156" t="str">
        <f>IF(AND($C38="",$C37&lt;&gt;""),"Tổng Cộng",IFERROR(VLOOKUP($A38,Sheet1!$A$1:$D$80,4,0),""))</f>
        <v/>
      </c>
      <c r="H38" s="35" t="str">
        <f>IF($C37=MAX($C$8:$C$56),SUM($H$8:$H37),IFERROR($G38*$F38,""))</f>
        <v/>
      </c>
      <c r="I38" s="54"/>
      <c r="L38" s="31"/>
    </row>
    <row r="39" spans="1:12" ht="15" customHeight="1" x14ac:dyDescent="0.25">
      <c r="F39" s="36"/>
      <c r="G39" s="139"/>
      <c r="H39" s="37"/>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C38:E38 D23:E37 F23:H38">
    <cfRule type="expression" dxfId="23" priority="22">
      <formula>$C22=MAX($C$8:$C$37)</formula>
    </cfRule>
  </conditionalFormatting>
  <conditionalFormatting sqref="C23:C37">
    <cfRule type="expression" dxfId="22" priority="21">
      <formula>$C22=MAX($C$8:$C$37)</formula>
    </cfRule>
  </conditionalFormatting>
  <conditionalFormatting sqref="E23:E38">
    <cfRule type="expression" dxfId="21" priority="23">
      <formula>AND($A23="",$F23&lt;&gt;"")</formula>
    </cfRule>
  </conditionalFormatting>
  <conditionalFormatting sqref="F23:F38">
    <cfRule type="expression" dxfId="20" priority="24">
      <formula>AND($F23="",$A23&lt;&gt;"")</formula>
    </cfRule>
  </conditionalFormatting>
  <conditionalFormatting sqref="D20:H22">
    <cfRule type="expression" dxfId="19" priority="18">
      <formula>$C19=MAX($C$8:$C$37)</formula>
    </cfRule>
  </conditionalFormatting>
  <conditionalFormatting sqref="C20:C22">
    <cfRule type="expression" dxfId="18" priority="17">
      <formula>$C19=MAX($C$8:$C$37)</formula>
    </cfRule>
  </conditionalFormatting>
  <conditionalFormatting sqref="E20:E22">
    <cfRule type="expression" dxfId="17" priority="19">
      <formula>AND($A20="",$F20&lt;&gt;"")</formula>
    </cfRule>
  </conditionalFormatting>
  <conditionalFormatting sqref="F20:F22">
    <cfRule type="expression" dxfId="16" priority="20">
      <formula>AND($F20="",$A20&lt;&gt;"")</formula>
    </cfRule>
  </conditionalFormatting>
  <conditionalFormatting sqref="D15:H19 D12:F14 H12:H14">
    <cfRule type="expression" dxfId="15" priority="14">
      <formula>$C11=MAX($C$8:$C$37)</formula>
    </cfRule>
  </conditionalFormatting>
  <conditionalFormatting sqref="C12:C19">
    <cfRule type="expression" dxfId="14" priority="13">
      <formula>$C11=MAX($C$8:$C$37)</formula>
    </cfRule>
  </conditionalFormatting>
  <conditionalFormatting sqref="E12:E19">
    <cfRule type="expression" dxfId="13" priority="15">
      <formula>AND($A12="",$F12&lt;&gt;"")</formula>
    </cfRule>
  </conditionalFormatting>
  <conditionalFormatting sqref="F12:F19">
    <cfRule type="expression" dxfId="12" priority="16">
      <formula>AND($F12="",$A12&lt;&gt;"")</formula>
    </cfRule>
  </conditionalFormatting>
  <conditionalFormatting sqref="G12:G14">
    <cfRule type="expression" dxfId="11" priority="12">
      <formula>$C11=MAX($C$8:$C$37)</formula>
    </cfRule>
  </conditionalFormatting>
  <conditionalFormatting sqref="D9:F11 H9:H11">
    <cfRule type="expression" dxfId="10" priority="9">
      <formula>$C8=MAX($C$8:$C$37)</formula>
    </cfRule>
  </conditionalFormatting>
  <conditionalFormatting sqref="C9:C11">
    <cfRule type="expression" dxfId="9" priority="8">
      <formula>$C8=MAX($C$8:$C$37)</formula>
    </cfRule>
  </conditionalFormatting>
  <conditionalFormatting sqref="E9:E11">
    <cfRule type="expression" dxfId="8" priority="10">
      <formula>AND($A9="",$F9&lt;&gt;"")</formula>
    </cfRule>
  </conditionalFormatting>
  <conditionalFormatting sqref="F9:F11">
    <cfRule type="expression" dxfId="7" priority="11">
      <formula>AND($F9="",$A9&lt;&gt;"")</formula>
    </cfRule>
  </conditionalFormatting>
  <conditionalFormatting sqref="D8:F8">
    <cfRule type="expression" dxfId="6" priority="5">
      <formula>$C7=MAX($C$8:$C$37)</formula>
    </cfRule>
  </conditionalFormatting>
  <conditionalFormatting sqref="C8">
    <cfRule type="expression" dxfId="5" priority="4">
      <formula>$C7=MAX($C$8:$C$37)</formula>
    </cfRule>
  </conditionalFormatting>
  <conditionalFormatting sqref="E8">
    <cfRule type="expression" dxfId="4" priority="6">
      <formula>AND($A8="",$F8&lt;&gt;"")</formula>
    </cfRule>
  </conditionalFormatting>
  <conditionalFormatting sqref="F8">
    <cfRule type="expression" dxfId="3" priority="7">
      <formula>AND($F8="",$A8&lt;&gt;"")</formula>
    </cfRule>
  </conditionalFormatting>
  <conditionalFormatting sqref="H8">
    <cfRule type="expression" dxfId="2" priority="3">
      <formula>$C7=MAX($C$8:$C$37)</formula>
    </cfRule>
  </conditionalFormatting>
  <conditionalFormatting sqref="G9:G11">
    <cfRule type="expression" dxfId="1" priority="2">
      <formula>$C8=MAX($C$8:$C$37)</formula>
    </cfRule>
  </conditionalFormatting>
  <conditionalFormatting sqref="G8">
    <cfRule type="expression" dxfId="0" priority="1">
      <formula>$C7=MAX($C$8:$C$37)</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1529857" r:id="rId4" name="Button 1">
              <controlPr defaultSize="0" print="0" autoFill="0" autoPict="0" macro="[0]!Macro4">
                <anchor moveWithCells="1" sizeWithCells="1">
                  <from>
                    <xdr:col>0</xdr:col>
                    <xdr:colOff>0</xdr:colOff>
                    <xdr:row>0</xdr:row>
                    <xdr:rowOff>0</xdr:rowOff>
                  </from>
                  <to>
                    <xdr:col>1</xdr:col>
                    <xdr:colOff>769620</xdr:colOff>
                    <xdr:row>7</xdr:row>
                    <xdr:rowOff>0</xdr:rowOff>
                  </to>
                </anchor>
              </controlPr>
            </control>
          </mc:Choice>
        </mc:AlternateContent>
      </controls>
    </mc:Choice>
  </mc:AlternateConten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34</vt:i4>
      </vt:variant>
      <vt:variant>
        <vt:lpstr>Named Ranges</vt:lpstr>
      </vt:variant>
      <vt:variant>
        <vt:i4>25</vt:i4>
      </vt:variant>
    </vt:vector>
  </HeadingPairs>
  <TitlesOfParts>
    <vt:vector size="59" baseType="lpstr">
      <vt:lpstr>Chi phí ra hàng tháng</vt:lpstr>
      <vt:lpstr>TVP</vt:lpstr>
      <vt:lpstr>Gà</vt:lpstr>
      <vt:lpstr>Quốc Nhân</vt:lpstr>
      <vt:lpstr>La Cusina</vt:lpstr>
      <vt:lpstr>Kitkool</vt:lpstr>
      <vt:lpstr>Sheet1</vt:lpstr>
      <vt:lpstr>Tổng Đơn</vt:lpstr>
      <vt:lpstr>Chi phí</vt:lpstr>
      <vt:lpstr>Thanh Toán</vt:lpstr>
      <vt:lpstr>Thanh Toán (25)</vt:lpstr>
      <vt:lpstr>Thanh Toán (24)</vt:lpstr>
      <vt:lpstr>Thanh Toán (23)</vt:lpstr>
      <vt:lpstr>Thanh Toán (22)</vt:lpstr>
      <vt:lpstr>Thanh Toán (21)</vt:lpstr>
      <vt:lpstr>Thanh Toán (20)</vt:lpstr>
      <vt:lpstr>Thanh Toán (19)</vt:lpstr>
      <vt:lpstr>Thanh Toán (18)</vt:lpstr>
      <vt:lpstr>Thanh Toán (17)</vt:lpstr>
      <vt:lpstr>Thanh Toán (16)</vt:lpstr>
      <vt:lpstr>Thanh Toán (15)</vt:lpstr>
      <vt:lpstr>Thanh Toán (14)</vt:lpstr>
      <vt:lpstr>Thanh Toán (13)</vt:lpstr>
      <vt:lpstr>Thanh Toán (12)</vt:lpstr>
      <vt:lpstr>Thanh Toán (11)</vt:lpstr>
      <vt:lpstr>Thanh Toán (10)</vt:lpstr>
      <vt:lpstr>Thanh Toán (9)</vt:lpstr>
      <vt:lpstr>Thanh Toán (8)</vt:lpstr>
      <vt:lpstr>Thanh Toán (7)</vt:lpstr>
      <vt:lpstr>Thanh Toán (6)</vt:lpstr>
      <vt:lpstr>Thanh Toán (5)</vt:lpstr>
      <vt:lpstr>Thanh Toán (4)</vt:lpstr>
      <vt:lpstr>Thanh Toán (3)</vt:lpstr>
      <vt:lpstr>Thanh Toán (2)</vt:lpstr>
      <vt:lpstr>'Thanh Toán'!Print_Area</vt:lpstr>
      <vt:lpstr>'Thanh Toán (10)'!Print_Area</vt:lpstr>
      <vt:lpstr>'Thanh Toán (11)'!Print_Area</vt:lpstr>
      <vt:lpstr>'Thanh Toán (12)'!Print_Area</vt:lpstr>
      <vt:lpstr>'Thanh Toán (13)'!Print_Area</vt:lpstr>
      <vt:lpstr>'Thanh Toán (14)'!Print_Area</vt:lpstr>
      <vt:lpstr>'Thanh Toán (15)'!Print_Area</vt:lpstr>
      <vt:lpstr>'Thanh Toán (16)'!Print_Area</vt:lpstr>
      <vt:lpstr>'Thanh Toán (17)'!Print_Area</vt:lpstr>
      <vt:lpstr>'Thanh Toán (18)'!Print_Area</vt:lpstr>
      <vt:lpstr>'Thanh Toán (19)'!Print_Area</vt:lpstr>
      <vt:lpstr>'Thanh Toán (2)'!Print_Area</vt:lpstr>
      <vt:lpstr>'Thanh Toán (20)'!Print_Area</vt:lpstr>
      <vt:lpstr>'Thanh Toán (21)'!Print_Area</vt:lpstr>
      <vt:lpstr>'Thanh Toán (22)'!Print_Area</vt:lpstr>
      <vt:lpstr>'Thanh Toán (23)'!Print_Area</vt:lpstr>
      <vt:lpstr>'Thanh Toán (24)'!Print_Area</vt:lpstr>
      <vt:lpstr>'Thanh Toán (25)'!Print_Area</vt:lpstr>
      <vt:lpstr>'Thanh Toán (3)'!Print_Area</vt:lpstr>
      <vt:lpstr>'Thanh Toán (4)'!Print_Area</vt:lpstr>
      <vt:lpstr>'Thanh Toán (5)'!Print_Area</vt:lpstr>
      <vt:lpstr>'Thanh Toán (6)'!Print_Area</vt:lpstr>
      <vt:lpstr>'Thanh Toán (7)'!Print_Area</vt:lpstr>
      <vt:lpstr>'Thanh Toán (8)'!Print_Area</vt:lpstr>
      <vt:lpstr>'Thanh Toán (9)'!Print_Area</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Windows User</dc:creator>
  <cp:lastModifiedBy>Van Thien</cp:lastModifiedBy>
  <cp:lastPrinted>2022-01-17T14:30:59Z</cp:lastPrinted>
  <dcterms:created xsi:type="dcterms:W3CDTF">2021-12-17T01:18:08Z</dcterms:created>
  <dcterms:modified xsi:type="dcterms:W3CDTF">2023-01-22T07:30:49Z</dcterms:modified>
</cp:coreProperties>
</file>