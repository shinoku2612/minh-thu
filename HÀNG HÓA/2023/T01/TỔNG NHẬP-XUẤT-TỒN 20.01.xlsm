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562D67FD-7F9C-4D12-A0AE-0843880012D6}"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5)" sheetId="484" r:id="rId11"/>
    <sheet name="Thanh Toán (24)" sheetId="483" r:id="rId12"/>
    <sheet name="Thanh Toán (23)" sheetId="482" r:id="rId13"/>
    <sheet name="Thanh Toán (22)" sheetId="481" r:id="rId14"/>
    <sheet name="Thanh Toán (21)" sheetId="480" r:id="rId15"/>
    <sheet name="Thanh Toán (20)" sheetId="479" r:id="rId16"/>
    <sheet name="Thanh Toán (19)" sheetId="478" r:id="rId17"/>
    <sheet name="Thanh Toán (18)" sheetId="477" r:id="rId18"/>
    <sheet name="Thanh Toán (17)" sheetId="476" r:id="rId19"/>
    <sheet name="Thanh Toán (16)" sheetId="475" r:id="rId20"/>
    <sheet name="Thanh Toán (15)" sheetId="474" r:id="rId21"/>
    <sheet name="Thanh Toán (14)" sheetId="473" r:id="rId22"/>
    <sheet name="Thanh Toán (13)" sheetId="472" r:id="rId23"/>
    <sheet name="Thanh Toán (12)" sheetId="471" r:id="rId24"/>
    <sheet name="Thanh Toán (11)" sheetId="470" r:id="rId25"/>
    <sheet name="Thanh Toán (10)" sheetId="469" r:id="rId26"/>
    <sheet name="Thanh Toán (9)" sheetId="468" r:id="rId27"/>
    <sheet name="Thanh Toán (8)" sheetId="467" r:id="rId28"/>
    <sheet name="Thanh Toán (7)" sheetId="466" r:id="rId29"/>
    <sheet name="Thanh Toán (6)" sheetId="465" r:id="rId30"/>
    <sheet name="Thanh Toán (5)" sheetId="464" r:id="rId31"/>
    <sheet name="Thanh Toán (4)" sheetId="463" r:id="rId32"/>
    <sheet name="Thanh Toán (3)" sheetId="462" r:id="rId33"/>
    <sheet name="Thanh Toán (2)" sheetId="461" r:id="rId34"/>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25">'Thanh Toán (10)'!$C$1:$H$38</definedName>
    <definedName name="_xlnm.Print_Area" localSheetId="24">'Thanh Toán (11)'!$C$1:$H$38</definedName>
    <definedName name="_xlnm.Print_Area" localSheetId="23">'Thanh Toán (12)'!$C$1:$H$38</definedName>
    <definedName name="_xlnm.Print_Area" localSheetId="22">'Thanh Toán (13)'!$C$1:$H$38</definedName>
    <definedName name="_xlnm.Print_Area" localSheetId="21">'Thanh Toán (14)'!$C$1:$H$38</definedName>
    <definedName name="_xlnm.Print_Area" localSheetId="20">'Thanh Toán (15)'!$C$1:$H$38</definedName>
    <definedName name="_xlnm.Print_Area" localSheetId="19">'Thanh Toán (16)'!$C$1:$H$38</definedName>
    <definedName name="_xlnm.Print_Area" localSheetId="18">'Thanh Toán (17)'!$C$1:$H$38</definedName>
    <definedName name="_xlnm.Print_Area" localSheetId="17">'Thanh Toán (18)'!$C$1:$H$38</definedName>
    <definedName name="_xlnm.Print_Area" localSheetId="16">'Thanh Toán (19)'!$C$1:$H$38</definedName>
    <definedName name="_xlnm.Print_Area" localSheetId="33">'Thanh Toán (2)'!$C$1:$H$38</definedName>
    <definedName name="_xlnm.Print_Area" localSheetId="15">'Thanh Toán (20)'!$C$1:$H$38</definedName>
    <definedName name="_xlnm.Print_Area" localSheetId="14">'Thanh Toán (21)'!$C$1:$H$38</definedName>
    <definedName name="_xlnm.Print_Area" localSheetId="13">'Thanh Toán (22)'!$C$1:$H$38</definedName>
    <definedName name="_xlnm.Print_Area" localSheetId="12">'Thanh Toán (23)'!$C$1:$H$38</definedName>
    <definedName name="_xlnm.Print_Area" localSheetId="11">'Thanh Toán (24)'!$C$1:$H$38</definedName>
    <definedName name="_xlnm.Print_Area" localSheetId="10">'Thanh Toán (25)'!$C$1:$H$38</definedName>
    <definedName name="_xlnm.Print_Area" localSheetId="32">'Thanh Toán (3)'!$C$1:$H$38</definedName>
    <definedName name="_xlnm.Print_Area" localSheetId="31">'Thanh Toán (4)'!$C$1:$H$38</definedName>
    <definedName name="_xlnm.Print_Area" localSheetId="30">'Thanh Toán (5)'!$C$1:$H$38</definedName>
    <definedName name="_xlnm.Print_Area" localSheetId="29">'Thanh Toán (6)'!$C$1:$H$38</definedName>
    <definedName name="_xlnm.Print_Area" localSheetId="28">'Thanh Toán (7)'!$C$1:$H$38</definedName>
    <definedName name="_xlnm.Print_Area" localSheetId="27">'Thanh Toán (8)'!$C$1:$H$38</definedName>
    <definedName name="_xlnm.Print_Area" localSheetId="26">'Thanh Toán (9)'!$C$1:$H$38</definedName>
    <definedName name="Slicer_Tên_hàng">#N/A</definedName>
  </definedNames>
  <calcPr calcId="191029"/>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95" l="1"/>
  <c r="I7" i="95"/>
  <c r="I12" i="95"/>
  <c r="I2" i="95"/>
  <c r="H12"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F11" i="484"/>
  <c r="I11" i="484" s="1"/>
  <c r="E11" i="484"/>
  <c r="D11" i="484"/>
  <c r="F10" i="484"/>
  <c r="I10" i="484" s="1"/>
  <c r="E10" i="484"/>
  <c r="D10" i="484"/>
  <c r="I9" i="484"/>
  <c r="F9" i="484"/>
  <c r="E9" i="484"/>
  <c r="D9" i="484"/>
  <c r="I8" i="484"/>
  <c r="G8" i="484"/>
  <c r="F8" i="484"/>
  <c r="E8" i="484"/>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F10" i="483"/>
  <c r="E10" i="483"/>
  <c r="D10" i="483"/>
  <c r="I9" i="483"/>
  <c r="F9" i="483"/>
  <c r="E9" i="483"/>
  <c r="D9" i="483"/>
  <c r="I8" i="483"/>
  <c r="I7" i="483" s="1"/>
  <c r="G8" i="483"/>
  <c r="F8" i="483"/>
  <c r="E8" i="483"/>
  <c r="D8" i="483"/>
  <c r="C8" i="483"/>
  <c r="C9" i="483" s="1"/>
  <c r="E7" i="483"/>
  <c r="G6" i="483"/>
  <c r="H9"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I9" i="482"/>
  <c r="C9" i="482"/>
  <c r="G8" i="482"/>
  <c r="F8" i="482"/>
  <c r="I8" i="482" s="1"/>
  <c r="E8" i="482"/>
  <c r="D8" i="482"/>
  <c r="C8" i="482"/>
  <c r="E7" i="482"/>
  <c r="G6" i="482"/>
  <c r="H14"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I13" i="481"/>
  <c r="F13" i="481"/>
  <c r="E13" i="481"/>
  <c r="D13" i="481"/>
  <c r="F12" i="481"/>
  <c r="I12" i="481" s="1"/>
  <c r="E12" i="481"/>
  <c r="D12" i="481"/>
  <c r="F11" i="481"/>
  <c r="I11" i="481" s="1"/>
  <c r="E11" i="481"/>
  <c r="D11" i="481"/>
  <c r="F10" i="481"/>
  <c r="I10" i="481" s="1"/>
  <c r="E10" i="481"/>
  <c r="D10" i="481"/>
  <c r="F9" i="481"/>
  <c r="I9" i="481" s="1"/>
  <c r="E9" i="481"/>
  <c r="D9" i="481"/>
  <c r="I8" i="481"/>
  <c r="G8" i="481"/>
  <c r="F8" i="481"/>
  <c r="E8" i="481"/>
  <c r="D8" i="481"/>
  <c r="C8" i="481"/>
  <c r="C9" i="481" s="1"/>
  <c r="E7" i="481"/>
  <c r="G6" i="481"/>
  <c r="H11" i="480"/>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I10" i="480"/>
  <c r="F10" i="480"/>
  <c r="E10" i="480"/>
  <c r="D10" i="480"/>
  <c r="I9" i="480"/>
  <c r="F9" i="480"/>
  <c r="E9" i="480"/>
  <c r="D9" i="480"/>
  <c r="I8" i="480"/>
  <c r="G8" i="480"/>
  <c r="F8" i="480"/>
  <c r="E8" i="480"/>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2" i="479"/>
  <c r="E12" i="479"/>
  <c r="I12" i="479" s="1"/>
  <c r="D12" i="479"/>
  <c r="F11" i="479"/>
  <c r="I11" i="479" s="1"/>
  <c r="E11" i="479"/>
  <c r="D11" i="479"/>
  <c r="F10" i="479"/>
  <c r="I10" i="479" s="1"/>
  <c r="E10" i="479"/>
  <c r="D10" i="479"/>
  <c r="C10" i="479"/>
  <c r="F9" i="479"/>
  <c r="I9" i="479" s="1"/>
  <c r="E9" i="479"/>
  <c r="D9" i="479"/>
  <c r="C9" i="479"/>
  <c r="I8" i="479"/>
  <c r="G8" i="479"/>
  <c r="F8" i="479"/>
  <c r="E8" i="479"/>
  <c r="D8" i="479"/>
  <c r="C8" i="479"/>
  <c r="E7" i="479"/>
  <c r="G6" i="479"/>
  <c r="H9"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I9" i="478"/>
  <c r="I8" i="478"/>
  <c r="G8" i="478"/>
  <c r="F8" i="478"/>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10" i="477"/>
  <c r="E10" i="477"/>
  <c r="D10" i="477"/>
  <c r="I9" i="477"/>
  <c r="F9" i="477"/>
  <c r="E9" i="477"/>
  <c r="D9" i="477"/>
  <c r="G8" i="477"/>
  <c r="F8" i="477"/>
  <c r="E8" i="477"/>
  <c r="I8" i="477" s="1"/>
  <c r="I7" i="477" s="1"/>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I7" i="476" s="1"/>
  <c r="F13" i="476"/>
  <c r="E13" i="476"/>
  <c r="D13" i="476"/>
  <c r="I12" i="476"/>
  <c r="F12" i="476"/>
  <c r="E12" i="476"/>
  <c r="D12" i="476"/>
  <c r="I11" i="476"/>
  <c r="F11" i="476"/>
  <c r="E11" i="476"/>
  <c r="D11" i="476"/>
  <c r="I10" i="476"/>
  <c r="F10" i="476"/>
  <c r="E10" i="476"/>
  <c r="D10" i="476"/>
  <c r="I9" i="476"/>
  <c r="F9" i="476"/>
  <c r="E9" i="476"/>
  <c r="D9" i="476"/>
  <c r="C9" i="476"/>
  <c r="I8" i="476"/>
  <c r="G8" i="476"/>
  <c r="F8" i="476"/>
  <c r="E8" i="476"/>
  <c r="D8" i="476"/>
  <c r="C8" i="476"/>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I10" i="475"/>
  <c r="F10" i="475"/>
  <c r="E10" i="475"/>
  <c r="D10" i="475"/>
  <c r="F9" i="475"/>
  <c r="I9" i="475" s="1"/>
  <c r="E9" i="475"/>
  <c r="D9" i="475"/>
  <c r="C9" i="475"/>
  <c r="G8" i="475"/>
  <c r="F8" i="475"/>
  <c r="I8" i="475" s="1"/>
  <c r="E8" i="475"/>
  <c r="D8" i="475"/>
  <c r="C8" i="475"/>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F9" i="474"/>
  <c r="I9" i="474" s="1"/>
  <c r="E9" i="474"/>
  <c r="D9" i="474"/>
  <c r="G8" i="474"/>
  <c r="F8" i="474"/>
  <c r="E8" i="474"/>
  <c r="I8" i="474" s="1"/>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I8" i="473"/>
  <c r="I7" i="473" s="1"/>
  <c r="G8" i="473"/>
  <c r="F8" i="473"/>
  <c r="E8" i="473"/>
  <c r="D8" i="473"/>
  <c r="C8" i="473"/>
  <c r="C9" i="473" s="1"/>
  <c r="E7" i="473"/>
  <c r="G6" i="473"/>
  <c r="H9"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G8" i="472"/>
  <c r="F8" i="472"/>
  <c r="I8" i="472" s="1"/>
  <c r="E8" i="472"/>
  <c r="D8" i="472"/>
  <c r="C8" i="472"/>
  <c r="C9" i="472" s="1"/>
  <c r="E7" i="472"/>
  <c r="G6" i="472"/>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I9" i="471"/>
  <c r="F9" i="471"/>
  <c r="E9" i="471"/>
  <c r="D9" i="471"/>
  <c r="I8" i="471"/>
  <c r="G8" i="471"/>
  <c r="F8" i="47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F12" i="470"/>
  <c r="E12" i="470"/>
  <c r="I12" i="470" s="1"/>
  <c r="D12" i="470"/>
  <c r="F11" i="470"/>
  <c r="I11" i="470" s="1"/>
  <c r="E11" i="470"/>
  <c r="D11" i="470"/>
  <c r="F10" i="470"/>
  <c r="I10" i="470" s="1"/>
  <c r="E10" i="470"/>
  <c r="D10" i="470"/>
  <c r="I9" i="470"/>
  <c r="F9" i="470"/>
  <c r="E9" i="470"/>
  <c r="D9" i="470"/>
  <c r="I8" i="470"/>
  <c r="I7" i="470" s="1"/>
  <c r="G8" i="470"/>
  <c r="F8" i="470"/>
  <c r="E8" i="470"/>
  <c r="D8" i="470"/>
  <c r="C8" i="470"/>
  <c r="C9" i="470" s="1"/>
  <c r="E7" i="470"/>
  <c r="G6" i="470"/>
  <c r="H11" i="469"/>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I10" i="469"/>
  <c r="F10" i="469"/>
  <c r="E10" i="469"/>
  <c r="D10" i="469"/>
  <c r="F9" i="469"/>
  <c r="I9" i="469" s="1"/>
  <c r="E9" i="469"/>
  <c r="D9" i="469"/>
  <c r="C9" i="469"/>
  <c r="G8" i="469"/>
  <c r="F8" i="469"/>
  <c r="E8" i="469"/>
  <c r="I8" i="469" s="1"/>
  <c r="D8" i="469"/>
  <c r="C8" i="469"/>
  <c r="E7" i="469"/>
  <c r="G6" i="469"/>
  <c r="H11"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F10" i="468"/>
  <c r="I10" i="468" s="1"/>
  <c r="E10" i="468"/>
  <c r="D10" i="468"/>
  <c r="F9" i="468"/>
  <c r="I9" i="468" s="1"/>
  <c r="E9" i="468"/>
  <c r="D9" i="468"/>
  <c r="G8" i="468"/>
  <c r="F8" i="468"/>
  <c r="E8" i="468"/>
  <c r="I8" i="468" s="1"/>
  <c r="D8" i="468"/>
  <c r="C8" i="468"/>
  <c r="C9" i="468" s="1"/>
  <c r="E7" i="468"/>
  <c r="G6" i="468"/>
  <c r="H18"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7" i="467"/>
  <c r="I17" i="467" s="1"/>
  <c r="E17" i="467"/>
  <c r="D17" i="467"/>
  <c r="I16" i="467"/>
  <c r="F16" i="467"/>
  <c r="E16" i="467"/>
  <c r="D16" i="467"/>
  <c r="I15" i="467"/>
  <c r="F15" i="467"/>
  <c r="E15" i="467"/>
  <c r="D15" i="467"/>
  <c r="F14" i="467"/>
  <c r="I14" i="467" s="1"/>
  <c r="E14" i="467"/>
  <c r="D14" i="467"/>
  <c r="I13" i="467"/>
  <c r="F13" i="467"/>
  <c r="E13" i="467"/>
  <c r="D13" i="467"/>
  <c r="F12" i="467"/>
  <c r="E12" i="467"/>
  <c r="I12" i="467" s="1"/>
  <c r="D12" i="467"/>
  <c r="F11" i="467"/>
  <c r="E11" i="467"/>
  <c r="I11" i="467" s="1"/>
  <c r="D11" i="467"/>
  <c r="F10" i="467"/>
  <c r="I10" i="467" s="1"/>
  <c r="E10" i="467"/>
  <c r="D10" i="467"/>
  <c r="C10" i="467"/>
  <c r="F9" i="467"/>
  <c r="I9" i="467" s="1"/>
  <c r="E9" i="467"/>
  <c r="D9" i="467"/>
  <c r="C9" i="467"/>
  <c r="I8" i="467"/>
  <c r="G8" i="467"/>
  <c r="F8" i="467"/>
  <c r="E8" i="467"/>
  <c r="D8" i="467"/>
  <c r="C8" i="467"/>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I8" i="466"/>
  <c r="I7" i="466" s="1"/>
  <c r="G8" i="466"/>
  <c r="F8" i="466"/>
  <c r="E8" i="466"/>
  <c r="D8" i="466"/>
  <c r="C8" i="466"/>
  <c r="C9" i="466" s="1"/>
  <c r="E7" i="466"/>
  <c r="G6" i="466"/>
  <c r="H13"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2" i="465"/>
  <c r="I12" i="465" s="1"/>
  <c r="E12" i="465"/>
  <c r="D12" i="465"/>
  <c r="F11" i="465"/>
  <c r="I11" i="465" s="1"/>
  <c r="E11" i="465"/>
  <c r="D11" i="465"/>
  <c r="I10" i="465"/>
  <c r="F10" i="465"/>
  <c r="E10" i="465"/>
  <c r="D10" i="465"/>
  <c r="F9" i="465"/>
  <c r="I9" i="465" s="1"/>
  <c r="E9" i="465"/>
  <c r="D9" i="465"/>
  <c r="C9" i="465"/>
  <c r="G8" i="465"/>
  <c r="F8" i="465"/>
  <c r="E8" i="465"/>
  <c r="I8" i="465" s="1"/>
  <c r="D8" i="465"/>
  <c r="C8" i="465"/>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I8" i="464" s="1"/>
  <c r="I7" i="464" s="1"/>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C10" i="463"/>
  <c r="I9" i="463"/>
  <c r="F9" i="463"/>
  <c r="E9" i="463"/>
  <c r="D9" i="463"/>
  <c r="C9" i="463"/>
  <c r="I8" i="463"/>
  <c r="I7" i="463" s="1"/>
  <c r="G8" i="463"/>
  <c r="F8" i="463"/>
  <c r="E8" i="463"/>
  <c r="D8" i="463"/>
  <c r="C8" i="463"/>
  <c r="E7" i="463"/>
  <c r="G6" i="463"/>
  <c r="H9"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C9" i="462"/>
  <c r="G8" i="462"/>
  <c r="F8" i="462"/>
  <c r="I8" i="462" s="1"/>
  <c r="E8" i="462"/>
  <c r="D8" i="462"/>
  <c r="C8" i="462"/>
  <c r="E7" i="462"/>
  <c r="G6" i="462"/>
  <c r="H10"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F9" i="461"/>
  <c r="I9" i="461" s="1"/>
  <c r="E9" i="461"/>
  <c r="D9" i="461"/>
  <c r="G8" i="461"/>
  <c r="F8" i="461"/>
  <c r="I8" i="461" s="1"/>
  <c r="E8" i="461"/>
  <c r="D8" i="461"/>
  <c r="C8" i="461"/>
  <c r="C9" i="461" s="1"/>
  <c r="E7" i="461"/>
  <c r="G6" i="461"/>
  <c r="F5" i="150"/>
  <c r="I12" i="484" l="1"/>
  <c r="I7" i="484" s="1"/>
  <c r="G9" i="484"/>
  <c r="C10" i="484"/>
  <c r="G9" i="483"/>
  <c r="C10" i="483"/>
  <c r="I7" i="482"/>
  <c r="C10" i="482"/>
  <c r="I7" i="481"/>
  <c r="G9" i="481"/>
  <c r="C10" i="481"/>
  <c r="I7" i="480"/>
  <c r="G9" i="480"/>
  <c r="C10" i="480"/>
  <c r="I7" i="479"/>
  <c r="C11" i="479"/>
  <c r="G10" i="479"/>
  <c r="G9" i="479"/>
  <c r="I7" i="478"/>
  <c r="C10" i="478"/>
  <c r="G9" i="477"/>
  <c r="C10" i="477"/>
  <c r="C10" i="476"/>
  <c r="G9" i="476"/>
  <c r="I7" i="475"/>
  <c r="C10" i="475"/>
  <c r="G9" i="475"/>
  <c r="G9" i="474"/>
  <c r="C10" i="474"/>
  <c r="I7" i="474"/>
  <c r="G9" i="473"/>
  <c r="C10" i="473"/>
  <c r="I7" i="472"/>
  <c r="C10" i="472"/>
  <c r="I7" i="471"/>
  <c r="G9" i="471"/>
  <c r="C10" i="471"/>
  <c r="G9" i="470"/>
  <c r="C10" i="470"/>
  <c r="I7" i="469"/>
  <c r="C10" i="469"/>
  <c r="G9" i="469"/>
  <c r="I11" i="468"/>
  <c r="I7" i="468" s="1"/>
  <c r="G9" i="468"/>
  <c r="C10" i="468"/>
  <c r="I7" i="467"/>
  <c r="C11" i="467"/>
  <c r="G10" i="467"/>
  <c r="G9" i="467"/>
  <c r="G9" i="466"/>
  <c r="C10" i="466"/>
  <c r="I7" i="465"/>
  <c r="C10" i="465"/>
  <c r="G9" i="465"/>
  <c r="G9" i="464"/>
  <c r="C10" i="464"/>
  <c r="C11" i="463"/>
  <c r="G10" i="463"/>
  <c r="G9" i="463"/>
  <c r="I7" i="462"/>
  <c r="C10" i="462"/>
  <c r="I10" i="461"/>
  <c r="I7" i="461" s="1"/>
  <c r="G9" i="461"/>
  <c r="C10" i="461"/>
  <c r="F8" i="1"/>
  <c r="A2" i="137"/>
  <c r="A2" i="1"/>
  <c r="F26" i="1"/>
  <c r="F18" i="1"/>
  <c r="F10" i="137"/>
  <c r="F8" i="137"/>
  <c r="F6" i="137"/>
  <c r="AH10" i="150"/>
  <c r="AH18" i="1"/>
  <c r="F12" i="439"/>
  <c r="E12" i="439"/>
  <c r="D12" i="439"/>
  <c r="F11" i="439"/>
  <c r="E11" i="439"/>
  <c r="D11" i="439"/>
  <c r="F10" i="439"/>
  <c r="E10" i="439"/>
  <c r="D10" i="439"/>
  <c r="F9" i="439"/>
  <c r="E9" i="439"/>
  <c r="D9" i="439"/>
  <c r="G8" i="439"/>
  <c r="F8" i="439"/>
  <c r="E8" i="439"/>
  <c r="D8" i="439"/>
  <c r="C8" i="439"/>
  <c r="C9" i="439" s="1"/>
  <c r="B2" i="137"/>
  <c r="F15" i="137"/>
  <c r="F30" i="1"/>
  <c r="F27" i="1"/>
  <c r="F9" i="1"/>
  <c r="AW2" i="137"/>
  <c r="AX3" i="137"/>
  <c r="H5" i="95"/>
  <c r="G10" i="484" l="1"/>
  <c r="C11" i="484"/>
  <c r="G10" i="483"/>
  <c r="C11" i="483"/>
  <c r="G10" i="482"/>
  <c r="C11" i="482"/>
  <c r="G10" i="481"/>
  <c r="C11" i="481"/>
  <c r="G10" i="480"/>
  <c r="C11" i="480"/>
  <c r="G11" i="479"/>
  <c r="C12" i="479"/>
  <c r="G10" i="478"/>
  <c r="C11" i="478"/>
  <c r="G10" i="477"/>
  <c r="C11" i="477"/>
  <c r="G10" i="476"/>
  <c r="C11" i="476"/>
  <c r="G10" i="475"/>
  <c r="C11" i="475"/>
  <c r="G10" i="474"/>
  <c r="C11" i="474"/>
  <c r="G10" i="473"/>
  <c r="C11" i="473"/>
  <c r="G10" i="472"/>
  <c r="C11" i="472"/>
  <c r="C11" i="471"/>
  <c r="G10" i="470"/>
  <c r="C11" i="470"/>
  <c r="G10" i="469"/>
  <c r="C11" i="469"/>
  <c r="C11" i="468"/>
  <c r="G10" i="468"/>
  <c r="G11" i="467"/>
  <c r="C12" i="467"/>
  <c r="G10" i="466"/>
  <c r="C11" i="466"/>
  <c r="G10" i="465"/>
  <c r="C11" i="465"/>
  <c r="G10" i="464"/>
  <c r="C11" i="464"/>
  <c r="C12" i="463"/>
  <c r="G11" i="463"/>
  <c r="G10" i="462"/>
  <c r="C11" i="462"/>
  <c r="C11" i="461"/>
  <c r="C10" i="439"/>
  <c r="G9" i="439"/>
  <c r="A2" i="150"/>
  <c r="G11" i="484" l="1"/>
  <c r="C12" i="484"/>
  <c r="G11" i="483"/>
  <c r="C12" i="483"/>
  <c r="G11" i="482"/>
  <c r="C12" i="482"/>
  <c r="G11" i="481"/>
  <c r="C12" i="481"/>
  <c r="C12" i="480"/>
  <c r="C13" i="479"/>
  <c r="G12" i="479"/>
  <c r="G11" i="478"/>
  <c r="C12" i="478"/>
  <c r="C12" i="477"/>
  <c r="G11" i="477"/>
  <c r="G11" i="476"/>
  <c r="C12" i="476"/>
  <c r="C12" i="475"/>
  <c r="G11" i="474"/>
  <c r="C12" i="474"/>
  <c r="G11" i="473"/>
  <c r="C12" i="473"/>
  <c r="G11" i="472"/>
  <c r="C12" i="472"/>
  <c r="G11" i="471"/>
  <c r="C12" i="471"/>
  <c r="G11" i="470"/>
  <c r="C12" i="470"/>
  <c r="C12" i="469"/>
  <c r="C12" i="468"/>
  <c r="C13" i="467"/>
  <c r="G12" i="467"/>
  <c r="C12" i="466"/>
  <c r="G11" i="466"/>
  <c r="G11" i="465"/>
  <c r="C12" i="465"/>
  <c r="G11" i="464"/>
  <c r="C12" i="464"/>
  <c r="C13" i="463"/>
  <c r="G12" i="463"/>
  <c r="G11" i="462"/>
  <c r="C12" i="462"/>
  <c r="G11" i="461"/>
  <c r="C12" i="461"/>
  <c r="G10" i="439"/>
  <c r="C11" i="439"/>
  <c r="C12" i="439" s="1"/>
  <c r="G12" i="439" s="1"/>
  <c r="A2" i="4"/>
  <c r="F12" i="150"/>
  <c r="F10" i="150"/>
  <c r="F9" i="150"/>
  <c r="F8" i="150"/>
  <c r="F7" i="150"/>
  <c r="F20" i="4"/>
  <c r="F8" i="4"/>
  <c r="F5" i="4"/>
  <c r="C13" i="484" l="1"/>
  <c r="C13" i="483"/>
  <c r="G12" i="483"/>
  <c r="C13" i="482"/>
  <c r="G12" i="482"/>
  <c r="C13" i="481"/>
  <c r="G12" i="481"/>
  <c r="C13" i="480"/>
  <c r="G12" i="480"/>
  <c r="C14" i="479"/>
  <c r="C13" i="478"/>
  <c r="G12" i="478"/>
  <c r="C13" i="477"/>
  <c r="G12" i="477"/>
  <c r="C13" i="476"/>
  <c r="G12" i="476"/>
  <c r="C13" i="475"/>
  <c r="G12" i="475"/>
  <c r="C13" i="474"/>
  <c r="G12" i="474"/>
  <c r="C13" i="473"/>
  <c r="G12" i="473"/>
  <c r="C13" i="472"/>
  <c r="G12" i="472"/>
  <c r="C13" i="471"/>
  <c r="G12" i="471"/>
  <c r="C13" i="470"/>
  <c r="G12" i="470"/>
  <c r="C13" i="469"/>
  <c r="G12" i="469"/>
  <c r="C13" i="468"/>
  <c r="G12" i="468"/>
  <c r="C14" i="467"/>
  <c r="G13" i="467"/>
  <c r="C13" i="466"/>
  <c r="G12" i="466"/>
  <c r="C13" i="465"/>
  <c r="G12" i="465"/>
  <c r="C13" i="464"/>
  <c r="G12" i="464"/>
  <c r="C14" i="463"/>
  <c r="G13" i="463"/>
  <c r="C13" i="462"/>
  <c r="G12" i="462"/>
  <c r="C13" i="461"/>
  <c r="G12" i="461"/>
  <c r="G11" i="439"/>
  <c r="F24" i="1"/>
  <c r="F12" i="137"/>
  <c r="C14" i="484" l="1"/>
  <c r="G13" i="484"/>
  <c r="C14" i="483"/>
  <c r="G13" i="483"/>
  <c r="C14" i="482"/>
  <c r="G13" i="482"/>
  <c r="C14" i="481"/>
  <c r="G13" i="481"/>
  <c r="C14" i="480"/>
  <c r="G13" i="480"/>
  <c r="C15" i="479"/>
  <c r="G14" i="479"/>
  <c r="C14" i="478"/>
  <c r="G13" i="478"/>
  <c r="C14" i="477"/>
  <c r="G13" i="477"/>
  <c r="C14" i="476"/>
  <c r="G13" i="476"/>
  <c r="C14" i="475"/>
  <c r="G13" i="475"/>
  <c r="C14" i="474"/>
  <c r="G13" i="474"/>
  <c r="C14" i="473"/>
  <c r="G13" i="473"/>
  <c r="C14" i="472"/>
  <c r="G13" i="472"/>
  <c r="C14" i="471"/>
  <c r="G13" i="471"/>
  <c r="C14" i="470"/>
  <c r="G13" i="470"/>
  <c r="C14" i="469"/>
  <c r="G13" i="469"/>
  <c r="G13" i="468"/>
  <c r="C14" i="468"/>
  <c r="C15" i="467"/>
  <c r="G14" i="467"/>
  <c r="C14" i="466"/>
  <c r="G13" i="466"/>
  <c r="C14" i="465"/>
  <c r="C14" i="464"/>
  <c r="G13" i="464"/>
  <c r="C15" i="463"/>
  <c r="G14" i="463"/>
  <c r="C14" i="462"/>
  <c r="G13" i="462"/>
  <c r="C14" i="461"/>
  <c r="G13" i="461"/>
  <c r="F28" i="1"/>
  <c r="F21" i="1"/>
  <c r="C15" i="484" l="1"/>
  <c r="G14" i="484"/>
  <c r="C15" i="483"/>
  <c r="G14" i="483"/>
  <c r="C15" i="482"/>
  <c r="G14" i="482"/>
  <c r="C15" i="481"/>
  <c r="C15" i="480"/>
  <c r="G14" i="480"/>
  <c r="C16" i="479"/>
  <c r="G15" i="479"/>
  <c r="C15" i="478"/>
  <c r="G14" i="478"/>
  <c r="C15" i="477"/>
  <c r="G14" i="477"/>
  <c r="C15" i="476"/>
  <c r="G14" i="476"/>
  <c r="C15" i="475"/>
  <c r="G14" i="475"/>
  <c r="C15" i="474"/>
  <c r="G14" i="474"/>
  <c r="C15" i="473"/>
  <c r="G14" i="473"/>
  <c r="C15" i="472"/>
  <c r="G14" i="472"/>
  <c r="C15" i="471"/>
  <c r="G14" i="471"/>
  <c r="C15" i="470"/>
  <c r="G14" i="470"/>
  <c r="C15" i="469"/>
  <c r="G14" i="469"/>
  <c r="C15" i="468"/>
  <c r="G14" i="468"/>
  <c r="C16" i="467"/>
  <c r="G15" i="467"/>
  <c r="C15" i="466"/>
  <c r="G14" i="466"/>
  <c r="C15" i="465"/>
  <c r="G14" i="465"/>
  <c r="C15" i="464"/>
  <c r="G14" i="464"/>
  <c r="C16" i="463"/>
  <c r="G15" i="463"/>
  <c r="C15" i="462"/>
  <c r="G14" i="462"/>
  <c r="C15" i="461"/>
  <c r="G14" i="461"/>
  <c r="F11" i="137"/>
  <c r="F19" i="4"/>
  <c r="F7" i="4"/>
  <c r="F6" i="4"/>
  <c r="F11" i="150"/>
  <c r="C16" i="484" l="1"/>
  <c r="G15" i="484"/>
  <c r="C16" i="483"/>
  <c r="G15" i="483"/>
  <c r="C16" i="482"/>
  <c r="G15" i="482"/>
  <c r="C16" i="481"/>
  <c r="G15" i="481"/>
  <c r="C16" i="480"/>
  <c r="G15" i="480"/>
  <c r="C17" i="479"/>
  <c r="G16" i="479"/>
  <c r="C16" i="478"/>
  <c r="G15" i="478"/>
  <c r="C16" i="477"/>
  <c r="G15" i="477"/>
  <c r="C16" i="476"/>
  <c r="G15" i="476"/>
  <c r="C16" i="475"/>
  <c r="G15" i="475"/>
  <c r="C16" i="474"/>
  <c r="G15" i="474"/>
  <c r="C16" i="473"/>
  <c r="G15" i="473"/>
  <c r="C16" i="472"/>
  <c r="G15" i="472"/>
  <c r="C16" i="471"/>
  <c r="G15" i="471"/>
  <c r="C16" i="470"/>
  <c r="G15" i="470"/>
  <c r="C16" i="469"/>
  <c r="G15" i="469"/>
  <c r="C16" i="468"/>
  <c r="G15" i="468"/>
  <c r="C17" i="467"/>
  <c r="G16" i="467"/>
  <c r="C16" i="466"/>
  <c r="G15" i="466"/>
  <c r="C16" i="465"/>
  <c r="G15" i="465"/>
  <c r="C16" i="464"/>
  <c r="G15" i="464"/>
  <c r="C17" i="463"/>
  <c r="G16" i="463"/>
  <c r="C16" i="462"/>
  <c r="G15" i="462"/>
  <c r="C16" i="461"/>
  <c r="G15" i="461"/>
  <c r="S10" i="150"/>
  <c r="S5" i="150"/>
  <c r="S9" i="150"/>
  <c r="S18" i="1"/>
  <c r="C17" i="484" l="1"/>
  <c r="G16" i="484"/>
  <c r="C17" i="483"/>
  <c r="G16" i="483"/>
  <c r="C17" i="482"/>
  <c r="G16" i="482"/>
  <c r="C17" i="481"/>
  <c r="G16" i="481"/>
  <c r="C17" i="480"/>
  <c r="G16" i="480"/>
  <c r="G17" i="479"/>
  <c r="C18" i="479"/>
  <c r="C17" i="478"/>
  <c r="G16" i="478"/>
  <c r="G16" i="477"/>
  <c r="C17" i="477"/>
  <c r="C17" i="476"/>
  <c r="G16" i="476"/>
  <c r="C17" i="475"/>
  <c r="G16" i="475"/>
  <c r="G16" i="474"/>
  <c r="C17" i="474"/>
  <c r="C17" i="473"/>
  <c r="G16" i="473"/>
  <c r="C17" i="472"/>
  <c r="G16" i="472"/>
  <c r="C17" i="471"/>
  <c r="G16" i="471"/>
  <c r="C17" i="470"/>
  <c r="G16" i="470"/>
  <c r="C17" i="469"/>
  <c r="G16" i="469"/>
  <c r="C17" i="468"/>
  <c r="G16" i="468"/>
  <c r="G17" i="467"/>
  <c r="C18" i="467"/>
  <c r="G16" i="466"/>
  <c r="C17" i="466"/>
  <c r="G16" i="465"/>
  <c r="C17" i="465"/>
  <c r="C17" i="464"/>
  <c r="G16" i="464"/>
  <c r="G17" i="463"/>
  <c r="C18" i="463"/>
  <c r="C17" i="462"/>
  <c r="G16" i="462"/>
  <c r="C17" i="461"/>
  <c r="G16" i="461"/>
  <c r="F13" i="150"/>
  <c r="G17" i="484" l="1"/>
  <c r="C18" i="484"/>
  <c r="G17" i="483"/>
  <c r="C18" i="483"/>
  <c r="G17" i="482"/>
  <c r="C18" i="482"/>
  <c r="G17" i="481"/>
  <c r="C18" i="481"/>
  <c r="G17" i="480"/>
  <c r="C18" i="480"/>
  <c r="G18" i="479"/>
  <c r="C19" i="479"/>
  <c r="G17" i="478"/>
  <c r="C18" i="478"/>
  <c r="G17" i="477"/>
  <c r="C18" i="477"/>
  <c r="G17" i="476"/>
  <c r="C18" i="476"/>
  <c r="G17" i="475"/>
  <c r="C18" i="475"/>
  <c r="G17" i="474"/>
  <c r="C18" i="474"/>
  <c r="G17" i="473"/>
  <c r="C18" i="473"/>
  <c r="G17" i="472"/>
  <c r="C18" i="472"/>
  <c r="G17" i="471"/>
  <c r="C18" i="471"/>
  <c r="G17" i="470"/>
  <c r="C18" i="470"/>
  <c r="G17" i="469"/>
  <c r="C18" i="469"/>
  <c r="G17" i="468"/>
  <c r="C18" i="468"/>
  <c r="C19" i="467"/>
  <c r="G17" i="466"/>
  <c r="C18" i="466"/>
  <c r="G17" i="465"/>
  <c r="C18" i="465"/>
  <c r="G17" i="464"/>
  <c r="C18" i="464"/>
  <c r="G18" i="463"/>
  <c r="C19" i="463"/>
  <c r="G17" i="462"/>
  <c r="C18" i="462"/>
  <c r="G17" i="461"/>
  <c r="C18" i="461"/>
  <c r="D25" i="439"/>
  <c r="E25" i="439"/>
  <c r="F25" i="439"/>
  <c r="Q2" i="150"/>
  <c r="G18" i="484" l="1"/>
  <c r="C19" i="484"/>
  <c r="G18" i="483"/>
  <c r="C19" i="483"/>
  <c r="G18" i="482"/>
  <c r="C19" i="482"/>
  <c r="G18" i="481"/>
  <c r="C19" i="481"/>
  <c r="G18" i="480"/>
  <c r="C19" i="480"/>
  <c r="G19" i="479"/>
  <c r="C20" i="479"/>
  <c r="G18" i="478"/>
  <c r="C19" i="478"/>
  <c r="G18" i="477"/>
  <c r="C19" i="477"/>
  <c r="G18" i="476"/>
  <c r="C19" i="476"/>
  <c r="G18" i="475"/>
  <c r="C19" i="475"/>
  <c r="G18" i="474"/>
  <c r="C19" i="474"/>
  <c r="G18" i="473"/>
  <c r="C19" i="473"/>
  <c r="G18" i="472"/>
  <c r="C19" i="472"/>
  <c r="G18" i="471"/>
  <c r="C19" i="471"/>
  <c r="G18" i="470"/>
  <c r="C19" i="470"/>
  <c r="G18" i="469"/>
  <c r="C19" i="469"/>
  <c r="G18" i="468"/>
  <c r="C19" i="468"/>
  <c r="G19" i="467"/>
  <c r="C20" i="467"/>
  <c r="G18" i="466"/>
  <c r="C19" i="466"/>
  <c r="G18" i="465"/>
  <c r="C19" i="465"/>
  <c r="G18" i="464"/>
  <c r="C19" i="464"/>
  <c r="G19" i="463"/>
  <c r="C20" i="463"/>
  <c r="G18" i="462"/>
  <c r="C19" i="462"/>
  <c r="G18" i="461"/>
  <c r="C19" i="461"/>
  <c r="F23" i="4"/>
  <c r="F9" i="4"/>
  <c r="F6" i="150"/>
  <c r="G19" i="484" l="1"/>
  <c r="C20" i="484"/>
  <c r="G19" i="483"/>
  <c r="C20" i="483"/>
  <c r="G19" i="482"/>
  <c r="C20" i="482"/>
  <c r="G19" i="481"/>
  <c r="C20" i="481"/>
  <c r="G19" i="480"/>
  <c r="C20" i="480"/>
  <c r="C21" i="479"/>
  <c r="G20" i="479"/>
  <c r="G19" i="478"/>
  <c r="C20" i="478"/>
  <c r="G19" i="477"/>
  <c r="C20" i="477"/>
  <c r="G19" i="476"/>
  <c r="C20" i="476"/>
  <c r="G19" i="475"/>
  <c r="C20" i="475"/>
  <c r="G19" i="474"/>
  <c r="C20" i="474"/>
  <c r="G19" i="473"/>
  <c r="C20" i="473"/>
  <c r="G19" i="472"/>
  <c r="C20" i="472"/>
  <c r="G19" i="471"/>
  <c r="C20" i="471"/>
  <c r="G19" i="470"/>
  <c r="C20" i="470"/>
  <c r="G19" i="469"/>
  <c r="C20" i="469"/>
  <c r="G19" i="468"/>
  <c r="C20" i="468"/>
  <c r="C21" i="467"/>
  <c r="G20" i="467"/>
  <c r="G19" i="466"/>
  <c r="C20" i="466"/>
  <c r="G19" i="465"/>
  <c r="C20" i="465"/>
  <c r="G19" i="464"/>
  <c r="C20" i="464"/>
  <c r="C21" i="463"/>
  <c r="G20" i="463"/>
  <c r="G19" i="462"/>
  <c r="C20" i="462"/>
  <c r="G19" i="461"/>
  <c r="C20" i="461"/>
  <c r="BA3" i="150"/>
  <c r="C21" i="484" l="1"/>
  <c r="G20" i="484"/>
  <c r="C21" i="483"/>
  <c r="G20" i="483"/>
  <c r="C21" i="482"/>
  <c r="G20" i="482"/>
  <c r="C21" i="481"/>
  <c r="G20" i="481"/>
  <c r="C21" i="480"/>
  <c r="G20" i="480"/>
  <c r="G21" i="479"/>
  <c r="C22" i="479"/>
  <c r="C21" i="478"/>
  <c r="G20" i="478"/>
  <c r="C21" i="477"/>
  <c r="G20" i="477"/>
  <c r="C21" i="476"/>
  <c r="G20" i="476"/>
  <c r="C21" i="475"/>
  <c r="G20" i="475"/>
  <c r="C21" i="474"/>
  <c r="G20" i="474"/>
  <c r="C21" i="473"/>
  <c r="G20" i="473"/>
  <c r="C21" i="472"/>
  <c r="G20" i="472"/>
  <c r="C21" i="471"/>
  <c r="G20" i="471"/>
  <c r="C21" i="470"/>
  <c r="G20" i="470"/>
  <c r="C21" i="469"/>
  <c r="G20" i="469"/>
  <c r="C21" i="468"/>
  <c r="G20" i="468"/>
  <c r="C22" i="467"/>
  <c r="G21" i="467"/>
  <c r="C21" i="466"/>
  <c r="G20" i="466"/>
  <c r="C21" i="465"/>
  <c r="G20" i="465"/>
  <c r="C21" i="464"/>
  <c r="G20" i="464"/>
  <c r="C22" i="463"/>
  <c r="G21" i="463"/>
  <c r="C21" i="462"/>
  <c r="G20" i="462"/>
  <c r="C21" i="461"/>
  <c r="G20" i="461"/>
  <c r="BA5" i="150"/>
  <c r="BA6" i="150" s="1"/>
  <c r="BA7" i="150" s="1"/>
  <c r="BA8" i="150" s="1"/>
  <c r="BA9" i="150" s="1"/>
  <c r="BA10" i="150" s="1"/>
  <c r="BA11" i="150" s="1"/>
  <c r="BA12" i="150" s="1"/>
  <c r="BA13" i="150" s="1"/>
  <c r="C22" i="484" l="1"/>
  <c r="G21" i="484"/>
  <c r="C22" i="483"/>
  <c r="G21" i="483"/>
  <c r="C22" i="482"/>
  <c r="G21" i="482"/>
  <c r="C22" i="481"/>
  <c r="G21" i="481"/>
  <c r="C22" i="480"/>
  <c r="G21" i="480"/>
  <c r="C23" i="479"/>
  <c r="G22" i="479"/>
  <c r="C22" i="478"/>
  <c r="G21" i="478"/>
  <c r="C22" i="477"/>
  <c r="G21" i="477"/>
  <c r="C22" i="476"/>
  <c r="G21" i="476"/>
  <c r="C22" i="475"/>
  <c r="G21" i="475"/>
  <c r="C22" i="474"/>
  <c r="G21" i="474"/>
  <c r="C22" i="473"/>
  <c r="G21" i="473"/>
  <c r="C22" i="472"/>
  <c r="G21" i="472"/>
  <c r="C22" i="471"/>
  <c r="G21" i="471"/>
  <c r="C22" i="470"/>
  <c r="G21" i="470"/>
  <c r="C22" i="469"/>
  <c r="G21" i="469"/>
  <c r="C22" i="468"/>
  <c r="G21" i="468"/>
  <c r="C23" i="467"/>
  <c r="G22" i="467"/>
  <c r="C22" i="466"/>
  <c r="G21" i="466"/>
  <c r="C22" i="465"/>
  <c r="G21" i="465"/>
  <c r="C22" i="464"/>
  <c r="G21" i="464"/>
  <c r="G22" i="463"/>
  <c r="C23" i="463"/>
  <c r="C22" i="462"/>
  <c r="G21" i="462"/>
  <c r="C22" i="461"/>
  <c r="G21" i="461"/>
  <c r="D8" i="150"/>
  <c r="D9" i="150"/>
  <c r="D7" i="150"/>
  <c r="D6" i="150"/>
  <c r="D5" i="150"/>
  <c r="AY5" i="150"/>
  <c r="AY13" i="150"/>
  <c r="AX13" i="150" s="1"/>
  <c r="M13" i="150"/>
  <c r="D13" i="150"/>
  <c r="G13" i="150" s="1"/>
  <c r="H13" i="150" s="1"/>
  <c r="C23" i="484" l="1"/>
  <c r="G22" i="484"/>
  <c r="C23" i="483"/>
  <c r="G22" i="483"/>
  <c r="C23" i="482"/>
  <c r="G22" i="482"/>
  <c r="C23" i="481"/>
  <c r="G22" i="481"/>
  <c r="C23" i="480"/>
  <c r="G22" i="480"/>
  <c r="C24" i="479"/>
  <c r="G23" i="479"/>
  <c r="C23" i="478"/>
  <c r="G22" i="478"/>
  <c r="C23" i="477"/>
  <c r="G22" i="477"/>
  <c r="C23" i="476"/>
  <c r="G22" i="476"/>
  <c r="C23" i="475"/>
  <c r="G22" i="475"/>
  <c r="C23" i="474"/>
  <c r="G22" i="474"/>
  <c r="C23" i="473"/>
  <c r="G22" i="473"/>
  <c r="C23" i="472"/>
  <c r="G22" i="472"/>
  <c r="C23" i="471"/>
  <c r="G22" i="471"/>
  <c r="C23" i="470"/>
  <c r="G22" i="470"/>
  <c r="C23" i="469"/>
  <c r="G22" i="469"/>
  <c r="C23" i="468"/>
  <c r="G22" i="468"/>
  <c r="C24" i="467"/>
  <c r="G23" i="467"/>
  <c r="C23" i="466"/>
  <c r="G22" i="466"/>
  <c r="C23" i="465"/>
  <c r="G22" i="465"/>
  <c r="C23" i="464"/>
  <c r="G22" i="464"/>
  <c r="C24" i="463"/>
  <c r="G23" i="463"/>
  <c r="C23" i="462"/>
  <c r="G22" i="462"/>
  <c r="C23" i="461"/>
  <c r="G22" i="461"/>
  <c r="D11" i="150"/>
  <c r="G11" i="150" s="1"/>
  <c r="C24" i="484" l="1"/>
  <c r="G23" i="484"/>
  <c r="C24" i="483"/>
  <c r="G23" i="483"/>
  <c r="C24" i="482"/>
  <c r="G23" i="482"/>
  <c r="C24" i="481"/>
  <c r="G23" i="481"/>
  <c r="C24" i="480"/>
  <c r="G23" i="480"/>
  <c r="C25" i="479"/>
  <c r="G24" i="479"/>
  <c r="C24" i="478"/>
  <c r="G23" i="478"/>
  <c r="C24" i="477"/>
  <c r="G23" i="477"/>
  <c r="C24" i="476"/>
  <c r="G23" i="476"/>
  <c r="C24" i="475"/>
  <c r="G23" i="475"/>
  <c r="C24" i="474"/>
  <c r="G23" i="474"/>
  <c r="C24" i="473"/>
  <c r="G23" i="473"/>
  <c r="C24" i="472"/>
  <c r="G23" i="472"/>
  <c r="C24" i="471"/>
  <c r="G23" i="471"/>
  <c r="C24" i="470"/>
  <c r="G23" i="470"/>
  <c r="C24" i="469"/>
  <c r="G23" i="469"/>
  <c r="C24" i="468"/>
  <c r="G23" i="468"/>
  <c r="C25" i="467"/>
  <c r="G24" i="467"/>
  <c r="C24" i="466"/>
  <c r="G23" i="466"/>
  <c r="C24" i="465"/>
  <c r="G23" i="465"/>
  <c r="C24" i="464"/>
  <c r="G23" i="464"/>
  <c r="C25" i="463"/>
  <c r="G24" i="463"/>
  <c r="C24" i="462"/>
  <c r="G23" i="462"/>
  <c r="C24" i="461"/>
  <c r="G23" i="461"/>
  <c r="P2" i="8"/>
  <c r="P3" i="8"/>
  <c r="P4" i="8"/>
  <c r="P5" i="8"/>
  <c r="P6" i="8"/>
  <c r="P7" i="8"/>
  <c r="C25" i="484" l="1"/>
  <c r="G24" i="484"/>
  <c r="C25" i="483"/>
  <c r="G24" i="483"/>
  <c r="C25" i="482"/>
  <c r="G24" i="482"/>
  <c r="C25" i="481"/>
  <c r="G24" i="481"/>
  <c r="C25" i="480"/>
  <c r="G24" i="480"/>
  <c r="G25" i="479"/>
  <c r="C26" i="479"/>
  <c r="C25" i="478"/>
  <c r="G24" i="478"/>
  <c r="G24" i="477"/>
  <c r="C25" i="477"/>
  <c r="C25" i="476"/>
  <c r="G24" i="476"/>
  <c r="C25" i="475"/>
  <c r="G24" i="475"/>
  <c r="C25" i="474"/>
  <c r="G24" i="474"/>
  <c r="C25" i="473"/>
  <c r="G24" i="473"/>
  <c r="C25" i="472"/>
  <c r="G24" i="472"/>
  <c r="C25" i="471"/>
  <c r="G24" i="471"/>
  <c r="C25" i="470"/>
  <c r="G24" i="470"/>
  <c r="C25" i="469"/>
  <c r="G24" i="469"/>
  <c r="C25" i="468"/>
  <c r="G24" i="468"/>
  <c r="G25" i="467"/>
  <c r="C26" i="467"/>
  <c r="C25" i="466"/>
  <c r="G24" i="466"/>
  <c r="C25" i="465"/>
  <c r="G24" i="465"/>
  <c r="C25" i="464"/>
  <c r="G24" i="464"/>
  <c r="G25" i="463"/>
  <c r="C26" i="463"/>
  <c r="C25" i="462"/>
  <c r="G24" i="462"/>
  <c r="C25" i="461"/>
  <c r="G24" i="461"/>
  <c r="P2" i="4"/>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84" l="1"/>
  <c r="C26" i="484"/>
  <c r="G25" i="483"/>
  <c r="C26" i="483"/>
  <c r="G25" i="482"/>
  <c r="C26" i="482"/>
  <c r="G25" i="481"/>
  <c r="C26" i="481"/>
  <c r="G25" i="480"/>
  <c r="C26" i="480"/>
  <c r="G26" i="479"/>
  <c r="C27" i="479"/>
  <c r="G25" i="478"/>
  <c r="C26" i="478"/>
  <c r="G25" i="477"/>
  <c r="C26" i="477"/>
  <c r="G25" i="476"/>
  <c r="C26" i="476"/>
  <c r="G25" i="475"/>
  <c r="C26" i="475"/>
  <c r="G25" i="474"/>
  <c r="C26" i="474"/>
  <c r="G25" i="473"/>
  <c r="C26" i="473"/>
  <c r="G25" i="472"/>
  <c r="C26" i="472"/>
  <c r="G25" i="471"/>
  <c r="C26" i="471"/>
  <c r="G25" i="470"/>
  <c r="C26" i="470"/>
  <c r="G25" i="469"/>
  <c r="C26" i="469"/>
  <c r="G25" i="468"/>
  <c r="C26" i="468"/>
  <c r="G26" i="467"/>
  <c r="C27" i="467"/>
  <c r="G25" i="466"/>
  <c r="C26" i="466"/>
  <c r="G25" i="465"/>
  <c r="C26" i="465"/>
  <c r="G25" i="464"/>
  <c r="C26" i="464"/>
  <c r="G26" i="463"/>
  <c r="C27" i="463"/>
  <c r="G25" i="462"/>
  <c r="C26" i="462"/>
  <c r="G25" i="461"/>
  <c r="C26" i="461"/>
  <c r="G8" i="150"/>
  <c r="G26" i="484" l="1"/>
  <c r="C27" i="484"/>
  <c r="G26" i="483"/>
  <c r="C27" i="483"/>
  <c r="G26" i="482"/>
  <c r="C27" i="482"/>
  <c r="G26" i="481"/>
  <c r="C27" i="481"/>
  <c r="G26" i="480"/>
  <c r="C27" i="480"/>
  <c r="G27" i="479"/>
  <c r="C28" i="479"/>
  <c r="G26" i="478"/>
  <c r="C27" i="478"/>
  <c r="G26" i="477"/>
  <c r="C27" i="477"/>
  <c r="G26" i="476"/>
  <c r="C27" i="476"/>
  <c r="G26" i="475"/>
  <c r="C27" i="475"/>
  <c r="G26" i="474"/>
  <c r="C27" i="474"/>
  <c r="G26" i="473"/>
  <c r="C27" i="473"/>
  <c r="G26" i="472"/>
  <c r="C27" i="472"/>
  <c r="G26" i="471"/>
  <c r="C27" i="471"/>
  <c r="G26" i="470"/>
  <c r="C27" i="470"/>
  <c r="G26" i="469"/>
  <c r="C27" i="469"/>
  <c r="C27" i="468"/>
  <c r="G26" i="468"/>
  <c r="G27" i="467"/>
  <c r="C28" i="467"/>
  <c r="G26" i="466"/>
  <c r="C27" i="466"/>
  <c r="G26" i="465"/>
  <c r="C27" i="465"/>
  <c r="G26" i="464"/>
  <c r="C27" i="464"/>
  <c r="G27" i="463"/>
  <c r="C28" i="463"/>
  <c r="G26" i="462"/>
  <c r="C27" i="462"/>
  <c r="G26" i="461"/>
  <c r="C27" i="461"/>
  <c r="Q15" i="150"/>
  <c r="G27" i="484" l="1"/>
  <c r="C28" i="484"/>
  <c r="G27" i="483"/>
  <c r="C28" i="483"/>
  <c r="G27" i="482"/>
  <c r="C28" i="482"/>
  <c r="G27" i="481"/>
  <c r="C28" i="481"/>
  <c r="G27" i="480"/>
  <c r="C28" i="480"/>
  <c r="C29" i="479"/>
  <c r="G28" i="479"/>
  <c r="G27" i="478"/>
  <c r="C28" i="478"/>
  <c r="G27" i="477"/>
  <c r="C28" i="477"/>
  <c r="G27" i="476"/>
  <c r="C28" i="476"/>
  <c r="G27" i="475"/>
  <c r="C28" i="475"/>
  <c r="G27" i="474"/>
  <c r="C28" i="474"/>
  <c r="G27" i="473"/>
  <c r="C28" i="473"/>
  <c r="G27" i="472"/>
  <c r="C28" i="472"/>
  <c r="G27" i="471"/>
  <c r="C28" i="471"/>
  <c r="G27" i="470"/>
  <c r="C28" i="470"/>
  <c r="G27" i="469"/>
  <c r="C28" i="469"/>
  <c r="G27" i="468"/>
  <c r="C28" i="468"/>
  <c r="C29" i="467"/>
  <c r="G28" i="467"/>
  <c r="G27" i="466"/>
  <c r="C28" i="466"/>
  <c r="G27" i="465"/>
  <c r="C28" i="465"/>
  <c r="G27" i="464"/>
  <c r="C28" i="464"/>
  <c r="C29" i="463"/>
  <c r="G28" i="463"/>
  <c r="G27" i="462"/>
  <c r="C28" i="462"/>
  <c r="G27" i="461"/>
  <c r="C28" i="461"/>
  <c r="F9" i="137"/>
  <c r="C29" i="484" l="1"/>
  <c r="G28" i="484"/>
  <c r="C29" i="483"/>
  <c r="G28" i="483"/>
  <c r="C29" i="482"/>
  <c r="G28" i="482"/>
  <c r="C29" i="481"/>
  <c r="G28" i="481"/>
  <c r="C29" i="480"/>
  <c r="G28" i="480"/>
  <c r="C30" i="479"/>
  <c r="G29" i="479"/>
  <c r="C29" i="478"/>
  <c r="G28" i="478"/>
  <c r="C29" i="477"/>
  <c r="G28" i="477"/>
  <c r="C29" i="476"/>
  <c r="G28" i="476"/>
  <c r="C29" i="475"/>
  <c r="G28" i="475"/>
  <c r="C29" i="474"/>
  <c r="G28" i="474"/>
  <c r="C29" i="473"/>
  <c r="G28" i="473"/>
  <c r="C29" i="472"/>
  <c r="G28" i="472"/>
  <c r="C29" i="471"/>
  <c r="G28" i="471"/>
  <c r="C29" i="470"/>
  <c r="G28" i="470"/>
  <c r="C29" i="469"/>
  <c r="G28" i="469"/>
  <c r="C29" i="468"/>
  <c r="G28" i="468"/>
  <c r="C30" i="467"/>
  <c r="G29" i="467"/>
  <c r="C29" i="466"/>
  <c r="G28" i="466"/>
  <c r="C29" i="465"/>
  <c r="G28" i="465"/>
  <c r="C29" i="464"/>
  <c r="G28" i="464"/>
  <c r="C30" i="463"/>
  <c r="G29" i="463"/>
  <c r="C29" i="462"/>
  <c r="G28" i="462"/>
  <c r="C29" i="461"/>
  <c r="G28" i="461"/>
  <c r="AX6" i="137"/>
  <c r="C30" i="484" l="1"/>
  <c r="G29" i="484"/>
  <c r="C30" i="483"/>
  <c r="G29" i="483"/>
  <c r="C30" i="482"/>
  <c r="G29" i="482"/>
  <c r="C30" i="481"/>
  <c r="G29" i="481"/>
  <c r="C30" i="480"/>
  <c r="G29" i="480"/>
  <c r="C31" i="479"/>
  <c r="G30" i="479"/>
  <c r="C30" i="478"/>
  <c r="G29" i="478"/>
  <c r="C30" i="477"/>
  <c r="G29" i="477"/>
  <c r="C30" i="476"/>
  <c r="G29" i="476"/>
  <c r="C30" i="475"/>
  <c r="G29" i="475"/>
  <c r="C30" i="474"/>
  <c r="G29" i="474"/>
  <c r="C30" i="473"/>
  <c r="G29" i="473"/>
  <c r="C30" i="472"/>
  <c r="G29" i="472"/>
  <c r="C30" i="471"/>
  <c r="G29" i="471"/>
  <c r="C30" i="470"/>
  <c r="G29" i="470"/>
  <c r="C30" i="469"/>
  <c r="G29" i="469"/>
  <c r="G29" i="468"/>
  <c r="C30" i="468"/>
  <c r="C31" i="467"/>
  <c r="G30" i="467"/>
  <c r="C30" i="466"/>
  <c r="G29" i="466"/>
  <c r="C30" i="465"/>
  <c r="G29" i="465"/>
  <c r="C30" i="464"/>
  <c r="G29" i="464"/>
  <c r="C31" i="463"/>
  <c r="G30" i="463"/>
  <c r="C30" i="462"/>
  <c r="G29" i="462"/>
  <c r="C30" i="461"/>
  <c r="G29" i="461"/>
  <c r="G21" i="1"/>
  <c r="H21" i="1" s="1"/>
  <c r="G22" i="1"/>
  <c r="C31" i="484" l="1"/>
  <c r="G30" i="484"/>
  <c r="C31" i="483"/>
  <c r="G30" i="483"/>
  <c r="C31" i="482"/>
  <c r="G30" i="482"/>
  <c r="C31" i="481"/>
  <c r="G30" i="481"/>
  <c r="C31" i="480"/>
  <c r="G30" i="480"/>
  <c r="C32" i="479"/>
  <c r="G31" i="479"/>
  <c r="C31" i="478"/>
  <c r="G30" i="478"/>
  <c r="C31" i="477"/>
  <c r="G30" i="477"/>
  <c r="C31" i="476"/>
  <c r="G30" i="476"/>
  <c r="C31" i="475"/>
  <c r="G30" i="475"/>
  <c r="C31" i="474"/>
  <c r="G30" i="474"/>
  <c r="C31" i="473"/>
  <c r="G30" i="473"/>
  <c r="C31" i="472"/>
  <c r="G30" i="472"/>
  <c r="C31" i="471"/>
  <c r="G30" i="471"/>
  <c r="C31" i="470"/>
  <c r="G30" i="470"/>
  <c r="C31" i="469"/>
  <c r="G30" i="469"/>
  <c r="C31" i="468"/>
  <c r="G30" i="468"/>
  <c r="C32" i="467"/>
  <c r="G31" i="467"/>
  <c r="C31" i="466"/>
  <c r="G30" i="466"/>
  <c r="C31" i="465"/>
  <c r="G30" i="465"/>
  <c r="C31" i="464"/>
  <c r="G30" i="464"/>
  <c r="C32" i="463"/>
  <c r="G31" i="463"/>
  <c r="C31" i="462"/>
  <c r="G30" i="462"/>
  <c r="C31" i="461"/>
  <c r="G30" i="461"/>
  <c r="M21" i="1"/>
  <c r="C32" i="484" l="1"/>
  <c r="G31" i="484"/>
  <c r="C32" i="483"/>
  <c r="G31" i="483"/>
  <c r="C32" i="482"/>
  <c r="G31" i="482"/>
  <c r="C32" i="481"/>
  <c r="G31" i="481"/>
  <c r="C32" i="480"/>
  <c r="G31" i="480"/>
  <c r="C33" i="479"/>
  <c r="G32" i="479"/>
  <c r="C32" i="478"/>
  <c r="G31" i="478"/>
  <c r="C32" i="477"/>
  <c r="G31" i="477"/>
  <c r="C32" i="476"/>
  <c r="G31" i="476"/>
  <c r="C32" i="475"/>
  <c r="G31" i="475"/>
  <c r="C32" i="474"/>
  <c r="G31" i="474"/>
  <c r="C32" i="473"/>
  <c r="G31" i="473"/>
  <c r="C32" i="472"/>
  <c r="G31" i="472"/>
  <c r="C32" i="471"/>
  <c r="G31" i="471"/>
  <c r="C32" i="470"/>
  <c r="G31" i="470"/>
  <c r="C32" i="469"/>
  <c r="G31" i="469"/>
  <c r="G31" i="468"/>
  <c r="C32" i="468"/>
  <c r="C33" i="467"/>
  <c r="G32" i="467"/>
  <c r="C32" i="466"/>
  <c r="G31" i="466"/>
  <c r="C32" i="465"/>
  <c r="G31" i="465"/>
  <c r="C32" i="464"/>
  <c r="G31" i="464"/>
  <c r="C33" i="463"/>
  <c r="G32" i="463"/>
  <c r="C32" i="462"/>
  <c r="G31" i="462"/>
  <c r="C32" i="461"/>
  <c r="G31" i="46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84" l="1"/>
  <c r="G32" i="484"/>
  <c r="C33" i="483"/>
  <c r="G32" i="483"/>
  <c r="C33" i="482"/>
  <c r="G32" i="482"/>
  <c r="C33" i="481"/>
  <c r="G32" i="481"/>
  <c r="G32" i="480"/>
  <c r="C33" i="480"/>
  <c r="G33" i="479"/>
  <c r="C34" i="479"/>
  <c r="C33" i="478"/>
  <c r="G32" i="478"/>
  <c r="G32" i="477"/>
  <c r="C33" i="477"/>
  <c r="C33" i="476"/>
  <c r="G32" i="476"/>
  <c r="C33" i="475"/>
  <c r="G32" i="475"/>
  <c r="G32" i="474"/>
  <c r="C33" i="474"/>
  <c r="C33" i="473"/>
  <c r="G32" i="473"/>
  <c r="C33" i="472"/>
  <c r="G32" i="472"/>
  <c r="C33" i="471"/>
  <c r="G32" i="471"/>
  <c r="C33" i="470"/>
  <c r="G32" i="470"/>
  <c r="C33" i="469"/>
  <c r="G32" i="469"/>
  <c r="C33" i="468"/>
  <c r="G32" i="468"/>
  <c r="G33" i="467"/>
  <c r="C34" i="467"/>
  <c r="G32" i="466"/>
  <c r="C33" i="466"/>
  <c r="C33" i="465"/>
  <c r="G32" i="465"/>
  <c r="C33" i="464"/>
  <c r="G32" i="464"/>
  <c r="G33" i="463"/>
  <c r="C34" i="463"/>
  <c r="C33" i="462"/>
  <c r="G32" i="462"/>
  <c r="C33" i="461"/>
  <c r="G32" i="461"/>
  <c r="M12" i="137"/>
  <c r="AX12" i="137"/>
  <c r="H12" i="137"/>
  <c r="G33" i="484" l="1"/>
  <c r="C34" i="484"/>
  <c r="G33" i="483"/>
  <c r="C34" i="483"/>
  <c r="G33" i="482"/>
  <c r="C34" i="482"/>
  <c r="G33" i="481"/>
  <c r="C34" i="481"/>
  <c r="G33" i="480"/>
  <c r="C34" i="480"/>
  <c r="G34" i="479"/>
  <c r="C35" i="479"/>
  <c r="G33" i="478"/>
  <c r="C34" i="478"/>
  <c r="G33" i="477"/>
  <c r="C34" i="477"/>
  <c r="G33" i="476"/>
  <c r="C34" i="476"/>
  <c r="G33" i="475"/>
  <c r="C34" i="475"/>
  <c r="G33" i="474"/>
  <c r="C34" i="474"/>
  <c r="G33" i="473"/>
  <c r="C34" i="473"/>
  <c r="G33" i="472"/>
  <c r="C34" i="472"/>
  <c r="G33" i="471"/>
  <c r="C34" i="471"/>
  <c r="G33" i="470"/>
  <c r="C34" i="470"/>
  <c r="G33" i="469"/>
  <c r="C34" i="469"/>
  <c r="G33" i="468"/>
  <c r="C34" i="468"/>
  <c r="G34" i="467"/>
  <c r="C35" i="467"/>
  <c r="G33" i="466"/>
  <c r="C34" i="466"/>
  <c r="G33" i="465"/>
  <c r="C34" i="465"/>
  <c r="G33" i="464"/>
  <c r="C34" i="464"/>
  <c r="G34" i="463"/>
  <c r="C35" i="463"/>
  <c r="G33" i="462"/>
  <c r="C34" i="462"/>
  <c r="G33" i="461"/>
  <c r="C34" i="461"/>
  <c r="D10" i="150"/>
  <c r="U13" i="120"/>
  <c r="G20" i="4"/>
  <c r="G34" i="484" l="1"/>
  <c r="C35" i="484"/>
  <c r="G34" i="483"/>
  <c r="C35" i="483"/>
  <c r="G34" i="482"/>
  <c r="C35" i="482"/>
  <c r="G34" i="481"/>
  <c r="C35" i="481"/>
  <c r="G34" i="480"/>
  <c r="C35" i="480"/>
  <c r="G35" i="479"/>
  <c r="C36" i="479"/>
  <c r="G34" i="478"/>
  <c r="C35" i="478"/>
  <c r="G34" i="477"/>
  <c r="C35" i="477"/>
  <c r="G34" i="476"/>
  <c r="C35" i="476"/>
  <c r="G34" i="475"/>
  <c r="C35" i="475"/>
  <c r="G34" i="474"/>
  <c r="C35" i="474"/>
  <c r="G34" i="473"/>
  <c r="C35" i="473"/>
  <c r="G34" i="472"/>
  <c r="C35" i="472"/>
  <c r="G34" i="471"/>
  <c r="C35" i="471"/>
  <c r="G34" i="470"/>
  <c r="C35" i="470"/>
  <c r="G34" i="469"/>
  <c r="C35" i="469"/>
  <c r="C35" i="468"/>
  <c r="G34" i="468"/>
  <c r="G35" i="467"/>
  <c r="C36" i="467"/>
  <c r="G34" i="466"/>
  <c r="C35" i="466"/>
  <c r="G34" i="465"/>
  <c r="C35" i="465"/>
  <c r="G34" i="464"/>
  <c r="C35" i="464"/>
  <c r="G35" i="463"/>
  <c r="C36" i="463"/>
  <c r="G34" i="462"/>
  <c r="C35" i="462"/>
  <c r="G34" i="461"/>
  <c r="C35" i="461"/>
  <c r="G9" i="4"/>
  <c r="G18" i="4"/>
  <c r="G5" i="4"/>
  <c r="G35" i="484" l="1"/>
  <c r="C36" i="484"/>
  <c r="G35" i="483"/>
  <c r="C36" i="483"/>
  <c r="G35" i="482"/>
  <c r="C36" i="482"/>
  <c r="G35" i="481"/>
  <c r="C36" i="481"/>
  <c r="G35" i="480"/>
  <c r="C36" i="480"/>
  <c r="C37" i="479"/>
  <c r="H33" i="479" s="1"/>
  <c r="G36" i="479"/>
  <c r="G35" i="478"/>
  <c r="C36" i="478"/>
  <c r="G35" i="477"/>
  <c r="C36" i="477"/>
  <c r="G35" i="476"/>
  <c r="C36" i="476"/>
  <c r="G35" i="475"/>
  <c r="C36" i="475"/>
  <c r="G35" i="474"/>
  <c r="C36" i="474"/>
  <c r="G35" i="473"/>
  <c r="C36" i="473"/>
  <c r="G35" i="472"/>
  <c r="C36" i="472"/>
  <c r="G35" i="471"/>
  <c r="C36" i="471"/>
  <c r="G35" i="470"/>
  <c r="C36" i="470"/>
  <c r="G35" i="469"/>
  <c r="C36" i="469"/>
  <c r="G35" i="468"/>
  <c r="C36" i="468"/>
  <c r="C37" i="467"/>
  <c r="G36" i="467"/>
  <c r="H36" i="467" s="1"/>
  <c r="H34" i="467"/>
  <c r="H32" i="467"/>
  <c r="H35" i="467"/>
  <c r="H33" i="467"/>
  <c r="G35" i="466"/>
  <c r="C36" i="466"/>
  <c r="G35" i="465"/>
  <c r="C36" i="465"/>
  <c r="G35" i="464"/>
  <c r="C36" i="464"/>
  <c r="C37" i="463"/>
  <c r="H35" i="463" s="1"/>
  <c r="G36" i="463"/>
  <c r="H34" i="463"/>
  <c r="H33" i="463"/>
  <c r="G35" i="462"/>
  <c r="C36" i="462"/>
  <c r="G35" i="461"/>
  <c r="C36" i="461"/>
  <c r="A23" i="150"/>
  <c r="A26" i="4"/>
  <c r="C37" i="484" l="1"/>
  <c r="G36" i="484"/>
  <c r="H36" i="484" s="1"/>
  <c r="H33" i="484"/>
  <c r="C37" i="483"/>
  <c r="G36" i="483"/>
  <c r="H33" i="483"/>
  <c r="H34" i="483"/>
  <c r="H36" i="483"/>
  <c r="C37" i="482"/>
  <c r="H34" i="482" s="1"/>
  <c r="G36" i="482"/>
  <c r="C37" i="481"/>
  <c r="G36" i="481"/>
  <c r="H34" i="481"/>
  <c r="H36" i="481"/>
  <c r="H33" i="481"/>
  <c r="C37" i="480"/>
  <c r="H34" i="480" s="1"/>
  <c r="G36" i="480"/>
  <c r="H36" i="480" s="1"/>
  <c r="H35" i="479"/>
  <c r="H36" i="479"/>
  <c r="H34" i="479"/>
  <c r="G38" i="479"/>
  <c r="H38" i="479" s="1"/>
  <c r="G37" i="479"/>
  <c r="H37" i="479" s="1"/>
  <c r="H11" i="479"/>
  <c r="H10" i="479"/>
  <c r="H8" i="479"/>
  <c r="H9" i="479"/>
  <c r="H12" i="479"/>
  <c r="H16" i="479"/>
  <c r="H18" i="479"/>
  <c r="H19" i="479"/>
  <c r="H15" i="479"/>
  <c r="H17" i="479"/>
  <c r="H21" i="479"/>
  <c r="H23" i="479"/>
  <c r="H20" i="479"/>
  <c r="H22" i="479"/>
  <c r="H24" i="479"/>
  <c r="H25" i="479"/>
  <c r="H26" i="479"/>
  <c r="H29" i="479"/>
  <c r="H27" i="479"/>
  <c r="H30" i="479"/>
  <c r="H31" i="479"/>
  <c r="H28" i="479"/>
  <c r="H32" i="479"/>
  <c r="C37" i="478"/>
  <c r="H34" i="478" s="1"/>
  <c r="G36" i="478"/>
  <c r="H36" i="478" s="1"/>
  <c r="C37" i="477"/>
  <c r="G36" i="477"/>
  <c r="H36" i="477" s="1"/>
  <c r="C37" i="476"/>
  <c r="G36" i="476"/>
  <c r="H33" i="476"/>
  <c r="H34" i="476"/>
  <c r="H35" i="476"/>
  <c r="H36" i="476"/>
  <c r="C37" i="475"/>
  <c r="H33" i="475" s="1"/>
  <c r="G36" i="475"/>
  <c r="H32" i="474"/>
  <c r="C37" i="474"/>
  <c r="G36" i="474"/>
  <c r="C37" i="473"/>
  <c r="G36" i="473"/>
  <c r="H36" i="473" s="1"/>
  <c r="H29" i="473"/>
  <c r="H33" i="473"/>
  <c r="H35" i="473"/>
  <c r="C37" i="472"/>
  <c r="H34" i="472" s="1"/>
  <c r="G36" i="472"/>
  <c r="C37" i="471"/>
  <c r="G36" i="471"/>
  <c r="H36" i="471" s="1"/>
  <c r="H34" i="471"/>
  <c r="H33" i="471"/>
  <c r="H32" i="471"/>
  <c r="C37" i="470"/>
  <c r="G36" i="470"/>
  <c r="H31" i="470"/>
  <c r="H33" i="470"/>
  <c r="H32" i="470"/>
  <c r="H34" i="470"/>
  <c r="H36" i="470"/>
  <c r="H35" i="469"/>
  <c r="C37" i="469"/>
  <c r="G36" i="469"/>
  <c r="H36" i="469" s="1"/>
  <c r="H30" i="469"/>
  <c r="H34" i="469"/>
  <c r="H33" i="469"/>
  <c r="C37" i="468"/>
  <c r="G36" i="468"/>
  <c r="H29" i="468"/>
  <c r="H33" i="468"/>
  <c r="H30" i="468"/>
  <c r="H34" i="468"/>
  <c r="H36" i="468"/>
  <c r="G38" i="467"/>
  <c r="H38" i="467" s="1"/>
  <c r="G37" i="467"/>
  <c r="H37" i="467" s="1"/>
  <c r="H10" i="467"/>
  <c r="H8" i="467"/>
  <c r="H9" i="467"/>
  <c r="H11" i="467"/>
  <c r="H12" i="467"/>
  <c r="H15" i="467"/>
  <c r="H13" i="467"/>
  <c r="H14" i="467"/>
  <c r="H17" i="467"/>
  <c r="H16" i="467"/>
  <c r="H20" i="467"/>
  <c r="H21" i="467"/>
  <c r="H23" i="467"/>
  <c r="H24" i="467"/>
  <c r="H22" i="467"/>
  <c r="H25" i="467"/>
  <c r="H27" i="467"/>
  <c r="H26" i="467"/>
  <c r="H28" i="467"/>
  <c r="H30" i="467"/>
  <c r="H29" i="467"/>
  <c r="H31" i="467"/>
  <c r="C37" i="466"/>
  <c r="G36" i="466"/>
  <c r="H36" i="466" s="1"/>
  <c r="H34" i="466"/>
  <c r="H31" i="466"/>
  <c r="H33" i="466"/>
  <c r="H35" i="466"/>
  <c r="C37" i="465"/>
  <c r="G36" i="465"/>
  <c r="C37" i="464"/>
  <c r="G36" i="464"/>
  <c r="H36" i="464" s="1"/>
  <c r="H34" i="464"/>
  <c r="G38" i="463"/>
  <c r="H38" i="463" s="1"/>
  <c r="G37" i="463"/>
  <c r="H37" i="463" s="1"/>
  <c r="H12" i="463"/>
  <c r="H10" i="463"/>
  <c r="H8" i="463"/>
  <c r="H9" i="463" s="1"/>
  <c r="H11" i="463"/>
  <c r="H13" i="463"/>
  <c r="H15" i="463"/>
  <c r="H16" i="463"/>
  <c r="H14" i="463"/>
  <c r="H17" i="463"/>
  <c r="H21" i="463"/>
  <c r="H18" i="463"/>
  <c r="H19" i="463"/>
  <c r="H22" i="463"/>
  <c r="H20" i="463"/>
  <c r="H23" i="463"/>
  <c r="H24" i="463"/>
  <c r="H25" i="463"/>
  <c r="H26" i="463"/>
  <c r="H30" i="463"/>
  <c r="H27" i="463"/>
  <c r="H28" i="463"/>
  <c r="H31" i="463"/>
  <c r="H29" i="463"/>
  <c r="H32" i="463"/>
  <c r="H36" i="463"/>
  <c r="C37" i="462"/>
  <c r="G36" i="462"/>
  <c r="H36" i="462" s="1"/>
  <c r="H33" i="462"/>
  <c r="C37" i="461"/>
  <c r="H35" i="461" s="1"/>
  <c r="G36" i="461"/>
  <c r="H36" i="461" s="1"/>
  <c r="H34" i="461"/>
  <c r="H33" i="461"/>
  <c r="A28" i="4"/>
  <c r="H5" i="4"/>
  <c r="M5" i="4"/>
  <c r="H34" i="484" l="1"/>
  <c r="G38" i="484"/>
  <c r="H38" i="484" s="1"/>
  <c r="G37" i="484"/>
  <c r="H37" i="484" s="1"/>
  <c r="H9" i="484"/>
  <c r="H10" i="484"/>
  <c r="H8" i="484"/>
  <c r="H11" i="484"/>
  <c r="H14" i="484"/>
  <c r="H16" i="484"/>
  <c r="H15" i="484"/>
  <c r="H19" i="484"/>
  <c r="H17" i="484"/>
  <c r="H18" i="484"/>
  <c r="H21" i="484"/>
  <c r="H23" i="484"/>
  <c r="H20" i="484"/>
  <c r="H22" i="484"/>
  <c r="H25" i="484"/>
  <c r="H24" i="484"/>
  <c r="H26" i="484"/>
  <c r="H29" i="484"/>
  <c r="H27" i="484"/>
  <c r="H30" i="484"/>
  <c r="H31" i="484"/>
  <c r="H28" i="484"/>
  <c r="H32" i="484"/>
  <c r="H35" i="484"/>
  <c r="G38" i="483"/>
  <c r="H38" i="483" s="1"/>
  <c r="G37" i="483"/>
  <c r="H37" i="483" s="1"/>
  <c r="H11" i="483"/>
  <c r="H8" i="483"/>
  <c r="H9" i="483" s="1"/>
  <c r="H12" i="483"/>
  <c r="H10" i="483"/>
  <c r="H14" i="483"/>
  <c r="H16" i="483"/>
  <c r="H13" i="483"/>
  <c r="H18" i="483"/>
  <c r="H17" i="483"/>
  <c r="H15" i="483"/>
  <c r="H21" i="483"/>
  <c r="H19" i="483"/>
  <c r="H22" i="483"/>
  <c r="H20" i="483"/>
  <c r="H23" i="483"/>
  <c r="H24" i="483"/>
  <c r="H25" i="483"/>
  <c r="H29" i="483"/>
  <c r="H27" i="483"/>
  <c r="H26" i="483"/>
  <c r="H30" i="483"/>
  <c r="H31" i="483"/>
  <c r="H28" i="483"/>
  <c r="H32" i="483"/>
  <c r="H35" i="483"/>
  <c r="H36" i="482"/>
  <c r="H35" i="482"/>
  <c r="H31" i="482"/>
  <c r="H33" i="482"/>
  <c r="G38" i="482"/>
  <c r="H38" i="482" s="1"/>
  <c r="G37" i="482"/>
  <c r="H37" i="482" s="1"/>
  <c r="H8" i="482"/>
  <c r="H10" i="482" s="1"/>
  <c r="H12" i="482"/>
  <c r="H11" i="482"/>
  <c r="H14" i="482"/>
  <c r="H13" i="482"/>
  <c r="H16" i="482"/>
  <c r="H15" i="482"/>
  <c r="H17" i="482"/>
  <c r="H19" i="482"/>
  <c r="H18" i="482"/>
  <c r="H20" i="482"/>
  <c r="H21" i="482"/>
  <c r="H22" i="482"/>
  <c r="H23" i="482"/>
  <c r="H24" i="482"/>
  <c r="H25" i="482"/>
  <c r="H27" i="482"/>
  <c r="H26" i="482"/>
  <c r="H29" i="482"/>
  <c r="H28" i="482"/>
  <c r="H30" i="482"/>
  <c r="H32" i="482"/>
  <c r="G38" i="481"/>
  <c r="H38" i="481" s="1"/>
  <c r="G37" i="481"/>
  <c r="H37" i="481" s="1"/>
  <c r="H9" i="481"/>
  <c r="H13" i="481"/>
  <c r="H10" i="481"/>
  <c r="H8" i="481"/>
  <c r="H11" i="481"/>
  <c r="H12" i="481"/>
  <c r="H16" i="481"/>
  <c r="H18" i="481"/>
  <c r="H17" i="481"/>
  <c r="H21" i="481"/>
  <c r="H22" i="481"/>
  <c r="H20" i="481"/>
  <c r="H19" i="481"/>
  <c r="H23" i="481"/>
  <c r="H24" i="481"/>
  <c r="H25" i="481"/>
  <c r="H26" i="481"/>
  <c r="H29" i="481"/>
  <c r="H28" i="481"/>
  <c r="H27" i="481"/>
  <c r="H30" i="481"/>
  <c r="H31" i="481"/>
  <c r="H32" i="481"/>
  <c r="H35" i="481"/>
  <c r="H33" i="480"/>
  <c r="G38" i="480"/>
  <c r="H38" i="480" s="1"/>
  <c r="G37" i="480"/>
  <c r="H37" i="480" s="1"/>
  <c r="H8" i="480"/>
  <c r="H10" i="480"/>
  <c r="H9" i="480"/>
  <c r="H14" i="480"/>
  <c r="H15" i="480"/>
  <c r="H16" i="480"/>
  <c r="H13" i="480"/>
  <c r="H17" i="480"/>
  <c r="H18" i="480"/>
  <c r="H19" i="480"/>
  <c r="H22" i="480"/>
  <c r="H23" i="480"/>
  <c r="H21" i="480"/>
  <c r="H20" i="480"/>
  <c r="H24" i="480"/>
  <c r="H26" i="480"/>
  <c r="H27" i="480"/>
  <c r="H25" i="480"/>
  <c r="H29" i="480"/>
  <c r="H28" i="480"/>
  <c r="H30" i="480"/>
  <c r="H32" i="480"/>
  <c r="H31" i="480"/>
  <c r="H35" i="480"/>
  <c r="H14" i="479"/>
  <c r="H33" i="478"/>
  <c r="G38" i="478"/>
  <c r="H38" i="478" s="1"/>
  <c r="G37" i="478"/>
  <c r="H37" i="478" s="1"/>
  <c r="H8" i="478"/>
  <c r="H11" i="478"/>
  <c r="H12" i="478"/>
  <c r="H15" i="478"/>
  <c r="H14" i="478"/>
  <c r="H16" i="478"/>
  <c r="H13" i="478"/>
  <c r="H18" i="478"/>
  <c r="H17" i="478"/>
  <c r="H21" i="478"/>
  <c r="H19" i="478"/>
  <c r="H22" i="478"/>
  <c r="H23" i="478"/>
  <c r="H20" i="478"/>
  <c r="H24" i="478"/>
  <c r="H25" i="478"/>
  <c r="H29" i="478"/>
  <c r="H27" i="478"/>
  <c r="H26" i="478"/>
  <c r="H30" i="478"/>
  <c r="H31" i="478"/>
  <c r="H28" i="478"/>
  <c r="H32" i="478"/>
  <c r="H35" i="478"/>
  <c r="G38" i="477"/>
  <c r="H38" i="477" s="1"/>
  <c r="G37" i="477"/>
  <c r="H37" i="477" s="1"/>
  <c r="H11" i="477"/>
  <c r="H12" i="477"/>
  <c r="H14" i="477"/>
  <c r="H13" i="477"/>
  <c r="H8" i="477"/>
  <c r="H9" i="477" s="1"/>
  <c r="H10" i="477"/>
  <c r="H16" i="477"/>
  <c r="H15" i="477"/>
  <c r="H17" i="477"/>
  <c r="H18" i="477"/>
  <c r="H19" i="477"/>
  <c r="H20" i="477"/>
  <c r="H21" i="477"/>
  <c r="H23" i="477"/>
  <c r="H22" i="477"/>
  <c r="H25" i="477"/>
  <c r="H24" i="477"/>
  <c r="H28" i="477"/>
  <c r="H27" i="477"/>
  <c r="H26" i="477"/>
  <c r="H29" i="477"/>
  <c r="H32" i="477"/>
  <c r="H31" i="477"/>
  <c r="H30" i="477"/>
  <c r="H34" i="477"/>
  <c r="H33" i="477"/>
  <c r="H35" i="477"/>
  <c r="G38" i="476"/>
  <c r="H38" i="476" s="1"/>
  <c r="G37" i="476"/>
  <c r="H37" i="476" s="1"/>
  <c r="H9" i="476"/>
  <c r="H8" i="476"/>
  <c r="H10" i="476"/>
  <c r="H11" i="476"/>
  <c r="H14" i="476"/>
  <c r="H12" i="476"/>
  <c r="H13" i="476"/>
  <c r="H16" i="476"/>
  <c r="H15" i="476"/>
  <c r="H17" i="476"/>
  <c r="H19" i="476"/>
  <c r="H18" i="476"/>
  <c r="H20" i="476"/>
  <c r="H21" i="476"/>
  <c r="H23" i="476"/>
  <c r="H24" i="476"/>
  <c r="H22" i="476"/>
  <c r="H29" i="476"/>
  <c r="H25" i="476"/>
  <c r="H26" i="476"/>
  <c r="H28" i="476"/>
  <c r="H30" i="476"/>
  <c r="H27" i="476"/>
  <c r="H31" i="476"/>
  <c r="H32" i="476"/>
  <c r="H36" i="475"/>
  <c r="H34" i="475"/>
  <c r="G38" i="475"/>
  <c r="H38" i="475" s="1"/>
  <c r="G37" i="475"/>
  <c r="H37" i="475" s="1"/>
  <c r="H10" i="475"/>
  <c r="H8" i="475"/>
  <c r="H9" i="475"/>
  <c r="H13" i="475"/>
  <c r="H15" i="475"/>
  <c r="H14" i="475"/>
  <c r="H17" i="475"/>
  <c r="H16" i="475"/>
  <c r="H18" i="475"/>
  <c r="H21" i="475"/>
  <c r="H20" i="475"/>
  <c r="H19" i="475"/>
  <c r="H23" i="475"/>
  <c r="H24" i="475"/>
  <c r="H22" i="475"/>
  <c r="H25" i="475"/>
  <c r="H27" i="475"/>
  <c r="H29" i="475"/>
  <c r="H26" i="475"/>
  <c r="H30" i="475"/>
  <c r="H31" i="475"/>
  <c r="H28" i="475"/>
  <c r="H35" i="475"/>
  <c r="H32" i="475"/>
  <c r="G38" i="474"/>
  <c r="H38" i="474" s="1"/>
  <c r="G37" i="474"/>
  <c r="H37" i="474" s="1"/>
  <c r="H9" i="474"/>
  <c r="H10" i="474"/>
  <c r="H8" i="474"/>
  <c r="H13" i="474"/>
  <c r="H11" i="474"/>
  <c r="H15" i="474"/>
  <c r="H12" i="474"/>
  <c r="H14" i="474"/>
  <c r="H17" i="474"/>
  <c r="H16" i="474"/>
  <c r="H18" i="474"/>
  <c r="H19" i="474"/>
  <c r="H22" i="474"/>
  <c r="H20" i="474"/>
  <c r="H21" i="474"/>
  <c r="H24" i="474"/>
  <c r="H25" i="474"/>
  <c r="H23" i="474"/>
  <c r="H26" i="474"/>
  <c r="H27" i="474"/>
  <c r="H28" i="474"/>
  <c r="H29" i="474"/>
  <c r="H30" i="474"/>
  <c r="H31" i="474"/>
  <c r="H36" i="474"/>
  <c r="H35" i="474"/>
  <c r="H33" i="474"/>
  <c r="H34" i="474"/>
  <c r="G38" i="473"/>
  <c r="H38" i="473" s="1"/>
  <c r="G37" i="473"/>
  <c r="H37" i="473" s="1"/>
  <c r="H10" i="473"/>
  <c r="H13" i="473"/>
  <c r="H8" i="473"/>
  <c r="H9" i="473" s="1"/>
  <c r="H12" i="473"/>
  <c r="H11" i="473"/>
  <c r="H14" i="473"/>
  <c r="H16" i="473"/>
  <c r="H17" i="473"/>
  <c r="H15" i="473"/>
  <c r="H18" i="473"/>
  <c r="H21" i="473"/>
  <c r="H19" i="473"/>
  <c r="H22" i="473"/>
  <c r="H23" i="473"/>
  <c r="H20" i="473"/>
  <c r="H24" i="473"/>
  <c r="H25" i="473"/>
  <c r="H27" i="473"/>
  <c r="H26" i="473"/>
  <c r="H30" i="473"/>
  <c r="H28" i="473"/>
  <c r="H31" i="473"/>
  <c r="H32" i="473"/>
  <c r="H34" i="473"/>
  <c r="H36" i="472"/>
  <c r="G38" i="472"/>
  <c r="H38" i="472" s="1"/>
  <c r="G37" i="472"/>
  <c r="H37" i="472" s="1"/>
  <c r="H12" i="472"/>
  <c r="H8" i="472"/>
  <c r="H14" i="472"/>
  <c r="H11" i="472"/>
  <c r="H13" i="472"/>
  <c r="H16" i="472"/>
  <c r="H17" i="472"/>
  <c r="H15" i="472"/>
  <c r="H19" i="472"/>
  <c r="H18" i="472"/>
  <c r="H22" i="472"/>
  <c r="H23" i="472"/>
  <c r="H20" i="472"/>
  <c r="H24" i="472"/>
  <c r="H21" i="472"/>
  <c r="H25" i="472"/>
  <c r="H26" i="472"/>
  <c r="H27" i="472"/>
  <c r="H28" i="472"/>
  <c r="H31" i="472"/>
  <c r="H29" i="472"/>
  <c r="H32" i="472"/>
  <c r="H30" i="472"/>
  <c r="H35" i="472"/>
  <c r="H33" i="472"/>
  <c r="G38" i="471"/>
  <c r="H38" i="471" s="1"/>
  <c r="G37" i="471"/>
  <c r="H37" i="471" s="1"/>
  <c r="H8" i="471"/>
  <c r="H9" i="471"/>
  <c r="H11" i="471" s="1"/>
  <c r="H13" i="471"/>
  <c r="H12" i="471"/>
  <c r="H14" i="471"/>
  <c r="H15" i="471"/>
  <c r="H16" i="471"/>
  <c r="H18" i="471"/>
  <c r="H17" i="471"/>
  <c r="H21" i="471"/>
  <c r="H22" i="471"/>
  <c r="H24" i="471"/>
  <c r="H20" i="471"/>
  <c r="H19" i="471"/>
  <c r="H25" i="471"/>
  <c r="H26" i="471"/>
  <c r="H23" i="471"/>
  <c r="H27" i="471"/>
  <c r="H29" i="471"/>
  <c r="H30" i="471"/>
  <c r="H28" i="471"/>
  <c r="H31" i="471"/>
  <c r="H35" i="471"/>
  <c r="G38" i="470"/>
  <c r="H38" i="470" s="1"/>
  <c r="G37" i="470"/>
  <c r="H37" i="470" s="1"/>
  <c r="H8" i="470"/>
  <c r="H11" i="470"/>
  <c r="H10" i="470"/>
  <c r="H13" i="470" s="1"/>
  <c r="H9" i="470"/>
  <c r="H14" i="470"/>
  <c r="H12" i="470"/>
  <c r="H15" i="470"/>
  <c r="H19" i="470"/>
  <c r="H18" i="470"/>
  <c r="H16" i="470"/>
  <c r="H17" i="470"/>
  <c r="H22" i="470"/>
  <c r="H23" i="470"/>
  <c r="H20" i="470"/>
  <c r="H24" i="470"/>
  <c r="H21" i="470"/>
  <c r="H25" i="470"/>
  <c r="H29" i="470"/>
  <c r="H26" i="470"/>
  <c r="H27" i="470"/>
  <c r="H30" i="470"/>
  <c r="H28" i="470"/>
  <c r="H35" i="470"/>
  <c r="G38" i="469"/>
  <c r="H38" i="469" s="1"/>
  <c r="G37" i="469"/>
  <c r="H37" i="469" s="1"/>
  <c r="H9" i="469"/>
  <c r="H8" i="469"/>
  <c r="H10" i="469"/>
  <c r="H13" i="469"/>
  <c r="H12" i="469"/>
  <c r="H15" i="469"/>
  <c r="H16" i="469"/>
  <c r="H18" i="469"/>
  <c r="H14" i="469"/>
  <c r="H17" i="469"/>
  <c r="H21" i="469"/>
  <c r="H19" i="469"/>
  <c r="H20" i="469"/>
  <c r="H24" i="469"/>
  <c r="H22" i="469"/>
  <c r="H23" i="469"/>
  <c r="H25" i="469"/>
  <c r="H26" i="469"/>
  <c r="H27" i="469"/>
  <c r="H28" i="469"/>
  <c r="H29" i="469"/>
  <c r="H32" i="469"/>
  <c r="H31" i="469"/>
  <c r="G37" i="468"/>
  <c r="H37" i="468" s="1"/>
  <c r="G38" i="468"/>
  <c r="H38" i="468" s="1"/>
  <c r="H9" i="468"/>
  <c r="H8" i="468"/>
  <c r="H10" i="468"/>
  <c r="H12" i="468" s="1"/>
  <c r="H13" i="468"/>
  <c r="H14" i="468"/>
  <c r="H16" i="468"/>
  <c r="H17" i="468"/>
  <c r="H18" i="468"/>
  <c r="H15" i="468"/>
  <c r="H21" i="468"/>
  <c r="H19" i="468"/>
  <c r="H20" i="468"/>
  <c r="H22" i="468"/>
  <c r="H23" i="468"/>
  <c r="H24" i="468"/>
  <c r="H27" i="468"/>
  <c r="H25" i="468"/>
  <c r="H26" i="468"/>
  <c r="H32" i="468"/>
  <c r="H28" i="468"/>
  <c r="H31" i="468"/>
  <c r="H35" i="468"/>
  <c r="H19" i="467"/>
  <c r="G38" i="466"/>
  <c r="H38" i="466" s="1"/>
  <c r="G37" i="466"/>
  <c r="H37" i="466" s="1"/>
  <c r="H8" i="466"/>
  <c r="H9" i="466"/>
  <c r="H12" i="466"/>
  <c r="H10" i="466"/>
  <c r="H14" i="466"/>
  <c r="H11" i="466"/>
  <c r="H13" i="466"/>
  <c r="H17" i="466"/>
  <c r="H15" i="466"/>
  <c r="H19" i="466"/>
  <c r="H18" i="466"/>
  <c r="H16" i="466"/>
  <c r="H20" i="466"/>
  <c r="H22" i="466"/>
  <c r="H21" i="466"/>
  <c r="H23" i="466"/>
  <c r="H24" i="466"/>
  <c r="H25" i="466"/>
  <c r="H27" i="466"/>
  <c r="H28" i="466"/>
  <c r="H26" i="466"/>
  <c r="H30" i="466"/>
  <c r="H29" i="466"/>
  <c r="H32" i="466"/>
  <c r="H36" i="465"/>
  <c r="G38" i="465"/>
  <c r="H38" i="465" s="1"/>
  <c r="G37" i="465"/>
  <c r="H37" i="465" s="1"/>
  <c r="H10" i="465"/>
  <c r="H8" i="465"/>
  <c r="H11" i="465"/>
  <c r="H15" i="465"/>
  <c r="H12" i="465"/>
  <c r="H9" i="465"/>
  <c r="H16" i="465"/>
  <c r="H17" i="465"/>
  <c r="H18" i="465"/>
  <c r="H21" i="465"/>
  <c r="H19" i="465"/>
  <c r="H20" i="465"/>
  <c r="H22" i="465"/>
  <c r="H24" i="465"/>
  <c r="H23" i="465"/>
  <c r="H29" i="465"/>
  <c r="H26" i="465"/>
  <c r="H25" i="465"/>
  <c r="H28" i="465"/>
  <c r="H27" i="465"/>
  <c r="H31" i="465"/>
  <c r="H32" i="465"/>
  <c r="H30" i="465"/>
  <c r="H33" i="465"/>
  <c r="H35" i="465"/>
  <c r="H34" i="465"/>
  <c r="G38" i="464"/>
  <c r="H38" i="464" s="1"/>
  <c r="G37" i="464"/>
  <c r="H37" i="464" s="1"/>
  <c r="H8" i="464"/>
  <c r="H9" i="464"/>
  <c r="H11" i="464"/>
  <c r="H10" i="464"/>
  <c r="H12" i="464"/>
  <c r="H15" i="464"/>
  <c r="H13" i="464"/>
  <c r="H14" i="464"/>
  <c r="H18" i="464"/>
  <c r="H16" i="464"/>
  <c r="H19" i="464"/>
  <c r="H17" i="464"/>
  <c r="H21" i="464"/>
  <c r="H20" i="464"/>
  <c r="H22" i="464"/>
  <c r="H23" i="464"/>
  <c r="H24" i="464"/>
  <c r="H27" i="464"/>
  <c r="H25" i="464"/>
  <c r="H26" i="464"/>
  <c r="H30" i="464"/>
  <c r="H28" i="464"/>
  <c r="H29" i="464"/>
  <c r="H32" i="464"/>
  <c r="H31" i="464"/>
  <c r="H33" i="464"/>
  <c r="H35" i="464"/>
  <c r="G38" i="462"/>
  <c r="H38" i="462" s="1"/>
  <c r="G37" i="462"/>
  <c r="H37" i="462" s="1"/>
  <c r="H8" i="462"/>
  <c r="H10" i="462" s="1"/>
  <c r="H11" i="462"/>
  <c r="H12" i="462"/>
  <c r="H13" i="462"/>
  <c r="H15" i="462"/>
  <c r="H17" i="462"/>
  <c r="H14" i="462"/>
  <c r="H16" i="462"/>
  <c r="H18" i="462"/>
  <c r="H19" i="462"/>
  <c r="H20" i="462"/>
  <c r="H21" i="462"/>
  <c r="H23" i="462"/>
  <c r="H22" i="462"/>
  <c r="H25" i="462"/>
  <c r="H24" i="462"/>
  <c r="H26" i="462"/>
  <c r="H29" i="462"/>
  <c r="H30" i="462"/>
  <c r="H27" i="462"/>
  <c r="H31" i="462"/>
  <c r="H28" i="462"/>
  <c r="H32" i="462"/>
  <c r="H35" i="462"/>
  <c r="H34" i="462"/>
  <c r="G38" i="461"/>
  <c r="H38" i="461" s="1"/>
  <c r="G37" i="461"/>
  <c r="H37" i="461" s="1"/>
  <c r="H9" i="461"/>
  <c r="H8" i="461"/>
  <c r="H11" i="461" s="1"/>
  <c r="H13" i="461"/>
  <c r="H12" i="461"/>
  <c r="H16" i="461"/>
  <c r="H14" i="461"/>
  <c r="H15" i="461"/>
  <c r="H17" i="461"/>
  <c r="H18" i="461"/>
  <c r="H21" i="461"/>
  <c r="H19" i="461"/>
  <c r="H22" i="461"/>
  <c r="H20" i="461"/>
  <c r="H23" i="461"/>
  <c r="H24" i="461"/>
  <c r="H25" i="461"/>
  <c r="H26" i="461"/>
  <c r="H27" i="461"/>
  <c r="H30" i="461"/>
  <c r="H28" i="461"/>
  <c r="H31" i="461"/>
  <c r="H29" i="461"/>
  <c r="H32" i="461"/>
  <c r="AW4" i="4"/>
  <c r="L4" i="50"/>
  <c r="H13" i="484" l="1"/>
  <c r="H15" i="481"/>
  <c r="H12" i="480"/>
  <c r="H10" i="478"/>
  <c r="H12" i="475"/>
  <c r="H10" i="472"/>
  <c r="H14" i="465"/>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Z11" i="50"/>
  <c r="O7" i="50"/>
  <c r="AM6" i="50"/>
  <c r="V9" i="50"/>
  <c r="AG10" i="50"/>
  <c r="AE8" i="50"/>
  <c r="AU10" i="50"/>
  <c r="X8" i="50"/>
  <c r="AB9" i="50"/>
  <c r="AD10" i="50"/>
  <c r="U9" i="50"/>
  <c r="BA10" i="50"/>
  <c r="Y7" i="50"/>
  <c r="BC10" i="50"/>
  <c r="AD8" i="50"/>
  <c r="AZ9" i="50"/>
  <c r="O8" i="50"/>
  <c r="U8" i="50"/>
  <c r="S6" i="50"/>
  <c r="AX11" i="50"/>
  <c r="AY7" i="50"/>
  <c r="Q6" i="50"/>
  <c r="AZ8" i="50"/>
  <c r="AN7" i="50"/>
  <c r="N7" i="50"/>
  <c r="AB6" i="50"/>
  <c r="BB8" i="50"/>
  <c r="W8" i="50"/>
  <c r="AW10" i="50"/>
  <c r="U7" i="50"/>
  <c r="Y8" i="50"/>
  <c r="O10" i="50"/>
  <c r="AR8" i="50"/>
  <c r="P11" i="50"/>
  <c r="BC8" i="50"/>
  <c r="AG6" i="50"/>
  <c r="AC11" i="50"/>
  <c r="Z8" i="50"/>
  <c r="AS9" i="50"/>
  <c r="BA9" i="50"/>
  <c r="AI9" i="50"/>
  <c r="AT10" i="50"/>
  <c r="M8" i="50"/>
  <c r="AO6" i="50"/>
  <c r="M6" i="50"/>
  <c r="AZ10" i="50"/>
  <c r="AC6" i="50"/>
  <c r="S8" i="50"/>
  <c r="AR10" i="50"/>
  <c r="AQ10" i="50"/>
  <c r="AK11" i="50"/>
  <c r="AP6" i="50"/>
  <c r="AX10" i="50"/>
  <c r="R6" i="50"/>
  <c r="AA8" i="50"/>
  <c r="L10" i="50"/>
  <c r="AB8" i="50"/>
  <c r="BA8" i="50"/>
  <c r="X6" i="50"/>
  <c r="M11" i="50"/>
  <c r="AV9" i="50"/>
  <c r="AF6" i="50"/>
  <c r="R11" i="50"/>
  <c r="AV7" i="50"/>
  <c r="AM8" i="50"/>
  <c r="AS11" i="50"/>
  <c r="AV8" i="50"/>
  <c r="AX9" i="50"/>
  <c r="X10" i="50"/>
  <c r="AI7" i="50"/>
  <c r="AM7" i="50"/>
  <c r="AY9" i="50"/>
  <c r="AN9" i="50"/>
  <c r="AK7" i="50"/>
  <c r="S9" i="50"/>
  <c r="O9" i="50"/>
  <c r="AJ11" i="50"/>
  <c r="S10" i="50"/>
  <c r="P10" i="50"/>
  <c r="AP7" i="50"/>
  <c r="V11" i="50"/>
  <c r="BC11" i="50"/>
  <c r="AV11" i="50"/>
  <c r="AQ9" i="50"/>
  <c r="S11" i="50"/>
  <c r="AM9" i="50"/>
  <c r="AS8" i="50"/>
  <c r="AK6" i="50"/>
  <c r="BA6" i="50"/>
  <c r="AF11" i="50"/>
  <c r="AO8" i="50"/>
  <c r="R10" i="50"/>
  <c r="L9" i="50"/>
  <c r="M7" i="50"/>
  <c r="AI8" i="50"/>
  <c r="AS6" i="50"/>
  <c r="AF7" i="50"/>
  <c r="AX7" i="50"/>
  <c r="BB9" i="50"/>
  <c r="AD9" i="50"/>
  <c r="AW7" i="50"/>
  <c r="AT8" i="50"/>
  <c r="AR7" i="50"/>
  <c r="AC8" i="50"/>
  <c r="W6" i="50"/>
  <c r="AL6" i="50"/>
  <c r="X9" i="50"/>
  <c r="AE6" i="50"/>
  <c r="T11" i="50"/>
  <c r="AJ8" i="50"/>
  <c r="AP8" i="50"/>
  <c r="BB7" i="50"/>
  <c r="Y6" i="50"/>
  <c r="AF8" i="50"/>
  <c r="AQ6" i="50"/>
  <c r="T10" i="50"/>
  <c r="AG7" i="50"/>
  <c r="W11" i="50"/>
  <c r="R9" i="50"/>
  <c r="AC9" i="50"/>
  <c r="T9" i="50"/>
  <c r="AG9" i="50"/>
  <c r="O11" i="50"/>
  <c r="AE7" i="50"/>
  <c r="AH8" i="50"/>
  <c r="AZ6" i="50"/>
  <c r="N8" i="50"/>
  <c r="AY11" i="50"/>
  <c r="AD11" i="50"/>
  <c r="V8" i="50"/>
  <c r="AV10" i="50"/>
  <c r="S7" i="50"/>
  <c r="W10" i="50"/>
  <c r="AL9" i="50"/>
  <c r="AI10" i="50"/>
  <c r="AL10" i="50"/>
  <c r="AT11" i="50"/>
  <c r="AB10" i="50"/>
  <c r="N9" i="50"/>
  <c r="AU9" i="50"/>
  <c r="Z6" i="50"/>
  <c r="AW8" i="50"/>
  <c r="O6" i="50"/>
  <c r="AZ7" i="50"/>
  <c r="AD7" i="50"/>
  <c r="AO7" i="50"/>
  <c r="Z9" i="50"/>
  <c r="AN11" i="50"/>
  <c r="BC6" i="50"/>
  <c r="AW11" i="50"/>
  <c r="AO10" i="50"/>
  <c r="Z10" i="50"/>
  <c r="AR6" i="50"/>
  <c r="P7" i="50"/>
  <c r="W9" i="50"/>
  <c r="Y9" i="50"/>
  <c r="BB11" i="50"/>
  <c r="AI6" i="50"/>
  <c r="AB7" i="50"/>
  <c r="AS7" i="50"/>
  <c r="BA11" i="50"/>
  <c r="AC10" i="50"/>
  <c r="Q11" i="50"/>
  <c r="AH6" i="50"/>
  <c r="AH11" i="50"/>
  <c r="U11" i="50"/>
  <c r="N11" i="50"/>
  <c r="AN10" i="50"/>
  <c r="AH7" i="50"/>
  <c r="BB10" i="50"/>
  <c r="M10" i="50"/>
  <c r="AK8" i="50"/>
  <c r="AU8" i="50"/>
  <c r="AG11" i="50"/>
  <c r="AK9" i="50"/>
  <c r="T8" i="50"/>
  <c r="N6" i="50"/>
  <c r="AV6" i="50"/>
  <c r="AJ10" i="50"/>
  <c r="Q7" i="50"/>
  <c r="AQ8" i="50"/>
  <c r="AS10" i="50"/>
  <c r="AW6" i="50"/>
  <c r="Y10" i="50"/>
  <c r="BC9" i="50"/>
  <c r="V10" i="50"/>
  <c r="AJ9" i="50"/>
  <c r="U6" i="50"/>
  <c r="Q8" i="50"/>
  <c r="BA7" i="50"/>
  <c r="AL7" i="50"/>
  <c r="AY8" i="50"/>
  <c r="L6" i="50"/>
  <c r="AY6" i="50"/>
  <c r="Q10" i="50"/>
  <c r="AH9" i="50"/>
  <c r="AX8" i="50"/>
  <c r="AE11" i="50"/>
  <c r="AI11" i="50"/>
  <c r="M9" i="50"/>
  <c r="AP11" i="50"/>
  <c r="AN8" i="50"/>
  <c r="BC7" i="50"/>
  <c r="Z11" i="50"/>
  <c r="AF9" i="50"/>
  <c r="AM11" i="50"/>
  <c r="AA6" i="50"/>
  <c r="Y11" i="50"/>
  <c r="X11" i="50"/>
  <c r="AE9" i="50"/>
  <c r="AC7" i="50"/>
  <c r="Z7" i="50"/>
  <c r="T6" i="50"/>
  <c r="AT9" i="50"/>
  <c r="V7" i="50"/>
  <c r="X7" i="50"/>
  <c r="AP9" i="50"/>
  <c r="AA7" i="50"/>
  <c r="N10" i="50"/>
  <c r="AR9" i="50"/>
  <c r="BB6" i="50"/>
  <c r="P9" i="50"/>
  <c r="AF10" i="50"/>
  <c r="AA10" i="50"/>
  <c r="AH10" i="50"/>
  <c r="AA11" i="50"/>
  <c r="AL11" i="50"/>
  <c r="P8" i="50"/>
  <c r="AX6" i="50"/>
  <c r="AJ6" i="50"/>
  <c r="AO11" i="50"/>
  <c r="AP10" i="50"/>
  <c r="W7" i="50"/>
  <c r="R7" i="50"/>
  <c r="L7" i="50"/>
  <c r="AK10" i="50"/>
  <c r="AU6" i="50"/>
  <c r="AQ7" i="50"/>
  <c r="R8" i="50"/>
  <c r="AT6" i="50"/>
  <c r="AU11" i="50"/>
  <c r="AL8" i="50"/>
  <c r="P6" i="50"/>
  <c r="AB11" i="50"/>
  <c r="AN6" i="50"/>
  <c r="AJ7" i="50"/>
  <c r="AU7" i="50"/>
  <c r="AY10" i="50"/>
  <c r="AW9" i="50"/>
  <c r="Q9" i="50"/>
  <c r="AD6" i="50"/>
  <c r="AA9" i="50"/>
  <c r="L11" i="50"/>
  <c r="U10" i="50"/>
  <c r="AG8" i="50"/>
  <c r="V6" i="50"/>
  <c r="AR11" i="50"/>
  <c r="AE10" i="50"/>
  <c r="AM10" i="50"/>
  <c r="T7" i="50"/>
  <c r="L8" i="50"/>
  <c r="AQ11" i="50"/>
  <c r="AT7" i="50"/>
  <c r="AO9"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K15" i="1" l="1"/>
  <c r="AK10" i="4"/>
  <c r="AK12" i="4"/>
  <c r="AK17" i="1"/>
  <c r="AK22" i="4"/>
  <c r="AK19" i="1"/>
  <c r="AK10" i="1"/>
  <c r="AK20" i="1"/>
  <c r="AK11" i="1"/>
  <c r="AK22" i="1"/>
  <c r="AK12" i="1"/>
  <c r="AK23" i="1"/>
  <c r="AK14" i="1"/>
  <c r="AK16" i="1"/>
  <c r="AK9" i="137"/>
  <c r="AK7" i="137"/>
  <c r="AK10" i="137"/>
  <c r="AK6" i="137"/>
  <c r="AK8" i="137"/>
  <c r="AK6" i="4"/>
  <c r="O14" i="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U4" i="150"/>
  <c r="AT4" i="150"/>
  <c r="AR4" i="150"/>
  <c r="AQ4" i="150"/>
  <c r="AP4" i="150"/>
  <c r="AN4" i="4"/>
  <c r="AM4" i="4"/>
  <c r="AL4" i="4"/>
  <c r="AS4" i="4"/>
  <c r="AU4" i="4"/>
  <c r="AT4" i="4"/>
  <c r="AO4" i="4"/>
  <c r="AR4" i="4"/>
  <c r="AQ4" i="4"/>
  <c r="AP4" i="4"/>
  <c r="AN4" i="1"/>
  <c r="AM4" i="1"/>
  <c r="AL4" i="1"/>
  <c r="AS4" i="1"/>
  <c r="AU4" i="1"/>
  <c r="AT4" i="1"/>
  <c r="AO4" i="1"/>
  <c r="AR4" i="1"/>
  <c r="AQ4" i="1"/>
  <c r="AP4" i="1"/>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Y16" i="50"/>
  <c r="AP15" i="50"/>
  <c r="BC20" i="50"/>
  <c r="AY51" i="50"/>
  <c r="AV21" i="50"/>
  <c r="S32" i="50"/>
  <c r="V43" i="50"/>
  <c r="AK43" i="50"/>
  <c r="AM12" i="50"/>
  <c r="Z35" i="50"/>
  <c r="AB22" i="50"/>
  <c r="N35" i="50"/>
  <c r="AG52" i="50"/>
  <c r="AA20" i="50"/>
  <c r="AJ15" i="50"/>
  <c r="AK36" i="50"/>
  <c r="AB48" i="50"/>
  <c r="AN39" i="50"/>
  <c r="AX52" i="50"/>
  <c r="AO36" i="50"/>
  <c r="AV15" i="50"/>
  <c r="S16" i="50"/>
  <c r="BB43" i="50"/>
  <c r="N33" i="50"/>
  <c r="U29" i="50"/>
  <c r="AK48" i="50"/>
  <c r="AD18" i="50"/>
  <c r="AT35" i="50"/>
  <c r="U45" i="50"/>
  <c r="AI16" i="50"/>
  <c r="AD34" i="50"/>
  <c r="AS32" i="50"/>
  <c r="AJ20" i="50"/>
  <c r="S30" i="50"/>
  <c r="AV38" i="50"/>
  <c r="AI50" i="50"/>
  <c r="AM48" i="50"/>
  <c r="R36" i="50"/>
  <c r="AL30" i="50"/>
  <c r="AC30" i="50"/>
  <c r="AC27" i="50"/>
  <c r="U24" i="50"/>
  <c r="AB31" i="50"/>
  <c r="P27" i="50"/>
  <c r="Q20" i="50"/>
  <c r="AP20" i="50"/>
  <c r="AW14" i="50"/>
  <c r="AQ33" i="50"/>
  <c r="AM35" i="50"/>
  <c r="AZ42" i="50"/>
  <c r="AB32" i="50"/>
  <c r="P33" i="50"/>
  <c r="AN29" i="50"/>
  <c r="S25" i="50"/>
  <c r="AP34" i="50"/>
  <c r="M47" i="50"/>
  <c r="AS50" i="50"/>
  <c r="T51" i="50"/>
  <c r="AF22" i="50"/>
  <c r="BA42" i="50"/>
  <c r="X5" i="50"/>
  <c r="AH25" i="50"/>
  <c r="AZ13" i="50"/>
  <c r="AE19" i="50"/>
  <c r="V15" i="50"/>
  <c r="AH20" i="50"/>
  <c r="BA19" i="50"/>
  <c r="Y4" i="50"/>
  <c r="AL37" i="50"/>
  <c r="AC24" i="50"/>
  <c r="X20" i="50"/>
  <c r="AO38" i="50"/>
  <c r="W50" i="50"/>
  <c r="N37" i="50"/>
  <c r="AI34" i="50"/>
  <c r="AH46" i="50"/>
  <c r="R51" i="50"/>
  <c r="AF17" i="50"/>
  <c r="AA35" i="50"/>
  <c r="AU52" i="50"/>
  <c r="AV52" i="50"/>
  <c r="AE14" i="50"/>
  <c r="BA13" i="50"/>
  <c r="O14" i="50"/>
  <c r="M45" i="50"/>
  <c r="AX36" i="50"/>
  <c r="AP5" i="50"/>
  <c r="M24" i="50"/>
  <c r="V34" i="50"/>
  <c r="AU28" i="50"/>
  <c r="P50" i="50"/>
  <c r="AB27" i="50"/>
  <c r="AF18" i="50"/>
  <c r="X33" i="50"/>
  <c r="AY31" i="50"/>
  <c r="AS20" i="50"/>
  <c r="AD28" i="50"/>
  <c r="AM23" i="50"/>
  <c r="AM17" i="50"/>
  <c r="W52" i="50"/>
  <c r="X36" i="50"/>
  <c r="AF36" i="50"/>
  <c r="S21" i="50"/>
  <c r="X16" i="50"/>
  <c r="BC21" i="50"/>
  <c r="U22" i="50"/>
  <c r="M39" i="50"/>
  <c r="X13" i="50"/>
  <c r="AN43" i="50"/>
  <c r="AC19" i="50"/>
  <c r="AH36" i="50"/>
  <c r="AD20" i="50"/>
  <c r="AA34" i="50"/>
  <c r="AM41" i="50"/>
  <c r="L19" i="50"/>
  <c r="P18" i="50"/>
  <c r="AZ16" i="50"/>
  <c r="BB49" i="50"/>
  <c r="AC51" i="50"/>
  <c r="AS21" i="50"/>
  <c r="AP32" i="50"/>
  <c r="AA36" i="50"/>
  <c r="AF20" i="50"/>
  <c r="AW25" i="50"/>
  <c r="AM51" i="50"/>
  <c r="AJ4" i="50"/>
  <c r="U39" i="50"/>
  <c r="AD44" i="50"/>
  <c r="BC15" i="50"/>
  <c r="V26" i="50"/>
  <c r="BB4" i="50"/>
  <c r="T31" i="50"/>
  <c r="AV42" i="50"/>
  <c r="AO22" i="50"/>
  <c r="AI45" i="50"/>
  <c r="AP41" i="50"/>
  <c r="V19" i="50"/>
  <c r="AR4" i="50"/>
  <c r="AF14" i="50"/>
  <c r="AB23" i="50"/>
  <c r="AZ52" i="50"/>
  <c r="Q36" i="50"/>
  <c r="P19" i="50"/>
  <c r="BC29" i="50"/>
  <c r="R20" i="50"/>
  <c r="AT19" i="50"/>
  <c r="N19" i="50"/>
  <c r="AP13" i="50"/>
  <c r="AJ32" i="50"/>
  <c r="W19" i="50"/>
  <c r="BB35" i="50"/>
  <c r="Y50" i="50"/>
  <c r="AD25" i="50"/>
  <c r="S35" i="50"/>
  <c r="BC5" i="50"/>
  <c r="AN35" i="50"/>
  <c r="U4" i="50"/>
  <c r="AX35" i="50"/>
  <c r="AE47" i="50"/>
  <c r="AP33" i="50"/>
  <c r="O35" i="50"/>
  <c r="AE26" i="50"/>
  <c r="AR26" i="50"/>
  <c r="W24" i="50"/>
  <c r="X29" i="50"/>
  <c r="AB46" i="50"/>
  <c r="AI43" i="50"/>
  <c r="AX25" i="50"/>
  <c r="AS45" i="50"/>
  <c r="AA46" i="50"/>
  <c r="Q25" i="50"/>
  <c r="T48" i="50"/>
  <c r="AA45" i="50"/>
  <c r="S38" i="50"/>
  <c r="AA27" i="50"/>
  <c r="AI28" i="50"/>
  <c r="AW31" i="50"/>
  <c r="P4" i="50"/>
  <c r="AQ42" i="50"/>
  <c r="Z28" i="50"/>
  <c r="M32" i="50"/>
  <c r="AS42" i="50"/>
  <c r="AU13" i="50"/>
  <c r="AP26" i="50"/>
  <c r="N5" i="50"/>
  <c r="AE5" i="50"/>
  <c r="M51" i="50"/>
  <c r="AR13" i="50"/>
  <c r="AI31" i="50"/>
  <c r="AT29" i="50"/>
  <c r="AT23" i="50"/>
  <c r="AN26" i="50"/>
  <c r="AZ31" i="50"/>
  <c r="AH30" i="50"/>
  <c r="BB41" i="50"/>
  <c r="M15" i="50"/>
  <c r="AY14" i="50"/>
  <c r="AX16" i="50"/>
  <c r="M48" i="50"/>
  <c r="AY24" i="50"/>
  <c r="T17" i="50"/>
  <c r="AH47" i="50"/>
  <c r="X43" i="50"/>
  <c r="AE50" i="50"/>
  <c r="V12" i="50"/>
  <c r="L32" i="50"/>
  <c r="O39" i="50"/>
  <c r="Y22" i="50"/>
  <c r="AV43" i="50"/>
  <c r="AV40" i="50"/>
  <c r="W12" i="50"/>
  <c r="S23" i="50"/>
  <c r="Q18" i="50"/>
  <c r="BA20" i="50"/>
  <c r="AW37" i="50"/>
  <c r="AF31" i="50"/>
  <c r="AF30" i="50"/>
  <c r="O12" i="50"/>
  <c r="L26" i="50"/>
  <c r="X17" i="50"/>
  <c r="AQ35" i="50"/>
  <c r="AI5" i="50"/>
  <c r="AD47" i="50"/>
  <c r="AK23" i="50"/>
  <c r="AG47" i="50"/>
  <c r="U43" i="50"/>
  <c r="AI27" i="50"/>
  <c r="U41" i="50"/>
  <c r="AT17" i="50"/>
  <c r="AC21" i="50"/>
  <c r="AL41" i="50"/>
  <c r="AC36" i="50"/>
  <c r="AS24" i="50"/>
  <c r="AE15" i="50"/>
  <c r="AJ25" i="50"/>
  <c r="AI29" i="50"/>
  <c r="AE35" i="50"/>
  <c r="W13" i="50"/>
  <c r="AV41" i="50"/>
  <c r="AD45" i="50"/>
  <c r="AU34" i="50"/>
  <c r="AR15" i="50"/>
  <c r="AC52" i="50"/>
  <c r="AX18" i="50"/>
  <c r="AX24" i="50"/>
  <c r="Q19" i="50"/>
  <c r="BC4" i="50"/>
  <c r="M38" i="50"/>
  <c r="Y42" i="50"/>
  <c r="AU49" i="50"/>
  <c r="R46" i="50"/>
  <c r="AO5" i="50"/>
  <c r="AG39" i="50"/>
  <c r="AH49" i="50"/>
  <c r="AQ45" i="50"/>
  <c r="AO37" i="50"/>
  <c r="AZ43" i="50"/>
  <c r="AZ23" i="50"/>
  <c r="Q37" i="50"/>
  <c r="AL46" i="50"/>
  <c r="AP37" i="50"/>
  <c r="AK19" i="50"/>
  <c r="V49" i="50"/>
  <c r="AQ12" i="50"/>
  <c r="BA33" i="50"/>
  <c r="Y46" i="50"/>
  <c r="AP28" i="50"/>
  <c r="AG18" i="50"/>
  <c r="AI47" i="50"/>
  <c r="T40" i="50"/>
  <c r="BB22" i="50"/>
  <c r="AM15" i="50"/>
  <c r="BB28" i="50"/>
  <c r="AH29" i="50"/>
  <c r="O47" i="50"/>
  <c r="R32" i="50"/>
  <c r="AJ47" i="50"/>
  <c r="AW27" i="50"/>
  <c r="V36" i="50"/>
  <c r="AS35" i="50"/>
  <c r="AO18" i="50"/>
  <c r="U51" i="50"/>
  <c r="AL24" i="50"/>
  <c r="AJ41" i="50"/>
  <c r="T41" i="50"/>
  <c r="BB32" i="50"/>
  <c r="AY46" i="50"/>
  <c r="BA21" i="50"/>
  <c r="L40" i="50"/>
  <c r="BA49" i="50"/>
  <c r="AO19" i="50"/>
  <c r="AP19" i="50"/>
  <c r="AG41" i="50"/>
  <c r="AK30" i="50"/>
  <c r="AG34" i="50"/>
  <c r="AO46" i="50"/>
  <c r="AQ16" i="50"/>
  <c r="BC38" i="50"/>
  <c r="BB25" i="50"/>
  <c r="AN18" i="50"/>
  <c r="S49" i="50"/>
  <c r="AI44" i="50"/>
  <c r="AY37" i="50"/>
  <c r="BA34" i="50"/>
  <c r="AT22" i="50"/>
  <c r="AQ39" i="50"/>
  <c r="L34" i="50"/>
  <c r="AR5" i="50"/>
  <c r="AS40" i="50"/>
  <c r="O44" i="50"/>
  <c r="T24" i="50"/>
  <c r="BC34" i="50"/>
  <c r="Y41" i="50"/>
  <c r="AQ38" i="50"/>
  <c r="S40" i="50"/>
  <c r="O5" i="50"/>
  <c r="N22" i="50"/>
  <c r="P24" i="50"/>
  <c r="AR49" i="50"/>
  <c r="U42" i="50"/>
  <c r="X48" i="50"/>
  <c r="AQ22" i="50"/>
  <c r="AK24" i="50"/>
  <c r="AQ20" i="50"/>
  <c r="N51" i="50"/>
  <c r="X22" i="50"/>
  <c r="AE12" i="50"/>
  <c r="AT42" i="50"/>
  <c r="S37" i="50"/>
  <c r="R5" i="50"/>
  <c r="AA38" i="50"/>
  <c r="AT26" i="50"/>
  <c r="BC12" i="50"/>
  <c r="AW22" i="50"/>
  <c r="AN19" i="50"/>
  <c r="AG4" i="50"/>
  <c r="AI46" i="50"/>
  <c r="U36" i="50"/>
  <c r="Q12" i="50"/>
  <c r="AF50" i="50"/>
  <c r="AB45" i="50"/>
  <c r="AY42" i="50"/>
  <c r="BB29" i="50"/>
  <c r="U52" i="50"/>
  <c r="AQ31" i="50"/>
  <c r="AZ48" i="50"/>
  <c r="T49" i="50"/>
  <c r="V38" i="50"/>
  <c r="AP27" i="50"/>
  <c r="AE37" i="50"/>
  <c r="AR47" i="50"/>
  <c r="AO48" i="50"/>
  <c r="Q42" i="50"/>
  <c r="AT15" i="50"/>
  <c r="AX44" i="50"/>
  <c r="AD39" i="50"/>
  <c r="L36" i="50"/>
  <c r="M21" i="50"/>
  <c r="O41" i="50"/>
  <c r="AG25" i="50"/>
  <c r="AY26" i="50"/>
  <c r="AQ41" i="50"/>
  <c r="AB34" i="50"/>
  <c r="AL44" i="50"/>
  <c r="O28" i="50"/>
  <c r="AK39" i="50"/>
  <c r="AM52" i="50"/>
  <c r="AD42" i="50"/>
  <c r="AL40" i="50"/>
  <c r="AL18" i="50"/>
  <c r="AC32" i="50"/>
  <c r="AD48" i="50"/>
  <c r="Q4" i="50"/>
  <c r="AY29" i="50"/>
  <c r="AV20" i="50"/>
  <c r="AB28" i="50"/>
  <c r="T38" i="50"/>
  <c r="U48" i="50"/>
  <c r="O29" i="50"/>
  <c r="Z50" i="50"/>
  <c r="AP35" i="50"/>
  <c r="AV51" i="50"/>
  <c r="AI22" i="50"/>
  <c r="AB49" i="50"/>
  <c r="AJ24" i="50"/>
  <c r="T44" i="50"/>
  <c r="M34" i="50"/>
  <c r="AI38" i="50"/>
  <c r="AH26" i="50"/>
  <c r="S36" i="50"/>
  <c r="AG21" i="50"/>
  <c r="AP36" i="50"/>
  <c r="AM14" i="50"/>
  <c r="AE31" i="50"/>
  <c r="AZ30" i="50"/>
  <c r="R38" i="50"/>
  <c r="AD12" i="50"/>
  <c r="AM45" i="50"/>
  <c r="U13" i="50"/>
  <c r="AR46" i="50"/>
  <c r="AE16" i="50"/>
  <c r="AO51" i="50"/>
  <c r="AU12" i="50"/>
  <c r="N43" i="50"/>
  <c r="N40" i="50"/>
  <c r="AT12" i="50"/>
  <c r="T19" i="50"/>
  <c r="AP21" i="50"/>
  <c r="BA14" i="50"/>
  <c r="S42" i="50"/>
  <c r="AB4" i="50"/>
  <c r="AW30" i="50"/>
  <c r="AH21" i="50"/>
  <c r="AU40" i="50"/>
  <c r="Z41" i="50"/>
  <c r="AB20" i="50"/>
  <c r="AM16" i="50"/>
  <c r="Z31" i="50"/>
  <c r="AI30" i="50"/>
  <c r="L42" i="50"/>
  <c r="AV49" i="50"/>
  <c r="AS52" i="50"/>
  <c r="Q32" i="50"/>
  <c r="BC17" i="50"/>
  <c r="AS33" i="50"/>
  <c r="AF27" i="50"/>
  <c r="N44" i="50"/>
  <c r="AZ5" i="50"/>
  <c r="AE23" i="50"/>
  <c r="Q27" i="50"/>
  <c r="U40" i="50"/>
  <c r="AW34" i="50"/>
  <c r="BC19" i="50"/>
  <c r="L46" i="50"/>
  <c r="AN27" i="50"/>
  <c r="S50" i="50"/>
  <c r="AX40" i="50"/>
  <c r="BB48" i="50"/>
  <c r="S24" i="50"/>
  <c r="U25" i="50"/>
  <c r="AZ34" i="50"/>
  <c r="AO32" i="50"/>
  <c r="X49" i="50"/>
  <c r="AF29" i="50"/>
  <c r="AU14" i="50"/>
  <c r="AK44" i="50"/>
  <c r="M17" i="50"/>
  <c r="AA39" i="50"/>
  <c r="AD40" i="50"/>
  <c r="AF44" i="50"/>
  <c r="AW15" i="50"/>
  <c r="BC36" i="50"/>
  <c r="AT31" i="50"/>
  <c r="AH12" i="50"/>
  <c r="P16" i="50"/>
  <c r="V41" i="50"/>
  <c r="BA4" i="50"/>
  <c r="S29" i="50"/>
  <c r="AI36" i="50"/>
  <c r="AU47" i="50"/>
  <c r="AD41" i="50"/>
  <c r="AD16" i="50"/>
  <c r="BA5" i="50"/>
  <c r="AB47" i="50"/>
  <c r="AN45" i="50"/>
  <c r="V50" i="50"/>
  <c r="AW38" i="50"/>
  <c r="R49" i="50"/>
  <c r="X44" i="50"/>
  <c r="N41" i="50"/>
  <c r="W47" i="50"/>
  <c r="AH18" i="50"/>
  <c r="O30" i="50"/>
  <c r="T45" i="50"/>
  <c r="R34" i="50"/>
  <c r="AL13" i="50"/>
  <c r="M14" i="50"/>
  <c r="AZ51" i="50"/>
  <c r="U15" i="50"/>
  <c r="W36" i="50"/>
  <c r="AN20" i="50"/>
  <c r="T32" i="50"/>
  <c r="AM27" i="50"/>
  <c r="AT48" i="50"/>
  <c r="BC22" i="50"/>
  <c r="AL50" i="50"/>
  <c r="AC26" i="50"/>
  <c r="AR52" i="50"/>
  <c r="AV46" i="50"/>
  <c r="S27" i="50"/>
  <c r="AQ21" i="50"/>
  <c r="AW49" i="50"/>
  <c r="Z44" i="50"/>
  <c r="O4" i="50"/>
  <c r="AS5" i="50"/>
  <c r="AA26" i="50"/>
  <c r="AY50" i="50"/>
  <c r="V44" i="50"/>
  <c r="R52" i="50"/>
  <c r="S52" i="50"/>
  <c r="AG13" i="50"/>
  <c r="L50" i="50"/>
  <c r="AK27" i="50"/>
  <c r="AR44" i="50"/>
  <c r="T37" i="50"/>
  <c r="BB27" i="50"/>
  <c r="S45" i="50"/>
  <c r="AA21" i="50"/>
  <c r="AO26" i="50"/>
  <c r="AM42" i="50"/>
  <c r="AZ19" i="50"/>
  <c r="R39" i="50"/>
  <c r="BC25" i="50"/>
  <c r="S41" i="50"/>
  <c r="AR36" i="50"/>
  <c r="M5" i="50"/>
  <c r="X18" i="50"/>
  <c r="Y51" i="50"/>
  <c r="AX23" i="50"/>
  <c r="AE24" i="50"/>
  <c r="Y25" i="50"/>
  <c r="AV17" i="50"/>
  <c r="AD52" i="50"/>
  <c r="Q40" i="50"/>
  <c r="R37" i="50"/>
  <c r="AK49" i="50"/>
  <c r="AY33" i="50"/>
  <c r="AW20" i="50"/>
  <c r="AE18" i="50"/>
  <c r="AO30" i="50"/>
  <c r="AC4" i="50"/>
  <c r="Z43" i="50"/>
  <c r="AW40" i="50"/>
  <c r="O19" i="50"/>
  <c r="Z49" i="50"/>
  <c r="AG48" i="50"/>
  <c r="AX46" i="50"/>
  <c r="AE34" i="50"/>
  <c r="P45" i="50"/>
  <c r="AA5" i="50"/>
  <c r="BB34" i="50"/>
  <c r="BA43" i="50"/>
  <c r="AG31" i="50"/>
  <c r="AD29" i="50"/>
  <c r="L24" i="50"/>
  <c r="AY17" i="50"/>
  <c r="AW28" i="50"/>
  <c r="AQ13" i="50"/>
  <c r="BC49" i="50"/>
  <c r="AF38" i="50"/>
  <c r="AJ33" i="50"/>
  <c r="O20" i="50"/>
  <c r="AY27" i="50"/>
  <c r="AV48" i="50"/>
  <c r="AO34" i="50"/>
  <c r="AS12" i="50"/>
  <c r="AN30" i="50"/>
  <c r="AR18" i="50"/>
  <c r="AY4" i="50"/>
  <c r="AQ47" i="50"/>
  <c r="AZ39" i="50"/>
  <c r="AK29" i="50"/>
  <c r="N12" i="50"/>
  <c r="P48" i="50"/>
  <c r="AC16" i="50"/>
  <c r="AV31" i="50"/>
  <c r="AC39" i="50"/>
  <c r="M52" i="50"/>
  <c r="AD37" i="50"/>
  <c r="AW45" i="50"/>
  <c r="V35" i="50"/>
  <c r="AJ29" i="50"/>
  <c r="AO49" i="50"/>
  <c r="AT39" i="50"/>
  <c r="AN31" i="50"/>
  <c r="AK13" i="50"/>
  <c r="AE25" i="50"/>
  <c r="Z14" i="50"/>
  <c r="AF21" i="50"/>
  <c r="T47" i="50"/>
  <c r="AP45" i="50"/>
  <c r="AO23" i="50"/>
  <c r="AI39" i="50"/>
  <c r="AW39" i="50"/>
  <c r="T20" i="50"/>
  <c r="AG36" i="50"/>
  <c r="L21" i="50"/>
  <c r="AR40" i="50"/>
  <c r="AH13" i="50"/>
  <c r="AE32" i="50"/>
  <c r="AY34" i="50"/>
  <c r="AE51" i="50"/>
  <c r="Q51" i="50"/>
  <c r="AG12" i="50"/>
  <c r="W46" i="50"/>
  <c r="AN21" i="50"/>
  <c r="AJ37" i="50"/>
  <c r="AH41" i="50"/>
  <c r="AX5" i="50"/>
  <c r="Q33" i="50"/>
  <c r="Y44" i="50"/>
  <c r="AI13" i="50"/>
  <c r="X19" i="50"/>
  <c r="BA22" i="50"/>
  <c r="AU26" i="50"/>
  <c r="R21" i="50"/>
  <c r="T42" i="50"/>
  <c r="AQ29" i="50"/>
  <c r="AM32" i="50"/>
  <c r="AM13" i="50"/>
  <c r="L30" i="50"/>
  <c r="AB25" i="50"/>
  <c r="M35" i="50"/>
  <c r="AS38" i="50"/>
  <c r="M27" i="50"/>
  <c r="Q49" i="50"/>
  <c r="Y13" i="50"/>
  <c r="AA28" i="50"/>
  <c r="AS15" i="50"/>
  <c r="U18" i="50"/>
  <c r="L14" i="50"/>
  <c r="AU22" i="50"/>
  <c r="AC17" i="50"/>
  <c r="AR19" i="50"/>
  <c r="L17" i="50"/>
  <c r="AV14" i="50"/>
  <c r="AG23" i="50"/>
  <c r="AD4" i="50"/>
  <c r="AZ44" i="50"/>
  <c r="AU5" i="50"/>
  <c r="AC31" i="50"/>
  <c r="BA24" i="50"/>
  <c r="BA47" i="50"/>
  <c r="AY49" i="50"/>
  <c r="M16" i="50"/>
  <c r="AZ41" i="50"/>
  <c r="S31" i="50"/>
  <c r="AG43" i="50"/>
  <c r="T23" i="50"/>
  <c r="AC41" i="50"/>
  <c r="M29" i="50"/>
  <c r="BC40" i="50"/>
  <c r="V5" i="50"/>
  <c r="AT16" i="50"/>
  <c r="O46" i="50"/>
  <c r="S33" i="50"/>
  <c r="N26" i="50"/>
  <c r="AQ18" i="50"/>
  <c r="AX37" i="50"/>
  <c r="AA15" i="50"/>
  <c r="BA31" i="50"/>
  <c r="Z5" i="50"/>
  <c r="Q50" i="50"/>
  <c r="AK40" i="50"/>
  <c r="AF4" i="50"/>
  <c r="AK51" i="50"/>
  <c r="AX20" i="50"/>
  <c r="Q48" i="50"/>
  <c r="BB51" i="50"/>
  <c r="AK34" i="50"/>
  <c r="T28" i="50"/>
  <c r="N42" i="50"/>
  <c r="U32" i="50"/>
  <c r="AR38" i="50"/>
  <c r="N21" i="50"/>
  <c r="U38" i="50"/>
  <c r="AR50" i="50"/>
  <c r="X31" i="50"/>
  <c r="AC34" i="50"/>
  <c r="AZ4" i="50"/>
  <c r="AS25" i="50"/>
  <c r="AI37" i="50"/>
  <c r="AT21" i="50"/>
  <c r="AR31" i="50"/>
  <c r="BA48" i="50"/>
  <c r="AV30" i="50"/>
  <c r="AO29" i="50"/>
  <c r="AK15" i="50"/>
  <c r="AF13" i="50"/>
  <c r="R45" i="50"/>
  <c r="Z23" i="50"/>
  <c r="AJ45" i="50"/>
  <c r="AX4" i="50"/>
  <c r="AC42" i="50"/>
  <c r="AU30" i="50"/>
  <c r="W35" i="50"/>
  <c r="Y5" i="50"/>
  <c r="U16" i="50"/>
  <c r="AT49" i="50"/>
  <c r="BA52" i="50"/>
  <c r="R40" i="50"/>
  <c r="AH39" i="50"/>
  <c r="AE33" i="50"/>
  <c r="U49" i="50"/>
  <c r="AR23" i="50"/>
  <c r="L33" i="50"/>
  <c r="X27" i="50"/>
  <c r="Z37" i="50"/>
  <c r="AL27" i="50"/>
  <c r="AQ32" i="50"/>
  <c r="Z29" i="50"/>
  <c r="X15" i="50"/>
  <c r="AM31" i="50"/>
  <c r="Y27" i="50"/>
  <c r="M13" i="50"/>
  <c r="O27" i="50"/>
  <c r="V48" i="50"/>
  <c r="X32" i="50"/>
  <c r="W23" i="50"/>
  <c r="AK45" i="50"/>
  <c r="BB31" i="50"/>
  <c r="AF28" i="50"/>
  <c r="BA29" i="50"/>
  <c r="Z39" i="50"/>
  <c r="T4" i="50"/>
  <c r="AH31" i="50"/>
  <c r="AM33" i="50"/>
  <c r="U20" i="50"/>
  <c r="AX13" i="50"/>
  <c r="AE40" i="50"/>
  <c r="AC29" i="50"/>
  <c r="AM46" i="50"/>
  <c r="AX32" i="50"/>
  <c r="AM19" i="50"/>
  <c r="BB38" i="50"/>
  <c r="AU27" i="50"/>
  <c r="AE29" i="50"/>
  <c r="AE44" i="50"/>
  <c r="BC14" i="50"/>
  <c r="AO42" i="50"/>
  <c r="S13" i="50"/>
  <c r="AM25" i="50"/>
  <c r="N46" i="50"/>
  <c r="AV36" i="50"/>
  <c r="AE39" i="50"/>
  <c r="V17" i="50"/>
  <c r="P25" i="50"/>
  <c r="AF41" i="50"/>
  <c r="AV44" i="50"/>
  <c r="W28" i="50"/>
  <c r="AV27" i="50"/>
  <c r="AY47" i="50"/>
  <c r="AF33" i="50"/>
  <c r="AP38" i="50"/>
  <c r="AB15" i="50"/>
  <c r="AY20" i="50"/>
  <c r="T14" i="50"/>
  <c r="M26" i="50"/>
  <c r="AW41" i="50"/>
  <c r="AD24" i="50"/>
  <c r="BA16" i="50"/>
  <c r="BB50" i="50"/>
  <c r="AH17" i="50"/>
  <c r="AP12" i="50"/>
  <c r="AD30" i="50"/>
  <c r="AZ18" i="50"/>
  <c r="N17" i="50"/>
  <c r="AQ51" i="50"/>
  <c r="AN5" i="50"/>
  <c r="AW44" i="50"/>
  <c r="N24" i="50"/>
  <c r="AG27" i="50"/>
  <c r="AC38" i="50"/>
  <c r="AG35" i="50"/>
  <c r="AZ32" i="50"/>
  <c r="U23" i="50"/>
  <c r="M42" i="50"/>
  <c r="AA41" i="50"/>
  <c r="Z16" i="50"/>
  <c r="AA12" i="50"/>
  <c r="W39" i="50"/>
  <c r="AK38" i="50"/>
  <c r="AZ37" i="50"/>
  <c r="BA15" i="50"/>
  <c r="AE41" i="50"/>
  <c r="AB14" i="50"/>
  <c r="AR12" i="50"/>
  <c r="AG29" i="50"/>
  <c r="M12" i="50"/>
  <c r="O31" i="50"/>
  <c r="W22" i="50"/>
  <c r="P30" i="50"/>
  <c r="L39" i="50"/>
  <c r="AZ45" i="50"/>
  <c r="AL51" i="50"/>
  <c r="L13" i="50"/>
  <c r="AO50" i="50"/>
  <c r="AQ48" i="50"/>
  <c r="S51" i="50"/>
  <c r="AB33" i="50"/>
  <c r="AF45" i="50"/>
  <c r="AD51" i="50"/>
  <c r="AX12" i="50"/>
  <c r="W43" i="50"/>
  <c r="Q16" i="50"/>
  <c r="AL4" i="50"/>
  <c r="AM47" i="50"/>
  <c r="AZ25" i="50"/>
  <c r="AO43" i="50"/>
  <c r="W31" i="50"/>
  <c r="AP43" i="50"/>
  <c r="V45" i="50"/>
  <c r="R42" i="50"/>
  <c r="AX48" i="50"/>
  <c r="R33" i="50"/>
  <c r="AK52" i="50"/>
  <c r="AD5" i="50"/>
  <c r="X45" i="50"/>
  <c r="AY41" i="50"/>
  <c r="M25" i="50"/>
  <c r="M31" i="50"/>
  <c r="BC27" i="50"/>
  <c r="AL42" i="50"/>
  <c r="R19" i="50"/>
  <c r="U44" i="50"/>
  <c r="AK47" i="50"/>
  <c r="V52" i="50"/>
  <c r="AM43" i="50"/>
  <c r="N20" i="50"/>
  <c r="AX15" i="50"/>
  <c r="AU50" i="50"/>
  <c r="BB52" i="50"/>
  <c r="W26" i="50"/>
  <c r="BA25" i="50"/>
  <c r="AY28" i="50"/>
  <c r="BA26" i="50"/>
  <c r="AY13" i="50"/>
  <c r="AY36" i="50"/>
  <c r="AH32" i="50"/>
  <c r="AS13" i="50"/>
  <c r="T46" i="50"/>
  <c r="AU37" i="50"/>
  <c r="M18" i="50"/>
  <c r="X4" i="50"/>
  <c r="AT41" i="50"/>
  <c r="AA13" i="50"/>
  <c r="AE30" i="50"/>
  <c r="AS34" i="50"/>
  <c r="AS22" i="50"/>
  <c r="AI35" i="50"/>
  <c r="AJ38" i="50"/>
  <c r="AA4" i="50"/>
  <c r="AQ30" i="50"/>
  <c r="AS43" i="50"/>
  <c r="L28" i="50"/>
  <c r="R31" i="50"/>
  <c r="Y18" i="50"/>
  <c r="R17" i="50"/>
  <c r="AZ17" i="50"/>
  <c r="M28" i="50"/>
  <c r="AC20" i="50"/>
  <c r="O43" i="50"/>
  <c r="U14" i="50"/>
  <c r="AH4" i="50"/>
  <c r="AU44" i="50"/>
  <c r="AJ19" i="50"/>
  <c r="L16" i="50"/>
  <c r="S43" i="50"/>
  <c r="AM20" i="50"/>
  <c r="N50" i="50"/>
  <c r="W40" i="50"/>
  <c r="AR39" i="50"/>
  <c r="AJ40" i="50"/>
  <c r="AT46" i="50"/>
  <c r="AL38" i="50"/>
  <c r="AR33" i="50"/>
  <c r="Y23" i="50"/>
  <c r="AN15" i="50"/>
  <c r="AC47" i="50"/>
  <c r="AB21" i="50"/>
  <c r="V39" i="50"/>
  <c r="AS14" i="50"/>
  <c r="AX38" i="50"/>
  <c r="BC42" i="50"/>
  <c r="AL15" i="50"/>
  <c r="P49" i="50"/>
  <c r="V46" i="50"/>
  <c r="AX41" i="50"/>
  <c r="AZ46" i="50"/>
  <c r="N13" i="50"/>
  <c r="P47" i="50"/>
  <c r="AR20" i="50"/>
  <c r="AZ27" i="50"/>
  <c r="AN41" i="50"/>
  <c r="AL39" i="50"/>
  <c r="AY23" i="50"/>
  <c r="X28" i="50"/>
  <c r="U31" i="50"/>
  <c r="AU21" i="50"/>
  <c r="BC50" i="50"/>
  <c r="BA12" i="50"/>
  <c r="AA14" i="50"/>
  <c r="R12" i="50"/>
  <c r="W4" i="50"/>
  <c r="AC28" i="50"/>
  <c r="Z25" i="50"/>
  <c r="AJ52" i="50"/>
  <c r="AE42" i="50"/>
  <c r="AF43" i="50"/>
  <c r="BB17" i="50"/>
  <c r="AX26" i="50"/>
  <c r="AH38" i="50"/>
  <c r="O52" i="50"/>
  <c r="AJ46" i="50"/>
  <c r="AU39" i="50"/>
  <c r="AI26" i="50"/>
  <c r="O42" i="50"/>
  <c r="AJ13" i="50"/>
  <c r="AU51" i="50"/>
  <c r="BC52" i="50"/>
  <c r="AH22" i="50"/>
  <c r="AV50" i="50"/>
  <c r="AG17" i="50"/>
  <c r="R25" i="50"/>
  <c r="AN33" i="50"/>
  <c r="AU24" i="50"/>
  <c r="AX47" i="50"/>
  <c r="AU15" i="50"/>
  <c r="AP17" i="50"/>
  <c r="AN47" i="50"/>
  <c r="AN46" i="50"/>
  <c r="AY35" i="50"/>
  <c r="AV29" i="50"/>
  <c r="AZ20" i="50"/>
  <c r="AZ24" i="50"/>
  <c r="AC35" i="50"/>
  <c r="BB15" i="50"/>
  <c r="L23" i="50"/>
  <c r="AV26" i="50"/>
  <c r="AR42" i="50"/>
  <c r="BB46" i="50"/>
  <c r="AK31" i="50"/>
  <c r="L15" i="50"/>
  <c r="AS18" i="50"/>
  <c r="S26" i="50"/>
  <c r="AQ49" i="50"/>
  <c r="AT24" i="50"/>
  <c r="AA23" i="50"/>
  <c r="AW21" i="50"/>
  <c r="BC41" i="50"/>
  <c r="L25" i="50"/>
  <c r="AB12" i="50"/>
  <c r="M19" i="50"/>
  <c r="O26" i="50"/>
  <c r="Y52" i="50"/>
  <c r="AG28" i="50"/>
  <c r="Y43" i="50"/>
  <c r="W16" i="50"/>
  <c r="AA50" i="50"/>
  <c r="N38" i="50"/>
  <c r="U47" i="50"/>
  <c r="AS23" i="50"/>
  <c r="S28" i="50"/>
  <c r="AL28" i="50"/>
  <c r="AM5" i="50"/>
  <c r="AN50" i="50"/>
  <c r="AC18" i="50"/>
  <c r="AO12" i="50"/>
  <c r="Y29" i="50"/>
  <c r="AO28" i="50"/>
  <c r="BB5" i="50"/>
  <c r="R23" i="50"/>
  <c r="AP44" i="50"/>
  <c r="AS28" i="50"/>
  <c r="AY25" i="50"/>
  <c r="AK50" i="50"/>
  <c r="R16" i="50"/>
  <c r="AV37" i="50"/>
  <c r="AS48" i="50"/>
  <c r="AW17" i="50"/>
  <c r="P44" i="50"/>
  <c r="AM29" i="50"/>
  <c r="AL19" i="50"/>
  <c r="O21" i="50"/>
  <c r="Y17" i="50"/>
  <c r="AF15" i="50"/>
  <c r="AK21" i="50"/>
  <c r="AB35" i="50"/>
  <c r="AT52" i="50"/>
  <c r="L37" i="50"/>
  <c r="AG51" i="50"/>
  <c r="AR22" i="50"/>
  <c r="AQ34" i="50"/>
  <c r="L18" i="50"/>
  <c r="AN17" i="50"/>
  <c r="W51" i="50"/>
  <c r="AQ28" i="50"/>
  <c r="Z34" i="50"/>
  <c r="S15" i="50"/>
  <c r="AN32" i="50"/>
  <c r="AD32" i="50"/>
  <c r="AW12" i="50"/>
  <c r="Z48" i="50"/>
  <c r="BB20" i="50"/>
  <c r="AA37" i="50"/>
  <c r="AW51" i="50"/>
  <c r="AI14" i="50"/>
  <c r="W20" i="50"/>
  <c r="R4" i="50"/>
  <c r="BB24" i="50"/>
  <c r="AL33" i="50"/>
  <c r="BA40" i="50"/>
  <c r="Y12" i="50"/>
  <c r="AV13" i="50"/>
  <c r="AE28" i="50"/>
  <c r="AK46" i="50"/>
  <c r="AJ16" i="50"/>
  <c r="AL49" i="50"/>
  <c r="AQ17" i="50"/>
  <c r="AM49" i="50"/>
  <c r="AA19" i="50"/>
  <c r="N15" i="50"/>
  <c r="AA43" i="50"/>
  <c r="BA37" i="50"/>
  <c r="AU41" i="50"/>
  <c r="AG15" i="50"/>
  <c r="Y14" i="50"/>
  <c r="U27" i="50"/>
  <c r="AC44" i="50"/>
  <c r="AO35" i="50"/>
  <c r="BA18" i="50"/>
  <c r="BA38" i="50"/>
  <c r="AB24" i="50"/>
  <c r="R24" i="50"/>
  <c r="W48" i="50"/>
  <c r="AX50" i="50"/>
  <c r="AL25" i="50"/>
  <c r="AD22" i="50"/>
  <c r="AM36" i="50"/>
  <c r="AI42" i="50"/>
  <c r="O45" i="50"/>
  <c r="AI23" i="50"/>
  <c r="AA29" i="50"/>
  <c r="X25" i="50"/>
  <c r="AX49" i="50"/>
  <c r="W25" i="50"/>
  <c r="Q45" i="50"/>
  <c r="AP47" i="50"/>
  <c r="AN23" i="50"/>
  <c r="AD19" i="50"/>
  <c r="AZ14" i="50"/>
  <c r="AS26" i="50"/>
  <c r="V32" i="50"/>
  <c r="AY30" i="50"/>
  <c r="P26" i="50"/>
  <c r="U12" i="50"/>
  <c r="AH14" i="50"/>
  <c r="AW5" i="50"/>
  <c r="AX28" i="50"/>
  <c r="Z24" i="50"/>
  <c r="AG38" i="50"/>
  <c r="AZ22" i="50"/>
  <c r="AE49" i="50"/>
  <c r="BB47" i="50"/>
  <c r="S39" i="50"/>
  <c r="V25" i="50"/>
  <c r="L12" i="50"/>
  <c r="P41" i="50"/>
  <c r="U37" i="50"/>
  <c r="Z38" i="50"/>
  <c r="X24" i="50"/>
  <c r="AF46" i="50"/>
  <c r="X50" i="50"/>
  <c r="AU20" i="50"/>
  <c r="AW29" i="50"/>
  <c r="P21" i="50"/>
  <c r="Y21" i="50"/>
  <c r="X21" i="50"/>
  <c r="AN40" i="50"/>
  <c r="L22" i="50"/>
  <c r="P23" i="50"/>
  <c r="AM28" i="50"/>
  <c r="AW19" i="50"/>
  <c r="AJ39" i="50"/>
  <c r="AA52" i="50"/>
  <c r="AA18" i="50"/>
  <c r="AW4" i="50"/>
  <c r="AO33" i="50"/>
  <c r="AQ40" i="50"/>
  <c r="AD13" i="50"/>
  <c r="AX42" i="50"/>
  <c r="AQ19" i="50"/>
  <c r="Q41" i="50"/>
  <c r="AK18" i="50"/>
  <c r="AG46" i="50"/>
  <c r="AR24" i="50"/>
  <c r="P51" i="50"/>
  <c r="W38" i="50"/>
  <c r="AV39" i="50"/>
  <c r="AH19" i="50"/>
  <c r="AW50" i="50"/>
  <c r="T33" i="50"/>
  <c r="AN12" i="50"/>
  <c r="M40" i="50"/>
  <c r="W33" i="50"/>
  <c r="AX19" i="50"/>
  <c r="AA30" i="50"/>
  <c r="W34" i="50"/>
  <c r="AH52" i="50"/>
  <c r="AJ21" i="50"/>
  <c r="AR35" i="50"/>
  <c r="BA46" i="50"/>
  <c r="AY43" i="50"/>
  <c r="AU45" i="50"/>
  <c r="AJ44" i="50"/>
  <c r="V33" i="50"/>
  <c r="Y24" i="50"/>
  <c r="AP50" i="50"/>
  <c r="AR25" i="50"/>
  <c r="Q52" i="50"/>
  <c r="AF34" i="50"/>
  <c r="X23" i="50"/>
  <c r="AB13" i="50"/>
  <c r="P15" i="50"/>
  <c r="BC32" i="50"/>
  <c r="BC18" i="50"/>
  <c r="S19" i="50"/>
  <c r="AH43" i="50"/>
  <c r="AW33" i="50"/>
  <c r="AV35" i="50"/>
  <c r="O38" i="50"/>
  <c r="AL12" i="50"/>
  <c r="AQ5" i="50"/>
  <c r="AE38" i="50"/>
  <c r="AT27" i="50"/>
  <c r="N18" i="50"/>
  <c r="Q35" i="50"/>
  <c r="AF23" i="50"/>
  <c r="AB30" i="50"/>
  <c r="AL43" i="50"/>
  <c r="AB18" i="50"/>
  <c r="X41" i="50"/>
  <c r="Y15" i="50"/>
  <c r="V51" i="50"/>
  <c r="U17" i="50"/>
  <c r="BB26" i="50"/>
  <c r="AM26" i="50"/>
  <c r="AP40" i="50"/>
  <c r="V40" i="50"/>
  <c r="L44" i="50"/>
  <c r="AC14" i="50"/>
  <c r="AE52" i="50"/>
  <c r="AL16" i="50"/>
  <c r="AH44" i="50"/>
  <c r="AM24" i="50"/>
  <c r="AI51" i="50"/>
  <c r="P40" i="50"/>
  <c r="AC25" i="50"/>
  <c r="AT47" i="50"/>
  <c r="W45" i="50"/>
  <c r="AF32" i="50"/>
  <c r="AP39" i="50"/>
  <c r="AV23" i="50"/>
  <c r="AM22" i="50"/>
  <c r="Y38" i="50"/>
  <c r="Z19" i="50"/>
  <c r="BC45" i="50"/>
  <c r="W29" i="50"/>
  <c r="BB44" i="50"/>
  <c r="AG14" i="50"/>
  <c r="T16" i="50"/>
  <c r="AP42" i="50"/>
  <c r="AO13" i="50"/>
  <c r="BC30" i="50"/>
  <c r="AJ14" i="50"/>
  <c r="Z20" i="50"/>
  <c r="X37" i="50"/>
  <c r="R13" i="50"/>
  <c r="AL34" i="50"/>
  <c r="U50" i="50"/>
  <c r="AW48" i="50"/>
  <c r="AR41" i="50"/>
  <c r="BC46" i="50"/>
  <c r="AA47" i="50"/>
  <c r="L5" i="50"/>
  <c r="Y40" i="50"/>
  <c r="W41" i="50"/>
  <c r="AP22" i="50"/>
  <c r="P5" i="50"/>
  <c r="AR32" i="50"/>
  <c r="AZ38" i="50"/>
  <c r="T36" i="50"/>
  <c r="AQ4" i="50"/>
  <c r="Q30" i="50"/>
  <c r="P37" i="50"/>
  <c r="AT18" i="50"/>
  <c r="Z26" i="50"/>
  <c r="U26" i="50"/>
  <c r="AF39" i="50"/>
  <c r="AJ17" i="50"/>
  <c r="W21" i="50"/>
  <c r="P43" i="50"/>
  <c r="T29" i="50"/>
  <c r="AW16" i="50"/>
  <c r="AK42" i="50"/>
  <c r="U28" i="50"/>
  <c r="AO24" i="50"/>
  <c r="AS47" i="50"/>
  <c r="BC51" i="50"/>
  <c r="AT45" i="50"/>
  <c r="Z40" i="50"/>
  <c r="BA28" i="50"/>
  <c r="BA23" i="50"/>
  <c r="BC23" i="50"/>
  <c r="AX27" i="50"/>
  <c r="L20" i="50"/>
  <c r="T5" i="50"/>
  <c r="BA30" i="50"/>
  <c r="AZ35" i="50"/>
  <c r="AL36" i="50"/>
  <c r="BB18" i="50"/>
  <c r="AI49" i="50"/>
  <c r="L35" i="50"/>
  <c r="AD33" i="50"/>
  <c r="AH37" i="50"/>
  <c r="V16" i="50"/>
  <c r="AW35" i="50"/>
  <c r="T15" i="50"/>
  <c r="AJ42" i="50"/>
  <c r="V24" i="50"/>
  <c r="U33" i="50"/>
  <c r="AA22" i="50"/>
  <c r="U34" i="50"/>
  <c r="Q14" i="50"/>
  <c r="AU48" i="50"/>
  <c r="X51" i="50"/>
  <c r="AM50" i="50"/>
  <c r="AI32" i="50"/>
  <c r="AY32" i="50"/>
  <c r="AA44" i="50"/>
  <c r="N16" i="50"/>
  <c r="AI40" i="50"/>
  <c r="AS31" i="50"/>
  <c r="Z17" i="50"/>
  <c r="V47" i="50"/>
  <c r="AJ50" i="50"/>
  <c r="R22" i="50"/>
  <c r="M4" i="50"/>
  <c r="AG19" i="50"/>
  <c r="N25" i="50"/>
  <c r="L31" i="50"/>
  <c r="AQ50" i="50"/>
  <c r="AI17" i="50"/>
  <c r="BC33" i="50"/>
  <c r="AC43" i="50"/>
  <c r="AJ22" i="50"/>
  <c r="AD49" i="50"/>
  <c r="L45" i="50"/>
  <c r="AH50" i="50"/>
  <c r="AP48" i="50"/>
  <c r="P29" i="50"/>
  <c r="R14" i="50"/>
  <c r="L43" i="50"/>
  <c r="N36" i="50"/>
  <c r="AL22" i="50"/>
  <c r="O15" i="50"/>
  <c r="AH51" i="50"/>
  <c r="AL29" i="50"/>
  <c r="AM34" i="50"/>
  <c r="AY5" i="50"/>
  <c r="V21" i="50"/>
  <c r="M43" i="50"/>
  <c r="AT30" i="50"/>
  <c r="AH34" i="50"/>
  <c r="W18" i="50"/>
  <c r="S44" i="50"/>
  <c r="AA17" i="50"/>
  <c r="AX45" i="50"/>
  <c r="AA25" i="50"/>
  <c r="AH33" i="50"/>
  <c r="AW47" i="50"/>
  <c r="AK20" i="50"/>
  <c r="AK41" i="50"/>
  <c r="L38" i="50"/>
  <c r="AE4" i="50"/>
  <c r="AV12" i="50"/>
  <c r="AA31" i="50"/>
  <c r="T43" i="50"/>
  <c r="AH27" i="50"/>
  <c r="U30" i="50"/>
  <c r="R28" i="50"/>
  <c r="AV25" i="50"/>
  <c r="AG30" i="50"/>
  <c r="R41" i="50"/>
  <c r="W30" i="50"/>
  <c r="T26" i="50"/>
  <c r="AP46" i="50"/>
  <c r="AO14" i="50"/>
  <c r="Q46" i="50"/>
  <c r="AE36" i="50"/>
  <c r="AJ34" i="50"/>
  <c r="AZ28" i="50"/>
  <c r="AN38" i="50"/>
  <c r="AZ49" i="50"/>
  <c r="O50" i="50"/>
  <c r="AH16" i="50"/>
  <c r="AS46" i="50"/>
  <c r="Y34" i="50"/>
  <c r="AP4" i="50"/>
  <c r="AW36" i="50"/>
  <c r="AE27" i="50"/>
  <c r="V14" i="50"/>
  <c r="AI4" i="50"/>
  <c r="Y36" i="50"/>
  <c r="AF52" i="50"/>
  <c r="AD43" i="50"/>
  <c r="BC43" i="50"/>
  <c r="AG33" i="50"/>
  <c r="AY44" i="50"/>
  <c r="X14" i="50"/>
  <c r="S17" i="50"/>
  <c r="Q28" i="50"/>
  <c r="AL26" i="50"/>
  <c r="AF35" i="50"/>
  <c r="X46" i="50"/>
  <c r="AL47" i="50"/>
  <c r="Y47" i="50"/>
  <c r="AD15" i="50"/>
  <c r="AN13" i="50"/>
  <c r="AU31" i="50"/>
  <c r="AO44" i="50"/>
  <c r="AL21" i="50"/>
  <c r="W37" i="50"/>
  <c r="AG42" i="50"/>
  <c r="AZ21" i="50"/>
  <c r="O48" i="50"/>
  <c r="AS19" i="50"/>
  <c r="AF19" i="50"/>
  <c r="AG5" i="50"/>
  <c r="AR16" i="50"/>
  <c r="AT43" i="50"/>
  <c r="AN16" i="50"/>
  <c r="AB29" i="50"/>
  <c r="BC26" i="50"/>
  <c r="AY48" i="50"/>
  <c r="BB23" i="50"/>
  <c r="AG24" i="50"/>
  <c r="AX34" i="50"/>
  <c r="AQ36" i="50"/>
  <c r="BB33" i="50"/>
  <c r="AA32" i="50"/>
  <c r="AE43" i="50"/>
  <c r="AQ14" i="50"/>
  <c r="N48" i="50"/>
  <c r="AH45" i="50"/>
  <c r="O17" i="50"/>
  <c r="P14" i="50"/>
  <c r="AJ28" i="50"/>
  <c r="AO20" i="50"/>
  <c r="AN25" i="50"/>
  <c r="Y32" i="50"/>
  <c r="AN22" i="50"/>
  <c r="AY21" i="50"/>
  <c r="R15" i="50"/>
  <c r="L29" i="50"/>
  <c r="AG50" i="50"/>
  <c r="P35" i="50"/>
  <c r="AL23" i="50"/>
  <c r="AO16" i="50"/>
  <c r="AZ12" i="50"/>
  <c r="X47" i="50"/>
  <c r="AI33" i="50"/>
  <c r="AD26" i="50"/>
  <c r="AY40" i="50"/>
  <c r="AY39" i="50"/>
  <c r="V28" i="50"/>
  <c r="Q34" i="50"/>
  <c r="AS37" i="50"/>
  <c r="O18" i="50"/>
  <c r="Z46" i="50"/>
  <c r="AN34" i="50"/>
  <c r="AL20" i="50"/>
  <c r="Z15" i="50"/>
  <c r="AQ23" i="50"/>
  <c r="AK4" i="50"/>
  <c r="X34" i="50"/>
  <c r="Y20" i="50"/>
  <c r="X39" i="50"/>
  <c r="AA33" i="50"/>
  <c r="R43" i="50"/>
  <c r="AT36" i="50"/>
  <c r="M37" i="50"/>
  <c r="AS4" i="50"/>
  <c r="N29" i="50"/>
  <c r="BC28" i="50"/>
  <c r="AI48" i="50"/>
  <c r="AY22" i="50"/>
  <c r="Q15" i="50"/>
  <c r="Z13" i="50"/>
  <c r="AK33" i="50"/>
  <c r="V30" i="50"/>
  <c r="X35" i="50"/>
  <c r="Y33" i="50"/>
  <c r="AK26" i="50"/>
  <c r="AQ25" i="50"/>
  <c r="O51" i="50"/>
  <c r="AV19" i="50"/>
  <c r="AT40" i="50"/>
  <c r="AG20" i="50"/>
  <c r="AD31" i="50"/>
  <c r="AP24" i="50"/>
  <c r="Y49" i="50"/>
  <c r="AG32" i="50"/>
  <c r="V22" i="50"/>
  <c r="BB42" i="50"/>
  <c r="Q38" i="50"/>
  <c r="AJ18" i="50"/>
  <c r="AJ49" i="50"/>
  <c r="N31" i="50"/>
  <c r="AN44" i="50"/>
  <c r="Z36" i="50"/>
  <c r="AT5" i="50"/>
  <c r="N28" i="50"/>
  <c r="BA45" i="50"/>
  <c r="AF24" i="50"/>
  <c r="BB45" i="50"/>
  <c r="AR27" i="50"/>
  <c r="AU42" i="50"/>
  <c r="AB40" i="50"/>
  <c r="AF48" i="50"/>
  <c r="BC48" i="50"/>
  <c r="AN48" i="50"/>
  <c r="W17" i="50"/>
  <c r="AN24" i="50"/>
  <c r="Q39" i="50"/>
  <c r="AC23" i="50"/>
  <c r="AQ15" i="50"/>
  <c r="T21" i="50"/>
  <c r="AX43" i="50"/>
  <c r="P39" i="50"/>
  <c r="R27" i="50"/>
  <c r="P20" i="50"/>
  <c r="Z32" i="50"/>
  <c r="Q21" i="50"/>
  <c r="M23" i="50"/>
  <c r="BA50" i="50"/>
  <c r="AG37" i="50"/>
  <c r="AV16" i="50"/>
  <c r="AP49" i="50"/>
  <c r="AH23" i="50"/>
  <c r="AT20" i="50"/>
  <c r="AN49" i="50"/>
  <c r="V18" i="50"/>
  <c r="N30" i="50"/>
  <c r="AN14" i="50"/>
  <c r="AG44" i="50"/>
  <c r="V4" i="50"/>
  <c r="AN51" i="50"/>
  <c r="N39" i="50"/>
  <c r="Y48" i="50"/>
  <c r="BC44" i="50"/>
  <c r="AL48" i="50"/>
  <c r="AT37" i="50"/>
  <c r="Z47" i="50"/>
  <c r="AH15" i="50"/>
  <c r="V27" i="50"/>
  <c r="V31" i="50"/>
  <c r="AR21" i="50"/>
  <c r="AU23" i="50"/>
  <c r="AB50" i="50"/>
  <c r="AV4" i="50"/>
  <c r="AH35" i="50"/>
  <c r="AZ47" i="50"/>
  <c r="AM4" i="50"/>
  <c r="Y16" i="50"/>
  <c r="M46" i="50"/>
  <c r="M44" i="50"/>
  <c r="AQ46" i="50"/>
  <c r="Y26" i="50"/>
  <c r="Q17" i="50"/>
  <c r="AY15" i="50"/>
  <c r="AW13" i="50"/>
  <c r="R29" i="50"/>
  <c r="AJ12" i="50"/>
  <c r="AY45" i="50"/>
  <c r="AB17" i="50"/>
  <c r="BC24" i="50"/>
  <c r="W32" i="50"/>
  <c r="AO27" i="50"/>
  <c r="AI25" i="50"/>
  <c r="AS51" i="50"/>
  <c r="X30" i="50"/>
  <c r="AJ23" i="50"/>
  <c r="U46" i="50"/>
  <c r="AX29" i="50"/>
  <c r="W5" i="50"/>
  <c r="R18" i="50"/>
  <c r="AM18" i="50"/>
  <c r="T27" i="50"/>
  <c r="AI20" i="50"/>
  <c r="AJ27" i="50"/>
  <c r="BA36" i="50"/>
  <c r="L51" i="50"/>
  <c r="AP14" i="50"/>
  <c r="P52" i="50"/>
  <c r="AL32" i="50"/>
  <c r="AN42" i="50"/>
  <c r="V29" i="50"/>
  <c r="AI19" i="50"/>
  <c r="AT51" i="50"/>
  <c r="AX21" i="50"/>
  <c r="AX39" i="50"/>
  <c r="AU29" i="50"/>
  <c r="AW26" i="50"/>
  <c r="AV5" i="50"/>
  <c r="AO39" i="50"/>
  <c r="AE20" i="50"/>
  <c r="BC13" i="50"/>
  <c r="AC12" i="50"/>
  <c r="AE46" i="50"/>
  <c r="AW32" i="50"/>
  <c r="O40" i="50"/>
  <c r="AE22" i="50"/>
  <c r="AG22" i="50"/>
  <c r="M22" i="50"/>
  <c r="AH42" i="50"/>
  <c r="AP25" i="50"/>
  <c r="AM37" i="50"/>
  <c r="AB19" i="50"/>
  <c r="BA44" i="50"/>
  <c r="AD38" i="50"/>
  <c r="AY52" i="50"/>
  <c r="AO45" i="50"/>
  <c r="W27" i="50"/>
  <c r="L41" i="50"/>
  <c r="AB43" i="50"/>
  <c r="W44" i="50"/>
  <c r="N23" i="50"/>
  <c r="AD14" i="50"/>
  <c r="AS36" i="50"/>
  <c r="AA48" i="50"/>
  <c r="Z30" i="50"/>
  <c r="AN37" i="50"/>
  <c r="S48" i="50"/>
  <c r="AO52" i="50"/>
  <c r="AI24" i="50"/>
  <c r="AB16" i="50"/>
  <c r="AQ44" i="50"/>
  <c r="AK16" i="50"/>
  <c r="V13" i="50"/>
  <c r="M41" i="50"/>
  <c r="T30" i="50"/>
  <c r="AE45" i="50"/>
  <c r="AS49" i="50"/>
  <c r="AZ26" i="50"/>
  <c r="Q47" i="50"/>
  <c r="BA39" i="50"/>
  <c r="S47" i="50"/>
  <c r="Z33" i="50"/>
  <c r="AE21" i="50"/>
  <c r="AA16" i="50"/>
  <c r="AX31" i="50"/>
  <c r="AO15" i="50"/>
  <c r="AR17" i="50"/>
  <c r="AO47" i="50"/>
  <c r="AS27" i="50"/>
  <c r="X26" i="50"/>
  <c r="AS44" i="50"/>
  <c r="AW24" i="50"/>
  <c r="AX51" i="50"/>
  <c r="W15" i="50"/>
  <c r="AF37" i="50"/>
  <c r="S4" i="50"/>
  <c r="AD21" i="50"/>
  <c r="AY12" i="50"/>
  <c r="AF40" i="50"/>
  <c r="AY38" i="50"/>
  <c r="N49" i="50"/>
  <c r="AR30" i="50"/>
  <c r="BB21" i="50"/>
  <c r="AA42" i="50"/>
  <c r="AV22" i="50"/>
  <c r="AJ36" i="50"/>
  <c r="BC16" i="50"/>
  <c r="S22" i="50"/>
  <c r="AU38" i="50"/>
  <c r="W14" i="50"/>
  <c r="AP30" i="50"/>
  <c r="T22" i="50"/>
  <c r="BB37" i="50"/>
  <c r="AJ5" i="50"/>
  <c r="AO41" i="50"/>
  <c r="BB13" i="50"/>
  <c r="AU32" i="50"/>
  <c r="AO25" i="50"/>
  <c r="AV28" i="50"/>
  <c r="T12" i="50"/>
  <c r="U19" i="50"/>
  <c r="Y30" i="50"/>
  <c r="P38" i="50"/>
  <c r="AL52" i="50"/>
  <c r="U21" i="50"/>
  <c r="Z12" i="50"/>
  <c r="AT13" i="50"/>
  <c r="Q31" i="50"/>
  <c r="AA24" i="50"/>
  <c r="AI52" i="50"/>
  <c r="AU4" i="50"/>
  <c r="AT50" i="50"/>
  <c r="AQ26" i="50"/>
  <c r="AB52" i="50"/>
  <c r="M33" i="50"/>
  <c r="Y19" i="50"/>
  <c r="Z51" i="50"/>
  <c r="M50" i="50"/>
  <c r="AU35" i="50"/>
  <c r="AC22" i="50"/>
  <c r="AT32" i="50"/>
  <c r="BC35" i="50"/>
  <c r="U35" i="50"/>
  <c r="AJ48" i="50"/>
  <c r="AZ36" i="50"/>
  <c r="AL35" i="50"/>
  <c r="BC31" i="50"/>
  <c r="R47" i="50"/>
  <c r="Y37" i="50"/>
  <c r="AF12" i="50"/>
  <c r="AJ26" i="50"/>
  <c r="S14" i="50"/>
  <c r="AE48" i="50"/>
  <c r="AB44" i="50"/>
  <c r="M20" i="50"/>
  <c r="AH5" i="50"/>
  <c r="AK25" i="50"/>
  <c r="P17" i="50"/>
  <c r="N32" i="50"/>
  <c r="AG16" i="50"/>
  <c r="AM21" i="50"/>
  <c r="W42" i="50"/>
  <c r="AQ24" i="50"/>
  <c r="Q44" i="50"/>
  <c r="BB40" i="50"/>
  <c r="AT44" i="50"/>
  <c r="AF25" i="50"/>
  <c r="BB36" i="50"/>
  <c r="Q43" i="50"/>
  <c r="AZ29" i="50"/>
  <c r="M30" i="50"/>
  <c r="AD36" i="50"/>
  <c r="Q5" i="50"/>
  <c r="S46" i="50"/>
  <c r="P28" i="50"/>
  <c r="L47" i="50"/>
  <c r="AL31" i="50"/>
  <c r="Z52" i="50"/>
  <c r="N27" i="50"/>
  <c r="P46" i="50"/>
  <c r="AK5" i="50"/>
  <c r="AX22" i="50"/>
  <c r="X52" i="50"/>
  <c r="AD17" i="50"/>
  <c r="AK22" i="50"/>
  <c r="BC47" i="50"/>
  <c r="O49" i="50"/>
  <c r="BA41" i="50"/>
  <c r="AQ37" i="50"/>
  <c r="BB16" i="50"/>
  <c r="AX14" i="50"/>
  <c r="AR28" i="50"/>
  <c r="AF16" i="50"/>
  <c r="AI18" i="50"/>
  <c r="AI21" i="50"/>
  <c r="AZ50" i="50"/>
  <c r="AU43" i="50"/>
  <c r="AR51" i="50"/>
  <c r="AB36" i="50"/>
  <c r="Y39" i="50"/>
  <c r="S20" i="50"/>
  <c r="AS30" i="50"/>
  <c r="AI41" i="50"/>
  <c r="AO17" i="50"/>
  <c r="AZ33" i="50"/>
  <c r="Z4" i="50"/>
  <c r="BB39" i="50"/>
  <c r="AK12" i="50"/>
  <c r="AS39" i="50"/>
  <c r="O22" i="50"/>
  <c r="AJ51" i="50"/>
  <c r="R50" i="50"/>
  <c r="S12" i="50"/>
  <c r="AU33" i="50"/>
  <c r="AK32" i="50"/>
  <c r="P13" i="50"/>
  <c r="AP52" i="50"/>
  <c r="BA17" i="50"/>
  <c r="T13" i="50"/>
  <c r="Z18" i="50"/>
  <c r="N52" i="50"/>
  <c r="P42" i="50"/>
  <c r="AS16" i="50"/>
  <c r="M49" i="50"/>
  <c r="AP16" i="50"/>
  <c r="AT38" i="50"/>
  <c r="Q23" i="50"/>
  <c r="Q29" i="50"/>
  <c r="AF5" i="50"/>
  <c r="N4" i="50"/>
  <c r="T18" i="50"/>
  <c r="AP51" i="50"/>
  <c r="O36" i="50"/>
  <c r="AV32" i="50"/>
  <c r="AW46" i="50"/>
  <c r="AK14" i="50"/>
  <c r="P31" i="50"/>
  <c r="AP23" i="50"/>
  <c r="AG26" i="50"/>
  <c r="AL5" i="50"/>
  <c r="V42" i="50"/>
  <c r="N14" i="50"/>
  <c r="T52" i="50"/>
  <c r="AB38" i="50"/>
  <c r="AW52" i="50"/>
  <c r="O16" i="50"/>
  <c r="R48" i="50"/>
  <c r="AB42" i="50"/>
  <c r="AQ52" i="50"/>
  <c r="Z21" i="50"/>
  <c r="AH40" i="50"/>
  <c r="AC33" i="50"/>
  <c r="AU16" i="50"/>
  <c r="AU19" i="50"/>
  <c r="P34" i="50"/>
  <c r="BC39" i="50"/>
  <c r="AM44" i="50"/>
  <c r="S18" i="50"/>
  <c r="AJ31" i="50"/>
  <c r="AD23" i="50"/>
  <c r="AH24" i="50"/>
  <c r="AC49" i="50"/>
  <c r="AW18" i="50"/>
  <c r="X12" i="50"/>
  <c r="L48" i="50"/>
  <c r="X42" i="50"/>
  <c r="T34" i="50"/>
  <c r="AI12" i="50"/>
  <c r="N47" i="50"/>
  <c r="AL14" i="50"/>
  <c r="AK35" i="50"/>
  <c r="AH28" i="50"/>
  <c r="Z22" i="50"/>
  <c r="O25" i="50"/>
  <c r="BC37" i="50"/>
  <c r="AK17" i="50"/>
  <c r="AF51" i="50"/>
  <c r="AU18" i="50"/>
  <c r="AV24" i="50"/>
  <c r="AW23" i="50"/>
  <c r="AB37" i="50"/>
  <c r="AL17" i="50"/>
  <c r="AO21" i="50"/>
  <c r="AJ35" i="50"/>
  <c r="AW43" i="50"/>
  <c r="AG49" i="50"/>
  <c r="AT34" i="50"/>
  <c r="AC45" i="50"/>
  <c r="Y28" i="50"/>
  <c r="AQ27" i="50"/>
  <c r="R35" i="50"/>
  <c r="Y35" i="50"/>
  <c r="AU36" i="50"/>
  <c r="AA40" i="50"/>
  <c r="AB5" i="50"/>
  <c r="O13" i="50"/>
  <c r="AF49" i="50"/>
  <c r="P36" i="50"/>
  <c r="AI15" i="50"/>
  <c r="AT14" i="50"/>
  <c r="L27" i="50"/>
  <c r="AC15" i="50"/>
  <c r="AU17" i="50"/>
  <c r="V23" i="50"/>
  <c r="P32" i="50"/>
  <c r="O33" i="50"/>
  <c r="BA32" i="50"/>
  <c r="Z45" i="50"/>
  <c r="BA35" i="50"/>
  <c r="AN52" i="50"/>
  <c r="O23" i="50"/>
  <c r="AB51" i="50"/>
  <c r="AK28" i="50"/>
  <c r="O37" i="50"/>
  <c r="AT4" i="50"/>
  <c r="AA49" i="50"/>
  <c r="AN4" i="50"/>
  <c r="Z27" i="50"/>
  <c r="AV45" i="50"/>
  <c r="AO40" i="50"/>
  <c r="AZ15" i="50"/>
  <c r="AS29" i="50"/>
  <c r="AR29" i="50"/>
  <c r="AY19" i="50"/>
  <c r="O32" i="50"/>
  <c r="AX30" i="50"/>
  <c r="AC46" i="50"/>
  <c r="Q26" i="50"/>
  <c r="AR14" i="50"/>
  <c r="Y31" i="50"/>
  <c r="AA51" i="50"/>
  <c r="X38" i="50"/>
  <c r="S34" i="50"/>
  <c r="R30" i="50"/>
  <c r="BB19" i="50"/>
  <c r="R26" i="50"/>
  <c r="AE13" i="50"/>
  <c r="T50" i="50"/>
  <c r="Z42" i="50"/>
  <c r="AV33" i="50"/>
  <c r="AQ43" i="50"/>
  <c r="AL45" i="50"/>
  <c r="AV18" i="50"/>
  <c r="AF47" i="50"/>
  <c r="AC40" i="50"/>
  <c r="AC48" i="50"/>
  <c r="X40" i="50"/>
  <c r="T39" i="50"/>
  <c r="Q22" i="50"/>
  <c r="AU25" i="50"/>
  <c r="AF26" i="50"/>
  <c r="AT25" i="50"/>
  <c r="P22" i="50"/>
  <c r="AM38" i="50"/>
  <c r="AR34" i="50"/>
  <c r="AX17" i="50"/>
  <c r="AV47" i="50"/>
  <c r="AK37" i="50"/>
  <c r="T25" i="50"/>
  <c r="N45" i="50"/>
  <c r="N34" i="50"/>
  <c r="AC37" i="50"/>
  <c r="AX33" i="50"/>
  <c r="AT33" i="50"/>
  <c r="M36" i="50"/>
  <c r="AP31" i="50"/>
  <c r="AR43" i="50"/>
  <c r="O24" i="50"/>
  <c r="AJ43" i="50"/>
  <c r="AG40" i="50"/>
  <c r="AF42" i="50"/>
  <c r="S5" i="50"/>
  <c r="AJ30" i="50"/>
  <c r="AC13" i="50"/>
  <c r="AP18" i="50"/>
  <c r="T35" i="50"/>
  <c r="AO31" i="50"/>
  <c r="AW42" i="50"/>
  <c r="AD50" i="50"/>
  <c r="AB41" i="50"/>
  <c r="BA27" i="50"/>
  <c r="AZ40" i="50"/>
  <c r="L49" i="50"/>
  <c r="AD35" i="50"/>
  <c r="AY18" i="50"/>
  <c r="AG45" i="50"/>
  <c r="AS17" i="50"/>
  <c r="AC5" i="50"/>
  <c r="AE17" i="50"/>
  <c r="AS41" i="50"/>
  <c r="P12" i="50"/>
  <c r="AN28" i="50"/>
  <c r="AV34" i="50"/>
  <c r="AH48" i="50"/>
  <c r="AD27" i="50"/>
  <c r="V20" i="50"/>
  <c r="AM39" i="50"/>
  <c r="BA51" i="50"/>
  <c r="AP29" i="50"/>
  <c r="AR37" i="50"/>
  <c r="BB12" i="50"/>
  <c r="AM30" i="50"/>
  <c r="BB14" i="50"/>
  <c r="AR48" i="50"/>
  <c r="Q13" i="50"/>
  <c r="AB26" i="50"/>
  <c r="V37" i="50"/>
  <c r="BB30" i="50"/>
  <c r="O34" i="50"/>
  <c r="AB39" i="50"/>
  <c r="AO4" i="50"/>
  <c r="Y45" i="50"/>
  <c r="AD46" i="50"/>
  <c r="AR45" i="50"/>
  <c r="AM40" i="50"/>
  <c r="AN36" i="50"/>
  <c r="L52" i="50"/>
  <c r="W49" i="50"/>
  <c r="U5" i="50"/>
  <c r="R44" i="50"/>
  <c r="Q24" i="50"/>
  <c r="AT28" i="50"/>
  <c r="AU46" i="50"/>
  <c r="AC50" i="50"/>
  <c r="F52" i="50" l="1"/>
  <c r="F49" i="50"/>
  <c r="F27" i="50"/>
  <c r="F48" i="50"/>
  <c r="F47" i="50"/>
  <c r="F41" i="50"/>
  <c r="F51" i="50"/>
  <c r="F29" i="50"/>
  <c r="F38" i="50"/>
  <c r="F43" i="50"/>
  <c r="F45" i="50"/>
  <c r="F31" i="50"/>
  <c r="K4" i="50"/>
  <c r="F1" i="50" s="1"/>
  <c r="F35" i="50"/>
  <c r="F20" i="50"/>
  <c r="F5" i="50"/>
  <c r="F44" i="50"/>
  <c r="F22" i="50"/>
  <c r="F12" i="50"/>
  <c r="F18" i="50"/>
  <c r="F37" i="50"/>
  <c r="F25" i="50"/>
  <c r="F15" i="50"/>
  <c r="F23" i="50"/>
  <c r="F16" i="50"/>
  <c r="F28" i="50"/>
  <c r="F13" i="50"/>
  <c r="F39" i="50"/>
  <c r="F33" i="50"/>
  <c r="F17" i="50"/>
  <c r="F14" i="50"/>
  <c r="F30" i="50"/>
  <c r="F21" i="50"/>
  <c r="F24" i="50"/>
  <c r="F50" i="50"/>
  <c r="F46" i="50"/>
  <c r="F42" i="50"/>
  <c r="F36" i="50"/>
  <c r="F34" i="50"/>
  <c r="F40" i="50"/>
  <c r="F26" i="50"/>
  <c r="F32" i="50"/>
  <c r="F19" i="50"/>
  <c r="AI4" i="150"/>
  <c r="AI4" i="4"/>
  <c r="AI4" i="1"/>
  <c r="AK12" i="150" l="1"/>
  <c r="O12" i="150" s="1"/>
  <c r="A12" i="150" s="1"/>
  <c r="J47" i="50"/>
  <c r="AK8" i="150"/>
  <c r="N8" i="150" s="1"/>
  <c r="J46" i="50"/>
  <c r="AK7" i="150"/>
  <c r="AK9" i="150"/>
  <c r="O9" i="150" s="1"/>
  <c r="A9" i="150" s="1"/>
  <c r="AK11" i="150"/>
  <c r="O11" i="150" s="1"/>
  <c r="A11" i="150" s="1"/>
  <c r="AK6" i="150"/>
  <c r="N6" i="150" s="1"/>
  <c r="J49" i="50"/>
  <c r="AK10" i="150"/>
  <c r="O10" i="150" s="1"/>
  <c r="A10" i="150" s="1"/>
  <c r="J44" i="50"/>
  <c r="AK5" i="150"/>
  <c r="N5" i="150" s="1"/>
  <c r="AK13" i="150"/>
  <c r="O13" i="150" s="1"/>
  <c r="A13" i="150" s="1"/>
  <c r="J32" i="50"/>
  <c r="AK18" i="4"/>
  <c r="AK8" i="4"/>
  <c r="O8" i="4" s="1"/>
  <c r="A8" i="4" s="1"/>
  <c r="J22" i="50"/>
  <c r="AK15" i="4"/>
  <c r="N15" i="4" s="1"/>
  <c r="AK23" i="4"/>
  <c r="O23" i="4" s="1"/>
  <c r="A23" i="4" s="1"/>
  <c r="J21" i="50"/>
  <c r="AK14" i="4"/>
  <c r="N14" i="4" s="1"/>
  <c r="AK9" i="4"/>
  <c r="O9" i="4" s="1"/>
  <c r="A9" i="4" s="1"/>
  <c r="AK21" i="4"/>
  <c r="O21" i="4" s="1"/>
  <c r="A21" i="4" s="1"/>
  <c r="H15" i="50"/>
  <c r="AK7" i="4"/>
  <c r="N7" i="4" s="1"/>
  <c r="H17" i="50"/>
  <c r="AK5" i="4"/>
  <c r="O5" i="4" s="1"/>
  <c r="H20" i="50"/>
  <c r="AK16" i="4"/>
  <c r="O16" i="4" s="1"/>
  <c r="A16" i="4" s="1"/>
  <c r="AK19" i="4"/>
  <c r="O19" i="4" s="1"/>
  <c r="A19" i="4" s="1"/>
  <c r="J18" i="50"/>
  <c r="AK17" i="4"/>
  <c r="N17" i="4" s="1"/>
  <c r="J31" i="50"/>
  <c r="AK20" i="4"/>
  <c r="O20" i="4" s="1"/>
  <c r="A20" i="4" s="1"/>
  <c r="H27" i="50"/>
  <c r="AK11" i="4"/>
  <c r="O11" i="4" s="1"/>
  <c r="A11" i="4" s="1"/>
  <c r="J19" i="50"/>
  <c r="AK13" i="4"/>
  <c r="O13" i="4" s="1"/>
  <c r="A13" i="4" s="1"/>
  <c r="AK9" i="1"/>
  <c r="O9" i="1" s="1"/>
  <c r="A9" i="1" s="1"/>
  <c r="J29" i="50"/>
  <c r="AK21" i="1"/>
  <c r="O21" i="1" s="1"/>
  <c r="A21" i="1" s="1"/>
  <c r="H24" i="50"/>
  <c r="AK8" i="1"/>
  <c r="AK25" i="1"/>
  <c r="O25" i="1" s="1"/>
  <c r="A25" i="1" s="1"/>
  <c r="J25" i="50"/>
  <c r="AK13" i="1"/>
  <c r="AK24" i="1"/>
  <c r="O24" i="1" s="1"/>
  <c r="A24" i="1" s="1"/>
  <c r="J41" i="50"/>
  <c r="AK28" i="1"/>
  <c r="H38" i="50"/>
  <c r="AK27" i="1"/>
  <c r="N27" i="1" s="1"/>
  <c r="J42" i="50"/>
  <c r="AK29" i="1"/>
  <c r="O29" i="1" s="1"/>
  <c r="A29" i="1" s="1"/>
  <c r="J33" i="50"/>
  <c r="AK30" i="1"/>
  <c r="H37" i="50"/>
  <c r="AK26" i="1"/>
  <c r="O26" i="1" s="1"/>
  <c r="A26" i="1" s="1"/>
  <c r="H26" i="50"/>
  <c r="AK18" i="1"/>
  <c r="O18" i="1" s="1"/>
  <c r="A18" i="1" s="1"/>
  <c r="J30" i="50"/>
  <c r="AK15" i="137"/>
  <c r="J5" i="50"/>
  <c r="AK5" i="137"/>
  <c r="AK11" i="137"/>
  <c r="O11" i="137" s="1"/>
  <c r="A11" i="137" s="1"/>
  <c r="AK12" i="137"/>
  <c r="O12" i="137" s="1"/>
  <c r="A12" i="137" s="1"/>
  <c r="H13" i="50"/>
  <c r="AK14" i="137"/>
  <c r="H12" i="50"/>
  <c r="AK13" i="137"/>
  <c r="O13" i="137" s="1"/>
  <c r="A13" i="137" s="1"/>
  <c r="J37" i="50"/>
  <c r="H46" i="50"/>
  <c r="H49" i="50"/>
  <c r="H31" i="50"/>
  <c r="H48" i="50"/>
  <c r="H18" i="50"/>
  <c r="J48" i="50"/>
  <c r="H39" i="50"/>
  <c r="J43" i="50"/>
  <c r="H43" i="50"/>
  <c r="J15" i="50"/>
  <c r="J39" i="50"/>
  <c r="J35" i="50"/>
  <c r="H41" i="50"/>
  <c r="H28" i="50"/>
  <c r="J51" i="50"/>
  <c r="H51" i="50"/>
  <c r="H25" i="50"/>
  <c r="H47" i="50"/>
  <c r="J23" i="50"/>
  <c r="H29" i="50"/>
  <c r="J13" i="50"/>
  <c r="H19" i="50"/>
  <c r="H34" i="50"/>
  <c r="J14" i="50"/>
  <c r="J24" i="50"/>
  <c r="J20" i="50"/>
  <c r="H36" i="50"/>
  <c r="F4" i="50"/>
  <c r="J17" i="50"/>
  <c r="H22" i="50"/>
  <c r="H32" i="50"/>
  <c r="J36" i="50"/>
  <c r="J50" i="50"/>
  <c r="H23" i="50"/>
  <c r="J38" i="50"/>
  <c r="H40" i="50"/>
  <c r="H16" i="50"/>
  <c r="H30" i="50"/>
  <c r="H44" i="50"/>
  <c r="H21" i="50"/>
  <c r="J40" i="50"/>
  <c r="H33" i="50"/>
  <c r="H5" i="50"/>
  <c r="H42" i="50"/>
  <c r="J26" i="50"/>
  <c r="H52" i="50"/>
  <c r="J12" i="50"/>
  <c r="H45" i="50"/>
  <c r="J16" i="50"/>
  <c r="J45" i="50"/>
  <c r="J34" i="50"/>
  <c r="H35" i="50"/>
  <c r="J28" i="50"/>
  <c r="H14" i="50"/>
  <c r="J27" i="50"/>
  <c r="H50" i="50"/>
  <c r="J52" i="50"/>
  <c r="AI4" i="137"/>
  <c r="AH4" i="150"/>
  <c r="AH4" i="4"/>
  <c r="AH4" i="137"/>
  <c r="AH4" i="1"/>
  <c r="N11" i="150" l="1"/>
  <c r="N25" i="1"/>
  <c r="N13" i="150"/>
  <c r="N21" i="4"/>
  <c r="N23" i="4"/>
  <c r="N12" i="150"/>
  <c r="N9" i="4"/>
  <c r="N9" i="150"/>
  <c r="N19" i="4"/>
  <c r="N8" i="4"/>
  <c r="O6" i="150"/>
  <c r="A6" i="150" s="1"/>
  <c r="AK4" i="150"/>
  <c r="O7" i="150"/>
  <c r="A7" i="150" s="1"/>
  <c r="AK4" i="4"/>
  <c r="N7" i="150"/>
  <c r="N12" i="137"/>
  <c r="N24" i="1"/>
  <c r="N9" i="1"/>
  <c r="O13" i="1"/>
  <c r="A13" i="1" s="1"/>
  <c r="N30" i="1"/>
  <c r="O28" i="1"/>
  <c r="A28" i="1" s="1"/>
  <c r="AK4" i="1"/>
  <c r="N11" i="137"/>
  <c r="O14" i="137"/>
  <c r="A14" i="137" s="1"/>
  <c r="N5" i="137"/>
  <c r="AK4" i="137"/>
  <c r="N15" i="137"/>
  <c r="O5" i="137"/>
  <c r="A5" i="137" s="1"/>
  <c r="O8" i="150"/>
  <c r="A8" i="150" s="1"/>
  <c r="N11" i="4"/>
  <c r="N10" i="150"/>
  <c r="AJ4" i="150"/>
  <c r="N21" i="1"/>
  <c r="O17" i="4"/>
  <c r="A17" i="4" s="1"/>
  <c r="N20" i="4"/>
  <c r="O30" i="1"/>
  <c r="A30" i="1" s="1"/>
  <c r="N29" i="1"/>
  <c r="O14" i="4"/>
  <c r="A14" i="4" s="1"/>
  <c r="O7" i="4"/>
  <c r="A7" i="4" s="1"/>
  <c r="N28" i="1"/>
  <c r="N13" i="1"/>
  <c r="O27" i="1"/>
  <c r="A27" i="1" s="1"/>
  <c r="N5" i="4"/>
  <c r="O5" i="150"/>
  <c r="AJ4" i="4"/>
  <c r="O15" i="137"/>
  <c r="A15" i="137" s="1"/>
  <c r="O15" i="4"/>
  <c r="A15" i="4" s="1"/>
  <c r="N26" i="1"/>
  <c r="N16" i="4"/>
  <c r="O18" i="4"/>
  <c r="A18" i="4" s="1"/>
  <c r="AJ4" i="1"/>
  <c r="N13" i="4"/>
  <c r="N8" i="1"/>
  <c r="N14" i="137"/>
  <c r="N13" i="137"/>
  <c r="AJ4" i="137"/>
  <c r="N18" i="4"/>
  <c r="N18" i="1"/>
  <c r="H4" i="50"/>
  <c r="O8" i="1"/>
  <c r="A8" i="1" s="1"/>
  <c r="J4" i="50"/>
  <c r="I4" i="50" s="1"/>
  <c r="K14" i="50" s="1"/>
  <c r="A5" i="4"/>
  <c r="N4" i="150" l="1"/>
  <c r="A4" i="1"/>
  <c r="O4" i="150"/>
  <c r="A5" i="150"/>
  <c r="A4" i="150" s="1"/>
  <c r="N4" i="1"/>
  <c r="O4" i="1"/>
  <c r="N4" i="4"/>
  <c r="O4" i="4"/>
  <c r="N4" i="137"/>
  <c r="A4" i="4"/>
  <c r="A4" i="137"/>
  <c r="O4" i="137"/>
  <c r="D1" i="50" l="1"/>
  <c r="E1" i="50"/>
  <c r="I4" i="95"/>
  <c r="I5" i="95" s="1"/>
  <c r="A1" i="50"/>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<sst xmlns="http://schemas.openxmlformats.org/spreadsheetml/2006/main" count="1821" uniqueCount="324">
  <si>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</si>
  <si>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</si>
  <si>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</si>
  <si>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</si>
  <si>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</si>
  <si>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</si>
  <si>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</si>
  <si>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</si>
  <si>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</si>
  <si>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</si>
  <si>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</si>
  <si>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</si>
  <si>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</si>
  <si>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</si>
  <si>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</si>
  <si>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</si>
  <si>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</si>
  <si>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</si>
  <si>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</si>
  <si>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</si>
  <si>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</si>
  <si>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</si>
  <si>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</si>
  <si>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</si>
  <si>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</si>
  <si>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</si>
  <si>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</si>
  <si>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</si>
  <si>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</si>
  <si>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</si>
  <si>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</si>
  <si>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</si>
  <si>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</si>
  <si>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</si>
  <si>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</si>
  <si>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</si>
  <si>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</si>
  <si>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</si>
  <si>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</si>
  <si>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</si>
  <si>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</si>
  <si>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</si>
  <si>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</si>
  <si>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</si>
  <si>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</si>
  <si>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</si>
  <si>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</si>
  <si>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</si>
  <si>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</si>
  <si>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</si>
  <si>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</si>
  <si>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</si>
  <si>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</si>
  <si>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</si>
  <si>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</si>
  <si>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</si>
  <si>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</si>
  <si>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</si>
  <si>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</si>
  <si>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</si>
  <si>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</si>
  <si>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</si>
  <si>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</si>
  <si>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</si>
  <si>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</si>
  <si>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</si>
  <si>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</si>
  <si>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</si>
  <si>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</si>
  <si>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</si>
  <si>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</si>
  <si>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</si>
  <si>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</si>
  <si>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</si>
  <si>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</si>
  <si>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</si>
  <si>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</si>
  <si>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</si>
  <si>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</si>
  <si>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</si>
  <si>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</si>
  <si>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</si>
  <si>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</si>
  <si>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</si>
  <si>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</si>
  <si>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</si>
  <si>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</si>
  <si>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</si>
  <si>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</si>
  <si>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</si>
  <si>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</si>
  <si>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</si>
  <si>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</si>
  <si>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</si>
  <si>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</si>
  <si>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</si>
  <si>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</si>
  <si>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</si>
  <si>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</si>
  <si>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</si>
  <si>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</si>
  <si>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</si>
  <si>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</si>
  <si>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</si>
  <si>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</si>
  <si>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</si>
  <si>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</si>
  <si>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</si>
  <si>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</si>
  <si>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</si>
  <si>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</si>
  <si>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</si>
  <si>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</si>
  <si>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</si>
  <si>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</si>
  <si>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</si>
  <si>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</si>
  <si>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</si>
  <si>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</si>
  <si>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</si>
  <si>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</si>
  <si>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</si>
  <si>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</si>
  <si>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</si>
  <si>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</si>
  <si>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</si>
  <si>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</si>
  <si>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</si>
  <si>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</si>
  <si>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</si>
  <si>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</si>
  <si>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</si>
  <si>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</si>
  <si>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</si>
  <si>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</si>
  <si>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</si>
  <si>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</si>
  <si>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</si>
  <si>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</si>
  <si>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</si>
  <si>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</si>
  <si>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</si>
  <si>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</si>
  <si>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</si>
  <si>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</si>
  <si>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</si>
  <si>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</si>
  <si>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</si>
  <si>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</si>
  <si>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</si>
  <si>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</si>
  <si>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</si>
  <si>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</si>
  <si>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</si>
  <si>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</si>
  <si>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</si>
  <si>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</si>
  <si>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</si>
  <si>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</si>
  <si>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</si>
  <si>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</si>
  <si>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</si>
  <si>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</si>
  <si>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</si>
  <si>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</si>
  <si>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</si>
  <si>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</si>
  <si>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</si>
  <si>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</si>
  <si>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</si>
  <si>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</si>
  <si>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</si>
  <si>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</si>
  <si>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</si>
  <si>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</si>
  <si>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</si>
  <si>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</si>
  <si>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</si>
  <si>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</si>
  <si>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</si>
  <si>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</si>
  <si>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</si>
  <si>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</si>
  <si>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</si>
  <si>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</si>
  <si>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</si>
  <si>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</si>
  <si>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</si>
  <si>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</si>
  <si>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</si>
  <si>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</si>
  <si>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</si>
  <si>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</si>
  <si>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</si>
  <si>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</si>
  <si>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</si>
  <si>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</si>
  <si>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</si>
  <si>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</si>
  <si>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</si>
  <si>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</si>
  <si>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</si>
  <si>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</si>
  <si>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</si>
  <si>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</si>
  <si>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</si>
  <si>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</si>
  <si>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</si>
  <si>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</si>
  <si>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</si>
  <si>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</si>
  <si>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</si>
  <si>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</si>
  <si>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</si>
  <si>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</si>
  <si>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</si>
  <si>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</si>
  <si>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</si>
  <si>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</si>
  <si>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</si>
  <si>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</si>
  <si>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</si>
  <si>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</si>
  <si>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</si>
  <si>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</si>
  <si>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</si>
  <si>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</si>
  <si>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</si>
  <si>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</si>
  <si>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</si>
  <si>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</si>
  <si>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</si>
  <si>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</si>
  <si>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</si>
  <si>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</si>
  <si>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</si>
  <si>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</si>
  <si>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</si>
  <si>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</si>
  <si>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</si>
  <si>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</si>
  <si>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</si>
  <si>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</si>
  <si>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</si>
  <si>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</si>
  <si>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</si>
  <si>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</si>
  <si>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</si>
  <si>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</si>
  <si>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</si>
  <si>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</si>
  <si>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</si>
  <si>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</si>
  <si>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</si>
  <si>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</si>
  <si>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</si>
  <si>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</si>
  <si>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</si>
  <si>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</si>
  <si>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</si>
  <si>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</si>
  <si>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</si>
  <si>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</si>
  <si>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</si>
  <si>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</si>
  <si>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</si>
  <si>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</si>
  <si>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</si>
  <si>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</si>
  <si>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</si>
  <si>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</si>
  <si>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</si>
  <si>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</si>
  <si>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</si>
  <si>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</si>
  <si>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</si>
  <si>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</si>
  <si>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</si>
  <si>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</si>
  <si>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</si>
  <si>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</si>
  <si>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</si>
  <si>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</si>
  <si>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</si>
  <si>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</si>
  <si>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</si>
  <si>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</si>
  <si>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</si>
  <si>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</si>
  <si>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</si>
  <si>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</si>
  <si>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</si>
  <si>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</si>
  <si>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</si>
  <si>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</si>
  <si>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</si>
  <si>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</si>
  <si>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</si>
  <si>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</si>
  <si>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</si>
  <si>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</si>
  <si>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</si>
  <si>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</si>
  <si>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</si>
  <si>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</si>
  <si>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</si>
  <si>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</si>
  <si>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</si>
  <si>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</si>
  <si>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</si>
  <si>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</si>
  <si>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Cô Bé</t>
  </si>
  <si>
    <t>Chênh lệch giá</t>
  </si>
  <si>
    <t>KH lẻ</t>
  </si>
  <si>
    <t>Dì Luận</t>
  </si>
  <si>
    <t>Dì Nguyệt</t>
  </si>
  <si>
    <t>Chú An</t>
  </si>
  <si>
    <t>Chị Tuyền</t>
  </si>
  <si>
    <t>Chị Ngà</t>
  </si>
  <si>
    <t>Hà</t>
  </si>
  <si>
    <t>TH Tịnh Lan</t>
  </si>
  <si>
    <t>Chị Sương</t>
  </si>
  <si>
    <t>Dì Tư</t>
  </si>
  <si>
    <t>Bác Gái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</si>
</sst>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xf numFmtId="41" fontId="0" fillId="22" borderId="0" xfId="0" applyNumberFormat="1" applyFill="1"/>
  </cellXfs>
  <cellStyles count="3">
    <cellStyle name="Comma [0]" xfId="1" builtinId="6"/>
    <cellStyle name="Normal" xfId="0" builtinId="0"/>
    <cellStyle name="Percent" xfId="2" builtinId="5"/>
  </cellStyles>
  <dxfs count="78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780"/>
      <tableStyleElement type="headerRow" dxfId="77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3409" name="Button 1" hidden="1">
              <a:extLst>
                <a:ext uri="{63B3BB69-23CF-44E3-9099-C40C66FF867C}">
                  <a14:compatExt spid="_x0000_s1553409"/>
                </a:ext>
                <a:ext uri="{FF2B5EF4-FFF2-40B4-BE49-F238E27FC236}">
                  <a16:creationId xmlns:a16="http://schemas.microsoft.com/office/drawing/2014/main" id="{B56A94D3-2897-40D2-99C5-B20BFA7B28B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2385" name="Button 1" hidden="1">
              <a:extLst>
                <a:ext uri="{63B3BB69-23CF-44E3-9099-C40C66FF867C}">
                  <a14:compatExt spid="_x0000_s1552385"/>
                </a:ext>
                <a:ext uri="{FF2B5EF4-FFF2-40B4-BE49-F238E27FC236}">
                  <a16:creationId xmlns:a16="http://schemas.microsoft.com/office/drawing/2014/main" id="{0B744EA7-0204-4B59-A17E-8E8C165DF03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1361" name="Button 1" hidden="1">
              <a:extLst>
                <a:ext uri="{63B3BB69-23CF-44E3-9099-C40C66FF867C}">
                  <a14:compatExt spid="_x0000_s1551361"/>
                </a:ext>
                <a:ext uri="{FF2B5EF4-FFF2-40B4-BE49-F238E27FC236}">
                  <a16:creationId xmlns:a16="http://schemas.microsoft.com/office/drawing/2014/main" id="{D0DFF47D-28CB-4331-9EAA-E8E9D0309B9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0337" name="Button 1" hidden="1">
              <a:extLst>
                <a:ext uri="{63B3BB69-23CF-44E3-9099-C40C66FF867C}">
                  <a14:compatExt spid="_x0000_s1550337"/>
                </a:ext>
                <a:ext uri="{FF2B5EF4-FFF2-40B4-BE49-F238E27FC236}">
                  <a16:creationId xmlns:a16="http://schemas.microsoft.com/office/drawing/2014/main" id="{4561ABCB-E297-4A06-9274-C031363BE36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9313" name="Button 1" hidden="1">
              <a:extLst>
                <a:ext uri="{63B3BB69-23CF-44E3-9099-C40C66FF867C}">
                  <a14:compatExt spid="_x0000_s1549313"/>
                </a:ext>
                <a:ext uri="{FF2B5EF4-FFF2-40B4-BE49-F238E27FC236}">
                  <a16:creationId xmlns:a16="http://schemas.microsoft.com/office/drawing/2014/main" id="{05AFEAC2-0E9B-4381-8EF3-664366F1464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8289" name="Button 1" hidden="1">
              <a:extLst>
                <a:ext uri="{63B3BB69-23CF-44E3-9099-C40C66FF867C}">
                  <a14:compatExt spid="_x0000_s1548289"/>
                </a:ext>
                <a:ext uri="{FF2B5EF4-FFF2-40B4-BE49-F238E27FC236}">
                  <a16:creationId xmlns:a16="http://schemas.microsoft.com/office/drawing/2014/main" id="{C2A0988F-CDD3-416A-99F9-7E768A4FCF9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7265" name="Button 1" hidden="1">
              <a:extLst>
                <a:ext uri="{63B3BB69-23CF-44E3-9099-C40C66FF867C}">
                  <a14:compatExt spid="_x0000_s1547265"/>
                </a:ext>
                <a:ext uri="{FF2B5EF4-FFF2-40B4-BE49-F238E27FC236}">
                  <a16:creationId xmlns:a16="http://schemas.microsoft.com/office/drawing/2014/main" id="{53B09208-BF68-4C30-A50A-4BD2CEA6147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6241" name="Button 1" hidden="1">
              <a:extLst>
                <a:ext uri="{63B3BB69-23CF-44E3-9099-C40C66FF867C}">
                  <a14:compatExt spid="_x0000_s1546241"/>
                </a:ext>
                <a:ext uri="{FF2B5EF4-FFF2-40B4-BE49-F238E27FC236}">
                  <a16:creationId xmlns:a16="http://schemas.microsoft.com/office/drawing/2014/main" id="{2AC3CD15-34D6-4C81-9954-8218CA20010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5217" name="Button 1" hidden="1">
              <a:extLst>
                <a:ext uri="{63B3BB69-23CF-44E3-9099-C40C66FF867C}">
                  <a14:compatExt spid="_x0000_s1545217"/>
                </a:ext>
                <a:ext uri="{FF2B5EF4-FFF2-40B4-BE49-F238E27FC236}">
                  <a16:creationId xmlns:a16="http://schemas.microsoft.com/office/drawing/2014/main" id="{1756DB83-6771-442D-9DB6-0BF00DD707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4193" name="Button 1" hidden="1">
              <a:extLst>
                <a:ext uri="{63B3BB69-23CF-44E3-9099-C40C66FF867C}">
                  <a14:compatExt spid="_x0000_s1544193"/>
                </a:ext>
                <a:ext uri="{FF2B5EF4-FFF2-40B4-BE49-F238E27FC236}">
                  <a16:creationId xmlns:a16="http://schemas.microsoft.com/office/drawing/2014/main" id="{FDBF28A5-202D-4448-A096-E13CA148D24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3169" name="Button 1" hidden="1">
              <a:extLst>
                <a:ext uri="{63B3BB69-23CF-44E3-9099-C40C66FF867C}">
                  <a14:compatExt spid="_x0000_s1543169"/>
                </a:ext>
                <a:ext uri="{FF2B5EF4-FFF2-40B4-BE49-F238E27FC236}">
                  <a16:creationId xmlns:a16="http://schemas.microsoft.com/office/drawing/2014/main" id="{5B7A9CB8-4220-401F-9A9F-58906DD4E7F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2145" name="Button 1" hidden="1">
              <a:extLst>
                <a:ext uri="{63B3BB69-23CF-44E3-9099-C40C66FF867C}">
                  <a14:compatExt spid="_x0000_s1542145"/>
                </a:ext>
                <a:ext uri="{FF2B5EF4-FFF2-40B4-BE49-F238E27FC236}">
                  <a16:creationId xmlns:a16="http://schemas.microsoft.com/office/drawing/2014/main" id="{DCD788E9-FA6C-4AF7-A809-423D0AC17C7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1121" name="Button 1" hidden="1">
              <a:extLst>
                <a:ext uri="{63B3BB69-23CF-44E3-9099-C40C66FF867C}">
                  <a14:compatExt spid="_x0000_s1541121"/>
                </a:ext>
                <a:ext uri="{FF2B5EF4-FFF2-40B4-BE49-F238E27FC236}">
                  <a16:creationId xmlns:a16="http://schemas.microsoft.com/office/drawing/2014/main" id="{0E00182D-EDC5-41BB-AC86-923EB53D3A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0097" name="Button 1" hidden="1">
              <a:extLst>
                <a:ext uri="{63B3BB69-23CF-44E3-9099-C40C66FF867C}">
                  <a14:compatExt spid="_x0000_s1540097"/>
                </a:ext>
                <a:ext uri="{FF2B5EF4-FFF2-40B4-BE49-F238E27FC236}">
                  <a16:creationId xmlns:a16="http://schemas.microsoft.com/office/drawing/2014/main" id="{2636C914-36CD-4659-9214-86F076C7675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9073" name="Button 1" hidden="1">
              <a:extLst>
                <a:ext uri="{63B3BB69-23CF-44E3-9099-C40C66FF867C}">
                  <a14:compatExt spid="_x0000_s1539073"/>
                </a:ext>
                <a:ext uri="{FF2B5EF4-FFF2-40B4-BE49-F238E27FC236}">
                  <a16:creationId xmlns:a16="http://schemas.microsoft.com/office/drawing/2014/main" id="{59B09F28-3ABD-43C8-934A-82D027EB52F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8049" name="Button 1" hidden="1">
              <a:extLst>
                <a:ext uri="{63B3BB69-23CF-44E3-9099-C40C66FF867C}">
                  <a14:compatExt spid="_x0000_s1538049"/>
                </a:ext>
                <a:ext uri="{FF2B5EF4-FFF2-40B4-BE49-F238E27FC236}">
                  <a16:creationId xmlns:a16="http://schemas.microsoft.com/office/drawing/2014/main" id="{F1551DAB-3A38-46BD-813F-F44A9BC3599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7025" name="Button 1" hidden="1">
              <a:extLst>
                <a:ext uri="{63B3BB69-23CF-44E3-9099-C40C66FF867C}">
                  <a14:compatExt spid="_x0000_s1537025"/>
                </a:ext>
                <a:ext uri="{FF2B5EF4-FFF2-40B4-BE49-F238E27FC236}">
                  <a16:creationId xmlns:a16="http://schemas.microsoft.com/office/drawing/2014/main" id="{22A08352-B46A-45C9-A311-B69823BE86A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6001" name="Button 1" hidden="1">
              <a:extLst>
                <a:ext uri="{63B3BB69-23CF-44E3-9099-C40C66FF867C}">
                  <a14:compatExt spid="_x0000_s1536001"/>
                </a:ext>
                <a:ext uri="{FF2B5EF4-FFF2-40B4-BE49-F238E27FC236}">
                  <a16:creationId xmlns:a16="http://schemas.microsoft.com/office/drawing/2014/main" id="{7397802E-68A3-446A-A022-03BDBBF71DB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4977" name="Button 1" hidden="1">
              <a:extLst>
                <a:ext uri="{63B3BB69-23CF-44E3-9099-C40C66FF867C}">
                  <a14:compatExt spid="_x0000_s1534977"/>
                </a:ext>
                <a:ext uri="{FF2B5EF4-FFF2-40B4-BE49-F238E27FC236}">
                  <a16:creationId xmlns:a16="http://schemas.microsoft.com/office/drawing/2014/main" id="{17F4BC15-B244-435D-B52A-6B5AA9782B2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3953" name="Button 1" hidden="1">
              <a:extLst>
                <a:ext uri="{63B3BB69-23CF-44E3-9099-C40C66FF867C}">
                  <a14:compatExt spid="_x0000_s1533953"/>
                </a:ext>
                <a:ext uri="{FF2B5EF4-FFF2-40B4-BE49-F238E27FC236}">
                  <a16:creationId xmlns:a16="http://schemas.microsoft.com/office/drawing/2014/main" id="{B9A908E9-E77E-4EC3-9DAB-FB617F1FA7E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2929" name="Button 1" hidden="1">
              <a:extLst>
                <a:ext uri="{63B3BB69-23CF-44E3-9099-C40C66FF867C}">
                  <a14:compatExt spid="_x0000_s1532929"/>
                </a:ext>
                <a:ext uri="{FF2B5EF4-FFF2-40B4-BE49-F238E27FC236}">
                  <a16:creationId xmlns:a16="http://schemas.microsoft.com/office/drawing/2014/main" id="{D329F773-8E20-423C-9D6F-3859D8EF1DA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1905" name="Button 1" hidden="1">
              <a:extLst>
                <a:ext uri="{63B3BB69-23CF-44E3-9099-C40C66FF867C}">
                  <a14:compatExt spid="_x0000_s1531905"/>
                </a:ext>
                <a:ext uri="{FF2B5EF4-FFF2-40B4-BE49-F238E27FC236}">
                  <a16:creationId xmlns:a16="http://schemas.microsoft.com/office/drawing/2014/main" id="{CE91B2F1-073C-4972-B050-F2AA1DC6287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0881" name="Button 1" hidden="1">
              <a:extLst>
                <a:ext uri="{63B3BB69-23CF-44E3-9099-C40C66FF867C}">
                  <a14:compatExt spid="_x0000_s1530881"/>
                </a:ext>
                <a:ext uri="{FF2B5EF4-FFF2-40B4-BE49-F238E27FC236}">
                  <a16:creationId xmlns:a16="http://schemas.microsoft.com/office/drawing/2014/main" id="{38B1BF0A-1082-4751-B9C4-FC7E42F606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9857" name="Button 1" hidden="1">
              <a:extLst>
                <a:ext uri="{63B3BB69-23CF-44E3-9099-C40C66FF867C}">
                  <a14:compatExt spid="_x0000_s1529857"/>
                </a:ext>
                <a:ext uri="{FF2B5EF4-FFF2-40B4-BE49-F238E27FC236}">
                  <a16:creationId xmlns:a16="http://schemas.microsoft.com/office/drawing/2014/main" id="{AED5D200-A4C0-4009-9B13-E4C444F9785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750">
      <pivotArea field="3" type="button" dataOnly="0" labelOnly="1" outline="0" axis="axisRow" fieldPosition="3"/>
    </format>
    <format dxfId="7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74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74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74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74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74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7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74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74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74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73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73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73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73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73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73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73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73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73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73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72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72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72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72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725">
      <pivotArea field="1" type="button" dataOnly="0" labelOnly="1" outline="0" axis="axisRow" fieldPosition="2"/>
    </format>
    <format dxfId="724">
      <pivotArea dataOnly="0" labelOnly="1" outline="0" fieldPosition="0">
        <references count="1">
          <reference field="1" count="0"/>
        </references>
      </pivotArea>
    </format>
    <format dxfId="723">
      <pivotArea field="0" type="button" dataOnly="0" labelOnly="1" outline="0" axis="axisRow" fieldPosition="0"/>
    </format>
    <format dxfId="72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721">
      <pivotArea dataOnly="0" labelOnly="1" grandRow="1" outline="0" fieldPosition="0"/>
    </format>
    <format dxfId="72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719">
      <pivotArea dataOnly="0" labelOnly="1" grandRow="1" outline="0" fieldPosition="0"/>
    </format>
    <format dxfId="718">
      <pivotArea field="2" type="button" dataOnly="0" labelOnly="1" outline="0" axis="axisRow" fieldPosition="1"/>
    </format>
    <format dxfId="717">
      <pivotArea type="all" dataOnly="0" outline="0" fieldPosition="0"/>
    </format>
    <format dxfId="716">
      <pivotArea field="0" type="button" dataOnly="0" labelOnly="1" outline="0" axis="axisRow" fieldPosition="0"/>
    </format>
    <format dxfId="715">
      <pivotArea field="2" type="button" dataOnly="0" labelOnly="1" outline="0" axis="axisRow" fieldPosition="1"/>
    </format>
    <format dxfId="714">
      <pivotArea field="1" type="button" dataOnly="0" labelOnly="1" outline="0" axis="axisRow" fieldPosition="2"/>
    </format>
    <format dxfId="713">
      <pivotArea field="3" type="button" dataOnly="0" labelOnly="1" outline="0" axis="axisRow" fieldPosition="3"/>
    </format>
    <format dxfId="712">
      <pivotArea field="0" type="button" dataOnly="0" labelOnly="1" outline="0" axis="axisRow" fieldPosition="0"/>
    </format>
    <format dxfId="711">
      <pivotArea field="2" type="button" dataOnly="0" labelOnly="1" outline="0" axis="axisRow" fieldPosition="1"/>
    </format>
    <format dxfId="710">
      <pivotArea field="1" type="button" dataOnly="0" labelOnly="1" outline="0" axis="axisRow" fieldPosition="2"/>
    </format>
    <format dxfId="709">
      <pivotArea field="3" type="button" dataOnly="0" labelOnly="1" outline="0" axis="axisRow" fieldPosition="3"/>
    </format>
    <format dxfId="708">
      <pivotArea field="0" type="button" dataOnly="0" labelOnly="1" outline="0" axis="axisRow" fieldPosition="0"/>
    </format>
    <format dxfId="707">
      <pivotArea field="2" type="button" dataOnly="0" labelOnly="1" outline="0" axis="axisRow" fieldPosition="1"/>
    </format>
    <format dxfId="706">
      <pivotArea dataOnly="0" labelOnly="1" outline="0" fieldPosition="0">
        <references count="3">
          <reference field="0" count="1" selected="0">
            <x v="4"/>
          </reference>
          <reference field="1" count="1">
            <x v="2"/>
          </reference>
          <reference field="2" count="1" selected="0">
            <x v="4"/>
          </reference>
        </references>
      </pivotArea>
    </format>
    <format dxfId="705">
      <pivotArea dataOnly="0" labelOnly="1" outline="0" fieldPosition="0">
        <references count="3">
          <reference field="0" count="1" selected="0">
            <x v="5"/>
          </reference>
          <reference field="1" count="1">
            <x v="8"/>
          </reference>
          <reference field="2" count="1" selected="0">
            <x v="5"/>
          </reference>
        </references>
      </pivotArea>
    </format>
    <format dxfId="704">
      <pivotArea dataOnly="0" labelOnly="1" outline="0" fieldPosition="0">
        <references count="3">
          <reference field="0" count="1" selected="0">
            <x v="8"/>
          </reference>
          <reference field="1" count="1">
            <x v="7"/>
          </reference>
          <reference field="2" count="1" selected="0">
            <x v="8"/>
          </reference>
        </references>
      </pivotArea>
    </format>
    <format dxfId="703">
      <pivotArea dataOnly="0" labelOnly="1" outline="0" fieldPosition="0">
        <references count="3">
          <reference field="0" count="1" selected="0">
            <x v="10"/>
          </reference>
          <reference field="1" count="1">
            <x v="13"/>
          </reference>
          <reference field="2" count="1" selected="0">
            <x v="10"/>
          </reference>
        </references>
      </pivotArea>
    </format>
    <format dxfId="702">
      <pivotArea dataOnly="0" labelOnly="1" outline="0" fieldPosition="0">
        <references count="3">
          <reference field="0" count="1" selected="0">
            <x v="11"/>
          </reference>
          <reference field="1" count="1">
            <x v="14"/>
          </reference>
          <reference field="2" count="1" selected="0">
            <x v="11"/>
          </reference>
        </references>
      </pivotArea>
    </format>
    <format dxfId="701">
      <pivotArea dataOnly="0" labelOnly="1" outline="0" fieldPosition="0">
        <references count="3">
          <reference field="0" count="1" selected="0">
            <x v="12"/>
          </reference>
          <reference field="1" count="1">
            <x v="15"/>
          </reference>
          <reference field="2" count="1" selected="0">
            <x v="12"/>
          </reference>
        </references>
      </pivotArea>
    </format>
    <format dxfId="700">
      <pivotArea dataOnly="0" labelOnly="1" outline="0" fieldPosition="0">
        <references count="3">
          <reference field="0" count="1" selected="0">
            <x v="13"/>
          </reference>
          <reference field="1" count="1">
            <x v="16"/>
          </reference>
          <reference field="2" count="1" selected="0">
            <x v="13"/>
          </reference>
        </references>
      </pivotArea>
    </format>
    <format dxfId="699">
      <pivotArea dataOnly="0" labelOnly="1" outline="0" fieldPosition="0">
        <references count="3">
          <reference field="0" count="1" selected="0">
            <x v="14"/>
          </reference>
          <reference field="1" count="1">
            <x v="17"/>
          </reference>
          <reference field="2" count="1" selected="0">
            <x v="14"/>
          </reference>
        </references>
      </pivotArea>
    </format>
    <format dxfId="698">
      <pivotArea dataOnly="0" labelOnly="1" outline="0" fieldPosition="0">
        <references count="3">
          <reference field="0" count="1" selected="0">
            <x v="15"/>
          </reference>
          <reference field="1" count="1">
            <x v="10"/>
          </reference>
          <reference field="2" count="1" selected="0">
            <x v="15"/>
          </reference>
        </references>
      </pivotArea>
    </format>
    <format dxfId="697">
      <pivotArea dataOnly="0" labelOnly="1" outline="0" fieldPosition="0">
        <references count="3">
          <reference field="0" count="1" selected="0">
            <x v="16"/>
          </reference>
          <reference field="1" count="1">
            <x v="11"/>
          </reference>
          <reference field="2" count="1" selected="0">
            <x v="16"/>
          </reference>
        </references>
      </pivotArea>
    </format>
    <format dxfId="696">
      <pivotArea dataOnly="0" labelOnly="1" outline="0" fieldPosition="0">
        <references count="3">
          <reference field="0" count="1" selected="0">
            <x v="17"/>
          </reference>
          <reference field="1" count="1">
            <x v="3"/>
          </reference>
          <reference field="2" count="1" selected="0">
            <x v="17"/>
          </reference>
        </references>
      </pivotArea>
    </format>
    <format dxfId="695">
      <pivotArea dataOnly="0" labelOnly="1" outline="0" fieldPosition="0">
        <references count="3">
          <reference field="0" count="1" selected="0">
            <x v="20"/>
          </reference>
          <reference field="1" count="1">
            <x v="18"/>
          </reference>
          <reference field="2" count="1" selected="0">
            <x v="20"/>
          </reference>
        </references>
      </pivotArea>
    </format>
    <format dxfId="694">
      <pivotArea dataOnly="0" labelOnly="1" outline="0" fieldPosition="0">
        <references count="3">
          <reference field="0" count="1" selected="0">
            <x v="25"/>
          </reference>
          <reference field="1" count="1">
            <x v="1"/>
          </reference>
          <reference field="2" count="1" selected="0">
            <x v="25"/>
          </reference>
        </references>
      </pivotArea>
    </format>
    <format dxfId="69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9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9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9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8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8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8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8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8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8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8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8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8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80">
      <pivotArea dataOnly="0" labelOnly="1" outline="0" fieldPosition="0">
        <references count="2">
          <reference field="0" count="1" selected="0">
            <x v="0"/>
          </reference>
          <reference field="2" count="1">
            <x v="0"/>
          </reference>
        </references>
      </pivotArea>
    </format>
    <format dxfId="679">
      <pivotArea dataOnly="0" labelOnly="1" outline="0" fieldPosition="0">
        <references count="2">
          <reference field="0" count="1" selected="0">
            <x v="1"/>
          </reference>
          <reference field="2" count="1">
            <x v="1"/>
          </reference>
        </references>
      </pivotArea>
    </format>
    <format dxfId="678">
      <pivotArea dataOnly="0" labelOnly="1" outline="0" fieldPosition="0">
        <references count="2">
          <reference field="0" count="1" selected="0">
            <x v="2"/>
          </reference>
          <reference field="2" count="1">
            <x v="2"/>
          </reference>
        </references>
      </pivotArea>
    </format>
    <format dxfId="677">
      <pivotArea dataOnly="0" labelOnly="1" outline="0" fieldPosition="0">
        <references count="2">
          <reference field="0" count="1" selected="0">
            <x v="3"/>
          </reference>
          <reference field="2" count="1">
            <x v="3"/>
          </reference>
        </references>
      </pivotArea>
    </format>
    <format dxfId="676">
      <pivotArea dataOnly="0" labelOnly="1" outline="0" fieldPosition="0">
        <references count="2">
          <reference field="0" count="1" selected="0">
            <x v="4"/>
          </reference>
          <reference field="2" count="1">
            <x v="4"/>
          </reference>
        </references>
      </pivotArea>
    </format>
    <format dxfId="675">
      <pivotArea dataOnly="0" labelOnly="1" outline="0" fieldPosition="0">
        <references count="2">
          <reference field="0" count="1" selected="0">
            <x v="5"/>
          </reference>
          <reference field="2" count="1">
            <x v="5"/>
          </reference>
        </references>
      </pivotArea>
    </format>
    <format dxfId="674">
      <pivotArea dataOnly="0" labelOnly="1" outline="0" fieldPosition="0">
        <references count="2">
          <reference field="0" count="1" selected="0">
            <x v="6"/>
          </reference>
          <reference field="2" count="1">
            <x v="6"/>
          </reference>
        </references>
      </pivotArea>
    </format>
    <format dxfId="673">
      <pivotArea dataOnly="0" labelOnly="1" outline="0" fieldPosition="0">
        <references count="2">
          <reference field="0" count="1" selected="0">
            <x v="7"/>
          </reference>
          <reference field="2" count="1">
            <x v="7"/>
          </reference>
        </references>
      </pivotArea>
    </format>
    <format dxfId="672">
      <pivotArea dataOnly="0" labelOnly="1" outline="0" fieldPosition="0">
        <references count="2">
          <reference field="0" count="1" selected="0">
            <x v="8"/>
          </reference>
          <reference field="2" count="1">
            <x v="8"/>
          </reference>
        </references>
      </pivotArea>
    </format>
    <format dxfId="671">
      <pivotArea dataOnly="0" labelOnly="1" outline="0" fieldPosition="0">
        <references count="2">
          <reference field="0" count="1" selected="0">
            <x v="9"/>
          </reference>
          <reference field="2" count="1">
            <x v="9"/>
          </reference>
        </references>
      </pivotArea>
    </format>
    <format dxfId="670">
      <pivotArea dataOnly="0" labelOnly="1" outline="0" fieldPosition="0">
        <references count="2">
          <reference field="0" count="1" selected="0">
            <x v="10"/>
          </reference>
          <reference field="2" count="1">
            <x v="10"/>
          </reference>
        </references>
      </pivotArea>
    </format>
    <format dxfId="669">
      <pivotArea dataOnly="0" labelOnly="1" outline="0" fieldPosition="0">
        <references count="2">
          <reference field="0" count="1" selected="0">
            <x v="11"/>
          </reference>
          <reference field="2" count="1">
            <x v="11"/>
          </reference>
        </references>
      </pivotArea>
    </format>
    <format dxfId="668">
      <pivotArea dataOnly="0" labelOnly="1" outline="0" fieldPosition="0">
        <references count="2">
          <reference field="0" count="1" selected="0">
            <x v="12"/>
          </reference>
          <reference field="2" count="1">
            <x v="12"/>
          </reference>
        </references>
      </pivotArea>
    </format>
    <format dxfId="667">
      <pivotArea dataOnly="0" labelOnly="1" outline="0" fieldPosition="0">
        <references count="2">
          <reference field="0" count="1" selected="0">
            <x v="13"/>
          </reference>
          <reference field="2" count="1">
            <x v="13"/>
          </reference>
        </references>
      </pivotArea>
    </format>
    <format dxfId="666">
      <pivotArea dataOnly="0" labelOnly="1" outline="0" fieldPosition="0">
        <references count="2">
          <reference field="0" count="1" selected="0">
            <x v="14"/>
          </reference>
          <reference field="2" count="1">
            <x v="14"/>
          </reference>
        </references>
      </pivotArea>
    </format>
    <format dxfId="665">
      <pivotArea dataOnly="0" labelOnly="1" outline="0" fieldPosition="0">
        <references count="2">
          <reference field="0" count="1" selected="0">
            <x v="15"/>
          </reference>
          <reference field="2" count="1">
            <x v="15"/>
          </reference>
        </references>
      </pivotArea>
    </format>
    <format dxfId="664">
      <pivotArea dataOnly="0" labelOnly="1" outline="0" fieldPosition="0">
        <references count="2">
          <reference field="0" count="1" selected="0">
            <x v="16"/>
          </reference>
          <reference field="2" count="1">
            <x v="16"/>
          </reference>
        </references>
      </pivotArea>
    </format>
    <format dxfId="663">
      <pivotArea dataOnly="0" labelOnly="1" outline="0" fieldPosition="0">
        <references count="2">
          <reference field="0" count="1" selected="0">
            <x v="17"/>
          </reference>
          <reference field="2" count="1">
            <x v="17"/>
          </reference>
        </references>
      </pivotArea>
    </format>
    <format dxfId="662">
      <pivotArea dataOnly="0" labelOnly="1" outline="0" fieldPosition="0">
        <references count="2">
          <reference field="0" count="1" selected="0">
            <x v="18"/>
          </reference>
          <reference field="2" count="1">
            <x v="18"/>
          </reference>
        </references>
      </pivotArea>
    </format>
    <format dxfId="661">
      <pivotArea dataOnly="0" labelOnly="1" outline="0" fieldPosition="0">
        <references count="2">
          <reference field="0" count="1" selected="0">
            <x v="19"/>
          </reference>
          <reference field="2" count="1">
            <x v="19"/>
          </reference>
        </references>
      </pivotArea>
    </format>
    <format dxfId="660">
      <pivotArea dataOnly="0" labelOnly="1" outline="0" fieldPosition="0">
        <references count="2">
          <reference field="0" count="1" selected="0">
            <x v="20"/>
          </reference>
          <reference field="2" count="1">
            <x v="20"/>
          </reference>
        </references>
      </pivotArea>
    </format>
    <format dxfId="659">
      <pivotArea dataOnly="0" labelOnly="1" outline="0" fieldPosition="0">
        <references count="2">
          <reference field="0" count="1" selected="0">
            <x v="21"/>
          </reference>
          <reference field="2" count="1">
            <x v="21"/>
          </reference>
        </references>
      </pivotArea>
    </format>
    <format dxfId="658">
      <pivotArea dataOnly="0" labelOnly="1" outline="0" fieldPosition="0">
        <references count="2">
          <reference field="0" count="1" selected="0">
            <x v="22"/>
          </reference>
          <reference field="2" count="1">
            <x v="22"/>
          </reference>
        </references>
      </pivotArea>
    </format>
    <format dxfId="657">
      <pivotArea dataOnly="0" labelOnly="1" outline="0" fieldPosition="0">
        <references count="2">
          <reference field="0" count="1" selected="0">
            <x v="23"/>
          </reference>
          <reference field="2" count="1">
            <x v="23"/>
          </reference>
        </references>
      </pivotArea>
    </format>
    <format dxfId="656">
      <pivotArea dataOnly="0" labelOnly="1" outline="0" fieldPosition="0">
        <references count="2">
          <reference field="0" count="1" selected="0">
            <x v="24"/>
          </reference>
          <reference field="2" count="1">
            <x v="24"/>
          </reference>
        </references>
      </pivotArea>
    </format>
    <format dxfId="655">
      <pivotArea dataOnly="0" labelOnly="1" outline="0" fieldPosition="0">
        <references count="2">
          <reference field="0" count="1" selected="0">
            <x v="25"/>
          </reference>
          <reference field="2" count="1">
            <x v="25"/>
          </reference>
        </references>
      </pivotArea>
    </format>
    <format dxfId="654">
      <pivotArea dataOnly="0" labelOnly="1" outline="0" fieldPosition="0">
        <references count="2">
          <reference field="0" count="1" selected="0">
            <x v="26"/>
          </reference>
          <reference field="2" count="1">
            <x v="26"/>
          </reference>
        </references>
      </pivotArea>
    </format>
    <format dxfId="653">
      <pivotArea dataOnly="0" labelOnly="1" outline="0" fieldPosition="0">
        <references count="2">
          <reference field="0" count="1" selected="0">
            <x v="27"/>
          </reference>
          <reference field="2" count="1">
            <x v="27"/>
          </reference>
        </references>
      </pivotArea>
    </format>
    <format dxfId="652">
      <pivotArea dataOnly="0" labelOnly="1" outline="0" fieldPosition="0">
        <references count="2">
          <reference field="0" count="1" selected="0">
            <x v="28"/>
          </reference>
          <reference field="2" count="1">
            <x v="28"/>
          </reference>
        </references>
      </pivotArea>
    </format>
    <format dxfId="651">
      <pivotArea dataOnly="0" labelOnly="1" outline="0" fieldPosition="0">
        <references count="2">
          <reference field="0" count="1" selected="0">
            <x v="29"/>
          </reference>
          <reference field="2" count="1">
            <x v="29"/>
          </reference>
        </references>
      </pivotArea>
    </format>
    <format dxfId="650">
      <pivotArea dataOnly="0" labelOnly="1" outline="0" fieldPosition="0">
        <references count="2">
          <reference field="0" count="1" selected="0">
            <x v="30"/>
          </reference>
          <reference field="2" count="1">
            <x v="30"/>
          </reference>
        </references>
      </pivotArea>
    </format>
    <format dxfId="649">
      <pivotArea dataOnly="0" labelOnly="1" outline="0" fieldPosition="0">
        <references count="2">
          <reference field="0" count="1" selected="0">
            <x v="31"/>
          </reference>
          <reference field="2" count="1">
            <x v="31"/>
          </reference>
        </references>
      </pivotArea>
    </format>
    <format dxfId="648">
      <pivotArea dataOnly="0" labelOnly="1" outline="0" fieldPosition="0">
        <references count="2">
          <reference field="0" count="1" selected="0">
            <x v="32"/>
          </reference>
          <reference field="2" count="1">
            <x v="32"/>
          </reference>
        </references>
      </pivotArea>
    </format>
    <format dxfId="647">
      <pivotArea dataOnly="0" labelOnly="1" outline="0" fieldPosition="0">
        <references count="2">
          <reference field="0" count="1" selected="0">
            <x v="33"/>
          </reference>
          <reference field="2" count="1">
            <x v="33"/>
          </reference>
        </references>
      </pivotArea>
    </format>
    <format dxfId="646">
      <pivotArea dataOnly="0" labelOnly="1" outline="0" fieldPosition="0">
        <references count="2">
          <reference field="0" count="1" selected="0">
            <x v="34"/>
          </reference>
          <reference field="2" count="1">
            <x v="34"/>
          </reference>
        </references>
      </pivotArea>
    </format>
    <format dxfId="645">
      <pivotArea dataOnly="0" labelOnly="1" outline="0" fieldPosition="0">
        <references count="2">
          <reference field="0" count="1" selected="0">
            <x v="35"/>
          </reference>
          <reference field="2" count="1">
            <x v="35"/>
          </reference>
        </references>
      </pivotArea>
    </format>
    <format dxfId="644">
      <pivotArea dataOnly="0" labelOnly="1" outline="0" fieldPosition="0">
        <references count="2">
          <reference field="0" count="1" selected="0">
            <x v="36"/>
          </reference>
          <reference field="2" count="1">
            <x v="36"/>
          </reference>
        </references>
      </pivotArea>
    </format>
    <format dxfId="643">
      <pivotArea dataOnly="0" labelOnly="1" outline="0" fieldPosition="0">
        <references count="2">
          <reference field="0" count="1" selected="0">
            <x v="37"/>
          </reference>
          <reference field="2" count="1">
            <x v="37"/>
          </reference>
        </references>
      </pivotArea>
    </format>
    <format dxfId="642">
      <pivotArea dataOnly="0" labelOnly="1" outline="0" fieldPosition="0">
        <references count="2">
          <reference field="0" count="1" selected="0">
            <x v="38"/>
          </reference>
          <reference field="2" count="1">
            <x v="38"/>
          </reference>
        </references>
      </pivotArea>
    </format>
    <format dxfId="641">
      <pivotArea dataOnly="0" labelOnly="1" outline="0" fieldPosition="0">
        <references count="2">
          <reference field="0" count="1" selected="0">
            <x v="39"/>
          </reference>
          <reference field="2" count="1">
            <x v="39"/>
          </reference>
        </references>
      </pivotArea>
    </format>
    <format dxfId="640">
      <pivotArea dataOnly="0" labelOnly="1" outline="0" fieldPosition="0">
        <references count="2">
          <reference field="0" count="1" selected="0">
            <x v="40"/>
          </reference>
          <reference field="2" count="1">
            <x v="40"/>
          </reference>
        </references>
      </pivotArea>
    </format>
    <format dxfId="639">
      <pivotArea dataOnly="0" labelOnly="1" outline="0" fieldPosition="0">
        <references count="3">
          <reference field="0" count="1" selected="0">
            <x v="4"/>
          </reference>
          <reference field="1" count="1">
            <x v="2"/>
          </reference>
          <reference field="2" count="1" selected="0">
            <x v="4"/>
          </reference>
        </references>
      </pivotArea>
    </format>
    <format dxfId="638">
      <pivotArea dataOnly="0" labelOnly="1" outline="0" fieldPosition="0">
        <references count="3">
          <reference field="0" count="1" selected="0">
            <x v="5"/>
          </reference>
          <reference field="1" count="1">
            <x v="8"/>
          </reference>
          <reference field="2" count="1" selected="0">
            <x v="5"/>
          </reference>
        </references>
      </pivotArea>
    </format>
    <format dxfId="637">
      <pivotArea dataOnly="0" labelOnly="1" outline="0" fieldPosition="0">
        <references count="3">
          <reference field="0" count="1" selected="0">
            <x v="8"/>
          </reference>
          <reference field="1" count="1">
            <x v="7"/>
          </reference>
          <reference field="2" count="1" selected="0">
            <x v="8"/>
          </reference>
        </references>
      </pivotArea>
    </format>
    <format dxfId="636">
      <pivotArea dataOnly="0" labelOnly="1" outline="0" fieldPosition="0">
        <references count="3">
          <reference field="0" count="1" selected="0">
            <x v="10"/>
          </reference>
          <reference field="1" count="1">
            <x v="13"/>
          </reference>
          <reference field="2" count="1" selected="0">
            <x v="10"/>
          </reference>
        </references>
      </pivotArea>
    </format>
    <format dxfId="635">
      <pivotArea dataOnly="0" labelOnly="1" outline="0" fieldPosition="0">
        <references count="3">
          <reference field="0" count="1" selected="0">
            <x v="11"/>
          </reference>
          <reference field="1" count="1">
            <x v="14"/>
          </reference>
          <reference field="2" count="1" selected="0">
            <x v="11"/>
          </reference>
        </references>
      </pivotArea>
    </format>
    <format dxfId="634">
      <pivotArea dataOnly="0" labelOnly="1" outline="0" fieldPosition="0">
        <references count="3">
          <reference field="0" count="1" selected="0">
            <x v="12"/>
          </reference>
          <reference field="1" count="1">
            <x v="15"/>
          </reference>
          <reference field="2" count="1" selected="0">
            <x v="12"/>
          </reference>
        </references>
      </pivotArea>
    </format>
    <format dxfId="633">
      <pivotArea dataOnly="0" labelOnly="1" outline="0" fieldPosition="0">
        <references count="3">
          <reference field="0" count="1" selected="0">
            <x v="13"/>
          </reference>
          <reference field="1" count="1">
            <x v="16"/>
          </reference>
          <reference field="2" count="1" selected="0">
            <x v="13"/>
          </reference>
        </references>
      </pivotArea>
    </format>
    <format dxfId="632">
      <pivotArea dataOnly="0" labelOnly="1" outline="0" fieldPosition="0">
        <references count="3">
          <reference field="0" count="1" selected="0">
            <x v="14"/>
          </reference>
          <reference field="1" count="1">
            <x v="17"/>
          </reference>
          <reference field="2" count="1" selected="0">
            <x v="14"/>
          </reference>
        </references>
      </pivotArea>
    </format>
    <format dxfId="631">
      <pivotArea dataOnly="0" labelOnly="1" outline="0" fieldPosition="0">
        <references count="3">
          <reference field="0" count="1" selected="0">
            <x v="15"/>
          </reference>
          <reference field="1" count="1">
            <x v="10"/>
          </reference>
          <reference field="2" count="1" selected="0">
            <x v="15"/>
          </reference>
        </references>
      </pivotArea>
    </format>
    <format dxfId="630">
      <pivotArea dataOnly="0" labelOnly="1" outline="0" fieldPosition="0">
        <references count="3">
          <reference field="0" count="1" selected="0">
            <x v="16"/>
          </reference>
          <reference field="1" count="1">
            <x v="11"/>
          </reference>
          <reference field="2" count="1" selected="0">
            <x v="16"/>
          </reference>
        </references>
      </pivotArea>
    </format>
    <format dxfId="629">
      <pivotArea dataOnly="0" labelOnly="1" outline="0" fieldPosition="0">
        <references count="3">
          <reference field="0" count="1" selected="0">
            <x v="17"/>
          </reference>
          <reference field="1" count="1">
            <x v="3"/>
          </reference>
          <reference field="2" count="1" selected="0">
            <x v="17"/>
          </reference>
        </references>
      </pivotArea>
    </format>
    <format dxfId="628">
      <pivotArea dataOnly="0" labelOnly="1" outline="0" fieldPosition="0">
        <references count="3">
          <reference field="0" count="1" selected="0">
            <x v="20"/>
          </reference>
          <reference field="1" count="1">
            <x v="18"/>
          </reference>
          <reference field="2" count="1" selected="0">
            <x v="20"/>
          </reference>
        </references>
      </pivotArea>
    </format>
    <format dxfId="627">
      <pivotArea dataOnly="0" labelOnly="1" outline="0" fieldPosition="0">
        <references count="3">
          <reference field="0" count="1" selected="0">
            <x v="25"/>
          </reference>
          <reference field="1" count="1">
            <x v="1"/>
          </reference>
          <reference field="2" count="1" selected="0">
            <x v="25"/>
          </reference>
        </references>
      </pivotArea>
    </format>
    <format dxfId="62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2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2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2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2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2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2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1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1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1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1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1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14">
      <pivotArea type="all" dataOnly="0" outline="0" fieldPosition="0"/>
    </format>
    <format dxfId="613">
      <pivotArea type="all" dataOnly="0" outline="0" fieldPosition="0"/>
    </format>
    <format dxfId="612">
      <pivotArea type="all" dataOnly="0" outline="0" fieldPosition="0"/>
    </format>
    <format dxfId="611">
      <pivotArea dataOnly="0" labelOnly="1" outline="0" fieldPosition="0">
        <references count="1">
          <reference field="0" count="3">
            <x v="0"/>
            <x v="1"/>
            <x v="2"/>
          </reference>
        </references>
      </pivotArea>
    </format>
    <format dxfId="610">
      <pivotArea dataOnly="0" labelOnly="1" outline="0" fieldPosition="0">
        <references count="2">
          <reference field="0" count="1" selected="0">
            <x v="0"/>
          </reference>
          <reference field="2" count="1">
            <x v="0"/>
          </reference>
        </references>
      </pivotArea>
    </format>
    <format dxfId="609">
      <pivotArea dataOnly="0" labelOnly="1" outline="0" fieldPosition="0">
        <references count="2">
          <reference field="0" count="1" selected="0">
            <x v="1"/>
          </reference>
          <reference field="2" count="1">
            <x v="1"/>
          </reference>
        </references>
      </pivotArea>
    </format>
    <format dxfId="608">
      <pivotArea dataOnly="0" labelOnly="1" outline="0" fieldPosition="0">
        <references count="2">
          <reference field="0" count="1" selected="0">
            <x v="2"/>
          </reference>
          <reference field="2" count="1">
            <x v="2"/>
          </reference>
        </references>
      </pivotArea>
    </format>
    <format dxfId="607">
      <pivotArea dataOnly="0" labelOnly="1" outline="0" fieldPosition="0">
        <references count="1">
          <reference field="1" count="0"/>
        </references>
      </pivotArea>
    </format>
    <format dxfId="606">
      <pivotArea dataOnly="0" labelOnly="1" outline="0" fieldPosition="0">
        <references count="1">
          <reference field="0" count="1">
            <x v="42"/>
          </reference>
        </references>
      </pivotArea>
    </format>
    <format dxfId="605">
      <pivotArea dataOnly="0" labelOnly="1" outline="0" fieldPosition="0">
        <references count="1">
          <reference field="0" count="1">
            <x v="41"/>
          </reference>
        </references>
      </pivotArea>
    </format>
    <format dxfId="604">
      <pivotArea dataOnly="0" labelOnly="1" outline="0" fieldPosition="0">
        <references count="1">
          <reference field="0" count="1">
            <x v="1"/>
          </reference>
        </references>
      </pivotArea>
    </format>
    <format dxfId="603">
      <pivotArea dataOnly="0" labelOnly="1" outline="0" fieldPosition="0">
        <references count="2">
          <reference field="0" count="1" selected="0">
            <x v="1"/>
          </reference>
          <reference field="2" count="1">
            <x v="1"/>
          </reference>
        </references>
      </pivotArea>
    </format>
    <format dxfId="602">
      <pivotArea field="1" type="button" dataOnly="0" labelOnly="1" outline="0" axis="axisRow" fieldPosition="2"/>
    </format>
    <format dxfId="60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3.xml"/><Relationship Id="rId1" Type="http://schemas.openxmlformats.org/officeDocument/2006/relationships/printerSettings" Target="../printerSettings/printerSettings31.bin"/><Relationship Id="rId4" Type="http://schemas.openxmlformats.org/officeDocument/2006/relationships/ctrlProp" Target="../ctrlProps/ctrlProp2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4.xml"/><Relationship Id="rId1" Type="http://schemas.openxmlformats.org/officeDocument/2006/relationships/printerSettings" Target="../printerSettings/printerSettings32.bin"/><Relationship Id="rId4" Type="http://schemas.openxmlformats.org/officeDocument/2006/relationships/ctrlProp" Target="../ctrlProps/ctrlProp2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5.xml"/><Relationship Id="rId1" Type="http://schemas.openxmlformats.org/officeDocument/2006/relationships/printerSettings" Target="../printerSettings/printerSettings33.bin"/><Relationship Id="rId4" Type="http://schemas.openxmlformats.org/officeDocument/2006/relationships/ctrlProp" Target="../ctrlProps/ctrlProp25.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6.xml"/><Relationship Id="rId1" Type="http://schemas.openxmlformats.org/officeDocument/2006/relationships/printerSettings" Target="../printerSettings/printerSettings34.bin"/><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4" t="s">
        <v>269</v>
      </c>
      <c r="W1" s="151">
        <f>SUM(X1:BB1)</f>
        <v>4920</v>
      </c>
      <c r="X1" s="218">
        <v>250</v>
      </c>
      <c r="Y1" s="250">
        <f>COUNTIF(Y4:AA4,"&gt;0")*1000-SUM(Y4:AA4)</f>
        <v>670</v>
      </c>
      <c r="Z1" s="251"/>
      <c r="AA1" s="251"/>
      <c r="AB1" s="250">
        <f t="shared" ref="AB1" si="0">COUNTIF(AB4:AD4,"&gt;0")*1000-SUM(AB4:AD4)</f>
        <v>950</v>
      </c>
      <c r="AC1" s="251"/>
      <c r="AD1" s="251"/>
      <c r="AE1" s="250">
        <f t="shared" ref="AE1" si="1">COUNTIF(AE4:AG4,"&gt;0")*1000-SUM(AE4:AG4)</f>
        <v>700</v>
      </c>
      <c r="AF1" s="251"/>
      <c r="AG1" s="251"/>
      <c r="AH1" s="250">
        <f t="shared" ref="AH1" si="2">COUNTIF(AH4:AJ4,"&gt;0")*1000-SUM(AH4:AJ4)</f>
        <v>650</v>
      </c>
      <c r="AI1" s="251"/>
      <c r="AJ1" s="251"/>
      <c r="AK1" s="250">
        <f t="shared" ref="AK1" si="3">COUNTIF(AK4:AM4,"&gt;0")*1000-SUM(AK4:AM4)</f>
        <v>1000</v>
      </c>
      <c r="AL1" s="251"/>
      <c r="AM1" s="251"/>
      <c r="AN1" s="250">
        <f t="shared" ref="AN1" si="4">COUNTIF(AN4:AP4,"&gt;0")*1000-SUM(AN4:AP4)</f>
        <v>700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4"/>
      <c r="W2" s="151"/>
      <c r="X2" s="106" t="s">
        <v>214</v>
      </c>
      <c r="Y2" s="253" t="s">
        <v>215</v>
      </c>
      <c r="Z2" s="253"/>
      <c r="AA2" s="253"/>
      <c r="AB2" s="252" t="s">
        <v>216</v>
      </c>
      <c r="AC2" s="252"/>
      <c r="AD2" s="252"/>
      <c r="AE2" s="253" t="s">
        <v>217</v>
      </c>
      <c r="AF2" s="253"/>
      <c r="AG2" s="253"/>
      <c r="AH2" s="252" t="s">
        <v>218</v>
      </c>
      <c r="AI2" s="252"/>
      <c r="AJ2" s="252"/>
      <c r="AK2" s="253" t="s">
        <v>219</v>
      </c>
      <c r="AL2" s="253"/>
      <c r="AM2" s="253"/>
      <c r="AN2" s="252" t="s">
        <v>220</v>
      </c>
      <c r="AO2" s="252"/>
      <c r="AP2" s="252"/>
      <c r="AQ2" s="253" t="s">
        <v>268</v>
      </c>
      <c r="AR2" s="253"/>
      <c r="AS2" s="253"/>
      <c r="AT2" s="252" t="s">
        <v>210</v>
      </c>
      <c r="AU2" s="252"/>
      <c r="AV2" s="252"/>
      <c r="AW2" s="253" t="s">
        <v>211</v>
      </c>
      <c r="AX2" s="253"/>
      <c r="AY2" s="253"/>
      <c r="AZ2" s="252" t="s">
        <v>212</v>
      </c>
      <c r="BA2" s="252"/>
      <c r="BB2" s="252"/>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5">
        <v>4200</v>
      </c>
      <c r="Z6" s="255"/>
      <c r="AA6" s="255"/>
      <c r="AB6" s="255">
        <v>4100</v>
      </c>
      <c r="AC6" s="255"/>
      <c r="AD6" s="255"/>
      <c r="AE6" s="255">
        <v>4200</v>
      </c>
      <c r="AF6" s="255"/>
      <c r="AG6" s="255"/>
      <c r="AH6" s="255">
        <v>4100</v>
      </c>
      <c r="AI6" s="255"/>
      <c r="AJ6" s="255"/>
      <c r="AK6" s="255">
        <v>4100</v>
      </c>
      <c r="AL6" s="255"/>
      <c r="AM6" s="255"/>
      <c r="AN6" s="255">
        <v>4000</v>
      </c>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5">
        <f>COUNTIF(Y6,"&gt;0")*5000-Y6</f>
        <v>800</v>
      </c>
      <c r="Z8" s="255"/>
      <c r="AA8" s="255"/>
      <c r="AB8" s="255">
        <f t="shared" ref="AB8" si="12">COUNTIF(AB6,"&gt;0")*5000-AB6</f>
        <v>900</v>
      </c>
      <c r="AC8" s="255"/>
      <c r="AD8" s="255"/>
      <c r="AE8" s="255">
        <f t="shared" ref="AE8" si="13">COUNTIF(AE6,"&gt;0")*5000-AE6</f>
        <v>800</v>
      </c>
      <c r="AF8" s="255"/>
      <c r="AG8" s="255"/>
      <c r="AH8" s="255">
        <f t="shared" ref="AH8" si="14">COUNTIF(AH6,"&gt;0")*5000-AH6</f>
        <v>900</v>
      </c>
      <c r="AI8" s="255"/>
      <c r="AJ8" s="255"/>
      <c r="AK8" s="255">
        <f t="shared" ref="AK8" si="15">COUNTIF(AK6,"&gt;0")*5000-AK6</f>
        <v>900</v>
      </c>
      <c r="AL8" s="255"/>
      <c r="AM8" s="255"/>
      <c r="AN8" s="255">
        <f t="shared" ref="AN8" si="16">COUNTIF(AN6,"&gt;0")*5000-AN6</f>
        <v>1000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49" t="s">
        <v>51</v>
      </c>
      <c r="C1" s="249"/>
      <c r="D1" s="249"/>
      <c r="E1" s="249"/>
      <c r="F1" s="249"/>
      <c r="G1" s="249"/>
      <c r="H1" s="249"/>
      <c r="I1" s="249"/>
      <c r="J1" s="249"/>
      <c r="K1" s="249"/>
      <c r="L1" s="24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776"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J5" sqref="AJ5:AJ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20739.536712680547</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129435</v>
      </c>
      <c r="O4" s="48">
        <f ca="1">SUBTOTAL(9,O5:O15)</f>
        <v>246.5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ca="1" si="0"/>
        <v>16</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f ca="1">SUMIFS('Tổng Đơn'!$F:$F,'Tổng Đơn'!$B:$B,$C5)</f>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8548.5633777484672</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25620</v>
      </c>
      <c r="O6" s="70">
        <f t="shared" ca="1" si="4"/>
        <v>75</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f ca="1">SUMIFS('Tổng Đơn'!$F:$F,'Tổng Đơn'!$B:$B,$C6)</f>
        <v>6</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f ca="1">SUMIFS('Tổng Đơn'!$F:$F,'Tổng Đơn'!$B:$B,$C7)</f>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1781.9683898139961</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3364</v>
      </c>
      <c r="O8" s="70">
        <f t="shared" ca="1" si="4"/>
        <v>17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f ca="1">SUMIFS('Tổng Đơn'!$F:$F,'Tổng Đơn'!$B:$B,$C8)</f>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f ca="1">SUMIFS('Tổng Đơn'!$F:$F,'Tổng Đơn'!$B:$B,$C9)</f>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899.63452689638643</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2279</v>
      </c>
      <c r="O10" s="70">
        <f t="shared" ca="1" si="4"/>
        <v>26</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f ca="1">SUMIFS('Tổng Đơn'!$F:$F,'Tổng Đơn'!$B:$B,$C10)</f>
        <v>3</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1416.6190740268889</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15990</v>
      </c>
      <c r="O11" s="70">
        <f t="shared" ca="1" si="4"/>
        <v>24</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f ca="1">SUMIFS('Tổng Đơn'!$F:$F,'Tổng Đơn'!$B:$B,$C11)</f>
        <v>5</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363.82278661250922</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1305</v>
      </c>
      <c r="O12" s="70">
        <f t="shared" ca="1" si="4"/>
        <v>11</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f ca="1">SUMIFS('Tổng Đơn'!$F:$F,'Tổng Đơn'!$B:$B,$C12)</f>
        <v>1</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f ca="1">SUMIFS('Tổng Đơn'!$F:$F,'Tổng Đơn'!$B:$B,$C13)</f>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f ca="1">SUMIFS('Tổng Đơn'!$F:$F,'Tổng Đơn'!$B:$B,$C14)</f>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6269.5666666666666</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24727.5</v>
      </c>
      <c r="O15" s="70">
        <f t="shared" ca="1" si="4"/>
        <v>63.5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f ca="1">SUMIFS('Tổng Đơn'!$F:$F,'Tổng Đơn'!$B:$B,$C15)</f>
        <v>1</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778" priority="12">
      <formula>($O15/$O15)&lt;=1/4</formula>
    </cfRule>
  </conditionalFormatting>
  <conditionalFormatting sqref="C5:C16">
    <cfRule type="expression" dxfId="777"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H8" activePane="bottomRight" state="frozen"/>
      <selection activeCell="A2" sqref="A2"/>
      <selection pane="topRight" activeCell="R2" sqref="R2"/>
      <selection pane="bottomLeft" activeCell="A5" sqref="A5"/>
      <selection pane="bottomRight" activeCell="AJ8" sqref="AJ8:AJ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9328.9652536596441</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350408</v>
      </c>
      <c r="O4" s="24">
        <f ca="1">SUBTOTAL(9,O5:O103)</f>
        <v>256</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ca="1" si="0"/>
        <v>75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2400.723489889318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14600</v>
      </c>
      <c r="O8" s="67">
        <f t="shared" ca="1" si="9"/>
        <v>78</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f ca="1">SUMIFS('Tổng Đơn'!$F:$F,'Tổng Đơn'!$B:$B,$C8)</f>
        <v>3</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1883.6445843746958</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70560</v>
      </c>
      <c r="O9" s="67">
        <f t="shared" ca="1" si="9"/>
        <v>54</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f ca="1">SUMIFS('Tổng Đơn'!$F:$F,'Tổng Đơn'!$B:$B,$C9)</f>
        <v>10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f>SUMIFS('Tổng Đơn'!$F:$F,'Tổng Đơn'!$B:$B,$C10)</f>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f>SUMIFS('Tổng Đơn'!$F:$F,'Tổng Đơn'!$B:$B,$C11)</f>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f>SUMIFS('Tổng Đơn'!$F:$F,'Tổng Đơn'!$B:$B,$C12)</f>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f ca="1">SUMIFS('Tổng Đơn'!$F:$F,'Tổng Đơn'!$B:$B,$C13)</f>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f>SUMIFS('Tổng Đơn'!$F:$F,'Tổng Đơn'!$B:$B,$C14)</f>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f>SUMIFS('Tổng Đơn'!$F:$F,'Tổng Đơn'!$B:$B,$C15)</f>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f>SUMIFS('Tổng Đơn'!$F:$F,'Tổng Đơn'!$B:$B,$C16)</f>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f>SUMIFS('Tổng Đơn'!$F:$F,'Tổng Đơn'!$B:$B,$C17)</f>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555.55203836541273</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90354</v>
      </c>
      <c r="O18" s="67">
        <f t="shared" ca="1" si="9"/>
        <v>19</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f ca="1">SUMIFS('Tổng Đơn'!$F:$F,'Tổng Đơn'!$B:$B,$C18)</f>
        <v>43</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f>SUMIFS('Tổng Đơn'!$F:$F,'Tổng Đơn'!$B:$B,$C19)</f>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f>SUMIFS('Tổng Đơn'!$F:$F,'Tổng Đơn'!$B:$B,$C20)</f>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190.82673893992015</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19520</v>
      </c>
      <c r="O21" s="67">
        <f t="shared" ca="1" si="9"/>
        <v>6</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f ca="1">SUMIFS('Tổng Đơn'!$F:$F,'Tổng Đơn'!$B:$B,$C21)</f>
        <v>7</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f>SUMIFS('Tổng Đơn'!$F:$F,'Tổng Đơn'!$B:$B,$C22)</f>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f>SUMIFS('Tổng Đơn'!$F:$F,'Tổng Đơn'!$B:$B,$C23)</f>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1562.0091937420882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53200</v>
      </c>
      <c r="O24" s="67">
        <f t="shared" ca="1" si="9"/>
        <v>21</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f ca="1">SUMIFS('Tổng Đơn'!$F:$F,'Tổng Đơn'!$B:$B,$C24)</f>
        <v>8</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f ca="1">SUMIFS('Tổng Đơn'!$F:$F,'Tổng Đơn'!$B:$B,$C25)</f>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726.37274822292193</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1050</v>
      </c>
      <c r="O26" s="67">
        <f t="shared" ca="1" si="9"/>
        <v>24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f ca="1">SUMIFS('Tổng Đơn'!$F:$F,'Tổng Đơn'!$B:$B,$C26)</f>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f ca="1">SUMIFS('Tổng Đơn'!$F:$F,'Tổng Đơn'!$B:$B,$C27)</f>
        <v>2</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1026.4631844590867</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3196</v>
      </c>
      <c r="O28" s="67">
        <f t="shared" ca="1" si="9"/>
        <v>23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f ca="1">SUMIFS('Tổng Đơn'!$F:$F,'Tổng Đơn'!$B:$B,$C28)</f>
        <v>2</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f ca="1">SUMIFS('Tổng Đơn'!$F:$F,'Tổng Đơn'!$B:$B,$C29)</f>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563.24666493557083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f ca="1">SUMIFS('Tổng Đơn'!$F:$F,'Tổng Đơn'!$B:$B,$C30)</f>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775" priority="25">
      <formula>($O6/$O6)&lt;=1/4</formula>
    </cfRule>
  </conditionalFormatting>
  <conditionalFormatting sqref="C20">
    <cfRule type="expression" dxfId="774" priority="24">
      <formula>($O20/$O20)&lt;=1/4</formula>
    </cfRule>
  </conditionalFormatting>
  <conditionalFormatting sqref="C21">
    <cfRule type="expression" dxfId="773" priority="22">
      <formula>($O21/$O21)&lt;=1/4</formula>
    </cfRule>
  </conditionalFormatting>
  <conditionalFormatting sqref="C22 E22 G22">
    <cfRule type="expression" dxfId="772" priority="20">
      <formula>($O22/$O22)&lt;=1/4</formula>
    </cfRule>
  </conditionalFormatting>
  <conditionalFormatting sqref="C23">
    <cfRule type="expression" dxfId="771" priority="18">
      <formula>($O23/$O23)&lt;=1/4</formula>
    </cfRule>
  </conditionalFormatting>
  <conditionalFormatting sqref="C25">
    <cfRule type="expression" dxfId="770" priority="14">
      <formula>($O25/$O25)&lt;=1/4</formula>
    </cfRule>
  </conditionalFormatting>
  <conditionalFormatting sqref="C26:C27">
    <cfRule type="expression" dxfId="769" priority="12">
      <formula>($O26/$O26)&lt;=1/4</formula>
    </cfRule>
  </conditionalFormatting>
  <conditionalFormatting sqref="C28">
    <cfRule type="expression" dxfId="768" priority="9">
      <formula>($O28/$O28)&lt;=1/4</formula>
    </cfRule>
  </conditionalFormatting>
  <conditionalFormatting sqref="C29:C31">
    <cfRule type="expression" dxfId="767" priority="7">
      <formula>($O29/$O29)&lt;=1/4</formula>
    </cfRule>
  </conditionalFormatting>
  <conditionalFormatting sqref="C5:C31">
    <cfRule type="expression" dxfId="76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J5" sqref="AJ5:AJ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49" t="s">
        <v>51</v>
      </c>
      <c r="C1" s="249"/>
      <c r="D1" s="249"/>
      <c r="E1" s="249"/>
      <c r="F1" s="249"/>
      <c r="G1" s="249"/>
      <c r="H1" s="249"/>
      <c r="I1" s="249"/>
      <c r="J1" s="249"/>
      <c r="K1" s="249"/>
      <c r="L1" s="249"/>
      <c r="M1" s="249"/>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4363.0336440486944</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249674</v>
      </c>
      <c r="O4" s="48">
        <f ca="1">SUBTOTAL(9,O5:O32)</f>
        <v>118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ca="1" si="1"/>
        <v>9</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1080.1461793729741</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22815</v>
      </c>
      <c r="O5" s="70">
        <f t="shared" ref="O5:O25" ca="1" si="8">F5-SUM(Q5:AV5)-P5</f>
        <v>33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f ca="1">SUMIFS('Tổng Đơn'!$F:$F,'Tổng Đơn'!$B:$B,$C5)</f>
        <v>3</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1030.5371929150299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10906</v>
      </c>
      <c r="O7" s="70">
        <f t="shared" ca="1" si="8"/>
        <v>31</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40.91462800655205</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31860</v>
      </c>
      <c r="O8" s="70">
        <f t="shared" ca="1" si="8"/>
        <v>1</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f ca="1">SUMIFS('Tổng Đơn'!$F:$F,'Tổng Đơn'!$B:$B,$C8)</f>
        <v>1</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f ca="1">SUMIFS('Tổng Đơn'!$F:$F,'Tổng Đơn'!$B:$B,$C9)</f>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SUMIFS('Tổng Đơn'!$F:$F,'Tổng Đơn'!$B:$B,$C10)</f>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1104.6949561769054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28070</v>
      </c>
      <c r="O19" s="70">
        <f t="shared" ca="1" si="8"/>
        <v>18</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f ca="1">SUMIFS('Tổng Đơn'!$F:$F,'Tổng Đơn'!$B:$B,$C19)</f>
        <v>2</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551.32461238828887</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7812</v>
      </c>
      <c r="O20" s="70">
        <f t="shared" ca="1" si="8"/>
        <v>14</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f ca="1">SUMIFS('Tổng Đơn'!$F:$F,'Tổng Đơn'!$B:$B,$C20)</f>
        <v>3</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SUMIFS('Tổng Đơn'!$F:$F,'Tổng Đơn'!$B:$B,$C22)</f>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f ca="1">SUMIFS('Tổng Đơn'!$F:$F,'Tổng Đơn'!$B:$B,$C23)</f>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765" priority="21">
      <formula>($O6/$O6)&lt;=1/4</formula>
    </cfRule>
  </conditionalFormatting>
  <conditionalFormatting sqref="C18">
    <cfRule type="expression" dxfId="764" priority="18">
      <formula>($O18/$O18)&lt;=1/4</formula>
    </cfRule>
  </conditionalFormatting>
  <conditionalFormatting sqref="C5:C18 C25:C27">
    <cfRule type="expression" dxfId="763" priority="29">
      <formula>($O5/$F5)&lt;=1/4</formula>
    </cfRule>
  </conditionalFormatting>
  <conditionalFormatting sqref="C19">
    <cfRule type="expression" dxfId="762" priority="9">
      <formula>($O19/$O19)&lt;=1/4</formula>
    </cfRule>
  </conditionalFormatting>
  <conditionalFormatting sqref="C19">
    <cfRule type="expression" dxfId="761" priority="10">
      <formula>($O19/$F19)&lt;=1/4</formula>
    </cfRule>
  </conditionalFormatting>
  <conditionalFormatting sqref="C20:C21">
    <cfRule type="expression" dxfId="760" priority="7">
      <formula>($O20/$O20)&lt;=1/4</formula>
    </cfRule>
  </conditionalFormatting>
  <conditionalFormatting sqref="C20:C21">
    <cfRule type="expression" dxfId="759" priority="8">
      <formula>($O20/$F20)&lt;=1/4</formula>
    </cfRule>
  </conditionalFormatting>
  <conditionalFormatting sqref="C22:C23">
    <cfRule type="expression" dxfId="758" priority="5">
      <formula>($O22/$O22)&lt;=1/4</formula>
    </cfRule>
  </conditionalFormatting>
  <conditionalFormatting sqref="C22:C23">
    <cfRule type="expression" dxfId="757" priority="6">
      <formula>($O22/$F22)&lt;=1/4</formula>
    </cfRule>
  </conditionalFormatting>
  <conditionalFormatting sqref="C24">
    <cfRule type="expression" dxfId="756" priority="3">
      <formula>($O24/$O24)&lt;=1/4</formula>
    </cfRule>
  </conditionalFormatting>
  <conditionalFormatting sqref="C24">
    <cfRule type="expression" dxfId="75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F6" sqref="F6"/>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49" t="s">
        <v>51</v>
      </c>
      <c r="C1" s="249"/>
      <c r="D1" s="249"/>
      <c r="E1" s="249"/>
      <c r="F1" s="249"/>
      <c r="G1" s="249"/>
      <c r="H1" s="249"/>
      <c r="I1" s="249"/>
      <c r="J1" s="249"/>
      <c r="K1" s="249"/>
      <c r="L1" s="249"/>
      <c r="M1" s="249"/>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9708.3955732521845</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585219</v>
      </c>
      <c r="O4" s="48">
        <f ca="1">SUBTOTAL(9,O5:O23)</f>
        <v>372</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ca="1" si="0"/>
        <v>178</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3111.1305547036281</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67425</v>
      </c>
      <c r="O5" s="70">
        <f t="shared" ref="O5:O13" ca="1" si="7">F5-SUM(Q5:AV5)-P5</f>
        <v>152</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f ca="1">SUMIFS('Tổng Đơn'!$F:$F,'Tổng Đơn'!$B:$B,$C5)</f>
        <v>89</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f ca="1">SUMIFS('Tổng Đơn'!$F:$F,'Tổng Đơn'!$B:$B,$C6)</f>
        <v>11</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134.7890323764409</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3696</v>
      </c>
      <c r="O7" s="70">
        <f t="shared" ca="1" si="7"/>
        <v>6</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f ca="1">SUMIFS('Tổng Đơn'!$F:$F,'Tổng Đơn'!$B:$B,$C7)</f>
        <v>3</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f ca="1">SUMIFS('Tổng Đơn'!$F:$F,'Tổng Đơn'!$B:$B,$C8)</f>
        <v>14</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1429.5143975575731</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13260</v>
      </c>
      <c r="O9" s="70">
        <f t="shared" ca="1" si="7"/>
        <v>61</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f ca="1">SUMIFS('Tổng Đơn'!$F:$F,'Tổng Đơn'!$B:$B,$C9)</f>
        <v>28</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2775.0322151829978</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30932</v>
      </c>
      <c r="O10" s="70">
        <f t="shared" ca="1" si="7"/>
        <v>84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f ca="1">SUMIFS('Tổng Đơn'!$F:$F,'Tổng Đơn'!$B:$B,$C10)</f>
        <v>12</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374.08522508594342</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3192</v>
      </c>
      <c r="O11" s="70">
        <f t="shared" ca="1" si="7"/>
        <v>10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f ca="1">SUMIFS('Tổng Đơn'!$F:$F,'Tổng Đơn'!$B:$B,$C11)</f>
        <v>2</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1316.3299649640715</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2250</v>
      </c>
      <c r="O12" s="70">
        <f t="shared" ca="1" si="7"/>
        <v>33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f ca="1">SUMIFS('Tổng Đơn'!$F:$F,'Tổng Đơn'!$B:$B,$C12)</f>
        <v>19</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331.38376740354255</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2730</v>
      </c>
      <c r="O13" s="70">
        <f t="shared" ca="1" si="7"/>
        <v>15</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f ca="1">SUMIFS('Tổng Đơn'!$F:$F,'Tổng Đơn'!$B:$B,$C13)</f>
        <v>10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754" priority="10">
      <formula>($O6/$O6)&lt;=1/4</formula>
    </cfRule>
  </conditionalFormatting>
  <conditionalFormatting sqref="C5:C10 C12:C13">
    <cfRule type="expression" dxfId="753" priority="11">
      <formula>($O5/$F5)&lt;=1/4</formula>
    </cfRule>
  </conditionalFormatting>
  <conditionalFormatting sqref="C11">
    <cfRule type="expression" dxfId="752" priority="1">
      <formula>($O11/$O11)&lt;=1/4</formula>
    </cfRule>
  </conditionalFormatting>
  <conditionalFormatting sqref="C11">
    <cfRule type="expression" dxfId="75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179185.53509522579</v>
      </c>
      <c r="B1" s="262" t="str">
        <f>"Tiền Hàng: "&amp;INT('Quốc Nhân'!K4+'La Cusina'!K4+TVP!J4+Gà!K4+Kitkool!K4)</f>
        <v>Tiền Hàng: 1227017</v>
      </c>
      <c r="C1" s="261" t="str">
        <f ca="1">"Giá trị hàng Tồn: "&amp;INT('Quốc Nhân'!A4+'La Cusina'!A4+TVP!A4+Gà!A4+Kitkool!A4)</f>
        <v>Giá trị hàng Tồn: 44139</v>
      </c>
      <c r="D1" s="260" t="str">
        <f ca="1">"Giá trị Hàng xuất: "&amp;CHAR(10)&amp;INT('Quốc Nhân'!K4+'La Cusina'!K4+TVP!J4+Gà!K4+Kitkool!K4-('Quốc Nhân'!A4+'La Cusina'!A4+TVP!A4+Gà!A4+Kitkool!A4))</f>
        <v>Giá trị Hàng xuất: 
1182877</v>
      </c>
      <c r="E1" s="263" t="str">
        <f ca="1">"Doanh Thu Tích Lũy: "&amp;INT('Quốc Nhân'!N4+'La Cusina'!N4+TVP!M4+Gà!N4+Kitkool!N4)</f>
        <v>Doanh Thu Tích Lũy: 1362063</v>
      </c>
      <c r="F1" s="258">
        <f ca="1">K4/1000</f>
        <v>9633</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149.9</v>
      </c>
      <c r="G4" s="40"/>
      <c r="H4" s="51">
        <f ca="1">SUBTOTAL(9,H5:H71)</f>
        <v>1458274.6485444666</v>
      </c>
      <c r="I4" s="51">
        <f ca="1">K4-J4</f>
        <v>809274.64854446612</v>
      </c>
      <c r="J4" s="25">
        <f ca="1">SUBTOTAL(9,J5:J71)</f>
        <v>8823725.3514555339</v>
      </c>
      <c r="K4" s="25">
        <f ca="1">SUM(L4:BC4)</f>
        <v>9633000</v>
      </c>
      <c r="L4" s="55">
        <f ca="1">IFERROR(INDIRECT("'Thanh Toán ("&amp;L$3&amp;")'!$H"&amp;SUBTOTAL(3,INDIRECT("'Thanh Toán ("&amp;L$3&amp;")'!$H$8:$H$50"))+7-COUNTIF(INDIRECT("'Thanh Toán ("&amp;L$3&amp;")'!$H$8:$H$50"),""&amp;"*")),"")</f>
        <v>238000</v>
      </c>
      <c r="M4" s="55">
        <f t="shared" ref="M4:AN4" ca="1" si="0">IFERROR(INDIRECT("'Thanh Toán ("&amp;M$3&amp;")'!$H"&amp;SUBTOTAL(3,INDIRECT("'Thanh Toán ("&amp;M$3&amp;")'!$H$8:$H$50"))+7-COUNTIF(INDIRECT("'Thanh Toán ("&amp;M$3&amp;")'!$H$8:$H$50"),""&amp;"*")),"")</f>
        <v>188000</v>
      </c>
      <c r="N4" s="55">
        <f t="shared" ca="1" si="0"/>
        <v>50000</v>
      </c>
      <c r="O4" s="55">
        <f t="shared" ca="1" si="0"/>
        <v>50000</v>
      </c>
      <c r="P4" s="55">
        <f t="shared" ca="1" si="0"/>
        <v>2017000</v>
      </c>
      <c r="Q4" s="55">
        <f t="shared" ca="1" si="0"/>
        <v>51000</v>
      </c>
      <c r="R4" s="55">
        <f t="shared" ca="1" si="0"/>
        <v>1170000</v>
      </c>
      <c r="S4" s="55">
        <f t="shared" ca="1" si="0"/>
        <v>751000</v>
      </c>
      <c r="T4" s="55">
        <f t="shared" ca="1" si="0"/>
        <v>759000</v>
      </c>
      <c r="U4" s="55">
        <f t="shared" ca="1" si="0"/>
        <v>437000</v>
      </c>
      <c r="V4" s="55">
        <f t="shared" ca="1" si="0"/>
        <v>230000</v>
      </c>
      <c r="W4" s="55">
        <f t="shared" ca="1" si="0"/>
        <v>92000</v>
      </c>
      <c r="X4" s="55">
        <f t="shared" ca="1" si="0"/>
        <v>350000</v>
      </c>
      <c r="Y4" s="55">
        <f t="shared" ca="1" si="0"/>
        <v>70000</v>
      </c>
      <c r="Z4" s="55">
        <f t="shared" ca="1" si="0"/>
        <v>140000</v>
      </c>
      <c r="AA4" s="55">
        <f t="shared" ca="1" si="0"/>
        <v>100000</v>
      </c>
      <c r="AB4" s="55">
        <f t="shared" ca="1" si="0"/>
        <v>25000</v>
      </c>
      <c r="AC4" s="55">
        <f t="shared" ca="1" si="0"/>
        <v>264000</v>
      </c>
      <c r="AD4" s="55">
        <f t="shared" ca="1" si="0"/>
        <v>180000</v>
      </c>
      <c r="AE4" s="55">
        <f t="shared" ca="1" si="0"/>
        <v>1385000</v>
      </c>
      <c r="AF4" s="55">
        <f t="shared" ca="1" si="0"/>
        <v>659000</v>
      </c>
      <c r="AG4" s="55">
        <f t="shared" ca="1" si="0"/>
        <v>92000</v>
      </c>
      <c r="AH4" s="55">
        <f t="shared" ca="1" si="0"/>
        <v>37000</v>
      </c>
      <c r="AI4" s="55">
        <f t="shared" ca="1" si="0"/>
        <v>298000</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6</v>
      </c>
      <c r="G6" s="165">
        <f>IFERROR(VLOOKUP($B6,Gà!C:J,8,0),IFERROR(VLOOKUP($B6,TVP!C:J,7,0),IFERROR(VLOOKUP($B6,Kitkool!C:J,8,0),IFERROR(VLOOKUP($B6,'La Cusina'!C:J,8,0),VLOOKUP($B6,'Quốc Nhân'!C:J,8,0)))))</f>
        <v>113.98084503664623</v>
      </c>
      <c r="H6" s="166">
        <f ca="1">(D6-G6*1000)*$F6</f>
        <v>48114.929780122591</v>
      </c>
      <c r="I6" s="186">
        <f t="shared" ref="I6:I9" si="3">D6/(G6*1000)-1</f>
        <v>7.0355286107727233E-2</v>
      </c>
      <c r="J6" s="166">
        <f t="shared" ref="J6:J9" ca="1" si="4">F6*G6*1000</f>
        <v>683885.07021987741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1</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5</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3</v>
      </c>
      <c r="G10" s="165">
        <f>IFERROR(VLOOKUP($B10,Gà!C:J,8,0),IFERROR(VLOOKUP($B10,TVP!C:J,7,0),IFERROR(VLOOKUP($B10,Kitkool!C:J,8,0),IFERROR(VLOOKUP($B10,'La Cusina'!C:J,8,0),VLOOKUP($B10,'Quốc Nhân'!C:J,8,0)))))</f>
        <v>34.601327957553323</v>
      </c>
      <c r="H10" s="166">
        <f t="shared" ref="H10" ca="1" si="7">(D10-G10*1000)*$F10</f>
        <v>25196.01612734003</v>
      </c>
      <c r="I10" s="186">
        <f t="shared" ref="I10" si="8">D10/(G10*1000)-1</f>
        <v>0.24272687027358097</v>
      </c>
      <c r="J10" s="166">
        <f t="shared" ref="J10" ca="1" si="9">F10*G10*1000</f>
        <v>103803.98387265997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3</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1</v>
      </c>
      <c r="G14" s="165">
        <f>IFERROR(VLOOKUP($B14,Gà!C:J,8,0),IFERROR(VLOOKUP($B14,TVP!C:J,7,0),IFERROR(VLOOKUP($B14,Kitkool!C:J,8,0),IFERROR(VLOOKUP($B14,'La Cusina'!C:J,8,0),VLOOKUP($B14,'Quốc Nhân'!C:J,8,0)))))</f>
        <v>33.074798782955384</v>
      </c>
      <c r="H14" s="166">
        <f t="shared" ca="1" si="10"/>
        <v>11925.201217044618</v>
      </c>
      <c r="I14" s="186">
        <f t="shared" si="11"/>
        <v>0.36055249482545904</v>
      </c>
      <c r="J14" s="166">
        <f t="shared" ca="1" si="12"/>
        <v>33074.798782955382</v>
      </c>
      <c r="K14" s="112">
        <f ca="1">I4/J4</f>
        <v>9.1715756815908905E-2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1</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3</v>
      </c>
      <c r="G17" s="165">
        <f>IFERROR(VLOOKUP($B17,Gà!C:J,8,0),IFERROR(VLOOKUP($B17,TVP!C:J,7,0),IFERROR(VLOOKUP($B17,Kitkool!C:J,8,0),IFERROR(VLOOKUP($B17,'La Cusina'!C:J,8,0),VLOOKUP($B17,'Quốc Nhân'!C:J,8,0)))))</f>
        <v>32.731702405241641</v>
      </c>
      <c r="H17" s="166">
        <f t="shared" ca="1" si="10"/>
        <v>36804.892784275071</v>
      </c>
      <c r="I17" s="186">
        <f t="shared" si="11"/>
        <v>0.37481391718854562</v>
      </c>
      <c r="J17" s="166">
        <f t="shared" ca="1" si="12"/>
        <v>98195.107215724929</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1</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10</v>
      </c>
      <c r="G23" s="165">
        <f>IFERROR(VLOOKUP($B23,Gà!C:J,8,0),IFERROR(VLOOKUP($B23,TVP!C:J,7,0),IFERROR(VLOOKUP($B23,Kitkool!C:J,8,0),IFERROR(VLOOKUP($B23,'La Cusina'!C:J,8,0),VLOOKUP($B23,'Quốc Nhân'!C:J,8,0)))))</f>
        <v>34.882307118049923</v>
      </c>
      <c r="H23" s="166">
        <f t="shared" ca="1" si="10"/>
        <v>51176.928819500754</v>
      </c>
      <c r="I23" s="186">
        <f t="shared" si="11"/>
        <v>0.14671314212762931</v>
      </c>
      <c r="J23" s="166">
        <f t="shared" ca="1" si="12"/>
        <v>348823.07118049928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10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3</v>
      </c>
      <c r="G24" s="165">
        <f>IFERROR(VLOOKUP($B24,Gà!C:J,8,0),IFERROR(VLOOKUP($B24,TVP!C:J,7,0),IFERROR(VLOOKUP($B24,Kitkool!C:J,8,0),IFERROR(VLOOKUP($B24,'La Cusina'!C:J,8,0),VLOOKUP($B24,'Quốc Nhân'!C:J,8,0)))))</f>
        <v>30.778506280632282</v>
      </c>
      <c r="H24" s="166">
        <f t="shared" ca="1" si="10"/>
        <v>27664.481158103154</v>
      </c>
      <c r="I24" s="186">
        <f t="shared" si="11"/>
        <v>0.29960822774464679</v>
      </c>
      <c r="J24" s="166">
        <f t="shared" ca="1" si="12"/>
        <v>92335.518841896846</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2</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43</v>
      </c>
      <c r="G26" s="165">
        <f>IFERROR(VLOOKUP($B26,Gà!C:J,8,0),IFERROR(VLOOKUP($B26,TVP!C:J,7,0),IFERROR(VLOOKUP($B26,Kitkool!C:J,8,0),IFERROR(VLOOKUP($B26,'La Cusina'!C:J,8,0),VLOOKUP($B26,'Quốc Nhân'!C:J,8,0)))))</f>
        <v>29.23958096660067</v>
      </c>
      <c r="H26" s="166">
        <f t="shared" ca="1" si="10"/>
        <v>247698.01843617129</v>
      </c>
      <c r="I26" s="186">
        <f t="shared" si="11"/>
        <v>0.1970075781858589</v>
      </c>
      <c r="J26" s="166">
        <f t="shared" ca="1" si="12"/>
        <v>1257301.9815638289</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30</v>
      </c>
      <c r="Q26" s="2">
        <f ca="1">IFERROR(SUMIFS(INDIRECT("'Thanh Toán ("&amp;Q$3&amp;")'!$F:$F"),INDIRECT("'Thanh Toán ("&amp;Q$3&amp;")'!$D:$D"),'Tổng Đơn'!$B26),0)</f>
        <v>0</v>
      </c>
      <c r="R26" s="2">
        <f ca="1">IFERROR(SUMIFS(INDIRECT("'Thanh Toán ("&amp;R$3&amp;")'!$F:$F"),INDIRECT("'Thanh Toán ("&amp;R$3&amp;")'!$D:$D"),'Tổng Đơn'!$B26),0)</f>
        <v>3</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v>
      </c>
      <c r="G28" s="165">
        <f>IFERROR(VLOOKUP($B28,Gà!C:J,8,0),IFERROR(VLOOKUP($B28,TVP!C:J,7,0),IFERROR(VLOOKUP($B28,Kitkool!C:J,8,0),IFERROR(VLOOKUP($B28,'La Cusina'!C:J,8,0),VLOOKUP($B28,'Quốc Nhân'!C:J,8,0)))))</f>
        <v>40.91462800655205</v>
      </c>
      <c r="H28" s="166">
        <f t="shared" ca="1" si="10"/>
        <v>9085.3719934479523</v>
      </c>
      <c r="I28" s="186">
        <f t="shared" si="11"/>
        <v>0.22205681527870724</v>
      </c>
      <c r="J28" s="166">
        <f t="shared" ca="1" si="12"/>
        <v>40914.628006552048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7</v>
      </c>
      <c r="G29" s="165">
        <f>IFERROR(VLOOKUP($B29,Gà!C:J,8,0),IFERROR(VLOOKUP($B29,TVP!C:J,7,0),IFERROR(VLOOKUP($B29,Kitkool!C:J,8,0),IFERROR(VLOOKUP($B29,'La Cusina'!C:J,8,0),VLOOKUP($B29,'Quốc Nhân'!C:J,8,0)))))</f>
        <v>31.804456489986691</v>
      </c>
      <c r="H29" s="166">
        <f t="shared" ca="1" si="10"/>
        <v>57368.804570093154</v>
      </c>
      <c r="I29" s="186">
        <f t="shared" si="11"/>
        <v>0.25768538168836774</v>
      </c>
      <c r="J29" s="166">
        <f t="shared" ca="1" si="12"/>
        <v>222631.19542990683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5</v>
      </c>
      <c r="T29" s="2">
        <f ca="1">IFERROR(SUMIFS(INDIRECT("'Thanh Toán ("&amp;T$3&amp;")'!$F:$F"),INDIRECT("'Thanh Toán ("&amp;T$3&amp;")'!$D:$D"),'Tổng Đơn'!$B29),0)</f>
        <v>0</v>
      </c>
      <c r="U29" s="2">
        <f ca="1">IFERROR(SUMIFS(INDIRECT("'Thanh Toán ("&amp;U$3&amp;")'!$F:$F"),INDIRECT("'Thanh Toán ("&amp;U$3&amp;")'!$D:$D"),'Tổng Đơn'!$B29),0)</f>
        <v>2</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1</v>
      </c>
      <c r="G30" s="165">
        <f>IFERROR(VLOOKUP($B30,Gà!C:J,8,0),IFERROR(VLOOKUP($B30,TVP!C:J,7,0),IFERROR(VLOOKUP($B30,Kitkool!C:J,8,0),IFERROR(VLOOKUP($B30,'La Cusina'!C:J,8,0),VLOOKUP($B30,'Quốc Nhân'!C:J,8,0)))))</f>
        <v>98.733333333333334</v>
      </c>
      <c r="H30" s="166">
        <f t="shared" ca="1" si="10"/>
        <v>6266.6666666666715</v>
      </c>
      <c r="I30" s="186">
        <f t="shared" si="11"/>
        <v>6.347062795408509E-2</v>
      </c>
      <c r="J30" s="166">
        <f t="shared" ca="1" si="12"/>
        <v>98733.333333333328</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1</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3</v>
      </c>
      <c r="G31" s="165">
        <f>IFERROR(VLOOKUP($B31,Gà!C:J,8,0),IFERROR(VLOOKUP($B31,TVP!C:J,7,0),IFERROR(VLOOKUP($B31,Kitkool!C:J,8,0),IFERROR(VLOOKUP($B31,'La Cusina'!C:J,8,0),VLOOKUP($B31,'Quốc Nhân'!C:J,8,0)))))</f>
        <v>39.380329456306349</v>
      </c>
      <c r="H31" s="166">
        <f t="shared" ca="1" si="10"/>
        <v>7859.0116310809608</v>
      </c>
      <c r="I31" s="186">
        <f t="shared" si="11"/>
        <v>6.6522311515962773E-2</v>
      </c>
      <c r="J31" s="166">
        <f t="shared" ca="1" si="12"/>
        <v>118140.98836891905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3</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5</v>
      </c>
      <c r="G34" s="165">
        <f>IFERROR(VLOOKUP($B34,Gà!C:J,8,0),IFERROR(VLOOKUP($B34,TVP!C:J,7,0),IFERROR(VLOOKUP($B34,Kitkool!C:J,8,0),IFERROR(VLOOKUP($B34,'La Cusina'!C:J,8,0),VLOOKUP($B34,'Quốc Nhân'!C:J,8,0)))))</f>
        <v>59.025794751120372</v>
      </c>
      <c r="H34" s="166">
        <f t="shared" ca="1" si="10"/>
        <v>29871.026244398126</v>
      </c>
      <c r="I34" s="186">
        <f t="shared" si="11"/>
        <v>0.10121346563938016</v>
      </c>
      <c r="J34" s="166">
        <f t="shared" ca="1" si="12"/>
        <v>295128.97375560185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3</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1</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1</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8</v>
      </c>
      <c r="G35" s="165">
        <f>IFERROR(VLOOKUP($B35,Gà!C:J,8,0),IFERROR(VLOOKUP($B35,TVP!C:J,7,0),IFERROR(VLOOKUP($B35,Kitkool!C:J,8,0),IFERROR(VLOOKUP($B35,'La Cusina'!C:J,8,0),VLOOKUP($B35,'Quốc Nhân'!C:J,8,0)))))</f>
        <v>74.381390178194678</v>
      </c>
      <c r="H35" s="166">
        <f t="shared" ca="1" si="10"/>
        <v>44948.878574442584</v>
      </c>
      <c r="I35" s="186">
        <f t="shared" si="11"/>
        <v>7.553784365074212E-2</v>
      </c>
      <c r="J35" s="166">
        <f t="shared" ca="1" si="12"/>
        <v>595051.12142555742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3</v>
      </c>
      <c r="S35" s="2">
        <f ca="1">IFERROR(SUMIFS(INDIRECT("'Thanh Toán ("&amp;S$3&amp;")'!$F:$F"),INDIRECT("'Thanh Toán ("&amp;S$3&amp;")'!$D:$D"),'Tổng Đơn'!$B35),0)</f>
        <v>0</v>
      </c>
      <c r="T35" s="2">
        <f ca="1">IFERROR(SUMIFS(INDIRECT("'Thanh Toán ("&amp;T$3&amp;")'!$F:$F"),INDIRECT("'Thanh Toán ("&amp;T$3&amp;")'!$D:$D"),'Tổng Đơn'!$B35),0)</f>
        <v>4</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1</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2</v>
      </c>
      <c r="G38" s="165">
        <f>IFERROR(VLOOKUP($B38,Gà!C:J,8,0),IFERROR(VLOOKUP($B38,TVP!C:J,7,0),IFERROR(VLOOKUP($B38,Kitkool!C:J,8,0),IFERROR(VLOOKUP($B38,'La Cusina'!C:J,8,0),VLOOKUP($B38,'Quốc Nhân'!C:J,8,0)))))</f>
        <v>32.317431594663894</v>
      </c>
      <c r="H38" s="166">
        <f t="shared" ca="1" si="10"/>
        <v>11365.136810672215</v>
      </c>
      <c r="I38" s="186">
        <f t="shared" si="11"/>
        <v>0.17583601557849016</v>
      </c>
      <c r="J38" s="166">
        <f t="shared" ca="1" si="12"/>
        <v>64634.863189327785</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1</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1</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2</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2</v>
      </c>
      <c r="G41" s="165">
        <f>IFERROR(VLOOKUP($B41,Gà!C:J,8,0),IFERROR(VLOOKUP($B41,TVP!C:J,7,0),IFERROR(VLOOKUP($B41,Kitkool!C:J,8,0),IFERROR(VLOOKUP($B41,'La Cusina'!C:J,8,0),VLOOKUP($B41,'Quốc Nhân'!C:J,8,0)))))</f>
        <v>44.628834106916813</v>
      </c>
      <c r="H41" s="166">
        <f t="shared" ca="1" si="10"/>
        <v>4742.3317861663818</v>
      </c>
      <c r="I41" s="186">
        <f t="shared" si="11"/>
        <v>5.313080524135172E-2</v>
      </c>
      <c r="J41" s="166">
        <f t="shared" ca="1" si="12"/>
        <v>89257.668213833618</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2</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89</v>
      </c>
      <c r="G44" s="165">
        <f>IFERROR(VLOOKUP($B44,Gà!C:J,8,0),IFERROR(VLOOKUP($B44,TVP!C:J,7,0),IFERROR(VLOOKUP($B44,Kitkool!C:J,8,0),IFERROR(VLOOKUP($B44,'La Cusina'!C:J,8,0),VLOOKUP($B44,'Quốc Nhân'!C:J,8,0)))))</f>
        <v>20.467964175681765</v>
      </c>
      <c r="H44" s="166">
        <f t="shared" ca="1" si="10"/>
        <v>403351.18836432288</v>
      </c>
      <c r="I44" s="186">
        <f t="shared" si="11"/>
        <v>0.22142093788217587</v>
      </c>
      <c r="J44" s="166">
        <f t="shared" ca="1" si="12"/>
        <v>1821648.811635677</v>
      </c>
      <c r="K44" s="38"/>
      <c r="L44" s="2">
        <f ca="1">IFERROR(SUMIFS(INDIRECT("'Thanh Toán ("&amp;L$3&amp;")'!$F:$F"),INDIRECT("'Thanh Toán ("&amp;L$3&amp;")'!$D:$D"),'Tổng Đơn'!$B44),0)</f>
        <v>4</v>
      </c>
      <c r="M44" s="2">
        <f ca="1">IFERROR(SUMIFS(INDIRECT("'Thanh Toán ("&amp;M$3&amp;")'!$F:$F"),INDIRECT("'Thanh Toán ("&amp;M$3&amp;")'!$D:$D"),'Tổng Đơn'!$B44),0)</f>
        <v>0</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20</v>
      </c>
      <c r="Q44" s="2">
        <f ca="1">IFERROR(SUMIFS(INDIRECT("'Thanh Toán ("&amp;Q$3&amp;")'!$F:$F"),INDIRECT("'Thanh Toán ("&amp;Q$3&amp;")'!$D:$D"),'Tổng Đơn'!$B44),0)</f>
        <v>1</v>
      </c>
      <c r="R44" s="2">
        <f ca="1">IFERROR(SUMIFS(INDIRECT("'Thanh Toán ("&amp;R$3&amp;")'!$F:$F"),INDIRECT("'Thanh Toán ("&amp;R$3&amp;")'!$D:$D"),'Tổng Đơn'!$B44),0)</f>
        <v>6</v>
      </c>
      <c r="S44" s="2">
        <f ca="1">IFERROR(SUMIFS(INDIRECT("'Thanh Toán ("&amp;S$3&amp;")'!$F:$F"),INDIRECT("'Thanh Toán ("&amp;S$3&amp;")'!$D:$D"),'Tổng Đơn'!$B44),0)</f>
        <v>20</v>
      </c>
      <c r="T44" s="2">
        <f ca="1">IFERROR(SUMIFS(INDIRECT("'Thanh Toán ("&amp;T$3&amp;")'!$F:$F"),INDIRECT("'Thanh Toán ("&amp;T$3&amp;")'!$D:$D"),'Tổng Đơn'!$B44),0)</f>
        <v>10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4</v>
      </c>
      <c r="X44" s="2">
        <f ca="1">IFERROR(SUMIFS(INDIRECT("'Thanh Toán ("&amp;X$3&amp;")'!$F:$F"),INDIRECT("'Thanh Toán ("&amp;X$3&amp;")'!$D:$D"),'Tổng Đơn'!$B44),0)</f>
        <v>0</v>
      </c>
      <c r="Y44" s="2">
        <f ca="1">IFERROR(SUMIFS(INDIRECT("'Thanh Toán ("&amp;Y$3&amp;")'!$F:$F"),INDIRECT("'Thanh Toán ("&amp;Y$3&amp;")'!$D:$D"),'Tổng Đơn'!$B44),0)</f>
        <v>1</v>
      </c>
      <c r="Z44" s="2">
        <f ca="1">IFERROR(SUMIFS(INDIRECT("'Thanh Toán ("&amp;Z$3&amp;")'!$F:$F"),INDIRECT("'Thanh Toán ("&amp;Z$3&amp;")'!$D:$D"),'Tổng Đơn'!$B44),0)</f>
        <v>2</v>
      </c>
      <c r="AA44" s="2">
        <f ca="1">IFERROR(SUMIFS(INDIRECT("'Thanh Toán ("&amp;AA$3&amp;")'!$F:$F"),INDIRECT("'Thanh Toán ("&amp;AA$3&amp;")'!$D:$D"),'Tổng Đơn'!$B44),0)</f>
        <v>4</v>
      </c>
      <c r="AB44" s="2">
        <f ca="1">IFERROR(SUMIFS(INDIRECT("'Thanh Toán ("&amp;AB$3&amp;")'!$F:$F"),INDIRECT("'Thanh Toán ("&amp;AB$3&amp;")'!$D:$D"),'Tổng Đơn'!$B44),0)</f>
        <v>1</v>
      </c>
      <c r="AC44" s="2">
        <f ca="1">IFERROR(SUMIFS(INDIRECT("'Thanh Toán ("&amp;AC$3&amp;")'!$F:$F"),INDIRECT("'Thanh Toán ("&amp;AC$3&amp;")'!$D:$D"),'Tổng Đơn'!$B44),0)</f>
        <v>0</v>
      </c>
      <c r="AD44" s="2">
        <f ca="1">IFERROR(SUMIFS(INDIRECT("'Thanh Toán ("&amp;AD$3&amp;")'!$F:$F"),INDIRECT("'Thanh Toán ("&amp;AD$3&amp;")'!$D:$D"),'Tổng Đơn'!$B44),0)</f>
        <v>1</v>
      </c>
      <c r="AE44" s="2">
        <f ca="1">IFERROR(SUMIFS(INDIRECT("'Thanh Toán ("&amp;AE$3&amp;")'!$F:$F"),INDIRECT("'Thanh Toán ("&amp;AE$3&amp;")'!$D:$D"),'Tổng Đơn'!$B44),0)</f>
        <v>0</v>
      </c>
      <c r="AF44" s="2">
        <f ca="1">IFERROR(SUMIFS(INDIRECT("'Thanh Toán ("&amp;AF$3&amp;")'!$F:$F"),INDIRECT("'Thanh Toán ("&amp;AF$3&amp;")'!$D:$D"),'Tổng Đơn'!$B44),0)</f>
        <v>5</v>
      </c>
      <c r="AG44" s="2">
        <f ca="1">IFERROR(SUMIFS(INDIRECT("'Thanh Toán ("&amp;AG$3&amp;")'!$F:$F"),INDIRECT("'Thanh Toán ("&amp;AG$3&amp;")'!$D:$D"),'Tổng Đơn'!$B44),0)</f>
        <v>4</v>
      </c>
      <c r="AH44" s="2">
        <f ca="1">IFERROR(SUMIFS(INDIRECT("'Thanh Toán ("&amp;AH$3&amp;")'!$F:$F"),INDIRECT("'Thanh Toán ("&amp;AH$3&amp;")'!$D:$D"),'Tổng Đơn'!$B44),0)</f>
        <v>0</v>
      </c>
      <c r="AI44" s="2">
        <f ca="1">IFERROR(SUMIFS(INDIRECT("'Thanh Toán ("&amp;AI$3&amp;")'!$F:$F"),INDIRECT("'Thanh Toán ("&amp;AI$3&amp;")'!$D:$D"),'Tổng Đơn'!$B44),0)</f>
        <v>4</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11</v>
      </c>
      <c r="G45" s="165">
        <f>IFERROR(VLOOKUP($B45,Gà!C:J,8,0),IFERROR(VLOOKUP($B45,TVP!C:J,7,0),IFERROR(VLOOKUP($B45,Kitkool!C:J,8,0),IFERROR(VLOOKUP($B45,'La Cusina'!C:J,8,0),VLOOKUP($B45,'Quốc Nhân'!C:J,8,0)))))</f>
        <v>23.933272090255844</v>
      </c>
      <c r="H45" s="166">
        <f t="shared" ca="1" si="10"/>
        <v>44734.007007185726</v>
      </c>
      <c r="I45" s="186">
        <f t="shared" si="11"/>
        <v>0.16991942825067685</v>
      </c>
      <c r="J45" s="166">
        <f t="shared" ca="1" si="12"/>
        <v>263265.99299281428</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11</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3</v>
      </c>
      <c r="G46" s="165">
        <f>IFERROR(VLOOKUP($B46,Gà!C:J,8,0),IFERROR(VLOOKUP($B46,TVP!C:J,7,0),IFERROR(VLOOKUP($B46,Kitkool!C:J,8,0),IFERROR(VLOOKUP($B46,'La Cusina'!C:J,8,0),VLOOKUP($B46,'Quốc Nhân'!C:J,8,0)))))</f>
        <v>22.464838729406814</v>
      </c>
      <c r="H46" s="166">
        <f t="shared" ca="1" si="10"/>
        <v>16605.483811779552</v>
      </c>
      <c r="I46" s="186">
        <f t="shared" si="11"/>
        <v>0.24639221038998937</v>
      </c>
      <c r="J46" s="166">
        <f t="shared" ca="1" si="12"/>
        <v>67394.516188220456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3</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14</v>
      </c>
      <c r="G47" s="165">
        <f>IFERROR(VLOOKUP($B47,Gà!C:J,8,0),IFERROR(VLOOKUP($B47,TVP!C:J,7,0),IFERROR(VLOOKUP($B47,Kitkool!C:J,8,0),IFERROR(VLOOKUP($B47,'La Cusina'!C:J,8,0),VLOOKUP($B47,'Quốc Nhân'!C:J,8,0)))))</f>
        <v>21.466401452544289</v>
      </c>
      <c r="H47" s="166">
        <f t="shared" ca="1" si="10"/>
        <v>91470.379664379929</v>
      </c>
      <c r="I47" s="186">
        <f t="shared" si="11"/>
        <v>0.30436394110580278</v>
      </c>
      <c r="J47" s="166">
        <f t="shared" ca="1" si="12"/>
        <v>300529.62033562007</v>
      </c>
      <c r="K47" s="38"/>
      <c r="L47" s="2">
        <f ca="1">IFERROR(SUMIFS(INDIRECT("'Thanh Toán ("&amp;L$3&amp;")'!$F:$F"),INDIRECT("'Thanh Toán ("&amp;L$3&amp;")'!$D:$D"),'Tổng Đơn'!$B47),0)</f>
        <v>0</v>
      </c>
      <c r="M47" s="2">
        <f ca="1">IFERROR(SUMIFS(INDIRECT("'Thanh Toán ("&amp;M$3&amp;")'!$F:$F"),INDIRECT("'Thanh Toán ("&amp;M$3&amp;")'!$D:$D"),'Tổng Đơn'!$B47),0)</f>
        <v>8</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6</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28</v>
      </c>
      <c r="G48" s="165">
        <f>IFERROR(VLOOKUP($B48,Gà!C:J,8,0),IFERROR(VLOOKUP($B48,TVP!C:J,7,0),IFERROR(VLOOKUP($B48,Kitkool!C:J,8,0),IFERROR(VLOOKUP($B48,'La Cusina'!C:J,8,0),VLOOKUP($B48,'Quốc Nhân'!C:J,8,0)))))</f>
        <v>23.434662255042184</v>
      </c>
      <c r="H48" s="166">
        <f t="shared" ca="1" si="10"/>
        <v>71829.456858818812</v>
      </c>
      <c r="I48" s="186">
        <f t="shared" si="11"/>
        <v>0.10946766448088496</v>
      </c>
      <c r="J48" s="166">
        <f t="shared" ca="1" si="12"/>
        <v>656170.54314118112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10</v>
      </c>
      <c r="Q48" s="2">
        <f ca="1">IFERROR(SUMIFS(INDIRECT("'Thanh Toán ("&amp;Q$3&amp;")'!$F:$F"),INDIRECT("'Thanh Toán ("&amp;Q$3&amp;")'!$D:$D"),'Tổng Đơn'!$B48),0)</f>
        <v>1</v>
      </c>
      <c r="R48" s="2">
        <f ca="1">IFERROR(SUMIFS(INDIRECT("'Thanh Toán ("&amp;R$3&amp;")'!$F:$F"),INDIRECT("'Thanh Toán ("&amp;R$3&amp;")'!$D:$D"),'Tổng Đơn'!$B48),0)</f>
        <v>3</v>
      </c>
      <c r="S48" s="2">
        <f ca="1">IFERROR(SUMIFS(INDIRECT("'Thanh Toán ("&amp;S$3&amp;")'!$F:$F"),INDIRECT("'Thanh Toán ("&amp;S$3&amp;")'!$D:$D"),'Tổng Đơn'!$B48),0)</f>
        <v>0</v>
      </c>
      <c r="T48" s="2">
        <f ca="1">IFERROR(SUMIFS(INDIRECT("'Thanh Toán ("&amp;T$3&amp;")'!$F:$F"),INDIRECT("'Thanh Toán ("&amp;T$3&amp;")'!$D:$D"),'Tổng Đơn'!$B48),0)</f>
        <v>10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1</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2</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12</v>
      </c>
      <c r="G49" s="165">
        <f>IFERROR(VLOOKUP($B49,Gà!C:J,8,0),IFERROR(VLOOKUP($B49,TVP!C:J,7,0),IFERROR(VLOOKUP($B49,Kitkool!C:J,8,0),IFERROR(VLOOKUP($B49,'La Cusina'!C:J,8,0),VLOOKUP($B49,'Quốc Nhân'!C:J,8,0)))))</f>
        <v>33.036097799797595</v>
      </c>
      <c r="H49" s="166">
        <f t="shared" ca="1" si="10"/>
        <v>47566.82640242888</v>
      </c>
      <c r="I49" s="186">
        <f t="shared" si="11"/>
        <v>0.11998699798699275</v>
      </c>
      <c r="J49" s="166">
        <f t="shared" ca="1" si="12"/>
        <v>396433.17359757109</v>
      </c>
      <c r="K49" s="38"/>
      <c r="L49" s="2">
        <f ca="1">IFERROR(SUMIFS(INDIRECT("'Thanh Toán ("&amp;L$3&amp;")'!$F:$F"),INDIRECT("'Thanh Toán ("&amp;L$3&amp;")'!$D:$D"),'Tổng Đơn'!$B49),0)</f>
        <v>4</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5</v>
      </c>
      <c r="AG49" s="2">
        <f ca="1">IFERROR(SUMIFS(INDIRECT("'Thanh Toán ("&amp;AG$3&amp;")'!$F:$F"),INDIRECT("'Thanh Toán ("&amp;AG$3&amp;")'!$D:$D"),'Tổng Đơn'!$B49),0)</f>
        <v>0</v>
      </c>
      <c r="AH49" s="2">
        <f ca="1">IFERROR(SUMIFS(INDIRECT("'Thanh Toán ("&amp;AH$3&amp;")'!$F:$F"),INDIRECT("'Thanh Toán ("&amp;AH$3&amp;")'!$D:$D"),'Tổng Đơn'!$B49),0)</f>
        <v>1</v>
      </c>
      <c r="AI49" s="2">
        <f ca="1">IFERROR(SUMIFS(INDIRECT("'Thanh Toán ("&amp;AI$3&amp;")'!$F:$F"),INDIRECT("'Thanh Toán ("&amp;AI$3&amp;")'!$D:$D"),'Tổng Đơn'!$B49),0)</f>
        <v>2</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37.408522508594345</v>
      </c>
      <c r="H50" s="166">
        <f t="shared" ca="1" si="10"/>
        <v>9182.9549828113086</v>
      </c>
      <c r="I50" s="186">
        <f t="shared" si="11"/>
        <v>0.12273880879285715</v>
      </c>
      <c r="J50" s="166">
        <f t="shared" ca="1" si="12"/>
        <v>74817.045017188691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19</v>
      </c>
      <c r="G51" s="165">
        <f>IFERROR(VLOOKUP($B51,Gà!C:J,8,0),IFERROR(VLOOKUP($B51,TVP!C:J,7,0),IFERROR(VLOOKUP($B51,Kitkool!C:J,8,0),IFERROR(VLOOKUP($B51,'La Cusina'!C:J,8,0),VLOOKUP($B51,'Quốc Nhân'!C:J,8,0)))))</f>
        <v>39.888786817093077</v>
      </c>
      <c r="H51" s="166">
        <f t="shared" ca="1" si="10"/>
        <v>97113.05047523159</v>
      </c>
      <c r="I51" s="186">
        <f t="shared" si="11"/>
        <v>0.12813659152743839</v>
      </c>
      <c r="J51" s="166">
        <f t="shared" ca="1" si="12"/>
        <v>757886.94952476851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6</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1</v>
      </c>
      <c r="AE51" s="2">
        <f ca="1">IFERROR(SUMIFS(INDIRECT("'Thanh Toán ("&amp;AE$3&amp;")'!$F:$F"),INDIRECT("'Thanh Toán ("&amp;AE$3&amp;")'!$D:$D"),'Tổng Đơn'!$B51),0)</f>
        <v>10</v>
      </c>
      <c r="AF51" s="2">
        <f ca="1">IFERROR(SUMIFS(INDIRECT("'Thanh Toán ("&amp;AF$3&amp;")'!$F:$F"),INDIRECT("'Thanh Toán ("&amp;AF$3&amp;")'!$D:$D"),'Tổng Đơn'!$B51),0)</f>
        <v>2</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10</v>
      </c>
      <c r="G52" s="165">
        <f>IFERROR(VLOOKUP($B52,Gà!C:J,8,0),IFERROR(VLOOKUP($B52,TVP!C:J,7,0),IFERROR(VLOOKUP($B52,Kitkool!C:J,8,0),IFERROR(VLOOKUP($B52,'La Cusina'!C:J,8,0),VLOOKUP($B52,'Quốc Nhân'!C:J,8,0)))))</f>
        <v>22.09225116023617</v>
      </c>
      <c r="H52" s="166">
        <f t="shared" ca="1" si="10"/>
        <v>39077.488397638299</v>
      </c>
      <c r="I52" s="186">
        <f t="shared" si="11"/>
        <v>0.17688323437121634</v>
      </c>
      <c r="J52" s="166">
        <f t="shared" ca="1" si="12"/>
        <v>220922.51160236172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7</v>
      </c>
      <c r="Q52" s="2">
        <f ca="1">IFERROR(SUMIFS(INDIRECT("'Thanh Toán ("&amp;Q$3&amp;")'!$F:$F"),INDIRECT("'Thanh Toán ("&amp;Q$3&amp;")'!$D:$D"),'Tổng Đơn'!$B52),0)</f>
        <v>0</v>
      </c>
      <c r="R52" s="2">
        <f ca="1">IFERROR(SUMIFS(INDIRECT("'Thanh Toán ("&amp;R$3&amp;")'!$F:$F"),INDIRECT("'Thanh Toán ("&amp;R$3&amp;")'!$D:$D"),'Tổng Đơn'!$B52),0)</f>
        <v>3</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60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K5" sqref="K5"/>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4">
        <v>235000</v>
      </c>
      <c r="L2" s="265"/>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1182877</v>
      </c>
      <c r="J4" s="89" t="s">
        <v>126</v>
      </c>
      <c r="M4" s="212" t="s">
        <v>259</v>
      </c>
      <c r="N4" s="213">
        <v>10000</v>
      </c>
    </row>
    <row r="5" spans="1:18" ht="28.5" customHeight="1" x14ac:dyDescent="0.25">
      <c r="A5" s="110" t="s">
        <v>171</v>
      </c>
      <c r="B5">
        <v>200</v>
      </c>
      <c r="G5" s="85" t="s">
        <v>261</v>
      </c>
      <c r="H5" s="124">
        <f>7400+5000+2400+10000+5000-2000-1000-1000-150-6349+(30000-10000)</f>
        <v>39301</v>
      </c>
      <c r="I5" s="91">
        <f ca="1">I4+I3</f>
        <v>32903</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0+0+1400+500</f>
        <v>1900</v>
      </c>
      <c r="J7" s="238"/>
      <c r="K7" s="93"/>
      <c r="L7" s="93"/>
      <c r="M7" s="14"/>
      <c r="N7" s="14"/>
      <c r="O7" s="14"/>
      <c r="P7" s="14"/>
      <c r="Q7" s="14"/>
      <c r="R7" s="14"/>
    </row>
    <row r="8" spans="1:18" x14ac:dyDescent="0.25">
      <c r="A8" t="s">
        <v>189</v>
      </c>
      <c r="B8">
        <v>250</v>
      </c>
      <c r="C8" t="s">
        <v>108</v>
      </c>
      <c r="D8">
        <v>80</v>
      </c>
      <c r="E8" t="s">
        <v>106</v>
      </c>
      <c r="H8" s="93"/>
      <c r="I8" s="93">
        <f>210+270</f>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39</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72">
        <v>30000</v>
      </c>
      <c r="J13" s="272" t="s">
        <v>323</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99" priority="86">
      <formula>$C22=MAX($C$8:$C$37)</formula>
    </cfRule>
  </conditionalFormatting>
  <conditionalFormatting sqref="C23:C37">
    <cfRule type="expression" dxfId="598" priority="85">
      <formula>$C22=MAX($C$8:$C$37)</formula>
    </cfRule>
  </conditionalFormatting>
  <conditionalFormatting sqref="E23:E38">
    <cfRule type="expression" dxfId="597" priority="87">
      <formula>AND($A23="",$F23&lt;&gt;"")</formula>
    </cfRule>
  </conditionalFormatting>
  <conditionalFormatting sqref="F23:F38">
    <cfRule type="expression" dxfId="596" priority="88">
      <formula>AND($F23="",$A23&lt;&gt;"")</formula>
    </cfRule>
  </conditionalFormatting>
  <conditionalFormatting sqref="D20:H22">
    <cfRule type="expression" dxfId="595" priority="34">
      <formula>$C19=MAX($C$8:$C$37)</formula>
    </cfRule>
  </conditionalFormatting>
  <conditionalFormatting sqref="C20:C22">
    <cfRule type="expression" dxfId="594" priority="33">
      <formula>$C19=MAX($C$8:$C$37)</formula>
    </cfRule>
  </conditionalFormatting>
  <conditionalFormatting sqref="E20:E22">
    <cfRule type="expression" dxfId="593" priority="35">
      <formula>AND($A20="",$F20&lt;&gt;"")</formula>
    </cfRule>
  </conditionalFormatting>
  <conditionalFormatting sqref="F20:F22">
    <cfRule type="expression" dxfId="592" priority="36">
      <formula>AND($F20="",$A20&lt;&gt;"")</formula>
    </cfRule>
  </conditionalFormatting>
  <conditionalFormatting sqref="D15:H19 D12:F14 H12:H14">
    <cfRule type="expression" dxfId="591" priority="30">
      <formula>$C11=MAX($C$8:$C$37)</formula>
    </cfRule>
  </conditionalFormatting>
  <conditionalFormatting sqref="C12:C19">
    <cfRule type="expression" dxfId="590" priority="29">
      <formula>$C11=MAX($C$8:$C$37)</formula>
    </cfRule>
  </conditionalFormatting>
  <conditionalFormatting sqref="E12:E19">
    <cfRule type="expression" dxfId="589" priority="31">
      <formula>AND($A12="",$F12&lt;&gt;"")</formula>
    </cfRule>
  </conditionalFormatting>
  <conditionalFormatting sqref="F12:F19">
    <cfRule type="expression" dxfId="588" priority="32">
      <formula>AND($F12="",$A12&lt;&gt;"")</formula>
    </cfRule>
  </conditionalFormatting>
  <conditionalFormatting sqref="G12:G14">
    <cfRule type="expression" dxfId="587" priority="13">
      <formula>$C11=MAX($C$8:$C$37)</formula>
    </cfRule>
  </conditionalFormatting>
  <conditionalFormatting sqref="D9:F11 H9:H11">
    <cfRule type="expression" dxfId="586" priority="9">
      <formula>$C8=MAX($C$8:$C$37)</formula>
    </cfRule>
  </conditionalFormatting>
  <conditionalFormatting sqref="C9:C11">
    <cfRule type="expression" dxfId="585" priority="8">
      <formula>$C8=MAX($C$8:$C$37)</formula>
    </cfRule>
  </conditionalFormatting>
  <conditionalFormatting sqref="E9:E11">
    <cfRule type="expression" dxfId="584" priority="10">
      <formula>AND($A9="",$F9&lt;&gt;"")</formula>
    </cfRule>
  </conditionalFormatting>
  <conditionalFormatting sqref="F9:F11">
    <cfRule type="expression" dxfId="583" priority="11">
      <formula>AND($F9="",$A9&lt;&gt;"")</formula>
    </cfRule>
  </conditionalFormatting>
  <conditionalFormatting sqref="D8:F8">
    <cfRule type="expression" dxfId="582" priority="5">
      <formula>$C7=MAX($C$8:$C$37)</formula>
    </cfRule>
  </conditionalFormatting>
  <conditionalFormatting sqref="C8">
    <cfRule type="expression" dxfId="581" priority="4">
      <formula>$C7=MAX($C$8:$C$37)</formula>
    </cfRule>
  </conditionalFormatting>
  <conditionalFormatting sqref="E8">
    <cfRule type="expression" dxfId="580" priority="6">
      <formula>AND($A8="",$F8&lt;&gt;"")</formula>
    </cfRule>
  </conditionalFormatting>
  <conditionalFormatting sqref="F8">
    <cfRule type="expression" dxfId="579" priority="7">
      <formula>AND($F8="",$A8&lt;&gt;"")</formula>
    </cfRule>
  </conditionalFormatting>
  <conditionalFormatting sqref="H8">
    <cfRule type="expression" dxfId="578" priority="3">
      <formula>$C7=MAX($C$8:$C$37)</formula>
    </cfRule>
  </conditionalFormatting>
  <conditionalFormatting sqref="G9:G11">
    <cfRule type="expression" dxfId="577" priority="2">
      <formula>$C8=MAX($C$8:$C$37)</formula>
    </cfRule>
  </conditionalFormatting>
  <conditionalFormatting sqref="G8">
    <cfRule type="expression" dxfId="5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FCA59-66C4-4C04-9A5C-8AE589AEAB03}">
  <sheetPr codeName="Sheet5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315</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25</v>
      </c>
      <c r="B8" s="150">
        <v>1</v>
      </c>
      <c r="C8" s="30">
        <f t="shared" ref="C8:C37" si="0">IF(OR(SUM($C7,$A8&lt;&gt;"")=0,$A8=""),"",SUM($C7,$A8&lt;&gt;""))</f>
        <v>1</v>
      </c>
      <c r="D8" s="147" t="str">
        <f>IFERROR(VLOOKUP($A8,Sheet1!$A$1:$B$80,2,0),"")</f>
        <v>Đậu hủ phô mai EB</v>
      </c>
      <c r="E8" s="30">
        <f>IFERROR(VLOOKUP($A8,'Tổng Đơn'!$A$5:$E$52,5,0),"")</f>
        <v>0.5</v>
      </c>
      <c r="F8" s="30">
        <f t="shared" ref="F8:F37" si="1">IF($B8="","",B8)</f>
        <v>1</v>
      </c>
      <c r="G8" s="155">
        <f>IFERROR(VLOOKUP($A8,Sheet1!$A1:$D$80,4,0),"")</f>
        <v>80000</v>
      </c>
      <c r="H8" s="148">
        <f>IF($C7=MAX($C$8:$C$56),SUM($H7:$H$8),IFERROR($G8*$F8,""))</f>
        <v>80000</v>
      </c>
      <c r="I8" s="54">
        <f t="shared" ref="I8:I37" si="2">IF(TYPE($A8)&lt;&gt;1,"",IFERROR(F8*E8,""))</f>
        <v>0.5</v>
      </c>
      <c r="L8" s="32"/>
    </row>
    <row r="9" spans="1:14" s="29" customFormat="1" ht="14.25" customHeight="1" x14ac:dyDescent="0.25">
      <c r="A9" s="150">
        <v>34</v>
      </c>
      <c r="B9" s="150">
        <v>4</v>
      </c>
      <c r="C9" s="30">
        <f t="shared" si="0"/>
        <v>2</v>
      </c>
      <c r="D9" s="147" t="str">
        <f>IFERROR(VLOOKUP($A9,Sheet1!$A$1:$B$80,2,0),"")</f>
        <v>Cá viên KK</v>
      </c>
      <c r="E9" s="30">
        <f>IFERROR(VLOOKUP($A9,'Tổng Đơn'!$A$5:$E$52,5,0),"")</f>
        <v>0.5</v>
      </c>
      <c r="F9" s="30">
        <f t="shared" si="1"/>
        <v>4</v>
      </c>
      <c r="G9" s="155">
        <f>IF(AND($C9="",$C8&lt;&gt;""),"Tổng Cộng",IFERROR(VLOOKUP($A9,Sheet1!$A$1:$D$80,4,0),""))</f>
        <v>25000</v>
      </c>
      <c r="H9" s="148">
        <f>IF($C8=MAX($C$8:$C$56),SUM($H$8:$H8),IFERROR($G9*$F9,""))</f>
        <v>100000</v>
      </c>
      <c r="I9" s="54">
        <f t="shared" si="2"/>
        <v>2</v>
      </c>
      <c r="L9" s="31"/>
    </row>
    <row r="10" spans="1:14" s="29" customFormat="1" ht="14.25" customHeight="1" x14ac:dyDescent="0.25">
      <c r="A10" s="150">
        <v>38</v>
      </c>
      <c r="B10" s="150">
        <v>2</v>
      </c>
      <c r="C10" s="30">
        <f t="shared" si="0"/>
        <v>3</v>
      </c>
      <c r="D10" s="147" t="str">
        <f>IFERROR(VLOOKUP($A10,Sheet1!$A$1:$B$80,2,0),"")</f>
        <v>XX Đỏ KK</v>
      </c>
      <c r="E10" s="30">
        <f>IFERROR(VLOOKUP($A10,'Tổng Đơn'!$A$5:$E$52,5,0),"")</f>
        <v>0.5</v>
      </c>
      <c r="F10" s="30">
        <f t="shared" si="1"/>
        <v>2</v>
      </c>
      <c r="G10" s="155">
        <f>IF(AND($C10="",$C9&lt;&gt;""),"Tổng Cộng",IFERROR(VLOOKUP($A10,Sheet1!$A$1:$D$80,4,0),""))</f>
        <v>26000</v>
      </c>
      <c r="H10" s="148">
        <f>IF($C9=MAX($C$8:$C$56),SUM($H$8:$H9),IFERROR($G10*$F10,""))</f>
        <v>52000</v>
      </c>
      <c r="I10" s="54">
        <f t="shared" si="2"/>
        <v>1</v>
      </c>
      <c r="L10" s="31"/>
    </row>
    <row r="11" spans="1:14" s="29" customFormat="1" ht="14.25" customHeight="1" x14ac:dyDescent="0.25">
      <c r="A11" s="150">
        <v>39</v>
      </c>
      <c r="B11" s="150">
        <v>2</v>
      </c>
      <c r="C11" s="30">
        <f t="shared" si="0"/>
        <v>4</v>
      </c>
      <c r="D11" s="147" t="str">
        <f>IFERROR(VLOOKUP($A11,Sheet1!$A$1:$B$80,2,0),"")</f>
        <v>XX Đức KK</v>
      </c>
      <c r="E11" s="30">
        <f>IFERROR(VLOOKUP($A11,'Tổng Đơn'!$A$5:$E$52,5,0),"")</f>
        <v>0.5</v>
      </c>
      <c r="F11" s="30">
        <f t="shared" si="1"/>
        <v>2</v>
      </c>
      <c r="G11" s="155">
        <f>IF(AND($C11="",$C10&lt;&gt;""),"Tổng Cộng",IFERROR(VLOOKUP($A11,Sheet1!$A$1:$D$80,4,0),""))</f>
        <v>37000</v>
      </c>
      <c r="H11" s="148">
        <f>IF($C10=MAX($C$8:$C$56),SUM($H$8:$H10),IFERROR($G11*$F11,""))</f>
        <v>74000</v>
      </c>
      <c r="I11" s="54">
        <f t="shared" si="2"/>
        <v>1</v>
      </c>
      <c r="L11" s="31"/>
    </row>
    <row r="12" spans="1:14" s="29" customFormat="1" ht="14.25" customHeight="1" x14ac:dyDescent="0.25">
      <c r="A12" s="150">
        <v>1</v>
      </c>
      <c r="B12" s="150">
        <v>1</v>
      </c>
      <c r="C12" s="30">
        <f t="shared" si="0"/>
        <v>5</v>
      </c>
      <c r="D12" s="147" t="s">
        <v>312</v>
      </c>
      <c r="E12" s="30" t="s">
        <v>234</v>
      </c>
      <c r="F12" s="30" t="s">
        <v>234</v>
      </c>
      <c r="G12" s="155" t="s">
        <v>234</v>
      </c>
      <c r="H12" s="148">
        <f>-4*2000</f>
        <v>-8000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298000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34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85BF2-444C-4BBC-B76C-D908BE9599CC}">
  <sheetPr codeName="Sheet5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23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AAD5C-3B2B-44DC-83C4-CB8BBE6D7D1F}">
  <sheetPr codeName="Sheet5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321</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312</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13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6AF19-EB9E-44BF-A9CE-FA8ABDCC1315}">
  <sheetPr codeName="Sheet5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8</v>
      </c>
      <c r="L7" s="140"/>
    </row>
    <row r="8" spans="1:14" s="29" customFormat="1" ht="14.25" customHeight="1" x14ac:dyDescent="0.25">
      <c r="A8" s="150">
        <v>14</v>
      </c>
      <c r="B8" s="150">
        <v>2</v>
      </c>
      <c r="C8" s="30">
        <f t="shared" ref="C8:C37" si="0">IF(OR(SUM($C7,$A8&lt;&gt;"")=0,$A8=""),"",SUM($C7,$A8&lt;&gt;""))</f>
        <v>1</v>
      </c>
      <c r="D8" s="147" t="str">
        <f>IFERROR(VLOOKUP($A8,Sheet1!$A$1:$B$80,2,0),"")</f>
        <v>Phô mai viên (35v)</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v>34</v>
      </c>
      <c r="B10" s="150">
        <v>5</v>
      </c>
      <c r="C10" s="30">
        <f t="shared" si="0"/>
        <v>3</v>
      </c>
      <c r="D10" s="147" t="str">
        <f>IFERROR(VLOOKUP($A10,Sheet1!$A$1:$B$80,2,0),"")</f>
        <v>Cá viên KK</v>
      </c>
      <c r="E10" s="30">
        <f>IFERROR(VLOOKUP($A10,'Tổng Đơn'!$A$5:$E$52,5,0),"")</f>
        <v>0.5</v>
      </c>
      <c r="F10" s="30">
        <f t="shared" si="1"/>
        <v>5</v>
      </c>
      <c r="G10" s="155">
        <f>IF(AND($C10="",$C9&lt;&gt;""),"Tổng Cộng",IFERROR(VLOOKUP($A10,Sheet1!$A$1:$D$80,4,0),""))</f>
        <v>25000</v>
      </c>
      <c r="H10" s="148">
        <f>IF($C9=MAX($C$8:$C$56),SUM($H$8:$H9),IFERROR($G10*$F10,""))</f>
        <v>125000</v>
      </c>
      <c r="I10" s="54">
        <f t="shared" si="2"/>
        <v>2.5</v>
      </c>
      <c r="L10" s="31"/>
    </row>
    <row r="11" spans="1:14" s="29" customFormat="1" ht="14.25" customHeight="1" x14ac:dyDescent="0.25">
      <c r="A11" s="150">
        <v>39</v>
      </c>
      <c r="B11" s="150">
        <v>5</v>
      </c>
      <c r="C11" s="30">
        <f t="shared" si="0"/>
        <v>4</v>
      </c>
      <c r="D11" s="147" t="str">
        <f>IFERROR(VLOOKUP($A11,Sheet1!$A$1:$B$80,2,0),"")</f>
        <v>XX Đức KK</v>
      </c>
      <c r="E11" s="30">
        <f>IFERROR(VLOOKUP($A11,'Tổng Đơn'!$A$5:$E$52,5,0),"")</f>
        <v>0.5</v>
      </c>
      <c r="F11" s="30">
        <f t="shared" si="1"/>
        <v>5</v>
      </c>
      <c r="G11" s="155">
        <f>IF(AND($C11="",$C10&lt;&gt;""),"Tổng Cộng",IFERROR(VLOOKUP($A11,Sheet1!$A$1:$D$80,4,0),""))</f>
        <v>37000</v>
      </c>
      <c r="H11" s="148">
        <f>IF($C10=MAX($C$8:$C$56),SUM($H$8:$H10),IFERROR($G11*$F11,""))</f>
        <v>185000</v>
      </c>
      <c r="I11" s="54">
        <f t="shared" si="2"/>
        <v>2.5</v>
      </c>
      <c r="L11" s="31"/>
    </row>
    <row r="12" spans="1:14" s="29" customFormat="1" ht="14.25" customHeight="1" x14ac:dyDescent="0.25">
      <c r="A12" s="150">
        <v>41</v>
      </c>
      <c r="B12" s="150">
        <v>2</v>
      </c>
      <c r="C12" s="30">
        <f t="shared" si="0"/>
        <v>5</v>
      </c>
      <c r="D12" s="147" t="str">
        <f>IFERROR(VLOOKUP($A12,Sheet1!$A$1:$B$80,2,0),"")</f>
        <v>Bánh bao thả lẩu Trứng cá KK</v>
      </c>
      <c r="E12" s="30">
        <f>IFERROR(VLOOKUP($A12,'Tổng Đơn'!$A$5:$E$52,5,0),"")</f>
        <v>0.5</v>
      </c>
      <c r="F12" s="30">
        <f t="shared" si="1"/>
        <v>2</v>
      </c>
      <c r="G12" s="155">
        <f>IF(AND($C12="",$C11&lt;&gt;""),"Tổng Cộng",IFERROR(VLOOKUP($A12,Sheet1!$A$1:$D$80,4,0),""))</f>
        <v>45000</v>
      </c>
      <c r="H12" s="148">
        <f>IF($C11=MAX($C$8:$C$56),SUM($H$8:$H11),IFERROR($G12*$F12,""))</f>
        <v>90000</v>
      </c>
      <c r="I12" s="54">
        <f t="shared" si="2"/>
        <v>1</v>
      </c>
      <c r="J12" s="125"/>
      <c r="L12" s="31"/>
      <c r="N12" s="126"/>
    </row>
    <row r="13" spans="1:14" s="29" customFormat="1" ht="14.25" customHeight="1" x14ac:dyDescent="0.25">
      <c r="A13" s="150" t="s">
        <v>281</v>
      </c>
      <c r="B13" s="150">
        <v>3</v>
      </c>
      <c r="C13" s="30">
        <f t="shared" si="0"/>
        <v>6</v>
      </c>
      <c r="D13" s="147" t="str">
        <f>IFERROR(VLOOKUP($A13,Sheet1!$A$1:$B$80,2,0),"")</f>
        <v>0-Gà viên</v>
      </c>
      <c r="E13" s="30">
        <f>IFERROR(VLOOKUP($A13,'Tổng Đơn'!$A$5:$E$52,5,0),"")</f>
        <v>0.5</v>
      </c>
      <c r="F13" s="30">
        <f t="shared" si="1"/>
        <v>3</v>
      </c>
      <c r="G13" s="155">
        <f>IF(AND($C13="",$C12&lt;&gt;""),"Tổng Cộng",IFERROR(VLOOKUP($A13,Sheet1!$A$1:$D$80,4,0),""))</f>
        <v>43000</v>
      </c>
      <c r="H13" s="148">
        <f>IF($C12=MAX($C$8:$C$56),SUM($H$8:$H12),IFERROR($G13*$F13,""))</f>
        <v>129000</v>
      </c>
      <c r="I13" s="54" t="str">
        <f t="shared" si="2"/>
        <v/>
      </c>
      <c r="L13" s="31"/>
    </row>
    <row r="14" spans="1:14" s="29" customFormat="1" ht="14.25" customHeight="1" x14ac:dyDescent="0.25">
      <c r="A14" s="150">
        <v>1</v>
      </c>
      <c r="B14" s="150">
        <v>1</v>
      </c>
      <c r="C14" s="30">
        <f t="shared" si="0"/>
        <v>7</v>
      </c>
      <c r="D14" s="147" t="s">
        <v>312</v>
      </c>
      <c r="E14" s="30" t="s">
        <v>234</v>
      </c>
      <c r="F14" s="30" t="s">
        <v>234</v>
      </c>
      <c r="G14" s="155" t="s">
        <v>234</v>
      </c>
      <c r="H14" s="148">
        <f>-5*2000-5000</f>
        <v>-15000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659000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03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570D1-8B15-45EB-9FE4-AF4C6CAD1121}">
  <sheetPr codeName="Sheet5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320</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13</v>
      </c>
      <c r="B8" s="150">
        <v>10</v>
      </c>
      <c r="C8" s="30">
        <f t="shared" ref="C8:C37" si="0">IF(OR(SUM($C7,$A8&lt;&gt;"")=0,$A8=""),"",SUM($C7,$A8&lt;&gt;""))</f>
        <v>1</v>
      </c>
      <c r="D8" s="147" t="str">
        <f>IFERROR(VLOOKUP($A8,Sheet1!$A$1:$B$80,2,0),"")</f>
        <v>Phô mai que (13 que)</v>
      </c>
      <c r="E8" s="30">
        <f>IFERROR(VLOOKUP($A8,'Tổng Đơn'!$A$5:$E$52,5,0),"")</f>
        <v>0.5</v>
      </c>
      <c r="F8" s="30">
        <f t="shared" ref="F8:F37" si="1">IF($B8="","",B8)</f>
        <v>10</v>
      </c>
      <c r="G8" s="155">
        <f>IFERROR(VLOOKUP($A8,Sheet1!$A1:$D$80,4,0),"")</f>
        <v>40000</v>
      </c>
      <c r="H8" s="148">
        <f>IF($C7=MAX($C$8:$C$56),SUM($H7:$H$8),IFERROR($G8*$F8,""))</f>
        <v>400000</v>
      </c>
      <c r="I8" s="54">
        <f t="shared" ref="I8:I37" si="2">IF(TYPE($A8)&lt;&gt;1,"",IFERROR(F8*E8,""))</f>
        <v>5</v>
      </c>
      <c r="L8" s="32"/>
    </row>
    <row r="9" spans="1:14" s="29" customFormat="1" ht="14.25" customHeight="1" x14ac:dyDescent="0.25">
      <c r="A9" s="150">
        <v>41</v>
      </c>
      <c r="B9" s="150">
        <v>10</v>
      </c>
      <c r="C9" s="30">
        <f t="shared" si="0"/>
        <v>2</v>
      </c>
      <c r="D9" s="147" t="str">
        <f>IFERROR(VLOOKUP($A9,Sheet1!$A$1:$B$80,2,0),"")</f>
        <v>Bánh bao thả lẩu Trứng cá KK</v>
      </c>
      <c r="E9" s="30">
        <f>IFERROR(VLOOKUP($A9,'Tổng Đơn'!$A$5:$E$52,5,0),"")</f>
        <v>0.5</v>
      </c>
      <c r="F9" s="30">
        <f t="shared" si="1"/>
        <v>10</v>
      </c>
      <c r="G9" s="155">
        <f>IF(AND($C9="",$C8&lt;&gt;""),"Tổng Cộng",IFERROR(VLOOKUP($A9,Sheet1!$A$1:$D$80,4,0),""))</f>
        <v>45000</v>
      </c>
      <c r="H9" s="148">
        <f>IF($C8=MAX($C$8:$C$56),SUM($H$8:$H8),IFERROR($G9*$F9,""))</f>
        <v>450000</v>
      </c>
      <c r="I9" s="54">
        <f t="shared" si="2"/>
        <v>5</v>
      </c>
      <c r="L9" s="31"/>
    </row>
    <row r="10" spans="1:14" s="29" customFormat="1" ht="14.25" customHeight="1" x14ac:dyDescent="0.25">
      <c r="A10" s="150" t="s">
        <v>277</v>
      </c>
      <c r="B10" s="150">
        <v>5</v>
      </c>
      <c r="C10" s="30">
        <f t="shared" si="0"/>
        <v>3</v>
      </c>
      <c r="D10" s="147" t="str">
        <f>IFERROR(VLOOKUP($A10,Sheet1!$A$1:$B$80,2,0),"")</f>
        <v>0-Đùi gà Rán 10C lớn</v>
      </c>
      <c r="E10" s="30">
        <f>IFERROR(VLOOKUP($A10,'Tổng Đơn'!$A$5:$E$52,5,0),"")</f>
        <v>1.5</v>
      </c>
      <c r="F10" s="30">
        <f t="shared" si="1"/>
        <v>5</v>
      </c>
      <c r="G10" s="155">
        <f>IF(AND($C10="",$C9&lt;&gt;""),"Tổng Cộng",IFERROR(VLOOKUP($A10,Sheet1!$A$1:$D$80,4,0),""))</f>
        <v>122000</v>
      </c>
      <c r="H10" s="148">
        <f>IF($C9=MAX($C$8:$C$56),SUM($H$8:$H9),IFERROR($G10*$F10,""))</f>
        <v>610000</v>
      </c>
      <c r="I10" s="54" t="str">
        <f t="shared" si="2"/>
        <v/>
      </c>
      <c r="L10" s="31"/>
    </row>
    <row r="11" spans="1:14" s="29" customFormat="1" ht="14.25" customHeight="1" x14ac:dyDescent="0.25">
      <c r="A11" s="150">
        <v>1</v>
      </c>
      <c r="B11" s="150">
        <v>1</v>
      </c>
      <c r="C11" s="30">
        <f t="shared" si="0"/>
        <v>4</v>
      </c>
      <c r="D11" s="147" t="s">
        <v>312</v>
      </c>
      <c r="E11" s="30" t="s">
        <v>234</v>
      </c>
      <c r="F11" s="30" t="s">
        <v>234</v>
      </c>
      <c r="G11" s="155" t="s">
        <v>234</v>
      </c>
      <c r="H11" s="148">
        <f>-10*2500-10*3000-5*4000</f>
        <v>-75000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1385000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93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7A73A-CDC5-4C90-8E86-A0C4CE45C3A2}">
  <sheetPr codeName="Sheet52">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2.2000000000000002</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28</v>
      </c>
      <c r="B9" s="150">
        <v>1</v>
      </c>
      <c r="C9" s="30">
        <f t="shared" si="0"/>
        <v>2</v>
      </c>
      <c r="D9" s="147" t="str">
        <f>IFERROR(VLOOKUP($A9,Sheet1!$A$1:$B$80,2,0),"")</f>
        <v>Há cảo Mini</v>
      </c>
      <c r="E9" s="30">
        <f>IFERROR(VLOOKUP($A9,'Tổng Đơn'!$A$5:$E$52,5,0),"")</f>
        <v>0.2</v>
      </c>
      <c r="F9" s="30">
        <f t="shared" si="1"/>
        <v>1</v>
      </c>
      <c r="G9" s="155">
        <f>IF(AND($C9="",$C8&lt;&gt;""),"Tổng Cộng",IFERROR(VLOOKUP($A9,Sheet1!$A$1:$D$80,4,0),""))</f>
        <v>38000</v>
      </c>
      <c r="H9" s="148">
        <f>IF($C8=MAX($C$8:$C$56),SUM($H$8:$H8),IFERROR($G9*$F9,""))</f>
        <v>38000</v>
      </c>
      <c r="I9" s="54">
        <f t="shared" si="2"/>
        <v>0.2</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41</v>
      </c>
      <c r="B12" s="150">
        <v>1</v>
      </c>
      <c r="C12" s="30">
        <f t="shared" si="0"/>
        <v>5</v>
      </c>
      <c r="D12" s="147" t="str">
        <f>IFERROR(VLOOKUP($A12,Sheet1!$A$1:$B$80,2,0),"")</f>
        <v>Bánh bao thả lẩu Trứng cá KK</v>
      </c>
      <c r="E12" s="30">
        <f>IFERROR(VLOOKUP($A12,'Tổng Đơn'!$A$5:$E$52,5,0),"")</f>
        <v>0.5</v>
      </c>
      <c r="F12" s="30">
        <f t="shared" si="1"/>
        <v>1</v>
      </c>
      <c r="G12" s="155">
        <f>IF(AND($C12="",$C11&lt;&gt;""),"Tổng Cộng",IFERROR(VLOOKUP($A12,Sheet1!$A$1:$D$80,4,0),""))</f>
        <v>45000</v>
      </c>
      <c r="H12" s="148">
        <f>IF($C11=MAX($C$8:$C$56),SUM($H$8:$H11),IFERROR($G12*$F12,""))</f>
        <v>45000</v>
      </c>
      <c r="I12" s="54">
        <f t="shared" si="2"/>
        <v>0.5</v>
      </c>
      <c r="J12" s="125"/>
      <c r="L12" s="31"/>
      <c r="N12" s="126"/>
    </row>
    <row r="13" spans="1:14" s="29" customFormat="1" ht="14.25" customHeight="1" x14ac:dyDescent="0.25">
      <c r="A13" s="150">
        <v>1</v>
      </c>
      <c r="B13" s="150">
        <v>1</v>
      </c>
      <c r="C13" s="30">
        <f t="shared" si="0"/>
        <v>6</v>
      </c>
      <c r="D13" s="147" t="s">
        <v>312</v>
      </c>
      <c r="E13" s="30" t="s">
        <v>234</v>
      </c>
      <c r="F13" s="30" t="s">
        <v>234</v>
      </c>
      <c r="G13" s="155" t="s">
        <v>234</v>
      </c>
      <c r="H13" s="148">
        <v>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180000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8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E6B52-6955-46F2-90CD-B8046E78CE4D}">
  <sheetPr codeName="Sheet5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35</v>
      </c>
      <c r="B8" s="150">
        <v>11</v>
      </c>
      <c r="C8" s="30">
        <f t="shared" ref="C8:C37" si="0">IF(OR(SUM($C7,$A8&lt;&gt;"")=0,$A8=""),"",SUM($C7,$A8&lt;&gt;""))</f>
        <v>1</v>
      </c>
      <c r="D8" s="147" t="str">
        <f>IFERROR(VLOOKUP($A8,Sheet1!$A$1:$B$80,2,0),"")</f>
        <v>Cá viên rau củ KK</v>
      </c>
      <c r="E8" s="30">
        <f>IFERROR(VLOOKUP($A8,'Tổng Đơn'!$A$5:$E$52,5,0),"")</f>
        <v>0.5</v>
      </c>
      <c r="F8" s="30">
        <f t="shared" ref="F8:F37" si="1">IF($B8="","",B8)</f>
        <v>11</v>
      </c>
      <c r="G8" s="155">
        <f>IFERROR(VLOOKUP($A8,Sheet1!$A1:$D$80,4,0),"")</f>
        <v>28000</v>
      </c>
      <c r="H8" s="148">
        <f>IF($C7=MAX($C$8:$C$56),SUM($H7:$H$8),IFERROR($G8*$F8,""))</f>
        <v>308000</v>
      </c>
      <c r="I8" s="54">
        <f t="shared" ref="I8:I37" si="2">IF(TYPE($A8)&lt;&gt;1,"",IFERROR(F8*E8,""))</f>
        <v>5.5</v>
      </c>
      <c r="L8" s="32"/>
    </row>
    <row r="9" spans="1:14" s="29" customFormat="1" ht="14.25" customHeight="1" x14ac:dyDescent="0.25">
      <c r="A9" s="150">
        <v>1</v>
      </c>
      <c r="B9" s="150">
        <v>1</v>
      </c>
      <c r="C9" s="30">
        <f t="shared" si="0"/>
        <v>2</v>
      </c>
      <c r="D9" s="147" t="s">
        <v>312</v>
      </c>
      <c r="E9" s="30" t="s">
        <v>234</v>
      </c>
      <c r="F9" s="30" t="s">
        <v>234</v>
      </c>
      <c r="G9" s="155" t="s">
        <v>234</v>
      </c>
      <c r="H9" s="148">
        <f>-5.5*8000</f>
        <v>-44000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264000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7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580D5-34FC-4044-9825-904C684F3A69}">
  <sheetPr codeName="Sheet5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6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DC5F-B2F5-477F-A1DD-41D3E9CD09DA}">
  <sheetPr codeName="Sheet4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319</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5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29B91-0038-4766-9FB9-F4FA8D42A943}">
  <sheetPr codeName="Sheet4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v>34</v>
      </c>
      <c r="B9" s="150">
        <v>2</v>
      </c>
      <c r="C9" s="30">
        <f t="shared" si="0"/>
        <v>2</v>
      </c>
      <c r="D9" s="147" t="str">
        <f>IFERROR(VLOOKUP($A9,Sheet1!$A$1:$B$80,2,0),"")</f>
        <v>Cá viên KK</v>
      </c>
      <c r="E9" s="30">
        <f>IFERROR(VLOOKUP($A9,'Tổng Đơn'!$A$5:$E$52,5,0),"")</f>
        <v>0.5</v>
      </c>
      <c r="F9" s="30">
        <f t="shared" si="1"/>
        <v>2</v>
      </c>
      <c r="G9" s="155">
        <f>IF(AND($C9="",$C8&lt;&gt;""),"Tổng Cộng",IFERROR(VLOOKUP($A9,Sheet1!$A$1:$D$80,4,0),""))</f>
        <v>25000</v>
      </c>
      <c r="H9" s="148">
        <f>IF($C8=MAX($C$8:$C$56),SUM($H$8:$H8),IFERROR($G9*$F9,""))</f>
        <v>50000</v>
      </c>
      <c r="I9" s="54">
        <f t="shared" si="2"/>
        <v>1</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1</v>
      </c>
      <c r="B11" s="150">
        <v>1</v>
      </c>
      <c r="C11" s="30">
        <f t="shared" si="0"/>
        <v>4</v>
      </c>
      <c r="D11" s="147" t="s">
        <v>312</v>
      </c>
      <c r="E11" s="30" t="s">
        <v>234</v>
      </c>
      <c r="F11" s="30" t="s">
        <v>234</v>
      </c>
      <c r="G11" s="155" t="s">
        <v>234</v>
      </c>
      <c r="H11" s="148">
        <v>-1000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140000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41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50DE-EB4A-4E82-977E-7D9C395B476D}">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4</v>
      </c>
      <c r="B8" s="150">
        <v>1</v>
      </c>
      <c r="C8" s="30">
        <f t="shared" ref="C8:C37" si="0">IF(OR(SUM($C7,$A8&lt;&gt;"")=0,$A8=""),"",SUM($C7,$A8&lt;&gt;""))</f>
        <v>1</v>
      </c>
      <c r="D8" s="147" t="str">
        <f>IFERROR(VLOOKUP($A8,Sheet1!$A$1:$B$80,2,0),"")</f>
        <v>Phô mai que AN</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31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2A68B-9FEE-49E9-9E6B-946427A7E41D}">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318</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21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A8732-2710-4E04-A95D-396AFD4B8C40}">
  <sheetPr codeName="Sheet4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312</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11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EB6C3-CE28-4376-9A36-41F3F8B9D65E}">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20</v>
      </c>
      <c r="B8" s="150">
        <v>1</v>
      </c>
      <c r="C8" s="30">
        <f t="shared" ref="C8:C37" si="0">IF(OR(SUM($C7,$A8&lt;&gt;"")=0,$A8=""),"",SUM($C7,$A8&lt;&gt;""))</f>
        <v>1</v>
      </c>
      <c r="D8" s="147" t="str">
        <f>IFERROR(VLOOKUP($A8,Sheet1!$A$1:$B$80,2,0),"")</f>
        <v>0-Bò cuộn Excel Canada</v>
      </c>
      <c r="E8" s="30">
        <f>IFERROR(VLOOKUP($A8,'Tổng Đơn'!$A$5:$E$52,5,0),"")</f>
        <v>0.5</v>
      </c>
      <c r="F8" s="30">
        <f t="shared" ref="F8:F37" si="1">IF($B8="","",B8)</f>
        <v>1</v>
      </c>
      <c r="G8" s="155">
        <f>IFERROR(VLOOKUP($A8,Sheet1!$A1:$D$80,4,0),"")</f>
        <v>105000</v>
      </c>
      <c r="H8" s="148">
        <f>IF($C7=MAX($C$8:$C$56),SUM($H7:$H$8),IFERROR($G8*$F8,""))</f>
        <v>105000</v>
      </c>
      <c r="I8" s="54">
        <f t="shared" ref="I8:I37" si="2">IF(TYPE($A8)&lt;&gt;1,"",IFERROR(F8*E8,""))</f>
        <v>0.5</v>
      </c>
      <c r="L8" s="32"/>
    </row>
    <row r="9" spans="1:14" s="29" customFormat="1" ht="14.25" customHeight="1" x14ac:dyDescent="0.25">
      <c r="A9" s="150" t="s">
        <v>277</v>
      </c>
      <c r="B9" s="150">
        <v>1</v>
      </c>
      <c r="C9" s="30">
        <f t="shared" si="0"/>
        <v>2</v>
      </c>
      <c r="D9" s="147" t="str">
        <f>IFERROR(VLOOKUP($A9,Sheet1!$A$1:$B$80,2,0),"")</f>
        <v>0-Đùi gà Rán 10C lớn</v>
      </c>
      <c r="E9" s="30">
        <f>IFERROR(VLOOKUP($A9,'Tổng Đơn'!$A$5:$E$52,5,0),"")</f>
        <v>1.5</v>
      </c>
      <c r="F9" s="30">
        <f t="shared" si="1"/>
        <v>1</v>
      </c>
      <c r="G9" s="155">
        <f>IF(AND($C9="",$C8&lt;&gt;""),"Tổng Cộng",IFERROR(VLOOKUP($A9,Sheet1!$A$1:$D$80,4,0),""))</f>
        <v>122000</v>
      </c>
      <c r="H9" s="148">
        <f>IF($C8=MAX($C$8:$C$56),SUM($H$8:$H8),IFERROR($G9*$F9,""))</f>
        <v>122000</v>
      </c>
      <c r="I9" s="54" t="str">
        <f t="shared" si="2"/>
        <v/>
      </c>
      <c r="L9" s="31"/>
    </row>
    <row r="10" spans="1:14" s="29" customFormat="1" ht="14.25" customHeight="1" x14ac:dyDescent="0.25">
      <c r="A10" s="150">
        <v>1</v>
      </c>
      <c r="B10" s="150">
        <v>1</v>
      </c>
      <c r="C10" s="30">
        <f t="shared" si="0"/>
        <v>3</v>
      </c>
      <c r="D10" s="147" t="s">
        <v>312</v>
      </c>
      <c r="E10" s="30" t="s">
        <v>234</v>
      </c>
      <c r="F10" s="30" t="s">
        <v>234</v>
      </c>
      <c r="G10" s="155" t="s">
        <v>234</v>
      </c>
      <c r="H10" s="148">
        <v>3000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230000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22">
      <formula>$C22=MAX($C$8:$C$37)</formula>
    </cfRule>
  </conditionalFormatting>
  <conditionalFormatting sqref="C23:C37">
    <cfRule type="expression" dxfId="334" priority="21">
      <formula>$C22=MAX($C$8:$C$37)</formula>
    </cfRule>
  </conditionalFormatting>
  <conditionalFormatting sqref="E23:E38">
    <cfRule type="expression" dxfId="333" priority="23">
      <formula>AND($A23="",$F23&lt;&gt;"")</formula>
    </cfRule>
  </conditionalFormatting>
  <conditionalFormatting sqref="F23:F38">
    <cfRule type="expression" dxfId="332" priority="24">
      <formula>AND($F23="",$A23&lt;&gt;"")</formula>
    </cfRule>
  </conditionalFormatting>
  <conditionalFormatting sqref="D20:H22">
    <cfRule type="expression" dxfId="331" priority="18">
      <formula>$C19=MAX($C$8:$C$37)</formula>
    </cfRule>
  </conditionalFormatting>
  <conditionalFormatting sqref="C20:C22">
    <cfRule type="expression" dxfId="330" priority="17">
      <formula>$C19=MAX($C$8:$C$37)</formula>
    </cfRule>
  </conditionalFormatting>
  <conditionalFormatting sqref="E20:E22">
    <cfRule type="expression" dxfId="329" priority="19">
      <formula>AND($A20="",$F20&lt;&gt;"")</formula>
    </cfRule>
  </conditionalFormatting>
  <conditionalFormatting sqref="F20:F22">
    <cfRule type="expression" dxfId="328" priority="20">
      <formula>AND($F20="",$A20&lt;&gt;"")</formula>
    </cfRule>
  </conditionalFormatting>
  <conditionalFormatting sqref="D15:H19 D12:F14 H12:H14">
    <cfRule type="expression" dxfId="327" priority="14">
      <formula>$C11=MAX($C$8:$C$37)</formula>
    </cfRule>
  </conditionalFormatting>
  <conditionalFormatting sqref="C12:C19">
    <cfRule type="expression" dxfId="326" priority="13">
      <formula>$C11=MAX($C$8:$C$37)</formula>
    </cfRule>
  </conditionalFormatting>
  <conditionalFormatting sqref="E12:E19">
    <cfRule type="expression" dxfId="325" priority="15">
      <formula>AND($A12="",$F12&lt;&gt;"")</formula>
    </cfRule>
  </conditionalFormatting>
  <conditionalFormatting sqref="F12:F19">
    <cfRule type="expression" dxfId="324" priority="16">
      <formula>AND($F12="",$A12&lt;&gt;"")</formula>
    </cfRule>
  </conditionalFormatting>
  <conditionalFormatting sqref="G12:G14">
    <cfRule type="expression" dxfId="323" priority="12">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00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FCCFC-DAC7-4E51-A170-6172C99D3564}">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6.2</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19</v>
      </c>
      <c r="B9" s="150">
        <v>2</v>
      </c>
      <c r="C9" s="30">
        <f t="shared" si="0"/>
        <v>2</v>
      </c>
      <c r="D9" s="147" t="str">
        <f>IFERROR(VLOOKUP($A9,Sheet1!$A$1:$B$80,2,0),"")</f>
        <v>XX Hotdog Phô mai</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24</v>
      </c>
      <c r="B10" s="150">
        <v>3</v>
      </c>
      <c r="C10" s="30">
        <f t="shared" si="0"/>
        <v>3</v>
      </c>
      <c r="D10" s="147" t="str">
        <f>IFERROR(VLOOKUP($A10,Sheet1!$A$1:$B$80,2,0),"")</f>
        <v>Khoai tây</v>
      </c>
      <c r="E10" s="30">
        <f>IFERROR(VLOOKUP($A10,'Tổng Đơn'!$A$5:$E$52,5,0),"")</f>
        <v>1</v>
      </c>
      <c r="F10" s="30">
        <f t="shared" si="1"/>
        <v>3</v>
      </c>
      <c r="G10" s="155">
        <f>IF(AND($C10="",$C9&lt;&gt;""),"Tổng Cộng",IFERROR(VLOOKUP($A10,Sheet1!$A$1:$D$80,4,0),""))</f>
        <v>65000</v>
      </c>
      <c r="H10" s="148">
        <f>IF($C9=MAX($C$8:$C$56),SUM($H$8:$H9),IFERROR($G10*$F10,""))</f>
        <v>195000</v>
      </c>
      <c r="I10" s="54">
        <f t="shared" si="2"/>
        <v>3</v>
      </c>
      <c r="L10" s="31"/>
    </row>
    <row r="11" spans="1:14" s="29" customFormat="1" ht="14.25" customHeight="1" x14ac:dyDescent="0.25">
      <c r="A11" s="150">
        <v>28</v>
      </c>
      <c r="B11" s="150">
        <v>1</v>
      </c>
      <c r="C11" s="30">
        <f t="shared" si="0"/>
        <v>4</v>
      </c>
      <c r="D11" s="147" t="str">
        <f>IFERROR(VLOOKUP($A11,Sheet1!$A$1:$B$80,2,0),"")</f>
        <v>Há cảo Mini</v>
      </c>
      <c r="E11" s="30">
        <f>IFERROR(VLOOKUP($A11,'Tổng Đơn'!$A$5:$E$52,5,0),"")</f>
        <v>0.2</v>
      </c>
      <c r="F11" s="30">
        <f t="shared" si="1"/>
        <v>1</v>
      </c>
      <c r="G11" s="155">
        <f>IF(AND($C11="",$C10&lt;&gt;""),"Tổng Cộng",IFERROR(VLOOKUP($A11,Sheet1!$A$1:$D$80,4,0),""))</f>
        <v>38000</v>
      </c>
      <c r="H11" s="148">
        <f>IF($C10=MAX($C$8:$C$56),SUM($H$8:$H10),IFERROR($G11*$F11,""))</f>
        <v>38000</v>
      </c>
      <c r="I11" s="54">
        <f t="shared" si="2"/>
        <v>0.2</v>
      </c>
      <c r="L11" s="31"/>
    </row>
    <row r="12" spans="1:14" s="29" customFormat="1" ht="14.25" customHeight="1" x14ac:dyDescent="0.25">
      <c r="A12" s="150">
        <v>36</v>
      </c>
      <c r="B12" s="150">
        <v>3</v>
      </c>
      <c r="C12" s="30">
        <f t="shared" si="0"/>
        <v>5</v>
      </c>
      <c r="D12" s="147" t="str">
        <f>IFERROR(VLOOKUP($A12,Sheet1!$A$1:$B$80,2,0),"")</f>
        <v>Bò viên KK</v>
      </c>
      <c r="E12" s="30">
        <f>IFERROR(VLOOKUP($A12,'Tổng Đơn'!$A$5:$E$52,5,0),"")</f>
        <v>0.5</v>
      </c>
      <c r="F12" s="30">
        <f t="shared" si="1"/>
        <v>3</v>
      </c>
      <c r="G12" s="155">
        <f>IF(AND($C12="",$C11&lt;&gt;""),"Tổng Cộng",IFERROR(VLOOKUP($A12,Sheet1!$A$1:$D$80,4,0),""))</f>
        <v>28000</v>
      </c>
      <c r="H12" s="148">
        <f>IF($C11=MAX($C$8:$C$56),SUM($H$8:$H11),IFERROR($G12*$F12,""))</f>
        <v>84000</v>
      </c>
      <c r="I12" s="54">
        <f t="shared" si="2"/>
        <v>1.5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437000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9" priority="22">
      <formula>$C22=MAX($C$8:$C$37)</formula>
    </cfRule>
  </conditionalFormatting>
  <conditionalFormatting sqref="C23:C37">
    <cfRule type="expression" dxfId="358" priority="21">
      <formula>$C22=MAX($C$8:$C$37)</formula>
    </cfRule>
  </conditionalFormatting>
  <conditionalFormatting sqref="E23:E38">
    <cfRule type="expression" dxfId="357" priority="23">
      <formula>AND($A23="",$F23&lt;&gt;"")</formula>
    </cfRule>
  </conditionalFormatting>
  <conditionalFormatting sqref="F23:F38">
    <cfRule type="expression" dxfId="356" priority="24">
      <formula>AND($F23="",$A23&lt;&gt;"")</formula>
    </cfRule>
  </conditionalFormatting>
  <conditionalFormatting sqref="D20:H22">
    <cfRule type="expression" dxfId="355" priority="18">
      <formula>$C19=MAX($C$8:$C$37)</formula>
    </cfRule>
  </conditionalFormatting>
  <conditionalFormatting sqref="C20:C22">
    <cfRule type="expression" dxfId="354" priority="17">
      <formula>$C19=MAX($C$8:$C$37)</formula>
    </cfRule>
  </conditionalFormatting>
  <conditionalFormatting sqref="E20:E22">
    <cfRule type="expression" dxfId="353" priority="19">
      <formula>AND($A20="",$F20&lt;&gt;"")</formula>
    </cfRule>
  </conditionalFormatting>
  <conditionalFormatting sqref="F20:F22">
    <cfRule type="expression" dxfId="352" priority="20">
      <formula>AND($F20="",$A20&lt;&gt;"")</formula>
    </cfRule>
  </conditionalFormatting>
  <conditionalFormatting sqref="D15:H19 D12:F14 H12:H14">
    <cfRule type="expression" dxfId="351" priority="14">
      <formula>$C11=MAX($C$8:$C$37)</formula>
    </cfRule>
  </conditionalFormatting>
  <conditionalFormatting sqref="C12:C19">
    <cfRule type="expression" dxfId="350" priority="13">
      <formula>$C11=MAX($C$8:$C$37)</formula>
    </cfRule>
  </conditionalFormatting>
  <conditionalFormatting sqref="E12:E19">
    <cfRule type="expression" dxfId="349" priority="15">
      <formula>AND($A12="",$F12&lt;&gt;"")</formula>
    </cfRule>
  </conditionalFormatting>
  <conditionalFormatting sqref="F12:F19">
    <cfRule type="expression" dxfId="348" priority="16">
      <formula>AND($F12="",$A12&lt;&gt;"")</formula>
    </cfRule>
  </conditionalFormatting>
  <conditionalFormatting sqref="G12:G14">
    <cfRule type="expression" dxfId="347" priority="12">
      <formula>$C11=MAX($C$8:$C$37)</formula>
    </cfRule>
  </conditionalFormatting>
  <conditionalFormatting sqref="D9:F11 H9:H11">
    <cfRule type="expression" dxfId="346" priority="9">
      <formula>$C8=MAX($C$8:$C$37)</formula>
    </cfRule>
  </conditionalFormatting>
  <conditionalFormatting sqref="C9:C11">
    <cfRule type="expression" dxfId="345" priority="8">
      <formula>$C8=MAX($C$8:$C$37)</formula>
    </cfRule>
  </conditionalFormatting>
  <conditionalFormatting sqref="E9:E11">
    <cfRule type="expression" dxfId="344" priority="10">
      <formula>AND($A9="",$F9&lt;&gt;"")</formula>
    </cfRule>
  </conditionalFormatting>
  <conditionalFormatting sqref="F9:F11">
    <cfRule type="expression" dxfId="343" priority="11">
      <formula>AND($F9="",$A9&lt;&gt;"")</formula>
    </cfRule>
  </conditionalFormatting>
  <conditionalFormatting sqref="D8:F8">
    <cfRule type="expression" dxfId="342" priority="5">
      <formula>$C7=MAX($C$8:$C$37)</formula>
    </cfRule>
  </conditionalFormatting>
  <conditionalFormatting sqref="C8">
    <cfRule type="expression" dxfId="341" priority="4">
      <formula>$C7=MAX($C$8:$C$37)</formula>
    </cfRule>
  </conditionalFormatting>
  <conditionalFormatting sqref="E8">
    <cfRule type="expression" dxfId="340" priority="6">
      <formula>AND($A8="",$F8&lt;&gt;"")</formula>
    </cfRule>
  </conditionalFormatting>
  <conditionalFormatting sqref="F8">
    <cfRule type="expression" dxfId="339" priority="7">
      <formula>AND($F8="",$A8&lt;&gt;"")</formula>
    </cfRule>
  </conditionalFormatting>
  <conditionalFormatting sqref="H8">
    <cfRule type="expression" dxfId="338" priority="3">
      <formula>$C7=MAX($C$8:$C$37)</formula>
    </cfRule>
  </conditionalFormatting>
  <conditionalFormatting sqref="G9:G11">
    <cfRule type="expression" dxfId="337" priority="2">
      <formula>$C8=MAX($C$8:$C$37)</formula>
    </cfRule>
  </conditionalFormatting>
  <conditionalFormatting sqref="G8">
    <cfRule type="expression" dxfId="3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90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48A38-F875-45A2-BA38-D874AE4C126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v>
      </c>
      <c r="L7" s="140"/>
    </row>
    <row r="8" spans="1:14" s="29" customFormat="1" ht="14.25" customHeight="1" x14ac:dyDescent="0.25">
      <c r="A8" s="150">
        <v>25</v>
      </c>
      <c r="B8" s="150">
        <v>4</v>
      </c>
      <c r="C8" s="30">
        <f t="shared" ref="C8:C37" si="0">IF(OR(SUM($C7,$A8&lt;&gt;"")=0,$A8=""),"",SUM($C7,$A8&lt;&gt;""))</f>
        <v>1</v>
      </c>
      <c r="D8" s="147" t="str">
        <f>IFERROR(VLOOKUP($A8,Sheet1!$A$1:$B$80,2,0),"")</f>
        <v>Đậu hủ phô mai EB</v>
      </c>
      <c r="E8" s="30">
        <f>IFERROR(VLOOKUP($A8,'Tổng Đơn'!$A$5:$E$52,5,0),"")</f>
        <v>0.5</v>
      </c>
      <c r="F8" s="30">
        <f t="shared" ref="F8:F37" si="1">IF($B8="","",B8)</f>
        <v>4</v>
      </c>
      <c r="G8" s="155">
        <f>IFERROR(VLOOKUP($A8,Sheet1!$A1:$D$80,4,0),"")</f>
        <v>80000</v>
      </c>
      <c r="H8" s="148">
        <f>IF($C7=MAX($C$8:$C$56),SUM($H7:$H$8),IFERROR($G8*$F8,""))</f>
        <v>320000</v>
      </c>
      <c r="I8" s="54">
        <f t="shared" ref="I8:I37" si="2">IF(TYPE($A8)&lt;&gt;1,"",IFERROR(F8*E8,""))</f>
        <v>2</v>
      </c>
      <c r="L8" s="32"/>
    </row>
    <row r="9" spans="1:14" s="29" customFormat="1" ht="14.25" customHeight="1" x14ac:dyDescent="0.25">
      <c r="A9" s="150">
        <v>34</v>
      </c>
      <c r="B9" s="150">
        <v>10</v>
      </c>
      <c r="C9" s="30">
        <f t="shared" si="0"/>
        <v>2</v>
      </c>
      <c r="D9" s="147" t="str">
        <f>IFERROR(VLOOKUP($A9,Sheet1!$A$1:$B$80,2,0),"")</f>
        <v>Cá viên KK</v>
      </c>
      <c r="E9" s="30">
        <f>IFERROR(VLOOKUP($A9,'Tổng Đơn'!$A$5:$E$52,5,0),"")</f>
        <v>0.5</v>
      </c>
      <c r="F9" s="30">
        <f t="shared" si="1"/>
        <v>10</v>
      </c>
      <c r="G9" s="155">
        <f>IF(AND($C9="",$C8&lt;&gt;""),"Tổng Cộng",IFERROR(VLOOKUP($A9,Sheet1!$A$1:$D$80,4,0),""))</f>
        <v>25000</v>
      </c>
      <c r="H9" s="148">
        <f>IF($C8=MAX($C$8:$C$56),SUM($H$8:$H8),IFERROR($G9*$F9,""))</f>
        <v>250000</v>
      </c>
      <c r="I9" s="54">
        <f t="shared" si="2"/>
        <v>5</v>
      </c>
      <c r="L9" s="31"/>
    </row>
    <row r="10" spans="1:14" s="29" customFormat="1" ht="14.25" customHeight="1" x14ac:dyDescent="0.25">
      <c r="A10" s="150">
        <v>38</v>
      </c>
      <c r="B10" s="150">
        <v>10</v>
      </c>
      <c r="C10" s="30">
        <f t="shared" si="0"/>
        <v>3</v>
      </c>
      <c r="D10" s="147" t="str">
        <f>IFERROR(VLOOKUP($A10,Sheet1!$A$1:$B$80,2,0),"")</f>
        <v>XX Đỏ KK</v>
      </c>
      <c r="E10" s="30">
        <f>IFERROR(VLOOKUP($A10,'Tổng Đơn'!$A$5:$E$52,5,0),"")</f>
        <v>0.5</v>
      </c>
      <c r="F10" s="30">
        <f t="shared" si="1"/>
        <v>10</v>
      </c>
      <c r="G10" s="155">
        <f>IF(AND($C10="",$C9&lt;&gt;""),"Tổng Cộng",IFERROR(VLOOKUP($A10,Sheet1!$A$1:$D$80,4,0),""))</f>
        <v>26000</v>
      </c>
      <c r="H10" s="148">
        <f>IF($C9=MAX($C$8:$C$56),SUM($H$8:$H9),IFERROR($G10*$F10,""))</f>
        <v>260000</v>
      </c>
      <c r="I10" s="54">
        <f t="shared" si="2"/>
        <v>5</v>
      </c>
      <c r="L10" s="31"/>
    </row>
    <row r="11" spans="1:14" s="29" customFormat="1" ht="14.25" customHeight="1" x14ac:dyDescent="0.25">
      <c r="A11" s="150">
        <v>1</v>
      </c>
      <c r="B11" s="150">
        <v>1</v>
      </c>
      <c r="C11" s="30">
        <f t="shared" si="0"/>
        <v>4</v>
      </c>
      <c r="D11" s="147" t="s">
        <v>312</v>
      </c>
      <c r="E11" s="30" t="s">
        <v>234</v>
      </c>
      <c r="F11" s="30" t="s">
        <v>234</v>
      </c>
      <c r="G11" s="155" t="s">
        <v>234</v>
      </c>
      <c r="H11" s="148">
        <f>-2*8000-5*7000-5*4000</f>
        <v>-71000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759000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83" priority="22">
      <formula>$C22=MAX($C$8:$C$37)</formula>
    </cfRule>
  </conditionalFormatting>
  <conditionalFormatting sqref="C23:C37">
    <cfRule type="expression" dxfId="382" priority="21">
      <formula>$C22=MAX($C$8:$C$37)</formula>
    </cfRule>
  </conditionalFormatting>
  <conditionalFormatting sqref="E23:E38">
    <cfRule type="expression" dxfId="381" priority="23">
      <formula>AND($A23="",$F23&lt;&gt;"")</formula>
    </cfRule>
  </conditionalFormatting>
  <conditionalFormatting sqref="F23:F38">
    <cfRule type="expression" dxfId="380" priority="24">
      <formula>AND($F23="",$A23&lt;&gt;"")</formula>
    </cfRule>
  </conditionalFormatting>
  <conditionalFormatting sqref="D20:H22">
    <cfRule type="expression" dxfId="379" priority="18">
      <formula>$C19=MAX($C$8:$C$37)</formula>
    </cfRule>
  </conditionalFormatting>
  <conditionalFormatting sqref="C20:C22">
    <cfRule type="expression" dxfId="378" priority="17">
      <formula>$C19=MAX($C$8:$C$37)</formula>
    </cfRule>
  </conditionalFormatting>
  <conditionalFormatting sqref="E20:E22">
    <cfRule type="expression" dxfId="377" priority="19">
      <formula>AND($A20="",$F20&lt;&gt;"")</formula>
    </cfRule>
  </conditionalFormatting>
  <conditionalFormatting sqref="F20:F22">
    <cfRule type="expression" dxfId="376" priority="20">
      <formula>AND($F20="",$A20&lt;&gt;"")</formula>
    </cfRule>
  </conditionalFormatting>
  <conditionalFormatting sqref="D15:H19 D12:F14 H12:H14">
    <cfRule type="expression" dxfId="375" priority="14">
      <formula>$C11=MAX($C$8:$C$37)</formula>
    </cfRule>
  </conditionalFormatting>
  <conditionalFormatting sqref="C12:C19">
    <cfRule type="expression" dxfId="374" priority="13">
      <formula>$C11=MAX($C$8:$C$37)</formula>
    </cfRule>
  </conditionalFormatting>
  <conditionalFormatting sqref="E12:E19">
    <cfRule type="expression" dxfId="373" priority="15">
      <formula>AND($A12="",$F12&lt;&gt;"")</formula>
    </cfRule>
  </conditionalFormatting>
  <conditionalFormatting sqref="F12:F19">
    <cfRule type="expression" dxfId="372" priority="16">
      <formula>AND($F12="",$A12&lt;&gt;"")</formula>
    </cfRule>
  </conditionalFormatting>
  <conditionalFormatting sqref="G12:G14">
    <cfRule type="expression" dxfId="371" priority="12">
      <formula>$C11=MAX($C$8:$C$37)</formula>
    </cfRule>
  </conditionalFormatting>
  <conditionalFormatting sqref="D9:F11 H9:H11">
    <cfRule type="expression" dxfId="370" priority="9">
      <formula>$C8=MAX($C$8:$C$37)</formula>
    </cfRule>
  </conditionalFormatting>
  <conditionalFormatting sqref="C9:C11">
    <cfRule type="expression" dxfId="369" priority="8">
      <formula>$C8=MAX($C$8:$C$37)</formula>
    </cfRule>
  </conditionalFormatting>
  <conditionalFormatting sqref="E9:E11">
    <cfRule type="expression" dxfId="368" priority="10">
      <formula>AND($A9="",$F9&lt;&gt;"")</formula>
    </cfRule>
  </conditionalFormatting>
  <conditionalFormatting sqref="F9:F11">
    <cfRule type="expression" dxfId="367" priority="11">
      <formula>AND($F9="",$A9&lt;&gt;"")</formula>
    </cfRule>
  </conditionalFormatting>
  <conditionalFormatting sqref="D8:F8">
    <cfRule type="expression" dxfId="366" priority="5">
      <formula>$C7=MAX($C$8:$C$37)</formula>
    </cfRule>
  </conditionalFormatting>
  <conditionalFormatting sqref="C8">
    <cfRule type="expression" dxfId="365" priority="4">
      <formula>$C7=MAX($C$8:$C$37)</formula>
    </cfRule>
  </conditionalFormatting>
  <conditionalFormatting sqref="E8">
    <cfRule type="expression" dxfId="364" priority="6">
      <formula>AND($A8="",$F8&lt;&gt;"")</formula>
    </cfRule>
  </conditionalFormatting>
  <conditionalFormatting sqref="F8">
    <cfRule type="expression" dxfId="363" priority="7">
      <formula>AND($F8="",$A8&lt;&gt;"")</formula>
    </cfRule>
  </conditionalFormatting>
  <conditionalFormatting sqref="H8">
    <cfRule type="expression" dxfId="362" priority="3">
      <formula>$C7=MAX($C$8:$C$37)</formula>
    </cfRule>
  </conditionalFormatting>
  <conditionalFormatting sqref="G9:G11">
    <cfRule type="expression" dxfId="361" priority="2">
      <formula>$C8=MAX($C$8:$C$37)</formula>
    </cfRule>
  </conditionalFormatting>
  <conditionalFormatting sqref="G8">
    <cfRule type="expression" dxfId="3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80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9B61D-0382-4D36-A297-30A9C9C600AF}">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15.5</v>
      </c>
      <c r="L7" s="140"/>
    </row>
    <row r="8" spans="1:14" s="29" customFormat="1" ht="14.25" customHeight="1" x14ac:dyDescent="0.25">
      <c r="A8" s="150">
        <v>19</v>
      </c>
      <c r="B8" s="150">
        <v>5</v>
      </c>
      <c r="C8" s="30">
        <f t="shared" ref="C8:C37" si="0">IF(OR(SUM($C7,$A8&lt;&gt;"")=0,$A8=""),"",SUM($C7,$A8&lt;&gt;""))</f>
        <v>1</v>
      </c>
      <c r="D8" s="147" t="str">
        <f>IFERROR(VLOOKUP($A8,Sheet1!$A$1:$B$80,2,0),"")</f>
        <v>XX Hotdog Phô mai</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v>34</v>
      </c>
      <c r="B9" s="150">
        <v>20</v>
      </c>
      <c r="C9" s="30">
        <f t="shared" si="0"/>
        <v>2</v>
      </c>
      <c r="D9" s="147" t="str">
        <f>IFERROR(VLOOKUP($A9,Sheet1!$A$1:$B$80,2,0),"")</f>
        <v>Cá viên KK</v>
      </c>
      <c r="E9" s="30">
        <f>IFERROR(VLOOKUP($A9,'Tổng Đơn'!$A$5:$E$52,5,0),"")</f>
        <v>0.5</v>
      </c>
      <c r="F9" s="30">
        <f t="shared" si="1"/>
        <v>20</v>
      </c>
      <c r="G9" s="155">
        <f>IF(AND($C9="",$C8&lt;&gt;""),"Tổng Cộng",IFERROR(VLOOKUP($A9,Sheet1!$A$1:$D$80,4,0),""))</f>
        <v>25000</v>
      </c>
      <c r="H9" s="148">
        <f>IF($C8=MAX($C$8:$C$56),SUM($H$8:$H8),IFERROR($G9*$F9,""))</f>
        <v>500000</v>
      </c>
      <c r="I9" s="54">
        <f t="shared" si="2"/>
        <v>10</v>
      </c>
      <c r="L9" s="31"/>
    </row>
    <row r="10" spans="1:14" s="29" customFormat="1" ht="14.25" customHeight="1" x14ac:dyDescent="0.25">
      <c r="A10" s="150">
        <v>37</v>
      </c>
      <c r="B10" s="150">
        <v>6</v>
      </c>
      <c r="C10" s="30">
        <f t="shared" si="0"/>
        <v>3</v>
      </c>
      <c r="D10" s="147" t="str">
        <f>IFERROR(VLOOKUP($A10,Sheet1!$A$1:$B$80,2,0),"")</f>
        <v>Tôm viên KK</v>
      </c>
      <c r="E10" s="30">
        <f>IFERROR(VLOOKUP($A10,'Tổng Đơn'!$A$5:$E$52,5,0),"")</f>
        <v>0.5</v>
      </c>
      <c r="F10" s="30">
        <f t="shared" si="1"/>
        <v>6</v>
      </c>
      <c r="G10" s="155">
        <f>IF(AND($C10="",$C9&lt;&gt;""),"Tổng Cộng",IFERROR(VLOOKUP($A10,Sheet1!$A$1:$D$80,4,0),""))</f>
        <v>28000</v>
      </c>
      <c r="H10" s="148">
        <f>IF($C9=MAX($C$8:$C$56),SUM($H$8:$H9),IFERROR($G10*$F10,""))</f>
        <v>168000</v>
      </c>
      <c r="I10" s="54">
        <f t="shared" si="2"/>
        <v>3</v>
      </c>
      <c r="L10" s="31"/>
    </row>
    <row r="11" spans="1:14" s="29" customFormat="1" ht="14.25" customHeight="1" x14ac:dyDescent="0.25">
      <c r="A11" s="150">
        <v>1</v>
      </c>
      <c r="B11" s="150">
        <v>1</v>
      </c>
      <c r="C11" s="30">
        <f t="shared" si="0"/>
        <v>4</v>
      </c>
      <c r="D11" s="147" t="s">
        <v>312</v>
      </c>
      <c r="E11" s="30" t="s">
        <v>234</v>
      </c>
      <c r="F11" s="30" t="s">
        <v>234</v>
      </c>
      <c r="G11" s="155" t="s">
        <v>234</v>
      </c>
      <c r="H11" s="148">
        <f>-10*7000-5*4000-3*9000</f>
        <v>-117000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751000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07" priority="22">
      <formula>$C22=MAX($C$8:$C$37)</formula>
    </cfRule>
  </conditionalFormatting>
  <conditionalFormatting sqref="C23:C37">
    <cfRule type="expression" dxfId="406" priority="21">
      <formula>$C22=MAX($C$8:$C$37)</formula>
    </cfRule>
  </conditionalFormatting>
  <conditionalFormatting sqref="E23:E38">
    <cfRule type="expression" dxfId="405" priority="23">
      <formula>AND($A23="",$F23&lt;&gt;"")</formula>
    </cfRule>
  </conditionalFormatting>
  <conditionalFormatting sqref="F23:F38">
    <cfRule type="expression" dxfId="404" priority="24">
      <formula>AND($F23="",$A23&lt;&gt;"")</formula>
    </cfRule>
  </conditionalFormatting>
  <conditionalFormatting sqref="D20:H22">
    <cfRule type="expression" dxfId="403" priority="18">
      <formula>$C19=MAX($C$8:$C$37)</formula>
    </cfRule>
  </conditionalFormatting>
  <conditionalFormatting sqref="C20:C22">
    <cfRule type="expression" dxfId="402" priority="17">
      <formula>$C19=MAX($C$8:$C$37)</formula>
    </cfRule>
  </conditionalFormatting>
  <conditionalFormatting sqref="E20:E22">
    <cfRule type="expression" dxfId="401" priority="19">
      <formula>AND($A20="",$F20&lt;&gt;"")</formula>
    </cfRule>
  </conditionalFormatting>
  <conditionalFormatting sqref="F20:F22">
    <cfRule type="expression" dxfId="400" priority="20">
      <formula>AND($F20="",$A20&lt;&gt;"")</formula>
    </cfRule>
  </conditionalFormatting>
  <conditionalFormatting sqref="D15:H19 D12:F14 H12:H14">
    <cfRule type="expression" dxfId="399" priority="14">
      <formula>$C11=MAX($C$8:$C$37)</formula>
    </cfRule>
  </conditionalFormatting>
  <conditionalFormatting sqref="C12:C19">
    <cfRule type="expression" dxfId="398" priority="13">
      <formula>$C11=MAX($C$8:$C$37)</formula>
    </cfRule>
  </conditionalFormatting>
  <conditionalFormatting sqref="E12:E19">
    <cfRule type="expression" dxfId="397" priority="15">
      <formula>AND($A12="",$F12&lt;&gt;"")</formula>
    </cfRule>
  </conditionalFormatting>
  <conditionalFormatting sqref="F12:F19">
    <cfRule type="expression" dxfId="396" priority="16">
      <formula>AND($F12="",$A12&lt;&gt;"")</formula>
    </cfRule>
  </conditionalFormatting>
  <conditionalFormatting sqref="G12:G14">
    <cfRule type="expression" dxfId="395" priority="12">
      <formula>$C11=MAX($C$8:$C$37)</formula>
    </cfRule>
  </conditionalFormatting>
  <conditionalFormatting sqref="D9:F11 H9:H11">
    <cfRule type="expression" dxfId="394" priority="9">
      <formula>$C8=MAX($C$8:$C$37)</formula>
    </cfRule>
  </conditionalFormatting>
  <conditionalFormatting sqref="C9:C11">
    <cfRule type="expression" dxfId="393" priority="8">
      <formula>$C8=MAX($C$8:$C$37)</formula>
    </cfRule>
  </conditionalFormatting>
  <conditionalFormatting sqref="E9:E11">
    <cfRule type="expression" dxfId="392" priority="10">
      <formula>AND($A9="",$F9&lt;&gt;"")</formula>
    </cfRule>
  </conditionalFormatting>
  <conditionalFormatting sqref="F9:F11">
    <cfRule type="expression" dxfId="391" priority="11">
      <formula>AND($F9="",$A9&lt;&gt;"")</formula>
    </cfRule>
  </conditionalFormatting>
  <conditionalFormatting sqref="D8:F8">
    <cfRule type="expression" dxfId="390" priority="5">
      <formula>$C7=MAX($C$8:$C$37)</formula>
    </cfRule>
  </conditionalFormatting>
  <conditionalFormatting sqref="C8">
    <cfRule type="expression" dxfId="389" priority="4">
      <formula>$C7=MAX($C$8:$C$37)</formula>
    </cfRule>
  </conditionalFormatting>
  <conditionalFormatting sqref="E8">
    <cfRule type="expression" dxfId="388" priority="6">
      <formula>AND($A8="",$F8&lt;&gt;"")</formula>
    </cfRule>
  </conditionalFormatting>
  <conditionalFormatting sqref="F8">
    <cfRule type="expression" dxfId="387" priority="7">
      <formula>AND($F8="",$A8&lt;&gt;"")</formula>
    </cfRule>
  </conditionalFormatting>
  <conditionalFormatting sqref="H8">
    <cfRule type="expression" dxfId="386" priority="3">
      <formula>$C7=MAX($C$8:$C$37)</formula>
    </cfRule>
  </conditionalFormatting>
  <conditionalFormatting sqref="G9:G11">
    <cfRule type="expression" dxfId="385" priority="2">
      <formula>$C8=MAX($C$8:$C$37)</formula>
    </cfRule>
  </conditionalFormatting>
  <conditionalFormatting sqref="G8">
    <cfRule type="expression" dxfId="38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70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ED647-2370-4600-A36A-C293BAC9D094}">
  <sheetPr codeName="Sheet40">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311</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13.9</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3</v>
      </c>
      <c r="C9" s="30">
        <f t="shared" si="0"/>
        <v>2</v>
      </c>
      <c r="D9" s="147" t="str">
        <f>IFERROR(VLOOKUP($A9,Sheet1!$A$1:$B$80,2,0),"")</f>
        <v>XX Đức HS ĐNA</v>
      </c>
      <c r="E9" s="30">
        <f>IFERROR(VLOOKUP($A9,'Tổng Đơn'!$A$5:$E$52,5,0),"")</f>
        <v>0.5</v>
      </c>
      <c r="F9" s="30">
        <f t="shared" si="1"/>
        <v>3</v>
      </c>
      <c r="G9" s="155">
        <f>IF(AND($C9="",$C8&lt;&gt;""),"Tổng Cộng",IFERROR(VLOOKUP($A9,Sheet1!$A$1:$D$80,4,0),""))</f>
        <v>35000</v>
      </c>
      <c r="H9" s="148">
        <f>IF($C8=MAX($C$8:$C$56),SUM($H$8:$H8),IFERROR($G9*$F9,""))</f>
        <v>105000</v>
      </c>
      <c r="I9" s="54">
        <f t="shared" si="2"/>
        <v>1.5</v>
      </c>
      <c r="L9" s="31"/>
    </row>
    <row r="10" spans="1:14" s="29" customFormat="1" ht="14.25" customHeight="1" x14ac:dyDescent="0.25">
      <c r="A10" s="150">
        <v>21</v>
      </c>
      <c r="B10" s="150">
        <v>3</v>
      </c>
      <c r="C10" s="30">
        <f t="shared" si="0"/>
        <v>3</v>
      </c>
      <c r="D10" s="147" t="str">
        <f>IFERROR(VLOOKUP($A10,Sheet1!$A$1:$B$80,2,0),"")</f>
        <v>Bò lá lốt</v>
      </c>
      <c r="E10" s="30">
        <f>IFERROR(VLOOKUP($A10,'Tổng Đơn'!$A$5:$E$52,5,0),"")</f>
        <v>0.5</v>
      </c>
      <c r="F10" s="30">
        <f t="shared" si="1"/>
        <v>3</v>
      </c>
      <c r="G10" s="155">
        <f>IF(AND($C10="",$C9&lt;&gt;""),"Tổng Cộng",IFERROR(VLOOKUP($A10,Sheet1!$A$1:$D$80,4,0),""))</f>
        <v>42000</v>
      </c>
      <c r="H10" s="148">
        <f>IF($C9=MAX($C$8:$C$56),SUM($H$8:$H9),IFERROR($G10*$F10,""))</f>
        <v>126000</v>
      </c>
      <c r="I10" s="54">
        <f t="shared" si="2"/>
        <v>1.5</v>
      </c>
      <c r="L10" s="31"/>
    </row>
    <row r="11" spans="1:14" s="29" customFormat="1" ht="14.25" customHeight="1" x14ac:dyDescent="0.25">
      <c r="A11" s="150">
        <v>25</v>
      </c>
      <c r="B11" s="150">
        <v>3</v>
      </c>
      <c r="C11" s="30">
        <f t="shared" si="0"/>
        <v>4</v>
      </c>
      <c r="D11" s="147" t="str">
        <f>IFERROR(VLOOKUP($A11,Sheet1!$A$1:$B$80,2,0),"")</f>
        <v>Đậu hủ phô mai EB</v>
      </c>
      <c r="E11" s="30">
        <f>IFERROR(VLOOKUP($A11,'Tổng Đơn'!$A$5:$E$52,5,0),"")</f>
        <v>0.5</v>
      </c>
      <c r="F11" s="30">
        <f t="shared" si="1"/>
        <v>3</v>
      </c>
      <c r="G11" s="155">
        <f>IF(AND($C11="",$C10&lt;&gt;""),"Tổng Cộng",IFERROR(VLOOKUP($A11,Sheet1!$A$1:$D$80,4,0),""))</f>
        <v>80000</v>
      </c>
      <c r="H11" s="148">
        <f>IF($C10=MAX($C$8:$C$56),SUM($H$8:$H10),IFERROR($G11*$F11,""))</f>
        <v>240000</v>
      </c>
      <c r="I11" s="54">
        <f t="shared" si="2"/>
        <v>1.5</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34</v>
      </c>
      <c r="B14" s="150">
        <v>6</v>
      </c>
      <c r="C14" s="30">
        <f t="shared" si="0"/>
        <v>7</v>
      </c>
      <c r="D14" s="147" t="str">
        <f>IFERROR(VLOOKUP($A14,Sheet1!$A$1:$B$80,2,0),"")</f>
        <v>Cá viên KK</v>
      </c>
      <c r="E14" s="30">
        <f>IFERROR(VLOOKUP($A14,'Tổng Đơn'!$A$5:$E$52,5,0),"")</f>
        <v>0.5</v>
      </c>
      <c r="F14" s="30">
        <f t="shared" si="1"/>
        <v>6</v>
      </c>
      <c r="G14" s="155">
        <f>IF(AND($C14="",$C13&lt;&gt;""),"Tổng Cộng",IFERROR(VLOOKUP($A14,Sheet1!$A$1:$D$80,4,0),""))</f>
        <v>25000</v>
      </c>
      <c r="H14" s="148">
        <f>IF($C13=MAX($C$8:$C$56),SUM($H$8:$H13),IFERROR($G14*$F14,""))</f>
        <v>150000</v>
      </c>
      <c r="I14" s="54">
        <f t="shared" si="2"/>
        <v>3</v>
      </c>
      <c r="L14" s="31"/>
      <c r="M14" s="132"/>
    </row>
    <row r="15" spans="1:14" s="29" customFormat="1" ht="14.25" customHeight="1" x14ac:dyDescent="0.25">
      <c r="A15" s="150">
        <v>38</v>
      </c>
      <c r="B15" s="150">
        <v>3</v>
      </c>
      <c r="C15" s="30">
        <f t="shared" si="0"/>
        <v>8</v>
      </c>
      <c r="D15" s="147" t="str">
        <f>IFERROR(VLOOKUP($A15,Sheet1!$A$1:$B$80,2,0),"")</f>
        <v>XX Đỏ KK</v>
      </c>
      <c r="E15" s="30">
        <f>IFERROR(VLOOKUP($A15,'Tổng Đơn'!$A$5:$E$52,5,0),"")</f>
        <v>0.5</v>
      </c>
      <c r="F15" s="30">
        <f t="shared" si="1"/>
        <v>3</v>
      </c>
      <c r="G15" s="155">
        <f>IF(AND($C15="",$C14&lt;&gt;""),"Tổng Cộng",IFERROR(VLOOKUP($A15,Sheet1!$A$1:$D$80,4,0),""))</f>
        <v>26000</v>
      </c>
      <c r="H15" s="148">
        <f>IF($C14=MAX($C$8:$C$56),SUM($H$8:$H14),IFERROR($G15*$F15,""))</f>
        <v>78000</v>
      </c>
      <c r="I15" s="54">
        <f t="shared" si="2"/>
        <v>1.5</v>
      </c>
      <c r="L15" s="31"/>
    </row>
    <row r="16" spans="1:14" s="29" customFormat="1" ht="14.25" customHeight="1" x14ac:dyDescent="0.25">
      <c r="A16" s="150">
        <v>40</v>
      </c>
      <c r="B16" s="150">
        <v>2</v>
      </c>
      <c r="C16" s="30">
        <f t="shared" si="0"/>
        <v>9</v>
      </c>
      <c r="D16" s="147" t="str">
        <f>IFERROR(VLOOKUP($A16,Sheet1!$A$1:$B$80,2,0),"")</f>
        <v>Hồ lô KK</v>
      </c>
      <c r="E16" s="30">
        <f>IFERROR(VLOOKUP($A16,'Tổng Đơn'!$A$5:$E$52,5,0),"")</f>
        <v>0.5</v>
      </c>
      <c r="F16" s="30">
        <f t="shared" si="1"/>
        <v>2</v>
      </c>
      <c r="G16" s="155">
        <f>IF(AND($C16="",$C15&lt;&gt;""),"Tổng Cộng",IFERROR(VLOOKUP($A16,Sheet1!$A$1:$D$80,4,0),""))</f>
        <v>42000</v>
      </c>
      <c r="H16" s="148">
        <f>IF($C15=MAX($C$8:$C$56),SUM($H$8:$H15),IFERROR($G16*$F16,""))</f>
        <v>84000</v>
      </c>
      <c r="I16" s="54">
        <f t="shared" si="2"/>
        <v>1</v>
      </c>
      <c r="L16" s="31"/>
    </row>
    <row r="17" spans="1:12" s="29" customFormat="1" ht="14.25" customHeight="1" x14ac:dyDescent="0.25">
      <c r="A17" s="150">
        <v>42</v>
      </c>
      <c r="B17" s="150">
        <v>3</v>
      </c>
      <c r="C17" s="30">
        <f t="shared" si="0"/>
        <v>10</v>
      </c>
      <c r="D17" s="147" t="str">
        <f>IFERROR(VLOOKUP($A17,Sheet1!$A$1:$B$80,2,0),"")</f>
        <v>Mực khoanh KK</v>
      </c>
      <c r="E17" s="30">
        <f>IFERROR(VLOOKUP($A17,'Tổng Đơn'!$A$5:$E$52,5,0),"")</f>
        <v>0.3</v>
      </c>
      <c r="F17" s="30">
        <f t="shared" si="1"/>
        <v>3</v>
      </c>
      <c r="G17" s="155">
        <f>IF(AND($C17="",$C16&lt;&gt;""),"Tổng Cộng",IFERROR(VLOOKUP($A17,Sheet1!$A$1:$D$80,4,0),""))</f>
        <v>26000</v>
      </c>
      <c r="H17" s="148">
        <f>IF($C16=MAX($C$8:$C$56),SUM($H$8:$H16),IFERROR($G17*$F17,""))</f>
        <v>78000</v>
      </c>
      <c r="I17" s="54">
        <f t="shared" si="2"/>
        <v>0.89999999999999991</v>
      </c>
      <c r="L17" s="31"/>
    </row>
    <row r="18" spans="1:12" s="29" customFormat="1" ht="14.25" customHeight="1" x14ac:dyDescent="0.25">
      <c r="A18" s="150">
        <v>1</v>
      </c>
      <c r="B18" s="150">
        <v>1</v>
      </c>
      <c r="C18" s="30">
        <f t="shared" si="0"/>
        <v>11</v>
      </c>
      <c r="D18" s="147" t="s">
        <v>312</v>
      </c>
      <c r="E18" s="30" t="s">
        <v>234</v>
      </c>
      <c r="F18" s="30" t="s">
        <v>234</v>
      </c>
      <c r="G18" s="155" t="s">
        <v>234</v>
      </c>
      <c r="H18" s="148">
        <f>-6*2000-3000</f>
        <v>-15000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1170000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1" priority="22">
      <formula>$C22=MAX($C$8:$C$37)</formula>
    </cfRule>
  </conditionalFormatting>
  <conditionalFormatting sqref="C23:C37">
    <cfRule type="expression" dxfId="430" priority="21">
      <formula>$C22=MAX($C$8:$C$37)</formula>
    </cfRule>
  </conditionalFormatting>
  <conditionalFormatting sqref="E23:E38">
    <cfRule type="expression" dxfId="429" priority="23">
      <formula>AND($A23="",$F23&lt;&gt;"")</formula>
    </cfRule>
  </conditionalFormatting>
  <conditionalFormatting sqref="F23:F38">
    <cfRule type="expression" dxfId="428" priority="24">
      <formula>AND($F23="",$A23&lt;&gt;"")</formula>
    </cfRule>
  </conditionalFormatting>
  <conditionalFormatting sqref="D20:H22">
    <cfRule type="expression" dxfId="427" priority="18">
      <formula>$C19=MAX($C$8:$C$37)</formula>
    </cfRule>
  </conditionalFormatting>
  <conditionalFormatting sqref="C20:C22">
    <cfRule type="expression" dxfId="426" priority="17">
      <formula>$C19=MAX($C$8:$C$37)</formula>
    </cfRule>
  </conditionalFormatting>
  <conditionalFormatting sqref="E20:E22">
    <cfRule type="expression" dxfId="425" priority="19">
      <formula>AND($A20="",$F20&lt;&gt;"")</formula>
    </cfRule>
  </conditionalFormatting>
  <conditionalFormatting sqref="F20:F22">
    <cfRule type="expression" dxfId="424" priority="20">
      <formula>AND($F20="",$A20&lt;&gt;"")</formula>
    </cfRule>
  </conditionalFormatting>
  <conditionalFormatting sqref="D15:H19 D12:F14 H12:H14">
    <cfRule type="expression" dxfId="423" priority="14">
      <formula>$C11=MAX($C$8:$C$37)</formula>
    </cfRule>
  </conditionalFormatting>
  <conditionalFormatting sqref="C12:C19">
    <cfRule type="expression" dxfId="422" priority="13">
      <formula>$C11=MAX($C$8:$C$37)</formula>
    </cfRule>
  </conditionalFormatting>
  <conditionalFormatting sqref="E12:E19">
    <cfRule type="expression" dxfId="421" priority="15">
      <formula>AND($A12="",$F12&lt;&gt;"")</formula>
    </cfRule>
  </conditionalFormatting>
  <conditionalFormatting sqref="F12:F19">
    <cfRule type="expression" dxfId="420" priority="16">
      <formula>AND($F12="",$A12&lt;&gt;"")</formula>
    </cfRule>
  </conditionalFormatting>
  <conditionalFormatting sqref="G12:G14">
    <cfRule type="expression" dxfId="419" priority="12">
      <formula>$C11=MAX($C$8:$C$37)</formula>
    </cfRule>
  </conditionalFormatting>
  <conditionalFormatting sqref="D9:F11 H9:H11">
    <cfRule type="expression" dxfId="418" priority="9">
      <formula>$C8=MAX($C$8:$C$37)</formula>
    </cfRule>
  </conditionalFormatting>
  <conditionalFormatting sqref="C9:C11">
    <cfRule type="expression" dxfId="417" priority="8">
      <formula>$C8=MAX($C$8:$C$37)</formula>
    </cfRule>
  </conditionalFormatting>
  <conditionalFormatting sqref="E9:E11">
    <cfRule type="expression" dxfId="416" priority="10">
      <formula>AND($A9="",$F9&lt;&gt;"")</formula>
    </cfRule>
  </conditionalFormatting>
  <conditionalFormatting sqref="F9:F11">
    <cfRule type="expression" dxfId="415" priority="11">
      <formula>AND($F9="",$A9&lt;&gt;"")</formula>
    </cfRule>
  </conditionalFormatting>
  <conditionalFormatting sqref="D8:F8">
    <cfRule type="expression" dxfId="414" priority="5">
      <formula>$C7=MAX($C$8:$C$37)</formula>
    </cfRule>
  </conditionalFormatting>
  <conditionalFormatting sqref="C8">
    <cfRule type="expression" dxfId="413" priority="4">
      <formula>$C7=MAX($C$8:$C$37)</formula>
    </cfRule>
  </conditionalFormatting>
  <conditionalFormatting sqref="E8">
    <cfRule type="expression" dxfId="412" priority="6">
      <formula>AND($A8="",$F8&lt;&gt;"")</formula>
    </cfRule>
  </conditionalFormatting>
  <conditionalFormatting sqref="F8">
    <cfRule type="expression" dxfId="411" priority="7">
      <formula>AND($F8="",$A8&lt;&gt;"")</formula>
    </cfRule>
  </conditionalFormatting>
  <conditionalFormatting sqref="H8">
    <cfRule type="expression" dxfId="410" priority="3">
      <formula>$C7=MAX($C$8:$C$37)</formula>
    </cfRule>
  </conditionalFormatting>
  <conditionalFormatting sqref="G9:G11">
    <cfRule type="expression" dxfId="409" priority="2">
      <formula>$C8=MAX($C$8:$C$37)</formula>
    </cfRule>
  </conditionalFormatting>
  <conditionalFormatting sqref="G8">
    <cfRule type="expression" dxfId="4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C814A-3A8B-457E-B4FC-1016AFDC0CA9}">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51000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55" priority="22">
      <formula>$C22=MAX($C$8:$C$37)</formula>
    </cfRule>
  </conditionalFormatting>
  <conditionalFormatting sqref="C23:C37">
    <cfRule type="expression" dxfId="454" priority="21">
      <formula>$C22=MAX($C$8:$C$37)</formula>
    </cfRule>
  </conditionalFormatting>
  <conditionalFormatting sqref="E23:E38">
    <cfRule type="expression" dxfId="453" priority="23">
      <formula>AND($A23="",$F23&lt;&gt;"")</formula>
    </cfRule>
  </conditionalFormatting>
  <conditionalFormatting sqref="F23:F38">
    <cfRule type="expression" dxfId="452" priority="24">
      <formula>AND($F23="",$A23&lt;&gt;"")</formula>
    </cfRule>
  </conditionalFormatting>
  <conditionalFormatting sqref="D20:H22">
    <cfRule type="expression" dxfId="451" priority="18">
      <formula>$C19=MAX($C$8:$C$37)</formula>
    </cfRule>
  </conditionalFormatting>
  <conditionalFormatting sqref="C20:C22">
    <cfRule type="expression" dxfId="450" priority="17">
      <formula>$C19=MAX($C$8:$C$37)</formula>
    </cfRule>
  </conditionalFormatting>
  <conditionalFormatting sqref="E20:E22">
    <cfRule type="expression" dxfId="449" priority="19">
      <formula>AND($A20="",$F20&lt;&gt;"")</formula>
    </cfRule>
  </conditionalFormatting>
  <conditionalFormatting sqref="F20:F22">
    <cfRule type="expression" dxfId="448" priority="20">
      <formula>AND($F20="",$A20&lt;&gt;"")</formula>
    </cfRule>
  </conditionalFormatting>
  <conditionalFormatting sqref="D15:H19 D12:F14 H12:H14">
    <cfRule type="expression" dxfId="447" priority="14">
      <formula>$C11=MAX($C$8:$C$37)</formula>
    </cfRule>
  </conditionalFormatting>
  <conditionalFormatting sqref="C12:C19">
    <cfRule type="expression" dxfId="446" priority="13">
      <formula>$C11=MAX($C$8:$C$37)</formula>
    </cfRule>
  </conditionalFormatting>
  <conditionalFormatting sqref="E12:E19">
    <cfRule type="expression" dxfId="445" priority="15">
      <formula>AND($A12="",$F12&lt;&gt;"")</formula>
    </cfRule>
  </conditionalFormatting>
  <conditionalFormatting sqref="F12:F19">
    <cfRule type="expression" dxfId="444" priority="16">
      <formula>AND($F12="",$A12&lt;&gt;"")</formula>
    </cfRule>
  </conditionalFormatting>
  <conditionalFormatting sqref="G12:G14">
    <cfRule type="expression" dxfId="443" priority="12">
      <formula>$C11=MAX($C$8:$C$37)</formula>
    </cfRule>
  </conditionalFormatting>
  <conditionalFormatting sqref="D9:F11 H9:H11">
    <cfRule type="expression" dxfId="442" priority="9">
      <formula>$C8=MAX($C$8:$C$37)</formula>
    </cfRule>
  </conditionalFormatting>
  <conditionalFormatting sqref="C9:C11">
    <cfRule type="expression" dxfId="441" priority="8">
      <formula>$C8=MAX($C$8:$C$37)</formula>
    </cfRule>
  </conditionalFormatting>
  <conditionalFormatting sqref="E9:E11">
    <cfRule type="expression" dxfId="440" priority="10">
      <formula>AND($A9="",$F9&lt;&gt;"")</formula>
    </cfRule>
  </conditionalFormatting>
  <conditionalFormatting sqref="F9:F11">
    <cfRule type="expression" dxfId="439" priority="11">
      <formula>AND($F9="",$A9&lt;&gt;"")</formula>
    </cfRule>
  </conditionalFormatting>
  <conditionalFormatting sqref="D8:F8">
    <cfRule type="expression" dxfId="438" priority="5">
      <formula>$C7=MAX($C$8:$C$37)</formula>
    </cfRule>
  </conditionalFormatting>
  <conditionalFormatting sqref="C8">
    <cfRule type="expression" dxfId="437" priority="4">
      <formula>$C7=MAX($C$8:$C$37)</formula>
    </cfRule>
  </conditionalFormatting>
  <conditionalFormatting sqref="E8">
    <cfRule type="expression" dxfId="436" priority="6">
      <formula>AND($A8="",$F8&lt;&gt;"")</formula>
    </cfRule>
  </conditionalFormatting>
  <conditionalFormatting sqref="F8">
    <cfRule type="expression" dxfId="435" priority="7">
      <formula>AND($F8="",$A8&lt;&gt;"")</formula>
    </cfRule>
  </conditionalFormatting>
  <conditionalFormatting sqref="H8">
    <cfRule type="expression" dxfId="434" priority="3">
      <formula>$C7=MAX($C$8:$C$37)</formula>
    </cfRule>
  </conditionalFormatting>
  <conditionalFormatting sqref="G9:G11">
    <cfRule type="expression" dxfId="433" priority="2">
      <formula>$C8=MAX($C$8:$C$37)</formula>
    </cfRule>
  </conditionalFormatting>
  <conditionalFormatting sqref="G8">
    <cfRule type="expression" dxfId="4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49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37328-D476-401E-BCD8-2DBE7E329468}">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35.1</v>
      </c>
      <c r="L7" s="140"/>
    </row>
    <row r="8" spans="1:14" s="29" customFormat="1" ht="14.25" customHeight="1" x14ac:dyDescent="0.25">
      <c r="A8" s="150">
        <v>16</v>
      </c>
      <c r="B8" s="150">
        <v>30</v>
      </c>
      <c r="C8" s="30">
        <f t="shared" ref="C8:C37" si="0">IF(OR(SUM($C7,$A8&lt;&gt;"")=0,$A8=""),"",SUM($C7,$A8&lt;&gt;""))</f>
        <v>1</v>
      </c>
      <c r="D8" s="147" t="str">
        <f>IFERROR(VLOOKUP($A8,Sheet1!$A$1:$B$80,2,0),"")</f>
        <v>XX Đức HS ĐNA</v>
      </c>
      <c r="E8" s="30">
        <f>IFERROR(VLOOKUP($A8,'Tổng Đơn'!$A$5:$E$52,5,0),"")</f>
        <v>0.5</v>
      </c>
      <c r="F8" s="30">
        <f t="shared" ref="F8:F37" si="1">IF($B8="","",B8)</f>
        <v>30</v>
      </c>
      <c r="G8" s="155">
        <f>IFERROR(VLOOKUP($A8,Sheet1!$A1:$D$80,4,0),"")</f>
        <v>35000</v>
      </c>
      <c r="H8" s="148">
        <f>IF($C7=MAX($C$8:$C$56),SUM($H7:$H$8),IFERROR($G8*$F8,""))</f>
        <v>1050000</v>
      </c>
      <c r="I8" s="54">
        <f t="shared" ref="I8:I37" si="2">IF(TYPE($A8)&lt;&gt;1,"",IFERROR(F8*E8,""))</f>
        <v>15</v>
      </c>
      <c r="L8" s="32"/>
    </row>
    <row r="9" spans="1:14" s="29" customFormat="1" ht="14.25" customHeight="1" x14ac:dyDescent="0.25">
      <c r="A9" s="150">
        <v>34</v>
      </c>
      <c r="B9" s="150">
        <v>20</v>
      </c>
      <c r="C9" s="30">
        <f t="shared" si="0"/>
        <v>2</v>
      </c>
      <c r="D9" s="147" t="str">
        <f>IFERROR(VLOOKUP($A9,Sheet1!$A$1:$B$80,2,0),"")</f>
        <v>Cá viên KK</v>
      </c>
      <c r="E9" s="30">
        <f>IFERROR(VLOOKUP($A9,'Tổng Đơn'!$A$5:$E$52,5,0),"")</f>
        <v>0.5</v>
      </c>
      <c r="F9" s="30">
        <f t="shared" si="1"/>
        <v>20</v>
      </c>
      <c r="G9" s="155">
        <f>IF(AND($C9="",$C8&lt;&gt;""),"Tổng Cộng",IFERROR(VLOOKUP($A9,Sheet1!$A$1:$D$80,4,0),""))</f>
        <v>25000</v>
      </c>
      <c r="H9" s="148">
        <f>IF($C8=MAX($C$8:$C$56),SUM($H$8:$H8),IFERROR($G9*$F9,""))</f>
        <v>500000</v>
      </c>
      <c r="I9" s="54">
        <f t="shared" si="2"/>
        <v>10</v>
      </c>
      <c r="L9" s="31"/>
    </row>
    <row r="10" spans="1:14" s="29" customFormat="1" ht="14.25" customHeight="1" x14ac:dyDescent="0.25">
      <c r="A10" s="150">
        <v>38</v>
      </c>
      <c r="B10" s="150">
        <v>10</v>
      </c>
      <c r="C10" s="30">
        <f t="shared" si="0"/>
        <v>3</v>
      </c>
      <c r="D10" s="147" t="str">
        <f>IFERROR(VLOOKUP($A10,Sheet1!$A$1:$B$80,2,0),"")</f>
        <v>XX Đỏ KK</v>
      </c>
      <c r="E10" s="30">
        <f>IFERROR(VLOOKUP($A10,'Tổng Đơn'!$A$5:$E$52,5,0),"")</f>
        <v>0.5</v>
      </c>
      <c r="F10" s="30">
        <f t="shared" si="1"/>
        <v>10</v>
      </c>
      <c r="G10" s="155">
        <f>IF(AND($C10="",$C9&lt;&gt;""),"Tổng Cộng",IFERROR(VLOOKUP($A10,Sheet1!$A$1:$D$80,4,0),""))</f>
        <v>26000</v>
      </c>
      <c r="H10" s="148">
        <f>IF($C9=MAX($C$8:$C$56),SUM($H$8:$H9),IFERROR($G10*$F10,""))</f>
        <v>260000</v>
      </c>
      <c r="I10" s="54">
        <f t="shared" si="2"/>
        <v>5</v>
      </c>
      <c r="L10" s="31"/>
    </row>
    <row r="11" spans="1:14" s="29" customFormat="1" ht="14.25" customHeight="1" x14ac:dyDescent="0.25">
      <c r="A11" s="150">
        <v>41</v>
      </c>
      <c r="B11" s="150">
        <v>6</v>
      </c>
      <c r="C11" s="30">
        <f t="shared" si="0"/>
        <v>4</v>
      </c>
      <c r="D11" s="147" t="str">
        <f>IFERROR(VLOOKUP($A11,Sheet1!$A$1:$B$80,2,0),"")</f>
        <v>Bánh bao thả lẩu Trứng cá KK</v>
      </c>
      <c r="E11" s="30">
        <f>IFERROR(VLOOKUP($A11,'Tổng Đơn'!$A$5:$E$52,5,0),"")</f>
        <v>0.5</v>
      </c>
      <c r="F11" s="30">
        <f t="shared" si="1"/>
        <v>6</v>
      </c>
      <c r="G11" s="155">
        <f>IF(AND($C11="",$C10&lt;&gt;""),"Tổng Cộng",IFERROR(VLOOKUP($A11,Sheet1!$A$1:$D$80,4,0),""))</f>
        <v>45000</v>
      </c>
      <c r="H11" s="148">
        <f>IF($C10=MAX($C$8:$C$56),SUM($H$8:$H10),IFERROR($G11*$F11,""))</f>
        <v>270000</v>
      </c>
      <c r="I11" s="54">
        <f t="shared" si="2"/>
        <v>3</v>
      </c>
      <c r="L11" s="31"/>
    </row>
    <row r="12" spans="1:14" s="29" customFormat="1" ht="14.25" customHeight="1" x14ac:dyDescent="0.25">
      <c r="A12" s="150">
        <v>42</v>
      </c>
      <c r="B12" s="150">
        <v>7</v>
      </c>
      <c r="C12" s="30">
        <f t="shared" si="0"/>
        <v>5</v>
      </c>
      <c r="D12" s="147" t="str">
        <f>IFERROR(VLOOKUP($A12,Sheet1!$A$1:$B$80,2,0),"")</f>
        <v>Mực khoanh KK</v>
      </c>
      <c r="E12" s="30">
        <f>IFERROR(VLOOKUP($A12,'Tổng Đơn'!$A$5:$E$52,5,0),"")</f>
        <v>0.3</v>
      </c>
      <c r="F12" s="30">
        <f t="shared" si="1"/>
        <v>7</v>
      </c>
      <c r="G12" s="155">
        <f>IF(AND($C12="",$C11&lt;&gt;""),"Tổng Cộng",IFERROR(VLOOKUP($A12,Sheet1!$A$1:$D$80,4,0),""))</f>
        <v>26000</v>
      </c>
      <c r="H12" s="148">
        <f>IF($C11=MAX($C$8:$C$56),SUM($H$8:$H11),IFERROR($G12*$F12,""))</f>
        <v>182000</v>
      </c>
      <c r="I12" s="54">
        <f t="shared" si="2"/>
        <v>2.1</v>
      </c>
      <c r="J12" s="125"/>
      <c r="L12" s="31"/>
      <c r="N12" s="126"/>
    </row>
    <row r="13" spans="1:14" s="29" customFormat="1" ht="14.25" customHeight="1" x14ac:dyDescent="0.25">
      <c r="A13" s="150">
        <v>1</v>
      </c>
      <c r="B13" s="150">
        <v>1</v>
      </c>
      <c r="C13" s="30">
        <f t="shared" si="0"/>
        <v>6</v>
      </c>
      <c r="D13" s="147" t="s">
        <v>312</v>
      </c>
      <c r="E13" s="30" t="s">
        <v>234</v>
      </c>
      <c r="F13" s="30" t="s">
        <v>234</v>
      </c>
      <c r="G13" s="155" t="s">
        <v>234</v>
      </c>
      <c r="H13" s="148">
        <f>-15*8000-10*7000-5*4000-3*7000-7*2000</f>
        <v>-245000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2017000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9" priority="22">
      <formula>$C22=MAX($C$8:$C$37)</formula>
    </cfRule>
  </conditionalFormatting>
  <conditionalFormatting sqref="C23:C37">
    <cfRule type="expression" dxfId="478" priority="21">
      <formula>$C22=MAX($C$8:$C$37)</formula>
    </cfRule>
  </conditionalFormatting>
  <conditionalFormatting sqref="E23:E38">
    <cfRule type="expression" dxfId="477" priority="23">
      <formula>AND($A23="",$F23&lt;&gt;"")</formula>
    </cfRule>
  </conditionalFormatting>
  <conditionalFormatting sqref="F23:F38">
    <cfRule type="expression" dxfId="476" priority="24">
      <formula>AND($F23="",$A23&lt;&gt;"")</formula>
    </cfRule>
  </conditionalFormatting>
  <conditionalFormatting sqref="D20:H22">
    <cfRule type="expression" dxfId="475" priority="18">
      <formula>$C19=MAX($C$8:$C$37)</formula>
    </cfRule>
  </conditionalFormatting>
  <conditionalFormatting sqref="C20:C22">
    <cfRule type="expression" dxfId="474" priority="17">
      <formula>$C19=MAX($C$8:$C$37)</formula>
    </cfRule>
  </conditionalFormatting>
  <conditionalFormatting sqref="E20:E22">
    <cfRule type="expression" dxfId="473" priority="19">
      <formula>AND($A20="",$F20&lt;&gt;"")</formula>
    </cfRule>
  </conditionalFormatting>
  <conditionalFormatting sqref="F20:F22">
    <cfRule type="expression" dxfId="472" priority="20">
      <formula>AND($F20="",$A20&lt;&gt;"")</formula>
    </cfRule>
  </conditionalFormatting>
  <conditionalFormatting sqref="D15:H19 D12:F14 H12:H14">
    <cfRule type="expression" dxfId="471" priority="14">
      <formula>$C11=MAX($C$8:$C$37)</formula>
    </cfRule>
  </conditionalFormatting>
  <conditionalFormatting sqref="C12:C19">
    <cfRule type="expression" dxfId="470" priority="13">
      <formula>$C11=MAX($C$8:$C$37)</formula>
    </cfRule>
  </conditionalFormatting>
  <conditionalFormatting sqref="E12:E19">
    <cfRule type="expression" dxfId="469" priority="15">
      <formula>AND($A12="",$F12&lt;&gt;"")</formula>
    </cfRule>
  </conditionalFormatting>
  <conditionalFormatting sqref="F12:F19">
    <cfRule type="expression" dxfId="468" priority="16">
      <formula>AND($F12="",$A12&lt;&gt;"")</formula>
    </cfRule>
  </conditionalFormatting>
  <conditionalFormatting sqref="G12:G14">
    <cfRule type="expression" dxfId="467" priority="12">
      <formula>$C11=MAX($C$8:$C$37)</formula>
    </cfRule>
  </conditionalFormatting>
  <conditionalFormatting sqref="D9:F11 H9:H11">
    <cfRule type="expression" dxfId="466" priority="9">
      <formula>$C8=MAX($C$8:$C$37)</formula>
    </cfRule>
  </conditionalFormatting>
  <conditionalFormatting sqref="C9:C11">
    <cfRule type="expression" dxfId="465" priority="8">
      <formula>$C8=MAX($C$8:$C$37)</formula>
    </cfRule>
  </conditionalFormatting>
  <conditionalFormatting sqref="E9:E11">
    <cfRule type="expression" dxfId="464" priority="10">
      <formula>AND($A9="",$F9&lt;&gt;"")</formula>
    </cfRule>
  </conditionalFormatting>
  <conditionalFormatting sqref="F9:F11">
    <cfRule type="expression" dxfId="463" priority="11">
      <formula>AND($F9="",$A9&lt;&gt;"")</formula>
    </cfRule>
  </conditionalFormatting>
  <conditionalFormatting sqref="D8:F8">
    <cfRule type="expression" dxfId="462" priority="5">
      <formula>$C7=MAX($C$8:$C$37)</formula>
    </cfRule>
  </conditionalFormatting>
  <conditionalFormatting sqref="C8">
    <cfRule type="expression" dxfId="461" priority="4">
      <formula>$C7=MAX($C$8:$C$37)</formula>
    </cfRule>
  </conditionalFormatting>
  <conditionalFormatting sqref="E8">
    <cfRule type="expression" dxfId="460" priority="6">
      <formula>AND($A8="",$F8&lt;&gt;"")</formula>
    </cfRule>
  </conditionalFormatting>
  <conditionalFormatting sqref="F8">
    <cfRule type="expression" dxfId="459" priority="7">
      <formula>AND($F8="",$A8&lt;&gt;"")</formula>
    </cfRule>
  </conditionalFormatting>
  <conditionalFormatting sqref="H8">
    <cfRule type="expression" dxfId="458" priority="3">
      <formula>$C7=MAX($C$8:$C$37)</formula>
    </cfRule>
  </conditionalFormatting>
  <conditionalFormatting sqref="G9:G11">
    <cfRule type="expression" dxfId="457" priority="2">
      <formula>$C8=MAX($C$8:$C$37)</formula>
    </cfRule>
  </conditionalFormatting>
  <conditionalFormatting sqref="G8">
    <cfRule type="expression" dxfId="45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39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DA81B-F179-4CF9-9688-F4E1C96836BD}">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18</v>
      </c>
      <c r="B8" s="150">
        <v>1</v>
      </c>
      <c r="C8" s="30">
        <f t="shared" ref="C8:C37" si="0">IF(OR(SUM($C7,$A8&lt;&gt;"")=0,$A8=""),"",SUM($C7,$A8&lt;&gt;""))</f>
        <v>1</v>
      </c>
      <c r="D8" s="147" t="str">
        <f>IFERROR(VLOOKUP($A8,Sheet1!$A$1:$B$80,2,0),"")</f>
        <v>Chả giò Rế tôm mực LC</v>
      </c>
      <c r="E8" s="30">
        <f>IFERROR(VLOOKUP($A8,'Tổng Đơn'!$A$5:$E$52,5,0),"")</f>
        <v>0.5</v>
      </c>
      <c r="F8" s="30">
        <f t="shared" ref="F8:F37" si="1">IF($B8="","",B8)</f>
        <v>1</v>
      </c>
      <c r="G8" s="155">
        <f>IFERROR(VLOOKUP($A8,Sheet1!$A1:$D$80,4,0),"")</f>
        <v>50000</v>
      </c>
      <c r="H8" s="148">
        <f>IF($C7=MAX($C$8:$C$56),SUM($H7:$H$8),IFERROR($G8*$F8,""))</f>
        <v>50000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3" priority="22">
      <formula>$C22=MAX($C$8:$C$37)</formula>
    </cfRule>
  </conditionalFormatting>
  <conditionalFormatting sqref="C23:C37">
    <cfRule type="expression" dxfId="502" priority="21">
      <formula>$C22=MAX($C$8:$C$37)</formula>
    </cfRule>
  </conditionalFormatting>
  <conditionalFormatting sqref="E23:E38">
    <cfRule type="expression" dxfId="501" priority="23">
      <formula>AND($A23="",$F23&lt;&gt;"")</formula>
    </cfRule>
  </conditionalFormatting>
  <conditionalFormatting sqref="F23:F38">
    <cfRule type="expression" dxfId="500" priority="24">
      <formula>AND($F23="",$A23&lt;&gt;"")</formula>
    </cfRule>
  </conditionalFormatting>
  <conditionalFormatting sqref="D20:H22">
    <cfRule type="expression" dxfId="499" priority="18">
      <formula>$C19=MAX($C$8:$C$37)</formula>
    </cfRule>
  </conditionalFormatting>
  <conditionalFormatting sqref="C20:C22">
    <cfRule type="expression" dxfId="498" priority="17">
      <formula>$C19=MAX($C$8:$C$37)</formula>
    </cfRule>
  </conditionalFormatting>
  <conditionalFormatting sqref="E20:E22">
    <cfRule type="expression" dxfId="497" priority="19">
      <formula>AND($A20="",$F20&lt;&gt;"")</formula>
    </cfRule>
  </conditionalFormatting>
  <conditionalFormatting sqref="F20:F22">
    <cfRule type="expression" dxfId="496" priority="20">
      <formula>AND($F20="",$A20&lt;&gt;"")</formula>
    </cfRule>
  </conditionalFormatting>
  <conditionalFormatting sqref="D15:H19 D12:F14 H12:H14">
    <cfRule type="expression" dxfId="495" priority="14">
      <formula>$C11=MAX($C$8:$C$37)</formula>
    </cfRule>
  </conditionalFormatting>
  <conditionalFormatting sqref="C12:C19">
    <cfRule type="expression" dxfId="494" priority="13">
      <formula>$C11=MAX($C$8:$C$37)</formula>
    </cfRule>
  </conditionalFormatting>
  <conditionalFormatting sqref="E12:E19">
    <cfRule type="expression" dxfId="493" priority="15">
      <formula>AND($A12="",$F12&lt;&gt;"")</formula>
    </cfRule>
  </conditionalFormatting>
  <conditionalFormatting sqref="F12:F19">
    <cfRule type="expression" dxfId="492" priority="16">
      <formula>AND($F12="",$A12&lt;&gt;"")</formula>
    </cfRule>
  </conditionalFormatting>
  <conditionalFormatting sqref="G12:G14">
    <cfRule type="expression" dxfId="491" priority="12">
      <formula>$C11=MAX($C$8:$C$37)</formula>
    </cfRule>
  </conditionalFormatting>
  <conditionalFormatting sqref="D9:F11 H9:H11">
    <cfRule type="expression" dxfId="490" priority="9">
      <formula>$C8=MAX($C$8:$C$37)</formula>
    </cfRule>
  </conditionalFormatting>
  <conditionalFormatting sqref="C9:C11">
    <cfRule type="expression" dxfId="489" priority="8">
      <formula>$C8=MAX($C$8:$C$37)</formula>
    </cfRule>
  </conditionalFormatting>
  <conditionalFormatting sqref="E9:E11">
    <cfRule type="expression" dxfId="488" priority="10">
      <formula>AND($A9="",$F9&lt;&gt;"")</formula>
    </cfRule>
  </conditionalFormatting>
  <conditionalFormatting sqref="F9:F11">
    <cfRule type="expression" dxfId="487" priority="11">
      <formula>AND($F9="",$A9&lt;&gt;"")</formula>
    </cfRule>
  </conditionalFormatting>
  <conditionalFormatting sqref="D8:F8">
    <cfRule type="expression" dxfId="486" priority="5">
      <formula>$C7=MAX($C$8:$C$37)</formula>
    </cfRule>
  </conditionalFormatting>
  <conditionalFormatting sqref="C8">
    <cfRule type="expression" dxfId="485" priority="4">
      <formula>$C7=MAX($C$8:$C$37)</formula>
    </cfRule>
  </conditionalFormatting>
  <conditionalFormatting sqref="E8">
    <cfRule type="expression" dxfId="484" priority="6">
      <formula>AND($A8="",$F8&lt;&gt;"")</formula>
    </cfRule>
  </conditionalFormatting>
  <conditionalFormatting sqref="F8">
    <cfRule type="expression" dxfId="483" priority="7">
      <formula>AND($F8="",$A8&lt;&gt;"")</formula>
    </cfRule>
  </conditionalFormatting>
  <conditionalFormatting sqref="H8">
    <cfRule type="expression" dxfId="482" priority="3">
      <formula>$C7=MAX($C$8:$C$37)</formula>
    </cfRule>
  </conditionalFormatting>
  <conditionalFormatting sqref="G9:G11">
    <cfRule type="expression" dxfId="481" priority="2">
      <formula>$C8=MAX($C$8:$C$37)</formula>
    </cfRule>
  </conditionalFormatting>
  <conditionalFormatting sqref="G8">
    <cfRule type="expression" dxfId="4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E5CA1-D283-4C80-A0EA-50F9AA7B221E}">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27" priority="22">
      <formula>$C22=MAX($C$8:$C$37)</formula>
    </cfRule>
  </conditionalFormatting>
  <conditionalFormatting sqref="C23:C37">
    <cfRule type="expression" dxfId="526" priority="21">
      <formula>$C22=MAX($C$8:$C$37)</formula>
    </cfRule>
  </conditionalFormatting>
  <conditionalFormatting sqref="E23:E38">
    <cfRule type="expression" dxfId="525" priority="23">
      <formula>AND($A23="",$F23&lt;&gt;"")</formula>
    </cfRule>
  </conditionalFormatting>
  <conditionalFormatting sqref="F23:F38">
    <cfRule type="expression" dxfId="524" priority="24">
      <formula>AND($F23="",$A23&lt;&gt;"")</formula>
    </cfRule>
  </conditionalFormatting>
  <conditionalFormatting sqref="D20:H22">
    <cfRule type="expression" dxfId="523" priority="18">
      <formula>$C19=MAX($C$8:$C$37)</formula>
    </cfRule>
  </conditionalFormatting>
  <conditionalFormatting sqref="C20:C22">
    <cfRule type="expression" dxfId="522" priority="17">
      <formula>$C19=MAX($C$8:$C$37)</formula>
    </cfRule>
  </conditionalFormatting>
  <conditionalFormatting sqref="E20:E22">
    <cfRule type="expression" dxfId="521" priority="19">
      <formula>AND($A20="",$F20&lt;&gt;"")</formula>
    </cfRule>
  </conditionalFormatting>
  <conditionalFormatting sqref="F20:F22">
    <cfRule type="expression" dxfId="520" priority="20">
      <formula>AND($F20="",$A20&lt;&gt;"")</formula>
    </cfRule>
  </conditionalFormatting>
  <conditionalFormatting sqref="D15:H19 D12:F14 H12:H14">
    <cfRule type="expression" dxfId="519" priority="14">
      <formula>$C11=MAX($C$8:$C$37)</formula>
    </cfRule>
  </conditionalFormatting>
  <conditionalFormatting sqref="C12:C19">
    <cfRule type="expression" dxfId="518" priority="13">
      <formula>$C11=MAX($C$8:$C$37)</formula>
    </cfRule>
  </conditionalFormatting>
  <conditionalFormatting sqref="E12:E19">
    <cfRule type="expression" dxfId="517" priority="15">
      <formula>AND($A12="",$F12&lt;&gt;"")</formula>
    </cfRule>
  </conditionalFormatting>
  <conditionalFormatting sqref="F12:F19">
    <cfRule type="expression" dxfId="516" priority="16">
      <formula>AND($F12="",$A12&lt;&gt;"")</formula>
    </cfRule>
  </conditionalFormatting>
  <conditionalFormatting sqref="G12:G14">
    <cfRule type="expression" dxfId="515" priority="12">
      <formula>$C11=MAX($C$8:$C$37)</formula>
    </cfRule>
  </conditionalFormatting>
  <conditionalFormatting sqref="D9:F11 H9:H11">
    <cfRule type="expression" dxfId="514" priority="9">
      <formula>$C8=MAX($C$8:$C$37)</formula>
    </cfRule>
  </conditionalFormatting>
  <conditionalFormatting sqref="C9:C11">
    <cfRule type="expression" dxfId="513" priority="8">
      <formula>$C8=MAX($C$8:$C$37)</formula>
    </cfRule>
  </conditionalFormatting>
  <conditionalFormatting sqref="E9:E11">
    <cfRule type="expression" dxfId="512" priority="10">
      <formula>AND($A9="",$F9&lt;&gt;"")</formula>
    </cfRule>
  </conditionalFormatting>
  <conditionalFormatting sqref="F9:F11">
    <cfRule type="expression" dxfId="511" priority="11">
      <formula>AND($F9="",$A9&lt;&gt;"")</formula>
    </cfRule>
  </conditionalFormatting>
  <conditionalFormatting sqref="D8:F8">
    <cfRule type="expression" dxfId="510" priority="5">
      <formula>$C7=MAX($C$8:$C$37)</formula>
    </cfRule>
  </conditionalFormatting>
  <conditionalFormatting sqref="C8">
    <cfRule type="expression" dxfId="509" priority="4">
      <formula>$C7=MAX($C$8:$C$37)</formula>
    </cfRule>
  </conditionalFormatting>
  <conditionalFormatting sqref="E8">
    <cfRule type="expression" dxfId="508" priority="6">
      <formula>AND($A8="",$F8&lt;&gt;"")</formula>
    </cfRule>
  </conditionalFormatting>
  <conditionalFormatting sqref="F8">
    <cfRule type="expression" dxfId="507" priority="7">
      <formula>AND($F8="",$A8&lt;&gt;"")</formula>
    </cfRule>
  </conditionalFormatting>
  <conditionalFormatting sqref="H8">
    <cfRule type="expression" dxfId="506" priority="3">
      <formula>$C7=MAX($C$8:$C$37)</formula>
    </cfRule>
  </conditionalFormatting>
  <conditionalFormatting sqref="G9:G11">
    <cfRule type="expression" dxfId="505" priority="2">
      <formula>$C8=MAX($C$8:$C$37)</formula>
    </cfRule>
  </conditionalFormatting>
  <conditionalFormatting sqref="G8">
    <cfRule type="expression" dxfId="5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10F10-B089-4279-B01B-94B3D807567F}">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37</v>
      </c>
      <c r="B8" s="150">
        <v>8</v>
      </c>
      <c r="C8" s="30">
        <f t="shared" ref="C8:C37" si="0">IF(OR(SUM($C7,$A8&lt;&gt;"")=0,$A8=""),"",SUM($C7,$A8&lt;&gt;""))</f>
        <v>1</v>
      </c>
      <c r="D8" s="147" t="str">
        <f>IFERROR(VLOOKUP($A8,Sheet1!$A$1:$B$80,2,0),"")</f>
        <v>Tôm viên KK</v>
      </c>
      <c r="E8" s="30">
        <f>IFERROR(VLOOKUP($A8,'Tổng Đơn'!$A$5:$E$52,5,0),"")</f>
        <v>0.5</v>
      </c>
      <c r="F8" s="30">
        <f t="shared" ref="F8:F37" si="1">IF($B8="","",B8)</f>
        <v>8</v>
      </c>
      <c r="G8" s="155">
        <f>IFERROR(VLOOKUP($A8,Sheet1!$A1:$D$80,4,0),"")</f>
        <v>28000</v>
      </c>
      <c r="H8" s="148">
        <f>IF($C7=MAX($C$8:$C$56),SUM($H7:$H$8),IFERROR($G8*$F8,""))</f>
        <v>224000</v>
      </c>
      <c r="I8" s="54">
        <f t="shared" ref="I8:I37" si="2">IF(TYPE($A8)&lt;&gt;1,"",IFERROR(F8*E8,""))</f>
        <v>4</v>
      </c>
      <c r="L8" s="32"/>
    </row>
    <row r="9" spans="1:14" s="29" customFormat="1" ht="14.25" customHeight="1" x14ac:dyDescent="0.25">
      <c r="A9" s="150">
        <v>1</v>
      </c>
      <c r="B9" s="150">
        <v>1</v>
      </c>
      <c r="C9" s="30">
        <f t="shared" si="0"/>
        <v>2</v>
      </c>
      <c r="D9" s="147" t="s">
        <v>312</v>
      </c>
      <c r="E9" s="30" t="s">
        <v>234</v>
      </c>
      <c r="F9" s="30" t="s">
        <v>234</v>
      </c>
      <c r="G9" s="155" t="s">
        <v>234</v>
      </c>
      <c r="H9" s="148">
        <f>-4*9000</f>
        <v>-36000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188000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51" priority="22">
      <formula>$C22=MAX($C$8:$C$37)</formula>
    </cfRule>
  </conditionalFormatting>
  <conditionalFormatting sqref="C23:C37">
    <cfRule type="expression" dxfId="550" priority="21">
      <formula>$C22=MAX($C$8:$C$37)</formula>
    </cfRule>
  </conditionalFormatting>
  <conditionalFormatting sqref="E23:E38">
    <cfRule type="expression" dxfId="549" priority="23">
      <formula>AND($A23="",$F23&lt;&gt;"")</formula>
    </cfRule>
  </conditionalFormatting>
  <conditionalFormatting sqref="F23:F38">
    <cfRule type="expression" dxfId="548" priority="24">
      <formula>AND($F23="",$A23&lt;&gt;"")</formula>
    </cfRule>
  </conditionalFormatting>
  <conditionalFormatting sqref="D20:H22">
    <cfRule type="expression" dxfId="547" priority="18">
      <formula>$C19=MAX($C$8:$C$37)</formula>
    </cfRule>
  </conditionalFormatting>
  <conditionalFormatting sqref="C20:C22">
    <cfRule type="expression" dxfId="546" priority="17">
      <formula>$C19=MAX($C$8:$C$37)</formula>
    </cfRule>
  </conditionalFormatting>
  <conditionalFormatting sqref="E20:E22">
    <cfRule type="expression" dxfId="545" priority="19">
      <formula>AND($A20="",$F20&lt;&gt;"")</formula>
    </cfRule>
  </conditionalFormatting>
  <conditionalFormatting sqref="F20:F22">
    <cfRule type="expression" dxfId="544" priority="20">
      <formula>AND($F20="",$A20&lt;&gt;"")</formula>
    </cfRule>
  </conditionalFormatting>
  <conditionalFormatting sqref="D15:H19 D12:F14 H12:H14">
    <cfRule type="expression" dxfId="543" priority="14">
      <formula>$C11=MAX($C$8:$C$37)</formula>
    </cfRule>
  </conditionalFormatting>
  <conditionalFormatting sqref="C12:C19">
    <cfRule type="expression" dxfId="542" priority="13">
      <formula>$C11=MAX($C$8:$C$37)</formula>
    </cfRule>
  </conditionalFormatting>
  <conditionalFormatting sqref="E12:E19">
    <cfRule type="expression" dxfId="541" priority="15">
      <formula>AND($A12="",$F12&lt;&gt;"")</formula>
    </cfRule>
  </conditionalFormatting>
  <conditionalFormatting sqref="F12:F19">
    <cfRule type="expression" dxfId="540" priority="16">
      <formula>AND($F12="",$A12&lt;&gt;"")</formula>
    </cfRule>
  </conditionalFormatting>
  <conditionalFormatting sqref="G12:G14">
    <cfRule type="expression" dxfId="539" priority="12">
      <formula>$C11=MAX($C$8:$C$37)</formula>
    </cfRule>
  </conditionalFormatting>
  <conditionalFormatting sqref="D9:F11 H9:H11">
    <cfRule type="expression" dxfId="538" priority="9">
      <formula>$C8=MAX($C$8:$C$37)</formula>
    </cfRule>
  </conditionalFormatting>
  <conditionalFormatting sqref="C9:C11">
    <cfRule type="expression" dxfId="537" priority="8">
      <formula>$C8=MAX($C$8:$C$37)</formula>
    </cfRule>
  </conditionalFormatting>
  <conditionalFormatting sqref="E9:E11">
    <cfRule type="expression" dxfId="536" priority="10">
      <formula>AND($A9="",$F9&lt;&gt;"")</formula>
    </cfRule>
  </conditionalFormatting>
  <conditionalFormatting sqref="F9:F11">
    <cfRule type="expression" dxfId="535" priority="11">
      <formula>AND($F9="",$A9&lt;&gt;"")</formula>
    </cfRule>
  </conditionalFormatting>
  <conditionalFormatting sqref="D8:F8">
    <cfRule type="expression" dxfId="534" priority="5">
      <formula>$C7=MAX($C$8:$C$37)</formula>
    </cfRule>
  </conditionalFormatting>
  <conditionalFormatting sqref="C8">
    <cfRule type="expression" dxfId="533" priority="4">
      <formula>$C7=MAX($C$8:$C$37)</formula>
    </cfRule>
  </conditionalFormatting>
  <conditionalFormatting sqref="E8">
    <cfRule type="expression" dxfId="532" priority="6">
      <formula>AND($A8="",$F8&lt;&gt;"")</formula>
    </cfRule>
  </conditionalFormatting>
  <conditionalFormatting sqref="F8">
    <cfRule type="expression" dxfId="531" priority="7">
      <formula>AND($F8="",$A8&lt;&gt;"")</formula>
    </cfRule>
  </conditionalFormatting>
  <conditionalFormatting sqref="H8">
    <cfRule type="expression" dxfId="530" priority="3">
      <formula>$C7=MAX($C$8:$C$37)</formula>
    </cfRule>
  </conditionalFormatting>
  <conditionalFormatting sqref="G9:G11">
    <cfRule type="expression" dxfId="529" priority="2">
      <formula>$C8=MAX($C$8:$C$37)</formula>
    </cfRule>
  </conditionalFormatting>
  <conditionalFormatting sqref="G8">
    <cfRule type="expression" dxfId="5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6421-546E-4B75-8B3F-67F556E65C62}">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316</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39</v>
      </c>
      <c r="B9" s="150">
        <v>4</v>
      </c>
      <c r="C9" s="30">
        <f t="shared" si="0"/>
        <v>2</v>
      </c>
      <c r="D9" s="147" t="str">
        <f>IFERROR(VLOOKUP($A9,Sheet1!$A$1:$B$80,2,0),"")</f>
        <v>XX Đức KK</v>
      </c>
      <c r="E9" s="30">
        <f>IFERROR(VLOOKUP($A9,'Tổng Đơn'!$A$5:$E$52,5,0),"")</f>
        <v>0.5</v>
      </c>
      <c r="F9" s="30">
        <f t="shared" si="1"/>
        <v>4</v>
      </c>
      <c r="G9" s="155">
        <f>IF(AND($C9="",$C8&lt;&gt;""),"Tổng Cộng",IFERROR(VLOOKUP($A9,Sheet1!$A$1:$D$80,4,0),""))</f>
        <v>37000</v>
      </c>
      <c r="H9" s="148">
        <f>IF($C8=MAX($C$8:$C$56),SUM($H$8:$H8),IFERROR($G9*$F9,""))</f>
        <v>148000</v>
      </c>
      <c r="I9" s="54">
        <f t="shared" si="2"/>
        <v>2</v>
      </c>
      <c r="L9" s="31"/>
    </row>
    <row r="10" spans="1:14" s="29" customFormat="1" ht="14.25" customHeight="1" x14ac:dyDescent="0.25">
      <c r="A10" s="150">
        <v>1</v>
      </c>
      <c r="B10" s="150">
        <v>1</v>
      </c>
      <c r="C10" s="30">
        <f t="shared" si="0"/>
        <v>3</v>
      </c>
      <c r="D10" s="147" t="s">
        <v>312</v>
      </c>
      <c r="E10" s="30" t="s">
        <v>234</v>
      </c>
      <c r="F10" s="30" t="s">
        <v>234</v>
      </c>
      <c r="G10" s="155" t="s">
        <v>234</v>
      </c>
      <c r="H10" s="148">
        <f>-4*2500</f>
        <v>-10000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238000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75" priority="22">
      <formula>$C22=MAX($C$8:$C$37)</formula>
    </cfRule>
  </conditionalFormatting>
  <conditionalFormatting sqref="C23:C37">
    <cfRule type="expression" dxfId="574" priority="21">
      <formula>$C22=MAX($C$8:$C$37)</formula>
    </cfRule>
  </conditionalFormatting>
  <conditionalFormatting sqref="E23:E38">
    <cfRule type="expression" dxfId="573" priority="23">
      <formula>AND($A23="",$F23&lt;&gt;"")</formula>
    </cfRule>
  </conditionalFormatting>
  <conditionalFormatting sqref="F23:F38">
    <cfRule type="expression" dxfId="572" priority="24">
      <formula>AND($F23="",$A23&lt;&gt;"")</formula>
    </cfRule>
  </conditionalFormatting>
  <conditionalFormatting sqref="D20:H22">
    <cfRule type="expression" dxfId="571" priority="18">
      <formula>$C19=MAX($C$8:$C$37)</formula>
    </cfRule>
  </conditionalFormatting>
  <conditionalFormatting sqref="C20:C22">
    <cfRule type="expression" dxfId="570" priority="17">
      <formula>$C19=MAX($C$8:$C$37)</formula>
    </cfRule>
  </conditionalFormatting>
  <conditionalFormatting sqref="E20:E22">
    <cfRule type="expression" dxfId="569" priority="19">
      <formula>AND($A20="",$F20&lt;&gt;"")</formula>
    </cfRule>
  </conditionalFormatting>
  <conditionalFormatting sqref="F20:F22">
    <cfRule type="expression" dxfId="568" priority="20">
      <formula>AND($F20="",$A20&lt;&gt;"")</formula>
    </cfRule>
  </conditionalFormatting>
  <conditionalFormatting sqref="D15:H19 D12:F14 H12:H14">
    <cfRule type="expression" dxfId="567" priority="14">
      <formula>$C11=MAX($C$8:$C$37)</formula>
    </cfRule>
  </conditionalFormatting>
  <conditionalFormatting sqref="C12:C19">
    <cfRule type="expression" dxfId="566" priority="13">
      <formula>$C11=MAX($C$8:$C$37)</formula>
    </cfRule>
  </conditionalFormatting>
  <conditionalFormatting sqref="E12:E19">
    <cfRule type="expression" dxfId="565" priority="15">
      <formula>AND($A12="",$F12&lt;&gt;"")</formula>
    </cfRule>
  </conditionalFormatting>
  <conditionalFormatting sqref="F12:F19">
    <cfRule type="expression" dxfId="564" priority="16">
      <formula>AND($F12="",$A12&lt;&gt;"")</formula>
    </cfRule>
  </conditionalFormatting>
  <conditionalFormatting sqref="G12:G14">
    <cfRule type="expression" dxfId="563" priority="12">
      <formula>$C11=MAX($C$8:$C$37)</formula>
    </cfRule>
  </conditionalFormatting>
  <conditionalFormatting sqref="D9:F11 H9:H11">
    <cfRule type="expression" dxfId="562" priority="9">
      <formula>$C8=MAX($C$8:$C$37)</formula>
    </cfRule>
  </conditionalFormatting>
  <conditionalFormatting sqref="C9:C11">
    <cfRule type="expression" dxfId="561" priority="8">
      <formula>$C8=MAX($C$8:$C$37)</formula>
    </cfRule>
  </conditionalFormatting>
  <conditionalFormatting sqref="E9:E11">
    <cfRule type="expression" dxfId="560" priority="10">
      <formula>AND($A9="",$F9&lt;&gt;"")</formula>
    </cfRule>
  </conditionalFormatting>
  <conditionalFormatting sqref="F9:F11">
    <cfRule type="expression" dxfId="559" priority="11">
      <formula>AND($F9="",$A9&lt;&gt;"")</formula>
    </cfRule>
  </conditionalFormatting>
  <conditionalFormatting sqref="D8:F8">
    <cfRule type="expression" dxfId="558" priority="5">
      <formula>$C7=MAX($C$8:$C$37)</formula>
    </cfRule>
  </conditionalFormatting>
  <conditionalFormatting sqref="C8">
    <cfRule type="expression" dxfId="557" priority="4">
      <formula>$C7=MAX($C$8:$C$37)</formula>
    </cfRule>
  </conditionalFormatting>
  <conditionalFormatting sqref="E8">
    <cfRule type="expression" dxfId="556" priority="6">
      <formula>AND($A8="",$F8&lt;&gt;"")</formula>
    </cfRule>
  </conditionalFormatting>
  <conditionalFormatting sqref="F8">
    <cfRule type="expression" dxfId="555" priority="7">
      <formula>AND($F8="",$A8&lt;&gt;"")</formula>
    </cfRule>
  </conditionalFormatting>
  <conditionalFormatting sqref="H8">
    <cfRule type="expression" dxfId="554" priority="3">
      <formula>$C7=MAX($C$8:$C$37)</formula>
    </cfRule>
  </conditionalFormatting>
  <conditionalFormatting sqref="G9:G11">
    <cfRule type="expression" dxfId="553" priority="2">
      <formula>$C8=MAX($C$8:$C$37)</formula>
    </cfRule>
  </conditionalFormatting>
  <conditionalFormatting sqref="G8">
    <cfRule type="expression" dxfId="5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Chi phí ra hàng tháng</vt:lpstr>
      <vt:lpstr>TVP</vt:lpstr>
      <vt:lpstr>Gà</vt:lpstr>
      <vt:lpstr>Quốc Nhân</vt:lpstr>
      <vt:lpstr>La Cusina</vt:lpstr>
      <vt:lpstr>Kitkool</vt:lpstr>
      <vt:lpstr>Sheet1</vt:lpstr>
      <vt:lpstr>Tổng Đơn</vt:lpstr>
      <vt:lpstr>Chi phí</vt:lpstr>
      <vt:lpstr>Thanh Toán</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2023-01-20T13:45:24Z</dcterms:modified>
</cp:coreProperties>
</file>