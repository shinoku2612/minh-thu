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1058" r:id="rId11"/>
    <sheet name="Thanh Toán (13)" sheetId="1057" r:id="rId12"/>
    <sheet name="Thanh Toán (12)" sheetId="1056" r:id="rId13"/>
    <sheet name="Thanh Toán (11)" sheetId="1055" r:id="rId14"/>
    <sheet name="Thanh Toán (10)" sheetId="1054" r:id="rId15"/>
    <sheet name="Thanh Toán (9)" sheetId="1053" r:id="rId16"/>
    <sheet name="Thanh Toán (8)" sheetId="1052" r:id="rId17"/>
    <sheet name="Thanh Toán (7)" sheetId="1050" r:id="rId18"/>
    <sheet name="Thanh Toán (6)" sheetId="1049" r:id="rId19"/>
    <sheet name="Thanh Toán (5)" sheetId="1048" r:id="rId20"/>
    <sheet name="Thanh Toán (4)" sheetId="1047" r:id="rId21"/>
    <sheet name="Thanh Toán (3)" sheetId="1046" r:id="rId22"/>
    <sheet name="Thanh Toán (2)" sheetId="1045"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X3" i="137" l="1"/>
  <c r="I37" i="1058"/>
  <c r="F37" i="1058"/>
  <c r="E37" i="1058"/>
  <c r="D37" i="1058"/>
  <c r="I36" i="1058"/>
  <c r="F36" i="1058"/>
  <c r="E36" i="1058"/>
  <c r="D36" i="1058"/>
  <c r="I35" i="1058"/>
  <c r="F35" i="1058"/>
  <c r="E35" i="1058"/>
  <c r="D35" i="1058"/>
  <c r="I34" i="1058"/>
  <c r="F34" i="1058"/>
  <c r="E34" i="1058"/>
  <c r="D34" i="1058"/>
  <c r="I33" i="1058"/>
  <c r="F33" i="1058"/>
  <c r="E33" i="1058"/>
  <c r="D33" i="1058"/>
  <c r="I32" i="1058"/>
  <c r="F32" i="1058"/>
  <c r="E32" i="1058"/>
  <c r="D32" i="1058"/>
  <c r="I31" i="1058"/>
  <c r="F31" i="1058"/>
  <c r="E31" i="1058"/>
  <c r="D31" i="1058"/>
  <c r="I30" i="1058"/>
  <c r="F30" i="1058"/>
  <c r="E30" i="1058"/>
  <c r="D30" i="1058"/>
  <c r="I29" i="1058"/>
  <c r="F29" i="1058"/>
  <c r="E29" i="1058"/>
  <c r="D29" i="1058"/>
  <c r="I28" i="1058"/>
  <c r="F28" i="1058"/>
  <c r="E28" i="1058"/>
  <c r="D28" i="1058"/>
  <c r="I27" i="1058"/>
  <c r="F27" i="1058"/>
  <c r="E27" i="1058"/>
  <c r="D27" i="1058"/>
  <c r="I26" i="1058"/>
  <c r="F26" i="1058"/>
  <c r="E26" i="1058"/>
  <c r="D26" i="1058"/>
  <c r="I25" i="1058"/>
  <c r="F25" i="1058"/>
  <c r="E25" i="1058"/>
  <c r="D25" i="1058"/>
  <c r="I24" i="1058"/>
  <c r="F24" i="1058"/>
  <c r="E24" i="1058"/>
  <c r="D24" i="1058"/>
  <c r="I23" i="1058"/>
  <c r="F23" i="1058"/>
  <c r="E23" i="1058"/>
  <c r="D23" i="1058"/>
  <c r="I22" i="1058"/>
  <c r="F22" i="1058"/>
  <c r="E22" i="1058"/>
  <c r="D22" i="1058"/>
  <c r="I21" i="1058"/>
  <c r="F21" i="1058"/>
  <c r="E21" i="1058"/>
  <c r="D21" i="1058"/>
  <c r="I20" i="1058"/>
  <c r="F20" i="1058"/>
  <c r="E20" i="1058"/>
  <c r="D20" i="1058"/>
  <c r="I19" i="1058"/>
  <c r="F19" i="1058"/>
  <c r="E19" i="1058"/>
  <c r="D19" i="1058"/>
  <c r="I18" i="1058"/>
  <c r="F18" i="1058"/>
  <c r="E18" i="1058"/>
  <c r="D18" i="1058"/>
  <c r="I17" i="1058"/>
  <c r="F17" i="1058"/>
  <c r="E17" i="1058"/>
  <c r="D17" i="1058"/>
  <c r="I16" i="1058"/>
  <c r="F16" i="1058"/>
  <c r="E16" i="1058"/>
  <c r="D16" i="1058"/>
  <c r="I15" i="1058"/>
  <c r="F15" i="1058"/>
  <c r="E15" i="1058"/>
  <c r="D15" i="1058"/>
  <c r="I14" i="1058"/>
  <c r="F14" i="1058"/>
  <c r="E14" i="1058"/>
  <c r="D14" i="1058"/>
  <c r="I13" i="1058"/>
  <c r="F13" i="1058"/>
  <c r="E13" i="1058"/>
  <c r="D13" i="1058"/>
  <c r="I12" i="1058"/>
  <c r="F12" i="1058"/>
  <c r="E12" i="1058"/>
  <c r="D12" i="1058"/>
  <c r="I11" i="1058"/>
  <c r="F11" i="1058"/>
  <c r="E11" i="1058"/>
  <c r="D11" i="1058"/>
  <c r="I10" i="1058"/>
  <c r="F10" i="1058"/>
  <c r="E10" i="1058"/>
  <c r="D10" i="1058"/>
  <c r="G8" i="1058"/>
  <c r="F8" i="1058"/>
  <c r="E8" i="1058"/>
  <c r="I8" i="1058" s="1"/>
  <c r="D8" i="1058"/>
  <c r="C8" i="1058"/>
  <c r="C9" i="1058" s="1"/>
  <c r="E7" i="1058"/>
  <c r="G6" i="1058"/>
  <c r="I18" i="95"/>
  <c r="AW5" i="150"/>
  <c r="H12" i="1057"/>
  <c r="I37" i="1057"/>
  <c r="F37" i="1057"/>
  <c r="E37" i="1057"/>
  <c r="D37" i="1057"/>
  <c r="I36" i="1057"/>
  <c r="F36" i="1057"/>
  <c r="E36" i="1057"/>
  <c r="D36" i="1057"/>
  <c r="I35" i="1057"/>
  <c r="F35" i="1057"/>
  <c r="E35" i="1057"/>
  <c r="D35" i="1057"/>
  <c r="I34" i="1057"/>
  <c r="F34" i="1057"/>
  <c r="E34" i="1057"/>
  <c r="D34" i="1057"/>
  <c r="I33" i="1057"/>
  <c r="F33" i="1057"/>
  <c r="E33" i="1057"/>
  <c r="D33" i="1057"/>
  <c r="I32" i="1057"/>
  <c r="F32" i="1057"/>
  <c r="E32" i="1057"/>
  <c r="D32" i="1057"/>
  <c r="I31" i="1057"/>
  <c r="F31" i="1057"/>
  <c r="E31" i="1057"/>
  <c r="D31" i="1057"/>
  <c r="I30" i="1057"/>
  <c r="F30" i="1057"/>
  <c r="E30" i="1057"/>
  <c r="D30" i="1057"/>
  <c r="I29" i="1057"/>
  <c r="F29" i="1057"/>
  <c r="E29" i="1057"/>
  <c r="D29" i="1057"/>
  <c r="I28" i="1057"/>
  <c r="F28" i="1057"/>
  <c r="E28" i="1057"/>
  <c r="D28" i="1057"/>
  <c r="I27" i="1057"/>
  <c r="F27" i="1057"/>
  <c r="E27" i="1057"/>
  <c r="D27" i="1057"/>
  <c r="I26" i="1057"/>
  <c r="F26" i="1057"/>
  <c r="E26" i="1057"/>
  <c r="D26" i="1057"/>
  <c r="I25" i="1057"/>
  <c r="F25" i="1057"/>
  <c r="E25" i="1057"/>
  <c r="D25" i="1057"/>
  <c r="I24" i="1057"/>
  <c r="F24" i="1057"/>
  <c r="E24" i="1057"/>
  <c r="D24" i="1057"/>
  <c r="I23" i="1057"/>
  <c r="F23" i="1057"/>
  <c r="E23" i="1057"/>
  <c r="D23" i="1057"/>
  <c r="I22" i="1057"/>
  <c r="F22" i="1057"/>
  <c r="E22" i="1057"/>
  <c r="D22" i="1057"/>
  <c r="I21" i="1057"/>
  <c r="F21" i="1057"/>
  <c r="E21" i="1057"/>
  <c r="D21" i="1057"/>
  <c r="I20" i="1057"/>
  <c r="F20" i="1057"/>
  <c r="E20" i="1057"/>
  <c r="D20" i="1057"/>
  <c r="I19" i="1057"/>
  <c r="F19" i="1057"/>
  <c r="E19" i="1057"/>
  <c r="D19" i="1057"/>
  <c r="I18" i="1057"/>
  <c r="F18" i="1057"/>
  <c r="E18" i="1057"/>
  <c r="D18" i="1057"/>
  <c r="I17" i="1057"/>
  <c r="F17" i="1057"/>
  <c r="E17" i="1057"/>
  <c r="D17" i="1057"/>
  <c r="I16" i="1057"/>
  <c r="F16" i="1057"/>
  <c r="E16" i="1057"/>
  <c r="D16" i="1057"/>
  <c r="I15" i="1057"/>
  <c r="F15" i="1057"/>
  <c r="E15" i="1057"/>
  <c r="D15" i="1057"/>
  <c r="I14" i="1057"/>
  <c r="F14" i="1057"/>
  <c r="E14" i="1057"/>
  <c r="D14" i="1057"/>
  <c r="I13" i="1057"/>
  <c r="F13" i="1057"/>
  <c r="E13" i="1057"/>
  <c r="D13" i="1057"/>
  <c r="F11" i="1057"/>
  <c r="I11" i="1057" s="1"/>
  <c r="E11" i="1057"/>
  <c r="D11" i="1057"/>
  <c r="F10" i="1057"/>
  <c r="E10" i="1057"/>
  <c r="I10" i="1057" s="1"/>
  <c r="D10" i="1057"/>
  <c r="F9" i="1057"/>
  <c r="E9" i="1057"/>
  <c r="I9" i="1057" s="1"/>
  <c r="D9" i="1057"/>
  <c r="G8" i="1057"/>
  <c r="F8" i="1057"/>
  <c r="I8" i="1057" s="1"/>
  <c r="E8" i="1057"/>
  <c r="D8" i="1057"/>
  <c r="C8" i="1057"/>
  <c r="C9" i="1057" s="1"/>
  <c r="E7" i="1057"/>
  <c r="G6" i="1057"/>
  <c r="H10" i="1056"/>
  <c r="I37" i="1056"/>
  <c r="F37" i="1056"/>
  <c r="E37" i="1056"/>
  <c r="D37" i="1056"/>
  <c r="I36" i="1056"/>
  <c r="F36" i="1056"/>
  <c r="E36" i="1056"/>
  <c r="D36" i="1056"/>
  <c r="I35" i="1056"/>
  <c r="F35" i="1056"/>
  <c r="E35" i="1056"/>
  <c r="D35" i="1056"/>
  <c r="I34" i="1056"/>
  <c r="F34" i="1056"/>
  <c r="E34" i="1056"/>
  <c r="D34" i="1056"/>
  <c r="I33" i="1056"/>
  <c r="F33" i="1056"/>
  <c r="E33" i="1056"/>
  <c r="D33" i="1056"/>
  <c r="I32" i="1056"/>
  <c r="F32" i="1056"/>
  <c r="E32" i="1056"/>
  <c r="D32" i="1056"/>
  <c r="I31" i="1056"/>
  <c r="F31" i="1056"/>
  <c r="E31" i="1056"/>
  <c r="D31" i="1056"/>
  <c r="I30" i="1056"/>
  <c r="F30" i="1056"/>
  <c r="E30" i="1056"/>
  <c r="D30" i="1056"/>
  <c r="I29" i="1056"/>
  <c r="F29" i="1056"/>
  <c r="E29" i="1056"/>
  <c r="D29" i="1056"/>
  <c r="I28" i="1056"/>
  <c r="F28" i="1056"/>
  <c r="E28" i="1056"/>
  <c r="D28" i="1056"/>
  <c r="I27" i="1056"/>
  <c r="F27" i="1056"/>
  <c r="E27" i="1056"/>
  <c r="D27" i="1056"/>
  <c r="I26" i="1056"/>
  <c r="F26" i="1056"/>
  <c r="E26" i="1056"/>
  <c r="D26" i="1056"/>
  <c r="I25" i="1056"/>
  <c r="F25" i="1056"/>
  <c r="E25" i="1056"/>
  <c r="D25" i="1056"/>
  <c r="I24" i="1056"/>
  <c r="F24" i="1056"/>
  <c r="E24" i="1056"/>
  <c r="D24" i="1056"/>
  <c r="I23" i="1056"/>
  <c r="F23" i="1056"/>
  <c r="E23" i="1056"/>
  <c r="D23" i="1056"/>
  <c r="I22" i="1056"/>
  <c r="F22" i="1056"/>
  <c r="E22" i="1056"/>
  <c r="D22" i="1056"/>
  <c r="I21" i="1056"/>
  <c r="F21" i="1056"/>
  <c r="E21" i="1056"/>
  <c r="D21" i="1056"/>
  <c r="I20" i="1056"/>
  <c r="F20" i="1056"/>
  <c r="E20" i="1056"/>
  <c r="D20" i="1056"/>
  <c r="I19" i="1056"/>
  <c r="F19" i="1056"/>
  <c r="E19" i="1056"/>
  <c r="D19" i="1056"/>
  <c r="I18" i="1056"/>
  <c r="F18" i="1056"/>
  <c r="E18" i="1056"/>
  <c r="D18" i="1056"/>
  <c r="I17" i="1056"/>
  <c r="F17" i="1056"/>
  <c r="E17" i="1056"/>
  <c r="D17" i="1056"/>
  <c r="I16" i="1056"/>
  <c r="F16" i="1056"/>
  <c r="E16" i="1056"/>
  <c r="D16" i="1056"/>
  <c r="I15" i="1056"/>
  <c r="F15" i="1056"/>
  <c r="E15" i="1056"/>
  <c r="D15" i="1056"/>
  <c r="I14" i="1056"/>
  <c r="F14" i="1056"/>
  <c r="E14" i="1056"/>
  <c r="D14" i="1056"/>
  <c r="I13" i="1056"/>
  <c r="F13" i="1056"/>
  <c r="E13" i="1056"/>
  <c r="D13" i="1056"/>
  <c r="I12" i="1056"/>
  <c r="F12" i="1056"/>
  <c r="E12" i="1056"/>
  <c r="D12" i="1056"/>
  <c r="I11" i="1056"/>
  <c r="F11" i="1056"/>
  <c r="E11" i="1056"/>
  <c r="D11" i="1056"/>
  <c r="I10" i="1056"/>
  <c r="F9" i="1056"/>
  <c r="E9" i="1056"/>
  <c r="I9" i="1056" s="1"/>
  <c r="D9" i="1056"/>
  <c r="G8" i="1056"/>
  <c r="F8" i="1056"/>
  <c r="I8" i="1056" s="1"/>
  <c r="E8" i="1056"/>
  <c r="D8" i="1056"/>
  <c r="C8" i="1056"/>
  <c r="C9" i="1056" s="1"/>
  <c r="E7" i="1056"/>
  <c r="G6" i="1056"/>
  <c r="I37" i="1055"/>
  <c r="F37" i="1055"/>
  <c r="E37" i="1055"/>
  <c r="D37" i="1055"/>
  <c r="I36" i="1055"/>
  <c r="F36" i="1055"/>
  <c r="E36" i="1055"/>
  <c r="D36" i="1055"/>
  <c r="I35" i="1055"/>
  <c r="F35" i="1055"/>
  <c r="E35" i="1055"/>
  <c r="D35" i="1055"/>
  <c r="I34" i="1055"/>
  <c r="F34" i="1055"/>
  <c r="E34" i="1055"/>
  <c r="D34" i="1055"/>
  <c r="I33" i="1055"/>
  <c r="F33" i="1055"/>
  <c r="E33" i="1055"/>
  <c r="D33" i="1055"/>
  <c r="I32" i="1055"/>
  <c r="F32" i="1055"/>
  <c r="E32" i="1055"/>
  <c r="D32" i="1055"/>
  <c r="I31" i="1055"/>
  <c r="F31" i="1055"/>
  <c r="E31" i="1055"/>
  <c r="D31" i="1055"/>
  <c r="I30" i="1055"/>
  <c r="F30" i="1055"/>
  <c r="E30" i="1055"/>
  <c r="D30" i="1055"/>
  <c r="I29" i="1055"/>
  <c r="F29" i="1055"/>
  <c r="E29" i="1055"/>
  <c r="D29" i="1055"/>
  <c r="I28" i="1055"/>
  <c r="F28" i="1055"/>
  <c r="E28" i="1055"/>
  <c r="D28" i="1055"/>
  <c r="I27" i="1055"/>
  <c r="F27" i="1055"/>
  <c r="E27" i="1055"/>
  <c r="D27" i="1055"/>
  <c r="I26" i="1055"/>
  <c r="F26" i="1055"/>
  <c r="E26" i="1055"/>
  <c r="D26" i="1055"/>
  <c r="I25" i="1055"/>
  <c r="F25" i="1055"/>
  <c r="E25" i="1055"/>
  <c r="D25" i="1055"/>
  <c r="I24" i="1055"/>
  <c r="F24" i="1055"/>
  <c r="E24" i="1055"/>
  <c r="D24" i="1055"/>
  <c r="I23" i="1055"/>
  <c r="F23" i="1055"/>
  <c r="E23" i="1055"/>
  <c r="D23" i="1055"/>
  <c r="I22" i="1055"/>
  <c r="F22" i="1055"/>
  <c r="E22" i="1055"/>
  <c r="D22" i="1055"/>
  <c r="I21" i="1055"/>
  <c r="F21" i="1055"/>
  <c r="E21" i="1055"/>
  <c r="D21" i="1055"/>
  <c r="I20" i="1055"/>
  <c r="F20" i="1055"/>
  <c r="E20" i="1055"/>
  <c r="D20" i="1055"/>
  <c r="I19" i="1055"/>
  <c r="F19" i="1055"/>
  <c r="E19" i="1055"/>
  <c r="D19" i="1055"/>
  <c r="I18" i="1055"/>
  <c r="F18" i="1055"/>
  <c r="E18" i="1055"/>
  <c r="D18" i="1055"/>
  <c r="I17" i="1055"/>
  <c r="F17" i="1055"/>
  <c r="E17" i="1055"/>
  <c r="D17" i="1055"/>
  <c r="I16" i="1055"/>
  <c r="F16" i="1055"/>
  <c r="E16" i="1055"/>
  <c r="D16" i="1055"/>
  <c r="I15" i="1055"/>
  <c r="F15" i="1055"/>
  <c r="E15" i="1055"/>
  <c r="D15" i="1055"/>
  <c r="I14" i="1055"/>
  <c r="F14" i="1055"/>
  <c r="E14" i="1055"/>
  <c r="D14" i="1055"/>
  <c r="I13" i="1055"/>
  <c r="F13" i="1055"/>
  <c r="E13" i="1055"/>
  <c r="D13" i="1055"/>
  <c r="I12" i="1055"/>
  <c r="F12" i="1055"/>
  <c r="E12" i="1055"/>
  <c r="D12" i="1055"/>
  <c r="I11" i="1055"/>
  <c r="F11" i="1055"/>
  <c r="E11" i="1055"/>
  <c r="D11" i="1055"/>
  <c r="F10" i="1055"/>
  <c r="E10" i="1055"/>
  <c r="I10" i="1055" s="1"/>
  <c r="D10" i="1055"/>
  <c r="F9" i="1055"/>
  <c r="E9" i="1055"/>
  <c r="I9" i="1055" s="1"/>
  <c r="D9" i="1055"/>
  <c r="G8" i="1055"/>
  <c r="F8" i="1055"/>
  <c r="I8" i="1055" s="1"/>
  <c r="I7" i="1055" s="1"/>
  <c r="E8" i="1055"/>
  <c r="D8" i="1055"/>
  <c r="C8" i="1055"/>
  <c r="C9" i="1055" s="1"/>
  <c r="E7" i="1055"/>
  <c r="G6" i="1055"/>
  <c r="I37" i="1054"/>
  <c r="F37" i="1054"/>
  <c r="E37" i="1054"/>
  <c r="D37" i="1054"/>
  <c r="I36" i="1054"/>
  <c r="F36" i="1054"/>
  <c r="E36" i="1054"/>
  <c r="D36" i="1054"/>
  <c r="I35" i="1054"/>
  <c r="F35" i="1054"/>
  <c r="E35" i="1054"/>
  <c r="D35" i="1054"/>
  <c r="I34" i="1054"/>
  <c r="F34" i="1054"/>
  <c r="E34" i="1054"/>
  <c r="D34" i="1054"/>
  <c r="I33" i="1054"/>
  <c r="F33" i="1054"/>
  <c r="E33" i="1054"/>
  <c r="D33" i="1054"/>
  <c r="I32" i="1054"/>
  <c r="F32" i="1054"/>
  <c r="E32" i="1054"/>
  <c r="D32" i="1054"/>
  <c r="I31" i="1054"/>
  <c r="F31" i="1054"/>
  <c r="E31" i="1054"/>
  <c r="D31" i="1054"/>
  <c r="I30" i="1054"/>
  <c r="F30" i="1054"/>
  <c r="E30" i="1054"/>
  <c r="D30" i="1054"/>
  <c r="I29" i="1054"/>
  <c r="F29" i="1054"/>
  <c r="E29" i="1054"/>
  <c r="D29" i="1054"/>
  <c r="I28" i="1054"/>
  <c r="F28" i="1054"/>
  <c r="E28" i="1054"/>
  <c r="D28" i="1054"/>
  <c r="I27" i="1054"/>
  <c r="F27" i="1054"/>
  <c r="E27" i="1054"/>
  <c r="D27" i="1054"/>
  <c r="I26" i="1054"/>
  <c r="F26" i="1054"/>
  <c r="E26" i="1054"/>
  <c r="D26" i="1054"/>
  <c r="I25" i="1054"/>
  <c r="F25" i="1054"/>
  <c r="E25" i="1054"/>
  <c r="D25" i="1054"/>
  <c r="I24" i="1054"/>
  <c r="F24" i="1054"/>
  <c r="E24" i="1054"/>
  <c r="D24" i="1054"/>
  <c r="I23" i="1054"/>
  <c r="F23" i="1054"/>
  <c r="E23" i="1054"/>
  <c r="D23" i="1054"/>
  <c r="I22" i="1054"/>
  <c r="F22" i="1054"/>
  <c r="E22" i="1054"/>
  <c r="D22" i="1054"/>
  <c r="I21" i="1054"/>
  <c r="F21" i="1054"/>
  <c r="E21" i="1054"/>
  <c r="D21" i="1054"/>
  <c r="I20" i="1054"/>
  <c r="F20" i="1054"/>
  <c r="E20" i="1054"/>
  <c r="D20" i="1054"/>
  <c r="I19" i="1054"/>
  <c r="F19" i="1054"/>
  <c r="E19" i="1054"/>
  <c r="D19" i="1054"/>
  <c r="I18" i="1054"/>
  <c r="F18" i="1054"/>
  <c r="E18" i="1054"/>
  <c r="D18" i="1054"/>
  <c r="I17" i="1054"/>
  <c r="F17" i="1054"/>
  <c r="E17" i="1054"/>
  <c r="D17" i="1054"/>
  <c r="I16" i="1054"/>
  <c r="F16" i="1054"/>
  <c r="E16" i="1054"/>
  <c r="D16" i="1054"/>
  <c r="I15" i="1054"/>
  <c r="F15" i="1054"/>
  <c r="E15" i="1054"/>
  <c r="D15" i="1054"/>
  <c r="I14" i="1054"/>
  <c r="F14" i="1054"/>
  <c r="E14" i="1054"/>
  <c r="D14" i="1054"/>
  <c r="I13" i="1054"/>
  <c r="F13" i="1054"/>
  <c r="E13" i="1054"/>
  <c r="D13" i="1054"/>
  <c r="I12" i="1054"/>
  <c r="F12" i="1054"/>
  <c r="E12" i="1054"/>
  <c r="D12" i="1054"/>
  <c r="I11" i="1054"/>
  <c r="F11" i="1054"/>
  <c r="E11" i="1054"/>
  <c r="D11" i="1054"/>
  <c r="I10" i="1054"/>
  <c r="F10" i="1054"/>
  <c r="E10" i="1054"/>
  <c r="D10" i="1054"/>
  <c r="I9" i="1054"/>
  <c r="F9" i="1054"/>
  <c r="E9" i="1054"/>
  <c r="D9" i="1054"/>
  <c r="G8" i="1054"/>
  <c r="F8" i="1054"/>
  <c r="I8" i="1054" s="1"/>
  <c r="I7" i="1054" s="1"/>
  <c r="E8" i="1054"/>
  <c r="D8" i="1054"/>
  <c r="C8" i="1054"/>
  <c r="C9" i="1054" s="1"/>
  <c r="E7" i="1054"/>
  <c r="G6" i="1054"/>
  <c r="I37" i="1053"/>
  <c r="F37" i="1053"/>
  <c r="E37" i="1053"/>
  <c r="D37" i="1053"/>
  <c r="I36" i="1053"/>
  <c r="F36" i="1053"/>
  <c r="E36" i="1053"/>
  <c r="D36" i="1053"/>
  <c r="I35" i="1053"/>
  <c r="F35" i="1053"/>
  <c r="E35" i="1053"/>
  <c r="D35" i="1053"/>
  <c r="I34" i="1053"/>
  <c r="F34" i="1053"/>
  <c r="E34" i="1053"/>
  <c r="D34" i="1053"/>
  <c r="I33" i="1053"/>
  <c r="F33" i="1053"/>
  <c r="E33" i="1053"/>
  <c r="D33" i="1053"/>
  <c r="I32" i="1053"/>
  <c r="F32" i="1053"/>
  <c r="E32" i="1053"/>
  <c r="D32" i="1053"/>
  <c r="I31" i="1053"/>
  <c r="F31" i="1053"/>
  <c r="E31" i="1053"/>
  <c r="D31" i="1053"/>
  <c r="I30" i="1053"/>
  <c r="F30" i="1053"/>
  <c r="E30" i="1053"/>
  <c r="D30" i="1053"/>
  <c r="I29" i="1053"/>
  <c r="F29" i="1053"/>
  <c r="E29" i="1053"/>
  <c r="D29" i="1053"/>
  <c r="I28" i="1053"/>
  <c r="F28" i="1053"/>
  <c r="E28" i="1053"/>
  <c r="D28" i="1053"/>
  <c r="I27" i="1053"/>
  <c r="F27" i="1053"/>
  <c r="E27" i="1053"/>
  <c r="D27" i="1053"/>
  <c r="I26" i="1053"/>
  <c r="F26" i="1053"/>
  <c r="E26" i="1053"/>
  <c r="D26" i="1053"/>
  <c r="I25" i="1053"/>
  <c r="F25" i="1053"/>
  <c r="E25" i="1053"/>
  <c r="D25" i="1053"/>
  <c r="I24" i="1053"/>
  <c r="F24" i="1053"/>
  <c r="E24" i="1053"/>
  <c r="D24" i="1053"/>
  <c r="I23" i="1053"/>
  <c r="F23" i="1053"/>
  <c r="E23" i="1053"/>
  <c r="D23" i="1053"/>
  <c r="I22" i="1053"/>
  <c r="F22" i="1053"/>
  <c r="E22" i="1053"/>
  <c r="D22" i="1053"/>
  <c r="I21" i="1053"/>
  <c r="F21" i="1053"/>
  <c r="E21" i="1053"/>
  <c r="D21" i="1053"/>
  <c r="I20" i="1053"/>
  <c r="F20" i="1053"/>
  <c r="E20" i="1053"/>
  <c r="D20" i="1053"/>
  <c r="I19" i="1053"/>
  <c r="F19" i="1053"/>
  <c r="E19" i="1053"/>
  <c r="D19" i="1053"/>
  <c r="I18" i="1053"/>
  <c r="F18" i="1053"/>
  <c r="E18" i="1053"/>
  <c r="D18" i="1053"/>
  <c r="I17" i="1053"/>
  <c r="F17" i="1053"/>
  <c r="E17" i="1053"/>
  <c r="D17" i="1053"/>
  <c r="I16" i="1053"/>
  <c r="F16" i="1053"/>
  <c r="E16" i="1053"/>
  <c r="D16" i="1053"/>
  <c r="I15" i="1053"/>
  <c r="F15" i="1053"/>
  <c r="E15" i="1053"/>
  <c r="D15" i="1053"/>
  <c r="I14" i="1053"/>
  <c r="F14" i="1053"/>
  <c r="E14" i="1053"/>
  <c r="D14" i="1053"/>
  <c r="I13" i="1053"/>
  <c r="F13" i="1053"/>
  <c r="E13" i="1053"/>
  <c r="D13" i="1053"/>
  <c r="I12" i="1053"/>
  <c r="F12" i="1053"/>
  <c r="E12" i="1053"/>
  <c r="D12" i="1053"/>
  <c r="I11" i="1053"/>
  <c r="F11" i="1053"/>
  <c r="E11" i="1053"/>
  <c r="D11" i="1053"/>
  <c r="I10" i="1053"/>
  <c r="F10" i="1053"/>
  <c r="E10" i="1053"/>
  <c r="D10" i="1053"/>
  <c r="F9" i="1053"/>
  <c r="E9" i="1053"/>
  <c r="I9" i="1053" s="1"/>
  <c r="D9" i="1053"/>
  <c r="G8" i="1053"/>
  <c r="F8" i="1053"/>
  <c r="I8" i="1053" s="1"/>
  <c r="E8" i="1053"/>
  <c r="D8" i="1053"/>
  <c r="C8" i="1053"/>
  <c r="C9" i="1053" s="1"/>
  <c r="E7" i="1053"/>
  <c r="G6" i="1053"/>
  <c r="I37" i="1052"/>
  <c r="F37" i="1052"/>
  <c r="E37" i="1052"/>
  <c r="D37" i="1052"/>
  <c r="I36" i="1052"/>
  <c r="F36" i="1052"/>
  <c r="E36" i="1052"/>
  <c r="D36" i="1052"/>
  <c r="I35" i="1052"/>
  <c r="F35" i="1052"/>
  <c r="E35" i="1052"/>
  <c r="D35" i="1052"/>
  <c r="I34" i="1052"/>
  <c r="F34" i="1052"/>
  <c r="E34" i="1052"/>
  <c r="D34" i="1052"/>
  <c r="I33" i="1052"/>
  <c r="F33" i="1052"/>
  <c r="E33" i="1052"/>
  <c r="D33" i="1052"/>
  <c r="I32" i="1052"/>
  <c r="F32" i="1052"/>
  <c r="E32" i="1052"/>
  <c r="D32" i="1052"/>
  <c r="I31" i="1052"/>
  <c r="F31" i="1052"/>
  <c r="E31" i="1052"/>
  <c r="D31" i="1052"/>
  <c r="I30" i="1052"/>
  <c r="F30" i="1052"/>
  <c r="E30" i="1052"/>
  <c r="D30" i="1052"/>
  <c r="I29" i="1052"/>
  <c r="F29" i="1052"/>
  <c r="E29" i="1052"/>
  <c r="D29" i="1052"/>
  <c r="I28" i="1052"/>
  <c r="F28" i="1052"/>
  <c r="E28" i="1052"/>
  <c r="D28" i="1052"/>
  <c r="I27" i="1052"/>
  <c r="F27" i="1052"/>
  <c r="E27" i="1052"/>
  <c r="D27" i="1052"/>
  <c r="I26" i="1052"/>
  <c r="F26" i="1052"/>
  <c r="E26" i="1052"/>
  <c r="D26" i="1052"/>
  <c r="I25" i="1052"/>
  <c r="F25" i="1052"/>
  <c r="E25" i="1052"/>
  <c r="D25" i="1052"/>
  <c r="I24" i="1052"/>
  <c r="F24" i="1052"/>
  <c r="E24" i="1052"/>
  <c r="D24" i="1052"/>
  <c r="I23" i="1052"/>
  <c r="F23" i="1052"/>
  <c r="E23" i="1052"/>
  <c r="D23" i="1052"/>
  <c r="I22" i="1052"/>
  <c r="F22" i="1052"/>
  <c r="E22" i="1052"/>
  <c r="D22" i="1052"/>
  <c r="I21" i="1052"/>
  <c r="F21" i="1052"/>
  <c r="E21" i="1052"/>
  <c r="D21" i="1052"/>
  <c r="I20" i="1052"/>
  <c r="F20" i="1052"/>
  <c r="E20" i="1052"/>
  <c r="D20" i="1052"/>
  <c r="I19" i="1052"/>
  <c r="F19" i="1052"/>
  <c r="E19" i="1052"/>
  <c r="D19" i="1052"/>
  <c r="I18" i="1052"/>
  <c r="F18" i="1052"/>
  <c r="E18" i="1052"/>
  <c r="D18" i="1052"/>
  <c r="I17" i="1052"/>
  <c r="F17" i="1052"/>
  <c r="E17" i="1052"/>
  <c r="D17" i="1052"/>
  <c r="I16" i="1052"/>
  <c r="F16" i="1052"/>
  <c r="E16" i="1052"/>
  <c r="D16" i="1052"/>
  <c r="I15" i="1052"/>
  <c r="F15" i="1052"/>
  <c r="E15" i="1052"/>
  <c r="D15" i="1052"/>
  <c r="I14" i="1052"/>
  <c r="F14" i="1052"/>
  <c r="E14" i="1052"/>
  <c r="D14" i="1052"/>
  <c r="I13" i="1052"/>
  <c r="F13" i="1052"/>
  <c r="E13" i="1052"/>
  <c r="D13" i="1052"/>
  <c r="I12" i="1052"/>
  <c r="F12" i="1052"/>
  <c r="E12" i="1052"/>
  <c r="D12" i="1052"/>
  <c r="I11" i="1052"/>
  <c r="F11" i="1052"/>
  <c r="E11" i="1052"/>
  <c r="D11" i="1052"/>
  <c r="I10" i="1052"/>
  <c r="F10" i="1052"/>
  <c r="E10" i="1052"/>
  <c r="D10" i="1052"/>
  <c r="I9" i="1052"/>
  <c r="F9" i="1052"/>
  <c r="E9" i="1052"/>
  <c r="D9" i="1052"/>
  <c r="G8" i="1052"/>
  <c r="F8" i="1052"/>
  <c r="E8" i="1052"/>
  <c r="I8" i="1052" s="1"/>
  <c r="I7" i="1052" s="1"/>
  <c r="D8" i="1052"/>
  <c r="C8" i="1052"/>
  <c r="C9" i="1052" s="1"/>
  <c r="E7" i="1052"/>
  <c r="G6" i="1052"/>
  <c r="J2" i="50"/>
  <c r="I9" i="1058" l="1"/>
  <c r="I7" i="1058"/>
  <c r="C10" i="1058"/>
  <c r="I12" i="1057"/>
  <c r="G9" i="1057"/>
  <c r="C10" i="1057"/>
  <c r="I7" i="1057"/>
  <c r="I7" i="1056"/>
  <c r="G9" i="1056"/>
  <c r="C10" i="1056"/>
  <c r="G9" i="1055"/>
  <c r="C10" i="1055"/>
  <c r="G9" i="1054"/>
  <c r="C10" i="1054"/>
  <c r="G9" i="1053"/>
  <c r="C10" i="1053"/>
  <c r="I7" i="1053"/>
  <c r="G9" i="1052"/>
  <c r="C10" i="1052"/>
  <c r="I37" i="1050"/>
  <c r="F37" i="1050"/>
  <c r="E37" i="1050"/>
  <c r="D37" i="1050"/>
  <c r="I36" i="1050"/>
  <c r="F36" i="1050"/>
  <c r="E36" i="1050"/>
  <c r="D36" i="1050"/>
  <c r="I35" i="1050"/>
  <c r="F35" i="1050"/>
  <c r="E35" i="1050"/>
  <c r="D35" i="1050"/>
  <c r="I34" i="1050"/>
  <c r="F34" i="1050"/>
  <c r="E34" i="1050"/>
  <c r="D34" i="1050"/>
  <c r="I33" i="1050"/>
  <c r="F33" i="1050"/>
  <c r="E33" i="1050"/>
  <c r="D33" i="1050"/>
  <c r="I32" i="1050"/>
  <c r="F32" i="1050"/>
  <c r="E32" i="1050"/>
  <c r="D32" i="1050"/>
  <c r="I31" i="1050"/>
  <c r="F31" i="1050"/>
  <c r="E31" i="1050"/>
  <c r="D31" i="1050"/>
  <c r="I30" i="1050"/>
  <c r="F30" i="1050"/>
  <c r="E30" i="1050"/>
  <c r="D30" i="1050"/>
  <c r="I29" i="1050"/>
  <c r="F29" i="1050"/>
  <c r="E29" i="1050"/>
  <c r="D29" i="1050"/>
  <c r="I28" i="1050"/>
  <c r="F28" i="1050"/>
  <c r="E28" i="1050"/>
  <c r="D28" i="1050"/>
  <c r="I27" i="1050"/>
  <c r="F27" i="1050"/>
  <c r="E27" i="1050"/>
  <c r="D27" i="1050"/>
  <c r="I26" i="1050"/>
  <c r="F26" i="1050"/>
  <c r="E26" i="1050"/>
  <c r="D26" i="1050"/>
  <c r="I25" i="1050"/>
  <c r="F25" i="1050"/>
  <c r="E25" i="1050"/>
  <c r="D25" i="1050"/>
  <c r="I24" i="1050"/>
  <c r="F24" i="1050"/>
  <c r="E24" i="1050"/>
  <c r="D24" i="1050"/>
  <c r="I23" i="1050"/>
  <c r="F23" i="1050"/>
  <c r="E23" i="1050"/>
  <c r="D23" i="1050"/>
  <c r="I22" i="1050"/>
  <c r="F22" i="1050"/>
  <c r="E22" i="1050"/>
  <c r="D22" i="1050"/>
  <c r="I21" i="1050"/>
  <c r="F21" i="1050"/>
  <c r="E21" i="1050"/>
  <c r="D21" i="1050"/>
  <c r="I20" i="1050"/>
  <c r="F20" i="1050"/>
  <c r="E20" i="1050"/>
  <c r="D20" i="1050"/>
  <c r="I19" i="1050"/>
  <c r="F19" i="1050"/>
  <c r="E19" i="1050"/>
  <c r="D19" i="1050"/>
  <c r="I18" i="1050"/>
  <c r="F18" i="1050"/>
  <c r="E18" i="1050"/>
  <c r="D18" i="1050"/>
  <c r="I17" i="1050"/>
  <c r="F17" i="1050"/>
  <c r="E17" i="1050"/>
  <c r="D17" i="1050"/>
  <c r="I16" i="1050"/>
  <c r="F16" i="1050"/>
  <c r="E16" i="1050"/>
  <c r="D16" i="1050"/>
  <c r="I15" i="1050"/>
  <c r="F15" i="1050"/>
  <c r="E15" i="1050"/>
  <c r="D15" i="1050"/>
  <c r="I14" i="1050"/>
  <c r="F14" i="1050"/>
  <c r="E14" i="1050"/>
  <c r="D14" i="1050"/>
  <c r="I13" i="1050"/>
  <c r="F13" i="1050"/>
  <c r="E13" i="1050"/>
  <c r="D13" i="1050"/>
  <c r="I12" i="1050"/>
  <c r="F12" i="1050"/>
  <c r="E12" i="1050"/>
  <c r="D12" i="1050"/>
  <c r="I11" i="1050"/>
  <c r="F11" i="1050"/>
  <c r="E11" i="1050"/>
  <c r="D11" i="1050"/>
  <c r="I10" i="1050"/>
  <c r="F10" i="1050"/>
  <c r="E10" i="1050"/>
  <c r="D10" i="1050"/>
  <c r="I9" i="1050"/>
  <c r="F9" i="1050"/>
  <c r="E9" i="1050"/>
  <c r="D9" i="1050"/>
  <c r="G8" i="1050"/>
  <c r="F8" i="1050"/>
  <c r="I8" i="1050" s="1"/>
  <c r="I7" i="1050" s="1"/>
  <c r="E8" i="1050"/>
  <c r="D8" i="1050"/>
  <c r="C8" i="1050"/>
  <c r="C9" i="1050" s="1"/>
  <c r="E7" i="1050"/>
  <c r="G6" i="1050"/>
  <c r="I37" i="1049"/>
  <c r="F37" i="1049"/>
  <c r="E37" i="1049"/>
  <c r="D37" i="1049"/>
  <c r="I36" i="1049"/>
  <c r="F36" i="1049"/>
  <c r="E36" i="1049"/>
  <c r="D36" i="1049"/>
  <c r="I35" i="1049"/>
  <c r="F35" i="1049"/>
  <c r="E35" i="1049"/>
  <c r="D35" i="1049"/>
  <c r="I34" i="1049"/>
  <c r="F34" i="1049"/>
  <c r="E34" i="1049"/>
  <c r="D34" i="1049"/>
  <c r="I33" i="1049"/>
  <c r="F33" i="1049"/>
  <c r="E33" i="1049"/>
  <c r="D33" i="1049"/>
  <c r="I32" i="1049"/>
  <c r="F32" i="1049"/>
  <c r="E32" i="1049"/>
  <c r="D32" i="1049"/>
  <c r="I31" i="1049"/>
  <c r="F31" i="1049"/>
  <c r="E31" i="1049"/>
  <c r="D31" i="1049"/>
  <c r="I30" i="1049"/>
  <c r="F30" i="1049"/>
  <c r="E30" i="1049"/>
  <c r="D30" i="1049"/>
  <c r="I29" i="1049"/>
  <c r="F29" i="1049"/>
  <c r="E29" i="1049"/>
  <c r="D29" i="1049"/>
  <c r="I28" i="1049"/>
  <c r="F28" i="1049"/>
  <c r="E28" i="1049"/>
  <c r="D28" i="1049"/>
  <c r="I27" i="1049"/>
  <c r="F27" i="1049"/>
  <c r="E27" i="1049"/>
  <c r="D27" i="1049"/>
  <c r="I26" i="1049"/>
  <c r="F26" i="1049"/>
  <c r="E26" i="1049"/>
  <c r="D26" i="1049"/>
  <c r="I25" i="1049"/>
  <c r="F25" i="1049"/>
  <c r="E25" i="1049"/>
  <c r="D25" i="1049"/>
  <c r="I24" i="1049"/>
  <c r="F24" i="1049"/>
  <c r="E24" i="1049"/>
  <c r="D24" i="1049"/>
  <c r="I23" i="1049"/>
  <c r="F23" i="1049"/>
  <c r="E23" i="1049"/>
  <c r="D23" i="1049"/>
  <c r="I22" i="1049"/>
  <c r="F22" i="1049"/>
  <c r="E22" i="1049"/>
  <c r="D22" i="1049"/>
  <c r="I21" i="1049"/>
  <c r="F21" i="1049"/>
  <c r="E21" i="1049"/>
  <c r="D21" i="1049"/>
  <c r="I20" i="1049"/>
  <c r="F20" i="1049"/>
  <c r="E20" i="1049"/>
  <c r="D20" i="1049"/>
  <c r="I19" i="1049"/>
  <c r="F19" i="1049"/>
  <c r="E19" i="1049"/>
  <c r="D19" i="1049"/>
  <c r="I18" i="1049"/>
  <c r="F18" i="1049"/>
  <c r="E18" i="1049"/>
  <c r="D18" i="1049"/>
  <c r="I17" i="1049"/>
  <c r="F17" i="1049"/>
  <c r="E17" i="1049"/>
  <c r="D17" i="1049"/>
  <c r="I16" i="1049"/>
  <c r="F16" i="1049"/>
  <c r="E16" i="1049"/>
  <c r="D16" i="1049"/>
  <c r="I15" i="1049"/>
  <c r="F15" i="1049"/>
  <c r="E15" i="1049"/>
  <c r="D15" i="1049"/>
  <c r="I14" i="1049"/>
  <c r="F14" i="1049"/>
  <c r="E14" i="1049"/>
  <c r="D14" i="1049"/>
  <c r="I13" i="1049"/>
  <c r="F13" i="1049"/>
  <c r="E13" i="1049"/>
  <c r="D13" i="1049"/>
  <c r="I12" i="1049"/>
  <c r="F12" i="1049"/>
  <c r="E12" i="1049"/>
  <c r="D12" i="1049"/>
  <c r="I11" i="1049"/>
  <c r="F11" i="1049"/>
  <c r="E11" i="1049"/>
  <c r="D11" i="1049"/>
  <c r="I10" i="1049"/>
  <c r="F10" i="1049"/>
  <c r="E10" i="1049"/>
  <c r="D10" i="1049"/>
  <c r="I9" i="1049"/>
  <c r="F9" i="1049"/>
  <c r="E9" i="1049"/>
  <c r="D9" i="1049"/>
  <c r="G8" i="1049"/>
  <c r="F8" i="1049"/>
  <c r="I8" i="1049" s="1"/>
  <c r="I7" i="1049" s="1"/>
  <c r="E8" i="1049"/>
  <c r="D8" i="1049"/>
  <c r="C8" i="1049"/>
  <c r="C9" i="1049" s="1"/>
  <c r="E7" i="1049"/>
  <c r="G6" i="1049"/>
  <c r="H19" i="1048"/>
  <c r="I37" i="1048"/>
  <c r="F37" i="1048"/>
  <c r="E37" i="1048"/>
  <c r="D37" i="1048"/>
  <c r="I36" i="1048"/>
  <c r="F36" i="1048"/>
  <c r="E36" i="1048"/>
  <c r="D36" i="1048"/>
  <c r="I35" i="1048"/>
  <c r="F35" i="1048"/>
  <c r="E35" i="1048"/>
  <c r="D35" i="1048"/>
  <c r="I34" i="1048"/>
  <c r="F34" i="1048"/>
  <c r="E34" i="1048"/>
  <c r="D34" i="1048"/>
  <c r="I33" i="1048"/>
  <c r="F33" i="1048"/>
  <c r="E33" i="1048"/>
  <c r="D33" i="1048"/>
  <c r="I32" i="1048"/>
  <c r="F32" i="1048"/>
  <c r="E32" i="1048"/>
  <c r="D32" i="1048"/>
  <c r="I31" i="1048"/>
  <c r="F31" i="1048"/>
  <c r="E31" i="1048"/>
  <c r="D31" i="1048"/>
  <c r="I30" i="1048"/>
  <c r="F30" i="1048"/>
  <c r="E30" i="1048"/>
  <c r="D30" i="1048"/>
  <c r="I29" i="1048"/>
  <c r="F29" i="1048"/>
  <c r="E29" i="1048"/>
  <c r="D29" i="1048"/>
  <c r="I28" i="1048"/>
  <c r="F28" i="1048"/>
  <c r="E28" i="1048"/>
  <c r="D28" i="1048"/>
  <c r="I27" i="1048"/>
  <c r="F27" i="1048"/>
  <c r="E27" i="1048"/>
  <c r="D27" i="1048"/>
  <c r="I26" i="1048"/>
  <c r="F26" i="1048"/>
  <c r="E26" i="1048"/>
  <c r="D26" i="1048"/>
  <c r="I25" i="1048"/>
  <c r="F25" i="1048"/>
  <c r="E25" i="1048"/>
  <c r="D25" i="1048"/>
  <c r="I24" i="1048"/>
  <c r="F24" i="1048"/>
  <c r="E24" i="1048"/>
  <c r="D24" i="1048"/>
  <c r="I23" i="1048"/>
  <c r="F23" i="1048"/>
  <c r="E23" i="1048"/>
  <c r="D23" i="1048"/>
  <c r="I22" i="1048"/>
  <c r="F22" i="1048"/>
  <c r="E22" i="1048"/>
  <c r="D22" i="1048"/>
  <c r="I21" i="1048"/>
  <c r="F21" i="1048"/>
  <c r="E21" i="1048"/>
  <c r="D21" i="1048"/>
  <c r="I20" i="1048"/>
  <c r="F20" i="1048"/>
  <c r="E20" i="1048"/>
  <c r="D20" i="1048"/>
  <c r="I19" i="1048"/>
  <c r="F18" i="1048"/>
  <c r="E18" i="1048"/>
  <c r="I18" i="1048" s="1"/>
  <c r="D18" i="1048"/>
  <c r="F17" i="1048"/>
  <c r="I17" i="1048" s="1"/>
  <c r="E17" i="1048"/>
  <c r="D17" i="1048"/>
  <c r="F16" i="1048"/>
  <c r="E16" i="1048"/>
  <c r="I16" i="1048" s="1"/>
  <c r="D16" i="1048"/>
  <c r="F15" i="1048"/>
  <c r="I15" i="1048" s="1"/>
  <c r="E15" i="1048"/>
  <c r="D15" i="1048"/>
  <c r="F14" i="1048"/>
  <c r="E14" i="1048"/>
  <c r="I14" i="1048" s="1"/>
  <c r="D14" i="1048"/>
  <c r="F13" i="1048"/>
  <c r="I13" i="1048" s="1"/>
  <c r="E13" i="1048"/>
  <c r="D13" i="1048"/>
  <c r="F12" i="1048"/>
  <c r="E12" i="1048"/>
  <c r="I12" i="1048" s="1"/>
  <c r="D12" i="1048"/>
  <c r="F11" i="1048"/>
  <c r="I11" i="1048" s="1"/>
  <c r="E11" i="1048"/>
  <c r="D11" i="1048"/>
  <c r="F10" i="1048"/>
  <c r="E10" i="1048"/>
  <c r="I10" i="1048" s="1"/>
  <c r="D10" i="1048"/>
  <c r="F9" i="1048"/>
  <c r="I9" i="1048" s="1"/>
  <c r="E9" i="1048"/>
  <c r="D9" i="1048"/>
  <c r="G8" i="1048"/>
  <c r="F8" i="1048"/>
  <c r="E8" i="1048"/>
  <c r="I8" i="1048" s="1"/>
  <c r="D8" i="1048"/>
  <c r="C8" i="1048"/>
  <c r="C9" i="1048" s="1"/>
  <c r="E7" i="1048"/>
  <c r="G6" i="1048"/>
  <c r="I37" i="1047"/>
  <c r="F37" i="1047"/>
  <c r="E37" i="1047"/>
  <c r="D37" i="1047"/>
  <c r="I36" i="1047"/>
  <c r="F36" i="1047"/>
  <c r="E36" i="1047"/>
  <c r="D36" i="1047"/>
  <c r="I35" i="1047"/>
  <c r="F35" i="1047"/>
  <c r="E35" i="1047"/>
  <c r="D35" i="1047"/>
  <c r="I34" i="1047"/>
  <c r="F34" i="1047"/>
  <c r="E34" i="1047"/>
  <c r="D34" i="1047"/>
  <c r="I33" i="1047"/>
  <c r="F33" i="1047"/>
  <c r="E33" i="1047"/>
  <c r="D33" i="1047"/>
  <c r="I32" i="1047"/>
  <c r="F32" i="1047"/>
  <c r="E32" i="1047"/>
  <c r="D32" i="1047"/>
  <c r="I31" i="1047"/>
  <c r="F31" i="1047"/>
  <c r="E31" i="1047"/>
  <c r="D31" i="1047"/>
  <c r="I30" i="1047"/>
  <c r="F30" i="1047"/>
  <c r="E30" i="1047"/>
  <c r="D30" i="1047"/>
  <c r="I29" i="1047"/>
  <c r="F29" i="1047"/>
  <c r="E29" i="1047"/>
  <c r="D29" i="1047"/>
  <c r="I28" i="1047"/>
  <c r="F28" i="1047"/>
  <c r="E28" i="1047"/>
  <c r="D28" i="1047"/>
  <c r="I27" i="1047"/>
  <c r="F27" i="1047"/>
  <c r="E27" i="1047"/>
  <c r="D27" i="1047"/>
  <c r="I26" i="1047"/>
  <c r="F26" i="1047"/>
  <c r="E26" i="1047"/>
  <c r="D26" i="1047"/>
  <c r="I25" i="1047"/>
  <c r="F25" i="1047"/>
  <c r="E25" i="1047"/>
  <c r="D25" i="1047"/>
  <c r="I24" i="1047"/>
  <c r="F24" i="1047"/>
  <c r="E24" i="1047"/>
  <c r="D24" i="1047"/>
  <c r="I23" i="1047"/>
  <c r="F23" i="1047"/>
  <c r="E23" i="1047"/>
  <c r="D23" i="1047"/>
  <c r="I22" i="1047"/>
  <c r="F22" i="1047"/>
  <c r="E22" i="1047"/>
  <c r="D22" i="1047"/>
  <c r="I21" i="1047"/>
  <c r="F21" i="1047"/>
  <c r="E21" i="1047"/>
  <c r="D21" i="1047"/>
  <c r="I20" i="1047"/>
  <c r="F20" i="1047"/>
  <c r="E20" i="1047"/>
  <c r="D20" i="1047"/>
  <c r="I19" i="1047"/>
  <c r="F19" i="1047"/>
  <c r="E19" i="1047"/>
  <c r="D19" i="1047"/>
  <c r="I18" i="1047"/>
  <c r="F18" i="1047"/>
  <c r="E18" i="1047"/>
  <c r="D18" i="1047"/>
  <c r="I17" i="1047"/>
  <c r="F17" i="1047"/>
  <c r="E17" i="1047"/>
  <c r="D17" i="1047"/>
  <c r="I16" i="1047"/>
  <c r="F16" i="1047"/>
  <c r="E16" i="1047"/>
  <c r="D16" i="1047"/>
  <c r="I15" i="1047"/>
  <c r="F15" i="1047"/>
  <c r="E15" i="1047"/>
  <c r="D15" i="1047"/>
  <c r="I14" i="1047"/>
  <c r="F14" i="1047"/>
  <c r="E14" i="1047"/>
  <c r="D14" i="1047"/>
  <c r="I13" i="1047"/>
  <c r="F13" i="1047"/>
  <c r="E13" i="1047"/>
  <c r="D13" i="1047"/>
  <c r="I12" i="1047"/>
  <c r="F12" i="1047"/>
  <c r="E12" i="1047"/>
  <c r="D12" i="1047"/>
  <c r="I11" i="1047"/>
  <c r="F11" i="1047"/>
  <c r="E11" i="1047"/>
  <c r="D11" i="1047"/>
  <c r="F10" i="1047"/>
  <c r="E10" i="1047"/>
  <c r="I10" i="1047" s="1"/>
  <c r="D10" i="1047"/>
  <c r="F9" i="1047"/>
  <c r="E9" i="1047"/>
  <c r="I9" i="1047" s="1"/>
  <c r="D9" i="1047"/>
  <c r="G8" i="1047"/>
  <c r="F8" i="1047"/>
  <c r="I8" i="1047" s="1"/>
  <c r="I7" i="1047" s="1"/>
  <c r="E8" i="1047"/>
  <c r="D8" i="1047"/>
  <c r="C8" i="1047"/>
  <c r="C9" i="1047" s="1"/>
  <c r="E7" i="1047"/>
  <c r="G6" i="1047"/>
  <c r="H17" i="1046"/>
  <c r="I37" i="1046"/>
  <c r="F37" i="1046"/>
  <c r="E37" i="1046"/>
  <c r="D37" i="1046"/>
  <c r="I36" i="1046"/>
  <c r="F36" i="1046"/>
  <c r="E36" i="1046"/>
  <c r="D36" i="1046"/>
  <c r="I35" i="1046"/>
  <c r="F35" i="1046"/>
  <c r="E35" i="1046"/>
  <c r="D35" i="1046"/>
  <c r="I34" i="1046"/>
  <c r="F34" i="1046"/>
  <c r="E34" i="1046"/>
  <c r="D34" i="1046"/>
  <c r="I33" i="1046"/>
  <c r="F33" i="1046"/>
  <c r="E33" i="1046"/>
  <c r="D33" i="1046"/>
  <c r="I32" i="1046"/>
  <c r="F32" i="1046"/>
  <c r="E32" i="1046"/>
  <c r="D32" i="1046"/>
  <c r="I31" i="1046"/>
  <c r="F31" i="1046"/>
  <c r="E31" i="1046"/>
  <c r="D31" i="1046"/>
  <c r="I30" i="1046"/>
  <c r="F30" i="1046"/>
  <c r="E30" i="1046"/>
  <c r="D30" i="1046"/>
  <c r="I29" i="1046"/>
  <c r="F29" i="1046"/>
  <c r="E29" i="1046"/>
  <c r="D29" i="1046"/>
  <c r="I28" i="1046"/>
  <c r="F28" i="1046"/>
  <c r="E28" i="1046"/>
  <c r="D28" i="1046"/>
  <c r="I27" i="1046"/>
  <c r="F27" i="1046"/>
  <c r="E27" i="1046"/>
  <c r="D27" i="1046"/>
  <c r="I26" i="1046"/>
  <c r="F26" i="1046"/>
  <c r="E26" i="1046"/>
  <c r="D26" i="1046"/>
  <c r="I25" i="1046"/>
  <c r="F25" i="1046"/>
  <c r="E25" i="1046"/>
  <c r="D25" i="1046"/>
  <c r="I24" i="1046"/>
  <c r="F24" i="1046"/>
  <c r="E24" i="1046"/>
  <c r="D24" i="1046"/>
  <c r="I23" i="1046"/>
  <c r="F23" i="1046"/>
  <c r="E23" i="1046"/>
  <c r="D23" i="1046"/>
  <c r="I22" i="1046"/>
  <c r="F22" i="1046"/>
  <c r="E22" i="1046"/>
  <c r="D22" i="1046"/>
  <c r="I21" i="1046"/>
  <c r="F21" i="1046"/>
  <c r="E21" i="1046"/>
  <c r="D21" i="1046"/>
  <c r="I20" i="1046"/>
  <c r="F20" i="1046"/>
  <c r="E20" i="1046"/>
  <c r="D20" i="1046"/>
  <c r="I19" i="1046"/>
  <c r="F19" i="1046"/>
  <c r="E19" i="1046"/>
  <c r="D19" i="1046"/>
  <c r="I18" i="1046"/>
  <c r="F18" i="1046"/>
  <c r="E18" i="1046"/>
  <c r="D18" i="1046"/>
  <c r="I17" i="1046"/>
  <c r="F16" i="1046"/>
  <c r="I16" i="1046" s="1"/>
  <c r="E16" i="1046"/>
  <c r="D16" i="1046"/>
  <c r="F15" i="1046"/>
  <c r="I15" i="1046" s="1"/>
  <c r="E15" i="1046"/>
  <c r="D15" i="1046"/>
  <c r="F14" i="1046"/>
  <c r="E14" i="1046"/>
  <c r="I14" i="1046" s="1"/>
  <c r="D14" i="1046"/>
  <c r="F13" i="1046"/>
  <c r="E13" i="1046"/>
  <c r="I13" i="1046" s="1"/>
  <c r="D13" i="1046"/>
  <c r="F12" i="1046"/>
  <c r="I12" i="1046" s="1"/>
  <c r="E12" i="1046"/>
  <c r="D12" i="1046"/>
  <c r="F11" i="1046"/>
  <c r="I11" i="1046" s="1"/>
  <c r="E11" i="1046"/>
  <c r="D11" i="1046"/>
  <c r="F10" i="1046"/>
  <c r="E10" i="1046"/>
  <c r="I10" i="1046" s="1"/>
  <c r="D10" i="1046"/>
  <c r="F9" i="1046"/>
  <c r="E9" i="1046"/>
  <c r="I9" i="1046" s="1"/>
  <c r="D9" i="1046"/>
  <c r="G8" i="1046"/>
  <c r="F8" i="1046"/>
  <c r="I8" i="1046" s="1"/>
  <c r="E8" i="1046"/>
  <c r="D8" i="1046"/>
  <c r="C8" i="1046"/>
  <c r="C9" i="1046" s="1"/>
  <c r="E7" i="1046"/>
  <c r="G6" i="1046"/>
  <c r="H9" i="1045"/>
  <c r="I37" i="1045"/>
  <c r="F37" i="1045"/>
  <c r="E37" i="1045"/>
  <c r="D37" i="1045"/>
  <c r="I36" i="1045"/>
  <c r="F36" i="1045"/>
  <c r="E36" i="1045"/>
  <c r="D36" i="1045"/>
  <c r="I35" i="1045"/>
  <c r="F35" i="1045"/>
  <c r="E35" i="1045"/>
  <c r="D35" i="1045"/>
  <c r="I34" i="1045"/>
  <c r="F34" i="1045"/>
  <c r="E34" i="1045"/>
  <c r="D34" i="1045"/>
  <c r="I33" i="1045"/>
  <c r="F33" i="1045"/>
  <c r="E33" i="1045"/>
  <c r="D33" i="1045"/>
  <c r="I32" i="1045"/>
  <c r="F32" i="1045"/>
  <c r="E32" i="1045"/>
  <c r="D32" i="1045"/>
  <c r="I31" i="1045"/>
  <c r="F31" i="1045"/>
  <c r="E31" i="1045"/>
  <c r="D31" i="1045"/>
  <c r="I30" i="1045"/>
  <c r="F30" i="1045"/>
  <c r="E30" i="1045"/>
  <c r="D30" i="1045"/>
  <c r="I29" i="1045"/>
  <c r="F29" i="1045"/>
  <c r="E29" i="1045"/>
  <c r="D29" i="1045"/>
  <c r="I28" i="1045"/>
  <c r="F28" i="1045"/>
  <c r="E28" i="1045"/>
  <c r="D28" i="1045"/>
  <c r="I27" i="1045"/>
  <c r="F27" i="1045"/>
  <c r="E27" i="1045"/>
  <c r="D27" i="1045"/>
  <c r="I26" i="1045"/>
  <c r="F26" i="1045"/>
  <c r="E26" i="1045"/>
  <c r="D26" i="1045"/>
  <c r="I25" i="1045"/>
  <c r="F25" i="1045"/>
  <c r="E25" i="1045"/>
  <c r="D25" i="1045"/>
  <c r="I24" i="1045"/>
  <c r="F24" i="1045"/>
  <c r="E24" i="1045"/>
  <c r="D24" i="1045"/>
  <c r="I23" i="1045"/>
  <c r="F23" i="1045"/>
  <c r="E23" i="1045"/>
  <c r="D23" i="1045"/>
  <c r="I22" i="1045"/>
  <c r="F22" i="1045"/>
  <c r="E22" i="1045"/>
  <c r="D22" i="1045"/>
  <c r="I21" i="1045"/>
  <c r="F21" i="1045"/>
  <c r="E21" i="1045"/>
  <c r="D21" i="1045"/>
  <c r="I20" i="1045"/>
  <c r="F20" i="1045"/>
  <c r="E20" i="1045"/>
  <c r="D20" i="1045"/>
  <c r="I19" i="1045"/>
  <c r="F19" i="1045"/>
  <c r="E19" i="1045"/>
  <c r="D19" i="1045"/>
  <c r="I18" i="1045"/>
  <c r="F18" i="1045"/>
  <c r="E18" i="1045"/>
  <c r="D18" i="1045"/>
  <c r="I17" i="1045"/>
  <c r="F17" i="1045"/>
  <c r="E17" i="1045"/>
  <c r="D17" i="1045"/>
  <c r="I16" i="1045"/>
  <c r="F16" i="1045"/>
  <c r="E16" i="1045"/>
  <c r="D16" i="1045"/>
  <c r="I15" i="1045"/>
  <c r="F15" i="1045"/>
  <c r="E15" i="1045"/>
  <c r="D15" i="1045"/>
  <c r="I14" i="1045"/>
  <c r="F14" i="1045"/>
  <c r="E14" i="1045"/>
  <c r="D14" i="1045"/>
  <c r="I13" i="1045"/>
  <c r="F13" i="1045"/>
  <c r="E13" i="1045"/>
  <c r="D13" i="1045"/>
  <c r="I12" i="1045"/>
  <c r="F12" i="1045"/>
  <c r="E12" i="1045"/>
  <c r="D12" i="1045"/>
  <c r="I11" i="1045"/>
  <c r="F11" i="1045"/>
  <c r="E11" i="1045"/>
  <c r="D11" i="1045"/>
  <c r="I10" i="1045"/>
  <c r="F10" i="1045"/>
  <c r="E10" i="1045"/>
  <c r="D10" i="1045"/>
  <c r="G8" i="1045"/>
  <c r="F8" i="1045"/>
  <c r="I8" i="1045" s="1"/>
  <c r="E8" i="1045"/>
  <c r="D8" i="1045"/>
  <c r="C8" i="1045"/>
  <c r="C9" i="1045" s="1"/>
  <c r="E7" i="1045"/>
  <c r="G6" i="1045"/>
  <c r="S10" i="4"/>
  <c r="S12" i="4"/>
  <c r="S22" i="4"/>
  <c r="S10" i="1"/>
  <c r="S11" i="1"/>
  <c r="S12" i="1"/>
  <c r="S14" i="1"/>
  <c r="S15" i="1"/>
  <c r="S16" i="1"/>
  <c r="S17" i="1"/>
  <c r="S19" i="1"/>
  <c r="S20" i="1"/>
  <c r="S22" i="1"/>
  <c r="S23" i="1"/>
  <c r="G10" i="1058" l="1"/>
  <c r="C11" i="1058"/>
  <c r="G10" i="1057"/>
  <c r="C11" i="1057"/>
  <c r="C11" i="1056"/>
  <c r="G10" i="1055"/>
  <c r="C11" i="1055"/>
  <c r="G10" i="1054"/>
  <c r="C11" i="1054"/>
  <c r="G10" i="1053"/>
  <c r="C11" i="1053"/>
  <c r="G10" i="1052"/>
  <c r="C11" i="1052"/>
  <c r="G9" i="1050"/>
  <c r="C10" i="1050"/>
  <c r="G9" i="1049"/>
  <c r="C10" i="1049"/>
  <c r="G9" i="1048"/>
  <c r="C10" i="1048"/>
  <c r="I7" i="1048"/>
  <c r="G9" i="1047"/>
  <c r="C10" i="1047"/>
  <c r="I7" i="1046"/>
  <c r="G9" i="1046"/>
  <c r="C10" i="1046"/>
  <c r="I9" i="1045"/>
  <c r="I7" i="1045" s="1"/>
  <c r="C10" i="1045"/>
  <c r="AW10" i="150"/>
  <c r="AW9" i="150"/>
  <c r="AW5" i="4"/>
  <c r="C12" i="1058" l="1"/>
  <c r="G11" i="1058"/>
  <c r="G11" i="1057"/>
  <c r="C12" i="1057"/>
  <c r="C12" i="1056"/>
  <c r="G11" i="1056"/>
  <c r="C12" i="1055"/>
  <c r="G11" i="1055"/>
  <c r="C12" i="1054"/>
  <c r="G11" i="1054"/>
  <c r="G11" i="1053"/>
  <c r="C12" i="1053"/>
  <c r="G11" i="1052"/>
  <c r="C12" i="1052"/>
  <c r="G10" i="1050"/>
  <c r="C11" i="1050"/>
  <c r="C11" i="1049"/>
  <c r="G10" i="1049"/>
  <c r="G10" i="1048"/>
  <c r="C11" i="1048"/>
  <c r="G10" i="1047"/>
  <c r="C11" i="1047"/>
  <c r="G10" i="1046"/>
  <c r="C11" i="1046"/>
  <c r="G10" i="1045"/>
  <c r="C11" i="1045"/>
  <c r="C13" i="1058" l="1"/>
  <c r="G12" i="1058"/>
  <c r="C13" i="1057"/>
  <c r="C13" i="1056"/>
  <c r="G12" i="1056"/>
  <c r="C13" i="1055"/>
  <c r="G12" i="1055"/>
  <c r="C13" i="1054"/>
  <c r="G12" i="1054"/>
  <c r="C13" i="1053"/>
  <c r="G12" i="1053"/>
  <c r="C13" i="1052"/>
  <c r="G12" i="1052"/>
  <c r="C12" i="1050"/>
  <c r="G11" i="1050"/>
  <c r="G11" i="1049"/>
  <c r="C12" i="1049"/>
  <c r="C12" i="1048"/>
  <c r="G11" i="1048"/>
  <c r="C12" i="1047"/>
  <c r="G11" i="1047"/>
  <c r="C12" i="1046"/>
  <c r="G11" i="1046"/>
  <c r="G11" i="1045"/>
  <c r="C12" i="1045"/>
  <c r="A2" i="1"/>
  <c r="F30" i="1"/>
  <c r="F21" i="1"/>
  <c r="F18" i="1"/>
  <c r="F9" i="1"/>
  <c r="F8" i="1"/>
  <c r="G2" i="50"/>
  <c r="G13" i="1058" l="1"/>
  <c r="C14" i="1058"/>
  <c r="G13" i="1057"/>
  <c r="C14" i="1057"/>
  <c r="G13" i="1056"/>
  <c r="C14" i="1056"/>
  <c r="G13" i="1055"/>
  <c r="C14" i="1055"/>
  <c r="G13" i="1054"/>
  <c r="C14" i="1054"/>
  <c r="G13" i="1053"/>
  <c r="C14" i="1053"/>
  <c r="G13" i="1052"/>
  <c r="C14" i="1052"/>
  <c r="C13" i="1050"/>
  <c r="G12" i="1050"/>
  <c r="C13" i="1049"/>
  <c r="G12" i="1049"/>
  <c r="C13" i="1048"/>
  <c r="G12" i="1048"/>
  <c r="C13" i="1047"/>
  <c r="G12" i="1047"/>
  <c r="C13" i="1046"/>
  <c r="G12" i="1046"/>
  <c r="C13" i="1045"/>
  <c r="G12" i="1045"/>
  <c r="F8" i="4"/>
  <c r="F13" i="150"/>
  <c r="F10" i="150"/>
  <c r="F9" i="150"/>
  <c r="F5" i="150"/>
  <c r="A2" i="150"/>
  <c r="A2" i="4"/>
  <c r="G14" i="1058" l="1"/>
  <c r="C15" i="1058"/>
  <c r="G14" i="1057"/>
  <c r="C15" i="1057"/>
  <c r="G14" i="1056"/>
  <c r="C15" i="1056"/>
  <c r="G14" i="1055"/>
  <c r="C15" i="1055"/>
  <c r="G14" i="1054"/>
  <c r="C15" i="1054"/>
  <c r="C15" i="1053"/>
  <c r="G14" i="1053"/>
  <c r="G14" i="1052"/>
  <c r="C15" i="1052"/>
  <c r="G13" i="1050"/>
  <c r="C14" i="1050"/>
  <c r="G13" i="1049"/>
  <c r="C14" i="1049"/>
  <c r="G13" i="1048"/>
  <c r="C14" i="1048"/>
  <c r="G13" i="1047"/>
  <c r="C14" i="1047"/>
  <c r="G13" i="1046"/>
  <c r="C14" i="1046"/>
  <c r="G13" i="1045"/>
  <c r="C14" i="1045"/>
  <c r="D25" i="439"/>
  <c r="E25" i="439"/>
  <c r="F25" i="439"/>
  <c r="Q2" i="150"/>
  <c r="G15" i="1058" l="1"/>
  <c r="C16" i="1058"/>
  <c r="C16" i="1057"/>
  <c r="G15" i="1057"/>
  <c r="G15" i="1056"/>
  <c r="C16" i="1056"/>
  <c r="C16" i="1055"/>
  <c r="G15" i="1055"/>
  <c r="C16" i="1054"/>
  <c r="G15" i="1054"/>
  <c r="G15" i="1053"/>
  <c r="C16" i="1053"/>
  <c r="C16" i="1052"/>
  <c r="G15" i="1052"/>
  <c r="G14" i="1050"/>
  <c r="C15" i="1050"/>
  <c r="C15" i="1049"/>
  <c r="G14" i="1049"/>
  <c r="G14" i="1048"/>
  <c r="C15" i="1048"/>
  <c r="G14" i="1047"/>
  <c r="C15" i="1047"/>
  <c r="G14" i="1046"/>
  <c r="C15" i="1046"/>
  <c r="G14" i="1045"/>
  <c r="C15" i="1045"/>
  <c r="H5" i="95"/>
  <c r="C17" i="1058" l="1"/>
  <c r="G16" i="1058"/>
  <c r="C17" i="1057"/>
  <c r="G16" i="1057"/>
  <c r="C17" i="1056"/>
  <c r="G16" i="1056"/>
  <c r="C17" i="1055"/>
  <c r="G16" i="1055"/>
  <c r="C17" i="1054"/>
  <c r="G16" i="1054"/>
  <c r="C17" i="1053"/>
  <c r="G16" i="1053"/>
  <c r="C17" i="1052"/>
  <c r="G16" i="1052"/>
  <c r="C16" i="1050"/>
  <c r="G15" i="1050"/>
  <c r="G15" i="1049"/>
  <c r="C16" i="1049"/>
  <c r="C16" i="1048"/>
  <c r="G15" i="1048"/>
  <c r="C16" i="1047"/>
  <c r="G15" i="1047"/>
  <c r="G15" i="1046"/>
  <c r="C16" i="1046"/>
  <c r="C16" i="1045"/>
  <c r="G15" i="1045"/>
  <c r="A2" i="137"/>
  <c r="F11" i="137"/>
  <c r="F8" i="137"/>
  <c r="F6" i="137"/>
  <c r="F24" i="1"/>
  <c r="F23" i="4"/>
  <c r="F20" i="4"/>
  <c r="F9" i="4"/>
  <c r="F5" i="4"/>
  <c r="F7" i="150"/>
  <c r="F6" i="150"/>
  <c r="G17" i="1058" l="1"/>
  <c r="C18" i="1058"/>
  <c r="G17" i="1057"/>
  <c r="C18" i="1057"/>
  <c r="G17" i="1056"/>
  <c r="C18" i="1056"/>
  <c r="G17" i="1055"/>
  <c r="C18" i="1055"/>
  <c r="G17" i="1054"/>
  <c r="C18" i="1054"/>
  <c r="G17" i="1053"/>
  <c r="C18" i="1053"/>
  <c r="G17" i="1052"/>
  <c r="C18" i="1052"/>
  <c r="C17" i="1050"/>
  <c r="G16" i="1050"/>
  <c r="C17" i="1049"/>
  <c r="G16" i="1049"/>
  <c r="C17" i="1048"/>
  <c r="G16" i="1048"/>
  <c r="C17" i="1047"/>
  <c r="G16" i="1047"/>
  <c r="C17" i="1046"/>
  <c r="G16" i="1046"/>
  <c r="C17" i="1045"/>
  <c r="G16" i="1045"/>
  <c r="BA3" i="150"/>
  <c r="G18" i="1058" l="1"/>
  <c r="C19" i="1058"/>
  <c r="C19" i="1057"/>
  <c r="G18" i="1057"/>
  <c r="G18" i="1056"/>
  <c r="C19" i="1056"/>
  <c r="G18" i="1055"/>
  <c r="C19" i="1055"/>
  <c r="G18" i="1054"/>
  <c r="C19" i="1054"/>
  <c r="C19" i="1053"/>
  <c r="G18" i="1053"/>
  <c r="G18" i="1052"/>
  <c r="C19" i="1052"/>
  <c r="G17" i="1050"/>
  <c r="C18" i="1050"/>
  <c r="G17" i="1049"/>
  <c r="C18" i="1049"/>
  <c r="G17" i="1048"/>
  <c r="C18" i="1048"/>
  <c r="G17" i="1047"/>
  <c r="C18" i="1047"/>
  <c r="C18" i="1046"/>
  <c r="G17" i="1045"/>
  <c r="C18" i="1045"/>
  <c r="BA5" i="150"/>
  <c r="BA6" i="150" s="1"/>
  <c r="BA7" i="150" s="1"/>
  <c r="BA8" i="150" s="1"/>
  <c r="BA9" i="150" s="1"/>
  <c r="BA10" i="150" s="1"/>
  <c r="BA11" i="150" s="1"/>
  <c r="BA12" i="150" s="1"/>
  <c r="BA13" i="150" s="1"/>
  <c r="C20" i="1058" l="1"/>
  <c r="G19" i="1058"/>
  <c r="G19" i="1057"/>
  <c r="C20" i="1057"/>
  <c r="G19" i="1056"/>
  <c r="C20" i="1056"/>
  <c r="C20" i="1055"/>
  <c r="G19" i="1055"/>
  <c r="C20" i="1054"/>
  <c r="G19" i="1054"/>
  <c r="G19" i="1053"/>
  <c r="C20" i="1053"/>
  <c r="G19" i="1052"/>
  <c r="C20" i="1052"/>
  <c r="G18" i="1050"/>
  <c r="C19" i="1050"/>
  <c r="C19" i="1049"/>
  <c r="G18" i="1049"/>
  <c r="G18" i="1048"/>
  <c r="C19" i="1048"/>
  <c r="G18" i="1047"/>
  <c r="C19" i="1047"/>
  <c r="G18" i="1046"/>
  <c r="C19" i="1046"/>
  <c r="G18" i="1045"/>
  <c r="C19" i="1045"/>
  <c r="D8" i="150"/>
  <c r="D9" i="150"/>
  <c r="D7" i="150"/>
  <c r="D6" i="150"/>
  <c r="D5" i="150"/>
  <c r="AY5" i="150"/>
  <c r="AY13" i="150"/>
  <c r="AX13" i="150" s="1"/>
  <c r="M13" i="150"/>
  <c r="D13" i="150"/>
  <c r="G13" i="150" s="1"/>
  <c r="H13" i="150" s="1"/>
  <c r="C21" i="1058" l="1"/>
  <c r="G20" i="1058"/>
  <c r="C21" i="1057"/>
  <c r="G20" i="1057"/>
  <c r="C21" i="1056"/>
  <c r="G20" i="1056"/>
  <c r="C21" i="1055"/>
  <c r="G20" i="1055"/>
  <c r="C21" i="1054"/>
  <c r="G20" i="1054"/>
  <c r="C21" i="1053"/>
  <c r="G20" i="1053"/>
  <c r="C21" i="1052"/>
  <c r="G20" i="1052"/>
  <c r="G19" i="1050"/>
  <c r="C20" i="1050"/>
  <c r="G19" i="1049"/>
  <c r="C20" i="1049"/>
  <c r="C20" i="1048"/>
  <c r="C20" i="1047"/>
  <c r="G19" i="1047"/>
  <c r="C20" i="1046"/>
  <c r="G19" i="1046"/>
  <c r="G19" i="1045"/>
  <c r="C20" i="1045"/>
  <c r="F11" i="150"/>
  <c r="D11" i="150"/>
  <c r="G11" i="150" s="1"/>
  <c r="G21" i="1058" l="1"/>
  <c r="C22" i="1058"/>
  <c r="G21" i="1057"/>
  <c r="C22" i="1057"/>
  <c r="G21" i="1056"/>
  <c r="C22" i="1056"/>
  <c r="G21" i="1055"/>
  <c r="C22" i="1055"/>
  <c r="G21" i="1054"/>
  <c r="C22" i="1054"/>
  <c r="G21" i="1053"/>
  <c r="C22" i="1053"/>
  <c r="G21" i="1052"/>
  <c r="C22" i="1052"/>
  <c r="C21" i="1050"/>
  <c r="G20" i="1050"/>
  <c r="C21" i="1049"/>
  <c r="G20" i="1049"/>
  <c r="C21" i="1048"/>
  <c r="G20" i="1048"/>
  <c r="C21" i="1047"/>
  <c r="G20" i="1047"/>
  <c r="C21" i="1046"/>
  <c r="G20" i="1046"/>
  <c r="C21" i="1045"/>
  <c r="G20" i="1045"/>
  <c r="I13" i="95"/>
  <c r="I12" i="95"/>
  <c r="G22" i="1058" l="1"/>
  <c r="C23" i="1058"/>
  <c r="G22" i="1057"/>
  <c r="C23" i="1057"/>
  <c r="G22" i="1056"/>
  <c r="C23" i="1056"/>
  <c r="G22" i="1055"/>
  <c r="C23" i="1055"/>
  <c r="G22" i="1054"/>
  <c r="C23" i="1054"/>
  <c r="C23" i="1053"/>
  <c r="G22" i="1053"/>
  <c r="G22" i="1052"/>
  <c r="C23" i="1052"/>
  <c r="G21" i="1050"/>
  <c r="C22" i="1050"/>
  <c r="G21" i="1049"/>
  <c r="C22" i="1049"/>
  <c r="G21" i="1048"/>
  <c r="C22" i="1048"/>
  <c r="G21" i="1047"/>
  <c r="C22" i="1047"/>
  <c r="G21" i="1046"/>
  <c r="C22" i="1046"/>
  <c r="G21" i="1045"/>
  <c r="C22" i="1045"/>
  <c r="P2" i="8"/>
  <c r="P3" i="8"/>
  <c r="P4" i="8"/>
  <c r="P5" i="8"/>
  <c r="P6" i="8"/>
  <c r="P7" i="8"/>
  <c r="C24" i="1058" l="1"/>
  <c r="G23" i="1058"/>
  <c r="G23" i="1057"/>
  <c r="C24" i="1057"/>
  <c r="G23" i="1056"/>
  <c r="C24" i="1056"/>
  <c r="C24" i="1055"/>
  <c r="G23" i="1055"/>
  <c r="C24" i="1054"/>
  <c r="G23" i="1054"/>
  <c r="G23" i="1053"/>
  <c r="C24" i="1053"/>
  <c r="C24" i="1052"/>
  <c r="G23" i="1052"/>
  <c r="G22" i="1050"/>
  <c r="C23" i="1050"/>
  <c r="G22" i="1049"/>
  <c r="C23" i="1049"/>
  <c r="G22" i="1048"/>
  <c r="C23" i="1048"/>
  <c r="G22" i="1047"/>
  <c r="C23" i="1047"/>
  <c r="G22" i="1046"/>
  <c r="C23" i="1046"/>
  <c r="G22" i="1045"/>
  <c r="C23" i="1045"/>
  <c r="G8" i="439"/>
  <c r="C25" i="1058" l="1"/>
  <c r="G24" i="1058"/>
  <c r="C25" i="1057"/>
  <c r="G24" i="1057"/>
  <c r="C25" i="1056"/>
  <c r="G24" i="1056"/>
  <c r="C25" i="1055"/>
  <c r="G24" i="1055"/>
  <c r="C25" i="1054"/>
  <c r="G24" i="1054"/>
  <c r="C25" i="1053"/>
  <c r="G24" i="1053"/>
  <c r="C25" i="1052"/>
  <c r="G24" i="1052"/>
  <c r="C24" i="1050"/>
  <c r="G23" i="1050"/>
  <c r="C24" i="1049"/>
  <c r="G23" i="1049"/>
  <c r="C24" i="1048"/>
  <c r="G23" i="1048"/>
  <c r="G23" i="1047"/>
  <c r="C24" i="1047"/>
  <c r="G23" i="1046"/>
  <c r="C24" i="1046"/>
  <c r="G23" i="1045"/>
  <c r="C24" i="104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1058" l="1"/>
  <c r="C26" i="1058"/>
  <c r="G25" i="1057"/>
  <c r="C26" i="1057"/>
  <c r="G25" i="1056"/>
  <c r="C26" i="1056"/>
  <c r="G25" i="1055"/>
  <c r="C26" i="1055"/>
  <c r="G25" i="1054"/>
  <c r="C26" i="1054"/>
  <c r="G25" i="1053"/>
  <c r="C26" i="1053"/>
  <c r="G25" i="1052"/>
  <c r="C26" i="1052"/>
  <c r="C25" i="1050"/>
  <c r="G24" i="1050"/>
  <c r="C25" i="1049"/>
  <c r="G24" i="1049"/>
  <c r="C25" i="1048"/>
  <c r="G24" i="1048"/>
  <c r="C25" i="1047"/>
  <c r="G24" i="1047"/>
  <c r="C25" i="1046"/>
  <c r="G24" i="1046"/>
  <c r="C25" i="1045"/>
  <c r="G24" i="1045"/>
  <c r="F8" i="150"/>
  <c r="G8" i="150"/>
  <c r="G26" i="1058" l="1"/>
  <c r="C27" i="1058"/>
  <c r="C27" i="1057"/>
  <c r="G26" i="1057"/>
  <c r="G26" i="1056"/>
  <c r="C27" i="1056"/>
  <c r="G26" i="1055"/>
  <c r="C27" i="1055"/>
  <c r="G26" i="1054"/>
  <c r="C27" i="1054"/>
  <c r="C27" i="1053"/>
  <c r="G26" i="1053"/>
  <c r="G26" i="1052"/>
  <c r="C27" i="1052"/>
  <c r="G25" i="1050"/>
  <c r="C26" i="1050"/>
  <c r="G25" i="1049"/>
  <c r="C26" i="1049"/>
  <c r="G25" i="1048"/>
  <c r="C26" i="1048"/>
  <c r="G25" i="1047"/>
  <c r="C26" i="1047"/>
  <c r="G25" i="1046"/>
  <c r="C26" i="1046"/>
  <c r="G25" i="1045"/>
  <c r="C26" i="1045"/>
  <c r="F11" i="439"/>
  <c r="Q15" i="150"/>
  <c r="C28" i="1058" l="1"/>
  <c r="G27" i="1058"/>
  <c r="G27" i="1057"/>
  <c r="C28" i="1057"/>
  <c r="G27" i="1056"/>
  <c r="C28" i="1056"/>
  <c r="G27" i="1055"/>
  <c r="C28" i="1055"/>
  <c r="C28" i="1054"/>
  <c r="G27" i="1054"/>
  <c r="G27" i="1053"/>
  <c r="C28" i="1053"/>
  <c r="G27" i="1052"/>
  <c r="C28" i="1052"/>
  <c r="G26" i="1050"/>
  <c r="C27" i="1050"/>
  <c r="C27" i="1049"/>
  <c r="G26" i="1049"/>
  <c r="G26" i="1048"/>
  <c r="C27" i="1048"/>
  <c r="G26" i="1047"/>
  <c r="C27" i="1047"/>
  <c r="G26" i="1046"/>
  <c r="C27" i="1046"/>
  <c r="G26" i="1045"/>
  <c r="C27" i="1045"/>
  <c r="F19" i="4"/>
  <c r="F9" i="137"/>
  <c r="C29" i="1058" l="1"/>
  <c r="G28" i="1058"/>
  <c r="C29" i="1057"/>
  <c r="G28" i="1057"/>
  <c r="C29" i="1056"/>
  <c r="G28" i="1056"/>
  <c r="C29" i="1055"/>
  <c r="G28" i="1055"/>
  <c r="C29" i="1054"/>
  <c r="G28" i="1054"/>
  <c r="C29" i="1053"/>
  <c r="G28" i="1053"/>
  <c r="C29" i="1052"/>
  <c r="G28" i="1052"/>
  <c r="G27" i="1050"/>
  <c r="C28" i="1050"/>
  <c r="G27" i="1049"/>
  <c r="C28" i="1049"/>
  <c r="C28" i="1048"/>
  <c r="G27" i="1048"/>
  <c r="G27" i="1047"/>
  <c r="C28" i="1047"/>
  <c r="C28" i="1046"/>
  <c r="G27" i="1046"/>
  <c r="C28" i="1045"/>
  <c r="G27" i="1045"/>
  <c r="AX6" i="137"/>
  <c r="G29" i="1058" l="1"/>
  <c r="C30" i="1058"/>
  <c r="G29" i="1057"/>
  <c r="C30" i="1057"/>
  <c r="G29" i="1056"/>
  <c r="C30" i="1056"/>
  <c r="G29" i="1055"/>
  <c r="C30" i="1055"/>
  <c r="G29" i="1054"/>
  <c r="C30" i="1054"/>
  <c r="G29" i="1053"/>
  <c r="C30" i="1053"/>
  <c r="G29" i="1052"/>
  <c r="C30" i="1052"/>
  <c r="C29" i="1050"/>
  <c r="G28" i="1050"/>
  <c r="C29" i="1049"/>
  <c r="G28" i="1049"/>
  <c r="C29" i="1048"/>
  <c r="G28" i="1048"/>
  <c r="C29" i="1047"/>
  <c r="G28" i="1047"/>
  <c r="C29" i="1046"/>
  <c r="G28" i="1046"/>
  <c r="C29" i="1045"/>
  <c r="G28" i="1045"/>
  <c r="F9" i="439"/>
  <c r="G30" i="1058" l="1"/>
  <c r="C31" i="1058"/>
  <c r="G30" i="1057"/>
  <c r="C31" i="1057"/>
  <c r="G30" i="1056"/>
  <c r="C31" i="1056"/>
  <c r="G30" i="1055"/>
  <c r="C31" i="1055"/>
  <c r="G30" i="1054"/>
  <c r="C31" i="1054"/>
  <c r="C31" i="1053"/>
  <c r="G30" i="1053"/>
  <c r="G30" i="1052"/>
  <c r="C31" i="1052"/>
  <c r="G29" i="1050"/>
  <c r="C30" i="1050"/>
  <c r="G29" i="1049"/>
  <c r="C30" i="1049"/>
  <c r="G29" i="1048"/>
  <c r="C30" i="1048"/>
  <c r="G29" i="1047"/>
  <c r="C30" i="1047"/>
  <c r="G29" i="1046"/>
  <c r="C30" i="1046"/>
  <c r="G29" i="1045"/>
  <c r="C30" i="1045"/>
  <c r="F28" i="1"/>
  <c r="G31" i="1058" l="1"/>
  <c r="C32" i="1058"/>
  <c r="G31" i="1057"/>
  <c r="C32" i="1057"/>
  <c r="C32" i="1056"/>
  <c r="G31" i="1056"/>
  <c r="C32" i="1055"/>
  <c r="G31" i="1055"/>
  <c r="G31" i="1054"/>
  <c r="C32" i="1054"/>
  <c r="G31" i="1053"/>
  <c r="C32" i="1053"/>
  <c r="C32" i="1052"/>
  <c r="G31" i="1052"/>
  <c r="G30" i="1050"/>
  <c r="C31" i="1050"/>
  <c r="C31" i="1049"/>
  <c r="G30" i="1049"/>
  <c r="G30" i="1048"/>
  <c r="C31" i="1048"/>
  <c r="G30" i="1047"/>
  <c r="C31" i="1047"/>
  <c r="G30" i="1046"/>
  <c r="C31" i="1046"/>
  <c r="G30" i="1045"/>
  <c r="C31" i="1045"/>
  <c r="G21" i="1"/>
  <c r="H21" i="1" s="1"/>
  <c r="G22" i="1"/>
  <c r="C33" i="1058" l="1"/>
  <c r="G32" i="1058"/>
  <c r="C33" i="1057"/>
  <c r="G32" i="1057"/>
  <c r="C33" i="1056"/>
  <c r="G32" i="1056"/>
  <c r="C33" i="1055"/>
  <c r="G32" i="1055"/>
  <c r="C33" i="1054"/>
  <c r="G32" i="1054"/>
  <c r="C33" i="1053"/>
  <c r="G32" i="1053"/>
  <c r="C33" i="1052"/>
  <c r="G32" i="1052"/>
  <c r="C32" i="1050"/>
  <c r="G31" i="1050"/>
  <c r="G31" i="1049"/>
  <c r="C32" i="1049"/>
  <c r="C32" i="1048"/>
  <c r="G31" i="1048"/>
  <c r="C32" i="1047"/>
  <c r="G31" i="1047"/>
  <c r="C32" i="1046"/>
  <c r="G31" i="1046"/>
  <c r="C32" i="1045"/>
  <c r="G31" i="1045"/>
  <c r="M21" i="1"/>
  <c r="G33" i="1058" l="1"/>
  <c r="C34" i="1058"/>
  <c r="G33" i="1057"/>
  <c r="C34" i="1057"/>
  <c r="G33" i="1056"/>
  <c r="C34" i="1056"/>
  <c r="G33" i="1055"/>
  <c r="C34" i="1055"/>
  <c r="G33" i="1054"/>
  <c r="C34" i="1054"/>
  <c r="G33" i="1053"/>
  <c r="C34" i="1053"/>
  <c r="G33" i="1052"/>
  <c r="C34" i="1052"/>
  <c r="C33" i="1050"/>
  <c r="G32" i="1050"/>
  <c r="C33" i="1049"/>
  <c r="G32" i="1049"/>
  <c r="C33" i="1048"/>
  <c r="G32" i="1048"/>
  <c r="C33" i="1047"/>
  <c r="G32" i="1047"/>
  <c r="C33" i="1046"/>
  <c r="G32" i="1046"/>
  <c r="C33" i="1045"/>
  <c r="G32" i="104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1058" l="1"/>
  <c r="C35" i="1058"/>
  <c r="G34" i="1057"/>
  <c r="C35" i="1057"/>
  <c r="G34" i="1056"/>
  <c r="C35" i="1056"/>
  <c r="G34" i="1055"/>
  <c r="C35" i="1055"/>
  <c r="G34" i="1054"/>
  <c r="C35" i="1054"/>
  <c r="C35" i="1053"/>
  <c r="G34" i="1053"/>
  <c r="G34" i="1052"/>
  <c r="C35" i="1052"/>
  <c r="G33" i="1050"/>
  <c r="C34" i="1050"/>
  <c r="G33" i="1049"/>
  <c r="C34" i="1049"/>
  <c r="G33" i="1048"/>
  <c r="C34" i="1048"/>
  <c r="G33" i="1047"/>
  <c r="C34" i="1047"/>
  <c r="G33" i="1046"/>
  <c r="C34" i="1046"/>
  <c r="G33" i="1045"/>
  <c r="C34" i="1045"/>
  <c r="F10" i="137"/>
  <c r="G35" i="1058" l="1"/>
  <c r="C36" i="1058"/>
  <c r="G35" i="1057"/>
  <c r="C36" i="1057"/>
  <c r="C36" i="1056"/>
  <c r="G35" i="1056"/>
  <c r="C36" i="1055"/>
  <c r="G35" i="1055"/>
  <c r="G35" i="1054"/>
  <c r="C36" i="1054"/>
  <c r="G35" i="1053"/>
  <c r="C36" i="1053"/>
  <c r="G35" i="1052"/>
  <c r="C36" i="1052"/>
  <c r="G34" i="1050"/>
  <c r="C35" i="1050"/>
  <c r="G34" i="1049"/>
  <c r="C35" i="1049"/>
  <c r="G34" i="1048"/>
  <c r="C35" i="1048"/>
  <c r="G34" i="1047"/>
  <c r="C35" i="1047"/>
  <c r="G34" i="1046"/>
  <c r="C35" i="1046"/>
  <c r="G34" i="1045"/>
  <c r="C35" i="1045"/>
  <c r="M12" i="137"/>
  <c r="AX12" i="137"/>
  <c r="H12" i="137"/>
  <c r="C37" i="1058" l="1"/>
  <c r="G36" i="1058"/>
  <c r="H36" i="1058" s="1"/>
  <c r="H35" i="1058"/>
  <c r="H34" i="1058"/>
  <c r="C37" i="1057"/>
  <c r="G36" i="1057"/>
  <c r="H36" i="1057" s="1"/>
  <c r="H32" i="1057"/>
  <c r="H33" i="1057"/>
  <c r="C37" i="1056"/>
  <c r="G36" i="1056"/>
  <c r="C37" i="1055"/>
  <c r="G36" i="1055"/>
  <c r="H34" i="1055"/>
  <c r="C37" i="1054"/>
  <c r="G36" i="1054"/>
  <c r="H32" i="1054"/>
  <c r="H34" i="1054"/>
  <c r="C37" i="1053"/>
  <c r="G36" i="1053"/>
  <c r="H36" i="1053" s="1"/>
  <c r="H29" i="1053"/>
  <c r="H35" i="1053"/>
  <c r="H34" i="1053"/>
  <c r="H33" i="1053"/>
  <c r="C37" i="1052"/>
  <c r="G36" i="1052"/>
  <c r="H36" i="1052"/>
  <c r="H33" i="1052"/>
  <c r="H34" i="1052"/>
  <c r="C36" i="1050"/>
  <c r="G35" i="1050"/>
  <c r="G35" i="1049"/>
  <c r="C36" i="1049"/>
  <c r="G35" i="1048"/>
  <c r="C36" i="1048"/>
  <c r="C36" i="1047"/>
  <c r="G35" i="1047"/>
  <c r="C36" i="1046"/>
  <c r="G35" i="1046"/>
  <c r="C36" i="1045"/>
  <c r="G35" i="1045"/>
  <c r="D10" i="150"/>
  <c r="U13" i="120"/>
  <c r="G20" i="4"/>
  <c r="G37" i="1058" l="1"/>
  <c r="H37" i="1058" s="1"/>
  <c r="G38" i="1058"/>
  <c r="H38" i="1058" s="1"/>
  <c r="H12" i="1058"/>
  <c r="H8" i="1058"/>
  <c r="H10" i="1058"/>
  <c r="H11" i="1058"/>
  <c r="H14" i="1058"/>
  <c r="H13" i="1058"/>
  <c r="H15" i="1058"/>
  <c r="H17" i="1058"/>
  <c r="H18" i="1058"/>
  <c r="H19" i="1058"/>
  <c r="H16" i="1058"/>
  <c r="H20" i="1058"/>
  <c r="H22" i="1058"/>
  <c r="H21" i="1058"/>
  <c r="H24" i="1058"/>
  <c r="H25" i="1058"/>
  <c r="H23" i="1058"/>
  <c r="H26" i="1058"/>
  <c r="H27" i="1058"/>
  <c r="H28" i="1058"/>
  <c r="H31" i="1058"/>
  <c r="H29" i="1058"/>
  <c r="H33" i="1058"/>
  <c r="H32" i="1058"/>
  <c r="H30" i="1058"/>
  <c r="G37" i="1057"/>
  <c r="H37" i="1057" s="1"/>
  <c r="G38" i="1057"/>
  <c r="H38" i="1057" s="1"/>
  <c r="H10" i="1057"/>
  <c r="H8" i="1057"/>
  <c r="H9" i="1057"/>
  <c r="H11" i="1057"/>
  <c r="H14" i="1057"/>
  <c r="H15" i="1057"/>
  <c r="H18" i="1057"/>
  <c r="H19" i="1057"/>
  <c r="H16" i="1057"/>
  <c r="H17" i="1057"/>
  <c r="H21" i="1057"/>
  <c r="H20" i="1057"/>
  <c r="H22" i="1057"/>
  <c r="H25" i="1057"/>
  <c r="H26" i="1057"/>
  <c r="H23" i="1057"/>
  <c r="H24" i="1057"/>
  <c r="H30" i="1057"/>
  <c r="H29" i="1057"/>
  <c r="H28" i="1057"/>
  <c r="H27" i="1057"/>
  <c r="H31" i="1057"/>
  <c r="H35" i="1057"/>
  <c r="H34" i="1057"/>
  <c r="G37" i="1056"/>
  <c r="H37" i="1056" s="1"/>
  <c r="G38" i="1056"/>
  <c r="H38" i="1056" s="1"/>
  <c r="H12" i="1056"/>
  <c r="H8" i="1056"/>
  <c r="H9" i="1056"/>
  <c r="H13" i="1056"/>
  <c r="H14" i="1056"/>
  <c r="H16" i="1056"/>
  <c r="H17" i="1056"/>
  <c r="H18" i="1056"/>
  <c r="H15" i="1056"/>
  <c r="H19" i="1056"/>
  <c r="H20" i="1056"/>
  <c r="H21" i="1056"/>
  <c r="H22" i="1056"/>
  <c r="H23" i="1056"/>
  <c r="H25" i="1056"/>
  <c r="H24" i="1056"/>
  <c r="H28" i="1056"/>
  <c r="H26" i="1056"/>
  <c r="H29" i="1056"/>
  <c r="H27" i="1056"/>
  <c r="H30" i="1056"/>
  <c r="H34" i="1056"/>
  <c r="H31" i="1056"/>
  <c r="H33" i="1056"/>
  <c r="H32" i="1056"/>
  <c r="H35" i="1056"/>
  <c r="H36" i="1056"/>
  <c r="G37" i="1055"/>
  <c r="H37" i="1055" s="1"/>
  <c r="G38" i="1055"/>
  <c r="H38" i="1055" s="1"/>
  <c r="H10" i="1055"/>
  <c r="H12" i="1055"/>
  <c r="H8" i="1055"/>
  <c r="H11" i="1055" s="1"/>
  <c r="H9" i="1055"/>
  <c r="H14" i="1055"/>
  <c r="H13" i="1055"/>
  <c r="H16" i="1055"/>
  <c r="H15" i="1055"/>
  <c r="H17" i="1055"/>
  <c r="H18" i="1055"/>
  <c r="H20" i="1055"/>
  <c r="H19" i="1055"/>
  <c r="H24" i="1055"/>
  <c r="H22" i="1055"/>
  <c r="H21" i="1055"/>
  <c r="H23" i="1055"/>
  <c r="H25" i="1055"/>
  <c r="H26" i="1055"/>
  <c r="H29" i="1055"/>
  <c r="H27" i="1055"/>
  <c r="H30" i="1055"/>
  <c r="H28" i="1055"/>
  <c r="H31" i="1055"/>
  <c r="H35" i="1055"/>
  <c r="H33" i="1055"/>
  <c r="H36" i="1055"/>
  <c r="H32" i="1055"/>
  <c r="G37" i="1054"/>
  <c r="H37" i="1054" s="1"/>
  <c r="G38" i="1054"/>
  <c r="H38" i="1054" s="1"/>
  <c r="H10" i="1054"/>
  <c r="H12" i="1054"/>
  <c r="H8" i="1054"/>
  <c r="H11" i="1054"/>
  <c r="H9" i="1054"/>
  <c r="H13" i="1054"/>
  <c r="H14" i="1054"/>
  <c r="H16" i="1054"/>
  <c r="H15" i="1054"/>
  <c r="H17" i="1054"/>
  <c r="H20" i="1054"/>
  <c r="H18" i="1054"/>
  <c r="H19" i="1054"/>
  <c r="H21" i="1054"/>
  <c r="H24" i="1054"/>
  <c r="H22" i="1054"/>
  <c r="H23" i="1054"/>
  <c r="H25" i="1054"/>
  <c r="H26" i="1054"/>
  <c r="H28" i="1054"/>
  <c r="H27" i="1054"/>
  <c r="H31" i="1054"/>
  <c r="H29" i="1054"/>
  <c r="H30" i="1054"/>
  <c r="H33" i="1054"/>
  <c r="H36" i="1054"/>
  <c r="H35" i="1054"/>
  <c r="G37" i="1053"/>
  <c r="H37" i="1053" s="1"/>
  <c r="G38" i="1053"/>
  <c r="H38" i="1053" s="1"/>
  <c r="H9" i="1053"/>
  <c r="H8" i="1053"/>
  <c r="H10" i="1053" s="1"/>
  <c r="H11" i="1053"/>
  <c r="H12" i="1053"/>
  <c r="H15" i="1053"/>
  <c r="H13" i="1053"/>
  <c r="H14" i="1053"/>
  <c r="H17" i="1053"/>
  <c r="H16" i="1053"/>
  <c r="H18" i="1053"/>
  <c r="H19" i="1053"/>
  <c r="H21" i="1053"/>
  <c r="H22" i="1053"/>
  <c r="H20" i="1053"/>
  <c r="H24" i="1053"/>
  <c r="H23" i="1053"/>
  <c r="H26" i="1053"/>
  <c r="H25" i="1053"/>
  <c r="H27" i="1053"/>
  <c r="H30" i="1053"/>
  <c r="H32" i="1053"/>
  <c r="H28" i="1053"/>
  <c r="H31" i="1053"/>
  <c r="H35" i="1052"/>
  <c r="G37" i="1052"/>
  <c r="H37" i="1052" s="1"/>
  <c r="G38" i="1052"/>
  <c r="H38" i="1052" s="1"/>
  <c r="H10" i="1052"/>
  <c r="H8" i="1052"/>
  <c r="H11" i="1052"/>
  <c r="H9" i="1052"/>
  <c r="H12" i="1052"/>
  <c r="H14" i="1052"/>
  <c r="H16" i="1052"/>
  <c r="H15" i="1052"/>
  <c r="H13" i="1052"/>
  <c r="H20" i="1052"/>
  <c r="H18" i="1052"/>
  <c r="H17" i="1052"/>
  <c r="H19" i="1052"/>
  <c r="H21" i="1052"/>
  <c r="H22" i="1052"/>
  <c r="H23" i="1052"/>
  <c r="H24" i="1052"/>
  <c r="H25" i="1052"/>
  <c r="H26" i="1052"/>
  <c r="H27" i="1052"/>
  <c r="H29" i="1052"/>
  <c r="H28" i="1052"/>
  <c r="H32" i="1052"/>
  <c r="H30" i="1052"/>
  <c r="H31" i="1052"/>
  <c r="C37" i="1050"/>
  <c r="G36" i="1050"/>
  <c r="C37" i="1049"/>
  <c r="G36" i="1049"/>
  <c r="H34" i="1049"/>
  <c r="C37" i="1048"/>
  <c r="G36" i="1048"/>
  <c r="H36" i="1048" s="1"/>
  <c r="C37" i="1047"/>
  <c r="G36" i="1047"/>
  <c r="C37" i="1046"/>
  <c r="G36" i="1046"/>
  <c r="C37" i="1045"/>
  <c r="H36" i="1045" s="1"/>
  <c r="G36" i="1045"/>
  <c r="H33" i="1045"/>
  <c r="B2" i="137"/>
  <c r="F15" i="137"/>
  <c r="H13" i="1057" l="1"/>
  <c r="H11" i="1056"/>
  <c r="H37" i="1050"/>
  <c r="H33" i="1050"/>
  <c r="H34" i="1050"/>
  <c r="H36" i="1050"/>
  <c r="G37" i="1050"/>
  <c r="G38" i="1050"/>
  <c r="H38" i="1050" s="1"/>
  <c r="H12" i="1050"/>
  <c r="H8" i="1050"/>
  <c r="H9" i="1050" s="1"/>
  <c r="H11" i="1050"/>
  <c r="H10" i="1050"/>
  <c r="H13" i="1050"/>
  <c r="H14" i="1050"/>
  <c r="H16" i="1050"/>
  <c r="H15" i="1050"/>
  <c r="H17" i="1050"/>
  <c r="H18" i="1050"/>
  <c r="H21" i="1050"/>
  <c r="H19" i="1050"/>
  <c r="H22" i="1050"/>
  <c r="H20" i="1050"/>
  <c r="H23" i="1050"/>
  <c r="H25" i="1050"/>
  <c r="H24" i="1050"/>
  <c r="H26" i="1050"/>
  <c r="H27" i="1050"/>
  <c r="H29" i="1050"/>
  <c r="H28" i="1050"/>
  <c r="H30" i="1050"/>
  <c r="H35" i="1050"/>
  <c r="H31" i="1050"/>
  <c r="H32" i="1050"/>
  <c r="G37" i="1049"/>
  <c r="H37" i="1049" s="1"/>
  <c r="G38" i="1049"/>
  <c r="H38" i="1049" s="1"/>
  <c r="H8" i="1049"/>
  <c r="H10" i="1049"/>
  <c r="H13" i="1049"/>
  <c r="H11" i="1049"/>
  <c r="H9" i="1049"/>
  <c r="H12" i="1049"/>
  <c r="H15" i="1049"/>
  <c r="H14" i="1049"/>
  <c r="H17" i="1049"/>
  <c r="H18" i="1049"/>
  <c r="H16" i="1049"/>
  <c r="H20" i="1049"/>
  <c r="H19" i="1049"/>
  <c r="H22" i="1049"/>
  <c r="H21" i="1049"/>
  <c r="H23" i="1049"/>
  <c r="H24" i="1049"/>
  <c r="H25" i="1049"/>
  <c r="H27" i="1049"/>
  <c r="H26" i="1049"/>
  <c r="H30" i="1049"/>
  <c r="H29" i="1049"/>
  <c r="H28" i="1049"/>
  <c r="H32" i="1049"/>
  <c r="H31" i="1049"/>
  <c r="H33" i="1049"/>
  <c r="H36" i="1049"/>
  <c r="H35" i="1049"/>
  <c r="G37" i="1048"/>
  <c r="G38" i="1048"/>
  <c r="H38" i="1048" s="1"/>
  <c r="H8" i="1048"/>
  <c r="H20" i="1048" s="1"/>
  <c r="H9" i="1048"/>
  <c r="H10" i="1048"/>
  <c r="H11" i="1048"/>
  <c r="H12" i="1048"/>
  <c r="H13" i="1048"/>
  <c r="H14" i="1048"/>
  <c r="H17" i="1048"/>
  <c r="H16" i="1048"/>
  <c r="H15" i="1048"/>
  <c r="H18" i="1048"/>
  <c r="H22" i="1048"/>
  <c r="H24" i="1048"/>
  <c r="H21" i="1048"/>
  <c r="H25" i="1048"/>
  <c r="H23" i="1048"/>
  <c r="H26" i="1048"/>
  <c r="H27" i="1048"/>
  <c r="H28" i="1048"/>
  <c r="H29" i="1048"/>
  <c r="H30" i="1048"/>
  <c r="H31" i="1048"/>
  <c r="H32" i="1048"/>
  <c r="H33" i="1048"/>
  <c r="H35" i="1048"/>
  <c r="H34" i="1048"/>
  <c r="H37" i="1048"/>
  <c r="H37" i="1047"/>
  <c r="H33" i="1047"/>
  <c r="H35" i="1047"/>
  <c r="H36" i="1047"/>
  <c r="G37" i="1047"/>
  <c r="G38" i="1047"/>
  <c r="H38" i="1047" s="1"/>
  <c r="H8" i="1047"/>
  <c r="H12" i="1047"/>
  <c r="H9" i="1047"/>
  <c r="H11" i="1047" s="1"/>
  <c r="H10" i="1047"/>
  <c r="H16" i="1047"/>
  <c r="H14" i="1047"/>
  <c r="H13" i="1047"/>
  <c r="H17" i="1047"/>
  <c r="H15" i="1047"/>
  <c r="H20" i="1047"/>
  <c r="H19" i="1047"/>
  <c r="H18" i="1047"/>
  <c r="H21" i="1047"/>
  <c r="H22" i="1047"/>
  <c r="H23" i="1047"/>
  <c r="H25" i="1047"/>
  <c r="H24" i="1047"/>
  <c r="H26" i="1047"/>
  <c r="H28" i="1047"/>
  <c r="H27" i="1047"/>
  <c r="H29" i="1047"/>
  <c r="H30" i="1047"/>
  <c r="H32" i="1047"/>
  <c r="H31" i="1047"/>
  <c r="H34" i="1047"/>
  <c r="G37" i="1046"/>
  <c r="G38" i="1046"/>
  <c r="H38" i="1046" s="1"/>
  <c r="H9" i="1046"/>
  <c r="H12" i="1046"/>
  <c r="H8" i="1046"/>
  <c r="H10" i="1046"/>
  <c r="H11" i="1046"/>
  <c r="H16" i="1046"/>
  <c r="H14" i="1046"/>
  <c r="H13" i="1046"/>
  <c r="H15" i="1046"/>
  <c r="H18" i="1046"/>
  <c r="H20" i="1046"/>
  <c r="H19" i="1046"/>
  <c r="H22" i="1046"/>
  <c r="H23" i="1046"/>
  <c r="H21" i="1046"/>
  <c r="H24" i="1046"/>
  <c r="H25" i="1046"/>
  <c r="H27" i="1046"/>
  <c r="H26" i="1046"/>
  <c r="H28" i="1046"/>
  <c r="H30" i="1046"/>
  <c r="H29" i="1046"/>
  <c r="H31" i="1046"/>
  <c r="H33" i="1046"/>
  <c r="H34" i="1046"/>
  <c r="H35" i="1046"/>
  <c r="H32" i="1046"/>
  <c r="H37" i="1046"/>
  <c r="H36" i="1046"/>
  <c r="H35" i="1045"/>
  <c r="H34" i="1045"/>
  <c r="G37" i="1045"/>
  <c r="H37" i="1045" s="1"/>
  <c r="G38" i="1045"/>
  <c r="H38" i="1045" s="1"/>
  <c r="H8" i="1045"/>
  <c r="H13" i="1045"/>
  <c r="H11" i="1045"/>
  <c r="H12" i="1045"/>
  <c r="H14" i="1045"/>
  <c r="H15" i="1045"/>
  <c r="H17" i="1045"/>
  <c r="H16" i="1045"/>
  <c r="H18" i="1045"/>
  <c r="H19" i="1045"/>
  <c r="H21" i="1045"/>
  <c r="H20" i="1045"/>
  <c r="H22" i="1045"/>
  <c r="H25" i="1045"/>
  <c r="H23" i="1045"/>
  <c r="H24" i="1045"/>
  <c r="H26" i="1045"/>
  <c r="H28" i="1045"/>
  <c r="H27" i="1045"/>
  <c r="H29" i="1045"/>
  <c r="H30" i="1045"/>
  <c r="H31" i="1045"/>
  <c r="H32" i="1045"/>
  <c r="G9" i="4"/>
  <c r="G18" i="4"/>
  <c r="G5" i="4"/>
  <c r="H10" i="1045" l="1"/>
  <c r="A23" i="150"/>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AN10" i="50"/>
  <c r="AF10" i="50"/>
  <c r="R6" i="50"/>
  <c r="O8" i="50"/>
  <c r="BC7" i="50"/>
  <c r="AN6" i="50"/>
  <c r="BA11" i="50"/>
  <c r="AG7" i="50"/>
  <c r="AS8" i="50"/>
  <c r="Z10" i="50"/>
  <c r="AS11" i="50"/>
  <c r="AA10" i="50"/>
  <c r="AZ10" i="50"/>
  <c r="X8" i="50"/>
  <c r="AP11" i="50"/>
  <c r="AM11" i="50"/>
  <c r="AK9" i="50"/>
  <c r="M9" i="50"/>
  <c r="S10" i="50"/>
  <c r="P8" i="50"/>
  <c r="S8" i="50"/>
  <c r="AS9" i="50"/>
  <c r="M8" i="50"/>
  <c r="BC8" i="50"/>
  <c r="L10" i="50"/>
  <c r="BC11" i="50"/>
  <c r="R8" i="50"/>
  <c r="AH6" i="50"/>
  <c r="Y8" i="50"/>
  <c r="AO9" i="50"/>
  <c r="V8" i="50"/>
  <c r="AH7" i="50"/>
  <c r="Z11" i="50"/>
  <c r="AS7" i="50"/>
  <c r="Y9" i="50"/>
  <c r="AT7" i="50"/>
  <c r="AU8" i="50"/>
  <c r="AH11" i="50"/>
  <c r="AZ6" i="50"/>
  <c r="AY8" i="50"/>
  <c r="Q8" i="50"/>
  <c r="X7" i="50"/>
  <c r="AK8" i="50"/>
  <c r="AZ9" i="50"/>
  <c r="Q10" i="50"/>
  <c r="O6" i="50"/>
  <c r="AF9" i="50"/>
  <c r="U9" i="50"/>
  <c r="T8" i="50"/>
  <c r="L8" i="50"/>
  <c r="AG9" i="50"/>
  <c r="Y11" i="50"/>
  <c r="AB9" i="50"/>
  <c r="AJ6" i="50"/>
  <c r="AA8" i="50"/>
  <c r="AB6" i="50"/>
  <c r="S11" i="50"/>
  <c r="Q9" i="50"/>
  <c r="AQ9" i="50"/>
  <c r="BB11" i="50"/>
  <c r="AL10" i="50"/>
  <c r="AT6" i="50"/>
  <c r="AW6" i="50"/>
  <c r="AS6" i="50"/>
  <c r="AQ11" i="50"/>
  <c r="AJ7" i="50"/>
  <c r="T10" i="50"/>
  <c r="AP8" i="50"/>
  <c r="AD11" i="50"/>
  <c r="P10" i="50"/>
  <c r="AM9" i="50"/>
  <c r="AL8" i="50"/>
  <c r="AE11" i="50"/>
  <c r="AI11" i="50"/>
  <c r="AG8" i="50"/>
  <c r="Z9" i="50"/>
  <c r="X11" i="50"/>
  <c r="AR8" i="50"/>
  <c r="BB6" i="50"/>
  <c r="V11" i="50"/>
  <c r="BC10" i="50"/>
  <c r="AA6" i="50"/>
  <c r="AP9" i="50"/>
  <c r="AM6" i="50"/>
  <c r="AW9" i="50"/>
  <c r="AO11" i="50"/>
  <c r="P6" i="50"/>
  <c r="AZ7" i="50"/>
  <c r="AY6" i="50"/>
  <c r="Y7" i="50"/>
  <c r="BB8" i="50"/>
  <c r="AW7" i="50"/>
  <c r="AM10" i="50"/>
  <c r="AB7" i="50"/>
  <c r="Y10" i="50"/>
  <c r="Z7" i="50"/>
  <c r="AD9" i="50"/>
  <c r="P9" i="50"/>
  <c r="O11" i="50"/>
  <c r="AL6" i="50"/>
  <c r="AI8" i="50"/>
  <c r="BA9" i="50"/>
  <c r="AE10" i="50"/>
  <c r="N10" i="50"/>
  <c r="AU9" i="50"/>
  <c r="L7" i="50"/>
  <c r="AO7" i="50"/>
  <c r="AF8" i="50"/>
  <c r="AQ10" i="50"/>
  <c r="AD10" i="50"/>
  <c r="T6" i="50"/>
  <c r="AN7" i="50"/>
  <c r="AA9" i="50"/>
  <c r="X6" i="50"/>
  <c r="AI10" i="50"/>
  <c r="N9" i="50"/>
  <c r="AE7" i="50"/>
  <c r="AV9" i="50"/>
  <c r="AP10" i="50"/>
  <c r="AF11" i="50"/>
  <c r="L11" i="50"/>
  <c r="AW10" i="50"/>
  <c r="AP7" i="50"/>
  <c r="BB9" i="50"/>
  <c r="AG11" i="50"/>
  <c r="Q7" i="50"/>
  <c r="BC9" i="50"/>
  <c r="AB11" i="50"/>
  <c r="AR7" i="50"/>
  <c r="AX11" i="50"/>
  <c r="AY10" i="50"/>
  <c r="AK10" i="50"/>
  <c r="AT11" i="50"/>
  <c r="AX8" i="50"/>
  <c r="AC9" i="50"/>
  <c r="AQ6" i="50"/>
  <c r="BB7" i="50"/>
  <c r="BA7" i="50"/>
  <c r="O7" i="50"/>
  <c r="U11" i="50"/>
  <c r="AL7" i="50"/>
  <c r="U7" i="50"/>
  <c r="BA10" i="50"/>
  <c r="AC8" i="50"/>
  <c r="AG6" i="50"/>
  <c r="AR9" i="50"/>
  <c r="AR6" i="50"/>
  <c r="U8" i="50"/>
  <c r="AC10" i="50"/>
  <c r="W7" i="50"/>
  <c r="AV8" i="50"/>
  <c r="W6" i="50"/>
  <c r="AC7" i="50"/>
  <c r="Q6" i="50"/>
  <c r="AD6" i="50"/>
  <c r="P11" i="50"/>
  <c r="AY9" i="50"/>
  <c r="AJ8" i="50"/>
  <c r="AX7" i="50"/>
  <c r="Z8" i="50"/>
  <c r="O10" i="50"/>
  <c r="W8" i="50"/>
  <c r="AX6" i="50"/>
  <c r="AZ8" i="50"/>
  <c r="N6" i="50"/>
  <c r="T11" i="50"/>
  <c r="AF6" i="50"/>
  <c r="AA11" i="50"/>
  <c r="Y6" i="50"/>
  <c r="AD8" i="50"/>
  <c r="M10" i="50"/>
  <c r="AE9" i="50"/>
  <c r="AY7" i="50"/>
  <c r="R10" i="50"/>
  <c r="V7" i="50"/>
  <c r="AT8" i="50"/>
  <c r="AV10" i="50"/>
  <c r="AB10" i="50"/>
  <c r="AO10" i="50"/>
  <c r="AJ9" i="50"/>
  <c r="AB8" i="50"/>
  <c r="X9" i="50"/>
  <c r="AI9" i="50"/>
  <c r="U10" i="50"/>
  <c r="AO6" i="50"/>
  <c r="AW8" i="50"/>
  <c r="L6" i="50"/>
  <c r="S6" i="50"/>
  <c r="AH10" i="50"/>
  <c r="AK6" i="50"/>
  <c r="AK11" i="50"/>
  <c r="AU6" i="50"/>
  <c r="AA7" i="50"/>
  <c r="AR11" i="50"/>
  <c r="AS10" i="50"/>
  <c r="AV6" i="50"/>
  <c r="AG10" i="50"/>
  <c r="AE8" i="50"/>
  <c r="AK7" i="50"/>
  <c r="M7" i="50"/>
  <c r="BC6" i="50"/>
  <c r="U6" i="50"/>
  <c r="L9" i="50"/>
  <c r="AL9" i="50"/>
  <c r="AR10" i="50"/>
  <c r="W9" i="50"/>
  <c r="AJ11" i="50"/>
  <c r="AW11" i="50"/>
  <c r="AU11" i="50"/>
  <c r="W11" i="50"/>
  <c r="AI6" i="50"/>
  <c r="AE6" i="50"/>
  <c r="AQ8" i="50"/>
  <c r="BA6" i="50"/>
  <c r="N11" i="50"/>
  <c r="BA8" i="50"/>
  <c r="S7" i="50"/>
  <c r="V10" i="50"/>
  <c r="AN8" i="50"/>
  <c r="N8" i="50"/>
  <c r="X10" i="50"/>
  <c r="O9" i="50"/>
  <c r="N7" i="50"/>
  <c r="V6" i="50"/>
  <c r="AY11" i="50"/>
  <c r="AM7" i="50"/>
  <c r="Q11" i="50"/>
  <c r="BB10" i="50"/>
  <c r="AN9" i="50"/>
  <c r="T9" i="50"/>
  <c r="R11" i="50"/>
  <c r="AF7" i="50"/>
  <c r="AV11" i="50"/>
  <c r="AQ7" i="50"/>
  <c r="M11" i="50"/>
  <c r="R9" i="50"/>
  <c r="AI7" i="50"/>
  <c r="AU7" i="50"/>
  <c r="AP6" i="50"/>
  <c r="AX9" i="50"/>
  <c r="AV7" i="50"/>
  <c r="V9" i="50"/>
  <c r="AX10" i="50"/>
  <c r="AT10" i="50"/>
  <c r="AJ10" i="50"/>
  <c r="W10" i="50"/>
  <c r="AH9" i="50"/>
  <c r="AH8" i="50"/>
  <c r="T7" i="50"/>
  <c r="AD7" i="50"/>
  <c r="AC11" i="50"/>
  <c r="AZ11" i="50"/>
  <c r="M6" i="50"/>
  <c r="R7" i="50"/>
  <c r="S9" i="50"/>
  <c r="AL11" i="50"/>
  <c r="AC6" i="50"/>
  <c r="Z6" i="50"/>
  <c r="AO8" i="50"/>
  <c r="P7" i="50"/>
  <c r="AN11" i="50"/>
  <c r="AT9" i="50"/>
  <c r="AM8" i="50"/>
  <c r="AU10" i="50"/>
  <c r="F7" i="50" l="1"/>
  <c r="S7" i="137" s="1"/>
  <c r="F6" i="50"/>
  <c r="F9" i="50"/>
  <c r="S9" i="137" s="1"/>
  <c r="F8" i="50"/>
  <c r="S8" i="137" s="1"/>
  <c r="F10" i="50"/>
  <c r="S10" i="137" s="1"/>
  <c r="D27" i="95"/>
  <c r="S6" i="137" l="1"/>
  <c r="H6" i="50"/>
  <c r="M7" i="120"/>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S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1" i="1" l="1"/>
  <c r="A11" i="1" s="1"/>
  <c r="N17" i="1"/>
  <c r="N19" i="1"/>
  <c r="N12" i="4"/>
  <c r="O15" i="1"/>
  <c r="A15" i="1" s="1"/>
  <c r="N23" i="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W4" i="150"/>
  <c r="AL4" i="150"/>
  <c r="V4" i="150"/>
  <c r="AO4" i="150"/>
  <c r="Y4" i="150"/>
  <c r="AJ4" i="150"/>
  <c r="T4" i="150"/>
  <c r="AI4" i="150"/>
  <c r="AH4" i="150"/>
  <c r="AK4" i="150"/>
  <c r="U4" i="150"/>
  <c r="AF4" i="150"/>
  <c r="AU4" i="150"/>
  <c r="AE4" i="150"/>
  <c r="AT4" i="150"/>
  <c r="AD4" i="150"/>
  <c r="AG4" i="150"/>
  <c r="AR4" i="150"/>
  <c r="AB4" i="150"/>
  <c r="AQ4" i="150"/>
  <c r="AA4" i="150"/>
  <c r="AP4" i="150"/>
  <c r="Z4" i="150"/>
  <c r="AG4" i="4"/>
  <c r="Y4" i="4"/>
  <c r="AN4" i="4"/>
  <c r="X4" i="4"/>
  <c r="AM4" i="4"/>
  <c r="W4" i="4"/>
  <c r="AL4" i="4"/>
  <c r="V4" i="4"/>
  <c r="AS4" i="4"/>
  <c r="AK4" i="4"/>
  <c r="AJ4" i="4"/>
  <c r="T4" i="4"/>
  <c r="AI4" i="4"/>
  <c r="AH4" i="4"/>
  <c r="AC4" i="4"/>
  <c r="U4" i="4"/>
  <c r="AF4" i="4"/>
  <c r="AU4" i="4"/>
  <c r="AE4" i="4"/>
  <c r="AT4" i="4"/>
  <c r="AD4" i="4"/>
  <c r="AO4" i="4"/>
  <c r="AR4" i="4"/>
  <c r="AB4" i="4"/>
  <c r="AQ4" i="4"/>
  <c r="AA4" i="4"/>
  <c r="AP4" i="4"/>
  <c r="Z4" i="4"/>
  <c r="AG4" i="1"/>
  <c r="Y4" i="1"/>
  <c r="AN4" i="1"/>
  <c r="X4" i="1"/>
  <c r="AM4" i="1"/>
  <c r="W4" i="1"/>
  <c r="AL4" i="1"/>
  <c r="V4" i="1"/>
  <c r="AS4" i="1"/>
  <c r="AK4" i="1"/>
  <c r="AJ4" i="1"/>
  <c r="T4" i="1"/>
  <c r="AI4" i="1"/>
  <c r="AH4" i="1"/>
  <c r="AC4" i="1"/>
  <c r="U4" i="1"/>
  <c r="AF4" i="1"/>
  <c r="AU4" i="1"/>
  <c r="AE4" i="1"/>
  <c r="AT4" i="1"/>
  <c r="AD4" i="1"/>
  <c r="AO4" i="1"/>
  <c r="AR4" i="1"/>
  <c r="AB4" i="1"/>
  <c r="AQ4" i="1"/>
  <c r="AA4" i="1"/>
  <c r="AP4" i="1"/>
  <c r="Z4" i="1"/>
  <c r="AK4" i="137"/>
  <c r="Y4" i="137"/>
  <c r="AJ4" i="137"/>
  <c r="T4" i="137"/>
  <c r="AE4" i="137"/>
  <c r="AT4" i="137"/>
  <c r="AD4" i="137"/>
  <c r="AU4" i="137"/>
  <c r="U4" i="137"/>
  <c r="AF4" i="137"/>
  <c r="AQ4" i="137"/>
  <c r="AA4" i="137"/>
  <c r="AP4" i="137"/>
  <c r="Z4" i="137"/>
  <c r="AO4" i="137"/>
  <c r="AG4" i="137"/>
  <c r="AR4" i="137"/>
  <c r="AB4" i="137"/>
  <c r="AM4" i="137"/>
  <c r="W4" i="137"/>
  <c r="AL4" i="137"/>
  <c r="V4" i="137"/>
  <c r="AS4" i="137"/>
  <c r="AC4" i="137"/>
  <c r="AN4" i="137"/>
  <c r="X4" i="137"/>
  <c r="AI4" i="137"/>
  <c r="AH4" i="137"/>
  <c r="AV4" i="137"/>
  <c r="AV4" i="4"/>
  <c r="AV4" i="150"/>
  <c r="AV4" i="1"/>
  <c r="R4" i="4" l="1"/>
  <c r="R4" i="150"/>
  <c r="R4" i="1"/>
  <c r="R4" i="137"/>
  <c r="R20" i="50"/>
  <c r="AG20" i="50"/>
  <c r="M26" i="50"/>
  <c r="AJ27" i="50"/>
  <c r="AI51" i="50"/>
  <c r="AS17" i="50"/>
  <c r="R21" i="50"/>
  <c r="AR44" i="50"/>
  <c r="N15" i="50"/>
  <c r="BB4" i="50"/>
  <c r="S45" i="50"/>
  <c r="AM51" i="50"/>
  <c r="AX39" i="50"/>
  <c r="AA42" i="50"/>
  <c r="AY24" i="50"/>
  <c r="O31" i="50"/>
  <c r="AR27" i="50"/>
  <c r="W42" i="50"/>
  <c r="AI15" i="50"/>
  <c r="AT40" i="50"/>
  <c r="AR33" i="50"/>
  <c r="AX26" i="50"/>
  <c r="Y43" i="50"/>
  <c r="V50" i="50"/>
  <c r="AK49" i="50"/>
  <c r="AD20" i="50"/>
  <c r="N19" i="50"/>
  <c r="R32" i="50"/>
  <c r="AT18" i="50"/>
  <c r="Y25" i="50"/>
  <c r="O46" i="50"/>
  <c r="AG49" i="50"/>
  <c r="AS28" i="50"/>
  <c r="AU28" i="50"/>
  <c r="AM31" i="50"/>
  <c r="AM19" i="50"/>
  <c r="AO32" i="50"/>
  <c r="O23" i="50"/>
  <c r="U42" i="50"/>
  <c r="AY30" i="50"/>
  <c r="AC38" i="50"/>
  <c r="AE52" i="50"/>
  <c r="AF42" i="50"/>
  <c r="AQ42" i="50"/>
  <c r="BA32" i="50"/>
  <c r="AB15" i="50"/>
  <c r="AN13" i="50"/>
  <c r="Y50" i="50"/>
  <c r="P31" i="50"/>
  <c r="AU12" i="50"/>
  <c r="Z28" i="50"/>
  <c r="AC28" i="50"/>
  <c r="AB19" i="50"/>
  <c r="AB14" i="50"/>
  <c r="AT35" i="50"/>
  <c r="AQ40" i="50"/>
  <c r="S16" i="50"/>
  <c r="AJ51" i="50"/>
  <c r="AX27" i="50"/>
  <c r="L29" i="50"/>
  <c r="S42" i="50"/>
  <c r="AI26" i="50"/>
  <c r="O22" i="50"/>
  <c r="V17" i="50"/>
  <c r="AZ17" i="50"/>
  <c r="N36" i="50"/>
  <c r="R24" i="50"/>
  <c r="AW27" i="50"/>
  <c r="O30" i="50"/>
  <c r="AW29" i="50"/>
  <c r="Y38" i="50"/>
  <c r="AD41" i="50"/>
  <c r="AO39" i="50"/>
  <c r="O51" i="50"/>
  <c r="W24" i="50"/>
  <c r="AH32" i="50"/>
  <c r="AF50" i="50"/>
  <c r="AZ21" i="50"/>
  <c r="AK42" i="50"/>
  <c r="AE31" i="50"/>
  <c r="O45" i="50"/>
  <c r="P37" i="50"/>
  <c r="AH40" i="50"/>
  <c r="X44" i="50"/>
  <c r="AP5" i="50"/>
  <c r="AF23" i="50"/>
  <c r="AZ25" i="50"/>
  <c r="AD31" i="50"/>
  <c r="AK48" i="50"/>
  <c r="T50" i="50"/>
  <c r="Z23" i="50"/>
  <c r="AB5" i="50"/>
  <c r="AQ51" i="50"/>
  <c r="T16" i="50"/>
  <c r="AK43" i="50"/>
  <c r="AO47" i="50"/>
  <c r="AN30" i="50"/>
  <c r="AO26" i="50"/>
  <c r="AP44" i="50"/>
  <c r="AT50" i="50"/>
  <c r="BC26" i="50"/>
  <c r="AK40" i="50"/>
  <c r="AG28" i="50"/>
  <c r="R43" i="50"/>
  <c r="AA13" i="50"/>
  <c r="AY29" i="50"/>
  <c r="AK5" i="50"/>
  <c r="R35" i="50"/>
  <c r="AQ38" i="50"/>
  <c r="M23" i="50"/>
  <c r="AI46" i="50"/>
  <c r="AP45" i="50"/>
  <c r="AG33" i="50"/>
  <c r="P51" i="50"/>
  <c r="L52" i="50"/>
  <c r="AX16" i="50"/>
  <c r="R17" i="50"/>
  <c r="AB18" i="50"/>
  <c r="BB39" i="50"/>
  <c r="AD48" i="50"/>
  <c r="AX42" i="50"/>
  <c r="S24" i="50"/>
  <c r="BC23" i="50"/>
  <c r="AG37" i="50"/>
  <c r="AC49" i="50"/>
  <c r="AN25" i="50"/>
  <c r="AF18" i="50"/>
  <c r="AD39" i="50"/>
  <c r="AX21" i="50"/>
  <c r="AJ4" i="50"/>
  <c r="AU52" i="50"/>
  <c r="U15" i="50"/>
  <c r="N16" i="50"/>
  <c r="Z21" i="50"/>
  <c r="T17" i="50"/>
  <c r="AC45" i="50"/>
  <c r="AA45" i="50"/>
  <c r="AW40" i="50"/>
  <c r="T37" i="50"/>
  <c r="W48" i="50"/>
  <c r="Z16" i="50"/>
  <c r="AI31" i="50"/>
  <c r="AE48" i="50"/>
  <c r="Y37" i="50"/>
  <c r="R51" i="50"/>
  <c r="V25" i="50"/>
  <c r="AS34" i="50"/>
  <c r="R19" i="50"/>
  <c r="AX48" i="50"/>
  <c r="W39" i="50"/>
  <c r="AU50" i="50"/>
  <c r="L12" i="50"/>
  <c r="AH4" i="50"/>
  <c r="P38" i="50"/>
  <c r="BA34" i="50"/>
  <c r="AK4" i="50"/>
  <c r="AB12" i="50"/>
  <c r="R48" i="50"/>
  <c r="X47" i="50"/>
  <c r="AL52" i="50"/>
  <c r="BC30" i="50"/>
  <c r="AS22" i="50"/>
  <c r="AG52" i="50"/>
  <c r="W32" i="50"/>
  <c r="AU34" i="50"/>
  <c r="AE47" i="50"/>
  <c r="AS49" i="50"/>
  <c r="AF14" i="50"/>
  <c r="T28" i="50"/>
  <c r="AP27" i="50"/>
  <c r="AB47" i="50"/>
  <c r="AD22" i="50"/>
  <c r="AM41" i="50"/>
  <c r="AY40" i="50"/>
  <c r="AX12" i="50"/>
  <c r="AF17" i="50"/>
  <c r="U29" i="50"/>
  <c r="AM46" i="50"/>
  <c r="AJ32" i="50"/>
  <c r="BC51" i="50"/>
  <c r="BA51" i="50"/>
  <c r="AE36" i="50"/>
  <c r="N40" i="50"/>
  <c r="AH16" i="50"/>
  <c r="BA25" i="50"/>
  <c r="AU41" i="50"/>
  <c r="U4" i="50"/>
  <c r="BC47" i="50"/>
  <c r="AG41" i="50"/>
  <c r="AV42" i="50"/>
  <c r="U38" i="50"/>
  <c r="BB23" i="50"/>
  <c r="AT51" i="50"/>
  <c r="O4" i="50"/>
  <c r="AV51" i="50"/>
  <c r="AB25" i="50"/>
  <c r="M31" i="50"/>
  <c r="AW51" i="50"/>
  <c r="M42" i="50"/>
  <c r="AF30" i="50"/>
  <c r="AV37" i="50"/>
  <c r="P27" i="50"/>
  <c r="AK19" i="50"/>
  <c r="Z34" i="50"/>
  <c r="AF13" i="50"/>
  <c r="AO19" i="50"/>
  <c r="AR36" i="50"/>
  <c r="Q5" i="50"/>
  <c r="AO43" i="50"/>
  <c r="BA17" i="50"/>
  <c r="X37" i="50"/>
  <c r="AM24" i="50"/>
  <c r="AL46" i="50"/>
  <c r="AM23" i="50"/>
  <c r="AJ48" i="50"/>
  <c r="AG47" i="50"/>
  <c r="AT30" i="50"/>
  <c r="AK37" i="50"/>
  <c r="AU33" i="50"/>
  <c r="AB30" i="50"/>
  <c r="AT14" i="50"/>
  <c r="AX4" i="50"/>
  <c r="N50" i="50"/>
  <c r="Z18" i="50"/>
  <c r="Y14" i="50"/>
  <c r="Q20" i="50"/>
  <c r="O20" i="50"/>
  <c r="AX33" i="50"/>
  <c r="W50" i="50"/>
  <c r="AI34" i="50"/>
  <c r="AO40" i="50"/>
  <c r="AQ25" i="50"/>
  <c r="AK31" i="50"/>
  <c r="Y22" i="50"/>
  <c r="AB44" i="50"/>
  <c r="AL50" i="50"/>
  <c r="T49" i="50"/>
  <c r="AM14" i="50"/>
  <c r="AD16" i="50"/>
  <c r="AA5" i="50"/>
  <c r="AA4" i="50"/>
  <c r="Q42" i="50"/>
  <c r="R39" i="50"/>
  <c r="Y21" i="50"/>
  <c r="AS52" i="50"/>
  <c r="AL19" i="50"/>
  <c r="P45" i="50"/>
  <c r="AC36" i="50"/>
  <c r="AQ43" i="50"/>
  <c r="W17" i="50"/>
  <c r="AQ13" i="50"/>
  <c r="AO5" i="50"/>
  <c r="U51" i="50"/>
  <c r="AV26" i="50"/>
  <c r="AL4" i="50"/>
  <c r="BB49" i="50"/>
  <c r="AF36" i="50"/>
  <c r="AU45" i="50"/>
  <c r="AE12" i="50"/>
  <c r="AU17" i="50"/>
  <c r="AA35" i="50"/>
  <c r="AB22" i="50"/>
  <c r="AN26" i="50"/>
  <c r="T45" i="50"/>
  <c r="W4" i="50"/>
  <c r="BA44" i="50"/>
  <c r="AV52" i="50"/>
  <c r="Z49" i="50"/>
  <c r="S34" i="50"/>
  <c r="S52" i="50"/>
  <c r="AP46" i="50"/>
  <c r="Q46" i="50"/>
  <c r="L23" i="50"/>
  <c r="AF28" i="50"/>
  <c r="AZ49" i="50"/>
  <c r="AB23" i="50"/>
  <c r="AQ24" i="50"/>
  <c r="Q15" i="50"/>
  <c r="N12" i="50"/>
  <c r="AE39" i="50"/>
  <c r="AF31" i="50"/>
  <c r="N24" i="50"/>
  <c r="Q50" i="50"/>
  <c r="AD52" i="50"/>
  <c r="Y46" i="50"/>
  <c r="AB43" i="50"/>
  <c r="AI16" i="50"/>
  <c r="AD18" i="50"/>
  <c r="AD47" i="50"/>
  <c r="X29" i="50"/>
  <c r="AM40" i="50"/>
  <c r="O32" i="50"/>
  <c r="V4" i="50"/>
  <c r="AM48" i="50"/>
  <c r="AG50" i="50"/>
  <c r="AX19" i="50"/>
  <c r="AY19" i="50"/>
  <c r="Q32" i="50"/>
  <c r="AR15" i="50"/>
  <c r="AX38" i="50"/>
  <c r="T31" i="50"/>
  <c r="AQ4" i="50"/>
  <c r="P47" i="50"/>
  <c r="AB50" i="50"/>
  <c r="AK15" i="50"/>
  <c r="AU47" i="50"/>
  <c r="Z29" i="50"/>
  <c r="AZ24" i="50"/>
  <c r="O14" i="50"/>
  <c r="AH33" i="50"/>
  <c r="L47" i="50"/>
  <c r="N21" i="50"/>
  <c r="AB48" i="50"/>
  <c r="AU19" i="50"/>
  <c r="AT25" i="50"/>
  <c r="V13" i="50"/>
  <c r="AL30" i="50"/>
  <c r="Z35" i="50"/>
  <c r="AP12" i="50"/>
  <c r="Q18" i="50"/>
  <c r="AX35" i="50"/>
  <c r="Q27" i="50"/>
  <c r="AY16" i="50"/>
  <c r="AO45" i="50"/>
  <c r="R37" i="50"/>
  <c r="AK14" i="50"/>
  <c r="AP37" i="50"/>
  <c r="BC41" i="50"/>
  <c r="AR23" i="50"/>
  <c r="AD25" i="50"/>
  <c r="Y48" i="50"/>
  <c r="AM17" i="50"/>
  <c r="R49" i="50"/>
  <c r="AX44" i="50"/>
  <c r="AR14" i="50"/>
  <c r="AA17" i="50"/>
  <c r="T44" i="50"/>
  <c r="U23" i="50"/>
  <c r="AD21" i="50"/>
  <c r="AQ45" i="50"/>
  <c r="S22" i="50"/>
  <c r="T13" i="50"/>
  <c r="AU30" i="50"/>
  <c r="AM52" i="50"/>
  <c r="BA20" i="50"/>
  <c r="Q12" i="50"/>
  <c r="BB36" i="50"/>
  <c r="AT21" i="50"/>
  <c r="BB32" i="50"/>
  <c r="Y39" i="50"/>
  <c r="BA46" i="50"/>
  <c r="AC46" i="50"/>
  <c r="O41" i="50"/>
  <c r="AV41" i="50"/>
  <c r="AZ44" i="50"/>
  <c r="Q33" i="50"/>
  <c r="X32" i="50"/>
  <c r="BA29" i="50"/>
  <c r="X49" i="50"/>
  <c r="AZ18" i="50"/>
  <c r="AM12" i="50"/>
  <c r="AZ33" i="50"/>
  <c r="O35" i="50"/>
  <c r="AC40" i="50"/>
  <c r="BC34" i="50"/>
  <c r="AP25" i="50"/>
  <c r="AD5" i="50"/>
  <c r="V36" i="50"/>
  <c r="Y28" i="50"/>
  <c r="AG48" i="50"/>
  <c r="BB16" i="50"/>
  <c r="AY31" i="50"/>
  <c r="AJ33" i="50"/>
  <c r="AF43" i="50"/>
  <c r="T23" i="50"/>
  <c r="AE28" i="50"/>
  <c r="AV48" i="50"/>
  <c r="V41" i="50"/>
  <c r="AR34" i="50"/>
  <c r="M25" i="50"/>
  <c r="AX30" i="50"/>
  <c r="V23" i="50"/>
  <c r="V12" i="50"/>
  <c r="AG40" i="50"/>
  <c r="AQ23" i="50"/>
  <c r="AW12" i="50"/>
  <c r="W51" i="50"/>
  <c r="AK44" i="50"/>
  <c r="M12" i="50"/>
  <c r="AW22" i="50"/>
  <c r="AE40" i="50"/>
  <c r="AR49" i="50"/>
  <c r="AD38" i="50"/>
  <c r="AF40" i="50"/>
  <c r="AB46" i="50"/>
  <c r="S17" i="50"/>
  <c r="V40" i="50"/>
  <c r="AW30" i="50"/>
  <c r="U14" i="50"/>
  <c r="X33" i="50"/>
  <c r="T21" i="50"/>
  <c r="AR40" i="50"/>
  <c r="X35" i="50"/>
  <c r="AR5" i="50"/>
  <c r="Y27" i="50"/>
  <c r="AA26" i="50"/>
  <c r="AP31" i="50"/>
  <c r="AE33" i="50"/>
  <c r="Y12" i="50"/>
  <c r="AO38" i="50"/>
  <c r="AR46" i="50"/>
  <c r="AH35" i="50"/>
  <c r="AL39" i="50"/>
  <c r="AT12" i="50"/>
  <c r="AK27" i="50"/>
  <c r="AW46" i="50"/>
  <c r="AK36" i="50"/>
  <c r="V48" i="50"/>
  <c r="X52" i="50"/>
  <c r="BB21" i="50"/>
  <c r="AF4" i="50"/>
  <c r="AF46" i="50"/>
  <c r="M15" i="50"/>
  <c r="AQ30" i="50"/>
  <c r="AC25" i="50"/>
  <c r="U47" i="50"/>
  <c r="AD33" i="50"/>
  <c r="W46" i="50"/>
  <c r="T47" i="50"/>
  <c r="BB31" i="50"/>
  <c r="AR35" i="50"/>
  <c r="Y42" i="50"/>
  <c r="X15" i="50"/>
  <c r="W26" i="50"/>
  <c r="AD30" i="50"/>
  <c r="AR25" i="50"/>
  <c r="AQ19" i="50"/>
  <c r="Q47" i="50"/>
  <c r="U25" i="50"/>
  <c r="AM45" i="50"/>
  <c r="AK52" i="50"/>
  <c r="AJ12" i="50"/>
  <c r="V35" i="50"/>
  <c r="AJ17" i="50"/>
  <c r="P36" i="50"/>
  <c r="AS40" i="50"/>
  <c r="AG13" i="50"/>
  <c r="X41" i="50"/>
  <c r="AR24" i="50"/>
  <c r="X48" i="50"/>
  <c r="AZ14" i="50"/>
  <c r="AG30" i="50"/>
  <c r="BA50" i="50"/>
  <c r="AG18" i="50"/>
  <c r="AZ37" i="50"/>
  <c r="BC25" i="50"/>
  <c r="AA12" i="50"/>
  <c r="Q26" i="50"/>
  <c r="Z12" i="50"/>
  <c r="O5" i="50"/>
  <c r="O13" i="50"/>
  <c r="AY51" i="50"/>
  <c r="AG15" i="50"/>
  <c r="AZ22" i="50"/>
  <c r="AV20" i="50"/>
  <c r="AB40" i="50"/>
  <c r="AS4" i="50"/>
  <c r="BB38" i="50"/>
  <c r="AM43" i="50"/>
  <c r="AI38" i="50"/>
  <c r="AJ29" i="50"/>
  <c r="L49" i="50"/>
  <c r="AE45" i="50"/>
  <c r="AP13" i="50"/>
  <c r="R46" i="50"/>
  <c r="AT23" i="50"/>
  <c r="V49" i="50"/>
  <c r="AH34" i="50"/>
  <c r="AX36" i="50"/>
  <c r="Z32" i="50"/>
  <c r="W35" i="50"/>
  <c r="AN32" i="50"/>
  <c r="AL24" i="50"/>
  <c r="AU25" i="50"/>
  <c r="AE44" i="50"/>
  <c r="AV17" i="50"/>
  <c r="AD14" i="50"/>
  <c r="N27" i="50"/>
  <c r="S46" i="50"/>
  <c r="AW37" i="50"/>
  <c r="AH13" i="50"/>
  <c r="AB31" i="50"/>
  <c r="AO37" i="50"/>
  <c r="AT42" i="50"/>
  <c r="AI30" i="50"/>
  <c r="AB24" i="50"/>
  <c r="AU38" i="50"/>
  <c r="AS13" i="50"/>
  <c r="AG24" i="50"/>
  <c r="AX50" i="50"/>
  <c r="AO52" i="50"/>
  <c r="AZ50" i="50"/>
  <c r="AY42" i="50"/>
  <c r="L25" i="50"/>
  <c r="AC24" i="50"/>
  <c r="AO42" i="50"/>
  <c r="S40" i="50"/>
  <c r="X40" i="50"/>
  <c r="AK51" i="50"/>
  <c r="M52" i="50"/>
  <c r="AO30" i="50"/>
  <c r="AY14" i="50"/>
  <c r="AU37" i="50"/>
  <c r="AS35" i="50"/>
  <c r="AR20" i="50"/>
  <c r="AX20" i="50"/>
  <c r="AS23" i="50"/>
  <c r="BB17" i="50"/>
  <c r="V34" i="50"/>
  <c r="AN34" i="50"/>
  <c r="W14" i="50"/>
  <c r="AO28" i="50"/>
  <c r="AS31" i="50"/>
  <c r="AG25" i="50"/>
  <c r="Y45" i="50"/>
  <c r="AV38" i="50"/>
  <c r="AX23" i="50"/>
  <c r="AL23" i="50"/>
  <c r="AE22" i="50"/>
  <c r="U33" i="50"/>
  <c r="AI17" i="50"/>
  <c r="S29" i="50"/>
  <c r="AN46" i="50"/>
  <c r="AF29" i="50"/>
  <c r="Z44" i="50"/>
  <c r="AC15" i="50"/>
  <c r="AU39" i="50"/>
  <c r="Z25" i="50"/>
  <c r="AN31" i="50"/>
  <c r="AA31" i="50"/>
  <c r="AF52" i="50"/>
  <c r="AH50" i="50"/>
  <c r="AY46" i="50"/>
  <c r="P26" i="50"/>
  <c r="AH24" i="50"/>
  <c r="N33" i="50"/>
  <c r="T14" i="50"/>
  <c r="AQ52" i="50"/>
  <c r="S26" i="50"/>
  <c r="AQ17" i="50"/>
  <c r="AN15" i="50"/>
  <c r="S30" i="50"/>
  <c r="AY27" i="50"/>
  <c r="AF45" i="50"/>
  <c r="AS33" i="50"/>
  <c r="L35" i="50"/>
  <c r="M46" i="50"/>
  <c r="AR26" i="50"/>
  <c r="AQ32" i="50"/>
  <c r="R36" i="50"/>
  <c r="AK23" i="50"/>
  <c r="M5" i="50"/>
  <c r="AO35" i="50"/>
  <c r="AN28" i="50"/>
  <c r="AM44" i="50"/>
  <c r="AY13" i="50"/>
  <c r="AN5" i="50"/>
  <c r="AN21" i="50"/>
  <c r="AY35" i="50"/>
  <c r="AJ30" i="50"/>
  <c r="AV14" i="50"/>
  <c r="Z15" i="50"/>
  <c r="BC5" i="50"/>
  <c r="AU40" i="50"/>
  <c r="Q13" i="50"/>
  <c r="AM36" i="50"/>
  <c r="AV40" i="50"/>
  <c r="R42" i="50"/>
  <c r="T24" i="50"/>
  <c r="AX25" i="50"/>
  <c r="AV39" i="50"/>
  <c r="AW39" i="50"/>
  <c r="T29" i="50"/>
  <c r="AE50" i="50"/>
  <c r="AM39" i="50"/>
  <c r="AS24" i="50"/>
  <c r="AO20" i="50"/>
  <c r="AC22" i="50"/>
  <c r="M34" i="50"/>
  <c r="N26" i="50"/>
  <c r="U41" i="50"/>
  <c r="AT41" i="50"/>
  <c r="M43" i="50"/>
  <c r="AL51" i="50"/>
  <c r="AP21" i="50"/>
  <c r="AW20" i="50"/>
  <c r="AY21" i="50"/>
  <c r="BC16" i="50"/>
  <c r="AA40" i="50"/>
  <c r="AL20" i="50"/>
  <c r="BA21" i="50"/>
  <c r="AS25" i="50"/>
  <c r="BB42" i="50"/>
  <c r="AS20" i="50"/>
  <c r="S32" i="50"/>
  <c r="AO36" i="50"/>
  <c r="U45" i="50"/>
  <c r="AS32" i="50"/>
  <c r="AK18" i="50"/>
  <c r="AF38" i="50"/>
  <c r="AZ39" i="50"/>
  <c r="N35" i="50"/>
  <c r="AR45" i="50"/>
  <c r="Q39" i="50"/>
  <c r="N31" i="50"/>
  <c r="AI18" i="50"/>
  <c r="AY22" i="50"/>
  <c r="AV22" i="50"/>
  <c r="Y16" i="50"/>
  <c r="AE16" i="50"/>
  <c r="AJ13" i="50"/>
  <c r="AB20" i="50"/>
  <c r="BC50" i="50"/>
  <c r="Z45" i="50"/>
  <c r="AV19" i="50"/>
  <c r="AC42" i="50"/>
  <c r="AR29" i="50"/>
  <c r="T48" i="50"/>
  <c r="P35" i="50"/>
  <c r="AQ41" i="50"/>
  <c r="BC42" i="50"/>
  <c r="M47" i="50"/>
  <c r="AZ36" i="50"/>
  <c r="AX31" i="50"/>
  <c r="AE23" i="50"/>
  <c r="AW17" i="50"/>
  <c r="Z20" i="50"/>
  <c r="L5" i="50"/>
  <c r="N39" i="50"/>
  <c r="AU24" i="50"/>
  <c r="O48" i="50"/>
  <c r="T52" i="50"/>
  <c r="AV47" i="50"/>
  <c r="AZ29" i="50"/>
  <c r="P18" i="50"/>
  <c r="AN41" i="50"/>
  <c r="Q28" i="50"/>
  <c r="Z14" i="50"/>
  <c r="L26" i="50"/>
  <c r="AL40" i="50"/>
  <c r="AG12" i="50"/>
  <c r="Z52" i="50"/>
  <c r="AZ40" i="50"/>
  <c r="AW41" i="50"/>
  <c r="AN39" i="50"/>
  <c r="U43" i="50"/>
  <c r="AS37" i="50"/>
  <c r="N20" i="50"/>
  <c r="AY12" i="50"/>
  <c r="BC52" i="50"/>
  <c r="V44" i="50"/>
  <c r="AH49" i="50"/>
  <c r="AN45" i="50"/>
  <c r="P46" i="50"/>
  <c r="O33" i="50"/>
  <c r="AI12" i="50"/>
  <c r="AH42" i="50"/>
  <c r="AY38" i="50"/>
  <c r="AA30" i="50"/>
  <c r="M35" i="50"/>
  <c r="AL31" i="50"/>
  <c r="AO34" i="50"/>
  <c r="W19" i="50"/>
  <c r="AE18" i="50"/>
  <c r="N44" i="50"/>
  <c r="N38" i="50"/>
  <c r="AX47" i="50"/>
  <c r="Q16" i="50"/>
  <c r="AM37" i="50"/>
  <c r="S44" i="50"/>
  <c r="AD15" i="50"/>
  <c r="AH12" i="50"/>
  <c r="AV27" i="50"/>
  <c r="N13" i="50"/>
  <c r="L31" i="50"/>
  <c r="AO48" i="50"/>
  <c r="V38" i="50"/>
  <c r="AA24" i="50"/>
  <c r="AM13" i="50"/>
  <c r="W40" i="50"/>
  <c r="AF37" i="50"/>
  <c r="BC29" i="50"/>
  <c r="X25" i="50"/>
  <c r="N37" i="50"/>
  <c r="Q36" i="50"/>
  <c r="BB41" i="50"/>
  <c r="M32" i="50"/>
  <c r="U31" i="50"/>
  <c r="BA49" i="50"/>
  <c r="AQ31" i="50"/>
  <c r="AN40" i="50"/>
  <c r="AD23" i="50"/>
  <c r="W31" i="50"/>
  <c r="AT20" i="50"/>
  <c r="Y40" i="50"/>
  <c r="AO49" i="50"/>
  <c r="S50" i="50"/>
  <c r="AS38" i="50"/>
  <c r="AH31" i="50"/>
  <c r="T32" i="50"/>
  <c r="AZ16" i="50"/>
  <c r="AJ43" i="50"/>
  <c r="AR42" i="50"/>
  <c r="W23" i="50"/>
  <c r="BB24" i="50"/>
  <c r="X42" i="50"/>
  <c r="U49" i="50"/>
  <c r="AZ38" i="50"/>
  <c r="AL29" i="50"/>
  <c r="T19" i="50"/>
  <c r="O29" i="50"/>
  <c r="AX51" i="50"/>
  <c r="AV12" i="50"/>
  <c r="AN42" i="50"/>
  <c r="R22" i="50"/>
  <c r="AJ38" i="50"/>
  <c r="AW34" i="50"/>
  <c r="AV34" i="50"/>
  <c r="L46" i="50"/>
  <c r="AD36" i="50"/>
  <c r="AA38" i="50"/>
  <c r="AP43" i="50"/>
  <c r="S4" i="50"/>
  <c r="M22" i="50"/>
  <c r="V5" i="50"/>
  <c r="AT16" i="50"/>
  <c r="AO18" i="50"/>
  <c r="AE20" i="50"/>
  <c r="L28" i="50"/>
  <c r="T18" i="50"/>
  <c r="AO44" i="50"/>
  <c r="AD19" i="50"/>
  <c r="AQ29" i="50"/>
  <c r="AX32" i="50"/>
  <c r="AJ45" i="50"/>
  <c r="AM32" i="50"/>
  <c r="AR43" i="50"/>
  <c r="AD26" i="50"/>
  <c r="AJ22" i="50"/>
  <c r="O44" i="50"/>
  <c r="U17" i="50"/>
  <c r="BB34" i="50"/>
  <c r="Z37" i="50"/>
  <c r="M50" i="50"/>
  <c r="AG23" i="50"/>
  <c r="S5" i="50"/>
  <c r="AC35" i="50"/>
  <c r="AJ24" i="50"/>
  <c r="O17" i="50"/>
  <c r="AU48" i="50"/>
  <c r="Z17" i="50"/>
  <c r="AS29" i="50"/>
  <c r="AL41" i="50"/>
  <c r="AU27" i="50"/>
  <c r="U30" i="50"/>
  <c r="AI47" i="50"/>
  <c r="N42" i="50"/>
  <c r="Q49" i="50"/>
  <c r="X20" i="50"/>
  <c r="Q25" i="50"/>
  <c r="AY49" i="50"/>
  <c r="AF32" i="50"/>
  <c r="AC19" i="50"/>
  <c r="BC40" i="50"/>
  <c r="AM30" i="50"/>
  <c r="AG36" i="50"/>
  <c r="AH28" i="50"/>
  <c r="AZ13" i="50"/>
  <c r="AK20" i="50"/>
  <c r="AB39" i="50"/>
  <c r="AK24" i="50"/>
  <c r="P19" i="50"/>
  <c r="AI13" i="50"/>
  <c r="AW42" i="50"/>
  <c r="AZ35" i="50"/>
  <c r="AA27" i="50"/>
  <c r="AV18" i="50"/>
  <c r="BB35" i="50"/>
  <c r="AZ46" i="50"/>
  <c r="AX43" i="50"/>
  <c r="Q44" i="50"/>
  <c r="AJ20" i="50"/>
  <c r="AT39" i="50"/>
  <c r="AO4" i="50"/>
  <c r="AF39" i="50"/>
  <c r="Z40" i="50"/>
  <c r="AP16" i="50"/>
  <c r="AM47" i="50"/>
  <c r="R41" i="50"/>
  <c r="AA20" i="50"/>
  <c r="AV32" i="50"/>
  <c r="BC4" i="50"/>
  <c r="AH20" i="50"/>
  <c r="AN16" i="50"/>
  <c r="V22" i="50"/>
  <c r="AQ36" i="50"/>
  <c r="AC41" i="50"/>
  <c r="AY18" i="50"/>
  <c r="AC39" i="50"/>
  <c r="AP36" i="50"/>
  <c r="AM28" i="50"/>
  <c r="AH21" i="50"/>
  <c r="AL43" i="50"/>
  <c r="AD12" i="50"/>
  <c r="BC15" i="50"/>
  <c r="AW36" i="50"/>
  <c r="AJ47" i="50"/>
  <c r="S33" i="50"/>
  <c r="AW45" i="50"/>
  <c r="X24" i="50"/>
  <c r="AF35" i="50"/>
  <c r="AH29" i="50"/>
  <c r="S28" i="50"/>
  <c r="W13" i="50"/>
  <c r="AT38" i="50"/>
  <c r="M36" i="50"/>
  <c r="AL27" i="50"/>
  <c r="P4" i="50"/>
  <c r="AK33" i="50"/>
  <c r="AU20" i="50"/>
  <c r="AF27" i="50"/>
  <c r="M51" i="50"/>
  <c r="X14" i="50"/>
  <c r="AV49" i="50"/>
  <c r="Y24" i="50"/>
  <c r="AB45" i="50"/>
  <c r="AS47" i="50"/>
  <c r="V28" i="50"/>
  <c r="L39" i="50"/>
  <c r="AS42" i="50"/>
  <c r="AC17" i="50"/>
  <c r="AO23" i="50"/>
  <c r="M45" i="50"/>
  <c r="N49" i="50"/>
  <c r="AO13" i="50"/>
  <c r="X18" i="50"/>
  <c r="AM34" i="50"/>
  <c r="N28" i="50"/>
  <c r="AK46" i="50"/>
  <c r="L42" i="50"/>
  <c r="AX46" i="50"/>
  <c r="N30" i="50"/>
  <c r="AG19" i="50"/>
  <c r="BB51" i="50"/>
  <c r="AX52" i="50"/>
  <c r="Y31" i="50"/>
  <c r="AX5" i="50"/>
  <c r="AH44" i="50"/>
  <c r="AQ26" i="50"/>
  <c r="AS21" i="50"/>
  <c r="S31" i="50"/>
  <c r="AU32" i="50"/>
  <c r="V15" i="50"/>
  <c r="AH36" i="50"/>
  <c r="AZ27" i="50"/>
  <c r="R15" i="50"/>
  <c r="AI33" i="50"/>
  <c r="AX17" i="50"/>
  <c r="Z43" i="50"/>
  <c r="AL17" i="50"/>
  <c r="S20" i="50"/>
  <c r="AX14" i="50"/>
  <c r="AX29" i="50"/>
  <c r="AN51" i="50"/>
  <c r="AH18" i="50"/>
  <c r="AN50" i="50"/>
  <c r="AK35" i="50"/>
  <c r="BA31" i="50"/>
  <c r="Z41" i="50"/>
  <c r="AY39" i="50"/>
  <c r="AT27" i="50"/>
  <c r="AT5" i="50"/>
  <c r="O27" i="50"/>
  <c r="AG34" i="50"/>
  <c r="AS15" i="50"/>
  <c r="AU31" i="50"/>
  <c r="R31" i="50"/>
  <c r="X28" i="50"/>
  <c r="V39" i="50"/>
  <c r="AZ26" i="50"/>
  <c r="X30" i="50"/>
  <c r="U5" i="50"/>
  <c r="AG32" i="50"/>
  <c r="T20" i="50"/>
  <c r="AP38" i="50"/>
  <c r="AG29" i="50"/>
  <c r="BA14" i="50"/>
  <c r="T4" i="50"/>
  <c r="Y29" i="50"/>
  <c r="BB27" i="50"/>
  <c r="AQ35" i="50"/>
  <c r="AF34" i="50"/>
  <c r="BB12" i="50"/>
  <c r="AQ16" i="50"/>
  <c r="R38" i="50"/>
  <c r="AJ37" i="50"/>
  <c r="AO14" i="50"/>
  <c r="Z24" i="50"/>
  <c r="P28" i="50"/>
  <c r="AO17" i="50"/>
  <c r="AT34" i="50"/>
  <c r="U39" i="50"/>
  <c r="AE38" i="50"/>
  <c r="AZ34" i="50"/>
  <c r="BA39" i="50"/>
  <c r="M28" i="50"/>
  <c r="X5" i="50"/>
  <c r="T36" i="50"/>
  <c r="AW35" i="50"/>
  <c r="N51" i="50"/>
  <c r="AH30" i="50"/>
  <c r="Q17" i="50"/>
  <c r="AW47" i="50"/>
  <c r="BA43" i="50"/>
  <c r="AM26" i="50"/>
  <c r="AV28" i="50"/>
  <c r="BC14" i="50"/>
  <c r="AT36" i="50"/>
  <c r="Q48" i="50"/>
  <c r="V20" i="50"/>
  <c r="AZ4" i="50"/>
  <c r="BB22" i="50"/>
  <c r="AP15" i="50"/>
  <c r="AZ52" i="50"/>
  <c r="N17" i="50"/>
  <c r="AK22" i="50"/>
  <c r="X13" i="50"/>
  <c r="O15" i="50"/>
  <c r="AS27" i="50"/>
  <c r="AR13" i="50"/>
  <c r="AG44" i="50"/>
  <c r="AU42" i="50"/>
  <c r="X43" i="50"/>
  <c r="AZ45" i="50"/>
  <c r="N29" i="50"/>
  <c r="BB29" i="50"/>
  <c r="P39" i="50"/>
  <c r="W12" i="50"/>
  <c r="AD29" i="50"/>
  <c r="P48" i="50"/>
  <c r="AA21" i="50"/>
  <c r="U28" i="50"/>
  <c r="AI39" i="50"/>
  <c r="P41" i="50"/>
  <c r="L40" i="50"/>
  <c r="AJ52" i="50"/>
  <c r="Y49" i="50"/>
  <c r="AQ12" i="50"/>
  <c r="U18" i="50"/>
  <c r="AU22" i="50"/>
  <c r="AJ46" i="50"/>
  <c r="BC46" i="50"/>
  <c r="AA37" i="50"/>
  <c r="Z46" i="50"/>
  <c r="AY28" i="50"/>
  <c r="AT19" i="50"/>
  <c r="Y47" i="50"/>
  <c r="P32" i="50"/>
  <c r="AP34" i="50"/>
  <c r="W44" i="50"/>
  <c r="AA51" i="50"/>
  <c r="AG45" i="50"/>
  <c r="R25" i="50"/>
  <c r="AZ43" i="50"/>
  <c r="AE34" i="50"/>
  <c r="BA38" i="50"/>
  <c r="AA19" i="50"/>
  <c r="AA23" i="50"/>
  <c r="V45" i="50"/>
  <c r="AI45" i="50"/>
  <c r="AR22" i="50"/>
  <c r="AW24" i="50"/>
  <c r="AB49" i="50"/>
  <c r="BA37" i="50"/>
  <c r="BB46" i="50"/>
  <c r="AD32" i="50"/>
  <c r="L41" i="50"/>
  <c r="AI37" i="50"/>
  <c r="Q22" i="50"/>
  <c r="AE41" i="50"/>
  <c r="P12" i="50"/>
  <c r="AA46" i="50"/>
  <c r="L30" i="50"/>
  <c r="AQ39" i="50"/>
  <c r="Q37" i="50"/>
  <c r="Z50" i="50"/>
  <c r="AI27" i="50"/>
  <c r="AH46" i="50"/>
  <c r="AV45" i="50"/>
  <c r="AV33" i="50"/>
  <c r="AR50" i="50"/>
  <c r="O50" i="50"/>
  <c r="AK39" i="50"/>
  <c r="P21" i="50"/>
  <c r="AM16" i="50"/>
  <c r="L33" i="50"/>
  <c r="Q24" i="50"/>
  <c r="AK29" i="50"/>
  <c r="V27" i="50"/>
  <c r="Q30" i="50"/>
  <c r="AG46" i="50"/>
  <c r="W21" i="50"/>
  <c r="AA49" i="50"/>
  <c r="BC45" i="50"/>
  <c r="AW50" i="50"/>
  <c r="N47" i="50"/>
  <c r="AS46" i="50"/>
  <c r="AI40" i="50"/>
  <c r="AA41" i="50"/>
  <c r="AI49" i="50"/>
  <c r="M37" i="50"/>
  <c r="R14" i="50"/>
  <c r="Q40" i="50"/>
  <c r="Z42" i="50"/>
  <c r="AQ15" i="50"/>
  <c r="U34" i="50"/>
  <c r="BA42" i="50"/>
  <c r="AN24" i="50"/>
  <c r="BC48" i="50"/>
  <c r="X31" i="50"/>
  <c r="AV21" i="50"/>
  <c r="AO15" i="50"/>
  <c r="AK12" i="50"/>
  <c r="AK38" i="50"/>
  <c r="L24" i="50"/>
  <c r="AA25" i="50"/>
  <c r="AL22" i="50"/>
  <c r="AE24" i="50"/>
  <c r="AC5" i="50"/>
  <c r="T39" i="50"/>
  <c r="AC47" i="50"/>
  <c r="Q4" i="50"/>
  <c r="AI28" i="50"/>
  <c r="AT44" i="50"/>
  <c r="AA43" i="50"/>
  <c r="AV29" i="50"/>
  <c r="N18" i="50"/>
  <c r="AV50" i="50"/>
  <c r="AQ14" i="50"/>
  <c r="AW19" i="50"/>
  <c r="Z26" i="50"/>
  <c r="AN18" i="50"/>
  <c r="AV25" i="50"/>
  <c r="AY26" i="50"/>
  <c r="AU29" i="50"/>
  <c r="AC21" i="50"/>
  <c r="T38" i="50"/>
  <c r="R52" i="50"/>
  <c r="BA5" i="50"/>
  <c r="AV24" i="50"/>
  <c r="AW21" i="50"/>
  <c r="AP42" i="50"/>
  <c r="AL45" i="50"/>
  <c r="AL15" i="50"/>
  <c r="N32" i="50"/>
  <c r="BB15" i="50"/>
  <c r="V24" i="50"/>
  <c r="AG42" i="50"/>
  <c r="Y13" i="50"/>
  <c r="AB38" i="50"/>
  <c r="AX18" i="50"/>
  <c r="AO33" i="50"/>
  <c r="AZ20" i="50"/>
  <c r="S39" i="50"/>
  <c r="AC12" i="50"/>
  <c r="V32" i="50"/>
  <c r="T5" i="50"/>
  <c r="AL47" i="50"/>
  <c r="AL44" i="50"/>
  <c r="X36" i="50"/>
  <c r="AW43" i="50"/>
  <c r="AE17" i="50"/>
  <c r="AE27" i="50"/>
  <c r="O19" i="50"/>
  <c r="U27" i="50"/>
  <c r="T41" i="50"/>
  <c r="BA52" i="50"/>
  <c r="AE14" i="50"/>
  <c r="X51" i="50"/>
  <c r="AZ30" i="50"/>
  <c r="AL25" i="50"/>
  <c r="AS41" i="50"/>
  <c r="AY36" i="50"/>
  <c r="AK47" i="50"/>
  <c r="AO41" i="50"/>
  <c r="AG4" i="50"/>
  <c r="V46" i="50"/>
  <c r="U40" i="50"/>
  <c r="U37" i="50"/>
  <c r="AS36" i="50"/>
  <c r="AS45" i="50"/>
  <c r="L45" i="50"/>
  <c r="AO50" i="50"/>
  <c r="AN33" i="50"/>
  <c r="AU44" i="50"/>
  <c r="M30" i="50"/>
  <c r="AI4" i="50"/>
  <c r="AD28" i="50"/>
  <c r="BA33" i="50"/>
  <c r="AL5" i="50"/>
  <c r="T40" i="50"/>
  <c r="AE32" i="50"/>
  <c r="AN12" i="50"/>
  <c r="T27" i="50"/>
  <c r="BC21" i="50"/>
  <c r="AT28" i="50"/>
  <c r="AA34" i="50"/>
  <c r="AU46" i="50"/>
  <c r="X12" i="50"/>
  <c r="AF22" i="50"/>
  <c r="AE26" i="50"/>
  <c r="U20" i="50"/>
  <c r="N22" i="50"/>
  <c r="AJ28" i="50"/>
  <c r="AB42" i="50"/>
  <c r="AY50" i="50"/>
  <c r="AX28" i="50"/>
  <c r="P43" i="50"/>
  <c r="V43" i="50"/>
  <c r="BB40" i="50"/>
  <c r="AT49" i="50"/>
  <c r="V52" i="50"/>
  <c r="AN37" i="50"/>
  <c r="AH5" i="50"/>
  <c r="M21" i="50"/>
  <c r="AE46" i="50"/>
  <c r="O24" i="50"/>
  <c r="AU14" i="50"/>
  <c r="AO24" i="50"/>
  <c r="BA28" i="50"/>
  <c r="AX34" i="50"/>
  <c r="AQ22" i="50"/>
  <c r="AU13" i="50"/>
  <c r="P25" i="50"/>
  <c r="AM50" i="50"/>
  <c r="AL34" i="50"/>
  <c r="Q14" i="50"/>
  <c r="AY47" i="50"/>
  <c r="BC12" i="50"/>
  <c r="W47" i="50"/>
  <c r="S27" i="50"/>
  <c r="Q29" i="50"/>
  <c r="Y4" i="50"/>
  <c r="AC50" i="50"/>
  <c r="BC27" i="50"/>
  <c r="BB47" i="50"/>
  <c r="AM27" i="50"/>
  <c r="AO31" i="50"/>
  <c r="W41" i="50"/>
  <c r="AJ41" i="50"/>
  <c r="AQ34" i="50"/>
  <c r="BB45" i="50"/>
  <c r="S25" i="50"/>
  <c r="BA26" i="50"/>
  <c r="Z51" i="50"/>
  <c r="AY48" i="50"/>
  <c r="AB33" i="50"/>
  <c r="N41" i="50"/>
  <c r="AL28" i="50"/>
  <c r="AV15" i="50"/>
  <c r="AD17" i="50"/>
  <c r="N4" i="50"/>
  <c r="AP19" i="50"/>
  <c r="Y26" i="50"/>
  <c r="AW38" i="50"/>
  <c r="AB26" i="50"/>
  <c r="V21" i="50"/>
  <c r="BA40" i="50"/>
  <c r="O26" i="50"/>
  <c r="Y5" i="50"/>
  <c r="N46" i="50"/>
  <c r="M39" i="50"/>
  <c r="AQ28" i="50"/>
  <c r="L44" i="50"/>
  <c r="Z31" i="50"/>
  <c r="AM42" i="50"/>
  <c r="N14" i="50"/>
  <c r="AJ14" i="50"/>
  <c r="AK50" i="50"/>
  <c r="AY4" i="50"/>
  <c r="AB27" i="50"/>
  <c r="BA22" i="50"/>
  <c r="AX15" i="50"/>
  <c r="AH45" i="50"/>
  <c r="AI50" i="50"/>
  <c r="AT45" i="50"/>
  <c r="AD27" i="50"/>
  <c r="AC48" i="50"/>
  <c r="Q31" i="50"/>
  <c r="AO51" i="50"/>
  <c r="W22" i="50"/>
  <c r="AV4" i="50"/>
  <c r="AT43" i="50"/>
  <c r="AI41" i="50"/>
  <c r="AQ21" i="50"/>
  <c r="P33" i="50"/>
  <c r="AC20" i="50"/>
  <c r="X45" i="50"/>
  <c r="AP24" i="50"/>
  <c r="AC13" i="50"/>
  <c r="BA4" i="50"/>
  <c r="AX22" i="50"/>
  <c r="P13" i="50"/>
  <c r="AP26" i="50"/>
  <c r="AE13" i="50"/>
  <c r="W38" i="50"/>
  <c r="S35" i="50"/>
  <c r="Y17" i="50"/>
  <c r="AA22" i="50"/>
  <c r="Y20" i="50"/>
  <c r="Z4" i="50"/>
  <c r="AJ18" i="50"/>
  <c r="P14" i="50"/>
  <c r="L21" i="50"/>
  <c r="P44" i="50"/>
  <c r="AM33" i="50"/>
  <c r="AH15" i="50"/>
  <c r="AJ49" i="50"/>
  <c r="AN23" i="50"/>
  <c r="M49" i="50"/>
  <c r="AQ50" i="50"/>
  <c r="AH37" i="50"/>
  <c r="L50" i="50"/>
  <c r="BB18" i="50"/>
  <c r="AO21" i="50"/>
  <c r="AG51" i="50"/>
  <c r="U13" i="50"/>
  <c r="M19" i="50"/>
  <c r="X22" i="50"/>
  <c r="AC31" i="50"/>
  <c r="AP40" i="50"/>
  <c r="AX13" i="50"/>
  <c r="AA29" i="50"/>
  <c r="AB41" i="50"/>
  <c r="Y30" i="50"/>
  <c r="AB17" i="50"/>
  <c r="AY32" i="50"/>
  <c r="AT26" i="50"/>
  <c r="AO27" i="50"/>
  <c r="S23" i="50"/>
  <c r="AP35" i="50"/>
  <c r="V29" i="50"/>
  <c r="AC44" i="50"/>
  <c r="AM29" i="50"/>
  <c r="AP48" i="50"/>
  <c r="AV44" i="50"/>
  <c r="AT52" i="50"/>
  <c r="S14" i="50"/>
  <c r="AM25" i="50"/>
  <c r="AZ19" i="50"/>
  <c r="O42" i="50"/>
  <c r="BB28" i="50"/>
  <c r="L22" i="50"/>
  <c r="Y36" i="50"/>
  <c r="W27" i="50"/>
  <c r="AI20" i="50"/>
  <c r="AF49" i="50"/>
  <c r="BC19" i="50"/>
  <c r="AE4" i="50"/>
  <c r="AI22" i="50"/>
  <c r="AA16" i="50"/>
  <c r="AC27" i="50"/>
  <c r="AQ46" i="50"/>
  <c r="X50" i="50"/>
  <c r="AL21" i="50"/>
  <c r="O25" i="50"/>
  <c r="BC17" i="50"/>
  <c r="AC52" i="50"/>
  <c r="AU5" i="50"/>
  <c r="BA45" i="50"/>
  <c r="AI36" i="50"/>
  <c r="M33" i="50"/>
  <c r="AP50" i="50"/>
  <c r="AB21" i="50"/>
  <c r="AI19" i="50"/>
  <c r="AM38" i="50"/>
  <c r="AZ51" i="50"/>
  <c r="AK25" i="50"/>
  <c r="AJ36" i="50"/>
  <c r="AN48" i="50"/>
  <c r="AD35" i="50"/>
  <c r="AH41" i="50"/>
  <c r="AH26" i="50"/>
  <c r="Y52" i="50"/>
  <c r="AP17" i="50"/>
  <c r="R16" i="50"/>
  <c r="AB36" i="50"/>
  <c r="Q41" i="50"/>
  <c r="AG43" i="50"/>
  <c r="AY17" i="50"/>
  <c r="BC38" i="50"/>
  <c r="AP33" i="50"/>
  <c r="AR12" i="50"/>
  <c r="AY15" i="50"/>
  <c r="AI43" i="50"/>
  <c r="AK30" i="50"/>
  <c r="U32" i="50"/>
  <c r="BC43" i="50"/>
  <c r="AF26" i="50"/>
  <c r="O43" i="50"/>
  <c r="AS5" i="50"/>
  <c r="N48" i="50"/>
  <c r="AR19" i="50"/>
  <c r="AN17" i="50"/>
  <c r="AZ31" i="50"/>
  <c r="X38" i="50"/>
  <c r="AU35" i="50"/>
  <c r="AQ44" i="50"/>
  <c r="AI42" i="50"/>
  <c r="T22" i="50"/>
  <c r="X39" i="50"/>
  <c r="AH23" i="50"/>
  <c r="AI48" i="50"/>
  <c r="X23" i="50"/>
  <c r="U46" i="50"/>
  <c r="AW23" i="50"/>
  <c r="BB13" i="50"/>
  <c r="AR52" i="50"/>
  <c r="S12" i="50"/>
  <c r="AU36" i="50"/>
  <c r="AK45" i="50"/>
  <c r="AP51" i="50"/>
  <c r="AF48" i="50"/>
  <c r="AA36" i="50"/>
  <c r="AC4" i="50"/>
  <c r="AH22" i="50"/>
  <c r="AJ31" i="50"/>
  <c r="T26" i="50"/>
  <c r="AX24" i="50"/>
  <c r="S49" i="50"/>
  <c r="AP23" i="50"/>
  <c r="S19" i="50"/>
  <c r="AF19" i="50"/>
  <c r="V16" i="50"/>
  <c r="AA18" i="50"/>
  <c r="AK28" i="50"/>
  <c r="X4" i="50"/>
  <c r="AH17" i="50"/>
  <c r="AW44" i="50"/>
  <c r="AJ39" i="50"/>
  <c r="AV46" i="50"/>
  <c r="AM4" i="50"/>
  <c r="AR48" i="50"/>
  <c r="AF20" i="50"/>
  <c r="AY20" i="50"/>
  <c r="AB16" i="50"/>
  <c r="Z48" i="50"/>
  <c r="AW14" i="50"/>
  <c r="AW26" i="50"/>
  <c r="AQ47" i="50"/>
  <c r="Y51" i="50"/>
  <c r="AA52" i="50"/>
  <c r="AG39" i="50"/>
  <c r="Q19" i="50"/>
  <c r="AJ40" i="50"/>
  <c r="AN47" i="50"/>
  <c r="AR21" i="50"/>
  <c r="M13" i="50"/>
  <c r="AS16" i="50"/>
  <c r="AZ12" i="50"/>
  <c r="AE51" i="50"/>
  <c r="AN22" i="50"/>
  <c r="AW13" i="50"/>
  <c r="AV31" i="50"/>
  <c r="R27" i="50"/>
  <c r="BB30" i="50"/>
  <c r="AY25" i="50"/>
  <c r="W52" i="50"/>
  <c r="AI23" i="50"/>
  <c r="BA36" i="50"/>
  <c r="AU49" i="50"/>
  <c r="L13" i="50"/>
  <c r="AQ18" i="50"/>
  <c r="M38" i="50"/>
  <c r="P20" i="50"/>
  <c r="R40" i="50"/>
  <c r="AL32" i="50"/>
  <c r="M17" i="50"/>
  <c r="AK21" i="50"/>
  <c r="U36" i="50"/>
  <c r="R33" i="50"/>
  <c r="AG17" i="50"/>
  <c r="AL12" i="50"/>
  <c r="AG31" i="50"/>
  <c r="AN52" i="50"/>
  <c r="AT48" i="50"/>
  <c r="AB28" i="50"/>
  <c r="AG35" i="50"/>
  <c r="P30" i="50"/>
  <c r="L34" i="50"/>
  <c r="S41" i="50"/>
  <c r="AS14" i="50"/>
  <c r="AJ21" i="50"/>
  <c r="AT22" i="50"/>
  <c r="P15" i="50"/>
  <c r="Y23" i="50"/>
  <c r="U44" i="50"/>
  <c r="AL35" i="50"/>
  <c r="AD46" i="50"/>
  <c r="AX41" i="50"/>
  <c r="BB43" i="50"/>
  <c r="AZ28" i="50"/>
  <c r="AJ16" i="50"/>
  <c r="AC43" i="50"/>
  <c r="P24" i="50"/>
  <c r="M24" i="50"/>
  <c r="AM35" i="50"/>
  <c r="AU18" i="50"/>
  <c r="S47" i="50"/>
  <c r="T42" i="50"/>
  <c r="AD34" i="50"/>
  <c r="U35" i="50"/>
  <c r="AY5" i="50"/>
  <c r="AJ50" i="50"/>
  <c r="AE15" i="50"/>
  <c r="AB13" i="50"/>
  <c r="AL26" i="50"/>
  <c r="AI52" i="50"/>
  <c r="V51" i="50"/>
  <c r="L37" i="50"/>
  <c r="BA24" i="50"/>
  <c r="X27" i="50"/>
  <c r="AH52" i="50"/>
  <c r="AF51" i="50"/>
  <c r="Q52" i="50"/>
  <c r="BC20" i="50"/>
  <c r="V37" i="50"/>
  <c r="AN49" i="50"/>
  <c r="BA30" i="50"/>
  <c r="U12" i="50"/>
  <c r="S13" i="50"/>
  <c r="S21" i="50"/>
  <c r="AE35" i="50"/>
  <c r="M20" i="50"/>
  <c r="AW4" i="50"/>
  <c r="P17" i="50"/>
  <c r="AO22" i="50"/>
  <c r="W30" i="50"/>
  <c r="AI14" i="50"/>
  <c r="Q21" i="50"/>
  <c r="AS48" i="50"/>
  <c r="AD37" i="50"/>
  <c r="AT32" i="50"/>
  <c r="M18" i="50"/>
  <c r="AU26" i="50"/>
  <c r="R18" i="50"/>
  <c r="L36" i="50"/>
  <c r="AG21" i="50"/>
  <c r="AB52" i="50"/>
  <c r="O34" i="50"/>
  <c r="AL13" i="50"/>
  <c r="BC44" i="50"/>
  <c r="Q35" i="50"/>
  <c r="AG26" i="50"/>
  <c r="L17" i="50"/>
  <c r="AJ42" i="50"/>
  <c r="AE21" i="50"/>
  <c r="X16" i="50"/>
  <c r="AY33" i="50"/>
  <c r="M48" i="50"/>
  <c r="R5" i="50"/>
  <c r="R44" i="50"/>
  <c r="AL33" i="50"/>
  <c r="M14" i="50"/>
  <c r="U48" i="50"/>
  <c r="X21" i="50"/>
  <c r="U19" i="50"/>
  <c r="AY44" i="50"/>
  <c r="AW32" i="50"/>
  <c r="AR37" i="50"/>
  <c r="AD42" i="50"/>
  <c r="AA14" i="50"/>
  <c r="AK13" i="50"/>
  <c r="AS18" i="50"/>
  <c r="BA18" i="50"/>
  <c r="AE29" i="50"/>
  <c r="AI44" i="50"/>
  <c r="AT29" i="50"/>
  <c r="AF12" i="50"/>
  <c r="R45" i="50"/>
  <c r="AN19" i="50"/>
  <c r="BC32" i="50"/>
  <c r="AL42" i="50"/>
  <c r="AW28" i="50"/>
  <c r="Z5" i="50"/>
  <c r="AH19" i="50"/>
  <c r="O39" i="50"/>
  <c r="S15" i="50"/>
  <c r="U22" i="50"/>
  <c r="T15" i="50"/>
  <c r="AH47" i="50"/>
  <c r="BC49" i="50"/>
  <c r="AB51" i="50"/>
  <c r="M4" i="50"/>
  <c r="R30" i="50"/>
  <c r="AA32" i="50"/>
  <c r="U52" i="50"/>
  <c r="AY43" i="50"/>
  <c r="AA33" i="50"/>
  <c r="AH51" i="50"/>
  <c r="AE43" i="50"/>
  <c r="AV36" i="50"/>
  <c r="X17" i="50"/>
  <c r="N5" i="50"/>
  <c r="BC33" i="50"/>
  <c r="BB26" i="50"/>
  <c r="V18" i="50"/>
  <c r="L38" i="50"/>
  <c r="AB35" i="50"/>
  <c r="AH27" i="50"/>
  <c r="AD24" i="50"/>
  <c r="AZ47" i="50"/>
  <c r="AV13" i="50"/>
  <c r="W43" i="50"/>
  <c r="T12" i="50"/>
  <c r="AM5" i="50"/>
  <c r="AM49" i="50"/>
  <c r="AS12" i="50"/>
  <c r="AZ5" i="50"/>
  <c r="BA23" i="50"/>
  <c r="V47" i="50"/>
  <c r="AZ23" i="50"/>
  <c r="AN20" i="50"/>
  <c r="AC32" i="50"/>
  <c r="O21" i="50"/>
  <c r="AA47" i="50"/>
  <c r="AJ5" i="50"/>
  <c r="AJ26" i="50"/>
  <c r="Q51" i="50"/>
  <c r="AC29" i="50"/>
  <c r="AR41" i="50"/>
  <c r="AP47" i="50"/>
  <c r="W36" i="50"/>
  <c r="AV5" i="50"/>
  <c r="W15" i="50"/>
  <c r="AI29" i="50"/>
  <c r="W29" i="50"/>
  <c r="S38" i="50"/>
  <c r="AY34" i="50"/>
  <c r="AY45" i="50"/>
  <c r="AN36" i="50"/>
  <c r="AW15" i="50"/>
  <c r="AK32" i="50"/>
  <c r="AW49" i="50"/>
  <c r="AP49" i="50"/>
  <c r="AC16" i="50"/>
  <c r="AC30" i="50"/>
  <c r="Y18" i="50"/>
  <c r="AP52" i="50"/>
  <c r="AC33" i="50"/>
  <c r="AE42" i="50"/>
  <c r="AF21" i="50"/>
  <c r="AG27" i="50"/>
  <c r="AP28" i="50"/>
  <c r="AU21" i="50"/>
  <c r="U24" i="50"/>
  <c r="N45" i="50"/>
  <c r="AJ15" i="50"/>
  <c r="BB50" i="50"/>
  <c r="AK34" i="50"/>
  <c r="AR4" i="50"/>
  <c r="AT33" i="50"/>
  <c r="O16" i="50"/>
  <c r="P52" i="50"/>
  <c r="W34" i="50"/>
  <c r="AS30" i="50"/>
  <c r="AI5" i="50"/>
  <c r="AQ27" i="50"/>
  <c r="AI25" i="50"/>
  <c r="S51" i="50"/>
  <c r="AI21" i="50"/>
  <c r="AQ48" i="50"/>
  <c r="T51" i="50"/>
  <c r="AL37" i="50"/>
  <c r="P50" i="50"/>
  <c r="BC35" i="50"/>
  <c r="U16" i="50"/>
  <c r="AO46" i="50"/>
  <c r="Y34" i="50"/>
  <c r="AA50" i="50"/>
  <c r="W16" i="50"/>
  <c r="AE49" i="50"/>
  <c r="AR38" i="50"/>
  <c r="AP32" i="50"/>
  <c r="T46" i="50"/>
  <c r="AM15" i="50"/>
  <c r="Z47" i="50"/>
  <c r="AU51" i="50"/>
  <c r="AE25" i="50"/>
  <c r="AT47" i="50"/>
  <c r="U50" i="50"/>
  <c r="AR16" i="50"/>
  <c r="AA39" i="50"/>
  <c r="AN43" i="50"/>
  <c r="L19" i="50"/>
  <c r="BA48" i="50"/>
  <c r="AR39" i="50"/>
  <c r="O36" i="50"/>
  <c r="M44" i="50"/>
  <c r="BA16" i="50"/>
  <c r="AJ34" i="50"/>
  <c r="M27" i="50"/>
  <c r="L27" i="50"/>
  <c r="AJ23" i="50"/>
  <c r="AQ37" i="50"/>
  <c r="W49" i="50"/>
  <c r="W28" i="50"/>
  <c r="AW16" i="50"/>
  <c r="AQ49" i="50"/>
  <c r="AU43" i="50"/>
  <c r="P49" i="50"/>
  <c r="V30" i="50"/>
  <c r="AO16" i="50"/>
  <c r="AS39" i="50"/>
  <c r="Y41" i="50"/>
  <c r="V33" i="50"/>
  <c r="AV35" i="50"/>
  <c r="AM18" i="50"/>
  <c r="AH48" i="50"/>
  <c r="AA44" i="50"/>
  <c r="AX45" i="50"/>
  <c r="BB37" i="50"/>
  <c r="N23" i="50"/>
  <c r="AF33" i="50"/>
  <c r="AR51" i="50"/>
  <c r="Z22" i="50"/>
  <c r="P23" i="50"/>
  <c r="AT46" i="50"/>
  <c r="AH38" i="50"/>
  <c r="V19" i="50"/>
  <c r="W18" i="50"/>
  <c r="L48" i="50"/>
  <c r="AP30" i="50"/>
  <c r="AD49" i="50"/>
  <c r="M29" i="50"/>
  <c r="AR28" i="50"/>
  <c r="AE37" i="50"/>
  <c r="V42" i="50"/>
  <c r="O47" i="50"/>
  <c r="AP29" i="50"/>
  <c r="Y33" i="50"/>
  <c r="AN35" i="50"/>
  <c r="W25" i="50"/>
  <c r="AL16" i="50"/>
  <c r="Y44" i="50"/>
  <c r="R23" i="50"/>
  <c r="AZ32" i="50"/>
  <c r="AL48" i="50"/>
  <c r="BB44" i="50"/>
  <c r="AS44" i="50"/>
  <c r="AG14" i="50"/>
  <c r="AC37" i="50"/>
  <c r="BA19" i="50"/>
  <c r="L15" i="50"/>
  <c r="X19" i="50"/>
  <c r="AY37" i="50"/>
  <c r="S18" i="50"/>
  <c r="AT17" i="50"/>
  <c r="AR32" i="50"/>
  <c r="L20" i="50"/>
  <c r="AJ19" i="50"/>
  <c r="AN27" i="50"/>
  <c r="AI24" i="50"/>
  <c r="AC18" i="50"/>
  <c r="AH43" i="50"/>
  <c r="AQ33" i="50"/>
  <c r="AG5" i="50"/>
  <c r="AD50" i="50"/>
  <c r="BC36" i="50"/>
  <c r="AU15" i="50"/>
  <c r="AP18" i="50"/>
  <c r="AF44" i="50"/>
  <c r="BA27" i="50"/>
  <c r="O37" i="50"/>
  <c r="Q34" i="50"/>
  <c r="Y35" i="50"/>
  <c r="BA47" i="50"/>
  <c r="S43" i="50"/>
  <c r="AK41" i="50"/>
  <c r="W33" i="50"/>
  <c r="BA12" i="50"/>
  <c r="Z19" i="50"/>
  <c r="AP20" i="50"/>
  <c r="AJ35" i="50"/>
  <c r="AZ42" i="50"/>
  <c r="AY52" i="50"/>
  <c r="AD43" i="50"/>
  <c r="AU16" i="50"/>
  <c r="AD51" i="50"/>
  <c r="AB37" i="50"/>
  <c r="BC28" i="50"/>
  <c r="AW33" i="50"/>
  <c r="U26" i="50"/>
  <c r="AT24" i="50"/>
  <c r="AF41" i="50"/>
  <c r="AU23" i="50"/>
  <c r="AB34" i="50"/>
  <c r="AZ41" i="50"/>
  <c r="L18" i="50"/>
  <c r="Q43" i="50"/>
  <c r="BB20" i="50"/>
  <c r="AI32" i="50"/>
  <c r="AN44" i="50"/>
  <c r="Y15" i="50"/>
  <c r="Q45" i="50"/>
  <c r="AT4" i="50"/>
  <c r="R34" i="50"/>
  <c r="AW48" i="50"/>
  <c r="S36" i="50"/>
  <c r="AD44" i="50"/>
  <c r="BA35" i="50"/>
  <c r="BC22" i="50"/>
  <c r="L16" i="50"/>
  <c r="BC37" i="50"/>
  <c r="AL14" i="50"/>
  <c r="AK26" i="50"/>
  <c r="AL36" i="50"/>
  <c r="AT15" i="50"/>
  <c r="AD40" i="50"/>
  <c r="AP41" i="50"/>
  <c r="L43" i="50"/>
  <c r="AV16" i="50"/>
  <c r="AK17" i="50"/>
  <c r="T43" i="50"/>
  <c r="BC39" i="50"/>
  <c r="AC26" i="50"/>
  <c r="AV30" i="50"/>
  <c r="AE5" i="50"/>
  <c r="AO29" i="50"/>
  <c r="AZ48" i="50"/>
  <c r="BA41" i="50"/>
  <c r="AO25" i="50"/>
  <c r="AR47" i="50"/>
  <c r="AO12" i="50"/>
  <c r="AC23" i="50"/>
  <c r="T35" i="50"/>
  <c r="AP4" i="50"/>
  <c r="P29" i="50"/>
  <c r="BC24" i="50"/>
  <c r="AS19" i="50"/>
  <c r="AF47" i="50"/>
  <c r="BC18" i="50"/>
  <c r="AS26" i="50"/>
  <c r="X34" i="50"/>
  <c r="AN14" i="50"/>
  <c r="AI35" i="50"/>
  <c r="AG16" i="50"/>
  <c r="X46" i="50"/>
  <c r="P40" i="50"/>
  <c r="N52" i="50"/>
  <c r="AW18" i="50"/>
  <c r="AF25" i="50"/>
  <c r="AS43" i="50"/>
  <c r="L32" i="50"/>
  <c r="O52" i="50"/>
  <c r="AM20" i="50"/>
  <c r="AL38" i="50"/>
  <c r="AH39" i="50"/>
  <c r="P42" i="50"/>
  <c r="AT13" i="50"/>
  <c r="R12" i="50"/>
  <c r="AT37" i="50"/>
  <c r="R26" i="50"/>
  <c r="AR18" i="50"/>
  <c r="P16" i="50"/>
  <c r="T30" i="50"/>
  <c r="BC31" i="50"/>
  <c r="BA13" i="50"/>
  <c r="AA28" i="50"/>
  <c r="Y32" i="50"/>
  <c r="P22" i="50"/>
  <c r="AS51" i="50"/>
  <c r="AE19" i="50"/>
  <c r="R4" i="50"/>
  <c r="AX40" i="50"/>
  <c r="S37" i="50"/>
  <c r="AQ20" i="50"/>
  <c r="AJ25" i="50"/>
  <c r="AW52" i="50"/>
  <c r="AQ5" i="50"/>
  <c r="R50" i="50"/>
  <c r="Z13" i="50"/>
  <c r="S48" i="50"/>
  <c r="BB14" i="50"/>
  <c r="AY41" i="50"/>
  <c r="AK16" i="50"/>
  <c r="AX37" i="50"/>
  <c r="W37" i="50"/>
  <c r="Q23" i="50"/>
  <c r="BA15" i="50"/>
  <c r="AP14" i="50"/>
  <c r="AR30" i="50"/>
  <c r="BB19" i="50"/>
  <c r="Z39" i="50"/>
  <c r="AR31" i="50"/>
  <c r="AX49" i="50"/>
  <c r="Z27" i="50"/>
  <c r="AR17" i="50"/>
  <c r="AZ15" i="50"/>
  <c r="AE30" i="50"/>
  <c r="AV23" i="50"/>
  <c r="Z36" i="50"/>
  <c r="R29" i="50"/>
  <c r="L14" i="50"/>
  <c r="BB5" i="50"/>
  <c r="AF24" i="50"/>
  <c r="N43" i="50"/>
  <c r="V31" i="50"/>
  <c r="R47" i="50"/>
  <c r="AW25" i="50"/>
  <c r="BB25" i="50"/>
  <c r="O18" i="50"/>
  <c r="AA15" i="50"/>
  <c r="AD4" i="50"/>
  <c r="O49" i="50"/>
  <c r="AC51" i="50"/>
  <c r="BB33" i="50"/>
  <c r="AL18" i="50"/>
  <c r="BC13" i="50"/>
  <c r="N34" i="50"/>
  <c r="BB48" i="50"/>
  <c r="O38" i="50"/>
  <c r="AP22" i="50"/>
  <c r="AY23" i="50"/>
  <c r="M16" i="50"/>
  <c r="P34" i="50"/>
  <c r="AG38" i="50"/>
  <c r="AD13" i="50"/>
  <c r="O12" i="50"/>
  <c r="AG22" i="50"/>
  <c r="V14" i="50"/>
  <c r="V26" i="50"/>
  <c r="AV43" i="50"/>
  <c r="AT31" i="50"/>
  <c r="AC14" i="50"/>
  <c r="AF5" i="50"/>
  <c r="AF15" i="50"/>
  <c r="AS50" i="50"/>
  <c r="O28" i="50"/>
  <c r="AB32" i="50"/>
  <c r="AN38" i="50"/>
  <c r="Z33" i="50"/>
  <c r="L51" i="50"/>
  <c r="Y19" i="50"/>
  <c r="AM22" i="50"/>
  <c r="T34" i="50"/>
  <c r="AN4" i="50"/>
  <c r="Z38" i="50"/>
  <c r="AA48" i="50"/>
  <c r="AP39" i="50"/>
  <c r="O40" i="50"/>
  <c r="M41" i="50"/>
  <c r="AW31" i="50"/>
  <c r="AC34" i="50"/>
  <c r="AL49" i="50"/>
  <c r="Z30" i="50"/>
  <c r="X26" i="50"/>
  <c r="AN29" i="50"/>
  <c r="AW5" i="50"/>
  <c r="AJ44" i="50"/>
  <c r="W5" i="50"/>
  <c r="W20" i="50"/>
  <c r="AH25" i="50"/>
  <c r="P5" i="50"/>
  <c r="AH14" i="50"/>
  <c r="R13" i="50"/>
  <c r="AD45" i="50"/>
  <c r="Q38" i="50"/>
  <c r="T25" i="50"/>
  <c r="AB29" i="50"/>
  <c r="R28" i="50"/>
  <c r="W45" i="50"/>
  <c r="AF16" i="50"/>
  <c r="AM21" i="50"/>
  <c r="AU4" i="50"/>
  <c r="U21" i="50"/>
  <c r="M40" i="50"/>
  <c r="BB52" i="50"/>
  <c r="T33" i="50"/>
  <c r="AB4" i="50"/>
  <c r="N25" i="50"/>
  <c r="F51" i="50" l="1"/>
  <c r="F14" i="50"/>
  <c r="F32" i="50"/>
  <c r="F43" i="50"/>
  <c r="F16" i="50"/>
  <c r="F18" i="50"/>
  <c r="F20" i="50"/>
  <c r="F15" i="50"/>
  <c r="F48" i="50"/>
  <c r="F27" i="50"/>
  <c r="F19" i="50"/>
  <c r="F38" i="50"/>
  <c r="K4" i="50"/>
  <c r="F1" i="50" s="1"/>
  <c r="F17" i="50"/>
  <c r="F36" i="50"/>
  <c r="F37" i="50"/>
  <c r="F34" i="50"/>
  <c r="F13" i="50"/>
  <c r="F22" i="50"/>
  <c r="F50" i="50"/>
  <c r="F21" i="50"/>
  <c r="F44" i="50"/>
  <c r="F45" i="50"/>
  <c r="F24" i="50"/>
  <c r="F33" i="50"/>
  <c r="F30" i="50"/>
  <c r="F41" i="50"/>
  <c r="F40" i="50"/>
  <c r="F42" i="50"/>
  <c r="F39" i="50"/>
  <c r="F28" i="50"/>
  <c r="F46" i="50"/>
  <c r="F31" i="50"/>
  <c r="F26" i="50"/>
  <c r="F5" i="50"/>
  <c r="F35" i="50"/>
  <c r="F25" i="50"/>
  <c r="F49" i="50"/>
  <c r="F47" i="50"/>
  <c r="F23" i="50"/>
  <c r="F12" i="50"/>
  <c r="F52" i="50"/>
  <c r="F29" i="50"/>
  <c r="J35" i="50" l="1"/>
  <c r="H35" i="50"/>
  <c r="S24" i="1"/>
  <c r="S7" i="150"/>
  <c r="H46" i="50"/>
  <c r="J46" i="50"/>
  <c r="S26" i="1"/>
  <c r="H37" i="50"/>
  <c r="J37" i="50"/>
  <c r="J43" i="50"/>
  <c r="S23" i="4"/>
  <c r="H43" i="50"/>
  <c r="H29" i="50"/>
  <c r="J29" i="50"/>
  <c r="S21" i="1"/>
  <c r="J47" i="50"/>
  <c r="H47" i="50"/>
  <c r="S8" i="150"/>
  <c r="J5" i="50"/>
  <c r="H5" i="50"/>
  <c r="S5" i="137"/>
  <c r="F4" i="50"/>
  <c r="H28" i="50"/>
  <c r="S8" i="4"/>
  <c r="J28" i="50"/>
  <c r="H41" i="50"/>
  <c r="J41" i="50"/>
  <c r="S28" i="1"/>
  <c r="H45" i="50"/>
  <c r="J45" i="50"/>
  <c r="S6" i="150"/>
  <c r="S15" i="4"/>
  <c r="J22" i="50"/>
  <c r="H22" i="50"/>
  <c r="S25" i="1"/>
  <c r="J36" i="50"/>
  <c r="H36" i="50"/>
  <c r="J19" i="50"/>
  <c r="H19" i="50"/>
  <c r="S13" i="4"/>
  <c r="S16" i="4"/>
  <c r="H20" i="50"/>
  <c r="J20" i="50"/>
  <c r="S18" i="4"/>
  <c r="H32" i="50"/>
  <c r="J32" i="50"/>
  <c r="S9" i="1"/>
  <c r="H23" i="50"/>
  <c r="J23" i="50"/>
  <c r="J24" i="50"/>
  <c r="S8" i="1"/>
  <c r="H24" i="50"/>
  <c r="S27" i="1"/>
  <c r="H38" i="50"/>
  <c r="J38" i="50"/>
  <c r="S7" i="4"/>
  <c r="H15" i="50"/>
  <c r="J15" i="50"/>
  <c r="S13" i="150"/>
  <c r="H52" i="50"/>
  <c r="J52" i="50"/>
  <c r="S10" i="150"/>
  <c r="J49" i="50"/>
  <c r="H49" i="50"/>
  <c r="J26" i="50"/>
  <c r="H26" i="50"/>
  <c r="S18" i="1"/>
  <c r="H39" i="50"/>
  <c r="J39" i="50"/>
  <c r="S19" i="4"/>
  <c r="S15" i="137"/>
  <c r="J30" i="50"/>
  <c r="H30" i="50"/>
  <c r="H44" i="50"/>
  <c r="J44" i="50"/>
  <c r="S5" i="150"/>
  <c r="S14" i="137"/>
  <c r="J13" i="50"/>
  <c r="H13" i="50"/>
  <c r="J17" i="50"/>
  <c r="S5" i="4"/>
  <c r="H17" i="50"/>
  <c r="S11" i="4"/>
  <c r="H27" i="50"/>
  <c r="J27" i="50"/>
  <c r="H18" i="50"/>
  <c r="S17" i="4"/>
  <c r="J18" i="50"/>
  <c r="J14" i="50"/>
  <c r="H14" i="50"/>
  <c r="S12" i="137"/>
  <c r="S21" i="4"/>
  <c r="H40" i="50"/>
  <c r="J40" i="50"/>
  <c r="S11" i="150"/>
  <c r="J50" i="50"/>
  <c r="H50" i="50"/>
  <c r="S13" i="137"/>
  <c r="J12" i="50"/>
  <c r="H12" i="50"/>
  <c r="J25" i="50"/>
  <c r="S13" i="1"/>
  <c r="H25" i="50"/>
  <c r="H31" i="50"/>
  <c r="J31" i="50"/>
  <c r="S20" i="4"/>
  <c r="J42" i="50"/>
  <c r="S29" i="1"/>
  <c r="H42" i="50"/>
  <c r="S30" i="1"/>
  <c r="J33" i="50"/>
  <c r="H33" i="50"/>
  <c r="H21" i="50"/>
  <c r="S14" i="4"/>
  <c r="J21" i="50"/>
  <c r="S11" i="137"/>
  <c r="H34" i="50"/>
  <c r="J34" i="50"/>
  <c r="S9" i="150"/>
  <c r="H48" i="50"/>
  <c r="J48" i="50"/>
  <c r="J16" i="50"/>
  <c r="S9" i="4"/>
  <c r="H16" i="50"/>
  <c r="S12" i="150"/>
  <c r="J51" i="50"/>
  <c r="H51" i="50"/>
  <c r="N11" i="137" l="1"/>
  <c r="O11" i="137"/>
  <c r="A11" i="137" s="1"/>
  <c r="O29" i="1"/>
  <c r="A29" i="1" s="1"/>
  <c r="N29" i="1"/>
  <c r="N21" i="4"/>
  <c r="O21" i="4"/>
  <c r="A21" i="4" s="1"/>
  <c r="S4" i="150"/>
  <c r="N5" i="150"/>
  <c r="O5" i="150"/>
  <c r="N7" i="4"/>
  <c r="O7" i="4"/>
  <c r="A7" i="4" s="1"/>
  <c r="O18" i="4"/>
  <c r="A18" i="4" s="1"/>
  <c r="N18" i="4"/>
  <c r="N13" i="4"/>
  <c r="O13" i="4"/>
  <c r="A13" i="4" s="1"/>
  <c r="N15" i="4"/>
  <c r="O15" i="4"/>
  <c r="A15" i="4" s="1"/>
  <c r="N28" i="1"/>
  <c r="O28" i="1"/>
  <c r="A28" i="1" s="1"/>
  <c r="O8" i="4"/>
  <c r="A8" i="4" s="1"/>
  <c r="N8" i="4"/>
  <c r="H4" i="50"/>
  <c r="O7" i="150"/>
  <c r="A7" i="150" s="1"/>
  <c r="N7" i="150"/>
  <c r="O11" i="150"/>
  <c r="A11" i="150" s="1"/>
  <c r="N11" i="150"/>
  <c r="O15" i="137"/>
  <c r="A15" i="137" s="1"/>
  <c r="N15" i="137"/>
  <c r="O13" i="150"/>
  <c r="A13" i="150" s="1"/>
  <c r="N13" i="150"/>
  <c r="O9" i="1"/>
  <c r="A9" i="1" s="1"/>
  <c r="N9" i="1"/>
  <c r="O25" i="1"/>
  <c r="A25" i="1" s="1"/>
  <c r="N25" i="1"/>
  <c r="O6" i="150"/>
  <c r="A6" i="150" s="1"/>
  <c r="N6" i="150"/>
  <c r="J4" i="50"/>
  <c r="I4" i="50" s="1"/>
  <c r="K14" i="50" s="1"/>
  <c r="O21" i="1"/>
  <c r="A21" i="1" s="1"/>
  <c r="N21" i="1"/>
  <c r="O23" i="4"/>
  <c r="A23" i="4" s="1"/>
  <c r="N23" i="4"/>
  <c r="O26" i="1"/>
  <c r="A26" i="1" s="1"/>
  <c r="N26" i="1"/>
  <c r="N24" i="1"/>
  <c r="O24" i="1"/>
  <c r="A24" i="1" s="1"/>
  <c r="N9" i="150"/>
  <c r="O9" i="150"/>
  <c r="A9" i="150" s="1"/>
  <c r="O17" i="4"/>
  <c r="A17" i="4" s="1"/>
  <c r="N17" i="4"/>
  <c r="S4" i="1"/>
  <c r="N8" i="1"/>
  <c r="O8" i="1"/>
  <c r="O30" i="1"/>
  <c r="A30" i="1" s="1"/>
  <c r="N30" i="1"/>
  <c r="O20" i="4"/>
  <c r="A20" i="4" s="1"/>
  <c r="N20" i="4"/>
  <c r="N13" i="1"/>
  <c r="O13" i="1"/>
  <c r="A13" i="1" s="1"/>
  <c r="O13" i="137"/>
  <c r="A13" i="137" s="1"/>
  <c r="N13" i="137"/>
  <c r="N19" i="4"/>
  <c r="O19" i="4"/>
  <c r="A19" i="4" s="1"/>
  <c r="O10" i="150"/>
  <c r="A10" i="150" s="1"/>
  <c r="N10" i="150"/>
  <c r="O8" i="150"/>
  <c r="A8" i="150" s="1"/>
  <c r="N8" i="150"/>
  <c r="N9" i="4"/>
  <c r="O9" i="4"/>
  <c r="A9" i="4" s="1"/>
  <c r="N12" i="137"/>
  <c r="O12" i="137"/>
  <c r="A12" i="137" s="1"/>
  <c r="O11" i="4"/>
  <c r="A11" i="4" s="1"/>
  <c r="N11" i="4"/>
  <c r="N18" i="1"/>
  <c r="O18" i="1"/>
  <c r="A18" i="1" s="1"/>
  <c r="N14" i="4"/>
  <c r="O14" i="4"/>
  <c r="A14" i="4" s="1"/>
  <c r="O12" i="150"/>
  <c r="A12" i="150" s="1"/>
  <c r="N12" i="150"/>
  <c r="S4" i="4"/>
  <c r="N5" i="4"/>
  <c r="O5" i="4"/>
  <c r="O14" i="137"/>
  <c r="A14" i="137" s="1"/>
  <c r="N14" i="137"/>
  <c r="O27" i="1"/>
  <c r="A27" i="1" s="1"/>
  <c r="N27" i="1"/>
  <c r="N16" i="4"/>
  <c r="O16" i="4"/>
  <c r="A16" i="4" s="1"/>
  <c r="N5" i="137"/>
  <c r="O5" i="137"/>
  <c r="S4" i="137"/>
  <c r="N4" i="137" l="1"/>
  <c r="N4" i="4"/>
  <c r="A8" i="1"/>
  <c r="A4" i="1" s="1"/>
  <c r="O4" i="1"/>
  <c r="N4" i="150"/>
  <c r="N4" i="1"/>
  <c r="A5" i="137"/>
  <c r="A4" i="137" s="1"/>
  <c r="O4" i="137"/>
  <c r="O4" i="4"/>
  <c r="A5" i="4"/>
  <c r="A4" i="4" s="1"/>
  <c r="A5" i="150"/>
  <c r="A4" i="150" s="1"/>
  <c r="O4" i="150"/>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<sst xmlns="http://schemas.openxmlformats.org/spreadsheetml/2006/main" count="1325" uniqueCount="324">
  <si>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</si>
  <si>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</si>
  <si>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</si>
  <si>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</si>
  <si>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</si>
  <si>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</si>
  <si>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</si>
  <si>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</si>
  <si>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</si>
  <si>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</si>
  <si>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</si>
  <si>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</si>
  <si>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</si>
  <si>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</si>
  <si>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</si>
  <si>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</si>
  <si>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</si>
  <si>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</si>
  <si>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</si>
  <si>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</si>
  <si>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</si>
  <si>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</si>
  <si>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</si>
  <si>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</si>
  <si>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</si>
  <si>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</si>
  <si>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</si>
  <si>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</si>
  <si>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</si>
  <si>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</si>
  <si>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</si>
  <si>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</si>
  <si>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</si>
  <si>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</si>
  <si>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</si>
  <si>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</si>
  <si>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</si>
  <si>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</si>
  <si>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</si>
  <si>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</si>
  <si>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</si>
  <si>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</si>
  <si>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</si>
  <si>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</si>
  <si>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</si>
  <si>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</si>
  <si>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</si>
  <si>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</si>
  <si>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</si>
  <si>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</si>
  <si>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</si>
  <si>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</si>
  <si>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</si>
  <si>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</si>
  <si>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</si>
  <si>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</si>
  <si>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</si>
  <si>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</si>
  <si>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</si>
  <si>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</si>
  <si>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</si>
  <si>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</si>
  <si>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</si>
  <si>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</si>
  <si>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</si>
  <si>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</si>
  <si>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</si>
  <si>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</si>
  <si>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</si>
  <si>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</si>
  <si>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</si>
  <si>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</si>
  <si>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</si>
  <si>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</si>
  <si>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</si>
  <si>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</si>
  <si>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</si>
  <si>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</si>
  <si>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</si>
  <si>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</si>
  <si>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</si>
  <si>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</si>
  <si>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</si>
  <si>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</si>
  <si>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</si>
  <si>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</si>
  <si>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</si>
  <si>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</si>
  <si>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</si>
  <si>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</si>
  <si>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</si>
  <si>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</si>
  <si>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</si>
  <si>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</si>
  <si>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</si>
  <si>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</si>
  <si>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</si>
  <si>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</si>
  <si>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</si>
  <si>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</si>
  <si>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</si>
  <si>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</si>
  <si>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</si>
  <si>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</si>
  <si>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</si>
  <si>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</si>
  <si>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</si>
  <si>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</si>
  <si>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</si>
  <si>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</si>
  <si>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</si>
  <si>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</si>
  <si>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</si>
  <si>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</si>
  <si>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</si>
  <si>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</si>
  <si>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</si>
  <si>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</si>
  <si>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</si>
  <si>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</si>
  <si>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</si>
  <si>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</si>
  <si>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</si>
  <si>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</si>
  <si>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</si>
  <si>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</si>
  <si>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</si>
  <si>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</si>
  <si>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</si>
  <si>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</si>
  <si>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</si>
  <si>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</si>
  <si>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</si>
  <si>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</si>
  <si>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</si>
  <si>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</si>
  <si>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</si>
  <si>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</si>
  <si>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</si>
  <si>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</si>
  <si>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</si>
  <si>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</si>
  <si>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</si>
  <si>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</si>
  <si>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</si>
  <si>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</si>
  <si>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</si>
  <si>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</si>
  <si>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</si>
  <si>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</si>
  <si>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</si>
  <si>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</si>
  <si>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</si>
  <si>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</si>
  <si>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</si>
  <si>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</si>
  <si>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</si>
  <si>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</si>
  <si>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</si>
  <si>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</si>
  <si>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</si>
  <si>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</si>
  <si>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</si>
  <si>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</si>
  <si>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</si>
  <si>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</si>
  <si>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</si>
  <si>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</si>
  <si>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</si>
  <si>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</si>
  <si>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</si>
  <si>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</si>
  <si>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</si>
  <si>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</si>
  <si>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</si>
  <si>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</si>
  <si>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</si>
  <si>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</si>
  <si>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</si>
  <si>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</si>
  <si>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</si>
  <si>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</si>
  <si>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</si>
  <si>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</si>
  <si>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</si>
  <si>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</si>
  <si>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</si>
  <si>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</si>
  <si>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</si>
  <si>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</si>
  <si>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</si>
  <si>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</si>
  <si>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</si>
  <si>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</si>
  <si>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</si>
  <si>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</si>
  <si>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</si>
  <si>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</si>
  <si>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</si>
  <si>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</si>
  <si>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</si>
  <si>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</si>
  <si>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</si>
  <si>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</si>
  <si>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</si>
  <si>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</si>
  <si>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</si>
  <si>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</si>
  <si>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</si>
  <si>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</si>
  <si>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</si>
  <si>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</si>
  <si>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</si>
  <si>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</si>
  <si>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</si>
  <si>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</si>
  <si>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</si>
  <si>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</si>
  <si>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</si>
  <si>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</si>
  <si>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</si>
  <si>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</si>
  <si>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</si>
  <si>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</si>
  <si>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</si>
  <si>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</si>
  <si>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</si>
  <si>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</si>
  <si>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</si>
  <si>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</si>
  <si>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</si>
  <si>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</si>
  <si>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</si>
  <si>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</si>
  <si>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</si>
  <si>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</si>
  <si>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</si>
  <si>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</si>
  <si>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</si>
  <si>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</si>
  <si>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</si>
  <si>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</si>
  <si>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</si>
  <si>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</si>
  <si>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</si>
  <si>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</si>
  <si>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</si>
  <si>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</si>
  <si>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</si>
  <si>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</si>
  <si>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</si>
  <si>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</si>
  <si>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</si>
  <si>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</si>
  <si>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</si>
  <si>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</si>
  <si>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</si>
  <si>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</si>
  <si>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</si>
  <si>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</si>
  <si>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</si>
  <si>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</si>
  <si>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</si>
  <si>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</si>
  <si>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</si>
  <si>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</si>
  <si>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</si>
  <si>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</si>
  <si>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</si>
  <si>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</si>
  <si>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</si>
  <si>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</si>
  <si>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</si>
  <si>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</si>
  <si>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</si>
  <si>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</si>
  <si>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</si>
  <si>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</si>
  <si>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</si>
  <si>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</si>
  <si>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</si>
  <si>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</si>
  <si>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</si>
  <si>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</si>
  <si>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</si>
  <si>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</si>
  <si>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</si>
  <si>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</si>
  <si>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</si>
  <si>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</si>
  <si>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</si>
  <si>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</si>
  <si>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</si>
  <si>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</si>
  <si>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</si>
  <si>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</si>
  <si>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</si>
  <si>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</si>
  <si>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</si>
  <si>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</si>
  <si>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</si>
  <si>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</si>
  <si>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</si>
  <si>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</si>
  <si>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</si>
  <si>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</si>
  <si>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</si>
  <si>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</si>
  <si>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</si>
  <si>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</si>
  <si>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</si>
  <si>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</si>
  <si>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Dì Tư</t>
  </si>
  <si>
    <t>Bà Tư</t>
  </si>
  <si>
    <t>Chị Mến</t>
  </si>
  <si>
    <t>KH lẻ</t>
  </si>
  <si>
    <t>Chị Hiếu</t>
  </si>
  <si>
    <t>Dì Bến</t>
  </si>
  <si>
    <t>KH lẻ - Cô Lệ</t>
  </si>
  <si>
    <t>Cô Bé</t>
  </si>
  <si>
    <t>Dì Luận</t>
  </si>
  <si>
    <t xml:space="preserve">Chị Hiền </t>
  </si>
  <si>
    <t xml:space="preserve">MỸ Duyên </t>
  </si>
  <si>
    <t>TH Tịnh 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</si>
</sst>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6"/>
      <tableStyleElement type="headerRow" dxfId="44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8961" name="Button 1" hidden="1">
              <a:extLst>
                <a:ext uri="{63B3BB69-23CF-44E3-9099-C40C66FF867C}">
                  <a14:compatExt spid="_x0000_s208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7937" name="Button 1" hidden="1">
              <a:extLst>
                <a:ext uri="{63B3BB69-23CF-44E3-9099-C40C66FF867C}">
                  <a14:compatExt spid="_x0000_s208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6913" name="Button 1" hidden="1">
              <a:extLst>
                <a:ext uri="{63B3BB69-23CF-44E3-9099-C40C66FF867C}">
                  <a14:compatExt spid="_x0000_s208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5889" name="Button 1" hidden="1">
              <a:extLst>
                <a:ext uri="{63B3BB69-23CF-44E3-9099-C40C66FF867C}">
                  <a14:compatExt spid="_x0000_s208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4865" name="Button 1" hidden="1">
              <a:extLst>
                <a:ext uri="{63B3BB69-23CF-44E3-9099-C40C66FF867C}">
                  <a14:compatExt spid="_x0000_s208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3841" name="Button 1" hidden="1">
              <a:extLst>
                <a:ext uri="{63B3BB69-23CF-44E3-9099-C40C66FF867C}">
                  <a14:compatExt spid="_x0000_s208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82817" name="Button 1" hidden="1">
              <a:extLst>
                <a:ext uri="{63B3BB69-23CF-44E3-9099-C40C66FF867C}">
                  <a14:compatExt spid="_x0000_s2082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71553" name="Button 1" hidden="1">
              <a:extLst>
                <a:ext uri="{63B3BB69-23CF-44E3-9099-C40C66FF867C}">
                  <a14:compatExt spid="_x0000_s207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70529" name="Button 1" hidden="1">
              <a:extLst>
                <a:ext uri="{63B3BB69-23CF-44E3-9099-C40C66FF867C}">
                  <a14:compatExt spid="_x0000_s207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9505" name="Button 1" hidden="1">
              <a:extLst>
                <a:ext uri="{63B3BB69-23CF-44E3-9099-C40C66FF867C}">
                  <a14:compatExt spid="_x0000_s206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8481" name="Button 1" hidden="1">
              <a:extLst>
                <a:ext uri="{63B3BB69-23CF-44E3-9099-C40C66FF867C}">
                  <a14:compatExt spid="_x0000_s206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7457" name="Button 1" hidden="1">
              <a:extLst>
                <a:ext uri="{63B3BB69-23CF-44E3-9099-C40C66FF867C}">
                  <a14:compatExt spid="_x0000_s206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6433" name="Button 1" hidden="1">
              <a:extLst>
                <a:ext uri="{63B3BB69-23CF-44E3-9099-C40C66FF867C}">
                  <a14:compatExt spid="_x0000_s206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16">
      <pivotArea field="3" type="button" dataOnly="0" labelOnly="1" outline="0" axis="axisRow" fieldPosition="3"/>
    </format>
    <format dxfId="41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7">
      <pivotArea dataOnly="0" labelOnly="1" grandRow="1" outline="0"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field="2" type="button" dataOnly="0" labelOnly="1" outline="0" axis="axisRow" fieldPosition="1"/>
    </format>
    <format dxfId="383">
      <pivotArea type="all" dataOnly="0" outline="0" fieldPosition="0"/>
    </format>
    <format dxfId="382">
      <pivotArea field="0" type="button" dataOnly="0" labelOnly="1" outline="0" axis="axisRow" fieldPosition="0"/>
    </format>
    <format dxfId="381">
      <pivotArea field="2" type="button" dataOnly="0" labelOnly="1" outline="0" axis="axisRow" fieldPosition="1"/>
    </format>
    <format dxfId="380">
      <pivotArea field="1" type="button" dataOnly="0" labelOnly="1" outline="0" axis="axisRow" fieldPosition="2"/>
    </format>
    <format dxfId="379">
      <pivotArea field="3" type="button" dataOnly="0" labelOnly="1" outline="0" axis="axisRow" fieldPosition="3"/>
    </format>
    <format dxfId="378">
      <pivotArea field="0" type="button" dataOnly="0" labelOnly="1" outline="0" axis="axisRow" fieldPosition="0"/>
    </format>
    <format dxfId="377">
      <pivotArea field="2" type="button" dataOnly="0" labelOnly="1" outline="0" axis="axisRow" fieldPosition="1"/>
    </format>
    <format dxfId="376">
      <pivotArea field="1" type="button" dataOnly="0" labelOnly="1" outline="0" axis="axisRow" fieldPosition="2"/>
    </format>
    <format dxfId="375">
      <pivotArea field="3" type="button" dataOnly="0" labelOnly="1" outline="0" axis="axisRow" fieldPosition="3"/>
    </format>
    <format dxfId="374">
      <pivotArea field="0" type="button" dataOnly="0" labelOnly="1" outline="0" axis="axisRow" fieldPosition="0"/>
    </format>
    <format dxfId="373">
      <pivotArea field="2" type="button" dataOnly="0" labelOnly="1" outline="0" axis="axisRow" fieldPosition="1"/>
    </format>
    <format dxfId="372">
      <pivotArea dataOnly="0" labelOnly="1" outline="0" fieldPosition="0">
        <references count="3">
          <reference field="0" count="1" selected="0">
            <x v="4"/>
          </reference>
          <reference field="1" count="1">
            <x v="2"/>
          </reference>
          <reference field="2" count="1" selected="0">
            <x v="4"/>
          </reference>
        </references>
      </pivotArea>
    </format>
    <format dxfId="371">
      <pivotArea dataOnly="0" labelOnly="1" outline="0" fieldPosition="0">
        <references count="3">
          <reference field="0" count="1" selected="0">
            <x v="5"/>
          </reference>
          <reference field="1" count="1">
            <x v="8"/>
          </reference>
          <reference field="2" count="1" selected="0">
            <x v="5"/>
          </reference>
        </references>
      </pivotArea>
    </format>
    <format dxfId="370">
      <pivotArea dataOnly="0" labelOnly="1" outline="0" fieldPosition="0">
        <references count="3">
          <reference field="0" count="1" selected="0">
            <x v="8"/>
          </reference>
          <reference field="1" count="1">
            <x v="7"/>
          </reference>
          <reference field="2" count="1" selected="0">
            <x v="8"/>
          </reference>
        </references>
      </pivotArea>
    </format>
    <format dxfId="369">
      <pivotArea dataOnly="0" labelOnly="1" outline="0" fieldPosition="0">
        <references count="3">
          <reference field="0" count="1" selected="0">
            <x v="10"/>
          </reference>
          <reference field="1" count="1">
            <x v="13"/>
          </reference>
          <reference field="2" count="1" selected="0">
            <x v="10"/>
          </reference>
        </references>
      </pivotArea>
    </format>
    <format dxfId="368">
      <pivotArea dataOnly="0" labelOnly="1" outline="0" fieldPosition="0">
        <references count="3">
          <reference field="0" count="1" selected="0">
            <x v="11"/>
          </reference>
          <reference field="1" count="1">
            <x v="14"/>
          </reference>
          <reference field="2" count="1" selected="0">
            <x v="11"/>
          </reference>
        </references>
      </pivotArea>
    </format>
    <format dxfId="367">
      <pivotArea dataOnly="0" labelOnly="1" outline="0" fieldPosition="0">
        <references count="3">
          <reference field="0" count="1" selected="0">
            <x v="12"/>
          </reference>
          <reference field="1" count="1">
            <x v="15"/>
          </reference>
          <reference field="2" count="1" selected="0">
            <x v="12"/>
          </reference>
        </references>
      </pivotArea>
    </format>
    <format dxfId="366">
      <pivotArea dataOnly="0" labelOnly="1" outline="0" fieldPosition="0">
        <references count="3">
          <reference field="0" count="1" selected="0">
            <x v="13"/>
          </reference>
          <reference field="1" count="1">
            <x v="16"/>
          </reference>
          <reference field="2" count="1" selected="0">
            <x v="13"/>
          </reference>
        </references>
      </pivotArea>
    </format>
    <format dxfId="365">
      <pivotArea dataOnly="0" labelOnly="1" outline="0" fieldPosition="0">
        <references count="3">
          <reference field="0" count="1" selected="0">
            <x v="14"/>
          </reference>
          <reference field="1" count="1">
            <x v="17"/>
          </reference>
          <reference field="2" count="1" selected="0">
            <x v="14"/>
          </reference>
        </references>
      </pivotArea>
    </format>
    <format dxfId="364">
      <pivotArea dataOnly="0" labelOnly="1" outline="0" fieldPosition="0">
        <references count="3">
          <reference field="0" count="1" selected="0">
            <x v="15"/>
          </reference>
          <reference field="1" count="1">
            <x v="10"/>
          </reference>
          <reference field="2" count="1" selected="0">
            <x v="15"/>
          </reference>
        </references>
      </pivotArea>
    </format>
    <format dxfId="363">
      <pivotArea dataOnly="0" labelOnly="1" outline="0" fieldPosition="0">
        <references count="3">
          <reference field="0" count="1" selected="0">
            <x v="16"/>
          </reference>
          <reference field="1" count="1">
            <x v="11"/>
          </reference>
          <reference field="2" count="1" selected="0">
            <x v="16"/>
          </reference>
        </references>
      </pivotArea>
    </format>
    <format dxfId="362">
      <pivotArea dataOnly="0" labelOnly="1" outline="0" fieldPosition="0">
        <references count="3">
          <reference field="0" count="1" selected="0">
            <x v="17"/>
          </reference>
          <reference field="1" count="1">
            <x v="3"/>
          </reference>
          <reference field="2" count="1" selected="0">
            <x v="17"/>
          </reference>
        </references>
      </pivotArea>
    </format>
    <format dxfId="361">
      <pivotArea dataOnly="0" labelOnly="1" outline="0" fieldPosition="0">
        <references count="3">
          <reference field="0" count="1" selected="0">
            <x v="20"/>
          </reference>
          <reference field="1" count="1">
            <x v="18"/>
          </reference>
          <reference field="2" count="1" selected="0">
            <x v="20"/>
          </reference>
        </references>
      </pivotArea>
    </format>
    <format dxfId="360">
      <pivotArea dataOnly="0" labelOnly="1" outline="0" fieldPosition="0">
        <references count="3">
          <reference field="0" count="1" selected="0">
            <x v="25"/>
          </reference>
          <reference field="1" count="1">
            <x v="1"/>
          </reference>
          <reference field="2" count="1" selected="0">
            <x v="25"/>
          </reference>
        </references>
      </pivotArea>
    </format>
    <format dxfId="3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2">
          <reference field="0" count="1" selected="0">
            <x v="3"/>
          </reference>
          <reference field="2" count="1">
            <x v="3"/>
          </reference>
        </references>
      </pivotArea>
    </format>
    <format dxfId="342">
      <pivotArea dataOnly="0" labelOnly="1" outline="0" fieldPosition="0">
        <references count="2">
          <reference field="0" count="1" selected="0">
            <x v="4"/>
          </reference>
          <reference field="2" count="1">
            <x v="4"/>
          </reference>
        </references>
      </pivotArea>
    </format>
    <format dxfId="341">
      <pivotArea dataOnly="0" labelOnly="1" outline="0" fieldPosition="0">
        <references count="2">
          <reference field="0" count="1" selected="0">
            <x v="5"/>
          </reference>
          <reference field="2" count="1">
            <x v="5"/>
          </reference>
        </references>
      </pivotArea>
    </format>
    <format dxfId="340">
      <pivotArea dataOnly="0" labelOnly="1" outline="0" fieldPosition="0">
        <references count="2">
          <reference field="0" count="1" selected="0">
            <x v="6"/>
          </reference>
          <reference field="2" count="1">
            <x v="6"/>
          </reference>
        </references>
      </pivotArea>
    </format>
    <format dxfId="339">
      <pivotArea dataOnly="0" labelOnly="1" outline="0" fieldPosition="0">
        <references count="2">
          <reference field="0" count="1" selected="0">
            <x v="7"/>
          </reference>
          <reference field="2" count="1">
            <x v="7"/>
          </reference>
        </references>
      </pivotArea>
    </format>
    <format dxfId="338">
      <pivotArea dataOnly="0" labelOnly="1" outline="0" fieldPosition="0">
        <references count="2">
          <reference field="0" count="1" selected="0">
            <x v="8"/>
          </reference>
          <reference field="2" count="1">
            <x v="8"/>
          </reference>
        </references>
      </pivotArea>
    </format>
    <format dxfId="337">
      <pivotArea dataOnly="0" labelOnly="1" outline="0" fieldPosition="0">
        <references count="2">
          <reference field="0" count="1" selected="0">
            <x v="9"/>
          </reference>
          <reference field="2" count="1">
            <x v="9"/>
          </reference>
        </references>
      </pivotArea>
    </format>
    <format dxfId="336">
      <pivotArea dataOnly="0" labelOnly="1" outline="0" fieldPosition="0">
        <references count="2">
          <reference field="0" count="1" selected="0">
            <x v="10"/>
          </reference>
          <reference field="2" count="1">
            <x v="10"/>
          </reference>
        </references>
      </pivotArea>
    </format>
    <format dxfId="335">
      <pivotArea dataOnly="0" labelOnly="1" outline="0" fieldPosition="0">
        <references count="2">
          <reference field="0" count="1" selected="0">
            <x v="11"/>
          </reference>
          <reference field="2" count="1">
            <x v="11"/>
          </reference>
        </references>
      </pivotArea>
    </format>
    <format dxfId="334">
      <pivotArea dataOnly="0" labelOnly="1" outline="0" fieldPosition="0">
        <references count="2">
          <reference field="0" count="1" selected="0">
            <x v="12"/>
          </reference>
          <reference field="2" count="1">
            <x v="12"/>
          </reference>
        </references>
      </pivotArea>
    </format>
    <format dxfId="333">
      <pivotArea dataOnly="0" labelOnly="1" outline="0" fieldPosition="0">
        <references count="2">
          <reference field="0" count="1" selected="0">
            <x v="13"/>
          </reference>
          <reference field="2" count="1">
            <x v="13"/>
          </reference>
        </references>
      </pivotArea>
    </format>
    <format dxfId="332">
      <pivotArea dataOnly="0" labelOnly="1" outline="0" fieldPosition="0">
        <references count="2">
          <reference field="0" count="1" selected="0">
            <x v="14"/>
          </reference>
          <reference field="2" count="1">
            <x v="14"/>
          </reference>
        </references>
      </pivotArea>
    </format>
    <format dxfId="331">
      <pivotArea dataOnly="0" labelOnly="1" outline="0" fieldPosition="0">
        <references count="2">
          <reference field="0" count="1" selected="0">
            <x v="15"/>
          </reference>
          <reference field="2" count="1">
            <x v="15"/>
          </reference>
        </references>
      </pivotArea>
    </format>
    <format dxfId="330">
      <pivotArea dataOnly="0" labelOnly="1" outline="0" fieldPosition="0">
        <references count="2">
          <reference field="0" count="1" selected="0">
            <x v="16"/>
          </reference>
          <reference field="2" count="1">
            <x v="16"/>
          </reference>
        </references>
      </pivotArea>
    </format>
    <format dxfId="329">
      <pivotArea dataOnly="0" labelOnly="1" outline="0" fieldPosition="0">
        <references count="2">
          <reference field="0" count="1" selected="0">
            <x v="17"/>
          </reference>
          <reference field="2" count="1">
            <x v="17"/>
          </reference>
        </references>
      </pivotArea>
    </format>
    <format dxfId="328">
      <pivotArea dataOnly="0" labelOnly="1" outline="0" fieldPosition="0">
        <references count="2">
          <reference field="0" count="1" selected="0">
            <x v="18"/>
          </reference>
          <reference field="2" count="1">
            <x v="18"/>
          </reference>
        </references>
      </pivotArea>
    </format>
    <format dxfId="327">
      <pivotArea dataOnly="0" labelOnly="1" outline="0" fieldPosition="0">
        <references count="2">
          <reference field="0" count="1" selected="0">
            <x v="19"/>
          </reference>
          <reference field="2" count="1">
            <x v="19"/>
          </reference>
        </references>
      </pivotArea>
    </format>
    <format dxfId="326">
      <pivotArea dataOnly="0" labelOnly="1" outline="0" fieldPosition="0">
        <references count="2">
          <reference field="0" count="1" selected="0">
            <x v="20"/>
          </reference>
          <reference field="2" count="1">
            <x v="20"/>
          </reference>
        </references>
      </pivotArea>
    </format>
    <format dxfId="325">
      <pivotArea dataOnly="0" labelOnly="1" outline="0" fieldPosition="0">
        <references count="2">
          <reference field="0" count="1" selected="0">
            <x v="21"/>
          </reference>
          <reference field="2" count="1">
            <x v="21"/>
          </reference>
        </references>
      </pivotArea>
    </format>
    <format dxfId="324">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2">
      <pivotArea dataOnly="0" labelOnly="1" outline="0" fieldPosition="0">
        <references count="2">
          <reference field="0" count="1" selected="0">
            <x v="24"/>
          </reference>
          <reference field="2" count="1">
            <x v="24"/>
          </reference>
        </references>
      </pivotArea>
    </format>
    <format dxfId="321">
      <pivotArea dataOnly="0" labelOnly="1" outline="0" fieldPosition="0">
        <references count="2">
          <reference field="0" count="1" selected="0">
            <x v="25"/>
          </reference>
          <reference field="2" count="1">
            <x v="25"/>
          </reference>
        </references>
      </pivotArea>
    </format>
    <format dxfId="320">
      <pivotArea dataOnly="0" labelOnly="1" outline="0" fieldPosition="0">
        <references count="2">
          <reference field="0" count="1" selected="0">
            <x v="26"/>
          </reference>
          <reference field="2" count="1">
            <x v="26"/>
          </reference>
        </references>
      </pivotArea>
    </format>
    <format dxfId="319">
      <pivotArea dataOnly="0" labelOnly="1" outline="0" fieldPosition="0">
        <references count="2">
          <reference field="0" count="1" selected="0">
            <x v="27"/>
          </reference>
          <reference field="2" count="1">
            <x v="27"/>
          </reference>
        </references>
      </pivotArea>
    </format>
    <format dxfId="318">
      <pivotArea dataOnly="0" labelOnly="1" outline="0" fieldPosition="0">
        <references count="2">
          <reference field="0" count="1" selected="0">
            <x v="28"/>
          </reference>
          <reference field="2" count="1">
            <x v="28"/>
          </reference>
        </references>
      </pivotArea>
    </format>
    <format dxfId="317">
      <pivotArea dataOnly="0" labelOnly="1" outline="0" fieldPosition="0">
        <references count="2">
          <reference field="0" count="1" selected="0">
            <x v="29"/>
          </reference>
          <reference field="2" count="1">
            <x v="29"/>
          </reference>
        </references>
      </pivotArea>
    </format>
    <format dxfId="316">
      <pivotArea dataOnly="0" labelOnly="1" outline="0" fieldPosition="0">
        <references count="2">
          <reference field="0" count="1" selected="0">
            <x v="30"/>
          </reference>
          <reference field="2" count="1">
            <x v="30"/>
          </reference>
        </references>
      </pivotArea>
    </format>
    <format dxfId="315">
      <pivotArea dataOnly="0" labelOnly="1" outline="0" fieldPosition="0">
        <references count="2">
          <reference field="0" count="1" selected="0">
            <x v="31"/>
          </reference>
          <reference field="2" count="1">
            <x v="31"/>
          </reference>
        </references>
      </pivotArea>
    </format>
    <format dxfId="314">
      <pivotArea dataOnly="0" labelOnly="1" outline="0" fieldPosition="0">
        <references count="2">
          <reference field="0" count="1" selected="0">
            <x v="32"/>
          </reference>
          <reference field="2" count="1">
            <x v="32"/>
          </reference>
        </references>
      </pivotArea>
    </format>
    <format dxfId="313">
      <pivotArea dataOnly="0" labelOnly="1" outline="0" fieldPosition="0">
        <references count="2">
          <reference field="0" count="1" selected="0">
            <x v="33"/>
          </reference>
          <reference field="2" count="1">
            <x v="33"/>
          </reference>
        </references>
      </pivotArea>
    </format>
    <format dxfId="312">
      <pivotArea dataOnly="0" labelOnly="1" outline="0" fieldPosition="0">
        <references count="2">
          <reference field="0" count="1" selected="0">
            <x v="34"/>
          </reference>
          <reference field="2" count="1">
            <x v="34"/>
          </reference>
        </references>
      </pivotArea>
    </format>
    <format dxfId="311">
      <pivotArea dataOnly="0" labelOnly="1" outline="0" fieldPosition="0">
        <references count="2">
          <reference field="0" count="1" selected="0">
            <x v="35"/>
          </reference>
          <reference field="2" count="1">
            <x v="35"/>
          </reference>
        </references>
      </pivotArea>
    </format>
    <format dxfId="310">
      <pivotArea dataOnly="0" labelOnly="1" outline="0" fieldPosition="0">
        <references count="2">
          <reference field="0" count="1" selected="0">
            <x v="36"/>
          </reference>
          <reference field="2" count="1">
            <x v="36"/>
          </reference>
        </references>
      </pivotArea>
    </format>
    <format dxfId="309">
      <pivotArea dataOnly="0" labelOnly="1" outline="0" fieldPosition="0">
        <references count="2">
          <reference field="0" count="1" selected="0">
            <x v="37"/>
          </reference>
          <reference field="2" count="1">
            <x v="37"/>
          </reference>
        </references>
      </pivotArea>
    </format>
    <format dxfId="308">
      <pivotArea dataOnly="0" labelOnly="1" outline="0" fieldPosition="0">
        <references count="2">
          <reference field="0" count="1" selected="0">
            <x v="38"/>
          </reference>
          <reference field="2" count="1">
            <x v="38"/>
          </reference>
        </references>
      </pivotArea>
    </format>
    <format dxfId="307">
      <pivotArea dataOnly="0" labelOnly="1" outline="0" fieldPosition="0">
        <references count="2">
          <reference field="0" count="1" selected="0">
            <x v="39"/>
          </reference>
          <reference field="2" count="1">
            <x v="39"/>
          </reference>
        </references>
      </pivotArea>
    </format>
    <format dxfId="306">
      <pivotArea dataOnly="0" labelOnly="1" outline="0" fieldPosition="0">
        <references count="2">
          <reference field="0" count="1" selected="0">
            <x v="40"/>
          </reference>
          <reference field="2" count="1">
            <x v="40"/>
          </reference>
        </references>
      </pivotArea>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type="all" dataOnly="0" outline="0" fieldPosition="0"/>
    </format>
    <format dxfId="279">
      <pivotArea type="all" dataOnly="0" outline="0" fieldPosition="0"/>
    </format>
    <format dxfId="278">
      <pivotArea type="all" dataOnly="0" outline="0" fieldPosition="0"/>
    </format>
    <format dxfId="277">
      <pivotArea dataOnly="0" labelOnly="1" outline="0" fieldPosition="0">
        <references count="1">
          <reference field="0" count="3">
            <x v="0"/>
            <x v="1"/>
            <x v="2"/>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1">
          <reference field="1" count="0"/>
        </references>
      </pivotArea>
    </format>
    <format dxfId="272">
      <pivotArea dataOnly="0" labelOnly="1" outline="0" fieldPosition="0">
        <references count="1">
          <reference field="0" count="1">
            <x v="42"/>
          </reference>
        </references>
      </pivotArea>
    </format>
    <format dxfId="271">
      <pivotArea dataOnly="0" labelOnly="1" outline="0" fieldPosition="0">
        <references count="1">
          <reference field="0" count="1">
            <x v="41"/>
          </reference>
        </references>
      </pivotArea>
    </format>
    <format dxfId="270">
      <pivotArea dataOnly="0" labelOnly="1" outline="0" fieldPosition="0">
        <references count="1">
          <reference field="0" count="1">
            <x v="1"/>
          </reference>
        </references>
      </pivotArea>
    </format>
    <format dxfId="269">
      <pivotArea dataOnly="0" labelOnly="1" outline="0" fieldPosition="0">
        <references count="2">
          <reference field="0" count="1" selected="0">
            <x v="1"/>
          </reference>
          <reference field="2" count="1">
            <x v="1"/>
          </reference>
        </references>
      </pivotArea>
    </format>
    <format dxfId="268">
      <pivotArea field="1" type="button" dataOnly="0" labelOnly="1" outline="0" axis="axisRow" fieldPosition="2"/>
    </format>
    <format dxfId="26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R14" sqref="Q14:R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4570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350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0">
        <v>4200</v>
      </c>
      <c r="Z6" s="260"/>
      <c r="AA6" s="260"/>
      <c r="AB6" s="260">
        <v>4100</v>
      </c>
      <c r="AC6" s="260"/>
      <c r="AD6" s="260"/>
      <c r="AE6" s="260">
        <v>4200</v>
      </c>
      <c r="AF6" s="260"/>
      <c r="AG6" s="260"/>
      <c r="AH6" s="260">
        <v>4100</v>
      </c>
      <c r="AI6" s="260"/>
      <c r="AJ6" s="260"/>
      <c r="AK6" s="260">
        <v>4100</v>
      </c>
      <c r="AL6" s="260"/>
      <c r="AM6" s="260"/>
      <c r="AN6" s="260">
        <v>4000</v>
      </c>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1000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20*116+20*30-30*2</f>
        <v>2860</v>
      </c>
    </row>
    <row r="4" spans="1:50" s="45" customFormat="1" ht="27" customHeight="1" x14ac:dyDescent="0.25">
      <c r="A4" s="49">
        <f ca="1">SUBTOTAL(9,A5:A21)</f>
        <v>10116.490235827254</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115581</v>
      </c>
      <c r="O4" s="48">
        <f ca="1">SUBTOTAL(9,O5:O15)</f>
        <v>153.5</v>
      </c>
      <c r="P4" s="74">
        <f>SUBTOTAL(9,P5:P15)</f>
        <v>4</v>
      </c>
      <c r="Q4" s="74"/>
      <c r="R4" s="25">
        <f t="shared" ref="R4:AV4" si="0">SUBTOTAL(9,R5:R16)</f>
        <v>1</v>
      </c>
      <c r="S4" s="25">
        <f t="shared" ca="1" si="0"/>
        <v>0.5</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81 Kg</v>
      </c>
      <c r="AX4" s="77">
        <f>SUBTOTAL(9,AX5:AX15)</f>
        <v>5615</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f ca="1">SUMIFS('Tổng Đơn'!$F:$F,'Tổng Đơn'!$B:$B,$C5)</f>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2506.5843532083359</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19886</v>
      </c>
      <c r="O6" s="70">
        <f t="shared" ca="1" si="4"/>
        <v>22</v>
      </c>
      <c r="P6" s="164"/>
      <c r="Q6" s="239">
        <v>163</v>
      </c>
      <c r="R6" s="232">
        <v>0</v>
      </c>
      <c r="S6" s="232">
        <f ca="1">SUMIFS('Tổng Đơn'!$F:$F,'Tổng Đơn'!$B:$B,$C6)</f>
        <v>0</v>
      </c>
      <c r="T6" s="232">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30</v>
      </c>
      <c r="AX6" s="58">
        <f t="shared" si="5"/>
        <v>3360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f ca="1">SUMIFS('Tổng Đơn'!$F:$F,'Tổng Đơn'!$B:$B,$C7)</f>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628.68065352384394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2204</v>
      </c>
      <c r="O8" s="70">
        <f t="shared" ca="1" si="4"/>
        <v>6</v>
      </c>
      <c r="P8" s="164"/>
      <c r="Q8" s="239">
        <v>19</v>
      </c>
      <c r="R8" s="232">
        <v>0</v>
      </c>
      <c r="S8" s="232">
        <f ca="1">SUMIFS('Tổng Đơn'!$F:$F,'Tổng Đơn'!$B:$B,$C8)</f>
        <v>0</v>
      </c>
      <c r="T8" s="232">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5</v>
      </c>
      <c r="AX8" s="58">
        <f t="shared" si="5"/>
        <v>515</v>
      </c>
    </row>
    <row r="9" spans="1:50" ht="25.5" customHeight="1" x14ac:dyDescent="0.25">
      <c r="A9" s="58">
        <f t="shared" ca="1" si="6"/>
        <v>203.4565221760013</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2880</v>
      </c>
      <c r="O9" s="70">
        <f t="shared" ca="1" si="4"/>
        <v>5</v>
      </c>
      <c r="P9" s="199">
        <v>3</v>
      </c>
      <c r="Q9" s="239">
        <v>60</v>
      </c>
      <c r="R9" s="232">
        <v>0</v>
      </c>
      <c r="S9" s="232">
        <f ca="1">SUMIFS('Tổng Đơn'!$F:$F,'Tổng Đơn'!$B:$B,$C9)</f>
        <v>0</v>
      </c>
      <c r="T9" s="232">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26</v>
      </c>
      <c r="R10" s="232">
        <v>0</v>
      </c>
      <c r="S10" s="232">
        <f ca="1">SUMIFS('Tổng Đơn'!$F:$F,'Tổng Đơn'!$B:$B,$C10)</f>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2950.1195715520184</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12350</v>
      </c>
      <c r="O11" s="70">
        <f t="shared" ca="1" si="4"/>
        <v>50</v>
      </c>
      <c r="P11" s="164">
        <v>0</v>
      </c>
      <c r="Q11" s="239">
        <v>190</v>
      </c>
      <c r="R11" s="232">
        <v>0</v>
      </c>
      <c r="S11" s="232">
        <f ca="1">SUMIFS('Tổng Đơn'!$F:$F,'Tổng Đơn'!$B:$B,$C11)</f>
        <v>0</v>
      </c>
      <c r="T11" s="232">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30</v>
      </c>
      <c r="AX11" s="58">
        <f t="shared" si="5"/>
        <v>1740</v>
      </c>
    </row>
    <row r="12" spans="1:50" ht="25.5" customHeight="1" x14ac:dyDescent="0.25">
      <c r="A12" s="58">
        <f t="shared" ca="1" si="6"/>
        <v>396.74021824320255</v>
      </c>
      <c r="B12" s="6">
        <v>8</v>
      </c>
      <c r="C12" s="60" t="s">
        <v>298</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810</v>
      </c>
      <c r="O12" s="70">
        <f t="shared" ca="1" si="4"/>
        <v>12</v>
      </c>
      <c r="P12" s="164"/>
      <c r="Q12" s="239">
        <v>17</v>
      </c>
      <c r="R12" s="232">
        <v>1</v>
      </c>
      <c r="S12" s="232">
        <f ca="1">SUMIFS('Tổng Đơn'!$F:$F,'Tổng Đơn'!$B:$B,$C12)</f>
        <v>0</v>
      </c>
      <c r="T12" s="232">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22</v>
      </c>
      <c r="R13" s="232">
        <v>0</v>
      </c>
      <c r="S13" s="232">
        <f ca="1">SUMIFS('Tổng Đơn'!$F:$F,'Tổng Đơn'!$B:$B,$C13)</f>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24</v>
      </c>
      <c r="R14" s="232">
        <v>0</v>
      </c>
      <c r="S14" s="232">
        <f ca="1">SUMIFS('Tổng Đơn'!$F:$F,'Tổng Đơn'!$B:$B,$C14)</f>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f ca="1">SUMIFS('Tổng Đơn'!$F:$F,'Tổng Đơn'!$B:$B,$C15)</f>
        <v>0.5</v>
      </c>
      <c r="T15" s="232">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44" priority="12">
      <formula>($O15/$O15)&lt;=1/4</formula>
    </cfRule>
  </conditionalFormatting>
  <conditionalFormatting sqref="C5:C16">
    <cfRule type="expression" dxfId="44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D8" sqref="D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44059.675594091823</v>
      </c>
      <c r="M2" s="8">
        <f>M4/K4-1</f>
        <v>0.14805081877408965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9179.9157642433438</v>
      </c>
      <c r="B4" s="16"/>
      <c r="C4" s="16"/>
      <c r="D4" s="46"/>
      <c r="E4" s="16">
        <f>SUMPRODUCT((E5:E35)*(F5:F35))</f>
        <v>4405.5</v>
      </c>
      <c r="F4" s="16">
        <f>SUBTOTAL(9,F5:F103)</f>
        <v>8536</v>
      </c>
      <c r="G4" s="7"/>
      <c r="H4" s="7">
        <f>SUBTOTAL(9,H5:H103)</f>
        <v>289960</v>
      </c>
      <c r="I4" s="12"/>
      <c r="J4" s="12"/>
      <c r="K4" s="12">
        <f>SUBTOTAL(9,K5:K103)</f>
        <v>297598.32440590818</v>
      </c>
      <c r="L4" s="47"/>
      <c r="M4" s="7">
        <f>SUBTOTAL(9,M5:M103)</f>
        <v>341658</v>
      </c>
      <c r="N4" s="7">
        <f ca="1">SUBTOTAL(9,N5:N103)</f>
        <v>329522</v>
      </c>
      <c r="O4" s="24">
        <f ca="1">SUBTOTAL(9,O5:O103)</f>
        <v>226</v>
      </c>
      <c r="P4" s="74">
        <f>SUBTOTAL(9,P5:P103)</f>
        <v>35</v>
      </c>
      <c r="Q4" s="74">
        <f>SUBTOTAL(9,Q5:Q103)</f>
        <v>8188</v>
      </c>
      <c r="R4" s="25">
        <f t="shared" ref="R4:AV4" si="0">SUBTOTAL(9,R5:R31)</f>
        <v>37</v>
      </c>
      <c r="S4" s="25">
        <f t="shared" ca="1" si="0"/>
        <v>19</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3920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0.55807266519519938</v>
      </c>
      <c r="J5" s="137">
        <f t="shared" ref="J5:J19" si="5">G5+I5</f>
        <v>21.808072665195198</v>
      </c>
      <c r="K5" s="65">
        <f t="shared" ref="K5:K24" si="6">J5*F5</f>
        <v>10904.0363325976</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0.57776934749620634</v>
      </c>
      <c r="J6" s="137">
        <f t="shared" si="5"/>
        <v>22.577769347496208</v>
      </c>
      <c r="K6" s="65">
        <f t="shared" si="6"/>
        <v>1806.2215477996965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0.57120378672920402</v>
      </c>
      <c r="J7" s="137">
        <f t="shared" si="5"/>
        <v>22.321203786729203</v>
      </c>
      <c r="K7" s="65">
        <f t="shared" si="6"/>
        <v>1562.4842650710443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923.63601876120845</v>
      </c>
      <c r="B8" s="6">
        <v>4</v>
      </c>
      <c r="C8" s="60" t="s">
        <v>4</v>
      </c>
      <c r="D8" s="68">
        <v>60</v>
      </c>
      <c r="E8" s="6">
        <v>0.5</v>
      </c>
      <c r="F8" s="6">
        <f>160+22+12+30+10+26+10+10+18+10+10+10+10+26+20</f>
        <v>384</v>
      </c>
      <c r="G8" s="71">
        <f t="shared" si="2"/>
        <v>30</v>
      </c>
      <c r="H8" s="73">
        <f t="shared" si="3"/>
        <v>11520</v>
      </c>
      <c r="I8" s="64">
        <f t="shared" si="4"/>
        <v>0.7878672920402815</v>
      </c>
      <c r="J8" s="137">
        <f t="shared" si="5"/>
        <v>30.787867292040282</v>
      </c>
      <c r="K8" s="65">
        <f t="shared" si="6"/>
        <v>11822.541040143467</v>
      </c>
      <c r="L8" s="72">
        <v>40</v>
      </c>
      <c r="M8" s="63">
        <f t="shared" si="7"/>
        <v>15360</v>
      </c>
      <c r="N8" s="63">
        <f t="shared" ca="1" si="8"/>
        <v>14120</v>
      </c>
      <c r="O8" s="67">
        <f t="shared" ca="1" si="9"/>
        <v>30</v>
      </c>
      <c r="P8" s="57">
        <v>1</v>
      </c>
      <c r="Q8" s="57">
        <v>353</v>
      </c>
      <c r="R8" s="60">
        <v>0</v>
      </c>
      <c r="S8" s="60">
        <f ca="1">SUMIFS('Tổng Đơn'!$F:$F,'Tổng Đơn'!$B:$B,$C8)</f>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1535.2883156297421</v>
      </c>
      <c r="B9" s="6">
        <v>5</v>
      </c>
      <c r="C9" s="60" t="s">
        <v>5</v>
      </c>
      <c r="D9" s="68">
        <v>68</v>
      </c>
      <c r="E9" s="6">
        <v>0.5</v>
      </c>
      <c r="F9" s="6">
        <f>285+40+50+20+50+50+40+60+92+36+30+50+20+50+40+30+50+30+20+60+5+40+30+30+20+40+80+20+59+85+50+35+10+60+20+30</f>
        <v>1717</v>
      </c>
      <c r="G9" s="71">
        <f t="shared" si="2"/>
        <v>34</v>
      </c>
      <c r="H9" s="73">
        <f t="shared" si="3"/>
        <v>58378</v>
      </c>
      <c r="I9" s="64">
        <f t="shared" si="4"/>
        <v>0.89291626431231896</v>
      </c>
      <c r="J9" s="137">
        <f t="shared" si="5"/>
        <v>34.892916264312319</v>
      </c>
      <c r="K9" s="65">
        <f t="shared" si="6"/>
        <v>59911.137225824255</v>
      </c>
      <c r="L9" s="72">
        <v>40</v>
      </c>
      <c r="M9" s="63">
        <f t="shared" si="7"/>
        <v>68680</v>
      </c>
      <c r="N9" s="63">
        <f t="shared" ca="1" si="8"/>
        <v>66960</v>
      </c>
      <c r="O9" s="67">
        <f t="shared" ca="1" si="9"/>
        <v>44</v>
      </c>
      <c r="P9" s="57">
        <v>-1</v>
      </c>
      <c r="Q9" s="57">
        <v>1673</v>
      </c>
      <c r="R9" s="60">
        <v>0</v>
      </c>
      <c r="S9" s="60">
        <f ca="1">SUMIFS('Tổng Đơn'!$F:$F,'Tổng Đơn'!$B:$B,$C9)</f>
        <v>1</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30</v>
      </c>
      <c r="AX9" s="58">
        <f t="shared" si="10"/>
        <v>1020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1.1292764519244034</v>
      </c>
      <c r="J10" s="137">
        <f t="shared" si="5"/>
        <v>44.129276451924405</v>
      </c>
      <c r="K10" s="65">
        <f t="shared" si="6"/>
        <v>3795.1177748654986</v>
      </c>
      <c r="L10" s="72">
        <v>50</v>
      </c>
      <c r="M10" s="63">
        <f t="shared" si="7"/>
        <v>4300</v>
      </c>
      <c r="N10" s="63">
        <f t="shared" si="8"/>
        <v>4200</v>
      </c>
      <c r="O10" s="67">
        <f t="shared" si="9"/>
        <v>0</v>
      </c>
      <c r="P10" s="57">
        <v>2</v>
      </c>
      <c r="Q10" s="57">
        <v>84</v>
      </c>
      <c r="R10" s="60">
        <v>0</v>
      </c>
      <c r="S10" s="60">
        <f>SUMIFS('Tổng Đơn'!$F:$F,'Tổng Đơn'!$B:$B,$C10)</f>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0.72221168437025796</v>
      </c>
      <c r="J11" s="137">
        <f t="shared" si="5"/>
        <v>28.222211684370258</v>
      </c>
      <c r="K11" s="65">
        <f t="shared" si="6"/>
        <v>564.44423368740513</v>
      </c>
      <c r="L11" s="72">
        <v>34</v>
      </c>
      <c r="M11" s="63">
        <f t="shared" si="7"/>
        <v>680</v>
      </c>
      <c r="N11" s="63">
        <f t="shared" si="8"/>
        <v>680</v>
      </c>
      <c r="O11" s="67">
        <f t="shared" si="9"/>
        <v>0</v>
      </c>
      <c r="P11" s="57"/>
      <c r="Q11" s="57">
        <v>20</v>
      </c>
      <c r="R11" s="60">
        <v>0</v>
      </c>
      <c r="S11" s="60">
        <f>SUMIFS('Tổng Đơn'!$F:$F,'Tổng Đơn'!$B:$B,$C11)</f>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1.5100789764105393</v>
      </c>
      <c r="J12" s="137">
        <f t="shared" si="5"/>
        <v>59.01007897641054</v>
      </c>
      <c r="K12" s="65">
        <f t="shared" si="6"/>
        <v>2242.3830011036007</v>
      </c>
      <c r="L12" s="72">
        <v>69</v>
      </c>
      <c r="M12" s="63">
        <f t="shared" si="7"/>
        <v>2622</v>
      </c>
      <c r="N12" s="63">
        <f t="shared" si="8"/>
        <v>1863</v>
      </c>
      <c r="O12" s="67">
        <f t="shared" si="9"/>
        <v>0</v>
      </c>
      <c r="P12" s="57">
        <v>11</v>
      </c>
      <c r="Q12" s="57">
        <v>27</v>
      </c>
      <c r="R12" s="60">
        <v>0</v>
      </c>
      <c r="S12" s="60">
        <f>SUMIFS('Tổng Đơn'!$F:$F,'Tổng Đơn'!$B:$B,$C12)</f>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1.1161453303903988</v>
      </c>
      <c r="J13" s="137">
        <f t="shared" si="5"/>
        <v>43.616145330390395</v>
      </c>
      <c r="K13" s="65">
        <f t="shared" si="6"/>
        <v>9595.5519726858874</v>
      </c>
      <c r="L13" s="72">
        <v>55</v>
      </c>
      <c r="M13" s="63">
        <f t="shared" si="7"/>
        <v>12100</v>
      </c>
      <c r="N13" s="63">
        <f t="shared" ca="1" si="8"/>
        <v>11715</v>
      </c>
      <c r="O13" s="67">
        <f t="shared" ca="1" si="9"/>
        <v>0</v>
      </c>
      <c r="P13" s="57">
        <v>7</v>
      </c>
      <c r="Q13" s="57">
        <v>213</v>
      </c>
      <c r="R13" s="60">
        <v>0</v>
      </c>
      <c r="S13" s="60">
        <f ca="1">SUMIFS('Tổng Đơn'!$F:$F,'Tổng Đơn'!$B:$B,$C13)</f>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0.7090805628362532</v>
      </c>
      <c r="J14" s="137">
        <f t="shared" si="5"/>
        <v>27.709080562836252</v>
      </c>
      <c r="K14" s="65">
        <f t="shared" si="6"/>
        <v>831.27241688508752</v>
      </c>
      <c r="L14" s="72">
        <v>32</v>
      </c>
      <c r="M14" s="63">
        <f t="shared" si="7"/>
        <v>960</v>
      </c>
      <c r="N14" s="63">
        <f t="shared" si="8"/>
        <v>960</v>
      </c>
      <c r="O14" s="67">
        <f t="shared" si="9"/>
        <v>0</v>
      </c>
      <c r="P14" s="57"/>
      <c r="Q14" s="57">
        <v>30</v>
      </c>
      <c r="R14" s="60">
        <v>0</v>
      </c>
      <c r="S14" s="60">
        <f>SUMIFS('Tổng Đơn'!$F:$F,'Tổng Đơn'!$B:$B,$C14)</f>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0.7090805628362532</v>
      </c>
      <c r="J15" s="137">
        <f t="shared" si="5"/>
        <v>27.709080562836252</v>
      </c>
      <c r="K15" s="65">
        <f t="shared" si="6"/>
        <v>277.09080562836255</v>
      </c>
      <c r="L15" s="72">
        <v>35</v>
      </c>
      <c r="M15" s="63">
        <f t="shared" si="7"/>
        <v>350</v>
      </c>
      <c r="N15" s="63">
        <f t="shared" si="8"/>
        <v>350</v>
      </c>
      <c r="O15" s="67">
        <f t="shared" si="9"/>
        <v>0</v>
      </c>
      <c r="P15" s="57"/>
      <c r="Q15" s="57">
        <v>10</v>
      </c>
      <c r="R15" s="60">
        <v>0</v>
      </c>
      <c r="S15" s="60">
        <f>SUMIFS('Tổng Đơn'!$F:$F,'Tổng Đơn'!$B:$B,$C15)</f>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0.53837598289419231</v>
      </c>
      <c r="J16" s="137">
        <f t="shared" si="5"/>
        <v>21.038375982894191</v>
      </c>
      <c r="K16" s="65">
        <f t="shared" si="6"/>
        <v>3366.1401572630707</v>
      </c>
      <c r="L16" s="72">
        <v>26</v>
      </c>
      <c r="M16" s="63">
        <f t="shared" si="7"/>
        <v>4160</v>
      </c>
      <c r="N16" s="63">
        <f t="shared" si="8"/>
        <v>4160</v>
      </c>
      <c r="O16" s="67">
        <f t="shared" si="9"/>
        <v>0</v>
      </c>
      <c r="P16" s="57"/>
      <c r="Q16" s="57">
        <v>160</v>
      </c>
      <c r="R16" s="60">
        <v>0</v>
      </c>
      <c r="S16" s="60">
        <f>SUMIFS('Tổng Đơn'!$F:$F,'Tổng Đơn'!$B:$B,$C16)</f>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0.53837598289419231</v>
      </c>
      <c r="J17" s="137">
        <f t="shared" si="5"/>
        <v>21.038375982894191</v>
      </c>
      <c r="K17" s="65">
        <f t="shared" si="6"/>
        <v>2314.221358118361</v>
      </c>
      <c r="L17" s="72">
        <v>28</v>
      </c>
      <c r="M17" s="63">
        <f t="shared" si="7"/>
        <v>3080</v>
      </c>
      <c r="N17" s="63">
        <f t="shared" si="8"/>
        <v>3080</v>
      </c>
      <c r="O17" s="67">
        <f t="shared" si="9"/>
        <v>0</v>
      </c>
      <c r="P17" s="57"/>
      <c r="Q17" s="57">
        <v>110</v>
      </c>
      <c r="R17" s="60">
        <v>0</v>
      </c>
      <c r="S17" s="60">
        <f>SUMIFS('Tổng Đơn'!$F:$F,'Tổng Đơn'!$B:$B,$C17)</f>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1286.9328528072838</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0.74847392743826735</v>
      </c>
      <c r="J18" s="137">
        <f t="shared" si="5"/>
        <v>29.248473927438269</v>
      </c>
      <c r="K18" s="65">
        <f t="shared" si="6"/>
        <v>73325.924136087735</v>
      </c>
      <c r="L18" s="72">
        <v>33</v>
      </c>
      <c r="M18" s="63">
        <f t="shared" ref="M18" si="12">L18*F18</f>
        <v>82731</v>
      </c>
      <c r="N18" s="63">
        <f t="shared" ca="1" si="8"/>
        <v>81279</v>
      </c>
      <c r="O18" s="67">
        <f t="shared" ca="1" si="9"/>
        <v>44</v>
      </c>
      <c r="P18" s="57">
        <v>0</v>
      </c>
      <c r="Q18" s="57">
        <v>2416</v>
      </c>
      <c r="R18" s="60">
        <v>35</v>
      </c>
      <c r="S18" s="60">
        <f ca="1">SUMIFS('Tổng Đơn'!$F:$F,'Tổng Đơn'!$B:$B,$C18)</f>
        <v>12</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0.78786729204028139</v>
      </c>
      <c r="J19" s="137">
        <f t="shared" si="5"/>
        <v>30.787867292040282</v>
      </c>
      <c r="K19" s="65">
        <f t="shared" si="6"/>
        <v>307.87867292040283</v>
      </c>
      <c r="L19" s="72">
        <v>35</v>
      </c>
      <c r="M19" s="63">
        <f t="shared" si="7"/>
        <v>350</v>
      </c>
      <c r="N19" s="63">
        <f t="shared" si="8"/>
        <v>350</v>
      </c>
      <c r="O19" s="67">
        <f t="shared" si="9"/>
        <v>0</v>
      </c>
      <c r="P19" s="57"/>
      <c r="Q19" s="57">
        <v>10</v>
      </c>
      <c r="R19" s="60">
        <v>0</v>
      </c>
      <c r="S19" s="60">
        <f>SUMIFS('Tổng Đơn'!$F:$F,'Tổng Đơn'!$B:$B,$C19)</f>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0.7090805628362532</v>
      </c>
      <c r="J20" s="137">
        <f t="shared" ref="J20:J23" si="13">G20+I20</f>
        <v>27.709080562836252</v>
      </c>
      <c r="K20" s="65">
        <f t="shared" si="6"/>
        <v>277.09080562836255</v>
      </c>
      <c r="L20" s="72">
        <v>45</v>
      </c>
      <c r="M20" s="63">
        <f t="shared" si="7"/>
        <v>450</v>
      </c>
      <c r="N20" s="63">
        <f t="shared" si="8"/>
        <v>405</v>
      </c>
      <c r="O20" s="67">
        <f t="shared" si="9"/>
        <v>0</v>
      </c>
      <c r="P20" s="57">
        <v>1</v>
      </c>
      <c r="Q20" s="57">
        <v>9</v>
      </c>
      <c r="R20" s="60">
        <v>0</v>
      </c>
      <c r="S20" s="60">
        <f>SUMIFS('Tổng Đơn'!$F:$F,'Tổng Đơn'!$B:$B,$C20)</f>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381.76955442129946</v>
      </c>
      <c r="B21" s="6">
        <v>17</v>
      </c>
      <c r="C21" s="60" t="s">
        <v>223</v>
      </c>
      <c r="D21" s="68">
        <v>62</v>
      </c>
      <c r="E21" s="6">
        <v>0.5</v>
      </c>
      <c r="F21" s="6">
        <f>135+80+20+10+20+10+10+10+30+20+20+20+10+15+25+10+10</f>
        <v>455</v>
      </c>
      <c r="G21" s="71">
        <f t="shared" si="2"/>
        <v>31</v>
      </c>
      <c r="H21" s="73">
        <f t="shared" si="3"/>
        <v>14105</v>
      </c>
      <c r="I21" s="64">
        <f t="shared" si="4"/>
        <v>0.81412953510829089</v>
      </c>
      <c r="J21" s="137">
        <f t="shared" si="13"/>
        <v>31.81412953510829</v>
      </c>
      <c r="K21" s="65">
        <f t="shared" si="6"/>
        <v>14475.428938474271</v>
      </c>
      <c r="L21" s="72">
        <v>40</v>
      </c>
      <c r="M21" s="63">
        <f t="shared" si="7"/>
        <v>18200</v>
      </c>
      <c r="N21" s="63">
        <f t="shared" ca="1" si="8"/>
        <v>17680</v>
      </c>
      <c r="O21" s="67">
        <f t="shared" ca="1" si="9"/>
        <v>12</v>
      </c>
      <c r="P21" s="57">
        <v>1</v>
      </c>
      <c r="Q21" s="57">
        <v>441</v>
      </c>
      <c r="R21" s="60">
        <v>1</v>
      </c>
      <c r="S21" s="60">
        <f ca="1">SUMIFS('Tổng Đơn'!$F:$F,'Tổng Đơn'!$B:$B,$C21)</f>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0.5646382259622017</v>
      </c>
      <c r="J22" s="137">
        <f t="shared" si="13"/>
        <v>22.064638225962202</v>
      </c>
      <c r="K22" s="65">
        <f t="shared" si="6"/>
        <v>551.61595564905508</v>
      </c>
      <c r="L22" s="72">
        <v>35</v>
      </c>
      <c r="M22" s="63">
        <f t="shared" si="7"/>
        <v>875</v>
      </c>
      <c r="N22" s="63">
        <f t="shared" si="8"/>
        <v>875</v>
      </c>
      <c r="O22" s="67">
        <f t="shared" si="9"/>
        <v>0</v>
      </c>
      <c r="P22" s="57"/>
      <c r="Q22" s="57">
        <v>25</v>
      </c>
      <c r="R22" s="60">
        <v>0</v>
      </c>
      <c r="S22" s="60">
        <f>SUMIFS('Tổng Đơn'!$F:$F,'Tổng Đơn'!$B:$B,$C22)</f>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0.57120378672920402</v>
      </c>
      <c r="J23" s="137">
        <f t="shared" si="13"/>
        <v>22.321203786729203</v>
      </c>
      <c r="K23" s="65">
        <f t="shared" si="6"/>
        <v>1562.4842650710443</v>
      </c>
      <c r="L23" s="72">
        <v>30</v>
      </c>
      <c r="M23" s="63">
        <f t="shared" si="7"/>
        <v>2100</v>
      </c>
      <c r="N23" s="63">
        <f t="shared" si="8"/>
        <v>2070</v>
      </c>
      <c r="O23" s="67">
        <f t="shared" si="9"/>
        <v>0</v>
      </c>
      <c r="P23" s="57">
        <v>1</v>
      </c>
      <c r="Q23" s="57">
        <v>69</v>
      </c>
      <c r="R23" s="60">
        <v>0</v>
      </c>
      <c r="S23" s="60">
        <f>SUMIFS('Tổng Đơn'!$F:$F,'Tổng Đơn'!$B:$B,$C23)</f>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3124.9685301420886</v>
      </c>
      <c r="B24" s="6">
        <v>20</v>
      </c>
      <c r="C24" s="60" t="s">
        <v>136</v>
      </c>
      <c r="D24" s="68">
        <v>145</v>
      </c>
      <c r="E24" s="6">
        <v>0.5</v>
      </c>
      <c r="F24" s="6">
        <f>76+40+40+20+20+40+20+20+40+30+30+40+30+40+20+20+30+50+50</f>
        <v>656</v>
      </c>
      <c r="G24" s="71">
        <f t="shared" si="2"/>
        <v>72.5</v>
      </c>
      <c r="H24" s="73">
        <f t="shared" si="3"/>
        <v>47560</v>
      </c>
      <c r="I24" s="64">
        <f t="shared" si="4"/>
        <v>1.9040126224306801</v>
      </c>
      <c r="J24" s="137">
        <f>G24+I24</f>
        <v>74.404012622430685</v>
      </c>
      <c r="K24" s="65">
        <f t="shared" si="6"/>
        <v>48809.032280314532</v>
      </c>
      <c r="L24" s="72">
        <v>80</v>
      </c>
      <c r="M24" s="63">
        <f t="shared" si="7"/>
        <v>52480</v>
      </c>
      <c r="N24" s="63">
        <f t="shared" ca="1" si="8"/>
        <v>49120</v>
      </c>
      <c r="O24" s="67">
        <f t="shared" ca="1" si="9"/>
        <v>42</v>
      </c>
      <c r="P24" s="57">
        <v>0</v>
      </c>
      <c r="Q24" s="57">
        <v>610</v>
      </c>
      <c r="R24" s="60">
        <v>0</v>
      </c>
      <c r="S24" s="60">
        <f ca="1">SUMIFS('Tổng Đơn'!$F:$F,'Tổng Đơn'!$B:$B,$C24)</f>
        <v>4</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1.0242274796523658</v>
      </c>
      <c r="J25" s="137">
        <f t="shared" ref="J25:J29" si="15">G25+I25</f>
        <v>40.024227479652367</v>
      </c>
      <c r="K25" s="65">
        <f t="shared" ref="K25:K29" si="16">J25*F25</f>
        <v>2281.3809663401848</v>
      </c>
      <c r="L25" s="72">
        <v>44</v>
      </c>
      <c r="M25" s="63">
        <f t="shared" si="7"/>
        <v>2508</v>
      </c>
      <c r="N25" s="63">
        <f t="shared" ca="1" si="8"/>
        <v>2464</v>
      </c>
      <c r="O25" s="67">
        <f t="shared" ca="1" si="9"/>
        <v>0</v>
      </c>
      <c r="P25" s="57">
        <v>1</v>
      </c>
      <c r="Q25" s="57">
        <v>56</v>
      </c>
      <c r="R25" s="60">
        <v>0</v>
      </c>
      <c r="S25" s="60">
        <f ca="1">SUMIFS('Tổng Đơn'!$F:$F,'Tổng Đơn'!$B:$B,$C25)</f>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242.19788936405021</v>
      </c>
      <c r="B26" s="6">
        <v>22</v>
      </c>
      <c r="C26" s="60" t="s">
        <v>138</v>
      </c>
      <c r="D26" s="68">
        <v>59</v>
      </c>
      <c r="E26" s="6">
        <v>0.5</v>
      </c>
      <c r="F26" s="6">
        <f>10+10+20</f>
        <v>40</v>
      </c>
      <c r="G26" s="71">
        <f t="shared" si="2"/>
        <v>29.5</v>
      </c>
      <c r="H26" s="73">
        <f t="shared" si="3"/>
        <v>1180</v>
      </c>
      <c r="I26" s="64">
        <f t="shared" si="14"/>
        <v>0.77473617050627674</v>
      </c>
      <c r="J26" s="137">
        <f t="shared" si="15"/>
        <v>30.274736170506277</v>
      </c>
      <c r="K26" s="65">
        <f t="shared" si="16"/>
        <v>1210.989446820251</v>
      </c>
      <c r="L26" s="72">
        <v>35</v>
      </c>
      <c r="M26" s="63">
        <f t="shared" si="7"/>
        <v>1400</v>
      </c>
      <c r="N26" s="63">
        <f t="shared" ca="1" si="8"/>
        <v>910</v>
      </c>
      <c r="O26" s="67">
        <f t="shared" ca="1" si="9"/>
        <v>8</v>
      </c>
      <c r="P26" s="57">
        <v>6</v>
      </c>
      <c r="Q26" s="57">
        <v>25</v>
      </c>
      <c r="R26" s="60">
        <v>0</v>
      </c>
      <c r="S26" s="60">
        <f ca="1">SUMIFS('Tổng Đơn'!$F:$F,'Tổng Đơn'!$B:$B,$C26)</f>
        <v>1</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161.63630328321148</v>
      </c>
      <c r="B27" s="6">
        <v>23</v>
      </c>
      <c r="C27" s="60" t="s">
        <v>139</v>
      </c>
      <c r="D27" s="68">
        <v>63</v>
      </c>
      <c r="E27" s="6">
        <v>0.5</v>
      </c>
      <c r="F27" s="6">
        <f>30+20+20+13+10+10+20</f>
        <v>123</v>
      </c>
      <c r="G27" s="217">
        <f t="shared" si="2"/>
        <v>31.5</v>
      </c>
      <c r="H27" s="73">
        <f t="shared" si="3"/>
        <v>3874.5</v>
      </c>
      <c r="I27" s="64">
        <f t="shared" si="14"/>
        <v>0.82726065664229553</v>
      </c>
      <c r="J27" s="137">
        <f t="shared" si="15"/>
        <v>32.327260656642295</v>
      </c>
      <c r="K27" s="65">
        <f t="shared" si="16"/>
        <v>3976.2530607670024</v>
      </c>
      <c r="L27" s="72">
        <v>38</v>
      </c>
      <c r="M27" s="63">
        <f t="shared" si="7"/>
        <v>4674</v>
      </c>
      <c r="N27" s="63">
        <f t="shared" ca="1" si="8"/>
        <v>4484</v>
      </c>
      <c r="O27" s="67">
        <f t="shared" ca="1" si="9"/>
        <v>5</v>
      </c>
      <c r="P27" s="57">
        <f>1-1</f>
        <v>0</v>
      </c>
      <c r="Q27" s="57">
        <v>118</v>
      </c>
      <c r="R27" s="60">
        <v>0</v>
      </c>
      <c r="S27" s="60">
        <f ca="1">SUMIFS('Tổng Đơn'!$F:$F,'Tổng Đơn'!$B:$B,$C27)</f>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803.5633363222513</v>
      </c>
      <c r="B28" s="6">
        <v>24</v>
      </c>
      <c r="C28" s="60" t="s">
        <v>157</v>
      </c>
      <c r="D28" s="68">
        <v>87</v>
      </c>
      <c r="E28" s="6">
        <v>0.5</v>
      </c>
      <c r="F28" s="6">
        <f>1+20+20+30</f>
        <v>71</v>
      </c>
      <c r="G28" s="216">
        <f>D28/(1/E28)</f>
        <v>43.5</v>
      </c>
      <c r="H28" s="73">
        <f t="shared" si="3"/>
        <v>3088.5</v>
      </c>
      <c r="I28" s="64">
        <f t="shared" si="14"/>
        <v>1.142407573458408</v>
      </c>
      <c r="J28" s="137">
        <f t="shared" si="15"/>
        <v>44.642407573458406</v>
      </c>
      <c r="K28" s="65">
        <f t="shared" si="16"/>
        <v>3169.6109377155467</v>
      </c>
      <c r="L28" s="72">
        <v>47</v>
      </c>
      <c r="M28" s="63">
        <f t="shared" si="7"/>
        <v>3337</v>
      </c>
      <c r="N28" s="63">
        <f t="shared" ca="1" si="8"/>
        <v>2491</v>
      </c>
      <c r="O28" s="67">
        <f t="shared" ca="1" si="9"/>
        <v>18</v>
      </c>
      <c r="P28" s="57">
        <v>0</v>
      </c>
      <c r="Q28" s="57">
        <v>52</v>
      </c>
      <c r="R28" s="60">
        <v>0</v>
      </c>
      <c r="S28" s="60">
        <f ca="1">SUMIFS('Tổng Đơn'!$F:$F,'Tổng Đơn'!$B:$B,$C28)</f>
        <v>1</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1.142407573458408</v>
      </c>
      <c r="J29" s="137">
        <f t="shared" si="15"/>
        <v>44.642407573458406</v>
      </c>
      <c r="K29" s="65">
        <f t="shared" si="16"/>
        <v>892.8481514691681</v>
      </c>
      <c r="L29" s="72">
        <v>50</v>
      </c>
      <c r="M29" s="63">
        <f t="shared" si="7"/>
        <v>1000</v>
      </c>
      <c r="N29" s="63">
        <f t="shared" ca="1" si="8"/>
        <v>950</v>
      </c>
      <c r="O29" s="67">
        <f t="shared" ca="1" si="9"/>
        <v>0</v>
      </c>
      <c r="P29" s="57">
        <v>1</v>
      </c>
      <c r="Q29" s="57">
        <v>19</v>
      </c>
      <c r="R29" s="60">
        <v>0</v>
      </c>
      <c r="S29" s="60">
        <f ca="1">SUMIFS('Tổng Đơn'!$F:$F,'Tổng Đơn'!$B:$B,$C29)</f>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719.92296351220864</v>
      </c>
      <c r="B30" s="6">
        <v>26</v>
      </c>
      <c r="C30" s="60" t="s">
        <v>253</v>
      </c>
      <c r="D30" s="68">
        <v>61</v>
      </c>
      <c r="E30" s="6">
        <v>0.5</v>
      </c>
      <c r="F30" s="6">
        <f>20+40+20+20+20</f>
        <v>120</v>
      </c>
      <c r="G30" s="71">
        <f>D30/2</f>
        <v>30.5</v>
      </c>
      <c r="H30" s="73">
        <f t="shared" ref="H30" si="17">G30*F30</f>
        <v>3660</v>
      </c>
      <c r="I30" s="64">
        <f t="shared" ref="I30" si="18">((H30/$H$4)*$A$2)/F30</f>
        <v>0.80099841357428614</v>
      </c>
      <c r="J30" s="137">
        <f t="shared" ref="J30" si="19">G30+I30</f>
        <v>31.300998413574288</v>
      </c>
      <c r="K30" s="65">
        <f t="shared" ref="K30" si="20">J30*F30</f>
        <v>3756.1198096289145</v>
      </c>
      <c r="L30" s="72">
        <v>35</v>
      </c>
      <c r="M30" s="63">
        <f t="shared" si="7"/>
        <v>4200</v>
      </c>
      <c r="N30" s="63">
        <f t="shared" ca="1" si="8"/>
        <v>3395</v>
      </c>
      <c r="O30" s="67">
        <f t="shared" ca="1" si="9"/>
        <v>23</v>
      </c>
      <c r="P30" s="57"/>
      <c r="Q30" s="57">
        <v>96</v>
      </c>
      <c r="R30" s="60">
        <v>1</v>
      </c>
      <c r="S30" s="60">
        <f ca="1">SUMIFS('Tổng Đơn'!$F:$F,'Tổng Đơn'!$B:$B,$C30)</f>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41" priority="25">
      <formula>($O6/$O6)&lt;=1/4</formula>
    </cfRule>
  </conditionalFormatting>
  <conditionalFormatting sqref="C20">
    <cfRule type="expression" dxfId="440" priority="24">
      <formula>($O20/$O20)&lt;=1/4</formula>
    </cfRule>
  </conditionalFormatting>
  <conditionalFormatting sqref="C21">
    <cfRule type="expression" dxfId="439" priority="22">
      <formula>($O21/$O21)&lt;=1/4</formula>
    </cfRule>
  </conditionalFormatting>
  <conditionalFormatting sqref="C22 E22 G22">
    <cfRule type="expression" dxfId="438" priority="20">
      <formula>($O22/$O22)&lt;=1/4</formula>
    </cfRule>
  </conditionalFormatting>
  <conditionalFormatting sqref="C23">
    <cfRule type="expression" dxfId="437" priority="18">
      <formula>($O23/$O23)&lt;=1/4</formula>
    </cfRule>
  </conditionalFormatting>
  <conditionalFormatting sqref="C25">
    <cfRule type="expression" dxfId="436" priority="14">
      <formula>($O25/$O25)&lt;=1/4</formula>
    </cfRule>
  </conditionalFormatting>
  <conditionalFormatting sqref="C26:C27">
    <cfRule type="expression" dxfId="435" priority="12">
      <formula>($O26/$O26)&lt;=1/4</formula>
    </cfRule>
  </conditionalFormatting>
  <conditionalFormatting sqref="C28">
    <cfRule type="expression" dxfId="434" priority="9">
      <formula>($O28/$O28)&lt;=1/4</formula>
    </cfRule>
  </conditionalFormatting>
  <conditionalFormatting sqref="C29:C31">
    <cfRule type="expression" dxfId="433" priority="7">
      <formula>($O29/$O29)&lt;=1/4</formula>
    </cfRule>
  </conditionalFormatting>
  <conditionalFormatting sqref="C5:C31">
    <cfRule type="expression" dxfId="43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D19" sqref="D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7192.4487544852254</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234946</v>
      </c>
      <c r="O4" s="48">
        <f ca="1">SUBTOTAL(9,O5:O32)</f>
        <v>212</v>
      </c>
      <c r="P4" s="74">
        <f t="shared" ref="P4" si="0">SUBTOTAL(9,P5:P24)</f>
        <v>154</v>
      </c>
      <c r="Q4" s="74">
        <f>SUBTOTAL(9,Q5:Q32)</f>
        <v>5703</v>
      </c>
      <c r="R4" s="25">
        <f t="shared" ref="R4:AV4" si="1">SUBTOTAL(9,R5:R25)</f>
        <v>18</v>
      </c>
      <c r="S4" s="25">
        <f t="shared" ca="1" si="1"/>
        <v>15</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70 Kg</v>
      </c>
      <c r="AX4" s="77">
        <f>SUBTOTAL(9,AX5:AX32)</f>
        <v>5790</v>
      </c>
    </row>
    <row r="5" spans="1:50" ht="18.75" x14ac:dyDescent="0.25">
      <c r="A5" s="58">
        <f t="shared" ref="A5:A28" ca="1" si="2">J5*O5</f>
        <v>2029.7017749660317</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17910</v>
      </c>
      <c r="O5" s="70">
        <f t="shared" ref="O5:O25" ca="1" si="8">F5-SUM(Q5:AV5)-P5</f>
        <v>62</v>
      </c>
      <c r="P5" s="57">
        <v>0</v>
      </c>
      <c r="Q5" s="57">
        <v>392</v>
      </c>
      <c r="R5" s="22">
        <v>4</v>
      </c>
      <c r="S5" s="22">
        <f ca="1">SUMIFS('Tổng Đơn'!$F:$F,'Tổng Đơn'!$B:$B,$C5)</f>
        <v>2</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2*20</f>
        <v>40</v>
      </c>
      <c r="AX5" s="58">
        <f t="shared" ref="AX5:AX25" si="9">AW5*G5</f>
        <v>1280</v>
      </c>
    </row>
    <row r="6" spans="1:50" ht="18.75" x14ac:dyDescent="0.25">
      <c r="A6" s="58">
        <f t="shared" ca="1" si="2"/>
        <v>82.865848675528525</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11822</v>
      </c>
      <c r="O6" s="70">
        <f t="shared" ca="1" si="8"/>
        <v>2</v>
      </c>
      <c r="P6" s="57">
        <v>1</v>
      </c>
      <c r="Q6" s="57">
        <v>253</v>
      </c>
      <c r="R6" s="22">
        <v>4</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132.9945719483791</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10412</v>
      </c>
      <c r="O7" s="70">
        <f t="shared" ca="1" si="8"/>
        <v>4</v>
      </c>
      <c r="P7" s="57">
        <v>2</v>
      </c>
      <c r="Q7" s="57">
        <v>272</v>
      </c>
      <c r="R7" s="22">
        <v>0</v>
      </c>
      <c r="S7" s="22">
        <f ca="1">SUMIFS('Tổng Đơn'!$F:$F,'Tổng Đơn'!$B:$B,$C7)</f>
        <v>2</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40</v>
      </c>
      <c r="AX7" s="58">
        <f t="shared" si="9"/>
        <v>1300</v>
      </c>
    </row>
    <row r="8" spans="1:50" ht="18.75" x14ac:dyDescent="0.25">
      <c r="A8" s="58">
        <f t="shared" ca="1" si="2"/>
        <v>900.27094857364318</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30015</v>
      </c>
      <c r="O8" s="70">
        <f t="shared" ca="1" si="8"/>
        <v>22</v>
      </c>
      <c r="P8" s="57">
        <f>-1+2</f>
        <v>1</v>
      </c>
      <c r="Q8" s="57">
        <v>659</v>
      </c>
      <c r="R8" s="22">
        <v>8</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393.86854000096889</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9660</v>
      </c>
      <c r="O9" s="70">
        <f t="shared" ca="1" si="8"/>
        <v>10</v>
      </c>
      <c r="P9" s="57">
        <v>0</v>
      </c>
      <c r="Q9" s="57">
        <v>227</v>
      </c>
      <c r="R9" s="22">
        <v>0</v>
      </c>
      <c r="S9" s="22">
        <f ca="1">SUMIFS('Tổng Đơn'!$F:$F,'Tổng Đơn'!$B:$B,$C9)</f>
        <v>3</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v>0</v>
      </c>
      <c r="S10" s="22">
        <f>SUMIFS('Tổng Đơn'!$F:$F,'Tổng Đơn'!$B:$B,$C10)</f>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v>0</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v>0</v>
      </c>
      <c r="S12" s="22">
        <f>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v>0</v>
      </c>
      <c r="S14" s="22">
        <f ca="1">SUMIFS('Tổng Đơn'!$F:$F,'Tổng Đơn'!$B:$B,$C14)</f>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v>0</v>
      </c>
      <c r="S15" s="22">
        <f ca="1">SUMIFS('Tổng Đơn'!$F:$F,'Tổng Đơn'!$B:$B,$C15)</f>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v>0</v>
      </c>
      <c r="S16" s="22">
        <f ca="1">SUMIFS('Tổng Đơn'!$F:$F,'Tổng Đơn'!$B:$B,$C16)</f>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v>0</v>
      </c>
      <c r="S17" s="22">
        <f ca="1">SUMIFS('Tổng Đơn'!$F:$F,'Tổng Đơn'!$B:$B,$C17)</f>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68</v>
      </c>
      <c r="R18" s="22">
        <v>0</v>
      </c>
      <c r="S18" s="22">
        <f ca="1">SUMIFS('Tổng Đơn'!$F:$F,'Tổng Đơn'!$B:$B,$C18)</f>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920.73165195031686</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25480</v>
      </c>
      <c r="O19" s="70">
        <f t="shared" ca="1" si="8"/>
        <v>15</v>
      </c>
      <c r="P19" s="57">
        <v>1</v>
      </c>
      <c r="Q19" s="57">
        <v>362</v>
      </c>
      <c r="R19" s="22">
        <v>1</v>
      </c>
      <c r="S19" s="22">
        <f ca="1">SUMIFS('Tổng Đơn'!$F:$F,'Tổng Đơn'!$B:$B,$C19)</f>
        <v>1</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40</v>
      </c>
      <c r="AX19" s="58">
        <f t="shared" si="9"/>
        <v>2400</v>
      </c>
    </row>
    <row r="20" spans="1:50" ht="18.75" x14ac:dyDescent="0.25">
      <c r="A20" s="58">
        <f t="shared" ca="1" si="2"/>
        <v>1929.9558460047476</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4662</v>
      </c>
      <c r="O20" s="70">
        <f t="shared" ca="1" si="8"/>
        <v>49</v>
      </c>
      <c r="P20" s="57">
        <v>0</v>
      </c>
      <c r="Q20" s="57">
        <v>107</v>
      </c>
      <c r="R20" s="22">
        <v>1</v>
      </c>
      <c r="S20" s="22">
        <f ca="1">SUMIFS('Tổng Đơn'!$F:$F,'Tổng Đơn'!$B:$B,$C20)</f>
        <v>3</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v>0</v>
      </c>
      <c r="S21" s="22">
        <f ca="1">SUMIFS('Tổng Đơn'!$F:$F,'Tổng Đơn'!$B:$B,$C21)</f>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v>0</v>
      </c>
      <c r="S22" s="22">
        <f>SUMIFS('Tổng Đơn'!$F:$F,'Tổng Đơn'!$B:$B,$C22)</f>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531.97828779351642</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2240</v>
      </c>
      <c r="O23" s="70">
        <f t="shared" ca="1" si="8"/>
        <v>40</v>
      </c>
      <c r="P23" s="57">
        <v>0</v>
      </c>
      <c r="Q23" s="57">
        <v>136</v>
      </c>
      <c r="R23" s="22">
        <v>0</v>
      </c>
      <c r="S23" s="22">
        <f ca="1">SUMIFS('Tổng Đơn'!$F:$F,'Tổng Đơn'!$B:$B,$C23)</f>
        <v>4</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31" priority="21">
      <formula>($O6/$O6)&lt;=1/4</formula>
    </cfRule>
  </conditionalFormatting>
  <conditionalFormatting sqref="C18">
    <cfRule type="expression" dxfId="430" priority="18">
      <formula>($O18/$O18)&lt;=1/4</formula>
    </cfRule>
  </conditionalFormatting>
  <conditionalFormatting sqref="C5:C18 C25:C27">
    <cfRule type="expression" dxfId="429" priority="29">
      <formula>($O5/$F5)&lt;=1/4</formula>
    </cfRule>
  </conditionalFormatting>
  <conditionalFormatting sqref="C19">
    <cfRule type="expression" dxfId="428" priority="9">
      <formula>($O19/$O19)&lt;=1/4</formula>
    </cfRule>
  </conditionalFormatting>
  <conditionalFormatting sqref="C19">
    <cfRule type="expression" dxfId="427" priority="10">
      <formula>($O19/$F19)&lt;=1/4</formula>
    </cfRule>
  </conditionalFormatting>
  <conditionalFormatting sqref="C20:C21">
    <cfRule type="expression" dxfId="426" priority="7">
      <formula>($O20/$O20)&lt;=1/4</formula>
    </cfRule>
  </conditionalFormatting>
  <conditionalFormatting sqref="C20:C21">
    <cfRule type="expression" dxfId="425" priority="8">
      <formula>($O20/$F20)&lt;=1/4</formula>
    </cfRule>
  </conditionalFormatting>
  <conditionalFormatting sqref="C22:C23">
    <cfRule type="expression" dxfId="424" priority="5">
      <formula>($O22/$O22)&lt;=1/4</formula>
    </cfRule>
  </conditionalFormatting>
  <conditionalFormatting sqref="C22:C23">
    <cfRule type="expression" dxfId="423" priority="6">
      <formula>($O22/$F22)&lt;=1/4</formula>
    </cfRule>
  </conditionalFormatting>
  <conditionalFormatting sqref="C24">
    <cfRule type="expression" dxfId="422" priority="3">
      <formula>($O24/$O24)&lt;=1/4</formula>
    </cfRule>
  </conditionalFormatting>
  <conditionalFormatting sqref="C24">
    <cfRule type="expression" dxfId="42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2090</v>
      </c>
      <c r="BA3" s="58">
        <f>SUMPRODUCT(1/COUNTIF($C$5:$C$13,$C$5:$C$13))</f>
        <v>9</v>
      </c>
    </row>
    <row r="4" spans="1:53" s="45" customFormat="1" ht="27" customHeight="1" x14ac:dyDescent="0.25">
      <c r="A4" s="49">
        <f ca="1">SUBTOTAL(9,A5:A23)</f>
        <v>15965.6318815832</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533887</v>
      </c>
      <c r="O4" s="48">
        <f ca="1">SUBTOTAL(9,O5:O23)</f>
        <v>625</v>
      </c>
      <c r="P4" s="74">
        <f>SUBTOTAL(9,P5:P23)</f>
        <v>22</v>
      </c>
      <c r="Q4" s="74"/>
      <c r="R4" s="25">
        <f>SUBTOTAL(9,R5:R12)</f>
        <v>91</v>
      </c>
      <c r="S4" s="25">
        <f t="shared" ref="S4:AV4" ca="1" si="0">SUBTOTAL(9,S5:S12)</f>
        <v>88</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455 Kg</v>
      </c>
      <c r="AX4" s="77">
        <f>SUBTOTAL(9,AX5:AX23)</f>
        <v>20696</v>
      </c>
    </row>
    <row r="5" spans="1:53" ht="18.75" x14ac:dyDescent="0.25">
      <c r="A5" s="58">
        <f t="shared" ref="A5:A23" ca="1" si="1">J5*O5</f>
        <v>2783.7941930722209</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39650</v>
      </c>
      <c r="O5" s="70">
        <f t="shared" ref="O5:O13" ca="1" si="7">F5-SUM(Q5:AV5)-P5</f>
        <v>136</v>
      </c>
      <c r="P5" s="57">
        <v>0</v>
      </c>
      <c r="Q5" s="57">
        <v>1456</v>
      </c>
      <c r="R5" s="22">
        <v>59</v>
      </c>
      <c r="S5" s="22">
        <f ca="1">SUMIFS('Tổng Đơn'!$F:$F,'Tổng Đơn'!$B:$B,$C5)</f>
        <v>71</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15*42</f>
        <v>630</v>
      </c>
      <c r="AX5" s="58">
        <f>AW5*AY5/2</f>
        <v>12607.5</v>
      </c>
      <c r="AY5" s="251">
        <f>41*20.5/21</f>
        <v>40.023809523809526</v>
      </c>
      <c r="BA5" s="58">
        <f>SUM(BA4,COUNTIF($C$5:C5,$C5)=1)</f>
        <v>1</v>
      </c>
    </row>
    <row r="6" spans="1:53" ht="18.75" x14ac:dyDescent="0.25">
      <c r="A6" s="58">
        <f t="shared" ca="1" si="1"/>
        <v>957.38283687979094</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1316</v>
      </c>
      <c r="O6" s="70">
        <f t="shared" ca="1" si="7"/>
        <v>40</v>
      </c>
      <c r="P6" s="57">
        <v>0</v>
      </c>
      <c r="Q6" s="57">
        <v>46</v>
      </c>
      <c r="R6" s="22">
        <v>1</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898.6423148368001</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1568</v>
      </c>
      <c r="O7" s="70">
        <f t="shared" ca="1" si="7"/>
        <v>40</v>
      </c>
      <c r="P7" s="57">
        <v>0</v>
      </c>
      <c r="Q7" s="57">
        <v>50</v>
      </c>
      <c r="R7" s="22">
        <v>5</v>
      </c>
      <c r="S7" s="22">
        <f ca="1">SUMIFS('Tổng Đơn'!$F:$F,'Tổng Đơn'!$B:$B,$C7)</f>
        <v>1</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601.09185947972628</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616</v>
      </c>
      <c r="O8" s="70">
        <f t="shared" ca="1" si="7"/>
        <v>28</v>
      </c>
      <c r="P8" s="57">
        <v>0</v>
      </c>
      <c r="Q8" s="57">
        <v>17</v>
      </c>
      <c r="R8" s="22">
        <v>4</v>
      </c>
      <c r="S8" s="22">
        <f ca="1">SUMIFS('Tổng Đơn'!$F:$F,'Tổng Đơn'!$B:$B,$C8)</f>
        <v>1</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2320.1574687508687</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8112</v>
      </c>
      <c r="O9" s="70">
        <f t="shared" ca="1" si="7"/>
        <v>99</v>
      </c>
      <c r="P9" s="57">
        <v>0</v>
      </c>
      <c r="Q9" s="57">
        <v>296</v>
      </c>
      <c r="R9" s="22">
        <v>10</v>
      </c>
      <c r="S9" s="22">
        <f ca="1">SUMIFS('Tổng Đơn'!$F:$F,'Tổng Đơn'!$B:$B,$C9)</f>
        <v>6</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51">
        <v>45.825000000000003</v>
      </c>
      <c r="BA9" s="58">
        <f>SUM(BA8,COUNTIF($C$5:C9,$C9)=1)</f>
        <v>5</v>
      </c>
    </row>
    <row r="10" spans="1:53" ht="18.75" x14ac:dyDescent="0.25">
      <c r="A10" s="58">
        <f ca="1">J10*O10</f>
        <v>4327.9636727451489</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23273</v>
      </c>
      <c r="O10" s="70">
        <f t="shared" ca="1" si="7"/>
        <v>131</v>
      </c>
      <c r="P10" s="57"/>
      <c r="Q10" s="57">
        <v>620</v>
      </c>
      <c r="R10" s="22">
        <v>4</v>
      </c>
      <c r="S10" s="22">
        <f ca="1">SUMIFS('Tổng Đơn'!$F:$F,'Tổng Đơn'!$B:$B,$C10)</f>
        <v>5</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f>3*40</f>
        <v>120</v>
      </c>
      <c r="AX10" s="58">
        <f t="shared" ref="AX10" si="16">AW10*AY10/2</f>
        <v>3875.9999999999995</v>
      </c>
      <c r="AY10" s="251">
        <v>64.599999999999994</v>
      </c>
      <c r="BA10" s="58">
        <f>SUM(BA9,COUNTIF($C$5:C10,$C10)=1)</f>
        <v>6</v>
      </c>
    </row>
    <row r="11" spans="1:53" ht="18.75" x14ac:dyDescent="0.25">
      <c r="A11" s="58">
        <f t="shared" ca="1" si="1"/>
        <v>374.10552627006791</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1512</v>
      </c>
      <c r="O11" s="70">
        <f t="shared" ca="1" si="7"/>
        <v>10</v>
      </c>
      <c r="P11" s="57">
        <v>0</v>
      </c>
      <c r="Q11" s="57">
        <v>30</v>
      </c>
      <c r="R11" s="22">
        <v>4</v>
      </c>
      <c r="S11" s="22">
        <f ca="1">SUMIFS('Tổng Đơn'!$F:$F,'Tổng Đơn'!$B:$B,$C11)</f>
        <v>2</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1463</v>
      </c>
      <c r="AY11" s="251">
        <v>73.150000000000006</v>
      </c>
      <c r="BA11" s="58">
        <f>SUM(BA10,COUNTIF($C$5:C11,$C11)=1)</f>
        <v>7</v>
      </c>
    </row>
    <row r="12" spans="1:53" ht="18.75" x14ac:dyDescent="0.25">
      <c r="A12" s="58">
        <f t="shared" ca="1" si="1"/>
        <v>1316.4014007097126</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450</v>
      </c>
      <c r="O12" s="70">
        <f t="shared" ca="1" si="7"/>
        <v>33</v>
      </c>
      <c r="P12" s="57">
        <v>0</v>
      </c>
      <c r="Q12" s="57">
        <v>4</v>
      </c>
      <c r="R12" s="22">
        <v>4</v>
      </c>
      <c r="S12" s="22">
        <f ca="1">SUMIFS('Tổng Đơn'!$F:$F,'Tổng Đơn'!$B:$B,$C12)</f>
        <v>2</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2386.0926088388642</v>
      </c>
      <c r="B13" s="6">
        <v>9</v>
      </c>
      <c r="C13" s="60" t="s">
        <v>311</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12</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302</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303</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304</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308</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309</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305</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20" priority="10">
      <formula>($O6/$O6)&lt;=1/4</formula>
    </cfRule>
  </conditionalFormatting>
  <conditionalFormatting sqref="C5:C10 C12:C13">
    <cfRule type="expression" dxfId="419" priority="11">
      <formula>($O5/$F5)&lt;=1/4</formula>
    </cfRule>
  </conditionalFormatting>
  <conditionalFormatting sqref="C11">
    <cfRule type="expression" dxfId="418" priority="1">
      <formula>($O11/$O11)&lt;=1/4</formula>
    </cfRule>
  </conditionalFormatting>
  <conditionalFormatting sqref="C11">
    <cfRule type="expression" dxfId="417"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311</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311</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165057.79669001885</v>
      </c>
      <c r="B1" s="273" t="str">
        <f>"Tiền Hàng: "&amp;INT('Quốc Nhân'!K4+'La Cusina'!K4+TVP!J4+Gà!K4+Kitkool!K4)</f>
        <v>Tiền Hàng: 1138659</v>
      </c>
      <c r="C1" s="272" t="str">
        <f ca="1">"Giá trị hàng Tồn: "&amp;INT('Quốc Nhân'!A4+'La Cusina'!A4+TVP!A4+Gà!A4+Kitkool!A4)</f>
        <v>Giá trị hàng Tồn: 42454</v>
      </c>
      <c r="D1" s="271" t="str">
        <f ca="1">"Giá trị Hàng xuất: "&amp;CHAR(10)&amp;INT('Quốc Nhân'!K4+'La Cusina'!K4+TVP!J4+Gà!K4+Kitkool!K4-('Quốc Nhân'!A4+'La Cusina'!A4+TVP!A4+Gà!A4+Kitkool!A4))</f>
        <v>Giá trị Hàng xuất: 
1096205</v>
      </c>
      <c r="E1" s="274" t="str">
        <f ca="1">"Doanh Thu Tích Lũy: "&amp;INT('Quốc Nhân'!N4+'La Cusina'!N4+TVP!M4+Gà!N4+Kitkool!N4)</f>
        <v>Doanh Thu Tích Lũy: 1261263</v>
      </c>
      <c r="F1" s="269">
        <f ca="1">K4/1000+50-188</f>
        <v>3450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f>
        <v>880</v>
      </c>
      <c r="H2" s="181" t="s">
        <v>246</v>
      </c>
      <c r="I2" s="250"/>
      <c r="J2" s="233">
        <f>2697-1655</f>
        <v>1042</v>
      </c>
      <c r="K2" s="193">
        <v>2886</v>
      </c>
      <c r="L2" s="193" t="s">
        <v>252</v>
      </c>
      <c r="M2" s="193"/>
      <c r="N2" s="193"/>
    </row>
    <row r="3" spans="1:55" s="28" customFormat="1" ht="30" customHeight="1" x14ac:dyDescent="0.25">
      <c r="A3" s="19" t="s">
        <v>89</v>
      </c>
      <c r="B3" s="19" t="s">
        <v>16</v>
      </c>
      <c r="C3" s="19" t="s">
        <v>90</v>
      </c>
      <c r="D3" s="19" t="s">
        <v>100</v>
      </c>
      <c r="E3" s="39" t="s">
        <v>49</v>
      </c>
      <c r="F3" s="39" t="s">
        <v>310</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61.25</v>
      </c>
      <c r="G4" s="40"/>
      <c r="H4" s="51">
        <f ca="1">SUBTOTAL(9,H5:H71)</f>
        <v>572198.59136677859</v>
      </c>
      <c r="I4" s="51">
        <f ca="1">K4-J4</f>
        <v>339698.59136677906</v>
      </c>
      <c r="J4" s="25">
        <f ca="1">SUBTOTAL(9,J5:J71)</f>
        <v>3248301.4086332209</v>
      </c>
      <c r="K4" s="25">
        <f ca="1">SUM(L4:BC4)</f>
        <v>3588000</v>
      </c>
      <c r="L4" s="55">
        <f ca="1">IFERROR(INDIRECT("'Thanh Toán ("&amp;L$3&amp;")'!$H"&amp;SUBTOTAL(3,INDIRECT("'Thanh Toán ("&amp;L$3&amp;")'!$H$8:$H$50"))+7-COUNTIF(INDIRECT("'Thanh Toán ("&amp;L$3&amp;")'!$H$8:$H$50"),""&amp;"*")),"")</f>
        <v>225000</v>
      </c>
      <c r="M4" s="55">
        <f t="shared" ref="M4:AN4" ca="1" si="0">IFERROR(INDIRECT("'Thanh Toán ("&amp;M$3&amp;")'!$H"&amp;SUBTOTAL(3,INDIRECT("'Thanh Toán ("&amp;M$3&amp;")'!$H$8:$H$50"))+7-COUNTIF(INDIRECT("'Thanh Toán ("&amp;M$3&amp;")'!$H$8:$H$50"),""&amp;"*")),"")</f>
        <v>376000</v>
      </c>
      <c r="N4" s="55">
        <f t="shared" ca="1" si="0"/>
        <v>89000</v>
      </c>
      <c r="O4" s="55">
        <f t="shared" ca="1" si="0"/>
        <v>1075000</v>
      </c>
      <c r="P4" s="55">
        <f t="shared" ca="1" si="0"/>
        <v>50000</v>
      </c>
      <c r="Q4" s="55">
        <f t="shared" ca="1" si="0"/>
        <v>35000</v>
      </c>
      <c r="R4" s="55">
        <f t="shared" ca="1" si="0"/>
        <v>37000</v>
      </c>
      <c r="S4" s="55">
        <f t="shared" ca="1" si="0"/>
        <v>125000</v>
      </c>
      <c r="T4" s="55">
        <f t="shared" ca="1" si="0"/>
        <v>37000</v>
      </c>
      <c r="U4" s="55">
        <f t="shared" ca="1" si="0"/>
        <v>106000</v>
      </c>
      <c r="V4" s="55">
        <f t="shared" ca="1" si="0"/>
        <v>1190000</v>
      </c>
      <c r="W4" s="55">
        <f t="shared" ca="1" si="0"/>
        <v>188000</v>
      </c>
      <c r="X4" s="55">
        <f t="shared" ca="1" si="0"/>
        <v>55000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ca="1">(D6-G6*1000)*$F6</f>
        <v>0</v>
      </c>
      <c r="I6" s="192">
        <f t="shared" ref="I6:I9" si="3">D6/(G6*1000)-1</f>
        <v>7.0779842922333192E-2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ref="H7:H9" ca="1" si="5">(D7-G7*1000)*$F7</f>
        <v>0</v>
      </c>
      <c r="I7" s="192">
        <f t="shared" si="3"/>
        <v>0.12513307611037172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5"/>
        <v>0</v>
      </c>
      <c r="I8" s="192">
        <f t="shared" si="3"/>
        <v>0.10708035327446708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5"/>
        <v>0</v>
      </c>
      <c r="I9" s="192">
        <f t="shared" si="3"/>
        <v>0.17961320400624237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41.432924337764263</v>
      </c>
      <c r="H11" s="171">
        <f t="shared" ref="H11:H52" ca="1" si="10">(D11-G11*1000)*$F11</f>
        <v>0</v>
      </c>
      <c r="I11" s="192">
        <f t="shared" ref="I11:I52" si="11">D11/(G11*1000)-1</f>
        <v>0.15849896591175772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0.10457730014337344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2</v>
      </c>
      <c r="G15" s="170">
        <f>IFERROR(VLOOKUP($B15,Gà!C:J,8,0),IFERROR(VLOOKUP($B15,TVP!C:J,7,0),IFERROR(VLOOKUP($B15,Kitkool!C:J,8,0),IFERROR(VLOOKUP($B15,'La Cusina'!C:J,8,0),VLOOKUP($B15,'Quốc Nhân'!C:J,8,0)))))</f>
        <v>33.248642987094776</v>
      </c>
      <c r="H15" s="171">
        <f t="shared" ca="1" si="10"/>
        <v>9502.7140258104482</v>
      </c>
      <c r="I15" s="192">
        <f t="shared" si="11"/>
        <v>0.14290378752448429</v>
      </c>
      <c r="J15" s="171">
        <f t="shared" ca="1" si="12"/>
        <v>66497.285974189552</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39.386854000096889</v>
      </c>
      <c r="H16" s="171">
        <f t="shared" ca="1" si="10"/>
        <v>7839.437999709342</v>
      </c>
      <c r="I16" s="192">
        <f t="shared" si="11"/>
        <v>6.6345639077868057E-2</v>
      </c>
      <c r="J16" s="171">
        <f t="shared" ca="1" si="12"/>
        <v>118160.56200029067</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2</v>
      </c>
      <c r="G17" s="170">
        <f>IFERROR(VLOOKUP($B17,Gà!C:J,8,0),IFERROR(VLOOKUP($B17,TVP!C:J,7,0),IFERROR(VLOOKUP($B17,Kitkool!C:J,8,0),IFERROR(VLOOKUP($B17,'La Cusina'!C:J,8,0),VLOOKUP($B17,'Quốc Nhân'!C:J,8,0)))))</f>
        <v>32.737125402677933</v>
      </c>
      <c r="H17" s="171">
        <f t="shared" ca="1" si="10"/>
        <v>24525.749194644137</v>
      </c>
      <c r="I17" s="192">
        <f t="shared" si="11"/>
        <v>0.37458617537381445</v>
      </c>
      <c r="J17" s="171">
        <f t="shared" ca="1" si="12"/>
        <v>65474.250805355863</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34.892916264312319</v>
      </c>
      <c r="H23" s="171">
        <f t="shared" ca="1" si="10"/>
        <v>5107.08373568768</v>
      </c>
      <c r="I23" s="192">
        <f t="shared" si="11"/>
        <v>0.14636448547326175</v>
      </c>
      <c r="J23" s="171">
        <f t="shared" ca="1" si="12"/>
        <v>34892.91626431232</v>
      </c>
      <c r="K23" s="38"/>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30.787867292040282</v>
      </c>
      <c r="H24" s="171">
        <f t="shared" ca="1" si="10"/>
        <v>0</v>
      </c>
      <c r="I24" s="192">
        <f t="shared" si="11"/>
        <v>0.29921308353636333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43.616145330390395</v>
      </c>
      <c r="H25" s="171">
        <f t="shared" ca="1" si="10"/>
        <v>0</v>
      </c>
      <c r="I25" s="192">
        <f t="shared" si="11"/>
        <v>0.2610009340205881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12</v>
      </c>
      <c r="G26" s="170">
        <f>IFERROR(VLOOKUP($B26,Gà!C:J,8,0),IFERROR(VLOOKUP($B26,TVP!C:J,7,0),IFERROR(VLOOKUP($B26,Kitkool!C:J,8,0),IFERROR(VLOOKUP($B26,'La Cusina'!C:J,8,0),VLOOKUP($B26,'Quốc Nhân'!C:J,8,0)))))</f>
        <v>29.248473927438269</v>
      </c>
      <c r="H26" s="171">
        <f t="shared" ca="1" si="10"/>
        <v>69018.31287074076</v>
      </c>
      <c r="I26" s="192">
        <f t="shared" si="11"/>
        <v>0.19664362957296611</v>
      </c>
      <c r="J26" s="171">
        <f t="shared" ca="1" si="12"/>
        <v>350981.68712925923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40.921406753347419</v>
      </c>
      <c r="H28" s="171">
        <f t="shared" ca="1" si="10"/>
        <v>0</v>
      </c>
      <c r="I28" s="192">
        <f t="shared" si="11"/>
        <v>0.22185437811005704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31.81412953510829</v>
      </c>
      <c r="H29" s="171">
        <f t="shared" ca="1" si="10"/>
        <v>0</v>
      </c>
      <c r="I29" s="192">
        <f t="shared" si="11"/>
        <v>0.25730298406744856</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0.5</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3</v>
      </c>
      <c r="G31" s="170">
        <f>IFERROR(VLOOKUP($B31,Gà!C:J,8,0),IFERROR(VLOOKUP($B31,TVP!C:J,7,0),IFERROR(VLOOKUP($B31,Kitkool!C:J,8,0),IFERROR(VLOOKUP($B31,'La Cusina'!C:J,8,0),VLOOKUP($B31,'Quốc Nhân'!C:J,8,0)))))</f>
        <v>39.386854000096889</v>
      </c>
      <c r="H31" s="171">
        <f t="shared" ca="1" si="10"/>
        <v>7839.437999709342</v>
      </c>
      <c r="I31" s="192">
        <f t="shared" si="11"/>
        <v>6.6345639077868057E-2</v>
      </c>
      <c r="J31" s="171">
        <f t="shared" ca="1" si="12"/>
        <v>118160.56200029067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3</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31.300998413574288</v>
      </c>
      <c r="H33" s="171">
        <f t="shared" ca="1" si="10"/>
        <v>0</v>
      </c>
      <c r="I33" s="192">
        <f t="shared" si="11"/>
        <v>0.11817519484687011</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4</v>
      </c>
      <c r="G35" s="170">
        <f>IFERROR(VLOOKUP($B35,Gà!C:J,8,0),IFERROR(VLOOKUP($B35,TVP!C:J,7,0),IFERROR(VLOOKUP($B35,Kitkool!C:J,8,0),IFERROR(VLOOKUP($B35,'La Cusina'!C:J,8,0),VLOOKUP($B35,'Quốc Nhân'!C:J,8,0)))))</f>
        <v>74.404012622430685</v>
      </c>
      <c r="H35" s="171">
        <f t="shared" ca="1" si="10"/>
        <v>22383.949510277249</v>
      </c>
      <c r="I35" s="192">
        <f t="shared" si="11"/>
        <v>7.5210827754231602E-2</v>
      </c>
      <c r="J35" s="171">
        <f t="shared" ca="1" si="12"/>
        <v>297616.05048972275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3</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40.024227479652367</v>
      </c>
      <c r="H36" s="171">
        <f t="shared" ca="1" si="10"/>
        <v>0</v>
      </c>
      <c r="I36" s="192">
        <f t="shared" si="11"/>
        <v>9.9334147607691881E-2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1</v>
      </c>
      <c r="G37" s="170">
        <f>IFERROR(VLOOKUP($B37,Gà!C:J,8,0),IFERROR(VLOOKUP($B37,TVP!C:J,7,0),IFERROR(VLOOKUP($B37,Kitkool!C:J,8,0),IFERROR(VLOOKUP($B37,'La Cusina'!C:J,8,0),VLOOKUP($B37,'Quốc Nhân'!C:J,8,0)))))</f>
        <v>30.274736170506277</v>
      </c>
      <c r="H37" s="171">
        <f t="shared" ca="1" si="10"/>
        <v>4725.2638294937242</v>
      </c>
      <c r="I37" s="192">
        <f t="shared" si="11"/>
        <v>0.15607943873998442</v>
      </c>
      <c r="J37" s="171">
        <f t="shared" ca="1" si="12"/>
        <v>30274.736170506276</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1</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32.327260656642295</v>
      </c>
      <c r="H38" s="171">
        <f t="shared" ca="1" si="10"/>
        <v>0</v>
      </c>
      <c r="I38" s="192">
        <f t="shared" si="11"/>
        <v>0.17547850415194777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61.382110130021125</v>
      </c>
      <c r="H39" s="171">
        <f t="shared" ca="1" si="10"/>
        <v>8617.889869978877</v>
      </c>
      <c r="I39" s="192">
        <f t="shared" si="11"/>
        <v>0.14039741956938667</v>
      </c>
      <c r="J39" s="171">
        <f t="shared" ca="1" si="12"/>
        <v>61382.110130021123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44.642407573458406</v>
      </c>
      <c r="H41" s="171">
        <f t="shared" ca="1" si="10"/>
        <v>2357.5924265415961</v>
      </c>
      <c r="I41" s="192">
        <f t="shared" si="11"/>
        <v>5.2810602176018628E-2</v>
      </c>
      <c r="J41" s="171">
        <f t="shared" ca="1" si="12"/>
        <v>44642.407573458404</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1</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44.642407573458406</v>
      </c>
      <c r="H42" s="171">
        <f t="shared" ca="1" si="10"/>
        <v>0</v>
      </c>
      <c r="I42" s="192">
        <f t="shared" si="11"/>
        <v>0.12001127891065821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4</v>
      </c>
      <c r="G43" s="170">
        <f>IFERROR(VLOOKUP($B43,Gà!C:J,8,0),IFERROR(VLOOKUP($B43,TVP!C:J,7,0),IFERROR(VLOOKUP($B43,Kitkool!C:J,8,0),IFERROR(VLOOKUP($B43,'La Cusina'!C:J,8,0),VLOOKUP($B43,'Quốc Nhân'!C:J,8,0)))))</f>
        <v>13.29945719483791</v>
      </c>
      <c r="H43" s="171">
        <f t="shared" ca="1" si="10"/>
        <v>18802.171220648364</v>
      </c>
      <c r="I43" s="192">
        <f t="shared" si="11"/>
        <v>0.35343869575267872</v>
      </c>
      <c r="J43" s="171">
        <f t="shared" ca="1" si="12"/>
        <v>53197.828779351636</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2</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1</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71</v>
      </c>
      <c r="G44" s="170">
        <f>IFERROR(VLOOKUP($B44,Gà!C:J,8,0),IFERROR(VLOOKUP($B44,TVP!C:J,7,0),IFERROR(VLOOKUP($B44,Kitkool!C:J,8,0),IFERROR(VLOOKUP($B44,'La Cusina'!C:J,8,0),VLOOKUP($B44,'Quốc Nhân'!C:J,8,0)))))</f>
        <v>20.469074949060449</v>
      </c>
      <c r="H44" s="171">
        <f t="shared" ca="1" si="10"/>
        <v>321695.67861670803</v>
      </c>
      <c r="I44" s="192">
        <f t="shared" si="11"/>
        <v>0.22135465633963713</v>
      </c>
      <c r="J44" s="171">
        <f t="shared" ca="1" si="12"/>
        <v>1453304.3213832919</v>
      </c>
      <c r="K44" s="38"/>
      <c r="L44" s="2">
        <f ca="1">IFERROR(SUMIFS(INDIRECT("'Thanh Toán ("&amp;L$3&amp;")'!$F:$F"),INDIRECT("'Thanh Toán ("&amp;L$3&amp;")'!$D:$D"),'Tổng Đơn'!$B44),0)</f>
        <v>10</v>
      </c>
      <c r="M44" s="2">
        <f ca="1">IFERROR(SUMIFS(INDIRECT("'Thanh Toán ("&amp;M$3&amp;")'!$F:$F"),INDIRECT("'Thanh Toán ("&amp;M$3&amp;")'!$D:$D"),'Tổng Đơn'!$B44),0)</f>
        <v>4</v>
      </c>
      <c r="N44" s="2">
        <f ca="1">IFERROR(SUMIFS(INDIRECT("'Thanh Toán ("&amp;N$3&amp;")'!$F:$F"),INDIRECT("'Thanh Toán ("&amp;N$3&amp;")'!$D:$D"),'Tổng Đơn'!$B44),0)</f>
        <v>1</v>
      </c>
      <c r="O44" s="2">
        <f ca="1">IFERROR(SUMIFS(INDIRECT("'Thanh Toán ("&amp;O$3&amp;")'!$F:$F"),INDIRECT("'Thanh Toán ("&amp;O$3&amp;")'!$D:$D"),'Tổng Đơn'!$B44),0)</f>
        <v>10</v>
      </c>
      <c r="P44" s="2">
        <f ca="1">IFERROR(SUMIFS(INDIRECT("'Thanh Toán ("&amp;P$3&amp;")'!$F:$F"),INDIRECT("'Thanh Toán ("&amp;P$3&amp;")'!$D:$D"),'Tổng Đơn'!$B44),0)</f>
        <v>2</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40</v>
      </c>
      <c r="W44" s="2">
        <f ca="1">IFERROR(SUMIFS(INDIRECT("'Thanh Toán ("&amp;W$3&amp;")'!$F:$F"),INDIRECT("'Thanh Toán ("&amp;W$3&amp;")'!$D:$D"),'Tổng Đơn'!$B44),0)</f>
        <v>2</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23.934570921994773</v>
      </c>
      <c r="H45" s="171">
        <f t="shared" ca="1" si="10"/>
        <v>0</v>
      </c>
      <c r="I45" s="192">
        <f t="shared" si="11"/>
        <v>0.16985594148543037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22.466057870920004</v>
      </c>
      <c r="H46" s="171">
        <f t="shared" ca="1" si="10"/>
        <v>5533.9421290799946</v>
      </c>
      <c r="I46" s="192">
        <f t="shared" si="11"/>
        <v>0.24632457375813632</v>
      </c>
      <c r="J46" s="171">
        <f t="shared" ca="1" si="12"/>
        <v>22466.057870920005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21.467566409990223</v>
      </c>
      <c r="H47" s="171">
        <f t="shared" ca="1" si="10"/>
        <v>6532.4335900097758</v>
      </c>
      <c r="I47" s="192">
        <f t="shared" si="11"/>
        <v>0.30429315858409645</v>
      </c>
      <c r="J47" s="171">
        <f t="shared" ca="1" si="12"/>
        <v>21467.566409990224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1</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6</v>
      </c>
      <c r="G48" s="170">
        <f>IFERROR(VLOOKUP($B48,Gà!C:J,8,0),IFERROR(VLOOKUP($B48,TVP!C:J,7,0),IFERROR(VLOOKUP($B48,Kitkool!C:J,8,0),IFERROR(VLOOKUP($B48,'La Cusina'!C:J,8,0),VLOOKUP($B48,'Quốc Nhân'!C:J,8,0)))))</f>
        <v>23.435934027786551</v>
      </c>
      <c r="H48" s="171">
        <f t="shared" ca="1" si="10"/>
        <v>15384.395833280687</v>
      </c>
      <c r="I48" s="192">
        <f t="shared" si="11"/>
        <v>0.10940745818679098</v>
      </c>
      <c r="J48" s="171">
        <f t="shared" ca="1" si="12"/>
        <v>140615.60416671933</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1</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2</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5</v>
      </c>
      <c r="G49" s="170">
        <f>IFERROR(VLOOKUP($B49,Gà!C:J,8,0),IFERROR(VLOOKUP($B49,TVP!C:J,7,0),IFERROR(VLOOKUP($B49,Kitkool!C:J,8,0),IFERROR(VLOOKUP($B49,'La Cusina'!C:J,8,0),VLOOKUP($B49,'Quốc Nhân'!C:J,8,0)))))</f>
        <v>33.037890631642355</v>
      </c>
      <c r="H49" s="171">
        <f t="shared" ca="1" si="10"/>
        <v>19810.546841788237</v>
      </c>
      <c r="I49" s="192">
        <f t="shared" si="11"/>
        <v>0.11992622085148796</v>
      </c>
      <c r="J49" s="171">
        <f t="shared" ca="1" si="12"/>
        <v>165189.45315821178</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2</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37.410552627006794</v>
      </c>
      <c r="H50" s="171">
        <f t="shared" ca="1" si="10"/>
        <v>9178.8947459864139</v>
      </c>
      <c r="I50" s="192">
        <f t="shared" si="11"/>
        <v>0.12267788232778121</v>
      </c>
      <c r="J50" s="171">
        <f t="shared" ca="1" si="12"/>
        <v>74821.105254013586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39.890951536657958</v>
      </c>
      <c r="H51" s="171">
        <f t="shared" ca="1" si="10"/>
        <v>10218.096926684084</v>
      </c>
      <c r="I51" s="192">
        <f t="shared" si="11"/>
        <v>0.12807537214666498</v>
      </c>
      <c r="J51" s="171">
        <f t="shared" ca="1" si="12"/>
        <v>79781.903073315916</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311</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6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J14" sqref="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50880</v>
      </c>
      <c r="G1" s="79" t="s">
        <v>121</v>
      </c>
      <c r="H1" s="129">
        <f>60000+6217+H4+H5</f>
        <v>150518</v>
      </c>
      <c r="I1" s="80">
        <f>H1-H2-H3</f>
        <v>-1039021</v>
      </c>
      <c r="J1" s="87" t="s">
        <v>119</v>
      </c>
      <c r="K1" s="275" t="s">
        <v>257</v>
      </c>
      <c r="L1" s="276"/>
      <c r="M1" s="221" t="s">
        <v>256</v>
      </c>
      <c r="N1" s="222">
        <v>50000</v>
      </c>
    </row>
    <row r="2" spans="1:18" ht="28.5" customHeight="1" x14ac:dyDescent="0.25">
      <c r="E2" s="93"/>
      <c r="G2" s="90" t="s">
        <v>118</v>
      </c>
      <c r="H2" s="81">
        <f>D1</f>
        <v>50880</v>
      </c>
      <c r="I2" s="82">
        <v>-16630</v>
      </c>
      <c r="J2" s="82" t="s">
        <v>122</v>
      </c>
      <c r="K2" s="275">
        <v>235000</v>
      </c>
      <c r="L2" s="276"/>
      <c r="M2" s="221" t="s">
        <v>255</v>
      </c>
      <c r="N2" s="222">
        <v>80000</v>
      </c>
    </row>
    <row r="3" spans="1:18" ht="28.5" customHeight="1" x14ac:dyDescent="0.25">
      <c r="G3" s="83" t="s">
        <v>120</v>
      </c>
      <c r="H3" s="95">
        <f>INT('Quốc Nhân'!K4+'La Cusina'!K4+TVP!J4+Gà!K4+Kitkool!K4)</f>
        <v>1138659</v>
      </c>
      <c r="I3" s="84">
        <f>I1+I2</f>
        <v>-1055651</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1096205</v>
      </c>
      <c r="J4" s="89" t="s">
        <v>126</v>
      </c>
      <c r="M4" s="221" t="s">
        <v>259</v>
      </c>
      <c r="N4" s="222">
        <v>10000</v>
      </c>
    </row>
    <row r="5" spans="1:18" ht="28.5" customHeight="1" x14ac:dyDescent="0.25">
      <c r="A5" s="110" t="s">
        <v>171</v>
      </c>
      <c r="B5">
        <v>200</v>
      </c>
      <c r="G5" s="85" t="s">
        <v>261</v>
      </c>
      <c r="H5" s="125">
        <f>7400+5000+2400+10000+5000-2000-1000-1000-150-6349+30000</f>
        <v>49301</v>
      </c>
      <c r="I5" s="91">
        <f ca="1">I4+I3</f>
        <v>40554</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16000+3200+5100+650</f>
        <v>24950</v>
      </c>
      <c r="J7" s="248"/>
      <c r="K7" s="93"/>
      <c r="L7" s="93"/>
      <c r="M7" s="14"/>
      <c r="N7" s="14"/>
      <c r="O7" s="14"/>
      <c r="P7" s="14"/>
      <c r="Q7" s="14"/>
      <c r="R7" s="14"/>
    </row>
    <row r="8" spans="1:18" x14ac:dyDescent="0.25">
      <c r="A8" t="s">
        <v>189</v>
      </c>
      <c r="B8">
        <v>250</v>
      </c>
      <c r="C8" t="s">
        <v>108</v>
      </c>
      <c r="D8">
        <v>80</v>
      </c>
      <c r="E8" t="s">
        <v>106</v>
      </c>
      <c r="H8" s="93"/>
      <c r="I8" s="93">
        <f>1000+560+170</f>
        <v>1730</v>
      </c>
      <c r="J8" s="248"/>
      <c r="M8" s="14"/>
      <c r="N8" s="14"/>
      <c r="O8" s="14"/>
      <c r="P8" s="14"/>
      <c r="Q8" s="14"/>
      <c r="R8" s="14"/>
    </row>
    <row r="9" spans="1:18" x14ac:dyDescent="0.25">
      <c r="A9" t="s">
        <v>191</v>
      </c>
      <c r="B9">
        <v>400</v>
      </c>
      <c r="C9" t="s">
        <v>109</v>
      </c>
      <c r="D9">
        <v>145</v>
      </c>
      <c r="E9" t="s">
        <v>110</v>
      </c>
      <c r="H9" s="93"/>
      <c r="I9" s="93">
        <v>395</v>
      </c>
      <c r="J9" s="248"/>
      <c r="N9" s="14"/>
    </row>
    <row r="10" spans="1:18" x14ac:dyDescent="0.25">
      <c r="A10" t="s">
        <v>183</v>
      </c>
      <c r="B10">
        <v>300</v>
      </c>
      <c r="C10" t="s">
        <v>111</v>
      </c>
      <c r="D10">
        <v>800</v>
      </c>
      <c r="E10" t="s">
        <v>110</v>
      </c>
      <c r="H10" s="215"/>
      <c r="I10" s="93">
        <v>182</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f>156+188</f>
        <v>344</v>
      </c>
      <c r="J18" s="93" t="s">
        <v>301</v>
      </c>
    </row>
    <row r="19" spans="1:10" x14ac:dyDescent="0.25">
      <c r="A19" s="158"/>
      <c r="I19" s="93">
        <v>1044</v>
      </c>
      <c r="J19" s="93" t="s">
        <v>316</v>
      </c>
    </row>
    <row r="20" spans="1:10" x14ac:dyDescent="0.25">
      <c r="A20" s="158"/>
      <c r="I20" s="93">
        <v>2348</v>
      </c>
      <c r="J20" s="93" t="s">
        <v>314</v>
      </c>
    </row>
    <row r="21" spans="1:10" x14ac:dyDescent="0.25">
      <c r="A21" s="158"/>
      <c r="I21" s="93">
        <v>5000</v>
      </c>
      <c r="J21" s="93" t="s">
        <v>317</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880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75">
      <formula>$C22=MAX($C$8:$C$37)</formula>
    </cfRule>
  </conditionalFormatting>
  <conditionalFormatting sqref="C23:C37">
    <cfRule type="expression" dxfId="264" priority="74">
      <formula>$C22=MAX($C$8:$C$37)</formula>
    </cfRule>
  </conditionalFormatting>
  <conditionalFormatting sqref="E23:E38">
    <cfRule type="expression" dxfId="263" priority="76">
      <formula>AND($A23="",$F23&lt;&gt;"")</formula>
    </cfRule>
  </conditionalFormatting>
  <conditionalFormatting sqref="F23:F38">
    <cfRule type="expression" dxfId="262" priority="77">
      <formula>AND($F23="",$A23&lt;&gt;"")</formula>
    </cfRule>
  </conditionalFormatting>
  <conditionalFormatting sqref="D20:H22">
    <cfRule type="expression" dxfId="261" priority="23">
      <formula>$C19=MAX($C$8:$C$37)</formula>
    </cfRule>
  </conditionalFormatting>
  <conditionalFormatting sqref="C20:C22">
    <cfRule type="expression" dxfId="260" priority="22">
      <formula>$C19=MAX($C$8:$C$37)</formula>
    </cfRule>
  </conditionalFormatting>
  <conditionalFormatting sqref="E20:E22">
    <cfRule type="expression" dxfId="259" priority="24">
      <formula>AND($A20="",$F20&lt;&gt;"")</formula>
    </cfRule>
  </conditionalFormatting>
  <conditionalFormatting sqref="F20:F22">
    <cfRule type="expression" dxfId="258" priority="25">
      <formula>AND($F20="",$A20&lt;&gt;"")</formula>
    </cfRule>
  </conditionalFormatting>
  <conditionalFormatting sqref="D15:H19 D9:F14 H9:H14">
    <cfRule type="expression" dxfId="257" priority="19">
      <formula>$C8=MAX($C$8:$C$37)</formula>
    </cfRule>
  </conditionalFormatting>
  <conditionalFormatting sqref="C9:C19">
    <cfRule type="expression" dxfId="256" priority="18">
      <formula>$C8=MAX($C$8:$C$37)</formula>
    </cfRule>
  </conditionalFormatting>
  <conditionalFormatting sqref="E9:E19">
    <cfRule type="expression" dxfId="255" priority="20">
      <formula>AND($A9="",$F9&lt;&gt;"")</formula>
    </cfRule>
  </conditionalFormatting>
  <conditionalFormatting sqref="F9:F19">
    <cfRule type="expression" dxfId="254" priority="2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300</v>
      </c>
      <c r="E9" s="30" t="s">
        <v>234</v>
      </c>
      <c r="F9" s="30" t="s">
        <v>234</v>
      </c>
      <c r="G9" s="160" t="s">
        <v>234</v>
      </c>
      <c r="H9" s="151">
        <v>2500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301</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33</v>
      </c>
      <c r="B8" s="153">
        <v>1</v>
      </c>
      <c r="C8" s="30">
        <f t="shared" ref="C8:C37" si="0">IF(OR(SUM($C7,$A8&lt;&gt;"")=0,$A8=""),"",SUM($C7,$A8&lt;&gt;""))</f>
        <v>1</v>
      </c>
      <c r="D8" s="150" t="str">
        <f>IFERROR(VLOOKUP($A8,Sheet1!$A$1:$B$80,2,0),"")</f>
        <v>Bánh bao ngọt không nhân</v>
      </c>
      <c r="E8" s="30">
        <f>IFERROR(VLOOKUP($A8,'Tổng Đơn'!$A$5:$E$52,5,0),"")</f>
        <v>0.5</v>
      </c>
      <c r="F8" s="30">
        <f t="shared" ref="F8:F37" si="1">IF($B8="","",B8)</f>
        <v>1</v>
      </c>
      <c r="G8" s="160">
        <f>IFERROR(VLOOKUP($A8,Sheet1!$A1:$D$80,4,0),"")</f>
        <v>18000</v>
      </c>
      <c r="H8" s="151">
        <f>IF($C7=MAX($C$8:$C$56),SUM($H7:$H$8),IFERROR($G8*$F8,""))</f>
        <v>18000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v>1</v>
      </c>
      <c r="B12" s="153">
        <v>1</v>
      </c>
      <c r="C12" s="30">
        <f t="shared" si="0"/>
        <v>5</v>
      </c>
      <c r="D12" s="159" t="s">
        <v>300</v>
      </c>
      <c r="E12" s="30" t="s">
        <v>234</v>
      </c>
      <c r="F12" s="30" t="s">
        <v>234</v>
      </c>
      <c r="G12" s="160" t="s">
        <v>234</v>
      </c>
      <c r="H12" s="151">
        <f>-2000-2*2000</f>
        <v>-6000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188000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323</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1</v>
      </c>
      <c r="B10" s="153">
        <v>1</v>
      </c>
      <c r="C10" s="30">
        <f t="shared" si="0"/>
        <v>3</v>
      </c>
      <c r="D10" s="159" t="s">
        <v>300</v>
      </c>
      <c r="E10" s="30" t="s">
        <v>234</v>
      </c>
      <c r="F10" s="30" t="s">
        <v>234</v>
      </c>
      <c r="G10" s="160" t="s">
        <v>234</v>
      </c>
      <c r="H10" s="151">
        <f>-40*3500-10*2000</f>
        <v>-160000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1190000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106000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322</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41</v>
      </c>
      <c r="B9" s="153">
        <v>1</v>
      </c>
      <c r="C9" s="30">
        <f t="shared" si="0"/>
        <v>2</v>
      </c>
      <c r="D9" s="159" t="str">
        <f>IFERROR(VLOOKUP($A9,Sheet1!$A$1:$B$80,2,0),"")</f>
        <v>Bánh bao thả lẩu Trứng cá KK</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2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27</v>
      </c>
      <c r="B8" s="153">
        <v>1</v>
      </c>
      <c r="C8" s="30">
        <f t="shared" ref="C8:C37" si="0">IF(OR(SUM($C7,$A8&lt;&gt;"")=0,$A8=""),"",SUM($C7,$A8&lt;&gt;""))</f>
        <v>1</v>
      </c>
      <c r="D8" s="150" t="str">
        <f>IFERROR(VLOOKUP($A8,Sheet1!$A$1:$B$80,2,0),"")</f>
        <v>Há cảo Lớn</v>
      </c>
      <c r="E8" s="30">
        <f>IFERROR(VLOOKUP($A8,'Tổng Đơn'!$A$5:$E$52,5,0),"")</f>
        <v>0.5</v>
      </c>
      <c r="F8" s="30">
        <f t="shared" ref="F8:F37" si="1">IF($B8="","",B8)</f>
        <v>1</v>
      </c>
      <c r="G8" s="160">
        <f>IFERROR(VLOOKUP($A8,Sheet1!$A1:$D$80,4,0),"")</f>
        <v>35000</v>
      </c>
      <c r="H8" s="151">
        <f>IF($C7=MAX($C$8:$C$56),SUM($H7:$H$8),IFERROR($G8*$F8,""))</f>
        <v>35000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3</v>
      </c>
      <c r="C11" s="30">
        <f t="shared" si="0"/>
        <v>4</v>
      </c>
      <c r="D11" s="159" t="str">
        <f>IFERROR(VLOOKUP($A11,Sheet1!$A$1:$B$80,2,0),"")</f>
        <v>Bò lá lốt</v>
      </c>
      <c r="E11" s="30">
        <f>IFERROR(VLOOKUP($A11,'Tổng Đơn'!$A$5:$E$52,5,0),"")</f>
        <v>0.5</v>
      </c>
      <c r="F11" s="30">
        <f t="shared" si="1"/>
        <v>3</v>
      </c>
      <c r="G11" s="160">
        <f>IF(AND($C11="",$C10&lt;&gt;""),"Tổng Cộng",IFERROR(VLOOKUP($A11,Sheet1!$A$1:$D$80,4,0),""))</f>
        <v>42000</v>
      </c>
      <c r="H11" s="151">
        <f>IF($C10=MAX($C$8:$C$56),SUM($H$8:$H10),IFERROR($G11*$F11,""))</f>
        <v>126000</v>
      </c>
      <c r="I11" s="54">
        <f t="shared" si="2"/>
        <v>1.5</v>
      </c>
      <c r="L11" s="31"/>
    </row>
    <row r="12" spans="1:14" s="29" customFormat="1" ht="14.25" customHeight="1" x14ac:dyDescent="0.25">
      <c r="A12" s="153">
        <v>25</v>
      </c>
      <c r="B12" s="153">
        <v>3</v>
      </c>
      <c r="C12" s="30">
        <f t="shared" si="0"/>
        <v>5</v>
      </c>
      <c r="D12" s="159" t="str">
        <f>IFERROR(VLOOKUP($A12,Sheet1!$A$1:$B$80,2,0),"")</f>
        <v>Đậu hủ phô mai EB</v>
      </c>
      <c r="E12" s="30">
        <f>IFERROR(VLOOKUP($A12,'Tổng Đơn'!$A$5:$E$52,5,0),"")</f>
        <v>0.5</v>
      </c>
      <c r="F12" s="30">
        <f t="shared" si="1"/>
        <v>3</v>
      </c>
      <c r="G12" s="160">
        <f>IF(AND($C12="",$C11&lt;&gt;""),"Tổng Cộng",IFERROR(VLOOKUP($A12,Sheet1!$A$1:$D$80,4,0),""))</f>
        <v>80000</v>
      </c>
      <c r="H12" s="151">
        <f>IF($C11=MAX($C$8:$C$56),SUM($H$8:$H11),IFERROR($G12*$F12,""))</f>
        <v>240000</v>
      </c>
      <c r="I12" s="54">
        <f t="shared" si="2"/>
        <v>1.5</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33</v>
      </c>
      <c r="B15" s="153">
        <v>2</v>
      </c>
      <c r="C15" s="30">
        <f t="shared" si="0"/>
        <v>8</v>
      </c>
      <c r="D15" s="159" t="str">
        <f>IFERROR(VLOOKUP($A15,Sheet1!$A$1:$B$80,2,0),"")</f>
        <v>Bánh bao ngọt không nhân</v>
      </c>
      <c r="E15" s="30">
        <f>IFERROR(VLOOKUP($A15,'Tổng Đơn'!$A$5:$E$52,5,0),"")</f>
        <v>0.5</v>
      </c>
      <c r="F15" s="30">
        <f t="shared" si="1"/>
        <v>2</v>
      </c>
      <c r="G15" s="160">
        <f>IF(AND($C15="",$C14&lt;&gt;""),"Tổng Cộng",IFERROR(VLOOKUP($A15,Sheet1!$A$1:$D$80,4,0),""))</f>
        <v>18000</v>
      </c>
      <c r="H15" s="151">
        <f>IF($C14=MAX($C$8:$C$56),SUM($H$8:$H14),IFERROR($G15*$F15,""))</f>
        <v>36000</v>
      </c>
      <c r="I15" s="54">
        <f t="shared" si="2"/>
        <v>1</v>
      </c>
      <c r="L15" s="31"/>
    </row>
    <row r="16" spans="1:14" s="29" customFormat="1" ht="14.25" customHeight="1" x14ac:dyDescent="0.25">
      <c r="A16" s="153">
        <v>34</v>
      </c>
      <c r="B16" s="153">
        <v>10</v>
      </c>
      <c r="C16" s="30">
        <f t="shared" si="0"/>
        <v>9</v>
      </c>
      <c r="D16" s="159" t="str">
        <f>IFERROR(VLOOKUP($A16,Sheet1!$A$1:$B$80,2,0),"")</f>
        <v>Cá viên KK</v>
      </c>
      <c r="E16" s="30">
        <f>IFERROR(VLOOKUP($A16,'Tổng Đơn'!$A$5:$E$52,5,0),"")</f>
        <v>0.5</v>
      </c>
      <c r="F16" s="30">
        <f t="shared" si="1"/>
        <v>10</v>
      </c>
      <c r="G16" s="160">
        <f>IF(AND($C16="",$C15&lt;&gt;""),"Tổng Cộng",IFERROR(VLOOKUP($A16,Sheet1!$A$1:$D$80,4,0),""))</f>
        <v>25000</v>
      </c>
      <c r="H16" s="151">
        <f>IF($C15=MAX($C$8:$C$56),SUM($H$8:$H15),IFERROR($G16*$F16,""))</f>
        <v>250000</v>
      </c>
      <c r="I16" s="54">
        <f t="shared" si="2"/>
        <v>5</v>
      </c>
      <c r="L16" s="31"/>
    </row>
    <row r="17" spans="1:12" s="29" customFormat="1" ht="14.25" customHeight="1" x14ac:dyDescent="0.25">
      <c r="A17" s="153">
        <v>38</v>
      </c>
      <c r="B17" s="153">
        <v>2</v>
      </c>
      <c r="C17" s="30">
        <f t="shared" si="0"/>
        <v>10</v>
      </c>
      <c r="D17" s="159" t="str">
        <f>IFERROR(VLOOKUP($A17,Sheet1!$A$1:$B$80,2,0),"")</f>
        <v>XX Đỏ KK</v>
      </c>
      <c r="E17" s="30">
        <f>IFERROR(VLOOKUP($A17,'Tổng Đơn'!$A$5:$E$52,5,0),"")</f>
        <v>0.5</v>
      </c>
      <c r="F17" s="30">
        <f t="shared" si="1"/>
        <v>2</v>
      </c>
      <c r="G17" s="160">
        <f>IF(AND($C17="",$C16&lt;&gt;""),"Tổng Cộng",IFERROR(VLOOKUP($A17,Sheet1!$A$1:$D$80,4,0),""))</f>
        <v>26000</v>
      </c>
      <c r="H17" s="151">
        <f>IF($C16=MAX($C$8:$C$56),SUM($H$8:$H16),IFERROR($G17*$F17,""))</f>
        <v>52000</v>
      </c>
      <c r="I17" s="54">
        <f t="shared" si="2"/>
        <v>1</v>
      </c>
      <c r="L17" s="31"/>
    </row>
    <row r="18" spans="1:12" s="29" customFormat="1" ht="14.25" customHeight="1" x14ac:dyDescent="0.25">
      <c r="A18" s="153">
        <v>40</v>
      </c>
      <c r="B18" s="153">
        <v>2</v>
      </c>
      <c r="C18" s="30">
        <f t="shared" si="0"/>
        <v>11</v>
      </c>
      <c r="D18" s="159" t="str">
        <f>IFERROR(VLOOKUP($A18,Sheet1!$A$1:$B$80,2,0),"")</f>
        <v>Hồ lô KK</v>
      </c>
      <c r="E18" s="30">
        <f>IFERROR(VLOOKUP($A18,'Tổng Đơn'!$A$5:$E$52,5,0),"")</f>
        <v>0.5</v>
      </c>
      <c r="F18" s="30">
        <f t="shared" si="1"/>
        <v>2</v>
      </c>
      <c r="G18" s="160">
        <f>IF(AND($C18="",$C17&lt;&gt;""),"Tổng Cộng",IFERROR(VLOOKUP($A18,Sheet1!$A$1:$D$80,4,0),""))</f>
        <v>42000</v>
      </c>
      <c r="H18" s="151">
        <f>IF($C17=MAX($C$8:$C$56),SUM($H$8:$H17),IFERROR($G18*$F18,""))</f>
        <v>84000</v>
      </c>
      <c r="I18" s="54">
        <f t="shared" si="2"/>
        <v>1</v>
      </c>
      <c r="L18" s="31"/>
    </row>
    <row r="19" spans="1:12" s="29" customFormat="1" ht="14.25" customHeight="1" x14ac:dyDescent="0.25">
      <c r="A19" s="153">
        <v>1</v>
      </c>
      <c r="B19" s="153">
        <v>1</v>
      </c>
      <c r="C19" s="30">
        <f t="shared" si="0"/>
        <v>12</v>
      </c>
      <c r="D19" s="159" t="s">
        <v>300</v>
      </c>
      <c r="E19" s="30" t="s">
        <v>234</v>
      </c>
      <c r="F19" s="30" t="s">
        <v>234</v>
      </c>
      <c r="G19" s="160" t="s">
        <v>234</v>
      </c>
      <c r="H19" s="151">
        <f>-10*2000-2*3000-3000</f>
        <v>-29000</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1075000</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313</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89000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312</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13</v>
      </c>
      <c r="B11" s="153">
        <v>1</v>
      </c>
      <c r="C11" s="30">
        <f t="shared" si="0"/>
        <v>4</v>
      </c>
      <c r="D11" s="159" t="str">
        <f>IFERROR(VLOOKUP($A11,Sheet1!$A$1:$B$80,2,0),"")</f>
        <v>Phô mai que (13 que)</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33</v>
      </c>
      <c r="B12" s="153">
        <v>1</v>
      </c>
      <c r="C12" s="30">
        <f t="shared" si="0"/>
        <v>5</v>
      </c>
      <c r="D12" s="159" t="str">
        <f>IFERROR(VLOOKUP($A12,Sheet1!$A$1:$B$80,2,0),"")</f>
        <v>Bánh bao ngọt không nhân</v>
      </c>
      <c r="E12" s="30">
        <f>IFERROR(VLOOKUP($A12,'Tổng Đơn'!$A$5:$E$52,5,0),"")</f>
        <v>0.5</v>
      </c>
      <c r="F12" s="30">
        <f t="shared" si="1"/>
        <v>1</v>
      </c>
      <c r="G12" s="160">
        <f>IF(AND($C12="",$C11&lt;&gt;""),"Tổng Cộng",IFERROR(VLOOKUP($A12,Sheet1!$A$1:$D$80,4,0),""))</f>
        <v>18000</v>
      </c>
      <c r="H12" s="151">
        <f>IF($C11=MAX($C$8:$C$56),SUM($H$8:$H11),IFERROR($G12*$F12,""))</f>
        <v>18000</v>
      </c>
      <c r="I12" s="54">
        <f t="shared" si="2"/>
        <v>0.5</v>
      </c>
      <c r="J12" s="126"/>
      <c r="L12" s="31"/>
      <c r="M12" s="133"/>
      <c r="N12" s="127"/>
    </row>
    <row r="13" spans="1:14" s="29" customFormat="1" ht="14.25" customHeight="1" x14ac:dyDescent="0.25">
      <c r="A13" s="153">
        <v>34</v>
      </c>
      <c r="B13" s="153">
        <v>4</v>
      </c>
      <c r="C13" s="30">
        <f t="shared" si="0"/>
        <v>6</v>
      </c>
      <c r="D13" s="159" t="str">
        <f>IFERROR(VLOOKUP($A13,Sheet1!$A$1:$B$80,2,0),"")</f>
        <v>Cá viên KK</v>
      </c>
      <c r="E13" s="30">
        <f>IFERROR(VLOOKUP($A13,'Tổng Đơn'!$A$5:$E$52,5,0),"")</f>
        <v>0.5</v>
      </c>
      <c r="F13" s="30">
        <f t="shared" si="1"/>
        <v>4</v>
      </c>
      <c r="G13" s="160">
        <f>IF(AND($C13="",$C12&lt;&gt;""),"Tổng Cộng",IFERROR(VLOOKUP($A13,Sheet1!$A$1:$D$80,4,0),""))</f>
        <v>25000</v>
      </c>
      <c r="H13" s="151">
        <f>IF($C12=MAX($C$8:$C$56),SUM($H$8:$H12),IFERROR($G13*$F13,""))</f>
        <v>100000</v>
      </c>
      <c r="I13" s="54">
        <f t="shared" si="2"/>
        <v>2</v>
      </c>
      <c r="L13" s="31"/>
    </row>
    <row r="14" spans="1:14" s="29" customFormat="1" ht="14.25" customHeight="1" x14ac:dyDescent="0.25">
      <c r="A14" s="153">
        <v>38</v>
      </c>
      <c r="B14" s="153">
        <v>1</v>
      </c>
      <c r="C14" s="30">
        <f t="shared" si="0"/>
        <v>7</v>
      </c>
      <c r="D14" s="159" t="str">
        <f>IFERROR(VLOOKUP($A14,Sheet1!$A$1:$B$80,2,0),"")</f>
        <v>XX Đỏ KK</v>
      </c>
      <c r="E14" s="30">
        <f>IFERROR(VLOOKUP($A14,'Tổng Đơn'!$A$5:$E$52,5,0),"")</f>
        <v>0.5</v>
      </c>
      <c r="F14" s="30">
        <f t="shared" si="1"/>
        <v>1</v>
      </c>
      <c r="G14" s="160">
        <f>IF(AND($C14="",$C13&lt;&gt;""),"Tổng Cộng",IFERROR(VLOOKUP($A14,Sheet1!$A$1:$D$80,4,0),""))</f>
        <v>26000</v>
      </c>
      <c r="H14" s="151">
        <f>IF($C13=MAX($C$8:$C$56),SUM($H$8:$H13),IFERROR($G14*$F14,""))</f>
        <v>26000</v>
      </c>
      <c r="I14" s="54">
        <f t="shared" si="2"/>
        <v>0.5</v>
      </c>
      <c r="L14" s="31"/>
      <c r="M14" s="134"/>
    </row>
    <row r="15" spans="1:14" s="29" customFormat="1" ht="14.25" customHeight="1" x14ac:dyDescent="0.25">
      <c r="A15" s="153">
        <v>39</v>
      </c>
      <c r="B15" s="153">
        <v>1</v>
      </c>
      <c r="C15" s="30">
        <f t="shared" si="0"/>
        <v>8</v>
      </c>
      <c r="D15" s="159" t="str">
        <f>IFERROR(VLOOKUP($A15,Sheet1!$A$1:$B$80,2,0),"")</f>
        <v>XX Đức KK</v>
      </c>
      <c r="E15" s="30">
        <f>IFERROR(VLOOKUP($A15,'Tổng Đơn'!$A$5:$E$52,5,0),"")</f>
        <v>0.5</v>
      </c>
      <c r="F15" s="30">
        <f t="shared" si="1"/>
        <v>1</v>
      </c>
      <c r="G15" s="160">
        <f>IF(AND($C15="",$C14&lt;&gt;""),"Tổng Cộng",IFERROR(VLOOKUP($A15,Sheet1!$A$1:$D$80,4,0),""))</f>
        <v>37000</v>
      </c>
      <c r="H15" s="151">
        <f>IF($C14=MAX($C$8:$C$56),SUM($H$8:$H14),IFERROR($G15*$F15,""))</f>
        <v>37000</v>
      </c>
      <c r="I15" s="54">
        <f t="shared" si="2"/>
        <v>0.5</v>
      </c>
      <c r="L15" s="31"/>
    </row>
    <row r="16" spans="1:14" s="29" customFormat="1" ht="14.25" customHeight="1" x14ac:dyDescent="0.25">
      <c r="A16" s="153">
        <v>41</v>
      </c>
      <c r="B16" s="153">
        <v>1</v>
      </c>
      <c r="C16" s="30">
        <f t="shared" si="0"/>
        <v>9</v>
      </c>
      <c r="D16" s="159" t="str">
        <f>IFERROR(VLOOKUP($A16,Sheet1!$A$1:$B$80,2,0),"")</f>
        <v>Bánh bao thả lẩu Trứng cá KK</v>
      </c>
      <c r="E16" s="30">
        <f>IFERROR(VLOOKUP($A16,'Tổng Đơn'!$A$5:$E$52,5,0),"")</f>
        <v>0.5</v>
      </c>
      <c r="F16" s="30">
        <f t="shared" si="1"/>
        <v>1</v>
      </c>
      <c r="G16" s="160">
        <f>IF(AND($C16="",$C15&lt;&gt;""),"Tổng Cộng",IFERROR(VLOOKUP($A16,Sheet1!$A$1:$D$80,4,0),""))</f>
        <v>45000</v>
      </c>
      <c r="H16" s="151">
        <f>IF($C15=MAX($C$8:$C$56),SUM($H$8:$H15),IFERROR($G16*$F16,""))</f>
        <v>45000</v>
      </c>
      <c r="I16" s="54">
        <f t="shared" si="2"/>
        <v>0.5</v>
      </c>
      <c r="L16" s="31"/>
    </row>
    <row r="17" spans="1:12" s="29" customFormat="1" ht="14.25" customHeight="1" x14ac:dyDescent="0.25">
      <c r="A17" s="153">
        <v>1</v>
      </c>
      <c r="B17" s="153">
        <v>1</v>
      </c>
      <c r="C17" s="30">
        <f t="shared" si="0"/>
        <v>10</v>
      </c>
      <c r="D17" s="159" t="s">
        <v>300</v>
      </c>
      <c r="E17" s="30" t="s">
        <v>234</v>
      </c>
      <c r="F17" s="30" t="s">
        <v>234</v>
      </c>
      <c r="G17" s="160" t="s">
        <v>234</v>
      </c>
      <c r="H17" s="151">
        <f>-4*2000-5000-2000</f>
        <v>-15000</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376000</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300</v>
      </c>
      <c r="E9" s="30" t="s">
        <v>234</v>
      </c>
      <c r="F9" s="30" t="s">
        <v>234</v>
      </c>
      <c r="G9" s="160" t="s">
        <v>234</v>
      </c>
      <c r="H9" s="151">
        <f>-5*5000</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225000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2023-01-03T00:25:17Z</dcterms:modified>
</cp:coreProperties>
</file>