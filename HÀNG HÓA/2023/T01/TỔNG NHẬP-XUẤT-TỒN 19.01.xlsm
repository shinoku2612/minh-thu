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3124DCD8-5926-407A-B94E-078D267B72AB}" xr6:coauthVersionLast="47" xr6:coauthVersionMax="47" xr10:uidLastSave="{00000000-0000-0000-0000-000000000000}"/>
  <bookViews>
    <workbookView xWindow="-108" yWindow="-108" windowWidth="23256" windowHeight="12576" tabRatio="925" activeTab="8" xr2:uid="{00000000-000D-0000-FFFF-FFFF00000000}"/>
  </bookViews>
  <sheets>
    <sheet name="Gà" sheetId="137" r:id="rId1"/>
    <sheet name="Chi phí ra hàng tháng" sheetId="120"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s>
  <definedNames>
    <definedName name="_xlnm._FilterDatabase" localSheetId="8" hidden="1">'Chi phí'!$A$6:$E$34</definedName>
    <definedName name="_xlnm._FilterDatabase" localSheetId="1" hidden="1">'Chi phí ra hàng tháng'!$I$2:$S$21</definedName>
    <definedName name="_xlnm._FilterDatabase" localSheetId="0"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Slicer_Tên_hàng">#N/A</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1" l="1"/>
  <c r="I2" i="95"/>
  <c r="A2" i="137"/>
  <c r="A2" i="1"/>
  <c r="F26" i="1"/>
  <c r="F18" i="1"/>
  <c r="F10" i="137"/>
  <c r="F8" i="137"/>
  <c r="F6" i="137"/>
  <c r="I7" i="95"/>
  <c r="AH10" i="150"/>
  <c r="AH18" i="1"/>
  <c r="F12" i="439"/>
  <c r="E12" i="439"/>
  <c r="D12" i="439"/>
  <c r="F11" i="439"/>
  <c r="E11" i="439"/>
  <c r="D11" i="439"/>
  <c r="F10" i="439"/>
  <c r="E10" i="439"/>
  <c r="D10" i="439"/>
  <c r="F9" i="439"/>
  <c r="E9" i="439"/>
  <c r="D9" i="439"/>
  <c r="G8" i="439"/>
  <c r="F8" i="439"/>
  <c r="E8" i="439"/>
  <c r="D8" i="439"/>
  <c r="C8" i="439"/>
  <c r="C9" i="439" s="1"/>
  <c r="B2" i="137"/>
  <c r="F15" i="137"/>
  <c r="F30" i="1"/>
  <c r="F27" i="1"/>
  <c r="F9" i="1"/>
  <c r="AW2" i="137"/>
  <c r="AX3" i="137"/>
  <c r="H5" i="95"/>
  <c r="C10" i="439" l="1"/>
  <c r="G9" i="439"/>
  <c r="A2" i="150"/>
  <c r="F5" i="150"/>
  <c r="G10" i="439" l="1"/>
  <c r="C11" i="439"/>
  <c r="C12" i="439" s="1"/>
  <c r="G12" i="439" s="1"/>
  <c r="A2" i="4"/>
  <c r="F12" i="150"/>
  <c r="F10" i="150"/>
  <c r="F9" i="150"/>
  <c r="F8" i="150"/>
  <c r="F7" i="150"/>
  <c r="F20" i="4"/>
  <c r="F8" i="4"/>
  <c r="F5" i="4"/>
  <c r="G11" i="439" l="1"/>
  <c r="F24" i="1"/>
  <c r="F12" i="137"/>
  <c r="F28" i="1" l="1"/>
  <c r="F21" i="1"/>
  <c r="F11" i="137" l="1"/>
  <c r="F19" i="4"/>
  <c r="F7" i="4"/>
  <c r="F6" i="4"/>
  <c r="F11" i="150"/>
  <c r="S10" i="150" l="1"/>
  <c r="S5" i="150"/>
  <c r="S9" i="150"/>
  <c r="S18" i="1"/>
  <c r="F13" i="150" l="1"/>
  <c r="D25" i="439" l="1"/>
  <c r="E25" i="439"/>
  <c r="F25" i="439"/>
  <c r="Q2" i="150"/>
  <c r="F23" i="4" l="1"/>
  <c r="F9" i="4"/>
  <c r="F6" i="150"/>
  <c r="BA3" i="150" l="1"/>
  <c r="BA5" i="150" l="1"/>
  <c r="BA6" i="150" s="1"/>
  <c r="BA7" i="150" s="1"/>
  <c r="BA8" i="150" s="1"/>
  <c r="BA9" i="150" s="1"/>
  <c r="BA10" i="150" s="1"/>
  <c r="BA11" i="150" s="1"/>
  <c r="BA12" i="150" s="1"/>
  <c r="BA13" i="150" s="1"/>
  <c r="D8" i="150" l="1"/>
  <c r="D9" i="150"/>
  <c r="D7" i="150"/>
  <c r="D6" i="150"/>
  <c r="D5" i="150"/>
  <c r="AY5" i="150"/>
  <c r="AY13" i="150"/>
  <c r="AX13" i="150" s="1"/>
  <c r="M13" i="150"/>
  <c r="D13" i="150"/>
  <c r="G13" i="150" s="1"/>
  <c r="H13" i="150" s="1"/>
  <c r="D11" i="150" l="1"/>
  <c r="G11" i="150" s="1"/>
  <c r="P2" i="8" l="1"/>
  <c r="P3" i="8"/>
  <c r="P4" i="8"/>
  <c r="P5" i="8"/>
  <c r="P6" i="8"/>
  <c r="P7" i="8"/>
  <c r="P2" i="4" l="1"/>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8" i="150" l="1"/>
  <c r="Q15" i="150" l="1"/>
  <c r="F9" i="137" l="1"/>
  <c r="AX6" i="137" l="1"/>
  <c r="G21" i="1" l="1"/>
  <c r="H21" i="1" s="1"/>
  <c r="G22" i="1"/>
  <c r="M21" i="1" l="1"/>
  <c r="R50" i="8" l="1"/>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M12" i="137" l="1"/>
  <c r="AX12" i="137"/>
  <c r="H12" i="137"/>
  <c r="D10" i="150" l="1"/>
  <c r="U13" i="120"/>
  <c r="G20" i="4"/>
  <c r="G9" i="4" l="1"/>
  <c r="G18" i="4"/>
  <c r="G5" i="4"/>
  <c r="A23" i="150" l="1"/>
  <c r="A26" i="4"/>
  <c r="A28" i="4" l="1"/>
  <c r="H5" i="4"/>
  <c r="M5" i="4"/>
  <c r="AW4" i="4" l="1"/>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M6" i="50"/>
  <c r="R10" i="50"/>
  <c r="AB10" i="50"/>
  <c r="AS10" i="50"/>
  <c r="V7" i="50"/>
  <c r="AA11" i="50"/>
  <c r="AM10" i="50"/>
  <c r="AZ11" i="50"/>
  <c r="AZ10" i="50"/>
  <c r="L9" i="50"/>
  <c r="N9" i="50"/>
  <c r="AW6" i="50"/>
  <c r="AH8" i="50"/>
  <c r="AL11" i="50"/>
  <c r="BB6" i="50"/>
  <c r="O7" i="50"/>
  <c r="AC6" i="50"/>
  <c r="M7" i="50"/>
  <c r="AU9" i="50"/>
  <c r="Y10" i="50"/>
  <c r="P10" i="50"/>
  <c r="P8" i="50"/>
  <c r="N6" i="50"/>
  <c r="AM6" i="50"/>
  <c r="S8" i="50"/>
  <c r="AI8" i="50"/>
  <c r="Z6" i="50"/>
  <c r="BC9" i="50"/>
  <c r="BB10" i="50"/>
  <c r="AX6" i="50"/>
  <c r="BA9" i="50"/>
  <c r="V9" i="50"/>
  <c r="AR10" i="50"/>
  <c r="AS6" i="50"/>
  <c r="AW8" i="50"/>
  <c r="V10" i="50"/>
  <c r="P11" i="50"/>
  <c r="AJ6" i="50"/>
  <c r="AM9" i="50"/>
  <c r="AG10" i="50"/>
  <c r="AQ10" i="50"/>
  <c r="AF7" i="50"/>
  <c r="O6" i="50"/>
  <c r="AJ9" i="50"/>
  <c r="AZ6" i="50"/>
  <c r="AO11" i="50"/>
  <c r="S7" i="50"/>
  <c r="AE8" i="50"/>
  <c r="AK11" i="50"/>
  <c r="AX7" i="50"/>
  <c r="AZ7" i="50"/>
  <c r="U6" i="50"/>
  <c r="M10" i="50"/>
  <c r="AP10" i="50"/>
  <c r="T7" i="50"/>
  <c r="AU10" i="50"/>
  <c r="AP6" i="50"/>
  <c r="BB9" i="50"/>
  <c r="AD7" i="50"/>
  <c r="Q8" i="50"/>
  <c r="X7" i="50"/>
  <c r="W7" i="50"/>
  <c r="AV6" i="50"/>
  <c r="X8" i="50"/>
  <c r="AX10" i="50"/>
  <c r="AD9" i="50"/>
  <c r="AO7" i="50"/>
  <c r="BA7" i="50"/>
  <c r="AP7" i="50"/>
  <c r="R7" i="50"/>
  <c r="P9" i="50"/>
  <c r="AB9" i="50"/>
  <c r="R6" i="50"/>
  <c r="AW7" i="50"/>
  <c r="Z9" i="50"/>
  <c r="AL7" i="50"/>
  <c r="N8" i="50"/>
  <c r="L7" i="50"/>
  <c r="W10" i="50"/>
  <c r="AD10" i="50"/>
  <c r="AA8" i="50"/>
  <c r="AT8" i="50"/>
  <c r="AN11" i="50"/>
  <c r="AY8" i="50"/>
  <c r="AK8" i="50"/>
  <c r="AK10" i="50"/>
  <c r="AI9" i="50"/>
  <c r="U9" i="50"/>
  <c r="L10" i="50"/>
  <c r="AR7" i="50"/>
  <c r="BC6" i="50"/>
  <c r="L6" i="50"/>
  <c r="BC8" i="50"/>
  <c r="AU6" i="50"/>
  <c r="L8" i="50"/>
  <c r="BA10" i="50"/>
  <c r="AB8" i="50"/>
  <c r="AC8" i="50"/>
  <c r="AW11" i="50"/>
  <c r="AY6" i="50"/>
  <c r="V11" i="50"/>
  <c r="AQ7" i="50"/>
  <c r="AS8" i="50"/>
  <c r="Y7" i="50"/>
  <c r="BA8" i="50"/>
  <c r="W6" i="50"/>
  <c r="AO10" i="50"/>
  <c r="Q10" i="50"/>
  <c r="AP9" i="50"/>
  <c r="R8" i="50"/>
  <c r="AJ10" i="50"/>
  <c r="BC10" i="50"/>
  <c r="X6" i="50"/>
  <c r="AL6" i="50"/>
  <c r="Z10" i="50"/>
  <c r="AH9" i="50"/>
  <c r="AU8" i="50"/>
  <c r="AT6" i="50"/>
  <c r="AL9" i="50"/>
  <c r="AD8" i="50"/>
  <c r="M11" i="50"/>
  <c r="X9" i="50"/>
  <c r="AR6" i="50"/>
  <c r="AX8" i="50"/>
  <c r="AG6" i="50"/>
  <c r="AU11" i="50"/>
  <c r="AF10" i="50"/>
  <c r="AZ9" i="50"/>
  <c r="AV9" i="50"/>
  <c r="AE6" i="50"/>
  <c r="P7" i="50"/>
  <c r="AE11" i="50"/>
  <c r="AY11" i="50"/>
  <c r="AL8" i="50"/>
  <c r="AT10" i="50"/>
  <c r="O8" i="50"/>
  <c r="AF6" i="50"/>
  <c r="T11" i="50"/>
  <c r="W9" i="50"/>
  <c r="AI11" i="50"/>
  <c r="BC11" i="50"/>
  <c r="P6" i="50"/>
  <c r="AQ11" i="50"/>
  <c r="U8" i="50"/>
  <c r="R11" i="50"/>
  <c r="AJ8" i="50"/>
  <c r="Y9" i="50"/>
  <c r="M9" i="50"/>
  <c r="AA7" i="50"/>
  <c r="AB11" i="50"/>
  <c r="AK6" i="50"/>
  <c r="S6" i="50"/>
  <c r="AV7" i="50"/>
  <c r="AP8" i="50"/>
  <c r="BB11" i="50"/>
  <c r="AP11" i="50"/>
  <c r="AG11" i="50"/>
  <c r="AN6" i="50"/>
  <c r="Q7" i="50"/>
  <c r="AX11" i="50"/>
  <c r="AM8" i="50"/>
  <c r="BB7" i="50"/>
  <c r="AI6" i="50"/>
  <c r="AN8" i="50"/>
  <c r="AC11" i="50"/>
  <c r="AJ7" i="50"/>
  <c r="AI10" i="50"/>
  <c r="AY7" i="50"/>
  <c r="AS11" i="50"/>
  <c r="Y6" i="50"/>
  <c r="AB7" i="50"/>
  <c r="BC7" i="50"/>
  <c r="AD11" i="50"/>
  <c r="AU7" i="50"/>
  <c r="M8" i="50"/>
  <c r="Q6" i="50"/>
  <c r="AV8" i="50"/>
  <c r="AF8" i="50"/>
  <c r="AS7" i="50"/>
  <c r="Z11" i="50"/>
  <c r="AV11" i="50"/>
  <c r="AY10" i="50"/>
  <c r="AA10" i="50"/>
  <c r="AZ8" i="50"/>
  <c r="AX9" i="50"/>
  <c r="AQ6" i="50"/>
  <c r="BA11" i="50"/>
  <c r="AF9" i="50"/>
  <c r="N10" i="50"/>
  <c r="AW9" i="50"/>
  <c r="AT7" i="50"/>
  <c r="AN7" i="50"/>
  <c r="X10" i="50"/>
  <c r="T10" i="50"/>
  <c r="AC10" i="50"/>
  <c r="AM11" i="50"/>
  <c r="AK9" i="50"/>
  <c r="Q9" i="50"/>
  <c r="BA6" i="50"/>
  <c r="N7" i="50"/>
  <c r="AI7" i="50"/>
  <c r="AG7" i="50"/>
  <c r="Q11" i="50"/>
  <c r="AA6" i="50"/>
  <c r="Z8" i="50"/>
  <c r="AD6" i="50"/>
  <c r="AL10" i="50"/>
  <c r="AB6" i="50"/>
  <c r="AM7" i="50"/>
  <c r="W11" i="50"/>
  <c r="AH6" i="50"/>
  <c r="Y11" i="50"/>
  <c r="AQ9" i="50"/>
  <c r="AA9" i="50"/>
  <c r="AO6" i="50"/>
  <c r="BB8" i="50"/>
  <c r="AY9" i="50"/>
  <c r="R9" i="50"/>
  <c r="AH11" i="50"/>
  <c r="X11" i="50"/>
  <c r="V8" i="50"/>
  <c r="L11" i="50"/>
  <c r="AF11" i="50"/>
  <c r="W8" i="50"/>
  <c r="AN9" i="50"/>
  <c r="AC9" i="50"/>
  <c r="U11" i="50"/>
  <c r="AE9" i="50"/>
  <c r="AR9" i="50"/>
  <c r="U10" i="50"/>
  <c r="AQ8" i="50"/>
  <c r="AW10" i="50"/>
  <c r="AK7" i="50"/>
  <c r="T9" i="50"/>
  <c r="N11" i="50"/>
  <c r="AC7" i="50"/>
  <c r="T8" i="50"/>
  <c r="AG8" i="50"/>
  <c r="AH10" i="50"/>
  <c r="U7" i="50"/>
  <c r="S9" i="50"/>
  <c r="AG9" i="50"/>
  <c r="AN10" i="50"/>
  <c r="Z7" i="50"/>
  <c r="AS9" i="50"/>
  <c r="V6" i="50"/>
  <c r="AO9" i="50"/>
  <c r="Y8" i="50"/>
  <c r="O9" i="50"/>
  <c r="O11" i="50"/>
  <c r="S10" i="50"/>
  <c r="T6" i="50"/>
  <c r="S11" i="50"/>
  <c r="AR11" i="50"/>
  <c r="AO8" i="50"/>
  <c r="O10" i="50"/>
  <c r="AJ11" i="50"/>
  <c r="AE7" i="50"/>
  <c r="AH7" i="50"/>
  <c r="AT9" i="50"/>
  <c r="AV10" i="50"/>
  <c r="AE10" i="50"/>
  <c r="AT11" i="50"/>
  <c r="AR8"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12" i="439" s="1"/>
  <c r="H28" i="439"/>
  <c r="H34" i="439"/>
  <c r="H27" i="439"/>
  <c r="H32" i="439"/>
  <c r="H29" i="439"/>
  <c r="H30" i="439"/>
  <c r="H33" i="439"/>
  <c r="H31" i="439"/>
  <c r="H24" i="439"/>
  <c r="H35" i="439"/>
  <c r="H23" i="439"/>
  <c r="H36" i="439"/>
  <c r="G37" i="439"/>
  <c r="H37" i="439" s="1"/>
  <c r="G38" i="439"/>
  <c r="H38" i="439" s="1"/>
  <c r="H9" i="439" l="1"/>
  <c r="H10" i="439" s="1"/>
  <c r="H11" i="439"/>
  <c r="M18" i="1"/>
  <c r="G18" i="1"/>
  <c r="H18" i="1" l="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J15" i="1" l="1"/>
  <c r="AJ10" i="4"/>
  <c r="AJ17" i="1"/>
  <c r="AJ22" i="4"/>
  <c r="AJ19" i="1"/>
  <c r="AJ22" i="1"/>
  <c r="AJ23" i="1"/>
  <c r="AJ10" i="1"/>
  <c r="AJ20" i="1"/>
  <c r="AJ11" i="1"/>
  <c r="AJ12" i="1"/>
  <c r="AJ14" i="1"/>
  <c r="O14" i="1" s="1"/>
  <c r="A14" i="1" s="1"/>
  <c r="AJ16" i="1"/>
  <c r="AJ12" i="4"/>
  <c r="AJ9" i="137"/>
  <c r="AJ7" i="137"/>
  <c r="AJ10" i="137"/>
  <c r="AJ6" i="137"/>
  <c r="AJ8" i="137"/>
  <c r="AJ6" i="4"/>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K4" i="150"/>
  <c r="AU4" i="150"/>
  <c r="AT4" i="150"/>
  <c r="AR4" i="150"/>
  <c r="AQ4" i="150"/>
  <c r="AP4" i="150"/>
  <c r="AN4" i="4"/>
  <c r="AM4" i="4"/>
  <c r="AL4" i="4"/>
  <c r="AS4" i="4"/>
  <c r="AK4" i="4"/>
  <c r="AU4" i="4"/>
  <c r="AT4" i="4"/>
  <c r="AO4" i="4"/>
  <c r="AR4" i="4"/>
  <c r="AQ4" i="4"/>
  <c r="AP4" i="4"/>
  <c r="AN4" i="1"/>
  <c r="AM4" i="1"/>
  <c r="AL4" i="1"/>
  <c r="AS4" i="1"/>
  <c r="AK4" i="1"/>
  <c r="AU4" i="1"/>
  <c r="AT4" i="1"/>
  <c r="AO4" i="1"/>
  <c r="AR4" i="1"/>
  <c r="AQ4" i="1"/>
  <c r="AP4" i="1"/>
  <c r="AK4" i="137"/>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L50" i="50"/>
  <c r="AR20" i="50"/>
  <c r="AD4" i="50"/>
  <c r="AD30" i="50"/>
  <c r="AY16" i="50"/>
  <c r="AD44" i="50"/>
  <c r="AH49" i="50"/>
  <c r="AV20" i="50"/>
  <c r="AK27" i="50"/>
  <c r="AQ17" i="50"/>
  <c r="AZ44" i="50"/>
  <c r="AZ18" i="50"/>
  <c r="AP15" i="50"/>
  <c r="BC15" i="50"/>
  <c r="AQ45" i="50"/>
  <c r="AB28" i="50"/>
  <c r="AR44" i="50"/>
  <c r="V51" i="50"/>
  <c r="AU5" i="50"/>
  <c r="N17" i="50"/>
  <c r="BC20" i="50"/>
  <c r="V26" i="50"/>
  <c r="AO37" i="50"/>
  <c r="T38" i="50"/>
  <c r="T37" i="50"/>
  <c r="AM34" i="50"/>
  <c r="AC31" i="50"/>
  <c r="AQ51" i="50"/>
  <c r="AY51" i="50"/>
  <c r="BB4" i="50"/>
  <c r="AZ43" i="50"/>
  <c r="U48" i="50"/>
  <c r="BB27" i="50"/>
  <c r="AI48" i="50"/>
  <c r="BA24" i="50"/>
  <c r="AN5" i="50"/>
  <c r="AV21" i="50"/>
  <c r="T31" i="50"/>
  <c r="AZ23" i="50"/>
  <c r="O29" i="50"/>
  <c r="S45" i="50"/>
  <c r="AE22" i="50"/>
  <c r="BA47" i="50"/>
  <c r="AW44" i="50"/>
  <c r="S32" i="50"/>
  <c r="AV42" i="50"/>
  <c r="Q37" i="50"/>
  <c r="Z50" i="50"/>
  <c r="AA21" i="50"/>
  <c r="Q5" i="50"/>
  <c r="AY49" i="50"/>
  <c r="N24" i="50"/>
  <c r="V43" i="50"/>
  <c r="AO22" i="50"/>
  <c r="AL46" i="50"/>
  <c r="AP35" i="50"/>
  <c r="AO26" i="50"/>
  <c r="AA40" i="50"/>
  <c r="M16" i="50"/>
  <c r="AG27" i="50"/>
  <c r="AK43" i="50"/>
  <c r="AI45" i="50"/>
  <c r="AP37" i="50"/>
  <c r="AV51" i="50"/>
  <c r="AM42" i="50"/>
  <c r="AZ27" i="50"/>
  <c r="AZ41" i="50"/>
  <c r="AC38" i="50"/>
  <c r="AM12" i="50"/>
  <c r="AP41" i="50"/>
  <c r="AK19" i="50"/>
  <c r="AI22" i="50"/>
  <c r="AZ19" i="50"/>
  <c r="AM49" i="50"/>
  <c r="S31" i="50"/>
  <c r="AG35" i="50"/>
  <c r="Z35" i="50"/>
  <c r="V19" i="50"/>
  <c r="V49" i="50"/>
  <c r="AB49" i="50"/>
  <c r="R39" i="50"/>
  <c r="U17" i="50"/>
  <c r="AG43" i="50"/>
  <c r="AZ32" i="50"/>
  <c r="AB22" i="50"/>
  <c r="AR4" i="50"/>
  <c r="AQ12" i="50"/>
  <c r="AJ24" i="50"/>
  <c r="BC25" i="50"/>
  <c r="AY5" i="50"/>
  <c r="T23" i="50"/>
  <c r="U23" i="50"/>
  <c r="N35" i="50"/>
  <c r="AF14" i="50"/>
  <c r="BA33" i="50"/>
  <c r="T44" i="50"/>
  <c r="S41" i="50"/>
  <c r="AY22" i="50"/>
  <c r="AC41" i="50"/>
  <c r="M42" i="50"/>
  <c r="AG52" i="50"/>
  <c r="AB23" i="50"/>
  <c r="Y46" i="50"/>
  <c r="M34" i="50"/>
  <c r="AR36" i="50"/>
  <c r="AG22" i="50"/>
  <c r="M29" i="50"/>
  <c r="AA41" i="50"/>
  <c r="AA20" i="50"/>
  <c r="AZ52" i="50"/>
  <c r="AP28" i="50"/>
  <c r="AI38" i="50"/>
  <c r="M5" i="50"/>
  <c r="S46" i="50"/>
  <c r="BC40" i="50"/>
  <c r="Z16" i="50"/>
  <c r="AJ15" i="50"/>
  <c r="Q36" i="50"/>
  <c r="AG18" i="50"/>
  <c r="AH26" i="50"/>
  <c r="X18" i="50"/>
  <c r="AB5" i="50"/>
  <c r="V5" i="50"/>
  <c r="AA12" i="50"/>
  <c r="AK36" i="50"/>
  <c r="P19" i="50"/>
  <c r="AI47" i="50"/>
  <c r="S36" i="50"/>
  <c r="Y51" i="50"/>
  <c r="AN41" i="50"/>
  <c r="AT16" i="50"/>
  <c r="W39" i="50"/>
  <c r="AB48" i="50"/>
  <c r="BC29" i="50"/>
  <c r="T40" i="50"/>
  <c r="AG21" i="50"/>
  <c r="AX23" i="50"/>
  <c r="AA19" i="50"/>
  <c r="O46" i="50"/>
  <c r="AK38" i="50"/>
  <c r="AN39" i="50"/>
  <c r="R20" i="50"/>
  <c r="BB22" i="50"/>
  <c r="AP36" i="50"/>
  <c r="AE24" i="50"/>
  <c r="BB26" i="50"/>
  <c r="S33" i="50"/>
  <c r="AZ37" i="50"/>
  <c r="AX52" i="50"/>
  <c r="AT19" i="50"/>
  <c r="AM15" i="50"/>
  <c r="AM14" i="50"/>
  <c r="Y25" i="50"/>
  <c r="V21" i="50"/>
  <c r="N26" i="50"/>
  <c r="BA15" i="50"/>
  <c r="AO36" i="50"/>
  <c r="N19" i="50"/>
  <c r="BB28" i="50"/>
  <c r="AE31" i="50"/>
  <c r="AV17" i="50"/>
  <c r="Q15" i="50"/>
  <c r="AQ18" i="50"/>
  <c r="AE41" i="50"/>
  <c r="AV15" i="50"/>
  <c r="AP13" i="50"/>
  <c r="AH29" i="50"/>
  <c r="AZ30" i="50"/>
  <c r="AD52" i="50"/>
  <c r="M22" i="50"/>
  <c r="AX37" i="50"/>
  <c r="AB14" i="50"/>
  <c r="S16" i="50"/>
  <c r="AJ32" i="50"/>
  <c r="O47" i="50"/>
  <c r="R38" i="50"/>
  <c r="Q40" i="50"/>
  <c r="P28" i="50"/>
  <c r="AA15" i="50"/>
  <c r="AR12" i="50"/>
  <c r="BB43" i="50"/>
  <c r="W19" i="50"/>
  <c r="R32" i="50"/>
  <c r="AD12" i="50"/>
  <c r="R37" i="50"/>
  <c r="O13" i="50"/>
  <c r="BA31" i="50"/>
  <c r="AG29" i="50"/>
  <c r="N33" i="50"/>
  <c r="BB35" i="50"/>
  <c r="AJ47" i="50"/>
  <c r="AM45" i="50"/>
  <c r="AK49" i="50"/>
  <c r="AL39" i="50"/>
  <c r="Z5" i="50"/>
  <c r="M12" i="50"/>
  <c r="U29" i="50"/>
  <c r="Y50" i="50"/>
  <c r="AW27" i="50"/>
  <c r="U13" i="50"/>
  <c r="AY33" i="50"/>
  <c r="N15" i="50"/>
  <c r="Q50" i="50"/>
  <c r="O31" i="50"/>
  <c r="AK48" i="50"/>
  <c r="AD25" i="50"/>
  <c r="V36" i="50"/>
  <c r="AR46" i="50"/>
  <c r="AW20" i="50"/>
  <c r="AM26" i="50"/>
  <c r="AK40" i="50"/>
  <c r="W22" i="50"/>
  <c r="AD18" i="50"/>
  <c r="S35" i="50"/>
  <c r="AS35" i="50"/>
  <c r="AE16" i="50"/>
  <c r="AE18" i="50"/>
  <c r="M43" i="50"/>
  <c r="AF4" i="50"/>
  <c r="P30" i="50"/>
  <c r="AT35" i="50"/>
  <c r="BC5" i="50"/>
  <c r="AO18" i="50"/>
  <c r="AO51" i="50"/>
  <c r="AO30" i="50"/>
  <c r="Z13" i="50"/>
  <c r="AK51" i="50"/>
  <c r="L39" i="50"/>
  <c r="U45" i="50"/>
  <c r="AN35" i="50"/>
  <c r="U51" i="50"/>
  <c r="AU12" i="50"/>
  <c r="AC4" i="50"/>
  <c r="AH42" i="50"/>
  <c r="AX20" i="50"/>
  <c r="AZ45" i="50"/>
  <c r="AI16" i="50"/>
  <c r="U4" i="50"/>
  <c r="AL24" i="50"/>
  <c r="N43" i="50"/>
  <c r="Z43" i="50"/>
  <c r="L47" i="50"/>
  <c r="Q48" i="50"/>
  <c r="AL51" i="50"/>
  <c r="AD34" i="50"/>
  <c r="AX35" i="50"/>
  <c r="AJ41" i="50"/>
  <c r="N40" i="50"/>
  <c r="AW40" i="50"/>
  <c r="AF49" i="50"/>
  <c r="BB51" i="50"/>
  <c r="L13" i="50"/>
  <c r="AS32" i="50"/>
  <c r="AE47" i="50"/>
  <c r="T41" i="50"/>
  <c r="AT12" i="50"/>
  <c r="O19" i="50"/>
  <c r="AY23" i="50"/>
  <c r="AK34" i="50"/>
  <c r="AO50" i="50"/>
  <c r="AJ20" i="50"/>
  <c r="AP33" i="50"/>
  <c r="BB32" i="50"/>
  <c r="T19" i="50"/>
  <c r="Z49" i="50"/>
  <c r="AA43" i="50"/>
  <c r="T28" i="50"/>
  <c r="AQ48" i="50"/>
  <c r="S30" i="50"/>
  <c r="O35" i="50"/>
  <c r="AY46" i="50"/>
  <c r="AP21" i="50"/>
  <c r="AG48" i="50"/>
  <c r="AP40" i="50"/>
  <c r="N42" i="50"/>
  <c r="S51" i="50"/>
  <c r="AV38" i="50"/>
  <c r="AE26" i="50"/>
  <c r="BA21" i="50"/>
  <c r="BA14" i="50"/>
  <c r="AX46" i="50"/>
  <c r="AT30" i="50"/>
  <c r="U32" i="50"/>
  <c r="AB33" i="50"/>
  <c r="AI50" i="50"/>
  <c r="AR26" i="50"/>
  <c r="L40" i="50"/>
  <c r="S42" i="50"/>
  <c r="AE34" i="50"/>
  <c r="AK33" i="50"/>
  <c r="AR38" i="50"/>
  <c r="AF45" i="50"/>
  <c r="AM48" i="50"/>
  <c r="W24" i="50"/>
  <c r="BA49" i="50"/>
  <c r="AB4" i="50"/>
  <c r="P45" i="50"/>
  <c r="AP25" i="50"/>
  <c r="N21" i="50"/>
  <c r="AD51" i="50"/>
  <c r="R36" i="50"/>
  <c r="X29" i="50"/>
  <c r="AO19" i="50"/>
  <c r="AW30" i="50"/>
  <c r="AA5" i="50"/>
  <c r="AL31" i="50"/>
  <c r="U38" i="50"/>
  <c r="AX12" i="50"/>
  <c r="AL30" i="50"/>
  <c r="AB46" i="50"/>
  <c r="AP19" i="50"/>
  <c r="AH21" i="50"/>
  <c r="BB34" i="50"/>
  <c r="P36" i="50"/>
  <c r="AR50" i="50"/>
  <c r="W43" i="50"/>
  <c r="AC30" i="50"/>
  <c r="AI43" i="50"/>
  <c r="AG41" i="50"/>
  <c r="AU40" i="50"/>
  <c r="BA43" i="50"/>
  <c r="X28" i="50"/>
  <c r="X31" i="50"/>
  <c r="Q16" i="50"/>
  <c r="AC27" i="50"/>
  <c r="AX25" i="50"/>
  <c r="AK30" i="50"/>
  <c r="Z41" i="50"/>
  <c r="AG31" i="50"/>
  <c r="BA37" i="50"/>
  <c r="AC34" i="50"/>
  <c r="AL4" i="50"/>
  <c r="U24" i="50"/>
  <c r="AS45" i="50"/>
  <c r="AG34" i="50"/>
  <c r="AB20" i="50"/>
  <c r="AD29" i="50"/>
  <c r="V40" i="50"/>
  <c r="AZ4" i="50"/>
  <c r="AM47" i="50"/>
  <c r="AB31" i="50"/>
  <c r="AA46" i="50"/>
  <c r="AO46" i="50"/>
  <c r="AM16" i="50"/>
  <c r="L24" i="50"/>
  <c r="AH34" i="50"/>
  <c r="AS25" i="50"/>
  <c r="AZ25" i="50"/>
  <c r="P27" i="50"/>
  <c r="Q25" i="50"/>
  <c r="AQ16" i="50"/>
  <c r="Z31" i="50"/>
  <c r="AY17" i="50"/>
  <c r="V30" i="50"/>
  <c r="AI37" i="50"/>
  <c r="AO43" i="50"/>
  <c r="Q20" i="50"/>
  <c r="T48" i="50"/>
  <c r="BC38" i="50"/>
  <c r="AI30" i="50"/>
  <c r="AW28" i="50"/>
  <c r="AM37" i="50"/>
  <c r="AT21" i="50"/>
  <c r="W31" i="50"/>
  <c r="AP20" i="50"/>
  <c r="AA45" i="50"/>
  <c r="BB25" i="50"/>
  <c r="L42" i="50"/>
  <c r="AQ13" i="50"/>
  <c r="Z52" i="50"/>
  <c r="AR31" i="50"/>
  <c r="AP43" i="50"/>
  <c r="AW14" i="50"/>
  <c r="S38" i="50"/>
  <c r="AN18" i="50"/>
  <c r="AV49" i="50"/>
  <c r="BC49" i="50"/>
  <c r="AI15" i="50"/>
  <c r="BA48" i="50"/>
  <c r="V45" i="50"/>
  <c r="AQ33" i="50"/>
  <c r="AA27" i="50"/>
  <c r="S49" i="50"/>
  <c r="AS52" i="50"/>
  <c r="AF38" i="50"/>
  <c r="U31" i="50"/>
  <c r="AV30" i="50"/>
  <c r="R42" i="50"/>
  <c r="AM35" i="50"/>
  <c r="AI28" i="50"/>
  <c r="AI44" i="50"/>
  <c r="Q32" i="50"/>
  <c r="AJ33" i="50"/>
  <c r="AU41" i="50"/>
  <c r="AO29" i="50"/>
  <c r="AX48" i="50"/>
  <c r="AZ42" i="50"/>
  <c r="AW31" i="50"/>
  <c r="AY37" i="50"/>
  <c r="BC17" i="50"/>
  <c r="O20" i="50"/>
  <c r="L44" i="50"/>
  <c r="AK15" i="50"/>
  <c r="R33" i="50"/>
  <c r="AB32" i="50"/>
  <c r="P4" i="50"/>
  <c r="BA34" i="50"/>
  <c r="AS33" i="50"/>
  <c r="AY27" i="50"/>
  <c r="W18" i="50"/>
  <c r="AF13" i="50"/>
  <c r="AK52" i="50"/>
  <c r="P33" i="50"/>
  <c r="AQ42" i="50"/>
  <c r="AT22" i="50"/>
  <c r="AF27" i="50"/>
  <c r="AV48" i="50"/>
  <c r="X35" i="50"/>
  <c r="R45" i="50"/>
  <c r="AD5" i="50"/>
  <c r="AN29" i="50"/>
  <c r="Z28" i="50"/>
  <c r="AQ39" i="50"/>
  <c r="N44" i="50"/>
  <c r="AO34" i="50"/>
  <c r="AB19" i="50"/>
  <c r="Z23" i="50"/>
  <c r="X45" i="50"/>
  <c r="S25" i="50"/>
  <c r="M32" i="50"/>
  <c r="L34" i="50"/>
  <c r="AZ5" i="50"/>
  <c r="AS12" i="50"/>
  <c r="N27" i="50"/>
  <c r="AJ45" i="50"/>
  <c r="AY41" i="50"/>
  <c r="AP34" i="50"/>
  <c r="AS42" i="50"/>
  <c r="AR5" i="50"/>
  <c r="AE23" i="50"/>
  <c r="AN30" i="50"/>
  <c r="AT14" i="50"/>
  <c r="AX4" i="50"/>
  <c r="M25" i="50"/>
  <c r="M47" i="50"/>
  <c r="AU13" i="50"/>
  <c r="AS40" i="50"/>
  <c r="Q27" i="50"/>
  <c r="AR18" i="50"/>
  <c r="AU21" i="50"/>
  <c r="AC42" i="50"/>
  <c r="M31" i="50"/>
  <c r="AS50" i="50"/>
  <c r="AP26" i="50"/>
  <c r="O44" i="50"/>
  <c r="U40" i="50"/>
  <c r="AY4" i="50"/>
  <c r="AG15" i="50"/>
  <c r="AU30" i="50"/>
  <c r="BC27" i="50"/>
  <c r="T51" i="50"/>
  <c r="N5" i="50"/>
  <c r="T24" i="50"/>
  <c r="AW34" i="50"/>
  <c r="AQ47" i="50"/>
  <c r="AC14" i="50"/>
  <c r="W35" i="50"/>
  <c r="AL42" i="50"/>
  <c r="AF22" i="50"/>
  <c r="AE5" i="50"/>
  <c r="BC34" i="50"/>
  <c r="BC19" i="50"/>
  <c r="AZ39" i="50"/>
  <c r="S44" i="50"/>
  <c r="Y5" i="50"/>
  <c r="R19" i="50"/>
  <c r="BA42" i="50"/>
  <c r="M51" i="50"/>
  <c r="Y41" i="50"/>
  <c r="L46" i="50"/>
  <c r="AK29" i="50"/>
  <c r="Y33" i="50"/>
  <c r="U16" i="50"/>
  <c r="U44" i="50"/>
  <c r="X5" i="50"/>
  <c r="AR13" i="50"/>
  <c r="AQ38" i="50"/>
  <c r="AN27" i="50"/>
  <c r="N12" i="50"/>
  <c r="BA44" i="50"/>
  <c r="AT49" i="50"/>
  <c r="AK47" i="50"/>
  <c r="AH25" i="50"/>
  <c r="AI31" i="50"/>
  <c r="S40" i="50"/>
  <c r="S50" i="50"/>
  <c r="P48" i="50"/>
  <c r="P46" i="50"/>
  <c r="BA52" i="50"/>
  <c r="V52" i="50"/>
  <c r="AZ13" i="50"/>
  <c r="AT29" i="50"/>
  <c r="O5" i="50"/>
  <c r="AX40" i="50"/>
  <c r="AC16" i="50"/>
  <c r="L27" i="50"/>
  <c r="R40" i="50"/>
  <c r="AM43" i="50"/>
  <c r="AE19" i="50"/>
  <c r="AT23" i="50"/>
  <c r="N22" i="50"/>
  <c r="BB48" i="50"/>
  <c r="AV31" i="50"/>
  <c r="BC50" i="50"/>
  <c r="AH39" i="50"/>
  <c r="N20" i="50"/>
  <c r="V15" i="50"/>
  <c r="AN26" i="50"/>
  <c r="P24" i="50"/>
  <c r="S24" i="50"/>
  <c r="AC39" i="50"/>
  <c r="Y14" i="50"/>
  <c r="AE33" i="50"/>
  <c r="AX15" i="50"/>
  <c r="AH20" i="50"/>
  <c r="AZ31" i="50"/>
  <c r="AR49" i="50"/>
  <c r="U25" i="50"/>
  <c r="M52" i="50"/>
  <c r="AE52" i="50"/>
  <c r="U49" i="50"/>
  <c r="AU50" i="50"/>
  <c r="BA19" i="50"/>
  <c r="AH30" i="50"/>
  <c r="U42" i="50"/>
  <c r="AZ34" i="50"/>
  <c r="AD37" i="50"/>
  <c r="AA17" i="50"/>
  <c r="AR23" i="50"/>
  <c r="BB52" i="50"/>
  <c r="Y4" i="50"/>
  <c r="BB41" i="50"/>
  <c r="X48" i="50"/>
  <c r="AO32" i="50"/>
  <c r="AW45" i="50"/>
  <c r="AK26" i="50"/>
  <c r="L33" i="50"/>
  <c r="W26" i="50"/>
  <c r="AL37" i="50"/>
  <c r="M15" i="50"/>
  <c r="AQ22" i="50"/>
  <c r="X49" i="50"/>
  <c r="V35" i="50"/>
  <c r="AD38" i="50"/>
  <c r="X27" i="50"/>
  <c r="BA25" i="50"/>
  <c r="AC24" i="50"/>
  <c r="AY14" i="50"/>
  <c r="AK24" i="50"/>
  <c r="AF29" i="50"/>
  <c r="AJ29" i="50"/>
  <c r="AK5" i="50"/>
  <c r="Z37" i="50"/>
  <c r="AY28" i="50"/>
  <c r="X20" i="50"/>
  <c r="AX16" i="50"/>
  <c r="AQ20" i="50"/>
  <c r="AU14" i="50"/>
  <c r="AO49" i="50"/>
  <c r="AC15" i="50"/>
  <c r="AL27" i="50"/>
  <c r="BA26" i="50"/>
  <c r="AO38" i="50"/>
  <c r="M48" i="50"/>
  <c r="N51" i="50"/>
  <c r="AK44" i="50"/>
  <c r="AT39" i="50"/>
  <c r="BA12" i="50"/>
  <c r="AQ32" i="50"/>
  <c r="AY13" i="50"/>
  <c r="W50" i="50"/>
  <c r="AY24" i="50"/>
  <c r="X22" i="50"/>
  <c r="M17" i="50"/>
  <c r="AN31" i="50"/>
  <c r="U27" i="50"/>
  <c r="Z29" i="50"/>
  <c r="AY36" i="50"/>
  <c r="N37" i="50"/>
  <c r="T17" i="50"/>
  <c r="AE12" i="50"/>
  <c r="AA39" i="50"/>
  <c r="AK13" i="50"/>
  <c r="AL16" i="50"/>
  <c r="X15" i="50"/>
  <c r="AH32" i="50"/>
  <c r="AI34" i="50"/>
  <c r="AH47" i="50"/>
  <c r="AT42" i="50"/>
  <c r="AD40" i="50"/>
  <c r="AE25" i="50"/>
  <c r="AX45" i="50"/>
  <c r="AM31" i="50"/>
  <c r="AS13" i="50"/>
  <c r="AH46" i="50"/>
  <c r="X43" i="50"/>
  <c r="S37" i="50"/>
  <c r="AF44" i="50"/>
  <c r="Z14" i="50"/>
  <c r="AQ25" i="50"/>
  <c r="Y27" i="50"/>
  <c r="T46" i="50"/>
  <c r="R51" i="50"/>
  <c r="AE50" i="50"/>
  <c r="R5" i="50"/>
  <c r="AW15" i="50"/>
  <c r="AF21" i="50"/>
  <c r="AY52" i="50"/>
  <c r="M13" i="50"/>
  <c r="AU37" i="50"/>
  <c r="AF17" i="50"/>
  <c r="V12" i="50"/>
  <c r="AA38" i="50"/>
  <c r="BC36" i="50"/>
  <c r="T47" i="50"/>
  <c r="AX22" i="50"/>
  <c r="O27" i="50"/>
  <c r="M18" i="50"/>
  <c r="AA35" i="50"/>
  <c r="L32" i="50"/>
  <c r="AT26" i="50"/>
  <c r="AT31" i="50"/>
  <c r="AP45" i="50"/>
  <c r="AU17" i="50"/>
  <c r="V48" i="50"/>
  <c r="X4" i="50"/>
  <c r="AU52" i="50"/>
  <c r="O39" i="50"/>
  <c r="BC12" i="50"/>
  <c r="AH12" i="50"/>
  <c r="AO23" i="50"/>
  <c r="AA14" i="50"/>
  <c r="X32" i="50"/>
  <c r="AT41" i="50"/>
  <c r="AV52" i="50"/>
  <c r="Y22" i="50"/>
  <c r="AW22" i="50"/>
  <c r="P16" i="50"/>
  <c r="AI39" i="50"/>
  <c r="AC44" i="50"/>
  <c r="W23" i="50"/>
  <c r="AA13" i="50"/>
  <c r="AE14" i="50"/>
  <c r="AV43" i="50"/>
  <c r="AN19" i="50"/>
  <c r="V41" i="50"/>
  <c r="AW39" i="50"/>
  <c r="AH44" i="50"/>
  <c r="AK45" i="50"/>
  <c r="AE30" i="50"/>
  <c r="BA13" i="50"/>
  <c r="AV40" i="50"/>
  <c r="AG4" i="50"/>
  <c r="BA4" i="50"/>
  <c r="T20" i="50"/>
  <c r="AA25" i="50"/>
  <c r="BB31" i="50"/>
  <c r="AS34" i="50"/>
  <c r="O14" i="50"/>
  <c r="W12" i="50"/>
  <c r="AI46" i="50"/>
  <c r="S29" i="50"/>
  <c r="AG36" i="50"/>
  <c r="O51" i="50"/>
  <c r="AF28" i="50"/>
  <c r="AS22" i="50"/>
  <c r="M45" i="50"/>
  <c r="S23" i="50"/>
  <c r="U36" i="50"/>
  <c r="AI36" i="50"/>
  <c r="L21" i="50"/>
  <c r="AO45" i="50"/>
  <c r="BA29" i="50"/>
  <c r="AI35" i="50"/>
  <c r="AX36" i="50"/>
  <c r="Q18" i="50"/>
  <c r="Q12" i="50"/>
  <c r="AU47" i="50"/>
  <c r="AR40" i="50"/>
  <c r="X52" i="50"/>
  <c r="Z39" i="50"/>
  <c r="AJ38" i="50"/>
  <c r="AP5" i="50"/>
  <c r="BA20" i="50"/>
  <c r="AF50" i="50"/>
  <c r="AD41" i="50"/>
  <c r="AH13" i="50"/>
  <c r="V23" i="50"/>
  <c r="T4" i="50"/>
  <c r="AA4" i="50"/>
  <c r="M24" i="50"/>
  <c r="AW37" i="50"/>
  <c r="AB45" i="50"/>
  <c r="AD16" i="50"/>
  <c r="AE32" i="50"/>
  <c r="R12" i="50"/>
  <c r="AH31" i="50"/>
  <c r="AQ30" i="50"/>
  <c r="V34" i="50"/>
  <c r="AF31" i="50"/>
  <c r="AY42" i="50"/>
  <c r="BA5" i="50"/>
  <c r="AY34" i="50"/>
  <c r="AO35" i="50"/>
  <c r="AM33" i="50"/>
  <c r="AS43" i="50"/>
  <c r="AU28" i="50"/>
  <c r="AF30" i="50"/>
  <c r="BB29" i="50"/>
  <c r="AB47" i="50"/>
  <c r="AE51" i="50"/>
  <c r="AM24" i="50"/>
  <c r="U20" i="50"/>
  <c r="L28" i="50"/>
  <c r="P50" i="50"/>
  <c r="O12" i="50"/>
  <c r="U52" i="50"/>
  <c r="AN45" i="50"/>
  <c r="Q51" i="50"/>
  <c r="AH33" i="50"/>
  <c r="AX13" i="50"/>
  <c r="R31" i="50"/>
  <c r="AB27" i="50"/>
  <c r="L26" i="50"/>
  <c r="AQ31" i="50"/>
  <c r="V50" i="50"/>
  <c r="AG12" i="50"/>
  <c r="AV19" i="50"/>
  <c r="AE40" i="50"/>
  <c r="Y18" i="50"/>
  <c r="AF18" i="50"/>
  <c r="X17" i="50"/>
  <c r="AZ48" i="50"/>
  <c r="AW38" i="50"/>
  <c r="W46" i="50"/>
  <c r="W27" i="50"/>
  <c r="AC29" i="50"/>
  <c r="R17" i="50"/>
  <c r="X33" i="50"/>
  <c r="AQ35" i="50"/>
  <c r="T49" i="50"/>
  <c r="R49" i="50"/>
  <c r="AN21" i="50"/>
  <c r="AD17" i="50"/>
  <c r="AM46" i="50"/>
  <c r="AZ17" i="50"/>
  <c r="AY31" i="50"/>
  <c r="AI5" i="50"/>
  <c r="V38" i="50"/>
  <c r="X44" i="50"/>
  <c r="AJ37" i="50"/>
  <c r="P32" i="50"/>
  <c r="AX32" i="50"/>
  <c r="M28" i="50"/>
  <c r="AS20" i="50"/>
  <c r="AD47" i="50"/>
  <c r="AP27" i="50"/>
  <c r="N41" i="50"/>
  <c r="AH41" i="50"/>
  <c r="W4" i="50"/>
  <c r="AM19" i="50"/>
  <c r="AC20" i="50"/>
  <c r="AD28" i="50"/>
  <c r="AK23" i="50"/>
  <c r="AE37" i="50"/>
  <c r="W47" i="50"/>
  <c r="AX5" i="50"/>
  <c r="BA18" i="50"/>
  <c r="BB38" i="50"/>
  <c r="O43" i="50"/>
  <c r="AM23" i="50"/>
  <c r="AG47" i="50"/>
  <c r="AR47" i="50"/>
  <c r="AH18" i="50"/>
  <c r="Q33" i="50"/>
  <c r="AI51" i="50"/>
  <c r="AU27" i="50"/>
  <c r="U14" i="50"/>
  <c r="AM17" i="50"/>
  <c r="U43" i="50"/>
  <c r="AO48" i="50"/>
  <c r="O30" i="50"/>
  <c r="Y44" i="50"/>
  <c r="AW47" i="50"/>
  <c r="AE29" i="50"/>
  <c r="AH4" i="50"/>
  <c r="W52" i="50"/>
  <c r="AI27" i="50"/>
  <c r="Q42" i="50"/>
  <c r="T45" i="50"/>
  <c r="AI13" i="50"/>
  <c r="AT40" i="50"/>
  <c r="AE44" i="50"/>
  <c r="AU44" i="50"/>
  <c r="X36" i="50"/>
  <c r="U41" i="50"/>
  <c r="AT15" i="50"/>
  <c r="R34" i="50"/>
  <c r="X19" i="50"/>
  <c r="L41" i="50"/>
  <c r="BC14" i="50"/>
  <c r="AJ19" i="50"/>
  <c r="AF36" i="50"/>
  <c r="AT17" i="50"/>
  <c r="AX44" i="50"/>
  <c r="AL13" i="50"/>
  <c r="BA22" i="50"/>
  <c r="AK22" i="50"/>
  <c r="AO42" i="50"/>
  <c r="L16" i="50"/>
  <c r="S21" i="50"/>
  <c r="AC21" i="50"/>
  <c r="AD39" i="50"/>
  <c r="M14" i="50"/>
  <c r="AU26" i="50"/>
  <c r="O33" i="50"/>
  <c r="S13" i="50"/>
  <c r="S43" i="50"/>
  <c r="X16" i="50"/>
  <c r="AL41" i="50"/>
  <c r="L36" i="50"/>
  <c r="AZ51" i="50"/>
  <c r="R21" i="50"/>
  <c r="AC28" i="50"/>
  <c r="AM25" i="50"/>
  <c r="AM20" i="50"/>
  <c r="BC21" i="50"/>
  <c r="AC36" i="50"/>
  <c r="M21" i="50"/>
  <c r="U15" i="50"/>
  <c r="T42" i="50"/>
  <c r="BA38" i="50"/>
  <c r="N46" i="50"/>
  <c r="N50" i="50"/>
  <c r="U22" i="50"/>
  <c r="AS24" i="50"/>
  <c r="O41" i="50"/>
  <c r="W36" i="50"/>
  <c r="AQ29" i="50"/>
  <c r="P40" i="50"/>
  <c r="AV36" i="50"/>
  <c r="W40" i="50"/>
  <c r="M39" i="50"/>
  <c r="AE15" i="50"/>
  <c r="AG25" i="50"/>
  <c r="AN20" i="50"/>
  <c r="AM32" i="50"/>
  <c r="AK20" i="50"/>
  <c r="AE39" i="50"/>
  <c r="AR39" i="50"/>
  <c r="X13" i="50"/>
  <c r="AJ25" i="50"/>
  <c r="AY26" i="50"/>
  <c r="T32" i="50"/>
  <c r="AM13" i="50"/>
  <c r="AG20" i="50"/>
  <c r="V17" i="50"/>
  <c r="AJ40" i="50"/>
  <c r="AN43" i="50"/>
  <c r="AI29" i="50"/>
  <c r="AQ41" i="50"/>
  <c r="AM27" i="50"/>
  <c r="L30" i="50"/>
  <c r="AB43" i="50"/>
  <c r="P25" i="50"/>
  <c r="AT46" i="50"/>
  <c r="AC19" i="50"/>
  <c r="AE35" i="50"/>
  <c r="AB34" i="50"/>
  <c r="AT48" i="50"/>
  <c r="AB25" i="50"/>
  <c r="BC47" i="50"/>
  <c r="AF41" i="50"/>
  <c r="AL38" i="50"/>
  <c r="AH36" i="50"/>
  <c r="W13" i="50"/>
  <c r="AL44" i="50"/>
  <c r="BC22" i="50"/>
  <c r="M35" i="50"/>
  <c r="BA32" i="50"/>
  <c r="AV44" i="50"/>
  <c r="AR33" i="50"/>
  <c r="AD20" i="50"/>
  <c r="AV41" i="50"/>
  <c r="O28" i="50"/>
  <c r="AL50" i="50"/>
  <c r="AS38" i="50"/>
  <c r="Z25" i="50"/>
  <c r="W28" i="50"/>
  <c r="Y23" i="50"/>
  <c r="AA34" i="50"/>
  <c r="AD45" i="50"/>
  <c r="AK39" i="50"/>
  <c r="AC26" i="50"/>
  <c r="M27" i="50"/>
  <c r="AB24" i="50"/>
  <c r="AV27" i="50"/>
  <c r="AN15" i="50"/>
  <c r="AM41" i="50"/>
  <c r="AU34" i="50"/>
  <c r="AM52" i="50"/>
  <c r="AR52" i="50"/>
  <c r="Q49" i="50"/>
  <c r="AC25" i="50"/>
  <c r="AY47" i="50"/>
  <c r="AC47" i="50"/>
  <c r="L19" i="50"/>
  <c r="AR15" i="50"/>
  <c r="AD42" i="50"/>
  <c r="AV46" i="50"/>
  <c r="Y13" i="50"/>
  <c r="AK41" i="50"/>
  <c r="AF33" i="50"/>
  <c r="AB21" i="50"/>
  <c r="P18" i="50"/>
  <c r="AC52" i="50"/>
  <c r="AL40" i="50"/>
  <c r="S27" i="50"/>
  <c r="AA28" i="50"/>
  <c r="AD31" i="50"/>
  <c r="AP38" i="50"/>
  <c r="V39" i="50"/>
  <c r="AZ16" i="50"/>
  <c r="AX18" i="50"/>
  <c r="AL18" i="50"/>
  <c r="AQ21" i="50"/>
  <c r="AS15" i="50"/>
  <c r="W44" i="50"/>
  <c r="AB15" i="50"/>
  <c r="AS14" i="50"/>
  <c r="BB49" i="50"/>
  <c r="AX24" i="50"/>
  <c r="AC32" i="50"/>
  <c r="AW49" i="50"/>
  <c r="U18" i="50"/>
  <c r="O49" i="50"/>
  <c r="AY20" i="50"/>
  <c r="AX38" i="50"/>
  <c r="AC51" i="50"/>
  <c r="Q19" i="50"/>
  <c r="AD48" i="50"/>
  <c r="Z44" i="50"/>
  <c r="L14" i="50"/>
  <c r="Z45" i="50"/>
  <c r="T14" i="50"/>
  <c r="BC42" i="50"/>
  <c r="AS21" i="50"/>
  <c r="BC4" i="50"/>
  <c r="Q4" i="50"/>
  <c r="O4" i="50"/>
  <c r="AU22" i="50"/>
  <c r="AJ52" i="50"/>
  <c r="M26" i="50"/>
  <c r="AL15" i="50"/>
  <c r="AP32" i="50"/>
  <c r="M38" i="50"/>
  <c r="AY29" i="50"/>
  <c r="AS5" i="50"/>
  <c r="AC17" i="50"/>
  <c r="R24" i="50"/>
  <c r="AW41" i="50"/>
  <c r="P49" i="50"/>
  <c r="AA36" i="50"/>
  <c r="Y42" i="50"/>
  <c r="AT47" i="50"/>
  <c r="AA26" i="50"/>
  <c r="AR19" i="50"/>
  <c r="L38" i="50"/>
  <c r="AD24" i="50"/>
  <c r="V46" i="50"/>
  <c r="AF20" i="50"/>
  <c r="AU49" i="50"/>
  <c r="AP24" i="50"/>
  <c r="AY50" i="50"/>
  <c r="L17" i="50"/>
  <c r="N23" i="50"/>
  <c r="BA16" i="50"/>
  <c r="AX41" i="50"/>
  <c r="AW25" i="50"/>
  <c r="R46" i="50"/>
  <c r="BA41" i="50"/>
  <c r="V44" i="50"/>
  <c r="AV14" i="50"/>
  <c r="BA35" i="50"/>
  <c r="BB50" i="50"/>
  <c r="AZ46" i="50"/>
  <c r="AM51" i="50"/>
  <c r="AO5" i="50"/>
  <c r="AE42" i="50"/>
  <c r="R52" i="50"/>
  <c r="AG23" i="50"/>
  <c r="W48" i="50"/>
  <c r="AH17" i="50"/>
  <c r="N13" i="50"/>
  <c r="AJ4" i="50"/>
  <c r="AG39" i="50"/>
  <c r="W45" i="50"/>
  <c r="S52" i="50"/>
  <c r="AE4" i="50"/>
  <c r="Y49" i="50"/>
  <c r="AP12" i="50"/>
  <c r="P47" i="50"/>
  <c r="U39" i="50"/>
  <c r="AD14" i="50"/>
  <c r="AQ37" i="50"/>
  <c r="AG13" i="50"/>
  <c r="AN52" i="50"/>
  <c r="AF43" i="50"/>
  <c r="AX50" i="50"/>
  <c r="AF32" i="50"/>
  <c r="AV12" i="50"/>
  <c r="AG32" i="50"/>
  <c r="AS36" i="50"/>
  <c r="BB16" i="50"/>
  <c r="O23" i="50"/>
  <c r="BB17" i="50"/>
  <c r="AL25" i="50"/>
  <c r="AP39" i="50"/>
  <c r="AA31" i="50"/>
  <c r="V22" i="50"/>
  <c r="AA48" i="50"/>
  <c r="AX14" i="50"/>
  <c r="AB51" i="50"/>
  <c r="AX26" i="50"/>
  <c r="AD22" i="50"/>
  <c r="AV23" i="50"/>
  <c r="T43" i="50"/>
  <c r="BB42" i="50"/>
  <c r="Z30" i="50"/>
  <c r="AR28" i="50"/>
  <c r="AK28" i="50"/>
  <c r="AH38" i="50"/>
  <c r="AM36" i="50"/>
  <c r="AM22" i="50"/>
  <c r="AH27" i="50"/>
  <c r="Q38" i="50"/>
  <c r="AN37" i="50"/>
  <c r="AF16" i="50"/>
  <c r="O37" i="50"/>
  <c r="O52" i="50"/>
  <c r="AI42" i="50"/>
  <c r="Y38" i="50"/>
  <c r="U30" i="50"/>
  <c r="AJ18" i="50"/>
  <c r="S48" i="50"/>
  <c r="AI18" i="50"/>
  <c r="AT4" i="50"/>
  <c r="AJ46" i="50"/>
  <c r="O45" i="50"/>
  <c r="Z19" i="50"/>
  <c r="R28" i="50"/>
  <c r="AJ49" i="50"/>
  <c r="AO52" i="50"/>
  <c r="AI21" i="50"/>
  <c r="AA49" i="50"/>
  <c r="AU39" i="50"/>
  <c r="AI23" i="50"/>
  <c r="BC45" i="50"/>
  <c r="AV25" i="50"/>
  <c r="N31" i="50"/>
  <c r="AI24" i="50"/>
  <c r="AZ50" i="50"/>
  <c r="AN4" i="50"/>
  <c r="AI26" i="50"/>
  <c r="AA29" i="50"/>
  <c r="W29" i="50"/>
  <c r="AG30" i="50"/>
  <c r="AN44" i="50"/>
  <c r="AB16" i="50"/>
  <c r="AU43" i="50"/>
  <c r="Z27" i="50"/>
  <c r="O42" i="50"/>
  <c r="X25" i="50"/>
  <c r="BB44" i="50"/>
  <c r="R41" i="50"/>
  <c r="Z36" i="50"/>
  <c r="AQ44" i="50"/>
  <c r="AR51" i="50"/>
  <c r="AV45" i="50"/>
  <c r="AJ13" i="50"/>
  <c r="AX49" i="50"/>
  <c r="AG14" i="50"/>
  <c r="W30" i="50"/>
  <c r="AT5" i="50"/>
  <c r="AK16" i="50"/>
  <c r="AB36" i="50"/>
  <c r="AO40" i="50"/>
  <c r="AU51" i="50"/>
  <c r="W25" i="50"/>
  <c r="T16" i="50"/>
  <c r="T26" i="50"/>
  <c r="N28" i="50"/>
  <c r="V13" i="50"/>
  <c r="Y39" i="50"/>
  <c r="AZ15" i="50"/>
  <c r="BC52" i="50"/>
  <c r="Q45" i="50"/>
  <c r="AP42" i="50"/>
  <c r="AP46" i="50"/>
  <c r="BA45" i="50"/>
  <c r="M41" i="50"/>
  <c r="S20" i="50"/>
  <c r="AS29" i="50"/>
  <c r="AH22" i="50"/>
  <c r="AP47" i="50"/>
  <c r="AO13" i="50"/>
  <c r="AO14" i="50"/>
  <c r="AF24" i="50"/>
  <c r="T30" i="50"/>
  <c r="AS30" i="50"/>
  <c r="AR29" i="50"/>
  <c r="AV50" i="50"/>
  <c r="AN23" i="50"/>
  <c r="BC30" i="50"/>
  <c r="Q46" i="50"/>
  <c r="BB45" i="50"/>
  <c r="AE45" i="50"/>
  <c r="AI41" i="50"/>
  <c r="AY19" i="50"/>
  <c r="AG17" i="50"/>
  <c r="AD19" i="50"/>
  <c r="AJ14" i="50"/>
  <c r="AE36" i="50"/>
  <c r="AR27" i="50"/>
  <c r="AS49" i="50"/>
  <c r="AO17" i="50"/>
  <c r="O32" i="50"/>
  <c r="R25" i="50"/>
  <c r="AZ14" i="50"/>
  <c r="Z20" i="50"/>
  <c r="AJ34" i="50"/>
  <c r="AU42" i="50"/>
  <c r="AZ26" i="50"/>
  <c r="AZ33" i="50"/>
  <c r="AX30" i="50"/>
  <c r="AN33" i="50"/>
  <c r="AS26" i="50"/>
  <c r="X37" i="50"/>
  <c r="AZ28" i="50"/>
  <c r="AB40" i="50"/>
  <c r="Q47" i="50"/>
  <c r="Z4" i="50"/>
  <c r="AC46" i="50"/>
  <c r="AU24" i="50"/>
  <c r="V32" i="50"/>
  <c r="R13" i="50"/>
  <c r="AN38" i="50"/>
  <c r="AF48" i="50"/>
  <c r="BA39" i="50"/>
  <c r="BB39" i="50"/>
  <c r="Q26" i="50"/>
  <c r="AX47" i="50"/>
  <c r="AY30" i="50"/>
  <c r="AL34" i="50"/>
  <c r="AZ49" i="50"/>
  <c r="BC48" i="50"/>
  <c r="S47" i="50"/>
  <c r="AK12" i="50"/>
  <c r="AR14" i="50"/>
  <c r="AU15" i="50"/>
  <c r="P26" i="50"/>
  <c r="U50" i="50"/>
  <c r="O50" i="50"/>
  <c r="AN48" i="50"/>
  <c r="Z33" i="50"/>
  <c r="AS39" i="50"/>
  <c r="Y31" i="50"/>
  <c r="AP17" i="50"/>
  <c r="U12" i="50"/>
  <c r="AW48" i="50"/>
  <c r="AH16" i="50"/>
  <c r="W17" i="50"/>
  <c r="AE21" i="50"/>
  <c r="O22" i="50"/>
  <c r="AA51" i="50"/>
  <c r="AN47" i="50"/>
  <c r="AH14" i="50"/>
  <c r="AR41" i="50"/>
  <c r="AS46" i="50"/>
  <c r="AN24" i="50"/>
  <c r="AA16" i="50"/>
  <c r="AJ51" i="50"/>
  <c r="X38" i="50"/>
  <c r="AN46" i="50"/>
  <c r="AW5" i="50"/>
  <c r="BC46" i="50"/>
  <c r="Y34" i="50"/>
  <c r="Q39" i="50"/>
  <c r="AX31" i="50"/>
  <c r="R50" i="50"/>
  <c r="S34" i="50"/>
  <c r="AY35" i="50"/>
  <c r="AX28" i="50"/>
  <c r="AA47" i="50"/>
  <c r="AP4" i="50"/>
  <c r="AC23" i="50"/>
  <c r="AO15" i="50"/>
  <c r="S12" i="50"/>
  <c r="R30" i="50"/>
  <c r="AV29" i="50"/>
  <c r="Z24" i="50"/>
  <c r="L5" i="50"/>
  <c r="AW36" i="50"/>
  <c r="AQ15" i="50"/>
  <c r="AR17" i="50"/>
  <c r="AU33" i="50"/>
  <c r="BB19" i="50"/>
  <c r="AZ20" i="50"/>
  <c r="AG38" i="50"/>
  <c r="Y40" i="50"/>
  <c r="AE27" i="50"/>
  <c r="T21" i="50"/>
  <c r="AO47" i="50"/>
  <c r="AK32" i="50"/>
  <c r="R26" i="50"/>
  <c r="AZ24" i="50"/>
  <c r="AZ22" i="50"/>
  <c r="W41" i="50"/>
  <c r="V14" i="50"/>
  <c r="AX43" i="50"/>
  <c r="AS27" i="50"/>
  <c r="P13" i="50"/>
  <c r="AE13" i="50"/>
  <c r="AC35" i="50"/>
  <c r="AE49" i="50"/>
  <c r="AP22" i="50"/>
  <c r="AI4" i="50"/>
  <c r="P39" i="50"/>
  <c r="X26" i="50"/>
  <c r="AP52" i="50"/>
  <c r="T50" i="50"/>
  <c r="BB15" i="50"/>
  <c r="BB47" i="50"/>
  <c r="P5" i="50"/>
  <c r="Y36" i="50"/>
  <c r="R27" i="50"/>
  <c r="AS44" i="50"/>
  <c r="BA17" i="50"/>
  <c r="Z42" i="50"/>
  <c r="L23" i="50"/>
  <c r="S39" i="50"/>
  <c r="AR32" i="50"/>
  <c r="AF52" i="50"/>
  <c r="P20" i="50"/>
  <c r="AW24" i="50"/>
  <c r="T13" i="50"/>
  <c r="AV33" i="50"/>
  <c r="AV26" i="50"/>
  <c r="V25" i="50"/>
  <c r="AZ38" i="50"/>
  <c r="AD43" i="50"/>
  <c r="Z32" i="50"/>
  <c r="AX51" i="50"/>
  <c r="Z18" i="50"/>
  <c r="AQ43" i="50"/>
  <c r="AR42" i="50"/>
  <c r="L12" i="50"/>
  <c r="T36" i="50"/>
  <c r="BC43" i="50"/>
  <c r="Q21" i="50"/>
  <c r="W15" i="50"/>
  <c r="N52" i="50"/>
  <c r="AL45" i="50"/>
  <c r="BB46" i="50"/>
  <c r="P41" i="50"/>
  <c r="AQ4" i="50"/>
  <c r="AG33" i="50"/>
  <c r="M23" i="50"/>
  <c r="AF37" i="50"/>
  <c r="P42" i="50"/>
  <c r="AV18" i="50"/>
  <c r="AK31" i="50"/>
  <c r="U37" i="50"/>
  <c r="Q30" i="50"/>
  <c r="AY44" i="50"/>
  <c r="BA50" i="50"/>
  <c r="S4" i="50"/>
  <c r="AS16" i="50"/>
  <c r="AF47" i="50"/>
  <c r="L15" i="50"/>
  <c r="Z38" i="50"/>
  <c r="P37" i="50"/>
  <c r="X14" i="50"/>
  <c r="AG37" i="50"/>
  <c r="AD21" i="50"/>
  <c r="M49" i="50"/>
  <c r="AC40" i="50"/>
  <c r="AS18" i="50"/>
  <c r="X24" i="50"/>
  <c r="AT18" i="50"/>
  <c r="S17" i="50"/>
  <c r="AV16" i="50"/>
  <c r="AY12" i="50"/>
  <c r="AP16" i="50"/>
  <c r="AC48" i="50"/>
  <c r="S26" i="50"/>
  <c r="AF46" i="50"/>
  <c r="Z26" i="50"/>
  <c r="Q28" i="50"/>
  <c r="AP49" i="50"/>
  <c r="AF40" i="50"/>
  <c r="AT38" i="50"/>
  <c r="X40" i="50"/>
  <c r="AQ49" i="50"/>
  <c r="X50" i="50"/>
  <c r="U26" i="50"/>
  <c r="AL26" i="50"/>
  <c r="AH23" i="50"/>
  <c r="AY38" i="50"/>
  <c r="Q23" i="50"/>
  <c r="T39" i="50"/>
  <c r="AT24" i="50"/>
  <c r="AU20" i="50"/>
  <c r="AF39" i="50"/>
  <c r="AF35" i="50"/>
  <c r="AT20" i="50"/>
  <c r="N49" i="50"/>
  <c r="Q29" i="50"/>
  <c r="Q22" i="50"/>
  <c r="AA23" i="50"/>
  <c r="AW29" i="50"/>
  <c r="AJ17" i="50"/>
  <c r="X46" i="50"/>
  <c r="AN49" i="50"/>
  <c r="AR30" i="50"/>
  <c r="AF5" i="50"/>
  <c r="AU25" i="50"/>
  <c r="AW21" i="50"/>
  <c r="P21" i="50"/>
  <c r="W21" i="50"/>
  <c r="AL47" i="50"/>
  <c r="V18" i="50"/>
  <c r="BB21" i="50"/>
  <c r="N4" i="50"/>
  <c r="AF26" i="50"/>
  <c r="BC41" i="50"/>
  <c r="Y21" i="50"/>
  <c r="P43" i="50"/>
  <c r="Y47" i="50"/>
  <c r="N30" i="50"/>
  <c r="AA42" i="50"/>
  <c r="T18" i="50"/>
  <c r="AT25" i="50"/>
  <c r="L25" i="50"/>
  <c r="X21" i="50"/>
  <c r="T29" i="50"/>
  <c r="AD15" i="50"/>
  <c r="AN14" i="50"/>
  <c r="AV22" i="50"/>
  <c r="AP51" i="50"/>
  <c r="P22" i="50"/>
  <c r="AB12" i="50"/>
  <c r="AN40" i="50"/>
  <c r="AW16" i="50"/>
  <c r="AN13" i="50"/>
  <c r="AG44" i="50"/>
  <c r="AJ36" i="50"/>
  <c r="O36" i="50"/>
  <c r="AM38" i="50"/>
  <c r="M19" i="50"/>
  <c r="L22" i="50"/>
  <c r="AK42" i="50"/>
  <c r="AU31" i="50"/>
  <c r="V4" i="50"/>
  <c r="BC16" i="50"/>
  <c r="AV32" i="50"/>
  <c r="AR34" i="50"/>
  <c r="O26" i="50"/>
  <c r="P23" i="50"/>
  <c r="U28" i="50"/>
  <c r="AO44" i="50"/>
  <c r="AN51" i="50"/>
  <c r="S22" i="50"/>
  <c r="AW46" i="50"/>
  <c r="AX17" i="50"/>
  <c r="Y52" i="50"/>
  <c r="AM28" i="50"/>
  <c r="AO24" i="50"/>
  <c r="AL21" i="50"/>
  <c r="N39" i="50"/>
  <c r="AU38" i="50"/>
  <c r="AK14" i="50"/>
  <c r="AV47" i="50"/>
  <c r="AG28" i="50"/>
  <c r="AW19" i="50"/>
  <c r="AS47" i="50"/>
  <c r="W37" i="50"/>
  <c r="Y48" i="50"/>
  <c r="W14" i="50"/>
  <c r="P31" i="50"/>
  <c r="AK37" i="50"/>
  <c r="Y43" i="50"/>
  <c r="AJ39" i="50"/>
  <c r="BC51" i="50"/>
  <c r="AG42" i="50"/>
  <c r="BC44" i="50"/>
  <c r="AP30" i="50"/>
  <c r="AP23" i="50"/>
  <c r="T25" i="50"/>
  <c r="W16" i="50"/>
  <c r="AA52" i="50"/>
  <c r="AT45" i="50"/>
  <c r="AZ21" i="50"/>
  <c r="AL48" i="50"/>
  <c r="T22" i="50"/>
  <c r="AG26" i="50"/>
  <c r="N45" i="50"/>
  <c r="AA50" i="50"/>
  <c r="AA18" i="50"/>
  <c r="Z40" i="50"/>
  <c r="O48" i="50"/>
  <c r="AT37" i="50"/>
  <c r="BB37" i="50"/>
  <c r="AL5" i="50"/>
  <c r="N34" i="50"/>
  <c r="N38" i="50"/>
  <c r="AW4" i="50"/>
  <c r="BA28" i="50"/>
  <c r="AS19" i="50"/>
  <c r="Z47" i="50"/>
  <c r="AJ5" i="50"/>
  <c r="V42" i="50"/>
  <c r="AC37" i="50"/>
  <c r="U47" i="50"/>
  <c r="AO33" i="50"/>
  <c r="BA23" i="50"/>
  <c r="AF19" i="50"/>
  <c r="AH15" i="50"/>
  <c r="AO41" i="50"/>
  <c r="N14" i="50"/>
  <c r="AX33" i="50"/>
  <c r="AS23" i="50"/>
  <c r="AQ40" i="50"/>
  <c r="BC23" i="50"/>
  <c r="AG5" i="50"/>
  <c r="V27" i="50"/>
  <c r="BB13" i="50"/>
  <c r="T52" i="50"/>
  <c r="AT33" i="50"/>
  <c r="S28" i="50"/>
  <c r="AD13" i="50"/>
  <c r="AX27" i="50"/>
  <c r="AR16" i="50"/>
  <c r="V31" i="50"/>
  <c r="AU32" i="50"/>
  <c r="AB38" i="50"/>
  <c r="M36" i="50"/>
  <c r="AL28" i="50"/>
  <c r="AX42" i="50"/>
  <c r="L20" i="50"/>
  <c r="AT43" i="50"/>
  <c r="AR21" i="50"/>
  <c r="AO25" i="50"/>
  <c r="AW52" i="50"/>
  <c r="AP31" i="50"/>
  <c r="AM5" i="50"/>
  <c r="AQ19" i="50"/>
  <c r="T5" i="50"/>
  <c r="AN16" i="50"/>
  <c r="AU23" i="50"/>
  <c r="AV28" i="50"/>
  <c r="O16" i="50"/>
  <c r="AR43" i="50"/>
  <c r="AN50" i="50"/>
  <c r="Q41" i="50"/>
  <c r="BA30" i="50"/>
  <c r="AB29" i="50"/>
  <c r="AB50" i="50"/>
  <c r="T12" i="50"/>
  <c r="R48" i="50"/>
  <c r="O24" i="50"/>
  <c r="AC18" i="50"/>
  <c r="AK18" i="50"/>
  <c r="AZ35" i="50"/>
  <c r="BC26" i="50"/>
  <c r="AV4" i="50"/>
  <c r="U19" i="50"/>
  <c r="AB42" i="50"/>
  <c r="AJ43" i="50"/>
  <c r="AO12" i="50"/>
  <c r="AG46" i="50"/>
  <c r="AL36" i="50"/>
  <c r="AY48" i="50"/>
  <c r="AH35" i="50"/>
  <c r="Y30" i="50"/>
  <c r="AQ52" i="50"/>
  <c r="AG40" i="50"/>
  <c r="Y29" i="50"/>
  <c r="AR24" i="50"/>
  <c r="BB18" i="50"/>
  <c r="BB23" i="50"/>
  <c r="AZ47" i="50"/>
  <c r="P38" i="50"/>
  <c r="Z21" i="50"/>
  <c r="AF42" i="50"/>
  <c r="AO28" i="50"/>
  <c r="P51" i="50"/>
  <c r="AI49" i="50"/>
  <c r="AG24" i="50"/>
  <c r="AM4" i="50"/>
  <c r="AL52" i="50"/>
  <c r="AH40" i="50"/>
  <c r="S5" i="50"/>
  <c r="BB5" i="50"/>
  <c r="W38" i="50"/>
  <c r="L35" i="50"/>
  <c r="AX34" i="50"/>
  <c r="Y16" i="50"/>
  <c r="U21" i="50"/>
  <c r="AC33" i="50"/>
  <c r="AJ30" i="50"/>
  <c r="R23" i="50"/>
  <c r="AV39" i="50"/>
  <c r="AD33" i="50"/>
  <c r="AQ36" i="50"/>
  <c r="M46" i="50"/>
  <c r="Z12" i="50"/>
  <c r="AU16" i="50"/>
  <c r="AC13" i="50"/>
  <c r="AP44" i="50"/>
  <c r="AH19" i="50"/>
  <c r="AH37" i="50"/>
  <c r="BB33" i="50"/>
  <c r="M44" i="50"/>
  <c r="AT13" i="50"/>
  <c r="AU19" i="50"/>
  <c r="AP18" i="50"/>
  <c r="AS28" i="50"/>
  <c r="AW50" i="50"/>
  <c r="V16" i="50"/>
  <c r="AA32" i="50"/>
  <c r="AQ46" i="50"/>
  <c r="Q31" i="50"/>
  <c r="P34" i="50"/>
  <c r="T35" i="50"/>
  <c r="AY25" i="50"/>
  <c r="T33" i="50"/>
  <c r="AW35" i="50"/>
  <c r="AE43" i="50"/>
  <c r="Y26" i="50"/>
  <c r="AA24" i="50"/>
  <c r="BC39" i="50"/>
  <c r="AO31" i="50"/>
  <c r="AK50" i="50"/>
  <c r="AN12" i="50"/>
  <c r="T15" i="50"/>
  <c r="AQ14" i="50"/>
  <c r="Q17" i="50"/>
  <c r="AI52" i="50"/>
  <c r="AM44" i="50"/>
  <c r="AW42" i="50"/>
  <c r="R16" i="50"/>
  <c r="M40" i="50"/>
  <c r="AJ42" i="50"/>
  <c r="N48" i="50"/>
  <c r="AY15" i="50"/>
  <c r="AU4" i="50"/>
  <c r="S18" i="50"/>
  <c r="AD50" i="50"/>
  <c r="AV37" i="50"/>
  <c r="W33" i="50"/>
  <c r="V24" i="50"/>
  <c r="AH45" i="50"/>
  <c r="AW13" i="50"/>
  <c r="AT50" i="50"/>
  <c r="AJ31" i="50"/>
  <c r="AB41" i="50"/>
  <c r="AS48" i="50"/>
  <c r="AX19" i="50"/>
  <c r="U33" i="50"/>
  <c r="O17" i="50"/>
  <c r="R29" i="50"/>
  <c r="AQ26" i="50"/>
  <c r="AD23" i="50"/>
  <c r="BA27" i="50"/>
  <c r="AW17" i="50"/>
  <c r="AA30" i="50"/>
  <c r="AA22" i="50"/>
  <c r="P14" i="50"/>
  <c r="AJ12" i="50"/>
  <c r="AB52" i="50"/>
  <c r="AH24" i="50"/>
  <c r="AZ40" i="50"/>
  <c r="P44" i="50"/>
  <c r="W34" i="50"/>
  <c r="U34" i="50"/>
  <c r="AJ28" i="50"/>
  <c r="AY45" i="50"/>
  <c r="M33" i="50"/>
  <c r="AC49" i="50"/>
  <c r="L49" i="50"/>
  <c r="AM29" i="50"/>
  <c r="AH52" i="50"/>
  <c r="Q14" i="50"/>
  <c r="AO20" i="50"/>
  <c r="AB17" i="50"/>
  <c r="Y19" i="50"/>
  <c r="AW18" i="50"/>
  <c r="AD35" i="50"/>
  <c r="AL19" i="50"/>
  <c r="AJ21" i="50"/>
  <c r="AU48" i="50"/>
  <c r="AN25" i="50"/>
  <c r="BC24" i="50"/>
  <c r="Z51" i="50"/>
  <c r="X12" i="50"/>
  <c r="AY18" i="50"/>
  <c r="O21" i="50"/>
  <c r="AR35" i="50"/>
  <c r="X51" i="50"/>
  <c r="Y32" i="50"/>
  <c r="W32" i="50"/>
  <c r="M50" i="50"/>
  <c r="L48" i="50"/>
  <c r="AG45" i="50"/>
  <c r="Y17" i="50"/>
  <c r="BA46" i="50"/>
  <c r="AM50" i="50"/>
  <c r="AN22" i="50"/>
  <c r="AO27" i="50"/>
  <c r="AU35" i="50"/>
  <c r="X42" i="50"/>
  <c r="AS17" i="50"/>
  <c r="AF15" i="50"/>
  <c r="AY43" i="50"/>
  <c r="AI32" i="50"/>
  <c r="AY21" i="50"/>
  <c r="AI25" i="50"/>
  <c r="AC22" i="50"/>
  <c r="T34" i="50"/>
  <c r="AC5" i="50"/>
  <c r="AK21" i="50"/>
  <c r="AU45" i="50"/>
  <c r="AY32" i="50"/>
  <c r="R15" i="50"/>
  <c r="AS51" i="50"/>
  <c r="AT32" i="50"/>
  <c r="AI12" i="50"/>
  <c r="AE17" i="50"/>
  <c r="AB35" i="50"/>
  <c r="AJ44" i="50"/>
  <c r="AA44" i="50"/>
  <c r="L29" i="50"/>
  <c r="X30" i="50"/>
  <c r="BC35" i="50"/>
  <c r="N47" i="50"/>
  <c r="AS41" i="50"/>
  <c r="AT52" i="50"/>
  <c r="V33" i="50"/>
  <c r="N16" i="50"/>
  <c r="AG50" i="50"/>
  <c r="AJ23" i="50"/>
  <c r="U35" i="50"/>
  <c r="AL14" i="50"/>
  <c r="P12" i="50"/>
  <c r="L37" i="50"/>
  <c r="Y24" i="50"/>
  <c r="AI40" i="50"/>
  <c r="P35" i="50"/>
  <c r="U46" i="50"/>
  <c r="AJ48" i="50"/>
  <c r="AK35" i="50"/>
  <c r="AN28" i="50"/>
  <c r="AG51" i="50"/>
  <c r="AP50" i="50"/>
  <c r="AS31" i="50"/>
  <c r="AL23" i="50"/>
  <c r="AX29" i="50"/>
  <c r="AZ36" i="50"/>
  <c r="AH28" i="50"/>
  <c r="AV34" i="50"/>
  <c r="AR22" i="50"/>
  <c r="AR25" i="50"/>
  <c r="Z17" i="50"/>
  <c r="AO16" i="50"/>
  <c r="W5" i="50"/>
  <c r="AL35" i="50"/>
  <c r="Z22" i="50"/>
  <c r="AH48" i="50"/>
  <c r="AQ34" i="50"/>
  <c r="Q52" i="50"/>
  <c r="V47" i="50"/>
  <c r="AZ12" i="50"/>
  <c r="R18" i="50"/>
  <c r="BC31" i="50"/>
  <c r="O25" i="50"/>
  <c r="AD27" i="50"/>
  <c r="L18" i="50"/>
  <c r="AF34" i="50"/>
  <c r="AJ50" i="50"/>
  <c r="X47" i="50"/>
  <c r="AM18" i="50"/>
  <c r="R47" i="50"/>
  <c r="BC37" i="50"/>
  <c r="V20" i="50"/>
  <c r="AN17" i="50"/>
  <c r="X23" i="50"/>
  <c r="R22" i="50"/>
  <c r="AI33" i="50"/>
  <c r="T27" i="50"/>
  <c r="Y37" i="50"/>
  <c r="AK17" i="50"/>
  <c r="AM39" i="50"/>
  <c r="W51" i="50"/>
  <c r="AB13" i="50"/>
  <c r="M4" i="50"/>
  <c r="AD26" i="50"/>
  <c r="AI20" i="50"/>
  <c r="AF12" i="50"/>
  <c r="AF51" i="50"/>
  <c r="BA51" i="50"/>
  <c r="AQ28" i="50"/>
  <c r="P15" i="50"/>
  <c r="AG19" i="50"/>
  <c r="AY40" i="50"/>
  <c r="AJ27" i="50"/>
  <c r="AJ26" i="50"/>
  <c r="AU18" i="50"/>
  <c r="AP29" i="50"/>
  <c r="Z34" i="50"/>
  <c r="BC32" i="50"/>
  <c r="N25" i="50"/>
  <c r="AY39" i="50"/>
  <c r="BA36" i="50"/>
  <c r="S14" i="50"/>
  <c r="AV24" i="50"/>
  <c r="AR37" i="50"/>
  <c r="S15" i="50"/>
  <c r="BC18" i="50"/>
  <c r="L31" i="50"/>
  <c r="V28" i="50"/>
  <c r="L51" i="50"/>
  <c r="AE48" i="50"/>
  <c r="AW23" i="50"/>
  <c r="BB12" i="50"/>
  <c r="AN32" i="50"/>
  <c r="S19" i="50"/>
  <c r="AQ50" i="50"/>
  <c r="Q34" i="50"/>
  <c r="AP14" i="50"/>
  <c r="AB44" i="50"/>
  <c r="AB37" i="50"/>
  <c r="AM30" i="50"/>
  <c r="AD32" i="50"/>
  <c r="AH43" i="50"/>
  <c r="AI17" i="50"/>
  <c r="AS37" i="50"/>
  <c r="P52" i="50"/>
  <c r="M20" i="50"/>
  <c r="AL17" i="50"/>
  <c r="BB14" i="50"/>
  <c r="AW12" i="50"/>
  <c r="AW33" i="50"/>
  <c r="BC33" i="50"/>
  <c r="O18" i="50"/>
  <c r="AL32" i="50"/>
  <c r="AH5" i="50"/>
  <c r="AO21" i="50"/>
  <c r="AR48" i="50"/>
  <c r="Z48" i="50"/>
  <c r="AV35" i="50"/>
  <c r="AC43" i="50"/>
  <c r="Z46" i="50"/>
  <c r="AN42" i="50"/>
  <c r="AK25" i="50"/>
  <c r="AJ35" i="50"/>
  <c r="Q13" i="50"/>
  <c r="BB20" i="50"/>
  <c r="O38" i="50"/>
  <c r="AJ22" i="50"/>
  <c r="AN34" i="50"/>
  <c r="V29" i="50"/>
  <c r="P17" i="50"/>
  <c r="AW43" i="50"/>
  <c r="AB26" i="50"/>
  <c r="AA37" i="50"/>
  <c r="AL12" i="50"/>
  <c r="AD49" i="50"/>
  <c r="AL20" i="50"/>
  <c r="AI19" i="50"/>
  <c r="N32" i="50"/>
  <c r="AG49" i="50"/>
  <c r="V37" i="50"/>
  <c r="AW51" i="50"/>
  <c r="AQ5" i="50"/>
  <c r="L45" i="50"/>
  <c r="Z15" i="50"/>
  <c r="AT51" i="50"/>
  <c r="AG16" i="50"/>
  <c r="AT34" i="50"/>
  <c r="BB30" i="50"/>
  <c r="AI14" i="50"/>
  <c r="AE38" i="50"/>
  <c r="AH50" i="50"/>
  <c r="AQ23" i="50"/>
  <c r="AX21" i="50"/>
  <c r="AM21" i="50"/>
  <c r="AC45" i="50"/>
  <c r="O34" i="50"/>
  <c r="W20" i="50"/>
  <c r="AT27" i="50"/>
  <c r="AP48" i="50"/>
  <c r="AK4" i="50"/>
  <c r="AX39" i="50"/>
  <c r="W42" i="50"/>
  <c r="Y28" i="50"/>
  <c r="AB39" i="50"/>
  <c r="R4" i="50"/>
  <c r="N18" i="50"/>
  <c r="P29" i="50"/>
  <c r="X34" i="50"/>
  <c r="AU29" i="50"/>
  <c r="AQ24" i="50"/>
  <c r="AQ27" i="50"/>
  <c r="AO4" i="50"/>
  <c r="BB24" i="50"/>
  <c r="Q35" i="50"/>
  <c r="R14" i="50"/>
  <c r="Y20" i="50"/>
  <c r="AW26" i="50"/>
  <c r="Q44" i="50"/>
  <c r="R35" i="50"/>
  <c r="Y45" i="50"/>
  <c r="AL33" i="50"/>
  <c r="AF23" i="50"/>
  <c r="L43" i="50"/>
  <c r="X39" i="50"/>
  <c r="AV5" i="50"/>
  <c r="BB40" i="50"/>
  <c r="Y35" i="50"/>
  <c r="AD46" i="50"/>
  <c r="BA40" i="50"/>
  <c r="AB30" i="50"/>
  <c r="N36" i="50"/>
  <c r="AA33" i="50"/>
  <c r="AO39" i="50"/>
  <c r="AT44" i="50"/>
  <c r="AD36" i="50"/>
  <c r="L52" i="50"/>
  <c r="Y12" i="50"/>
  <c r="AL43" i="50"/>
  <c r="AL22" i="50"/>
  <c r="R43" i="50"/>
  <c r="AE20" i="50"/>
  <c r="AF25" i="50"/>
  <c r="O40" i="50"/>
  <c r="U5" i="50"/>
  <c r="AV13" i="50"/>
  <c r="AB18" i="50"/>
  <c r="O15" i="50"/>
  <c r="AT36" i="50"/>
  <c r="BC13" i="50"/>
  <c r="BB36" i="50"/>
  <c r="AU36" i="50"/>
  <c r="AU46" i="50"/>
  <c r="AE28" i="50"/>
  <c r="X41" i="50"/>
  <c r="AH51" i="50"/>
  <c r="M37" i="50"/>
  <c r="AC12" i="50"/>
  <c r="Q43" i="50"/>
  <c r="BC28" i="50"/>
  <c r="W49" i="50"/>
  <c r="AK46" i="50"/>
  <c r="Y15" i="50"/>
  <c r="AL29" i="50"/>
  <c r="AS4" i="50"/>
  <c r="AE46" i="50"/>
  <c r="AZ29" i="50"/>
  <c r="AN36" i="50"/>
  <c r="AT28" i="50"/>
  <c r="AJ16" i="50"/>
  <c r="AC50" i="50"/>
  <c r="AR45" i="50"/>
  <c r="N29" i="50"/>
  <c r="AW32" i="50"/>
  <c r="M30" i="50"/>
  <c r="AM40" i="50"/>
  <c r="R44" i="50"/>
  <c r="AL49" i="50"/>
  <c r="Q24" i="50"/>
  <c r="F52" i="50" l="1"/>
  <c r="F43" i="50"/>
  <c r="F45" i="50"/>
  <c r="F51" i="50"/>
  <c r="F31" i="50"/>
  <c r="K4" i="50"/>
  <c r="F1" i="50" s="1"/>
  <c r="F18" i="50"/>
  <c r="F37" i="50"/>
  <c r="F29" i="50"/>
  <c r="F48" i="50"/>
  <c r="F49" i="50"/>
  <c r="F35" i="50"/>
  <c r="F20" i="50"/>
  <c r="F22" i="50"/>
  <c r="F25" i="50"/>
  <c r="F15" i="50"/>
  <c r="F12" i="50"/>
  <c r="F23" i="50"/>
  <c r="F5" i="50"/>
  <c r="F17" i="50"/>
  <c r="F38" i="50"/>
  <c r="F14" i="50"/>
  <c r="F19" i="50"/>
  <c r="F30" i="50"/>
  <c r="F36" i="50"/>
  <c r="F16" i="50"/>
  <c r="F41" i="50"/>
  <c r="F26" i="50"/>
  <c r="F28" i="50"/>
  <c r="F21" i="50"/>
  <c r="F32" i="50"/>
  <c r="F33" i="50"/>
  <c r="F27" i="50"/>
  <c r="F46" i="50"/>
  <c r="F34" i="50"/>
  <c r="F44" i="50"/>
  <c r="F42" i="50"/>
  <c r="F24" i="50"/>
  <c r="F40" i="50"/>
  <c r="F13" i="50"/>
  <c r="F47" i="50"/>
  <c r="F39" i="50"/>
  <c r="F50" i="50"/>
  <c r="AF4" i="1"/>
  <c r="AF4" i="137"/>
  <c r="AF4" i="4"/>
  <c r="AF4" i="150"/>
  <c r="AJ11" i="150" l="1"/>
  <c r="AJ5" i="150"/>
  <c r="AJ12" i="150"/>
  <c r="AJ6" i="150"/>
  <c r="AJ7" i="150"/>
  <c r="AJ9" i="150"/>
  <c r="AJ10" i="150"/>
  <c r="AJ8" i="150"/>
  <c r="AJ13" i="150"/>
  <c r="AJ19" i="4"/>
  <c r="AJ11" i="4"/>
  <c r="AJ7" i="4"/>
  <c r="AJ21" i="4"/>
  <c r="AJ18" i="4"/>
  <c r="AJ13" i="4"/>
  <c r="AJ17" i="4"/>
  <c r="AJ9" i="4"/>
  <c r="AJ23" i="4"/>
  <c r="AJ14" i="4"/>
  <c r="AJ15" i="4"/>
  <c r="AJ8" i="4"/>
  <c r="AJ16" i="4"/>
  <c r="AJ20" i="4"/>
  <c r="AJ5" i="4"/>
  <c r="AJ25" i="1"/>
  <c r="AJ30" i="1"/>
  <c r="AJ26" i="1"/>
  <c r="AJ13" i="1"/>
  <c r="AJ8" i="1"/>
  <c r="AJ29" i="1"/>
  <c r="AJ27" i="1"/>
  <c r="AJ18" i="1"/>
  <c r="AJ24" i="1"/>
  <c r="AJ28" i="1"/>
  <c r="AJ9" i="1"/>
  <c r="AJ21" i="1"/>
  <c r="AJ11" i="137"/>
  <c r="AJ13" i="137"/>
  <c r="AJ14" i="137"/>
  <c r="AJ15" i="137"/>
  <c r="AJ12" i="137"/>
  <c r="AJ5" i="137"/>
  <c r="AI4" i="150"/>
  <c r="AI4" i="4"/>
  <c r="AI4" i="1"/>
  <c r="J40" i="50"/>
  <c r="H40" i="50"/>
  <c r="H32" i="50"/>
  <c r="J32" i="50"/>
  <c r="J19" i="50"/>
  <c r="H19" i="50"/>
  <c r="H25" i="50"/>
  <c r="J25" i="50"/>
  <c r="J18" i="50"/>
  <c r="H18" i="50"/>
  <c r="J24" i="50"/>
  <c r="H24" i="50"/>
  <c r="H21" i="50"/>
  <c r="J21" i="50"/>
  <c r="J14" i="50"/>
  <c r="H14" i="50"/>
  <c r="J22" i="50"/>
  <c r="H22" i="50"/>
  <c r="J37" i="50"/>
  <c r="H37" i="50"/>
  <c r="J42" i="50"/>
  <c r="H42" i="50"/>
  <c r="H28" i="50"/>
  <c r="J28" i="50"/>
  <c r="H38" i="50"/>
  <c r="J38" i="50"/>
  <c r="J20" i="50"/>
  <c r="H20" i="50"/>
  <c r="J31" i="50"/>
  <c r="H31" i="50"/>
  <c r="J13" i="50"/>
  <c r="H13" i="50"/>
  <c r="J44" i="50"/>
  <c r="H44" i="50"/>
  <c r="J26" i="50"/>
  <c r="H26" i="50"/>
  <c r="H17" i="50"/>
  <c r="J17" i="50"/>
  <c r="J35" i="50"/>
  <c r="H35" i="50"/>
  <c r="H51" i="50"/>
  <c r="J51" i="50"/>
  <c r="J30" i="50"/>
  <c r="H30" i="50"/>
  <c r="H50" i="50"/>
  <c r="J50" i="50"/>
  <c r="H34" i="50"/>
  <c r="J34" i="50"/>
  <c r="H41" i="50"/>
  <c r="J41" i="50"/>
  <c r="F4" i="50"/>
  <c r="J5" i="50"/>
  <c r="H5" i="50"/>
  <c r="J49" i="50"/>
  <c r="H49" i="50"/>
  <c r="J45" i="50"/>
  <c r="H45" i="50"/>
  <c r="H15" i="50"/>
  <c r="J15" i="50"/>
  <c r="H39" i="50"/>
  <c r="J39" i="50"/>
  <c r="J46" i="50"/>
  <c r="H46" i="50"/>
  <c r="J16" i="50"/>
  <c r="H16" i="50"/>
  <c r="J23" i="50"/>
  <c r="H23" i="50"/>
  <c r="J48" i="50"/>
  <c r="H48" i="50"/>
  <c r="J43" i="50"/>
  <c r="H43" i="50"/>
  <c r="J33" i="50"/>
  <c r="H33" i="50"/>
  <c r="J47" i="50"/>
  <c r="H47" i="50"/>
  <c r="H27" i="50"/>
  <c r="J27" i="50"/>
  <c r="J36" i="50"/>
  <c r="H36" i="50"/>
  <c r="H12" i="50"/>
  <c r="J12" i="50"/>
  <c r="H29" i="50"/>
  <c r="J29" i="50"/>
  <c r="J52" i="50"/>
  <c r="H52" i="50"/>
  <c r="AJ4" i="150" l="1"/>
  <c r="AJ4" i="4"/>
  <c r="AJ4" i="1"/>
  <c r="AI4" i="137"/>
  <c r="AJ4" i="137"/>
  <c r="N11" i="4"/>
  <c r="O11" i="4"/>
  <c r="A11" i="4" s="1"/>
  <c r="O19" i="4"/>
  <c r="A19" i="4" s="1"/>
  <c r="N19" i="4"/>
  <c r="O5" i="150"/>
  <c r="N5" i="150"/>
  <c r="AH4" i="150"/>
  <c r="O8" i="150"/>
  <c r="A8" i="150" s="1"/>
  <c r="N8" i="150"/>
  <c r="O9" i="4"/>
  <c r="A9" i="4" s="1"/>
  <c r="N9" i="4"/>
  <c r="O10" i="150"/>
  <c r="A10" i="150" s="1"/>
  <c r="N10" i="150"/>
  <c r="O16" i="4"/>
  <c r="A16" i="4" s="1"/>
  <c r="N16" i="4"/>
  <c r="O12" i="137"/>
  <c r="A12" i="137" s="1"/>
  <c r="N12" i="137"/>
  <c r="O14" i="137"/>
  <c r="A14" i="137" s="1"/>
  <c r="N14" i="137"/>
  <c r="O13" i="4"/>
  <c r="A13" i="4" s="1"/>
  <c r="N13" i="4"/>
  <c r="O13" i="137"/>
  <c r="A13" i="137" s="1"/>
  <c r="N13" i="137"/>
  <c r="N5" i="4"/>
  <c r="AH4" i="4"/>
  <c r="O5" i="4"/>
  <c r="O29" i="1"/>
  <c r="A29" i="1" s="1"/>
  <c r="N29" i="1"/>
  <c r="O7" i="150"/>
  <c r="A7" i="150" s="1"/>
  <c r="N7" i="150"/>
  <c r="N7" i="4"/>
  <c r="O7" i="4"/>
  <c r="A7" i="4" s="1"/>
  <c r="H4" i="50"/>
  <c r="O11" i="137"/>
  <c r="A11" i="137" s="1"/>
  <c r="N11" i="137"/>
  <c r="N12" i="150"/>
  <c r="O12" i="150"/>
  <c r="A12" i="150" s="1"/>
  <c r="N5" i="137"/>
  <c r="O5" i="137"/>
  <c r="AH4" i="137"/>
  <c r="N27" i="1"/>
  <c r="O27" i="1"/>
  <c r="A27" i="1" s="1"/>
  <c r="N30" i="1"/>
  <c r="O30" i="1"/>
  <c r="A30" i="1" s="1"/>
  <c r="O9" i="150"/>
  <c r="A9" i="150" s="1"/>
  <c r="N9" i="150"/>
  <c r="J4" i="50"/>
  <c r="I4" i="50" s="1"/>
  <c r="K14" i="50" s="1"/>
  <c r="N17" i="4"/>
  <c r="O17" i="4"/>
  <c r="A17" i="4" s="1"/>
  <c r="O18" i="4"/>
  <c r="A18" i="4" s="1"/>
  <c r="N18" i="4"/>
  <c r="N24" i="1"/>
  <c r="O24" i="1"/>
  <c r="A24" i="1" s="1"/>
  <c r="O18" i="1"/>
  <c r="A18" i="1" s="1"/>
  <c r="N18" i="1"/>
  <c r="O26" i="1"/>
  <c r="A26" i="1" s="1"/>
  <c r="N26" i="1"/>
  <c r="N14" i="4"/>
  <c r="O14" i="4"/>
  <c r="A14" i="4" s="1"/>
  <c r="O25" i="1"/>
  <c r="A25" i="1" s="1"/>
  <c r="N25" i="1"/>
  <c r="N9" i="1"/>
  <c r="O9" i="1"/>
  <c r="A9" i="1" s="1"/>
  <c r="N6" i="150"/>
  <c r="O6" i="150"/>
  <c r="A6" i="150" s="1"/>
  <c r="O11" i="150"/>
  <c r="A11" i="150" s="1"/>
  <c r="N11" i="150"/>
  <c r="O20" i="4"/>
  <c r="A20" i="4" s="1"/>
  <c r="N20" i="4"/>
  <c r="N8" i="4"/>
  <c r="O8" i="4"/>
  <c r="A8" i="4" s="1"/>
  <c r="N15" i="4"/>
  <c r="O15" i="4"/>
  <c r="A15" i="4" s="1"/>
  <c r="N13" i="150"/>
  <c r="O13" i="150"/>
  <c r="A13" i="150" s="1"/>
  <c r="N21" i="1"/>
  <c r="O21" i="1"/>
  <c r="A21" i="1" s="1"/>
  <c r="O23" i="4"/>
  <c r="A23" i="4" s="1"/>
  <c r="N23" i="4"/>
  <c r="N15" i="137"/>
  <c r="O15" i="137"/>
  <c r="A15" i="137" s="1"/>
  <c r="N8" i="1"/>
  <c r="O8" i="1"/>
  <c r="AH4" i="1"/>
  <c r="O13" i="1"/>
  <c r="A13" i="1" s="1"/>
  <c r="N13" i="1"/>
  <c r="O28" i="1"/>
  <c r="A28" i="1" s="1"/>
  <c r="N28" i="1"/>
  <c r="N21" i="4"/>
  <c r="O21" i="4"/>
  <c r="A21" i="4" s="1"/>
  <c r="N4" i="137" l="1"/>
  <c r="N4" i="4"/>
  <c r="O4" i="137"/>
  <c r="A5" i="137"/>
  <c r="A4" i="137" s="1"/>
  <c r="N4" i="150"/>
  <c r="O4" i="150"/>
  <c r="A5" i="150"/>
  <c r="A4" i="150" s="1"/>
  <c r="O4" i="1"/>
  <c r="A8" i="1"/>
  <c r="A4" i="1" s="1"/>
  <c r="N4" i="1"/>
  <c r="A5" i="4"/>
  <c r="A4" i="4" s="1"/>
  <c r="O4" i="4"/>
  <c r="I4" i="95" l="1"/>
  <c r="I5" i="95" s="1"/>
  <c r="D1" i="50"/>
  <c r="C1" i="50"/>
  <c r="E1" i="50"/>
  <c r="A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<sst xmlns="http://schemas.openxmlformats.org/spreadsheetml/2006/main" count="757" uniqueCount="310">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</sst>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21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210"/>
      <tableStyleElement type="headerRow" dxfId="20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180">
      <pivotArea field="3" type="button" dataOnly="0" labelOnly="1" outline="0" axis="axisRow" fieldPosition="3"/>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6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6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6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6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6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6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5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5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5">
      <pivotArea field="1" type="button" dataOnly="0" labelOnly="1" outline="0" axis="axisRow" fieldPosition="2"/>
    </format>
    <format dxfId="154">
      <pivotArea dataOnly="0" labelOnly="1" outline="0" fieldPosition="0">
        <references count="1">
          <reference field="1" count="0"/>
        </references>
      </pivotArea>
    </format>
    <format dxfId="153">
      <pivotArea field="0" type="button" dataOnly="0" labelOnly="1" outline="0" axis="axisRow" fieldPosition="0"/>
    </format>
    <format dxfId="15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51">
      <pivotArea dataOnly="0" labelOnly="1" grandRow="1" outline="0" fieldPosition="0"/>
    </format>
    <format dxfId="1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49">
      <pivotArea dataOnly="0" labelOnly="1" grandRow="1" outline="0" fieldPosition="0"/>
    </format>
    <format dxfId="148">
      <pivotArea field="2" type="button" dataOnly="0" labelOnly="1" outline="0" axis="axisRow" fieldPosition="1"/>
    </format>
    <format dxfId="147">
      <pivotArea type="all" dataOnly="0" outline="0" fieldPosition="0"/>
    </format>
    <format dxfId="146">
      <pivotArea field="0" type="button" dataOnly="0" labelOnly="1" outline="0" axis="axisRow" fieldPosition="0"/>
    </format>
    <format dxfId="145">
      <pivotArea field="2" type="button" dataOnly="0" labelOnly="1" outline="0" axis="axisRow" fieldPosition="1"/>
    </format>
    <format dxfId="144">
      <pivotArea field="1" type="button" dataOnly="0" labelOnly="1" outline="0" axis="axisRow" fieldPosition="2"/>
    </format>
    <format dxfId="143">
      <pivotArea field="3" type="button" dataOnly="0" labelOnly="1" outline="0" axis="axisRow" fieldPosition="3"/>
    </format>
    <format dxfId="142">
      <pivotArea field="0" type="button" dataOnly="0" labelOnly="1" outline="0" axis="axisRow" fieldPosition="0"/>
    </format>
    <format dxfId="141">
      <pivotArea field="2" type="button" dataOnly="0" labelOnly="1" outline="0" axis="axisRow" fieldPosition="1"/>
    </format>
    <format dxfId="140">
      <pivotArea field="1" type="button" dataOnly="0" labelOnly="1" outline="0" axis="axisRow" fieldPosition="2"/>
    </format>
    <format dxfId="139">
      <pivotArea field="3" type="button" dataOnly="0" labelOnly="1" outline="0" axis="axisRow" fieldPosition="3"/>
    </format>
    <format dxfId="138">
      <pivotArea field="0" type="button" dataOnly="0" labelOnly="1" outline="0" axis="axisRow" fieldPosition="0"/>
    </format>
    <format dxfId="137">
      <pivotArea field="2" type="button" dataOnly="0" labelOnly="1" outline="0" axis="axisRow" fieldPosition="1"/>
    </format>
    <format dxfId="136">
      <pivotArea dataOnly="0" labelOnly="1" outline="0" fieldPosition="0">
        <references count="3">
          <reference field="0" count="1" selected="0">
            <x v="4"/>
          </reference>
          <reference field="1" count="1">
            <x v="2"/>
          </reference>
          <reference field="2" count="1" selected="0">
            <x v="4"/>
          </reference>
        </references>
      </pivotArea>
    </format>
    <format dxfId="135">
      <pivotArea dataOnly="0" labelOnly="1" outline="0" fieldPosition="0">
        <references count="3">
          <reference field="0" count="1" selected="0">
            <x v="5"/>
          </reference>
          <reference field="1" count="1">
            <x v="8"/>
          </reference>
          <reference field="2" count="1" selected="0">
            <x v="5"/>
          </reference>
        </references>
      </pivotArea>
    </format>
    <format dxfId="134">
      <pivotArea dataOnly="0" labelOnly="1" outline="0" fieldPosition="0">
        <references count="3">
          <reference field="0" count="1" selected="0">
            <x v="8"/>
          </reference>
          <reference field="1" count="1">
            <x v="7"/>
          </reference>
          <reference field="2" count="1" selected="0">
            <x v="8"/>
          </reference>
        </references>
      </pivotArea>
    </format>
    <format dxfId="133">
      <pivotArea dataOnly="0" labelOnly="1" outline="0" fieldPosition="0">
        <references count="3">
          <reference field="0" count="1" selected="0">
            <x v="10"/>
          </reference>
          <reference field="1" count="1">
            <x v="13"/>
          </reference>
          <reference field="2" count="1" selected="0">
            <x v="10"/>
          </reference>
        </references>
      </pivotArea>
    </format>
    <format dxfId="132">
      <pivotArea dataOnly="0" labelOnly="1" outline="0" fieldPosition="0">
        <references count="3">
          <reference field="0" count="1" selected="0">
            <x v="11"/>
          </reference>
          <reference field="1" count="1">
            <x v="14"/>
          </reference>
          <reference field="2" count="1" selected="0">
            <x v="11"/>
          </reference>
        </references>
      </pivotArea>
    </format>
    <format dxfId="131">
      <pivotArea dataOnly="0" labelOnly="1" outline="0" fieldPosition="0">
        <references count="3">
          <reference field="0" count="1" selected="0">
            <x v="12"/>
          </reference>
          <reference field="1" count="1">
            <x v="15"/>
          </reference>
          <reference field="2" count="1" selected="0">
            <x v="12"/>
          </reference>
        </references>
      </pivotArea>
    </format>
    <format dxfId="130">
      <pivotArea dataOnly="0" labelOnly="1" outline="0" fieldPosition="0">
        <references count="3">
          <reference field="0" count="1" selected="0">
            <x v="13"/>
          </reference>
          <reference field="1" count="1">
            <x v="16"/>
          </reference>
          <reference field="2" count="1" selected="0">
            <x v="13"/>
          </reference>
        </references>
      </pivotArea>
    </format>
    <format dxfId="129">
      <pivotArea dataOnly="0" labelOnly="1" outline="0" fieldPosition="0">
        <references count="3">
          <reference field="0" count="1" selected="0">
            <x v="14"/>
          </reference>
          <reference field="1" count="1">
            <x v="17"/>
          </reference>
          <reference field="2" count="1" selected="0">
            <x v="14"/>
          </reference>
        </references>
      </pivotArea>
    </format>
    <format dxfId="128">
      <pivotArea dataOnly="0" labelOnly="1" outline="0" fieldPosition="0">
        <references count="3">
          <reference field="0" count="1" selected="0">
            <x v="15"/>
          </reference>
          <reference field="1" count="1">
            <x v="10"/>
          </reference>
          <reference field="2" count="1" selected="0">
            <x v="15"/>
          </reference>
        </references>
      </pivotArea>
    </format>
    <format dxfId="127">
      <pivotArea dataOnly="0" labelOnly="1" outline="0" fieldPosition="0">
        <references count="3">
          <reference field="0" count="1" selected="0">
            <x v="16"/>
          </reference>
          <reference field="1" count="1">
            <x v="11"/>
          </reference>
          <reference field="2" count="1" selected="0">
            <x v="16"/>
          </reference>
        </references>
      </pivotArea>
    </format>
    <format dxfId="126">
      <pivotArea dataOnly="0" labelOnly="1" outline="0" fieldPosition="0">
        <references count="3">
          <reference field="0" count="1" selected="0">
            <x v="17"/>
          </reference>
          <reference field="1" count="1">
            <x v="3"/>
          </reference>
          <reference field="2" count="1" selected="0">
            <x v="17"/>
          </reference>
        </references>
      </pivotArea>
    </format>
    <format dxfId="125">
      <pivotArea dataOnly="0" labelOnly="1" outline="0" fieldPosition="0">
        <references count="3">
          <reference field="0" count="1" selected="0">
            <x v="20"/>
          </reference>
          <reference field="1" count="1">
            <x v="18"/>
          </reference>
          <reference field="2" count="1" selected="0">
            <x v="20"/>
          </reference>
        </references>
      </pivotArea>
    </format>
    <format dxfId="124">
      <pivotArea dataOnly="0" labelOnly="1" outline="0" fieldPosition="0">
        <references count="3">
          <reference field="0" count="1" selected="0">
            <x v="25"/>
          </reference>
          <reference field="1" count="1">
            <x v="1"/>
          </reference>
          <reference field="2" count="1" selected="0">
            <x v="25"/>
          </reference>
        </references>
      </pivotArea>
    </format>
    <format dxfId="12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2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2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2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1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1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1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1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1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1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1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1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1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10">
      <pivotArea dataOnly="0" labelOnly="1" outline="0" fieldPosition="0">
        <references count="2">
          <reference field="0" count="1" selected="0">
            <x v="0"/>
          </reference>
          <reference field="2" count="1">
            <x v="0"/>
          </reference>
        </references>
      </pivotArea>
    </format>
    <format dxfId="109">
      <pivotArea dataOnly="0" labelOnly="1" outline="0" fieldPosition="0">
        <references count="2">
          <reference field="0" count="1" selected="0">
            <x v="1"/>
          </reference>
          <reference field="2" count="1">
            <x v="1"/>
          </reference>
        </references>
      </pivotArea>
    </format>
    <format dxfId="108">
      <pivotArea dataOnly="0" labelOnly="1" outline="0" fieldPosition="0">
        <references count="2">
          <reference field="0" count="1" selected="0">
            <x v="2"/>
          </reference>
          <reference field="2" count="1">
            <x v="2"/>
          </reference>
        </references>
      </pivotArea>
    </format>
    <format dxfId="107">
      <pivotArea dataOnly="0" labelOnly="1" outline="0" fieldPosition="0">
        <references count="2">
          <reference field="0" count="1" selected="0">
            <x v="3"/>
          </reference>
          <reference field="2" count="1">
            <x v="3"/>
          </reference>
        </references>
      </pivotArea>
    </format>
    <format dxfId="106">
      <pivotArea dataOnly="0" labelOnly="1" outline="0" fieldPosition="0">
        <references count="2">
          <reference field="0" count="1" selected="0">
            <x v="4"/>
          </reference>
          <reference field="2" count="1">
            <x v="4"/>
          </reference>
        </references>
      </pivotArea>
    </format>
    <format dxfId="105">
      <pivotArea dataOnly="0" labelOnly="1" outline="0" fieldPosition="0">
        <references count="2">
          <reference field="0" count="1" selected="0">
            <x v="5"/>
          </reference>
          <reference field="2" count="1">
            <x v="5"/>
          </reference>
        </references>
      </pivotArea>
    </format>
    <format dxfId="104">
      <pivotArea dataOnly="0" labelOnly="1" outline="0" fieldPosition="0">
        <references count="2">
          <reference field="0" count="1" selected="0">
            <x v="6"/>
          </reference>
          <reference field="2" count="1">
            <x v="6"/>
          </reference>
        </references>
      </pivotArea>
    </format>
    <format dxfId="103">
      <pivotArea dataOnly="0" labelOnly="1" outline="0" fieldPosition="0">
        <references count="2">
          <reference field="0" count="1" selected="0">
            <x v="7"/>
          </reference>
          <reference field="2" count="1">
            <x v="7"/>
          </reference>
        </references>
      </pivotArea>
    </format>
    <format dxfId="102">
      <pivotArea dataOnly="0" labelOnly="1" outline="0" fieldPosition="0">
        <references count="2">
          <reference field="0" count="1" selected="0">
            <x v="8"/>
          </reference>
          <reference field="2" count="1">
            <x v="8"/>
          </reference>
        </references>
      </pivotArea>
    </format>
    <format dxfId="101">
      <pivotArea dataOnly="0" labelOnly="1" outline="0" fieldPosition="0">
        <references count="2">
          <reference field="0" count="1" selected="0">
            <x v="9"/>
          </reference>
          <reference field="2" count="1">
            <x v="9"/>
          </reference>
        </references>
      </pivotArea>
    </format>
    <format dxfId="100">
      <pivotArea dataOnly="0" labelOnly="1" outline="0" fieldPosition="0">
        <references count="2">
          <reference field="0" count="1" selected="0">
            <x v="10"/>
          </reference>
          <reference field="2" count="1">
            <x v="10"/>
          </reference>
        </references>
      </pivotArea>
    </format>
    <format dxfId="99">
      <pivotArea dataOnly="0" labelOnly="1" outline="0" fieldPosition="0">
        <references count="2">
          <reference field="0" count="1" selected="0">
            <x v="11"/>
          </reference>
          <reference field="2" count="1">
            <x v="11"/>
          </reference>
        </references>
      </pivotArea>
    </format>
    <format dxfId="98">
      <pivotArea dataOnly="0" labelOnly="1" outline="0" fieldPosition="0">
        <references count="2">
          <reference field="0" count="1" selected="0">
            <x v="12"/>
          </reference>
          <reference field="2" count="1">
            <x v="12"/>
          </reference>
        </references>
      </pivotArea>
    </format>
    <format dxfId="97">
      <pivotArea dataOnly="0" labelOnly="1" outline="0" fieldPosition="0">
        <references count="2">
          <reference field="0" count="1" selected="0">
            <x v="13"/>
          </reference>
          <reference field="2" count="1">
            <x v="13"/>
          </reference>
        </references>
      </pivotArea>
    </format>
    <format dxfId="96">
      <pivotArea dataOnly="0" labelOnly="1" outline="0" fieldPosition="0">
        <references count="2">
          <reference field="0" count="1" selected="0">
            <x v="14"/>
          </reference>
          <reference field="2" count="1">
            <x v="14"/>
          </reference>
        </references>
      </pivotArea>
    </format>
    <format dxfId="95">
      <pivotArea dataOnly="0" labelOnly="1" outline="0" fieldPosition="0">
        <references count="2">
          <reference field="0" count="1" selected="0">
            <x v="15"/>
          </reference>
          <reference field="2" count="1">
            <x v="15"/>
          </reference>
        </references>
      </pivotArea>
    </format>
    <format dxfId="94">
      <pivotArea dataOnly="0" labelOnly="1" outline="0" fieldPosition="0">
        <references count="2">
          <reference field="0" count="1" selected="0">
            <x v="16"/>
          </reference>
          <reference field="2" count="1">
            <x v="16"/>
          </reference>
        </references>
      </pivotArea>
    </format>
    <format dxfId="93">
      <pivotArea dataOnly="0" labelOnly="1" outline="0" fieldPosition="0">
        <references count="2">
          <reference field="0" count="1" selected="0">
            <x v="17"/>
          </reference>
          <reference field="2" count="1">
            <x v="17"/>
          </reference>
        </references>
      </pivotArea>
    </format>
    <format dxfId="92">
      <pivotArea dataOnly="0" labelOnly="1" outline="0" fieldPosition="0">
        <references count="2">
          <reference field="0" count="1" selected="0">
            <x v="18"/>
          </reference>
          <reference field="2" count="1">
            <x v="18"/>
          </reference>
        </references>
      </pivotArea>
    </format>
    <format dxfId="91">
      <pivotArea dataOnly="0" labelOnly="1" outline="0" fieldPosition="0">
        <references count="2">
          <reference field="0" count="1" selected="0">
            <x v="19"/>
          </reference>
          <reference field="2" count="1">
            <x v="19"/>
          </reference>
        </references>
      </pivotArea>
    </format>
    <format dxfId="90">
      <pivotArea dataOnly="0" labelOnly="1" outline="0" fieldPosition="0">
        <references count="2">
          <reference field="0" count="1" selected="0">
            <x v="20"/>
          </reference>
          <reference field="2" count="1">
            <x v="20"/>
          </reference>
        </references>
      </pivotArea>
    </format>
    <format dxfId="89">
      <pivotArea dataOnly="0" labelOnly="1" outline="0" fieldPosition="0">
        <references count="2">
          <reference field="0" count="1" selected="0">
            <x v="21"/>
          </reference>
          <reference field="2" count="1">
            <x v="21"/>
          </reference>
        </references>
      </pivotArea>
    </format>
    <format dxfId="88">
      <pivotArea dataOnly="0" labelOnly="1" outline="0" fieldPosition="0">
        <references count="2">
          <reference field="0" count="1" selected="0">
            <x v="22"/>
          </reference>
          <reference field="2" count="1">
            <x v="22"/>
          </reference>
        </references>
      </pivotArea>
    </format>
    <format dxfId="87">
      <pivotArea dataOnly="0" labelOnly="1" outline="0" fieldPosition="0">
        <references count="2">
          <reference field="0" count="1" selected="0">
            <x v="23"/>
          </reference>
          <reference field="2" count="1">
            <x v="23"/>
          </reference>
        </references>
      </pivotArea>
    </format>
    <format dxfId="86">
      <pivotArea dataOnly="0" labelOnly="1" outline="0" fieldPosition="0">
        <references count="2">
          <reference field="0" count="1" selected="0">
            <x v="24"/>
          </reference>
          <reference field="2" count="1">
            <x v="24"/>
          </reference>
        </references>
      </pivotArea>
    </format>
    <format dxfId="85">
      <pivotArea dataOnly="0" labelOnly="1" outline="0" fieldPosition="0">
        <references count="2">
          <reference field="0" count="1" selected="0">
            <x v="25"/>
          </reference>
          <reference field="2" count="1">
            <x v="25"/>
          </reference>
        </references>
      </pivotArea>
    </format>
    <format dxfId="84">
      <pivotArea dataOnly="0" labelOnly="1" outline="0" fieldPosition="0">
        <references count="2">
          <reference field="0" count="1" selected="0">
            <x v="26"/>
          </reference>
          <reference field="2" count="1">
            <x v="26"/>
          </reference>
        </references>
      </pivotArea>
    </format>
    <format dxfId="83">
      <pivotArea dataOnly="0" labelOnly="1" outline="0" fieldPosition="0">
        <references count="2">
          <reference field="0" count="1" selected="0">
            <x v="27"/>
          </reference>
          <reference field="2" count="1">
            <x v="27"/>
          </reference>
        </references>
      </pivotArea>
    </format>
    <format dxfId="82">
      <pivotArea dataOnly="0" labelOnly="1" outline="0" fieldPosition="0">
        <references count="2">
          <reference field="0" count="1" selected="0">
            <x v="28"/>
          </reference>
          <reference field="2" count="1">
            <x v="28"/>
          </reference>
        </references>
      </pivotArea>
    </format>
    <format dxfId="81">
      <pivotArea dataOnly="0" labelOnly="1" outline="0" fieldPosition="0">
        <references count="2">
          <reference field="0" count="1" selected="0">
            <x v="29"/>
          </reference>
          <reference field="2" count="1">
            <x v="29"/>
          </reference>
        </references>
      </pivotArea>
    </format>
    <format dxfId="80">
      <pivotArea dataOnly="0" labelOnly="1" outline="0" fieldPosition="0">
        <references count="2">
          <reference field="0" count="1" selected="0">
            <x v="30"/>
          </reference>
          <reference field="2" count="1">
            <x v="30"/>
          </reference>
        </references>
      </pivotArea>
    </format>
    <format dxfId="79">
      <pivotArea dataOnly="0" labelOnly="1" outline="0" fieldPosition="0">
        <references count="2">
          <reference field="0" count="1" selected="0">
            <x v="31"/>
          </reference>
          <reference field="2" count="1">
            <x v="31"/>
          </reference>
        </references>
      </pivotArea>
    </format>
    <format dxfId="78">
      <pivotArea dataOnly="0" labelOnly="1" outline="0" fieldPosition="0">
        <references count="2">
          <reference field="0" count="1" selected="0">
            <x v="32"/>
          </reference>
          <reference field="2" count="1">
            <x v="32"/>
          </reference>
        </references>
      </pivotArea>
    </format>
    <format dxfId="77">
      <pivotArea dataOnly="0" labelOnly="1" outline="0" fieldPosition="0">
        <references count="2">
          <reference field="0" count="1" selected="0">
            <x v="33"/>
          </reference>
          <reference field="2" count="1">
            <x v="33"/>
          </reference>
        </references>
      </pivotArea>
    </format>
    <format dxfId="76">
      <pivotArea dataOnly="0" labelOnly="1" outline="0" fieldPosition="0">
        <references count="2">
          <reference field="0" count="1" selected="0">
            <x v="34"/>
          </reference>
          <reference field="2" count="1">
            <x v="34"/>
          </reference>
        </references>
      </pivotArea>
    </format>
    <format dxfId="75">
      <pivotArea dataOnly="0" labelOnly="1" outline="0" fieldPosition="0">
        <references count="2">
          <reference field="0" count="1" selected="0">
            <x v="35"/>
          </reference>
          <reference field="2" count="1">
            <x v="35"/>
          </reference>
        </references>
      </pivotArea>
    </format>
    <format dxfId="74">
      <pivotArea dataOnly="0" labelOnly="1" outline="0" fieldPosition="0">
        <references count="2">
          <reference field="0" count="1" selected="0">
            <x v="36"/>
          </reference>
          <reference field="2" count="1">
            <x v="36"/>
          </reference>
        </references>
      </pivotArea>
    </format>
    <format dxfId="73">
      <pivotArea dataOnly="0" labelOnly="1" outline="0" fieldPosition="0">
        <references count="2">
          <reference field="0" count="1" selected="0">
            <x v="37"/>
          </reference>
          <reference field="2" count="1">
            <x v="37"/>
          </reference>
        </references>
      </pivotArea>
    </format>
    <format dxfId="72">
      <pivotArea dataOnly="0" labelOnly="1" outline="0" fieldPosition="0">
        <references count="2">
          <reference field="0" count="1" selected="0">
            <x v="38"/>
          </reference>
          <reference field="2" count="1">
            <x v="38"/>
          </reference>
        </references>
      </pivotArea>
    </format>
    <format dxfId="71">
      <pivotArea dataOnly="0" labelOnly="1" outline="0" fieldPosition="0">
        <references count="2">
          <reference field="0" count="1" selected="0">
            <x v="39"/>
          </reference>
          <reference field="2" count="1">
            <x v="39"/>
          </reference>
        </references>
      </pivotArea>
    </format>
    <format dxfId="70">
      <pivotArea dataOnly="0" labelOnly="1" outline="0" fieldPosition="0">
        <references count="2">
          <reference field="0" count="1" selected="0">
            <x v="40"/>
          </reference>
          <reference field="2" count="1">
            <x v="40"/>
          </reference>
        </references>
      </pivotArea>
    </format>
    <format dxfId="69">
      <pivotArea dataOnly="0" labelOnly="1" outline="0" fieldPosition="0">
        <references count="3">
          <reference field="0" count="1" selected="0">
            <x v="4"/>
          </reference>
          <reference field="1" count="1">
            <x v="2"/>
          </reference>
          <reference field="2" count="1" selected="0">
            <x v="4"/>
          </reference>
        </references>
      </pivotArea>
    </format>
    <format dxfId="68">
      <pivotArea dataOnly="0" labelOnly="1" outline="0" fieldPosition="0">
        <references count="3">
          <reference field="0" count="1" selected="0">
            <x v="5"/>
          </reference>
          <reference field="1" count="1">
            <x v="8"/>
          </reference>
          <reference field="2" count="1" selected="0">
            <x v="5"/>
          </reference>
        </references>
      </pivotArea>
    </format>
    <format dxfId="67">
      <pivotArea dataOnly="0" labelOnly="1" outline="0" fieldPosition="0">
        <references count="3">
          <reference field="0" count="1" selected="0">
            <x v="8"/>
          </reference>
          <reference field="1" count="1">
            <x v="7"/>
          </reference>
          <reference field="2" count="1" selected="0">
            <x v="8"/>
          </reference>
        </references>
      </pivotArea>
    </format>
    <format dxfId="66">
      <pivotArea dataOnly="0" labelOnly="1" outline="0" fieldPosition="0">
        <references count="3">
          <reference field="0" count="1" selected="0">
            <x v="10"/>
          </reference>
          <reference field="1" count="1">
            <x v="13"/>
          </reference>
          <reference field="2" count="1" selected="0">
            <x v="10"/>
          </reference>
        </references>
      </pivotArea>
    </format>
    <format dxfId="65">
      <pivotArea dataOnly="0" labelOnly="1" outline="0" fieldPosition="0">
        <references count="3">
          <reference field="0" count="1" selected="0">
            <x v="11"/>
          </reference>
          <reference field="1" count="1">
            <x v="14"/>
          </reference>
          <reference field="2" count="1" selected="0">
            <x v="11"/>
          </reference>
        </references>
      </pivotArea>
    </format>
    <format dxfId="64">
      <pivotArea dataOnly="0" labelOnly="1" outline="0" fieldPosition="0">
        <references count="3">
          <reference field="0" count="1" selected="0">
            <x v="12"/>
          </reference>
          <reference field="1" count="1">
            <x v="15"/>
          </reference>
          <reference field="2" count="1" selected="0">
            <x v="12"/>
          </reference>
        </references>
      </pivotArea>
    </format>
    <format dxfId="63">
      <pivotArea dataOnly="0" labelOnly="1" outline="0" fieldPosition="0">
        <references count="3">
          <reference field="0" count="1" selected="0">
            <x v="13"/>
          </reference>
          <reference field="1" count="1">
            <x v="16"/>
          </reference>
          <reference field="2" count="1" selected="0">
            <x v="13"/>
          </reference>
        </references>
      </pivotArea>
    </format>
    <format dxfId="62">
      <pivotArea dataOnly="0" labelOnly="1" outline="0" fieldPosition="0">
        <references count="3">
          <reference field="0" count="1" selected="0">
            <x v="14"/>
          </reference>
          <reference field="1" count="1">
            <x v="17"/>
          </reference>
          <reference field="2" count="1" selected="0">
            <x v="14"/>
          </reference>
        </references>
      </pivotArea>
    </format>
    <format dxfId="61">
      <pivotArea dataOnly="0" labelOnly="1" outline="0" fieldPosition="0">
        <references count="3">
          <reference field="0" count="1" selected="0">
            <x v="15"/>
          </reference>
          <reference field="1" count="1">
            <x v="10"/>
          </reference>
          <reference field="2" count="1" selected="0">
            <x v="15"/>
          </reference>
        </references>
      </pivotArea>
    </format>
    <format dxfId="60">
      <pivotArea dataOnly="0" labelOnly="1" outline="0" fieldPosition="0">
        <references count="3">
          <reference field="0" count="1" selected="0">
            <x v="16"/>
          </reference>
          <reference field="1" count="1">
            <x v="11"/>
          </reference>
          <reference field="2" count="1" selected="0">
            <x v="16"/>
          </reference>
        </references>
      </pivotArea>
    </format>
    <format dxfId="59">
      <pivotArea dataOnly="0" labelOnly="1" outline="0" fieldPosition="0">
        <references count="3">
          <reference field="0" count="1" selected="0">
            <x v="17"/>
          </reference>
          <reference field="1" count="1">
            <x v="3"/>
          </reference>
          <reference field="2" count="1" selected="0">
            <x v="17"/>
          </reference>
        </references>
      </pivotArea>
    </format>
    <format dxfId="58">
      <pivotArea dataOnly="0" labelOnly="1" outline="0" fieldPosition="0">
        <references count="3">
          <reference field="0" count="1" selected="0">
            <x v="20"/>
          </reference>
          <reference field="1" count="1">
            <x v="18"/>
          </reference>
          <reference field="2" count="1" selected="0">
            <x v="20"/>
          </reference>
        </references>
      </pivotArea>
    </format>
    <format dxfId="57">
      <pivotArea dataOnly="0" labelOnly="1" outline="0" fieldPosition="0">
        <references count="3">
          <reference field="0" count="1" selected="0">
            <x v="25"/>
          </reference>
          <reference field="1" count="1">
            <x v="1"/>
          </reference>
          <reference field="2" count="1" selected="0">
            <x v="25"/>
          </reference>
        </references>
      </pivotArea>
    </format>
    <format dxfId="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
      <pivotArea type="all" dataOnly="0" outline="0" fieldPosition="0"/>
    </format>
    <format dxfId="43">
      <pivotArea type="all" dataOnly="0" outline="0" fieldPosition="0"/>
    </format>
    <format dxfId="42">
      <pivotArea type="all" dataOnly="0" outline="0" fieldPosition="0"/>
    </format>
    <format dxfId="41">
      <pivotArea dataOnly="0" labelOnly="1" outline="0" fieldPosition="0">
        <references count="1">
          <reference field="0" count="3">
            <x v="0"/>
            <x v="1"/>
            <x v="2"/>
          </reference>
        </references>
      </pivotArea>
    </format>
    <format dxfId="40">
      <pivotArea dataOnly="0" labelOnly="1" outline="0" fieldPosition="0">
        <references count="2">
          <reference field="0" count="1" selected="0">
            <x v="0"/>
          </reference>
          <reference field="2" count="1">
            <x v="0"/>
          </reference>
        </references>
      </pivotArea>
    </format>
    <format dxfId="39">
      <pivotArea dataOnly="0" labelOnly="1" outline="0" fieldPosition="0">
        <references count="2">
          <reference field="0" count="1" selected="0">
            <x v="1"/>
          </reference>
          <reference field="2" count="1">
            <x v="1"/>
          </reference>
        </references>
      </pivotArea>
    </format>
    <format dxfId="38">
      <pivotArea dataOnly="0" labelOnly="1" outline="0" fieldPosition="0">
        <references count="2">
          <reference field="0" count="1" selected="0">
            <x v="2"/>
          </reference>
          <reference field="2" count="1">
            <x v="2"/>
          </reference>
        </references>
      </pivotArea>
    </format>
    <format dxfId="37">
      <pivotArea dataOnly="0" labelOnly="1" outline="0" fieldPosition="0">
        <references count="1">
          <reference field="1" count="0"/>
        </references>
      </pivotArea>
    </format>
    <format dxfId="36">
      <pivotArea dataOnly="0" labelOnly="1" outline="0" fieldPosition="0">
        <references count="1">
          <reference field="0" count="1">
            <x v="42"/>
          </reference>
        </references>
      </pivotArea>
    </format>
    <format dxfId="35">
      <pivotArea dataOnly="0" labelOnly="1" outline="0" fieldPosition="0">
        <references count="1">
          <reference field="0" count="1">
            <x v="41"/>
          </reference>
        </references>
      </pivotArea>
    </format>
    <format dxfId="34">
      <pivotArea dataOnly="0" labelOnly="1" outline="0" fieldPosition="0">
        <references count="1">
          <reference field="0" count="1">
            <x v="1"/>
          </reference>
        </references>
      </pivotArea>
    </format>
    <format dxfId="33">
      <pivotArea dataOnly="0" labelOnly="1" outline="0" fieldPosition="0">
        <references count="2">
          <reference field="0" count="1" selected="0">
            <x v="1"/>
          </reference>
          <reference field="2" count="1">
            <x v="1"/>
          </reference>
        </references>
      </pivotArea>
    </format>
    <format dxfId="32">
      <pivotArea field="1" type="button" dataOnly="0" labelOnly="1" outline="0" axis="axisRow" fieldPosition="2"/>
    </format>
    <format dxfId="3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3" sqref="A3"/>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22394.838741088246</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127628</v>
      </c>
      <c r="O4" s="48">
        <f ca="1">SUBTOTAL(9,O5:O15)</f>
        <v>266.5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ca="1"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f ca="1">SUMIFS('Tổng Đơn'!$F:$F,'Tổng Đơn'!$B:$B,$C5)</f>
        <v>0</v>
      </c>
      <c r="AK5" s="223">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9574.3909830782832</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24522</v>
      </c>
      <c r="O6" s="70">
        <f t="shared" ca="1" si="4"/>
        <v>84</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f ca="1">SUMIFS('Tổng Đơn'!$F:$F,'Tổng Đơn'!$B:$B,$C6)</f>
        <v>0</v>
      </c>
      <c r="AK6" s="223">
        <v>0</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f ca="1">SUMIFS('Tổng Đơn'!$F:$F,'Tổng Đơn'!$B:$B,$C7)</f>
        <v>0</v>
      </c>
      <c r="AK7" s="223">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1781.9683898139961</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3364</v>
      </c>
      <c r="O8" s="70">
        <f t="shared" ca="1" si="4"/>
        <v>17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f ca="1">SUMIFS('Tổng Đơn'!$F:$F,'Tổng Đơn'!$B:$B,$C8)</f>
        <v>0</v>
      </c>
      <c r="AK8" s="223">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f ca="1">SUMIFS('Tổng Đơn'!$F:$F,'Tổng Đơn'!$B:$B,$C9)</f>
        <v>0</v>
      </c>
      <c r="AK9" s="223">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1003.4385107690464</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2150</v>
      </c>
      <c r="O10" s="70">
        <f t="shared" ca="1" si="4"/>
        <v>29</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f ca="1">SUMIFS('Tổng Đơn'!$F:$F,'Tổng Đơn'!$B:$B,$C10)</f>
        <v>0</v>
      </c>
      <c r="AK10" s="223">
        <v>0</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1711.7480477824909</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15665</v>
      </c>
      <c r="O11" s="70">
        <f t="shared" ca="1" si="4"/>
        <v>29</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f ca="1">SUMIFS('Tổng Đơn'!$F:$F,'Tổng Đơn'!$B:$B,$C11)</f>
        <v>0</v>
      </c>
      <c r="AK11" s="223">
        <v>0</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396.8975853954646</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1260</v>
      </c>
      <c r="O12" s="70">
        <f t="shared" ca="1" si="4"/>
        <v>12</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f ca="1">SUMIFS('Tổng Đơn'!$F:$F,'Tổng Đơn'!$B:$B,$C12)</f>
        <v>0</v>
      </c>
      <c r="AK12" s="223">
        <v>0</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f ca="1">SUMIFS('Tổng Đơn'!$F:$F,'Tổng Đơn'!$B:$B,$C13)</f>
        <v>0</v>
      </c>
      <c r="AK13" s="223">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f ca="1">SUMIFS('Tổng Đơn'!$F:$F,'Tổng Đơn'!$B:$B,$C14)</f>
        <v>0</v>
      </c>
      <c r="AK14" s="223">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6467.0333333333338</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24517.5</v>
      </c>
      <c r="O15" s="70">
        <f t="shared" ca="1" si="4"/>
        <v>65.5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f ca="1">SUMIFS('Tổng Đơn'!$F:$F,'Tổng Đơn'!$B:$B,$C15)</f>
        <v>0</v>
      </c>
      <c r="AK15" s="223">
        <v>0</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208" priority="12">
      <formula>($O15/$O15)&lt;=1/4</formula>
    </cfRule>
  </conditionalFormatting>
  <conditionalFormatting sqref="C5:C16">
    <cfRule type="expression" dxfId="207" priority="13">
      <formula>($O5/$F5)&lt;=1/4</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2" t="s">
        <v>269</v>
      </c>
      <c r="W1" s="151">
        <f>SUM(X1:BB1)</f>
        <v>4920</v>
      </c>
      <c r="X1" s="218">
        <v>250</v>
      </c>
      <c r="Y1" s="253">
        <f>COUNTIF(Y4:AA4,"&gt;0")*1000-SUM(Y4:AA4)</f>
        <v>670</v>
      </c>
      <c r="Z1" s="254"/>
      <c r="AA1" s="254"/>
      <c r="AB1" s="253">
        <f t="shared" ref="AB1" si="0">COUNTIF(AB4:AD4,"&gt;0")*1000-SUM(AB4:AD4)</f>
        <v>950</v>
      </c>
      <c r="AC1" s="254"/>
      <c r="AD1" s="254"/>
      <c r="AE1" s="253">
        <f t="shared" ref="AE1" si="1">COUNTIF(AE4:AG4,"&gt;0")*1000-SUM(AE4:AG4)</f>
        <v>700</v>
      </c>
      <c r="AF1" s="254"/>
      <c r="AG1" s="254"/>
      <c r="AH1" s="253">
        <f t="shared" ref="AH1" si="2">COUNTIF(AH4:AJ4,"&gt;0")*1000-SUM(AH4:AJ4)</f>
        <v>650</v>
      </c>
      <c r="AI1" s="254"/>
      <c r="AJ1" s="254"/>
      <c r="AK1" s="253">
        <f t="shared" ref="AK1" si="3">COUNTIF(AK4:AM4,"&gt;0")*1000-SUM(AK4:AM4)</f>
        <v>1000</v>
      </c>
      <c r="AL1" s="254"/>
      <c r="AM1" s="254"/>
      <c r="AN1" s="253">
        <f t="shared" ref="AN1" si="4">COUNTIF(AN4:AP4,"&gt;0")*1000-SUM(AN4:AP4)</f>
        <v>700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2"/>
      <c r="W2" s="151"/>
      <c r="X2" s="106" t="s">
        <v>214</v>
      </c>
      <c r="Y2" s="251" t="s">
        <v>215</v>
      </c>
      <c r="Z2" s="251"/>
      <c r="AA2" s="251"/>
      <c r="AB2" s="250" t="s">
        <v>216</v>
      </c>
      <c r="AC2" s="250"/>
      <c r="AD2" s="250"/>
      <c r="AE2" s="251" t="s">
        <v>217</v>
      </c>
      <c r="AF2" s="251"/>
      <c r="AG2" s="251"/>
      <c r="AH2" s="250" t="s">
        <v>218</v>
      </c>
      <c r="AI2" s="250"/>
      <c r="AJ2" s="250"/>
      <c r="AK2" s="251" t="s">
        <v>219</v>
      </c>
      <c r="AL2" s="251"/>
      <c r="AM2" s="251"/>
      <c r="AN2" s="250" t="s">
        <v>220</v>
      </c>
      <c r="AO2" s="250"/>
      <c r="AP2" s="250"/>
      <c r="AQ2" s="251" t="s">
        <v>268</v>
      </c>
      <c r="AR2" s="251"/>
      <c r="AS2" s="251"/>
      <c r="AT2" s="250" t="s">
        <v>210</v>
      </c>
      <c r="AU2" s="250"/>
      <c r="AV2" s="250"/>
      <c r="AW2" s="251" t="s">
        <v>211</v>
      </c>
      <c r="AX2" s="251"/>
      <c r="AY2" s="251"/>
      <c r="AZ2" s="250" t="s">
        <v>212</v>
      </c>
      <c r="BA2" s="250"/>
      <c r="BB2" s="250"/>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49">
        <v>4200</v>
      </c>
      <c r="Z6" s="249"/>
      <c r="AA6" s="249"/>
      <c r="AB6" s="249">
        <v>4100</v>
      </c>
      <c r="AC6" s="249"/>
      <c r="AD6" s="249"/>
      <c r="AE6" s="249">
        <v>4200</v>
      </c>
      <c r="AF6" s="249"/>
      <c r="AG6" s="249"/>
      <c r="AH6" s="249">
        <v>4100</v>
      </c>
      <c r="AI6" s="249"/>
      <c r="AJ6" s="249"/>
      <c r="AK6" s="249">
        <v>4100</v>
      </c>
      <c r="AL6" s="249"/>
      <c r="AM6" s="249"/>
      <c r="AN6" s="249">
        <v>4000</v>
      </c>
      <c r="AO6" s="249"/>
      <c r="AP6" s="249"/>
      <c r="AQ6" s="249"/>
      <c r="AR6" s="249"/>
      <c r="AS6" s="249"/>
      <c r="AT6" s="249"/>
      <c r="AU6" s="249"/>
      <c r="AV6" s="249"/>
      <c r="AW6" s="249"/>
      <c r="AX6" s="249"/>
      <c r="AY6" s="249"/>
      <c r="AZ6" s="249"/>
      <c r="BA6" s="249"/>
      <c r="BB6" s="249"/>
      <c r="BC6" s="249"/>
      <c r="BD6" s="249"/>
      <c r="BE6" s="249"/>
      <c r="BF6" s="249"/>
      <c r="BG6" s="249"/>
      <c r="BH6" s="249"/>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49">
        <f>COUNTIF(Y6,"&gt;0")*5000-Y6</f>
        <v>800</v>
      </c>
      <c r="Z8" s="249"/>
      <c r="AA8" s="249"/>
      <c r="AB8" s="249">
        <f t="shared" ref="AB8" si="12">COUNTIF(AB6,"&gt;0")*5000-AB6</f>
        <v>900</v>
      </c>
      <c r="AC8" s="249"/>
      <c r="AD8" s="249"/>
      <c r="AE8" s="249">
        <f t="shared" ref="AE8" si="13">COUNTIF(AE6,"&gt;0")*5000-AE6</f>
        <v>800</v>
      </c>
      <c r="AF8" s="249"/>
      <c r="AG8" s="249"/>
      <c r="AH8" s="249">
        <f t="shared" ref="AH8" si="14">COUNTIF(AH6,"&gt;0")*5000-AH6</f>
        <v>900</v>
      </c>
      <c r="AI8" s="249"/>
      <c r="AJ8" s="249"/>
      <c r="AK8" s="249">
        <f t="shared" ref="AK8" si="15">COUNTIF(AK6,"&gt;0")*5000-AK6</f>
        <v>900</v>
      </c>
      <c r="AL8" s="249"/>
      <c r="AM8" s="249"/>
      <c r="AN8" s="249">
        <f t="shared" ref="AN8" si="16">COUNTIF(AN6,"&gt;0")*5000-AN6</f>
        <v>1000</v>
      </c>
      <c r="AO8" s="249"/>
      <c r="AP8" s="249"/>
      <c r="AQ8" s="249">
        <f t="shared" ref="AQ8" si="17">COUNTIF(AQ6,"&gt;0")*5000-AQ6</f>
        <v>0</v>
      </c>
      <c r="AR8" s="249"/>
      <c r="AS8" s="249"/>
      <c r="AT8" s="249">
        <f t="shared" ref="AT8" si="18">COUNTIF(AT6,"&gt;0")*5000-AT6</f>
        <v>0</v>
      </c>
      <c r="AU8" s="249"/>
      <c r="AV8" s="249"/>
      <c r="AW8" s="249">
        <f t="shared" ref="AW8" si="19">COUNTIF(AW6,"&gt;0")*5000-AW6</f>
        <v>0</v>
      </c>
      <c r="AX8" s="249"/>
      <c r="AY8" s="249"/>
      <c r="AZ8" s="249">
        <f t="shared" ref="AZ8" si="20">COUNTIF(AZ6,"&gt;0")*5000-AZ6</f>
        <v>0</v>
      </c>
      <c r="BA8" s="249"/>
      <c r="BB8" s="249"/>
      <c r="BC8" s="249">
        <f t="shared" ref="BC8" si="21">COUNTIF(BC6,"&gt;0")*5000-BC6</f>
        <v>0</v>
      </c>
      <c r="BD8" s="249"/>
      <c r="BE8" s="249"/>
      <c r="BF8" s="249">
        <f t="shared" ref="BF8" si="22">COUNTIF(BF6,"&gt;0")*5000-BF6</f>
        <v>0</v>
      </c>
      <c r="BG8" s="249"/>
      <c r="BH8" s="249"/>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5" t="s">
        <v>51</v>
      </c>
      <c r="C1" s="255"/>
      <c r="D1" s="255"/>
      <c r="E1" s="255"/>
      <c r="F1" s="255"/>
      <c r="G1" s="255"/>
      <c r="H1" s="255"/>
      <c r="I1" s="255"/>
      <c r="J1" s="255"/>
      <c r="K1" s="255"/>
      <c r="L1" s="255"/>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20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P8" activePane="bottomRight" state="frozen"/>
      <selection activeCell="A2" sqref="A2"/>
      <selection pane="topRight" activeCell="R2" sqref="R2"/>
      <selection pane="bottomLeft" activeCell="A5" sqref="A5"/>
      <selection pane="bottomRight" activeCell="O27" sqref="O27"/>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14484.878030770231</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344586</v>
      </c>
      <c r="O4" s="24">
        <f ca="1">SUBTOTAL(9,O5:O103)</f>
        <v>397</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77</v>
      </c>
      <c r="AJ4" s="25">
        <f t="shared" ca="1"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2523.8375150118472</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14440</v>
      </c>
      <c r="O8" s="67">
        <f t="shared" ca="1" si="9"/>
        <v>82</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f ca="1">SUMIFS('Tổng Đơn'!$F:$F,'Tổng Đơn'!$B:$B,$C8)</f>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2511.5261124995945</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69840</v>
      </c>
      <c r="O9" s="67">
        <f t="shared" ca="1" si="9"/>
        <v>72</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f ca="1">SUMIFS('Tổng Đơn'!$F:$F,'Tổng Đơn'!$B:$B,$C9)</f>
        <v>0</v>
      </c>
      <c r="AK9" s="60">
        <v>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f>SUMIFS('Tổng Đơn'!$F:$F,'Tổng Đơn'!$B:$B,$C10)</f>
        <v>0</v>
      </c>
      <c r="AK10" s="60">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f>SUMIFS('Tổng Đơn'!$F:$F,'Tổng Đơn'!$B:$B,$C11)</f>
        <v>0</v>
      </c>
      <c r="AK11" s="60">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f>SUMIFS('Tổng Đơn'!$F:$F,'Tổng Đơn'!$B:$B,$C12)</f>
        <v>0</v>
      </c>
      <c r="AK12" s="60">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f ca="1">SUMIFS('Tổng Đơn'!$F:$F,'Tổng Đơn'!$B:$B,$C13)</f>
        <v>0</v>
      </c>
      <c r="AK13" s="60">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f>SUMIFS('Tổng Đơn'!$F:$F,'Tổng Đơn'!$B:$B,$C14)</f>
        <v>0</v>
      </c>
      <c r="AK14" s="60">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f>SUMIFS('Tổng Đơn'!$F:$F,'Tổng Đơn'!$B:$B,$C15)</f>
        <v>0</v>
      </c>
      <c r="AK15" s="60">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f>SUMIFS('Tổng Đơn'!$F:$F,'Tổng Đơn'!$B:$B,$C16)</f>
        <v>0</v>
      </c>
      <c r="AK16" s="60">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f>SUMIFS('Tổng Đơn'!$F:$F,'Tổng Đơn'!$B:$B,$C17)</f>
        <v>0</v>
      </c>
      <c r="AK17" s="60">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3011.6768395598692</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87582</v>
      </c>
      <c r="O18" s="67">
        <f t="shared" ca="1" si="9"/>
        <v>103</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f ca="1">SUMIFS('Tổng Đơn'!$F:$F,'Tổng Đơn'!$B:$B,$C18)</f>
        <v>0</v>
      </c>
      <c r="AK18" s="60">
        <v>0</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f>SUMIFS('Tổng Đơn'!$F:$F,'Tổng Đơn'!$B:$B,$C19)</f>
        <v>0</v>
      </c>
      <c r="AK19" s="60">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f>SUMIFS('Tổng Đơn'!$F:$F,'Tổng Đơn'!$B:$B,$C20)</f>
        <v>0</v>
      </c>
      <c r="AK20" s="60">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572.48021681976047</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19040</v>
      </c>
      <c r="O21" s="67">
        <f t="shared" ca="1" si="9"/>
        <v>18</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f ca="1">SUMIFS('Tổng Đơn'!$F:$F,'Tổng Đơn'!$B:$B,$C21)</f>
        <v>0</v>
      </c>
      <c r="AK21" s="60">
        <v>0</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f>SUMIFS('Tổng Đơn'!$F:$F,'Tổng Đơn'!$B:$B,$C22)</f>
        <v>0</v>
      </c>
      <c r="AK22" s="60">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f>SUMIFS('Tổng Đơn'!$F:$F,'Tổng Đơn'!$B:$B,$C23)</f>
        <v>0</v>
      </c>
      <c r="AK23" s="60">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2975.2556071277872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51680</v>
      </c>
      <c r="O24" s="67">
        <f t="shared" ca="1" si="9"/>
        <v>40</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4</v>
      </c>
      <c r="AJ24" s="60">
        <f ca="1">SUMIFS('Tổng Đơn'!$F:$F,'Tổng Đơn'!$B:$B,$C24)</f>
        <v>0</v>
      </c>
      <c r="AK24" s="60">
        <v>0</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f ca="1">SUMIFS('Tổng Đơn'!$F:$F,'Tổng Đơn'!$B:$B,$C25)</f>
        <v>0</v>
      </c>
      <c r="AK25" s="60">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726.37274822292193</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1050</v>
      </c>
      <c r="O26" s="67">
        <f t="shared" ca="1" si="9"/>
        <v>24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f ca="1">SUMIFS('Tổng Đơn'!$F:$F,'Tổng Đơn'!$B:$B,$C26)</f>
        <v>0</v>
      </c>
      <c r="AK26" s="60">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484.76147391995841</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4674</v>
      </c>
      <c r="O27" s="67">
        <f t="shared" ca="1" si="9"/>
        <v>15</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f ca="1">SUMIFS('Tổng Đơn'!$F:$F,'Tổng Đơn'!$B:$B,$C27)</f>
        <v>0</v>
      </c>
      <c r="AK27" s="60">
        <v>0</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1115.7208526729203</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3102</v>
      </c>
      <c r="O28" s="67">
        <f t="shared" ca="1" si="9"/>
        <v>25</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f ca="1">SUMIFS('Tổng Đơn'!$F:$F,'Tổng Đơn'!$B:$B,$C28)</f>
        <v>0</v>
      </c>
      <c r="AK28" s="60">
        <v>0</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f ca="1">SUMIFS('Tổng Đơn'!$F:$F,'Tổng Đơn'!$B:$B,$C29)</f>
        <v>0</v>
      </c>
      <c r="AK29" s="60">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563.24666493557083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f ca="1">SUMIFS('Tổng Đơn'!$F:$F,'Tổng Đơn'!$B:$B,$C30)</f>
        <v>0</v>
      </c>
      <c r="AK30" s="60">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205" priority="25">
      <formula>($O6/$O6)&lt;=1/4</formula>
    </cfRule>
  </conditionalFormatting>
  <conditionalFormatting sqref="C20">
    <cfRule type="expression" dxfId="204" priority="24">
      <formula>($O20/$O20)&lt;=1/4</formula>
    </cfRule>
  </conditionalFormatting>
  <conditionalFormatting sqref="C21">
    <cfRule type="expression" dxfId="203" priority="22">
      <formula>($O21/$O21)&lt;=1/4</formula>
    </cfRule>
  </conditionalFormatting>
  <conditionalFormatting sqref="C22 E22 G22">
    <cfRule type="expression" dxfId="202" priority="20">
      <formula>($O22/$O22)&lt;=1/4</formula>
    </cfRule>
  </conditionalFormatting>
  <conditionalFormatting sqref="C23">
    <cfRule type="expression" dxfId="201" priority="18">
      <formula>($O23/$O23)&lt;=1/4</formula>
    </cfRule>
  </conditionalFormatting>
  <conditionalFormatting sqref="C25">
    <cfRule type="expression" dxfId="200" priority="14">
      <formula>($O25/$O25)&lt;=1/4</formula>
    </cfRule>
  </conditionalFormatting>
  <conditionalFormatting sqref="C26:C27">
    <cfRule type="expression" dxfId="199" priority="12">
      <formula>($O26/$O26)&lt;=1/4</formula>
    </cfRule>
  </conditionalFormatting>
  <conditionalFormatting sqref="C28">
    <cfRule type="expression" dxfId="198" priority="9">
      <formula>($O28/$O28)&lt;=1/4</formula>
    </cfRule>
  </conditionalFormatting>
  <conditionalFormatting sqref="C29:C31">
    <cfRule type="expression" dxfId="197" priority="7">
      <formula>($O29/$O29)&lt;=1/4</formula>
    </cfRule>
  </conditionalFormatting>
  <conditionalFormatting sqref="C5:C31">
    <cfRule type="expression" dxfId="19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I20" sqref="AI20"/>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5" t="s">
        <v>51</v>
      </c>
      <c r="C1" s="255"/>
      <c r="D1" s="255"/>
      <c r="E1" s="255"/>
      <c r="F1" s="255"/>
      <c r="G1" s="255"/>
      <c r="H1" s="255"/>
      <c r="I1" s="255"/>
      <c r="J1" s="255"/>
      <c r="K1" s="255"/>
      <c r="L1" s="255"/>
      <c r="M1" s="255"/>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6654.2528124156106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247065</v>
      </c>
      <c r="O4" s="48">
        <f ca="1">SUBTOTAL(9,O5:O32)</f>
        <v>170</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ca="1"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1341.9997986149074</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22455</v>
      </c>
      <c r="O5" s="70">
        <f t="shared" ref="O5:O25" ca="1" si="8">F5-SUM(Q5:AV5)-P5</f>
        <v>41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f ca="1">SUMIFS('Tổng Đơn'!$F:$F,'Tổng Đơn'!$B:$B,$C5)</f>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414.26060856633956</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12374</v>
      </c>
      <c r="O6" s="70">
        <f t="shared" ca="1" si="8"/>
        <v>10</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1097.0234634256769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10830</v>
      </c>
      <c r="O7" s="70">
        <f t="shared" ca="1" si="8"/>
        <v>33</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327.3170240524164</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31545</v>
      </c>
      <c r="O8" s="70">
        <f t="shared" ca="1" si="8"/>
        <v>8</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f ca="1">SUMIFS('Tổng Đơn'!$F:$F,'Tổng Đơn'!$B:$B,$C9)</f>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1902.5302023046704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27160</v>
      </c>
      <c r="O19" s="70">
        <f t="shared" ca="1" si="8"/>
        <v>31</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f ca="1">SUMIFS('Tổng Đơn'!$F:$F,'Tổng Đơn'!$B:$B,$C19)</f>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1181.4098836891906</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7140</v>
      </c>
      <c r="O20" s="70">
        <f t="shared" ca="1" si="8"/>
        <v>30</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f ca="1">SUMIFS('Tổng Đơn'!$F:$F,'Tổng Đơn'!$B:$B,$C20)</f>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SUMIFS('Tổng Đơn'!$F:$F,'Tổng Đơn'!$B:$B,$C22)</f>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f ca="1">SUMIFS('Tổng Đơn'!$F:$F,'Tổng Đơn'!$B:$B,$C23)</f>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195" priority="21">
      <formula>($O6/$O6)&lt;=1/4</formula>
    </cfRule>
  </conditionalFormatting>
  <conditionalFormatting sqref="C18">
    <cfRule type="expression" dxfId="194" priority="18">
      <formula>($O18/$O18)&lt;=1/4</formula>
    </cfRule>
  </conditionalFormatting>
  <conditionalFormatting sqref="C5:C18 C25:C27">
    <cfRule type="expression" dxfId="193" priority="29">
      <formula>($O5/$F5)&lt;=1/4</formula>
    </cfRule>
  </conditionalFormatting>
  <conditionalFormatting sqref="C19">
    <cfRule type="expression" dxfId="192" priority="9">
      <formula>($O19/$O19)&lt;=1/4</formula>
    </cfRule>
  </conditionalFormatting>
  <conditionalFormatting sqref="C19">
    <cfRule type="expression" dxfId="191" priority="10">
      <formula>($O19/$F19)&lt;=1/4</formula>
    </cfRule>
  </conditionalFormatting>
  <conditionalFormatting sqref="C20:C21">
    <cfRule type="expression" dxfId="190" priority="7">
      <formula>($O20/$O20)&lt;=1/4</formula>
    </cfRule>
  </conditionalFormatting>
  <conditionalFormatting sqref="C20:C21">
    <cfRule type="expression" dxfId="189" priority="8">
      <formula>($O20/$F20)&lt;=1/4</formula>
    </cfRule>
  </conditionalFormatting>
  <conditionalFormatting sqref="C22:C23">
    <cfRule type="expression" dxfId="188" priority="5">
      <formula>($O22/$O22)&lt;=1/4</formula>
    </cfRule>
  </conditionalFormatting>
  <conditionalFormatting sqref="C22:C23">
    <cfRule type="expression" dxfId="187" priority="6">
      <formula>($O22/$F22)&lt;=1/4</formula>
    </cfRule>
  </conditionalFormatting>
  <conditionalFormatting sqref="C24">
    <cfRule type="expression" dxfId="186" priority="3">
      <formula>($O24/$O24)&lt;=1/4</formula>
    </cfRule>
  </conditionalFormatting>
  <conditionalFormatting sqref="C24">
    <cfRule type="expression" dxfId="18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O13" sqref="O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5" t="s">
        <v>51</v>
      </c>
      <c r="C1" s="255"/>
      <c r="D1" s="255"/>
      <c r="E1" s="255"/>
      <c r="F1" s="255"/>
      <c r="G1" s="255"/>
      <c r="H1" s="255"/>
      <c r="I1" s="255"/>
      <c r="J1" s="255"/>
      <c r="K1" s="255"/>
      <c r="L1" s="255"/>
      <c r="M1" s="255"/>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21054.175141638148</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571922</v>
      </c>
      <c r="O4" s="48">
        <f ca="1">SUBTOTAL(9,O5:O23)</f>
        <v>860</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ca="1"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9353.8003174288442</v>
      </c>
      <c r="B5" s="237">
        <v>1</v>
      </c>
      <c r="C5" s="60" t="s">
        <v>174</v>
      </c>
      <c r="D5" s="241">
        <f>41*20.5/21</f>
        <v>40.023809523809526</v>
      </c>
      <c r="E5" s="6">
        <v>0.5</v>
      </c>
      <c r="F5" s="6">
        <f>217+420-7+420+252+210+210+420+84+630</f>
        <v>2856</v>
      </c>
      <c r="G5" s="228">
        <v>20.011904761904763</v>
      </c>
      <c r="H5" s="63">
        <f t="shared" ref="H5:H12" si="2">G5*F5</f>
        <v>57154</v>
      </c>
      <c r="I5" s="64">
        <f t="shared" ref="I5:I12" si="3">((H5/$H$4)*$A$2)/F5</f>
        <v>0.45592963071852988</v>
      </c>
      <c r="J5" s="134">
        <f t="shared" ref="J5:J12" si="4">G5+I5</f>
        <v>20.467834392623292</v>
      </c>
      <c r="K5" s="65">
        <f>J5*F5</f>
        <v>58456.135025332122</v>
      </c>
      <c r="L5" s="69">
        <v>25</v>
      </c>
      <c r="M5" s="63">
        <f t="shared" ref="M5:M12" si="5">L5*F5</f>
        <v>71400</v>
      </c>
      <c r="N5" s="63">
        <f t="shared" ref="N5:N13" ca="1" si="6">SUMPRODUCT(($Q5:$AV5)*$L5)</f>
        <v>59975</v>
      </c>
      <c r="O5" s="70">
        <f t="shared" ref="O5:O13" ca="1" si="7">F5-SUM(Q5:AV5)-P5</f>
        <v>457</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f ca="1">SUMIFS('Tổng Đơn'!$F:$F,'Tổng Đơn'!$B:$B,$C5)</f>
        <v>0</v>
      </c>
      <c r="AK5" s="22">
        <v>0</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263.26432367849122</v>
      </c>
      <c r="B6" s="237">
        <v>2</v>
      </c>
      <c r="C6" s="60" t="s">
        <v>175</v>
      </c>
      <c r="D6" s="241">
        <f>48*19.5/20</f>
        <v>46.8</v>
      </c>
      <c r="E6" s="6">
        <v>0.5</v>
      </c>
      <c r="F6" s="6">
        <f>47+40</f>
        <v>87</v>
      </c>
      <c r="G6" s="228">
        <v>23.4</v>
      </c>
      <c r="H6" s="63">
        <f t="shared" si="2"/>
        <v>2035.8</v>
      </c>
      <c r="I6" s="64">
        <f t="shared" si="3"/>
        <v>0.53312033440829409</v>
      </c>
      <c r="J6" s="134">
        <f t="shared" si="4"/>
        <v>23.933120334408294</v>
      </c>
      <c r="K6" s="65">
        <f>J6*F6</f>
        <v>2082.1814690935216</v>
      </c>
      <c r="L6" s="69">
        <v>28</v>
      </c>
      <c r="M6" s="63">
        <f t="shared" si="5"/>
        <v>2436</v>
      </c>
      <c r="N6" s="63">
        <f t="shared" ca="1" si="6"/>
        <v>2128</v>
      </c>
      <c r="O6" s="70">
        <f t="shared" ca="1" si="7"/>
        <v>11</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336.97044426879813</v>
      </c>
      <c r="B7" s="237">
        <v>3</v>
      </c>
      <c r="C7" s="60" t="s">
        <v>176</v>
      </c>
      <c r="D7" s="241">
        <f>45*20.5/21</f>
        <v>43.928571428571431</v>
      </c>
      <c r="E7" s="6">
        <v>0.5</v>
      </c>
      <c r="F7" s="6">
        <f>54+42+42</f>
        <v>138</v>
      </c>
      <c r="G7" s="228">
        <v>21.964285714285715</v>
      </c>
      <c r="H7" s="63">
        <f t="shared" si="2"/>
        <v>3031.0714285714289</v>
      </c>
      <c r="I7" s="64">
        <f t="shared" si="3"/>
        <v>0.50041057030082559</v>
      </c>
      <c r="J7" s="134">
        <f t="shared" si="4"/>
        <v>22.464696284586541</v>
      </c>
      <c r="K7" s="65">
        <f t="shared" ref="K7:K12" si="9">J7*F7</f>
        <v>3100.1280872729426</v>
      </c>
      <c r="L7" s="69">
        <v>28</v>
      </c>
      <c r="M7" s="63">
        <f t="shared" si="5"/>
        <v>3864</v>
      </c>
      <c r="N7" s="63">
        <f t="shared" ca="1" si="6"/>
        <v>3444</v>
      </c>
      <c r="O7" s="70">
        <f t="shared" ca="1" si="7"/>
        <v>15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622.52169481954263</v>
      </c>
      <c r="B8" s="6">
        <v>4</v>
      </c>
      <c r="C8" s="60" t="s">
        <v>177</v>
      </c>
      <c r="D8" s="241">
        <f>43*20.5/21</f>
        <v>41.976190476190474</v>
      </c>
      <c r="E8" s="6">
        <v>0.5</v>
      </c>
      <c r="F8" s="6">
        <f>8+42+42</f>
        <v>92</v>
      </c>
      <c r="G8" s="228">
        <f>D8/(1/E8)</f>
        <v>20.988095238095237</v>
      </c>
      <c r="H8" s="63">
        <f t="shared" si="2"/>
        <v>1930.9047619047619</v>
      </c>
      <c r="I8" s="64">
        <f t="shared" si="3"/>
        <v>0.47817010050967779</v>
      </c>
      <c r="J8" s="134">
        <f>G8+I8</f>
        <v>21.466265338604916</v>
      </c>
      <c r="K8" s="65">
        <f t="shared" si="9"/>
        <v>1974.8964111516523</v>
      </c>
      <c r="L8" s="69">
        <v>28</v>
      </c>
      <c r="M8" s="63">
        <f t="shared" si="5"/>
        <v>2576</v>
      </c>
      <c r="N8" s="63">
        <f t="shared" ca="1" si="6"/>
        <v>1764</v>
      </c>
      <c r="O8" s="70">
        <f t="shared" ca="1" si="7"/>
        <v>29</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2577.7965026852271</v>
      </c>
      <c r="B9" s="237">
        <v>5</v>
      </c>
      <c r="C9" s="60" t="s">
        <v>178</v>
      </c>
      <c r="D9" s="241">
        <f>47*19.5/20</f>
        <v>45.825000000000003</v>
      </c>
      <c r="E9" s="6">
        <v>0.5</v>
      </c>
      <c r="F9" s="6">
        <f>171+40+120+80+120+40</f>
        <v>571</v>
      </c>
      <c r="G9" s="228">
        <v>22.912500000000001</v>
      </c>
      <c r="H9" s="63">
        <f t="shared" si="2"/>
        <v>13083.0375</v>
      </c>
      <c r="I9" s="64">
        <f t="shared" si="3"/>
        <v>0.52201366077478795</v>
      </c>
      <c r="J9" s="134">
        <f t="shared" si="4"/>
        <v>23.43451366077479</v>
      </c>
      <c r="K9" s="65">
        <f t="shared" si="9"/>
        <v>13381.107300302405</v>
      </c>
      <c r="L9" s="69">
        <v>26</v>
      </c>
      <c r="M9" s="63">
        <f t="shared" si="5"/>
        <v>14846</v>
      </c>
      <c r="N9" s="63">
        <f t="shared" ca="1" si="6"/>
        <v>11986</v>
      </c>
      <c r="O9" s="70">
        <f t="shared" ca="1" si="7"/>
        <v>110</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f ca="1">SUMIFS('Tổng Đơn'!$F:$F,'Tổng Đơn'!$B:$B,$C9)</f>
        <v>0</v>
      </c>
      <c r="AK9" s="22">
        <v>0</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4426.8090355293152</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0.7358883248456366</v>
      </c>
      <c r="J10" s="134">
        <f t="shared" ref="J10" si="13">G10+I10</f>
        <v>33.035888324845637</v>
      </c>
      <c r="K10" s="65">
        <f t="shared" ref="K10" si="14">J10*F10</f>
        <v>30393.017258857984</v>
      </c>
      <c r="L10" s="69">
        <v>37</v>
      </c>
      <c r="M10" s="63">
        <f t="shared" ref="M10" si="15">L10*F10</f>
        <v>34040</v>
      </c>
      <c r="N10" s="63">
        <f t="shared" ca="1" si="6"/>
        <v>29082</v>
      </c>
      <c r="O10" s="70">
        <f t="shared" ca="1" si="7"/>
        <v>134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f ca="1">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523.71599432622941</v>
      </c>
      <c r="B11" s="6">
        <v>7</v>
      </c>
      <c r="C11" s="60" t="s">
        <v>180</v>
      </c>
      <c r="D11" s="241">
        <f>77*19/20</f>
        <v>73.150000000000006</v>
      </c>
      <c r="E11" s="6">
        <v>0.5</v>
      </c>
      <c r="F11" s="6">
        <f>40+6+40</f>
        <v>86</v>
      </c>
      <c r="G11" s="228">
        <f t="shared" ref="G11" si="17">D11/2</f>
        <v>36.575000000000003</v>
      </c>
      <c r="H11" s="63">
        <f t="shared" si="2"/>
        <v>3145.4500000000003</v>
      </c>
      <c r="I11" s="64">
        <f t="shared" si="3"/>
        <v>0.83328530901638276</v>
      </c>
      <c r="J11" s="134">
        <f t="shared" si="4"/>
        <v>37.408285309016385</v>
      </c>
      <c r="K11" s="65">
        <f t="shared" si="9"/>
        <v>3217.1125365754092</v>
      </c>
      <c r="L11" s="69">
        <v>42</v>
      </c>
      <c r="M11" s="63">
        <f t="shared" si="5"/>
        <v>3612</v>
      </c>
      <c r="N11" s="63">
        <f t="shared" ca="1" si="6"/>
        <v>3024</v>
      </c>
      <c r="O11" s="70">
        <f t="shared" ca="1" si="7"/>
        <v>14</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2153.9808300967466</v>
      </c>
      <c r="B12" s="6">
        <v>8</v>
      </c>
      <c r="C12" s="60" t="s">
        <v>181</v>
      </c>
      <c r="D12" s="241">
        <v>78</v>
      </c>
      <c r="E12" s="6">
        <v>0.5</v>
      </c>
      <c r="F12" s="6">
        <f>43+40</f>
        <v>83</v>
      </c>
      <c r="G12" s="228">
        <v>39</v>
      </c>
      <c r="H12" s="63">
        <f t="shared" si="2"/>
        <v>3237</v>
      </c>
      <c r="I12" s="64">
        <f t="shared" si="3"/>
        <v>0.88853389068049027</v>
      </c>
      <c r="J12" s="134">
        <f t="shared" si="4"/>
        <v>39.888533890680492</v>
      </c>
      <c r="K12" s="65">
        <f t="shared" si="9"/>
        <v>3310.748312926481</v>
      </c>
      <c r="L12" s="69">
        <v>45</v>
      </c>
      <c r="M12" s="63">
        <f t="shared" si="5"/>
        <v>3735</v>
      </c>
      <c r="N12" s="63">
        <f t="shared" ca="1" si="6"/>
        <v>1305</v>
      </c>
      <c r="O12" s="70">
        <f t="shared" ca="1" si="7"/>
        <v>54</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f ca="1">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795.31599880495276</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0.49211107791534847</v>
      </c>
      <c r="J13" s="134">
        <f t="shared" ref="J13" si="20">G13+I13</f>
        <v>22.092111077915355</v>
      </c>
      <c r="K13" s="65">
        <f t="shared" ref="K13" si="21">J13*F13</f>
        <v>2651.0533293498424</v>
      </c>
      <c r="L13" s="69">
        <v>26</v>
      </c>
      <c r="M13" s="63">
        <f t="shared" ref="M13" si="22">L13*F13</f>
        <v>3120</v>
      </c>
      <c r="N13" s="63">
        <f t="shared" ca="1" si="6"/>
        <v>2184</v>
      </c>
      <c r="O13" s="70">
        <f t="shared" ca="1" si="7"/>
        <v>36</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184" priority="10">
      <formula>($O6/$O6)&lt;=1/4</formula>
    </cfRule>
  </conditionalFormatting>
  <conditionalFormatting sqref="C5:C10 C12:C13">
    <cfRule type="expression" dxfId="183" priority="11">
      <formula>($O5/$F5)&lt;=1/4</formula>
    </cfRule>
  </conditionalFormatting>
  <conditionalFormatting sqref="C11">
    <cfRule type="expression" dxfId="182" priority="1">
      <formula>($O11/$O11)&lt;=1/4</formula>
    </cfRule>
  </conditionalFormatting>
  <conditionalFormatting sqref="C11">
    <cfRule type="expression" dxfId="18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J2" sqref="J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6">
        <f ca="1">'Quốc Nhân'!N4+'La Cusina'!N4+TVP!M4+Gà!N4+Kitkool!N4-('Quốc Nhân'!K4+'La Cusina'!K4+TVP!J4+Gà!K4+Kitkool!K4-('Quốc Nhân'!A4+'La Cusina'!A4+TVP!A4+Gà!A4+Kitkool!A4))</f>
        <v>175956.22469752561</v>
      </c>
      <c r="B1" s="262" t="str">
        <f>"Tiền Hàng: "&amp;INT('Quốc Nhân'!K4+'La Cusina'!K4+TVP!J4+Gà!K4+Kitkool!K4)</f>
        <v>Tiền Hàng: 1227159</v>
      </c>
      <c r="C1" s="261" t="str">
        <f ca="1">"Giá trị hàng Tồn: "&amp;INT('Quốc Nhân'!A4+'La Cusina'!A4+TVP!A4+Gà!A4+Kitkool!A4)</f>
        <v>Giá trị hàng Tồn: 64588</v>
      </c>
      <c r="D1" s="260" t="str">
        <f ca="1">"Giá trị Hàng xuất: "&amp;CHAR(10)&amp;INT('Quốc Nhân'!K4+'La Cusina'!K4+TVP!J4+Gà!K4+Kitkool!K4-('Quốc Nhân'!A4+'La Cusina'!A4+TVP!A4+Gà!A4+Kitkool!A4))</f>
        <v>Giá trị Hàng xuất: 
1162571</v>
      </c>
      <c r="E1" s="263" t="str">
        <f ca="1">"Doanh Thu Tích Lũy: "&amp;INT('Quốc Nhân'!N4+'La Cusina'!N4+TVP!M4+Gà!N4+Kitkool!N4)</f>
        <v>Doanh Thu Tích Lũy: 1338528</v>
      </c>
      <c r="F1" s="258">
        <f ca="1">K4/1000+24</f>
        <v>24</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7"/>
      <c r="B2" s="262"/>
      <c r="C2" s="261"/>
      <c r="D2" s="260"/>
      <c r="E2" s="263"/>
      <c r="F2" s="259"/>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0</v>
      </c>
      <c r="G4" s="40"/>
      <c r="H4" s="51">
        <f ca="1">SUBTOTAL(9,H5:H71)</f>
        <v>0</v>
      </c>
      <c r="I4" s="51">
        <f ca="1">K4-J4</f>
        <v>0</v>
      </c>
      <c r="J4" s="25">
        <f ca="1">SUBTOTAL(9,J5:J71)</f>
        <v>0</v>
      </c>
      <c r="K4" s="25">
        <f ca="1">SUM(L4:BC4)</f>
        <v>0</v>
      </c>
      <c r="L4" s="55" t="str">
        <f ca="1">IFERROR(INDIRECT("'Thanh Toán ("&amp;L$3&amp;")'!$H"&amp;SUBTOTAL(3,INDIRECT("'Thanh Toán ("&amp;L$3&amp;")'!$H$8:$H$50"))+7-COUNTIF(INDIRECT("'Thanh Toán ("&amp;L$3&amp;")'!$H$8:$H$50"),""&amp;"*")),"")</f>
        <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0</v>
      </c>
      <c r="G6" s="165">
        <f>IFERROR(VLOOKUP($B6,Gà!C:J,8,0),IFERROR(VLOOKUP($B6,TVP!C:J,7,0),IFERROR(VLOOKUP($B6,Kitkool!C:J,8,0),IFERROR(VLOOKUP($B6,'La Cusina'!C:J,8,0),VLOOKUP($B6,'Quốc Nhân'!C:J,8,0)))))</f>
        <v>113.98084503664623</v>
      </c>
      <c r="H6" s="166">
        <f ca="1">(D6-G6*1000)*$F6</f>
        <v>0</v>
      </c>
      <c r="I6" s="186">
        <f t="shared" ref="I6:I9" si="3">D6/(G6*1000)-1</f>
        <v>7.0355286107727233E-2</v>
      </c>
      <c r="J6" s="166">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34.601327957553323</v>
      </c>
      <c r="H10" s="166">
        <f t="shared" ref="H10" ca="1" si="7">(D10-G10*1000)*$F10</f>
        <v>0</v>
      </c>
      <c r="I10" s="186">
        <f t="shared" ref="I10" si="8">D10/(G10*1000)-1</f>
        <v>0.24272687027358097</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t="e">
        <f ca="1">I4/J4</f>
        <v>#DIV/0!</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0</v>
      </c>
      <c r="G17" s="165">
        <f>IFERROR(VLOOKUP($B17,Gà!C:J,8,0),IFERROR(VLOOKUP($B17,TVP!C:J,7,0),IFERROR(VLOOKUP($B17,Kitkool!C:J,8,0),IFERROR(VLOOKUP($B17,'La Cusina'!C:J,8,0),VLOOKUP($B17,'Quốc Nhân'!C:J,8,0)))))</f>
        <v>32.731702405241641</v>
      </c>
      <c r="H17" s="166">
        <f t="shared" ca="1" si="10"/>
        <v>0</v>
      </c>
      <c r="I17" s="186">
        <f t="shared" si="11"/>
        <v>0.37481391718854562</v>
      </c>
      <c r="J17" s="166">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0</v>
      </c>
      <c r="G23" s="165">
        <f>IFERROR(VLOOKUP($B23,Gà!C:J,8,0),IFERROR(VLOOKUP($B23,TVP!C:J,7,0),IFERROR(VLOOKUP($B23,Kitkool!C:J,8,0),IFERROR(VLOOKUP($B23,'La Cusina'!C:J,8,0),VLOOKUP($B23,'Quốc Nhân'!C:J,8,0)))))</f>
        <v>34.882307118049923</v>
      </c>
      <c r="H23" s="166">
        <f t="shared" ca="1" si="10"/>
        <v>0</v>
      </c>
      <c r="I23" s="186">
        <f t="shared" si="11"/>
        <v>0.14671314212762931</v>
      </c>
      <c r="J23" s="166">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30.778506280632282</v>
      </c>
      <c r="H24" s="166">
        <f t="shared" ca="1" si="10"/>
        <v>0</v>
      </c>
      <c r="I24" s="186">
        <f t="shared" si="11"/>
        <v>0.29960822774464679</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0</v>
      </c>
      <c r="G26" s="165">
        <f>IFERROR(VLOOKUP($B26,Gà!C:J,8,0),IFERROR(VLOOKUP($B26,TVP!C:J,7,0),IFERROR(VLOOKUP($B26,Kitkool!C:J,8,0),IFERROR(VLOOKUP($B26,'La Cusina'!C:J,8,0),VLOOKUP($B26,'Quốc Nhân'!C:J,8,0)))))</f>
        <v>29.23958096660067</v>
      </c>
      <c r="H26" s="166">
        <f t="shared" ca="1" si="10"/>
        <v>0</v>
      </c>
      <c r="I26" s="186">
        <f t="shared" si="11"/>
        <v>0.1970075781858589</v>
      </c>
      <c r="J26" s="166">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0</v>
      </c>
      <c r="G29" s="165">
        <f>IFERROR(VLOOKUP($B29,Gà!C:J,8,0),IFERROR(VLOOKUP($B29,TVP!C:J,7,0),IFERROR(VLOOKUP($B29,Kitkool!C:J,8,0),IFERROR(VLOOKUP($B29,'La Cusina'!C:J,8,0),VLOOKUP($B29,'Quốc Nhân'!C:J,8,0)))))</f>
        <v>31.804456489986691</v>
      </c>
      <c r="H29" s="166">
        <f t="shared" ca="1" si="10"/>
        <v>0</v>
      </c>
      <c r="I29" s="186">
        <f t="shared" si="11"/>
        <v>0.25768538168836774</v>
      </c>
      <c r="J29" s="166">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0</v>
      </c>
      <c r="G30" s="165">
        <f>IFERROR(VLOOKUP($B30,Gà!C:J,8,0),IFERROR(VLOOKUP($B30,TVP!C:J,7,0),IFERROR(VLOOKUP($B30,Kitkool!C:J,8,0),IFERROR(VLOOKUP($B30,'La Cusina'!C:J,8,0),VLOOKUP($B30,'Quốc Nhân'!C:J,8,0)))))</f>
        <v>98.733333333333334</v>
      </c>
      <c r="H30" s="166">
        <f t="shared" ca="1" si="10"/>
        <v>0</v>
      </c>
      <c r="I30" s="186">
        <f t="shared" si="11"/>
        <v>6.347062795408509E-2</v>
      </c>
      <c r="J30" s="166">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0</v>
      </c>
      <c r="G31" s="165">
        <f>IFERROR(VLOOKUP($B31,Gà!C:J,8,0),IFERROR(VLOOKUP($B31,TVP!C:J,7,0),IFERROR(VLOOKUP($B31,Kitkool!C:J,8,0),IFERROR(VLOOKUP($B31,'La Cusina'!C:J,8,0),VLOOKUP($B31,'Quốc Nhân'!C:J,8,0)))))</f>
        <v>39.380329456306349</v>
      </c>
      <c r="H31" s="166">
        <f t="shared" ca="1" si="10"/>
        <v>0</v>
      </c>
      <c r="I31" s="186">
        <f t="shared" si="11"/>
        <v>6.6522311515962773E-2</v>
      </c>
      <c r="J31" s="166">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59.025794751120372</v>
      </c>
      <c r="H34" s="166">
        <f t="shared" ca="1" si="10"/>
        <v>0</v>
      </c>
      <c r="I34" s="186">
        <f t="shared" si="11"/>
        <v>0.10121346563938016</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0</v>
      </c>
      <c r="G35" s="165">
        <f>IFERROR(VLOOKUP($B35,Gà!C:J,8,0),IFERROR(VLOOKUP($B35,TVP!C:J,7,0),IFERROR(VLOOKUP($B35,Kitkool!C:J,8,0),IFERROR(VLOOKUP($B35,'La Cusina'!C:J,8,0),VLOOKUP($B35,'Quốc Nhân'!C:J,8,0)))))</f>
        <v>74.381390178194678</v>
      </c>
      <c r="H35" s="166">
        <f t="shared" ca="1" si="10"/>
        <v>0</v>
      </c>
      <c r="I35" s="186">
        <f t="shared" si="11"/>
        <v>7.553784365074212E-2</v>
      </c>
      <c r="J35" s="166">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0</v>
      </c>
      <c r="G39" s="165">
        <f>IFERROR(VLOOKUP($B39,Gà!C:J,8,0),IFERROR(VLOOKUP($B39,TVP!C:J,7,0),IFERROR(VLOOKUP($B39,Kitkool!C:J,8,0),IFERROR(VLOOKUP($B39,'La Cusina'!C:J,8,0),VLOOKUP($B39,'Quốc Nhân'!C:J,8,0)))))</f>
        <v>61.371942009828075</v>
      </c>
      <c r="H39" s="166">
        <f t="shared" ca="1" si="10"/>
        <v>0</v>
      </c>
      <c r="I39" s="186">
        <f t="shared" si="11"/>
        <v>0.14058636092679344</v>
      </c>
      <c r="J39" s="166">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44.628834106916813</v>
      </c>
      <c r="H41" s="166">
        <f t="shared" ca="1" si="10"/>
        <v>0</v>
      </c>
      <c r="I41" s="186">
        <f t="shared" si="11"/>
        <v>5.313080524135172E-2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0</v>
      </c>
      <c r="G44" s="165">
        <f>IFERROR(VLOOKUP($B44,Gà!C:J,8,0),IFERROR(VLOOKUP($B44,TVP!C:J,7,0),IFERROR(VLOOKUP($B44,Kitkool!C:J,8,0),IFERROR(VLOOKUP($B44,'La Cusina'!C:J,8,0),VLOOKUP($B44,'Quốc Nhân'!C:J,8,0)))))</f>
        <v>20.467834392623292</v>
      </c>
      <c r="H44" s="166">
        <f t="shared" ca="1" si="10"/>
        <v>0</v>
      </c>
      <c r="I44" s="186">
        <f t="shared" si="11"/>
        <v>0.22142868270470872</v>
      </c>
      <c r="J44" s="166">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23.933120334408294</v>
      </c>
      <c r="H45" s="166">
        <f t="shared" ca="1" si="10"/>
        <v>0</v>
      </c>
      <c r="I45" s="186">
        <f t="shared" si="11"/>
        <v>0.16992684651089207</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22.464696284586541</v>
      </c>
      <c r="H46" s="166">
        <f t="shared" ca="1" si="10"/>
        <v>0</v>
      </c>
      <c r="I46" s="186">
        <f t="shared" si="11"/>
        <v>0.24640011355111602</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21.466265338604916</v>
      </c>
      <c r="H47" s="166">
        <f t="shared" ca="1" si="10"/>
        <v>0</v>
      </c>
      <c r="I47" s="186">
        <f t="shared" si="11"/>
        <v>0.3043722118558192</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0</v>
      </c>
      <c r="G48" s="165">
        <f>IFERROR(VLOOKUP($B48,Gà!C:J,8,0),IFERROR(VLOOKUP($B48,TVP!C:J,7,0),IFERROR(VLOOKUP($B48,Kitkool!C:J,8,0),IFERROR(VLOOKUP($B48,'La Cusina'!C:J,8,0),VLOOKUP($B48,'Quốc Nhân'!C:J,8,0)))))</f>
        <v>23.43451366077479</v>
      </c>
      <c r="H48" s="166">
        <f t="shared" ca="1" si="10"/>
        <v>0</v>
      </c>
      <c r="I48" s="186">
        <f t="shared" si="11"/>
        <v>0.10947469942674237</v>
      </c>
      <c r="J48" s="166">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0</v>
      </c>
      <c r="G49" s="165">
        <f>IFERROR(VLOOKUP($B49,Gà!C:J,8,0),IFERROR(VLOOKUP($B49,TVP!C:J,7,0),IFERROR(VLOOKUP($B49,Kitkool!C:J,8,0),IFERROR(VLOOKUP($B49,'La Cusina'!C:J,8,0),VLOOKUP($B49,'Quốc Nhân'!C:J,8,0)))))</f>
        <v>33.035888324845637</v>
      </c>
      <c r="H49" s="166">
        <f t="shared" ca="1" si="10"/>
        <v>0</v>
      </c>
      <c r="I49" s="186">
        <f t="shared" si="11"/>
        <v>0.11999409963415575</v>
      </c>
      <c r="J49" s="166">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0</v>
      </c>
      <c r="G50" s="165">
        <f>IFERROR(VLOOKUP($B50,Gà!C:J,8,0),IFERROR(VLOOKUP($B50,TVP!C:J,7,0),IFERROR(VLOOKUP($B50,Kitkool!C:J,8,0),IFERROR(VLOOKUP($B50,'La Cusina'!C:J,8,0),VLOOKUP($B50,'Quốc Nhân'!C:J,8,0)))))</f>
        <v>37.408285309016385</v>
      </c>
      <c r="H50" s="166">
        <f t="shared" ca="1" si="10"/>
        <v>0</v>
      </c>
      <c r="I50" s="186">
        <f t="shared" si="11"/>
        <v>0.1227459278887848</v>
      </c>
      <c r="J50" s="166">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0</v>
      </c>
      <c r="G51" s="165">
        <f>IFERROR(VLOOKUP($B51,Gà!C:J,8,0),IFERROR(VLOOKUP($B51,TVP!C:J,7,0),IFERROR(VLOOKUP($B51,Kitkool!C:J,8,0),IFERROR(VLOOKUP($B51,'La Cusina'!C:J,8,0),VLOOKUP($B51,'Quốc Nhân'!C:J,8,0)))))</f>
        <v>39.888533890680492</v>
      </c>
      <c r="H51" s="166">
        <f t="shared" ca="1" si="10"/>
        <v>0</v>
      </c>
      <c r="I51" s="186">
        <f t="shared" si="11"/>
        <v>0.12814374484978863</v>
      </c>
      <c r="J51" s="166">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0</v>
      </c>
      <c r="G52" s="165">
        <f>IFERROR(VLOOKUP($B52,Gà!C:J,8,0),IFERROR(VLOOKUP($B52,TVP!C:J,7,0),IFERROR(VLOOKUP($B52,Kitkool!C:J,8,0),IFERROR(VLOOKUP($B52,'La Cusina'!C:J,8,0),VLOOKUP($B52,'Quốc Nhân'!C:J,8,0)))))</f>
        <v>22.092111077915355</v>
      </c>
      <c r="H52" s="166">
        <f t="shared" ca="1" si="10"/>
        <v>0</v>
      </c>
      <c r="I52" s="186">
        <f t="shared" si="11"/>
        <v>0.17689069678774216</v>
      </c>
      <c r="J52" s="166">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3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I7" sqref="I7"/>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-1136641</v>
      </c>
      <c r="J1" s="87" t="s">
        <v>119</v>
      </c>
      <c r="K1" s="264" t="s">
        <v>257</v>
      </c>
      <c r="L1" s="265"/>
      <c r="M1" s="212" t="s">
        <v>256</v>
      </c>
      <c r="N1" s="213">
        <v>50000</v>
      </c>
    </row>
    <row r="2" spans="1:18" ht="28.5" customHeight="1" x14ac:dyDescent="0.25">
      <c r="E2" s="93"/>
      <c r="G2" s="90" t="s">
        <v>118</v>
      </c>
      <c r="H2" s="81">
        <f>D1</f>
        <v>50000</v>
      </c>
      <c r="I2" s="82">
        <f>-7313-25700-3000+11681-2348-200+10853+913-320-320-1180-990-3862-5000+80+2062+44+50+4435+5850+25+3440+9300</f>
        <v>-1500</v>
      </c>
      <c r="J2" s="82" t="s">
        <v>122</v>
      </c>
      <c r="K2" s="264">
        <v>235000</v>
      </c>
      <c r="L2" s="265"/>
      <c r="M2" s="212" t="s">
        <v>255</v>
      </c>
      <c r="N2" s="213">
        <v>80000</v>
      </c>
    </row>
    <row r="3" spans="1:18" ht="28.5" customHeight="1" x14ac:dyDescent="0.25">
      <c r="G3" s="83" t="s">
        <v>120</v>
      </c>
      <c r="H3" s="95">
        <f>INT('Quốc Nhân'!K4+'La Cusina'!K4+TVP!J4+Gà!K4+Kitkool!K4)</f>
        <v>1227159</v>
      </c>
      <c r="I3" s="84">
        <f>I1+I2</f>
        <v>-1138141</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1162571</v>
      </c>
      <c r="J4" s="89" t="s">
        <v>126</v>
      </c>
      <c r="M4" s="212" t="s">
        <v>259</v>
      </c>
      <c r="N4" s="213">
        <v>10000</v>
      </c>
    </row>
    <row r="5" spans="1:18" ht="28.5" customHeight="1" x14ac:dyDescent="0.25">
      <c r="A5" s="110" t="s">
        <v>171</v>
      </c>
      <c r="B5">
        <v>200</v>
      </c>
      <c r="G5" s="85" t="s">
        <v>261</v>
      </c>
      <c r="H5" s="124">
        <f>7400+5000+2400+10000+5000-2000-1000-1000-150-6349+(30000-10000)</f>
        <v>39301</v>
      </c>
      <c r="I5" s="91">
        <f ca="1">I4+I3</f>
        <v>24430</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11500+2200+6200+1650</f>
        <v>21550</v>
      </c>
      <c r="J7" s="238"/>
      <c r="K7" s="93"/>
      <c r="L7" s="93"/>
      <c r="M7" s="14"/>
      <c r="N7" s="14"/>
      <c r="O7" s="14"/>
      <c r="P7" s="14"/>
      <c r="Q7" s="14"/>
      <c r="R7" s="14"/>
    </row>
    <row r="8" spans="1:18" x14ac:dyDescent="0.25">
      <c r="A8" t="s">
        <v>189</v>
      </c>
      <c r="B8">
        <v>250</v>
      </c>
      <c r="C8" t="s">
        <v>108</v>
      </c>
      <c r="D8">
        <v>80</v>
      </c>
      <c r="E8" t="s">
        <v>106</v>
      </c>
      <c r="H8" s="93"/>
      <c r="I8" s="93">
        <v>460</v>
      </c>
      <c r="J8" s="238"/>
      <c r="M8" s="14"/>
      <c r="N8" s="14"/>
      <c r="O8" s="14"/>
      <c r="P8" s="14"/>
      <c r="Q8" s="14"/>
      <c r="R8" s="14"/>
    </row>
    <row r="9" spans="1:18" x14ac:dyDescent="0.25">
      <c r="A9" t="s">
        <v>191</v>
      </c>
      <c r="B9">
        <v>400</v>
      </c>
      <c r="C9" t="s">
        <v>109</v>
      </c>
      <c r="D9">
        <v>145</v>
      </c>
      <c r="E9" t="s">
        <v>110</v>
      </c>
      <c r="H9" s="93"/>
      <c r="I9" s="93">
        <v>320</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40</v>
      </c>
      <c r="J11" s="23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7" t="s">
        <v>164</v>
      </c>
      <c r="D1" s="267"/>
      <c r="E1" s="267"/>
      <c r="F1" s="267"/>
      <c r="G1" s="267"/>
      <c r="H1" s="267"/>
    </row>
    <row r="2" spans="1:14" ht="15.75" customHeight="1" x14ac:dyDescent="0.25">
      <c r="C2" s="267"/>
      <c r="D2" s="267"/>
      <c r="E2" s="267"/>
      <c r="F2" s="267"/>
      <c r="G2" s="267"/>
      <c r="H2" s="267"/>
    </row>
    <row r="3" spans="1:14" ht="15" customHeight="1" x14ac:dyDescent="0.25">
      <c r="C3" s="268" t="s">
        <v>166</v>
      </c>
      <c r="D3" s="268"/>
      <c r="E3" s="268"/>
      <c r="F3" s="269" t="s">
        <v>168</v>
      </c>
      <c r="G3" s="269"/>
      <c r="H3" s="269"/>
    </row>
    <row r="4" spans="1:14" x14ac:dyDescent="0.25">
      <c r="C4" s="268" t="s">
        <v>167</v>
      </c>
      <c r="D4" s="268"/>
      <c r="E4" s="268"/>
      <c r="F4" s="270" t="s">
        <v>169</v>
      </c>
      <c r="G4" s="270"/>
      <c r="H4" s="270"/>
    </row>
    <row r="5" spans="1:14" s="140" customFormat="1" ht="21" customHeight="1" x14ac:dyDescent="0.25">
      <c r="C5" s="271" t="s">
        <v>165</v>
      </c>
      <c r="D5" s="271"/>
      <c r="E5" s="271"/>
      <c r="F5" s="271"/>
      <c r="G5" s="271"/>
      <c r="H5" s="271"/>
    </row>
    <row r="6" spans="1:14" s="140" customFormat="1" ht="16.5" customHeight="1" x14ac:dyDescent="0.25">
      <c r="C6" s="149" t="s">
        <v>170</v>
      </c>
      <c r="D6" s="152"/>
      <c r="E6" s="145"/>
      <c r="F6" s="145"/>
      <c r="G6" s="266" t="str">
        <f ca="1">"Ngày "&amp;DAY(TODAY())&amp;" Tháng "&amp;MONTH(TODAY())&amp;" Năm "&amp;YEAR(TODAY())</f>
        <v>Ngày 18 Tháng 1 Năm 2023</v>
      </c>
      <c r="H6" s="266"/>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2"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9: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9: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8: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9" priority="86">
      <formula>$C22=MAX($C$8:$C$37)</formula>
    </cfRule>
  </conditionalFormatting>
  <conditionalFormatting sqref="C23:C37">
    <cfRule type="expression" dxfId="28" priority="85">
      <formula>$C22=MAX($C$8:$C$37)</formula>
    </cfRule>
  </conditionalFormatting>
  <conditionalFormatting sqref="E23:E38">
    <cfRule type="expression" dxfId="27" priority="87">
      <formula>AND($A23="",$F23&lt;&gt;"")</formula>
    </cfRule>
  </conditionalFormatting>
  <conditionalFormatting sqref="F23:F38">
    <cfRule type="expression" dxfId="26" priority="88">
      <formula>AND($F23="",$A23&lt;&gt;"")</formula>
    </cfRule>
  </conditionalFormatting>
  <conditionalFormatting sqref="D20:H22">
    <cfRule type="expression" dxfId="25" priority="34">
      <formula>$C19=MAX($C$8:$C$37)</formula>
    </cfRule>
  </conditionalFormatting>
  <conditionalFormatting sqref="C20:C22">
    <cfRule type="expression" dxfId="24" priority="33">
      <formula>$C19=MAX($C$8:$C$37)</formula>
    </cfRule>
  </conditionalFormatting>
  <conditionalFormatting sqref="E20:E22">
    <cfRule type="expression" dxfId="23" priority="35">
      <formula>AND($A20="",$F20&lt;&gt;"")</formula>
    </cfRule>
  </conditionalFormatting>
  <conditionalFormatting sqref="F20:F22">
    <cfRule type="expression" dxfId="22" priority="36">
      <formula>AND($F20="",$A20&lt;&gt;"")</formula>
    </cfRule>
  </conditionalFormatting>
  <conditionalFormatting sqref="D15:H19 D12:F14 H12:H14">
    <cfRule type="expression" dxfId="21" priority="30">
      <formula>$C11=MAX($C$8:$C$37)</formula>
    </cfRule>
  </conditionalFormatting>
  <conditionalFormatting sqref="C12:C19">
    <cfRule type="expression" dxfId="20" priority="29">
      <formula>$C11=MAX($C$8:$C$37)</formula>
    </cfRule>
  </conditionalFormatting>
  <conditionalFormatting sqref="E12:E19">
    <cfRule type="expression" dxfId="19" priority="31">
      <formula>AND($A12="",$F12&lt;&gt;"")</formula>
    </cfRule>
  </conditionalFormatting>
  <conditionalFormatting sqref="F12:F19">
    <cfRule type="expression" dxfId="18" priority="32">
      <formula>AND($F12="",$A12&lt;&gt;"")</formula>
    </cfRule>
  </conditionalFormatting>
  <conditionalFormatting sqref="G12:G14">
    <cfRule type="expression" dxfId="12" priority="13">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Gà</vt:lpstr>
      <vt:lpstr>Chi phí ra hàng tháng</vt:lpstr>
      <vt:lpstr>TVP</vt:lpstr>
      <vt:lpstr>Quốc Nhân</vt:lpstr>
      <vt:lpstr>La Cusina</vt:lpstr>
      <vt:lpstr>Kitkool</vt:lpstr>
      <vt:lpstr>Sheet1</vt:lpstr>
      <vt:lpstr>Tổng Đơn</vt:lpstr>
      <vt:lpstr>Chi phí</vt:lpstr>
      <vt:lpstr>Thanh Toán</vt:lpstr>
      <vt:lpstr>'Thanh Toán'!Print_Area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2023-01-18T16:39:13Z</dcterms:modified>
</cp:coreProperties>
</file>